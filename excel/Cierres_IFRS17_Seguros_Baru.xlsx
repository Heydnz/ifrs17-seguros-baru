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EEFF" sheetId="2" state="visible" r:id="rId4"/>
    <sheet name="Conc_100" sheetId="3" state="visible" r:id="rId5"/>
    <sheet name="Conc_101" sheetId="4" state="visible" r:id="rId6"/>
    <sheet name="Ingresos_106" sheetId="5" state="visible" r:id="rId7"/>
    <sheet name="NegocioNuevo_107" sheetId="6" state="visible" r:id="rId8"/>
    <sheet name="CSM_109" sheetId="7" state="visible" r:id="rId9"/>
    <sheet name="Supuestos" sheetId="8" state="visible" r:id="rId10"/>
    <sheet name="Sensibilidades_128" sheetId="9" state="visible" r:id="rId11"/>
    <sheet name="Desarrollo_130" sheetId="10" state="visible" r:id="rId12"/>
    <sheet name="Liquidez_132" sheetId="11" state="visible" r:id="rId13"/>
    <sheet name="Control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<sst xmlns="http://schemas.openxmlformats.org/spreadsheetml/2006/main" count="892" uniqueCount="343">
  <si>
    <t xml:space="preserve">Seguros Barú, S.A. — Cierres IFRS 17 de 2023, 2024 y 2025</t>
  </si>
  <si>
    <t xml:space="preserve">Aseguradora ficticia; datos sintéticos generados con semilla fija. Cifras en USD.</t>
  </si>
  <si>
    <t xml:space="preserve">Leyenda</t>
  </si>
  <si>
    <t xml:space="preserve">Azul</t>
  </si>
  <si>
    <t xml:space="preserve">valor calculado por el motor en Python (src/ifrs17)</t>
  </si>
  <si>
    <t xml:space="preserve">Negro</t>
  </si>
  <si>
    <t xml:space="preserve">fórmula de Excel</t>
  </si>
  <si>
    <t xml:space="preserve">Verde</t>
  </si>
  <si>
    <t xml:space="preserve">vínculo a otra hoja</t>
  </si>
  <si>
    <t xml:space="preserve">Fondo verde claro</t>
  </si>
  <si>
    <t xml:space="preserve">celda de control: debe ser cero</t>
  </si>
  <si>
    <t xml:space="preserve">Hoja</t>
  </si>
  <si>
    <t xml:space="preserve">Contenido</t>
  </si>
  <si>
    <t xml:space="preserve">EEFF</t>
  </si>
  <si>
    <t xml:space="preserve">Estado de situación financiera (par. 78-79) y de resultados y ORI (par. 80-92)</t>
  </si>
  <si>
    <t xml:space="preserve">Conc_100</t>
  </si>
  <si>
    <t xml:space="preserve">Conciliación LRC sin componente de pérdida, componente de pérdida y LIC (par. 100, 103)</t>
  </si>
  <si>
    <t xml:space="preserve">Conc_101</t>
  </si>
  <si>
    <t xml:space="preserve">Conciliación de valor presente, ajuste por riesgo y CSM, contratos GMM y reaseguro (par. 101, 104)</t>
  </si>
  <si>
    <t xml:space="preserve">Ingresos_106</t>
  </si>
  <si>
    <t xml:space="preserve">Análisis de los ingresos por seguros de los grupos GMM (par. 106)</t>
  </si>
  <si>
    <t xml:space="preserve">NegocioNuevo_107</t>
  </si>
  <si>
    <t xml:space="preserve">Efecto de los contratos reconocidos en el periodo (par. 107)</t>
  </si>
  <si>
    <t xml:space="preserve">CSM_109</t>
  </si>
  <si>
    <t xml:space="preserve">Reconocimiento esperado del CSM por bandas de años (par. 109)</t>
  </si>
  <si>
    <t xml:space="preserve">Supuestos</t>
  </si>
  <si>
    <t xml:space="preserve">Supuestos, curvas de descuento y nivel de confianza (par. 117, 119, 120)</t>
  </si>
  <si>
    <t xml:space="preserve">Sensibilidades_128</t>
  </si>
  <si>
    <t xml:space="preserve">Efecto en resultados y patrimonio de cambios razonablemente posibles (par. 128)</t>
  </si>
  <si>
    <t xml:space="preserve">Desarrollo_130</t>
  </si>
  <si>
    <t xml:space="preserve">Desarrollo de siniestros de autos y TRC (par. 130)</t>
  </si>
  <si>
    <t xml:space="preserve">Liquidez_132</t>
  </si>
  <si>
    <t xml:space="preserve">Vencimientos de flujos netos esperados (par. 132)</t>
  </si>
  <si>
    <t xml:space="preserve">Controles</t>
  </si>
  <si>
    <t xml:space="preserve">Resumen de todas las celdas de control</t>
  </si>
  <si>
    <t xml:space="preserve">Estados financieros</t>
  </si>
  <si>
    <t xml:space="preserve">Sin impuesto sobre la renta (fuera de alcance). Presentación con NIC 1; ver el anexo IFRS 18 al final.</t>
  </si>
  <si>
    <t xml:space="preserve">Estado de situación financiera</t>
  </si>
  <si>
    <t xml:space="preserve">31-dic-2023</t>
  </si>
  <si>
    <t xml:space="preserve">31-dic-2024</t>
  </si>
  <si>
    <t xml:space="preserve">31-dic-2025</t>
  </si>
  <si>
    <t xml:space="preserve">Inversiones a valor razonable con cambios en resultados</t>
  </si>
  <si>
    <t xml:space="preserve">Inversiones a valor razonable con cambios en ORI</t>
  </si>
  <si>
    <t xml:space="preserve">Activos por contratos de seguro</t>
  </si>
  <si>
    <t xml:space="preserve">Activos por contratos de reaseguro cedido</t>
  </si>
  <si>
    <t xml:space="preserve">Total activos</t>
  </si>
  <si>
    <t xml:space="preserve">Pasivos por contratos de seguro</t>
  </si>
  <si>
    <t xml:space="preserve">Capital social</t>
  </si>
  <si>
    <t xml:space="preserve">Resultados acumulados</t>
  </si>
  <si>
    <t xml:space="preserve">Reserva de finanzas de seguros (ORI)</t>
  </si>
  <si>
    <t xml:space="preserve">Reserva de inversiones a valor razonable con cambios en ORI</t>
  </si>
  <si>
    <t xml:space="preserve">Total patrimonio</t>
  </si>
  <si>
    <t xml:space="preserve">Control: activos - pasivos - patrimonio</t>
  </si>
  <si>
    <t xml:space="preserve">Estado de resultados y otro resultado integral</t>
  </si>
  <si>
    <t xml:space="preserve">2023</t>
  </si>
  <si>
    <t xml:space="preserve">2024</t>
  </si>
  <si>
    <t xml:space="preserve">2025</t>
  </si>
  <si>
    <t xml:space="preserve">Ingresos por seguros</t>
  </si>
  <si>
    <t xml:space="preserve">Gastos del servicio de seguros</t>
  </si>
  <si>
    <t xml:space="preserve">Resultado neto de los contratos de reaseguro cedido</t>
  </si>
  <si>
    <t xml:space="preserve">Resultado del servicio de seguros</t>
  </si>
  <si>
    <t xml:space="preserve">Ingresos de inversiones</t>
  </si>
  <si>
    <t xml:space="preserve">Gastos financieros de seguros emitidos</t>
  </si>
  <si>
    <t xml:space="preserve">Ingresos financieros del reaseguro cedido</t>
  </si>
  <si>
    <t xml:space="preserve">Resultado financiero neto</t>
  </si>
  <si>
    <t xml:space="preserve">Otros gastos de operación (no atribuibles, B66(d))</t>
  </si>
  <si>
    <t xml:space="preserve">Resultado del año antes de impuestos</t>
  </si>
  <si>
    <t xml:space="preserve">Otro resultado integral (partidas que se reclasificarán)</t>
  </si>
  <si>
    <t xml:space="preserve">Finanzas de seguros emitidos</t>
  </si>
  <si>
    <t xml:space="preserve">Finanzas del reaseguro cedido</t>
  </si>
  <si>
    <t xml:space="preserve">Resultado integral total</t>
  </si>
  <si>
    <t xml:space="preserve">Control: resultado de la fórmula - resultado del motor</t>
  </si>
  <si>
    <t xml:space="preserve">Conciliación del pasivo por cobertura restante y por siniestros incurridos (par. 100, 103)</t>
  </si>
  <si>
    <t xml:space="preserve">Contratos emitidos por portafolio. Los saldos iniciales de 2024 y 2025 son el saldo final del año anterior (fórmula).</t>
  </si>
  <si>
    <t xml:space="preserve">Vida temporal</t>
  </si>
  <si>
    <t xml:space="preserve">Vida temporal — 2023</t>
  </si>
  <si>
    <t xml:space="preserve">LRC sin componente de pérdida</t>
  </si>
  <si>
    <t xml:space="preserve">Componente de pérdida</t>
  </si>
  <si>
    <t xml:space="preserve">LIC</t>
  </si>
  <si>
    <t xml:space="preserve">Total</t>
  </si>
  <si>
    <t xml:space="preserve">Saldo inicial</t>
  </si>
  <si>
    <t xml:space="preserve">Siniestros y otros gastos incurridos</t>
  </si>
  <si>
    <t xml:space="preserve">Amortización de flujos de adquisición</t>
  </si>
  <si>
    <t xml:space="preserve">Pérdidas y reversiones en grupos onerosos</t>
  </si>
  <si>
    <t xml:space="preserve">Cambios del LIC por servicio pasado</t>
  </si>
  <si>
    <t xml:space="preserve">Componentes de inversión</t>
  </si>
  <si>
    <t xml:space="preserve">Ingresos o gastos financieros de seguros</t>
  </si>
  <si>
    <t xml:space="preserve">Primas recibidas</t>
  </si>
  <si>
    <t xml:space="preserve">Siniestros y gastos pagados</t>
  </si>
  <si>
    <t xml:space="preserve">Flujos de adquisición pagados</t>
  </si>
  <si>
    <t xml:space="preserve">Saldo final</t>
  </si>
  <si>
    <t xml:space="preserve">Control: saldo final de la fórmula - saldo del motor</t>
  </si>
  <si>
    <t xml:space="preserve">Vida temporal — 2024</t>
  </si>
  <si>
    <t xml:space="preserve">Vida temporal — 2025</t>
  </si>
  <si>
    <t xml:space="preserve">Vida con ahorro</t>
  </si>
  <si>
    <t xml:space="preserve">Vida con ahorro — 2023</t>
  </si>
  <si>
    <t xml:space="preserve">Vida con ahorro — 2024</t>
  </si>
  <si>
    <t xml:space="preserve">Vida con ahorro — 2025</t>
  </si>
  <si>
    <t xml:space="preserve">Autos</t>
  </si>
  <si>
    <t xml:space="preserve">Autos — 2023</t>
  </si>
  <si>
    <t xml:space="preserve">Autos — 2024</t>
  </si>
  <si>
    <t xml:space="preserve">Autos — 2025</t>
  </si>
  <si>
    <t xml:space="preserve">Incendio/hogar</t>
  </si>
  <si>
    <t xml:space="preserve">Incendio/hogar — 2023</t>
  </si>
  <si>
    <t xml:space="preserve">Incendio/hogar — 2024</t>
  </si>
  <si>
    <t xml:space="preserve">Incendio/hogar — 2025</t>
  </si>
  <si>
    <t xml:space="preserve">Todo riesgo construcción</t>
  </si>
  <si>
    <t xml:space="preserve">Todo riesgo construcción — 2023</t>
  </si>
  <si>
    <t xml:space="preserve">Todo riesgo construcción — 2024</t>
  </si>
  <si>
    <t xml:space="preserve">Todo riesgo construcción — 2025</t>
  </si>
  <si>
    <t xml:space="preserve">Conciliación del valor presente de los flujos, el ajuste por riesgo y el CSM (par. 101, 104)</t>
  </si>
  <si>
    <t xml:space="preserve">Contratos medidos con el GMM. El reaseguro cedido se muestra como activo (signo positivo) y por separado (par. 98).</t>
  </si>
  <si>
    <t xml:space="preserve">Valor presente de flujos futuros</t>
  </si>
  <si>
    <t xml:space="preserve">Ajuste por riesgo no financiero</t>
  </si>
  <si>
    <t xml:space="preserve">Margen contractual de servicio</t>
  </si>
  <si>
    <t xml:space="preserve">Cambios en estimaciones que ajustan el CSM</t>
  </si>
  <si>
    <t xml:space="preserve">Cambios que no ajustan el CSM (onerosos)</t>
  </si>
  <si>
    <t xml:space="preserve">Recuperación de pérdidas (reaseguro, 66A)</t>
  </si>
  <si>
    <t xml:space="preserve">Contratos reconocidos en el periodo</t>
  </si>
  <si>
    <t xml:space="preserve">CSM reconocido por servicios</t>
  </si>
  <si>
    <t xml:space="preserve">Cambio del ajuste por riesgo por riesgo vencido</t>
  </si>
  <si>
    <t xml:space="preserve">Ajustes por experiencia</t>
  </si>
  <si>
    <t xml:space="preserve">Primas recibidas / pagadas</t>
  </si>
  <si>
    <t xml:space="preserve">Siniestros y gastos incurridos / recuperaciones</t>
  </si>
  <si>
    <t xml:space="preserve">Reaseguro cedido sobre vida temporal</t>
  </si>
  <si>
    <t xml:space="preserve">Reaseguro cedido sobre vida temporal — 2023</t>
  </si>
  <si>
    <t xml:space="preserve">Reaseguro cedido sobre vida temporal — 2024</t>
  </si>
  <si>
    <t xml:space="preserve">Reaseguro cedido sobre vida temporal — 2025</t>
  </si>
  <si>
    <t xml:space="preserve">Análisis de los ingresos por seguros, grupos GMM (par. 106)</t>
  </si>
  <si>
    <t xml:space="preserve">Siniestros y gastos esperados, liberación del ajuste por riesgo y del CSM, y recuperación de adquisición (B121-B125).</t>
  </si>
  <si>
    <t xml:space="preserve">closing</t>
  </si>
  <si>
    <t xml:space="preserve">portfolio</t>
  </si>
  <si>
    <t xml:space="preserve">expected_claims_and_expenses</t>
  </si>
  <si>
    <t xml:space="preserve">loss_component_exclusion</t>
  </si>
  <si>
    <t xml:space="preserve">ra_release</t>
  </si>
  <si>
    <t xml:space="preserve">csm_release</t>
  </si>
  <si>
    <t xml:space="preserve">acquisition_recovery</t>
  </si>
  <si>
    <t xml:space="preserve">insurance_revenue</t>
  </si>
  <si>
    <t xml:space="preserve">Total por fórmula</t>
  </si>
  <si>
    <t xml:space="preserve">2023-12-31</t>
  </si>
  <si>
    <t xml:space="preserve">VA</t>
  </si>
  <si>
    <t xml:space="preserve">VT</t>
  </si>
  <si>
    <t xml:space="preserve">2024-12-31</t>
  </si>
  <si>
    <t xml:space="preserve">2025-12-31</t>
  </si>
  <si>
    <t xml:space="preserve">Control: total por fórmula - ingresos del motor</t>
  </si>
  <si>
    <t xml:space="preserve">Contratos reconocidos en el periodo (par. 107)</t>
  </si>
  <si>
    <t xml:space="preserve">Salidas (con adquisición aparte), entradas, ajuste por riesgo y CSM; los grupos onerosos van aparte. La suma es la pérdida inicial.</t>
  </si>
  <si>
    <t xml:space="preserve">onerous</t>
  </si>
  <si>
    <t xml:space="preserve">pv_acquisition_outflows</t>
  </si>
  <si>
    <t xml:space="preserve">pv_other_outflows</t>
  </si>
  <si>
    <t xml:space="preserve">pv_inflows</t>
  </si>
  <si>
    <t xml:space="preserve">ra</t>
  </si>
  <si>
    <t xml:space="preserve">csm</t>
  </si>
  <si>
    <t xml:space="preserve">loss</t>
  </si>
  <si>
    <t xml:space="preserve">Suma = pérdida</t>
  </si>
  <si>
    <t xml:space="preserve">Control: suma - pérdida</t>
  </si>
  <si>
    <t xml:space="preserve">Reconocimiento esperado del CSM al 31-dic-2025 (par. 109)</t>
  </si>
  <si>
    <t xml:space="preserve">Años en que se espera reconocer el CSM según las unidades de cobertura futuras, sin acreción futura. El reaseguro se muestra con signo de costo (negativo).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</si>
  <si>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</si>
  <si>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</si>
  <si>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</si>
  <si>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</si>
  <si>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</si>
  <si>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6-10</t>
  </si>
  <si>
    <t xml:space="preserve">&gt;10</t>
  </si>
  <si>
    <t xml:space="preserve">RE_VT</t>
  </si>
  <si>
    <t xml:space="preserve">Supuestos, curvas y nivel de confianza (par. 117, 119, 120)</t>
  </si>
  <si>
    <t xml:space="preserve">Factores de mortalidad por cierre, curvas spot (anual efectiva) y nivel de confianza.</t>
  </si>
  <si>
    <t xml:space="preserve">assumption</t>
  </si>
  <si>
    <t xml:space="preserve">value</t>
  </si>
  <si>
    <t xml:space="preserve">basis</t>
  </si>
  <si>
    <t xml:space="preserve">own_factor</t>
  </si>
  <si>
    <t xml:space="preserve">credibility</t>
  </si>
  <si>
    <t xml:space="preserve">mortalidad (default)</t>
  </si>
  <si>
    <t xml:space="preserve">0.7714629655051102</t>
  </si>
  <si>
    <t xml:space="preserve">factor sobre CSO 1980</t>
  </si>
  <si>
    <t xml:space="preserve">mortalidad (older_high_si)</t>
  </si>
  <si>
    <t xml:space="preserve">0.75</t>
  </si>
  <si>
    <t xml:space="preserve">0.7475383180864552</t>
  </si>
  <si>
    <t xml:space="preserve">1.15</t>
  </si>
  <si>
    <t xml:space="preserve">0.7379584723545553</t>
  </si>
  <si>
    <t xml:space="preserve">0.8515890474076682</t>
  </si>
  <si>
    <t xml:space="preserve">todos</t>
  </si>
  <si>
    <t xml:space="preserve">mejora de mortalidad</t>
  </si>
  <si>
    <t xml:space="preserve">0.01</t>
  </si>
  <si>
    <t xml:space="preserve">anual</t>
  </si>
  <si>
    <t xml:space="preserve">caducidad vida temporal (años 1, 2, 3+)</t>
  </si>
  <si>
    <t xml:space="preserve">(0.08, 0.06, 0.04)</t>
  </si>
  <si>
    <t xml:space="preserve">caducidad vida con ahorro (años 1-7+)</t>
  </si>
  <si>
    <t xml:space="preserve">(0.1, 0.08, 0.07, 0.06, 0.05, 0.07, 0.04)</t>
  </si>
  <si>
    <t xml:space="preserve">inflación de gastos</t>
  </si>
  <si>
    <t xml:space="preserve">0.025</t>
  </si>
  <si>
    <t xml:space="preserve">diferencial de tasa acreditada</t>
  </si>
  <si>
    <t xml:space="preserve">0.0125</t>
  </si>
  <si>
    <t xml:space="preserve">HQM a 1 año menos diferencial, mínimo 2,5% (B98)</t>
  </si>
  <si>
    <t xml:space="preserve">Curvas de descuento (spot anual)</t>
  </si>
  <si>
    <t xml:space="preserve">1y</t>
  </si>
  <si>
    <t xml:space="preserve">5y</t>
  </si>
  <si>
    <t xml:space="preserve">10y</t>
  </si>
  <si>
    <t xml:space="preserve">20y</t>
  </si>
  <si>
    <t xml:space="preserve">30y</t>
  </si>
  <si>
    <t xml:space="preserve">40y</t>
  </si>
  <si>
    <t xml:space="preserve">AUTO</t>
  </si>
  <si>
    <t xml:space="preserve">TRC</t>
  </si>
  <si>
    <t xml:space="preserve">Nivel de confianza del ajuste por riesgo</t>
  </si>
  <si>
    <t xml:space="preserve">technique</t>
  </si>
  <si>
    <t xml:space="preserve">risk_adjustment</t>
  </si>
  <si>
    <t xml:space="preserve">capital_99_5</t>
  </si>
  <si>
    <t xml:space="preserve">confidence_level</t>
  </si>
  <si>
    <t xml:space="preserve">costo de capital 6%</t>
  </si>
  <si>
    <t xml:space="preserve">Daños (LIC)</t>
  </si>
  <si>
    <t xml:space="preserve">percentil 75, lognormal, correlación 25%</t>
  </si>
  <si>
    <t xml:space="preserve">Sensibilidades al 31-dic-2025 (par. 128(a))</t>
  </si>
  <si>
    <t xml:space="preserve">Efecto en resultados y patrimonio, bruto y neto de reaseguro. Los cambios no financieros que absorbe el CSM no afectan el resultado.</t>
  </si>
  <si>
    <t xml:space="preserve">change</t>
  </si>
  <si>
    <t xml:space="preserve">profit_gross</t>
  </si>
  <si>
    <t xml:space="preserve">equity_gross</t>
  </si>
  <si>
    <t xml:space="preserve">profit_net</t>
  </si>
  <si>
    <t xml:space="preserve">equity_net</t>
  </si>
  <si>
    <t xml:space="preserve">mortalidad +10%</t>
  </si>
  <si>
    <t xml:space="preserve">mortalidad -10%</t>
  </si>
  <si>
    <t xml:space="preserve">caducidad +10%</t>
  </si>
  <si>
    <t xml:space="preserve">caducidad -10%</t>
  </si>
  <si>
    <t xml:space="preserve">gastos +10%</t>
  </si>
  <si>
    <t xml:space="preserve">tasas +100 pb</t>
  </si>
  <si>
    <t xml:space="preserve">tasas -100 pb</t>
  </si>
  <si>
    <t xml:space="preserve">siniestros +5%</t>
  </si>
  <si>
    <t xml:space="preserve">INC</t>
  </si>
  <si>
    <t xml:space="preserve">Inversiones</t>
  </si>
  <si>
    <t xml:space="preserve">Desarrollo de siniestros (par. 130)</t>
  </si>
  <si>
    <t xml:space="preserve">Estimación no descontada del último costo por año de accidente en cada cierre; última = pagado + pendiente (fórmula).</t>
  </si>
  <si>
    <t xml:space="preserve">Cierre</t>
  </si>
  <si>
    <t xml:space="preserve">Año de accidente</t>
  </si>
  <si>
    <t xml:space="preserve">Pagado acumulado</t>
  </si>
  <si>
    <t xml:space="preserve">Pendiente no descontado</t>
  </si>
  <si>
    <t xml:space="preserve">Última estimación (fórmula)</t>
  </si>
  <si>
    <t xml:space="preserve">LIC descontado (sin ajuste por riesgo)</t>
  </si>
  <si>
    <t xml:space="preserve">Efecto del descuento (fórmula)</t>
  </si>
  <si>
    <t xml:space="preserve">Flujos netos esperados no descontados al 31-dic-2025 (par. 132(b)(i))</t>
  </si>
  <si>
    <t xml:space="preserve">Salidas netas positivas. Vida incluye primas futuras (entradas, negativas) y el LIC; daños solo el LIC (132(b)).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</si>
  <si>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</si>
  <si>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</si>
  <si>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</si>
  <si>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</si>
  <si>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</si>
  <si>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más de 5 años</t>
  </si>
  <si>
    <t xml:space="preserve">Resumen de controles</t>
  </si>
  <si>
    <t xml:space="preserve">Cada celda enlaza a un control de otra hoja; el total absoluto debe ser cero.</t>
  </si>
  <si>
    <t xml:space="preserve">Celda</t>
  </si>
  <si>
    <t xml:space="preserve">Valor</t>
  </si>
  <si>
    <t xml:space="preserve">EEFF!B18</t>
  </si>
  <si>
    <t xml:space="preserve">EEFF!C18</t>
  </si>
  <si>
    <t xml:space="preserve">EEFF!D18</t>
  </si>
  <si>
    <t xml:space="preserve">EEFF!B43</t>
  </si>
  <si>
    <t xml:space="preserve">EEFF!C43</t>
  </si>
  <si>
    <t xml:space="preserve">EEFF!D43</t>
  </si>
  <si>
    <t xml:space="preserve">Conc_100!B18</t>
  </si>
  <si>
    <t xml:space="preserve">Conc_100!C18</t>
  </si>
  <si>
    <t xml:space="preserve">Conc_100!D18</t>
  </si>
  <si>
    <t xml:space="preserve">Conc_100!B33</t>
  </si>
  <si>
    <t xml:space="preserve">Conc_100!C33</t>
  </si>
  <si>
    <t xml:space="preserve">Conc_100!D33</t>
  </si>
  <si>
    <t xml:space="preserve">Conc_100!B48</t>
  </si>
  <si>
    <t xml:space="preserve">Conc_100!C48</t>
  </si>
  <si>
    <t xml:space="preserve">Conc_100!D48</t>
  </si>
  <si>
    <t xml:space="preserve">Conc_100!B65</t>
  </si>
  <si>
    <t xml:space="preserve">Conc_100!C65</t>
  </si>
  <si>
    <t xml:space="preserve">Conc_100!D65</t>
  </si>
  <si>
    <t xml:space="preserve">Conc_100!B80</t>
  </si>
  <si>
    <t xml:space="preserve">Conc_100!C80</t>
  </si>
  <si>
    <t xml:space="preserve">Conc_100!D80</t>
  </si>
  <si>
    <t xml:space="preserve">Conc_100!B95</t>
  </si>
  <si>
    <t xml:space="preserve">Conc_100!C95</t>
  </si>
  <si>
    <t xml:space="preserve">Conc_100!D95</t>
  </si>
  <si>
    <t xml:space="preserve">Conc_100!B112</t>
  </si>
  <si>
    <t xml:space="preserve">Conc_100!C112</t>
  </si>
  <si>
    <t xml:space="preserve">Conc_100!D112</t>
  </si>
  <si>
    <t xml:space="preserve">Conc_100!B127</t>
  </si>
  <si>
    <t xml:space="preserve">Conc_100!C127</t>
  </si>
  <si>
    <t xml:space="preserve">Conc_100!D127</t>
  </si>
  <si>
    <t xml:space="preserve">Conc_100!B142</t>
  </si>
  <si>
    <t xml:space="preserve">Conc_100!C142</t>
  </si>
  <si>
    <t xml:space="preserve">Conc_100!D142</t>
  </si>
  <si>
    <t xml:space="preserve">Conc_100!B159</t>
  </si>
  <si>
    <t xml:space="preserve">Conc_100!C159</t>
  </si>
  <si>
    <t xml:space="preserve">Conc_100!D159</t>
  </si>
  <si>
    <t xml:space="preserve">Conc_100!B174</t>
  </si>
  <si>
    <t xml:space="preserve">Conc_100!C174</t>
  </si>
  <si>
    <t xml:space="preserve">Conc_100!D174</t>
  </si>
  <si>
    <t xml:space="preserve">Conc_100!B189</t>
  </si>
  <si>
    <t xml:space="preserve">Conc_100!C189</t>
  </si>
  <si>
    <t xml:space="preserve">Conc_100!D189</t>
  </si>
  <si>
    <t xml:space="preserve">Conc_100!B206</t>
  </si>
  <si>
    <t xml:space="preserve">Conc_100!C206</t>
  </si>
  <si>
    <t xml:space="preserve">Conc_100!D206</t>
  </si>
  <si>
    <t xml:space="preserve">Conc_100!B221</t>
  </si>
  <si>
    <t xml:space="preserve">Conc_100!C221</t>
  </si>
  <si>
    <t xml:space="preserve">Conc_100!D221</t>
  </si>
  <si>
    <t xml:space="preserve">Conc_100!B236</t>
  </si>
  <si>
    <t xml:space="preserve">Conc_100!C236</t>
  </si>
  <si>
    <t xml:space="preserve">Conc_100!D236</t>
  </si>
  <si>
    <t xml:space="preserve">Conc_101!B20</t>
  </si>
  <si>
    <t xml:space="preserve">Conc_101!C20</t>
  </si>
  <si>
    <t xml:space="preserve">Conc_101!D20</t>
  </si>
  <si>
    <t xml:space="preserve">Conc_101!B37</t>
  </si>
  <si>
    <t xml:space="preserve">Conc_101!C37</t>
  </si>
  <si>
    <t xml:space="preserve">Conc_101!D37</t>
  </si>
  <si>
    <t xml:space="preserve">Conc_101!B54</t>
  </si>
  <si>
    <t xml:space="preserve">Conc_101!C54</t>
  </si>
  <si>
    <t xml:space="preserve">Conc_101!D54</t>
  </si>
  <si>
    <t xml:space="preserve">Conc_101!B73</t>
  </si>
  <si>
    <t xml:space="preserve">Conc_101!C73</t>
  </si>
  <si>
    <t xml:space="preserve">Conc_101!D73</t>
  </si>
  <si>
    <t xml:space="preserve">Conc_101!B90</t>
  </si>
  <si>
    <t xml:space="preserve">Conc_101!C90</t>
  </si>
  <si>
    <t xml:space="preserve">Conc_101!D90</t>
  </si>
  <si>
    <t xml:space="preserve">Conc_101!B107</t>
  </si>
  <si>
    <t xml:space="preserve">Conc_101!C107</t>
  </si>
  <si>
    <t xml:space="preserve">Conc_101!D107</t>
  </si>
  <si>
    <t xml:space="preserve">Conc_101!B126</t>
  </si>
  <si>
    <t xml:space="preserve">Conc_101!C126</t>
  </si>
  <si>
    <t xml:space="preserve">Conc_101!D126</t>
  </si>
  <si>
    <t xml:space="preserve">Conc_101!B143</t>
  </si>
  <si>
    <t xml:space="preserve">Conc_101!C143</t>
  </si>
  <si>
    <t xml:space="preserve">Conc_101!D143</t>
  </si>
  <si>
    <t xml:space="preserve">Conc_101!B160</t>
  </si>
  <si>
    <t xml:space="preserve">Conc_101!C160</t>
  </si>
  <si>
    <t xml:space="preserve">Conc_101!D160</t>
  </si>
  <si>
    <t xml:space="preserve">Ingresos_106!J5</t>
  </si>
  <si>
    <t xml:space="preserve">Ingresos_106!J6</t>
  </si>
  <si>
    <t xml:space="preserve">Ingresos_106!J7</t>
  </si>
  <si>
    <t xml:space="preserve">Ingresos_106!J8</t>
  </si>
  <si>
    <t xml:space="preserve">Ingresos_106!J9</t>
  </si>
  <si>
    <t xml:space="preserve">Ingresos_106!J10</t>
  </si>
  <si>
    <t xml:space="preserve">NegocioNuevo_107!K5</t>
  </si>
  <si>
    <t xml:space="preserve">NegocioNuevo_107!K6</t>
  </si>
  <si>
    <t xml:space="preserve">NegocioNuevo_107!K7</t>
  </si>
  <si>
    <t xml:space="preserve">NegocioNuevo_107!K8</t>
  </si>
  <si>
    <t xml:space="preserve">NegocioNuevo_107!K9</t>
  </si>
  <si>
    <t xml:space="preserve">NegocioNuevo_107!K10</t>
  </si>
  <si>
    <t xml:space="preserve">NegocioNuevo_107!K11</t>
  </si>
  <si>
    <t xml:space="preserve">NegocioNuevo_107!K12</t>
  </si>
  <si>
    <t xml:space="preserve">Suma de valores absolutos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</si>
</sst>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General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DE6F0"/>
      </patternFill>
    </fill>
    <fill>
      <patternFill patternType="solid">
        <fgColor rgb="FFDDE6F0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6" t="s">
        <v>7</v>
      </c>
      <c r="B7" s="4" t="s">
        <v>8</v>
      </c>
    </row>
    <row r="8" customFormat="false" ht="15" hidden="false" customHeight="false" outlineLevel="0" collapsed="false">
      <c r="A8" s="7" t="s">
        <v>9</v>
      </c>
      <c r="B8" s="4" t="s">
        <v>10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4" customFormat="false" ht="15" hidden="false" customHeight="false" outlineLevel="0" collapsed="false">
      <c r="A14" s="4" t="s">
        <v>19</v>
      </c>
      <c r="B14" s="4" t="s">
        <v>20</v>
      </c>
    </row>
    <row r="15" customFormat="false" ht="15" hidden="false" customHeight="false" outlineLevel="0" collapsed="false">
      <c r="A15" s="4" t="s">
        <v>21</v>
      </c>
      <c r="B15" s="4" t="s">
        <v>22</v>
      </c>
    </row>
    <row r="16" customFormat="false" ht="15" hidden="false" customHeight="false" outlineLevel="0" collapsed="false">
      <c r="A16" s="4" t="s">
        <v>23</v>
      </c>
      <c r="B16" s="4" t="s">
        <v>24</v>
      </c>
    </row>
    <row r="17" customFormat="false" ht="15" hidden="false" customHeight="false" outlineLevel="0" collapsed="false">
      <c r="A17" s="4" t="s">
        <v>25</v>
      </c>
      <c r="B17" s="4" t="s">
        <v>26</v>
      </c>
    </row>
    <row r="18" customFormat="false" ht="15" hidden="false" customHeight="false" outlineLevel="0" collapsed="false">
      <c r="A18" s="4" t="s">
        <v>27</v>
      </c>
      <c r="B18" s="4" t="s">
        <v>28</v>
      </c>
    </row>
    <row r="19" customFormat="false" ht="15" hidden="false" customHeight="false" outlineLevel="0" collapsed="false">
      <c r="A19" s="4" t="s">
        <v>29</v>
      </c>
      <c r="B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</row>
    <row r="21" customFormat="false" ht="15" hidden="false" customHeight="false" outlineLevel="0" collapsed="false">
      <c r="A21" s="4" t="s">
        <v>33</v>
      </c>
      <c r="B21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1.5" hidden="false" customHeight="true" outlineLevel="0" collapsed="false">
      <c r="A4" s="8" t="s">
        <v>37</v>
      </c>
      <c r="B4" s="8" t="s">
        <v>38</v>
      </c>
      <c r="C4" s="8" t="s">
        <v>39</v>
      </c>
      <c r="D4" s="8" t="s">
        <v>40</v>
      </c>
    </row>
    <row r="5" customFormat="false" ht="15" hidden="false" customHeight="false" outlineLevel="0" collapsed="false">
      <c r="A5" s="4" t="s">
        <v>41</v>
      </c>
      <c r="B5" s="9" t="n">
        <v>14299160.3092581</v>
      </c>
      <c r="C5" s="9" t="n">
        <v>27410251.5898643</v>
      </c>
      <c r="D5" s="9" t="n">
        <v>41779310.0068667</v>
      </c>
    </row>
    <row r="6" customFormat="false" ht="15" hidden="false" customHeight="false" outlineLevel="0" collapsed="false">
      <c r="A6" s="4" t="s">
        <v>42</v>
      </c>
      <c r="B6" s="9" t="n">
        <v>20000000</v>
      </c>
      <c r="C6" s="9" t="n">
        <v>20017693.0117283</v>
      </c>
      <c r="D6" s="9" t="n">
        <v>20000000</v>
      </c>
    </row>
    <row r="7" customFormat="false" ht="15" hidden="false" customHeight="false" outlineLevel="0" collapsed="false">
      <c r="A7" s="4" t="s">
        <v>43</v>
      </c>
      <c r="B7" s="9" t="n">
        <v>0</v>
      </c>
      <c r="C7" s="9" t="n">
        <v>0</v>
      </c>
      <c r="D7" s="9" t="n">
        <v>38473.1593117124</v>
      </c>
    </row>
    <row r="8" customFormat="false" ht="15" hidden="false" customHeight="false" outlineLevel="0" collapsed="false">
      <c r="A8" s="4" t="s">
        <v>44</v>
      </c>
      <c r="B8" s="9" t="n">
        <v>844071.923329713</v>
      </c>
      <c r="C8" s="9" t="n">
        <v>2083847.39839109</v>
      </c>
      <c r="D8" s="9" t="n">
        <v>3035118.39091353</v>
      </c>
    </row>
    <row r="9" customFormat="false" ht="15" hidden="false" customHeight="false" outlineLevel="0" collapsed="false">
      <c r="A9" s="3" t="s">
        <v>45</v>
      </c>
      <c r="B9" s="10" t="n">
        <f aca="false">SUM(B5:B8)</f>
        <v>35143232.2325878</v>
      </c>
      <c r="C9" s="10" t="n">
        <f aca="false">SUM(C5:C8)</f>
        <v>49511791.9999837</v>
      </c>
      <c r="D9" s="10" t="n">
        <f aca="false">SUM(D5:D8)</f>
        <v>64852901.557092</v>
      </c>
    </row>
    <row r="11" customFormat="false" ht="15" hidden="false" customHeight="false" outlineLevel="0" collapsed="false">
      <c r="A11" s="4" t="s">
        <v>46</v>
      </c>
      <c r="B11" s="9" t="n">
        <v>14550189.2760752</v>
      </c>
      <c r="C11" s="9" t="n">
        <v>28066153.1828359</v>
      </c>
      <c r="D11" s="9" t="n">
        <v>39272810.3040388</v>
      </c>
    </row>
    <row r="13" customFormat="false" ht="15" hidden="false" customHeight="false" outlineLevel="0" collapsed="false">
      <c r="A13" s="4" t="s">
        <v>47</v>
      </c>
      <c r="B13" s="9" t="n">
        <v>20000000</v>
      </c>
      <c r="C13" s="9" t="n">
        <v>20000000</v>
      </c>
      <c r="D13" s="9" t="n">
        <v>20000000</v>
      </c>
    </row>
    <row r="14" customFormat="false" ht="15" hidden="false" customHeight="false" outlineLevel="0" collapsed="false">
      <c r="A14" s="4" t="s">
        <v>48</v>
      </c>
      <c r="B14" s="11" t="n">
        <f aca="false">B35</f>
        <v>593622.933065356</v>
      </c>
      <c r="C14" s="12" t="n">
        <f aca="false">B14+C35</f>
        <v>2608745.05853656</v>
      </c>
      <c r="D14" s="12" t="n">
        <f aca="false">C14+D35</f>
        <v>5857942.64200871</v>
      </c>
    </row>
    <row r="15" customFormat="false" ht="15" hidden="false" customHeight="false" outlineLevel="0" collapsed="false">
      <c r="A15" s="4" t="s">
        <v>49</v>
      </c>
      <c r="B15" s="12" t="n">
        <f aca="false">B38+B39</f>
        <v>-579.97655276144</v>
      </c>
      <c r="C15" s="12" t="n">
        <f aca="false">B15+C38+C39</f>
        <v>45520.9586112653</v>
      </c>
      <c r="D15" s="12" t="n">
        <f aca="false">C15+D38+D39</f>
        <v>129270.185331837</v>
      </c>
    </row>
    <row r="16" customFormat="false" ht="15" hidden="false" customHeight="false" outlineLevel="0" collapsed="false">
      <c r="A16" s="4" t="s">
        <v>50</v>
      </c>
      <c r="B16" s="12" t="n">
        <f aca="false">B40</f>
        <v>0</v>
      </c>
      <c r="C16" s="12" t="n">
        <f aca="false">B16+C40</f>
        <v>-1208627.20000002</v>
      </c>
      <c r="D16" s="12" t="n">
        <f aca="false">C16+D40</f>
        <v>-407121.574287395</v>
      </c>
    </row>
    <row r="17" customFormat="false" ht="15" hidden="false" customHeight="false" outlineLevel="0" collapsed="false">
      <c r="A17" s="3" t="s">
        <v>51</v>
      </c>
      <c r="B17" s="10" t="n">
        <f aca="false">SUM(B13:B16)</f>
        <v>20593042.9565126</v>
      </c>
      <c r="C17" s="10" t="n">
        <f aca="false">SUM(C13:C16)</f>
        <v>21445638.8171478</v>
      </c>
      <c r="D17" s="10" t="n">
        <f aca="false">SUM(D13:D16)</f>
        <v>25580091.2530532</v>
      </c>
    </row>
    <row r="18" customFormat="false" ht="15" hidden="false" customHeight="false" outlineLevel="0" collapsed="false">
      <c r="A18" s="2" t="s">
        <v>52</v>
      </c>
      <c r="B18" s="13" t="n">
        <f aca="false">B9-B11-B17</f>
        <v>0</v>
      </c>
      <c r="C18" s="13" t="n">
        <f aca="false">C9-C11-C17</f>
        <v>0</v>
      </c>
      <c r="D18" s="13" t="n">
        <f aca="false">D9-D11-D17</f>
        <v>0</v>
      </c>
    </row>
    <row r="22" customFormat="false" ht="31.5" hidden="false" customHeight="true" outlineLevel="0" collapsed="false">
      <c r="A22" s="8" t="s">
        <v>53</v>
      </c>
      <c r="B22" s="8" t="s">
        <v>54</v>
      </c>
      <c r="C22" s="8" t="s">
        <v>55</v>
      </c>
      <c r="D22" s="8" t="s">
        <v>56</v>
      </c>
    </row>
    <row r="23" customFormat="false" ht="15" hidden="false" customHeight="false" outlineLevel="0" collapsed="false">
      <c r="A23" s="4" t="s">
        <v>57</v>
      </c>
      <c r="B23" s="9" t="n">
        <v>9780724.29978616</v>
      </c>
      <c r="C23" s="9" t="n">
        <v>21995636.4894198</v>
      </c>
      <c r="D23" s="9" t="n">
        <v>26742566.4922247</v>
      </c>
    </row>
    <row r="24" customFormat="false" ht="15" hidden="false" customHeight="false" outlineLevel="0" collapsed="false">
      <c r="A24" s="4" t="s">
        <v>58</v>
      </c>
      <c r="B24" s="9" t="n">
        <v>-9402411.91865661</v>
      </c>
      <c r="C24" s="9" t="n">
        <v>-19796287.5679339</v>
      </c>
      <c r="D24" s="9" t="n">
        <v>-23580952.5383208</v>
      </c>
    </row>
    <row r="25" customFormat="false" ht="15" hidden="false" customHeight="false" outlineLevel="0" collapsed="false">
      <c r="A25" s="4" t="s">
        <v>59</v>
      </c>
      <c r="B25" s="9" t="n">
        <v>72221.6995926407</v>
      </c>
      <c r="C25" s="9" t="n">
        <v>-311236.338196336</v>
      </c>
      <c r="D25" s="9" t="n">
        <v>-610562.749139727</v>
      </c>
    </row>
    <row r="26" customFormat="false" ht="15" hidden="false" customHeight="false" outlineLevel="0" collapsed="false">
      <c r="A26" s="3" t="s">
        <v>60</v>
      </c>
      <c r="B26" s="10" t="n">
        <f aca="false">SUM(B23:B25)</f>
        <v>450534.080722189</v>
      </c>
      <c r="C26" s="10" t="n">
        <f aca="false">SUM(C23:C25)</f>
        <v>1888112.58328949</v>
      </c>
      <c r="D26" s="10" t="n">
        <f aca="false">SUM(D23:D25)</f>
        <v>2551051.2047642</v>
      </c>
    </row>
    <row r="28" customFormat="false" ht="15" hidden="false" customHeight="false" outlineLevel="0" collapsed="false">
      <c r="A28" s="4" t="s">
        <v>61</v>
      </c>
      <c r="B28" s="9" t="n">
        <v>1279595.97005808</v>
      </c>
      <c r="C28" s="9" t="n">
        <v>1761017.43513458</v>
      </c>
      <c r="D28" s="9" t="n">
        <v>2232567.11876148</v>
      </c>
    </row>
    <row r="29" customFormat="false" ht="15" hidden="false" customHeight="false" outlineLevel="0" collapsed="false">
      <c r="A29" s="4" t="s">
        <v>62</v>
      </c>
      <c r="B29" s="9" t="n">
        <v>69650.9052614858</v>
      </c>
      <c r="C29" s="9" t="n">
        <v>-428758.710064764</v>
      </c>
      <c r="D29" s="9" t="n">
        <v>-326366.436637329</v>
      </c>
    </row>
    <row r="30" customFormat="false" ht="15" hidden="false" customHeight="false" outlineLevel="0" collapsed="false">
      <c r="A30" s="4" t="s">
        <v>63</v>
      </c>
      <c r="B30" s="9" t="n">
        <v>13219.2070235972</v>
      </c>
      <c r="C30" s="9" t="n">
        <v>40519.1671118988</v>
      </c>
      <c r="D30" s="9" t="n">
        <v>87039.8865838003</v>
      </c>
    </row>
    <row r="31" customFormat="false" ht="15" hidden="false" customHeight="false" outlineLevel="0" collapsed="false">
      <c r="A31" s="3" t="s">
        <v>64</v>
      </c>
      <c r="B31" s="10" t="n">
        <f aca="false">SUM(B28:B30)</f>
        <v>1362466.08234317</v>
      </c>
      <c r="C31" s="10" t="n">
        <f aca="false">SUM(C28:C30)</f>
        <v>1372777.89218171</v>
      </c>
      <c r="D31" s="10" t="n">
        <f aca="false">SUM(D28:D30)</f>
        <v>1993240.56870795</v>
      </c>
    </row>
    <row r="33" customFormat="false" ht="15" hidden="false" customHeight="false" outlineLevel="0" collapsed="false">
      <c r="A33" s="4" t="s">
        <v>65</v>
      </c>
      <c r="B33" s="9" t="n">
        <v>-1219377.23</v>
      </c>
      <c r="C33" s="9" t="n">
        <v>-1245768.35</v>
      </c>
      <c r="D33" s="9" t="n">
        <v>-1295094.19</v>
      </c>
    </row>
    <row r="35" customFormat="false" ht="15" hidden="false" customHeight="false" outlineLevel="0" collapsed="false">
      <c r="A35" s="3" t="s">
        <v>66</v>
      </c>
      <c r="B35" s="10" t="n">
        <f aca="false">B26+B31+B33</f>
        <v>593622.933065356</v>
      </c>
      <c r="C35" s="10" t="n">
        <f aca="false">C26+C31+C33</f>
        <v>2015122.1254712</v>
      </c>
      <c r="D35" s="10" t="n">
        <f aca="false">D26+D31+D33</f>
        <v>3249197.58347215</v>
      </c>
    </row>
    <row r="37" customFormat="false" ht="15" hidden="false" customHeight="false" outlineLevel="0" collapsed="false">
      <c r="A37" s="3" t="s">
        <v>67</v>
      </c>
    </row>
    <row r="38" customFormat="false" ht="15" hidden="false" customHeight="false" outlineLevel="0" collapsed="false">
      <c r="A38" s="4" t="s">
        <v>68</v>
      </c>
      <c r="B38" s="9" t="n">
        <v>-25501.892466236</v>
      </c>
      <c r="C38" s="9" t="n">
        <v>108963.981818212</v>
      </c>
      <c r="D38" s="9" t="n">
        <v>58759.9508422071</v>
      </c>
    </row>
    <row r="39" customFormat="false" ht="15" hidden="false" customHeight="false" outlineLevel="0" collapsed="false">
      <c r="A39" s="4" t="s">
        <v>69</v>
      </c>
      <c r="B39" s="9" t="n">
        <v>24921.9159134745</v>
      </c>
      <c r="C39" s="9" t="n">
        <v>-62863.0466541849</v>
      </c>
      <c r="D39" s="9" t="n">
        <v>24989.2758783646</v>
      </c>
    </row>
    <row r="40" customFormat="false" ht="15" hidden="false" customHeight="false" outlineLevel="0" collapsed="false">
      <c r="A40" s="4" t="s">
        <v>42</v>
      </c>
      <c r="B40" s="9" t="n">
        <v>0</v>
      </c>
      <c r="C40" s="9" t="n">
        <v>-1208627.20000002</v>
      </c>
      <c r="D40" s="9" t="n">
        <v>801505.625712621</v>
      </c>
    </row>
    <row r="42" customFormat="false" ht="15" hidden="false" customHeight="false" outlineLevel="0" collapsed="false">
      <c r="A42" s="3" t="s">
        <v>70</v>
      </c>
      <c r="B42" s="10" t="n">
        <f aca="false">B35+SUM(B38:B40)</f>
        <v>593042.956512594</v>
      </c>
      <c r="C42" s="10" t="n">
        <f aca="false">C35+SUM(C38:C40)</f>
        <v>852595.860635215</v>
      </c>
      <c r="D42" s="10" t="n">
        <f aca="false">D35+SUM(D38:D40)</f>
        <v>4134452.43590534</v>
      </c>
    </row>
    <row r="43" customFormat="false" ht="15" hidden="false" customHeight="false" outlineLevel="0" collapsed="false">
      <c r="A43" s="2" t="s">
        <v>71</v>
      </c>
      <c r="B43" s="13" t="n">
        <f aca="false">B35-593622.933065355</f>
        <v>0</v>
      </c>
      <c r="C43" s="13" t="n">
        <f aca="false">C35-2015122.1254712</f>
        <v>0</v>
      </c>
      <c r="D43" s="13" t="n">
        <f aca="false">D35-3249197.58347216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14" t="s">
        <v>74</v>
      </c>
    </row>
    <row r="5" customFormat="false" ht="31.5" hidden="false" customHeight="true" outlineLevel="0" collapsed="false">
      <c r="A5" s="8" t="s">
        <v>75</v>
      </c>
      <c r="B5" s="8" t="s">
        <v>76</v>
      </c>
      <c r="C5" s="8" t="s">
        <v>77</v>
      </c>
      <c r="D5" s="8" t="s">
        <v>78</v>
      </c>
      <c r="E5" s="8" t="s">
        <v>79</v>
      </c>
    </row>
    <row r="6" customFormat="false" ht="15" hidden="false" customHeight="false" outlineLevel="0" collapsed="false">
      <c r="A6" s="4" t="s">
        <v>80</v>
      </c>
      <c r="B6" s="9" t="n">
        <v>0</v>
      </c>
      <c r="C6" s="9" t="n">
        <v>0</v>
      </c>
      <c r="D6" s="9" t="n">
        <v>0</v>
      </c>
      <c r="E6" s="12" t="n">
        <f aca="false">SUM(B6:D6)</f>
        <v>0</v>
      </c>
    </row>
    <row r="7" customFormat="false" ht="15" hidden="false" customHeight="false" outlineLevel="0" collapsed="false">
      <c r="A7" s="4" t="s">
        <v>57</v>
      </c>
      <c r="B7" s="9" t="n">
        <v>-1189126.71560683</v>
      </c>
      <c r="C7" s="9" t="n">
        <v>0</v>
      </c>
      <c r="D7" s="9" t="n">
        <v>0</v>
      </c>
      <c r="E7" s="12" t="n">
        <f aca="false">SUM(B7:D7)</f>
        <v>-1189126.71560683</v>
      </c>
    </row>
    <row r="8" customFormat="false" ht="15" hidden="false" customHeight="false" outlineLevel="0" collapsed="false">
      <c r="A8" s="4" t="s">
        <v>81</v>
      </c>
      <c r="B8" s="9" t="n">
        <v>0</v>
      </c>
      <c r="C8" s="9" t="n">
        <v>0</v>
      </c>
      <c r="D8" s="9" t="n">
        <v>1026865.53075475</v>
      </c>
      <c r="E8" s="12" t="n">
        <f aca="false">SUM(B8:D8)</f>
        <v>1026865.53075475</v>
      </c>
    </row>
    <row r="9" customFormat="false" ht="15" hidden="false" customHeight="false" outlineLevel="0" collapsed="false">
      <c r="A9" s="4" t="s">
        <v>82</v>
      </c>
      <c r="B9" s="9" t="n">
        <v>108886.096027621</v>
      </c>
      <c r="C9" s="9" t="n">
        <v>0</v>
      </c>
      <c r="D9" s="9" t="n">
        <v>0</v>
      </c>
      <c r="E9" s="12" t="n">
        <f aca="false">SUM(B9:D9)</f>
        <v>108886.096027621</v>
      </c>
    </row>
    <row r="10" customFormat="false" ht="15" hidden="false" customHeight="false" outlineLevel="0" collapsed="false">
      <c r="A10" s="4" t="s">
        <v>83</v>
      </c>
      <c r="B10" s="9" t="n">
        <v>0</v>
      </c>
      <c r="C10" s="9" t="n">
        <v>217843.786141394</v>
      </c>
      <c r="D10" s="9" t="n">
        <v>0</v>
      </c>
      <c r="E10" s="12" t="n">
        <f aca="false">SUM(B10:D10)</f>
        <v>217843.786141394</v>
      </c>
    </row>
    <row r="11" customFormat="false" ht="15" hidden="false" customHeight="false" outlineLevel="0" collapsed="false">
      <c r="A11" s="4" t="s">
        <v>84</v>
      </c>
      <c r="B11" s="9" t="n">
        <v>0</v>
      </c>
      <c r="C11" s="9" t="n">
        <v>0</v>
      </c>
      <c r="D11" s="9" t="n">
        <v>315.938203773758</v>
      </c>
      <c r="E11" s="12" t="n">
        <f aca="false">SUM(B11:D11)</f>
        <v>315.938203773758</v>
      </c>
    </row>
    <row r="12" customFormat="false" ht="15" hidden="false" customHeight="false" outlineLevel="0" collapsed="false">
      <c r="A12" s="4" t="s">
        <v>85</v>
      </c>
      <c r="B12" s="9" t="n">
        <v>0</v>
      </c>
      <c r="C12" s="9" t="n">
        <v>0</v>
      </c>
      <c r="D12" s="9" t="n">
        <v>0</v>
      </c>
      <c r="E12" s="12" t="n">
        <f aca="false">SUM(B12:D12)</f>
        <v>0</v>
      </c>
    </row>
    <row r="13" customFormat="false" ht="15" hidden="false" customHeight="false" outlineLevel="0" collapsed="false">
      <c r="A13" s="4" t="s">
        <v>86</v>
      </c>
      <c r="B13" s="9" t="n">
        <v>14758.5196798337</v>
      </c>
      <c r="C13" s="9" t="n">
        <v>71.1109964412362</v>
      </c>
      <c r="D13" s="9" t="n">
        <v>0</v>
      </c>
      <c r="E13" s="12" t="n">
        <f aca="false">SUM(B13:D13)</f>
        <v>14829.6306762749</v>
      </c>
    </row>
    <row r="14" customFormat="false" ht="15" hidden="false" customHeight="false" outlineLevel="0" collapsed="false">
      <c r="A14" s="4" t="s">
        <v>87</v>
      </c>
      <c r="B14" s="9" t="n">
        <v>3330340.94</v>
      </c>
      <c r="C14" s="9" t="n">
        <v>0</v>
      </c>
      <c r="D14" s="9" t="n">
        <v>0</v>
      </c>
      <c r="E14" s="12" t="n">
        <f aca="false">SUM(B14:D14)</f>
        <v>3330340.94</v>
      </c>
    </row>
    <row r="15" customFormat="false" ht="15" hidden="false" customHeight="false" outlineLevel="0" collapsed="false">
      <c r="A15" s="4" t="s">
        <v>88</v>
      </c>
      <c r="B15" s="9" t="n">
        <v>0</v>
      </c>
      <c r="C15" s="9" t="n">
        <v>0</v>
      </c>
      <c r="D15" s="9" t="n">
        <v>-963677.89</v>
      </c>
      <c r="E15" s="12" t="n">
        <f aca="false">SUM(B15:D15)</f>
        <v>-963677.89</v>
      </c>
    </row>
    <row r="16" customFormat="false" ht="15" hidden="false" customHeight="false" outlineLevel="0" collapsed="false">
      <c r="A16" s="4" t="s">
        <v>89</v>
      </c>
      <c r="B16" s="9" t="n">
        <v>-2120728.69</v>
      </c>
      <c r="C16" s="9" t="n">
        <v>0</v>
      </c>
      <c r="D16" s="9" t="n">
        <v>0</v>
      </c>
      <c r="E16" s="12" t="n">
        <f aca="false">SUM(B16:D16)</f>
        <v>-2120728.69</v>
      </c>
    </row>
    <row r="17" customFormat="false" ht="15" hidden="false" customHeight="false" outlineLevel="0" collapsed="false">
      <c r="A17" s="3" t="s">
        <v>90</v>
      </c>
      <c r="B17" s="10" t="n">
        <f aca="false">SUM(B6:B16)</f>
        <v>144130.150100622</v>
      </c>
      <c r="C17" s="10" t="n">
        <f aca="false">SUM(C6:C16)</f>
        <v>217914.897137835</v>
      </c>
      <c r="D17" s="10" t="n">
        <f aca="false">SUM(D6:D16)</f>
        <v>63503.5789585256</v>
      </c>
      <c r="E17" s="10" t="n">
        <f aca="false">SUM(E6:E16)</f>
        <v>425548.626196982</v>
      </c>
    </row>
    <row r="18" customFormat="false" ht="15" hidden="false" customHeight="false" outlineLevel="0" collapsed="false">
      <c r="A18" s="2" t="s">
        <v>91</v>
      </c>
      <c r="B18" s="13" t="n">
        <f aca="false">B17-144130.150100621</f>
        <v>5.23868948221207E-010</v>
      </c>
      <c r="C18" s="13" t="n">
        <f aca="false">C17-217914.897137835</f>
        <v>0</v>
      </c>
      <c r="D18" s="13" t="n">
        <f aca="false">D17-63503.5789585253</f>
        <v>3.41970007866621E-010</v>
      </c>
    </row>
    <row r="20" customFormat="false" ht="31.5" hidden="false" customHeight="true" outlineLevel="0" collapsed="false">
      <c r="A20" s="8" t="s">
        <v>92</v>
      </c>
      <c r="B20" s="8" t="s">
        <v>76</v>
      </c>
      <c r="C20" s="8" t="s">
        <v>77</v>
      </c>
      <c r="D20" s="8" t="s">
        <v>78</v>
      </c>
      <c r="E20" s="8" t="s">
        <v>79</v>
      </c>
    </row>
    <row r="21" customFormat="false" ht="15" hidden="false" customHeight="false" outlineLevel="0" collapsed="false">
      <c r="A21" s="4" t="s">
        <v>80</v>
      </c>
      <c r="B21" s="11" t="n">
        <f aca="false">B17</f>
        <v>144130.150100622</v>
      </c>
      <c r="C21" s="11" t="n">
        <f aca="false">C17</f>
        <v>217914.897137835</v>
      </c>
      <c r="D21" s="11" t="n">
        <f aca="false">D17</f>
        <v>63503.5789585256</v>
      </c>
      <c r="E21" s="12" t="n">
        <f aca="false">SUM(B21:D21)</f>
        <v>425548.626196983</v>
      </c>
    </row>
    <row r="22" customFormat="false" ht="15" hidden="false" customHeight="false" outlineLevel="0" collapsed="false">
      <c r="A22" s="4" t="s">
        <v>57</v>
      </c>
      <c r="B22" s="9" t="n">
        <v>-3665183.00393076</v>
      </c>
      <c r="C22" s="9" t="n">
        <v>0</v>
      </c>
      <c r="D22" s="9" t="n">
        <v>0</v>
      </c>
      <c r="E22" s="12" t="n">
        <f aca="false">SUM(B22:D22)</f>
        <v>-3665183.00393076</v>
      </c>
    </row>
    <row r="23" customFormat="false" ht="15" hidden="false" customHeight="false" outlineLevel="0" collapsed="false">
      <c r="A23" s="4" t="s">
        <v>81</v>
      </c>
      <c r="B23" s="9" t="n">
        <v>0</v>
      </c>
      <c r="C23" s="9" t="n">
        <v>0</v>
      </c>
      <c r="D23" s="9" t="n">
        <v>1961017.56235217</v>
      </c>
      <c r="E23" s="12" t="n">
        <f aca="false">SUM(B23:D23)</f>
        <v>1961017.56235217</v>
      </c>
    </row>
    <row r="24" customFormat="false" ht="15" hidden="false" customHeight="false" outlineLevel="0" collapsed="false">
      <c r="A24" s="4" t="s">
        <v>82</v>
      </c>
      <c r="B24" s="9" t="n">
        <v>300495.827042606</v>
      </c>
      <c r="C24" s="9" t="n">
        <v>0</v>
      </c>
      <c r="D24" s="9" t="n">
        <v>0</v>
      </c>
      <c r="E24" s="12" t="n">
        <f aca="false">SUM(B24:D24)</f>
        <v>300495.827042606</v>
      </c>
    </row>
    <row r="25" customFormat="false" ht="15" hidden="false" customHeight="false" outlineLevel="0" collapsed="false">
      <c r="A25" s="4" t="s">
        <v>83</v>
      </c>
      <c r="B25" s="9" t="n">
        <v>0</v>
      </c>
      <c r="C25" s="9" t="n">
        <v>645672.345040134</v>
      </c>
      <c r="D25" s="9" t="n">
        <v>0</v>
      </c>
      <c r="E25" s="12" t="n">
        <f aca="false">SUM(B25:D25)</f>
        <v>645672.345040134</v>
      </c>
    </row>
    <row r="26" customFormat="false" ht="15" hidden="false" customHeight="false" outlineLevel="0" collapsed="false">
      <c r="A26" s="4" t="s">
        <v>84</v>
      </c>
      <c r="B26" s="9" t="n">
        <v>0</v>
      </c>
      <c r="C26" s="9" t="n">
        <v>0</v>
      </c>
      <c r="D26" s="9" t="n">
        <v>-61568.3027467644</v>
      </c>
      <c r="E26" s="12" t="n">
        <f aca="false">SUM(B26:D26)</f>
        <v>-61568.3027467644</v>
      </c>
    </row>
    <row r="27" customFormat="false" ht="15" hidden="false" customHeight="false" outlineLevel="0" collapsed="false">
      <c r="A27" s="4" t="s">
        <v>85</v>
      </c>
      <c r="B27" s="9" t="n">
        <v>0</v>
      </c>
      <c r="C27" s="9" t="n">
        <v>0</v>
      </c>
      <c r="D27" s="9" t="n">
        <v>0</v>
      </c>
      <c r="E27" s="12" t="n">
        <f aca="false">SUM(B27:D27)</f>
        <v>0</v>
      </c>
    </row>
    <row r="28" customFormat="false" ht="15" hidden="false" customHeight="false" outlineLevel="0" collapsed="false">
      <c r="A28" s="4" t="s">
        <v>86</v>
      </c>
      <c r="B28" s="9" t="n">
        <v>-125353.793186076</v>
      </c>
      <c r="C28" s="9" t="n">
        <v>519.559351124617</v>
      </c>
      <c r="D28" s="9" t="n">
        <v>0</v>
      </c>
      <c r="E28" s="12" t="n">
        <f aca="false">SUM(B28:D28)</f>
        <v>-124834.233834952</v>
      </c>
    </row>
    <row r="29" customFormat="false" ht="15" hidden="false" customHeight="false" outlineLevel="0" collapsed="false">
      <c r="A29" s="4" t="s">
        <v>87</v>
      </c>
      <c r="B29" s="9" t="n">
        <v>6304236.54</v>
      </c>
      <c r="C29" s="9" t="n">
        <v>0</v>
      </c>
      <c r="D29" s="9" t="n">
        <v>0</v>
      </c>
      <c r="E29" s="12" t="n">
        <f aca="false">SUM(B29:D29)</f>
        <v>6304236.54</v>
      </c>
    </row>
    <row r="30" customFormat="false" ht="15" hidden="false" customHeight="false" outlineLevel="0" collapsed="false">
      <c r="A30" s="4" t="s">
        <v>88</v>
      </c>
      <c r="B30" s="9" t="n">
        <v>0</v>
      </c>
      <c r="C30" s="9" t="n">
        <v>0</v>
      </c>
      <c r="D30" s="9" t="n">
        <v>-1573962.32</v>
      </c>
      <c r="E30" s="12" t="n">
        <f aca="false">SUM(B30:D30)</f>
        <v>-1573962.32</v>
      </c>
    </row>
    <row r="31" customFormat="false" ht="15" hidden="false" customHeight="false" outlineLevel="0" collapsed="false">
      <c r="A31" s="4" t="s">
        <v>89</v>
      </c>
      <c r="B31" s="9" t="n">
        <v>-2109882.63</v>
      </c>
      <c r="C31" s="9" t="n">
        <v>0</v>
      </c>
      <c r="D31" s="9" t="n">
        <v>0</v>
      </c>
      <c r="E31" s="12" t="n">
        <f aca="false">SUM(B31:D31)</f>
        <v>-2109882.63</v>
      </c>
    </row>
    <row r="32" customFormat="false" ht="15" hidden="false" customHeight="false" outlineLevel="0" collapsed="false">
      <c r="A32" s="3" t="s">
        <v>90</v>
      </c>
      <c r="B32" s="10" t="n">
        <f aca="false">SUM(B21:B31)</f>
        <v>848443.090026391</v>
      </c>
      <c r="C32" s="10" t="n">
        <f aca="false">SUM(C21:C31)</f>
        <v>864106.801529094</v>
      </c>
      <c r="D32" s="10" t="n">
        <f aca="false">SUM(D21:D31)</f>
        <v>388990.518563933</v>
      </c>
      <c r="E32" s="10" t="n">
        <f aca="false">SUM(E21:E31)</f>
        <v>2101540.41011942</v>
      </c>
    </row>
    <row r="33" customFormat="false" ht="15" hidden="false" customHeight="false" outlineLevel="0" collapsed="false">
      <c r="A33" s="2" t="s">
        <v>91</v>
      </c>
      <c r="B33" s="13" t="n">
        <f aca="false">B32-848443.090026392</f>
        <v>0</v>
      </c>
      <c r="C33" s="13" t="n">
        <f aca="false">C32-864106.801529094</f>
        <v>0</v>
      </c>
      <c r="D33" s="13" t="n">
        <f aca="false">D32-388990.518563933</f>
        <v>0</v>
      </c>
    </row>
    <row r="35" customFormat="false" ht="31.5" hidden="false" customHeight="true" outlineLevel="0" collapsed="false">
      <c r="A35" s="8" t="s">
        <v>93</v>
      </c>
      <c r="B35" s="8" t="s">
        <v>76</v>
      </c>
      <c r="C35" s="8" t="s">
        <v>77</v>
      </c>
      <c r="D35" s="8" t="s">
        <v>78</v>
      </c>
      <c r="E35" s="8" t="s">
        <v>79</v>
      </c>
    </row>
    <row r="36" customFormat="false" ht="15" hidden="false" customHeight="false" outlineLevel="0" collapsed="false">
      <c r="A36" s="4" t="s">
        <v>80</v>
      </c>
      <c r="B36" s="11" t="n">
        <f aca="false">B32</f>
        <v>848443.090026391</v>
      </c>
      <c r="C36" s="11" t="n">
        <f aca="false">C32</f>
        <v>864106.801529094</v>
      </c>
      <c r="D36" s="11" t="n">
        <f aca="false">D32</f>
        <v>388990.518563933</v>
      </c>
      <c r="E36" s="12" t="n">
        <f aca="false">SUM(B36:D36)</f>
        <v>2101540.41011942</v>
      </c>
    </row>
    <row r="37" customFormat="false" ht="15" hidden="false" customHeight="false" outlineLevel="0" collapsed="false">
      <c r="A37" s="4" t="s">
        <v>57</v>
      </c>
      <c r="B37" s="9" t="n">
        <v>-6126829.51517125</v>
      </c>
      <c r="C37" s="9" t="n">
        <v>0</v>
      </c>
      <c r="D37" s="9" t="n">
        <v>0</v>
      </c>
      <c r="E37" s="12" t="n">
        <f aca="false">SUM(B37:D37)</f>
        <v>-6126829.51517125</v>
      </c>
    </row>
    <row r="38" customFormat="false" ht="15" hidden="false" customHeight="false" outlineLevel="0" collapsed="false">
      <c r="A38" s="4" t="s">
        <v>81</v>
      </c>
      <c r="B38" s="9" t="n">
        <v>0</v>
      </c>
      <c r="C38" s="9" t="n">
        <v>0</v>
      </c>
      <c r="D38" s="9" t="n">
        <v>4296057.97352235</v>
      </c>
      <c r="E38" s="12" t="n">
        <f aca="false">SUM(B38:D38)</f>
        <v>4296057.97352235</v>
      </c>
    </row>
    <row r="39" customFormat="false" ht="15" hidden="false" customHeight="false" outlineLevel="0" collapsed="false">
      <c r="A39" s="4" t="s">
        <v>82</v>
      </c>
      <c r="B39" s="9" t="n">
        <v>490841.30191083</v>
      </c>
      <c r="C39" s="9" t="n">
        <v>0</v>
      </c>
      <c r="D39" s="9" t="n">
        <v>0</v>
      </c>
      <c r="E39" s="12" t="n">
        <f aca="false">SUM(B39:D39)</f>
        <v>490841.30191083</v>
      </c>
    </row>
    <row r="40" customFormat="false" ht="15" hidden="false" customHeight="false" outlineLevel="0" collapsed="false">
      <c r="A40" s="4" t="s">
        <v>83</v>
      </c>
      <c r="B40" s="9" t="n">
        <v>0</v>
      </c>
      <c r="C40" s="9" t="n">
        <v>-644767.294163298</v>
      </c>
      <c r="D40" s="9" t="n">
        <v>0</v>
      </c>
      <c r="E40" s="12" t="n">
        <f aca="false">SUM(B40:D40)</f>
        <v>-644767.294163298</v>
      </c>
    </row>
    <row r="41" customFormat="false" ht="15" hidden="false" customHeight="false" outlineLevel="0" collapsed="false">
      <c r="A41" s="4" t="s">
        <v>84</v>
      </c>
      <c r="B41" s="9" t="n">
        <v>0</v>
      </c>
      <c r="C41" s="9" t="n">
        <v>0</v>
      </c>
      <c r="D41" s="9" t="n">
        <v>368389.414603679</v>
      </c>
      <c r="E41" s="12" t="n">
        <f aca="false">SUM(B41:D41)</f>
        <v>368389.414603679</v>
      </c>
    </row>
    <row r="42" customFormat="false" ht="15" hidden="false" customHeight="false" outlineLevel="0" collapsed="false">
      <c r="A42" s="4" t="s">
        <v>85</v>
      </c>
      <c r="B42" s="9" t="n">
        <v>0</v>
      </c>
      <c r="C42" s="9" t="n">
        <v>0</v>
      </c>
      <c r="D42" s="9" t="n">
        <v>0</v>
      </c>
      <c r="E42" s="12" t="n">
        <f aca="false">SUM(B42:D42)</f>
        <v>0</v>
      </c>
    </row>
    <row r="43" customFormat="false" ht="15" hidden="false" customHeight="false" outlineLevel="0" collapsed="false">
      <c r="A43" s="4" t="s">
        <v>86</v>
      </c>
      <c r="B43" s="9" t="n">
        <v>-27468.1045234961</v>
      </c>
      <c r="C43" s="9" t="n">
        <v>3213.5777219465</v>
      </c>
      <c r="D43" s="9" t="n">
        <v>0</v>
      </c>
      <c r="E43" s="12" t="n">
        <f aca="false">SUM(B43:D43)</f>
        <v>-24254.5268015496</v>
      </c>
    </row>
    <row r="44" customFormat="false" ht="15" hidden="false" customHeight="false" outlineLevel="0" collapsed="false">
      <c r="A44" s="4" t="s">
        <v>87</v>
      </c>
      <c r="B44" s="9" t="n">
        <v>9418139.31</v>
      </c>
      <c r="C44" s="9" t="n">
        <v>0</v>
      </c>
      <c r="D44" s="9" t="n">
        <v>0</v>
      </c>
      <c r="E44" s="12" t="n">
        <f aca="false">SUM(B44:D44)</f>
        <v>9418139.31</v>
      </c>
    </row>
    <row r="45" customFormat="false" ht="15" hidden="false" customHeight="false" outlineLevel="0" collapsed="false">
      <c r="A45" s="4" t="s">
        <v>88</v>
      </c>
      <c r="B45" s="9" t="n">
        <v>0</v>
      </c>
      <c r="C45" s="9" t="n">
        <v>0</v>
      </c>
      <c r="D45" s="9" t="n">
        <v>-4702294.29</v>
      </c>
      <c r="E45" s="12" t="n">
        <f aca="false">SUM(B45:D45)</f>
        <v>-4702294.29</v>
      </c>
    </row>
    <row r="46" customFormat="false" ht="15" hidden="false" customHeight="false" outlineLevel="0" collapsed="false">
      <c r="A46" s="4" t="s">
        <v>89</v>
      </c>
      <c r="B46" s="9" t="n">
        <v>-2251767.98</v>
      </c>
      <c r="C46" s="9" t="n">
        <v>0</v>
      </c>
      <c r="D46" s="9" t="n">
        <v>0</v>
      </c>
      <c r="E46" s="12" t="n">
        <f aca="false">SUM(B46:D46)</f>
        <v>-2251767.98</v>
      </c>
    </row>
    <row r="47" customFormat="false" ht="15" hidden="false" customHeight="false" outlineLevel="0" collapsed="false">
      <c r="A47" s="3" t="s">
        <v>90</v>
      </c>
      <c r="B47" s="10" t="n">
        <f aca="false">SUM(B36:B46)</f>
        <v>2351358.10224247</v>
      </c>
      <c r="C47" s="10" t="n">
        <f aca="false">SUM(C36:C46)</f>
        <v>222553.085087743</v>
      </c>
      <c r="D47" s="10" t="n">
        <f aca="false">SUM(D36:D46)</f>
        <v>351143.616689958</v>
      </c>
      <c r="E47" s="10" t="n">
        <f aca="false">SUM(E36:E46)</f>
        <v>2925054.80402017</v>
      </c>
    </row>
    <row r="48" customFormat="false" ht="15" hidden="false" customHeight="false" outlineLevel="0" collapsed="false">
      <c r="A48" s="2" t="s">
        <v>91</v>
      </c>
      <c r="B48" s="13" t="n">
        <f aca="false">B47-2351358.10224247</f>
        <v>0</v>
      </c>
      <c r="C48" s="13" t="n">
        <f aca="false">C47-222553.085087743</f>
        <v>0</v>
      </c>
      <c r="D48" s="13" t="n">
        <f aca="false">D47-351143.616689957</f>
        <v>0</v>
      </c>
    </row>
    <row r="51" customFormat="false" ht="15" hidden="false" customHeight="false" outlineLevel="0" collapsed="false">
      <c r="A51" s="14" t="s">
        <v>94</v>
      </c>
    </row>
    <row r="52" customFormat="false" ht="31.5" hidden="false" customHeight="true" outlineLevel="0" collapsed="false">
      <c r="A52" s="8" t="s">
        <v>95</v>
      </c>
      <c r="B52" s="8" t="s">
        <v>76</v>
      </c>
      <c r="C52" s="8" t="s">
        <v>77</v>
      </c>
      <c r="D52" s="8" t="s">
        <v>78</v>
      </c>
      <c r="E52" s="8" t="s">
        <v>79</v>
      </c>
    </row>
    <row r="53" customFormat="false" ht="15" hidden="false" customHeight="false" outlineLevel="0" collapsed="false">
      <c r="A53" s="4" t="s">
        <v>80</v>
      </c>
      <c r="B53" s="9" t="n">
        <v>0</v>
      </c>
      <c r="C53" s="9" t="n">
        <v>0</v>
      </c>
      <c r="D53" s="9" t="n">
        <v>0</v>
      </c>
      <c r="E53" s="12" t="n">
        <f aca="false">SUM(B53:D53)</f>
        <v>0</v>
      </c>
    </row>
    <row r="54" customFormat="false" ht="15" hidden="false" customHeight="false" outlineLevel="0" collapsed="false">
      <c r="A54" s="4" t="s">
        <v>57</v>
      </c>
      <c r="B54" s="9" t="n">
        <v>-345056.336572171</v>
      </c>
      <c r="C54" s="9" t="n">
        <v>0</v>
      </c>
      <c r="D54" s="9" t="n">
        <v>0</v>
      </c>
      <c r="E54" s="12" t="n">
        <f aca="false">SUM(B54:D54)</f>
        <v>-345056.336572171</v>
      </c>
    </row>
    <row r="55" customFormat="false" ht="15" hidden="false" customHeight="false" outlineLevel="0" collapsed="false">
      <c r="A55" s="4" t="s">
        <v>81</v>
      </c>
      <c r="B55" s="9" t="n">
        <v>0</v>
      </c>
      <c r="C55" s="9" t="n">
        <v>0</v>
      </c>
      <c r="D55" s="9" t="n">
        <v>169577.538331067</v>
      </c>
      <c r="E55" s="12" t="n">
        <f aca="false">SUM(B55:D55)</f>
        <v>169577.538331067</v>
      </c>
    </row>
    <row r="56" customFormat="false" ht="15" hidden="false" customHeight="false" outlineLevel="0" collapsed="false">
      <c r="A56" s="4" t="s">
        <v>82</v>
      </c>
      <c r="B56" s="9" t="n">
        <v>150431.17216907</v>
      </c>
      <c r="C56" s="9" t="n">
        <v>0</v>
      </c>
      <c r="D56" s="9" t="n">
        <v>0</v>
      </c>
      <c r="E56" s="12" t="n">
        <f aca="false">SUM(B56:D56)</f>
        <v>150431.17216907</v>
      </c>
    </row>
    <row r="57" customFormat="false" ht="15" hidden="false" customHeight="false" outlineLevel="0" collapsed="false">
      <c r="A57" s="4" t="s">
        <v>83</v>
      </c>
      <c r="B57" s="9" t="n">
        <v>0</v>
      </c>
      <c r="C57" s="9" t="n">
        <v>0</v>
      </c>
      <c r="D57" s="9" t="n">
        <v>0</v>
      </c>
      <c r="E57" s="12" t="n">
        <f aca="false">SUM(B57:D57)</f>
        <v>0</v>
      </c>
    </row>
    <row r="58" customFormat="false" ht="15" hidden="false" customHeight="false" outlineLevel="0" collapsed="false">
      <c r="A58" s="4" t="s">
        <v>84</v>
      </c>
      <c r="B58" s="9" t="n">
        <v>0</v>
      </c>
      <c r="C58" s="9" t="n">
        <v>0</v>
      </c>
      <c r="D58" s="9" t="n">
        <v>22.404841655333</v>
      </c>
      <c r="E58" s="12" t="n">
        <f aca="false">SUM(B58:D58)</f>
        <v>22.404841655333</v>
      </c>
    </row>
    <row r="59" customFormat="false" ht="15" hidden="false" customHeight="false" outlineLevel="0" collapsed="false">
      <c r="A59" s="4" t="s">
        <v>85</v>
      </c>
      <c r="B59" s="9" t="n">
        <v>-200203.99</v>
      </c>
      <c r="C59" s="9" t="n">
        <v>0</v>
      </c>
      <c r="D59" s="9" t="n">
        <v>200203.99</v>
      </c>
      <c r="E59" s="12" t="n">
        <f aca="false">SUM(B59:D59)</f>
        <v>0</v>
      </c>
    </row>
    <row r="60" customFormat="false" ht="15" hidden="false" customHeight="false" outlineLevel="0" collapsed="false">
      <c r="A60" s="4" t="s">
        <v>86</v>
      </c>
      <c r="B60" s="9" t="n">
        <v>-58978.6434715248</v>
      </c>
      <c r="C60" s="9" t="n">
        <v>0</v>
      </c>
      <c r="D60" s="9" t="n">
        <v>0</v>
      </c>
      <c r="E60" s="12" t="n">
        <f aca="false">SUM(B60:D60)</f>
        <v>-58978.6434715248</v>
      </c>
    </row>
    <row r="61" customFormat="false" ht="15" hidden="false" customHeight="false" outlineLevel="0" collapsed="false">
      <c r="A61" s="4" t="s">
        <v>87</v>
      </c>
      <c r="B61" s="9" t="n">
        <v>4518410</v>
      </c>
      <c r="C61" s="9" t="n">
        <v>0</v>
      </c>
      <c r="D61" s="9" t="n">
        <v>0</v>
      </c>
      <c r="E61" s="12" t="n">
        <f aca="false">SUM(B61:D61)</f>
        <v>4518410</v>
      </c>
    </row>
    <row r="62" customFormat="false" ht="15" hidden="false" customHeight="false" outlineLevel="0" collapsed="false">
      <c r="A62" s="4" t="s">
        <v>88</v>
      </c>
      <c r="B62" s="9" t="n">
        <v>0</v>
      </c>
      <c r="C62" s="9" t="n">
        <v>0</v>
      </c>
      <c r="D62" s="9" t="n">
        <v>-365300.56</v>
      </c>
      <c r="E62" s="12" t="n">
        <f aca="false">SUM(B62:D62)</f>
        <v>-365300.56</v>
      </c>
    </row>
    <row r="63" customFormat="false" ht="15" hidden="false" customHeight="false" outlineLevel="0" collapsed="false">
      <c r="A63" s="4" t="s">
        <v>89</v>
      </c>
      <c r="B63" s="9" t="n">
        <v>-1987549.58</v>
      </c>
      <c r="C63" s="9" t="n">
        <v>0</v>
      </c>
      <c r="D63" s="9" t="n">
        <v>0</v>
      </c>
      <c r="E63" s="12" t="n">
        <f aca="false">SUM(B63:D63)</f>
        <v>-1987549.58</v>
      </c>
    </row>
    <row r="64" customFormat="false" ht="15" hidden="false" customHeight="false" outlineLevel="0" collapsed="false">
      <c r="A64" s="3" t="s">
        <v>90</v>
      </c>
      <c r="B64" s="10" t="n">
        <f aca="false">SUM(B53:B63)</f>
        <v>2077052.62212537</v>
      </c>
      <c r="C64" s="10" t="n">
        <f aca="false">SUM(C53:C63)</f>
        <v>0</v>
      </c>
      <c r="D64" s="10" t="n">
        <f aca="false">SUM(D53:D63)</f>
        <v>4503.37317272182</v>
      </c>
      <c r="E64" s="10" t="n">
        <f aca="false">SUM(E53:E63)</f>
        <v>2081555.9952981</v>
      </c>
    </row>
    <row r="65" customFormat="false" ht="15" hidden="false" customHeight="false" outlineLevel="0" collapsed="false">
      <c r="A65" s="2" t="s">
        <v>91</v>
      </c>
      <c r="B65" s="13" t="n">
        <f aca="false">B64-2077052.62212537</f>
        <v>0</v>
      </c>
      <c r="C65" s="13" t="n">
        <f aca="false">C64-0</f>
        <v>0</v>
      </c>
      <c r="D65" s="13" t="n">
        <f aca="false">D64-4503.37317272192</f>
        <v>-1.06410880107433E-010</v>
      </c>
    </row>
    <row r="67" customFormat="false" ht="31.5" hidden="false" customHeight="true" outlineLevel="0" collapsed="false">
      <c r="A67" s="8" t="s">
        <v>96</v>
      </c>
      <c r="B67" s="8" t="s">
        <v>76</v>
      </c>
      <c r="C67" s="8" t="s">
        <v>77</v>
      </c>
      <c r="D67" s="8" t="s">
        <v>78</v>
      </c>
      <c r="E67" s="8" t="s">
        <v>79</v>
      </c>
    </row>
    <row r="68" customFormat="false" ht="15" hidden="false" customHeight="false" outlineLevel="0" collapsed="false">
      <c r="A68" s="4" t="s">
        <v>80</v>
      </c>
      <c r="B68" s="11" t="n">
        <f aca="false">B64</f>
        <v>2077052.62212537</v>
      </c>
      <c r="C68" s="11" t="n">
        <f aca="false">C64</f>
        <v>0</v>
      </c>
      <c r="D68" s="11" t="n">
        <f aca="false">D64</f>
        <v>4503.37317272182</v>
      </c>
      <c r="E68" s="12" t="n">
        <f aca="false">SUM(B68:D68)</f>
        <v>2081555.9952981</v>
      </c>
    </row>
    <row r="69" customFormat="false" ht="15" hidden="false" customHeight="false" outlineLevel="0" collapsed="false">
      <c r="A69" s="4" t="s">
        <v>57</v>
      </c>
      <c r="B69" s="9" t="n">
        <v>-1059046.03855988</v>
      </c>
      <c r="C69" s="9" t="n">
        <v>0</v>
      </c>
      <c r="D69" s="9" t="n">
        <v>0</v>
      </c>
      <c r="E69" s="12" t="n">
        <f aca="false">SUM(B69:D69)</f>
        <v>-1059046.03855988</v>
      </c>
    </row>
    <row r="70" customFormat="false" ht="15" hidden="false" customHeight="false" outlineLevel="0" collapsed="false">
      <c r="A70" s="4" t="s">
        <v>81</v>
      </c>
      <c r="B70" s="9" t="n">
        <v>0</v>
      </c>
      <c r="C70" s="9" t="n">
        <v>0</v>
      </c>
      <c r="D70" s="9" t="n">
        <v>465010.952906049</v>
      </c>
      <c r="E70" s="12" t="n">
        <f aca="false">SUM(B70:D70)</f>
        <v>465010.952906049</v>
      </c>
    </row>
    <row r="71" customFormat="false" ht="15" hidden="false" customHeight="false" outlineLevel="0" collapsed="false">
      <c r="A71" s="4" t="s">
        <v>82</v>
      </c>
      <c r="B71" s="9" t="n">
        <v>297391.418908515</v>
      </c>
      <c r="C71" s="9" t="n">
        <v>0</v>
      </c>
      <c r="D71" s="9" t="n">
        <v>0</v>
      </c>
      <c r="E71" s="12" t="n">
        <f aca="false">SUM(B71:D71)</f>
        <v>297391.418908515</v>
      </c>
    </row>
    <row r="72" customFormat="false" ht="15" hidden="false" customHeight="false" outlineLevel="0" collapsed="false">
      <c r="A72" s="4" t="s">
        <v>83</v>
      </c>
      <c r="B72" s="9" t="n">
        <v>0</v>
      </c>
      <c r="C72" s="9" t="n">
        <v>0</v>
      </c>
      <c r="D72" s="9" t="n">
        <v>0</v>
      </c>
      <c r="E72" s="12" t="n">
        <f aca="false">SUM(B72:D72)</f>
        <v>0</v>
      </c>
    </row>
    <row r="73" customFormat="false" ht="15" hidden="false" customHeight="false" outlineLevel="0" collapsed="false">
      <c r="A73" s="4" t="s">
        <v>84</v>
      </c>
      <c r="B73" s="9" t="n">
        <v>0</v>
      </c>
      <c r="C73" s="9" t="n">
        <v>0</v>
      </c>
      <c r="D73" s="9" t="n">
        <v>-4458.09065819168</v>
      </c>
      <c r="E73" s="12" t="n">
        <f aca="false">SUM(B73:D73)</f>
        <v>-4458.09065819168</v>
      </c>
    </row>
    <row r="74" customFormat="false" ht="15" hidden="false" customHeight="false" outlineLevel="0" collapsed="false">
      <c r="A74" s="4" t="s">
        <v>85</v>
      </c>
      <c r="B74" s="9" t="n">
        <v>-573578.44</v>
      </c>
      <c r="C74" s="9" t="n">
        <v>0</v>
      </c>
      <c r="D74" s="9" t="n">
        <v>573578.44</v>
      </c>
      <c r="E74" s="12" t="n">
        <f aca="false">SUM(B74:D74)</f>
        <v>0</v>
      </c>
    </row>
    <row r="75" customFormat="false" ht="15" hidden="false" customHeight="false" outlineLevel="0" collapsed="false">
      <c r="A75" s="4" t="s">
        <v>86</v>
      </c>
      <c r="B75" s="9" t="n">
        <v>364240.994207302</v>
      </c>
      <c r="C75" s="9" t="n">
        <v>0</v>
      </c>
      <c r="D75" s="9" t="n">
        <v>0</v>
      </c>
      <c r="E75" s="12" t="n">
        <f aca="false">SUM(B75:D75)</f>
        <v>364240.994207302</v>
      </c>
    </row>
    <row r="76" customFormat="false" ht="15" hidden="false" customHeight="false" outlineLevel="0" collapsed="false">
      <c r="A76" s="4" t="s">
        <v>87</v>
      </c>
      <c r="B76" s="9" t="n">
        <v>8583370</v>
      </c>
      <c r="C76" s="9" t="n">
        <v>0</v>
      </c>
      <c r="D76" s="9" t="n">
        <v>0</v>
      </c>
      <c r="E76" s="12" t="n">
        <f aca="false">SUM(B76:D76)</f>
        <v>8583370</v>
      </c>
    </row>
    <row r="77" customFormat="false" ht="15" hidden="false" customHeight="false" outlineLevel="0" collapsed="false">
      <c r="A77" s="4" t="s">
        <v>88</v>
      </c>
      <c r="B77" s="9" t="n">
        <v>0</v>
      </c>
      <c r="C77" s="9" t="n">
        <v>0</v>
      </c>
      <c r="D77" s="9" t="n">
        <v>-1029532.89</v>
      </c>
      <c r="E77" s="12" t="n">
        <f aca="false">SUM(B77:D77)</f>
        <v>-1029532.89</v>
      </c>
    </row>
    <row r="78" customFormat="false" ht="15" hidden="false" customHeight="false" outlineLevel="0" collapsed="false">
      <c r="A78" s="4" t="s">
        <v>89</v>
      </c>
      <c r="B78" s="9" t="n">
        <v>-1976308.81</v>
      </c>
      <c r="C78" s="9" t="n">
        <v>0</v>
      </c>
      <c r="D78" s="9" t="n">
        <v>0</v>
      </c>
      <c r="E78" s="12" t="n">
        <f aca="false">SUM(B78:D78)</f>
        <v>-1976308.81</v>
      </c>
    </row>
    <row r="79" customFormat="false" ht="15" hidden="false" customHeight="false" outlineLevel="0" collapsed="false">
      <c r="A79" s="3" t="s">
        <v>90</v>
      </c>
      <c r="B79" s="10" t="n">
        <f aca="false">SUM(B68:B78)</f>
        <v>7713121.74668131</v>
      </c>
      <c r="C79" s="10" t="n">
        <f aca="false">SUM(C68:C78)</f>
        <v>0</v>
      </c>
      <c r="D79" s="10" t="n">
        <f aca="false">SUM(D68:D78)</f>
        <v>9101.78542057945</v>
      </c>
      <c r="E79" s="10" t="n">
        <f aca="false">SUM(E68:E78)</f>
        <v>7722223.53210188</v>
      </c>
    </row>
    <row r="80" customFormat="false" ht="15" hidden="false" customHeight="false" outlineLevel="0" collapsed="false">
      <c r="A80" s="2" t="s">
        <v>91</v>
      </c>
      <c r="B80" s="13" t="n">
        <f aca="false">B79-7713121.74668131</f>
        <v>0</v>
      </c>
      <c r="C80" s="13" t="n">
        <f aca="false">C79-0</f>
        <v>0</v>
      </c>
      <c r="D80" s="13" t="n">
        <f aca="false">D79-9101.78542057975</f>
        <v>-3.03771230392158E-010</v>
      </c>
    </row>
    <row r="82" customFormat="false" ht="31.5" hidden="false" customHeight="true" outlineLevel="0" collapsed="false">
      <c r="A82" s="8" t="s">
        <v>97</v>
      </c>
      <c r="B82" s="8" t="s">
        <v>76</v>
      </c>
      <c r="C82" s="8" t="s">
        <v>77</v>
      </c>
      <c r="D82" s="8" t="s">
        <v>78</v>
      </c>
      <c r="E82" s="8" t="s">
        <v>79</v>
      </c>
    </row>
    <row r="83" customFormat="false" ht="15" hidden="false" customHeight="false" outlineLevel="0" collapsed="false">
      <c r="A83" s="4" t="s">
        <v>80</v>
      </c>
      <c r="B83" s="11" t="n">
        <f aca="false">B79</f>
        <v>7713121.74668131</v>
      </c>
      <c r="C83" s="11" t="n">
        <f aca="false">C79</f>
        <v>0</v>
      </c>
      <c r="D83" s="11" t="n">
        <f aca="false">D79</f>
        <v>9101.78542057945</v>
      </c>
      <c r="E83" s="12" t="n">
        <f aca="false">SUM(B83:D83)</f>
        <v>7722223.53210189</v>
      </c>
    </row>
    <row r="84" customFormat="false" ht="15" hidden="false" customHeight="false" outlineLevel="0" collapsed="false">
      <c r="A84" s="4" t="s">
        <v>57</v>
      </c>
      <c r="B84" s="9" t="n">
        <v>-1498832.81410972</v>
      </c>
      <c r="C84" s="9" t="n">
        <v>0</v>
      </c>
      <c r="D84" s="9" t="n">
        <v>0</v>
      </c>
      <c r="E84" s="12" t="n">
        <f aca="false">SUM(B84:D84)</f>
        <v>-1498832.81410972</v>
      </c>
    </row>
    <row r="85" customFormat="false" ht="15" hidden="false" customHeight="false" outlineLevel="0" collapsed="false">
      <c r="A85" s="4" t="s">
        <v>81</v>
      </c>
      <c r="B85" s="9" t="n">
        <v>0</v>
      </c>
      <c r="C85" s="9" t="n">
        <v>0</v>
      </c>
      <c r="D85" s="9" t="n">
        <v>898790.222405421</v>
      </c>
      <c r="E85" s="12" t="n">
        <f aca="false">SUM(B85:D85)</f>
        <v>898790.222405421</v>
      </c>
    </row>
    <row r="86" customFormat="false" ht="15" hidden="false" customHeight="false" outlineLevel="0" collapsed="false">
      <c r="A86" s="4" t="s">
        <v>82</v>
      </c>
      <c r="B86" s="9" t="n">
        <v>441716.234676882</v>
      </c>
      <c r="C86" s="9" t="n">
        <v>0</v>
      </c>
      <c r="D86" s="9" t="n">
        <v>0</v>
      </c>
      <c r="E86" s="12" t="n">
        <f aca="false">SUM(B86:D86)</f>
        <v>441716.234676882</v>
      </c>
    </row>
    <row r="87" customFormat="false" ht="15" hidden="false" customHeight="false" outlineLevel="0" collapsed="false">
      <c r="A87" s="4" t="s">
        <v>83</v>
      </c>
      <c r="B87" s="9" t="n">
        <v>0</v>
      </c>
      <c r="C87" s="9" t="n">
        <v>0</v>
      </c>
      <c r="D87" s="9" t="n">
        <v>0</v>
      </c>
      <c r="E87" s="12" t="n">
        <f aca="false">SUM(B87:D87)</f>
        <v>0</v>
      </c>
    </row>
    <row r="88" customFormat="false" ht="15" hidden="false" customHeight="false" outlineLevel="0" collapsed="false">
      <c r="A88" s="4" t="s">
        <v>84</v>
      </c>
      <c r="B88" s="9" t="n">
        <v>0</v>
      </c>
      <c r="C88" s="9" t="n">
        <v>0</v>
      </c>
      <c r="D88" s="9" t="n">
        <v>-9037.05795855264</v>
      </c>
      <c r="E88" s="12" t="n">
        <f aca="false">SUM(B88:D88)</f>
        <v>-9037.05795855264</v>
      </c>
    </row>
    <row r="89" customFormat="false" ht="15" hidden="false" customHeight="false" outlineLevel="0" collapsed="false">
      <c r="A89" s="4" t="s">
        <v>85</v>
      </c>
      <c r="B89" s="9" t="n">
        <v>-1421061.49</v>
      </c>
      <c r="C89" s="9" t="n">
        <v>0</v>
      </c>
      <c r="D89" s="9" t="n">
        <v>1421061.49</v>
      </c>
      <c r="E89" s="12" t="n">
        <f aca="false">SUM(B89:D89)</f>
        <v>0</v>
      </c>
    </row>
    <row r="90" customFormat="false" ht="15" hidden="false" customHeight="false" outlineLevel="0" collapsed="false">
      <c r="A90" s="4" t="s">
        <v>86</v>
      </c>
      <c r="B90" s="9" t="n">
        <v>103997.006645417</v>
      </c>
      <c r="C90" s="9" t="n">
        <v>0</v>
      </c>
      <c r="D90" s="9" t="n">
        <v>0</v>
      </c>
      <c r="E90" s="12" t="n">
        <f aca="false">SUM(B90:D90)</f>
        <v>103997.006645417</v>
      </c>
    </row>
    <row r="91" customFormat="false" ht="15" hidden="false" customHeight="false" outlineLevel="0" collapsed="false">
      <c r="A91" s="4" t="s">
        <v>87</v>
      </c>
      <c r="B91" s="9" t="n">
        <v>12303580</v>
      </c>
      <c r="C91" s="9" t="n">
        <v>0</v>
      </c>
      <c r="D91" s="9" t="n">
        <v>0</v>
      </c>
      <c r="E91" s="12" t="n">
        <f aca="false">SUM(B91:D91)</f>
        <v>12303580</v>
      </c>
    </row>
    <row r="92" customFormat="false" ht="15" hidden="false" customHeight="false" outlineLevel="0" collapsed="false">
      <c r="A92" s="4" t="s">
        <v>88</v>
      </c>
      <c r="B92" s="9" t="n">
        <v>0</v>
      </c>
      <c r="C92" s="9" t="n">
        <v>0</v>
      </c>
      <c r="D92" s="9" t="n">
        <v>-2306906.22</v>
      </c>
      <c r="E92" s="12" t="n">
        <f aca="false">SUM(B92:D92)</f>
        <v>-2306906.22</v>
      </c>
    </row>
    <row r="93" customFormat="false" ht="15" hidden="false" customHeight="false" outlineLevel="0" collapsed="false">
      <c r="A93" s="4" t="s">
        <v>89</v>
      </c>
      <c r="B93" s="9" t="n">
        <v>-1965802.53</v>
      </c>
      <c r="C93" s="9" t="n">
        <v>0</v>
      </c>
      <c r="D93" s="9" t="n">
        <v>0</v>
      </c>
      <c r="E93" s="12" t="n">
        <f aca="false">SUM(B93:D93)</f>
        <v>-1965802.53</v>
      </c>
    </row>
    <row r="94" customFormat="false" ht="15" hidden="false" customHeight="false" outlineLevel="0" collapsed="false">
      <c r="A94" s="3" t="s">
        <v>90</v>
      </c>
      <c r="B94" s="10" t="n">
        <f aca="false">SUM(B83:B93)</f>
        <v>15676718.1538939</v>
      </c>
      <c r="C94" s="10" t="n">
        <f aca="false">SUM(C83:C93)</f>
        <v>0</v>
      </c>
      <c r="D94" s="10" t="n">
        <f aca="false">SUM(D83:D93)</f>
        <v>13010.2198674477</v>
      </c>
      <c r="E94" s="10" t="n">
        <f aca="false">SUM(E83:E93)</f>
        <v>15689728.3737613</v>
      </c>
    </row>
    <row r="95" customFormat="false" ht="15" hidden="false" customHeight="false" outlineLevel="0" collapsed="false">
      <c r="A95" s="2" t="s">
        <v>91</v>
      </c>
      <c r="B95" s="13" t="n">
        <f aca="false">B94-15676718.1538939</f>
        <v>0</v>
      </c>
      <c r="C95" s="13" t="n">
        <f aca="false">C94-0</f>
        <v>0</v>
      </c>
      <c r="D95" s="13" t="n">
        <f aca="false">D94-13010.2198674482</f>
        <v>-5.65705704502761E-010</v>
      </c>
    </row>
    <row r="98" customFormat="false" ht="15" hidden="false" customHeight="false" outlineLevel="0" collapsed="false">
      <c r="A98" s="14" t="s">
        <v>98</v>
      </c>
    </row>
    <row r="99" customFormat="false" ht="31.5" hidden="false" customHeight="true" outlineLevel="0" collapsed="false">
      <c r="A99" s="8" t="s">
        <v>99</v>
      </c>
      <c r="B99" s="8" t="s">
        <v>76</v>
      </c>
      <c r="C99" s="8" t="s">
        <v>77</v>
      </c>
      <c r="D99" s="8" t="s">
        <v>78</v>
      </c>
      <c r="E99" s="8" t="s">
        <v>79</v>
      </c>
    </row>
    <row r="100" customFormat="false" ht="15" hidden="false" customHeight="false" outlineLevel="0" collapsed="false">
      <c r="A100" s="4" t="s">
        <v>80</v>
      </c>
      <c r="B100" s="9" t="n">
        <v>0</v>
      </c>
      <c r="C100" s="9" t="n">
        <v>0</v>
      </c>
      <c r="D100" s="9" t="n">
        <v>0</v>
      </c>
      <c r="E100" s="12" t="n">
        <f aca="false">SUM(B100:D100)</f>
        <v>0</v>
      </c>
    </row>
    <row r="101" customFormat="false" ht="15" hidden="false" customHeight="false" outlineLevel="0" collapsed="false">
      <c r="A101" s="4" t="s">
        <v>57</v>
      </c>
      <c r="B101" s="9" t="n">
        <v>-6125951.63004372</v>
      </c>
      <c r="C101" s="9" t="n">
        <v>0</v>
      </c>
      <c r="D101" s="9" t="n">
        <v>0</v>
      </c>
      <c r="E101" s="12" t="n">
        <f aca="false">SUM(B101:D101)</f>
        <v>-6125951.63004372</v>
      </c>
    </row>
    <row r="102" customFormat="false" ht="15" hidden="false" customHeight="false" outlineLevel="0" collapsed="false">
      <c r="A102" s="4" t="s">
        <v>81</v>
      </c>
      <c r="B102" s="9" t="n">
        <v>0</v>
      </c>
      <c r="C102" s="9" t="n">
        <v>0</v>
      </c>
      <c r="D102" s="9" t="n">
        <v>4486975.46642428</v>
      </c>
      <c r="E102" s="12" t="n">
        <f aca="false">SUM(B102:D102)</f>
        <v>4486975.46642428</v>
      </c>
    </row>
    <row r="103" customFormat="false" ht="15" hidden="false" customHeight="false" outlineLevel="0" collapsed="false">
      <c r="A103" s="4" t="s">
        <v>82</v>
      </c>
      <c r="B103" s="9" t="n">
        <v>918892.744506557</v>
      </c>
      <c r="C103" s="9" t="n">
        <v>0</v>
      </c>
      <c r="D103" s="9" t="n">
        <v>0</v>
      </c>
      <c r="E103" s="12" t="n">
        <f aca="false">SUM(B103:D103)</f>
        <v>918892.744506557</v>
      </c>
    </row>
    <row r="104" customFormat="false" ht="15" hidden="false" customHeight="false" outlineLevel="0" collapsed="false">
      <c r="A104" s="4" t="s">
        <v>83</v>
      </c>
      <c r="B104" s="9" t="n">
        <v>0</v>
      </c>
      <c r="C104" s="9" t="n">
        <v>0</v>
      </c>
      <c r="D104" s="9" t="n">
        <v>0</v>
      </c>
      <c r="E104" s="12" t="n">
        <f aca="false">SUM(B104:D104)</f>
        <v>0</v>
      </c>
    </row>
    <row r="105" customFormat="false" ht="15" hidden="false" customHeight="false" outlineLevel="0" collapsed="false">
      <c r="A105" s="4" t="s">
        <v>84</v>
      </c>
      <c r="B105" s="9" t="n">
        <v>0</v>
      </c>
      <c r="C105" s="9" t="n">
        <v>0</v>
      </c>
      <c r="D105" s="9" t="n">
        <v>255555.631406277</v>
      </c>
      <c r="E105" s="12" t="n">
        <f aca="false">SUM(B105:D105)</f>
        <v>255555.631406277</v>
      </c>
    </row>
    <row r="106" customFormat="false" ht="15" hidden="false" customHeight="false" outlineLevel="0" collapsed="false">
      <c r="A106" s="4" t="s">
        <v>85</v>
      </c>
      <c r="B106" s="9" t="n">
        <v>0</v>
      </c>
      <c r="C106" s="9" t="n">
        <v>0</v>
      </c>
      <c r="D106" s="9" t="n">
        <v>0</v>
      </c>
      <c r="E106" s="12" t="n">
        <f aca="false">SUM(B106:D106)</f>
        <v>0</v>
      </c>
    </row>
    <row r="107" customFormat="false" ht="15" hidden="false" customHeight="false" outlineLevel="0" collapsed="false">
      <c r="A107" s="4" t="s">
        <v>86</v>
      </c>
      <c r="B107" s="9" t="n">
        <v>0</v>
      </c>
      <c r="C107" s="9" t="n">
        <v>0</v>
      </c>
      <c r="D107" s="9" t="n">
        <v>0</v>
      </c>
      <c r="E107" s="12" t="n">
        <f aca="false">SUM(B107:D107)</f>
        <v>0</v>
      </c>
    </row>
    <row r="108" customFormat="false" ht="15" hidden="false" customHeight="false" outlineLevel="0" collapsed="false">
      <c r="A108" s="4" t="s">
        <v>87</v>
      </c>
      <c r="B108" s="9" t="n">
        <v>10813561.8</v>
      </c>
      <c r="C108" s="9" t="n">
        <v>0</v>
      </c>
      <c r="D108" s="9" t="n">
        <v>0</v>
      </c>
      <c r="E108" s="12" t="n">
        <f aca="false">SUM(B108:D108)</f>
        <v>10813561.8</v>
      </c>
    </row>
    <row r="109" customFormat="false" ht="15" hidden="false" customHeight="false" outlineLevel="0" collapsed="false">
      <c r="A109" s="4" t="s">
        <v>88</v>
      </c>
      <c r="B109" s="9" t="n">
        <v>0</v>
      </c>
      <c r="C109" s="9" t="n">
        <v>0</v>
      </c>
      <c r="D109" s="9" t="n">
        <v>-1983294.63</v>
      </c>
      <c r="E109" s="12" t="n">
        <f aca="false">SUM(B109:D109)</f>
        <v>-1983294.63</v>
      </c>
    </row>
    <row r="110" customFormat="false" ht="15" hidden="false" customHeight="false" outlineLevel="0" collapsed="false">
      <c r="A110" s="4" t="s">
        <v>89</v>
      </c>
      <c r="B110" s="9" t="n">
        <v>-1622032.21</v>
      </c>
      <c r="C110" s="9" t="n">
        <v>0</v>
      </c>
      <c r="D110" s="9" t="n">
        <v>0</v>
      </c>
      <c r="E110" s="12" t="n">
        <f aca="false">SUM(B110:D110)</f>
        <v>-1622032.21</v>
      </c>
    </row>
    <row r="111" customFormat="false" ht="15" hidden="false" customHeight="false" outlineLevel="0" collapsed="false">
      <c r="A111" s="3" t="s">
        <v>90</v>
      </c>
      <c r="B111" s="10" t="n">
        <f aca="false">SUM(B100:B110)</f>
        <v>3984470.70446284</v>
      </c>
      <c r="C111" s="10" t="n">
        <f aca="false">SUM(C100:C110)</f>
        <v>0</v>
      </c>
      <c r="D111" s="10" t="n">
        <f aca="false">SUM(D100:D110)</f>
        <v>2759236.46783056</v>
      </c>
      <c r="E111" s="10" t="n">
        <f aca="false">SUM(E100:E110)</f>
        <v>6743707.1722934</v>
      </c>
    </row>
    <row r="112" customFormat="false" ht="15" hidden="false" customHeight="false" outlineLevel="0" collapsed="false">
      <c r="A112" s="2" t="s">
        <v>91</v>
      </c>
      <c r="B112" s="13" t="n">
        <f aca="false">B111-3984470.70446284</f>
        <v>0</v>
      </c>
      <c r="C112" s="13" t="n">
        <f aca="false">C111-0</f>
        <v>0</v>
      </c>
      <c r="D112" s="13" t="n">
        <f aca="false">D111-2759236.46783056</f>
        <v>0</v>
      </c>
    </row>
    <row r="114" customFormat="false" ht="31.5" hidden="false" customHeight="true" outlineLevel="0" collapsed="false">
      <c r="A114" s="8" t="s">
        <v>100</v>
      </c>
      <c r="B114" s="8" t="s">
        <v>76</v>
      </c>
      <c r="C114" s="8" t="s">
        <v>77</v>
      </c>
      <c r="D114" s="8" t="s">
        <v>78</v>
      </c>
      <c r="E114" s="8" t="s">
        <v>79</v>
      </c>
    </row>
    <row r="115" customFormat="false" ht="15" hidden="false" customHeight="false" outlineLevel="0" collapsed="false">
      <c r="A115" s="4" t="s">
        <v>80</v>
      </c>
      <c r="B115" s="11" t="n">
        <f aca="false">B111</f>
        <v>3984470.70446284</v>
      </c>
      <c r="C115" s="11" t="n">
        <f aca="false">C111</f>
        <v>0</v>
      </c>
      <c r="D115" s="11" t="n">
        <f aca="false">D111</f>
        <v>2759236.46783056</v>
      </c>
      <c r="E115" s="12" t="n">
        <f aca="false">SUM(B115:D115)</f>
        <v>6743707.1722934</v>
      </c>
    </row>
    <row r="116" customFormat="false" ht="15" hidden="false" customHeight="false" outlineLevel="0" collapsed="false">
      <c r="A116" s="4" t="s">
        <v>57</v>
      </c>
      <c r="B116" s="9" t="n">
        <v>-12325295.0565099</v>
      </c>
      <c r="C116" s="9" t="n">
        <v>0</v>
      </c>
      <c r="D116" s="9" t="n">
        <v>0</v>
      </c>
      <c r="E116" s="12" t="n">
        <f aca="false">SUM(B116:D116)</f>
        <v>-12325295.0565099</v>
      </c>
    </row>
    <row r="117" customFormat="false" ht="15" hidden="false" customHeight="false" outlineLevel="0" collapsed="false">
      <c r="A117" s="4" t="s">
        <v>81</v>
      </c>
      <c r="B117" s="9" t="n">
        <v>0</v>
      </c>
      <c r="C117" s="9" t="n">
        <v>0</v>
      </c>
      <c r="D117" s="9" t="n">
        <v>9513841.57791339</v>
      </c>
      <c r="E117" s="12" t="n">
        <f aca="false">SUM(B117:D117)</f>
        <v>9513841.57791339</v>
      </c>
    </row>
    <row r="118" customFormat="false" ht="15" hidden="false" customHeight="false" outlineLevel="0" collapsed="false">
      <c r="A118" s="4" t="s">
        <v>82</v>
      </c>
      <c r="B118" s="9" t="n">
        <v>1848794.25847649</v>
      </c>
      <c r="C118" s="9" t="n">
        <v>0</v>
      </c>
      <c r="D118" s="9" t="n">
        <v>0</v>
      </c>
      <c r="E118" s="12" t="n">
        <f aca="false">SUM(B118:D118)</f>
        <v>1848794.25847649</v>
      </c>
    </row>
    <row r="119" customFormat="false" ht="15" hidden="false" customHeight="false" outlineLevel="0" collapsed="false">
      <c r="A119" s="4" t="s">
        <v>83</v>
      </c>
      <c r="B119" s="9" t="n">
        <v>0</v>
      </c>
      <c r="C119" s="9" t="n">
        <v>19115.0882437484</v>
      </c>
      <c r="D119" s="9" t="n">
        <v>0</v>
      </c>
      <c r="E119" s="12" t="n">
        <f aca="false">SUM(B119:D119)</f>
        <v>19115.0882437484</v>
      </c>
    </row>
    <row r="120" customFormat="false" ht="15" hidden="false" customHeight="false" outlineLevel="0" collapsed="false">
      <c r="A120" s="4" t="s">
        <v>84</v>
      </c>
      <c r="B120" s="9" t="n">
        <v>0</v>
      </c>
      <c r="C120" s="9" t="n">
        <v>0</v>
      </c>
      <c r="D120" s="9" t="n">
        <v>121863.399999898</v>
      </c>
      <c r="E120" s="12" t="n">
        <f aca="false">SUM(B120:D120)</f>
        <v>121863.399999898</v>
      </c>
    </row>
    <row r="121" customFormat="false" ht="15" hidden="false" customHeight="false" outlineLevel="0" collapsed="false">
      <c r="A121" s="4" t="s">
        <v>85</v>
      </c>
      <c r="B121" s="9" t="n">
        <v>0</v>
      </c>
      <c r="C121" s="9" t="n">
        <v>0</v>
      </c>
      <c r="D121" s="9" t="n">
        <v>0</v>
      </c>
      <c r="E121" s="12" t="n">
        <f aca="false">SUM(B121:D121)</f>
        <v>0</v>
      </c>
    </row>
    <row r="122" customFormat="false" ht="15" hidden="false" customHeight="false" outlineLevel="0" collapsed="false">
      <c r="A122" s="4" t="s">
        <v>86</v>
      </c>
      <c r="B122" s="9" t="n">
        <v>0</v>
      </c>
      <c r="C122" s="9" t="n">
        <v>0</v>
      </c>
      <c r="D122" s="9" t="n">
        <v>79747.2508989027</v>
      </c>
      <c r="E122" s="12" t="n">
        <f aca="false">SUM(B122:D122)</f>
        <v>79747.2508989027</v>
      </c>
    </row>
    <row r="123" customFormat="false" ht="15" hidden="false" customHeight="false" outlineLevel="0" collapsed="false">
      <c r="A123" s="4" t="s">
        <v>87</v>
      </c>
      <c r="B123" s="9" t="n">
        <v>12436503.84</v>
      </c>
      <c r="C123" s="9" t="n">
        <v>0</v>
      </c>
      <c r="D123" s="9" t="n">
        <v>0</v>
      </c>
      <c r="E123" s="12" t="n">
        <f aca="false">SUM(B123:D123)</f>
        <v>12436503.84</v>
      </c>
    </row>
    <row r="124" customFormat="false" ht="15" hidden="false" customHeight="false" outlineLevel="0" collapsed="false">
      <c r="A124" s="4" t="s">
        <v>88</v>
      </c>
      <c r="B124" s="9" t="n">
        <v>0</v>
      </c>
      <c r="C124" s="9" t="n">
        <v>0</v>
      </c>
      <c r="D124" s="9" t="n">
        <v>-6943502.47</v>
      </c>
      <c r="E124" s="12" t="n">
        <f aca="false">SUM(B124:D124)</f>
        <v>-6943502.47</v>
      </c>
    </row>
    <row r="125" customFormat="false" ht="15" hidden="false" customHeight="false" outlineLevel="0" collapsed="false">
      <c r="A125" s="4" t="s">
        <v>89</v>
      </c>
      <c r="B125" s="9" t="n">
        <v>-1865473.83</v>
      </c>
      <c r="C125" s="9" t="n">
        <v>0</v>
      </c>
      <c r="D125" s="9" t="n">
        <v>0</v>
      </c>
      <c r="E125" s="12" t="n">
        <f aca="false">SUM(B125:D125)</f>
        <v>-1865473.83</v>
      </c>
    </row>
    <row r="126" customFormat="false" ht="15" hidden="false" customHeight="false" outlineLevel="0" collapsed="false">
      <c r="A126" s="3" t="s">
        <v>90</v>
      </c>
      <c r="B126" s="10" t="n">
        <f aca="false">SUM(B115:B125)</f>
        <v>4078999.91642941</v>
      </c>
      <c r="C126" s="10" t="n">
        <f aca="false">SUM(C115:C125)</f>
        <v>19115.0882437484</v>
      </c>
      <c r="D126" s="10" t="n">
        <f aca="false">SUM(D115:D125)</f>
        <v>5531186.22664275</v>
      </c>
      <c r="E126" s="10" t="n">
        <f aca="false">SUM(E115:E125)</f>
        <v>9629301.23131591</v>
      </c>
    </row>
    <row r="127" customFormat="false" ht="15" hidden="false" customHeight="false" outlineLevel="0" collapsed="false">
      <c r="A127" s="2" t="s">
        <v>91</v>
      </c>
      <c r="B127" s="13" t="n">
        <f aca="false">B126-4078999.91642941</f>
        <v>0</v>
      </c>
      <c r="C127" s="13" t="n">
        <f aca="false">C126-19115.0882437484</f>
        <v>0</v>
      </c>
      <c r="D127" s="13" t="n">
        <f aca="false">D126-5531186.22664275</f>
        <v>0</v>
      </c>
    </row>
    <row r="129" customFormat="false" ht="31.5" hidden="false" customHeight="true" outlineLevel="0" collapsed="false">
      <c r="A129" s="8" t="s">
        <v>101</v>
      </c>
      <c r="B129" s="8" t="s">
        <v>76</v>
      </c>
      <c r="C129" s="8" t="s">
        <v>77</v>
      </c>
      <c r="D129" s="8" t="s">
        <v>78</v>
      </c>
      <c r="E129" s="8" t="s">
        <v>79</v>
      </c>
    </row>
    <row r="130" customFormat="false" ht="15" hidden="false" customHeight="false" outlineLevel="0" collapsed="false">
      <c r="A130" s="4" t="s">
        <v>80</v>
      </c>
      <c r="B130" s="11" t="n">
        <f aca="false">B126</f>
        <v>4078999.91642941</v>
      </c>
      <c r="C130" s="11" t="n">
        <f aca="false">C126</f>
        <v>19115.0882437484</v>
      </c>
      <c r="D130" s="11" t="n">
        <f aca="false">D126</f>
        <v>5531186.22664275</v>
      </c>
      <c r="E130" s="12" t="n">
        <f aca="false">SUM(B130:D130)</f>
        <v>9629301.23131591</v>
      </c>
    </row>
    <row r="131" customFormat="false" ht="15" hidden="false" customHeight="false" outlineLevel="0" collapsed="false">
      <c r="A131" s="4" t="s">
        <v>57</v>
      </c>
      <c r="B131" s="9" t="n">
        <v>-12592327.4245423</v>
      </c>
      <c r="C131" s="9" t="n">
        <v>0</v>
      </c>
      <c r="D131" s="9" t="n">
        <v>0</v>
      </c>
      <c r="E131" s="12" t="n">
        <f aca="false">SUM(B131:D131)</f>
        <v>-12592327.4245423</v>
      </c>
    </row>
    <row r="132" customFormat="false" ht="15" hidden="false" customHeight="false" outlineLevel="0" collapsed="false">
      <c r="A132" s="4" t="s">
        <v>81</v>
      </c>
      <c r="B132" s="9" t="n">
        <v>0</v>
      </c>
      <c r="C132" s="9" t="n">
        <v>0</v>
      </c>
      <c r="D132" s="9" t="n">
        <v>9621831.90477369</v>
      </c>
      <c r="E132" s="12" t="n">
        <f aca="false">SUM(B132:D132)</f>
        <v>9621831.90477369</v>
      </c>
    </row>
    <row r="133" customFormat="false" ht="15" hidden="false" customHeight="false" outlineLevel="0" collapsed="false">
      <c r="A133" s="4" t="s">
        <v>82</v>
      </c>
      <c r="B133" s="9" t="n">
        <v>1888849.11368134</v>
      </c>
      <c r="C133" s="9" t="n">
        <v>0</v>
      </c>
      <c r="D133" s="9" t="n">
        <v>0</v>
      </c>
      <c r="E133" s="12" t="n">
        <f aca="false">SUM(B133:D133)</f>
        <v>1888849.11368134</v>
      </c>
    </row>
    <row r="134" customFormat="false" ht="15" hidden="false" customHeight="false" outlineLevel="0" collapsed="false">
      <c r="A134" s="4" t="s">
        <v>83</v>
      </c>
      <c r="B134" s="9" t="n">
        <v>0</v>
      </c>
      <c r="C134" s="9" t="n">
        <v>-17719.8369419177</v>
      </c>
      <c r="D134" s="9" t="n">
        <v>0</v>
      </c>
      <c r="E134" s="12" t="n">
        <f aca="false">SUM(B134:D134)</f>
        <v>-17719.8369419177</v>
      </c>
    </row>
    <row r="135" customFormat="false" ht="15" hidden="false" customHeight="false" outlineLevel="0" collapsed="false">
      <c r="A135" s="4" t="s">
        <v>84</v>
      </c>
      <c r="B135" s="9" t="n">
        <v>0</v>
      </c>
      <c r="C135" s="9" t="n">
        <v>0</v>
      </c>
      <c r="D135" s="9" t="n">
        <v>331609.436522397</v>
      </c>
      <c r="E135" s="12" t="n">
        <f aca="false">SUM(B135:D135)</f>
        <v>331609.436522397</v>
      </c>
    </row>
    <row r="136" customFormat="false" ht="15" hidden="false" customHeight="false" outlineLevel="0" collapsed="false">
      <c r="A136" s="4" t="s">
        <v>85</v>
      </c>
      <c r="B136" s="9" t="n">
        <v>0</v>
      </c>
      <c r="C136" s="9" t="n">
        <v>0</v>
      </c>
      <c r="D136" s="9" t="n">
        <v>0</v>
      </c>
      <c r="E136" s="12" t="n">
        <f aca="false">SUM(B136:D136)</f>
        <v>0</v>
      </c>
    </row>
    <row r="137" customFormat="false" ht="15" hidden="false" customHeight="false" outlineLevel="0" collapsed="false">
      <c r="A137" s="4" t="s">
        <v>86</v>
      </c>
      <c r="B137" s="9" t="n">
        <v>0</v>
      </c>
      <c r="C137" s="9" t="n">
        <v>0</v>
      </c>
      <c r="D137" s="9" t="n">
        <v>174357.927582208</v>
      </c>
      <c r="E137" s="12" t="n">
        <f aca="false">SUM(B137:D137)</f>
        <v>174357.927582208</v>
      </c>
    </row>
    <row r="138" customFormat="false" ht="15" hidden="false" customHeight="false" outlineLevel="0" collapsed="false">
      <c r="A138" s="4" t="s">
        <v>87</v>
      </c>
      <c r="B138" s="9" t="n">
        <v>12754451.63</v>
      </c>
      <c r="C138" s="9" t="n">
        <v>0</v>
      </c>
      <c r="D138" s="9" t="n">
        <v>0</v>
      </c>
      <c r="E138" s="12" t="n">
        <f aca="false">SUM(B138:D138)</f>
        <v>12754451.63</v>
      </c>
    </row>
    <row r="139" customFormat="false" ht="15" hidden="false" customHeight="false" outlineLevel="0" collapsed="false">
      <c r="A139" s="4" t="s">
        <v>88</v>
      </c>
      <c r="B139" s="9" t="n">
        <v>0</v>
      </c>
      <c r="C139" s="9" t="n">
        <v>0</v>
      </c>
      <c r="D139" s="9" t="n">
        <v>-9005905.21</v>
      </c>
      <c r="E139" s="12" t="n">
        <f aca="false">SUM(B139:D139)</f>
        <v>-9005905.21</v>
      </c>
    </row>
    <row r="140" customFormat="false" ht="15" hidden="false" customHeight="false" outlineLevel="0" collapsed="false">
      <c r="A140" s="4" t="s">
        <v>89</v>
      </c>
      <c r="B140" s="9" t="n">
        <v>-1913165.8</v>
      </c>
      <c r="C140" s="9" t="n">
        <v>0</v>
      </c>
      <c r="D140" s="9" t="n">
        <v>0</v>
      </c>
      <c r="E140" s="12" t="n">
        <f aca="false">SUM(B140:D140)</f>
        <v>-1913165.8</v>
      </c>
    </row>
    <row r="141" customFormat="false" ht="15" hidden="false" customHeight="false" outlineLevel="0" collapsed="false">
      <c r="A141" s="3" t="s">
        <v>90</v>
      </c>
      <c r="B141" s="10" t="n">
        <f aca="false">SUM(B130:B140)</f>
        <v>4216807.43556849</v>
      </c>
      <c r="C141" s="10" t="n">
        <f aca="false">SUM(C130:C140)</f>
        <v>1395.25130183075</v>
      </c>
      <c r="D141" s="10" t="n">
        <f aca="false">SUM(D130:D140)</f>
        <v>6653080.28552104</v>
      </c>
      <c r="E141" s="10" t="n">
        <f aca="false">SUM(E130:E140)</f>
        <v>10871282.9723914</v>
      </c>
    </row>
    <row r="142" customFormat="false" ht="15" hidden="false" customHeight="false" outlineLevel="0" collapsed="false">
      <c r="A142" s="2" t="s">
        <v>91</v>
      </c>
      <c r="B142" s="13" t="n">
        <f aca="false">B141-4216807.43556849</f>
        <v>0</v>
      </c>
      <c r="C142" s="13" t="n">
        <f aca="false">C141-1395.25130183075</f>
        <v>0</v>
      </c>
      <c r="D142" s="13" t="n">
        <f aca="false">D141-6653080.28552104</f>
        <v>0</v>
      </c>
    </row>
    <row r="145" customFormat="false" ht="15" hidden="false" customHeight="false" outlineLevel="0" collapsed="false">
      <c r="A145" s="14" t="s">
        <v>102</v>
      </c>
    </row>
    <row r="146" customFormat="false" ht="31.5" hidden="false" customHeight="true" outlineLevel="0" collapsed="false">
      <c r="A146" s="8" t="s">
        <v>103</v>
      </c>
      <c r="B146" s="8" t="s">
        <v>76</v>
      </c>
      <c r="C146" s="8" t="s">
        <v>77</v>
      </c>
      <c r="D146" s="8" t="s">
        <v>78</v>
      </c>
      <c r="E146" s="8" t="s">
        <v>79</v>
      </c>
    </row>
    <row r="147" customFormat="false" ht="15" hidden="false" customHeight="false" outlineLevel="0" collapsed="false">
      <c r="A147" s="4" t="s">
        <v>80</v>
      </c>
      <c r="B147" s="9" t="n">
        <v>0</v>
      </c>
      <c r="C147" s="9" t="n">
        <v>0</v>
      </c>
      <c r="D147" s="9" t="n">
        <v>0</v>
      </c>
      <c r="E147" s="12" t="n">
        <f aca="false">SUM(B147:D147)</f>
        <v>0</v>
      </c>
    </row>
    <row r="148" customFormat="false" ht="15" hidden="false" customHeight="false" outlineLevel="0" collapsed="false">
      <c r="A148" s="4" t="s">
        <v>57</v>
      </c>
      <c r="B148" s="9" t="n">
        <v>-2013570.73841597</v>
      </c>
      <c r="C148" s="9" t="n">
        <v>0</v>
      </c>
      <c r="D148" s="9" t="n">
        <v>0</v>
      </c>
      <c r="E148" s="12" t="n">
        <f aca="false">SUM(B148:D148)</f>
        <v>-2013570.73841597</v>
      </c>
    </row>
    <row r="149" customFormat="false" ht="15" hidden="false" customHeight="false" outlineLevel="0" collapsed="false">
      <c r="A149" s="4" t="s">
        <v>81</v>
      </c>
      <c r="B149" s="9" t="n">
        <v>0</v>
      </c>
      <c r="C149" s="9" t="n">
        <v>0</v>
      </c>
      <c r="D149" s="9" t="n">
        <v>1886573.47332443</v>
      </c>
      <c r="E149" s="12" t="n">
        <f aca="false">SUM(B149:D149)</f>
        <v>1886573.47332443</v>
      </c>
    </row>
    <row r="150" customFormat="false" ht="15" hidden="false" customHeight="false" outlineLevel="0" collapsed="false">
      <c r="A150" s="4" t="s">
        <v>82</v>
      </c>
      <c r="B150" s="9" t="n">
        <v>0</v>
      </c>
      <c r="C150" s="9" t="n">
        <v>0</v>
      </c>
      <c r="D150" s="9" t="n">
        <v>0</v>
      </c>
      <c r="E150" s="12" t="n">
        <f aca="false">SUM(B150:D150)</f>
        <v>0</v>
      </c>
    </row>
    <row r="151" customFormat="false" ht="15" hidden="false" customHeight="false" outlineLevel="0" collapsed="false">
      <c r="A151" s="4" t="s">
        <v>83</v>
      </c>
      <c r="B151" s="9" t="n">
        <v>0</v>
      </c>
      <c r="C151" s="9" t="n">
        <v>0</v>
      </c>
      <c r="D151" s="9" t="n">
        <v>0</v>
      </c>
      <c r="E151" s="12" t="n">
        <f aca="false">SUM(B151:D151)</f>
        <v>0</v>
      </c>
    </row>
    <row r="152" customFormat="false" ht="15" hidden="false" customHeight="false" outlineLevel="0" collapsed="false">
      <c r="A152" s="4" t="s">
        <v>84</v>
      </c>
      <c r="B152" s="9" t="n">
        <v>0</v>
      </c>
      <c r="C152" s="9" t="n">
        <v>0</v>
      </c>
      <c r="D152" s="9" t="n">
        <v>40810.8235004102</v>
      </c>
      <c r="E152" s="12" t="n">
        <f aca="false">SUM(B152:D152)</f>
        <v>40810.8235004102</v>
      </c>
    </row>
    <row r="153" customFormat="false" ht="15" hidden="false" customHeight="false" outlineLevel="0" collapsed="false">
      <c r="A153" s="4" t="s">
        <v>85</v>
      </c>
      <c r="B153" s="9" t="n">
        <v>0</v>
      </c>
      <c r="C153" s="9" t="n">
        <v>0</v>
      </c>
      <c r="D153" s="9" t="n">
        <v>0</v>
      </c>
      <c r="E153" s="12" t="n">
        <f aca="false">SUM(B153:D153)</f>
        <v>0</v>
      </c>
    </row>
    <row r="154" customFormat="false" ht="15" hidden="false" customHeight="false" outlineLevel="0" collapsed="false">
      <c r="A154" s="4" t="s">
        <v>86</v>
      </c>
      <c r="B154" s="9" t="n">
        <v>0</v>
      </c>
      <c r="C154" s="9" t="n">
        <v>0</v>
      </c>
      <c r="D154" s="9" t="n">
        <v>0</v>
      </c>
      <c r="E154" s="12" t="n">
        <f aca="false">SUM(B154:D154)</f>
        <v>0</v>
      </c>
    </row>
    <row r="155" customFormat="false" ht="15" hidden="false" customHeight="false" outlineLevel="0" collapsed="false">
      <c r="A155" s="4" t="s">
        <v>87</v>
      </c>
      <c r="B155" s="9" t="n">
        <v>3993771.86</v>
      </c>
      <c r="C155" s="9" t="n">
        <v>0</v>
      </c>
      <c r="D155" s="9" t="n">
        <v>0</v>
      </c>
      <c r="E155" s="12" t="n">
        <f aca="false">SUM(B155:D155)</f>
        <v>3993771.86</v>
      </c>
    </row>
    <row r="156" customFormat="false" ht="15" hidden="false" customHeight="false" outlineLevel="0" collapsed="false">
      <c r="A156" s="4" t="s">
        <v>88</v>
      </c>
      <c r="B156" s="9" t="n">
        <v>0</v>
      </c>
      <c r="C156" s="9" t="n">
        <v>0</v>
      </c>
      <c r="D156" s="9" t="n">
        <v>-1588635.03</v>
      </c>
      <c r="E156" s="12" t="n">
        <f aca="false">SUM(B156:D156)</f>
        <v>-1588635.03</v>
      </c>
    </row>
    <row r="157" customFormat="false" ht="15" hidden="false" customHeight="false" outlineLevel="0" collapsed="false">
      <c r="A157" s="4" t="s">
        <v>89</v>
      </c>
      <c r="B157" s="9" t="n">
        <v>0</v>
      </c>
      <c r="C157" s="9" t="n">
        <v>0</v>
      </c>
      <c r="D157" s="9" t="n">
        <v>0</v>
      </c>
      <c r="E157" s="12" t="n">
        <f aca="false">SUM(B157:D157)</f>
        <v>0</v>
      </c>
    </row>
    <row r="158" customFormat="false" ht="15" hidden="false" customHeight="false" outlineLevel="0" collapsed="false">
      <c r="A158" s="3" t="s">
        <v>90</v>
      </c>
      <c r="B158" s="10" t="n">
        <f aca="false">SUM(B147:B157)</f>
        <v>1980201.12158403</v>
      </c>
      <c r="C158" s="10" t="n">
        <f aca="false">SUM(C147:C157)</f>
        <v>0</v>
      </c>
      <c r="D158" s="10" t="n">
        <f aca="false">SUM(D147:D157)</f>
        <v>338749.266824843</v>
      </c>
      <c r="E158" s="10" t="n">
        <f aca="false">SUM(E147:E157)</f>
        <v>2318950.38840887</v>
      </c>
    </row>
    <row r="159" customFormat="false" ht="15" hidden="false" customHeight="false" outlineLevel="0" collapsed="false">
      <c r="A159" s="2" t="s">
        <v>91</v>
      </c>
      <c r="B159" s="13" t="n">
        <f aca="false">B158-1980201.12158403</f>
        <v>0</v>
      </c>
      <c r="C159" s="13" t="n">
        <f aca="false">C158-0</f>
        <v>0</v>
      </c>
      <c r="D159" s="13" t="n">
        <f aca="false">D158-338749.266824843</f>
        <v>0</v>
      </c>
    </row>
    <row r="161" customFormat="false" ht="31.5" hidden="false" customHeight="true" outlineLevel="0" collapsed="false">
      <c r="A161" s="8" t="s">
        <v>104</v>
      </c>
      <c r="B161" s="8" t="s">
        <v>76</v>
      </c>
      <c r="C161" s="8" t="s">
        <v>77</v>
      </c>
      <c r="D161" s="8" t="s">
        <v>78</v>
      </c>
      <c r="E161" s="8" t="s">
        <v>79</v>
      </c>
    </row>
    <row r="162" customFormat="false" ht="15" hidden="false" customHeight="false" outlineLevel="0" collapsed="false">
      <c r="A162" s="4" t="s">
        <v>80</v>
      </c>
      <c r="B162" s="11" t="n">
        <f aca="false">B158</f>
        <v>1980201.12158403</v>
      </c>
      <c r="C162" s="11" t="n">
        <f aca="false">C158</f>
        <v>0</v>
      </c>
      <c r="D162" s="11" t="n">
        <f aca="false">D158</f>
        <v>338749.266824843</v>
      </c>
      <c r="E162" s="12" t="n">
        <f aca="false">SUM(B162:D162)</f>
        <v>2318950.38840887</v>
      </c>
    </row>
    <row r="163" customFormat="false" ht="15" hidden="false" customHeight="false" outlineLevel="0" collapsed="false">
      <c r="A163" s="4" t="s">
        <v>57</v>
      </c>
      <c r="B163" s="9" t="n">
        <v>-4048758.96291736</v>
      </c>
      <c r="C163" s="9" t="n">
        <v>0</v>
      </c>
      <c r="D163" s="9" t="n">
        <v>0</v>
      </c>
      <c r="E163" s="12" t="n">
        <f aca="false">SUM(B163:D163)</f>
        <v>-4048758.96291736</v>
      </c>
    </row>
    <row r="164" customFormat="false" ht="15" hidden="false" customHeight="false" outlineLevel="0" collapsed="false">
      <c r="A164" s="4" t="s">
        <v>81</v>
      </c>
      <c r="B164" s="9" t="n">
        <v>0</v>
      </c>
      <c r="C164" s="9" t="n">
        <v>0</v>
      </c>
      <c r="D164" s="9" t="n">
        <v>3482325.10694601</v>
      </c>
      <c r="E164" s="12" t="n">
        <f aca="false">SUM(B164:D164)</f>
        <v>3482325.10694601</v>
      </c>
    </row>
    <row r="165" customFormat="false" ht="15" hidden="false" customHeight="false" outlineLevel="0" collapsed="false">
      <c r="A165" s="4" t="s">
        <v>82</v>
      </c>
      <c r="B165" s="9" t="n">
        <v>0</v>
      </c>
      <c r="C165" s="9" t="n">
        <v>0</v>
      </c>
      <c r="D165" s="9" t="n">
        <v>0</v>
      </c>
      <c r="E165" s="12" t="n">
        <f aca="false">SUM(B165:D165)</f>
        <v>0</v>
      </c>
    </row>
    <row r="166" customFormat="false" ht="15" hidden="false" customHeight="false" outlineLevel="0" collapsed="false">
      <c r="A166" s="4" t="s">
        <v>83</v>
      </c>
      <c r="B166" s="9" t="n">
        <v>0</v>
      </c>
      <c r="C166" s="9" t="n">
        <v>0</v>
      </c>
      <c r="D166" s="9" t="n">
        <v>0</v>
      </c>
      <c r="E166" s="12" t="n">
        <f aca="false">SUM(B166:D166)</f>
        <v>0</v>
      </c>
    </row>
    <row r="167" customFormat="false" ht="15" hidden="false" customHeight="false" outlineLevel="0" collapsed="false">
      <c r="A167" s="4" t="s">
        <v>84</v>
      </c>
      <c r="B167" s="9" t="n">
        <v>0</v>
      </c>
      <c r="C167" s="9" t="n">
        <v>0</v>
      </c>
      <c r="D167" s="9" t="n">
        <v>-1871.93933987003</v>
      </c>
      <c r="E167" s="12" t="n">
        <f aca="false">SUM(B167:D167)</f>
        <v>-1871.93933987003</v>
      </c>
    </row>
    <row r="168" customFormat="false" ht="15" hidden="false" customHeight="false" outlineLevel="0" collapsed="false">
      <c r="A168" s="4" t="s">
        <v>85</v>
      </c>
      <c r="B168" s="9" t="n">
        <v>0</v>
      </c>
      <c r="C168" s="9" t="n">
        <v>0</v>
      </c>
      <c r="D168" s="9" t="n">
        <v>0</v>
      </c>
      <c r="E168" s="12" t="n">
        <f aca="false">SUM(B168:D168)</f>
        <v>0</v>
      </c>
    </row>
    <row r="169" customFormat="false" ht="15" hidden="false" customHeight="false" outlineLevel="0" collapsed="false">
      <c r="A169" s="4" t="s">
        <v>86</v>
      </c>
      <c r="B169" s="9" t="n">
        <v>0</v>
      </c>
      <c r="C169" s="9" t="n">
        <v>0</v>
      </c>
      <c r="D169" s="9" t="n">
        <v>0</v>
      </c>
      <c r="E169" s="12" t="n">
        <f aca="false">SUM(B169:D169)</f>
        <v>0</v>
      </c>
    </row>
    <row r="170" customFormat="false" ht="15" hidden="false" customHeight="false" outlineLevel="0" collapsed="false">
      <c r="A170" s="4" t="s">
        <v>87</v>
      </c>
      <c r="B170" s="9" t="n">
        <v>4068924.35</v>
      </c>
      <c r="C170" s="9" t="n">
        <v>0</v>
      </c>
      <c r="D170" s="9" t="n">
        <v>0</v>
      </c>
      <c r="E170" s="12" t="n">
        <f aca="false">SUM(B170:D170)</f>
        <v>4068924.35</v>
      </c>
    </row>
    <row r="171" customFormat="false" ht="15" hidden="false" customHeight="false" outlineLevel="0" collapsed="false">
      <c r="A171" s="4" t="s">
        <v>88</v>
      </c>
      <c r="B171" s="9" t="n">
        <v>0</v>
      </c>
      <c r="C171" s="9" t="n">
        <v>0</v>
      </c>
      <c r="D171" s="9" t="n">
        <v>-3027948.68</v>
      </c>
      <c r="E171" s="12" t="n">
        <f aca="false">SUM(B171:D171)</f>
        <v>-3027948.68</v>
      </c>
    </row>
    <row r="172" customFormat="false" ht="15" hidden="false" customHeight="false" outlineLevel="0" collapsed="false">
      <c r="A172" s="4" t="s">
        <v>89</v>
      </c>
      <c r="B172" s="9" t="n">
        <v>0</v>
      </c>
      <c r="C172" s="9" t="n">
        <v>0</v>
      </c>
      <c r="D172" s="9" t="n">
        <v>0</v>
      </c>
      <c r="E172" s="12" t="n">
        <f aca="false">SUM(B172:D172)</f>
        <v>0</v>
      </c>
    </row>
    <row r="173" customFormat="false" ht="15" hidden="false" customHeight="false" outlineLevel="0" collapsed="false">
      <c r="A173" s="3" t="s">
        <v>90</v>
      </c>
      <c r="B173" s="10" t="n">
        <f aca="false">SUM(B162:B172)</f>
        <v>2000366.50866667</v>
      </c>
      <c r="C173" s="10" t="n">
        <f aca="false">SUM(C162:C172)</f>
        <v>0</v>
      </c>
      <c r="D173" s="10" t="n">
        <f aca="false">SUM(D162:D172)</f>
        <v>791253.754430985</v>
      </c>
      <c r="E173" s="10" t="n">
        <f aca="false">SUM(E162:E172)</f>
        <v>2791620.26309765</v>
      </c>
    </row>
    <row r="174" customFormat="false" ht="15" hidden="false" customHeight="false" outlineLevel="0" collapsed="false">
      <c r="A174" s="2" t="s">
        <v>91</v>
      </c>
      <c r="B174" s="13" t="n">
        <f aca="false">B173-2000366.50866667</f>
        <v>0</v>
      </c>
      <c r="C174" s="13" t="n">
        <f aca="false">C173-0</f>
        <v>0</v>
      </c>
      <c r="D174" s="13" t="n">
        <f aca="false">D173-791253.754430984</f>
        <v>0</v>
      </c>
    </row>
    <row r="176" customFormat="false" ht="31.5" hidden="false" customHeight="true" outlineLevel="0" collapsed="false">
      <c r="A176" s="8" t="s">
        <v>105</v>
      </c>
      <c r="B176" s="8" t="s">
        <v>76</v>
      </c>
      <c r="C176" s="8" t="s">
        <v>77</v>
      </c>
      <c r="D176" s="8" t="s">
        <v>78</v>
      </c>
      <c r="E176" s="8" t="s">
        <v>79</v>
      </c>
    </row>
    <row r="177" customFormat="false" ht="15" hidden="false" customHeight="false" outlineLevel="0" collapsed="false">
      <c r="A177" s="4" t="s">
        <v>80</v>
      </c>
      <c r="B177" s="11" t="n">
        <f aca="false">B173</f>
        <v>2000366.50866667</v>
      </c>
      <c r="C177" s="11" t="n">
        <f aca="false">C173</f>
        <v>0</v>
      </c>
      <c r="D177" s="11" t="n">
        <f aca="false">D173</f>
        <v>791253.754430985</v>
      </c>
      <c r="E177" s="12" t="n">
        <f aca="false">SUM(B177:D177)</f>
        <v>2791620.26309765</v>
      </c>
    </row>
    <row r="178" customFormat="false" ht="15" hidden="false" customHeight="false" outlineLevel="0" collapsed="false">
      <c r="A178" s="4" t="s">
        <v>57</v>
      </c>
      <c r="B178" s="9" t="n">
        <v>-4092006.00521461</v>
      </c>
      <c r="C178" s="9" t="n">
        <v>0</v>
      </c>
      <c r="D178" s="9" t="n">
        <v>0</v>
      </c>
      <c r="E178" s="12" t="n">
        <f aca="false">SUM(B178:D178)</f>
        <v>-4092006.00521461</v>
      </c>
    </row>
    <row r="179" customFormat="false" ht="15" hidden="false" customHeight="false" outlineLevel="0" collapsed="false">
      <c r="A179" s="4" t="s">
        <v>81</v>
      </c>
      <c r="B179" s="9" t="n">
        <v>0</v>
      </c>
      <c r="C179" s="9" t="n">
        <v>0</v>
      </c>
      <c r="D179" s="9" t="n">
        <v>3222128.07181938</v>
      </c>
      <c r="E179" s="12" t="n">
        <f aca="false">SUM(B179:D179)</f>
        <v>3222128.07181938</v>
      </c>
    </row>
    <row r="180" customFormat="false" ht="15" hidden="false" customHeight="false" outlineLevel="0" collapsed="false">
      <c r="A180" s="4" t="s">
        <v>82</v>
      </c>
      <c r="B180" s="9" t="n">
        <v>0</v>
      </c>
      <c r="C180" s="9" t="n">
        <v>0</v>
      </c>
      <c r="D180" s="9" t="n">
        <v>0</v>
      </c>
      <c r="E180" s="12" t="n">
        <f aca="false">SUM(B180:D180)</f>
        <v>0</v>
      </c>
    </row>
    <row r="181" customFormat="false" ht="15" hidden="false" customHeight="false" outlineLevel="0" collapsed="false">
      <c r="A181" s="4" t="s">
        <v>83</v>
      </c>
      <c r="B181" s="9" t="n">
        <v>0</v>
      </c>
      <c r="C181" s="9" t="n">
        <v>0</v>
      </c>
      <c r="D181" s="9" t="n">
        <v>0</v>
      </c>
      <c r="E181" s="12" t="n">
        <f aca="false">SUM(B181:D181)</f>
        <v>0</v>
      </c>
    </row>
    <row r="182" customFormat="false" ht="15" hidden="false" customHeight="false" outlineLevel="0" collapsed="false">
      <c r="A182" s="4" t="s">
        <v>84</v>
      </c>
      <c r="B182" s="9" t="n">
        <v>0</v>
      </c>
      <c r="C182" s="9" t="n">
        <v>0</v>
      </c>
      <c r="D182" s="9" t="n">
        <v>16829.2719198716</v>
      </c>
      <c r="E182" s="12" t="n">
        <f aca="false">SUM(B182:D182)</f>
        <v>16829.2719198716</v>
      </c>
    </row>
    <row r="183" customFormat="false" ht="15" hidden="false" customHeight="false" outlineLevel="0" collapsed="false">
      <c r="A183" s="4" t="s">
        <v>85</v>
      </c>
      <c r="B183" s="9" t="n">
        <v>0</v>
      </c>
      <c r="C183" s="9" t="n">
        <v>0</v>
      </c>
      <c r="D183" s="9" t="n">
        <v>0</v>
      </c>
      <c r="E183" s="12" t="n">
        <f aca="false">SUM(B183:D183)</f>
        <v>0</v>
      </c>
    </row>
    <row r="184" customFormat="false" ht="15" hidden="false" customHeight="false" outlineLevel="0" collapsed="false">
      <c r="A184" s="4" t="s">
        <v>86</v>
      </c>
      <c r="B184" s="9" t="n">
        <v>0</v>
      </c>
      <c r="C184" s="9" t="n">
        <v>0</v>
      </c>
      <c r="D184" s="9" t="n">
        <v>0</v>
      </c>
      <c r="E184" s="12" t="n">
        <f aca="false">SUM(B184:D184)</f>
        <v>0</v>
      </c>
    </row>
    <row r="185" customFormat="false" ht="15" hidden="false" customHeight="false" outlineLevel="0" collapsed="false">
      <c r="A185" s="4" t="s">
        <v>87</v>
      </c>
      <c r="B185" s="9" t="n">
        <v>4154979.96</v>
      </c>
      <c r="C185" s="9" t="n">
        <v>0</v>
      </c>
      <c r="D185" s="9" t="n">
        <v>0</v>
      </c>
      <c r="E185" s="12" t="n">
        <f aca="false">SUM(B185:D185)</f>
        <v>4154979.96</v>
      </c>
    </row>
    <row r="186" customFormat="false" ht="15" hidden="false" customHeight="false" outlineLevel="0" collapsed="false">
      <c r="A186" s="4" t="s">
        <v>88</v>
      </c>
      <c r="B186" s="9" t="n">
        <v>0</v>
      </c>
      <c r="C186" s="9" t="n">
        <v>0</v>
      </c>
      <c r="D186" s="9" t="n">
        <v>-3310802.11</v>
      </c>
      <c r="E186" s="12" t="n">
        <f aca="false">SUM(B186:D186)</f>
        <v>-3310802.11</v>
      </c>
    </row>
    <row r="187" customFormat="false" ht="15" hidden="false" customHeight="false" outlineLevel="0" collapsed="false">
      <c r="A187" s="4" t="s">
        <v>89</v>
      </c>
      <c r="B187" s="9" t="n">
        <v>0</v>
      </c>
      <c r="C187" s="9" t="n">
        <v>0</v>
      </c>
      <c r="D187" s="9" t="n">
        <v>0</v>
      </c>
      <c r="E187" s="12" t="n">
        <f aca="false">SUM(B187:D187)</f>
        <v>0</v>
      </c>
    </row>
    <row r="188" customFormat="false" ht="15" hidden="false" customHeight="false" outlineLevel="0" collapsed="false">
      <c r="A188" s="3" t="s">
        <v>90</v>
      </c>
      <c r="B188" s="10" t="n">
        <f aca="false">SUM(B177:B187)</f>
        <v>2063340.46345206</v>
      </c>
      <c r="C188" s="10" t="n">
        <f aca="false">SUM(C177:C187)</f>
        <v>0</v>
      </c>
      <c r="D188" s="10" t="n">
        <f aca="false">SUM(D177:D187)</f>
        <v>719408.988170241</v>
      </c>
      <c r="E188" s="10" t="n">
        <f aca="false">SUM(E177:E187)</f>
        <v>2782749.4516223</v>
      </c>
    </row>
    <row r="189" customFormat="false" ht="15" hidden="false" customHeight="false" outlineLevel="0" collapsed="false">
      <c r="A189" s="2" t="s">
        <v>91</v>
      </c>
      <c r="B189" s="13" t="n">
        <f aca="false">B188-2063340.46345206</f>
        <v>0</v>
      </c>
      <c r="C189" s="13" t="n">
        <f aca="false">C188-0</f>
        <v>0</v>
      </c>
      <c r="D189" s="13" t="n">
        <f aca="false">D188-719408.98817024</f>
        <v>0</v>
      </c>
    </row>
    <row r="192" customFormat="false" ht="15" hidden="false" customHeight="false" outlineLevel="0" collapsed="false">
      <c r="A192" s="14" t="s">
        <v>106</v>
      </c>
    </row>
    <row r="193" customFormat="false" ht="31.5" hidden="false" customHeight="true" outlineLevel="0" collapsed="false">
      <c r="A193" s="8" t="s">
        <v>107</v>
      </c>
      <c r="B193" s="8" t="s">
        <v>76</v>
      </c>
      <c r="C193" s="8" t="s">
        <v>77</v>
      </c>
      <c r="D193" s="8" t="s">
        <v>78</v>
      </c>
      <c r="E193" s="8" t="s">
        <v>79</v>
      </c>
    </row>
    <row r="194" customFormat="false" ht="15" hidden="false" customHeight="false" outlineLevel="0" collapsed="false">
      <c r="A194" s="4" t="s">
        <v>80</v>
      </c>
      <c r="B194" s="9" t="n">
        <v>0</v>
      </c>
      <c r="C194" s="9" t="n">
        <v>0</v>
      </c>
      <c r="D194" s="9" t="n">
        <v>0</v>
      </c>
      <c r="E194" s="12" t="n">
        <f aca="false">SUM(B194:D194)</f>
        <v>0</v>
      </c>
    </row>
    <row r="195" customFormat="false" ht="15" hidden="false" customHeight="false" outlineLevel="0" collapsed="false">
      <c r="A195" s="4" t="s">
        <v>57</v>
      </c>
      <c r="B195" s="9" t="n">
        <v>-107018.879147464</v>
      </c>
      <c r="C195" s="9" t="n">
        <v>0</v>
      </c>
      <c r="D195" s="9" t="n">
        <v>0</v>
      </c>
      <c r="E195" s="12" t="n">
        <f aca="false">SUM(B195:D195)</f>
        <v>-107018.879147464</v>
      </c>
    </row>
    <row r="196" customFormat="false" ht="15" hidden="false" customHeight="false" outlineLevel="0" collapsed="false">
      <c r="A196" s="4" t="s">
        <v>81</v>
      </c>
      <c r="B196" s="9" t="n">
        <v>0</v>
      </c>
      <c r="C196" s="9" t="n">
        <v>0</v>
      </c>
      <c r="D196" s="9" t="n">
        <v>123048.628221986</v>
      </c>
      <c r="E196" s="12" t="n">
        <f aca="false">SUM(B196:D196)</f>
        <v>123048.628221986</v>
      </c>
    </row>
    <row r="197" customFormat="false" ht="15" hidden="false" customHeight="false" outlineLevel="0" collapsed="false">
      <c r="A197" s="4" t="s">
        <v>82</v>
      </c>
      <c r="B197" s="9" t="n">
        <v>12842.2654976957</v>
      </c>
      <c r="C197" s="9" t="n">
        <v>0</v>
      </c>
      <c r="D197" s="9" t="n">
        <v>0</v>
      </c>
      <c r="E197" s="12" t="n">
        <f aca="false">SUM(B197:D197)</f>
        <v>12842.2654976957</v>
      </c>
    </row>
    <row r="198" customFormat="false" ht="15" hidden="false" customHeight="false" outlineLevel="0" collapsed="false">
      <c r="A198" s="4" t="s">
        <v>83</v>
      </c>
      <c r="B198" s="9" t="n">
        <v>0</v>
      </c>
      <c r="C198" s="9" t="n">
        <v>0</v>
      </c>
      <c r="D198" s="9" t="n">
        <v>0</v>
      </c>
      <c r="E198" s="12" t="n">
        <f aca="false">SUM(B198:D198)</f>
        <v>0</v>
      </c>
    </row>
    <row r="199" customFormat="false" ht="15" hidden="false" customHeight="false" outlineLevel="0" collapsed="false">
      <c r="A199" s="4" t="s">
        <v>84</v>
      </c>
      <c r="B199" s="9" t="n">
        <v>0</v>
      </c>
      <c r="C199" s="9" t="n">
        <v>0</v>
      </c>
      <c r="D199" s="9" t="n">
        <v>3770.41930563948</v>
      </c>
      <c r="E199" s="12" t="n">
        <f aca="false">SUM(B199:D199)</f>
        <v>3770.41930563948</v>
      </c>
    </row>
    <row r="200" customFormat="false" ht="15" hidden="false" customHeight="false" outlineLevel="0" collapsed="false">
      <c r="A200" s="4" t="s">
        <v>85</v>
      </c>
      <c r="B200" s="9" t="n">
        <v>0</v>
      </c>
      <c r="C200" s="9" t="n">
        <v>0</v>
      </c>
      <c r="D200" s="9" t="n">
        <v>0</v>
      </c>
      <c r="E200" s="12" t="n">
        <f aca="false">SUM(B200:D200)</f>
        <v>0</v>
      </c>
    </row>
    <row r="201" customFormat="false" ht="15" hidden="false" customHeight="false" outlineLevel="0" collapsed="false">
      <c r="A201" s="4" t="s">
        <v>86</v>
      </c>
      <c r="B201" s="9" t="n">
        <v>0</v>
      </c>
      <c r="C201" s="9" t="n">
        <v>0</v>
      </c>
      <c r="D201" s="9" t="n">
        <v>0</v>
      </c>
      <c r="E201" s="12" t="n">
        <f aca="false">SUM(B201:D201)</f>
        <v>0</v>
      </c>
    </row>
    <row r="202" customFormat="false" ht="15" hidden="false" customHeight="false" outlineLevel="0" collapsed="false">
      <c r="A202" s="4" t="s">
        <v>87</v>
      </c>
      <c r="B202" s="9" t="n">
        <v>3463890</v>
      </c>
      <c r="C202" s="9" t="n">
        <v>0</v>
      </c>
      <c r="D202" s="9" t="n">
        <v>0</v>
      </c>
      <c r="E202" s="12" t="n">
        <f aca="false">SUM(B202:D202)</f>
        <v>3463890</v>
      </c>
    </row>
    <row r="203" customFormat="false" ht="15" hidden="false" customHeight="false" outlineLevel="0" collapsed="false">
      <c r="A203" s="4" t="s">
        <v>88</v>
      </c>
      <c r="B203" s="9" t="n">
        <v>0</v>
      </c>
      <c r="C203" s="9" t="n">
        <v>0</v>
      </c>
      <c r="D203" s="9" t="n">
        <v>-100438.54</v>
      </c>
      <c r="E203" s="12" t="n">
        <f aca="false">SUM(B203:D203)</f>
        <v>-100438.54</v>
      </c>
    </row>
    <row r="204" customFormat="false" ht="15" hidden="false" customHeight="false" outlineLevel="0" collapsed="false">
      <c r="A204" s="4" t="s">
        <v>89</v>
      </c>
      <c r="B204" s="9" t="n">
        <v>-415666.8</v>
      </c>
      <c r="C204" s="9" t="n">
        <v>0</v>
      </c>
      <c r="D204" s="9" t="n">
        <v>0</v>
      </c>
      <c r="E204" s="12" t="n">
        <f aca="false">SUM(B204:D204)</f>
        <v>-415666.8</v>
      </c>
    </row>
    <row r="205" customFormat="false" ht="15" hidden="false" customHeight="false" outlineLevel="0" collapsed="false">
      <c r="A205" s="3" t="s">
        <v>90</v>
      </c>
      <c r="B205" s="10" t="n">
        <f aca="false">SUM(B194:B204)</f>
        <v>2954046.58635023</v>
      </c>
      <c r="C205" s="10" t="n">
        <f aca="false">SUM(C194:C204)</f>
        <v>0</v>
      </c>
      <c r="D205" s="10" t="n">
        <f aca="false">SUM(D194:D204)</f>
        <v>26380.5075276258</v>
      </c>
      <c r="E205" s="10" t="n">
        <f aca="false">SUM(E194:E204)</f>
        <v>2980427.09387786</v>
      </c>
    </row>
    <row r="206" customFormat="false" ht="15" hidden="false" customHeight="false" outlineLevel="0" collapsed="false">
      <c r="A206" s="2" t="s">
        <v>91</v>
      </c>
      <c r="B206" s="13" t="n">
        <f aca="false">B205-2954046.58635023</f>
        <v>0</v>
      </c>
      <c r="C206" s="13" t="n">
        <f aca="false">C205-0</f>
        <v>0</v>
      </c>
      <c r="D206" s="13" t="n">
        <f aca="false">D205-26380.5075276258</f>
        <v>0</v>
      </c>
    </row>
    <row r="208" customFormat="false" ht="31.5" hidden="false" customHeight="true" outlineLevel="0" collapsed="false">
      <c r="A208" s="8" t="s">
        <v>108</v>
      </c>
      <c r="B208" s="8" t="s">
        <v>76</v>
      </c>
      <c r="C208" s="8" t="s">
        <v>77</v>
      </c>
      <c r="D208" s="8" t="s">
        <v>78</v>
      </c>
      <c r="E208" s="8" t="s">
        <v>79</v>
      </c>
    </row>
    <row r="209" customFormat="false" ht="15" hidden="false" customHeight="false" outlineLevel="0" collapsed="false">
      <c r="A209" s="4" t="s">
        <v>80</v>
      </c>
      <c r="B209" s="11" t="n">
        <f aca="false">B205</f>
        <v>2954046.58635023</v>
      </c>
      <c r="C209" s="11" t="n">
        <f aca="false">C205</f>
        <v>0</v>
      </c>
      <c r="D209" s="11" t="n">
        <f aca="false">D205</f>
        <v>26380.5075276258</v>
      </c>
      <c r="E209" s="12" t="n">
        <f aca="false">SUM(B209:D209)</f>
        <v>2980427.09387786</v>
      </c>
    </row>
    <row r="210" customFormat="false" ht="15" hidden="false" customHeight="false" outlineLevel="0" collapsed="false">
      <c r="A210" s="4" t="s">
        <v>57</v>
      </c>
      <c r="B210" s="9" t="n">
        <v>-897353.427501853</v>
      </c>
      <c r="C210" s="9" t="n">
        <v>0</v>
      </c>
      <c r="D210" s="9" t="n">
        <v>0</v>
      </c>
      <c r="E210" s="12" t="n">
        <f aca="false">SUM(B210:D210)</f>
        <v>-897353.427501853</v>
      </c>
    </row>
    <row r="211" customFormat="false" ht="15" hidden="false" customHeight="false" outlineLevel="0" collapsed="false">
      <c r="A211" s="4" t="s">
        <v>81</v>
      </c>
      <c r="B211" s="9" t="n">
        <v>0</v>
      </c>
      <c r="C211" s="9" t="n">
        <v>0</v>
      </c>
      <c r="D211" s="9" t="n">
        <v>1022972.43165783</v>
      </c>
      <c r="E211" s="12" t="n">
        <f aca="false">SUM(B211:D211)</f>
        <v>1022972.43165783</v>
      </c>
    </row>
    <row r="212" customFormat="false" ht="15" hidden="false" customHeight="false" outlineLevel="0" collapsed="false">
      <c r="A212" s="4" t="s">
        <v>82</v>
      </c>
      <c r="B212" s="9" t="n">
        <v>107682.411300222</v>
      </c>
      <c r="C212" s="9" t="n">
        <v>0</v>
      </c>
      <c r="D212" s="9" t="n">
        <v>0</v>
      </c>
      <c r="E212" s="12" t="n">
        <f aca="false">SUM(B212:D212)</f>
        <v>107682.411300222</v>
      </c>
    </row>
    <row r="213" customFormat="false" ht="15" hidden="false" customHeight="false" outlineLevel="0" collapsed="false">
      <c r="A213" s="4" t="s">
        <v>83</v>
      </c>
      <c r="B213" s="9" t="n">
        <v>0</v>
      </c>
      <c r="C213" s="9" t="n">
        <v>0</v>
      </c>
      <c r="D213" s="9" t="n">
        <v>0</v>
      </c>
      <c r="E213" s="12" t="n">
        <f aca="false">SUM(B213:D213)</f>
        <v>0</v>
      </c>
    </row>
    <row r="214" customFormat="false" ht="15" hidden="false" customHeight="false" outlineLevel="0" collapsed="false">
      <c r="A214" s="4" t="s">
        <v>84</v>
      </c>
      <c r="B214" s="9" t="n">
        <v>0</v>
      </c>
      <c r="C214" s="9" t="n">
        <v>0</v>
      </c>
      <c r="D214" s="9" t="n">
        <v>78003.5198917031</v>
      </c>
      <c r="E214" s="12" t="n">
        <f aca="false">SUM(B214:D214)</f>
        <v>78003.5198917031</v>
      </c>
    </row>
    <row r="215" customFormat="false" ht="15" hidden="false" customHeight="false" outlineLevel="0" collapsed="false">
      <c r="A215" s="4" t="s">
        <v>85</v>
      </c>
      <c r="B215" s="9" t="n">
        <v>0</v>
      </c>
      <c r="C215" s="9" t="n">
        <v>0</v>
      </c>
      <c r="D215" s="9" t="n">
        <v>0</v>
      </c>
      <c r="E215" s="12" t="n">
        <f aca="false">SUM(B215:D215)</f>
        <v>0</v>
      </c>
    </row>
    <row r="216" customFormat="false" ht="15" hidden="false" customHeight="false" outlineLevel="0" collapsed="false">
      <c r="A216" s="4" t="s">
        <v>86</v>
      </c>
      <c r="B216" s="9" t="n">
        <v>0</v>
      </c>
      <c r="C216" s="9" t="n">
        <v>0</v>
      </c>
      <c r="D216" s="9" t="n">
        <v>640.716975300477</v>
      </c>
      <c r="E216" s="12" t="n">
        <f aca="false">SUM(B216:D216)</f>
        <v>640.716975300477</v>
      </c>
    </row>
    <row r="217" customFormat="false" ht="15" hidden="false" customHeight="false" outlineLevel="0" collapsed="false">
      <c r="A217" s="4" t="s">
        <v>87</v>
      </c>
      <c r="B217" s="9" t="n">
        <v>3392136</v>
      </c>
      <c r="C217" s="9" t="n">
        <v>0</v>
      </c>
      <c r="D217" s="9" t="n">
        <v>0</v>
      </c>
      <c r="E217" s="12" t="n">
        <f aca="false">SUM(B217:D217)</f>
        <v>3392136</v>
      </c>
    </row>
    <row r="218" customFormat="false" ht="15" hidden="false" customHeight="false" outlineLevel="0" collapsed="false">
      <c r="A218" s="4" t="s">
        <v>88</v>
      </c>
      <c r="B218" s="9" t="n">
        <v>0</v>
      </c>
      <c r="C218" s="9" t="n">
        <v>0</v>
      </c>
      <c r="D218" s="9" t="n">
        <v>-455984.68</v>
      </c>
      <c r="E218" s="12" t="n">
        <f aca="false">SUM(B218:D218)</f>
        <v>-455984.68</v>
      </c>
    </row>
    <row r="219" customFormat="false" ht="15" hidden="false" customHeight="false" outlineLevel="0" collapsed="false">
      <c r="A219" s="4" t="s">
        <v>89</v>
      </c>
      <c r="B219" s="9" t="n">
        <v>-407056.32</v>
      </c>
      <c r="C219" s="9" t="n">
        <v>0</v>
      </c>
      <c r="D219" s="9" t="n">
        <v>0</v>
      </c>
      <c r="E219" s="12" t="n">
        <f aca="false">SUM(B219:D219)</f>
        <v>-407056.32</v>
      </c>
    </row>
    <row r="220" customFormat="false" ht="15" hidden="false" customHeight="false" outlineLevel="0" collapsed="false">
      <c r="A220" s="3" t="s">
        <v>90</v>
      </c>
      <c r="B220" s="10" t="n">
        <f aca="false">SUM(B209:B219)</f>
        <v>5149455.2501486</v>
      </c>
      <c r="C220" s="10" t="n">
        <f aca="false">SUM(C209:C219)</f>
        <v>0</v>
      </c>
      <c r="D220" s="10" t="n">
        <f aca="false">SUM(D209:D219)</f>
        <v>672012.49605246</v>
      </c>
      <c r="E220" s="10" t="n">
        <f aca="false">SUM(E209:E219)</f>
        <v>5821467.74620106</v>
      </c>
    </row>
    <row r="221" customFormat="false" ht="15" hidden="false" customHeight="false" outlineLevel="0" collapsed="false">
      <c r="A221" s="2" t="s">
        <v>91</v>
      </c>
      <c r="B221" s="13" t="n">
        <f aca="false">B220-5149455.2501486</f>
        <v>0</v>
      </c>
      <c r="C221" s="13" t="n">
        <f aca="false">C220-0</f>
        <v>0</v>
      </c>
      <c r="D221" s="13" t="n">
        <f aca="false">D220-672012.49605246</f>
        <v>0</v>
      </c>
    </row>
    <row r="223" customFormat="false" ht="31.5" hidden="false" customHeight="true" outlineLevel="0" collapsed="false">
      <c r="A223" s="8" t="s">
        <v>109</v>
      </c>
      <c r="B223" s="8" t="s">
        <v>76</v>
      </c>
      <c r="C223" s="8" t="s">
        <v>77</v>
      </c>
      <c r="D223" s="8" t="s">
        <v>78</v>
      </c>
      <c r="E223" s="8" t="s">
        <v>79</v>
      </c>
    </row>
    <row r="224" customFormat="false" ht="15" hidden="false" customHeight="false" outlineLevel="0" collapsed="false">
      <c r="A224" s="4" t="s">
        <v>80</v>
      </c>
      <c r="B224" s="11" t="n">
        <f aca="false">B220</f>
        <v>5149455.2501486</v>
      </c>
      <c r="C224" s="11" t="n">
        <f aca="false">C220</f>
        <v>0</v>
      </c>
      <c r="D224" s="11" t="n">
        <f aca="false">D220</f>
        <v>672012.49605246</v>
      </c>
      <c r="E224" s="12" t="n">
        <f aca="false">SUM(B224:D224)</f>
        <v>5821467.74620106</v>
      </c>
    </row>
    <row r="225" customFormat="false" ht="15" hidden="false" customHeight="false" outlineLevel="0" collapsed="false">
      <c r="A225" s="4" t="s">
        <v>57</v>
      </c>
      <c r="B225" s="9" t="n">
        <v>-2432570.73318688</v>
      </c>
      <c r="C225" s="9" t="n">
        <v>0</v>
      </c>
      <c r="D225" s="9" t="n">
        <v>0</v>
      </c>
      <c r="E225" s="12" t="n">
        <f aca="false">SUM(B225:D225)</f>
        <v>-2432570.73318688</v>
      </c>
    </row>
    <row r="226" customFormat="false" ht="15" hidden="false" customHeight="false" outlineLevel="0" collapsed="false">
      <c r="A226" s="4" t="s">
        <v>81</v>
      </c>
      <c r="B226" s="9" t="n">
        <v>0</v>
      </c>
      <c r="C226" s="9" t="n">
        <v>0</v>
      </c>
      <c r="D226" s="9" t="n">
        <v>1738719.02304851</v>
      </c>
      <c r="E226" s="12" t="n">
        <f aca="false">SUM(B226:D226)</f>
        <v>1738719.02304851</v>
      </c>
    </row>
    <row r="227" customFormat="false" ht="15" hidden="false" customHeight="false" outlineLevel="0" collapsed="false">
      <c r="A227" s="4" t="s">
        <v>82</v>
      </c>
      <c r="B227" s="9" t="n">
        <v>291908.487982426</v>
      </c>
      <c r="C227" s="9" t="n">
        <v>0</v>
      </c>
      <c r="D227" s="9" t="n">
        <v>0</v>
      </c>
      <c r="E227" s="12" t="n">
        <f aca="false">SUM(B227:D227)</f>
        <v>291908.487982426</v>
      </c>
    </row>
    <row r="228" customFormat="false" ht="15" hidden="false" customHeight="false" outlineLevel="0" collapsed="false">
      <c r="A228" s="4" t="s">
        <v>83</v>
      </c>
      <c r="B228" s="9" t="n">
        <v>0</v>
      </c>
      <c r="C228" s="9" t="n">
        <v>0</v>
      </c>
      <c r="D228" s="9" t="n">
        <v>0</v>
      </c>
      <c r="E228" s="12" t="n">
        <f aca="false">SUM(B228:D228)</f>
        <v>0</v>
      </c>
    </row>
    <row r="229" customFormat="false" ht="15" hidden="false" customHeight="false" outlineLevel="0" collapsed="false">
      <c r="A229" s="4" t="s">
        <v>84</v>
      </c>
      <c r="B229" s="9" t="n">
        <v>0</v>
      </c>
      <c r="C229" s="9" t="n">
        <v>0</v>
      </c>
      <c r="D229" s="9" t="n">
        <v>644806.27051779</v>
      </c>
      <c r="E229" s="12" t="n">
        <f aca="false">SUM(B229:D229)</f>
        <v>644806.27051779</v>
      </c>
    </row>
    <row r="230" customFormat="false" ht="15" hidden="false" customHeight="false" outlineLevel="0" collapsed="false">
      <c r="A230" s="4" t="s">
        <v>85</v>
      </c>
      <c r="B230" s="9" t="n">
        <v>0</v>
      </c>
      <c r="C230" s="9" t="n">
        <v>0</v>
      </c>
      <c r="D230" s="9" t="n">
        <v>0</v>
      </c>
      <c r="E230" s="12" t="n">
        <f aca="false">SUM(B230:D230)</f>
        <v>0</v>
      </c>
    </row>
    <row r="231" customFormat="false" ht="15" hidden="false" customHeight="false" outlineLevel="0" collapsed="false">
      <c r="A231" s="4" t="s">
        <v>86</v>
      </c>
      <c r="B231" s="9" t="n">
        <v>0</v>
      </c>
      <c r="C231" s="9" t="n">
        <v>0</v>
      </c>
      <c r="D231" s="9" t="n">
        <v>13506.0783690465</v>
      </c>
      <c r="E231" s="12" t="n">
        <f aca="false">SUM(B231:D231)</f>
        <v>13506.0783690465</v>
      </c>
    </row>
    <row r="232" customFormat="false" ht="15" hidden="false" customHeight="false" outlineLevel="0" collapsed="false">
      <c r="A232" s="4" t="s">
        <v>87</v>
      </c>
      <c r="B232" s="9" t="n">
        <v>3087678</v>
      </c>
      <c r="C232" s="9" t="n">
        <v>0</v>
      </c>
      <c r="D232" s="9" t="n">
        <v>0</v>
      </c>
      <c r="E232" s="12" t="n">
        <f aca="false">SUM(B232:D232)</f>
        <v>3087678</v>
      </c>
    </row>
    <row r="233" customFormat="false" ht="15" hidden="false" customHeight="false" outlineLevel="0" collapsed="false">
      <c r="A233" s="4" t="s">
        <v>88</v>
      </c>
      <c r="B233" s="9" t="n">
        <v>0</v>
      </c>
      <c r="C233" s="9" t="n">
        <v>0</v>
      </c>
      <c r="D233" s="9" t="n">
        <v>-1829471.97</v>
      </c>
      <c r="E233" s="12" t="n">
        <f aca="false">SUM(B233:D233)</f>
        <v>-1829471.97</v>
      </c>
    </row>
    <row r="234" customFormat="false" ht="15" hidden="false" customHeight="false" outlineLevel="0" collapsed="false">
      <c r="A234" s="4" t="s">
        <v>89</v>
      </c>
      <c r="B234" s="9" t="n">
        <v>-370521.36</v>
      </c>
      <c r="C234" s="9" t="n">
        <v>0</v>
      </c>
      <c r="D234" s="9" t="n">
        <v>0</v>
      </c>
      <c r="E234" s="12" t="n">
        <f aca="false">SUM(B234:D234)</f>
        <v>-370521.36</v>
      </c>
    </row>
    <row r="235" customFormat="false" ht="15" hidden="false" customHeight="false" outlineLevel="0" collapsed="false">
      <c r="A235" s="3" t="s">
        <v>90</v>
      </c>
      <c r="B235" s="10" t="n">
        <f aca="false">SUM(B224:B234)</f>
        <v>5725949.64494414</v>
      </c>
      <c r="C235" s="10" t="n">
        <f aca="false">SUM(C224:C234)</f>
        <v>0</v>
      </c>
      <c r="D235" s="10" t="n">
        <f aca="false">SUM(D224:D234)</f>
        <v>1239571.8979878</v>
      </c>
      <c r="E235" s="10" t="n">
        <f aca="false">SUM(E224:E234)</f>
        <v>6965521.54293195</v>
      </c>
    </row>
    <row r="236" customFormat="false" ht="15" hidden="false" customHeight="false" outlineLevel="0" collapsed="false">
      <c r="A236" s="2" t="s">
        <v>91</v>
      </c>
      <c r="B236" s="13" t="n">
        <f aca="false">B235-5725949.64494414</f>
        <v>0</v>
      </c>
      <c r="C236" s="13" t="n">
        <f aca="false">C235-0</f>
        <v>0</v>
      </c>
      <c r="D236" s="13" t="n">
        <f aca="false">D235-1239571.8979878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2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14" t="s">
        <v>74</v>
      </c>
    </row>
    <row r="5" customFormat="false" ht="31.5" hidden="false" customHeight="true" outlineLevel="0" collapsed="false">
      <c r="A5" s="8" t="s">
        <v>75</v>
      </c>
      <c r="B5" s="8" t="s">
        <v>112</v>
      </c>
      <c r="C5" s="8" t="s">
        <v>113</v>
      </c>
      <c r="D5" s="8" t="s">
        <v>114</v>
      </c>
      <c r="E5" s="8" t="s">
        <v>79</v>
      </c>
    </row>
    <row r="6" customFormat="false" ht="15" hidden="false" customHeight="false" outlineLevel="0" collapsed="false">
      <c r="A6" s="4" t="s">
        <v>80</v>
      </c>
      <c r="B6" s="9" t="n">
        <v>0</v>
      </c>
      <c r="C6" s="9" t="n">
        <v>0</v>
      </c>
      <c r="D6" s="9" t="n">
        <v>0</v>
      </c>
      <c r="E6" s="12" t="n">
        <f aca="false">SUM(B6:D6)</f>
        <v>0</v>
      </c>
    </row>
    <row r="7" customFormat="false" ht="15" hidden="false" customHeight="false" outlineLevel="0" collapsed="false">
      <c r="A7" s="4" t="s">
        <v>115</v>
      </c>
      <c r="B7" s="9" t="n">
        <v>320955.876119306</v>
      </c>
      <c r="C7" s="9" t="n">
        <v>17259.843579707</v>
      </c>
      <c r="D7" s="9" t="n">
        <v>-338215.719699013</v>
      </c>
      <c r="E7" s="12" t="n">
        <f aca="false">SUM(B7:D7)</f>
        <v>0</v>
      </c>
    </row>
    <row r="8" customFormat="false" ht="15" hidden="false" customHeight="false" outlineLevel="0" collapsed="false">
      <c r="A8" s="4" t="s">
        <v>116</v>
      </c>
      <c r="B8" s="9" t="n">
        <v>57414.1457504582</v>
      </c>
      <c r="C8" s="9" t="n">
        <v>4482.55780461003</v>
      </c>
      <c r="D8" s="9" t="n">
        <v>0</v>
      </c>
      <c r="E8" s="12" t="n">
        <f aca="false">SUM(B8:D8)</f>
        <v>61896.7035550682</v>
      </c>
    </row>
    <row r="9" customFormat="false" ht="15" hidden="false" customHeight="false" outlineLevel="0" collapsed="false">
      <c r="A9" s="4" t="s">
        <v>117</v>
      </c>
      <c r="B9" s="9" t="n">
        <v>0</v>
      </c>
      <c r="C9" s="9" t="n">
        <v>0</v>
      </c>
      <c r="D9" s="9" t="n">
        <v>0</v>
      </c>
      <c r="E9" s="12" t="n">
        <f aca="false">SUM(B9:D9)</f>
        <v>0</v>
      </c>
    </row>
    <row r="10" customFormat="false" ht="15" hidden="false" customHeight="false" outlineLevel="0" collapsed="false">
      <c r="A10" s="4" t="s">
        <v>118</v>
      </c>
      <c r="B10" s="9" t="n">
        <v>-4164573.54415596</v>
      </c>
      <c r="C10" s="9" t="n">
        <v>1210744.2995255</v>
      </c>
      <c r="D10" s="9" t="n">
        <v>3117508.85294399</v>
      </c>
      <c r="E10" s="12" t="n">
        <f aca="false">SUM(B10:D10)</f>
        <v>163679.608313521</v>
      </c>
    </row>
    <row r="11" customFormat="false" ht="15" hidden="false" customHeight="false" outlineLevel="0" collapsed="false">
      <c r="A11" s="4" t="s">
        <v>119</v>
      </c>
      <c r="B11" s="9" t="n">
        <v>0</v>
      </c>
      <c r="C11" s="9" t="n">
        <v>0</v>
      </c>
      <c r="D11" s="9" t="n">
        <v>-144388.946433963</v>
      </c>
      <c r="E11" s="12" t="n">
        <f aca="false">SUM(B11:D11)</f>
        <v>-144388.946433963</v>
      </c>
    </row>
    <row r="12" customFormat="false" ht="15" hidden="false" customHeight="false" outlineLevel="0" collapsed="false">
      <c r="A12" s="4" t="s">
        <v>120</v>
      </c>
      <c r="B12" s="9" t="n">
        <v>0</v>
      </c>
      <c r="C12" s="9" t="n">
        <v>-2541.89141100802</v>
      </c>
      <c r="D12" s="9" t="n">
        <v>0</v>
      </c>
      <c r="E12" s="12" t="n">
        <f aca="false">SUM(B12:D12)</f>
        <v>-2541.89141100802</v>
      </c>
    </row>
    <row r="13" customFormat="false" ht="15" hidden="false" customHeight="false" outlineLevel="0" collapsed="false">
      <c r="A13" s="4" t="s">
        <v>121</v>
      </c>
      <c r="B13" s="9" t="n">
        <v>85823.2232933163</v>
      </c>
      <c r="C13" s="9" t="n">
        <v>0</v>
      </c>
      <c r="D13" s="9" t="n">
        <v>0</v>
      </c>
      <c r="E13" s="12" t="n">
        <f aca="false">SUM(B13:D13)</f>
        <v>85823.2232933163</v>
      </c>
    </row>
    <row r="14" customFormat="false" ht="15" hidden="false" customHeight="false" outlineLevel="0" collapsed="false">
      <c r="A14" s="4" t="s">
        <v>86</v>
      </c>
      <c r="B14" s="9" t="n">
        <v>-76281.1674886746</v>
      </c>
      <c r="C14" s="9" t="n">
        <v>0</v>
      </c>
      <c r="D14" s="9" t="n">
        <v>91110.7981649495</v>
      </c>
      <c r="E14" s="12" t="n">
        <f aca="false">SUM(B14:D14)</f>
        <v>14829.6306762749</v>
      </c>
    </row>
    <row r="15" customFormat="false" ht="15" hidden="false" customHeight="false" outlineLevel="0" collapsed="false">
      <c r="A15" s="4" t="s">
        <v>122</v>
      </c>
      <c r="B15" s="9" t="n">
        <v>3330340.94</v>
      </c>
      <c r="C15" s="9" t="n">
        <v>0</v>
      </c>
      <c r="D15" s="9" t="n">
        <v>0</v>
      </c>
      <c r="E15" s="12" t="n">
        <f aca="false">SUM(B15:D15)</f>
        <v>3330340.94</v>
      </c>
    </row>
    <row r="16" customFormat="false" ht="15" hidden="false" customHeight="false" outlineLevel="0" collapsed="false">
      <c r="A16" s="4" t="s">
        <v>123</v>
      </c>
      <c r="B16" s="9" t="n">
        <v>-1026865.53075475</v>
      </c>
      <c r="C16" s="9" t="n">
        <v>0</v>
      </c>
      <c r="D16" s="9" t="n">
        <v>0</v>
      </c>
      <c r="E16" s="12" t="n">
        <f aca="false">SUM(B16:D16)</f>
        <v>-1026865.53075475</v>
      </c>
    </row>
    <row r="17" customFormat="false" ht="15" hidden="false" customHeight="false" outlineLevel="0" collapsed="false">
      <c r="A17" s="4" t="s">
        <v>85</v>
      </c>
      <c r="B17" s="9" t="n">
        <v>0</v>
      </c>
      <c r="C17" s="9" t="n">
        <v>0</v>
      </c>
      <c r="D17" s="9" t="n">
        <v>0</v>
      </c>
      <c r="E17" s="12" t="n">
        <f aca="false">SUM(B17:D17)</f>
        <v>0</v>
      </c>
    </row>
    <row r="18" customFormat="false" ht="15" hidden="false" customHeight="false" outlineLevel="0" collapsed="false">
      <c r="A18" s="4" t="s">
        <v>89</v>
      </c>
      <c r="B18" s="9" t="n">
        <v>-2120728.69</v>
      </c>
      <c r="C18" s="9" t="n">
        <v>0</v>
      </c>
      <c r="D18" s="9" t="n">
        <v>0</v>
      </c>
      <c r="E18" s="12" t="n">
        <f aca="false">SUM(B18:D18)</f>
        <v>-2120728.69</v>
      </c>
    </row>
    <row r="19" customFormat="false" ht="15" hidden="false" customHeight="false" outlineLevel="0" collapsed="false">
      <c r="A19" s="3" t="s">
        <v>90</v>
      </c>
      <c r="B19" s="10" t="n">
        <f aca="false">SUM(B6:B18)</f>
        <v>-3593914.74723631</v>
      </c>
      <c r="C19" s="10" t="n">
        <f aca="false">SUM(C6:C18)</f>
        <v>1229944.80949881</v>
      </c>
      <c r="D19" s="10" t="n">
        <f aca="false">SUM(D6:D18)</f>
        <v>2726014.98497596</v>
      </c>
      <c r="E19" s="10" t="n">
        <f aca="false">SUM(E6:E18)</f>
        <v>362045.047238458</v>
      </c>
    </row>
    <row r="20" customFormat="false" ht="15" hidden="false" customHeight="false" outlineLevel="0" collapsed="false">
      <c r="A20" s="2" t="s">
        <v>91</v>
      </c>
      <c r="B20" s="13" t="n">
        <f aca="false">B19--3593914.74723631</f>
        <v>0</v>
      </c>
      <c r="C20" s="13" t="n">
        <f aca="false">C19-1229944.8094988</f>
        <v>0</v>
      </c>
      <c r="D20" s="13" t="n">
        <f aca="false">D19-2726014.98497596</f>
        <v>0</v>
      </c>
    </row>
    <row r="22" customFormat="false" ht="31.5" hidden="false" customHeight="true" outlineLevel="0" collapsed="false">
      <c r="A22" s="8" t="s">
        <v>92</v>
      </c>
      <c r="B22" s="8" t="s">
        <v>112</v>
      </c>
      <c r="C22" s="8" t="s">
        <v>113</v>
      </c>
      <c r="D22" s="8" t="s">
        <v>114</v>
      </c>
      <c r="E22" s="8" t="s">
        <v>79</v>
      </c>
    </row>
    <row r="23" customFormat="false" ht="15" hidden="false" customHeight="false" outlineLevel="0" collapsed="false">
      <c r="A23" s="4" t="s">
        <v>80</v>
      </c>
      <c r="B23" s="11" t="n">
        <f aca="false">B19</f>
        <v>-3593914.74723631</v>
      </c>
      <c r="C23" s="11" t="n">
        <f aca="false">C19</f>
        <v>1229944.80949881</v>
      </c>
      <c r="D23" s="11" t="n">
        <f aca="false">D19</f>
        <v>2726014.98497596</v>
      </c>
      <c r="E23" s="12" t="n">
        <f aca="false">SUM(B23:D23)</f>
        <v>362045.047238458</v>
      </c>
    </row>
    <row r="24" customFormat="false" ht="15" hidden="false" customHeight="false" outlineLevel="0" collapsed="false">
      <c r="A24" s="4" t="s">
        <v>115</v>
      </c>
      <c r="B24" s="9" t="n">
        <v>695871.311704847</v>
      </c>
      <c r="C24" s="9" t="n">
        <v>44478.291219163</v>
      </c>
      <c r="D24" s="9" t="n">
        <v>-740349.60292401</v>
      </c>
      <c r="E24" s="12" t="n">
        <f aca="false">SUM(B24:D24)</f>
        <v>0</v>
      </c>
    </row>
    <row r="25" customFormat="false" ht="15" hidden="false" customHeight="false" outlineLevel="0" collapsed="false">
      <c r="A25" s="4" t="s">
        <v>116</v>
      </c>
      <c r="B25" s="9" t="n">
        <v>494066.723840806</v>
      </c>
      <c r="C25" s="9" t="n">
        <v>27820.1151900779</v>
      </c>
      <c r="D25" s="9" t="n">
        <v>0</v>
      </c>
      <c r="E25" s="12" t="n">
        <f aca="false">SUM(B25:D25)</f>
        <v>521886.839030884</v>
      </c>
    </row>
    <row r="26" customFormat="false" ht="15" hidden="false" customHeight="false" outlineLevel="0" collapsed="false">
      <c r="A26" s="4" t="s">
        <v>117</v>
      </c>
      <c r="B26" s="9" t="n">
        <v>0</v>
      </c>
      <c r="C26" s="9" t="n">
        <v>0</v>
      </c>
      <c r="D26" s="9" t="n">
        <v>0</v>
      </c>
      <c r="E26" s="12" t="n">
        <f aca="false">SUM(B26:D26)</f>
        <v>0</v>
      </c>
    </row>
    <row r="27" customFormat="false" ht="15" hidden="false" customHeight="false" outlineLevel="0" collapsed="false">
      <c r="A27" s="4" t="s">
        <v>118</v>
      </c>
      <c r="B27" s="9" t="n">
        <v>-4020735.0651572</v>
      </c>
      <c r="C27" s="9" t="n">
        <v>1231288.75597519</v>
      </c>
      <c r="D27" s="9" t="n">
        <v>2940782.65108884</v>
      </c>
      <c r="E27" s="12" t="n">
        <f aca="false">SUM(B27:D27)</f>
        <v>151336.34190683</v>
      </c>
    </row>
    <row r="28" customFormat="false" ht="15" hidden="false" customHeight="false" outlineLevel="0" collapsed="false">
      <c r="A28" s="4" t="s">
        <v>119</v>
      </c>
      <c r="B28" s="9" t="n">
        <v>0</v>
      </c>
      <c r="C28" s="9" t="n">
        <v>0</v>
      </c>
      <c r="D28" s="9" t="n">
        <v>-365540.562194107</v>
      </c>
      <c r="E28" s="12" t="n">
        <f aca="false">SUM(B28:D28)</f>
        <v>-365540.562194107</v>
      </c>
    </row>
    <row r="29" customFormat="false" ht="15" hidden="false" customHeight="false" outlineLevel="0" collapsed="false">
      <c r="A29" s="4" t="s">
        <v>120</v>
      </c>
      <c r="B29" s="9" t="n">
        <v>0</v>
      </c>
      <c r="C29" s="9" t="n">
        <v>-216542.840640099</v>
      </c>
      <c r="D29" s="9" t="n">
        <v>0</v>
      </c>
      <c r="E29" s="12" t="n">
        <f aca="false">SUM(B29:D29)</f>
        <v>-216542.840640099</v>
      </c>
    </row>
    <row r="30" customFormat="false" ht="15" hidden="false" customHeight="false" outlineLevel="0" collapsed="false">
      <c r="A30" s="4" t="s">
        <v>121</v>
      </c>
      <c r="B30" s="9" t="n">
        <v>-849137.047599357</v>
      </c>
      <c r="C30" s="9" t="n">
        <v>0</v>
      </c>
      <c r="D30" s="9" t="n">
        <v>0</v>
      </c>
      <c r="E30" s="12" t="n">
        <f aca="false">SUM(B30:D30)</f>
        <v>-849137.047599357</v>
      </c>
    </row>
    <row r="31" customFormat="false" ht="15" hidden="false" customHeight="false" outlineLevel="0" collapsed="false">
      <c r="A31" s="4" t="s">
        <v>86</v>
      </c>
      <c r="B31" s="9" t="n">
        <v>-349291.014673972</v>
      </c>
      <c r="C31" s="9" t="n">
        <v>0</v>
      </c>
      <c r="D31" s="9" t="n">
        <v>224456.780839021</v>
      </c>
      <c r="E31" s="12" t="n">
        <f aca="false">SUM(B31:D31)</f>
        <v>-124834.233834952</v>
      </c>
    </row>
    <row r="32" customFormat="false" ht="15" hidden="false" customHeight="false" outlineLevel="0" collapsed="false">
      <c r="A32" s="4" t="s">
        <v>122</v>
      </c>
      <c r="B32" s="9" t="n">
        <v>6304236.54</v>
      </c>
      <c r="C32" s="9" t="n">
        <v>0</v>
      </c>
      <c r="D32" s="9" t="n">
        <v>0</v>
      </c>
      <c r="E32" s="12" t="n">
        <f aca="false">SUM(B32:D32)</f>
        <v>6304236.54</v>
      </c>
    </row>
    <row r="33" customFormat="false" ht="15" hidden="false" customHeight="false" outlineLevel="0" collapsed="false">
      <c r="A33" s="4" t="s">
        <v>123</v>
      </c>
      <c r="B33" s="9" t="n">
        <v>-1961017.56235217</v>
      </c>
      <c r="C33" s="9" t="n">
        <v>0</v>
      </c>
      <c r="D33" s="9" t="n">
        <v>0</v>
      </c>
      <c r="E33" s="12" t="n">
        <f aca="false">SUM(B33:D33)</f>
        <v>-1961017.56235217</v>
      </c>
    </row>
    <row r="34" customFormat="false" ht="15" hidden="false" customHeight="false" outlineLevel="0" collapsed="false">
      <c r="A34" s="4" t="s">
        <v>85</v>
      </c>
      <c r="B34" s="9" t="n">
        <v>0</v>
      </c>
      <c r="C34" s="9" t="n">
        <v>0</v>
      </c>
      <c r="D34" s="9" t="n">
        <v>0</v>
      </c>
      <c r="E34" s="12" t="n">
        <f aca="false">SUM(B34:D34)</f>
        <v>0</v>
      </c>
    </row>
    <row r="35" customFormat="false" ht="15" hidden="false" customHeight="false" outlineLevel="0" collapsed="false">
      <c r="A35" s="4" t="s">
        <v>89</v>
      </c>
      <c r="B35" s="9" t="n">
        <v>-2109882.63</v>
      </c>
      <c r="C35" s="9" t="n">
        <v>0</v>
      </c>
      <c r="D35" s="9" t="n">
        <v>0</v>
      </c>
      <c r="E35" s="12" t="n">
        <f aca="false">SUM(B35:D35)</f>
        <v>-2109882.63</v>
      </c>
    </row>
    <row r="36" customFormat="false" ht="15" hidden="false" customHeight="false" outlineLevel="0" collapsed="false">
      <c r="A36" s="3" t="s">
        <v>90</v>
      </c>
      <c r="B36" s="10" t="n">
        <f aca="false">SUM(B23:B35)</f>
        <v>-5389803.49147336</v>
      </c>
      <c r="C36" s="10" t="n">
        <f aca="false">SUM(C23:C35)</f>
        <v>2316989.13124314</v>
      </c>
      <c r="D36" s="10" t="n">
        <f aca="false">SUM(D23:D35)</f>
        <v>4785364.25178571</v>
      </c>
      <c r="E36" s="10" t="n">
        <f aca="false">SUM(E23:E35)</f>
        <v>1712549.89155549</v>
      </c>
    </row>
    <row r="37" customFormat="false" ht="15" hidden="false" customHeight="false" outlineLevel="0" collapsed="false">
      <c r="A37" s="2" t="s">
        <v>91</v>
      </c>
      <c r="B37" s="13" t="n">
        <f aca="false">B36--5389803.49147336</f>
        <v>0</v>
      </c>
      <c r="C37" s="13" t="n">
        <f aca="false">C36-2316989.13124314</f>
        <v>0</v>
      </c>
      <c r="D37" s="13" t="n">
        <f aca="false">D36-4785364.25178571</f>
        <v>0</v>
      </c>
    </row>
    <row r="39" customFormat="false" ht="31.5" hidden="false" customHeight="true" outlineLevel="0" collapsed="false">
      <c r="A39" s="8" t="s">
        <v>93</v>
      </c>
      <c r="B39" s="8" t="s">
        <v>112</v>
      </c>
      <c r="C39" s="8" t="s">
        <v>113</v>
      </c>
      <c r="D39" s="8" t="s">
        <v>114</v>
      </c>
      <c r="E39" s="8" t="s">
        <v>79</v>
      </c>
    </row>
    <row r="40" customFormat="false" ht="15" hidden="false" customHeight="false" outlineLevel="0" collapsed="false">
      <c r="A40" s="4" t="s">
        <v>80</v>
      </c>
      <c r="B40" s="11" t="n">
        <f aca="false">B36</f>
        <v>-5389803.49147336</v>
      </c>
      <c r="C40" s="11" t="n">
        <f aca="false">C36</f>
        <v>2316989.13124314</v>
      </c>
      <c r="D40" s="11" t="n">
        <f aca="false">D36</f>
        <v>4785364.25178571</v>
      </c>
      <c r="E40" s="12" t="n">
        <f aca="false">SUM(B40:D40)</f>
        <v>1712549.89155549</v>
      </c>
    </row>
    <row r="41" customFormat="false" ht="15" hidden="false" customHeight="false" outlineLevel="0" collapsed="false">
      <c r="A41" s="4" t="s">
        <v>115</v>
      </c>
      <c r="B41" s="9" t="n">
        <v>-2251074.12584087</v>
      </c>
      <c r="C41" s="9" t="n">
        <v>-105580.530581514</v>
      </c>
      <c r="D41" s="9" t="n">
        <v>2356654.65642238</v>
      </c>
      <c r="E41" s="12" t="n">
        <f aca="false">SUM(B41:D41)</f>
        <v>0</v>
      </c>
    </row>
    <row r="42" customFormat="false" ht="15" hidden="false" customHeight="false" outlineLevel="0" collapsed="false">
      <c r="A42" s="4" t="s">
        <v>116</v>
      </c>
      <c r="B42" s="9" t="n">
        <v>-532040.787527848</v>
      </c>
      <c r="C42" s="9" t="n">
        <v>-33433.0704335123</v>
      </c>
      <c r="D42" s="9" t="n">
        <v>0</v>
      </c>
      <c r="E42" s="12" t="n">
        <f aca="false">SUM(B42:D42)</f>
        <v>-565473.85796136</v>
      </c>
    </row>
    <row r="43" customFormat="false" ht="15" hidden="false" customHeight="false" outlineLevel="0" collapsed="false">
      <c r="A43" s="4" t="s">
        <v>117</v>
      </c>
      <c r="B43" s="9" t="n">
        <v>0</v>
      </c>
      <c r="C43" s="9" t="n">
        <v>0</v>
      </c>
      <c r="D43" s="9" t="n">
        <v>0</v>
      </c>
      <c r="E43" s="12" t="n">
        <f aca="false">SUM(B43:D43)</f>
        <v>0</v>
      </c>
    </row>
    <row r="44" customFormat="false" ht="15" hidden="false" customHeight="false" outlineLevel="0" collapsed="false">
      <c r="A44" s="4" t="s">
        <v>118</v>
      </c>
      <c r="B44" s="9" t="n">
        <v>-5534701.10255854</v>
      </c>
      <c r="C44" s="9" t="n">
        <v>1279700.08841563</v>
      </c>
      <c r="D44" s="9" t="n">
        <v>4255001.01414291</v>
      </c>
      <c r="E44" s="12" t="n">
        <f aca="false">SUM(B44:D44)</f>
        <v>0</v>
      </c>
    </row>
    <row r="45" customFormat="false" ht="15" hidden="false" customHeight="false" outlineLevel="0" collapsed="false">
      <c r="A45" s="4" t="s">
        <v>119</v>
      </c>
      <c r="B45" s="9" t="n">
        <v>0</v>
      </c>
      <c r="C45" s="9" t="n">
        <v>0</v>
      </c>
      <c r="D45" s="9" t="n">
        <v>-897245.38791411</v>
      </c>
      <c r="E45" s="12" t="n">
        <f aca="false">SUM(B45:D45)</f>
        <v>-897245.38791411</v>
      </c>
    </row>
    <row r="46" customFormat="false" ht="15" hidden="false" customHeight="false" outlineLevel="0" collapsed="false">
      <c r="A46" s="4" t="s">
        <v>120</v>
      </c>
      <c r="B46" s="9" t="n">
        <v>0</v>
      </c>
      <c r="C46" s="9" t="n">
        <v>-44458.5708165949</v>
      </c>
      <c r="D46" s="9" t="n">
        <v>0</v>
      </c>
      <c r="E46" s="12" t="n">
        <f aca="false">SUM(B46:D46)</f>
        <v>-44458.5708165949</v>
      </c>
    </row>
    <row r="47" customFormat="false" ht="15" hidden="false" customHeight="false" outlineLevel="0" collapsed="false">
      <c r="A47" s="4" t="s">
        <v>121</v>
      </c>
      <c r="B47" s="9" t="n">
        <v>-477519.71720931</v>
      </c>
      <c r="C47" s="9" t="n">
        <v>0</v>
      </c>
      <c r="D47" s="9" t="n">
        <v>0</v>
      </c>
      <c r="E47" s="12" t="n">
        <f aca="false">SUM(B47:D47)</f>
        <v>-477519.71720931</v>
      </c>
    </row>
    <row r="48" customFormat="false" ht="15" hidden="false" customHeight="false" outlineLevel="0" collapsed="false">
      <c r="A48" s="4" t="s">
        <v>86</v>
      </c>
      <c r="B48" s="9" t="n">
        <v>-360700.176376478</v>
      </c>
      <c r="C48" s="9" t="n">
        <v>0</v>
      </c>
      <c r="D48" s="9" t="n">
        <v>336445.649574928</v>
      </c>
      <c r="E48" s="12" t="n">
        <f aca="false">SUM(B48:D48)</f>
        <v>-24254.5268015495</v>
      </c>
    </row>
    <row r="49" customFormat="false" ht="15" hidden="false" customHeight="false" outlineLevel="0" collapsed="false">
      <c r="A49" s="4" t="s">
        <v>122</v>
      </c>
      <c r="B49" s="9" t="n">
        <v>9418139.31</v>
      </c>
      <c r="C49" s="9" t="n">
        <v>0</v>
      </c>
      <c r="D49" s="9" t="n">
        <v>0</v>
      </c>
      <c r="E49" s="12" t="n">
        <f aca="false">SUM(B49:D49)</f>
        <v>9418139.31</v>
      </c>
    </row>
    <row r="50" customFormat="false" ht="15" hidden="false" customHeight="false" outlineLevel="0" collapsed="false">
      <c r="A50" s="4" t="s">
        <v>123</v>
      </c>
      <c r="B50" s="9" t="n">
        <v>-4296057.97352235</v>
      </c>
      <c r="C50" s="9" t="n">
        <v>0</v>
      </c>
      <c r="D50" s="9" t="n">
        <v>0</v>
      </c>
      <c r="E50" s="12" t="n">
        <f aca="false">SUM(B50:D50)</f>
        <v>-4296057.97352235</v>
      </c>
    </row>
    <row r="51" customFormat="false" ht="15" hidden="false" customHeight="false" outlineLevel="0" collapsed="false">
      <c r="A51" s="4" t="s">
        <v>85</v>
      </c>
      <c r="B51" s="9" t="n">
        <v>0</v>
      </c>
      <c r="C51" s="9" t="n">
        <v>0</v>
      </c>
      <c r="D51" s="9" t="n">
        <v>0</v>
      </c>
      <c r="E51" s="12" t="n">
        <f aca="false">SUM(B51:D51)</f>
        <v>0</v>
      </c>
    </row>
    <row r="52" customFormat="false" ht="15" hidden="false" customHeight="false" outlineLevel="0" collapsed="false">
      <c r="A52" s="4" t="s">
        <v>89</v>
      </c>
      <c r="B52" s="9" t="n">
        <v>-2251767.98</v>
      </c>
      <c r="C52" s="9" t="n">
        <v>0</v>
      </c>
      <c r="D52" s="9" t="n">
        <v>0</v>
      </c>
      <c r="E52" s="12" t="n">
        <f aca="false">SUM(B52:D52)</f>
        <v>-2251767.98</v>
      </c>
    </row>
    <row r="53" customFormat="false" ht="15" hidden="false" customHeight="false" outlineLevel="0" collapsed="false">
      <c r="A53" s="3" t="s">
        <v>90</v>
      </c>
      <c r="B53" s="10" t="n">
        <f aca="false">SUM(B40:B52)</f>
        <v>-11675526.0445088</v>
      </c>
      <c r="C53" s="10" t="n">
        <f aca="false">SUM(C40:C52)</f>
        <v>3413217.04782715</v>
      </c>
      <c r="D53" s="10" t="n">
        <f aca="false">SUM(D40:D52)</f>
        <v>10836220.1840118</v>
      </c>
      <c r="E53" s="10" t="n">
        <f aca="false">SUM(E40:E52)</f>
        <v>2573911.18733021</v>
      </c>
    </row>
    <row r="54" customFormat="false" ht="15" hidden="false" customHeight="false" outlineLevel="0" collapsed="false">
      <c r="A54" s="2" t="s">
        <v>91</v>
      </c>
      <c r="B54" s="13" t="n">
        <f aca="false">B53--11675526.0445088</f>
        <v>0</v>
      </c>
      <c r="C54" s="13" t="n">
        <f aca="false">C53-3413217.04782715</f>
        <v>0</v>
      </c>
      <c r="D54" s="13" t="n">
        <f aca="false">D53-10836220.1840118</f>
        <v>0</v>
      </c>
    </row>
    <row r="57" customFormat="false" ht="15" hidden="false" customHeight="false" outlineLevel="0" collapsed="false">
      <c r="A57" s="14" t="s">
        <v>94</v>
      </c>
    </row>
    <row r="58" customFormat="false" ht="31.5" hidden="false" customHeight="true" outlineLevel="0" collapsed="false">
      <c r="A58" s="8" t="s">
        <v>95</v>
      </c>
      <c r="B58" s="8" t="s">
        <v>112</v>
      </c>
      <c r="C58" s="8" t="s">
        <v>113</v>
      </c>
      <c r="D58" s="8" t="s">
        <v>114</v>
      </c>
      <c r="E58" s="8" t="s">
        <v>79</v>
      </c>
    </row>
    <row r="59" customFormat="false" ht="15" hidden="false" customHeight="false" outlineLevel="0" collapsed="false">
      <c r="A59" s="4" t="s">
        <v>80</v>
      </c>
      <c r="B59" s="9" t="n">
        <v>0</v>
      </c>
      <c r="C59" s="9" t="n">
        <v>0</v>
      </c>
      <c r="D59" s="9" t="n">
        <v>0</v>
      </c>
      <c r="E59" s="12" t="n">
        <f aca="false">SUM(B59:D59)</f>
        <v>0</v>
      </c>
    </row>
    <row r="60" customFormat="false" ht="15" hidden="false" customHeight="false" outlineLevel="0" collapsed="false">
      <c r="A60" s="4" t="s">
        <v>115</v>
      </c>
      <c r="B60" s="9" t="n">
        <v>21621.3064179447</v>
      </c>
      <c r="C60" s="9" t="n">
        <v>-6149.15509788525</v>
      </c>
      <c r="D60" s="9" t="n">
        <v>-15472.1513200594</v>
      </c>
      <c r="E60" s="12" t="n">
        <f aca="false">SUM(B60:D60)</f>
        <v>0</v>
      </c>
    </row>
    <row r="61" customFormat="false" ht="15" hidden="false" customHeight="false" outlineLevel="0" collapsed="false">
      <c r="A61" s="4" t="s">
        <v>116</v>
      </c>
      <c r="B61" s="9" t="n">
        <v>0</v>
      </c>
      <c r="C61" s="9" t="n">
        <v>0</v>
      </c>
      <c r="D61" s="9" t="n">
        <v>0</v>
      </c>
      <c r="E61" s="12" t="n">
        <f aca="false">SUM(B61:D61)</f>
        <v>0</v>
      </c>
    </row>
    <row r="62" customFormat="false" ht="15" hidden="false" customHeight="false" outlineLevel="0" collapsed="false">
      <c r="A62" s="4" t="s">
        <v>117</v>
      </c>
      <c r="B62" s="9" t="n">
        <v>0</v>
      </c>
      <c r="C62" s="9" t="n">
        <v>0</v>
      </c>
      <c r="D62" s="9" t="n">
        <v>0</v>
      </c>
      <c r="E62" s="12" t="n">
        <f aca="false">SUM(B62:D62)</f>
        <v>0</v>
      </c>
    </row>
    <row r="63" customFormat="false" ht="15" hidden="false" customHeight="false" outlineLevel="0" collapsed="false">
      <c r="A63" s="4" t="s">
        <v>118</v>
      </c>
      <c r="B63" s="9" t="n">
        <v>-3015983.55475368</v>
      </c>
      <c r="C63" s="9" t="n">
        <v>772192.830622793</v>
      </c>
      <c r="D63" s="9" t="n">
        <v>2243790.72413088</v>
      </c>
      <c r="E63" s="12" t="n">
        <f aca="false">SUM(B63:D63)</f>
        <v>0</v>
      </c>
    </row>
    <row r="64" customFormat="false" ht="15" hidden="false" customHeight="false" outlineLevel="0" collapsed="false">
      <c r="A64" s="4" t="s">
        <v>119</v>
      </c>
      <c r="B64" s="9" t="n">
        <v>0</v>
      </c>
      <c r="C64" s="9" t="n">
        <v>0</v>
      </c>
      <c r="D64" s="9" t="n">
        <v>-18642.2387433125</v>
      </c>
      <c r="E64" s="12" t="n">
        <f aca="false">SUM(B64:D64)</f>
        <v>-18642.2387433125</v>
      </c>
    </row>
    <row r="65" customFormat="false" ht="15" hidden="false" customHeight="false" outlineLevel="0" collapsed="false">
      <c r="A65" s="4" t="s">
        <v>120</v>
      </c>
      <c r="B65" s="9" t="n">
        <v>0</v>
      </c>
      <c r="C65" s="9" t="n">
        <v>23872.701713052</v>
      </c>
      <c r="D65" s="9" t="n">
        <v>0</v>
      </c>
      <c r="E65" s="12" t="n">
        <f aca="false">SUM(B65:D65)</f>
        <v>23872.701713052</v>
      </c>
    </row>
    <row r="66" customFormat="false" ht="15" hidden="false" customHeight="false" outlineLevel="0" collapsed="false">
      <c r="A66" s="4" t="s">
        <v>121</v>
      </c>
      <c r="B66" s="9" t="n">
        <v>-30278.0890417744</v>
      </c>
      <c r="C66" s="9" t="n">
        <v>0</v>
      </c>
      <c r="D66" s="9" t="n">
        <v>0</v>
      </c>
      <c r="E66" s="12" t="n">
        <f aca="false">SUM(B66:D66)</f>
        <v>-30278.0890417744</v>
      </c>
    </row>
    <row r="67" customFormat="false" ht="15" hidden="false" customHeight="false" outlineLevel="0" collapsed="false">
      <c r="A67" s="4" t="s">
        <v>86</v>
      </c>
      <c r="B67" s="9" t="n">
        <v>-127580.544899909</v>
      </c>
      <c r="C67" s="9" t="n">
        <v>0</v>
      </c>
      <c r="D67" s="9" t="n">
        <v>68601.9014283838</v>
      </c>
      <c r="E67" s="12" t="n">
        <f aca="false">SUM(B67:D67)</f>
        <v>-58978.6434715248</v>
      </c>
    </row>
    <row r="68" customFormat="false" ht="15" hidden="false" customHeight="false" outlineLevel="0" collapsed="false">
      <c r="A68" s="4" t="s">
        <v>122</v>
      </c>
      <c r="B68" s="9" t="n">
        <v>4518410</v>
      </c>
      <c r="C68" s="9" t="n">
        <v>0</v>
      </c>
      <c r="D68" s="9" t="n">
        <v>0</v>
      </c>
      <c r="E68" s="12" t="n">
        <f aca="false">SUM(B68:D68)</f>
        <v>4518410</v>
      </c>
    </row>
    <row r="69" customFormat="false" ht="15" hidden="false" customHeight="false" outlineLevel="0" collapsed="false">
      <c r="A69" s="4" t="s">
        <v>123</v>
      </c>
      <c r="B69" s="9" t="n">
        <v>-169577.538331067</v>
      </c>
      <c r="C69" s="9" t="n">
        <v>0</v>
      </c>
      <c r="D69" s="9" t="n">
        <v>0</v>
      </c>
      <c r="E69" s="12" t="n">
        <f aca="false">SUM(B69:D69)</f>
        <v>-169577.538331067</v>
      </c>
    </row>
    <row r="70" customFormat="false" ht="15" hidden="false" customHeight="false" outlineLevel="0" collapsed="false">
      <c r="A70" s="4" t="s">
        <v>85</v>
      </c>
      <c r="B70" s="9" t="n">
        <v>-200203.99</v>
      </c>
      <c r="C70" s="9" t="n">
        <v>0</v>
      </c>
      <c r="D70" s="9" t="n">
        <v>0</v>
      </c>
      <c r="E70" s="12" t="n">
        <f aca="false">SUM(B70:D70)</f>
        <v>-200203.99</v>
      </c>
    </row>
    <row r="71" customFormat="false" ht="15" hidden="false" customHeight="false" outlineLevel="0" collapsed="false">
      <c r="A71" s="4" t="s">
        <v>89</v>
      </c>
      <c r="B71" s="9" t="n">
        <v>-1987549.58</v>
      </c>
      <c r="C71" s="9" t="n">
        <v>0</v>
      </c>
      <c r="D71" s="9" t="n">
        <v>0</v>
      </c>
      <c r="E71" s="12" t="n">
        <f aca="false">SUM(B71:D71)</f>
        <v>-1987549.58</v>
      </c>
    </row>
    <row r="72" customFormat="false" ht="15" hidden="false" customHeight="false" outlineLevel="0" collapsed="false">
      <c r="A72" s="3" t="s">
        <v>90</v>
      </c>
      <c r="B72" s="10" t="n">
        <f aca="false">SUM(B59:B71)</f>
        <v>-991141.990608482</v>
      </c>
      <c r="C72" s="10" t="n">
        <f aca="false">SUM(C59:C71)</f>
        <v>789916.37723796</v>
      </c>
      <c r="D72" s="10" t="n">
        <f aca="false">SUM(D59:D71)</f>
        <v>2278278.2354959</v>
      </c>
      <c r="E72" s="10" t="n">
        <f aca="false">SUM(E59:E71)</f>
        <v>2077052.62212537</v>
      </c>
    </row>
    <row r="73" customFormat="false" ht="15" hidden="false" customHeight="false" outlineLevel="0" collapsed="false">
      <c r="A73" s="2" t="s">
        <v>91</v>
      </c>
      <c r="B73" s="13" t="n">
        <f aca="false">B72--991141.990608482</f>
        <v>0</v>
      </c>
      <c r="C73" s="13" t="n">
        <f aca="false">C72-789916.37723796</f>
        <v>0</v>
      </c>
      <c r="D73" s="13" t="n">
        <f aca="false">D72-2278278.2354959</f>
        <v>0</v>
      </c>
    </row>
    <row r="75" customFormat="false" ht="31.5" hidden="false" customHeight="true" outlineLevel="0" collapsed="false">
      <c r="A75" s="8" t="s">
        <v>96</v>
      </c>
      <c r="B75" s="8" t="s">
        <v>112</v>
      </c>
      <c r="C75" s="8" t="s">
        <v>113</v>
      </c>
      <c r="D75" s="8" t="s">
        <v>114</v>
      </c>
      <c r="E75" s="8" t="s">
        <v>79</v>
      </c>
    </row>
    <row r="76" customFormat="false" ht="15" hidden="false" customHeight="false" outlineLevel="0" collapsed="false">
      <c r="A76" s="4" t="s">
        <v>80</v>
      </c>
      <c r="B76" s="11" t="n">
        <f aca="false">B72</f>
        <v>-991141.990608482</v>
      </c>
      <c r="C76" s="11" t="n">
        <f aca="false">C72</f>
        <v>789916.37723796</v>
      </c>
      <c r="D76" s="11" t="n">
        <f aca="false">D72</f>
        <v>2278278.2354959</v>
      </c>
      <c r="E76" s="12" t="n">
        <f aca="false">SUM(B76:D76)</f>
        <v>2077052.62212537</v>
      </c>
    </row>
    <row r="77" customFormat="false" ht="15" hidden="false" customHeight="false" outlineLevel="0" collapsed="false">
      <c r="A77" s="4" t="s">
        <v>115</v>
      </c>
      <c r="B77" s="9" t="n">
        <v>-221428.350057526</v>
      </c>
      <c r="C77" s="9" t="n">
        <v>11741.0342867234</v>
      </c>
      <c r="D77" s="9" t="n">
        <v>209687.315770802</v>
      </c>
      <c r="E77" s="12" t="n">
        <f aca="false">SUM(B77:D77)</f>
        <v>0</v>
      </c>
    </row>
    <row r="78" customFormat="false" ht="15" hidden="false" customHeight="false" outlineLevel="0" collapsed="false">
      <c r="A78" s="4" t="s">
        <v>116</v>
      </c>
      <c r="B78" s="9" t="n">
        <v>0</v>
      </c>
      <c r="C78" s="9" t="n">
        <v>0</v>
      </c>
      <c r="D78" s="9" t="n">
        <v>0</v>
      </c>
      <c r="E78" s="12" t="n">
        <f aca="false">SUM(B78:D78)</f>
        <v>0</v>
      </c>
    </row>
    <row r="79" customFormat="false" ht="15" hidden="false" customHeight="false" outlineLevel="0" collapsed="false">
      <c r="A79" s="4" t="s">
        <v>117</v>
      </c>
      <c r="B79" s="9" t="n">
        <v>0</v>
      </c>
      <c r="C79" s="9" t="n">
        <v>0</v>
      </c>
      <c r="D79" s="9" t="n">
        <v>0</v>
      </c>
      <c r="E79" s="12" t="n">
        <f aca="false">SUM(B79:D79)</f>
        <v>0</v>
      </c>
    </row>
    <row r="80" customFormat="false" ht="15" hidden="false" customHeight="false" outlineLevel="0" collapsed="false">
      <c r="A80" s="4" t="s">
        <v>118</v>
      </c>
      <c r="B80" s="9" t="n">
        <v>-2902125.77107851</v>
      </c>
      <c r="C80" s="9" t="n">
        <v>773206.313741726</v>
      </c>
      <c r="D80" s="9" t="n">
        <v>2128919.45733678</v>
      </c>
      <c r="E80" s="12" t="n">
        <f aca="false">SUM(B80:D80)</f>
        <v>0</v>
      </c>
    </row>
    <row r="81" customFormat="false" ht="15" hidden="false" customHeight="false" outlineLevel="0" collapsed="false">
      <c r="A81" s="4" t="s">
        <v>119</v>
      </c>
      <c r="B81" s="9" t="n">
        <v>0</v>
      </c>
      <c r="C81" s="9" t="n">
        <v>0</v>
      </c>
      <c r="D81" s="9" t="n">
        <v>-56118.6916326423</v>
      </c>
      <c r="E81" s="12" t="n">
        <f aca="false">SUM(B81:D81)</f>
        <v>-56118.6916326423</v>
      </c>
    </row>
    <row r="82" customFormat="false" ht="15" hidden="false" customHeight="false" outlineLevel="0" collapsed="false">
      <c r="A82" s="4" t="s">
        <v>120</v>
      </c>
      <c r="B82" s="9" t="n">
        <v>0</v>
      </c>
      <c r="C82" s="9" t="n">
        <v>-108105.063861397</v>
      </c>
      <c r="D82" s="9" t="n">
        <v>0</v>
      </c>
      <c r="E82" s="12" t="n">
        <f aca="false">SUM(B82:D82)</f>
        <v>-108105.063861397</v>
      </c>
    </row>
    <row r="83" customFormat="false" ht="15" hidden="false" customHeight="false" outlineLevel="0" collapsed="false">
      <c r="A83" s="4" t="s">
        <v>121</v>
      </c>
      <c r="B83" s="9" t="n">
        <v>-132419.911251281</v>
      </c>
      <c r="C83" s="9" t="n">
        <v>0</v>
      </c>
      <c r="D83" s="9" t="n">
        <v>0</v>
      </c>
      <c r="E83" s="12" t="n">
        <f aca="false">SUM(B83:D83)</f>
        <v>-132419.911251281</v>
      </c>
    </row>
    <row r="84" customFormat="false" ht="15" hidden="false" customHeight="false" outlineLevel="0" collapsed="false">
      <c r="A84" s="4" t="s">
        <v>86</v>
      </c>
      <c r="B84" s="9" t="n">
        <v>184543.708101565</v>
      </c>
      <c r="C84" s="9" t="n">
        <v>0</v>
      </c>
      <c r="D84" s="9" t="n">
        <v>179697.286105737</v>
      </c>
      <c r="E84" s="12" t="n">
        <f aca="false">SUM(B84:D84)</f>
        <v>364240.994207302</v>
      </c>
    </row>
    <row r="85" customFormat="false" ht="15" hidden="false" customHeight="false" outlineLevel="0" collapsed="false">
      <c r="A85" s="4" t="s">
        <v>122</v>
      </c>
      <c r="B85" s="9" t="n">
        <v>8583370</v>
      </c>
      <c r="C85" s="9" t="n">
        <v>0</v>
      </c>
      <c r="D85" s="9" t="n">
        <v>0</v>
      </c>
      <c r="E85" s="12" t="n">
        <f aca="false">SUM(B85:D85)</f>
        <v>8583370</v>
      </c>
    </row>
    <row r="86" customFormat="false" ht="15" hidden="false" customHeight="false" outlineLevel="0" collapsed="false">
      <c r="A86" s="4" t="s">
        <v>123</v>
      </c>
      <c r="B86" s="9" t="n">
        <v>-465010.952906049</v>
      </c>
      <c r="C86" s="9" t="n">
        <v>0</v>
      </c>
      <c r="D86" s="9" t="n">
        <v>0</v>
      </c>
      <c r="E86" s="12" t="n">
        <f aca="false">SUM(B86:D86)</f>
        <v>-465010.952906049</v>
      </c>
    </row>
    <row r="87" customFormat="false" ht="15" hidden="false" customHeight="false" outlineLevel="0" collapsed="false">
      <c r="A87" s="4" t="s">
        <v>85</v>
      </c>
      <c r="B87" s="9" t="n">
        <v>-573578.44</v>
      </c>
      <c r="C87" s="9" t="n">
        <v>0</v>
      </c>
      <c r="D87" s="9" t="n">
        <v>0</v>
      </c>
      <c r="E87" s="12" t="n">
        <f aca="false">SUM(B87:D87)</f>
        <v>-573578.44</v>
      </c>
    </row>
    <row r="88" customFormat="false" ht="15" hidden="false" customHeight="false" outlineLevel="0" collapsed="false">
      <c r="A88" s="4" t="s">
        <v>89</v>
      </c>
      <c r="B88" s="9" t="n">
        <v>-1976308.81</v>
      </c>
      <c r="C88" s="9" t="n">
        <v>0</v>
      </c>
      <c r="D88" s="9" t="n">
        <v>0</v>
      </c>
      <c r="E88" s="12" t="n">
        <f aca="false">SUM(B88:D88)</f>
        <v>-1976308.81</v>
      </c>
    </row>
    <row r="89" customFormat="false" ht="15" hidden="false" customHeight="false" outlineLevel="0" collapsed="false">
      <c r="A89" s="3" t="s">
        <v>90</v>
      </c>
      <c r="B89" s="10" t="n">
        <f aca="false">SUM(B76:B88)</f>
        <v>1505899.48219972</v>
      </c>
      <c r="C89" s="10" t="n">
        <f aca="false">SUM(C76:C88)</f>
        <v>1466758.66140501</v>
      </c>
      <c r="D89" s="10" t="n">
        <f aca="false">SUM(D76:D88)</f>
        <v>4740463.60307658</v>
      </c>
      <c r="E89" s="10" t="n">
        <f aca="false">SUM(E76:E88)</f>
        <v>7713121.74668131</v>
      </c>
    </row>
    <row r="90" customFormat="false" ht="15" hidden="false" customHeight="false" outlineLevel="0" collapsed="false">
      <c r="A90" s="2" t="s">
        <v>91</v>
      </c>
      <c r="B90" s="13" t="n">
        <f aca="false">B89-1505899.48219972</f>
        <v>0</v>
      </c>
      <c r="C90" s="13" t="n">
        <f aca="false">C89-1466758.66140501</f>
        <v>0</v>
      </c>
      <c r="D90" s="13" t="n">
        <f aca="false">D89-4740463.60307658</f>
        <v>0</v>
      </c>
    </row>
    <row r="92" customFormat="false" ht="31.5" hidden="false" customHeight="true" outlineLevel="0" collapsed="false">
      <c r="A92" s="8" t="s">
        <v>97</v>
      </c>
      <c r="B92" s="8" t="s">
        <v>112</v>
      </c>
      <c r="C92" s="8" t="s">
        <v>113</v>
      </c>
      <c r="D92" s="8" t="s">
        <v>114</v>
      </c>
      <c r="E92" s="8" t="s">
        <v>79</v>
      </c>
    </row>
    <row r="93" customFormat="false" ht="15" hidden="false" customHeight="false" outlineLevel="0" collapsed="false">
      <c r="A93" s="4" t="s">
        <v>80</v>
      </c>
      <c r="B93" s="11" t="n">
        <f aca="false">B89</f>
        <v>1505899.48219972</v>
      </c>
      <c r="C93" s="11" t="n">
        <f aca="false">C89</f>
        <v>1466758.66140501</v>
      </c>
      <c r="D93" s="11" t="n">
        <f aca="false">D89</f>
        <v>4740463.60307658</v>
      </c>
      <c r="E93" s="12" t="n">
        <f aca="false">SUM(B93:D93)</f>
        <v>7713121.74668131</v>
      </c>
    </row>
    <row r="94" customFormat="false" ht="15" hidden="false" customHeight="false" outlineLevel="0" collapsed="false">
      <c r="A94" s="4" t="s">
        <v>115</v>
      </c>
      <c r="B94" s="9" t="n">
        <v>-81205.3105711294</v>
      </c>
      <c r="C94" s="9" t="n">
        <v>6979.27385987528</v>
      </c>
      <c r="D94" s="9" t="n">
        <v>74226.0367112541</v>
      </c>
      <c r="E94" s="12" t="n">
        <f aca="false">SUM(B94:D94)</f>
        <v>0</v>
      </c>
    </row>
    <row r="95" customFormat="false" ht="15" hidden="false" customHeight="false" outlineLevel="0" collapsed="false">
      <c r="A95" s="4" t="s">
        <v>116</v>
      </c>
      <c r="B95" s="9" t="n">
        <v>0</v>
      </c>
      <c r="C95" s="9" t="n">
        <v>0</v>
      </c>
      <c r="D95" s="9" t="n">
        <v>0</v>
      </c>
      <c r="E95" s="12" t="n">
        <f aca="false">SUM(B95:D95)</f>
        <v>0</v>
      </c>
    </row>
    <row r="96" customFormat="false" ht="15" hidden="false" customHeight="false" outlineLevel="0" collapsed="false">
      <c r="A96" s="4" t="s">
        <v>117</v>
      </c>
      <c r="B96" s="9" t="n">
        <v>0</v>
      </c>
      <c r="C96" s="9" t="n">
        <v>0</v>
      </c>
      <c r="D96" s="9" t="n">
        <v>0</v>
      </c>
      <c r="E96" s="12" t="n">
        <f aca="false">SUM(B96:D96)</f>
        <v>0</v>
      </c>
    </row>
    <row r="97" customFormat="false" ht="15" hidden="false" customHeight="false" outlineLevel="0" collapsed="false">
      <c r="A97" s="4" t="s">
        <v>118</v>
      </c>
      <c r="B97" s="9" t="n">
        <v>-2855228.9244407</v>
      </c>
      <c r="C97" s="9" t="n">
        <v>767372.674420259</v>
      </c>
      <c r="D97" s="9" t="n">
        <v>2087856.25002044</v>
      </c>
      <c r="E97" s="12" t="n">
        <f aca="false">SUM(B97:D97)</f>
        <v>0</v>
      </c>
    </row>
    <row r="98" customFormat="false" ht="15" hidden="false" customHeight="false" outlineLevel="0" collapsed="false">
      <c r="A98" s="4" t="s">
        <v>119</v>
      </c>
      <c r="B98" s="9" t="n">
        <v>0</v>
      </c>
      <c r="C98" s="9" t="n">
        <v>0</v>
      </c>
      <c r="D98" s="9" t="n">
        <v>-100439.220583897</v>
      </c>
      <c r="E98" s="12" t="n">
        <f aca="false">SUM(B98:D98)</f>
        <v>-100439.220583897</v>
      </c>
    </row>
    <row r="99" customFormat="false" ht="15" hidden="false" customHeight="false" outlineLevel="0" collapsed="false">
      <c r="A99" s="4" t="s">
        <v>120</v>
      </c>
      <c r="B99" s="9" t="n">
        <v>0</v>
      </c>
      <c r="C99" s="9" t="n">
        <v>11388.8965955793</v>
      </c>
      <c r="D99" s="9" t="n">
        <v>0</v>
      </c>
      <c r="E99" s="12" t="n">
        <f aca="false">SUM(B99:D99)</f>
        <v>11388.8965955793</v>
      </c>
    </row>
    <row r="100" customFormat="false" ht="15" hidden="false" customHeight="false" outlineLevel="0" collapsed="false">
      <c r="A100" s="4" t="s">
        <v>121</v>
      </c>
      <c r="B100" s="9" t="n">
        <v>-69276.0330390988</v>
      </c>
      <c r="C100" s="9" t="n">
        <v>0</v>
      </c>
      <c r="D100" s="9" t="n">
        <v>0</v>
      </c>
      <c r="E100" s="12" t="n">
        <f aca="false">SUM(B100:D100)</f>
        <v>-69276.0330390988</v>
      </c>
    </row>
    <row r="101" customFormat="false" ht="15" hidden="false" customHeight="false" outlineLevel="0" collapsed="false">
      <c r="A101" s="4" t="s">
        <v>86</v>
      </c>
      <c r="B101" s="9" t="n">
        <v>-178301.687998005</v>
      </c>
      <c r="C101" s="9" t="n">
        <v>0</v>
      </c>
      <c r="D101" s="9" t="n">
        <v>282298.694643421</v>
      </c>
      <c r="E101" s="12" t="n">
        <f aca="false">SUM(B101:D101)</f>
        <v>103997.006645417</v>
      </c>
    </row>
    <row r="102" customFormat="false" ht="15" hidden="false" customHeight="false" outlineLevel="0" collapsed="false">
      <c r="A102" s="4" t="s">
        <v>122</v>
      </c>
      <c r="B102" s="9" t="n">
        <v>12303580</v>
      </c>
      <c r="C102" s="9" t="n">
        <v>0</v>
      </c>
      <c r="D102" s="9" t="n">
        <v>0</v>
      </c>
      <c r="E102" s="12" t="n">
        <f aca="false">SUM(B102:D102)</f>
        <v>12303580</v>
      </c>
    </row>
    <row r="103" customFormat="false" ht="15" hidden="false" customHeight="false" outlineLevel="0" collapsed="false">
      <c r="A103" s="4" t="s">
        <v>123</v>
      </c>
      <c r="B103" s="9" t="n">
        <v>-898790.222405421</v>
      </c>
      <c r="C103" s="9" t="n">
        <v>0</v>
      </c>
      <c r="D103" s="9" t="n">
        <v>0</v>
      </c>
      <c r="E103" s="12" t="n">
        <f aca="false">SUM(B103:D103)</f>
        <v>-898790.222405421</v>
      </c>
    </row>
    <row r="104" customFormat="false" ht="15" hidden="false" customHeight="false" outlineLevel="0" collapsed="false">
      <c r="A104" s="4" t="s">
        <v>85</v>
      </c>
      <c r="B104" s="9" t="n">
        <v>-1421061.49</v>
      </c>
      <c r="C104" s="9" t="n">
        <v>0</v>
      </c>
      <c r="D104" s="9" t="n">
        <v>0</v>
      </c>
      <c r="E104" s="12" t="n">
        <f aca="false">SUM(B104:D104)</f>
        <v>-1421061.49</v>
      </c>
    </row>
    <row r="105" customFormat="false" ht="15" hidden="false" customHeight="false" outlineLevel="0" collapsed="false">
      <c r="A105" s="4" t="s">
        <v>89</v>
      </c>
      <c r="B105" s="9" t="n">
        <v>-1965802.53</v>
      </c>
      <c r="C105" s="9" t="n">
        <v>0</v>
      </c>
      <c r="D105" s="9" t="n">
        <v>0</v>
      </c>
      <c r="E105" s="12" t="n">
        <f aca="false">SUM(B105:D105)</f>
        <v>-1965802.53</v>
      </c>
    </row>
    <row r="106" customFormat="false" ht="15" hidden="false" customHeight="false" outlineLevel="0" collapsed="false">
      <c r="A106" s="3" t="s">
        <v>90</v>
      </c>
      <c r="B106" s="10" t="n">
        <f aca="false">SUM(B93:B105)</f>
        <v>6339813.28374537</v>
      </c>
      <c r="C106" s="10" t="n">
        <f aca="false">SUM(C93:C105)</f>
        <v>2252499.50628073</v>
      </c>
      <c r="D106" s="10" t="n">
        <f aca="false">SUM(D93:D105)</f>
        <v>7084405.36386779</v>
      </c>
      <c r="E106" s="10" t="n">
        <f aca="false">SUM(E93:E105)</f>
        <v>15676718.1538939</v>
      </c>
    </row>
    <row r="107" customFormat="false" ht="15" hidden="false" customHeight="false" outlineLevel="0" collapsed="false">
      <c r="A107" s="2" t="s">
        <v>91</v>
      </c>
      <c r="B107" s="13" t="n">
        <f aca="false">B106-6339813.28374537</f>
        <v>0</v>
      </c>
      <c r="C107" s="13" t="n">
        <f aca="false">C106-2252499.50628073</f>
        <v>0</v>
      </c>
      <c r="D107" s="13" t="n">
        <f aca="false">D106-7084405.36386779</f>
        <v>0</v>
      </c>
    </row>
    <row r="110" customFormat="false" ht="15" hidden="false" customHeight="false" outlineLevel="0" collapsed="false">
      <c r="A110" s="14" t="s">
        <v>124</v>
      </c>
    </row>
    <row r="111" customFormat="false" ht="31.5" hidden="false" customHeight="true" outlineLevel="0" collapsed="false">
      <c r="A111" s="8" t="s">
        <v>125</v>
      </c>
      <c r="B111" s="8" t="s">
        <v>112</v>
      </c>
      <c r="C111" s="8" t="s">
        <v>113</v>
      </c>
      <c r="D111" s="8" t="s">
        <v>114</v>
      </c>
      <c r="E111" s="8" t="s">
        <v>79</v>
      </c>
    </row>
    <row r="112" customFormat="false" ht="15" hidden="false" customHeight="false" outlineLevel="0" collapsed="false">
      <c r="A112" s="4" t="s">
        <v>80</v>
      </c>
      <c r="B112" s="9" t="n">
        <v>0</v>
      </c>
      <c r="C112" s="9" t="n">
        <v>0</v>
      </c>
      <c r="D112" s="9" t="n">
        <v>0</v>
      </c>
      <c r="E112" s="12" t="n">
        <f aca="false">SUM(B112:D112)</f>
        <v>0</v>
      </c>
    </row>
    <row r="113" customFormat="false" ht="15" hidden="false" customHeight="false" outlineLevel="0" collapsed="false">
      <c r="A113" s="4" t="s">
        <v>115</v>
      </c>
      <c r="B113" s="9" t="n">
        <v>-156286.045725229</v>
      </c>
      <c r="C113" s="9" t="n">
        <v>-8696.96055372676</v>
      </c>
      <c r="D113" s="9" t="n">
        <v>164983.006278956</v>
      </c>
      <c r="E113" s="12" t="n">
        <f aca="false">SUM(B113:D113)</f>
        <v>0</v>
      </c>
    </row>
    <row r="114" customFormat="false" ht="15" hidden="false" customHeight="false" outlineLevel="0" collapsed="false">
      <c r="A114" s="4" t="s">
        <v>116</v>
      </c>
      <c r="B114" s="9" t="n">
        <v>0</v>
      </c>
      <c r="C114" s="9" t="n">
        <v>0</v>
      </c>
      <c r="D114" s="9" t="n">
        <v>0</v>
      </c>
      <c r="E114" s="12" t="n">
        <f aca="false">SUM(B114:D114)</f>
        <v>0</v>
      </c>
    </row>
    <row r="115" customFormat="false" ht="15" hidden="false" customHeight="false" outlineLevel="0" collapsed="false">
      <c r="A115" s="4" t="s">
        <v>117</v>
      </c>
      <c r="B115" s="9" t="n">
        <v>0</v>
      </c>
      <c r="C115" s="9" t="n">
        <v>0</v>
      </c>
      <c r="D115" s="9" t="n">
        <v>-90230.5247474352</v>
      </c>
      <c r="E115" s="12" t="n">
        <f aca="false">SUM(B115:D115)</f>
        <v>-90230.5247474352</v>
      </c>
    </row>
    <row r="116" customFormat="false" ht="15" hidden="false" customHeight="false" outlineLevel="0" collapsed="false">
      <c r="A116" s="4" t="s">
        <v>118</v>
      </c>
      <c r="B116" s="9" t="n">
        <v>1562963.77990406</v>
      </c>
      <c r="C116" s="9" t="n">
        <v>-484297.719810198</v>
      </c>
      <c r="D116" s="9" t="n">
        <v>-1078666.06009386</v>
      </c>
      <c r="E116" s="12" t="n">
        <f aca="false">SUM(B116:D116)</f>
        <v>0</v>
      </c>
    </row>
    <row r="117" customFormat="false" ht="15" hidden="false" customHeight="false" outlineLevel="0" collapsed="false">
      <c r="A117" s="4" t="s">
        <v>119</v>
      </c>
      <c r="B117" s="9" t="n">
        <v>0</v>
      </c>
      <c r="C117" s="9" t="n">
        <v>0</v>
      </c>
      <c r="D117" s="9" t="n">
        <v>52435.0339531079</v>
      </c>
      <c r="E117" s="12" t="n">
        <f aca="false">SUM(B117:D117)</f>
        <v>52435.0339531079</v>
      </c>
    </row>
    <row r="118" customFormat="false" ht="15" hidden="false" customHeight="false" outlineLevel="0" collapsed="false">
      <c r="A118" s="4" t="s">
        <v>120</v>
      </c>
      <c r="B118" s="9" t="n">
        <v>0</v>
      </c>
      <c r="C118" s="9" t="n">
        <v>1016.75656440319</v>
      </c>
      <c r="D118" s="9" t="n">
        <v>0</v>
      </c>
      <c r="E118" s="12" t="n">
        <f aca="false">SUM(B118:D118)</f>
        <v>1016.75656440319</v>
      </c>
    </row>
    <row r="119" customFormat="false" ht="15" hidden="false" customHeight="false" outlineLevel="0" collapsed="false">
      <c r="A119" s="4" t="s">
        <v>121</v>
      </c>
      <c r="B119" s="9" t="n">
        <v>-35442.9653627166</v>
      </c>
      <c r="C119" s="9" t="n">
        <v>0</v>
      </c>
      <c r="D119" s="9" t="n">
        <v>0</v>
      </c>
      <c r="E119" s="12" t="n">
        <f aca="false">SUM(B119:D119)</f>
        <v>-35442.9653627166</v>
      </c>
    </row>
    <row r="120" customFormat="false" ht="15" hidden="false" customHeight="false" outlineLevel="0" collapsed="false">
      <c r="A120" s="4" t="s">
        <v>86</v>
      </c>
      <c r="B120" s="9" t="n">
        <v>-5670.36761708348</v>
      </c>
      <c r="C120" s="9" t="n">
        <v>0</v>
      </c>
      <c r="D120" s="9" t="n">
        <v>-32470.7553199883</v>
      </c>
      <c r="E120" s="12" t="n">
        <f aca="false">SUM(B120:D120)</f>
        <v>-38141.1229370717</v>
      </c>
    </row>
    <row r="121" customFormat="false" ht="15" hidden="false" customHeight="false" outlineLevel="0" collapsed="false">
      <c r="A121" s="4" t="s">
        <v>122</v>
      </c>
      <c r="B121" s="9" t="n">
        <v>-1065709.1008</v>
      </c>
      <c r="C121" s="9" t="n">
        <v>0</v>
      </c>
      <c r="D121" s="9" t="n">
        <v>0</v>
      </c>
      <c r="E121" s="12" t="n">
        <f aca="false">SUM(B121:D121)</f>
        <v>-1065709.1008</v>
      </c>
    </row>
    <row r="122" customFormat="false" ht="15" hidden="false" customHeight="false" outlineLevel="0" collapsed="false">
      <c r="A122" s="4" t="s">
        <v>123</v>
      </c>
      <c r="B122" s="9" t="n">
        <v>357245.74191451</v>
      </c>
      <c r="C122" s="9" t="n">
        <v>0</v>
      </c>
      <c r="D122" s="9" t="n">
        <v>0</v>
      </c>
      <c r="E122" s="12" t="n">
        <f aca="false">SUM(B122:D122)</f>
        <v>357245.74191451</v>
      </c>
    </row>
    <row r="123" customFormat="false" ht="15" hidden="false" customHeight="false" outlineLevel="0" collapsed="false">
      <c r="A123" s="4" t="s">
        <v>85</v>
      </c>
      <c r="B123" s="9" t="n">
        <v>0</v>
      </c>
      <c r="C123" s="9" t="n">
        <v>0</v>
      </c>
      <c r="D123" s="9" t="n">
        <v>0</v>
      </c>
      <c r="E123" s="12" t="n">
        <f aca="false">SUM(B123:D123)</f>
        <v>0</v>
      </c>
    </row>
    <row r="124" customFormat="false" ht="15" hidden="false" customHeight="false" outlineLevel="0" collapsed="false">
      <c r="A124" s="4" t="s">
        <v>89</v>
      </c>
      <c r="B124" s="9" t="n">
        <v>0</v>
      </c>
      <c r="C124" s="9" t="n">
        <v>0</v>
      </c>
      <c r="D124" s="9" t="n">
        <v>0</v>
      </c>
      <c r="E124" s="12" t="n">
        <f aca="false">SUM(B124:D124)</f>
        <v>0</v>
      </c>
    </row>
    <row r="125" customFormat="false" ht="15" hidden="false" customHeight="false" outlineLevel="0" collapsed="false">
      <c r="A125" s="3" t="s">
        <v>90</v>
      </c>
      <c r="B125" s="10" t="n">
        <f aca="false">SUM(B112:B124)</f>
        <v>657101.042313537</v>
      </c>
      <c r="C125" s="10" t="n">
        <f aca="false">SUM(C112:C124)</f>
        <v>-491977.923799522</v>
      </c>
      <c r="D125" s="10" t="n">
        <f aca="false">SUM(D112:D124)</f>
        <v>-983949.299929218</v>
      </c>
      <c r="E125" s="10" t="n">
        <f aca="false">SUM(E112:E124)</f>
        <v>-818826.181415202</v>
      </c>
    </row>
    <row r="126" customFormat="false" ht="15" hidden="false" customHeight="false" outlineLevel="0" collapsed="false">
      <c r="A126" s="2" t="s">
        <v>91</v>
      </c>
      <c r="B126" s="13" t="n">
        <f aca="false">B125-657101.042313537</f>
        <v>0</v>
      </c>
      <c r="C126" s="13" t="n">
        <f aca="false">C125--491977.923799522</f>
        <v>0</v>
      </c>
      <c r="D126" s="13" t="n">
        <f aca="false">D125--983949.299929218</f>
        <v>0</v>
      </c>
    </row>
    <row r="128" customFormat="false" ht="31.5" hidden="false" customHeight="true" outlineLevel="0" collapsed="false">
      <c r="A128" s="8" t="s">
        <v>126</v>
      </c>
      <c r="B128" s="8" t="s">
        <v>112</v>
      </c>
      <c r="C128" s="8" t="s">
        <v>113</v>
      </c>
      <c r="D128" s="8" t="s">
        <v>114</v>
      </c>
      <c r="E128" s="8" t="s">
        <v>79</v>
      </c>
    </row>
    <row r="129" customFormat="false" ht="15" hidden="false" customHeight="false" outlineLevel="0" collapsed="false">
      <c r="A129" s="4" t="s">
        <v>80</v>
      </c>
      <c r="B129" s="11" t="n">
        <f aca="false">B125</f>
        <v>657101.042313537</v>
      </c>
      <c r="C129" s="11" t="n">
        <f aca="false">C125</f>
        <v>-491977.923799522</v>
      </c>
      <c r="D129" s="11" t="n">
        <f aca="false">D125</f>
        <v>-983949.299929218</v>
      </c>
      <c r="E129" s="12" t="n">
        <f aca="false">SUM(B129:D129)</f>
        <v>-818826.181415203</v>
      </c>
    </row>
    <row r="130" customFormat="false" ht="15" hidden="false" customHeight="false" outlineLevel="0" collapsed="false">
      <c r="A130" s="4" t="s">
        <v>115</v>
      </c>
      <c r="B130" s="9" t="n">
        <v>-460179.694989578</v>
      </c>
      <c r="C130" s="9" t="n">
        <v>-28919.3625636965</v>
      </c>
      <c r="D130" s="9" t="n">
        <v>489099.057553274</v>
      </c>
      <c r="E130" s="12" t="n">
        <f aca="false">SUM(B130:D130)</f>
        <v>0</v>
      </c>
    </row>
    <row r="131" customFormat="false" ht="15" hidden="false" customHeight="false" outlineLevel="0" collapsed="false">
      <c r="A131" s="4" t="s">
        <v>116</v>
      </c>
      <c r="B131" s="9" t="n">
        <v>0</v>
      </c>
      <c r="C131" s="9" t="n">
        <v>0</v>
      </c>
      <c r="D131" s="9" t="n">
        <v>0</v>
      </c>
      <c r="E131" s="12" t="n">
        <f aca="false">SUM(B131:D131)</f>
        <v>0</v>
      </c>
    </row>
    <row r="132" customFormat="false" ht="15" hidden="false" customHeight="false" outlineLevel="0" collapsed="false">
      <c r="A132" s="4" t="s">
        <v>117</v>
      </c>
      <c r="B132" s="9" t="n">
        <v>0</v>
      </c>
      <c r="C132" s="9" t="n">
        <v>0</v>
      </c>
      <c r="D132" s="9" t="n">
        <v>-269289.272375086</v>
      </c>
      <c r="E132" s="12" t="n">
        <f aca="false">SUM(B132:D132)</f>
        <v>-269289.272375086</v>
      </c>
    </row>
    <row r="133" customFormat="false" ht="15" hidden="false" customHeight="false" outlineLevel="0" collapsed="false">
      <c r="A133" s="4" t="s">
        <v>118</v>
      </c>
      <c r="B133" s="9" t="n">
        <v>1521529.8596244</v>
      </c>
      <c r="C133" s="9" t="n">
        <v>-492515.502390076</v>
      </c>
      <c r="D133" s="9" t="n">
        <v>-1029014.35723432</v>
      </c>
      <c r="E133" s="12" t="n">
        <f aca="false">SUM(B133:D133)</f>
        <v>0</v>
      </c>
    </row>
    <row r="134" customFormat="false" ht="15" hidden="false" customHeight="false" outlineLevel="0" collapsed="false">
      <c r="A134" s="4" t="s">
        <v>119</v>
      </c>
      <c r="B134" s="9" t="n">
        <v>0</v>
      </c>
      <c r="C134" s="9" t="n">
        <v>0</v>
      </c>
      <c r="D134" s="9" t="n">
        <v>134616.270791697</v>
      </c>
      <c r="E134" s="12" t="n">
        <f aca="false">SUM(B134:D134)</f>
        <v>134616.270791697</v>
      </c>
    </row>
    <row r="135" customFormat="false" ht="15" hidden="false" customHeight="false" outlineLevel="0" collapsed="false">
      <c r="A135" s="4" t="s">
        <v>120</v>
      </c>
      <c r="B135" s="9" t="n">
        <v>0</v>
      </c>
      <c r="C135" s="9" t="n">
        <v>86617.1362560396</v>
      </c>
      <c r="D135" s="9" t="n">
        <v>0</v>
      </c>
      <c r="E135" s="12" t="n">
        <f aca="false">SUM(B135:D135)</f>
        <v>86617.1362560396</v>
      </c>
    </row>
    <row r="136" customFormat="false" ht="15" hidden="false" customHeight="false" outlineLevel="0" collapsed="false">
      <c r="A136" s="4" t="s">
        <v>121</v>
      </c>
      <c r="B136" s="9" t="n">
        <v>334046.461609175</v>
      </c>
      <c r="C136" s="9" t="n">
        <v>0</v>
      </c>
      <c r="D136" s="9" t="n">
        <v>0</v>
      </c>
      <c r="E136" s="12" t="n">
        <f aca="false">SUM(B136:D136)</f>
        <v>334046.461609175</v>
      </c>
    </row>
    <row r="137" customFormat="false" ht="15" hidden="false" customHeight="false" outlineLevel="0" collapsed="false">
      <c r="A137" s="4" t="s">
        <v>86</v>
      </c>
      <c r="B137" s="9" t="n">
        <v>102015.95983473</v>
      </c>
      <c r="C137" s="9" t="n">
        <v>0</v>
      </c>
      <c r="D137" s="9" t="n">
        <v>-79672.080292444</v>
      </c>
      <c r="E137" s="12" t="n">
        <f aca="false">SUM(B137:D137)</f>
        <v>22343.8795422861</v>
      </c>
    </row>
    <row r="138" customFormat="false" ht="15" hidden="false" customHeight="false" outlineLevel="0" collapsed="false">
      <c r="A138" s="4" t="s">
        <v>122</v>
      </c>
      <c r="B138" s="9" t="n">
        <v>-2017355.6928</v>
      </c>
      <c r="C138" s="9" t="n">
        <v>0</v>
      </c>
      <c r="D138" s="9" t="n">
        <v>0</v>
      </c>
      <c r="E138" s="12" t="n">
        <f aca="false">SUM(B138:D138)</f>
        <v>-2017355.6928</v>
      </c>
    </row>
    <row r="139" customFormat="false" ht="15" hidden="false" customHeight="false" outlineLevel="0" collapsed="false">
      <c r="A139" s="4" t="s">
        <v>123</v>
      </c>
      <c r="B139" s="9" t="n">
        <v>598671.125871423</v>
      </c>
      <c r="C139" s="9" t="n">
        <v>0</v>
      </c>
      <c r="D139" s="9" t="n">
        <v>0</v>
      </c>
      <c r="E139" s="12" t="n">
        <f aca="false">SUM(B139:D139)</f>
        <v>598671.125871423</v>
      </c>
    </row>
    <row r="140" customFormat="false" ht="15" hidden="false" customHeight="false" outlineLevel="0" collapsed="false">
      <c r="A140" s="4" t="s">
        <v>85</v>
      </c>
      <c r="B140" s="9" t="n">
        <v>0</v>
      </c>
      <c r="C140" s="9" t="n">
        <v>0</v>
      </c>
      <c r="D140" s="9" t="n">
        <v>0</v>
      </c>
      <c r="E140" s="12" t="n">
        <f aca="false">SUM(B140:D140)</f>
        <v>0</v>
      </c>
    </row>
    <row r="141" customFormat="false" ht="15" hidden="false" customHeight="false" outlineLevel="0" collapsed="false">
      <c r="A141" s="4" t="s">
        <v>89</v>
      </c>
      <c r="B141" s="9" t="n">
        <v>0</v>
      </c>
      <c r="C141" s="9" t="n">
        <v>0</v>
      </c>
      <c r="D141" s="9" t="n">
        <v>0</v>
      </c>
      <c r="E141" s="12" t="n">
        <f aca="false">SUM(B141:D141)</f>
        <v>0</v>
      </c>
    </row>
    <row r="142" customFormat="false" ht="15" hidden="false" customHeight="false" outlineLevel="0" collapsed="false">
      <c r="A142" s="3" t="s">
        <v>90</v>
      </c>
      <c r="B142" s="10" t="n">
        <f aca="false">SUM(B129:B141)</f>
        <v>735829.061463686</v>
      </c>
      <c r="C142" s="10" t="n">
        <f aca="false">SUM(C129:C141)</f>
        <v>-926795.652497255</v>
      </c>
      <c r="D142" s="10" t="n">
        <f aca="false">SUM(D129:D141)</f>
        <v>-1738209.6814861</v>
      </c>
      <c r="E142" s="10" t="n">
        <f aca="false">SUM(E129:E141)</f>
        <v>-1929176.27251967</v>
      </c>
    </row>
    <row r="143" customFormat="false" ht="15" hidden="false" customHeight="false" outlineLevel="0" collapsed="false">
      <c r="A143" s="2" t="s">
        <v>91</v>
      </c>
      <c r="B143" s="13" t="n">
        <f aca="false">B142-735829.061463685</f>
        <v>0</v>
      </c>
      <c r="C143" s="13" t="n">
        <f aca="false">C142--926795.652497255</f>
        <v>0</v>
      </c>
      <c r="D143" s="13" t="n">
        <f aca="false">D142--1738209.6814861</f>
        <v>0</v>
      </c>
    </row>
    <row r="145" customFormat="false" ht="31.5" hidden="false" customHeight="true" outlineLevel="0" collapsed="false">
      <c r="A145" s="8" t="s">
        <v>127</v>
      </c>
      <c r="B145" s="8" t="s">
        <v>112</v>
      </c>
      <c r="C145" s="8" t="s">
        <v>113</v>
      </c>
      <c r="D145" s="8" t="s">
        <v>114</v>
      </c>
      <c r="E145" s="8" t="s">
        <v>79</v>
      </c>
    </row>
    <row r="146" customFormat="false" ht="15" hidden="false" customHeight="false" outlineLevel="0" collapsed="false">
      <c r="A146" s="4" t="s">
        <v>80</v>
      </c>
      <c r="B146" s="11" t="n">
        <f aca="false">B142</f>
        <v>735829.061463686</v>
      </c>
      <c r="C146" s="11" t="n">
        <f aca="false">C142</f>
        <v>-926795.652497255</v>
      </c>
      <c r="D146" s="11" t="n">
        <f aca="false">D142</f>
        <v>-1738209.6814861</v>
      </c>
      <c r="E146" s="12" t="n">
        <f aca="false">SUM(B146:D146)</f>
        <v>-1929176.27251967</v>
      </c>
    </row>
    <row r="147" customFormat="false" ht="15" hidden="false" customHeight="false" outlineLevel="0" collapsed="false">
      <c r="A147" s="4" t="s">
        <v>115</v>
      </c>
      <c r="B147" s="9" t="n">
        <v>1089091.40671539</v>
      </c>
      <c r="C147" s="9" t="n">
        <v>55605.4404060106</v>
      </c>
      <c r="D147" s="9" t="n">
        <v>-1144696.8471214</v>
      </c>
      <c r="E147" s="12" t="n">
        <f aca="false">SUM(B147:D147)</f>
        <v>0</v>
      </c>
    </row>
    <row r="148" customFormat="false" ht="15" hidden="false" customHeight="false" outlineLevel="0" collapsed="false">
      <c r="A148" s="4" t="s">
        <v>116</v>
      </c>
      <c r="B148" s="9" t="n">
        <v>0</v>
      </c>
      <c r="C148" s="9" t="n">
        <v>0</v>
      </c>
      <c r="D148" s="9" t="n">
        <v>0</v>
      </c>
      <c r="E148" s="12" t="n">
        <f aca="false">SUM(B148:D148)</f>
        <v>0</v>
      </c>
    </row>
    <row r="149" customFormat="false" ht="15" hidden="false" customHeight="false" outlineLevel="0" collapsed="false">
      <c r="A149" s="4" t="s">
        <v>117</v>
      </c>
      <c r="B149" s="9" t="n">
        <v>0</v>
      </c>
      <c r="C149" s="9" t="n">
        <v>0</v>
      </c>
      <c r="D149" s="9" t="n">
        <v>226189.543184544</v>
      </c>
      <c r="E149" s="12" t="n">
        <f aca="false">SUM(B149:D149)</f>
        <v>226189.543184544</v>
      </c>
    </row>
    <row r="150" customFormat="false" ht="15" hidden="false" customHeight="false" outlineLevel="0" collapsed="false">
      <c r="A150" s="4" t="s">
        <v>118</v>
      </c>
      <c r="B150" s="9" t="n">
        <v>2078171.48445739</v>
      </c>
      <c r="C150" s="9" t="n">
        <v>-511880.035366252</v>
      </c>
      <c r="D150" s="9" t="n">
        <v>-1566291.44909114</v>
      </c>
      <c r="E150" s="12" t="n">
        <f aca="false">SUM(B150:D150)</f>
        <v>0</v>
      </c>
    </row>
    <row r="151" customFormat="false" ht="15" hidden="false" customHeight="false" outlineLevel="0" collapsed="false">
      <c r="A151" s="4" t="s">
        <v>119</v>
      </c>
      <c r="B151" s="9" t="n">
        <v>0</v>
      </c>
      <c r="C151" s="9" t="n">
        <v>0</v>
      </c>
      <c r="D151" s="9" t="n">
        <v>329125.445667945</v>
      </c>
      <c r="E151" s="12" t="n">
        <f aca="false">SUM(B151:D151)</f>
        <v>329125.445667945</v>
      </c>
    </row>
    <row r="152" customFormat="false" ht="15" hidden="false" customHeight="false" outlineLevel="0" collapsed="false">
      <c r="A152" s="4" t="s">
        <v>120</v>
      </c>
      <c r="B152" s="9" t="n">
        <v>0</v>
      </c>
      <c r="C152" s="9" t="n">
        <v>17783.428326638</v>
      </c>
      <c r="D152" s="9" t="n">
        <v>0</v>
      </c>
      <c r="E152" s="12" t="n">
        <f aca="false">SUM(B152:D152)</f>
        <v>17783.428326638</v>
      </c>
    </row>
    <row r="153" customFormat="false" ht="15" hidden="false" customHeight="false" outlineLevel="0" collapsed="false">
      <c r="A153" s="4" t="s">
        <v>121</v>
      </c>
      <c r="B153" s="9" t="n">
        <v>184793.206089177</v>
      </c>
      <c r="C153" s="9" t="n">
        <v>0</v>
      </c>
      <c r="D153" s="9" t="n">
        <v>0</v>
      </c>
      <c r="E153" s="12" t="n">
        <f aca="false">SUM(B153:D153)</f>
        <v>184793.206089177</v>
      </c>
    </row>
    <row r="154" customFormat="false" ht="15" hidden="false" customHeight="false" outlineLevel="0" collapsed="false">
      <c r="A154" s="4" t="s">
        <v>86</v>
      </c>
      <c r="B154" s="9" t="n">
        <v>11579.2500364661</v>
      </c>
      <c r="C154" s="9" t="n">
        <v>0</v>
      </c>
      <c r="D154" s="9" t="n">
        <v>-123608.412498631</v>
      </c>
      <c r="E154" s="12" t="n">
        <f aca="false">SUM(B154:D154)</f>
        <v>-112029.162462165</v>
      </c>
    </row>
    <row r="155" customFormat="false" ht="15" hidden="false" customHeight="false" outlineLevel="0" collapsed="false">
      <c r="A155" s="4" t="s">
        <v>122</v>
      </c>
      <c r="B155" s="9" t="n">
        <v>-3013804.5792</v>
      </c>
      <c r="C155" s="9" t="n">
        <v>0</v>
      </c>
      <c r="D155" s="9" t="n">
        <v>0</v>
      </c>
      <c r="E155" s="12" t="n">
        <f aca="false">SUM(B155:D155)</f>
        <v>-3013804.5792</v>
      </c>
    </row>
    <row r="156" customFormat="false" ht="15" hidden="false" customHeight="false" outlineLevel="0" collapsed="false">
      <c r="A156" s="4" t="s">
        <v>123</v>
      </c>
      <c r="B156" s="9" t="n">
        <v>1401580.13516897</v>
      </c>
      <c r="C156" s="9" t="n">
        <v>0</v>
      </c>
      <c r="D156" s="9" t="n">
        <v>0</v>
      </c>
      <c r="E156" s="12" t="n">
        <f aca="false">SUM(B156:D156)</f>
        <v>1401580.13516897</v>
      </c>
    </row>
    <row r="157" customFormat="false" ht="15" hidden="false" customHeight="false" outlineLevel="0" collapsed="false">
      <c r="A157" s="4" t="s">
        <v>85</v>
      </c>
      <c r="B157" s="9" t="n">
        <v>0</v>
      </c>
      <c r="C157" s="9" t="n">
        <v>0</v>
      </c>
      <c r="D157" s="9" t="n">
        <v>0</v>
      </c>
      <c r="E157" s="12" t="n">
        <f aca="false">SUM(B157:D157)</f>
        <v>0</v>
      </c>
    </row>
    <row r="158" customFormat="false" ht="15" hidden="false" customHeight="false" outlineLevel="0" collapsed="false">
      <c r="A158" s="4" t="s">
        <v>89</v>
      </c>
      <c r="B158" s="9" t="n">
        <v>0</v>
      </c>
      <c r="C158" s="9" t="n">
        <v>0</v>
      </c>
      <c r="D158" s="9" t="n">
        <v>0</v>
      </c>
      <c r="E158" s="12" t="n">
        <f aca="false">SUM(B158:D158)</f>
        <v>0</v>
      </c>
    </row>
    <row r="159" customFormat="false" ht="15" hidden="false" customHeight="false" outlineLevel="0" collapsed="false">
      <c r="A159" s="3" t="s">
        <v>90</v>
      </c>
      <c r="B159" s="10" t="n">
        <f aca="false">SUM(B146:B158)</f>
        <v>2487239.96473108</v>
      </c>
      <c r="C159" s="10" t="n">
        <f aca="false">SUM(C146:C158)</f>
        <v>-1365286.81913086</v>
      </c>
      <c r="D159" s="10" t="n">
        <f aca="false">SUM(D146:D158)</f>
        <v>-4017491.40134478</v>
      </c>
      <c r="E159" s="10" t="n">
        <f aca="false">SUM(E146:E158)</f>
        <v>-2895538.25574456</v>
      </c>
    </row>
    <row r="160" customFormat="false" ht="15" hidden="false" customHeight="false" outlineLevel="0" collapsed="false">
      <c r="A160" s="2" t="s">
        <v>91</v>
      </c>
      <c r="B160" s="13" t="n">
        <f aca="false">B159-2487239.96473108</f>
        <v>0</v>
      </c>
      <c r="C160" s="13" t="n">
        <f aca="false">C159--1365286.81913086</f>
        <v>0</v>
      </c>
      <c r="D160" s="13" t="n">
        <f aca="false">D159--4017491.40134478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4"/>
  </cols>
  <sheetData>
    <row r="1" customFormat="false" ht="16.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1.5" hidden="false" customHeight="true" outlineLevel="0" collapsed="false">
      <c r="A4" s="8" t="s">
        <v>130</v>
      </c>
      <c r="B4" s="8" t="s">
        <v>131</v>
      </c>
      <c r="C4" s="8" t="s">
        <v>132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137</v>
      </c>
      <c r="I4" s="8" t="s">
        <v>138</v>
      </c>
    </row>
    <row r="5" customFormat="false" ht="15" hidden="false" customHeight="false" outlineLevel="0" collapsed="false">
      <c r="A5" s="4" t="s">
        <v>139</v>
      </c>
      <c r="B5" s="4" t="s">
        <v>140</v>
      </c>
      <c r="C5" s="9" t="n">
        <v>199855.627372841</v>
      </c>
      <c r="D5" s="9" t="n">
        <v>0</v>
      </c>
      <c r="E5" s="9" t="n">
        <v>-23872.701713052</v>
      </c>
      <c r="F5" s="9" t="n">
        <v>18642.2387433125</v>
      </c>
      <c r="G5" s="9" t="n">
        <v>150431.17216907</v>
      </c>
      <c r="H5" s="9" t="n">
        <v>345056.336572171</v>
      </c>
      <c r="I5" s="12" t="n">
        <f aca="false">SUM(C5:G5)</f>
        <v>345056.336572171</v>
      </c>
      <c r="J5" s="13" t="n">
        <f aca="false">I5-H5</f>
        <v>0</v>
      </c>
    </row>
    <row r="6" customFormat="false" ht="15" hidden="false" customHeight="false" outlineLevel="0" collapsed="false">
      <c r="A6" s="4" t="s">
        <v>139</v>
      </c>
      <c r="B6" s="4" t="s">
        <v>141</v>
      </c>
      <c r="C6" s="9" t="n">
        <v>941042.307461435</v>
      </c>
      <c r="D6" s="9" t="n">
        <v>-7732.5257271942</v>
      </c>
      <c r="E6" s="9" t="n">
        <v>2541.89141100802</v>
      </c>
      <c r="F6" s="9" t="n">
        <v>144388.946433963</v>
      </c>
      <c r="G6" s="9" t="n">
        <v>108886.096027621</v>
      </c>
      <c r="H6" s="9" t="n">
        <v>1189126.71560683</v>
      </c>
      <c r="I6" s="12" t="n">
        <f aca="false">SUM(C6:G6)</f>
        <v>1189126.71560683</v>
      </c>
      <c r="J6" s="13" t="n">
        <f aca="false">I6-H6</f>
        <v>0</v>
      </c>
    </row>
    <row r="7" customFormat="false" ht="15" hidden="false" customHeight="false" outlineLevel="0" collapsed="false">
      <c r="A7" s="4" t="s">
        <v>142</v>
      </c>
      <c r="B7" s="4" t="s">
        <v>140</v>
      </c>
      <c r="C7" s="9" t="n">
        <v>597430.864157331</v>
      </c>
      <c r="D7" s="9" t="n">
        <v>0</v>
      </c>
      <c r="E7" s="9" t="n">
        <v>108105.063861397</v>
      </c>
      <c r="F7" s="9" t="n">
        <v>56118.6916326423</v>
      </c>
      <c r="G7" s="9" t="n">
        <v>297391.418908515</v>
      </c>
      <c r="H7" s="9" t="n">
        <v>1059046.03855988</v>
      </c>
      <c r="I7" s="12" t="n">
        <f aca="false">SUM(C7:G7)</f>
        <v>1059046.03855988</v>
      </c>
      <c r="J7" s="13" t="n">
        <f aca="false">I7-H7</f>
        <v>0</v>
      </c>
    </row>
    <row r="8" customFormat="false" ht="15" hidden="false" customHeight="false" outlineLevel="0" collapsed="false">
      <c r="A8" s="4" t="s">
        <v>142</v>
      </c>
      <c r="B8" s="4" t="s">
        <v>141</v>
      </c>
      <c r="C8" s="9" t="n">
        <v>2810154.60995153</v>
      </c>
      <c r="D8" s="9" t="n">
        <v>-27550.8358975797</v>
      </c>
      <c r="E8" s="9" t="n">
        <v>216542.840640099</v>
      </c>
      <c r="F8" s="9" t="n">
        <v>365540.562194107</v>
      </c>
      <c r="G8" s="9" t="n">
        <v>300495.827042606</v>
      </c>
      <c r="H8" s="9" t="n">
        <v>3665183.00393076</v>
      </c>
      <c r="I8" s="12" t="n">
        <f aca="false">SUM(C8:G8)</f>
        <v>3665183.00393076</v>
      </c>
      <c r="J8" s="13" t="n">
        <f aca="false">I8-H8</f>
        <v>0</v>
      </c>
    </row>
    <row r="9" customFormat="false" ht="15" hidden="false" customHeight="false" outlineLevel="0" collapsed="false">
      <c r="A9" s="4" t="s">
        <v>143</v>
      </c>
      <c r="B9" s="4" t="s">
        <v>140</v>
      </c>
      <c r="C9" s="9" t="n">
        <v>968066.25544452</v>
      </c>
      <c r="D9" s="9" t="n">
        <v>0</v>
      </c>
      <c r="E9" s="9" t="n">
        <v>-11388.8965955793</v>
      </c>
      <c r="F9" s="9" t="n">
        <v>100439.220583897</v>
      </c>
      <c r="G9" s="9" t="n">
        <v>441716.234676882</v>
      </c>
      <c r="H9" s="9" t="n">
        <v>1498832.81410972</v>
      </c>
      <c r="I9" s="12" t="n">
        <f aca="false">SUM(C9:G9)</f>
        <v>1498832.81410972</v>
      </c>
      <c r="J9" s="13" t="n">
        <f aca="false">I9-H9</f>
        <v>0</v>
      </c>
    </row>
    <row r="10" customFormat="false" ht="15" hidden="false" customHeight="false" outlineLevel="0" collapsed="false">
      <c r="A10" s="4" t="s">
        <v>143</v>
      </c>
      <c r="B10" s="4" t="s">
        <v>141</v>
      </c>
      <c r="C10" s="9" t="n">
        <v>4773577.69073166</v>
      </c>
      <c r="D10" s="9" t="n">
        <v>-79293.4362019376</v>
      </c>
      <c r="E10" s="9" t="n">
        <v>44458.5708165949</v>
      </c>
      <c r="F10" s="9" t="n">
        <v>897245.38791411</v>
      </c>
      <c r="G10" s="9" t="n">
        <v>490841.30191083</v>
      </c>
      <c r="H10" s="9" t="n">
        <v>6126829.51517125</v>
      </c>
      <c r="I10" s="12" t="n">
        <f aca="false">SUM(C10:G10)</f>
        <v>6126829.51517125</v>
      </c>
      <c r="J10" s="13" t="n">
        <f aca="false">I10-H10</f>
        <v>0</v>
      </c>
    </row>
    <row r="11" customFormat="false" ht="15" hidden="false" customHeight="false" outlineLevel="0" collapsed="false">
      <c r="A11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4"/>
  </cols>
  <sheetData>
    <row r="1" customFormat="false" ht="16.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1.5" hidden="false" customHeight="true" outlineLevel="0" collapsed="false">
      <c r="A4" s="8" t="s">
        <v>130</v>
      </c>
      <c r="B4" s="8" t="s">
        <v>131</v>
      </c>
      <c r="C4" s="8" t="s">
        <v>147</v>
      </c>
      <c r="D4" s="8" t="s">
        <v>148</v>
      </c>
      <c r="E4" s="8" t="s">
        <v>149</v>
      </c>
      <c r="F4" s="8" t="s">
        <v>150</v>
      </c>
      <c r="G4" s="8" t="s">
        <v>151</v>
      </c>
      <c r="H4" s="8" t="s">
        <v>152</v>
      </c>
      <c r="I4" s="8" t="s">
        <v>153</v>
      </c>
      <c r="J4" s="8" t="s">
        <v>154</v>
      </c>
      <c r="K4" s="15" t="s">
        <v>155</v>
      </c>
    </row>
    <row r="5" customFormat="false" ht="15" hidden="false" customHeight="false" outlineLevel="0" collapsed="false">
      <c r="A5" s="4" t="s">
        <v>139</v>
      </c>
      <c r="B5" s="4" t="s">
        <v>140</v>
      </c>
      <c r="C5" s="16" t="b">
        <f aca="false">FALSE()</f>
        <v>0</v>
      </c>
      <c r="D5" s="9" t="n">
        <v>1987549.58</v>
      </c>
      <c r="E5" s="9" t="n">
        <v>33190296.4989951</v>
      </c>
      <c r="F5" s="9" t="n">
        <v>-38193829.6337488</v>
      </c>
      <c r="G5" s="9" t="n">
        <v>772192.830622793</v>
      </c>
      <c r="H5" s="9" t="n">
        <v>2243790.72413088</v>
      </c>
      <c r="I5" s="9" t="n">
        <v>0</v>
      </c>
      <c r="J5" s="12" t="n">
        <f aca="false">SUM(D5:H5)</f>
        <v>1.02445483207703E-008</v>
      </c>
      <c r="K5" s="13" t="n">
        <f aca="false">J5-I5</f>
        <v>1.02445483207703E-008</v>
      </c>
    </row>
    <row r="6" customFormat="false" ht="15" hidden="false" customHeight="false" outlineLevel="0" collapsed="false">
      <c r="A6" s="4" t="s">
        <v>139</v>
      </c>
      <c r="B6" s="4" t="s">
        <v>141</v>
      </c>
      <c r="C6" s="16" t="b">
        <f aca="false">FALSE()</f>
        <v>0</v>
      </c>
      <c r="D6" s="9" t="n">
        <v>1853044.43737</v>
      </c>
      <c r="E6" s="9" t="n">
        <v>16733824.2298456</v>
      </c>
      <c r="F6" s="9" t="n">
        <v>-22736500.7897856</v>
      </c>
      <c r="G6" s="9" t="n">
        <v>1032123.269626</v>
      </c>
      <c r="H6" s="9" t="n">
        <v>3117508.85294399</v>
      </c>
      <c r="I6" s="9" t="n">
        <v>0</v>
      </c>
      <c r="J6" s="12" t="n">
        <f aca="false">SUM(D6:H6)</f>
        <v>0</v>
      </c>
      <c r="K6" s="13" t="n">
        <f aca="false">J6-I6</f>
        <v>0</v>
      </c>
    </row>
    <row r="7" customFormat="false" ht="15" hidden="false" customHeight="false" outlineLevel="0" collapsed="false">
      <c r="A7" s="4" t="s">
        <v>139</v>
      </c>
      <c r="B7" s="4" t="s">
        <v>141</v>
      </c>
      <c r="C7" s="16" t="b">
        <f aca="false">TRUE()</f>
        <v>1</v>
      </c>
      <c r="D7" s="9" t="n">
        <v>267684.25263</v>
      </c>
      <c r="E7" s="9" t="n">
        <v>2872075.60955027</v>
      </c>
      <c r="F7" s="9" t="n">
        <v>-3154701.28376625</v>
      </c>
      <c r="G7" s="9" t="n">
        <v>178621.029899501</v>
      </c>
      <c r="H7" s="9" t="n">
        <v>0</v>
      </c>
      <c r="I7" s="9" t="n">
        <v>163679.60831352</v>
      </c>
      <c r="J7" s="12" t="n">
        <f aca="false">SUM(D7:H7)</f>
        <v>163679.60831352</v>
      </c>
      <c r="K7" s="13" t="n">
        <f aca="false">J7-I7</f>
        <v>0</v>
      </c>
    </row>
    <row r="8" customFormat="false" ht="15" hidden="false" customHeight="false" outlineLevel="0" collapsed="false">
      <c r="A8" s="4" t="s">
        <v>142</v>
      </c>
      <c r="B8" s="4" t="s">
        <v>140</v>
      </c>
      <c r="C8" s="16" t="b">
        <f aca="false">FALSE()</f>
        <v>0</v>
      </c>
      <c r="D8" s="9" t="n">
        <v>1976308.81</v>
      </c>
      <c r="E8" s="9" t="n">
        <v>33191214.8681267</v>
      </c>
      <c r="F8" s="9" t="n">
        <v>-38069649.4492052</v>
      </c>
      <c r="G8" s="9" t="n">
        <v>773206.313741726</v>
      </c>
      <c r="H8" s="9" t="n">
        <v>2128919.45733678</v>
      </c>
      <c r="I8" s="9" t="n">
        <v>0</v>
      </c>
      <c r="J8" s="12" t="n">
        <f aca="false">SUM(D8:H8)</f>
        <v>0</v>
      </c>
      <c r="K8" s="13" t="n">
        <f aca="false">J8-I8</f>
        <v>0</v>
      </c>
    </row>
    <row r="9" customFormat="false" ht="15" hidden="false" customHeight="false" outlineLevel="0" collapsed="false">
      <c r="A9" s="4" t="s">
        <v>142</v>
      </c>
      <c r="B9" s="4" t="s">
        <v>141</v>
      </c>
      <c r="C9" s="16" t="b">
        <f aca="false">FALSE()</f>
        <v>0</v>
      </c>
      <c r="D9" s="9" t="n">
        <v>1864574.9424</v>
      </c>
      <c r="E9" s="9" t="n">
        <v>17110707.1927834</v>
      </c>
      <c r="F9" s="9" t="n">
        <v>-22984741.269041</v>
      </c>
      <c r="G9" s="9" t="n">
        <v>1068676.48276877</v>
      </c>
      <c r="H9" s="9" t="n">
        <v>2940782.65108884</v>
      </c>
      <c r="I9" s="9" t="n">
        <v>0</v>
      </c>
      <c r="J9" s="12" t="n">
        <f aca="false">SUM(D9:H9)</f>
        <v>0</v>
      </c>
      <c r="K9" s="13" t="n">
        <f aca="false">J9-I9</f>
        <v>0</v>
      </c>
    </row>
    <row r="10" customFormat="false" ht="15" hidden="false" customHeight="false" outlineLevel="0" collapsed="false">
      <c r="A10" s="4" t="s">
        <v>142</v>
      </c>
      <c r="B10" s="4" t="s">
        <v>141</v>
      </c>
      <c r="C10" s="16" t="b">
        <f aca="false">TRUE()</f>
        <v>1</v>
      </c>
      <c r="D10" s="9" t="n">
        <v>245307.6876</v>
      </c>
      <c r="E10" s="9" t="n">
        <v>2578273.94027455</v>
      </c>
      <c r="F10" s="9" t="n">
        <v>-2834857.55917414</v>
      </c>
      <c r="G10" s="9" t="n">
        <v>162612.273206424</v>
      </c>
      <c r="H10" s="9" t="n">
        <v>0</v>
      </c>
      <c r="I10" s="9" t="n">
        <v>151336.34190683</v>
      </c>
      <c r="J10" s="12" t="n">
        <f aca="false">SUM(D10:H10)</f>
        <v>151336.34190683</v>
      </c>
      <c r="K10" s="13" t="n">
        <f aca="false">J10-I10</f>
        <v>0</v>
      </c>
    </row>
    <row r="11" customFormat="false" ht="15" hidden="false" customHeight="false" outlineLevel="0" collapsed="false">
      <c r="A11" s="4" t="s">
        <v>143</v>
      </c>
      <c r="B11" s="4" t="s">
        <v>140</v>
      </c>
      <c r="C11" s="16" t="b">
        <f aca="false">FALSE()</f>
        <v>0</v>
      </c>
      <c r="D11" s="9" t="n">
        <v>1965802.53</v>
      </c>
      <c r="E11" s="9" t="n">
        <v>32973788.5573258</v>
      </c>
      <c r="F11" s="9" t="n">
        <v>-37794820.0117665</v>
      </c>
      <c r="G11" s="9" t="n">
        <v>767372.674420259</v>
      </c>
      <c r="H11" s="9" t="n">
        <v>2087856.25002044</v>
      </c>
      <c r="I11" s="9" t="n">
        <v>0</v>
      </c>
      <c r="J11" s="12" t="n">
        <f aca="false">SUM(D11:H11)</f>
        <v>0</v>
      </c>
      <c r="K11" s="13" t="n">
        <f aca="false">J11-I11</f>
        <v>0</v>
      </c>
    </row>
    <row r="12" customFormat="false" ht="15" hidden="false" customHeight="false" outlineLevel="0" collapsed="false">
      <c r="A12" s="4" t="s">
        <v>143</v>
      </c>
      <c r="B12" s="4" t="s">
        <v>141</v>
      </c>
      <c r="C12" s="16" t="b">
        <f aca="false">FALSE()</f>
        <v>0</v>
      </c>
      <c r="D12" s="9" t="n">
        <v>2251767.98</v>
      </c>
      <c r="E12" s="9" t="n">
        <v>20295052.8694558</v>
      </c>
      <c r="F12" s="9" t="n">
        <v>-28081521.9520144</v>
      </c>
      <c r="G12" s="9" t="n">
        <v>1279700.08841563</v>
      </c>
      <c r="H12" s="9" t="n">
        <v>4255001.01414291</v>
      </c>
      <c r="I12" s="9" t="n">
        <v>0</v>
      </c>
      <c r="J12" s="12" t="n">
        <f aca="false">SUM(D12:H12)</f>
        <v>0</v>
      </c>
      <c r="K12" s="13" t="n">
        <f aca="false">J12-I12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4"/>
  </cols>
  <sheetData>
    <row r="1" customFormat="false" ht="16.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31.5" hidden="false" customHeight="true" outlineLevel="0" collapsed="false">
      <c r="A4" s="8" t="s">
        <v>131</v>
      </c>
      <c r="B4" s="8" t="s">
        <v>158</v>
      </c>
      <c r="C4" s="8" t="s">
        <v>159</v>
      </c>
      <c r="D4" s="8" t="s">
        <v>160</v>
      </c>
      <c r="E4" s="8" t="s">
        <v>161</v>
      </c>
      <c r="F4" s="8" t="s">
        <v>162</v>
      </c>
      <c r="G4" s="8" t="s">
        <v>163</v>
      </c>
      <c r="H4" s="8" t="s">
        <v>164</v>
      </c>
      <c r="I4" s="8" t="s">
        <v>79</v>
      </c>
    </row>
    <row r="5" customFormat="false" ht="15" hidden="false" customHeight="false" outlineLevel="0" collapsed="false">
      <c r="A5" s="4" t="s">
        <v>141</v>
      </c>
      <c r="B5" s="9" t="n">
        <v>1072955.19102143</v>
      </c>
      <c r="C5" s="9" t="n">
        <v>1009117.89168364</v>
      </c>
      <c r="D5" s="9" t="n">
        <v>961013.322156486</v>
      </c>
      <c r="E5" s="9" t="n">
        <v>919008.132927666</v>
      </c>
      <c r="F5" s="9" t="n">
        <v>878603.692291427</v>
      </c>
      <c r="G5" s="9" t="n">
        <v>3535818.79412383</v>
      </c>
      <c r="H5" s="9" t="n">
        <v>2459703.15980734</v>
      </c>
      <c r="I5" s="12" t="n">
        <f aca="false">SUM(B5:H5)</f>
        <v>10836220.1840118</v>
      </c>
    </row>
    <row r="6" customFormat="false" ht="15" hidden="false" customHeight="false" outlineLevel="0" collapsed="false">
      <c r="A6" s="4" t="s">
        <v>165</v>
      </c>
      <c r="B6" s="9" t="n">
        <v>-393574.400179658</v>
      </c>
      <c r="C6" s="9" t="n">
        <v>-370267.434444344</v>
      </c>
      <c r="D6" s="9" t="n">
        <v>-352713.298645073</v>
      </c>
      <c r="E6" s="9" t="n">
        <v>-337393.700037765</v>
      </c>
      <c r="F6" s="9" t="n">
        <v>-322659.8455972</v>
      </c>
      <c r="G6" s="9" t="n">
        <v>-1301621.36252499</v>
      </c>
      <c r="H6" s="9" t="n">
        <v>-939261.359915743</v>
      </c>
      <c r="I6" s="12" t="n">
        <f aca="false">SUM(B6:H6)</f>
        <v>-4017491.40134478</v>
      </c>
    </row>
    <row r="7" customFormat="false" ht="15" hidden="false" customHeight="false" outlineLevel="0" collapsed="false">
      <c r="A7" s="4" t="s">
        <v>140</v>
      </c>
      <c r="B7" s="9" t="n">
        <v>126562.232642301</v>
      </c>
      <c r="C7" s="9" t="n">
        <v>141819.865674819</v>
      </c>
      <c r="D7" s="9" t="n">
        <v>156597.493005506</v>
      </c>
      <c r="E7" s="9" t="n">
        <v>170293.586386907</v>
      </c>
      <c r="F7" s="9" t="n">
        <v>184008.142136607</v>
      </c>
      <c r="G7" s="9" t="n">
        <v>1137020.0157056</v>
      </c>
      <c r="H7" s="9" t="n">
        <v>5168104.02831606</v>
      </c>
      <c r="I7" s="12" t="n">
        <f aca="false">SUM(B7:H7)</f>
        <v>7084405.36386779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6.1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25</v>
      </c>
    </row>
    <row r="5" customFormat="false" ht="31.5" hidden="false" customHeight="true" outlineLevel="0" collapsed="false">
      <c r="A5" s="8" t="s">
        <v>130</v>
      </c>
      <c r="B5" s="8" t="s">
        <v>168</v>
      </c>
      <c r="C5" s="8" t="s">
        <v>169</v>
      </c>
      <c r="D5" s="8" t="s">
        <v>170</v>
      </c>
      <c r="E5" s="8" t="s">
        <v>171</v>
      </c>
      <c r="F5" s="8" t="s">
        <v>172</v>
      </c>
    </row>
    <row r="6" customFormat="false" ht="15" hidden="false" customHeight="false" outlineLevel="0" collapsed="false">
      <c r="A6" s="5" t="s">
        <v>139</v>
      </c>
      <c r="B6" s="5" t="s">
        <v>173</v>
      </c>
      <c r="C6" s="5" t="s">
        <v>174</v>
      </c>
      <c r="D6" s="5" t="s">
        <v>175</v>
      </c>
      <c r="E6" s="5" t="n">
        <v>1.03822240171783</v>
      </c>
      <c r="F6" s="5" t="n">
        <v>0.0744666805119544</v>
      </c>
    </row>
    <row r="7" customFormat="false" ht="15" hidden="false" customHeight="false" outlineLevel="0" collapsed="false">
      <c r="A7" s="5" t="s">
        <v>139</v>
      </c>
      <c r="B7" s="5" t="s">
        <v>176</v>
      </c>
      <c r="C7" s="5" t="s">
        <v>177</v>
      </c>
      <c r="D7" s="5" t="s">
        <v>175</v>
      </c>
      <c r="E7" s="5" t="n">
        <v>0</v>
      </c>
      <c r="F7" s="5" t="n">
        <v>0</v>
      </c>
    </row>
    <row r="8" customFormat="false" ht="15" hidden="false" customHeight="false" outlineLevel="0" collapsed="false">
      <c r="A8" s="5" t="s">
        <v>142</v>
      </c>
      <c r="B8" s="5" t="s">
        <v>173</v>
      </c>
      <c r="C8" s="5" t="s">
        <v>178</v>
      </c>
      <c r="D8" s="5" t="s">
        <v>175</v>
      </c>
      <c r="E8" s="5" t="n">
        <v>0.729756501311164</v>
      </c>
      <c r="F8" s="5" t="n">
        <v>0.121603580062096</v>
      </c>
    </row>
    <row r="9" customFormat="false" ht="15" hidden="false" customHeight="false" outlineLevel="0" collapsed="false">
      <c r="A9" s="5" t="s">
        <v>142</v>
      </c>
      <c r="B9" s="5" t="s">
        <v>176</v>
      </c>
      <c r="C9" s="5" t="s">
        <v>179</v>
      </c>
      <c r="D9" s="5" t="s">
        <v>175</v>
      </c>
      <c r="E9" s="5" t="n">
        <v>0</v>
      </c>
      <c r="F9" s="5" t="n">
        <v>0</v>
      </c>
    </row>
    <row r="10" customFormat="false" ht="15" hidden="false" customHeight="false" outlineLevel="0" collapsed="false">
      <c r="A10" s="5" t="s">
        <v>143</v>
      </c>
      <c r="B10" s="5" t="s">
        <v>173</v>
      </c>
      <c r="C10" s="5" t="s">
        <v>180</v>
      </c>
      <c r="D10" s="5" t="s">
        <v>175</v>
      </c>
      <c r="E10" s="5" t="n">
        <v>0.681049368593446</v>
      </c>
      <c r="F10" s="5" t="n">
        <v>0.174639845927504</v>
      </c>
    </row>
    <row r="11" customFormat="false" ht="15" hidden="false" customHeight="false" outlineLevel="0" collapsed="false">
      <c r="A11" s="5" t="s">
        <v>143</v>
      </c>
      <c r="B11" s="5" t="s">
        <v>176</v>
      </c>
      <c r="C11" s="5" t="s">
        <v>181</v>
      </c>
      <c r="D11" s="5" t="s">
        <v>175</v>
      </c>
      <c r="E11" s="5" t="n">
        <v>0.880177958514176</v>
      </c>
      <c r="F11" s="5" t="n">
        <v>0.0526558947624551</v>
      </c>
    </row>
    <row r="12" customFormat="false" ht="15" hidden="false" customHeight="false" outlineLevel="0" collapsed="false">
      <c r="A12" s="5" t="s">
        <v>182</v>
      </c>
      <c r="B12" s="5" t="s">
        <v>183</v>
      </c>
      <c r="C12" s="5" t="s">
        <v>184</v>
      </c>
      <c r="D12" s="5" t="s">
        <v>185</v>
      </c>
      <c r="E12" s="5"/>
      <c r="F12" s="5"/>
    </row>
    <row r="13" customFormat="false" ht="15" hidden="false" customHeight="false" outlineLevel="0" collapsed="false">
      <c r="A13" s="5" t="s">
        <v>182</v>
      </c>
      <c r="B13" s="5" t="s">
        <v>186</v>
      </c>
      <c r="C13" s="5" t="s">
        <v>187</v>
      </c>
      <c r="D13" s="5" t="s">
        <v>185</v>
      </c>
      <c r="E13" s="5"/>
      <c r="F13" s="5"/>
    </row>
    <row r="14" customFormat="false" ht="15" hidden="false" customHeight="false" outlineLevel="0" collapsed="false">
      <c r="A14" s="5" t="s">
        <v>182</v>
      </c>
      <c r="B14" s="5" t="s">
        <v>188</v>
      </c>
      <c r="C14" s="5" t="s">
        <v>189</v>
      </c>
      <c r="D14" s="5" t="s">
        <v>185</v>
      </c>
      <c r="E14" s="5"/>
      <c r="F14" s="5"/>
    </row>
    <row r="15" customFormat="false" ht="15" hidden="false" customHeight="false" outlineLevel="0" collapsed="false">
      <c r="A15" s="5" t="s">
        <v>182</v>
      </c>
      <c r="B15" s="5" t="s">
        <v>190</v>
      </c>
      <c r="C15" s="5" t="s">
        <v>191</v>
      </c>
      <c r="D15" s="5" t="s">
        <v>185</v>
      </c>
      <c r="E15" s="5"/>
      <c r="F15" s="5"/>
    </row>
    <row r="16" customFormat="false" ht="15" hidden="false" customHeight="false" outlineLevel="0" collapsed="false">
      <c r="A16" s="5" t="s">
        <v>182</v>
      </c>
      <c r="B16" s="5" t="s">
        <v>192</v>
      </c>
      <c r="C16" s="5" t="s">
        <v>193</v>
      </c>
      <c r="D16" s="5" t="s">
        <v>194</v>
      </c>
      <c r="E16" s="5"/>
      <c r="F16" s="5"/>
    </row>
    <row r="19" customFormat="false" ht="15" hidden="false" customHeight="false" outlineLevel="0" collapsed="false">
      <c r="A19" s="3" t="s">
        <v>195</v>
      </c>
    </row>
    <row r="20" customFormat="false" ht="31.5" hidden="false" customHeight="true" outlineLevel="0" collapsed="false">
      <c r="A20" s="8" t="s">
        <v>130</v>
      </c>
      <c r="B20" s="8" t="s">
        <v>131</v>
      </c>
      <c r="C20" s="8" t="s">
        <v>196</v>
      </c>
      <c r="D20" s="8" t="s">
        <v>197</v>
      </c>
      <c r="E20" s="8" t="s">
        <v>198</v>
      </c>
      <c r="F20" s="8" t="s">
        <v>199</v>
      </c>
      <c r="G20" s="8" t="s">
        <v>200</v>
      </c>
      <c r="H20" s="8" t="s">
        <v>201</v>
      </c>
    </row>
    <row r="21" customFormat="false" ht="15" hidden="false" customHeight="false" outlineLevel="0" collapsed="false">
      <c r="A21" s="5" t="s">
        <v>139</v>
      </c>
      <c r="B21" s="5" t="s">
        <v>141</v>
      </c>
      <c r="C21" s="17" t="n">
        <v>0.0518549999999999</v>
      </c>
      <c r="D21" s="17" t="n">
        <v>0.046324</v>
      </c>
      <c r="E21" s="17" t="n">
        <v>0.049703</v>
      </c>
      <c r="F21" s="17" t="n">
        <v>0.0517529999999999</v>
      </c>
      <c r="G21" s="17" t="n">
        <v>0.0516499999999999</v>
      </c>
      <c r="H21" s="17" t="n">
        <v>0.0516499999999999</v>
      </c>
    </row>
    <row r="22" customFormat="false" ht="15" hidden="false" customHeight="false" outlineLevel="0" collapsed="false">
      <c r="A22" s="5" t="s">
        <v>139</v>
      </c>
      <c r="B22" s="5" t="s">
        <v>140</v>
      </c>
      <c r="C22" s="17" t="n">
        <v>0.0518549999999999</v>
      </c>
      <c r="D22" s="17" t="n">
        <v>0.046324</v>
      </c>
      <c r="E22" s="17" t="n">
        <v>0.049703</v>
      </c>
      <c r="F22" s="17" t="n">
        <v>0.0517529999999999</v>
      </c>
      <c r="G22" s="17" t="n">
        <v>0.0516499999999999</v>
      </c>
      <c r="H22" s="17" t="n">
        <v>0.0516499999999999</v>
      </c>
    </row>
    <row r="23" customFormat="false" ht="15" hidden="false" customHeight="false" outlineLevel="0" collapsed="false">
      <c r="A23" s="5" t="s">
        <v>139</v>
      </c>
      <c r="B23" s="5" t="s">
        <v>202</v>
      </c>
      <c r="C23" s="17" t="n">
        <v>0.0518549999999999</v>
      </c>
      <c r="D23" s="17" t="n">
        <v>0.046324</v>
      </c>
      <c r="E23" s="17" t="n">
        <v>0.049703</v>
      </c>
      <c r="F23" s="17" t="n">
        <v>0.0517529999999999</v>
      </c>
      <c r="G23" s="17" t="n">
        <v>0.0516499999999999</v>
      </c>
      <c r="H23" s="17" t="n">
        <v>0.0516499999999999</v>
      </c>
    </row>
    <row r="24" customFormat="false" ht="15" hidden="false" customHeight="false" outlineLevel="0" collapsed="false">
      <c r="A24" s="5" t="s">
        <v>139</v>
      </c>
      <c r="B24" s="5" t="s">
        <v>203</v>
      </c>
      <c r="C24" s="17" t="n">
        <v>0.0518549999999999</v>
      </c>
      <c r="D24" s="17" t="n">
        <v>0.046324</v>
      </c>
      <c r="E24" s="17" t="n">
        <v>0.049703</v>
      </c>
      <c r="F24" s="17" t="n">
        <v>0.0517529999999999</v>
      </c>
      <c r="G24" s="17" t="n">
        <v>0.0516499999999999</v>
      </c>
      <c r="H24" s="17" t="n">
        <v>0.0516499999999999</v>
      </c>
    </row>
    <row r="25" customFormat="false" ht="15" hidden="false" customHeight="false" outlineLevel="0" collapsed="false">
      <c r="A25" s="5" t="s">
        <v>142</v>
      </c>
      <c r="B25" s="5" t="s">
        <v>141</v>
      </c>
      <c r="C25" s="17" t="n">
        <v>0.0464269999999999</v>
      </c>
      <c r="D25" s="17" t="n">
        <v>0.0496</v>
      </c>
      <c r="E25" s="17" t="n">
        <v>0.054318</v>
      </c>
      <c r="F25" s="17" t="n">
        <v>0.058429</v>
      </c>
      <c r="G25" s="17" t="n">
        <v>0.0587379999999999</v>
      </c>
      <c r="H25" s="17" t="n">
        <v>0.0593559999999999</v>
      </c>
    </row>
    <row r="26" customFormat="false" ht="15" hidden="false" customHeight="false" outlineLevel="0" collapsed="false">
      <c r="A26" s="5" t="s">
        <v>142</v>
      </c>
      <c r="B26" s="5" t="s">
        <v>140</v>
      </c>
      <c r="C26" s="17" t="n">
        <v>0.0464269999999999</v>
      </c>
      <c r="D26" s="17" t="n">
        <v>0.0496</v>
      </c>
      <c r="E26" s="17" t="n">
        <v>0.054318</v>
      </c>
      <c r="F26" s="17" t="n">
        <v>0.058429</v>
      </c>
      <c r="G26" s="17" t="n">
        <v>0.0587379999999999</v>
      </c>
      <c r="H26" s="17" t="n">
        <v>0.0593559999999999</v>
      </c>
    </row>
    <row r="27" customFormat="false" ht="15" hidden="false" customHeight="false" outlineLevel="0" collapsed="false">
      <c r="A27" s="5" t="s">
        <v>142</v>
      </c>
      <c r="B27" s="5" t="s">
        <v>202</v>
      </c>
      <c r="C27" s="17" t="n">
        <v>0.0464269999999999</v>
      </c>
      <c r="D27" s="17" t="n">
        <v>0.0496</v>
      </c>
      <c r="E27" s="17" t="n">
        <v>0.054318</v>
      </c>
      <c r="F27" s="17" t="n">
        <v>0.058429</v>
      </c>
      <c r="G27" s="17" t="n">
        <v>0.0587379999999999</v>
      </c>
      <c r="H27" s="17" t="n">
        <v>0.0593559999999999</v>
      </c>
    </row>
    <row r="28" customFormat="false" ht="15" hidden="false" customHeight="false" outlineLevel="0" collapsed="false">
      <c r="A28" s="5" t="s">
        <v>142</v>
      </c>
      <c r="B28" s="5" t="s">
        <v>203</v>
      </c>
      <c r="C28" s="17" t="n">
        <v>0.0464269999999999</v>
      </c>
      <c r="D28" s="17" t="n">
        <v>0.0496</v>
      </c>
      <c r="E28" s="17" t="n">
        <v>0.054318</v>
      </c>
      <c r="F28" s="17" t="n">
        <v>0.058429</v>
      </c>
      <c r="G28" s="17" t="n">
        <v>0.0587379999999999</v>
      </c>
      <c r="H28" s="17" t="n">
        <v>0.0593559999999999</v>
      </c>
    </row>
    <row r="29" customFormat="false" ht="15" hidden="false" customHeight="false" outlineLevel="0" collapsed="false">
      <c r="A29" s="5" t="s">
        <v>143</v>
      </c>
      <c r="B29" s="5" t="s">
        <v>141</v>
      </c>
      <c r="C29" s="17" t="n">
        <v>0.0387689999999998</v>
      </c>
      <c r="D29" s="17" t="n">
        <v>0.0429520000000001</v>
      </c>
      <c r="E29" s="17" t="n">
        <v>0.0502149999999999</v>
      </c>
      <c r="F29" s="17" t="n">
        <v>0.058429</v>
      </c>
      <c r="G29" s="17" t="n">
        <v>0.061312</v>
      </c>
      <c r="H29" s="17" t="n">
        <v>0.062858</v>
      </c>
    </row>
    <row r="30" customFormat="false" ht="15" hidden="false" customHeight="false" outlineLevel="0" collapsed="false">
      <c r="A30" s="5" t="s">
        <v>143</v>
      </c>
      <c r="B30" s="5" t="s">
        <v>140</v>
      </c>
      <c r="C30" s="17" t="n">
        <v>0.0387689999999998</v>
      </c>
      <c r="D30" s="17" t="n">
        <v>0.0429520000000001</v>
      </c>
      <c r="E30" s="17" t="n">
        <v>0.0502149999999999</v>
      </c>
      <c r="F30" s="17" t="n">
        <v>0.058429</v>
      </c>
      <c r="G30" s="17" t="n">
        <v>0.061312</v>
      </c>
      <c r="H30" s="17" t="n">
        <v>0.062858</v>
      </c>
    </row>
    <row r="31" customFormat="false" ht="15" hidden="false" customHeight="false" outlineLevel="0" collapsed="false">
      <c r="A31" s="5" t="s">
        <v>143</v>
      </c>
      <c r="B31" s="5" t="s">
        <v>202</v>
      </c>
      <c r="C31" s="17" t="n">
        <v>0.0387689999999998</v>
      </c>
      <c r="D31" s="17" t="n">
        <v>0.0429520000000001</v>
      </c>
      <c r="E31" s="17" t="n">
        <v>0.0502149999999999</v>
      </c>
      <c r="F31" s="17" t="n">
        <v>0.058429</v>
      </c>
      <c r="G31" s="17" t="n">
        <v>0.061312</v>
      </c>
      <c r="H31" s="17" t="n">
        <v>0.062858</v>
      </c>
    </row>
    <row r="32" customFormat="false" ht="15" hidden="false" customHeight="false" outlineLevel="0" collapsed="false">
      <c r="A32" s="5" t="s">
        <v>143</v>
      </c>
      <c r="B32" s="5" t="s">
        <v>203</v>
      </c>
      <c r="C32" s="17" t="n">
        <v>0.0387689999999998</v>
      </c>
      <c r="D32" s="17" t="n">
        <v>0.0429520000000001</v>
      </c>
      <c r="E32" s="17" t="n">
        <v>0.0502149999999999</v>
      </c>
      <c r="F32" s="17" t="n">
        <v>0.058429</v>
      </c>
      <c r="G32" s="17" t="n">
        <v>0.061312</v>
      </c>
      <c r="H32" s="17" t="n">
        <v>0.062858</v>
      </c>
    </row>
    <row r="35" customFormat="false" ht="15" hidden="false" customHeight="false" outlineLevel="0" collapsed="false">
      <c r="A35" s="3" t="s">
        <v>204</v>
      </c>
    </row>
    <row r="36" customFormat="false" ht="31.5" hidden="false" customHeight="true" outlineLevel="0" collapsed="false">
      <c r="A36" s="8" t="s">
        <v>131</v>
      </c>
      <c r="B36" s="8" t="s">
        <v>205</v>
      </c>
      <c r="C36" s="8" t="s">
        <v>206</v>
      </c>
      <c r="D36" s="8" t="s">
        <v>207</v>
      </c>
      <c r="E36" s="8" t="s">
        <v>208</v>
      </c>
    </row>
    <row r="37" customFormat="false" ht="15" hidden="false" customHeight="false" outlineLevel="0" collapsed="false">
      <c r="A37" s="5" t="s">
        <v>74</v>
      </c>
      <c r="B37" s="5" t="s">
        <v>209</v>
      </c>
      <c r="C37" s="9" t="n">
        <v>3413217.04782715</v>
      </c>
      <c r="D37" s="9" t="n">
        <v>7491575.99422123</v>
      </c>
      <c r="E37" s="17" t="n">
        <v>0.879715697055421</v>
      </c>
    </row>
    <row r="38" customFormat="false" ht="15" hidden="false" customHeight="false" outlineLevel="0" collapsed="false">
      <c r="A38" s="5" t="s">
        <v>210</v>
      </c>
      <c r="B38" s="5" t="s">
        <v>211</v>
      </c>
      <c r="C38" s="9" t="n">
        <v>769958.266473765</v>
      </c>
      <c r="D38" s="5"/>
      <c r="E38" s="17" t="n">
        <v>0.732650799407994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6.1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31.5" hidden="false" customHeight="true" outlineLevel="0" collapsed="false">
      <c r="A4" s="8" t="s">
        <v>131</v>
      </c>
      <c r="B4" s="8" t="s">
        <v>214</v>
      </c>
      <c r="C4" s="8" t="s">
        <v>215</v>
      </c>
      <c r="D4" s="8" t="s">
        <v>216</v>
      </c>
      <c r="E4" s="8" t="s">
        <v>217</v>
      </c>
      <c r="F4" s="8" t="s">
        <v>218</v>
      </c>
    </row>
    <row r="5" customFormat="false" ht="15" hidden="false" customHeight="false" outlineLevel="0" collapsed="false">
      <c r="A5" s="4" t="s">
        <v>141</v>
      </c>
      <c r="B5" s="4" t="s">
        <v>219</v>
      </c>
      <c r="C5" s="9" t="n">
        <v>-470262.99230977</v>
      </c>
      <c r="D5" s="9" t="n">
        <v>-470262.99230977</v>
      </c>
      <c r="E5" s="9" t="n">
        <v>-282157.795385862</v>
      </c>
      <c r="F5" s="9" t="n">
        <v>-282157.795385862</v>
      </c>
    </row>
    <row r="6" customFormat="false" ht="15" hidden="false" customHeight="false" outlineLevel="0" collapsed="false">
      <c r="A6" s="4" t="s">
        <v>141</v>
      </c>
      <c r="B6" s="4" t="s">
        <v>220</v>
      </c>
      <c r="C6" s="9" t="n">
        <v>222553.085087743</v>
      </c>
      <c r="D6" s="9" t="n">
        <v>222553.085087743</v>
      </c>
      <c r="E6" s="9" t="n">
        <v>133531.851052646</v>
      </c>
      <c r="F6" s="9" t="n">
        <v>133531.851052646</v>
      </c>
    </row>
    <row r="7" customFormat="false" ht="15" hidden="false" customHeight="false" outlineLevel="0" collapsed="false">
      <c r="A7" s="4" t="s">
        <v>141</v>
      </c>
      <c r="B7" s="4" t="s">
        <v>221</v>
      </c>
      <c r="C7" s="9" t="n">
        <v>19154.620639699</v>
      </c>
      <c r="D7" s="9" t="n">
        <v>19154.620639699</v>
      </c>
      <c r="E7" s="9" t="n">
        <v>19154.620639699</v>
      </c>
      <c r="F7" s="9" t="n">
        <v>19154.620639699</v>
      </c>
    </row>
    <row r="8" customFormat="false" ht="15" hidden="false" customHeight="false" outlineLevel="0" collapsed="false">
      <c r="A8" s="4" t="s">
        <v>141</v>
      </c>
      <c r="B8" s="4" t="s">
        <v>222</v>
      </c>
      <c r="C8" s="9" t="n">
        <v>-20327.3891506088</v>
      </c>
      <c r="D8" s="9" t="n">
        <v>-20327.3891506088</v>
      </c>
      <c r="E8" s="9" t="n">
        <v>-20327.3891506088</v>
      </c>
      <c r="F8" s="9" t="n">
        <v>-20327.3891506088</v>
      </c>
    </row>
    <row r="9" customFormat="false" ht="15" hidden="false" customHeight="false" outlineLevel="0" collapsed="false">
      <c r="A9" s="4" t="s">
        <v>141</v>
      </c>
      <c r="B9" s="4" t="s">
        <v>223</v>
      </c>
      <c r="C9" s="9" t="n">
        <v>-27723.1199501043</v>
      </c>
      <c r="D9" s="9" t="n">
        <v>-27723.1199501043</v>
      </c>
      <c r="E9" s="9" t="n">
        <v>-27723.1199501043</v>
      </c>
      <c r="F9" s="9" t="n">
        <v>-27723.1199501043</v>
      </c>
    </row>
    <row r="10" customFormat="false" ht="15" hidden="false" customHeight="false" outlineLevel="0" collapsed="false">
      <c r="A10" s="4" t="s">
        <v>141</v>
      </c>
      <c r="B10" s="4" t="s">
        <v>224</v>
      </c>
      <c r="C10" s="9" t="n">
        <v>0</v>
      </c>
      <c r="D10" s="9" t="n">
        <v>48767.6505466604</v>
      </c>
      <c r="E10" s="9" t="n">
        <v>0</v>
      </c>
      <c r="F10" s="9" t="n">
        <v>29260.5903279962</v>
      </c>
    </row>
    <row r="11" customFormat="false" ht="15" hidden="false" customHeight="false" outlineLevel="0" collapsed="false">
      <c r="A11" s="4" t="s">
        <v>141</v>
      </c>
      <c r="B11" s="4" t="s">
        <v>225</v>
      </c>
      <c r="C11" s="9" t="n">
        <v>0</v>
      </c>
      <c r="D11" s="9" t="n">
        <v>-97195.4528568754</v>
      </c>
      <c r="E11" s="9" t="n">
        <v>0</v>
      </c>
      <c r="F11" s="9" t="n">
        <v>-58317.2717141253</v>
      </c>
    </row>
    <row r="12" customFormat="false" ht="15" hidden="false" customHeight="false" outlineLevel="0" collapsed="false">
      <c r="A12" s="4" t="s">
        <v>140</v>
      </c>
      <c r="B12" s="4" t="s">
        <v>219</v>
      </c>
      <c r="C12" s="9" t="n">
        <v>0</v>
      </c>
      <c r="D12" s="9" t="n">
        <v>0</v>
      </c>
      <c r="E12" s="9" t="n">
        <v>0</v>
      </c>
      <c r="F12" s="9" t="n">
        <v>0</v>
      </c>
    </row>
    <row r="13" customFormat="false" ht="15" hidden="false" customHeight="false" outlineLevel="0" collapsed="false">
      <c r="A13" s="4" t="s">
        <v>140</v>
      </c>
      <c r="B13" s="4" t="s">
        <v>221</v>
      </c>
      <c r="C13" s="9" t="n">
        <v>0</v>
      </c>
      <c r="D13" s="9" t="n">
        <v>0</v>
      </c>
      <c r="E13" s="9" t="n">
        <v>0</v>
      </c>
      <c r="F13" s="9" t="n">
        <v>0</v>
      </c>
    </row>
    <row r="14" customFormat="false" ht="15" hidden="false" customHeight="false" outlineLevel="0" collapsed="false">
      <c r="A14" s="4" t="s">
        <v>140</v>
      </c>
      <c r="B14" s="4" t="s">
        <v>222</v>
      </c>
      <c r="C14" s="9" t="n">
        <v>0</v>
      </c>
      <c r="D14" s="9" t="n">
        <v>0</v>
      </c>
      <c r="E14" s="9" t="n">
        <v>0</v>
      </c>
      <c r="F14" s="9" t="n">
        <v>0</v>
      </c>
    </row>
    <row r="15" customFormat="false" ht="15" hidden="false" customHeight="false" outlineLevel="0" collapsed="false">
      <c r="A15" s="4" t="s">
        <v>140</v>
      </c>
      <c r="B15" s="4" t="s">
        <v>223</v>
      </c>
      <c r="C15" s="9" t="n">
        <v>0</v>
      </c>
      <c r="D15" s="9" t="n">
        <v>0</v>
      </c>
      <c r="E15" s="9" t="n">
        <v>0</v>
      </c>
      <c r="F15" s="9" t="n">
        <v>0</v>
      </c>
    </row>
    <row r="16" customFormat="false" ht="15" hidden="false" customHeight="false" outlineLevel="0" collapsed="false">
      <c r="A16" s="4" t="s">
        <v>140</v>
      </c>
      <c r="B16" s="4" t="s">
        <v>224</v>
      </c>
      <c r="C16" s="9" t="n">
        <v>-818868.236594767</v>
      </c>
      <c r="D16" s="9" t="n">
        <v>-818868.236594767</v>
      </c>
      <c r="E16" s="9" t="n">
        <v>-818868.236594767</v>
      </c>
      <c r="F16" s="9" t="n">
        <v>-818868.236594767</v>
      </c>
    </row>
    <row r="17" customFormat="false" ht="15" hidden="false" customHeight="false" outlineLevel="0" collapsed="false">
      <c r="A17" s="4" t="s">
        <v>140</v>
      </c>
      <c r="B17" s="4" t="s">
        <v>225</v>
      </c>
      <c r="C17" s="9" t="n">
        <v>266184.477945813</v>
      </c>
      <c r="D17" s="9" t="n">
        <v>266184.477945813</v>
      </c>
      <c r="E17" s="9" t="n">
        <v>266184.477945813</v>
      </c>
      <c r="F17" s="9" t="n">
        <v>266184.477945813</v>
      </c>
    </row>
    <row r="18" customFormat="false" ht="15" hidden="false" customHeight="false" outlineLevel="0" collapsed="false">
      <c r="A18" s="4" t="s">
        <v>202</v>
      </c>
      <c r="B18" s="4" t="s">
        <v>226</v>
      </c>
      <c r="C18" s="9" t="n">
        <v>-361996.384869226</v>
      </c>
      <c r="D18" s="9" t="n">
        <v>-361996.384869226</v>
      </c>
      <c r="E18" s="9" t="n">
        <v>-361996.384869226</v>
      </c>
      <c r="F18" s="9" t="n">
        <v>-361996.384869226</v>
      </c>
    </row>
    <row r="19" customFormat="false" ht="15" hidden="false" customHeight="false" outlineLevel="0" collapsed="false">
      <c r="A19" s="4" t="s">
        <v>202</v>
      </c>
      <c r="B19" s="4" t="s">
        <v>224</v>
      </c>
      <c r="C19" s="9" t="n">
        <v>75262.8236363338</v>
      </c>
      <c r="D19" s="9" t="n">
        <v>75262.8236363338</v>
      </c>
      <c r="E19" s="9" t="n">
        <v>75262.8236363338</v>
      </c>
      <c r="F19" s="9" t="n">
        <v>75262.8236363338</v>
      </c>
    </row>
    <row r="20" customFormat="false" ht="15" hidden="false" customHeight="false" outlineLevel="0" collapsed="false">
      <c r="A20" s="4" t="s">
        <v>202</v>
      </c>
      <c r="B20" s="4" t="s">
        <v>225</v>
      </c>
      <c r="C20" s="9" t="n">
        <v>-77927.0363482192</v>
      </c>
      <c r="D20" s="9" t="n">
        <v>-77927.0363482192</v>
      </c>
      <c r="E20" s="9" t="n">
        <v>-77927.0363482192</v>
      </c>
      <c r="F20" s="9" t="n">
        <v>-77927.0363482192</v>
      </c>
    </row>
    <row r="21" customFormat="false" ht="15" hidden="false" customHeight="false" outlineLevel="0" collapsed="false">
      <c r="A21" s="4" t="s">
        <v>227</v>
      </c>
      <c r="B21" s="4" t="s">
        <v>226</v>
      </c>
      <c r="C21" s="9" t="n">
        <v>-35970.449408512</v>
      </c>
      <c r="D21" s="9" t="n">
        <v>-35970.449408512</v>
      </c>
      <c r="E21" s="9" t="n">
        <v>-35970.449408512</v>
      </c>
      <c r="F21" s="9" t="n">
        <v>-35970.449408512</v>
      </c>
    </row>
    <row r="22" customFormat="false" ht="15" hidden="false" customHeight="false" outlineLevel="0" collapsed="false">
      <c r="A22" s="4" t="s">
        <v>203</v>
      </c>
      <c r="B22" s="4" t="s">
        <v>226</v>
      </c>
      <c r="C22" s="9" t="n">
        <v>-61978.5948993901</v>
      </c>
      <c r="D22" s="9" t="n">
        <v>-61978.5948993901</v>
      </c>
      <c r="E22" s="9" t="n">
        <v>-61978.5948993901</v>
      </c>
      <c r="F22" s="9" t="n">
        <v>-61978.5948993901</v>
      </c>
    </row>
    <row r="23" customFormat="false" ht="15" hidden="false" customHeight="false" outlineLevel="0" collapsed="false">
      <c r="A23" s="4" t="s">
        <v>203</v>
      </c>
      <c r="B23" s="4" t="s">
        <v>224</v>
      </c>
      <c r="C23" s="9" t="n">
        <v>5134.08496088133</v>
      </c>
      <c r="D23" s="9" t="n">
        <v>5134.08496088133</v>
      </c>
      <c r="E23" s="9" t="n">
        <v>5134.08496088133</v>
      </c>
      <c r="F23" s="9" t="n">
        <v>5134.08496088133</v>
      </c>
    </row>
    <row r="24" customFormat="false" ht="15" hidden="false" customHeight="false" outlineLevel="0" collapsed="false">
      <c r="A24" s="4" t="s">
        <v>203</v>
      </c>
      <c r="B24" s="4" t="s">
        <v>225</v>
      </c>
      <c r="C24" s="9" t="n">
        <v>-5208.79146726666</v>
      </c>
      <c r="D24" s="9" t="n">
        <v>-5208.79146726666</v>
      </c>
      <c r="E24" s="9" t="n">
        <v>-5208.79146726666</v>
      </c>
      <c r="F24" s="9" t="n">
        <v>-5208.79146726666</v>
      </c>
    </row>
    <row r="25" customFormat="false" ht="15" hidden="false" customHeight="false" outlineLevel="0" collapsed="false">
      <c r="A25" s="4" t="s">
        <v>228</v>
      </c>
      <c r="B25" s="4" t="s">
        <v>224</v>
      </c>
      <c r="C25" s="9" t="n">
        <v>-208896.550034334</v>
      </c>
      <c r="D25" s="9" t="n">
        <v>-1808896.55003433</v>
      </c>
      <c r="E25" s="9" t="n">
        <v>-208896.550034334</v>
      </c>
      <c r="F25" s="9" t="n">
        <v>-1808896.55003433</v>
      </c>
    </row>
    <row r="26" customFormat="false" ht="15" hidden="false" customHeight="false" outlineLevel="0" collapsed="false">
      <c r="A26" s="4" t="s">
        <v>228</v>
      </c>
      <c r="B26" s="4" t="s">
        <v>225</v>
      </c>
      <c r="C26" s="9" t="n">
        <v>208896.550034334</v>
      </c>
      <c r="D26" s="9" t="n">
        <v>1808896.55003433</v>
      </c>
      <c r="E26" s="9" t="n">
        <v>208896.550034334</v>
      </c>
      <c r="F26" s="9" t="n">
        <v>1808896.55003433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3" t="s">
        <v>98</v>
      </c>
    </row>
    <row r="5" customFormat="false" ht="31.5" hidden="false" customHeight="true" outlineLevel="0" collapsed="false">
      <c r="A5" s="8" t="s">
        <v>231</v>
      </c>
      <c r="B5" s="8" t="s">
        <v>232</v>
      </c>
      <c r="C5" s="8" t="s">
        <v>233</v>
      </c>
      <c r="D5" s="8" t="s">
        <v>234</v>
      </c>
      <c r="E5" s="8" t="s">
        <v>235</v>
      </c>
      <c r="F5" s="8" t="s">
        <v>236</v>
      </c>
      <c r="G5" s="8" t="s">
        <v>237</v>
      </c>
    </row>
    <row r="6" customFormat="false" ht="15" hidden="false" customHeight="false" outlineLevel="0" collapsed="false">
      <c r="A6" s="4" t="s">
        <v>139</v>
      </c>
      <c r="B6" s="4" t="n">
        <v>2023</v>
      </c>
      <c r="C6" s="9" t="n">
        <v>1401589.25</v>
      </c>
      <c r="D6" s="9" t="n">
        <v>2649679.01946771</v>
      </c>
      <c r="E6" s="12" t="n">
        <f aca="false">C6+D6</f>
        <v>4051268.26946771</v>
      </c>
      <c r="F6" s="9" t="n">
        <v>2503680.83642428</v>
      </c>
      <c r="G6" s="12" t="n">
        <f aca="false">F6-D6</f>
        <v>-145998.183043428</v>
      </c>
    </row>
    <row r="7" customFormat="false" ht="15" hidden="false" customHeight="false" outlineLevel="0" collapsed="false">
      <c r="A7" s="4" t="s">
        <v>142</v>
      </c>
      <c r="B7" s="4" t="n">
        <v>2023</v>
      </c>
      <c r="C7" s="9" t="n">
        <v>3348181.03</v>
      </c>
      <c r="D7" s="9" t="n">
        <v>616105.507542967</v>
      </c>
      <c r="E7" s="12" t="n">
        <f aca="false">C7+D7</f>
        <v>3964286.53754297</v>
      </c>
      <c r="F7" s="9" t="n">
        <v>574505.836394482</v>
      </c>
      <c r="G7" s="12" t="n">
        <f aca="false">F7-D7</f>
        <v>-41599.6711484843</v>
      </c>
    </row>
    <row r="8" customFormat="false" ht="15" hidden="false" customHeight="false" outlineLevel="0" collapsed="false">
      <c r="A8" s="4" t="s">
        <v>142</v>
      </c>
      <c r="B8" s="4" t="n">
        <v>2024</v>
      </c>
      <c r="C8" s="9" t="n">
        <v>4009360.81</v>
      </c>
      <c r="D8" s="9" t="n">
        <v>4793743.81234788</v>
      </c>
      <c r="E8" s="12" t="n">
        <f aca="false">C8+D8</f>
        <v>8803104.62234788</v>
      </c>
      <c r="F8" s="9" t="n">
        <v>4516930.88791339</v>
      </c>
      <c r="G8" s="12" t="n">
        <f aca="false">F8-D8</f>
        <v>-276812.924434485</v>
      </c>
    </row>
    <row r="9" customFormat="false" ht="15" hidden="false" customHeight="false" outlineLevel="0" collapsed="false">
      <c r="A9" s="4" t="s">
        <v>143</v>
      </c>
      <c r="B9" s="4" t="n">
        <v>2023</v>
      </c>
      <c r="C9" s="9" t="n">
        <v>3701037.6</v>
      </c>
      <c r="D9" s="9" t="n">
        <v>311704.359791845</v>
      </c>
      <c r="E9" s="12" t="n">
        <f aca="false">C9+D9</f>
        <v>4012741.95979184</v>
      </c>
      <c r="F9" s="9" t="n">
        <v>294354.558096289</v>
      </c>
      <c r="G9" s="12" t="n">
        <f aca="false">F9-D9</f>
        <v>-17349.8016955559</v>
      </c>
    </row>
    <row r="10" customFormat="false" ht="15" hidden="false" customHeight="false" outlineLevel="0" collapsed="false">
      <c r="A10" s="4" t="s">
        <v>143</v>
      </c>
      <c r="B10" s="4" t="n">
        <v>2024</v>
      </c>
      <c r="C10" s="9" t="n">
        <v>7215936.16</v>
      </c>
      <c r="D10" s="9" t="n">
        <v>1761852.9415156</v>
      </c>
      <c r="E10" s="12" t="n">
        <f aca="false">C10+D10</f>
        <v>8977789.1015156</v>
      </c>
      <c r="F10" s="9" t="n">
        <v>1659988.93444255</v>
      </c>
      <c r="G10" s="12" t="n">
        <f aca="false">F10-D10</f>
        <v>-101864.007073048</v>
      </c>
    </row>
    <row r="11" customFormat="false" ht="15" hidden="false" customHeight="false" outlineLevel="0" collapsed="false">
      <c r="A11" s="4" t="s">
        <v>143</v>
      </c>
      <c r="B11" s="4" t="n">
        <v>2025</v>
      </c>
      <c r="C11" s="9" t="n">
        <v>4441340.51</v>
      </c>
      <c r="D11" s="9" t="n">
        <v>4390151.31782792</v>
      </c>
      <c r="E11" s="12" t="n">
        <f aca="false">C11+D11</f>
        <v>8831491.82782792</v>
      </c>
      <c r="F11" s="9" t="n">
        <v>4175358.61477369</v>
      </c>
      <c r="G11" s="12" t="n">
        <f aca="false">F11-D11</f>
        <v>-214792.703054235</v>
      </c>
    </row>
    <row r="14" customFormat="false" ht="15" hidden="false" customHeight="false" outlineLevel="0" collapsed="false">
      <c r="A14" s="3" t="s">
        <v>106</v>
      </c>
    </row>
    <row r="15" customFormat="false" ht="31.5" hidden="false" customHeight="true" outlineLevel="0" collapsed="false">
      <c r="A15" s="8" t="s">
        <v>231</v>
      </c>
      <c r="B15" s="8" t="s">
        <v>232</v>
      </c>
      <c r="C15" s="8" t="s">
        <v>233</v>
      </c>
      <c r="D15" s="8" t="s">
        <v>234</v>
      </c>
      <c r="E15" s="8" t="s">
        <v>235</v>
      </c>
      <c r="F15" s="8" t="s">
        <v>236</v>
      </c>
      <c r="G15" s="8" t="s">
        <v>237</v>
      </c>
    </row>
    <row r="16" customFormat="false" ht="15" hidden="false" customHeight="false" outlineLevel="0" collapsed="false">
      <c r="A16" s="4" t="s">
        <v>139</v>
      </c>
      <c r="B16" s="4" t="n">
        <v>2023</v>
      </c>
      <c r="C16" s="9" t="n">
        <v>5029.11</v>
      </c>
      <c r="D16" s="9" t="n">
        <v>23398.0394821089</v>
      </c>
      <c r="E16" s="12" t="n">
        <f aca="false">C16+D16</f>
        <v>28427.1494821089</v>
      </c>
      <c r="F16" s="9" t="n">
        <v>22610.0882219863</v>
      </c>
      <c r="G16" s="12" t="n">
        <f aca="false">F16-D16</f>
        <v>-787.95126012254</v>
      </c>
    </row>
    <row r="17" customFormat="false" ht="15" hidden="false" customHeight="false" outlineLevel="0" collapsed="false">
      <c r="A17" s="4" t="s">
        <v>142</v>
      </c>
      <c r="B17" s="4" t="n">
        <v>2023</v>
      </c>
      <c r="C17" s="9" t="n">
        <v>7194.99</v>
      </c>
      <c r="D17" s="9" t="n">
        <v>12274.9211713511</v>
      </c>
      <c r="E17" s="12" t="n">
        <f aca="false">C17+D17</f>
        <v>19469.9111713511</v>
      </c>
      <c r="F17" s="9" t="n">
        <v>12000.8660402175</v>
      </c>
      <c r="G17" s="12" t="n">
        <f aca="false">F17-D17</f>
        <v>-274.055131133589</v>
      </c>
    </row>
    <row r="18" customFormat="false" ht="15" hidden="false" customHeight="false" outlineLevel="0" collapsed="false">
      <c r="A18" s="4" t="s">
        <v>142</v>
      </c>
      <c r="B18" s="4" t="n">
        <v>2024</v>
      </c>
      <c r="C18" s="9" t="n">
        <v>298130.44</v>
      </c>
      <c r="D18" s="9" t="n">
        <v>583068.981241952</v>
      </c>
      <c r="E18" s="12" t="n">
        <f aca="false">C18+D18</f>
        <v>881199.421241951</v>
      </c>
      <c r="F18" s="9" t="n">
        <v>569153.631657831</v>
      </c>
      <c r="G18" s="12" t="n">
        <f aca="false">F18-D18</f>
        <v>-13915.3495841209</v>
      </c>
    </row>
    <row r="19" customFormat="false" ht="15" hidden="false" customHeight="false" outlineLevel="0" collapsed="false">
      <c r="A19" s="4" t="s">
        <v>143</v>
      </c>
      <c r="B19" s="4" t="n">
        <v>2023</v>
      </c>
      <c r="C19" s="9" t="n">
        <v>17949.85</v>
      </c>
      <c r="D19" s="9" t="n">
        <v>0.14258655825355</v>
      </c>
      <c r="E19" s="12" t="n">
        <f aca="false">C19+D19</f>
        <v>17949.9925865583</v>
      </c>
      <c r="F19" s="9" t="n">
        <v>0.139034571690252</v>
      </c>
      <c r="G19" s="12" t="n">
        <f aca="false">F19-D19</f>
        <v>-0.00355198656329719</v>
      </c>
    </row>
    <row r="20" customFormat="false" ht="15" hidden="false" customHeight="false" outlineLevel="0" collapsed="false">
      <c r="A20" s="4" t="s">
        <v>143</v>
      </c>
      <c r="B20" s="4" t="n">
        <v>2024</v>
      </c>
      <c r="C20" s="9" t="n">
        <v>1383205.17</v>
      </c>
      <c r="D20" s="9" t="n">
        <v>70134.5533159934</v>
      </c>
      <c r="E20" s="12" t="n">
        <f aca="false">C20+D20</f>
        <v>1453339.72331599</v>
      </c>
      <c r="F20" s="9" t="n">
        <v>68824.9132389086</v>
      </c>
      <c r="G20" s="12" t="n">
        <f aca="false">F20-D20</f>
        <v>-1309.6400770848</v>
      </c>
    </row>
    <row r="21" customFormat="false" ht="15" hidden="false" customHeight="false" outlineLevel="0" collapsed="false">
      <c r="A21" s="4" t="s">
        <v>143</v>
      </c>
      <c r="B21" s="4" t="n">
        <v>2025</v>
      </c>
      <c r="C21" s="9" t="n">
        <v>531532.04</v>
      </c>
      <c r="D21" s="9" t="n">
        <v>1026024.53979698</v>
      </c>
      <c r="E21" s="12" t="n">
        <f aca="false">C21+D21</f>
        <v>1557556.57979698</v>
      </c>
      <c r="F21" s="9" t="n">
        <v>1005076.64304851</v>
      </c>
      <c r="G21" s="12" t="n">
        <f aca="false">F21-D21</f>
        <v>-20947.8967484781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16.1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31.5" hidden="false" customHeight="true" outlineLevel="0" collapsed="false">
      <c r="A4" s="8" t="s">
        <v>131</v>
      </c>
      <c r="B4" s="8" t="s">
        <v>240</v>
      </c>
      <c r="C4" s="8" t="s">
        <v>241</v>
      </c>
      <c r="D4" s="8" t="s">
        <v>242</v>
      </c>
      <c r="E4" s="8" t="s">
        <v>243</v>
      </c>
      <c r="F4" s="8" t="s">
        <v>244</v>
      </c>
      <c r="G4" s="8" t="s">
        <v>245</v>
      </c>
      <c r="H4" s="8" t="s">
        <v>79</v>
      </c>
    </row>
    <row r="5" customFormat="false" ht="15" hidden="false" customHeight="false" outlineLevel="0" collapsed="false">
      <c r="A5" s="4" t="s">
        <v>141</v>
      </c>
      <c r="B5" s="9" t="n">
        <v>-3146086.40136695</v>
      </c>
      <c r="C5" s="9" t="n">
        <v>-3047206.63067901</v>
      </c>
      <c r="D5" s="9" t="n">
        <v>-2623935.46437408</v>
      </c>
      <c r="E5" s="9" t="n">
        <v>-2195449.98078121</v>
      </c>
      <c r="F5" s="9" t="n">
        <v>-1775231.57218275</v>
      </c>
      <c r="G5" s="9" t="n">
        <v>3583332.33475951</v>
      </c>
      <c r="H5" s="12" t="n">
        <f aca="false">SUM(B5:G5)</f>
        <v>-9204577.71462449</v>
      </c>
    </row>
    <row r="6" customFormat="false" ht="15" hidden="false" customHeight="false" outlineLevel="0" collapsed="false">
      <c r="A6" s="4" t="s">
        <v>140</v>
      </c>
      <c r="B6" s="9" t="n">
        <v>-8171716.13512505</v>
      </c>
      <c r="C6" s="9" t="n">
        <v>-7120727.88613468</v>
      </c>
      <c r="D6" s="9" t="n">
        <v>-6074786.101484</v>
      </c>
      <c r="E6" s="9" t="n">
        <v>-5228058.17360588</v>
      </c>
      <c r="F6" s="9" t="n">
        <v>-4635947.0401242</v>
      </c>
      <c r="G6" s="9" t="n">
        <v>178482674.422392</v>
      </c>
      <c r="H6" s="12" t="n">
        <f aca="false">SUM(B6:G6)</f>
        <v>147251439.085918</v>
      </c>
    </row>
    <row r="7" customFormat="false" ht="15" hidden="false" customHeight="false" outlineLevel="0" collapsed="false">
      <c r="A7" s="4" t="s">
        <v>202</v>
      </c>
      <c r="B7" s="9" t="n">
        <v>3536595.18380196</v>
      </c>
      <c r="C7" s="9" t="n">
        <v>1394263.63644345</v>
      </c>
      <c r="D7" s="9" t="n">
        <v>755119.493717535</v>
      </c>
      <c r="E7" s="9" t="n">
        <v>394479.503291801</v>
      </c>
      <c r="F7" s="9" t="n">
        <v>197343.607945955</v>
      </c>
      <c r="G7" s="9" t="n">
        <v>185907.193934668</v>
      </c>
      <c r="H7" s="12" t="n">
        <f aca="false">SUM(B7:G7)</f>
        <v>6463708.61913537</v>
      </c>
    </row>
    <row r="8" customFormat="false" ht="15" hidden="false" customHeight="false" outlineLevel="0" collapsed="false">
      <c r="A8" s="4" t="s">
        <v>227</v>
      </c>
      <c r="B8" s="9" t="n">
        <v>638499.102570806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12" t="n">
        <f aca="false">SUM(B8:G8)</f>
        <v>638499.102570806</v>
      </c>
    </row>
    <row r="9" customFormat="false" ht="15" hidden="false" customHeight="false" outlineLevel="0" collapsed="false">
      <c r="A9" s="4" t="s">
        <v>203</v>
      </c>
      <c r="B9" s="9" t="n">
        <v>1096159.23569954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12" t="n">
        <f aca="false">SUM(B9:G9)</f>
        <v>1096159.23569954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31.5" hidden="false" customHeight="true" outlineLevel="0" collapsed="false">
      <c r="A4" s="8" t="s">
        <v>248</v>
      </c>
      <c r="B4" s="8" t="s">
        <v>249</v>
      </c>
    </row>
    <row r="5" customFormat="false" ht="15" hidden="false" customHeight="false" outlineLevel="0" collapsed="false">
      <c r="A5" s="4" t="s">
        <v>250</v>
      </c>
      <c r="B5" s="11" t="n">
        <f aca="false">EEFF!B18</f>
        <v>0</v>
      </c>
    </row>
    <row r="6" customFormat="false" ht="15" hidden="false" customHeight="false" outlineLevel="0" collapsed="false">
      <c r="A6" s="4" t="s">
        <v>251</v>
      </c>
      <c r="B6" s="11" t="n">
        <f aca="false">EEFF!C18</f>
        <v>0</v>
      </c>
    </row>
    <row r="7" customFormat="false" ht="15" hidden="false" customHeight="false" outlineLevel="0" collapsed="false">
      <c r="A7" s="4" t="s">
        <v>252</v>
      </c>
      <c r="B7" s="11" t="n">
        <f aca="false">EEFF!D18</f>
        <v>0</v>
      </c>
    </row>
    <row r="8" customFormat="false" ht="15" hidden="false" customHeight="false" outlineLevel="0" collapsed="false">
      <c r="A8" s="4" t="s">
        <v>253</v>
      </c>
      <c r="B8" s="11" t="n">
        <f aca="false">EEFF!B43</f>
        <v>0</v>
      </c>
    </row>
    <row r="9" customFormat="false" ht="15" hidden="false" customHeight="false" outlineLevel="0" collapsed="false">
      <c r="A9" s="4" t="s">
        <v>254</v>
      </c>
      <c r="B9" s="11" t="n">
        <f aca="false">EEFF!C43</f>
        <v>0</v>
      </c>
    </row>
    <row r="10" customFormat="false" ht="15" hidden="false" customHeight="false" outlineLevel="0" collapsed="false">
      <c r="A10" s="4" t="s">
        <v>255</v>
      </c>
      <c r="B10" s="11" t="n">
        <f aca="false">EEFF!D43</f>
        <v>0</v>
      </c>
    </row>
    <row r="11" customFormat="false" ht="15" hidden="false" customHeight="false" outlineLevel="0" collapsed="false">
      <c r="A11" s="4" t="s">
        <v>256</v>
      </c>
      <c r="B11" s="11" t="n">
        <f aca="false">Conc_100!B18</f>
        <v>5.23868948221207E-010</v>
      </c>
    </row>
    <row r="12" customFormat="false" ht="15" hidden="false" customHeight="false" outlineLevel="0" collapsed="false">
      <c r="A12" s="4" t="s">
        <v>257</v>
      </c>
      <c r="B12" s="11" t="n">
        <f aca="false">Conc_100!C18</f>
        <v>0</v>
      </c>
    </row>
    <row r="13" customFormat="false" ht="15" hidden="false" customHeight="false" outlineLevel="0" collapsed="false">
      <c r="A13" s="4" t="s">
        <v>258</v>
      </c>
      <c r="B13" s="11" t="n">
        <f aca="false">Conc_100!D18</f>
        <v>3.41970007866621E-010</v>
      </c>
    </row>
    <row r="14" customFormat="false" ht="15" hidden="false" customHeight="false" outlineLevel="0" collapsed="false">
      <c r="A14" s="4" t="s">
        <v>259</v>
      </c>
      <c r="B14" s="11" t="n">
        <f aca="false">Conc_100!B33</f>
        <v>0</v>
      </c>
    </row>
    <row r="15" customFormat="false" ht="15" hidden="false" customHeight="false" outlineLevel="0" collapsed="false">
      <c r="A15" s="4" t="s">
        <v>260</v>
      </c>
      <c r="B15" s="11" t="n">
        <f aca="false">Conc_100!C33</f>
        <v>0</v>
      </c>
    </row>
    <row r="16" customFormat="false" ht="15" hidden="false" customHeight="false" outlineLevel="0" collapsed="false">
      <c r="A16" s="4" t="s">
        <v>261</v>
      </c>
      <c r="B16" s="11" t="n">
        <f aca="false">Conc_100!D33</f>
        <v>0</v>
      </c>
    </row>
    <row r="17" customFormat="false" ht="15" hidden="false" customHeight="false" outlineLevel="0" collapsed="false">
      <c r="A17" s="4" t="s">
        <v>262</v>
      </c>
      <c r="B17" s="11" t="n">
        <f aca="false">Conc_100!B48</f>
        <v>0</v>
      </c>
    </row>
    <row r="18" customFormat="false" ht="15" hidden="false" customHeight="false" outlineLevel="0" collapsed="false">
      <c r="A18" s="4" t="s">
        <v>263</v>
      </c>
      <c r="B18" s="11" t="n">
        <f aca="false">Conc_100!C48</f>
        <v>0</v>
      </c>
    </row>
    <row r="19" customFormat="false" ht="15" hidden="false" customHeight="false" outlineLevel="0" collapsed="false">
      <c r="A19" s="4" t="s">
        <v>264</v>
      </c>
      <c r="B19" s="11" t="n">
        <f aca="false">Conc_100!D48</f>
        <v>0</v>
      </c>
    </row>
    <row r="20" customFormat="false" ht="15" hidden="false" customHeight="false" outlineLevel="0" collapsed="false">
      <c r="A20" s="4" t="s">
        <v>265</v>
      </c>
      <c r="B20" s="11" t="n">
        <f aca="false">Conc_100!B65</f>
        <v>0</v>
      </c>
    </row>
    <row r="21" customFormat="false" ht="15" hidden="false" customHeight="false" outlineLevel="0" collapsed="false">
      <c r="A21" s="4" t="s">
        <v>266</v>
      </c>
      <c r="B21" s="11" t="n">
        <f aca="false">Conc_100!C65</f>
        <v>0</v>
      </c>
    </row>
    <row r="22" customFormat="false" ht="15" hidden="false" customHeight="false" outlineLevel="0" collapsed="false">
      <c r="A22" s="4" t="s">
        <v>267</v>
      </c>
      <c r="B22" s="11" t="n">
        <f aca="false">Conc_100!D65</f>
        <v>-1.06410880107433E-010</v>
      </c>
    </row>
    <row r="23" customFormat="false" ht="15" hidden="false" customHeight="false" outlineLevel="0" collapsed="false">
      <c r="A23" s="4" t="s">
        <v>268</v>
      </c>
      <c r="B23" s="11" t="n">
        <f aca="false">Conc_100!B80</f>
        <v>0</v>
      </c>
    </row>
    <row r="24" customFormat="false" ht="15" hidden="false" customHeight="false" outlineLevel="0" collapsed="false">
      <c r="A24" s="4" t="s">
        <v>269</v>
      </c>
      <c r="B24" s="11" t="n">
        <f aca="false">Conc_100!C80</f>
        <v>0</v>
      </c>
    </row>
    <row r="25" customFormat="false" ht="15" hidden="false" customHeight="false" outlineLevel="0" collapsed="false">
      <c r="A25" s="4" t="s">
        <v>270</v>
      </c>
      <c r="B25" s="11" t="n">
        <f aca="false">Conc_100!D80</f>
        <v>-3.03771230392158E-010</v>
      </c>
    </row>
    <row r="26" customFormat="false" ht="15" hidden="false" customHeight="false" outlineLevel="0" collapsed="false">
      <c r="A26" s="4" t="s">
        <v>271</v>
      </c>
      <c r="B26" s="11" t="n">
        <f aca="false">Conc_100!B95</f>
        <v>0</v>
      </c>
    </row>
    <row r="27" customFormat="false" ht="15" hidden="false" customHeight="false" outlineLevel="0" collapsed="false">
      <c r="A27" s="4" t="s">
        <v>272</v>
      </c>
      <c r="B27" s="11" t="n">
        <f aca="false">Conc_100!C95</f>
        <v>0</v>
      </c>
    </row>
    <row r="28" customFormat="false" ht="15" hidden="false" customHeight="false" outlineLevel="0" collapsed="false">
      <c r="A28" s="4" t="s">
        <v>273</v>
      </c>
      <c r="B28" s="11" t="n">
        <f aca="false">Conc_100!D95</f>
        <v>-5.65705704502761E-010</v>
      </c>
    </row>
    <row r="29" customFormat="false" ht="15" hidden="false" customHeight="false" outlineLevel="0" collapsed="false">
      <c r="A29" s="4" t="s">
        <v>274</v>
      </c>
      <c r="B29" s="11" t="n">
        <f aca="false">Conc_100!B112</f>
        <v>0</v>
      </c>
    </row>
    <row r="30" customFormat="false" ht="15" hidden="false" customHeight="false" outlineLevel="0" collapsed="false">
      <c r="A30" s="4" t="s">
        <v>275</v>
      </c>
      <c r="B30" s="11" t="n">
        <f aca="false">Conc_100!C112</f>
        <v>0</v>
      </c>
    </row>
    <row r="31" customFormat="false" ht="15" hidden="false" customHeight="false" outlineLevel="0" collapsed="false">
      <c r="A31" s="4" t="s">
        <v>276</v>
      </c>
      <c r="B31" s="11" t="n">
        <f aca="false">Conc_100!D112</f>
        <v>0</v>
      </c>
    </row>
    <row r="32" customFormat="false" ht="15" hidden="false" customHeight="false" outlineLevel="0" collapsed="false">
      <c r="A32" s="4" t="s">
        <v>277</v>
      </c>
      <c r="B32" s="11" t="n">
        <f aca="false">Conc_100!B127</f>
        <v>0</v>
      </c>
    </row>
    <row r="33" customFormat="false" ht="15" hidden="false" customHeight="false" outlineLevel="0" collapsed="false">
      <c r="A33" s="4" t="s">
        <v>278</v>
      </c>
      <c r="B33" s="11" t="n">
        <f aca="false">Conc_100!C127</f>
        <v>0</v>
      </c>
    </row>
    <row r="34" customFormat="false" ht="15" hidden="false" customHeight="false" outlineLevel="0" collapsed="false">
      <c r="A34" s="4" t="s">
        <v>279</v>
      </c>
      <c r="B34" s="11" t="n">
        <f aca="false">Conc_100!D127</f>
        <v>0</v>
      </c>
    </row>
    <row r="35" customFormat="false" ht="15" hidden="false" customHeight="false" outlineLevel="0" collapsed="false">
      <c r="A35" s="4" t="s">
        <v>280</v>
      </c>
      <c r="B35" s="11" t="n">
        <f aca="false">Conc_100!B142</f>
        <v>0</v>
      </c>
    </row>
    <row r="36" customFormat="false" ht="15" hidden="false" customHeight="false" outlineLevel="0" collapsed="false">
      <c r="A36" s="4" t="s">
        <v>281</v>
      </c>
      <c r="B36" s="11" t="n">
        <f aca="false">Conc_100!C142</f>
        <v>0</v>
      </c>
    </row>
    <row r="37" customFormat="false" ht="15" hidden="false" customHeight="false" outlineLevel="0" collapsed="false">
      <c r="A37" s="4" t="s">
        <v>282</v>
      </c>
      <c r="B37" s="11" t="n">
        <f aca="false">Conc_100!D142</f>
        <v>0</v>
      </c>
    </row>
    <row r="38" customFormat="false" ht="15" hidden="false" customHeight="false" outlineLevel="0" collapsed="false">
      <c r="A38" s="4" t="s">
        <v>283</v>
      </c>
      <c r="B38" s="11" t="n">
        <f aca="false">Conc_100!B159</f>
        <v>0</v>
      </c>
    </row>
    <row r="39" customFormat="false" ht="15" hidden="false" customHeight="false" outlineLevel="0" collapsed="false">
      <c r="A39" s="4" t="s">
        <v>284</v>
      </c>
      <c r="B39" s="11" t="n">
        <f aca="false">Conc_100!C159</f>
        <v>0</v>
      </c>
    </row>
    <row r="40" customFormat="false" ht="15" hidden="false" customHeight="false" outlineLevel="0" collapsed="false">
      <c r="A40" s="4" t="s">
        <v>285</v>
      </c>
      <c r="B40" s="11" t="n">
        <f aca="false">Conc_100!D159</f>
        <v>0</v>
      </c>
    </row>
    <row r="41" customFormat="false" ht="15" hidden="false" customHeight="false" outlineLevel="0" collapsed="false">
      <c r="A41" s="4" t="s">
        <v>286</v>
      </c>
      <c r="B41" s="11" t="n">
        <f aca="false">Conc_100!B174</f>
        <v>0</v>
      </c>
    </row>
    <row r="42" customFormat="false" ht="15" hidden="false" customHeight="false" outlineLevel="0" collapsed="false">
      <c r="A42" s="4" t="s">
        <v>287</v>
      </c>
      <c r="B42" s="11" t="n">
        <f aca="false">Conc_100!C174</f>
        <v>0</v>
      </c>
    </row>
    <row r="43" customFormat="false" ht="15" hidden="false" customHeight="false" outlineLevel="0" collapsed="false">
      <c r="A43" s="4" t="s">
        <v>288</v>
      </c>
      <c r="B43" s="11" t="n">
        <f aca="false">Conc_100!D174</f>
        <v>0</v>
      </c>
    </row>
    <row r="44" customFormat="false" ht="15" hidden="false" customHeight="false" outlineLevel="0" collapsed="false">
      <c r="A44" s="4" t="s">
        <v>289</v>
      </c>
      <c r="B44" s="11" t="n">
        <f aca="false">Conc_100!B189</f>
        <v>0</v>
      </c>
    </row>
    <row r="45" customFormat="false" ht="15" hidden="false" customHeight="false" outlineLevel="0" collapsed="false">
      <c r="A45" s="4" t="s">
        <v>290</v>
      </c>
      <c r="B45" s="11" t="n">
        <f aca="false">Conc_100!C189</f>
        <v>0</v>
      </c>
    </row>
    <row r="46" customFormat="false" ht="15" hidden="false" customHeight="false" outlineLevel="0" collapsed="false">
      <c r="A46" s="4" t="s">
        <v>291</v>
      </c>
      <c r="B46" s="11" t="n">
        <f aca="false">Conc_100!D189</f>
        <v>0</v>
      </c>
    </row>
    <row r="47" customFormat="false" ht="15" hidden="false" customHeight="false" outlineLevel="0" collapsed="false">
      <c r="A47" s="4" t="s">
        <v>292</v>
      </c>
      <c r="B47" s="11" t="n">
        <f aca="false">Conc_100!B206</f>
        <v>0</v>
      </c>
    </row>
    <row r="48" customFormat="false" ht="15" hidden="false" customHeight="false" outlineLevel="0" collapsed="false">
      <c r="A48" s="4" t="s">
        <v>293</v>
      </c>
      <c r="B48" s="11" t="n">
        <f aca="false">Conc_100!C206</f>
        <v>0</v>
      </c>
    </row>
    <row r="49" customFormat="false" ht="15" hidden="false" customHeight="false" outlineLevel="0" collapsed="false">
      <c r="A49" s="4" t="s">
        <v>294</v>
      </c>
      <c r="B49" s="11" t="n">
        <f aca="false">Conc_100!D206</f>
        <v>0</v>
      </c>
    </row>
    <row r="50" customFormat="false" ht="15" hidden="false" customHeight="false" outlineLevel="0" collapsed="false">
      <c r="A50" s="4" t="s">
        <v>295</v>
      </c>
      <c r="B50" s="11" t="n">
        <f aca="false">Conc_100!B221</f>
        <v>0</v>
      </c>
    </row>
    <row r="51" customFormat="false" ht="15" hidden="false" customHeight="false" outlineLevel="0" collapsed="false">
      <c r="A51" s="4" t="s">
        <v>296</v>
      </c>
      <c r="B51" s="11" t="n">
        <f aca="false">Conc_100!C221</f>
        <v>0</v>
      </c>
    </row>
    <row r="52" customFormat="false" ht="15" hidden="false" customHeight="false" outlineLevel="0" collapsed="false">
      <c r="A52" s="4" t="s">
        <v>297</v>
      </c>
      <c r="B52" s="11" t="n">
        <f aca="false">Conc_100!D221</f>
        <v>0</v>
      </c>
    </row>
    <row r="53" customFormat="false" ht="15" hidden="false" customHeight="false" outlineLevel="0" collapsed="false">
      <c r="A53" s="4" t="s">
        <v>298</v>
      </c>
      <c r="B53" s="11" t="n">
        <f aca="false">Conc_100!B236</f>
        <v>0</v>
      </c>
    </row>
    <row r="54" customFormat="false" ht="15" hidden="false" customHeight="false" outlineLevel="0" collapsed="false">
      <c r="A54" s="4" t="s">
        <v>299</v>
      </c>
      <c r="B54" s="11" t="n">
        <f aca="false">Conc_100!C236</f>
        <v>0</v>
      </c>
    </row>
    <row r="55" customFormat="false" ht="15" hidden="false" customHeight="false" outlineLevel="0" collapsed="false">
      <c r="A55" s="4" t="s">
        <v>300</v>
      </c>
      <c r="B55" s="11" t="n">
        <f aca="false">Conc_100!D236</f>
        <v>0</v>
      </c>
    </row>
    <row r="56" customFormat="false" ht="15" hidden="false" customHeight="false" outlineLevel="0" collapsed="false">
      <c r="A56" s="4" t="s">
        <v>301</v>
      </c>
      <c r="B56" s="11" t="n">
        <f aca="false">Conc_101!B20</f>
        <v>0</v>
      </c>
    </row>
    <row r="57" customFormat="false" ht="15" hidden="false" customHeight="false" outlineLevel="0" collapsed="false">
      <c r="A57" s="4" t="s">
        <v>302</v>
      </c>
      <c r="B57" s="11" t="n">
        <f aca="false">Conc_101!C20</f>
        <v>0</v>
      </c>
    </row>
    <row r="58" customFormat="false" ht="15" hidden="false" customHeight="false" outlineLevel="0" collapsed="false">
      <c r="A58" s="4" t="s">
        <v>303</v>
      </c>
      <c r="B58" s="11" t="n">
        <f aca="false">Conc_101!D20</f>
        <v>0</v>
      </c>
    </row>
    <row r="59" customFormat="false" ht="15" hidden="false" customHeight="false" outlineLevel="0" collapsed="false">
      <c r="A59" s="4" t="s">
        <v>304</v>
      </c>
      <c r="B59" s="11" t="n">
        <f aca="false">Conc_101!B37</f>
        <v>0</v>
      </c>
    </row>
    <row r="60" customFormat="false" ht="15" hidden="false" customHeight="false" outlineLevel="0" collapsed="false">
      <c r="A60" s="4" t="s">
        <v>305</v>
      </c>
      <c r="B60" s="11" t="n">
        <f aca="false">Conc_101!C37</f>
        <v>0</v>
      </c>
    </row>
    <row r="61" customFormat="false" ht="15" hidden="false" customHeight="false" outlineLevel="0" collapsed="false">
      <c r="A61" s="4" t="s">
        <v>306</v>
      </c>
      <c r="B61" s="11" t="n">
        <f aca="false">Conc_101!D37</f>
        <v>0</v>
      </c>
    </row>
    <row r="62" customFormat="false" ht="15" hidden="false" customHeight="false" outlineLevel="0" collapsed="false">
      <c r="A62" s="4" t="s">
        <v>307</v>
      </c>
      <c r="B62" s="11" t="n">
        <f aca="false">Conc_101!B54</f>
        <v>0</v>
      </c>
    </row>
    <row r="63" customFormat="false" ht="15" hidden="false" customHeight="false" outlineLevel="0" collapsed="false">
      <c r="A63" s="4" t="s">
        <v>308</v>
      </c>
      <c r="B63" s="11" t="n">
        <f aca="false">Conc_101!C54</f>
        <v>0</v>
      </c>
    </row>
    <row r="64" customFormat="false" ht="15" hidden="false" customHeight="false" outlineLevel="0" collapsed="false">
      <c r="A64" s="4" t="s">
        <v>309</v>
      </c>
      <c r="B64" s="11" t="n">
        <f aca="false">Conc_101!D54</f>
        <v>0</v>
      </c>
    </row>
    <row r="65" customFormat="false" ht="15" hidden="false" customHeight="false" outlineLevel="0" collapsed="false">
      <c r="A65" s="4" t="s">
        <v>310</v>
      </c>
      <c r="B65" s="11" t="n">
        <f aca="false">Conc_101!B73</f>
        <v>0</v>
      </c>
    </row>
    <row r="66" customFormat="false" ht="15" hidden="false" customHeight="false" outlineLevel="0" collapsed="false">
      <c r="A66" s="4" t="s">
        <v>311</v>
      </c>
      <c r="B66" s="11" t="n">
        <f aca="false">Conc_101!C73</f>
        <v>0</v>
      </c>
    </row>
    <row r="67" customFormat="false" ht="15" hidden="false" customHeight="false" outlineLevel="0" collapsed="false">
      <c r="A67" s="4" t="s">
        <v>312</v>
      </c>
      <c r="B67" s="11" t="n">
        <f aca="false">Conc_101!D73</f>
        <v>0</v>
      </c>
    </row>
    <row r="68" customFormat="false" ht="15" hidden="false" customHeight="false" outlineLevel="0" collapsed="false">
      <c r="A68" s="4" t="s">
        <v>313</v>
      </c>
      <c r="B68" s="11" t="n">
        <f aca="false">Conc_101!B90</f>
        <v>0</v>
      </c>
    </row>
    <row r="69" customFormat="false" ht="15" hidden="false" customHeight="false" outlineLevel="0" collapsed="false">
      <c r="A69" s="4" t="s">
        <v>314</v>
      </c>
      <c r="B69" s="11" t="n">
        <f aca="false">Conc_101!C90</f>
        <v>0</v>
      </c>
    </row>
    <row r="70" customFormat="false" ht="15" hidden="false" customHeight="false" outlineLevel="0" collapsed="false">
      <c r="A70" s="4" t="s">
        <v>315</v>
      </c>
      <c r="B70" s="11" t="n">
        <f aca="false">Conc_101!D90</f>
        <v>0</v>
      </c>
    </row>
    <row r="71" customFormat="false" ht="15" hidden="false" customHeight="false" outlineLevel="0" collapsed="false">
      <c r="A71" s="4" t="s">
        <v>316</v>
      </c>
      <c r="B71" s="11" t="n">
        <f aca="false">Conc_101!B107</f>
        <v>0</v>
      </c>
    </row>
    <row r="72" customFormat="false" ht="15" hidden="false" customHeight="false" outlineLevel="0" collapsed="false">
      <c r="A72" s="4" t="s">
        <v>317</v>
      </c>
      <c r="B72" s="11" t="n">
        <f aca="false">Conc_101!C107</f>
        <v>0</v>
      </c>
    </row>
    <row r="73" customFormat="false" ht="15" hidden="false" customHeight="false" outlineLevel="0" collapsed="false">
      <c r="A73" s="4" t="s">
        <v>318</v>
      </c>
      <c r="B73" s="11" t="n">
        <f aca="false">Conc_101!D107</f>
        <v>0</v>
      </c>
    </row>
    <row r="74" customFormat="false" ht="15" hidden="false" customHeight="false" outlineLevel="0" collapsed="false">
      <c r="A74" s="4" t="s">
        <v>319</v>
      </c>
      <c r="B74" s="11" t="n">
        <f aca="false">Conc_101!B126</f>
        <v>0</v>
      </c>
    </row>
    <row r="75" customFormat="false" ht="15" hidden="false" customHeight="false" outlineLevel="0" collapsed="false">
      <c r="A75" s="4" t="s">
        <v>320</v>
      </c>
      <c r="B75" s="11" t="n">
        <f aca="false">Conc_101!C126</f>
        <v>0</v>
      </c>
    </row>
    <row r="76" customFormat="false" ht="15" hidden="false" customHeight="false" outlineLevel="0" collapsed="false">
      <c r="A76" s="4" t="s">
        <v>321</v>
      </c>
      <c r="B76" s="11" t="n">
        <f aca="false">Conc_101!D126</f>
        <v>0</v>
      </c>
    </row>
    <row r="77" customFormat="false" ht="15" hidden="false" customHeight="false" outlineLevel="0" collapsed="false">
      <c r="A77" s="4" t="s">
        <v>322</v>
      </c>
      <c r="B77" s="11" t="n">
        <f aca="false">Conc_101!B143</f>
        <v>0</v>
      </c>
    </row>
    <row r="78" customFormat="false" ht="15" hidden="false" customHeight="false" outlineLevel="0" collapsed="false">
      <c r="A78" s="4" t="s">
        <v>323</v>
      </c>
      <c r="B78" s="11" t="n">
        <f aca="false">Conc_101!C143</f>
        <v>0</v>
      </c>
    </row>
    <row r="79" customFormat="false" ht="15" hidden="false" customHeight="false" outlineLevel="0" collapsed="false">
      <c r="A79" s="4" t="s">
        <v>324</v>
      </c>
      <c r="B79" s="11" t="n">
        <f aca="false">Conc_101!D143</f>
        <v>0</v>
      </c>
    </row>
    <row r="80" customFormat="false" ht="15" hidden="false" customHeight="false" outlineLevel="0" collapsed="false">
      <c r="A80" s="4" t="s">
        <v>325</v>
      </c>
      <c r="B80" s="11" t="n">
        <f aca="false">Conc_101!B160</f>
        <v>0</v>
      </c>
    </row>
    <row r="81" customFormat="false" ht="15" hidden="false" customHeight="false" outlineLevel="0" collapsed="false">
      <c r="A81" s="4" t="s">
        <v>326</v>
      </c>
      <c r="B81" s="11" t="n">
        <f aca="false">Conc_101!C160</f>
        <v>0</v>
      </c>
    </row>
    <row r="82" customFormat="false" ht="15" hidden="false" customHeight="false" outlineLevel="0" collapsed="false">
      <c r="A82" s="4" t="s">
        <v>327</v>
      </c>
      <c r="B82" s="11" t="n">
        <f aca="false">Conc_101!D160</f>
        <v>0</v>
      </c>
    </row>
    <row r="83" customFormat="false" ht="15" hidden="false" customHeight="false" outlineLevel="0" collapsed="false">
      <c r="A83" s="4" t="s">
        <v>328</v>
      </c>
      <c r="B83" s="11" t="n">
        <f aca="false">Ingresos_106!J5</f>
        <v>0</v>
      </c>
    </row>
    <row r="84" customFormat="false" ht="15" hidden="false" customHeight="false" outlineLevel="0" collapsed="false">
      <c r="A84" s="4" t="s">
        <v>329</v>
      </c>
      <c r="B84" s="11" t="n">
        <f aca="false">Ingresos_106!J6</f>
        <v>0</v>
      </c>
    </row>
    <row r="85" customFormat="false" ht="15" hidden="false" customHeight="false" outlineLevel="0" collapsed="false">
      <c r="A85" s="4" t="s">
        <v>330</v>
      </c>
      <c r="B85" s="11" t="n">
        <f aca="false">Ingresos_106!J7</f>
        <v>0</v>
      </c>
    </row>
    <row r="86" customFormat="false" ht="15" hidden="false" customHeight="false" outlineLevel="0" collapsed="false">
      <c r="A86" s="4" t="s">
        <v>331</v>
      </c>
      <c r="B86" s="11" t="n">
        <f aca="false">Ingresos_106!J8</f>
        <v>0</v>
      </c>
    </row>
    <row r="87" customFormat="false" ht="15" hidden="false" customHeight="false" outlineLevel="0" collapsed="false">
      <c r="A87" s="4" t="s">
        <v>332</v>
      </c>
      <c r="B87" s="11" t="n">
        <f aca="false">Ingresos_106!J9</f>
        <v>0</v>
      </c>
    </row>
    <row r="88" customFormat="false" ht="15" hidden="false" customHeight="false" outlineLevel="0" collapsed="false">
      <c r="A88" s="4" t="s">
        <v>333</v>
      </c>
      <c r="B88" s="11" t="n">
        <f aca="false">Ingresos_106!J10</f>
        <v>0</v>
      </c>
    </row>
    <row r="89" customFormat="false" ht="15" hidden="false" customHeight="false" outlineLevel="0" collapsed="false">
      <c r="A89" s="4" t="s">
        <v>334</v>
      </c>
      <c r="B89" s="11" t="n">
        <f aca="false">NegocioNuevo_107!K5</f>
        <v>1.02445483207703E-008</v>
      </c>
    </row>
    <row r="90" customFormat="false" ht="15" hidden="false" customHeight="false" outlineLevel="0" collapsed="false">
      <c r="A90" s="4" t="s">
        <v>335</v>
      </c>
      <c r="B90" s="11" t="n">
        <f aca="false">NegocioNuevo_107!K6</f>
        <v>0</v>
      </c>
    </row>
    <row r="91" customFormat="false" ht="15" hidden="false" customHeight="false" outlineLevel="0" collapsed="false">
      <c r="A91" s="4" t="s">
        <v>336</v>
      </c>
      <c r="B91" s="11" t="n">
        <f aca="false">NegocioNuevo_107!K7</f>
        <v>0</v>
      </c>
    </row>
    <row r="92" customFormat="false" ht="15" hidden="false" customHeight="false" outlineLevel="0" collapsed="false">
      <c r="A92" s="4" t="s">
        <v>337</v>
      </c>
      <c r="B92" s="11" t="n">
        <f aca="false">NegocioNuevo_107!K8</f>
        <v>0</v>
      </c>
    </row>
    <row r="93" customFormat="false" ht="15" hidden="false" customHeight="false" outlineLevel="0" collapsed="false">
      <c r="A93" s="4" t="s">
        <v>338</v>
      </c>
      <c r="B93" s="11" t="n">
        <f aca="false">NegocioNuevo_107!K9</f>
        <v>0</v>
      </c>
    </row>
    <row r="94" customFormat="false" ht="15" hidden="false" customHeight="false" outlineLevel="0" collapsed="false">
      <c r="A94" s="4" t="s">
        <v>339</v>
      </c>
      <c r="B94" s="11" t="n">
        <f aca="false">NegocioNuevo_107!K10</f>
        <v>0</v>
      </c>
    </row>
    <row r="95" customFormat="false" ht="15" hidden="false" customHeight="false" outlineLevel="0" collapsed="false">
      <c r="A95" s="4" t="s">
        <v>340</v>
      </c>
      <c r="B95" s="11" t="n">
        <f aca="false">NegocioNuevo_107!K11</f>
        <v>0</v>
      </c>
    </row>
    <row r="96" customFormat="false" ht="15" hidden="false" customHeight="false" outlineLevel="0" collapsed="false">
      <c r="A96" s="4" t="s">
        <v>341</v>
      </c>
      <c r="B96" s="11" t="n">
        <f aca="false">NegocioNuevo_107!K12</f>
        <v>0</v>
      </c>
    </row>
    <row r="97" customFormat="false" ht="15" hidden="false" customHeight="false" outlineLevel="0" collapsed="false">
      <c r="A97" s="3" t="s">
        <v>342</v>
      </c>
      <c r="B97" s="18" t="n">
        <f aca="false">SUMPRODUCT(ABS(B5:B96))</f>
        <v>1.20862750918604E-008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2026-10-02T16:51:39Z</dcterms:created>
  <dc:creator>openpyxl</dc:creator>
  <dc:description/>
  <dc:language>en-US</dc:language>
  <cp:lastModifiedBy/>
  <dcterms:modified xsi:type="dcterms:W3CDTF">2026-10-02T16:51:39Z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
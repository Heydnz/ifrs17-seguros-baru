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rametros" sheetId="1" state="visible" r:id="rId3"/>
    <sheet name="Resumen" sheetId="2" state="visible" r:id="rId4"/>
    <sheet name="Dic2023" sheetId="3" state="visible" r:id="rId5"/>
    <sheet name="Dic2024" sheetId="4" state="visible" r:id="rId6"/>
    <sheet name="Dic2025" sheetId="5" state="visible" r:id="rId7"/>
    <sheet name="Mensual_Dic2023" sheetId="6" state="visible" r:id="rId8"/>
    <sheet name="Mensual_Dic2024" sheetId="7" state="visible" r:id="rId9"/>
    <sheet name="Mensual_Dic2025" sheetId="8" state="visible" r:id="rId10"/>
    <sheet name="Metodo_credito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5" authorId="0">
      <text>
        <r>
          <rPr>
            <sz val="10"/>
            <rFont val="Arial"/>
            <family val="2"/>
          </rPr>
          <t xml:space="preserve">Positivo en todos los plazos de los tres cierres.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5" authorId="0">
      <text>
        <r>
          <rPr>
            <sz val="10"/>
            <rFont val="Arial"/>
            <family val="2"/>
          </rPr>
          <t xml:space="preserve">Positivo en todos los plazos de los tres cierres.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5" authorId="0">
      <text>
        <r>
          <rPr>
            <sz val="10"/>
            <rFont val="Arial"/>
            <family val="2"/>
          </rPr>
          <t xml:space="preserve">Positivo en todos los plazos de los tres cierres.</t>
        </r>
      </text>
    </comment>
  </commentList>
</comments>
</file>

<file path=xl/sharedStrings.xml><?xml version="1.0" encoding="utf-8"?>
<sst xmlns="http://schemas.openxmlformats.org/spreadsheetml/2006/main" count="173" uniqueCount="90">
  <si>
    <t xml:space="preserve">Seguros Barú — parámetros de la curva de descuento IFRS 17</t>
  </si>
  <si>
    <t xml:space="preserve">Celdas amarillas con texto azul: supuestos que se pueden cambiar; todo el libro se recalcula.</t>
  </si>
  <si>
    <t xml:space="preserve">Parámetro</t>
  </si>
  <si>
    <t xml:space="preserve">Valor</t>
  </si>
  <si>
    <t xml:space="preserve">Fuente o razón</t>
  </si>
  <si>
    <t xml:space="preserve">Porcentaje del diferencial HQM − TNC atribuido a crédito</t>
  </si>
  <si>
    <t xml:space="preserve">Política elegida: 0% (la curva es la HQM). Opción: 55%, con base en CDS (Longstaff, Mithal y Neis 2005: 51% AAA/AA, 56% A; IFRS 17 B78, B79, B85). Ver hoja Metodo_credito.</t>
  </si>
  <si>
    <t xml:space="preserve">Factor de liquidez — Alta</t>
  </si>
  <si>
    <t xml:space="preserve">Vida temporal y su reaseguro (sin valor de rescate). Política: 100%. Opción graduada: 100%.</t>
  </si>
  <si>
    <t xml:space="preserve">Factor de liquidez — Media</t>
  </si>
  <si>
    <t xml:space="preserve">Autos, incendio/hogar y TRC. Política: 100%. Opción graduada: 75%.</t>
  </si>
  <si>
    <t xml:space="preserve">Factor de liquidez — Baja</t>
  </si>
  <si>
    <t xml:space="preserve">Vida con ahorro (el asegurado puede rescatar). Política: 100%. Opción graduada: 50%.</t>
  </si>
  <si>
    <t xml:space="preserve">Método</t>
  </si>
  <si>
    <t xml:space="preserve">1. Curva base: TNC del Tesoro de EE. UU., tasas spot de fin de mes, 0,5 a 100 años, capitalización semestral.</t>
  </si>
  <si>
    <t xml:space="preserve">2. Prima de iliquidez por plazo = MAX(0; HQM − TNC) × (1 − % crédito) × factor de liquidez (IFRS 17 B79–B80).</t>
  </si>
  <si>
    <t xml:space="preserve">3. Tasa semestral = TNC + prima; tasa anual efectiva = (1 + s/2)^2 − 1; factor de descuento = (1 + r)^(−t).</t>
  </si>
  <si>
    <t xml:space="preserve">4. Hojas Mensual_: interpolación lineal del logaritmo del factor de descuento entre puntos semestrales; plana por debajo de 0,5 años.</t>
  </si>
  <si>
    <t xml:space="preserve">Política elegida: 0% de crédito y factor 100%, así que la curva es exactamente la HQM, porque TNC + (HQM − TNC) = HQM.</t>
  </si>
  <si>
    <t xml:space="preserve">Fuente de datos: U.S. Treasury, Office of Economic Policy, archivos tnceom_23_27.xlsx, hqmeom_19_23.xls y hqmeom_24_28.xls.</t>
  </si>
  <si>
    <t xml:space="preserve">Tasas spot anuales efectivas a plazos seleccionados</t>
  </si>
  <si>
    <t xml:space="preserve">Fórmulas que leen las hojas de cada cierre; cambian si cambian los parámetros.</t>
  </si>
  <si>
    <t xml:space="preserve">Cierre</t>
  </si>
  <si>
    <t xml:space="preserve">Curva</t>
  </si>
  <si>
    <t xml:space="preserve">1 años</t>
  </si>
  <si>
    <t xml:space="preserve">5 años</t>
  </si>
  <si>
    <t xml:space="preserve">10 años</t>
  </si>
  <si>
    <t xml:space="preserve">20 años</t>
  </si>
  <si>
    <t xml:space="preserve">30 años</t>
  </si>
  <si>
    <t xml:space="preserve">40 años</t>
  </si>
  <si>
    <t xml:space="preserve">60 años</t>
  </si>
  <si>
    <t xml:space="preserve">100 años</t>
  </si>
  <si>
    <t xml:space="preserve">Dic2023</t>
  </si>
  <si>
    <t xml:space="preserve">TNC (Tesoro)</t>
  </si>
  <si>
    <t xml:space="preserve">IFRS 17 — liquidez alta</t>
  </si>
  <si>
    <t xml:space="preserve">IFRS 17 — liquidez media</t>
  </si>
  <si>
    <t xml:space="preserve">IFRS 17 — liquidez baja</t>
  </si>
  <si>
    <t xml:space="preserve">HQM (corporativos)</t>
  </si>
  <si>
    <t xml:space="preserve">Dic2024</t>
  </si>
  <si>
    <t xml:space="preserve">Dic2025</t>
  </si>
  <si>
    <t xml:space="preserve">Curva de descuento al cierre de December 2023 — malla semestral</t>
  </si>
  <si>
    <t xml:space="preserve">TNC y HQM: datos del Tesoro (texto azul). Resto: fórmulas. Tasas como fracción, formato %.</t>
  </si>
  <si>
    <t xml:space="preserve">Plazo (años)</t>
  </si>
  <si>
    <t xml:space="preserve">TNC semestral</t>
  </si>
  <si>
    <t xml:space="preserve">HQM semestral</t>
  </si>
  <si>
    <t xml:space="preserve">Diferencial HQM − TNC (pb)</t>
  </si>
  <si>
    <t xml:space="preserve">Prima neta de crédito</t>
  </si>
  <si>
    <t xml:space="preserve">Alta: tasa semestral</t>
  </si>
  <si>
    <t xml:space="preserve">Alta: tasa anual efectiva</t>
  </si>
  <si>
    <t xml:space="preserve">Alta: factor de descuento</t>
  </si>
  <si>
    <t xml:space="preserve">Media: tasa semestral</t>
  </si>
  <si>
    <t xml:space="preserve">Media: tasa anual efectiva</t>
  </si>
  <si>
    <t xml:space="preserve">Media: factor de descuento</t>
  </si>
  <si>
    <t xml:space="preserve">Baja: tasa semestral</t>
  </si>
  <si>
    <t xml:space="preserve">Baja: tasa anual efectiva</t>
  </si>
  <si>
    <t xml:space="preserve">Baja: factor de descuento</t>
  </si>
  <si>
    <t xml:space="preserve">Curva de descuento al cierre de December 2024 — malla semestral</t>
  </si>
  <si>
    <t xml:space="preserve">Curva de descuento al cierre de December 2025 — malla semestral</t>
  </si>
  <si>
    <t xml:space="preserve">Curva mensual interpolada — Dic2023</t>
  </si>
  <si>
    <t xml:space="preserve">Interpolación lineal del ln(factor de descuento) entre puntos semestrales de la hoja Dic2023; por debajo de 0,5 años se mantiene la tasa de 0,5 años.</t>
  </si>
  <si>
    <t xml:space="preserve">Mes</t>
  </si>
  <si>
    <t xml:space="preserve">Semestres completos k</t>
  </si>
  <si>
    <t xml:space="preserve">Alta: tasa mensual</t>
  </si>
  <si>
    <t xml:space="preserve">Media: tasa mensual</t>
  </si>
  <si>
    <t xml:space="preserve">Baja: tasa mensual</t>
  </si>
  <si>
    <t xml:space="preserve">Curva mensual interpolada — Dic2024</t>
  </si>
  <si>
    <t xml:space="preserve">Interpolación lineal del ln(factor de descuento) entre puntos semestrales de la hoja Dic2024; por debajo de 0,5 años se mantiene la tasa de 0,5 años.</t>
  </si>
  <si>
    <t xml:space="preserve">Curva mensual interpolada — Dic2025</t>
  </si>
  <si>
    <t xml:space="preserve">Interpolación lineal del ln(factor de descuento) entre puntos semestrales de la hoja Dic2025; por debajo de 0,5 años se mantiene la tasa de 0,5 años.</t>
  </si>
  <si>
    <t xml:space="preserve">Cómo se calcula el porcentaje de crédito (para revisiones futuras)</t>
  </si>
  <si>
    <t xml:space="preserve">IFRS 17 no fija un porcentaje (B78). Pide maximizar datos observables (B78(a)), excluir el riesgo de crédito (B79; B84(b) por analogía) y sugiere los derivados de crédito como referencia (B85).</t>
  </si>
  <si>
    <t xml:space="preserve">Paso 1. Participación del incumplimiento según CDS: para cada calificación, prima del CDS ÷ diferencial del bono sobre el Tesoro. Longstaff, Mithal y Neis (2005): 51% en AAA/AA y 56% en A.</t>
  </si>
  <si>
    <t xml:space="preserve">Paso 2. Ponderar por la mezcla de calificaciones de la muestra HQM (AAA a A): % crédito = Σ peso × participación. Ejemplo abajo.</t>
  </si>
  <si>
    <t xml:space="preserve">Paso 3. Piso de pérdida esperada: % mínimo = probabilidad anual de incumplimiento × severidad ÷ diferencial. Se usa el mayor entre el paso 2 y el paso 3.</t>
  </si>
  <si>
    <t xml:space="preserve">Paso 4. Aplicar el mismo % en todos los cierres salvo evidencia nueva (B54–B55) y revisarlo al menos una vez al año.</t>
  </si>
  <si>
    <t xml:space="preserve">Paso 5. Revelar el método (par. 117(c)(iii)), las curvas (par. 120) y la sensibilidad del pasivo al % (par. 128).</t>
  </si>
  <si>
    <t xml:space="preserve">Calificación</t>
  </si>
  <si>
    <t xml:space="preserve">Peso en la muestra</t>
  </si>
  <si>
    <t xml:space="preserve">Participación del incumplimiento (CDS)</t>
  </si>
  <si>
    <t xml:space="preserve">Aporte</t>
  </si>
  <si>
    <t xml:space="preserve">AAA/AA</t>
  </si>
  <si>
    <t xml:space="preserve">A</t>
  </si>
  <si>
    <t xml:space="preserve">% crédito ponderado (paso 2)</t>
  </si>
  <si>
    <t xml:space="preserve">Probabilidad anual de incumplimiento, A</t>
  </si>
  <si>
    <t xml:space="preserve">Severidad (pérdida dado incumplimiento)</t>
  </si>
  <si>
    <t xml:space="preserve">Diferencial HQM − TNC a 10 años, dic-2025</t>
  </si>
  <si>
    <t xml:space="preserve">Piso por pérdida esperada (paso 3)</t>
  </si>
  <si>
    <t xml:space="preserve">% crédito sugerido = MAX(paso 2; paso 3)</t>
  </si>
  <si>
    <t xml:space="preserve">Valores de ejemplo (amarillo): mezcla de calificaciones supuesta, no publicada por el Tesoro; probabilidad y severidad ilustrativas. Actualizarlas con estudios públicos de incumplimiento en cada revisión.</t>
  </si>
  <si>
    <t xml:space="preserve">Para aplicar el resultado, copiar D19 en Parametros!B5.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</si>
</sst>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%"/>
    <numFmt numFmtId="166" formatCode="0.00%"/>
    <numFmt numFmtId="167" formatCode="0.0000%"/>
    <numFmt numFmtId="168" formatCode="0.0"/>
    <numFmt numFmtId="169" formatCode="0.000000"/>
    <numFmt numFmtId="170" formatCode="0.0000"/>
    <numFmt numFmtId="171" formatCode="General"/>
    <numFmt numFmtId="172" formatCode="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595959"/>
      <name val="Arial"/>
      <family val="0"/>
      <charset val="1"/>
    </font>
    <font>
      <sz val="10"/>
      <color rgb="FF008000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DE6F0"/>
        <bgColor rgb="FFCCFF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6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2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2"/>
    <col collapsed="false" customWidth="true" hidden="false" outlineLevel="0" max="3" min="3" style="0" width="9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42" hidden="false" customHeight="true" outlineLevel="0" collapsed="false">
      <c r="A4" s="3" t="s">
        <v>2</v>
      </c>
      <c r="B4" s="3" t="s">
        <v>3</v>
      </c>
      <c r="C4" s="3" t="s">
        <v>4</v>
      </c>
    </row>
    <row r="5" customFormat="false" ht="15" hidden="false" customHeight="false" outlineLevel="0" collapsed="false">
      <c r="A5" s="4" t="s">
        <v>5</v>
      </c>
      <c r="B5" s="5" t="n">
        <v>0</v>
      </c>
      <c r="C5" s="6" t="s">
        <v>6</v>
      </c>
    </row>
    <row r="6" customFormat="false" ht="15" hidden="false" customHeight="false" outlineLevel="0" collapsed="false">
      <c r="A6" s="4" t="s">
        <v>7</v>
      </c>
      <c r="B6" s="5" t="n">
        <v>1</v>
      </c>
      <c r="C6" s="6" t="s">
        <v>8</v>
      </c>
    </row>
    <row r="7" customFormat="false" ht="15" hidden="false" customHeight="false" outlineLevel="0" collapsed="false">
      <c r="A7" s="4" t="s">
        <v>9</v>
      </c>
      <c r="B7" s="5" t="n">
        <v>1</v>
      </c>
      <c r="C7" s="6" t="s">
        <v>10</v>
      </c>
    </row>
    <row r="8" customFormat="false" ht="15" hidden="false" customHeight="false" outlineLevel="0" collapsed="false">
      <c r="A8" s="4" t="s">
        <v>11</v>
      </c>
      <c r="B8" s="5" t="n">
        <v>1</v>
      </c>
      <c r="C8" s="6" t="s">
        <v>12</v>
      </c>
    </row>
    <row r="11" customFormat="false" ht="15" hidden="false" customHeight="false" outlineLevel="0" collapsed="false">
      <c r="A11" s="7" t="s">
        <v>13</v>
      </c>
    </row>
    <row r="12" customFormat="false" ht="15" hidden="false" customHeight="false" outlineLevel="0" collapsed="false">
      <c r="A12" s="4" t="s">
        <v>14</v>
      </c>
    </row>
    <row r="13" customFormat="false" ht="15" hidden="false" customHeight="false" outlineLevel="0" collapsed="false">
      <c r="A13" s="4" t="s">
        <v>15</v>
      </c>
    </row>
    <row r="14" customFormat="false" ht="15" hidden="false" customHeight="false" outlineLevel="0" collapsed="false">
      <c r="A14" s="4" t="s">
        <v>16</v>
      </c>
    </row>
    <row r="15" customFormat="false" ht="15" hidden="false" customHeight="false" outlineLevel="0" collapsed="false">
      <c r="A15" s="4" t="s">
        <v>17</v>
      </c>
    </row>
    <row r="16" customFormat="false" ht="15" hidden="false" customHeight="false" outlineLevel="0" collapsed="false">
      <c r="A16" s="4" t="s">
        <v>18</v>
      </c>
    </row>
    <row r="17" customFormat="false" ht="15" hidden="false" customHeight="false" outlineLevel="0" collapsed="false">
      <c r="A17" s="4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10" min="3" style="0" width="10"/>
  </cols>
  <sheetData>
    <row r="1" customFormat="false" ht="15" hidden="false" customHeight="false" outlineLevel="0" collapsed="false">
      <c r="A1" s="1" t="s">
        <v>20</v>
      </c>
    </row>
    <row r="2" customFormat="false" ht="15" hidden="false" customHeight="false" outlineLevel="0" collapsed="false">
      <c r="A2" s="2" t="s">
        <v>21</v>
      </c>
    </row>
    <row r="4" customFormat="false" ht="42" hidden="false" customHeight="true" outlineLevel="0" collapsed="false">
      <c r="A4" s="3" t="s">
        <v>22</v>
      </c>
      <c r="B4" s="3" t="s">
        <v>23</v>
      </c>
      <c r="C4" s="3" t="s">
        <v>24</v>
      </c>
      <c r="D4" s="3" t="s">
        <v>25</v>
      </c>
      <c r="E4" s="3" t="s">
        <v>26</v>
      </c>
      <c r="F4" s="3" t="s">
        <v>27</v>
      </c>
      <c r="G4" s="3" t="s">
        <v>28</v>
      </c>
      <c r="H4" s="3" t="s">
        <v>29</v>
      </c>
      <c r="I4" s="3" t="s">
        <v>30</v>
      </c>
      <c r="J4" s="3" t="s">
        <v>31</v>
      </c>
    </row>
    <row r="5" customFormat="false" ht="15" hidden="false" customHeight="false" outlineLevel="0" collapsed="false">
      <c r="A5" s="4" t="s">
        <v>32</v>
      </c>
      <c r="B5" s="4" t="s">
        <v>33</v>
      </c>
      <c r="C5" s="8" t="n">
        <f aca="false">(1+INDEX(Dic2023!$B$6:$B$205,MATCH(1,Dic2023!$A$6:$A$205,0))/2)^2-1</f>
        <v>0.04837121</v>
      </c>
      <c r="D5" s="8" t="n">
        <f aca="false">(1+INDEX(Dic2023!$B$6:$B$205,MATCH(5,Dic2023!$A$6:$A$205,0))/2)^2-1</f>
        <v>0.0391763600000001</v>
      </c>
      <c r="E5" s="8" t="n">
        <f aca="false">(1+INDEX(Dic2023!$B$6:$B$205,MATCH(10,Dic2023!$A$6:$A$205,0))/2)^2-1</f>
        <v>0.0378515625</v>
      </c>
      <c r="F5" s="8" t="n">
        <f aca="false">(1+INDEX(Dic2023!$B$6:$B$205,MATCH(20,Dic2023!$A$6:$A$205,0))/2)^2-1</f>
        <v>0.0434622500000002</v>
      </c>
      <c r="G5" s="8" t="n">
        <f aca="false">(1+INDEX(Dic2023!$B$6:$B$205,MATCH(30,Dic2023!$A$6:$A$205,0))/2)^2-1</f>
        <v>0.0408080399999999</v>
      </c>
      <c r="H5" s="8" t="n">
        <f aca="false">(1+INDEX(Dic2023!$B$6:$B$205,MATCH(40,Dic2023!$A$6:$A$205,0))/2)^2-1</f>
        <v>0.0419305625000002</v>
      </c>
      <c r="I5" s="8" t="n">
        <f aca="false">(1+INDEX(Dic2023!$B$6:$B$205,MATCH(60,Dic2023!$A$6:$A$205,0))/2)^2-1</f>
        <v>0.0431558224999999</v>
      </c>
      <c r="J5" s="8" t="n">
        <f aca="false">(1+INDEX(Dic2023!$B$6:$B$205,MATCH(100,Dic2023!$A$6:$A$205,0))/2)^2-1</f>
        <v>0.0440752400000002</v>
      </c>
    </row>
    <row r="6" customFormat="false" ht="15" hidden="false" customHeight="false" outlineLevel="0" collapsed="false">
      <c r="A6" s="4" t="s">
        <v>32</v>
      </c>
      <c r="B6" s="4" t="s">
        <v>34</v>
      </c>
      <c r="C6" s="8" t="n">
        <f aca="false">INDEX(Dic2023!$G$6:$G$205,MATCH(1,Dic2023!$A$6:$A$205,0))</f>
        <v>0.0518553600000002</v>
      </c>
      <c r="D6" s="8" t="n">
        <f aca="false">INDEX(Dic2023!$G$6:$G$205,MATCH(5,Dic2023!$A$6:$A$205,0))</f>
        <v>0.0463244099999998</v>
      </c>
      <c r="E6" s="8" t="n">
        <f aca="false">INDEX(Dic2023!$G$6:$G$205,MATCH(10,Dic2023!$A$6:$A$205,0))</f>
        <v>0.0497027025000001</v>
      </c>
      <c r="F6" s="8" t="n">
        <f aca="false">INDEX(Dic2023!$G$6:$G$205,MATCH(20,Dic2023!$A$6:$A$205,0))</f>
        <v>0.0517528025</v>
      </c>
      <c r="G6" s="8" t="n">
        <f aca="false">INDEX(Dic2023!$G$6:$G$205,MATCH(30,Dic2023!$A$6:$A$205,0))</f>
        <v>0.0516502500000002</v>
      </c>
      <c r="H6" s="8" t="n">
        <f aca="false">INDEX(Dic2023!$G$6:$G$205,MATCH(40,Dic2023!$A$6:$A$205,0))</f>
        <v>0.0516502500000002</v>
      </c>
      <c r="I6" s="8" t="n">
        <f aca="false">INDEX(Dic2023!$G$6:$G$205,MATCH(60,Dic2023!$A$6:$A$205,0))</f>
        <v>0.0517528025</v>
      </c>
      <c r="J6" s="8" t="n">
        <f aca="false">INDEX(Dic2023!$G$6:$G$205,MATCH(100,Dic2023!$A$6:$A$205,0))</f>
        <v>0.0517528025</v>
      </c>
    </row>
    <row r="7" customFormat="false" ht="15" hidden="false" customHeight="false" outlineLevel="0" collapsed="false">
      <c r="A7" s="4" t="s">
        <v>32</v>
      </c>
      <c r="B7" s="4" t="s">
        <v>35</v>
      </c>
      <c r="C7" s="8" t="n">
        <f aca="false">INDEX(Dic2023!$J$6:$J$205,MATCH(1,Dic2023!$A$6:$A$205,0))</f>
        <v>0.0518553600000002</v>
      </c>
      <c r="D7" s="8" t="n">
        <f aca="false">INDEX(Dic2023!$J$6:$J$205,MATCH(5,Dic2023!$A$6:$A$205,0))</f>
        <v>0.0463244099999998</v>
      </c>
      <c r="E7" s="8" t="n">
        <f aca="false">INDEX(Dic2023!$J$6:$J$205,MATCH(10,Dic2023!$A$6:$A$205,0))</f>
        <v>0.0497027025000001</v>
      </c>
      <c r="F7" s="8" t="n">
        <f aca="false">INDEX(Dic2023!$J$6:$J$205,MATCH(20,Dic2023!$A$6:$A$205,0))</f>
        <v>0.0517528025</v>
      </c>
      <c r="G7" s="8" t="n">
        <f aca="false">INDEX(Dic2023!$J$6:$J$205,MATCH(30,Dic2023!$A$6:$A$205,0))</f>
        <v>0.0516502500000002</v>
      </c>
      <c r="H7" s="8" t="n">
        <f aca="false">INDEX(Dic2023!$J$6:$J$205,MATCH(40,Dic2023!$A$6:$A$205,0))</f>
        <v>0.0516502500000002</v>
      </c>
      <c r="I7" s="8" t="n">
        <f aca="false">INDEX(Dic2023!$J$6:$J$205,MATCH(60,Dic2023!$A$6:$A$205,0))</f>
        <v>0.0517528025</v>
      </c>
      <c r="J7" s="8" t="n">
        <f aca="false">INDEX(Dic2023!$J$6:$J$205,MATCH(100,Dic2023!$A$6:$A$205,0))</f>
        <v>0.0517528025</v>
      </c>
    </row>
    <row r="8" customFormat="false" ht="15" hidden="false" customHeight="false" outlineLevel="0" collapsed="false">
      <c r="A8" s="4" t="s">
        <v>32</v>
      </c>
      <c r="B8" s="4" t="s">
        <v>36</v>
      </c>
      <c r="C8" s="8" t="n">
        <f aca="false">INDEX(Dic2023!$M$6:$M$205,MATCH(1,Dic2023!$A$6:$A$205,0))</f>
        <v>0.0518553600000002</v>
      </c>
      <c r="D8" s="8" t="n">
        <f aca="false">INDEX(Dic2023!$M$6:$M$205,MATCH(5,Dic2023!$A$6:$A$205,0))</f>
        <v>0.0463244099999998</v>
      </c>
      <c r="E8" s="8" t="n">
        <f aca="false">INDEX(Dic2023!$M$6:$M$205,MATCH(10,Dic2023!$A$6:$A$205,0))</f>
        <v>0.0497027025000001</v>
      </c>
      <c r="F8" s="8" t="n">
        <f aca="false">INDEX(Dic2023!$M$6:$M$205,MATCH(20,Dic2023!$A$6:$A$205,0))</f>
        <v>0.0517528025</v>
      </c>
      <c r="G8" s="8" t="n">
        <f aca="false">INDEX(Dic2023!$M$6:$M$205,MATCH(30,Dic2023!$A$6:$A$205,0))</f>
        <v>0.0516502500000002</v>
      </c>
      <c r="H8" s="8" t="n">
        <f aca="false">INDEX(Dic2023!$M$6:$M$205,MATCH(40,Dic2023!$A$6:$A$205,0))</f>
        <v>0.0516502500000002</v>
      </c>
      <c r="I8" s="8" t="n">
        <f aca="false">INDEX(Dic2023!$M$6:$M$205,MATCH(60,Dic2023!$A$6:$A$205,0))</f>
        <v>0.0517528025</v>
      </c>
      <c r="J8" s="8" t="n">
        <f aca="false">INDEX(Dic2023!$M$6:$M$205,MATCH(100,Dic2023!$A$6:$A$205,0))</f>
        <v>0.0517528025</v>
      </c>
    </row>
    <row r="9" customFormat="false" ht="15" hidden="false" customHeight="false" outlineLevel="0" collapsed="false">
      <c r="A9" s="4" t="s">
        <v>32</v>
      </c>
      <c r="B9" s="4" t="s">
        <v>37</v>
      </c>
      <c r="C9" s="8" t="n">
        <f aca="false">(1+INDEX(Dic2023!$C$6:$C$205,MATCH(1,Dic2023!$A$6:$A$205,0))/2)^2-1</f>
        <v>0.0518553600000002</v>
      </c>
      <c r="D9" s="8" t="n">
        <f aca="false">(1+INDEX(Dic2023!$C$6:$C$205,MATCH(5,Dic2023!$A$6:$A$205,0))/2)^2-1</f>
        <v>0.0463244099999998</v>
      </c>
      <c r="E9" s="8" t="n">
        <f aca="false">(1+INDEX(Dic2023!$C$6:$C$205,MATCH(10,Dic2023!$A$6:$A$205,0))/2)^2-1</f>
        <v>0.0497027025000001</v>
      </c>
      <c r="F9" s="8" t="n">
        <f aca="false">(1+INDEX(Dic2023!$C$6:$C$205,MATCH(20,Dic2023!$A$6:$A$205,0))/2)^2-1</f>
        <v>0.0517528025</v>
      </c>
      <c r="G9" s="8" t="n">
        <f aca="false">(1+INDEX(Dic2023!$C$6:$C$205,MATCH(30,Dic2023!$A$6:$A$205,0))/2)^2-1</f>
        <v>0.0516502500000002</v>
      </c>
      <c r="H9" s="8" t="n">
        <f aca="false">(1+INDEX(Dic2023!$C$6:$C$205,MATCH(40,Dic2023!$A$6:$A$205,0))/2)^2-1</f>
        <v>0.0516502500000002</v>
      </c>
      <c r="I9" s="8" t="n">
        <f aca="false">(1+INDEX(Dic2023!$C$6:$C$205,MATCH(60,Dic2023!$A$6:$A$205,0))/2)^2-1</f>
        <v>0.0517528025</v>
      </c>
      <c r="J9" s="8" t="n">
        <f aca="false">(1+INDEX(Dic2023!$C$6:$C$205,MATCH(100,Dic2023!$A$6:$A$205,0))/2)^2-1</f>
        <v>0.0517528025</v>
      </c>
    </row>
    <row r="11" customFormat="false" ht="15" hidden="false" customHeight="false" outlineLevel="0" collapsed="false">
      <c r="A11" s="4" t="s">
        <v>38</v>
      </c>
      <c r="B11" s="4" t="s">
        <v>33</v>
      </c>
      <c r="C11" s="8" t="n">
        <f aca="false">(1+INDEX(Dic2024!$B$6:$B$205,MATCH(1,Dic2024!$A$6:$A$205,0))/2)^2-1</f>
        <v>0.0428494400000001</v>
      </c>
      <c r="D11" s="8" t="n">
        <f aca="false">(1+INDEX(Dic2024!$B$6:$B$205,MATCH(5,Dic2024!$A$6:$A$205,0))/2)^2-1</f>
        <v>0.04468841</v>
      </c>
      <c r="E11" s="8" t="n">
        <f aca="false">(1+INDEX(Dic2024!$B$6:$B$205,MATCH(10,Dic2024!$A$6:$A$205,0))/2)^2-1</f>
        <v>0.0463244099999998</v>
      </c>
      <c r="F11" s="8" t="n">
        <f aca="false">(1+INDEX(Dic2024!$B$6:$B$205,MATCH(20,Dic2024!$A$6:$A$205,0))/2)^2-1</f>
        <v>0.0505225025</v>
      </c>
      <c r="G11" s="8" t="n">
        <f aca="false">(1+INDEX(Dic2024!$B$6:$B$205,MATCH(30,Dic2024!$A$6:$A$205,0))/2)^2-1</f>
        <v>0.04919049</v>
      </c>
      <c r="H11" s="8" t="n">
        <f aca="false">(1+INDEX(Dic2024!$B$6:$B$205,MATCH(40,Dic2024!$A$6:$A$205,0))/2)^2-1</f>
        <v>0.0500100899999998</v>
      </c>
      <c r="I11" s="8" t="n">
        <f aca="false">(1+INDEX(Dic2024!$B$6:$B$205,MATCH(60,Dic2024!$A$6:$A$205,0))/2)^2-1</f>
        <v>0.0507275025</v>
      </c>
      <c r="J11" s="8" t="n">
        <f aca="false">(1+INDEX(Dic2024!$B$6:$B$205,MATCH(100,Dic2024!$A$6:$A$205,0))/2)^2-1</f>
        <v>0.0513426225</v>
      </c>
    </row>
    <row r="12" customFormat="false" ht="15" hidden="false" customHeight="false" outlineLevel="0" collapsed="false">
      <c r="A12" s="4" t="s">
        <v>38</v>
      </c>
      <c r="B12" s="4" t="s">
        <v>34</v>
      </c>
      <c r="C12" s="8" t="n">
        <f aca="false">INDEX(Dic2024!$G$6:$G$205,MATCH(1,Dic2024!$A$6:$A$205,0))</f>
        <v>0.0464267025</v>
      </c>
      <c r="D12" s="8" t="n">
        <f aca="false">INDEX(Dic2024!$G$6:$G$205,MATCH(5,Dic2024!$A$6:$A$205,0))</f>
        <v>0.0496002499999999</v>
      </c>
      <c r="E12" s="8" t="n">
        <f aca="false">INDEX(Dic2024!$G$6:$G$205,MATCH(10,Dic2024!$A$6:$A$205,0))</f>
        <v>0.05431824</v>
      </c>
      <c r="F12" s="8" t="n">
        <f aca="false">INDEX(Dic2024!$G$6:$G$205,MATCH(20,Dic2024!$A$6:$A$205,0))</f>
        <v>0.0584294399999998</v>
      </c>
      <c r="G12" s="8" t="n">
        <f aca="false">INDEX(Dic2024!$G$6:$G$205,MATCH(30,Dic2024!$A$6:$A$205,0))</f>
        <v>0.0587381025</v>
      </c>
      <c r="H12" s="8" t="n">
        <f aca="false">INDEX(Dic2024!$G$6:$G$205,MATCH(40,Dic2024!$A$6:$A$205,0))</f>
        <v>0.0593555625</v>
      </c>
      <c r="I12" s="8" t="n">
        <f aca="false">INDEX(Dic2024!$G$6:$G$205,MATCH(60,Dic2024!$A$6:$A$205,0))</f>
        <v>0.0599732024999999</v>
      </c>
      <c r="J12" s="8" t="n">
        <f aca="false">INDEX(Dic2024!$G$6:$G$205,MATCH(100,Dic2024!$A$6:$A$205,0))</f>
        <v>0.0603850625</v>
      </c>
    </row>
    <row r="13" customFormat="false" ht="15" hidden="false" customHeight="false" outlineLevel="0" collapsed="false">
      <c r="A13" s="4" t="s">
        <v>38</v>
      </c>
      <c r="B13" s="4" t="s">
        <v>35</v>
      </c>
      <c r="C13" s="8" t="n">
        <f aca="false">INDEX(Dic2024!$J$6:$J$205,MATCH(1,Dic2024!$A$6:$A$205,0))</f>
        <v>0.0464267025</v>
      </c>
      <c r="D13" s="8" t="n">
        <f aca="false">INDEX(Dic2024!$J$6:$J$205,MATCH(5,Dic2024!$A$6:$A$205,0))</f>
        <v>0.0496002499999999</v>
      </c>
      <c r="E13" s="8" t="n">
        <f aca="false">INDEX(Dic2024!$J$6:$J$205,MATCH(10,Dic2024!$A$6:$A$205,0))</f>
        <v>0.05431824</v>
      </c>
      <c r="F13" s="8" t="n">
        <f aca="false">INDEX(Dic2024!$J$6:$J$205,MATCH(20,Dic2024!$A$6:$A$205,0))</f>
        <v>0.0584294399999998</v>
      </c>
      <c r="G13" s="8" t="n">
        <f aca="false">INDEX(Dic2024!$J$6:$J$205,MATCH(30,Dic2024!$A$6:$A$205,0))</f>
        <v>0.0587381025</v>
      </c>
      <c r="H13" s="8" t="n">
        <f aca="false">INDEX(Dic2024!$J$6:$J$205,MATCH(40,Dic2024!$A$6:$A$205,0))</f>
        <v>0.0593555625</v>
      </c>
      <c r="I13" s="8" t="n">
        <f aca="false">INDEX(Dic2024!$J$6:$J$205,MATCH(60,Dic2024!$A$6:$A$205,0))</f>
        <v>0.0599732024999999</v>
      </c>
      <c r="J13" s="8" t="n">
        <f aca="false">INDEX(Dic2024!$J$6:$J$205,MATCH(100,Dic2024!$A$6:$A$205,0))</f>
        <v>0.0603850625</v>
      </c>
    </row>
    <row r="14" customFormat="false" ht="15" hidden="false" customHeight="false" outlineLevel="0" collapsed="false">
      <c r="A14" s="4" t="s">
        <v>38</v>
      </c>
      <c r="B14" s="4" t="s">
        <v>36</v>
      </c>
      <c r="C14" s="8" t="n">
        <f aca="false">INDEX(Dic2024!$M$6:$M$205,MATCH(1,Dic2024!$A$6:$A$205,0))</f>
        <v>0.0464267025</v>
      </c>
      <c r="D14" s="8" t="n">
        <f aca="false">INDEX(Dic2024!$M$6:$M$205,MATCH(5,Dic2024!$A$6:$A$205,0))</f>
        <v>0.0496002499999999</v>
      </c>
      <c r="E14" s="8" t="n">
        <f aca="false">INDEX(Dic2024!$M$6:$M$205,MATCH(10,Dic2024!$A$6:$A$205,0))</f>
        <v>0.05431824</v>
      </c>
      <c r="F14" s="8" t="n">
        <f aca="false">INDEX(Dic2024!$M$6:$M$205,MATCH(20,Dic2024!$A$6:$A$205,0))</f>
        <v>0.0584294399999998</v>
      </c>
      <c r="G14" s="8" t="n">
        <f aca="false">INDEX(Dic2024!$M$6:$M$205,MATCH(30,Dic2024!$A$6:$A$205,0))</f>
        <v>0.0587381025</v>
      </c>
      <c r="H14" s="8" t="n">
        <f aca="false">INDEX(Dic2024!$M$6:$M$205,MATCH(40,Dic2024!$A$6:$A$205,0))</f>
        <v>0.0593555625</v>
      </c>
      <c r="I14" s="8" t="n">
        <f aca="false">INDEX(Dic2024!$M$6:$M$205,MATCH(60,Dic2024!$A$6:$A$205,0))</f>
        <v>0.0599732024999999</v>
      </c>
      <c r="J14" s="8" t="n">
        <f aca="false">INDEX(Dic2024!$M$6:$M$205,MATCH(100,Dic2024!$A$6:$A$205,0))</f>
        <v>0.0603850625</v>
      </c>
    </row>
    <row r="15" customFormat="false" ht="15" hidden="false" customHeight="false" outlineLevel="0" collapsed="false">
      <c r="A15" s="4" t="s">
        <v>38</v>
      </c>
      <c r="B15" s="4" t="s">
        <v>37</v>
      </c>
      <c r="C15" s="8" t="n">
        <f aca="false">(1+INDEX(Dic2024!$C$6:$C$205,MATCH(1,Dic2024!$A$6:$A$205,0))/2)^2-1</f>
        <v>0.0464267025</v>
      </c>
      <c r="D15" s="8" t="n">
        <f aca="false">(1+INDEX(Dic2024!$C$6:$C$205,MATCH(5,Dic2024!$A$6:$A$205,0))/2)^2-1</f>
        <v>0.0496002499999999</v>
      </c>
      <c r="E15" s="8" t="n">
        <f aca="false">(1+INDEX(Dic2024!$C$6:$C$205,MATCH(10,Dic2024!$A$6:$A$205,0))/2)^2-1</f>
        <v>0.05431824</v>
      </c>
      <c r="F15" s="8" t="n">
        <f aca="false">(1+INDEX(Dic2024!$C$6:$C$205,MATCH(20,Dic2024!$A$6:$A$205,0))/2)^2-1</f>
        <v>0.0584294399999998</v>
      </c>
      <c r="G15" s="8" t="n">
        <f aca="false">(1+INDEX(Dic2024!$C$6:$C$205,MATCH(30,Dic2024!$A$6:$A$205,0))/2)^2-1</f>
        <v>0.0587381025</v>
      </c>
      <c r="H15" s="8" t="n">
        <f aca="false">(1+INDEX(Dic2024!$C$6:$C$205,MATCH(40,Dic2024!$A$6:$A$205,0))/2)^2-1</f>
        <v>0.0593555625</v>
      </c>
      <c r="I15" s="8" t="n">
        <f aca="false">(1+INDEX(Dic2024!$C$6:$C$205,MATCH(60,Dic2024!$A$6:$A$205,0))/2)^2-1</f>
        <v>0.0599732024999999</v>
      </c>
      <c r="J15" s="8" t="n">
        <f aca="false">(1+INDEX(Dic2024!$C$6:$C$205,MATCH(100,Dic2024!$A$6:$A$205,0))/2)^2-1</f>
        <v>0.0603850625</v>
      </c>
    </row>
    <row r="17" customFormat="false" ht="15" hidden="false" customHeight="false" outlineLevel="0" collapsed="false">
      <c r="A17" s="4" t="s">
        <v>39</v>
      </c>
      <c r="B17" s="4" t="s">
        <v>33</v>
      </c>
      <c r="C17" s="8" t="n">
        <f aca="false">(1+INDEX(Dic2025!$B$6:$B$205,MATCH(1,Dic2025!$A$6:$A$205,0))/2)^2-1</f>
        <v>0.0355097600000001</v>
      </c>
      <c r="D17" s="8" t="n">
        <f aca="false">(1+INDEX(Dic2025!$B$6:$B$205,MATCH(5,Dic2025!$A$6:$A$205,0))/2)^2-1</f>
        <v>0.0377496899999998</v>
      </c>
      <c r="E17" s="8" t="n">
        <f aca="false">(1+INDEX(Dic2025!$B$6:$B$205,MATCH(10,Dic2025!$A$6:$A$205,0))/2)^2-1</f>
        <v>0.0426452099999999</v>
      </c>
      <c r="F17" s="8" t="n">
        <f aca="false">(1+INDEX(Dic2025!$B$6:$B$205,MATCH(20,Dic2025!$A$6:$A$205,0))/2)^2-1</f>
        <v>0.0509325224999999</v>
      </c>
      <c r="G17" s="8" t="n">
        <f aca="false">(1+INDEX(Dic2025!$B$6:$B$205,MATCH(30,Dic2025!$A$6:$A$205,0))/2)^2-1</f>
        <v>0.0510350399999997</v>
      </c>
      <c r="H17" s="8" t="n">
        <f aca="false">(1+INDEX(Dic2025!$B$6:$B$205,MATCH(40,Dic2025!$A$6:$A$205,0))/2)^2-1</f>
        <v>0.0525734024999998</v>
      </c>
      <c r="I17" s="8" t="n">
        <f aca="false">(1+INDEX(Dic2025!$B$6:$B$205,MATCH(60,Dic2025!$A$6:$A$205,0))/2)^2-1</f>
        <v>0.0541128899999999</v>
      </c>
      <c r="J17" s="8" t="n">
        <f aca="false">(1+INDEX(Dic2025!$B$6:$B$205,MATCH(100,Dic2025!$A$6:$A$205,0))/2)^2-1</f>
        <v>0.0553452900000002</v>
      </c>
    </row>
    <row r="18" customFormat="false" ht="15" hidden="false" customHeight="false" outlineLevel="0" collapsed="false">
      <c r="A18" s="4" t="s">
        <v>39</v>
      </c>
      <c r="B18" s="4" t="s">
        <v>34</v>
      </c>
      <c r="C18" s="8" t="n">
        <f aca="false">INDEX(Dic2025!$G$6:$G$205,MATCH(1,Dic2025!$A$6:$A$205,0))</f>
        <v>0.0387686400000002</v>
      </c>
      <c r="D18" s="8" t="n">
        <f aca="false">INDEX(Dic2025!$G$6:$G$205,MATCH(5,Dic2025!$A$6:$A$205,0))</f>
        <v>0.0429515624999999</v>
      </c>
      <c r="E18" s="8" t="n">
        <f aca="false">INDEX(Dic2025!$G$6:$G$205,MATCH(10,Dic2025!$A$6:$A$205,0))</f>
        <v>0.0502150399999999</v>
      </c>
      <c r="F18" s="8" t="n">
        <f aca="false">INDEX(Dic2025!$G$6:$G$205,MATCH(20,Dic2025!$A$6:$A$205,0))</f>
        <v>0.0584294399999998</v>
      </c>
      <c r="G18" s="8" t="n">
        <f aca="false">INDEX(Dic2025!$G$6:$G$205,MATCH(30,Dic2025!$A$6:$A$205,0))</f>
        <v>0.06131204</v>
      </c>
      <c r="H18" s="8" t="n">
        <f aca="false">INDEX(Dic2025!$G$6:$G$205,MATCH(40,Dic2025!$A$6:$A$205,0))</f>
        <v>0.0628579025</v>
      </c>
      <c r="I18" s="8" t="n">
        <f aca="false">INDEX(Dic2025!$G$6:$G$205,MATCH(60,Dic2025!$A$6:$A$205,0))</f>
        <v>0.0644048900000001</v>
      </c>
      <c r="J18" s="8" t="n">
        <f aca="false">INDEX(Dic2025!$G$6:$G$205,MATCH(100,Dic2025!$A$6:$A$205,0))</f>
        <v>0.0656432899999999</v>
      </c>
    </row>
    <row r="19" customFormat="false" ht="15" hidden="false" customHeight="false" outlineLevel="0" collapsed="false">
      <c r="A19" s="4" t="s">
        <v>39</v>
      </c>
      <c r="B19" s="4" t="s">
        <v>35</v>
      </c>
      <c r="C19" s="8" t="n">
        <f aca="false">INDEX(Dic2025!$J$6:$J$205,MATCH(1,Dic2025!$A$6:$A$205,0))</f>
        <v>0.0387686400000002</v>
      </c>
      <c r="D19" s="8" t="n">
        <f aca="false">INDEX(Dic2025!$J$6:$J$205,MATCH(5,Dic2025!$A$6:$A$205,0))</f>
        <v>0.0429515624999999</v>
      </c>
      <c r="E19" s="8" t="n">
        <f aca="false">INDEX(Dic2025!$J$6:$J$205,MATCH(10,Dic2025!$A$6:$A$205,0))</f>
        <v>0.0502150399999999</v>
      </c>
      <c r="F19" s="8" t="n">
        <f aca="false">INDEX(Dic2025!$J$6:$J$205,MATCH(20,Dic2025!$A$6:$A$205,0))</f>
        <v>0.0584294399999998</v>
      </c>
      <c r="G19" s="8" t="n">
        <f aca="false">INDEX(Dic2025!$J$6:$J$205,MATCH(30,Dic2025!$A$6:$A$205,0))</f>
        <v>0.06131204</v>
      </c>
      <c r="H19" s="8" t="n">
        <f aca="false">INDEX(Dic2025!$J$6:$J$205,MATCH(40,Dic2025!$A$6:$A$205,0))</f>
        <v>0.0628579025</v>
      </c>
      <c r="I19" s="8" t="n">
        <f aca="false">INDEX(Dic2025!$J$6:$J$205,MATCH(60,Dic2025!$A$6:$A$205,0))</f>
        <v>0.0644048900000001</v>
      </c>
      <c r="J19" s="8" t="n">
        <f aca="false">INDEX(Dic2025!$J$6:$J$205,MATCH(100,Dic2025!$A$6:$A$205,0))</f>
        <v>0.0656432899999999</v>
      </c>
    </row>
    <row r="20" customFormat="false" ht="15" hidden="false" customHeight="false" outlineLevel="0" collapsed="false">
      <c r="A20" s="4" t="s">
        <v>39</v>
      </c>
      <c r="B20" s="4" t="s">
        <v>36</v>
      </c>
      <c r="C20" s="8" t="n">
        <f aca="false">INDEX(Dic2025!$M$6:$M$205,MATCH(1,Dic2025!$A$6:$A$205,0))</f>
        <v>0.0387686400000002</v>
      </c>
      <c r="D20" s="8" t="n">
        <f aca="false">INDEX(Dic2025!$M$6:$M$205,MATCH(5,Dic2025!$A$6:$A$205,0))</f>
        <v>0.0429515624999999</v>
      </c>
      <c r="E20" s="8" t="n">
        <f aca="false">INDEX(Dic2025!$M$6:$M$205,MATCH(10,Dic2025!$A$6:$A$205,0))</f>
        <v>0.0502150399999999</v>
      </c>
      <c r="F20" s="8" t="n">
        <f aca="false">INDEX(Dic2025!$M$6:$M$205,MATCH(20,Dic2025!$A$6:$A$205,0))</f>
        <v>0.0584294399999998</v>
      </c>
      <c r="G20" s="8" t="n">
        <f aca="false">INDEX(Dic2025!$M$6:$M$205,MATCH(30,Dic2025!$A$6:$A$205,0))</f>
        <v>0.06131204</v>
      </c>
      <c r="H20" s="8" t="n">
        <f aca="false">INDEX(Dic2025!$M$6:$M$205,MATCH(40,Dic2025!$A$6:$A$205,0))</f>
        <v>0.0628579025</v>
      </c>
      <c r="I20" s="8" t="n">
        <f aca="false">INDEX(Dic2025!$M$6:$M$205,MATCH(60,Dic2025!$A$6:$A$205,0))</f>
        <v>0.0644048900000001</v>
      </c>
      <c r="J20" s="8" t="n">
        <f aca="false">INDEX(Dic2025!$M$6:$M$205,MATCH(100,Dic2025!$A$6:$A$205,0))</f>
        <v>0.0656432899999999</v>
      </c>
    </row>
    <row r="21" customFormat="false" ht="15" hidden="false" customHeight="false" outlineLevel="0" collapsed="false">
      <c r="A21" s="4" t="s">
        <v>39</v>
      </c>
      <c r="B21" s="4" t="s">
        <v>37</v>
      </c>
      <c r="C21" s="8" t="n">
        <f aca="false">(1+INDEX(Dic2025!$C$6:$C$205,MATCH(1,Dic2025!$A$6:$A$205,0))/2)^2-1</f>
        <v>0.0387686400000002</v>
      </c>
      <c r="D21" s="8" t="n">
        <f aca="false">(1+INDEX(Dic2025!$C$6:$C$205,MATCH(5,Dic2025!$A$6:$A$205,0))/2)^2-1</f>
        <v>0.0429515624999999</v>
      </c>
      <c r="E21" s="8" t="n">
        <f aca="false">(1+INDEX(Dic2025!$C$6:$C$205,MATCH(10,Dic2025!$A$6:$A$205,0))/2)^2-1</f>
        <v>0.0502150399999999</v>
      </c>
      <c r="F21" s="8" t="n">
        <f aca="false">(1+INDEX(Dic2025!$C$6:$C$205,MATCH(20,Dic2025!$A$6:$A$205,0))/2)^2-1</f>
        <v>0.0584294399999998</v>
      </c>
      <c r="G21" s="8" t="n">
        <f aca="false">(1+INDEX(Dic2025!$C$6:$C$205,MATCH(30,Dic2025!$A$6:$A$205,0))/2)^2-1</f>
        <v>0.06131204</v>
      </c>
      <c r="H21" s="8" t="n">
        <f aca="false">(1+INDEX(Dic2025!$C$6:$C$205,MATCH(40,Dic2025!$A$6:$A$205,0))/2)^2-1</f>
        <v>0.0628579025</v>
      </c>
      <c r="I21" s="8" t="n">
        <f aca="false">(1+INDEX(Dic2025!$C$6:$C$205,MATCH(60,Dic2025!$A$6:$A$205,0))/2)^2-1</f>
        <v>0.0644048900000001</v>
      </c>
      <c r="J21" s="8" t="n">
        <f aca="false">(1+INDEX(Dic2025!$C$6:$C$205,MATCH(100,Dic2025!$A$6:$A$205,0))/2)^2-1</f>
        <v>0.0656432899999999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12"/>
    <col collapsed="false" customWidth="true" hidden="false" outlineLevel="0" max="14" min="4" style="0" width="13"/>
  </cols>
  <sheetData>
    <row r="1" customFormat="false" ht="15" hidden="false" customHeight="false" outlineLevel="0" collapsed="false">
      <c r="A1" s="1" t="s">
        <v>40</v>
      </c>
    </row>
    <row r="2" customFormat="false" ht="15" hidden="false" customHeight="false" outlineLevel="0" collapsed="false">
      <c r="A2" s="2" t="s">
        <v>41</v>
      </c>
    </row>
    <row r="5" customFormat="false" ht="42" hidden="false" customHeight="true" outlineLevel="0" collapsed="false">
      <c r="A5" s="3" t="s">
        <v>42</v>
      </c>
      <c r="B5" s="3" t="s">
        <v>43</v>
      </c>
      <c r="C5" s="3" t="s">
        <v>44</v>
      </c>
      <c r="D5" s="3" t="s">
        <v>45</v>
      </c>
      <c r="E5" s="3" t="s">
        <v>46</v>
      </c>
      <c r="F5" s="3" t="s">
        <v>47</v>
      </c>
      <c r="G5" s="3" t="s">
        <v>48</v>
      </c>
      <c r="H5" s="3" t="s">
        <v>49</v>
      </c>
      <c r="I5" s="3" t="s">
        <v>50</v>
      </c>
      <c r="J5" s="3" t="s">
        <v>51</v>
      </c>
      <c r="K5" s="3" t="s">
        <v>52</v>
      </c>
      <c r="L5" s="3" t="s">
        <v>53</v>
      </c>
      <c r="M5" s="3" t="s">
        <v>54</v>
      </c>
      <c r="N5" s="3" t="s">
        <v>55</v>
      </c>
    </row>
    <row r="6" customFormat="false" ht="15" hidden="false" customHeight="false" outlineLevel="0" collapsed="false">
      <c r="A6" s="4" t="n">
        <v>0.5</v>
      </c>
      <c r="B6" s="9" t="n">
        <v>0.0517</v>
      </c>
      <c r="C6" s="9" t="n">
        <v>0.0529</v>
      </c>
      <c r="D6" s="10" t="n">
        <f aca="false">(C6-B6)*10000</f>
        <v>12</v>
      </c>
      <c r="E6" s="11" t="n">
        <f aca="false">MAX(0,C6-B6)*(1-Parametros!$B$5)</f>
        <v>0.0012</v>
      </c>
      <c r="F6" s="11" t="n">
        <f aca="false">B6+E6*Parametros!$B$6</f>
        <v>0.0529</v>
      </c>
      <c r="G6" s="12" t="n">
        <f aca="false">(1+F6/2)^2-1</f>
        <v>0.0535996025000001</v>
      </c>
      <c r="H6" s="13" t="n">
        <f aca="false">(1+G6)^(-A6)</f>
        <v>0.974231574845341</v>
      </c>
      <c r="I6" s="11" t="n">
        <f aca="false">B6+E6*Parametros!$B$7</f>
        <v>0.0529</v>
      </c>
      <c r="J6" s="12" t="n">
        <f aca="false">(1+I6/2)^2-1</f>
        <v>0.0535996025000001</v>
      </c>
      <c r="K6" s="13" t="n">
        <f aca="false">(1+J6)^(-A6)</f>
        <v>0.974231574845341</v>
      </c>
      <c r="L6" s="11" t="n">
        <f aca="false">B6+E6*Parametros!$B$8</f>
        <v>0.0529</v>
      </c>
      <c r="M6" s="12" t="n">
        <f aca="false">(1+L6/2)^2-1</f>
        <v>0.0535996025000001</v>
      </c>
      <c r="N6" s="13" t="n">
        <f aca="false">(1+M6)^(-A6)</f>
        <v>0.974231574845341</v>
      </c>
    </row>
    <row r="7" customFormat="false" ht="15" hidden="false" customHeight="false" outlineLevel="0" collapsed="false">
      <c r="A7" s="4" t="n">
        <v>1</v>
      </c>
      <c r="B7" s="9" t="n">
        <v>0.0478</v>
      </c>
      <c r="C7" s="9" t="n">
        <v>0.0512</v>
      </c>
      <c r="D7" s="10" t="n">
        <f aca="false">(C7-B7)*10000</f>
        <v>34</v>
      </c>
      <c r="E7" s="11" t="n">
        <f aca="false">MAX(0,C7-B7)*(1-Parametros!$B$5)</f>
        <v>0.0034</v>
      </c>
      <c r="F7" s="11" t="n">
        <f aca="false">B7+E7*Parametros!$B$6</f>
        <v>0.0512</v>
      </c>
      <c r="G7" s="12" t="n">
        <f aca="false">(1+F7/2)^2-1</f>
        <v>0.0518553600000002</v>
      </c>
      <c r="H7" s="13" t="n">
        <f aca="false">(1+G7)^(-A7)</f>
        <v>0.950701054563243</v>
      </c>
      <c r="I7" s="11" t="n">
        <f aca="false">B7+E7*Parametros!$B$7</f>
        <v>0.0512</v>
      </c>
      <c r="J7" s="12" t="n">
        <f aca="false">(1+I7/2)^2-1</f>
        <v>0.0518553600000002</v>
      </c>
      <c r="K7" s="13" t="n">
        <f aca="false">(1+J7)^(-A7)</f>
        <v>0.950701054563243</v>
      </c>
      <c r="L7" s="11" t="n">
        <f aca="false">B7+E7*Parametros!$B$8</f>
        <v>0.0512</v>
      </c>
      <c r="M7" s="12" t="n">
        <f aca="false">(1+L7/2)^2-1</f>
        <v>0.0518553600000002</v>
      </c>
      <c r="N7" s="13" t="n">
        <f aca="false">(1+M7)^(-A7)</f>
        <v>0.950701054563243</v>
      </c>
    </row>
    <row r="8" customFormat="false" ht="15" hidden="false" customHeight="false" outlineLevel="0" collapsed="false">
      <c r="A8" s="4" t="n">
        <v>1.5</v>
      </c>
      <c r="B8" s="9" t="n">
        <v>0.0446</v>
      </c>
      <c r="C8" s="9" t="n">
        <v>0.0497</v>
      </c>
      <c r="D8" s="10" t="n">
        <f aca="false">(C8-B8)*10000</f>
        <v>51</v>
      </c>
      <c r="E8" s="11" t="n">
        <f aca="false">MAX(0,C8-B8)*(1-Parametros!$B$5)</f>
        <v>0.0051</v>
      </c>
      <c r="F8" s="11" t="n">
        <f aca="false">B8+E8*Parametros!$B$6</f>
        <v>0.0497</v>
      </c>
      <c r="G8" s="12" t="n">
        <f aca="false">(1+F8/2)^2-1</f>
        <v>0.0503175225000001</v>
      </c>
      <c r="H8" s="13" t="n">
        <f aca="false">(1+G8)^(-A8)</f>
        <v>0.929007208059346</v>
      </c>
      <c r="I8" s="11" t="n">
        <f aca="false">B8+E8*Parametros!$B$7</f>
        <v>0.0497</v>
      </c>
      <c r="J8" s="12" t="n">
        <f aca="false">(1+I8/2)^2-1</f>
        <v>0.0503175225000001</v>
      </c>
      <c r="K8" s="13" t="n">
        <f aca="false">(1+J8)^(-A8)</f>
        <v>0.929007208059346</v>
      </c>
      <c r="L8" s="11" t="n">
        <f aca="false">B8+E8*Parametros!$B$8</f>
        <v>0.0497</v>
      </c>
      <c r="M8" s="12" t="n">
        <f aca="false">(1+L8/2)^2-1</f>
        <v>0.0503175225000001</v>
      </c>
      <c r="N8" s="13" t="n">
        <f aca="false">(1+M8)^(-A8)</f>
        <v>0.929007208059346</v>
      </c>
    </row>
    <row r="9" customFormat="false" ht="15" hidden="false" customHeight="false" outlineLevel="0" collapsed="false">
      <c r="A9" s="4" t="n">
        <v>2</v>
      </c>
      <c r="B9" s="9" t="n">
        <v>0.0421</v>
      </c>
      <c r="C9" s="9" t="n">
        <v>0.0484</v>
      </c>
      <c r="D9" s="10" t="n">
        <f aca="false">(C9-B9)*10000</f>
        <v>63</v>
      </c>
      <c r="E9" s="11" t="n">
        <f aca="false">MAX(0,C9-B9)*(1-Parametros!$B$5)</f>
        <v>0.0063</v>
      </c>
      <c r="F9" s="11" t="n">
        <f aca="false">B9+E9*Parametros!$B$6</f>
        <v>0.0484</v>
      </c>
      <c r="G9" s="12" t="n">
        <f aca="false">(1+F9/2)^2-1</f>
        <v>0.0489856399999999</v>
      </c>
      <c r="H9" s="13" t="n">
        <f aca="false">(1+G9)^(-A9)</f>
        <v>0.908784505846385</v>
      </c>
      <c r="I9" s="11" t="n">
        <f aca="false">B9+E9*Parametros!$B$7</f>
        <v>0.0484</v>
      </c>
      <c r="J9" s="12" t="n">
        <f aca="false">(1+I9/2)^2-1</f>
        <v>0.0489856399999999</v>
      </c>
      <c r="K9" s="13" t="n">
        <f aca="false">(1+J9)^(-A9)</f>
        <v>0.908784505846385</v>
      </c>
      <c r="L9" s="11" t="n">
        <f aca="false">B9+E9*Parametros!$B$8</f>
        <v>0.0484</v>
      </c>
      <c r="M9" s="12" t="n">
        <f aca="false">(1+L9/2)^2-1</f>
        <v>0.0489856399999999</v>
      </c>
      <c r="N9" s="13" t="n">
        <f aca="false">(1+M9)^(-A9)</f>
        <v>0.908784505846385</v>
      </c>
    </row>
    <row r="10" customFormat="false" ht="15" hidden="false" customHeight="false" outlineLevel="0" collapsed="false">
      <c r="A10" s="4" t="n">
        <v>2.5</v>
      </c>
      <c r="B10" s="9" t="n">
        <v>0.0406</v>
      </c>
      <c r="C10" s="9" t="n">
        <v>0.0474</v>
      </c>
      <c r="D10" s="10" t="n">
        <f aca="false">(C10-B10)*10000</f>
        <v>68</v>
      </c>
      <c r="E10" s="11" t="n">
        <f aca="false">MAX(0,C10-B10)*(1-Parametros!$B$5)</f>
        <v>0.0068</v>
      </c>
      <c r="F10" s="11" t="n">
        <f aca="false">B10+E10*Parametros!$B$6</f>
        <v>0.0474</v>
      </c>
      <c r="G10" s="12" t="n">
        <f aca="false">(1+F10/2)^2-1</f>
        <v>0.0479616900000002</v>
      </c>
      <c r="H10" s="13" t="n">
        <f aca="false">(1+G10)^(-A10)</f>
        <v>0.88948060658373</v>
      </c>
      <c r="I10" s="11" t="n">
        <f aca="false">B10+E10*Parametros!$B$7</f>
        <v>0.0474</v>
      </c>
      <c r="J10" s="12" t="n">
        <f aca="false">(1+I10/2)^2-1</f>
        <v>0.0479616900000002</v>
      </c>
      <c r="K10" s="13" t="n">
        <f aca="false">(1+J10)^(-A10)</f>
        <v>0.88948060658373</v>
      </c>
      <c r="L10" s="11" t="n">
        <f aca="false">B10+E10*Parametros!$B$8</f>
        <v>0.0474</v>
      </c>
      <c r="M10" s="12" t="n">
        <f aca="false">(1+L10/2)^2-1</f>
        <v>0.0479616900000002</v>
      </c>
      <c r="N10" s="13" t="n">
        <f aca="false">(1+M10)^(-A10)</f>
        <v>0.88948060658373</v>
      </c>
    </row>
    <row r="11" customFormat="false" ht="15" hidden="false" customHeight="false" outlineLevel="0" collapsed="false">
      <c r="A11" s="4" t="n">
        <v>3</v>
      </c>
      <c r="B11" s="9" t="n">
        <v>0.0397</v>
      </c>
      <c r="C11" s="9" t="n">
        <v>0.0467</v>
      </c>
      <c r="D11" s="10" t="n">
        <f aca="false">(C11-B11)*10000</f>
        <v>70</v>
      </c>
      <c r="E11" s="11" t="n">
        <f aca="false">MAX(0,C11-B11)*(1-Parametros!$B$5)</f>
        <v>0.007</v>
      </c>
      <c r="F11" s="11" t="n">
        <f aca="false">B11+E11*Parametros!$B$6</f>
        <v>0.0467</v>
      </c>
      <c r="G11" s="12" t="n">
        <f aca="false">(1+F11/2)^2-1</f>
        <v>0.0472452225</v>
      </c>
      <c r="H11" s="13" t="n">
        <f aca="false">(1+G11)^(-A11)</f>
        <v>0.870672518083503</v>
      </c>
      <c r="I11" s="11" t="n">
        <f aca="false">B11+E11*Parametros!$B$7</f>
        <v>0.0467</v>
      </c>
      <c r="J11" s="12" t="n">
        <f aca="false">(1+I11/2)^2-1</f>
        <v>0.0472452225</v>
      </c>
      <c r="K11" s="13" t="n">
        <f aca="false">(1+J11)^(-A11)</f>
        <v>0.870672518083503</v>
      </c>
      <c r="L11" s="11" t="n">
        <f aca="false">B11+E11*Parametros!$B$8</f>
        <v>0.0467</v>
      </c>
      <c r="M11" s="12" t="n">
        <f aca="false">(1+L11/2)^2-1</f>
        <v>0.0472452225</v>
      </c>
      <c r="N11" s="13" t="n">
        <f aca="false">(1+M11)^(-A11)</f>
        <v>0.870672518083503</v>
      </c>
    </row>
    <row r="12" customFormat="false" ht="15" hidden="false" customHeight="false" outlineLevel="0" collapsed="false">
      <c r="A12" s="4" t="n">
        <v>3.5</v>
      </c>
      <c r="B12" s="9" t="n">
        <v>0.0393</v>
      </c>
      <c r="C12" s="9" t="n">
        <v>0.0462</v>
      </c>
      <c r="D12" s="10" t="n">
        <f aca="false">(C12-B12)*10000</f>
        <v>69</v>
      </c>
      <c r="E12" s="11" t="n">
        <f aca="false">MAX(0,C12-B12)*(1-Parametros!$B$5)</f>
        <v>0.0069</v>
      </c>
      <c r="F12" s="11" t="n">
        <f aca="false">B12+E12*Parametros!$B$6</f>
        <v>0.0462</v>
      </c>
      <c r="G12" s="12" t="n">
        <f aca="false">(1+F12/2)^2-1</f>
        <v>0.0467336099999998</v>
      </c>
      <c r="H12" s="13" t="n">
        <f aca="false">(1+G12)^(-A12)</f>
        <v>0.852262554284518</v>
      </c>
      <c r="I12" s="11" t="n">
        <f aca="false">B12+E12*Parametros!$B$7</f>
        <v>0.0462</v>
      </c>
      <c r="J12" s="12" t="n">
        <f aca="false">(1+I12/2)^2-1</f>
        <v>0.0467336099999998</v>
      </c>
      <c r="K12" s="13" t="n">
        <f aca="false">(1+J12)^(-A12)</f>
        <v>0.852262554284518</v>
      </c>
      <c r="L12" s="11" t="n">
        <f aca="false">B12+E12*Parametros!$B$8</f>
        <v>0.0462</v>
      </c>
      <c r="M12" s="12" t="n">
        <f aca="false">(1+L12/2)^2-1</f>
        <v>0.0467336099999998</v>
      </c>
      <c r="N12" s="13" t="n">
        <f aca="false">(1+M12)^(-A12)</f>
        <v>0.852262554284518</v>
      </c>
    </row>
    <row r="13" customFormat="false" ht="15" hidden="false" customHeight="false" outlineLevel="0" collapsed="false">
      <c r="A13" s="4" t="n">
        <v>4</v>
      </c>
      <c r="B13" s="9" t="n">
        <v>0.0391</v>
      </c>
      <c r="C13" s="9" t="n">
        <v>0.0459</v>
      </c>
      <c r="D13" s="10" t="n">
        <f aca="false">(C13-B13)*10000</f>
        <v>68</v>
      </c>
      <c r="E13" s="11" t="n">
        <f aca="false">MAX(0,C13-B13)*(1-Parametros!$B$5)</f>
        <v>0.0068</v>
      </c>
      <c r="F13" s="11" t="n">
        <f aca="false">B13+E13*Parametros!$B$6</f>
        <v>0.0459</v>
      </c>
      <c r="G13" s="12" t="n">
        <f aca="false">(1+F13/2)^2-1</f>
        <v>0.0464267025</v>
      </c>
      <c r="H13" s="13" t="n">
        <f aca="false">(1+G13)^(-A13)</f>
        <v>0.833997495723439</v>
      </c>
      <c r="I13" s="11" t="n">
        <f aca="false">B13+E13*Parametros!$B$7</f>
        <v>0.0459</v>
      </c>
      <c r="J13" s="12" t="n">
        <f aca="false">(1+I13/2)^2-1</f>
        <v>0.0464267025</v>
      </c>
      <c r="K13" s="13" t="n">
        <f aca="false">(1+J13)^(-A13)</f>
        <v>0.833997495723439</v>
      </c>
      <c r="L13" s="11" t="n">
        <f aca="false">B13+E13*Parametros!$B$8</f>
        <v>0.0459</v>
      </c>
      <c r="M13" s="12" t="n">
        <f aca="false">(1+L13/2)^2-1</f>
        <v>0.0464267025</v>
      </c>
      <c r="N13" s="13" t="n">
        <f aca="false">(1+M13)^(-A13)</f>
        <v>0.833997495723439</v>
      </c>
    </row>
    <row r="14" customFormat="false" ht="15" hidden="false" customHeight="false" outlineLevel="0" collapsed="false">
      <c r="A14" s="4" t="n">
        <v>4.5</v>
      </c>
      <c r="B14" s="9" t="n">
        <v>0.0389</v>
      </c>
      <c r="C14" s="9" t="n">
        <v>0.0458</v>
      </c>
      <c r="D14" s="10" t="n">
        <f aca="false">(C14-B14)*10000</f>
        <v>69</v>
      </c>
      <c r="E14" s="11" t="n">
        <f aca="false">MAX(0,C14-B14)*(1-Parametros!$B$5)</f>
        <v>0.0069</v>
      </c>
      <c r="F14" s="11" t="n">
        <f aca="false">B14+E14*Parametros!$B$6</f>
        <v>0.0458</v>
      </c>
      <c r="G14" s="12" t="n">
        <f aca="false">(1+F14/2)^2-1</f>
        <v>0.0463244099999998</v>
      </c>
      <c r="H14" s="13" t="n">
        <f aca="false">(1+G14)^(-A14)</f>
        <v>0.815645402416095</v>
      </c>
      <c r="I14" s="11" t="n">
        <f aca="false">B14+E14*Parametros!$B$7</f>
        <v>0.0458</v>
      </c>
      <c r="J14" s="12" t="n">
        <f aca="false">(1+I14/2)^2-1</f>
        <v>0.0463244099999998</v>
      </c>
      <c r="K14" s="13" t="n">
        <f aca="false">(1+J14)^(-A14)</f>
        <v>0.815645402416095</v>
      </c>
      <c r="L14" s="11" t="n">
        <f aca="false">B14+E14*Parametros!$B$8</f>
        <v>0.0458</v>
      </c>
      <c r="M14" s="12" t="n">
        <f aca="false">(1+L14/2)^2-1</f>
        <v>0.0463244099999998</v>
      </c>
      <c r="N14" s="13" t="n">
        <f aca="false">(1+M14)^(-A14)</f>
        <v>0.815645402416095</v>
      </c>
    </row>
    <row r="15" customFormat="false" ht="15" hidden="false" customHeight="false" outlineLevel="0" collapsed="false">
      <c r="A15" s="4" t="n">
        <v>5</v>
      </c>
      <c r="B15" s="9" t="n">
        <v>0.0388</v>
      </c>
      <c r="C15" s="9" t="n">
        <v>0.0458</v>
      </c>
      <c r="D15" s="10" t="n">
        <f aca="false">(C15-B15)*10000</f>
        <v>70</v>
      </c>
      <c r="E15" s="11" t="n">
        <f aca="false">MAX(0,C15-B15)*(1-Parametros!$B$5)</f>
        <v>0.007</v>
      </c>
      <c r="F15" s="11" t="n">
        <f aca="false">B15+E15*Parametros!$B$6</f>
        <v>0.0458</v>
      </c>
      <c r="G15" s="12" t="n">
        <f aca="false">(1+F15/2)^2-1</f>
        <v>0.0463244099999998</v>
      </c>
      <c r="H15" s="13" t="n">
        <f aca="false">(1+G15)^(-A15)</f>
        <v>0.797385279515197</v>
      </c>
      <c r="I15" s="11" t="n">
        <f aca="false">B15+E15*Parametros!$B$7</f>
        <v>0.0458</v>
      </c>
      <c r="J15" s="12" t="n">
        <f aca="false">(1+I15/2)^2-1</f>
        <v>0.0463244099999998</v>
      </c>
      <c r="K15" s="13" t="n">
        <f aca="false">(1+J15)^(-A15)</f>
        <v>0.797385279515197</v>
      </c>
      <c r="L15" s="11" t="n">
        <f aca="false">B15+E15*Parametros!$B$8</f>
        <v>0.0458</v>
      </c>
      <c r="M15" s="12" t="n">
        <f aca="false">(1+L15/2)^2-1</f>
        <v>0.0463244099999998</v>
      </c>
      <c r="N15" s="13" t="n">
        <f aca="false">(1+M15)^(-A15)</f>
        <v>0.797385279515197</v>
      </c>
    </row>
    <row r="16" customFormat="false" ht="15" hidden="false" customHeight="false" outlineLevel="0" collapsed="false">
      <c r="A16" s="4" t="n">
        <v>5.5</v>
      </c>
      <c r="B16" s="9" t="n">
        <v>0.0387</v>
      </c>
      <c r="C16" s="9" t="n">
        <v>0.046</v>
      </c>
      <c r="D16" s="10" t="n">
        <f aca="false">(C16-B16)*10000</f>
        <v>73</v>
      </c>
      <c r="E16" s="11" t="n">
        <f aca="false">MAX(0,C16-B16)*(1-Parametros!$B$5)</f>
        <v>0.0073</v>
      </c>
      <c r="F16" s="11" t="n">
        <f aca="false">B16+E16*Parametros!$B$6</f>
        <v>0.046</v>
      </c>
      <c r="G16" s="12" t="n">
        <f aca="false">(1+F16/2)^2-1</f>
        <v>0.0465289999999998</v>
      </c>
      <c r="H16" s="13" t="n">
        <f aca="false">(1+G16)^(-A16)</f>
        <v>0.778696153025002</v>
      </c>
      <c r="I16" s="11" t="n">
        <f aca="false">B16+E16*Parametros!$B$7</f>
        <v>0.046</v>
      </c>
      <c r="J16" s="12" t="n">
        <f aca="false">(1+I16/2)^2-1</f>
        <v>0.0465289999999998</v>
      </c>
      <c r="K16" s="13" t="n">
        <f aca="false">(1+J16)^(-A16)</f>
        <v>0.778696153025002</v>
      </c>
      <c r="L16" s="11" t="n">
        <f aca="false">B16+E16*Parametros!$B$8</f>
        <v>0.046</v>
      </c>
      <c r="M16" s="12" t="n">
        <f aca="false">(1+L16/2)^2-1</f>
        <v>0.0465289999999998</v>
      </c>
      <c r="N16" s="13" t="n">
        <f aca="false">(1+M16)^(-A16)</f>
        <v>0.778696153025002</v>
      </c>
    </row>
    <row r="17" customFormat="false" ht="15" hidden="false" customHeight="false" outlineLevel="0" collapsed="false">
      <c r="A17" s="4" t="n">
        <v>6</v>
      </c>
      <c r="B17" s="9" t="n">
        <v>0.0385</v>
      </c>
      <c r="C17" s="9" t="n">
        <v>0.0462</v>
      </c>
      <c r="D17" s="10" t="n">
        <f aca="false">(C17-B17)*10000</f>
        <v>77</v>
      </c>
      <c r="E17" s="11" t="n">
        <f aca="false">MAX(0,C17-B17)*(1-Parametros!$B$5)</f>
        <v>0.0077</v>
      </c>
      <c r="F17" s="11" t="n">
        <f aca="false">B17+E17*Parametros!$B$6</f>
        <v>0.0462</v>
      </c>
      <c r="G17" s="12" t="n">
        <f aca="false">(1+F17/2)^2-1</f>
        <v>0.0467336099999998</v>
      </c>
      <c r="H17" s="13" t="n">
        <f aca="false">(1+G17)^(-A17)</f>
        <v>0.760296487357231</v>
      </c>
      <c r="I17" s="11" t="n">
        <f aca="false">B17+E17*Parametros!$B$7</f>
        <v>0.0462</v>
      </c>
      <c r="J17" s="12" t="n">
        <f aca="false">(1+I17/2)^2-1</f>
        <v>0.0467336099999998</v>
      </c>
      <c r="K17" s="13" t="n">
        <f aca="false">(1+J17)^(-A17)</f>
        <v>0.760296487357231</v>
      </c>
      <c r="L17" s="11" t="n">
        <f aca="false">B17+E17*Parametros!$B$8</f>
        <v>0.0462</v>
      </c>
      <c r="M17" s="12" t="n">
        <f aca="false">(1+L17/2)^2-1</f>
        <v>0.0467336099999998</v>
      </c>
      <c r="N17" s="13" t="n">
        <f aca="false">(1+M17)^(-A17)</f>
        <v>0.760296487357231</v>
      </c>
    </row>
    <row r="18" customFormat="false" ht="15" hidden="false" customHeight="false" outlineLevel="0" collapsed="false">
      <c r="A18" s="4" t="n">
        <v>6.5</v>
      </c>
      <c r="B18" s="9" t="n">
        <v>0.0384</v>
      </c>
      <c r="C18" s="9" t="n">
        <v>0.0465</v>
      </c>
      <c r="D18" s="10" t="n">
        <f aca="false">(C18-B18)*10000</f>
        <v>81</v>
      </c>
      <c r="E18" s="11" t="n">
        <f aca="false">MAX(0,C18-B18)*(1-Parametros!$B$5)</f>
        <v>0.0081</v>
      </c>
      <c r="F18" s="11" t="n">
        <f aca="false">B18+E18*Parametros!$B$6</f>
        <v>0.0465</v>
      </c>
      <c r="G18" s="12" t="n">
        <f aca="false">(1+F18/2)^2-1</f>
        <v>0.0470405624999999</v>
      </c>
      <c r="H18" s="13" t="n">
        <f aca="false">(1+G18)^(-A18)</f>
        <v>0.741715247405813</v>
      </c>
      <c r="I18" s="11" t="n">
        <f aca="false">B18+E18*Parametros!$B$7</f>
        <v>0.0465</v>
      </c>
      <c r="J18" s="12" t="n">
        <f aca="false">(1+I18/2)^2-1</f>
        <v>0.0470405624999999</v>
      </c>
      <c r="K18" s="13" t="n">
        <f aca="false">(1+J18)^(-A18)</f>
        <v>0.741715247405813</v>
      </c>
      <c r="L18" s="11" t="n">
        <f aca="false">B18+E18*Parametros!$B$8</f>
        <v>0.0465</v>
      </c>
      <c r="M18" s="12" t="n">
        <f aca="false">(1+L18/2)^2-1</f>
        <v>0.0470405624999999</v>
      </c>
      <c r="N18" s="13" t="n">
        <f aca="false">(1+M18)^(-A18)</f>
        <v>0.741715247405813</v>
      </c>
    </row>
    <row r="19" customFormat="false" ht="15" hidden="false" customHeight="false" outlineLevel="0" collapsed="false">
      <c r="A19" s="4" t="n">
        <v>7</v>
      </c>
      <c r="B19" s="9" t="n">
        <v>0.0382</v>
      </c>
      <c r="C19" s="9" t="n">
        <v>0.0469</v>
      </c>
      <c r="D19" s="10" t="n">
        <f aca="false">(C19-B19)*10000</f>
        <v>87</v>
      </c>
      <c r="E19" s="11" t="n">
        <f aca="false">MAX(0,C19-B19)*(1-Parametros!$B$5)</f>
        <v>0.0087</v>
      </c>
      <c r="F19" s="11" t="n">
        <f aca="false">B19+E19*Parametros!$B$6</f>
        <v>0.0469</v>
      </c>
      <c r="G19" s="12" t="n">
        <f aca="false">(1+F19/2)^2-1</f>
        <v>0.0474499024999999</v>
      </c>
      <c r="H19" s="13" t="n">
        <f aca="false">(1+G19)^(-A19)</f>
        <v>0.722881608004127</v>
      </c>
      <c r="I19" s="11" t="n">
        <f aca="false">B19+E19*Parametros!$B$7</f>
        <v>0.0469</v>
      </c>
      <c r="J19" s="12" t="n">
        <f aca="false">(1+I19/2)^2-1</f>
        <v>0.0474499024999999</v>
      </c>
      <c r="K19" s="13" t="n">
        <f aca="false">(1+J19)^(-A19)</f>
        <v>0.722881608004127</v>
      </c>
      <c r="L19" s="11" t="n">
        <f aca="false">B19+E19*Parametros!$B$8</f>
        <v>0.0469</v>
      </c>
      <c r="M19" s="12" t="n">
        <f aca="false">(1+L19/2)^2-1</f>
        <v>0.0474499024999999</v>
      </c>
      <c r="N19" s="13" t="n">
        <f aca="false">(1+M19)^(-A19)</f>
        <v>0.722881608004127</v>
      </c>
    </row>
    <row r="20" customFormat="false" ht="15" hidden="false" customHeight="false" outlineLevel="0" collapsed="false">
      <c r="A20" s="4" t="n">
        <v>7.5</v>
      </c>
      <c r="B20" s="9" t="n">
        <v>0.038</v>
      </c>
      <c r="C20" s="9" t="n">
        <v>0.0473</v>
      </c>
      <c r="D20" s="10" t="n">
        <f aca="false">(C20-B20)*10000</f>
        <v>93</v>
      </c>
      <c r="E20" s="11" t="n">
        <f aca="false">MAX(0,C20-B20)*(1-Parametros!$B$5)</f>
        <v>0.0093</v>
      </c>
      <c r="F20" s="11" t="n">
        <f aca="false">B20+E20*Parametros!$B$6</f>
        <v>0.0473</v>
      </c>
      <c r="G20" s="12" t="n">
        <f aca="false">(1+F20/2)^2-1</f>
        <v>0.0478593224999999</v>
      </c>
      <c r="H20" s="13" t="n">
        <f aca="false">(1+G20)^(-A20)</f>
        <v>0.704251269396907</v>
      </c>
      <c r="I20" s="11" t="n">
        <f aca="false">B20+E20*Parametros!$B$7</f>
        <v>0.0473</v>
      </c>
      <c r="J20" s="12" t="n">
        <f aca="false">(1+I20/2)^2-1</f>
        <v>0.0478593224999999</v>
      </c>
      <c r="K20" s="13" t="n">
        <f aca="false">(1+J20)^(-A20)</f>
        <v>0.704251269396907</v>
      </c>
      <c r="L20" s="11" t="n">
        <f aca="false">B20+E20*Parametros!$B$8</f>
        <v>0.0473</v>
      </c>
      <c r="M20" s="12" t="n">
        <f aca="false">(1+L20/2)^2-1</f>
        <v>0.0478593224999999</v>
      </c>
      <c r="N20" s="13" t="n">
        <f aca="false">(1+M20)^(-A20)</f>
        <v>0.704251269396907</v>
      </c>
    </row>
    <row r="21" customFormat="false" ht="15" hidden="false" customHeight="false" outlineLevel="0" collapsed="false">
      <c r="A21" s="4" t="n">
        <v>8</v>
      </c>
      <c r="B21" s="9" t="n">
        <v>0.0379</v>
      </c>
      <c r="C21" s="9" t="n">
        <v>0.0477</v>
      </c>
      <c r="D21" s="10" t="n">
        <f aca="false">(C21-B21)*10000</f>
        <v>98</v>
      </c>
      <c r="E21" s="11" t="n">
        <f aca="false">MAX(0,C21-B21)*(1-Parametros!$B$5)</f>
        <v>0.0098</v>
      </c>
      <c r="F21" s="11" t="n">
        <f aca="false">B21+E21*Parametros!$B$6</f>
        <v>0.0477</v>
      </c>
      <c r="G21" s="12" t="n">
        <f aca="false">(1+F21/2)^2-1</f>
        <v>0.0482688224999999</v>
      </c>
      <c r="H21" s="13" t="n">
        <f aca="false">(1+G21)^(-A21)</f>
        <v>0.685833423108997</v>
      </c>
      <c r="I21" s="11" t="n">
        <f aca="false">B21+E21*Parametros!$B$7</f>
        <v>0.0477</v>
      </c>
      <c r="J21" s="12" t="n">
        <f aca="false">(1+I21/2)^2-1</f>
        <v>0.0482688224999999</v>
      </c>
      <c r="K21" s="13" t="n">
        <f aca="false">(1+J21)^(-A21)</f>
        <v>0.685833423108997</v>
      </c>
      <c r="L21" s="11" t="n">
        <f aca="false">B21+E21*Parametros!$B$8</f>
        <v>0.0477</v>
      </c>
      <c r="M21" s="12" t="n">
        <f aca="false">(1+L21/2)^2-1</f>
        <v>0.0482688224999999</v>
      </c>
      <c r="N21" s="13" t="n">
        <f aca="false">(1+M21)^(-A21)</f>
        <v>0.685833423108997</v>
      </c>
    </row>
    <row r="22" customFormat="false" ht="15" hidden="false" customHeight="false" outlineLevel="0" collapsed="false">
      <c r="A22" s="4" t="n">
        <v>8.5</v>
      </c>
      <c r="B22" s="9" t="n">
        <v>0.0378</v>
      </c>
      <c r="C22" s="9" t="n">
        <v>0.0481</v>
      </c>
      <c r="D22" s="10" t="n">
        <f aca="false">(C22-B22)*10000</f>
        <v>103</v>
      </c>
      <c r="E22" s="11" t="n">
        <f aca="false">MAX(0,C22-B22)*(1-Parametros!$B$5)</f>
        <v>0.0103</v>
      </c>
      <c r="F22" s="11" t="n">
        <f aca="false">B22+E22*Parametros!$B$6</f>
        <v>0.0481</v>
      </c>
      <c r="G22" s="12" t="n">
        <f aca="false">(1+F22/2)^2-1</f>
        <v>0.0486784024999998</v>
      </c>
      <c r="H22" s="13" t="n">
        <f aca="false">(1+G22)^(-A22)</f>
        <v>0.667636770310975</v>
      </c>
      <c r="I22" s="11" t="n">
        <f aca="false">B22+E22*Parametros!$B$7</f>
        <v>0.0481</v>
      </c>
      <c r="J22" s="12" t="n">
        <f aca="false">(1+I22/2)^2-1</f>
        <v>0.0486784024999998</v>
      </c>
      <c r="K22" s="13" t="n">
        <f aca="false">(1+J22)^(-A22)</f>
        <v>0.667636770310975</v>
      </c>
      <c r="L22" s="11" t="n">
        <f aca="false">B22+E22*Parametros!$B$8</f>
        <v>0.0481</v>
      </c>
      <c r="M22" s="12" t="n">
        <f aca="false">(1+L22/2)^2-1</f>
        <v>0.0486784024999998</v>
      </c>
      <c r="N22" s="13" t="n">
        <f aca="false">(1+M22)^(-A22)</f>
        <v>0.667636770310975</v>
      </c>
    </row>
    <row r="23" customFormat="false" ht="15" hidden="false" customHeight="false" outlineLevel="0" collapsed="false">
      <c r="A23" s="4" t="n">
        <v>9</v>
      </c>
      <c r="B23" s="9" t="n">
        <v>0.0376</v>
      </c>
      <c r="C23" s="9" t="n">
        <v>0.0484</v>
      </c>
      <c r="D23" s="10" t="n">
        <f aca="false">(C23-B23)*10000</f>
        <v>108</v>
      </c>
      <c r="E23" s="11" t="n">
        <f aca="false">MAX(0,C23-B23)*(1-Parametros!$B$5)</f>
        <v>0.0108</v>
      </c>
      <c r="F23" s="11" t="n">
        <f aca="false">B23+E23*Parametros!$B$6</f>
        <v>0.0484</v>
      </c>
      <c r="G23" s="12" t="n">
        <f aca="false">(1+F23/2)^2-1</f>
        <v>0.0489856399999999</v>
      </c>
      <c r="H23" s="13" t="n">
        <f aca="false">(1+G23)^(-A23)</f>
        <v>0.650240645453577</v>
      </c>
      <c r="I23" s="11" t="n">
        <f aca="false">B23+E23*Parametros!$B$7</f>
        <v>0.0484</v>
      </c>
      <c r="J23" s="12" t="n">
        <f aca="false">(1+I23/2)^2-1</f>
        <v>0.0489856399999999</v>
      </c>
      <c r="K23" s="13" t="n">
        <f aca="false">(1+J23)^(-A23)</f>
        <v>0.650240645453577</v>
      </c>
      <c r="L23" s="11" t="n">
        <f aca="false">B23+E23*Parametros!$B$8</f>
        <v>0.0484</v>
      </c>
      <c r="M23" s="12" t="n">
        <f aca="false">(1+L23/2)^2-1</f>
        <v>0.0489856399999999</v>
      </c>
      <c r="N23" s="13" t="n">
        <f aca="false">(1+M23)^(-A23)</f>
        <v>0.650240645453577</v>
      </c>
    </row>
    <row r="24" customFormat="false" ht="15" hidden="false" customHeight="false" outlineLevel="0" collapsed="false">
      <c r="A24" s="4" t="n">
        <v>9.5</v>
      </c>
      <c r="B24" s="9" t="n">
        <v>0.0375</v>
      </c>
      <c r="C24" s="9" t="n">
        <v>0.0488</v>
      </c>
      <c r="D24" s="10" t="n">
        <f aca="false">(C24-B24)*10000</f>
        <v>113</v>
      </c>
      <c r="E24" s="11" t="n">
        <f aca="false">MAX(0,C24-B24)*(1-Parametros!$B$5)</f>
        <v>0.0113</v>
      </c>
      <c r="F24" s="11" t="n">
        <f aca="false">B24+E24*Parametros!$B$6</f>
        <v>0.0488</v>
      </c>
      <c r="G24" s="12" t="n">
        <f aca="false">(1+F24/2)^2-1</f>
        <v>0.0493953599999999</v>
      </c>
      <c r="H24" s="13" t="n">
        <f aca="false">(1+G24)^(-A24)</f>
        <v>0.63252569701033</v>
      </c>
      <c r="I24" s="11" t="n">
        <f aca="false">B24+E24*Parametros!$B$7</f>
        <v>0.0488</v>
      </c>
      <c r="J24" s="12" t="n">
        <f aca="false">(1+I24/2)^2-1</f>
        <v>0.0493953599999999</v>
      </c>
      <c r="K24" s="13" t="n">
        <f aca="false">(1+J24)^(-A24)</f>
        <v>0.63252569701033</v>
      </c>
      <c r="L24" s="11" t="n">
        <f aca="false">B24+E24*Parametros!$B$8</f>
        <v>0.0488</v>
      </c>
      <c r="M24" s="12" t="n">
        <f aca="false">(1+L24/2)^2-1</f>
        <v>0.0493953599999999</v>
      </c>
      <c r="N24" s="13" t="n">
        <f aca="false">(1+M24)^(-A24)</f>
        <v>0.63252569701033</v>
      </c>
    </row>
    <row r="25" customFormat="false" ht="15" hidden="false" customHeight="false" outlineLevel="0" collapsed="false">
      <c r="A25" s="4" t="n">
        <v>10</v>
      </c>
      <c r="B25" s="9" t="n">
        <v>0.0375</v>
      </c>
      <c r="C25" s="9" t="n">
        <v>0.0491</v>
      </c>
      <c r="D25" s="10" t="n">
        <f aca="false">(C25-B25)*10000</f>
        <v>116</v>
      </c>
      <c r="E25" s="11" t="n">
        <f aca="false">MAX(0,C25-B25)*(1-Parametros!$B$5)</f>
        <v>0.0116</v>
      </c>
      <c r="F25" s="11" t="n">
        <f aca="false">B25+E25*Parametros!$B$6</f>
        <v>0.0491</v>
      </c>
      <c r="G25" s="12" t="n">
        <f aca="false">(1+F25/2)^2-1</f>
        <v>0.0497027025000001</v>
      </c>
      <c r="H25" s="13" t="n">
        <f aca="false">(1+G25)^(-A25)</f>
        <v>0.61565420042754</v>
      </c>
      <c r="I25" s="11" t="n">
        <f aca="false">B25+E25*Parametros!$B$7</f>
        <v>0.0491</v>
      </c>
      <c r="J25" s="12" t="n">
        <f aca="false">(1+I25/2)^2-1</f>
        <v>0.0497027025000001</v>
      </c>
      <c r="K25" s="13" t="n">
        <f aca="false">(1+J25)^(-A25)</f>
        <v>0.61565420042754</v>
      </c>
      <c r="L25" s="11" t="n">
        <f aca="false">B25+E25*Parametros!$B$8</f>
        <v>0.0491</v>
      </c>
      <c r="M25" s="12" t="n">
        <f aca="false">(1+L25/2)^2-1</f>
        <v>0.0497027025000001</v>
      </c>
      <c r="N25" s="13" t="n">
        <f aca="false">(1+M25)^(-A25)</f>
        <v>0.61565420042754</v>
      </c>
    </row>
    <row r="26" customFormat="false" ht="15" hidden="false" customHeight="false" outlineLevel="0" collapsed="false">
      <c r="A26" s="4" t="n">
        <v>10.5</v>
      </c>
      <c r="B26" s="9" t="n">
        <v>0.0375</v>
      </c>
      <c r="C26" s="9" t="n">
        <v>0.0495</v>
      </c>
      <c r="D26" s="10" t="n">
        <f aca="false">(C26-B26)*10000</f>
        <v>120</v>
      </c>
      <c r="E26" s="11" t="n">
        <f aca="false">MAX(0,C26-B26)*(1-Parametros!$B$5)</f>
        <v>0.012</v>
      </c>
      <c r="F26" s="11" t="n">
        <f aca="false">B26+E26*Parametros!$B$6</f>
        <v>0.0495</v>
      </c>
      <c r="G26" s="12" t="n">
        <f aca="false">(1+F26/2)^2-1</f>
        <v>0.0501125625000001</v>
      </c>
      <c r="H26" s="13" t="n">
        <f aca="false">(1+G26)^(-A26)</f>
        <v>0.598444022241023</v>
      </c>
      <c r="I26" s="11" t="n">
        <f aca="false">B26+E26*Parametros!$B$7</f>
        <v>0.0495</v>
      </c>
      <c r="J26" s="12" t="n">
        <f aca="false">(1+I26/2)^2-1</f>
        <v>0.0501125625000001</v>
      </c>
      <c r="K26" s="13" t="n">
        <f aca="false">(1+J26)^(-A26)</f>
        <v>0.598444022241023</v>
      </c>
      <c r="L26" s="11" t="n">
        <f aca="false">B26+E26*Parametros!$B$8</f>
        <v>0.0495</v>
      </c>
      <c r="M26" s="12" t="n">
        <f aca="false">(1+L26/2)^2-1</f>
        <v>0.0501125625000001</v>
      </c>
      <c r="N26" s="13" t="n">
        <f aca="false">(1+M26)^(-A26)</f>
        <v>0.598444022241023</v>
      </c>
    </row>
    <row r="27" customFormat="false" ht="15" hidden="false" customHeight="false" outlineLevel="0" collapsed="false">
      <c r="A27" s="4" t="n">
        <v>11</v>
      </c>
      <c r="B27" s="9" t="n">
        <v>0.0376</v>
      </c>
      <c r="C27" s="9" t="n">
        <v>0.0497</v>
      </c>
      <c r="D27" s="10" t="n">
        <f aca="false">(C27-B27)*10000</f>
        <v>121</v>
      </c>
      <c r="E27" s="11" t="n">
        <f aca="false">MAX(0,C27-B27)*(1-Parametros!$B$5)</f>
        <v>0.0121</v>
      </c>
      <c r="F27" s="11" t="n">
        <f aca="false">B27+E27*Parametros!$B$6</f>
        <v>0.0497</v>
      </c>
      <c r="G27" s="12" t="n">
        <f aca="false">(1+F27/2)^2-1</f>
        <v>0.0503175225000001</v>
      </c>
      <c r="H27" s="13" t="n">
        <f aca="false">(1+G27)^(-A27)</f>
        <v>0.582737920807588</v>
      </c>
      <c r="I27" s="11" t="n">
        <f aca="false">B27+E27*Parametros!$B$7</f>
        <v>0.0497</v>
      </c>
      <c r="J27" s="12" t="n">
        <f aca="false">(1+I27/2)^2-1</f>
        <v>0.0503175225000001</v>
      </c>
      <c r="K27" s="13" t="n">
        <f aca="false">(1+J27)^(-A27)</f>
        <v>0.582737920807588</v>
      </c>
      <c r="L27" s="11" t="n">
        <f aca="false">B27+E27*Parametros!$B$8</f>
        <v>0.0497</v>
      </c>
      <c r="M27" s="12" t="n">
        <f aca="false">(1+L27/2)^2-1</f>
        <v>0.0503175225000001</v>
      </c>
      <c r="N27" s="13" t="n">
        <f aca="false">(1+M27)^(-A27)</f>
        <v>0.582737920807588</v>
      </c>
    </row>
    <row r="28" customFormat="false" ht="15" hidden="false" customHeight="false" outlineLevel="0" collapsed="false">
      <c r="A28" s="4" t="n">
        <v>11.5</v>
      </c>
      <c r="B28" s="9" t="n">
        <v>0.0377</v>
      </c>
      <c r="C28" s="9" t="n">
        <v>0.05</v>
      </c>
      <c r="D28" s="10" t="n">
        <f aca="false">(C28-B28)*10000</f>
        <v>123</v>
      </c>
      <c r="E28" s="11" t="n">
        <f aca="false">MAX(0,C28-B28)*(1-Parametros!$B$5)</f>
        <v>0.0123</v>
      </c>
      <c r="F28" s="11" t="n">
        <f aca="false">B28+E28*Parametros!$B$6</f>
        <v>0.05</v>
      </c>
      <c r="G28" s="12" t="n">
        <f aca="false">(1+F28/2)^2-1</f>
        <v>0.0506249999999999</v>
      </c>
      <c r="H28" s="13" t="n">
        <f aca="false">(1+G28)^(-A28)</f>
        <v>0.56669723804015</v>
      </c>
      <c r="I28" s="11" t="n">
        <f aca="false">B28+E28*Parametros!$B$7</f>
        <v>0.05</v>
      </c>
      <c r="J28" s="12" t="n">
        <f aca="false">(1+I28/2)^2-1</f>
        <v>0.0506249999999999</v>
      </c>
      <c r="K28" s="13" t="n">
        <f aca="false">(1+J28)^(-A28)</f>
        <v>0.56669723804015</v>
      </c>
      <c r="L28" s="11" t="n">
        <f aca="false">B28+E28*Parametros!$B$8</f>
        <v>0.05</v>
      </c>
      <c r="M28" s="12" t="n">
        <f aca="false">(1+L28/2)^2-1</f>
        <v>0.0506249999999999</v>
      </c>
      <c r="N28" s="13" t="n">
        <f aca="false">(1+M28)^(-A28)</f>
        <v>0.56669723804015</v>
      </c>
    </row>
    <row r="29" customFormat="false" ht="15" hidden="false" customHeight="false" outlineLevel="0" collapsed="false">
      <c r="A29" s="4" t="n">
        <v>12</v>
      </c>
      <c r="B29" s="9" t="n">
        <v>0.038</v>
      </c>
      <c r="C29" s="9" t="n">
        <v>0.0502</v>
      </c>
      <c r="D29" s="10" t="n">
        <f aca="false">(C29-B29)*10000</f>
        <v>122</v>
      </c>
      <c r="E29" s="11" t="n">
        <f aca="false">MAX(0,C29-B29)*(1-Parametros!$B$5)</f>
        <v>0.0122</v>
      </c>
      <c r="F29" s="11" t="n">
        <f aca="false">B29+E29*Parametros!$B$6</f>
        <v>0.0502</v>
      </c>
      <c r="G29" s="12" t="n">
        <f aca="false">(1+F29/2)^2-1</f>
        <v>0.0508300099999999</v>
      </c>
      <c r="H29" s="13" t="n">
        <f aca="false">(1+G29)^(-A29)</f>
        <v>0.551582394141037</v>
      </c>
      <c r="I29" s="11" t="n">
        <f aca="false">B29+E29*Parametros!$B$7</f>
        <v>0.0502</v>
      </c>
      <c r="J29" s="12" t="n">
        <f aca="false">(1+I29/2)^2-1</f>
        <v>0.0508300099999999</v>
      </c>
      <c r="K29" s="13" t="n">
        <f aca="false">(1+J29)^(-A29)</f>
        <v>0.551582394141037</v>
      </c>
      <c r="L29" s="11" t="n">
        <f aca="false">B29+E29*Parametros!$B$8</f>
        <v>0.0502</v>
      </c>
      <c r="M29" s="12" t="n">
        <f aca="false">(1+L29/2)^2-1</f>
        <v>0.0508300099999999</v>
      </c>
      <c r="N29" s="13" t="n">
        <f aca="false">(1+M29)^(-A29)</f>
        <v>0.551582394141037</v>
      </c>
    </row>
    <row r="30" customFormat="false" ht="15" hidden="false" customHeight="false" outlineLevel="0" collapsed="false">
      <c r="A30" s="4" t="n">
        <v>12.5</v>
      </c>
      <c r="B30" s="9" t="n">
        <v>0.0382</v>
      </c>
      <c r="C30" s="9" t="n">
        <v>0.0504</v>
      </c>
      <c r="D30" s="10" t="n">
        <f aca="false">(C30-B30)*10000</f>
        <v>122</v>
      </c>
      <c r="E30" s="11" t="n">
        <f aca="false">MAX(0,C30-B30)*(1-Parametros!$B$5)</f>
        <v>0.0122</v>
      </c>
      <c r="F30" s="11" t="n">
        <f aca="false">B30+E30*Parametros!$B$6</f>
        <v>0.0504</v>
      </c>
      <c r="G30" s="12" t="n">
        <f aca="false">(1+F30/2)^2-1</f>
        <v>0.0510350399999997</v>
      </c>
      <c r="H30" s="13" t="n">
        <f aca="false">(1+G30)^(-A30)</f>
        <v>0.536766078334129</v>
      </c>
      <c r="I30" s="11" t="n">
        <f aca="false">B30+E30*Parametros!$B$7</f>
        <v>0.0504</v>
      </c>
      <c r="J30" s="12" t="n">
        <f aca="false">(1+I30/2)^2-1</f>
        <v>0.0510350399999997</v>
      </c>
      <c r="K30" s="13" t="n">
        <f aca="false">(1+J30)^(-A30)</f>
        <v>0.536766078334129</v>
      </c>
      <c r="L30" s="11" t="n">
        <f aca="false">B30+E30*Parametros!$B$8</f>
        <v>0.0504</v>
      </c>
      <c r="M30" s="12" t="n">
        <f aca="false">(1+L30/2)^2-1</f>
        <v>0.0510350399999997</v>
      </c>
      <c r="N30" s="13" t="n">
        <f aca="false">(1+M30)^(-A30)</f>
        <v>0.536766078334129</v>
      </c>
    </row>
    <row r="31" customFormat="false" ht="15" hidden="false" customHeight="false" outlineLevel="0" collapsed="false">
      <c r="A31" s="4" t="n">
        <v>13</v>
      </c>
      <c r="B31" s="9" t="n">
        <v>0.0386</v>
      </c>
      <c r="C31" s="9" t="n">
        <v>0.0506</v>
      </c>
      <c r="D31" s="10" t="n">
        <f aca="false">(C31-B31)*10000</f>
        <v>120</v>
      </c>
      <c r="E31" s="11" t="n">
        <f aca="false">MAX(0,C31-B31)*(1-Parametros!$B$5)</f>
        <v>0.012</v>
      </c>
      <c r="F31" s="11" t="n">
        <f aca="false">B31+E31*Parametros!$B$6</f>
        <v>0.0506</v>
      </c>
      <c r="G31" s="12" t="n">
        <f aca="false">(1+F31/2)^2-1</f>
        <v>0.0512400900000003</v>
      </c>
      <c r="H31" s="13" t="n">
        <f aca="false">(1+G31)^(-A31)</f>
        <v>0.522245983131577</v>
      </c>
      <c r="I31" s="11" t="n">
        <f aca="false">B31+E31*Parametros!$B$7</f>
        <v>0.0506</v>
      </c>
      <c r="J31" s="12" t="n">
        <f aca="false">(1+I31/2)^2-1</f>
        <v>0.0512400900000003</v>
      </c>
      <c r="K31" s="13" t="n">
        <f aca="false">(1+J31)^(-A31)</f>
        <v>0.522245983131577</v>
      </c>
      <c r="L31" s="11" t="n">
        <f aca="false">B31+E31*Parametros!$B$8</f>
        <v>0.0506</v>
      </c>
      <c r="M31" s="12" t="n">
        <f aca="false">(1+L31/2)^2-1</f>
        <v>0.0512400900000003</v>
      </c>
      <c r="N31" s="13" t="n">
        <f aca="false">(1+M31)^(-A31)</f>
        <v>0.522245983131577</v>
      </c>
    </row>
    <row r="32" customFormat="false" ht="15" hidden="false" customHeight="false" outlineLevel="0" collapsed="false">
      <c r="A32" s="4" t="n">
        <v>13.5</v>
      </c>
      <c r="B32" s="9" t="n">
        <v>0.0389</v>
      </c>
      <c r="C32" s="9" t="n">
        <v>0.0507</v>
      </c>
      <c r="D32" s="10" t="n">
        <f aca="false">(C32-B32)*10000</f>
        <v>118</v>
      </c>
      <c r="E32" s="11" t="n">
        <f aca="false">MAX(0,C32-B32)*(1-Parametros!$B$5)</f>
        <v>0.0118</v>
      </c>
      <c r="F32" s="11" t="n">
        <f aca="false">B32+E32*Parametros!$B$6</f>
        <v>0.0507</v>
      </c>
      <c r="G32" s="12" t="n">
        <f aca="false">(1+F32/2)^2-1</f>
        <v>0.0513426225</v>
      </c>
      <c r="H32" s="13" t="n">
        <f aca="false">(1+G32)^(-A32)</f>
        <v>0.508688986114669</v>
      </c>
      <c r="I32" s="11" t="n">
        <f aca="false">B32+E32*Parametros!$B$7</f>
        <v>0.0507</v>
      </c>
      <c r="J32" s="12" t="n">
        <f aca="false">(1+I32/2)^2-1</f>
        <v>0.0513426225</v>
      </c>
      <c r="K32" s="13" t="n">
        <f aca="false">(1+J32)^(-A32)</f>
        <v>0.508688986114669</v>
      </c>
      <c r="L32" s="11" t="n">
        <f aca="false">B32+E32*Parametros!$B$8</f>
        <v>0.0507</v>
      </c>
      <c r="M32" s="12" t="n">
        <f aca="false">(1+L32/2)^2-1</f>
        <v>0.0513426225</v>
      </c>
      <c r="N32" s="13" t="n">
        <f aca="false">(1+M32)^(-A32)</f>
        <v>0.508688986114669</v>
      </c>
    </row>
    <row r="33" customFormat="false" ht="15" hidden="false" customHeight="false" outlineLevel="0" collapsed="false">
      <c r="A33" s="4" t="n">
        <v>14</v>
      </c>
      <c r="B33" s="9" t="n">
        <v>0.0393</v>
      </c>
      <c r="C33" s="9" t="n">
        <v>0.0508</v>
      </c>
      <c r="D33" s="10" t="n">
        <f aca="false">(C33-B33)*10000</f>
        <v>115</v>
      </c>
      <c r="E33" s="11" t="n">
        <f aca="false">MAX(0,C33-B33)*(1-Parametros!$B$5)</f>
        <v>0.0115</v>
      </c>
      <c r="F33" s="11" t="n">
        <f aca="false">B33+E33*Parametros!$B$6</f>
        <v>0.0508</v>
      </c>
      <c r="G33" s="12" t="n">
        <f aca="false">(1+F33/2)^2-1</f>
        <v>0.0514451600000001</v>
      </c>
      <c r="H33" s="13" t="n">
        <f aca="false">(1+G33)^(-A33)</f>
        <v>0.495435626306377</v>
      </c>
      <c r="I33" s="11" t="n">
        <f aca="false">B33+E33*Parametros!$B$7</f>
        <v>0.0508</v>
      </c>
      <c r="J33" s="12" t="n">
        <f aca="false">(1+I33/2)^2-1</f>
        <v>0.0514451600000001</v>
      </c>
      <c r="K33" s="13" t="n">
        <f aca="false">(1+J33)^(-A33)</f>
        <v>0.495435626306377</v>
      </c>
      <c r="L33" s="11" t="n">
        <f aca="false">B33+E33*Parametros!$B$8</f>
        <v>0.0508</v>
      </c>
      <c r="M33" s="12" t="n">
        <f aca="false">(1+L33/2)^2-1</f>
        <v>0.0514451600000001</v>
      </c>
      <c r="N33" s="13" t="n">
        <f aca="false">(1+M33)^(-A33)</f>
        <v>0.495435626306377</v>
      </c>
    </row>
    <row r="34" customFormat="false" ht="15" hidden="false" customHeight="false" outlineLevel="0" collapsed="false">
      <c r="A34" s="4" t="n">
        <v>14.5</v>
      </c>
      <c r="B34" s="9" t="n">
        <v>0.0397</v>
      </c>
      <c r="C34" s="9" t="n">
        <v>0.0509</v>
      </c>
      <c r="D34" s="10" t="n">
        <f aca="false">(C34-B34)*10000</f>
        <v>112</v>
      </c>
      <c r="E34" s="11" t="n">
        <f aca="false">MAX(0,C34-B34)*(1-Parametros!$B$5)</f>
        <v>0.0112</v>
      </c>
      <c r="F34" s="11" t="n">
        <f aca="false">B34+E34*Parametros!$B$6</f>
        <v>0.0509</v>
      </c>
      <c r="G34" s="12" t="n">
        <f aca="false">(1+F34/2)^2-1</f>
        <v>0.0515477025</v>
      </c>
      <c r="H34" s="13" t="n">
        <f aca="false">(1+G34)^(-A34)</f>
        <v>0.482480545853511</v>
      </c>
      <c r="I34" s="11" t="n">
        <f aca="false">B34+E34*Parametros!$B$7</f>
        <v>0.0509</v>
      </c>
      <c r="J34" s="12" t="n">
        <f aca="false">(1+I34/2)^2-1</f>
        <v>0.0515477025</v>
      </c>
      <c r="K34" s="13" t="n">
        <f aca="false">(1+J34)^(-A34)</f>
        <v>0.482480545853511</v>
      </c>
      <c r="L34" s="11" t="n">
        <f aca="false">B34+E34*Parametros!$B$8</f>
        <v>0.0509</v>
      </c>
      <c r="M34" s="12" t="n">
        <f aca="false">(1+L34/2)^2-1</f>
        <v>0.0515477025</v>
      </c>
      <c r="N34" s="13" t="n">
        <f aca="false">(1+M34)^(-A34)</f>
        <v>0.482480545853511</v>
      </c>
    </row>
    <row r="35" customFormat="false" ht="15" hidden="false" customHeight="false" outlineLevel="0" collapsed="false">
      <c r="A35" s="4" t="n">
        <v>15</v>
      </c>
      <c r="B35" s="9" t="n">
        <v>0.0401</v>
      </c>
      <c r="C35" s="9" t="n">
        <v>0.051</v>
      </c>
      <c r="D35" s="10" t="n">
        <f aca="false">(C35-B35)*10000</f>
        <v>109</v>
      </c>
      <c r="E35" s="11" t="n">
        <f aca="false">MAX(0,C35-B35)*(1-Parametros!$B$5)</f>
        <v>0.0109</v>
      </c>
      <c r="F35" s="11" t="n">
        <f aca="false">B35+E35*Parametros!$B$6</f>
        <v>0.051</v>
      </c>
      <c r="G35" s="12" t="n">
        <f aca="false">(1+F35/2)^2-1</f>
        <v>0.0516502500000002</v>
      </c>
      <c r="H35" s="13" t="n">
        <f aca="false">(1+G35)^(-A35)</f>
        <v>0.469818440410465</v>
      </c>
      <c r="I35" s="11" t="n">
        <f aca="false">B35+E35*Parametros!$B$7</f>
        <v>0.051</v>
      </c>
      <c r="J35" s="12" t="n">
        <f aca="false">(1+I35/2)^2-1</f>
        <v>0.0516502500000002</v>
      </c>
      <c r="K35" s="13" t="n">
        <f aca="false">(1+J35)^(-A35)</f>
        <v>0.469818440410465</v>
      </c>
      <c r="L35" s="11" t="n">
        <f aca="false">B35+E35*Parametros!$B$8</f>
        <v>0.051</v>
      </c>
      <c r="M35" s="12" t="n">
        <f aca="false">(1+L35/2)^2-1</f>
        <v>0.0516502500000002</v>
      </c>
      <c r="N35" s="13" t="n">
        <f aca="false">(1+M35)^(-A35)</f>
        <v>0.469818440410465</v>
      </c>
    </row>
    <row r="36" customFormat="false" ht="15" hidden="false" customHeight="false" outlineLevel="0" collapsed="false">
      <c r="A36" s="4" t="n">
        <v>15.5</v>
      </c>
      <c r="B36" s="9" t="n">
        <v>0.0405</v>
      </c>
      <c r="C36" s="9" t="n">
        <v>0.051</v>
      </c>
      <c r="D36" s="10" t="n">
        <f aca="false">(C36-B36)*10000</f>
        <v>105</v>
      </c>
      <c r="E36" s="11" t="n">
        <f aca="false">MAX(0,C36-B36)*(1-Parametros!$B$5)</f>
        <v>0.0105</v>
      </c>
      <c r="F36" s="11" t="n">
        <f aca="false">B36+E36*Parametros!$B$6</f>
        <v>0.051</v>
      </c>
      <c r="G36" s="12" t="n">
        <f aca="false">(1+F36/2)^2-1</f>
        <v>0.0516502500000002</v>
      </c>
      <c r="H36" s="13" t="n">
        <f aca="false">(1+G36)^(-A36)</f>
        <v>0.458135973096504</v>
      </c>
      <c r="I36" s="11" t="n">
        <f aca="false">B36+E36*Parametros!$B$7</f>
        <v>0.051</v>
      </c>
      <c r="J36" s="12" t="n">
        <f aca="false">(1+I36/2)^2-1</f>
        <v>0.0516502500000002</v>
      </c>
      <c r="K36" s="13" t="n">
        <f aca="false">(1+J36)^(-A36)</f>
        <v>0.458135973096504</v>
      </c>
      <c r="L36" s="11" t="n">
        <f aca="false">B36+E36*Parametros!$B$8</f>
        <v>0.051</v>
      </c>
      <c r="M36" s="12" t="n">
        <f aca="false">(1+L36/2)^2-1</f>
        <v>0.0516502500000002</v>
      </c>
      <c r="N36" s="13" t="n">
        <f aca="false">(1+M36)^(-A36)</f>
        <v>0.458135973096504</v>
      </c>
    </row>
    <row r="37" customFormat="false" ht="15" hidden="false" customHeight="false" outlineLevel="0" collapsed="false">
      <c r="A37" s="4" t="n">
        <v>16</v>
      </c>
      <c r="B37" s="9" t="n">
        <v>0.0409</v>
      </c>
      <c r="C37" s="9" t="n">
        <v>0.0511</v>
      </c>
      <c r="D37" s="10" t="n">
        <f aca="false">(C37-B37)*10000</f>
        <v>102</v>
      </c>
      <c r="E37" s="11" t="n">
        <f aca="false">MAX(0,C37-B37)*(1-Parametros!$B$5)</f>
        <v>0.0102</v>
      </c>
      <c r="F37" s="11" t="n">
        <f aca="false">B37+E37*Parametros!$B$6</f>
        <v>0.0511</v>
      </c>
      <c r="G37" s="12" t="n">
        <f aca="false">(1+F37/2)^2-1</f>
        <v>0.0517528025</v>
      </c>
      <c r="H37" s="13" t="n">
        <f aca="false">(1+G37)^(-A37)</f>
        <v>0.44604754501782</v>
      </c>
      <c r="I37" s="11" t="n">
        <f aca="false">B37+E37*Parametros!$B$7</f>
        <v>0.0511</v>
      </c>
      <c r="J37" s="12" t="n">
        <f aca="false">(1+I37/2)^2-1</f>
        <v>0.0517528025</v>
      </c>
      <c r="K37" s="13" t="n">
        <f aca="false">(1+J37)^(-A37)</f>
        <v>0.44604754501782</v>
      </c>
      <c r="L37" s="11" t="n">
        <f aca="false">B37+E37*Parametros!$B$8</f>
        <v>0.0511</v>
      </c>
      <c r="M37" s="12" t="n">
        <f aca="false">(1+L37/2)^2-1</f>
        <v>0.0517528025</v>
      </c>
      <c r="N37" s="13" t="n">
        <f aca="false">(1+M37)^(-A37)</f>
        <v>0.44604754501782</v>
      </c>
    </row>
    <row r="38" customFormat="false" ht="15" hidden="false" customHeight="false" outlineLevel="0" collapsed="false">
      <c r="A38" s="4" t="n">
        <v>16.5</v>
      </c>
      <c r="B38" s="9" t="n">
        <v>0.0413</v>
      </c>
      <c r="C38" s="9" t="n">
        <v>0.0511</v>
      </c>
      <c r="D38" s="10" t="n">
        <f aca="false">(C38-B38)*10000</f>
        <v>98</v>
      </c>
      <c r="E38" s="11" t="n">
        <f aca="false">MAX(0,C38-B38)*(1-Parametros!$B$5)</f>
        <v>0.0098</v>
      </c>
      <c r="F38" s="11" t="n">
        <f aca="false">B38+E38*Parametros!$B$6</f>
        <v>0.0511</v>
      </c>
      <c r="G38" s="12" t="n">
        <f aca="false">(1+F38/2)^2-1</f>
        <v>0.0517528025</v>
      </c>
      <c r="H38" s="13" t="n">
        <f aca="false">(1+G38)^(-A38)</f>
        <v>0.434934956869797</v>
      </c>
      <c r="I38" s="11" t="n">
        <f aca="false">B38+E38*Parametros!$B$7</f>
        <v>0.0511</v>
      </c>
      <c r="J38" s="12" t="n">
        <f aca="false">(1+I38/2)^2-1</f>
        <v>0.0517528025</v>
      </c>
      <c r="K38" s="13" t="n">
        <f aca="false">(1+J38)^(-A38)</f>
        <v>0.434934956869797</v>
      </c>
      <c r="L38" s="11" t="n">
        <f aca="false">B38+E38*Parametros!$B$8</f>
        <v>0.0511</v>
      </c>
      <c r="M38" s="12" t="n">
        <f aca="false">(1+L38/2)^2-1</f>
        <v>0.0517528025</v>
      </c>
      <c r="N38" s="13" t="n">
        <f aca="false">(1+M38)^(-A38)</f>
        <v>0.434934956869797</v>
      </c>
    </row>
    <row r="39" customFormat="false" ht="15" hidden="false" customHeight="false" outlineLevel="0" collapsed="false">
      <c r="A39" s="4" t="n">
        <v>17</v>
      </c>
      <c r="B39" s="9" t="n">
        <v>0.0417</v>
      </c>
      <c r="C39" s="9" t="n">
        <v>0.0511</v>
      </c>
      <c r="D39" s="10" t="n">
        <f aca="false">(C39-B39)*10000</f>
        <v>94</v>
      </c>
      <c r="E39" s="11" t="n">
        <f aca="false">MAX(0,C39-B39)*(1-Parametros!$B$5)</f>
        <v>0.0094</v>
      </c>
      <c r="F39" s="11" t="n">
        <f aca="false">B39+E39*Parametros!$B$6</f>
        <v>0.0511</v>
      </c>
      <c r="G39" s="12" t="n">
        <f aca="false">(1+F39/2)^2-1</f>
        <v>0.0517528025</v>
      </c>
      <c r="H39" s="13" t="n">
        <f aca="false">(1+G39)^(-A39)</f>
        <v>0.424099221753982</v>
      </c>
      <c r="I39" s="11" t="n">
        <f aca="false">B39+E39*Parametros!$B$7</f>
        <v>0.0511</v>
      </c>
      <c r="J39" s="12" t="n">
        <f aca="false">(1+I39/2)^2-1</f>
        <v>0.0517528025</v>
      </c>
      <c r="K39" s="13" t="n">
        <f aca="false">(1+J39)^(-A39)</f>
        <v>0.424099221753982</v>
      </c>
      <c r="L39" s="11" t="n">
        <f aca="false">B39+E39*Parametros!$B$8</f>
        <v>0.0511</v>
      </c>
      <c r="M39" s="12" t="n">
        <f aca="false">(1+L39/2)^2-1</f>
        <v>0.0517528025</v>
      </c>
      <c r="N39" s="13" t="n">
        <f aca="false">(1+M39)^(-A39)</f>
        <v>0.424099221753982</v>
      </c>
    </row>
    <row r="40" customFormat="false" ht="15" hidden="false" customHeight="false" outlineLevel="0" collapsed="false">
      <c r="A40" s="4" t="n">
        <v>17.5</v>
      </c>
      <c r="B40" s="9" t="n">
        <v>0.042</v>
      </c>
      <c r="C40" s="9" t="n">
        <v>0.0512</v>
      </c>
      <c r="D40" s="10" t="n">
        <f aca="false">(C40-B40)*10000</f>
        <v>92</v>
      </c>
      <c r="E40" s="11" t="n">
        <f aca="false">MAX(0,C40-B40)*(1-Parametros!$B$5)</f>
        <v>0.0092</v>
      </c>
      <c r="F40" s="11" t="n">
        <f aca="false">B40+E40*Parametros!$B$6</f>
        <v>0.0512</v>
      </c>
      <c r="G40" s="12" t="n">
        <f aca="false">(1+F40/2)^2-1</f>
        <v>0.0518553600000002</v>
      </c>
      <c r="H40" s="13" t="n">
        <f aca="false">(1+G40)^(-A40)</f>
        <v>0.412828407134613</v>
      </c>
      <c r="I40" s="11" t="n">
        <f aca="false">B40+E40*Parametros!$B$7</f>
        <v>0.0512</v>
      </c>
      <c r="J40" s="12" t="n">
        <f aca="false">(1+I40/2)^2-1</f>
        <v>0.0518553600000002</v>
      </c>
      <c r="K40" s="13" t="n">
        <f aca="false">(1+J40)^(-A40)</f>
        <v>0.412828407134613</v>
      </c>
      <c r="L40" s="11" t="n">
        <f aca="false">B40+E40*Parametros!$B$8</f>
        <v>0.0512</v>
      </c>
      <c r="M40" s="12" t="n">
        <f aca="false">(1+L40/2)^2-1</f>
        <v>0.0518553600000002</v>
      </c>
      <c r="N40" s="13" t="n">
        <f aca="false">(1+M40)^(-A40)</f>
        <v>0.412828407134613</v>
      </c>
    </row>
    <row r="41" customFormat="false" ht="15" hidden="false" customHeight="false" outlineLevel="0" collapsed="false">
      <c r="A41" s="4" t="n">
        <v>18</v>
      </c>
      <c r="B41" s="9" t="n">
        <v>0.0423</v>
      </c>
      <c r="C41" s="9" t="n">
        <v>0.0512</v>
      </c>
      <c r="D41" s="10" t="n">
        <f aca="false">(C41-B41)*10000</f>
        <v>89.0000000000001</v>
      </c>
      <c r="E41" s="11" t="n">
        <f aca="false">MAX(0,C41-B41)*(1-Parametros!$B$5)</f>
        <v>0.00890000000000001</v>
      </c>
      <c r="F41" s="11" t="n">
        <f aca="false">B41+E41*Parametros!$B$6</f>
        <v>0.0512</v>
      </c>
      <c r="G41" s="12" t="n">
        <f aca="false">(1+F41/2)^2-1</f>
        <v>0.0518553600000002</v>
      </c>
      <c r="H41" s="13" t="n">
        <f aca="false">(1+G41)^(-A41)</f>
        <v>0.402523797908164</v>
      </c>
      <c r="I41" s="11" t="n">
        <f aca="false">B41+E41*Parametros!$B$7</f>
        <v>0.0512</v>
      </c>
      <c r="J41" s="12" t="n">
        <f aca="false">(1+I41/2)^2-1</f>
        <v>0.0518553600000002</v>
      </c>
      <c r="K41" s="13" t="n">
        <f aca="false">(1+J41)^(-A41)</f>
        <v>0.402523797908164</v>
      </c>
      <c r="L41" s="11" t="n">
        <f aca="false">B41+E41*Parametros!$B$8</f>
        <v>0.0512</v>
      </c>
      <c r="M41" s="12" t="n">
        <f aca="false">(1+L41/2)^2-1</f>
        <v>0.0518553600000002</v>
      </c>
      <c r="N41" s="13" t="n">
        <f aca="false">(1+M41)^(-A41)</f>
        <v>0.402523797908164</v>
      </c>
    </row>
    <row r="42" customFormat="false" ht="15" hidden="false" customHeight="false" outlineLevel="0" collapsed="false">
      <c r="A42" s="4" t="n">
        <v>18.5</v>
      </c>
      <c r="B42" s="9" t="n">
        <v>0.0426</v>
      </c>
      <c r="C42" s="9" t="n">
        <v>0.0512</v>
      </c>
      <c r="D42" s="10" t="n">
        <f aca="false">(C42-B42)*10000</f>
        <v>86</v>
      </c>
      <c r="E42" s="11" t="n">
        <f aca="false">MAX(0,C42-B42)*(1-Parametros!$B$5)</f>
        <v>0.0086</v>
      </c>
      <c r="F42" s="11" t="n">
        <f aca="false">B42+E42*Parametros!$B$6</f>
        <v>0.0512</v>
      </c>
      <c r="G42" s="12" t="n">
        <f aca="false">(1+F42/2)^2-1</f>
        <v>0.0518553600000002</v>
      </c>
      <c r="H42" s="13" t="n">
        <f aca="false">(1+G42)^(-A42)</f>
        <v>0.392476402016541</v>
      </c>
      <c r="I42" s="11" t="n">
        <f aca="false">B42+E42*Parametros!$B$7</f>
        <v>0.0512</v>
      </c>
      <c r="J42" s="12" t="n">
        <f aca="false">(1+I42/2)^2-1</f>
        <v>0.0518553600000002</v>
      </c>
      <c r="K42" s="13" t="n">
        <f aca="false">(1+J42)^(-A42)</f>
        <v>0.392476402016541</v>
      </c>
      <c r="L42" s="11" t="n">
        <f aca="false">B42+E42*Parametros!$B$8</f>
        <v>0.0512</v>
      </c>
      <c r="M42" s="12" t="n">
        <f aca="false">(1+L42/2)^2-1</f>
        <v>0.0518553600000002</v>
      </c>
      <c r="N42" s="13" t="n">
        <f aca="false">(1+M42)^(-A42)</f>
        <v>0.392476402016541</v>
      </c>
    </row>
    <row r="43" customFormat="false" ht="15" hidden="false" customHeight="false" outlineLevel="0" collapsed="false">
      <c r="A43" s="4" t="n">
        <v>19</v>
      </c>
      <c r="B43" s="9" t="n">
        <v>0.0428</v>
      </c>
      <c r="C43" s="9" t="n">
        <v>0.0512</v>
      </c>
      <c r="D43" s="10" t="n">
        <f aca="false">(C43-B43)*10000</f>
        <v>84</v>
      </c>
      <c r="E43" s="11" t="n">
        <f aca="false">MAX(0,C43-B43)*(1-Parametros!$B$5)</f>
        <v>0.00840000000000001</v>
      </c>
      <c r="F43" s="11" t="n">
        <f aca="false">B43+E43*Parametros!$B$6</f>
        <v>0.0512</v>
      </c>
      <c r="G43" s="12" t="n">
        <f aca="false">(1+F43/2)^2-1</f>
        <v>0.0518553600000002</v>
      </c>
      <c r="H43" s="13" t="n">
        <f aca="false">(1+G43)^(-A43)</f>
        <v>0.382679799158094</v>
      </c>
      <c r="I43" s="11" t="n">
        <f aca="false">B43+E43*Parametros!$B$7</f>
        <v>0.0512</v>
      </c>
      <c r="J43" s="12" t="n">
        <f aca="false">(1+I43/2)^2-1</f>
        <v>0.0518553600000002</v>
      </c>
      <c r="K43" s="13" t="n">
        <f aca="false">(1+J43)^(-A43)</f>
        <v>0.382679799158094</v>
      </c>
      <c r="L43" s="11" t="n">
        <f aca="false">B43+E43*Parametros!$B$8</f>
        <v>0.0512</v>
      </c>
      <c r="M43" s="12" t="n">
        <f aca="false">(1+L43/2)^2-1</f>
        <v>0.0518553600000002</v>
      </c>
      <c r="N43" s="13" t="n">
        <f aca="false">(1+M43)^(-A43)</f>
        <v>0.382679799158094</v>
      </c>
    </row>
    <row r="44" customFormat="false" ht="15" hidden="false" customHeight="false" outlineLevel="0" collapsed="false">
      <c r="A44" s="4" t="n">
        <v>19.5</v>
      </c>
      <c r="B44" s="9" t="n">
        <v>0.0429</v>
      </c>
      <c r="C44" s="9" t="n">
        <v>0.0512</v>
      </c>
      <c r="D44" s="10" t="n">
        <f aca="false">(C44-B44)*10000</f>
        <v>83</v>
      </c>
      <c r="E44" s="11" t="n">
        <f aca="false">MAX(0,C44-B44)*(1-Parametros!$B$5)</f>
        <v>0.0083</v>
      </c>
      <c r="F44" s="11" t="n">
        <f aca="false">B44+E44*Parametros!$B$6</f>
        <v>0.0512</v>
      </c>
      <c r="G44" s="12" t="n">
        <f aca="false">(1+F44/2)^2-1</f>
        <v>0.0518553600000002</v>
      </c>
      <c r="H44" s="13" t="n">
        <f aca="false">(1+G44)^(-A44)</f>
        <v>0.373127729288313</v>
      </c>
      <c r="I44" s="11" t="n">
        <f aca="false">B44+E44*Parametros!$B$7</f>
        <v>0.0512</v>
      </c>
      <c r="J44" s="12" t="n">
        <f aca="false">(1+I44/2)^2-1</f>
        <v>0.0518553600000002</v>
      </c>
      <c r="K44" s="13" t="n">
        <f aca="false">(1+J44)^(-A44)</f>
        <v>0.373127729288313</v>
      </c>
      <c r="L44" s="11" t="n">
        <f aca="false">B44+E44*Parametros!$B$8</f>
        <v>0.0512</v>
      </c>
      <c r="M44" s="12" t="n">
        <f aca="false">(1+L44/2)^2-1</f>
        <v>0.0518553600000002</v>
      </c>
      <c r="N44" s="13" t="n">
        <f aca="false">(1+M44)^(-A44)</f>
        <v>0.373127729288313</v>
      </c>
    </row>
    <row r="45" customFormat="false" ht="15" hidden="false" customHeight="false" outlineLevel="0" collapsed="false">
      <c r="A45" s="4" t="n">
        <v>20</v>
      </c>
      <c r="B45" s="9" t="n">
        <v>0.043</v>
      </c>
      <c r="C45" s="9" t="n">
        <v>0.0511</v>
      </c>
      <c r="D45" s="10" t="n">
        <f aca="false">(C45-B45)*10000</f>
        <v>81</v>
      </c>
      <c r="E45" s="11" t="n">
        <f aca="false">MAX(0,C45-B45)*(1-Parametros!$B$5)</f>
        <v>0.0081</v>
      </c>
      <c r="F45" s="11" t="n">
        <f aca="false">B45+E45*Parametros!$B$6</f>
        <v>0.0511</v>
      </c>
      <c r="G45" s="12" t="n">
        <f aca="false">(1+F45/2)^2-1</f>
        <v>0.0517528025</v>
      </c>
      <c r="H45" s="13" t="n">
        <f aca="false">(1+G45)^(-A45)</f>
        <v>0.364524264006091</v>
      </c>
      <c r="I45" s="11" t="n">
        <f aca="false">B45+E45*Parametros!$B$7</f>
        <v>0.0511</v>
      </c>
      <c r="J45" s="12" t="n">
        <f aca="false">(1+I45/2)^2-1</f>
        <v>0.0517528025</v>
      </c>
      <c r="K45" s="13" t="n">
        <f aca="false">(1+J45)^(-A45)</f>
        <v>0.364524264006091</v>
      </c>
      <c r="L45" s="11" t="n">
        <f aca="false">B45+E45*Parametros!$B$8</f>
        <v>0.0511</v>
      </c>
      <c r="M45" s="12" t="n">
        <f aca="false">(1+L45/2)^2-1</f>
        <v>0.0517528025</v>
      </c>
      <c r="N45" s="13" t="n">
        <f aca="false">(1+M45)^(-A45)</f>
        <v>0.364524264006091</v>
      </c>
    </row>
    <row r="46" customFormat="false" ht="15" hidden="false" customHeight="false" outlineLevel="0" collapsed="false">
      <c r="A46" s="4" t="n">
        <v>20.5</v>
      </c>
      <c r="B46" s="9" t="n">
        <v>0.0431</v>
      </c>
      <c r="C46" s="9" t="n">
        <v>0.0511</v>
      </c>
      <c r="D46" s="10" t="n">
        <f aca="false">(C46-B46)*10000</f>
        <v>80</v>
      </c>
      <c r="E46" s="11" t="n">
        <f aca="false">MAX(0,C46-B46)*(1-Parametros!$B$5)</f>
        <v>0.008</v>
      </c>
      <c r="F46" s="11" t="n">
        <f aca="false">B46+E46*Parametros!$B$6</f>
        <v>0.0511</v>
      </c>
      <c r="G46" s="12" t="n">
        <f aca="false">(1+F46/2)^2-1</f>
        <v>0.0517528025</v>
      </c>
      <c r="H46" s="13" t="n">
        <f aca="false">(1+G46)^(-A46)</f>
        <v>0.355442702945825</v>
      </c>
      <c r="I46" s="11" t="n">
        <f aca="false">B46+E46*Parametros!$B$7</f>
        <v>0.0511</v>
      </c>
      <c r="J46" s="12" t="n">
        <f aca="false">(1+I46/2)^2-1</f>
        <v>0.0517528025</v>
      </c>
      <c r="K46" s="13" t="n">
        <f aca="false">(1+J46)^(-A46)</f>
        <v>0.355442702945825</v>
      </c>
      <c r="L46" s="11" t="n">
        <f aca="false">B46+E46*Parametros!$B$8</f>
        <v>0.0511</v>
      </c>
      <c r="M46" s="12" t="n">
        <f aca="false">(1+L46/2)^2-1</f>
        <v>0.0517528025</v>
      </c>
      <c r="N46" s="13" t="n">
        <f aca="false">(1+M46)^(-A46)</f>
        <v>0.355442702945825</v>
      </c>
    </row>
    <row r="47" customFormat="false" ht="15" hidden="false" customHeight="false" outlineLevel="0" collapsed="false">
      <c r="A47" s="4" t="n">
        <v>21</v>
      </c>
      <c r="B47" s="9" t="n">
        <v>0.043</v>
      </c>
      <c r="C47" s="9" t="n">
        <v>0.0511</v>
      </c>
      <c r="D47" s="10" t="n">
        <f aca="false">(C47-B47)*10000</f>
        <v>81</v>
      </c>
      <c r="E47" s="11" t="n">
        <f aca="false">MAX(0,C47-B47)*(1-Parametros!$B$5)</f>
        <v>0.0081</v>
      </c>
      <c r="F47" s="11" t="n">
        <f aca="false">B47+E47*Parametros!$B$6</f>
        <v>0.0511</v>
      </c>
      <c r="G47" s="12" t="n">
        <f aca="false">(1+F47/2)^2-1</f>
        <v>0.0517528025</v>
      </c>
      <c r="H47" s="13" t="n">
        <f aca="false">(1+G47)^(-A47)</f>
        <v>0.346587395003486</v>
      </c>
      <c r="I47" s="11" t="n">
        <f aca="false">B47+E47*Parametros!$B$7</f>
        <v>0.0511</v>
      </c>
      <c r="J47" s="12" t="n">
        <f aca="false">(1+I47/2)^2-1</f>
        <v>0.0517528025</v>
      </c>
      <c r="K47" s="13" t="n">
        <f aca="false">(1+J47)^(-A47)</f>
        <v>0.346587395003486</v>
      </c>
      <c r="L47" s="11" t="n">
        <f aca="false">B47+E47*Parametros!$B$8</f>
        <v>0.0511</v>
      </c>
      <c r="M47" s="12" t="n">
        <f aca="false">(1+L47/2)^2-1</f>
        <v>0.0517528025</v>
      </c>
      <c r="N47" s="13" t="n">
        <f aca="false">(1+M47)^(-A47)</f>
        <v>0.346587395003486</v>
      </c>
    </row>
    <row r="48" customFormat="false" ht="15" hidden="false" customHeight="false" outlineLevel="0" collapsed="false">
      <c r="A48" s="4" t="n">
        <v>21.5</v>
      </c>
      <c r="B48" s="9" t="n">
        <v>0.043</v>
      </c>
      <c r="C48" s="9" t="n">
        <v>0.0511</v>
      </c>
      <c r="D48" s="10" t="n">
        <f aca="false">(C48-B48)*10000</f>
        <v>81</v>
      </c>
      <c r="E48" s="11" t="n">
        <f aca="false">MAX(0,C48-B48)*(1-Parametros!$B$5)</f>
        <v>0.0081</v>
      </c>
      <c r="F48" s="11" t="n">
        <f aca="false">B48+E48*Parametros!$B$6</f>
        <v>0.0511</v>
      </c>
      <c r="G48" s="12" t="n">
        <f aca="false">(1+F48/2)^2-1</f>
        <v>0.0517528025</v>
      </c>
      <c r="H48" s="13" t="n">
        <f aca="false">(1+G48)^(-A48)</f>
        <v>0.337952703430829</v>
      </c>
      <c r="I48" s="11" t="n">
        <f aca="false">B48+E48*Parametros!$B$7</f>
        <v>0.0511</v>
      </c>
      <c r="J48" s="12" t="n">
        <f aca="false">(1+I48/2)^2-1</f>
        <v>0.0517528025</v>
      </c>
      <c r="K48" s="13" t="n">
        <f aca="false">(1+J48)^(-A48)</f>
        <v>0.337952703430829</v>
      </c>
      <c r="L48" s="11" t="n">
        <f aca="false">B48+E48*Parametros!$B$8</f>
        <v>0.0511</v>
      </c>
      <c r="M48" s="12" t="n">
        <f aca="false">(1+L48/2)^2-1</f>
        <v>0.0517528025</v>
      </c>
      <c r="N48" s="13" t="n">
        <f aca="false">(1+M48)^(-A48)</f>
        <v>0.337952703430829</v>
      </c>
    </row>
    <row r="49" customFormat="false" ht="15" hidden="false" customHeight="false" outlineLevel="0" collapsed="false">
      <c r="A49" s="4" t="n">
        <v>22</v>
      </c>
      <c r="B49" s="9" t="n">
        <v>0.0428</v>
      </c>
      <c r="C49" s="9" t="n">
        <v>0.0511</v>
      </c>
      <c r="D49" s="10" t="n">
        <f aca="false">(C49-B49)*10000</f>
        <v>83</v>
      </c>
      <c r="E49" s="11" t="n">
        <f aca="false">MAX(0,C49-B49)*(1-Parametros!$B$5)</f>
        <v>0.0083</v>
      </c>
      <c r="F49" s="11" t="n">
        <f aca="false">B49+E49*Parametros!$B$6</f>
        <v>0.0511</v>
      </c>
      <c r="G49" s="12" t="n">
        <f aca="false">(1+F49/2)^2-1</f>
        <v>0.0517528025</v>
      </c>
      <c r="H49" s="13" t="n">
        <f aca="false">(1+G49)^(-A49)</f>
        <v>0.329533131910515</v>
      </c>
      <c r="I49" s="11" t="n">
        <f aca="false">B49+E49*Parametros!$B$7</f>
        <v>0.0511</v>
      </c>
      <c r="J49" s="12" t="n">
        <f aca="false">(1+I49/2)^2-1</f>
        <v>0.0517528025</v>
      </c>
      <c r="K49" s="13" t="n">
        <f aca="false">(1+J49)^(-A49)</f>
        <v>0.329533131910515</v>
      </c>
      <c r="L49" s="11" t="n">
        <f aca="false">B49+E49*Parametros!$B$8</f>
        <v>0.0511</v>
      </c>
      <c r="M49" s="12" t="n">
        <f aca="false">(1+L49/2)^2-1</f>
        <v>0.0517528025</v>
      </c>
      <c r="N49" s="13" t="n">
        <f aca="false">(1+M49)^(-A49)</f>
        <v>0.329533131910515</v>
      </c>
    </row>
    <row r="50" customFormat="false" ht="15" hidden="false" customHeight="false" outlineLevel="0" collapsed="false">
      <c r="A50" s="4" t="n">
        <v>22.5</v>
      </c>
      <c r="B50" s="9" t="n">
        <v>0.0427</v>
      </c>
      <c r="C50" s="9" t="n">
        <v>0.0511</v>
      </c>
      <c r="D50" s="10" t="n">
        <f aca="false">(C50-B50)*10000</f>
        <v>84</v>
      </c>
      <c r="E50" s="11" t="n">
        <f aca="false">MAX(0,C50-B50)*(1-Parametros!$B$5)</f>
        <v>0.0084</v>
      </c>
      <c r="F50" s="11" t="n">
        <f aca="false">B50+E50*Parametros!$B$6</f>
        <v>0.0511</v>
      </c>
      <c r="G50" s="12" t="n">
        <f aca="false">(1+F50/2)^2-1</f>
        <v>0.0517528025</v>
      </c>
      <c r="H50" s="13" t="n">
        <f aca="false">(1+G50)^(-A50)</f>
        <v>0.321323321057496</v>
      </c>
      <c r="I50" s="11" t="n">
        <f aca="false">B50+E50*Parametros!$B$7</f>
        <v>0.0511</v>
      </c>
      <c r="J50" s="12" t="n">
        <f aca="false">(1+I50/2)^2-1</f>
        <v>0.0517528025</v>
      </c>
      <c r="K50" s="13" t="n">
        <f aca="false">(1+J50)^(-A50)</f>
        <v>0.321323321057496</v>
      </c>
      <c r="L50" s="11" t="n">
        <f aca="false">B50+E50*Parametros!$B$8</f>
        <v>0.0511</v>
      </c>
      <c r="M50" s="12" t="n">
        <f aca="false">(1+L50/2)^2-1</f>
        <v>0.0517528025</v>
      </c>
      <c r="N50" s="13" t="n">
        <f aca="false">(1+M50)^(-A50)</f>
        <v>0.321323321057496</v>
      </c>
    </row>
    <row r="51" customFormat="false" ht="15" hidden="false" customHeight="false" outlineLevel="0" collapsed="false">
      <c r="A51" s="4" t="n">
        <v>23</v>
      </c>
      <c r="B51" s="9" t="n">
        <v>0.0425</v>
      </c>
      <c r="C51" s="9" t="n">
        <v>0.0511</v>
      </c>
      <c r="D51" s="10" t="n">
        <f aca="false">(C51-B51)*10000</f>
        <v>86</v>
      </c>
      <c r="E51" s="11" t="n">
        <f aca="false">MAX(0,C51-B51)*(1-Parametros!$B$5)</f>
        <v>0.0086</v>
      </c>
      <c r="F51" s="11" t="n">
        <f aca="false">B51+E51*Parametros!$B$6</f>
        <v>0.0511</v>
      </c>
      <c r="G51" s="12" t="n">
        <f aca="false">(1+F51/2)^2-1</f>
        <v>0.0517528025</v>
      </c>
      <c r="H51" s="13" t="n">
        <f aca="false">(1+G51)^(-A51)</f>
        <v>0.313318045007553</v>
      </c>
      <c r="I51" s="11" t="n">
        <f aca="false">B51+E51*Parametros!$B$7</f>
        <v>0.0511</v>
      </c>
      <c r="J51" s="12" t="n">
        <f aca="false">(1+I51/2)^2-1</f>
        <v>0.0517528025</v>
      </c>
      <c r="K51" s="13" t="n">
        <f aca="false">(1+J51)^(-A51)</f>
        <v>0.313318045007553</v>
      </c>
      <c r="L51" s="11" t="n">
        <f aca="false">B51+E51*Parametros!$B$8</f>
        <v>0.0511</v>
      </c>
      <c r="M51" s="12" t="n">
        <f aca="false">(1+L51/2)^2-1</f>
        <v>0.0517528025</v>
      </c>
      <c r="N51" s="13" t="n">
        <f aca="false">(1+M51)^(-A51)</f>
        <v>0.313318045007553</v>
      </c>
    </row>
    <row r="52" customFormat="false" ht="15" hidden="false" customHeight="false" outlineLevel="0" collapsed="false">
      <c r="A52" s="4" t="n">
        <v>23.5</v>
      </c>
      <c r="B52" s="9" t="n">
        <v>0.0423</v>
      </c>
      <c r="C52" s="9" t="n">
        <v>0.0511</v>
      </c>
      <c r="D52" s="10" t="n">
        <f aca="false">(C52-B52)*10000</f>
        <v>88</v>
      </c>
      <c r="E52" s="11" t="n">
        <f aca="false">MAX(0,C52-B52)*(1-Parametros!$B$5)</f>
        <v>0.0088</v>
      </c>
      <c r="F52" s="11" t="n">
        <f aca="false">B52+E52*Parametros!$B$6</f>
        <v>0.0511</v>
      </c>
      <c r="G52" s="12" t="n">
        <f aca="false">(1+F52/2)^2-1</f>
        <v>0.0517528025</v>
      </c>
      <c r="H52" s="13" t="n">
        <f aca="false">(1+G52)^(-A52)</f>
        <v>0.305512208090832</v>
      </c>
      <c r="I52" s="11" t="n">
        <f aca="false">B52+E52*Parametros!$B$7</f>
        <v>0.0511</v>
      </c>
      <c r="J52" s="12" t="n">
        <f aca="false">(1+I52/2)^2-1</f>
        <v>0.0517528025</v>
      </c>
      <c r="K52" s="13" t="n">
        <f aca="false">(1+J52)^(-A52)</f>
        <v>0.305512208090832</v>
      </c>
      <c r="L52" s="11" t="n">
        <f aca="false">B52+E52*Parametros!$B$8</f>
        <v>0.0511</v>
      </c>
      <c r="M52" s="12" t="n">
        <f aca="false">(1+L52/2)^2-1</f>
        <v>0.0517528025</v>
      </c>
      <c r="N52" s="13" t="n">
        <f aca="false">(1+M52)^(-A52)</f>
        <v>0.305512208090832</v>
      </c>
    </row>
    <row r="53" customFormat="false" ht="15" hidden="false" customHeight="false" outlineLevel="0" collapsed="false">
      <c r="A53" s="4" t="n">
        <v>24</v>
      </c>
      <c r="B53" s="9" t="n">
        <v>0.0421</v>
      </c>
      <c r="C53" s="9" t="n">
        <v>0.0511</v>
      </c>
      <c r="D53" s="10" t="n">
        <f aca="false">(C53-B53)*10000</f>
        <v>90</v>
      </c>
      <c r="E53" s="11" t="n">
        <f aca="false">MAX(0,C53-B53)*(1-Parametros!$B$5)</f>
        <v>0.009</v>
      </c>
      <c r="F53" s="11" t="n">
        <f aca="false">B53+E53*Parametros!$B$6</f>
        <v>0.0511</v>
      </c>
      <c r="G53" s="12" t="n">
        <f aca="false">(1+F53/2)^2-1</f>
        <v>0.0517528025</v>
      </c>
      <c r="H53" s="13" t="n">
        <f aca="false">(1+G53)^(-A53)</f>
        <v>0.297900841588252</v>
      </c>
      <c r="I53" s="11" t="n">
        <f aca="false">B53+E53*Parametros!$B$7</f>
        <v>0.0511</v>
      </c>
      <c r="J53" s="12" t="n">
        <f aca="false">(1+I53/2)^2-1</f>
        <v>0.0517528025</v>
      </c>
      <c r="K53" s="13" t="n">
        <f aca="false">(1+J53)^(-A53)</f>
        <v>0.297900841588252</v>
      </c>
      <c r="L53" s="11" t="n">
        <f aca="false">B53+E53*Parametros!$B$8</f>
        <v>0.0511</v>
      </c>
      <c r="M53" s="12" t="n">
        <f aca="false">(1+L53/2)^2-1</f>
        <v>0.0517528025</v>
      </c>
      <c r="N53" s="13" t="n">
        <f aca="false">(1+M53)^(-A53)</f>
        <v>0.297900841588252</v>
      </c>
    </row>
    <row r="54" customFormat="false" ht="15" hidden="false" customHeight="false" outlineLevel="0" collapsed="false">
      <c r="A54" s="4" t="n">
        <v>24.5</v>
      </c>
      <c r="B54" s="9" t="n">
        <v>0.0419</v>
      </c>
      <c r="C54" s="9" t="n">
        <v>0.0511</v>
      </c>
      <c r="D54" s="10" t="n">
        <f aca="false">(C54-B54)*10000</f>
        <v>92</v>
      </c>
      <c r="E54" s="11" t="n">
        <f aca="false">MAX(0,C54-B54)*(1-Parametros!$B$5)</f>
        <v>0.0092</v>
      </c>
      <c r="F54" s="11" t="n">
        <f aca="false">B54+E54*Parametros!$B$6</f>
        <v>0.0511</v>
      </c>
      <c r="G54" s="12" t="n">
        <f aca="false">(1+F54/2)^2-1</f>
        <v>0.0517528025</v>
      </c>
      <c r="H54" s="13" t="n">
        <f aca="false">(1+G54)^(-A54)</f>
        <v>0.290479100568721</v>
      </c>
      <c r="I54" s="11" t="n">
        <f aca="false">B54+E54*Parametros!$B$7</f>
        <v>0.0511</v>
      </c>
      <c r="J54" s="12" t="n">
        <f aca="false">(1+I54/2)^2-1</f>
        <v>0.0517528025</v>
      </c>
      <c r="K54" s="13" t="n">
        <f aca="false">(1+J54)^(-A54)</f>
        <v>0.290479100568721</v>
      </c>
      <c r="L54" s="11" t="n">
        <f aca="false">B54+E54*Parametros!$B$8</f>
        <v>0.0511</v>
      </c>
      <c r="M54" s="12" t="n">
        <f aca="false">(1+L54/2)^2-1</f>
        <v>0.0517528025</v>
      </c>
      <c r="N54" s="13" t="n">
        <f aca="false">(1+M54)^(-A54)</f>
        <v>0.290479100568721</v>
      </c>
    </row>
    <row r="55" customFormat="false" ht="15" hidden="false" customHeight="false" outlineLevel="0" collapsed="false">
      <c r="A55" s="4" t="n">
        <v>25</v>
      </c>
      <c r="B55" s="9" t="n">
        <v>0.0416</v>
      </c>
      <c r="C55" s="9" t="n">
        <v>0.0511</v>
      </c>
      <c r="D55" s="10" t="n">
        <f aca="false">(C55-B55)*10000</f>
        <v>95</v>
      </c>
      <c r="E55" s="11" t="n">
        <f aca="false">MAX(0,C55-B55)*(1-Parametros!$B$5)</f>
        <v>0.0095</v>
      </c>
      <c r="F55" s="11" t="n">
        <f aca="false">B55+E55*Parametros!$B$6</f>
        <v>0.0511</v>
      </c>
      <c r="G55" s="12" t="n">
        <f aca="false">(1+F55/2)^2-1</f>
        <v>0.0517528025</v>
      </c>
      <c r="H55" s="13" t="n">
        <f aca="false">(1+G55)^(-A55)</f>
        <v>0.28324226080515</v>
      </c>
      <c r="I55" s="11" t="n">
        <f aca="false">B55+E55*Parametros!$B$7</f>
        <v>0.0511</v>
      </c>
      <c r="J55" s="12" t="n">
        <f aca="false">(1+I55/2)^2-1</f>
        <v>0.0517528025</v>
      </c>
      <c r="K55" s="13" t="n">
        <f aca="false">(1+J55)^(-A55)</f>
        <v>0.28324226080515</v>
      </c>
      <c r="L55" s="11" t="n">
        <f aca="false">B55+E55*Parametros!$B$8</f>
        <v>0.0511</v>
      </c>
      <c r="M55" s="12" t="n">
        <f aca="false">(1+L55/2)^2-1</f>
        <v>0.0517528025</v>
      </c>
      <c r="N55" s="13" t="n">
        <f aca="false">(1+M55)^(-A55)</f>
        <v>0.28324226080515</v>
      </c>
    </row>
    <row r="56" customFormat="false" ht="15" hidden="false" customHeight="false" outlineLevel="0" collapsed="false">
      <c r="A56" s="4" t="n">
        <v>25.5</v>
      </c>
      <c r="B56" s="9" t="n">
        <v>0.0414</v>
      </c>
      <c r="C56" s="9" t="n">
        <v>0.051</v>
      </c>
      <c r="D56" s="10" t="n">
        <f aca="false">(C56-B56)*10000</f>
        <v>96</v>
      </c>
      <c r="E56" s="11" t="n">
        <f aca="false">MAX(0,C56-B56)*(1-Parametros!$B$5)</f>
        <v>0.0096</v>
      </c>
      <c r="F56" s="11" t="n">
        <f aca="false">B56+E56*Parametros!$B$6</f>
        <v>0.051</v>
      </c>
      <c r="G56" s="12" t="n">
        <f aca="false">(1+F56/2)^2-1</f>
        <v>0.0516502500000002</v>
      </c>
      <c r="H56" s="13" t="n">
        <f aca="false">(1+G56)^(-A56)</f>
        <v>0.27687331470508</v>
      </c>
      <c r="I56" s="11" t="n">
        <f aca="false">B56+E56*Parametros!$B$7</f>
        <v>0.051</v>
      </c>
      <c r="J56" s="12" t="n">
        <f aca="false">(1+I56/2)^2-1</f>
        <v>0.0516502500000002</v>
      </c>
      <c r="K56" s="13" t="n">
        <f aca="false">(1+J56)^(-A56)</f>
        <v>0.27687331470508</v>
      </c>
      <c r="L56" s="11" t="n">
        <f aca="false">B56+E56*Parametros!$B$8</f>
        <v>0.051</v>
      </c>
      <c r="M56" s="12" t="n">
        <f aca="false">(1+L56/2)^2-1</f>
        <v>0.0516502500000002</v>
      </c>
      <c r="N56" s="13" t="n">
        <f aca="false">(1+M56)^(-A56)</f>
        <v>0.27687331470508</v>
      </c>
    </row>
    <row r="57" customFormat="false" ht="15" hidden="false" customHeight="false" outlineLevel="0" collapsed="false">
      <c r="A57" s="4" t="n">
        <v>26</v>
      </c>
      <c r="B57" s="9" t="n">
        <v>0.0412</v>
      </c>
      <c r="C57" s="9" t="n">
        <v>0.051</v>
      </c>
      <c r="D57" s="10" t="n">
        <f aca="false">(C57-B57)*10000</f>
        <v>98</v>
      </c>
      <c r="E57" s="11" t="n">
        <f aca="false">MAX(0,C57-B57)*(1-Parametros!$B$5)</f>
        <v>0.0098</v>
      </c>
      <c r="F57" s="11" t="n">
        <f aca="false">B57+E57*Parametros!$B$6</f>
        <v>0.051</v>
      </c>
      <c r="G57" s="12" t="n">
        <f aca="false">(1+F57/2)^2-1</f>
        <v>0.0516502500000002</v>
      </c>
      <c r="H57" s="13" t="n">
        <f aca="false">(1+G57)^(-A57)</f>
        <v>0.269988605270678</v>
      </c>
      <c r="I57" s="11" t="n">
        <f aca="false">B57+E57*Parametros!$B$7</f>
        <v>0.051</v>
      </c>
      <c r="J57" s="12" t="n">
        <f aca="false">(1+I57/2)^2-1</f>
        <v>0.0516502500000002</v>
      </c>
      <c r="K57" s="13" t="n">
        <f aca="false">(1+J57)^(-A57)</f>
        <v>0.269988605270678</v>
      </c>
      <c r="L57" s="11" t="n">
        <f aca="false">B57+E57*Parametros!$B$8</f>
        <v>0.051</v>
      </c>
      <c r="M57" s="12" t="n">
        <f aca="false">(1+L57/2)^2-1</f>
        <v>0.0516502500000002</v>
      </c>
      <c r="N57" s="13" t="n">
        <f aca="false">(1+M57)^(-A57)</f>
        <v>0.269988605270678</v>
      </c>
    </row>
    <row r="58" customFormat="false" ht="15" hidden="false" customHeight="false" outlineLevel="0" collapsed="false">
      <c r="A58" s="4" t="n">
        <v>26.5</v>
      </c>
      <c r="B58" s="9" t="n">
        <v>0.041</v>
      </c>
      <c r="C58" s="9" t="n">
        <v>0.051</v>
      </c>
      <c r="D58" s="10" t="n">
        <f aca="false">(C58-B58)*10000</f>
        <v>99.9999999999999</v>
      </c>
      <c r="E58" s="11" t="n">
        <f aca="false">MAX(0,C58-B58)*(1-Parametros!$B$5)</f>
        <v>0.01</v>
      </c>
      <c r="F58" s="11" t="n">
        <f aca="false">B58+E58*Parametros!$B$6</f>
        <v>0.051</v>
      </c>
      <c r="G58" s="12" t="n">
        <f aca="false">(1+F58/2)^2-1</f>
        <v>0.0516502500000002</v>
      </c>
      <c r="H58" s="13" t="n">
        <f aca="false">(1+G58)^(-A58)</f>
        <v>0.26327509046385</v>
      </c>
      <c r="I58" s="11" t="n">
        <f aca="false">B58+E58*Parametros!$B$7</f>
        <v>0.051</v>
      </c>
      <c r="J58" s="12" t="n">
        <f aca="false">(1+I58/2)^2-1</f>
        <v>0.0516502500000002</v>
      </c>
      <c r="K58" s="13" t="n">
        <f aca="false">(1+J58)^(-A58)</f>
        <v>0.26327509046385</v>
      </c>
      <c r="L58" s="11" t="n">
        <f aca="false">B58+E58*Parametros!$B$8</f>
        <v>0.051</v>
      </c>
      <c r="M58" s="12" t="n">
        <f aca="false">(1+L58/2)^2-1</f>
        <v>0.0516502500000002</v>
      </c>
      <c r="N58" s="13" t="n">
        <f aca="false">(1+M58)^(-A58)</f>
        <v>0.26327509046385</v>
      </c>
    </row>
    <row r="59" customFormat="false" ht="15" hidden="false" customHeight="false" outlineLevel="0" collapsed="false">
      <c r="A59" s="4" t="n">
        <v>27</v>
      </c>
      <c r="B59" s="9" t="n">
        <v>0.0408</v>
      </c>
      <c r="C59" s="9" t="n">
        <v>0.051</v>
      </c>
      <c r="D59" s="10" t="n">
        <f aca="false">(C59-B59)*10000</f>
        <v>102</v>
      </c>
      <c r="E59" s="11" t="n">
        <f aca="false">MAX(0,C59-B59)*(1-Parametros!$B$5)</f>
        <v>0.0102</v>
      </c>
      <c r="F59" s="11" t="n">
        <f aca="false">B59+E59*Parametros!$B$6</f>
        <v>0.051</v>
      </c>
      <c r="G59" s="12" t="n">
        <f aca="false">(1+F59/2)^2-1</f>
        <v>0.0516502500000002</v>
      </c>
      <c r="H59" s="13" t="n">
        <f aca="false">(1+G59)^(-A59)</f>
        <v>0.256728513372842</v>
      </c>
      <c r="I59" s="11" t="n">
        <f aca="false">B59+E59*Parametros!$B$7</f>
        <v>0.051</v>
      </c>
      <c r="J59" s="12" t="n">
        <f aca="false">(1+I59/2)^2-1</f>
        <v>0.0516502500000002</v>
      </c>
      <c r="K59" s="13" t="n">
        <f aca="false">(1+J59)^(-A59)</f>
        <v>0.256728513372842</v>
      </c>
      <c r="L59" s="11" t="n">
        <f aca="false">B59+E59*Parametros!$B$8</f>
        <v>0.051</v>
      </c>
      <c r="M59" s="12" t="n">
        <f aca="false">(1+L59/2)^2-1</f>
        <v>0.0516502500000002</v>
      </c>
      <c r="N59" s="13" t="n">
        <f aca="false">(1+M59)^(-A59)</f>
        <v>0.256728513372842</v>
      </c>
    </row>
    <row r="60" customFormat="false" ht="15" hidden="false" customHeight="false" outlineLevel="0" collapsed="false">
      <c r="A60" s="4" t="n">
        <v>27.5</v>
      </c>
      <c r="B60" s="9" t="n">
        <v>0.0407</v>
      </c>
      <c r="C60" s="9" t="n">
        <v>0.051</v>
      </c>
      <c r="D60" s="10" t="n">
        <f aca="false">(C60-B60)*10000</f>
        <v>103</v>
      </c>
      <c r="E60" s="11" t="n">
        <f aca="false">MAX(0,C60-B60)*(1-Parametros!$B$5)</f>
        <v>0.0103</v>
      </c>
      <c r="F60" s="11" t="n">
        <f aca="false">B60+E60*Parametros!$B$6</f>
        <v>0.051</v>
      </c>
      <c r="G60" s="12" t="n">
        <f aca="false">(1+F60/2)^2-1</f>
        <v>0.0516502500000002</v>
      </c>
      <c r="H60" s="13" t="n">
        <f aca="false">(1+G60)^(-A60)</f>
        <v>0.250344722937925</v>
      </c>
      <c r="I60" s="11" t="n">
        <f aca="false">B60+E60*Parametros!$B$7</f>
        <v>0.051</v>
      </c>
      <c r="J60" s="12" t="n">
        <f aca="false">(1+I60/2)^2-1</f>
        <v>0.0516502500000002</v>
      </c>
      <c r="K60" s="13" t="n">
        <f aca="false">(1+J60)^(-A60)</f>
        <v>0.250344722937925</v>
      </c>
      <c r="L60" s="11" t="n">
        <f aca="false">B60+E60*Parametros!$B$8</f>
        <v>0.051</v>
      </c>
      <c r="M60" s="12" t="n">
        <f aca="false">(1+L60/2)^2-1</f>
        <v>0.0516502500000002</v>
      </c>
      <c r="N60" s="13" t="n">
        <f aca="false">(1+M60)^(-A60)</f>
        <v>0.250344722937925</v>
      </c>
    </row>
    <row r="61" customFormat="false" ht="15" hidden="false" customHeight="false" outlineLevel="0" collapsed="false">
      <c r="A61" s="4" t="n">
        <v>28</v>
      </c>
      <c r="B61" s="9" t="n">
        <v>0.0405</v>
      </c>
      <c r="C61" s="9" t="n">
        <v>0.051</v>
      </c>
      <c r="D61" s="10" t="n">
        <f aca="false">(C61-B61)*10000</f>
        <v>105</v>
      </c>
      <c r="E61" s="11" t="n">
        <f aca="false">MAX(0,C61-B61)*(1-Parametros!$B$5)</f>
        <v>0.0105</v>
      </c>
      <c r="F61" s="11" t="n">
        <f aca="false">B61+E61*Parametros!$B$6</f>
        <v>0.051</v>
      </c>
      <c r="G61" s="12" t="n">
        <f aca="false">(1+F61/2)^2-1</f>
        <v>0.0516502500000002</v>
      </c>
      <c r="H61" s="13" t="n">
        <f aca="false">(1+G61)^(-A61)</f>
        <v>0.244119671319283</v>
      </c>
      <c r="I61" s="11" t="n">
        <f aca="false">B61+E61*Parametros!$B$7</f>
        <v>0.051</v>
      </c>
      <c r="J61" s="12" t="n">
        <f aca="false">(1+I61/2)^2-1</f>
        <v>0.0516502500000002</v>
      </c>
      <c r="K61" s="13" t="n">
        <f aca="false">(1+J61)^(-A61)</f>
        <v>0.244119671319283</v>
      </c>
      <c r="L61" s="11" t="n">
        <f aca="false">B61+E61*Parametros!$B$8</f>
        <v>0.051</v>
      </c>
      <c r="M61" s="12" t="n">
        <f aca="false">(1+L61/2)^2-1</f>
        <v>0.0516502500000002</v>
      </c>
      <c r="N61" s="13" t="n">
        <f aca="false">(1+M61)^(-A61)</f>
        <v>0.244119671319283</v>
      </c>
    </row>
    <row r="62" customFormat="false" ht="15" hidden="false" customHeight="false" outlineLevel="0" collapsed="false">
      <c r="A62" s="4" t="n">
        <v>28.5</v>
      </c>
      <c r="B62" s="9" t="n">
        <v>0.0404</v>
      </c>
      <c r="C62" s="9" t="n">
        <v>0.051</v>
      </c>
      <c r="D62" s="10" t="n">
        <f aca="false">(C62-B62)*10000</f>
        <v>106</v>
      </c>
      <c r="E62" s="11" t="n">
        <f aca="false">MAX(0,C62-B62)*(1-Parametros!$B$5)</f>
        <v>0.0106</v>
      </c>
      <c r="F62" s="11" t="n">
        <f aca="false">B62+E62*Parametros!$B$6</f>
        <v>0.051</v>
      </c>
      <c r="G62" s="12" t="n">
        <f aca="false">(1+F62/2)^2-1</f>
        <v>0.0516502500000002</v>
      </c>
      <c r="H62" s="13" t="n">
        <f aca="false">(1+G62)^(-A62)</f>
        <v>0.238049411330359</v>
      </c>
      <c r="I62" s="11" t="n">
        <f aca="false">B62+E62*Parametros!$B$7</f>
        <v>0.051</v>
      </c>
      <c r="J62" s="12" t="n">
        <f aca="false">(1+I62/2)^2-1</f>
        <v>0.0516502500000002</v>
      </c>
      <c r="K62" s="13" t="n">
        <f aca="false">(1+J62)^(-A62)</f>
        <v>0.238049411330359</v>
      </c>
      <c r="L62" s="11" t="n">
        <f aca="false">B62+E62*Parametros!$B$8</f>
        <v>0.051</v>
      </c>
      <c r="M62" s="12" t="n">
        <f aca="false">(1+L62/2)^2-1</f>
        <v>0.0516502500000002</v>
      </c>
      <c r="N62" s="13" t="n">
        <f aca="false">(1+M62)^(-A62)</f>
        <v>0.238049411330359</v>
      </c>
    </row>
    <row r="63" customFormat="false" ht="15" hidden="false" customHeight="false" outlineLevel="0" collapsed="false">
      <c r="A63" s="4" t="n">
        <v>29</v>
      </c>
      <c r="B63" s="9" t="n">
        <v>0.0404</v>
      </c>
      <c r="C63" s="9" t="n">
        <v>0.051</v>
      </c>
      <c r="D63" s="10" t="n">
        <f aca="false">(C63-B63)*10000</f>
        <v>106</v>
      </c>
      <c r="E63" s="11" t="n">
        <f aca="false">MAX(0,C63-B63)*(1-Parametros!$B$5)</f>
        <v>0.0106</v>
      </c>
      <c r="F63" s="11" t="n">
        <f aca="false">B63+E63*Parametros!$B$6</f>
        <v>0.051</v>
      </c>
      <c r="G63" s="12" t="n">
        <f aca="false">(1+F63/2)^2-1</f>
        <v>0.0516502500000002</v>
      </c>
      <c r="H63" s="13" t="n">
        <f aca="false">(1+G63)^(-A63)</f>
        <v>0.232130093935016</v>
      </c>
      <c r="I63" s="11" t="n">
        <f aca="false">B63+E63*Parametros!$B$7</f>
        <v>0.051</v>
      </c>
      <c r="J63" s="12" t="n">
        <f aca="false">(1+I63/2)^2-1</f>
        <v>0.0516502500000002</v>
      </c>
      <c r="K63" s="13" t="n">
        <f aca="false">(1+J63)^(-A63)</f>
        <v>0.232130093935016</v>
      </c>
      <c r="L63" s="11" t="n">
        <f aca="false">B63+E63*Parametros!$B$8</f>
        <v>0.051</v>
      </c>
      <c r="M63" s="12" t="n">
        <f aca="false">(1+L63/2)^2-1</f>
        <v>0.0516502500000002</v>
      </c>
      <c r="N63" s="13" t="n">
        <f aca="false">(1+M63)^(-A63)</f>
        <v>0.232130093935016</v>
      </c>
    </row>
    <row r="64" customFormat="false" ht="15" hidden="false" customHeight="false" outlineLevel="0" collapsed="false">
      <c r="A64" s="4" t="n">
        <v>29.5</v>
      </c>
      <c r="B64" s="9" t="n">
        <v>0.0404</v>
      </c>
      <c r="C64" s="9" t="n">
        <v>0.051</v>
      </c>
      <c r="D64" s="10" t="n">
        <f aca="false">(C64-B64)*10000</f>
        <v>106</v>
      </c>
      <c r="E64" s="11" t="n">
        <f aca="false">MAX(0,C64-B64)*(1-Parametros!$B$5)</f>
        <v>0.0106</v>
      </c>
      <c r="F64" s="11" t="n">
        <f aca="false">B64+E64*Parametros!$B$6</f>
        <v>0.051</v>
      </c>
      <c r="G64" s="12" t="n">
        <f aca="false">(1+F64/2)^2-1</f>
        <v>0.0516502500000002</v>
      </c>
      <c r="H64" s="13" t="n">
        <f aca="false">(1+G64)^(-A64)</f>
        <v>0.226357965806939</v>
      </c>
      <c r="I64" s="11" t="n">
        <f aca="false">B64+E64*Parametros!$B$7</f>
        <v>0.051</v>
      </c>
      <c r="J64" s="12" t="n">
        <f aca="false">(1+I64/2)^2-1</f>
        <v>0.0516502500000002</v>
      </c>
      <c r="K64" s="13" t="n">
        <f aca="false">(1+J64)^(-A64)</f>
        <v>0.226357965806939</v>
      </c>
      <c r="L64" s="11" t="n">
        <f aca="false">B64+E64*Parametros!$B$8</f>
        <v>0.051</v>
      </c>
      <c r="M64" s="12" t="n">
        <f aca="false">(1+L64/2)^2-1</f>
        <v>0.0516502500000002</v>
      </c>
      <c r="N64" s="13" t="n">
        <f aca="false">(1+M64)^(-A64)</f>
        <v>0.226357965806939</v>
      </c>
    </row>
    <row r="65" customFormat="false" ht="15" hidden="false" customHeight="false" outlineLevel="0" collapsed="false">
      <c r="A65" s="4" t="n">
        <v>30</v>
      </c>
      <c r="B65" s="9" t="n">
        <v>0.0404</v>
      </c>
      <c r="C65" s="9" t="n">
        <v>0.051</v>
      </c>
      <c r="D65" s="10" t="n">
        <f aca="false">(C65-B65)*10000</f>
        <v>106</v>
      </c>
      <c r="E65" s="11" t="n">
        <f aca="false">MAX(0,C65-B65)*(1-Parametros!$B$5)</f>
        <v>0.0106</v>
      </c>
      <c r="F65" s="11" t="n">
        <f aca="false">B65+E65*Parametros!$B$6</f>
        <v>0.051</v>
      </c>
      <c r="G65" s="12" t="n">
        <f aca="false">(1+F65/2)^2-1</f>
        <v>0.0516502500000002</v>
      </c>
      <c r="H65" s="13" t="n">
        <f aca="false">(1+G65)^(-A65)</f>
        <v>0.220729366949721</v>
      </c>
      <c r="I65" s="11" t="n">
        <f aca="false">B65+E65*Parametros!$B$7</f>
        <v>0.051</v>
      </c>
      <c r="J65" s="12" t="n">
        <f aca="false">(1+I65/2)^2-1</f>
        <v>0.0516502500000002</v>
      </c>
      <c r="K65" s="13" t="n">
        <f aca="false">(1+J65)^(-A65)</f>
        <v>0.220729366949721</v>
      </c>
      <c r="L65" s="11" t="n">
        <f aca="false">B65+E65*Parametros!$B$8</f>
        <v>0.051</v>
      </c>
      <c r="M65" s="12" t="n">
        <f aca="false">(1+L65/2)^2-1</f>
        <v>0.0516502500000002</v>
      </c>
      <c r="N65" s="13" t="n">
        <f aca="false">(1+M65)^(-A65)</f>
        <v>0.220729366949721</v>
      </c>
    </row>
    <row r="66" customFormat="false" ht="15" hidden="false" customHeight="false" outlineLevel="0" collapsed="false">
      <c r="A66" s="4" t="n">
        <v>30.5</v>
      </c>
      <c r="B66" s="9" t="n">
        <v>0.0405</v>
      </c>
      <c r="C66" s="9" t="n">
        <v>0.051</v>
      </c>
      <c r="D66" s="10" t="n">
        <f aca="false">(C66-B66)*10000</f>
        <v>105</v>
      </c>
      <c r="E66" s="11" t="n">
        <f aca="false">MAX(0,C66-B66)*(1-Parametros!$B$5)</f>
        <v>0.0105</v>
      </c>
      <c r="F66" s="11" t="n">
        <f aca="false">B66+E66*Parametros!$B$6</f>
        <v>0.051</v>
      </c>
      <c r="G66" s="12" t="n">
        <f aca="false">(1+F66/2)^2-1</f>
        <v>0.0516502500000002</v>
      </c>
      <c r="H66" s="13" t="n">
        <f aca="false">(1+G66)^(-A66)</f>
        <v>0.21524072837613</v>
      </c>
      <c r="I66" s="11" t="n">
        <f aca="false">B66+E66*Parametros!$B$7</f>
        <v>0.051</v>
      </c>
      <c r="J66" s="12" t="n">
        <f aca="false">(1+I66/2)^2-1</f>
        <v>0.0516502500000002</v>
      </c>
      <c r="K66" s="13" t="n">
        <f aca="false">(1+J66)^(-A66)</f>
        <v>0.21524072837613</v>
      </c>
      <c r="L66" s="11" t="n">
        <f aca="false">B66+E66*Parametros!$B$8</f>
        <v>0.051</v>
      </c>
      <c r="M66" s="12" t="n">
        <f aca="false">(1+L66/2)^2-1</f>
        <v>0.0516502500000002</v>
      </c>
      <c r="N66" s="13" t="n">
        <f aca="false">(1+M66)^(-A66)</f>
        <v>0.21524072837613</v>
      </c>
    </row>
    <row r="67" customFormat="false" ht="15" hidden="false" customHeight="false" outlineLevel="0" collapsed="false">
      <c r="A67" s="4" t="n">
        <v>31</v>
      </c>
      <c r="B67" s="9" t="n">
        <v>0.0406</v>
      </c>
      <c r="C67" s="9" t="n">
        <v>0.051</v>
      </c>
      <c r="D67" s="10" t="n">
        <f aca="false">(C67-B67)*10000</f>
        <v>104</v>
      </c>
      <c r="E67" s="11" t="n">
        <f aca="false">MAX(0,C67-B67)*(1-Parametros!$B$5)</f>
        <v>0.0104</v>
      </c>
      <c r="F67" s="11" t="n">
        <f aca="false">B67+E67*Parametros!$B$6</f>
        <v>0.051</v>
      </c>
      <c r="G67" s="12" t="n">
        <f aca="false">(1+F67/2)^2-1</f>
        <v>0.0516502500000002</v>
      </c>
      <c r="H67" s="13" t="n">
        <f aca="false">(1+G67)^(-A67)</f>
        <v>0.20988856984508</v>
      </c>
      <c r="I67" s="11" t="n">
        <f aca="false">B67+E67*Parametros!$B$7</f>
        <v>0.051</v>
      </c>
      <c r="J67" s="12" t="n">
        <f aca="false">(1+I67/2)^2-1</f>
        <v>0.0516502500000002</v>
      </c>
      <c r="K67" s="13" t="n">
        <f aca="false">(1+J67)^(-A67)</f>
        <v>0.20988856984508</v>
      </c>
      <c r="L67" s="11" t="n">
        <f aca="false">B67+E67*Parametros!$B$8</f>
        <v>0.051</v>
      </c>
      <c r="M67" s="12" t="n">
        <f aca="false">(1+L67/2)^2-1</f>
        <v>0.0516502500000002</v>
      </c>
      <c r="N67" s="13" t="n">
        <f aca="false">(1+M67)^(-A67)</f>
        <v>0.20988856984508</v>
      </c>
    </row>
    <row r="68" customFormat="false" ht="15" hidden="false" customHeight="false" outlineLevel="0" collapsed="false">
      <c r="A68" s="4" t="n">
        <v>31.5</v>
      </c>
      <c r="B68" s="9" t="n">
        <v>0.0406</v>
      </c>
      <c r="C68" s="9" t="n">
        <v>0.051</v>
      </c>
      <c r="D68" s="10" t="n">
        <f aca="false">(C68-B68)*10000</f>
        <v>104</v>
      </c>
      <c r="E68" s="11" t="n">
        <f aca="false">MAX(0,C68-B68)*(1-Parametros!$B$5)</f>
        <v>0.0104</v>
      </c>
      <c r="F68" s="11" t="n">
        <f aca="false">B68+E68*Parametros!$B$6</f>
        <v>0.051</v>
      </c>
      <c r="G68" s="12" t="n">
        <f aca="false">(1+F68/2)^2-1</f>
        <v>0.0516502500000002</v>
      </c>
      <c r="H68" s="13" t="n">
        <f aca="false">(1+G68)^(-A68)</f>
        <v>0.204669497654881</v>
      </c>
      <c r="I68" s="11" t="n">
        <f aca="false">B68+E68*Parametros!$B$7</f>
        <v>0.051</v>
      </c>
      <c r="J68" s="12" t="n">
        <f aca="false">(1+I68/2)^2-1</f>
        <v>0.0516502500000002</v>
      </c>
      <c r="K68" s="13" t="n">
        <f aca="false">(1+J68)^(-A68)</f>
        <v>0.204669497654881</v>
      </c>
      <c r="L68" s="11" t="n">
        <f aca="false">B68+E68*Parametros!$B$8</f>
        <v>0.051</v>
      </c>
      <c r="M68" s="12" t="n">
        <f aca="false">(1+L68/2)^2-1</f>
        <v>0.0516502500000002</v>
      </c>
      <c r="N68" s="13" t="n">
        <f aca="false">(1+M68)^(-A68)</f>
        <v>0.204669497654881</v>
      </c>
    </row>
    <row r="69" customFormat="false" ht="15" hidden="false" customHeight="false" outlineLevel="0" collapsed="false">
      <c r="A69" s="4" t="n">
        <v>32</v>
      </c>
      <c r="B69" s="9" t="n">
        <v>0.0407</v>
      </c>
      <c r="C69" s="9" t="n">
        <v>0.051</v>
      </c>
      <c r="D69" s="10" t="n">
        <f aca="false">(C69-B69)*10000</f>
        <v>103</v>
      </c>
      <c r="E69" s="11" t="n">
        <f aca="false">MAX(0,C69-B69)*(1-Parametros!$B$5)</f>
        <v>0.0103</v>
      </c>
      <c r="F69" s="11" t="n">
        <f aca="false">B69+E69*Parametros!$B$6</f>
        <v>0.051</v>
      </c>
      <c r="G69" s="12" t="n">
        <f aca="false">(1+F69/2)^2-1</f>
        <v>0.0516502500000002</v>
      </c>
      <c r="H69" s="13" t="n">
        <f aca="false">(1+G69)^(-A69)</f>
        <v>0.199580202491351</v>
      </c>
      <c r="I69" s="11" t="n">
        <f aca="false">B69+E69*Parametros!$B$7</f>
        <v>0.051</v>
      </c>
      <c r="J69" s="12" t="n">
        <f aca="false">(1+I69/2)^2-1</f>
        <v>0.0516502500000002</v>
      </c>
      <c r="K69" s="13" t="n">
        <f aca="false">(1+J69)^(-A69)</f>
        <v>0.199580202491351</v>
      </c>
      <c r="L69" s="11" t="n">
        <f aca="false">B69+E69*Parametros!$B$8</f>
        <v>0.051</v>
      </c>
      <c r="M69" s="12" t="n">
        <f aca="false">(1+L69/2)^2-1</f>
        <v>0.0516502500000002</v>
      </c>
      <c r="N69" s="13" t="n">
        <f aca="false">(1+M69)^(-A69)</f>
        <v>0.199580202491351</v>
      </c>
    </row>
    <row r="70" customFormat="false" ht="15" hidden="false" customHeight="false" outlineLevel="0" collapsed="false">
      <c r="A70" s="4" t="n">
        <v>32.5</v>
      </c>
      <c r="B70" s="9" t="n">
        <v>0.0408</v>
      </c>
      <c r="C70" s="9" t="n">
        <v>0.051</v>
      </c>
      <c r="D70" s="10" t="n">
        <f aca="false">(C70-B70)*10000</f>
        <v>102</v>
      </c>
      <c r="E70" s="11" t="n">
        <f aca="false">MAX(0,C70-B70)*(1-Parametros!$B$5)</f>
        <v>0.0102</v>
      </c>
      <c r="F70" s="11" t="n">
        <f aca="false">B70+E70*Parametros!$B$6</f>
        <v>0.051</v>
      </c>
      <c r="G70" s="12" t="n">
        <f aca="false">(1+F70/2)^2-1</f>
        <v>0.0516502500000002</v>
      </c>
      <c r="H70" s="13" t="n">
        <f aca="false">(1+G70)^(-A70)</f>
        <v>0.19461745732945</v>
      </c>
      <c r="I70" s="11" t="n">
        <f aca="false">B70+E70*Parametros!$B$7</f>
        <v>0.051</v>
      </c>
      <c r="J70" s="12" t="n">
        <f aca="false">(1+I70/2)^2-1</f>
        <v>0.0516502500000002</v>
      </c>
      <c r="K70" s="13" t="n">
        <f aca="false">(1+J70)^(-A70)</f>
        <v>0.19461745732945</v>
      </c>
      <c r="L70" s="11" t="n">
        <f aca="false">B70+E70*Parametros!$B$8</f>
        <v>0.051</v>
      </c>
      <c r="M70" s="12" t="n">
        <f aca="false">(1+L70/2)^2-1</f>
        <v>0.0516502500000002</v>
      </c>
      <c r="N70" s="13" t="n">
        <f aca="false">(1+M70)^(-A70)</f>
        <v>0.19461745732945</v>
      </c>
    </row>
    <row r="71" customFormat="false" ht="15" hidden="false" customHeight="false" outlineLevel="0" collapsed="false">
      <c r="A71" s="4" t="n">
        <v>33</v>
      </c>
      <c r="B71" s="9" t="n">
        <v>0.0408</v>
      </c>
      <c r="C71" s="9" t="n">
        <v>0.051</v>
      </c>
      <c r="D71" s="10" t="n">
        <f aca="false">(C71-B71)*10000</f>
        <v>102</v>
      </c>
      <c r="E71" s="11" t="n">
        <f aca="false">MAX(0,C71-B71)*(1-Parametros!$B$5)</f>
        <v>0.0102</v>
      </c>
      <c r="F71" s="11" t="n">
        <f aca="false">B71+E71*Parametros!$B$6</f>
        <v>0.051</v>
      </c>
      <c r="G71" s="12" t="n">
        <f aca="false">(1+F71/2)^2-1</f>
        <v>0.0516502500000002</v>
      </c>
      <c r="H71" s="13" t="n">
        <f aca="false">(1+G71)^(-A71)</f>
        <v>0.18977811538708</v>
      </c>
      <c r="I71" s="11" t="n">
        <f aca="false">B71+E71*Parametros!$B$7</f>
        <v>0.051</v>
      </c>
      <c r="J71" s="12" t="n">
        <f aca="false">(1+I71/2)^2-1</f>
        <v>0.0516502500000002</v>
      </c>
      <c r="K71" s="13" t="n">
        <f aca="false">(1+J71)^(-A71)</f>
        <v>0.18977811538708</v>
      </c>
      <c r="L71" s="11" t="n">
        <f aca="false">B71+E71*Parametros!$B$8</f>
        <v>0.051</v>
      </c>
      <c r="M71" s="12" t="n">
        <f aca="false">(1+L71/2)^2-1</f>
        <v>0.0516502500000002</v>
      </c>
      <c r="N71" s="13" t="n">
        <f aca="false">(1+M71)^(-A71)</f>
        <v>0.18977811538708</v>
      </c>
    </row>
    <row r="72" customFormat="false" ht="15" hidden="false" customHeight="false" outlineLevel="0" collapsed="false">
      <c r="A72" s="4" t="n">
        <v>33.5</v>
      </c>
      <c r="B72" s="9" t="n">
        <v>0.0409</v>
      </c>
      <c r="C72" s="9" t="n">
        <v>0.051</v>
      </c>
      <c r="D72" s="10" t="n">
        <f aca="false">(C72-B72)*10000</f>
        <v>101</v>
      </c>
      <c r="E72" s="11" t="n">
        <f aca="false">MAX(0,C72-B72)*(1-Parametros!$B$5)</f>
        <v>0.0101</v>
      </c>
      <c r="F72" s="11" t="n">
        <f aca="false">B72+E72*Parametros!$B$6</f>
        <v>0.051</v>
      </c>
      <c r="G72" s="12" t="n">
        <f aca="false">(1+F72/2)^2-1</f>
        <v>0.0516502500000002</v>
      </c>
      <c r="H72" s="13" t="n">
        <f aca="false">(1+G72)^(-A72)</f>
        <v>0.185059108129771</v>
      </c>
      <c r="I72" s="11" t="n">
        <f aca="false">B72+E72*Parametros!$B$7</f>
        <v>0.051</v>
      </c>
      <c r="J72" s="12" t="n">
        <f aca="false">(1+I72/2)^2-1</f>
        <v>0.0516502500000002</v>
      </c>
      <c r="K72" s="13" t="n">
        <f aca="false">(1+J72)^(-A72)</f>
        <v>0.185059108129771</v>
      </c>
      <c r="L72" s="11" t="n">
        <f aca="false">B72+E72*Parametros!$B$8</f>
        <v>0.051</v>
      </c>
      <c r="M72" s="12" t="n">
        <f aca="false">(1+L72/2)^2-1</f>
        <v>0.0516502500000002</v>
      </c>
      <c r="N72" s="13" t="n">
        <f aca="false">(1+M72)^(-A72)</f>
        <v>0.185059108129771</v>
      </c>
    </row>
    <row r="73" customFormat="false" ht="15" hidden="false" customHeight="false" outlineLevel="0" collapsed="false">
      <c r="A73" s="4" t="n">
        <v>34</v>
      </c>
      <c r="B73" s="9" t="n">
        <v>0.0409</v>
      </c>
      <c r="C73" s="9" t="n">
        <v>0.051</v>
      </c>
      <c r="D73" s="10" t="n">
        <f aca="false">(C73-B73)*10000</f>
        <v>101</v>
      </c>
      <c r="E73" s="11" t="n">
        <f aca="false">MAX(0,C73-B73)*(1-Parametros!$B$5)</f>
        <v>0.0101</v>
      </c>
      <c r="F73" s="11" t="n">
        <f aca="false">B73+E73*Parametros!$B$6</f>
        <v>0.051</v>
      </c>
      <c r="G73" s="12" t="n">
        <f aca="false">(1+F73/2)^2-1</f>
        <v>0.0516502500000002</v>
      </c>
      <c r="H73" s="13" t="n">
        <f aca="false">(1+G73)^(-A73)</f>
        <v>0.180457443324984</v>
      </c>
      <c r="I73" s="11" t="n">
        <f aca="false">B73+E73*Parametros!$B$7</f>
        <v>0.051</v>
      </c>
      <c r="J73" s="12" t="n">
        <f aca="false">(1+I73/2)^2-1</f>
        <v>0.0516502500000002</v>
      </c>
      <c r="K73" s="13" t="n">
        <f aca="false">(1+J73)^(-A73)</f>
        <v>0.180457443324984</v>
      </c>
      <c r="L73" s="11" t="n">
        <f aca="false">B73+E73*Parametros!$B$8</f>
        <v>0.051</v>
      </c>
      <c r="M73" s="12" t="n">
        <f aca="false">(1+L73/2)^2-1</f>
        <v>0.0516502500000002</v>
      </c>
      <c r="N73" s="13" t="n">
        <f aca="false">(1+M73)^(-A73)</f>
        <v>0.180457443324984</v>
      </c>
    </row>
    <row r="74" customFormat="false" ht="15" hidden="false" customHeight="false" outlineLevel="0" collapsed="false">
      <c r="A74" s="4" t="n">
        <v>34.5</v>
      </c>
      <c r="B74" s="9" t="n">
        <v>0.041</v>
      </c>
      <c r="C74" s="9" t="n">
        <v>0.051</v>
      </c>
      <c r="D74" s="10" t="n">
        <f aca="false">(C74-B74)*10000</f>
        <v>99.9999999999999</v>
      </c>
      <c r="E74" s="11" t="n">
        <f aca="false">MAX(0,C74-B74)*(1-Parametros!$B$5)</f>
        <v>0.01</v>
      </c>
      <c r="F74" s="11" t="n">
        <f aca="false">B74+E74*Parametros!$B$6</f>
        <v>0.051</v>
      </c>
      <c r="G74" s="12" t="n">
        <f aca="false">(1+F74/2)^2-1</f>
        <v>0.0516502500000002</v>
      </c>
      <c r="H74" s="13" t="n">
        <f aca="false">(1+G74)^(-A74)</f>
        <v>0.175970203144791</v>
      </c>
      <c r="I74" s="11" t="n">
        <f aca="false">B74+E74*Parametros!$B$7</f>
        <v>0.051</v>
      </c>
      <c r="J74" s="12" t="n">
        <f aca="false">(1+I74/2)^2-1</f>
        <v>0.0516502500000002</v>
      </c>
      <c r="K74" s="13" t="n">
        <f aca="false">(1+J74)^(-A74)</f>
        <v>0.175970203144791</v>
      </c>
      <c r="L74" s="11" t="n">
        <f aca="false">B74+E74*Parametros!$B$8</f>
        <v>0.051</v>
      </c>
      <c r="M74" s="12" t="n">
        <f aca="false">(1+L74/2)^2-1</f>
        <v>0.0516502500000002</v>
      </c>
      <c r="N74" s="13" t="n">
        <f aca="false">(1+M74)^(-A74)</f>
        <v>0.175970203144791</v>
      </c>
    </row>
    <row r="75" customFormat="false" ht="15" hidden="false" customHeight="false" outlineLevel="0" collapsed="false">
      <c r="A75" s="4" t="n">
        <v>35</v>
      </c>
      <c r="B75" s="9" t="n">
        <v>0.0411</v>
      </c>
      <c r="C75" s="9" t="n">
        <v>0.051</v>
      </c>
      <c r="D75" s="10" t="n">
        <f aca="false">(C75-B75)*10000</f>
        <v>99</v>
      </c>
      <c r="E75" s="11" t="n">
        <f aca="false">MAX(0,C75-B75)*(1-Parametros!$B$5)</f>
        <v>0.0099</v>
      </c>
      <c r="F75" s="11" t="n">
        <f aca="false">B75+E75*Parametros!$B$6</f>
        <v>0.051</v>
      </c>
      <c r="G75" s="12" t="n">
        <f aca="false">(1+F75/2)^2-1</f>
        <v>0.0516502500000002</v>
      </c>
      <c r="H75" s="13" t="n">
        <f aca="false">(1+G75)^(-A75)</f>
        <v>0.17159454231574</v>
      </c>
      <c r="I75" s="11" t="n">
        <f aca="false">B75+E75*Parametros!$B$7</f>
        <v>0.051</v>
      </c>
      <c r="J75" s="12" t="n">
        <f aca="false">(1+I75/2)^2-1</f>
        <v>0.0516502500000002</v>
      </c>
      <c r="K75" s="13" t="n">
        <f aca="false">(1+J75)^(-A75)</f>
        <v>0.17159454231574</v>
      </c>
      <c r="L75" s="11" t="n">
        <f aca="false">B75+E75*Parametros!$B$8</f>
        <v>0.051</v>
      </c>
      <c r="M75" s="12" t="n">
        <f aca="false">(1+L75/2)^2-1</f>
        <v>0.0516502500000002</v>
      </c>
      <c r="N75" s="13" t="n">
        <f aca="false">(1+M75)^(-A75)</f>
        <v>0.17159454231574</v>
      </c>
    </row>
    <row r="76" customFormat="false" ht="15" hidden="false" customHeight="false" outlineLevel="0" collapsed="false">
      <c r="A76" s="4" t="n">
        <v>35.5</v>
      </c>
      <c r="B76" s="9" t="n">
        <v>0.0411</v>
      </c>
      <c r="C76" s="9" t="n">
        <v>0.051</v>
      </c>
      <c r="D76" s="10" t="n">
        <f aca="false">(C76-B76)*10000</f>
        <v>99</v>
      </c>
      <c r="E76" s="11" t="n">
        <f aca="false">MAX(0,C76-B76)*(1-Parametros!$B$5)</f>
        <v>0.0099</v>
      </c>
      <c r="F76" s="11" t="n">
        <f aca="false">B76+E76*Parametros!$B$6</f>
        <v>0.051</v>
      </c>
      <c r="G76" s="12" t="n">
        <f aca="false">(1+F76/2)^2-1</f>
        <v>0.0516502500000002</v>
      </c>
      <c r="H76" s="13" t="n">
        <f aca="false">(1+G76)^(-A76)</f>
        <v>0.167327686314715</v>
      </c>
      <c r="I76" s="11" t="n">
        <f aca="false">B76+E76*Parametros!$B$7</f>
        <v>0.051</v>
      </c>
      <c r="J76" s="12" t="n">
        <f aca="false">(1+I76/2)^2-1</f>
        <v>0.0516502500000002</v>
      </c>
      <c r="K76" s="13" t="n">
        <f aca="false">(1+J76)^(-A76)</f>
        <v>0.167327686314715</v>
      </c>
      <c r="L76" s="11" t="n">
        <f aca="false">B76+E76*Parametros!$B$8</f>
        <v>0.051</v>
      </c>
      <c r="M76" s="12" t="n">
        <f aca="false">(1+L76/2)^2-1</f>
        <v>0.0516502500000002</v>
      </c>
      <c r="N76" s="13" t="n">
        <f aca="false">(1+M76)^(-A76)</f>
        <v>0.167327686314715</v>
      </c>
    </row>
    <row r="77" customFormat="false" ht="15" hidden="false" customHeight="false" outlineLevel="0" collapsed="false">
      <c r="A77" s="4" t="n">
        <v>36</v>
      </c>
      <c r="B77" s="9" t="n">
        <v>0.0412</v>
      </c>
      <c r="C77" s="9" t="n">
        <v>0.051</v>
      </c>
      <c r="D77" s="10" t="n">
        <f aca="false">(C77-B77)*10000</f>
        <v>98</v>
      </c>
      <c r="E77" s="11" t="n">
        <f aca="false">MAX(0,C77-B77)*(1-Parametros!$B$5)</f>
        <v>0.0098</v>
      </c>
      <c r="F77" s="11" t="n">
        <f aca="false">B77+E77*Parametros!$B$6</f>
        <v>0.051</v>
      </c>
      <c r="G77" s="12" t="n">
        <f aca="false">(1+F77/2)^2-1</f>
        <v>0.0516502500000002</v>
      </c>
      <c r="H77" s="13" t="n">
        <f aca="false">(1+G77)^(-A77)</f>
        <v>0.163166929609668</v>
      </c>
      <c r="I77" s="11" t="n">
        <f aca="false">B77+E77*Parametros!$B$7</f>
        <v>0.051</v>
      </c>
      <c r="J77" s="12" t="n">
        <f aca="false">(1+I77/2)^2-1</f>
        <v>0.0516502500000002</v>
      </c>
      <c r="K77" s="13" t="n">
        <f aca="false">(1+J77)^(-A77)</f>
        <v>0.163166929609668</v>
      </c>
      <c r="L77" s="11" t="n">
        <f aca="false">B77+E77*Parametros!$B$8</f>
        <v>0.051</v>
      </c>
      <c r="M77" s="12" t="n">
        <f aca="false">(1+L77/2)^2-1</f>
        <v>0.0516502500000002</v>
      </c>
      <c r="N77" s="13" t="n">
        <f aca="false">(1+M77)^(-A77)</f>
        <v>0.163166929609668</v>
      </c>
    </row>
    <row r="78" customFormat="false" ht="15" hidden="false" customHeight="false" outlineLevel="0" collapsed="false">
      <c r="A78" s="4" t="n">
        <v>36.5</v>
      </c>
      <c r="B78" s="9" t="n">
        <v>0.0412</v>
      </c>
      <c r="C78" s="9" t="n">
        <v>0.051</v>
      </c>
      <c r="D78" s="10" t="n">
        <f aca="false">(C78-B78)*10000</f>
        <v>98</v>
      </c>
      <c r="E78" s="11" t="n">
        <f aca="false">MAX(0,C78-B78)*(1-Parametros!$B$5)</f>
        <v>0.0098</v>
      </c>
      <c r="F78" s="11" t="n">
        <f aca="false">B78+E78*Parametros!$B$6</f>
        <v>0.051</v>
      </c>
      <c r="G78" s="12" t="n">
        <f aca="false">(1+F78/2)^2-1</f>
        <v>0.0516502500000002</v>
      </c>
      <c r="H78" s="13" t="n">
        <f aca="false">(1+G78)^(-A78)</f>
        <v>0.159109633944094</v>
      </c>
      <c r="I78" s="11" t="n">
        <f aca="false">B78+E78*Parametros!$B$7</f>
        <v>0.051</v>
      </c>
      <c r="J78" s="12" t="n">
        <f aca="false">(1+I78/2)^2-1</f>
        <v>0.0516502500000002</v>
      </c>
      <c r="K78" s="13" t="n">
        <f aca="false">(1+J78)^(-A78)</f>
        <v>0.159109633944094</v>
      </c>
      <c r="L78" s="11" t="n">
        <f aca="false">B78+E78*Parametros!$B$8</f>
        <v>0.051</v>
      </c>
      <c r="M78" s="12" t="n">
        <f aca="false">(1+L78/2)^2-1</f>
        <v>0.0516502500000002</v>
      </c>
      <c r="N78" s="13" t="n">
        <f aca="false">(1+M78)^(-A78)</f>
        <v>0.159109633944094</v>
      </c>
    </row>
    <row r="79" customFormat="false" ht="15" hidden="false" customHeight="false" outlineLevel="0" collapsed="false">
      <c r="A79" s="4" t="n">
        <v>37</v>
      </c>
      <c r="B79" s="9" t="n">
        <v>0.0413</v>
      </c>
      <c r="C79" s="9" t="n">
        <v>0.051</v>
      </c>
      <c r="D79" s="10" t="n">
        <f aca="false">(C79-B79)*10000</f>
        <v>96.9999999999999</v>
      </c>
      <c r="E79" s="11" t="n">
        <f aca="false">MAX(0,C79-B79)*(1-Parametros!$B$5)</f>
        <v>0.00969999999999999</v>
      </c>
      <c r="F79" s="11" t="n">
        <f aca="false">B79+E79*Parametros!$B$6</f>
        <v>0.051</v>
      </c>
      <c r="G79" s="12" t="n">
        <f aca="false">(1+F79/2)^2-1</f>
        <v>0.0516502500000002</v>
      </c>
      <c r="H79" s="13" t="n">
        <f aca="false">(1+G79)^(-A79)</f>
        <v>0.155153226664158</v>
      </c>
      <c r="I79" s="11" t="n">
        <f aca="false">B79+E79*Parametros!$B$7</f>
        <v>0.051</v>
      </c>
      <c r="J79" s="12" t="n">
        <f aca="false">(1+I79/2)^2-1</f>
        <v>0.0516502500000002</v>
      </c>
      <c r="K79" s="13" t="n">
        <f aca="false">(1+J79)^(-A79)</f>
        <v>0.155153226664158</v>
      </c>
      <c r="L79" s="11" t="n">
        <f aca="false">B79+E79*Parametros!$B$8</f>
        <v>0.051</v>
      </c>
      <c r="M79" s="12" t="n">
        <f aca="false">(1+L79/2)^2-1</f>
        <v>0.0516502500000002</v>
      </c>
      <c r="N79" s="13" t="n">
        <f aca="false">(1+M79)^(-A79)</f>
        <v>0.155153226664158</v>
      </c>
    </row>
    <row r="80" customFormat="false" ht="15" hidden="false" customHeight="false" outlineLevel="0" collapsed="false">
      <c r="A80" s="4" t="n">
        <v>37.5</v>
      </c>
      <c r="B80" s="9" t="n">
        <v>0.0413</v>
      </c>
      <c r="C80" s="9" t="n">
        <v>0.051</v>
      </c>
      <c r="D80" s="10" t="n">
        <f aca="false">(C80-B80)*10000</f>
        <v>96.9999999999999</v>
      </c>
      <c r="E80" s="11" t="n">
        <f aca="false">MAX(0,C80-B80)*(1-Parametros!$B$5)</f>
        <v>0.00969999999999999</v>
      </c>
      <c r="F80" s="11" t="n">
        <f aca="false">B80+E80*Parametros!$B$6</f>
        <v>0.051</v>
      </c>
      <c r="G80" s="12" t="n">
        <f aca="false">(1+F80/2)^2-1</f>
        <v>0.0516502500000002</v>
      </c>
      <c r="H80" s="13" t="n">
        <f aca="false">(1+G80)^(-A80)</f>
        <v>0.151295199087428</v>
      </c>
      <c r="I80" s="11" t="n">
        <f aca="false">B80+E80*Parametros!$B$7</f>
        <v>0.051</v>
      </c>
      <c r="J80" s="12" t="n">
        <f aca="false">(1+I80/2)^2-1</f>
        <v>0.0516502500000002</v>
      </c>
      <c r="K80" s="13" t="n">
        <f aca="false">(1+J80)^(-A80)</f>
        <v>0.151295199087428</v>
      </c>
      <c r="L80" s="11" t="n">
        <f aca="false">B80+E80*Parametros!$B$8</f>
        <v>0.051</v>
      </c>
      <c r="M80" s="12" t="n">
        <f aca="false">(1+L80/2)^2-1</f>
        <v>0.0516502500000002</v>
      </c>
      <c r="N80" s="13" t="n">
        <f aca="false">(1+M80)^(-A80)</f>
        <v>0.151295199087428</v>
      </c>
    </row>
    <row r="81" customFormat="false" ht="15" hidden="false" customHeight="false" outlineLevel="0" collapsed="false">
      <c r="A81" s="4" t="n">
        <v>38</v>
      </c>
      <c r="B81" s="9" t="n">
        <v>0.0414</v>
      </c>
      <c r="C81" s="9" t="n">
        <v>0.051</v>
      </c>
      <c r="D81" s="10" t="n">
        <f aca="false">(C81-B81)*10000</f>
        <v>96</v>
      </c>
      <c r="E81" s="11" t="n">
        <f aca="false">MAX(0,C81-B81)*(1-Parametros!$B$5)</f>
        <v>0.0096</v>
      </c>
      <c r="F81" s="11" t="n">
        <f aca="false">B81+E81*Parametros!$B$6</f>
        <v>0.051</v>
      </c>
      <c r="G81" s="12" t="n">
        <f aca="false">(1+F81/2)^2-1</f>
        <v>0.0516502500000002</v>
      </c>
      <c r="H81" s="13" t="n">
        <f aca="false">(1+G81)^(-A81)</f>
        <v>0.147533104912168</v>
      </c>
      <c r="I81" s="11" t="n">
        <f aca="false">B81+E81*Parametros!$B$7</f>
        <v>0.051</v>
      </c>
      <c r="J81" s="12" t="n">
        <f aca="false">(1+I81/2)^2-1</f>
        <v>0.0516502500000002</v>
      </c>
      <c r="K81" s="13" t="n">
        <f aca="false">(1+J81)^(-A81)</f>
        <v>0.147533104912168</v>
      </c>
      <c r="L81" s="11" t="n">
        <f aca="false">B81+E81*Parametros!$B$8</f>
        <v>0.051</v>
      </c>
      <c r="M81" s="12" t="n">
        <f aca="false">(1+L81/2)^2-1</f>
        <v>0.0516502500000002</v>
      </c>
      <c r="N81" s="13" t="n">
        <f aca="false">(1+M81)^(-A81)</f>
        <v>0.147533104912168</v>
      </c>
    </row>
    <row r="82" customFormat="false" ht="15" hidden="false" customHeight="false" outlineLevel="0" collapsed="false">
      <c r="A82" s="4" t="n">
        <v>38.5</v>
      </c>
      <c r="B82" s="9" t="n">
        <v>0.0414</v>
      </c>
      <c r="C82" s="9" t="n">
        <v>0.051</v>
      </c>
      <c r="D82" s="10" t="n">
        <f aca="false">(C82-B82)*10000</f>
        <v>96</v>
      </c>
      <c r="E82" s="11" t="n">
        <f aca="false">MAX(0,C82-B82)*(1-Parametros!$B$5)</f>
        <v>0.0096</v>
      </c>
      <c r="F82" s="11" t="n">
        <f aca="false">B82+E82*Parametros!$B$6</f>
        <v>0.051</v>
      </c>
      <c r="G82" s="12" t="n">
        <f aca="false">(1+F82/2)^2-1</f>
        <v>0.0516502500000002</v>
      </c>
      <c r="H82" s="13" t="n">
        <f aca="false">(1+G82)^(-A82)</f>
        <v>0.14386455866618</v>
      </c>
      <c r="I82" s="11" t="n">
        <f aca="false">B82+E82*Parametros!$B$7</f>
        <v>0.051</v>
      </c>
      <c r="J82" s="12" t="n">
        <f aca="false">(1+I82/2)^2-1</f>
        <v>0.0516502500000002</v>
      </c>
      <c r="K82" s="13" t="n">
        <f aca="false">(1+J82)^(-A82)</f>
        <v>0.14386455866618</v>
      </c>
      <c r="L82" s="11" t="n">
        <f aca="false">B82+E82*Parametros!$B$8</f>
        <v>0.051</v>
      </c>
      <c r="M82" s="12" t="n">
        <f aca="false">(1+L82/2)^2-1</f>
        <v>0.0516502500000002</v>
      </c>
      <c r="N82" s="13" t="n">
        <f aca="false">(1+M82)^(-A82)</f>
        <v>0.14386455866618</v>
      </c>
    </row>
    <row r="83" customFormat="false" ht="15" hidden="false" customHeight="false" outlineLevel="0" collapsed="false">
      <c r="A83" s="4" t="n">
        <v>39</v>
      </c>
      <c r="B83" s="9" t="n">
        <v>0.0414</v>
      </c>
      <c r="C83" s="9" t="n">
        <v>0.051</v>
      </c>
      <c r="D83" s="10" t="n">
        <f aca="false">(C83-B83)*10000</f>
        <v>96</v>
      </c>
      <c r="E83" s="11" t="n">
        <f aca="false">MAX(0,C83-B83)*(1-Parametros!$B$5)</f>
        <v>0.0096</v>
      </c>
      <c r="F83" s="11" t="n">
        <f aca="false">B83+E83*Parametros!$B$6</f>
        <v>0.051</v>
      </c>
      <c r="G83" s="12" t="n">
        <f aca="false">(1+F83/2)^2-1</f>
        <v>0.0516502500000002</v>
      </c>
      <c r="H83" s="13" t="n">
        <f aca="false">(1+G83)^(-A83)</f>
        <v>0.140287234194228</v>
      </c>
      <c r="I83" s="11" t="n">
        <f aca="false">B83+E83*Parametros!$B$7</f>
        <v>0.051</v>
      </c>
      <c r="J83" s="12" t="n">
        <f aca="false">(1+I83/2)^2-1</f>
        <v>0.0516502500000002</v>
      </c>
      <c r="K83" s="13" t="n">
        <f aca="false">(1+J83)^(-A83)</f>
        <v>0.140287234194228</v>
      </c>
      <c r="L83" s="11" t="n">
        <f aca="false">B83+E83*Parametros!$B$8</f>
        <v>0.051</v>
      </c>
      <c r="M83" s="12" t="n">
        <f aca="false">(1+L83/2)^2-1</f>
        <v>0.0516502500000002</v>
      </c>
      <c r="N83" s="13" t="n">
        <f aca="false">(1+M83)^(-A83)</f>
        <v>0.140287234194228</v>
      </c>
    </row>
    <row r="84" customFormat="false" ht="15" hidden="false" customHeight="false" outlineLevel="0" collapsed="false">
      <c r="A84" s="4" t="n">
        <v>39.5</v>
      </c>
      <c r="B84" s="9" t="n">
        <v>0.0415</v>
      </c>
      <c r="C84" s="9" t="n">
        <v>0.051</v>
      </c>
      <c r="D84" s="10" t="n">
        <f aca="false">(C84-B84)*10000</f>
        <v>94.9999999999999</v>
      </c>
      <c r="E84" s="11" t="n">
        <f aca="false">MAX(0,C84-B84)*(1-Parametros!$B$5)</f>
        <v>0.0095</v>
      </c>
      <c r="F84" s="11" t="n">
        <f aca="false">B84+E84*Parametros!$B$6</f>
        <v>0.051</v>
      </c>
      <c r="G84" s="12" t="n">
        <f aca="false">(1+F84/2)^2-1</f>
        <v>0.0516502500000002</v>
      </c>
      <c r="H84" s="13" t="n">
        <f aca="false">(1+G84)^(-A84)</f>
        <v>0.136798863183059</v>
      </c>
      <c r="I84" s="11" t="n">
        <f aca="false">B84+E84*Parametros!$B$7</f>
        <v>0.051</v>
      </c>
      <c r="J84" s="12" t="n">
        <f aca="false">(1+I84/2)^2-1</f>
        <v>0.0516502500000002</v>
      </c>
      <c r="K84" s="13" t="n">
        <f aca="false">(1+J84)^(-A84)</f>
        <v>0.136798863183059</v>
      </c>
      <c r="L84" s="11" t="n">
        <f aca="false">B84+E84*Parametros!$B$8</f>
        <v>0.051</v>
      </c>
      <c r="M84" s="12" t="n">
        <f aca="false">(1+L84/2)^2-1</f>
        <v>0.0516502500000002</v>
      </c>
      <c r="N84" s="13" t="n">
        <f aca="false">(1+M84)^(-A84)</f>
        <v>0.136798863183059</v>
      </c>
    </row>
    <row r="85" customFormat="false" ht="15" hidden="false" customHeight="false" outlineLevel="0" collapsed="false">
      <c r="A85" s="4" t="n">
        <v>40</v>
      </c>
      <c r="B85" s="9" t="n">
        <v>0.0415</v>
      </c>
      <c r="C85" s="9" t="n">
        <v>0.051</v>
      </c>
      <c r="D85" s="10" t="n">
        <f aca="false">(C85-B85)*10000</f>
        <v>94.9999999999999</v>
      </c>
      <c r="E85" s="11" t="n">
        <f aca="false">MAX(0,C85-B85)*(1-Parametros!$B$5)</f>
        <v>0.0095</v>
      </c>
      <c r="F85" s="11" t="n">
        <f aca="false">B85+E85*Parametros!$B$6</f>
        <v>0.051</v>
      </c>
      <c r="G85" s="12" t="n">
        <f aca="false">(1+F85/2)^2-1</f>
        <v>0.0516502500000002</v>
      </c>
      <c r="H85" s="13" t="n">
        <f aca="false">(1+G85)^(-A85)</f>
        <v>0.13339723372312</v>
      </c>
      <c r="I85" s="11" t="n">
        <f aca="false">B85+E85*Parametros!$B$7</f>
        <v>0.051</v>
      </c>
      <c r="J85" s="12" t="n">
        <f aca="false">(1+I85/2)^2-1</f>
        <v>0.0516502500000002</v>
      </c>
      <c r="K85" s="13" t="n">
        <f aca="false">(1+J85)^(-A85)</f>
        <v>0.13339723372312</v>
      </c>
      <c r="L85" s="11" t="n">
        <f aca="false">B85+E85*Parametros!$B$8</f>
        <v>0.051</v>
      </c>
      <c r="M85" s="12" t="n">
        <f aca="false">(1+L85/2)^2-1</f>
        <v>0.0516502500000002</v>
      </c>
      <c r="N85" s="13" t="n">
        <f aca="false">(1+M85)^(-A85)</f>
        <v>0.13339723372312</v>
      </c>
    </row>
    <row r="86" customFormat="false" ht="15" hidden="false" customHeight="false" outlineLevel="0" collapsed="false">
      <c r="A86" s="4" t="n">
        <v>40.5</v>
      </c>
      <c r="B86" s="9" t="n">
        <v>0.0416</v>
      </c>
      <c r="C86" s="9" t="n">
        <v>0.051</v>
      </c>
      <c r="D86" s="10" t="n">
        <f aca="false">(C86-B86)*10000</f>
        <v>94</v>
      </c>
      <c r="E86" s="11" t="n">
        <f aca="false">MAX(0,C86-B86)*(1-Parametros!$B$5)</f>
        <v>0.0094</v>
      </c>
      <c r="F86" s="11" t="n">
        <f aca="false">B86+E86*Parametros!$B$6</f>
        <v>0.051</v>
      </c>
      <c r="G86" s="12" t="n">
        <f aca="false">(1+F86/2)^2-1</f>
        <v>0.0516502500000002</v>
      </c>
      <c r="H86" s="13" t="n">
        <f aca="false">(1+G86)^(-A86)</f>
        <v>0.130080188906016</v>
      </c>
      <c r="I86" s="11" t="n">
        <f aca="false">B86+E86*Parametros!$B$7</f>
        <v>0.051</v>
      </c>
      <c r="J86" s="12" t="n">
        <f aca="false">(1+I86/2)^2-1</f>
        <v>0.0516502500000002</v>
      </c>
      <c r="K86" s="13" t="n">
        <f aca="false">(1+J86)^(-A86)</f>
        <v>0.130080188906016</v>
      </c>
      <c r="L86" s="11" t="n">
        <f aca="false">B86+E86*Parametros!$B$8</f>
        <v>0.051</v>
      </c>
      <c r="M86" s="12" t="n">
        <f aca="false">(1+L86/2)^2-1</f>
        <v>0.0516502500000002</v>
      </c>
      <c r="N86" s="13" t="n">
        <f aca="false">(1+M86)^(-A86)</f>
        <v>0.130080188906016</v>
      </c>
    </row>
    <row r="87" customFormat="false" ht="15" hidden="false" customHeight="false" outlineLevel="0" collapsed="false">
      <c r="A87" s="4" t="n">
        <v>41</v>
      </c>
      <c r="B87" s="9" t="n">
        <v>0.0416</v>
      </c>
      <c r="C87" s="9" t="n">
        <v>0.051</v>
      </c>
      <c r="D87" s="10" t="n">
        <f aca="false">(C87-B87)*10000</f>
        <v>94</v>
      </c>
      <c r="E87" s="11" t="n">
        <f aca="false">MAX(0,C87-B87)*(1-Parametros!$B$5)</f>
        <v>0.0094</v>
      </c>
      <c r="F87" s="11" t="n">
        <f aca="false">B87+E87*Parametros!$B$6</f>
        <v>0.051</v>
      </c>
      <c r="G87" s="12" t="n">
        <f aca="false">(1+F87/2)^2-1</f>
        <v>0.0516502500000002</v>
      </c>
      <c r="H87" s="13" t="n">
        <f aca="false">(1+G87)^(-A87)</f>
        <v>0.126845625456866</v>
      </c>
      <c r="I87" s="11" t="n">
        <f aca="false">B87+E87*Parametros!$B$7</f>
        <v>0.051</v>
      </c>
      <c r="J87" s="12" t="n">
        <f aca="false">(1+I87/2)^2-1</f>
        <v>0.0516502500000002</v>
      </c>
      <c r="K87" s="13" t="n">
        <f aca="false">(1+J87)^(-A87)</f>
        <v>0.126845625456866</v>
      </c>
      <c r="L87" s="11" t="n">
        <f aca="false">B87+E87*Parametros!$B$8</f>
        <v>0.051</v>
      </c>
      <c r="M87" s="12" t="n">
        <f aca="false">(1+L87/2)^2-1</f>
        <v>0.0516502500000002</v>
      </c>
      <c r="N87" s="13" t="n">
        <f aca="false">(1+M87)^(-A87)</f>
        <v>0.126845625456866</v>
      </c>
    </row>
    <row r="88" customFormat="false" ht="15" hidden="false" customHeight="false" outlineLevel="0" collapsed="false">
      <c r="A88" s="4" t="n">
        <v>41.5</v>
      </c>
      <c r="B88" s="9" t="n">
        <v>0.0416</v>
      </c>
      <c r="C88" s="9" t="n">
        <v>0.051</v>
      </c>
      <c r="D88" s="10" t="n">
        <f aca="false">(C88-B88)*10000</f>
        <v>94</v>
      </c>
      <c r="E88" s="11" t="n">
        <f aca="false">MAX(0,C88-B88)*(1-Parametros!$B$5)</f>
        <v>0.0094</v>
      </c>
      <c r="F88" s="11" t="n">
        <f aca="false">B88+E88*Parametros!$B$6</f>
        <v>0.051</v>
      </c>
      <c r="G88" s="12" t="n">
        <f aca="false">(1+F88/2)^2-1</f>
        <v>0.0516502500000002</v>
      </c>
      <c r="H88" s="13" t="n">
        <f aca="false">(1+G88)^(-A88)</f>
        <v>0.12369149240065</v>
      </c>
      <c r="I88" s="11" t="n">
        <f aca="false">B88+E88*Parametros!$B$7</f>
        <v>0.051</v>
      </c>
      <c r="J88" s="12" t="n">
        <f aca="false">(1+I88/2)^2-1</f>
        <v>0.0516502500000002</v>
      </c>
      <c r="K88" s="13" t="n">
        <f aca="false">(1+J88)^(-A88)</f>
        <v>0.12369149240065</v>
      </c>
      <c r="L88" s="11" t="n">
        <f aca="false">B88+E88*Parametros!$B$8</f>
        <v>0.051</v>
      </c>
      <c r="M88" s="12" t="n">
        <f aca="false">(1+L88/2)^2-1</f>
        <v>0.0516502500000002</v>
      </c>
      <c r="N88" s="13" t="n">
        <f aca="false">(1+M88)^(-A88)</f>
        <v>0.12369149240065</v>
      </c>
    </row>
    <row r="89" customFormat="false" ht="15" hidden="false" customHeight="false" outlineLevel="0" collapsed="false">
      <c r="A89" s="4" t="n">
        <v>42</v>
      </c>
      <c r="B89" s="9" t="n">
        <v>0.0417</v>
      </c>
      <c r="C89" s="9" t="n">
        <v>0.051</v>
      </c>
      <c r="D89" s="10" t="n">
        <f aca="false">(C89-B89)*10000</f>
        <v>93</v>
      </c>
      <c r="E89" s="11" t="n">
        <f aca="false">MAX(0,C89-B89)*(1-Parametros!$B$5)</f>
        <v>0.0093</v>
      </c>
      <c r="F89" s="11" t="n">
        <f aca="false">B89+E89*Parametros!$B$6</f>
        <v>0.051</v>
      </c>
      <c r="G89" s="12" t="n">
        <f aca="false">(1+F89/2)^2-1</f>
        <v>0.0516502500000002</v>
      </c>
      <c r="H89" s="13" t="n">
        <f aca="false">(1+G89)^(-A89)</f>
        <v>0.120615789761726</v>
      </c>
      <c r="I89" s="11" t="n">
        <f aca="false">B89+E89*Parametros!$B$7</f>
        <v>0.051</v>
      </c>
      <c r="J89" s="12" t="n">
        <f aca="false">(1+I89/2)^2-1</f>
        <v>0.0516502500000002</v>
      </c>
      <c r="K89" s="13" t="n">
        <f aca="false">(1+J89)^(-A89)</f>
        <v>0.120615789761726</v>
      </c>
      <c r="L89" s="11" t="n">
        <f aca="false">B89+E89*Parametros!$B$8</f>
        <v>0.051</v>
      </c>
      <c r="M89" s="12" t="n">
        <f aca="false">(1+L89/2)^2-1</f>
        <v>0.0516502500000002</v>
      </c>
      <c r="N89" s="13" t="n">
        <f aca="false">(1+M89)^(-A89)</f>
        <v>0.120615789761726</v>
      </c>
    </row>
    <row r="90" customFormat="false" ht="15" hidden="false" customHeight="false" outlineLevel="0" collapsed="false">
      <c r="A90" s="4" t="n">
        <v>42.5</v>
      </c>
      <c r="B90" s="9" t="n">
        <v>0.0417</v>
      </c>
      <c r="C90" s="9" t="n">
        <v>0.051</v>
      </c>
      <c r="D90" s="10" t="n">
        <f aca="false">(C90-B90)*10000</f>
        <v>93</v>
      </c>
      <c r="E90" s="11" t="n">
        <f aca="false">MAX(0,C90-B90)*(1-Parametros!$B$5)</f>
        <v>0.0093</v>
      </c>
      <c r="F90" s="11" t="n">
        <f aca="false">B90+E90*Parametros!$B$6</f>
        <v>0.051</v>
      </c>
      <c r="G90" s="12" t="n">
        <f aca="false">(1+F90/2)^2-1</f>
        <v>0.0516502500000002</v>
      </c>
      <c r="H90" s="13" t="n">
        <f aca="false">(1+G90)^(-A90)</f>
        <v>0.117616567295686</v>
      </c>
      <c r="I90" s="11" t="n">
        <f aca="false">B90+E90*Parametros!$B$7</f>
        <v>0.051</v>
      </c>
      <c r="J90" s="12" t="n">
        <f aca="false">(1+I90/2)^2-1</f>
        <v>0.0516502500000002</v>
      </c>
      <c r="K90" s="13" t="n">
        <f aca="false">(1+J90)^(-A90)</f>
        <v>0.117616567295686</v>
      </c>
      <c r="L90" s="11" t="n">
        <f aca="false">B90+E90*Parametros!$B$8</f>
        <v>0.051</v>
      </c>
      <c r="M90" s="12" t="n">
        <f aca="false">(1+L90/2)^2-1</f>
        <v>0.0516502500000002</v>
      </c>
      <c r="N90" s="13" t="n">
        <f aca="false">(1+M90)^(-A90)</f>
        <v>0.117616567295686</v>
      </c>
    </row>
    <row r="91" customFormat="false" ht="15" hidden="false" customHeight="false" outlineLevel="0" collapsed="false">
      <c r="A91" s="4" t="n">
        <v>43</v>
      </c>
      <c r="B91" s="9" t="n">
        <v>0.0418</v>
      </c>
      <c r="C91" s="9" t="n">
        <v>0.051</v>
      </c>
      <c r="D91" s="10" t="n">
        <f aca="false">(C91-B91)*10000</f>
        <v>92</v>
      </c>
      <c r="E91" s="11" t="n">
        <f aca="false">MAX(0,C91-B91)*(1-Parametros!$B$5)</f>
        <v>0.0092</v>
      </c>
      <c r="F91" s="11" t="n">
        <f aca="false">B91+E91*Parametros!$B$6</f>
        <v>0.051</v>
      </c>
      <c r="G91" s="12" t="n">
        <f aca="false">(1+F91/2)^2-1</f>
        <v>0.0516502500000002</v>
      </c>
      <c r="H91" s="13" t="n">
        <f aca="false">(1+G91)^(-A91)</f>
        <v>0.114691923252741</v>
      </c>
      <c r="I91" s="11" t="n">
        <f aca="false">B91+E91*Parametros!$B$7</f>
        <v>0.051</v>
      </c>
      <c r="J91" s="12" t="n">
        <f aca="false">(1+I91/2)^2-1</f>
        <v>0.0516502500000002</v>
      </c>
      <c r="K91" s="13" t="n">
        <f aca="false">(1+J91)^(-A91)</f>
        <v>0.114691923252741</v>
      </c>
      <c r="L91" s="11" t="n">
        <f aca="false">B91+E91*Parametros!$B$8</f>
        <v>0.051</v>
      </c>
      <c r="M91" s="12" t="n">
        <f aca="false">(1+L91/2)^2-1</f>
        <v>0.0516502500000002</v>
      </c>
      <c r="N91" s="13" t="n">
        <f aca="false">(1+M91)^(-A91)</f>
        <v>0.114691923252741</v>
      </c>
    </row>
    <row r="92" customFormat="false" ht="15" hidden="false" customHeight="false" outlineLevel="0" collapsed="false">
      <c r="A92" s="4" t="n">
        <v>43.5</v>
      </c>
      <c r="B92" s="9" t="n">
        <v>0.0418</v>
      </c>
      <c r="C92" s="9" t="n">
        <v>0.051</v>
      </c>
      <c r="D92" s="10" t="n">
        <f aca="false">(C92-B92)*10000</f>
        <v>92</v>
      </c>
      <c r="E92" s="11" t="n">
        <f aca="false">MAX(0,C92-B92)*(1-Parametros!$B$5)</f>
        <v>0.0092</v>
      </c>
      <c r="F92" s="11" t="n">
        <f aca="false">B92+E92*Parametros!$B$6</f>
        <v>0.051</v>
      </c>
      <c r="G92" s="12" t="n">
        <f aca="false">(1+F92/2)^2-1</f>
        <v>0.0516502500000002</v>
      </c>
      <c r="H92" s="13" t="n">
        <f aca="false">(1+G92)^(-A92)</f>
        <v>0.111840003171858</v>
      </c>
      <c r="I92" s="11" t="n">
        <f aca="false">B92+E92*Parametros!$B$7</f>
        <v>0.051</v>
      </c>
      <c r="J92" s="12" t="n">
        <f aca="false">(1+I92/2)^2-1</f>
        <v>0.0516502500000002</v>
      </c>
      <c r="K92" s="13" t="n">
        <f aca="false">(1+J92)^(-A92)</f>
        <v>0.111840003171858</v>
      </c>
      <c r="L92" s="11" t="n">
        <f aca="false">B92+E92*Parametros!$B$8</f>
        <v>0.051</v>
      </c>
      <c r="M92" s="12" t="n">
        <f aca="false">(1+L92/2)^2-1</f>
        <v>0.0516502500000002</v>
      </c>
      <c r="N92" s="13" t="n">
        <f aca="false">(1+M92)^(-A92)</f>
        <v>0.111840003171858</v>
      </c>
    </row>
    <row r="93" customFormat="false" ht="15" hidden="false" customHeight="false" outlineLevel="0" collapsed="false">
      <c r="A93" s="4" t="n">
        <v>44</v>
      </c>
      <c r="B93" s="9" t="n">
        <v>0.0418</v>
      </c>
      <c r="C93" s="9" t="n">
        <v>0.051</v>
      </c>
      <c r="D93" s="10" t="n">
        <f aca="false">(C93-B93)*10000</f>
        <v>92</v>
      </c>
      <c r="E93" s="11" t="n">
        <f aca="false">MAX(0,C93-B93)*(1-Parametros!$B$5)</f>
        <v>0.0092</v>
      </c>
      <c r="F93" s="11" t="n">
        <f aca="false">B93+E93*Parametros!$B$6</f>
        <v>0.051</v>
      </c>
      <c r="G93" s="12" t="n">
        <f aca="false">(1+F93/2)^2-1</f>
        <v>0.0516502500000002</v>
      </c>
      <c r="H93" s="13" t="n">
        <f aca="false">(1+G93)^(-A93)</f>
        <v>0.109058998704884</v>
      </c>
      <c r="I93" s="11" t="n">
        <f aca="false">B93+E93*Parametros!$B$7</f>
        <v>0.051</v>
      </c>
      <c r="J93" s="12" t="n">
        <f aca="false">(1+I93/2)^2-1</f>
        <v>0.0516502500000002</v>
      </c>
      <c r="K93" s="13" t="n">
        <f aca="false">(1+J93)^(-A93)</f>
        <v>0.109058998704884</v>
      </c>
      <c r="L93" s="11" t="n">
        <f aca="false">B93+E93*Parametros!$B$8</f>
        <v>0.051</v>
      </c>
      <c r="M93" s="12" t="n">
        <f aca="false">(1+L93/2)^2-1</f>
        <v>0.0516502500000002</v>
      </c>
      <c r="N93" s="13" t="n">
        <f aca="false">(1+M93)^(-A93)</f>
        <v>0.109058998704884</v>
      </c>
    </row>
    <row r="94" customFormat="false" ht="15" hidden="false" customHeight="false" outlineLevel="0" collapsed="false">
      <c r="A94" s="4" t="n">
        <v>44.5</v>
      </c>
      <c r="B94" s="9" t="n">
        <v>0.0419</v>
      </c>
      <c r="C94" s="9" t="n">
        <v>0.051</v>
      </c>
      <c r="D94" s="10" t="n">
        <f aca="false">(C94-B94)*10000</f>
        <v>91</v>
      </c>
      <c r="E94" s="11" t="n">
        <f aca="false">MAX(0,C94-B94)*(1-Parametros!$B$5)</f>
        <v>0.0091</v>
      </c>
      <c r="F94" s="11" t="n">
        <f aca="false">B94+E94*Parametros!$B$6</f>
        <v>0.051</v>
      </c>
      <c r="G94" s="12" t="n">
        <f aca="false">(1+F94/2)^2-1</f>
        <v>0.0516502500000002</v>
      </c>
      <c r="H94" s="13" t="n">
        <f aca="false">(1+G94)^(-A94)</f>
        <v>0.106347146469901</v>
      </c>
      <c r="I94" s="11" t="n">
        <f aca="false">B94+E94*Parametros!$B$7</f>
        <v>0.051</v>
      </c>
      <c r="J94" s="12" t="n">
        <f aca="false">(1+I94/2)^2-1</f>
        <v>0.0516502500000002</v>
      </c>
      <c r="K94" s="13" t="n">
        <f aca="false">(1+J94)^(-A94)</f>
        <v>0.106347146469901</v>
      </c>
      <c r="L94" s="11" t="n">
        <f aca="false">B94+E94*Parametros!$B$8</f>
        <v>0.051</v>
      </c>
      <c r="M94" s="12" t="n">
        <f aca="false">(1+L94/2)^2-1</f>
        <v>0.0516502500000002</v>
      </c>
      <c r="N94" s="13" t="n">
        <f aca="false">(1+M94)^(-A94)</f>
        <v>0.106347146469901</v>
      </c>
    </row>
    <row r="95" customFormat="false" ht="15" hidden="false" customHeight="false" outlineLevel="0" collapsed="false">
      <c r="A95" s="4" t="n">
        <v>45</v>
      </c>
      <c r="B95" s="9" t="n">
        <v>0.0419</v>
      </c>
      <c r="C95" s="9" t="n">
        <v>0.051</v>
      </c>
      <c r="D95" s="10" t="n">
        <f aca="false">(C95-B95)*10000</f>
        <v>91</v>
      </c>
      <c r="E95" s="11" t="n">
        <f aca="false">MAX(0,C95-B95)*(1-Parametros!$B$5)</f>
        <v>0.0091</v>
      </c>
      <c r="F95" s="11" t="n">
        <f aca="false">B95+E95*Parametros!$B$6</f>
        <v>0.051</v>
      </c>
      <c r="G95" s="12" t="n">
        <f aca="false">(1+F95/2)^2-1</f>
        <v>0.0516502500000002</v>
      </c>
      <c r="H95" s="13" t="n">
        <f aca="false">(1+G95)^(-A95)</f>
        <v>0.103702726933107</v>
      </c>
      <c r="I95" s="11" t="n">
        <f aca="false">B95+E95*Parametros!$B$7</f>
        <v>0.051</v>
      </c>
      <c r="J95" s="12" t="n">
        <f aca="false">(1+I95/2)^2-1</f>
        <v>0.0516502500000002</v>
      </c>
      <c r="K95" s="13" t="n">
        <f aca="false">(1+J95)^(-A95)</f>
        <v>0.103702726933107</v>
      </c>
      <c r="L95" s="11" t="n">
        <f aca="false">B95+E95*Parametros!$B$8</f>
        <v>0.051</v>
      </c>
      <c r="M95" s="12" t="n">
        <f aca="false">(1+L95/2)^2-1</f>
        <v>0.0516502500000002</v>
      </c>
      <c r="N95" s="13" t="n">
        <f aca="false">(1+M95)^(-A95)</f>
        <v>0.103702726933107</v>
      </c>
    </row>
    <row r="96" customFormat="false" ht="15" hidden="false" customHeight="false" outlineLevel="0" collapsed="false">
      <c r="A96" s="4" t="n">
        <v>45.5</v>
      </c>
      <c r="B96" s="9" t="n">
        <v>0.0419</v>
      </c>
      <c r="C96" s="9" t="n">
        <v>0.051</v>
      </c>
      <c r="D96" s="10" t="n">
        <f aca="false">(C96-B96)*10000</f>
        <v>91</v>
      </c>
      <c r="E96" s="11" t="n">
        <f aca="false">MAX(0,C96-B96)*(1-Parametros!$B$5)</f>
        <v>0.0091</v>
      </c>
      <c r="F96" s="11" t="n">
        <f aca="false">B96+E96*Parametros!$B$6</f>
        <v>0.051</v>
      </c>
      <c r="G96" s="12" t="n">
        <f aca="false">(1+F96/2)^2-1</f>
        <v>0.0516502500000002</v>
      </c>
      <c r="H96" s="13" t="n">
        <f aca="false">(1+G96)^(-A96)</f>
        <v>0.101124063318486</v>
      </c>
      <c r="I96" s="11" t="n">
        <f aca="false">B96+E96*Parametros!$B$7</f>
        <v>0.051</v>
      </c>
      <c r="J96" s="12" t="n">
        <f aca="false">(1+I96/2)^2-1</f>
        <v>0.0516502500000002</v>
      </c>
      <c r="K96" s="13" t="n">
        <f aca="false">(1+J96)^(-A96)</f>
        <v>0.101124063318486</v>
      </c>
      <c r="L96" s="11" t="n">
        <f aca="false">B96+E96*Parametros!$B$8</f>
        <v>0.051</v>
      </c>
      <c r="M96" s="12" t="n">
        <f aca="false">(1+L96/2)^2-1</f>
        <v>0.0516502500000002</v>
      </c>
      <c r="N96" s="13" t="n">
        <f aca="false">(1+M96)^(-A96)</f>
        <v>0.101124063318486</v>
      </c>
    </row>
    <row r="97" customFormat="false" ht="15" hidden="false" customHeight="false" outlineLevel="0" collapsed="false">
      <c r="A97" s="4" t="n">
        <v>46</v>
      </c>
      <c r="B97" s="9" t="n">
        <v>0.042</v>
      </c>
      <c r="C97" s="9" t="n">
        <v>0.051</v>
      </c>
      <c r="D97" s="10" t="n">
        <f aca="false">(C97-B97)*10000</f>
        <v>89.9999999999999</v>
      </c>
      <c r="E97" s="11" t="n">
        <f aca="false">MAX(0,C97-B97)*(1-Parametros!$B$5)</f>
        <v>0.00899999999999999</v>
      </c>
      <c r="F97" s="11" t="n">
        <f aca="false">B97+E97*Parametros!$B$6</f>
        <v>0.051</v>
      </c>
      <c r="G97" s="12" t="n">
        <f aca="false">(1+F97/2)^2-1</f>
        <v>0.0516502500000002</v>
      </c>
      <c r="H97" s="13" t="n">
        <f aca="false">(1+G97)^(-A97)</f>
        <v>0.0986095205445985</v>
      </c>
      <c r="I97" s="11" t="n">
        <f aca="false">B97+E97*Parametros!$B$7</f>
        <v>0.051</v>
      </c>
      <c r="J97" s="12" t="n">
        <f aca="false">(1+I97/2)^2-1</f>
        <v>0.0516502500000002</v>
      </c>
      <c r="K97" s="13" t="n">
        <f aca="false">(1+J97)^(-A97)</f>
        <v>0.0986095205445985</v>
      </c>
      <c r="L97" s="11" t="n">
        <f aca="false">B97+E97*Parametros!$B$8</f>
        <v>0.051</v>
      </c>
      <c r="M97" s="12" t="n">
        <f aca="false">(1+L97/2)^2-1</f>
        <v>0.0516502500000002</v>
      </c>
      <c r="N97" s="13" t="n">
        <f aca="false">(1+M97)^(-A97)</f>
        <v>0.0986095205445985</v>
      </c>
    </row>
    <row r="98" customFormat="false" ht="15" hidden="false" customHeight="false" outlineLevel="0" collapsed="false">
      <c r="A98" s="4" t="n">
        <v>46.5</v>
      </c>
      <c r="B98" s="9" t="n">
        <v>0.042</v>
      </c>
      <c r="C98" s="9" t="n">
        <v>0.051</v>
      </c>
      <c r="D98" s="10" t="n">
        <f aca="false">(C98-B98)*10000</f>
        <v>89.9999999999999</v>
      </c>
      <c r="E98" s="11" t="n">
        <f aca="false">MAX(0,C98-B98)*(1-Parametros!$B$5)</f>
        <v>0.00899999999999999</v>
      </c>
      <c r="F98" s="11" t="n">
        <f aca="false">B98+E98*Parametros!$B$6</f>
        <v>0.051</v>
      </c>
      <c r="G98" s="12" t="n">
        <f aca="false">(1+F98/2)^2-1</f>
        <v>0.0516502500000002</v>
      </c>
      <c r="H98" s="13" t="n">
        <f aca="false">(1+G98)^(-A98)</f>
        <v>0.0961575041878093</v>
      </c>
      <c r="I98" s="11" t="n">
        <f aca="false">B98+E98*Parametros!$B$7</f>
        <v>0.051</v>
      </c>
      <c r="J98" s="12" t="n">
        <f aca="false">(1+I98/2)^2-1</f>
        <v>0.0516502500000002</v>
      </c>
      <c r="K98" s="13" t="n">
        <f aca="false">(1+J98)^(-A98)</f>
        <v>0.0961575041878093</v>
      </c>
      <c r="L98" s="11" t="n">
        <f aca="false">B98+E98*Parametros!$B$8</f>
        <v>0.051</v>
      </c>
      <c r="M98" s="12" t="n">
        <f aca="false">(1+L98/2)^2-1</f>
        <v>0.0516502500000002</v>
      </c>
      <c r="N98" s="13" t="n">
        <f aca="false">(1+M98)^(-A98)</f>
        <v>0.0961575041878093</v>
      </c>
    </row>
    <row r="99" customFormat="false" ht="15" hidden="false" customHeight="false" outlineLevel="0" collapsed="false">
      <c r="A99" s="4" t="n">
        <v>47</v>
      </c>
      <c r="B99" s="9" t="n">
        <v>0.042</v>
      </c>
      <c r="C99" s="9" t="n">
        <v>0.051</v>
      </c>
      <c r="D99" s="10" t="n">
        <f aca="false">(C99-B99)*10000</f>
        <v>89.9999999999999</v>
      </c>
      <c r="E99" s="11" t="n">
        <f aca="false">MAX(0,C99-B99)*(1-Parametros!$B$5)</f>
        <v>0.00899999999999999</v>
      </c>
      <c r="F99" s="11" t="n">
        <f aca="false">B99+E99*Parametros!$B$6</f>
        <v>0.051</v>
      </c>
      <c r="G99" s="12" t="n">
        <f aca="false">(1+F99/2)^2-1</f>
        <v>0.0516502500000002</v>
      </c>
      <c r="H99" s="13" t="n">
        <f aca="false">(1+G99)^(-A99)</f>
        <v>0.0937664594712914</v>
      </c>
      <c r="I99" s="11" t="n">
        <f aca="false">B99+E99*Parametros!$B$7</f>
        <v>0.051</v>
      </c>
      <c r="J99" s="12" t="n">
        <f aca="false">(1+I99/2)^2-1</f>
        <v>0.0516502500000002</v>
      </c>
      <c r="K99" s="13" t="n">
        <f aca="false">(1+J99)^(-A99)</f>
        <v>0.0937664594712914</v>
      </c>
      <c r="L99" s="11" t="n">
        <f aca="false">B99+E99*Parametros!$B$8</f>
        <v>0.051</v>
      </c>
      <c r="M99" s="12" t="n">
        <f aca="false">(1+L99/2)^2-1</f>
        <v>0.0516502500000002</v>
      </c>
      <c r="N99" s="13" t="n">
        <f aca="false">(1+M99)^(-A99)</f>
        <v>0.0937664594712914</v>
      </c>
    </row>
    <row r="100" customFormat="false" ht="15" hidden="false" customHeight="false" outlineLevel="0" collapsed="false">
      <c r="A100" s="4" t="n">
        <v>47.5</v>
      </c>
      <c r="B100" s="9" t="n">
        <v>0.0421</v>
      </c>
      <c r="C100" s="9" t="n">
        <v>0.051</v>
      </c>
      <c r="D100" s="10" t="n">
        <f aca="false">(C100-B100)*10000</f>
        <v>89</v>
      </c>
      <c r="E100" s="11" t="n">
        <f aca="false">MAX(0,C100-B100)*(1-Parametros!$B$5)</f>
        <v>0.0089</v>
      </c>
      <c r="F100" s="11" t="n">
        <f aca="false">B100+E100*Parametros!$B$6</f>
        <v>0.051</v>
      </c>
      <c r="G100" s="12" t="n">
        <f aca="false">(1+F100/2)^2-1</f>
        <v>0.0516502500000002</v>
      </c>
      <c r="H100" s="13" t="n">
        <f aca="false">(1+G100)^(-A100)</f>
        <v>0.0914348702791725</v>
      </c>
      <c r="I100" s="11" t="n">
        <f aca="false">B100+E100*Parametros!$B$7</f>
        <v>0.051</v>
      </c>
      <c r="J100" s="12" t="n">
        <f aca="false">(1+I100/2)^2-1</f>
        <v>0.0516502500000002</v>
      </c>
      <c r="K100" s="13" t="n">
        <f aca="false">(1+J100)^(-A100)</f>
        <v>0.0914348702791725</v>
      </c>
      <c r="L100" s="11" t="n">
        <f aca="false">B100+E100*Parametros!$B$8</f>
        <v>0.051</v>
      </c>
      <c r="M100" s="12" t="n">
        <f aca="false">(1+L100/2)^2-1</f>
        <v>0.0516502500000002</v>
      </c>
      <c r="N100" s="13" t="n">
        <f aca="false">(1+M100)^(-A100)</f>
        <v>0.0914348702791725</v>
      </c>
    </row>
    <row r="101" customFormat="false" ht="15" hidden="false" customHeight="false" outlineLevel="0" collapsed="false">
      <c r="A101" s="4" t="n">
        <v>48</v>
      </c>
      <c r="B101" s="9" t="n">
        <v>0.0421</v>
      </c>
      <c r="C101" s="9" t="n">
        <v>0.0511</v>
      </c>
      <c r="D101" s="10" t="n">
        <f aca="false">(C101-B101)*10000</f>
        <v>90</v>
      </c>
      <c r="E101" s="11" t="n">
        <f aca="false">MAX(0,C101-B101)*(1-Parametros!$B$5)</f>
        <v>0.009</v>
      </c>
      <c r="F101" s="11" t="n">
        <f aca="false">B101+E101*Parametros!$B$6</f>
        <v>0.0511</v>
      </c>
      <c r="G101" s="12" t="n">
        <f aca="false">(1+F101/2)^2-1</f>
        <v>0.0517528025</v>
      </c>
      <c r="H101" s="13" t="n">
        <f aca="false">(1+G101)^(-A101)</f>
        <v>0.088744911418989</v>
      </c>
      <c r="I101" s="11" t="n">
        <f aca="false">B101+E101*Parametros!$B$7</f>
        <v>0.0511</v>
      </c>
      <c r="J101" s="12" t="n">
        <f aca="false">(1+I101/2)^2-1</f>
        <v>0.0517528025</v>
      </c>
      <c r="K101" s="13" t="n">
        <f aca="false">(1+J101)^(-A101)</f>
        <v>0.088744911418989</v>
      </c>
      <c r="L101" s="11" t="n">
        <f aca="false">B101+E101*Parametros!$B$8</f>
        <v>0.0511</v>
      </c>
      <c r="M101" s="12" t="n">
        <f aca="false">(1+L101/2)^2-1</f>
        <v>0.0517528025</v>
      </c>
      <c r="N101" s="13" t="n">
        <f aca="false">(1+M101)^(-A101)</f>
        <v>0.088744911418989</v>
      </c>
    </row>
    <row r="102" customFormat="false" ht="15" hidden="false" customHeight="false" outlineLevel="0" collapsed="false">
      <c r="A102" s="4" t="n">
        <v>48.5</v>
      </c>
      <c r="B102" s="9" t="n">
        <v>0.0421</v>
      </c>
      <c r="C102" s="9" t="n">
        <v>0.0511</v>
      </c>
      <c r="D102" s="10" t="n">
        <f aca="false">(C102-B102)*10000</f>
        <v>90</v>
      </c>
      <c r="E102" s="11" t="n">
        <f aca="false">MAX(0,C102-B102)*(1-Parametros!$B$5)</f>
        <v>0.009</v>
      </c>
      <c r="F102" s="11" t="n">
        <f aca="false">B102+E102*Parametros!$B$6</f>
        <v>0.0511</v>
      </c>
      <c r="G102" s="12" t="n">
        <f aca="false">(1+F102/2)^2-1</f>
        <v>0.0517528025</v>
      </c>
      <c r="H102" s="13" t="n">
        <f aca="false">(1+G102)^(-A102)</f>
        <v>0.0865339685232207</v>
      </c>
      <c r="I102" s="11" t="n">
        <f aca="false">B102+E102*Parametros!$B$7</f>
        <v>0.0511</v>
      </c>
      <c r="J102" s="12" t="n">
        <f aca="false">(1+I102/2)^2-1</f>
        <v>0.0517528025</v>
      </c>
      <c r="K102" s="13" t="n">
        <f aca="false">(1+J102)^(-A102)</f>
        <v>0.0865339685232207</v>
      </c>
      <c r="L102" s="11" t="n">
        <f aca="false">B102+E102*Parametros!$B$8</f>
        <v>0.0511</v>
      </c>
      <c r="M102" s="12" t="n">
        <f aca="false">(1+L102/2)^2-1</f>
        <v>0.0517528025</v>
      </c>
      <c r="N102" s="13" t="n">
        <f aca="false">(1+M102)^(-A102)</f>
        <v>0.0865339685232207</v>
      </c>
    </row>
    <row r="103" customFormat="false" ht="15" hidden="false" customHeight="false" outlineLevel="0" collapsed="false">
      <c r="A103" s="4" t="n">
        <v>49</v>
      </c>
      <c r="B103" s="9" t="n">
        <v>0.0421</v>
      </c>
      <c r="C103" s="9" t="n">
        <v>0.0511</v>
      </c>
      <c r="D103" s="10" t="n">
        <f aca="false">(C103-B103)*10000</f>
        <v>90</v>
      </c>
      <c r="E103" s="11" t="n">
        <f aca="false">MAX(0,C103-B103)*(1-Parametros!$B$5)</f>
        <v>0.009</v>
      </c>
      <c r="F103" s="11" t="n">
        <f aca="false">B103+E103*Parametros!$B$6</f>
        <v>0.0511</v>
      </c>
      <c r="G103" s="12" t="n">
        <f aca="false">(1+F103/2)^2-1</f>
        <v>0.0517528025</v>
      </c>
      <c r="H103" s="13" t="n">
        <f aca="false">(1+G103)^(-A103)</f>
        <v>0.0843781078672134</v>
      </c>
      <c r="I103" s="11" t="n">
        <f aca="false">B103+E103*Parametros!$B$7</f>
        <v>0.0511</v>
      </c>
      <c r="J103" s="12" t="n">
        <f aca="false">(1+I103/2)^2-1</f>
        <v>0.0517528025</v>
      </c>
      <c r="K103" s="13" t="n">
        <f aca="false">(1+J103)^(-A103)</f>
        <v>0.0843781078672134</v>
      </c>
      <c r="L103" s="11" t="n">
        <f aca="false">B103+E103*Parametros!$B$8</f>
        <v>0.0511</v>
      </c>
      <c r="M103" s="12" t="n">
        <f aca="false">(1+L103/2)^2-1</f>
        <v>0.0517528025</v>
      </c>
      <c r="N103" s="13" t="n">
        <f aca="false">(1+M103)^(-A103)</f>
        <v>0.0843781078672134</v>
      </c>
    </row>
    <row r="104" customFormat="false" ht="15" hidden="false" customHeight="false" outlineLevel="0" collapsed="false">
      <c r="A104" s="4" t="n">
        <v>49.5</v>
      </c>
      <c r="B104" s="9" t="n">
        <v>0.0422</v>
      </c>
      <c r="C104" s="9" t="n">
        <v>0.0511</v>
      </c>
      <c r="D104" s="10" t="n">
        <f aca="false">(C104-B104)*10000</f>
        <v>89</v>
      </c>
      <c r="E104" s="11" t="n">
        <f aca="false">MAX(0,C104-B104)*(1-Parametros!$B$5)</f>
        <v>0.0089</v>
      </c>
      <c r="F104" s="11" t="n">
        <f aca="false">B104+E104*Parametros!$B$6</f>
        <v>0.0511</v>
      </c>
      <c r="G104" s="12" t="n">
        <f aca="false">(1+F104/2)^2-1</f>
        <v>0.0517528025</v>
      </c>
      <c r="H104" s="13" t="n">
        <f aca="false">(1+G104)^(-A104)</f>
        <v>0.0822759571617311</v>
      </c>
      <c r="I104" s="11" t="n">
        <f aca="false">B104+E104*Parametros!$B$7</f>
        <v>0.0511</v>
      </c>
      <c r="J104" s="12" t="n">
        <f aca="false">(1+I104/2)^2-1</f>
        <v>0.0517528025</v>
      </c>
      <c r="K104" s="13" t="n">
        <f aca="false">(1+J104)^(-A104)</f>
        <v>0.0822759571617311</v>
      </c>
      <c r="L104" s="11" t="n">
        <f aca="false">B104+E104*Parametros!$B$8</f>
        <v>0.0511</v>
      </c>
      <c r="M104" s="12" t="n">
        <f aca="false">(1+L104/2)^2-1</f>
        <v>0.0517528025</v>
      </c>
      <c r="N104" s="13" t="n">
        <f aca="false">(1+M104)^(-A104)</f>
        <v>0.0822759571617311</v>
      </c>
    </row>
    <row r="105" customFormat="false" ht="15" hidden="false" customHeight="false" outlineLevel="0" collapsed="false">
      <c r="A105" s="4" t="n">
        <v>50</v>
      </c>
      <c r="B105" s="9" t="n">
        <v>0.0422</v>
      </c>
      <c r="C105" s="9" t="n">
        <v>0.0511</v>
      </c>
      <c r="D105" s="10" t="n">
        <f aca="false">(C105-B105)*10000</f>
        <v>89</v>
      </c>
      <c r="E105" s="11" t="n">
        <f aca="false">MAX(0,C105-B105)*(1-Parametros!$B$5)</f>
        <v>0.0089</v>
      </c>
      <c r="F105" s="11" t="n">
        <f aca="false">B105+E105*Parametros!$B$6</f>
        <v>0.0511</v>
      </c>
      <c r="G105" s="12" t="n">
        <f aca="false">(1+F105/2)^2-1</f>
        <v>0.0517528025</v>
      </c>
      <c r="H105" s="13" t="n">
        <f aca="false">(1+G105)^(-A105)</f>
        <v>0.0802261783060125</v>
      </c>
      <c r="I105" s="11" t="n">
        <f aca="false">B105+E105*Parametros!$B$7</f>
        <v>0.0511</v>
      </c>
      <c r="J105" s="12" t="n">
        <f aca="false">(1+I105/2)^2-1</f>
        <v>0.0517528025</v>
      </c>
      <c r="K105" s="13" t="n">
        <f aca="false">(1+J105)^(-A105)</f>
        <v>0.0802261783060125</v>
      </c>
      <c r="L105" s="11" t="n">
        <f aca="false">B105+E105*Parametros!$B$8</f>
        <v>0.0511</v>
      </c>
      <c r="M105" s="12" t="n">
        <f aca="false">(1+L105/2)^2-1</f>
        <v>0.0517528025</v>
      </c>
      <c r="N105" s="13" t="n">
        <f aca="false">(1+M105)^(-A105)</f>
        <v>0.0802261783060125</v>
      </c>
    </row>
    <row r="106" customFormat="false" ht="15" hidden="false" customHeight="false" outlineLevel="0" collapsed="false">
      <c r="A106" s="4" t="n">
        <v>50.5</v>
      </c>
      <c r="B106" s="9" t="n">
        <v>0.0422</v>
      </c>
      <c r="C106" s="9" t="n">
        <v>0.0511</v>
      </c>
      <c r="D106" s="10" t="n">
        <f aca="false">(C106-B106)*10000</f>
        <v>89</v>
      </c>
      <c r="E106" s="11" t="n">
        <f aca="false">MAX(0,C106-B106)*(1-Parametros!$B$5)</f>
        <v>0.0089</v>
      </c>
      <c r="F106" s="11" t="n">
        <f aca="false">B106+E106*Parametros!$B$6</f>
        <v>0.0511</v>
      </c>
      <c r="G106" s="12" t="n">
        <f aca="false">(1+F106/2)^2-1</f>
        <v>0.0517528025</v>
      </c>
      <c r="H106" s="13" t="n">
        <f aca="false">(1+G106)^(-A106)</f>
        <v>0.0782274665360173</v>
      </c>
      <c r="I106" s="11" t="n">
        <f aca="false">B106+E106*Parametros!$B$7</f>
        <v>0.0511</v>
      </c>
      <c r="J106" s="12" t="n">
        <f aca="false">(1+I106/2)^2-1</f>
        <v>0.0517528025</v>
      </c>
      <c r="K106" s="13" t="n">
        <f aca="false">(1+J106)^(-A106)</f>
        <v>0.0782274665360173</v>
      </c>
      <c r="L106" s="11" t="n">
        <f aca="false">B106+E106*Parametros!$B$8</f>
        <v>0.0511</v>
      </c>
      <c r="M106" s="12" t="n">
        <f aca="false">(1+L106/2)^2-1</f>
        <v>0.0517528025</v>
      </c>
      <c r="N106" s="13" t="n">
        <f aca="false">(1+M106)^(-A106)</f>
        <v>0.0782274665360173</v>
      </c>
    </row>
    <row r="107" customFormat="false" ht="15" hidden="false" customHeight="false" outlineLevel="0" collapsed="false">
      <c r="A107" s="4" t="n">
        <v>51</v>
      </c>
      <c r="B107" s="9" t="n">
        <v>0.0423</v>
      </c>
      <c r="C107" s="9" t="n">
        <v>0.0511</v>
      </c>
      <c r="D107" s="10" t="n">
        <f aca="false">(C107-B107)*10000</f>
        <v>88</v>
      </c>
      <c r="E107" s="11" t="n">
        <f aca="false">MAX(0,C107-B107)*(1-Parametros!$B$5)</f>
        <v>0.0088</v>
      </c>
      <c r="F107" s="11" t="n">
        <f aca="false">B107+E107*Parametros!$B$6</f>
        <v>0.0511</v>
      </c>
      <c r="G107" s="12" t="n">
        <f aca="false">(1+F107/2)^2-1</f>
        <v>0.0517528025</v>
      </c>
      <c r="H107" s="13" t="n">
        <f aca="false">(1+G107)^(-A107)</f>
        <v>0.0762785495938933</v>
      </c>
      <c r="I107" s="11" t="n">
        <f aca="false">B107+E107*Parametros!$B$7</f>
        <v>0.0511</v>
      </c>
      <c r="J107" s="12" t="n">
        <f aca="false">(1+I107/2)^2-1</f>
        <v>0.0517528025</v>
      </c>
      <c r="K107" s="13" t="n">
        <f aca="false">(1+J107)^(-A107)</f>
        <v>0.0762785495938933</v>
      </c>
      <c r="L107" s="11" t="n">
        <f aca="false">B107+E107*Parametros!$B$8</f>
        <v>0.0511</v>
      </c>
      <c r="M107" s="12" t="n">
        <f aca="false">(1+L107/2)^2-1</f>
        <v>0.0517528025</v>
      </c>
      <c r="N107" s="13" t="n">
        <f aca="false">(1+M107)^(-A107)</f>
        <v>0.0762785495938933</v>
      </c>
    </row>
    <row r="108" customFormat="false" ht="15" hidden="false" customHeight="false" outlineLevel="0" collapsed="false">
      <c r="A108" s="4" t="n">
        <v>51.5</v>
      </c>
      <c r="B108" s="9" t="n">
        <v>0.0423</v>
      </c>
      <c r="C108" s="9" t="n">
        <v>0.0511</v>
      </c>
      <c r="D108" s="10" t="n">
        <f aca="false">(C108-B108)*10000</f>
        <v>88</v>
      </c>
      <c r="E108" s="11" t="n">
        <f aca="false">MAX(0,C108-B108)*(1-Parametros!$B$5)</f>
        <v>0.0088</v>
      </c>
      <c r="F108" s="11" t="n">
        <f aca="false">B108+E108*Parametros!$B$6</f>
        <v>0.0511</v>
      </c>
      <c r="G108" s="12" t="n">
        <f aca="false">(1+F108/2)^2-1</f>
        <v>0.0517528025</v>
      </c>
      <c r="H108" s="13" t="n">
        <f aca="false">(1+G108)^(-A108)</f>
        <v>0.0743781869181349</v>
      </c>
      <c r="I108" s="11" t="n">
        <f aca="false">B108+E108*Parametros!$B$7</f>
        <v>0.0511</v>
      </c>
      <c r="J108" s="12" t="n">
        <f aca="false">(1+I108/2)^2-1</f>
        <v>0.0517528025</v>
      </c>
      <c r="K108" s="13" t="n">
        <f aca="false">(1+J108)^(-A108)</f>
        <v>0.0743781869181349</v>
      </c>
      <c r="L108" s="11" t="n">
        <f aca="false">B108+E108*Parametros!$B$8</f>
        <v>0.0511</v>
      </c>
      <c r="M108" s="12" t="n">
        <f aca="false">(1+L108/2)^2-1</f>
        <v>0.0517528025</v>
      </c>
      <c r="N108" s="13" t="n">
        <f aca="false">(1+M108)^(-A108)</f>
        <v>0.0743781869181349</v>
      </c>
    </row>
    <row r="109" customFormat="false" ht="15" hidden="false" customHeight="false" outlineLevel="0" collapsed="false">
      <c r="A109" s="4" t="n">
        <v>52</v>
      </c>
      <c r="B109" s="9" t="n">
        <v>0.0423</v>
      </c>
      <c r="C109" s="9" t="n">
        <v>0.0511</v>
      </c>
      <c r="D109" s="10" t="n">
        <f aca="false">(C109-B109)*10000</f>
        <v>88</v>
      </c>
      <c r="E109" s="11" t="n">
        <f aca="false">MAX(0,C109-B109)*(1-Parametros!$B$5)</f>
        <v>0.0088</v>
      </c>
      <c r="F109" s="11" t="n">
        <f aca="false">B109+E109*Parametros!$B$6</f>
        <v>0.0511</v>
      </c>
      <c r="G109" s="12" t="n">
        <f aca="false">(1+F109/2)^2-1</f>
        <v>0.0517528025</v>
      </c>
      <c r="H109" s="13" t="n">
        <f aca="false">(1+G109)^(-A109)</f>
        <v>0.0725251688539174</v>
      </c>
      <c r="I109" s="11" t="n">
        <f aca="false">B109+E109*Parametros!$B$7</f>
        <v>0.0511</v>
      </c>
      <c r="J109" s="12" t="n">
        <f aca="false">(1+I109/2)^2-1</f>
        <v>0.0517528025</v>
      </c>
      <c r="K109" s="13" t="n">
        <f aca="false">(1+J109)^(-A109)</f>
        <v>0.0725251688539174</v>
      </c>
      <c r="L109" s="11" t="n">
        <f aca="false">B109+E109*Parametros!$B$8</f>
        <v>0.0511</v>
      </c>
      <c r="M109" s="12" t="n">
        <f aca="false">(1+L109/2)^2-1</f>
        <v>0.0517528025</v>
      </c>
      <c r="N109" s="13" t="n">
        <f aca="false">(1+M109)^(-A109)</f>
        <v>0.0725251688539174</v>
      </c>
    </row>
    <row r="110" customFormat="false" ht="15" hidden="false" customHeight="false" outlineLevel="0" collapsed="false">
      <c r="A110" s="4" t="n">
        <v>52.5</v>
      </c>
      <c r="B110" s="9" t="n">
        <v>0.0423</v>
      </c>
      <c r="C110" s="9" t="n">
        <v>0.0511</v>
      </c>
      <c r="D110" s="10" t="n">
        <f aca="false">(C110-B110)*10000</f>
        <v>88</v>
      </c>
      <c r="E110" s="11" t="n">
        <f aca="false">MAX(0,C110-B110)*(1-Parametros!$B$5)</f>
        <v>0.0088</v>
      </c>
      <c r="F110" s="11" t="n">
        <f aca="false">B110+E110*Parametros!$B$6</f>
        <v>0.0511</v>
      </c>
      <c r="G110" s="12" t="n">
        <f aca="false">(1+F110/2)^2-1</f>
        <v>0.0517528025</v>
      </c>
      <c r="H110" s="13" t="n">
        <f aca="false">(1+G110)^(-A110)</f>
        <v>0.0707183158831041</v>
      </c>
      <c r="I110" s="11" t="n">
        <f aca="false">B110+E110*Parametros!$B$7</f>
        <v>0.0511</v>
      </c>
      <c r="J110" s="12" t="n">
        <f aca="false">(1+I110/2)^2-1</f>
        <v>0.0517528025</v>
      </c>
      <c r="K110" s="13" t="n">
        <f aca="false">(1+J110)^(-A110)</f>
        <v>0.0707183158831041</v>
      </c>
      <c r="L110" s="11" t="n">
        <f aca="false">B110+E110*Parametros!$B$8</f>
        <v>0.0511</v>
      </c>
      <c r="M110" s="12" t="n">
        <f aca="false">(1+L110/2)^2-1</f>
        <v>0.0517528025</v>
      </c>
      <c r="N110" s="13" t="n">
        <f aca="false">(1+M110)^(-A110)</f>
        <v>0.0707183158831041</v>
      </c>
    </row>
    <row r="111" customFormat="false" ht="15" hidden="false" customHeight="false" outlineLevel="0" collapsed="false">
      <c r="A111" s="4" t="n">
        <v>53</v>
      </c>
      <c r="B111" s="9" t="n">
        <v>0.0424</v>
      </c>
      <c r="C111" s="9" t="n">
        <v>0.0511</v>
      </c>
      <c r="D111" s="10" t="n">
        <f aca="false">(C111-B111)*10000</f>
        <v>87</v>
      </c>
      <c r="E111" s="11" t="n">
        <f aca="false">MAX(0,C111-B111)*(1-Parametros!$B$5)</f>
        <v>0.0087</v>
      </c>
      <c r="F111" s="11" t="n">
        <f aca="false">B111+E111*Parametros!$B$6</f>
        <v>0.0511</v>
      </c>
      <c r="G111" s="12" t="n">
        <f aca="false">(1+F111/2)^2-1</f>
        <v>0.0517528025</v>
      </c>
      <c r="H111" s="13" t="n">
        <f aca="false">(1+G111)^(-A111)</f>
        <v>0.0689564778734377</v>
      </c>
      <c r="I111" s="11" t="n">
        <f aca="false">B111+E111*Parametros!$B$7</f>
        <v>0.0511</v>
      </c>
      <c r="J111" s="12" t="n">
        <f aca="false">(1+I111/2)^2-1</f>
        <v>0.0517528025</v>
      </c>
      <c r="K111" s="13" t="n">
        <f aca="false">(1+J111)^(-A111)</f>
        <v>0.0689564778734377</v>
      </c>
      <c r="L111" s="11" t="n">
        <f aca="false">B111+E111*Parametros!$B$8</f>
        <v>0.0511</v>
      </c>
      <c r="M111" s="12" t="n">
        <f aca="false">(1+L111/2)^2-1</f>
        <v>0.0517528025</v>
      </c>
      <c r="N111" s="13" t="n">
        <f aca="false">(1+M111)^(-A111)</f>
        <v>0.0689564778734377</v>
      </c>
    </row>
    <row r="112" customFormat="false" ht="15" hidden="false" customHeight="false" outlineLevel="0" collapsed="false">
      <c r="A112" s="4" t="n">
        <v>53.5</v>
      </c>
      <c r="B112" s="9" t="n">
        <v>0.0424</v>
      </c>
      <c r="C112" s="9" t="n">
        <v>0.0511</v>
      </c>
      <c r="D112" s="10" t="n">
        <f aca="false">(C112-B112)*10000</f>
        <v>87</v>
      </c>
      <c r="E112" s="11" t="n">
        <f aca="false">MAX(0,C112-B112)*(1-Parametros!$B$5)</f>
        <v>0.0087</v>
      </c>
      <c r="F112" s="11" t="n">
        <f aca="false">B112+E112*Parametros!$B$6</f>
        <v>0.0511</v>
      </c>
      <c r="G112" s="12" t="n">
        <f aca="false">(1+F112/2)^2-1</f>
        <v>0.0517528025</v>
      </c>
      <c r="H112" s="13" t="n">
        <f aca="false">(1+G112)^(-A112)</f>
        <v>0.0672385333464363</v>
      </c>
      <c r="I112" s="11" t="n">
        <f aca="false">B112+E112*Parametros!$B$7</f>
        <v>0.0511</v>
      </c>
      <c r="J112" s="12" t="n">
        <f aca="false">(1+I112/2)^2-1</f>
        <v>0.0517528025</v>
      </c>
      <c r="K112" s="13" t="n">
        <f aca="false">(1+J112)^(-A112)</f>
        <v>0.0672385333464363</v>
      </c>
      <c r="L112" s="11" t="n">
        <f aca="false">B112+E112*Parametros!$B$8</f>
        <v>0.0511</v>
      </c>
      <c r="M112" s="12" t="n">
        <f aca="false">(1+L112/2)^2-1</f>
        <v>0.0517528025</v>
      </c>
      <c r="N112" s="13" t="n">
        <f aca="false">(1+M112)^(-A112)</f>
        <v>0.0672385333464363</v>
      </c>
    </row>
    <row r="113" customFormat="false" ht="15" hidden="false" customHeight="false" outlineLevel="0" collapsed="false">
      <c r="A113" s="4" t="n">
        <v>54</v>
      </c>
      <c r="B113" s="9" t="n">
        <v>0.0424</v>
      </c>
      <c r="C113" s="9" t="n">
        <v>0.0511</v>
      </c>
      <c r="D113" s="10" t="n">
        <f aca="false">(C113-B113)*10000</f>
        <v>87</v>
      </c>
      <c r="E113" s="11" t="n">
        <f aca="false">MAX(0,C113-B113)*(1-Parametros!$B$5)</f>
        <v>0.0087</v>
      </c>
      <c r="F113" s="11" t="n">
        <f aca="false">B113+E113*Parametros!$B$6</f>
        <v>0.0511</v>
      </c>
      <c r="G113" s="12" t="n">
        <f aca="false">(1+F113/2)^2-1</f>
        <v>0.0517528025</v>
      </c>
      <c r="H113" s="13" t="n">
        <f aca="false">(1+G113)^(-A113)</f>
        <v>0.0655633887635281</v>
      </c>
      <c r="I113" s="11" t="n">
        <f aca="false">B113+E113*Parametros!$B$7</f>
        <v>0.0511</v>
      </c>
      <c r="J113" s="12" t="n">
        <f aca="false">(1+I113/2)^2-1</f>
        <v>0.0517528025</v>
      </c>
      <c r="K113" s="13" t="n">
        <f aca="false">(1+J113)^(-A113)</f>
        <v>0.0655633887635281</v>
      </c>
      <c r="L113" s="11" t="n">
        <f aca="false">B113+E113*Parametros!$B$8</f>
        <v>0.0511</v>
      </c>
      <c r="M113" s="12" t="n">
        <f aca="false">(1+L113/2)^2-1</f>
        <v>0.0517528025</v>
      </c>
      <c r="N113" s="13" t="n">
        <f aca="false">(1+M113)^(-A113)</f>
        <v>0.0655633887635281</v>
      </c>
    </row>
    <row r="114" customFormat="false" ht="15" hidden="false" customHeight="false" outlineLevel="0" collapsed="false">
      <c r="A114" s="4" t="n">
        <v>54.5</v>
      </c>
      <c r="B114" s="9" t="n">
        <v>0.0424</v>
      </c>
      <c r="C114" s="9" t="n">
        <v>0.0511</v>
      </c>
      <c r="D114" s="10" t="n">
        <f aca="false">(C114-B114)*10000</f>
        <v>87</v>
      </c>
      <c r="E114" s="11" t="n">
        <f aca="false">MAX(0,C114-B114)*(1-Parametros!$B$5)</f>
        <v>0.0087</v>
      </c>
      <c r="F114" s="11" t="n">
        <f aca="false">B114+E114*Parametros!$B$6</f>
        <v>0.0511</v>
      </c>
      <c r="G114" s="12" t="n">
        <f aca="false">(1+F114/2)^2-1</f>
        <v>0.0517528025</v>
      </c>
      <c r="H114" s="13" t="n">
        <f aca="false">(1+G114)^(-A114)</f>
        <v>0.0639299778299723</v>
      </c>
      <c r="I114" s="11" t="n">
        <f aca="false">B114+E114*Parametros!$B$7</f>
        <v>0.0511</v>
      </c>
      <c r="J114" s="12" t="n">
        <f aca="false">(1+I114/2)^2-1</f>
        <v>0.0517528025</v>
      </c>
      <c r="K114" s="13" t="n">
        <f aca="false">(1+J114)^(-A114)</f>
        <v>0.0639299778299723</v>
      </c>
      <c r="L114" s="11" t="n">
        <f aca="false">B114+E114*Parametros!$B$8</f>
        <v>0.0511</v>
      </c>
      <c r="M114" s="12" t="n">
        <f aca="false">(1+L114/2)^2-1</f>
        <v>0.0517528025</v>
      </c>
      <c r="N114" s="13" t="n">
        <f aca="false">(1+M114)^(-A114)</f>
        <v>0.0639299778299723</v>
      </c>
    </row>
    <row r="115" customFormat="false" ht="15" hidden="false" customHeight="false" outlineLevel="0" collapsed="false">
      <c r="A115" s="4" t="n">
        <v>55</v>
      </c>
      <c r="B115" s="9" t="n">
        <v>0.0424</v>
      </c>
      <c r="C115" s="9" t="n">
        <v>0.0511</v>
      </c>
      <c r="D115" s="10" t="n">
        <f aca="false">(C115-B115)*10000</f>
        <v>87</v>
      </c>
      <c r="E115" s="11" t="n">
        <f aca="false">MAX(0,C115-B115)*(1-Parametros!$B$5)</f>
        <v>0.0087</v>
      </c>
      <c r="F115" s="11" t="n">
        <f aca="false">B115+E115*Parametros!$B$6</f>
        <v>0.0511</v>
      </c>
      <c r="G115" s="12" t="n">
        <f aca="false">(1+F115/2)^2-1</f>
        <v>0.0517528025</v>
      </c>
      <c r="H115" s="13" t="n">
        <f aca="false">(1+G115)^(-A115)</f>
        <v>0.0623372608161205</v>
      </c>
      <c r="I115" s="11" t="n">
        <f aca="false">B115+E115*Parametros!$B$7</f>
        <v>0.0511</v>
      </c>
      <c r="J115" s="12" t="n">
        <f aca="false">(1+I115/2)^2-1</f>
        <v>0.0517528025</v>
      </c>
      <c r="K115" s="13" t="n">
        <f aca="false">(1+J115)^(-A115)</f>
        <v>0.0623372608161205</v>
      </c>
      <c r="L115" s="11" t="n">
        <f aca="false">B115+E115*Parametros!$B$8</f>
        <v>0.0511</v>
      </c>
      <c r="M115" s="12" t="n">
        <f aca="false">(1+L115/2)^2-1</f>
        <v>0.0517528025</v>
      </c>
      <c r="N115" s="13" t="n">
        <f aca="false">(1+M115)^(-A115)</f>
        <v>0.0623372608161205</v>
      </c>
    </row>
    <row r="116" customFormat="false" ht="15" hidden="false" customHeight="false" outlineLevel="0" collapsed="false">
      <c r="A116" s="4" t="n">
        <v>55.5</v>
      </c>
      <c r="B116" s="9" t="n">
        <v>0.0425</v>
      </c>
      <c r="C116" s="9" t="n">
        <v>0.0511</v>
      </c>
      <c r="D116" s="10" t="n">
        <f aca="false">(C116-B116)*10000</f>
        <v>86</v>
      </c>
      <c r="E116" s="11" t="n">
        <f aca="false">MAX(0,C116-B116)*(1-Parametros!$B$5)</f>
        <v>0.0086</v>
      </c>
      <c r="F116" s="11" t="n">
        <f aca="false">B116+E116*Parametros!$B$6</f>
        <v>0.0511</v>
      </c>
      <c r="G116" s="12" t="n">
        <f aca="false">(1+F116/2)^2-1</f>
        <v>0.0517528025</v>
      </c>
      <c r="H116" s="13" t="n">
        <f aca="false">(1+G116)^(-A116)</f>
        <v>0.0607842238955882</v>
      </c>
      <c r="I116" s="11" t="n">
        <f aca="false">B116+E116*Parametros!$B$7</f>
        <v>0.0511</v>
      </c>
      <c r="J116" s="12" t="n">
        <f aca="false">(1+I116/2)^2-1</f>
        <v>0.0517528025</v>
      </c>
      <c r="K116" s="13" t="n">
        <f aca="false">(1+J116)^(-A116)</f>
        <v>0.0607842238955882</v>
      </c>
      <c r="L116" s="11" t="n">
        <f aca="false">B116+E116*Parametros!$B$8</f>
        <v>0.0511</v>
      </c>
      <c r="M116" s="12" t="n">
        <f aca="false">(1+L116/2)^2-1</f>
        <v>0.0517528025</v>
      </c>
      <c r="N116" s="13" t="n">
        <f aca="false">(1+M116)^(-A116)</f>
        <v>0.0607842238955882</v>
      </c>
    </row>
    <row r="117" customFormat="false" ht="15" hidden="false" customHeight="false" outlineLevel="0" collapsed="false">
      <c r="A117" s="4" t="n">
        <v>56</v>
      </c>
      <c r="B117" s="9" t="n">
        <v>0.0425</v>
      </c>
      <c r="C117" s="9" t="n">
        <v>0.0511</v>
      </c>
      <c r="D117" s="10" t="n">
        <f aca="false">(C117-B117)*10000</f>
        <v>86</v>
      </c>
      <c r="E117" s="11" t="n">
        <f aca="false">MAX(0,C117-B117)*(1-Parametros!$B$5)</f>
        <v>0.0086</v>
      </c>
      <c r="F117" s="11" t="n">
        <f aca="false">B117+E117*Parametros!$B$6</f>
        <v>0.0511</v>
      </c>
      <c r="G117" s="12" t="n">
        <f aca="false">(1+F117/2)^2-1</f>
        <v>0.0517528025</v>
      </c>
      <c r="H117" s="13" t="n">
        <f aca="false">(1+G117)^(-A117)</f>
        <v>0.0592698784999153</v>
      </c>
      <c r="I117" s="11" t="n">
        <f aca="false">B117+E117*Parametros!$B$7</f>
        <v>0.0511</v>
      </c>
      <c r="J117" s="12" t="n">
        <f aca="false">(1+I117/2)^2-1</f>
        <v>0.0517528025</v>
      </c>
      <c r="K117" s="13" t="n">
        <f aca="false">(1+J117)^(-A117)</f>
        <v>0.0592698784999153</v>
      </c>
      <c r="L117" s="11" t="n">
        <f aca="false">B117+E117*Parametros!$B$8</f>
        <v>0.0511</v>
      </c>
      <c r="M117" s="12" t="n">
        <f aca="false">(1+L117/2)^2-1</f>
        <v>0.0517528025</v>
      </c>
      <c r="N117" s="13" t="n">
        <f aca="false">(1+M117)^(-A117)</f>
        <v>0.0592698784999153</v>
      </c>
    </row>
    <row r="118" customFormat="false" ht="15" hidden="false" customHeight="false" outlineLevel="0" collapsed="false">
      <c r="A118" s="4" t="n">
        <v>56.5</v>
      </c>
      <c r="B118" s="9" t="n">
        <v>0.0425</v>
      </c>
      <c r="C118" s="9" t="n">
        <v>0.0511</v>
      </c>
      <c r="D118" s="10" t="n">
        <f aca="false">(C118-B118)*10000</f>
        <v>86</v>
      </c>
      <c r="E118" s="11" t="n">
        <f aca="false">MAX(0,C118-B118)*(1-Parametros!$B$5)</f>
        <v>0.0086</v>
      </c>
      <c r="F118" s="11" t="n">
        <f aca="false">B118+E118*Parametros!$B$6</f>
        <v>0.0511</v>
      </c>
      <c r="G118" s="12" t="n">
        <f aca="false">(1+F118/2)^2-1</f>
        <v>0.0517528025</v>
      </c>
      <c r="H118" s="13" t="n">
        <f aca="false">(1+G118)^(-A118)</f>
        <v>0.0577932606893036</v>
      </c>
      <c r="I118" s="11" t="n">
        <f aca="false">B118+E118*Parametros!$B$7</f>
        <v>0.0511</v>
      </c>
      <c r="J118" s="12" t="n">
        <f aca="false">(1+I118/2)^2-1</f>
        <v>0.0517528025</v>
      </c>
      <c r="K118" s="13" t="n">
        <f aca="false">(1+J118)^(-A118)</f>
        <v>0.0577932606893036</v>
      </c>
      <c r="L118" s="11" t="n">
        <f aca="false">B118+E118*Parametros!$B$8</f>
        <v>0.0511</v>
      </c>
      <c r="M118" s="12" t="n">
        <f aca="false">(1+L118/2)^2-1</f>
        <v>0.0517528025</v>
      </c>
      <c r="N118" s="13" t="n">
        <f aca="false">(1+M118)^(-A118)</f>
        <v>0.0577932606893036</v>
      </c>
    </row>
    <row r="119" customFormat="false" ht="15" hidden="false" customHeight="false" outlineLevel="0" collapsed="false">
      <c r="A119" s="4" t="n">
        <v>57</v>
      </c>
      <c r="B119" s="9" t="n">
        <v>0.0425</v>
      </c>
      <c r="C119" s="9" t="n">
        <v>0.0511</v>
      </c>
      <c r="D119" s="10" t="n">
        <f aca="false">(C119-B119)*10000</f>
        <v>86</v>
      </c>
      <c r="E119" s="11" t="n">
        <f aca="false">MAX(0,C119-B119)*(1-Parametros!$B$5)</f>
        <v>0.0086</v>
      </c>
      <c r="F119" s="11" t="n">
        <f aca="false">B119+E119*Parametros!$B$6</f>
        <v>0.0511</v>
      </c>
      <c r="G119" s="12" t="n">
        <f aca="false">(1+F119/2)^2-1</f>
        <v>0.0517528025</v>
      </c>
      <c r="H119" s="13" t="n">
        <f aca="false">(1+G119)^(-A119)</f>
        <v>0.0563534305390314</v>
      </c>
      <c r="I119" s="11" t="n">
        <f aca="false">B119+E119*Parametros!$B$7</f>
        <v>0.0511</v>
      </c>
      <c r="J119" s="12" t="n">
        <f aca="false">(1+I119/2)^2-1</f>
        <v>0.0517528025</v>
      </c>
      <c r="K119" s="13" t="n">
        <f aca="false">(1+J119)^(-A119)</f>
        <v>0.0563534305390314</v>
      </c>
      <c r="L119" s="11" t="n">
        <f aca="false">B119+E119*Parametros!$B$8</f>
        <v>0.0511</v>
      </c>
      <c r="M119" s="12" t="n">
        <f aca="false">(1+L119/2)^2-1</f>
        <v>0.0517528025</v>
      </c>
      <c r="N119" s="13" t="n">
        <f aca="false">(1+M119)^(-A119)</f>
        <v>0.0563534305390314</v>
      </c>
    </row>
    <row r="120" customFormat="false" ht="15" hidden="false" customHeight="false" outlineLevel="0" collapsed="false">
      <c r="A120" s="4" t="n">
        <v>57.5</v>
      </c>
      <c r="B120" s="9" t="n">
        <v>0.0426</v>
      </c>
      <c r="C120" s="9" t="n">
        <v>0.0511</v>
      </c>
      <c r="D120" s="10" t="n">
        <f aca="false">(C120-B120)*10000</f>
        <v>85</v>
      </c>
      <c r="E120" s="11" t="n">
        <f aca="false">MAX(0,C120-B120)*(1-Parametros!$B$5)</f>
        <v>0.0085</v>
      </c>
      <c r="F120" s="11" t="n">
        <f aca="false">B120+E120*Parametros!$B$6</f>
        <v>0.0511</v>
      </c>
      <c r="G120" s="12" t="n">
        <f aca="false">(1+F120/2)^2-1</f>
        <v>0.0517528025</v>
      </c>
      <c r="H120" s="13" t="n">
        <f aca="false">(1+G120)^(-A120)</f>
        <v>0.0549494715411549</v>
      </c>
      <c r="I120" s="11" t="n">
        <f aca="false">B120+E120*Parametros!$B$7</f>
        <v>0.0511</v>
      </c>
      <c r="J120" s="12" t="n">
        <f aca="false">(1+I120/2)^2-1</f>
        <v>0.0517528025</v>
      </c>
      <c r="K120" s="13" t="n">
        <f aca="false">(1+J120)^(-A120)</f>
        <v>0.0549494715411549</v>
      </c>
      <c r="L120" s="11" t="n">
        <f aca="false">B120+E120*Parametros!$B$8</f>
        <v>0.0511</v>
      </c>
      <c r="M120" s="12" t="n">
        <f aca="false">(1+L120/2)^2-1</f>
        <v>0.0517528025</v>
      </c>
      <c r="N120" s="13" t="n">
        <f aca="false">(1+M120)^(-A120)</f>
        <v>0.0549494715411549</v>
      </c>
    </row>
    <row r="121" customFormat="false" ht="15" hidden="false" customHeight="false" outlineLevel="0" collapsed="false">
      <c r="A121" s="4" t="n">
        <v>58</v>
      </c>
      <c r="B121" s="9" t="n">
        <v>0.0426</v>
      </c>
      <c r="C121" s="9" t="n">
        <v>0.0511</v>
      </c>
      <c r="D121" s="10" t="n">
        <f aca="false">(C121-B121)*10000</f>
        <v>85</v>
      </c>
      <c r="E121" s="11" t="n">
        <f aca="false">MAX(0,C121-B121)*(1-Parametros!$B$5)</f>
        <v>0.0085</v>
      </c>
      <c r="F121" s="11" t="n">
        <f aca="false">B121+E121*Parametros!$B$6</f>
        <v>0.0511</v>
      </c>
      <c r="G121" s="12" t="n">
        <f aca="false">(1+F121/2)^2-1</f>
        <v>0.0517528025</v>
      </c>
      <c r="H121" s="13" t="n">
        <f aca="false">(1+G121)^(-A121)</f>
        <v>0.0535804900211154</v>
      </c>
      <c r="I121" s="11" t="n">
        <f aca="false">B121+E121*Parametros!$B$7</f>
        <v>0.0511</v>
      </c>
      <c r="J121" s="12" t="n">
        <f aca="false">(1+I121/2)^2-1</f>
        <v>0.0517528025</v>
      </c>
      <c r="K121" s="13" t="n">
        <f aca="false">(1+J121)^(-A121)</f>
        <v>0.0535804900211154</v>
      </c>
      <c r="L121" s="11" t="n">
        <f aca="false">B121+E121*Parametros!$B$8</f>
        <v>0.0511</v>
      </c>
      <c r="M121" s="12" t="n">
        <f aca="false">(1+L121/2)^2-1</f>
        <v>0.0517528025</v>
      </c>
      <c r="N121" s="13" t="n">
        <f aca="false">(1+M121)^(-A121)</f>
        <v>0.0535804900211154</v>
      </c>
    </row>
    <row r="122" customFormat="false" ht="15" hidden="false" customHeight="false" outlineLevel="0" collapsed="false">
      <c r="A122" s="4" t="n">
        <v>58.5</v>
      </c>
      <c r="B122" s="9" t="n">
        <v>0.0426</v>
      </c>
      <c r="C122" s="9" t="n">
        <v>0.0511</v>
      </c>
      <c r="D122" s="10" t="n">
        <f aca="false">(C122-B122)*10000</f>
        <v>85</v>
      </c>
      <c r="E122" s="11" t="n">
        <f aca="false">MAX(0,C122-B122)*(1-Parametros!$B$5)</f>
        <v>0.0085</v>
      </c>
      <c r="F122" s="11" t="n">
        <f aca="false">B122+E122*Parametros!$B$6</f>
        <v>0.0511</v>
      </c>
      <c r="G122" s="12" t="n">
        <f aca="false">(1+F122/2)^2-1</f>
        <v>0.0517528025</v>
      </c>
      <c r="H122" s="13" t="n">
        <f aca="false">(1+G122)^(-A122)</f>
        <v>0.0522456145688805</v>
      </c>
      <c r="I122" s="11" t="n">
        <f aca="false">B122+E122*Parametros!$B$7</f>
        <v>0.0511</v>
      </c>
      <c r="J122" s="12" t="n">
        <f aca="false">(1+I122/2)^2-1</f>
        <v>0.0517528025</v>
      </c>
      <c r="K122" s="13" t="n">
        <f aca="false">(1+J122)^(-A122)</f>
        <v>0.0522456145688805</v>
      </c>
      <c r="L122" s="11" t="n">
        <f aca="false">B122+E122*Parametros!$B$8</f>
        <v>0.0511</v>
      </c>
      <c r="M122" s="12" t="n">
        <f aca="false">(1+L122/2)^2-1</f>
        <v>0.0517528025</v>
      </c>
      <c r="N122" s="13" t="n">
        <f aca="false">(1+M122)^(-A122)</f>
        <v>0.0522456145688805</v>
      </c>
    </row>
    <row r="123" customFormat="false" ht="15" hidden="false" customHeight="false" outlineLevel="0" collapsed="false">
      <c r="A123" s="4" t="n">
        <v>59</v>
      </c>
      <c r="B123" s="9" t="n">
        <v>0.0426</v>
      </c>
      <c r="C123" s="9" t="n">
        <v>0.0511</v>
      </c>
      <c r="D123" s="10" t="n">
        <f aca="false">(C123-B123)*10000</f>
        <v>85</v>
      </c>
      <c r="E123" s="11" t="n">
        <f aca="false">MAX(0,C123-B123)*(1-Parametros!$B$5)</f>
        <v>0.0085</v>
      </c>
      <c r="F123" s="11" t="n">
        <f aca="false">B123+E123*Parametros!$B$6</f>
        <v>0.0511</v>
      </c>
      <c r="G123" s="12" t="n">
        <f aca="false">(1+F123/2)^2-1</f>
        <v>0.0517528025</v>
      </c>
      <c r="H123" s="13" t="n">
        <f aca="false">(1+G123)^(-A123)</f>
        <v>0.0509439954842577</v>
      </c>
      <c r="I123" s="11" t="n">
        <f aca="false">B123+E123*Parametros!$B$7</f>
        <v>0.0511</v>
      </c>
      <c r="J123" s="12" t="n">
        <f aca="false">(1+I123/2)^2-1</f>
        <v>0.0517528025</v>
      </c>
      <c r="K123" s="13" t="n">
        <f aca="false">(1+J123)^(-A123)</f>
        <v>0.0509439954842577</v>
      </c>
      <c r="L123" s="11" t="n">
        <f aca="false">B123+E123*Parametros!$B$8</f>
        <v>0.0511</v>
      </c>
      <c r="M123" s="12" t="n">
        <f aca="false">(1+L123/2)^2-1</f>
        <v>0.0517528025</v>
      </c>
      <c r="N123" s="13" t="n">
        <f aca="false">(1+M123)^(-A123)</f>
        <v>0.0509439954842577</v>
      </c>
    </row>
    <row r="124" customFormat="false" ht="15" hidden="false" customHeight="false" outlineLevel="0" collapsed="false">
      <c r="A124" s="4" t="n">
        <v>59.5</v>
      </c>
      <c r="B124" s="9" t="n">
        <v>0.0426</v>
      </c>
      <c r="C124" s="9" t="n">
        <v>0.0511</v>
      </c>
      <c r="D124" s="10" t="n">
        <f aca="false">(C124-B124)*10000</f>
        <v>85</v>
      </c>
      <c r="E124" s="11" t="n">
        <f aca="false">MAX(0,C124-B124)*(1-Parametros!$B$5)</f>
        <v>0.0085</v>
      </c>
      <c r="F124" s="11" t="n">
        <f aca="false">B124+E124*Parametros!$B$6</f>
        <v>0.0511</v>
      </c>
      <c r="G124" s="12" t="n">
        <f aca="false">(1+F124/2)^2-1</f>
        <v>0.0517528025</v>
      </c>
      <c r="H124" s="13" t="n">
        <f aca="false">(1+G124)^(-A124)</f>
        <v>0.0496748042360272</v>
      </c>
      <c r="I124" s="11" t="n">
        <f aca="false">B124+E124*Parametros!$B$7</f>
        <v>0.0511</v>
      </c>
      <c r="J124" s="12" t="n">
        <f aca="false">(1+I124/2)^2-1</f>
        <v>0.0517528025</v>
      </c>
      <c r="K124" s="13" t="n">
        <f aca="false">(1+J124)^(-A124)</f>
        <v>0.0496748042360272</v>
      </c>
      <c r="L124" s="11" t="n">
        <f aca="false">B124+E124*Parametros!$B$8</f>
        <v>0.0511</v>
      </c>
      <c r="M124" s="12" t="n">
        <f aca="false">(1+L124/2)^2-1</f>
        <v>0.0517528025</v>
      </c>
      <c r="N124" s="13" t="n">
        <f aca="false">(1+M124)^(-A124)</f>
        <v>0.0496748042360272</v>
      </c>
    </row>
    <row r="125" customFormat="false" ht="15" hidden="false" customHeight="false" outlineLevel="0" collapsed="false">
      <c r="A125" s="4" t="n">
        <v>60</v>
      </c>
      <c r="B125" s="9" t="n">
        <v>0.0427</v>
      </c>
      <c r="C125" s="9" t="n">
        <v>0.0511</v>
      </c>
      <c r="D125" s="10" t="n">
        <f aca="false">(C125-B125)*10000</f>
        <v>84</v>
      </c>
      <c r="E125" s="11" t="n">
        <f aca="false">MAX(0,C125-B125)*(1-Parametros!$B$5)</f>
        <v>0.0084</v>
      </c>
      <c r="F125" s="11" t="n">
        <f aca="false">B125+E125*Parametros!$B$6</f>
        <v>0.0511</v>
      </c>
      <c r="G125" s="12" t="n">
        <f aca="false">(1+F125/2)^2-1</f>
        <v>0.0517528025</v>
      </c>
      <c r="H125" s="13" t="n">
        <f aca="false">(1+G125)^(-A125)</f>
        <v>0.0484372329345495</v>
      </c>
      <c r="I125" s="11" t="n">
        <f aca="false">B125+E125*Parametros!$B$7</f>
        <v>0.0511</v>
      </c>
      <c r="J125" s="12" t="n">
        <f aca="false">(1+I125/2)^2-1</f>
        <v>0.0517528025</v>
      </c>
      <c r="K125" s="13" t="n">
        <f aca="false">(1+J125)^(-A125)</f>
        <v>0.0484372329345495</v>
      </c>
      <c r="L125" s="11" t="n">
        <f aca="false">B125+E125*Parametros!$B$8</f>
        <v>0.0511</v>
      </c>
      <c r="M125" s="12" t="n">
        <f aca="false">(1+L125/2)^2-1</f>
        <v>0.0517528025</v>
      </c>
      <c r="N125" s="13" t="n">
        <f aca="false">(1+M125)^(-A125)</f>
        <v>0.0484372329345495</v>
      </c>
    </row>
    <row r="126" customFormat="false" ht="15" hidden="false" customHeight="false" outlineLevel="0" collapsed="false">
      <c r="A126" s="4" t="n">
        <v>60.5</v>
      </c>
      <c r="B126" s="9" t="n">
        <v>0.0427</v>
      </c>
      <c r="C126" s="9" t="n">
        <v>0.0511</v>
      </c>
      <c r="D126" s="10" t="n">
        <f aca="false">(C126-B126)*10000</f>
        <v>84</v>
      </c>
      <c r="E126" s="11" t="n">
        <f aca="false">MAX(0,C126-B126)*(1-Parametros!$B$5)</f>
        <v>0.0084</v>
      </c>
      <c r="F126" s="11" t="n">
        <f aca="false">B126+E126*Parametros!$B$6</f>
        <v>0.0511</v>
      </c>
      <c r="G126" s="12" t="n">
        <f aca="false">(1+F126/2)^2-1</f>
        <v>0.0517528025</v>
      </c>
      <c r="H126" s="13" t="n">
        <f aca="false">(1+G126)^(-A126)</f>
        <v>0.047230493817512</v>
      </c>
      <c r="I126" s="11" t="n">
        <f aca="false">B126+E126*Parametros!$B$7</f>
        <v>0.0511</v>
      </c>
      <c r="J126" s="12" t="n">
        <f aca="false">(1+I126/2)^2-1</f>
        <v>0.0517528025</v>
      </c>
      <c r="K126" s="13" t="n">
        <f aca="false">(1+J126)^(-A126)</f>
        <v>0.047230493817512</v>
      </c>
      <c r="L126" s="11" t="n">
        <f aca="false">B126+E126*Parametros!$B$8</f>
        <v>0.0511</v>
      </c>
      <c r="M126" s="12" t="n">
        <f aca="false">(1+L126/2)^2-1</f>
        <v>0.0517528025</v>
      </c>
      <c r="N126" s="13" t="n">
        <f aca="false">(1+M126)^(-A126)</f>
        <v>0.047230493817512</v>
      </c>
    </row>
    <row r="127" customFormat="false" ht="15" hidden="false" customHeight="false" outlineLevel="0" collapsed="false">
      <c r="A127" s="4" t="n">
        <v>61</v>
      </c>
      <c r="B127" s="9" t="n">
        <v>0.0427</v>
      </c>
      <c r="C127" s="9" t="n">
        <v>0.0511</v>
      </c>
      <c r="D127" s="10" t="n">
        <f aca="false">(C127-B127)*10000</f>
        <v>84</v>
      </c>
      <c r="E127" s="11" t="n">
        <f aca="false">MAX(0,C127-B127)*(1-Parametros!$B$5)</f>
        <v>0.0084</v>
      </c>
      <c r="F127" s="11" t="n">
        <f aca="false">B127+E127*Parametros!$B$6</f>
        <v>0.0511</v>
      </c>
      <c r="G127" s="12" t="n">
        <f aca="false">(1+F127/2)^2-1</f>
        <v>0.0517528025</v>
      </c>
      <c r="H127" s="13" t="n">
        <f aca="false">(1+G127)^(-A127)</f>
        <v>0.0460538187484881</v>
      </c>
      <c r="I127" s="11" t="n">
        <f aca="false">B127+E127*Parametros!$B$7</f>
        <v>0.0511</v>
      </c>
      <c r="J127" s="12" t="n">
        <f aca="false">(1+I127/2)^2-1</f>
        <v>0.0517528025</v>
      </c>
      <c r="K127" s="13" t="n">
        <f aca="false">(1+J127)^(-A127)</f>
        <v>0.0460538187484881</v>
      </c>
      <c r="L127" s="11" t="n">
        <f aca="false">B127+E127*Parametros!$B$8</f>
        <v>0.0511</v>
      </c>
      <c r="M127" s="12" t="n">
        <f aca="false">(1+L127/2)^2-1</f>
        <v>0.0517528025</v>
      </c>
      <c r="N127" s="13" t="n">
        <f aca="false">(1+M127)^(-A127)</f>
        <v>0.0460538187484881</v>
      </c>
    </row>
    <row r="128" customFormat="false" ht="15" hidden="false" customHeight="false" outlineLevel="0" collapsed="false">
      <c r="A128" s="4" t="n">
        <v>61.5</v>
      </c>
      <c r="B128" s="9" t="n">
        <v>0.0427</v>
      </c>
      <c r="C128" s="9" t="n">
        <v>0.0511</v>
      </c>
      <c r="D128" s="10" t="n">
        <f aca="false">(C128-B128)*10000</f>
        <v>84</v>
      </c>
      <c r="E128" s="11" t="n">
        <f aca="false">MAX(0,C128-B128)*(1-Parametros!$B$5)</f>
        <v>0.0084</v>
      </c>
      <c r="F128" s="11" t="n">
        <f aca="false">B128+E128*Parametros!$B$6</f>
        <v>0.0511</v>
      </c>
      <c r="G128" s="12" t="n">
        <f aca="false">(1+F128/2)^2-1</f>
        <v>0.0517528025</v>
      </c>
      <c r="H128" s="13" t="n">
        <f aca="false">(1+G128)^(-A128)</f>
        <v>0.0449064587279881</v>
      </c>
      <c r="I128" s="11" t="n">
        <f aca="false">B128+E128*Parametros!$B$7</f>
        <v>0.0511</v>
      </c>
      <c r="J128" s="12" t="n">
        <f aca="false">(1+I128/2)^2-1</f>
        <v>0.0517528025</v>
      </c>
      <c r="K128" s="13" t="n">
        <f aca="false">(1+J128)^(-A128)</f>
        <v>0.0449064587279881</v>
      </c>
      <c r="L128" s="11" t="n">
        <f aca="false">B128+E128*Parametros!$B$8</f>
        <v>0.0511</v>
      </c>
      <c r="M128" s="12" t="n">
        <f aca="false">(1+L128/2)^2-1</f>
        <v>0.0517528025</v>
      </c>
      <c r="N128" s="13" t="n">
        <f aca="false">(1+M128)^(-A128)</f>
        <v>0.0449064587279881</v>
      </c>
    </row>
    <row r="129" customFormat="false" ht="15" hidden="false" customHeight="false" outlineLevel="0" collapsed="false">
      <c r="A129" s="4" t="n">
        <v>62</v>
      </c>
      <c r="B129" s="9" t="n">
        <v>0.0427</v>
      </c>
      <c r="C129" s="9" t="n">
        <v>0.0511</v>
      </c>
      <c r="D129" s="10" t="n">
        <f aca="false">(C129-B129)*10000</f>
        <v>84</v>
      </c>
      <c r="E129" s="11" t="n">
        <f aca="false">MAX(0,C129-B129)*(1-Parametros!$B$5)</f>
        <v>0.0084</v>
      </c>
      <c r="F129" s="11" t="n">
        <f aca="false">B129+E129*Parametros!$B$6</f>
        <v>0.0511</v>
      </c>
      <c r="G129" s="12" t="n">
        <f aca="false">(1+F129/2)^2-1</f>
        <v>0.0517528025</v>
      </c>
      <c r="H129" s="13" t="n">
        <f aca="false">(1+G129)^(-A129)</f>
        <v>0.0437876834166916</v>
      </c>
      <c r="I129" s="11" t="n">
        <f aca="false">B129+E129*Parametros!$B$7</f>
        <v>0.0511</v>
      </c>
      <c r="J129" s="12" t="n">
        <f aca="false">(1+I129/2)^2-1</f>
        <v>0.0517528025</v>
      </c>
      <c r="K129" s="13" t="n">
        <f aca="false">(1+J129)^(-A129)</f>
        <v>0.0437876834166916</v>
      </c>
      <c r="L129" s="11" t="n">
        <f aca="false">B129+E129*Parametros!$B$8</f>
        <v>0.0511</v>
      </c>
      <c r="M129" s="12" t="n">
        <f aca="false">(1+L129/2)^2-1</f>
        <v>0.0517528025</v>
      </c>
      <c r="N129" s="13" t="n">
        <f aca="false">(1+M129)^(-A129)</f>
        <v>0.0437876834166916</v>
      </c>
    </row>
    <row r="130" customFormat="false" ht="15" hidden="false" customHeight="false" outlineLevel="0" collapsed="false">
      <c r="A130" s="4" t="n">
        <v>62.5</v>
      </c>
      <c r="B130" s="9" t="n">
        <v>0.0427</v>
      </c>
      <c r="C130" s="9" t="n">
        <v>0.0511</v>
      </c>
      <c r="D130" s="10" t="n">
        <f aca="false">(C130-B130)*10000</f>
        <v>84</v>
      </c>
      <c r="E130" s="11" t="n">
        <f aca="false">MAX(0,C130-B130)*(1-Parametros!$B$5)</f>
        <v>0.0084</v>
      </c>
      <c r="F130" s="11" t="n">
        <f aca="false">B130+E130*Parametros!$B$6</f>
        <v>0.0511</v>
      </c>
      <c r="G130" s="12" t="n">
        <f aca="false">(1+F130/2)^2-1</f>
        <v>0.0517528025</v>
      </c>
      <c r="H130" s="13" t="n">
        <f aca="false">(1+G130)^(-A130)</f>
        <v>0.0426967806705588</v>
      </c>
      <c r="I130" s="11" t="n">
        <f aca="false">B130+E130*Parametros!$B$7</f>
        <v>0.0511</v>
      </c>
      <c r="J130" s="12" t="n">
        <f aca="false">(1+I130/2)^2-1</f>
        <v>0.0517528025</v>
      </c>
      <c r="K130" s="13" t="n">
        <f aca="false">(1+J130)^(-A130)</f>
        <v>0.0426967806705588</v>
      </c>
      <c r="L130" s="11" t="n">
        <f aca="false">B130+E130*Parametros!$B$8</f>
        <v>0.0511</v>
      </c>
      <c r="M130" s="12" t="n">
        <f aca="false">(1+L130/2)^2-1</f>
        <v>0.0517528025</v>
      </c>
      <c r="N130" s="13" t="n">
        <f aca="false">(1+M130)^(-A130)</f>
        <v>0.0426967806705588</v>
      </c>
    </row>
    <row r="131" customFormat="false" ht="15" hidden="false" customHeight="false" outlineLevel="0" collapsed="false">
      <c r="A131" s="4" t="n">
        <v>63</v>
      </c>
      <c r="B131" s="9" t="n">
        <v>0.0428</v>
      </c>
      <c r="C131" s="9" t="n">
        <v>0.0511</v>
      </c>
      <c r="D131" s="10" t="n">
        <f aca="false">(C131-B131)*10000</f>
        <v>83</v>
      </c>
      <c r="E131" s="11" t="n">
        <f aca="false">MAX(0,C131-B131)*(1-Parametros!$B$5)</f>
        <v>0.0083</v>
      </c>
      <c r="F131" s="11" t="n">
        <f aca="false">B131+E131*Parametros!$B$6</f>
        <v>0.0511</v>
      </c>
      <c r="G131" s="12" t="n">
        <f aca="false">(1+F131/2)^2-1</f>
        <v>0.0517528025</v>
      </c>
      <c r="H131" s="13" t="n">
        <f aca="false">(1+G131)^(-A131)</f>
        <v>0.0416330560875226</v>
      </c>
      <c r="I131" s="11" t="n">
        <f aca="false">B131+E131*Parametros!$B$7</f>
        <v>0.0511</v>
      </c>
      <c r="J131" s="12" t="n">
        <f aca="false">(1+I131/2)^2-1</f>
        <v>0.0517528025</v>
      </c>
      <c r="K131" s="13" t="n">
        <f aca="false">(1+J131)^(-A131)</f>
        <v>0.0416330560875226</v>
      </c>
      <c r="L131" s="11" t="n">
        <f aca="false">B131+E131*Parametros!$B$8</f>
        <v>0.0511</v>
      </c>
      <c r="M131" s="12" t="n">
        <f aca="false">(1+L131/2)^2-1</f>
        <v>0.0517528025</v>
      </c>
      <c r="N131" s="13" t="n">
        <f aca="false">(1+M131)^(-A131)</f>
        <v>0.0416330560875226</v>
      </c>
    </row>
    <row r="132" customFormat="false" ht="15" hidden="false" customHeight="false" outlineLevel="0" collapsed="false">
      <c r="A132" s="4" t="n">
        <v>63.5</v>
      </c>
      <c r="B132" s="9" t="n">
        <v>0.0428</v>
      </c>
      <c r="C132" s="9" t="n">
        <v>0.0511</v>
      </c>
      <c r="D132" s="10" t="n">
        <f aca="false">(C132-B132)*10000</f>
        <v>83</v>
      </c>
      <c r="E132" s="11" t="n">
        <f aca="false">MAX(0,C132-B132)*(1-Parametros!$B$5)</f>
        <v>0.0083</v>
      </c>
      <c r="F132" s="11" t="n">
        <f aca="false">B132+E132*Parametros!$B$6</f>
        <v>0.0511</v>
      </c>
      <c r="G132" s="12" t="n">
        <f aca="false">(1+F132/2)^2-1</f>
        <v>0.0517528025</v>
      </c>
      <c r="H132" s="13" t="n">
        <f aca="false">(1+G132)^(-A132)</f>
        <v>0.0405958325654747</v>
      </c>
      <c r="I132" s="11" t="n">
        <f aca="false">B132+E132*Parametros!$B$7</f>
        <v>0.0511</v>
      </c>
      <c r="J132" s="12" t="n">
        <f aca="false">(1+I132/2)^2-1</f>
        <v>0.0517528025</v>
      </c>
      <c r="K132" s="13" t="n">
        <f aca="false">(1+J132)^(-A132)</f>
        <v>0.0405958325654747</v>
      </c>
      <c r="L132" s="11" t="n">
        <f aca="false">B132+E132*Parametros!$B$8</f>
        <v>0.0511</v>
      </c>
      <c r="M132" s="12" t="n">
        <f aca="false">(1+L132/2)^2-1</f>
        <v>0.0517528025</v>
      </c>
      <c r="N132" s="13" t="n">
        <f aca="false">(1+M132)^(-A132)</f>
        <v>0.0405958325654747</v>
      </c>
    </row>
    <row r="133" customFormat="false" ht="15" hidden="false" customHeight="false" outlineLevel="0" collapsed="false">
      <c r="A133" s="4" t="n">
        <v>64</v>
      </c>
      <c r="B133" s="9" t="n">
        <v>0.0428</v>
      </c>
      <c r="C133" s="9" t="n">
        <v>0.0511</v>
      </c>
      <c r="D133" s="10" t="n">
        <f aca="false">(C133-B133)*10000</f>
        <v>83</v>
      </c>
      <c r="E133" s="11" t="n">
        <f aca="false">MAX(0,C133-B133)*(1-Parametros!$B$5)</f>
        <v>0.0083</v>
      </c>
      <c r="F133" s="11" t="n">
        <f aca="false">B133+E133*Parametros!$B$6</f>
        <v>0.0511</v>
      </c>
      <c r="G133" s="12" t="n">
        <f aca="false">(1+F133/2)^2-1</f>
        <v>0.0517528025</v>
      </c>
      <c r="H133" s="13" t="n">
        <f aca="false">(1+G133)^(-A133)</f>
        <v>0.0395844498712639</v>
      </c>
      <c r="I133" s="11" t="n">
        <f aca="false">B133+E133*Parametros!$B$7</f>
        <v>0.0511</v>
      </c>
      <c r="J133" s="12" t="n">
        <f aca="false">(1+I133/2)^2-1</f>
        <v>0.0517528025</v>
      </c>
      <c r="K133" s="13" t="n">
        <f aca="false">(1+J133)^(-A133)</f>
        <v>0.0395844498712639</v>
      </c>
      <c r="L133" s="11" t="n">
        <f aca="false">B133+E133*Parametros!$B$8</f>
        <v>0.0511</v>
      </c>
      <c r="M133" s="12" t="n">
        <f aca="false">(1+L133/2)^2-1</f>
        <v>0.0517528025</v>
      </c>
      <c r="N133" s="13" t="n">
        <f aca="false">(1+M133)^(-A133)</f>
        <v>0.0395844498712639</v>
      </c>
    </row>
    <row r="134" customFormat="false" ht="15" hidden="false" customHeight="false" outlineLevel="0" collapsed="false">
      <c r="A134" s="4" t="n">
        <v>64.5</v>
      </c>
      <c r="B134" s="9" t="n">
        <v>0.0428</v>
      </c>
      <c r="C134" s="9" t="n">
        <v>0.0511</v>
      </c>
      <c r="D134" s="10" t="n">
        <f aca="false">(C134-B134)*10000</f>
        <v>83</v>
      </c>
      <c r="E134" s="11" t="n">
        <f aca="false">MAX(0,C134-B134)*(1-Parametros!$B$5)</f>
        <v>0.0083</v>
      </c>
      <c r="F134" s="11" t="n">
        <f aca="false">B134+E134*Parametros!$B$6</f>
        <v>0.0511</v>
      </c>
      <c r="G134" s="12" t="n">
        <f aca="false">(1+F134/2)^2-1</f>
        <v>0.0517528025</v>
      </c>
      <c r="H134" s="13" t="n">
        <f aca="false">(1+G134)^(-A134)</f>
        <v>0.0385982642204319</v>
      </c>
      <c r="I134" s="11" t="n">
        <f aca="false">B134+E134*Parametros!$B$7</f>
        <v>0.0511</v>
      </c>
      <c r="J134" s="12" t="n">
        <f aca="false">(1+I134/2)^2-1</f>
        <v>0.0517528025</v>
      </c>
      <c r="K134" s="13" t="n">
        <f aca="false">(1+J134)^(-A134)</f>
        <v>0.0385982642204319</v>
      </c>
      <c r="L134" s="11" t="n">
        <f aca="false">B134+E134*Parametros!$B$8</f>
        <v>0.0511</v>
      </c>
      <c r="M134" s="12" t="n">
        <f aca="false">(1+L134/2)^2-1</f>
        <v>0.0517528025</v>
      </c>
      <c r="N134" s="13" t="n">
        <f aca="false">(1+M134)^(-A134)</f>
        <v>0.0385982642204319</v>
      </c>
    </row>
    <row r="135" customFormat="false" ht="15" hidden="false" customHeight="false" outlineLevel="0" collapsed="false">
      <c r="A135" s="4" t="n">
        <v>65</v>
      </c>
      <c r="B135" s="9" t="n">
        <v>0.0428</v>
      </c>
      <c r="C135" s="9" t="n">
        <v>0.0511</v>
      </c>
      <c r="D135" s="10" t="n">
        <f aca="false">(C135-B135)*10000</f>
        <v>83</v>
      </c>
      <c r="E135" s="11" t="n">
        <f aca="false">MAX(0,C135-B135)*(1-Parametros!$B$5)</f>
        <v>0.0083</v>
      </c>
      <c r="F135" s="11" t="n">
        <f aca="false">B135+E135*Parametros!$B$6</f>
        <v>0.0511</v>
      </c>
      <c r="G135" s="12" t="n">
        <f aca="false">(1+F135/2)^2-1</f>
        <v>0.0517528025</v>
      </c>
      <c r="H135" s="13" t="n">
        <f aca="false">(1+G135)^(-A135)</f>
        <v>0.0376366478674193</v>
      </c>
      <c r="I135" s="11" t="n">
        <f aca="false">B135+E135*Parametros!$B$7</f>
        <v>0.0511</v>
      </c>
      <c r="J135" s="12" t="n">
        <f aca="false">(1+I135/2)^2-1</f>
        <v>0.0517528025</v>
      </c>
      <c r="K135" s="13" t="n">
        <f aca="false">(1+J135)^(-A135)</f>
        <v>0.0376366478674193</v>
      </c>
      <c r="L135" s="11" t="n">
        <f aca="false">B135+E135*Parametros!$B$8</f>
        <v>0.0511</v>
      </c>
      <c r="M135" s="12" t="n">
        <f aca="false">(1+L135/2)^2-1</f>
        <v>0.0517528025</v>
      </c>
      <c r="N135" s="13" t="n">
        <f aca="false">(1+M135)^(-A135)</f>
        <v>0.0376366478674193</v>
      </c>
    </row>
    <row r="136" customFormat="false" ht="15" hidden="false" customHeight="false" outlineLevel="0" collapsed="false">
      <c r="A136" s="4" t="n">
        <v>65.5</v>
      </c>
      <c r="B136" s="9" t="n">
        <v>0.0428</v>
      </c>
      <c r="C136" s="9" t="n">
        <v>0.0511</v>
      </c>
      <c r="D136" s="10" t="n">
        <f aca="false">(C136-B136)*10000</f>
        <v>83</v>
      </c>
      <c r="E136" s="11" t="n">
        <f aca="false">MAX(0,C136-B136)*(1-Parametros!$B$5)</f>
        <v>0.0083</v>
      </c>
      <c r="F136" s="11" t="n">
        <f aca="false">B136+E136*Parametros!$B$6</f>
        <v>0.0511</v>
      </c>
      <c r="G136" s="12" t="n">
        <f aca="false">(1+F136/2)^2-1</f>
        <v>0.0517528025</v>
      </c>
      <c r="H136" s="13" t="n">
        <f aca="false">(1+G136)^(-A136)</f>
        <v>0.0366989887059815</v>
      </c>
      <c r="I136" s="11" t="n">
        <f aca="false">B136+E136*Parametros!$B$7</f>
        <v>0.0511</v>
      </c>
      <c r="J136" s="12" t="n">
        <f aca="false">(1+I136/2)^2-1</f>
        <v>0.0517528025</v>
      </c>
      <c r="K136" s="13" t="n">
        <f aca="false">(1+J136)^(-A136)</f>
        <v>0.0366989887059815</v>
      </c>
      <c r="L136" s="11" t="n">
        <f aca="false">B136+E136*Parametros!$B$8</f>
        <v>0.0511</v>
      </c>
      <c r="M136" s="12" t="n">
        <f aca="false">(1+L136/2)^2-1</f>
        <v>0.0517528025</v>
      </c>
      <c r="N136" s="13" t="n">
        <f aca="false">(1+M136)^(-A136)</f>
        <v>0.0366989887059815</v>
      </c>
    </row>
    <row r="137" customFormat="false" ht="15" hidden="false" customHeight="false" outlineLevel="0" collapsed="false">
      <c r="A137" s="4" t="n">
        <v>66</v>
      </c>
      <c r="B137" s="9" t="n">
        <v>0.0429</v>
      </c>
      <c r="C137" s="9" t="n">
        <v>0.0511</v>
      </c>
      <c r="D137" s="10" t="n">
        <f aca="false">(C137-B137)*10000</f>
        <v>82</v>
      </c>
      <c r="E137" s="11" t="n">
        <f aca="false">MAX(0,C137-B137)*(1-Parametros!$B$5)</f>
        <v>0.0082</v>
      </c>
      <c r="F137" s="11" t="n">
        <f aca="false">B137+E137*Parametros!$B$6</f>
        <v>0.0511</v>
      </c>
      <c r="G137" s="12" t="n">
        <f aca="false">(1+F137/2)^2-1</f>
        <v>0.0517528025</v>
      </c>
      <c r="H137" s="13" t="n">
        <f aca="false">(1+G137)^(-A137)</f>
        <v>0.0357846898795588</v>
      </c>
      <c r="I137" s="11" t="n">
        <f aca="false">B137+E137*Parametros!$B$7</f>
        <v>0.0511</v>
      </c>
      <c r="J137" s="12" t="n">
        <f aca="false">(1+I137/2)^2-1</f>
        <v>0.0517528025</v>
      </c>
      <c r="K137" s="13" t="n">
        <f aca="false">(1+J137)^(-A137)</f>
        <v>0.0357846898795588</v>
      </c>
      <c r="L137" s="11" t="n">
        <f aca="false">B137+E137*Parametros!$B$8</f>
        <v>0.0511</v>
      </c>
      <c r="M137" s="12" t="n">
        <f aca="false">(1+L137/2)^2-1</f>
        <v>0.0517528025</v>
      </c>
      <c r="N137" s="13" t="n">
        <f aca="false">(1+M137)^(-A137)</f>
        <v>0.0357846898795588</v>
      </c>
    </row>
    <row r="138" customFormat="false" ht="15" hidden="false" customHeight="false" outlineLevel="0" collapsed="false">
      <c r="A138" s="4" t="n">
        <v>66.5</v>
      </c>
      <c r="B138" s="9" t="n">
        <v>0.0429</v>
      </c>
      <c r="C138" s="9" t="n">
        <v>0.0511</v>
      </c>
      <c r="D138" s="10" t="n">
        <f aca="false">(C138-B138)*10000</f>
        <v>82</v>
      </c>
      <c r="E138" s="11" t="n">
        <f aca="false">MAX(0,C138-B138)*(1-Parametros!$B$5)</f>
        <v>0.0082</v>
      </c>
      <c r="F138" s="11" t="n">
        <f aca="false">B138+E138*Parametros!$B$6</f>
        <v>0.0511</v>
      </c>
      <c r="G138" s="12" t="n">
        <f aca="false">(1+F138/2)^2-1</f>
        <v>0.0517528025</v>
      </c>
      <c r="H138" s="13" t="n">
        <f aca="false">(1+G138)^(-A138)</f>
        <v>0.0348931694013542</v>
      </c>
      <c r="I138" s="11" t="n">
        <f aca="false">B138+E138*Parametros!$B$7</f>
        <v>0.0511</v>
      </c>
      <c r="J138" s="12" t="n">
        <f aca="false">(1+I138/2)^2-1</f>
        <v>0.0517528025</v>
      </c>
      <c r="K138" s="13" t="n">
        <f aca="false">(1+J138)^(-A138)</f>
        <v>0.0348931694013542</v>
      </c>
      <c r="L138" s="11" t="n">
        <f aca="false">B138+E138*Parametros!$B$8</f>
        <v>0.0511</v>
      </c>
      <c r="M138" s="12" t="n">
        <f aca="false">(1+L138/2)^2-1</f>
        <v>0.0517528025</v>
      </c>
      <c r="N138" s="13" t="n">
        <f aca="false">(1+M138)^(-A138)</f>
        <v>0.0348931694013542</v>
      </c>
    </row>
    <row r="139" customFormat="false" ht="15" hidden="false" customHeight="false" outlineLevel="0" collapsed="false">
      <c r="A139" s="4" t="n">
        <v>67</v>
      </c>
      <c r="B139" s="9" t="n">
        <v>0.0429</v>
      </c>
      <c r="C139" s="9" t="n">
        <v>0.0511</v>
      </c>
      <c r="D139" s="10" t="n">
        <f aca="false">(C139-B139)*10000</f>
        <v>82</v>
      </c>
      <c r="E139" s="11" t="n">
        <f aca="false">MAX(0,C139-B139)*(1-Parametros!$B$5)</f>
        <v>0.0082</v>
      </c>
      <c r="F139" s="11" t="n">
        <f aca="false">B139+E139*Parametros!$B$6</f>
        <v>0.0511</v>
      </c>
      <c r="G139" s="12" t="n">
        <f aca="false">(1+F139/2)^2-1</f>
        <v>0.0517528025</v>
      </c>
      <c r="H139" s="13" t="n">
        <f aca="false">(1+G139)^(-A139)</f>
        <v>0.0340238597838761</v>
      </c>
      <c r="I139" s="11" t="n">
        <f aca="false">B139+E139*Parametros!$B$7</f>
        <v>0.0511</v>
      </c>
      <c r="J139" s="12" t="n">
        <f aca="false">(1+I139/2)^2-1</f>
        <v>0.0517528025</v>
      </c>
      <c r="K139" s="13" t="n">
        <f aca="false">(1+J139)^(-A139)</f>
        <v>0.0340238597838761</v>
      </c>
      <c r="L139" s="11" t="n">
        <f aca="false">B139+E139*Parametros!$B$8</f>
        <v>0.0511</v>
      </c>
      <c r="M139" s="12" t="n">
        <f aca="false">(1+L139/2)^2-1</f>
        <v>0.0517528025</v>
      </c>
      <c r="N139" s="13" t="n">
        <f aca="false">(1+M139)^(-A139)</f>
        <v>0.0340238597838761</v>
      </c>
    </row>
    <row r="140" customFormat="false" ht="15" hidden="false" customHeight="false" outlineLevel="0" collapsed="false">
      <c r="A140" s="4" t="n">
        <v>67.5</v>
      </c>
      <c r="B140" s="9" t="n">
        <v>0.0429</v>
      </c>
      <c r="C140" s="9" t="n">
        <v>0.0511</v>
      </c>
      <c r="D140" s="10" t="n">
        <f aca="false">(C140-B140)*10000</f>
        <v>82</v>
      </c>
      <c r="E140" s="11" t="n">
        <f aca="false">MAX(0,C140-B140)*(1-Parametros!$B$5)</f>
        <v>0.0082</v>
      </c>
      <c r="F140" s="11" t="n">
        <f aca="false">B140+E140*Parametros!$B$6</f>
        <v>0.0511</v>
      </c>
      <c r="G140" s="12" t="n">
        <f aca="false">(1+F140/2)^2-1</f>
        <v>0.0517528025</v>
      </c>
      <c r="H140" s="13" t="n">
        <f aca="false">(1+G140)^(-A140)</f>
        <v>0.0331762076777106</v>
      </c>
      <c r="I140" s="11" t="n">
        <f aca="false">B140+E140*Parametros!$B$7</f>
        <v>0.0511</v>
      </c>
      <c r="J140" s="12" t="n">
        <f aca="false">(1+I140/2)^2-1</f>
        <v>0.0517528025</v>
      </c>
      <c r="K140" s="13" t="n">
        <f aca="false">(1+J140)^(-A140)</f>
        <v>0.0331762076777106</v>
      </c>
      <c r="L140" s="11" t="n">
        <f aca="false">B140+E140*Parametros!$B$8</f>
        <v>0.0511</v>
      </c>
      <c r="M140" s="12" t="n">
        <f aca="false">(1+L140/2)^2-1</f>
        <v>0.0517528025</v>
      </c>
      <c r="N140" s="13" t="n">
        <f aca="false">(1+M140)^(-A140)</f>
        <v>0.0331762076777106</v>
      </c>
    </row>
    <row r="141" customFormat="false" ht="15" hidden="false" customHeight="false" outlineLevel="0" collapsed="false">
      <c r="A141" s="4" t="n">
        <v>68</v>
      </c>
      <c r="B141" s="9" t="n">
        <v>0.0429</v>
      </c>
      <c r="C141" s="9" t="n">
        <v>0.0511</v>
      </c>
      <c r="D141" s="10" t="n">
        <f aca="false">(C141-B141)*10000</f>
        <v>82</v>
      </c>
      <c r="E141" s="11" t="n">
        <f aca="false">MAX(0,C141-B141)*(1-Parametros!$B$5)</f>
        <v>0.0082</v>
      </c>
      <c r="F141" s="11" t="n">
        <f aca="false">B141+E141*Parametros!$B$6</f>
        <v>0.0511</v>
      </c>
      <c r="G141" s="12" t="n">
        <f aca="false">(1+F141/2)^2-1</f>
        <v>0.0517528025</v>
      </c>
      <c r="H141" s="13" t="n">
        <f aca="false">(1+G141)^(-A141)</f>
        <v>0.0323496735192927</v>
      </c>
      <c r="I141" s="11" t="n">
        <f aca="false">B141+E141*Parametros!$B$7</f>
        <v>0.0511</v>
      </c>
      <c r="J141" s="12" t="n">
        <f aca="false">(1+I141/2)^2-1</f>
        <v>0.0517528025</v>
      </c>
      <c r="K141" s="13" t="n">
        <f aca="false">(1+J141)^(-A141)</f>
        <v>0.0323496735192927</v>
      </c>
      <c r="L141" s="11" t="n">
        <f aca="false">B141+E141*Parametros!$B$8</f>
        <v>0.0511</v>
      </c>
      <c r="M141" s="12" t="n">
        <f aca="false">(1+L141/2)^2-1</f>
        <v>0.0517528025</v>
      </c>
      <c r="N141" s="13" t="n">
        <f aca="false">(1+M141)^(-A141)</f>
        <v>0.0323496735192927</v>
      </c>
    </row>
    <row r="142" customFormat="false" ht="15" hidden="false" customHeight="false" outlineLevel="0" collapsed="false">
      <c r="A142" s="4" t="n">
        <v>68.5</v>
      </c>
      <c r="B142" s="9" t="n">
        <v>0.0429</v>
      </c>
      <c r="C142" s="9" t="n">
        <v>0.0511</v>
      </c>
      <c r="D142" s="10" t="n">
        <f aca="false">(C142-B142)*10000</f>
        <v>82</v>
      </c>
      <c r="E142" s="11" t="n">
        <f aca="false">MAX(0,C142-B142)*(1-Parametros!$B$5)</f>
        <v>0.0082</v>
      </c>
      <c r="F142" s="11" t="n">
        <f aca="false">B142+E142*Parametros!$B$6</f>
        <v>0.0511</v>
      </c>
      <c r="G142" s="12" t="n">
        <f aca="false">(1+F142/2)^2-1</f>
        <v>0.0517528025</v>
      </c>
      <c r="H142" s="13" t="n">
        <f aca="false">(1+G142)^(-A142)</f>
        <v>0.0315437311874533</v>
      </c>
      <c r="I142" s="11" t="n">
        <f aca="false">B142+E142*Parametros!$B$7</f>
        <v>0.0511</v>
      </c>
      <c r="J142" s="12" t="n">
        <f aca="false">(1+I142/2)^2-1</f>
        <v>0.0517528025</v>
      </c>
      <c r="K142" s="13" t="n">
        <f aca="false">(1+J142)^(-A142)</f>
        <v>0.0315437311874533</v>
      </c>
      <c r="L142" s="11" t="n">
        <f aca="false">B142+E142*Parametros!$B$8</f>
        <v>0.0511</v>
      </c>
      <c r="M142" s="12" t="n">
        <f aca="false">(1+L142/2)^2-1</f>
        <v>0.0517528025</v>
      </c>
      <c r="N142" s="13" t="n">
        <f aca="false">(1+M142)^(-A142)</f>
        <v>0.0315437311874533</v>
      </c>
    </row>
    <row r="143" customFormat="false" ht="15" hidden="false" customHeight="false" outlineLevel="0" collapsed="false">
      <c r="A143" s="4" t="n">
        <v>69</v>
      </c>
      <c r="B143" s="9" t="n">
        <v>0.0429</v>
      </c>
      <c r="C143" s="9" t="n">
        <v>0.0511</v>
      </c>
      <c r="D143" s="10" t="n">
        <f aca="false">(C143-B143)*10000</f>
        <v>82</v>
      </c>
      <c r="E143" s="11" t="n">
        <f aca="false">MAX(0,C143-B143)*(1-Parametros!$B$5)</f>
        <v>0.0082</v>
      </c>
      <c r="F143" s="11" t="n">
        <f aca="false">B143+E143*Parametros!$B$6</f>
        <v>0.0511</v>
      </c>
      <c r="G143" s="12" t="n">
        <f aca="false">(1+F143/2)^2-1</f>
        <v>0.0517528025</v>
      </c>
      <c r="H143" s="13" t="n">
        <f aca="false">(1+G143)^(-A143)</f>
        <v>0.0307578676685225</v>
      </c>
      <c r="I143" s="11" t="n">
        <f aca="false">B143+E143*Parametros!$B$7</f>
        <v>0.0511</v>
      </c>
      <c r="J143" s="12" t="n">
        <f aca="false">(1+I143/2)^2-1</f>
        <v>0.0517528025</v>
      </c>
      <c r="K143" s="13" t="n">
        <f aca="false">(1+J143)^(-A143)</f>
        <v>0.0307578676685225</v>
      </c>
      <c r="L143" s="11" t="n">
        <f aca="false">B143+E143*Parametros!$B$8</f>
        <v>0.0511</v>
      </c>
      <c r="M143" s="12" t="n">
        <f aca="false">(1+L143/2)^2-1</f>
        <v>0.0517528025</v>
      </c>
      <c r="N143" s="13" t="n">
        <f aca="false">(1+M143)^(-A143)</f>
        <v>0.0307578676685225</v>
      </c>
    </row>
    <row r="144" customFormat="false" ht="15" hidden="false" customHeight="false" outlineLevel="0" collapsed="false">
      <c r="A144" s="4" t="n">
        <v>69.5</v>
      </c>
      <c r="B144" s="9" t="n">
        <v>0.043</v>
      </c>
      <c r="C144" s="9" t="n">
        <v>0.0511</v>
      </c>
      <c r="D144" s="10" t="n">
        <f aca="false">(C144-B144)*10000</f>
        <v>81</v>
      </c>
      <c r="E144" s="11" t="n">
        <f aca="false">MAX(0,C144-B144)*(1-Parametros!$B$5)</f>
        <v>0.0081</v>
      </c>
      <c r="F144" s="11" t="n">
        <f aca="false">B144+E144*Parametros!$B$6</f>
        <v>0.0511</v>
      </c>
      <c r="G144" s="12" t="n">
        <f aca="false">(1+F144/2)^2-1</f>
        <v>0.0517528025</v>
      </c>
      <c r="H144" s="13" t="n">
        <f aca="false">(1+G144)^(-A144)</f>
        <v>0.0299915827297767</v>
      </c>
      <c r="I144" s="11" t="n">
        <f aca="false">B144+E144*Parametros!$B$7</f>
        <v>0.0511</v>
      </c>
      <c r="J144" s="12" t="n">
        <f aca="false">(1+I144/2)^2-1</f>
        <v>0.0517528025</v>
      </c>
      <c r="K144" s="13" t="n">
        <f aca="false">(1+J144)^(-A144)</f>
        <v>0.0299915827297767</v>
      </c>
      <c r="L144" s="11" t="n">
        <f aca="false">B144+E144*Parametros!$B$8</f>
        <v>0.0511</v>
      </c>
      <c r="M144" s="12" t="n">
        <f aca="false">(1+L144/2)^2-1</f>
        <v>0.0517528025</v>
      </c>
      <c r="N144" s="13" t="n">
        <f aca="false">(1+M144)^(-A144)</f>
        <v>0.0299915827297767</v>
      </c>
    </row>
    <row r="145" customFormat="false" ht="15" hidden="false" customHeight="false" outlineLevel="0" collapsed="false">
      <c r="A145" s="4" t="n">
        <v>70</v>
      </c>
      <c r="B145" s="9" t="n">
        <v>0.043</v>
      </c>
      <c r="C145" s="9" t="n">
        <v>0.0511</v>
      </c>
      <c r="D145" s="10" t="n">
        <f aca="false">(C145-B145)*10000</f>
        <v>81</v>
      </c>
      <c r="E145" s="11" t="n">
        <f aca="false">MAX(0,C145-B145)*(1-Parametros!$B$5)</f>
        <v>0.0081</v>
      </c>
      <c r="F145" s="11" t="n">
        <f aca="false">B145+E145*Parametros!$B$6</f>
        <v>0.0511</v>
      </c>
      <c r="G145" s="12" t="n">
        <f aca="false">(1+F145/2)^2-1</f>
        <v>0.0517528025</v>
      </c>
      <c r="H145" s="13" t="n">
        <f aca="false">(1+G145)^(-A145)</f>
        <v>0.0292443886010206</v>
      </c>
      <c r="I145" s="11" t="n">
        <f aca="false">B145+E145*Parametros!$B$7</f>
        <v>0.0511</v>
      </c>
      <c r="J145" s="12" t="n">
        <f aca="false">(1+I145/2)^2-1</f>
        <v>0.0517528025</v>
      </c>
      <c r="K145" s="13" t="n">
        <f aca="false">(1+J145)^(-A145)</f>
        <v>0.0292443886010206</v>
      </c>
      <c r="L145" s="11" t="n">
        <f aca="false">B145+E145*Parametros!$B$8</f>
        <v>0.0511</v>
      </c>
      <c r="M145" s="12" t="n">
        <f aca="false">(1+L145/2)^2-1</f>
        <v>0.0517528025</v>
      </c>
      <c r="N145" s="13" t="n">
        <f aca="false">(1+M145)^(-A145)</f>
        <v>0.0292443886010206</v>
      </c>
    </row>
    <row r="146" customFormat="false" ht="15" hidden="false" customHeight="false" outlineLevel="0" collapsed="false">
      <c r="A146" s="4" t="n">
        <v>70.5</v>
      </c>
      <c r="B146" s="9" t="n">
        <v>0.043</v>
      </c>
      <c r="C146" s="9" t="n">
        <v>0.0511</v>
      </c>
      <c r="D146" s="10" t="n">
        <f aca="false">(C146-B146)*10000</f>
        <v>81</v>
      </c>
      <c r="E146" s="11" t="n">
        <f aca="false">MAX(0,C146-B146)*(1-Parametros!$B$5)</f>
        <v>0.0081</v>
      </c>
      <c r="F146" s="11" t="n">
        <f aca="false">B146+E146*Parametros!$B$6</f>
        <v>0.0511</v>
      </c>
      <c r="G146" s="12" t="n">
        <f aca="false">(1+F146/2)^2-1</f>
        <v>0.0517528025</v>
      </c>
      <c r="H146" s="13" t="n">
        <f aca="false">(1+G146)^(-A146)</f>
        <v>0.0285158096641028</v>
      </c>
      <c r="I146" s="11" t="n">
        <f aca="false">B146+E146*Parametros!$B$7</f>
        <v>0.0511</v>
      </c>
      <c r="J146" s="12" t="n">
        <f aca="false">(1+I146/2)^2-1</f>
        <v>0.0517528025</v>
      </c>
      <c r="K146" s="13" t="n">
        <f aca="false">(1+J146)^(-A146)</f>
        <v>0.0285158096641028</v>
      </c>
      <c r="L146" s="11" t="n">
        <f aca="false">B146+E146*Parametros!$B$8</f>
        <v>0.0511</v>
      </c>
      <c r="M146" s="12" t="n">
        <f aca="false">(1+L146/2)^2-1</f>
        <v>0.0517528025</v>
      </c>
      <c r="N146" s="13" t="n">
        <f aca="false">(1+M146)^(-A146)</f>
        <v>0.0285158096641028</v>
      </c>
    </row>
    <row r="147" customFormat="false" ht="15" hidden="false" customHeight="false" outlineLevel="0" collapsed="false">
      <c r="A147" s="4" t="n">
        <v>71</v>
      </c>
      <c r="B147" s="9" t="n">
        <v>0.043</v>
      </c>
      <c r="C147" s="9" t="n">
        <v>0.0511</v>
      </c>
      <c r="D147" s="10" t="n">
        <f aca="false">(C147-B147)*10000</f>
        <v>81</v>
      </c>
      <c r="E147" s="11" t="n">
        <f aca="false">MAX(0,C147-B147)*(1-Parametros!$B$5)</f>
        <v>0.0081</v>
      </c>
      <c r="F147" s="11" t="n">
        <f aca="false">B147+E147*Parametros!$B$6</f>
        <v>0.0511</v>
      </c>
      <c r="G147" s="12" t="n">
        <f aca="false">(1+F147/2)^2-1</f>
        <v>0.0517528025</v>
      </c>
      <c r="H147" s="13" t="n">
        <f aca="false">(1+G147)^(-A147)</f>
        <v>0.0278053821501661</v>
      </c>
      <c r="I147" s="11" t="n">
        <f aca="false">B147+E147*Parametros!$B$7</f>
        <v>0.0511</v>
      </c>
      <c r="J147" s="12" t="n">
        <f aca="false">(1+I147/2)^2-1</f>
        <v>0.0517528025</v>
      </c>
      <c r="K147" s="13" t="n">
        <f aca="false">(1+J147)^(-A147)</f>
        <v>0.0278053821501661</v>
      </c>
      <c r="L147" s="11" t="n">
        <f aca="false">B147+E147*Parametros!$B$8</f>
        <v>0.0511</v>
      </c>
      <c r="M147" s="12" t="n">
        <f aca="false">(1+L147/2)^2-1</f>
        <v>0.0517528025</v>
      </c>
      <c r="N147" s="13" t="n">
        <f aca="false">(1+M147)^(-A147)</f>
        <v>0.0278053821501661</v>
      </c>
    </row>
    <row r="148" customFormat="false" ht="15" hidden="false" customHeight="false" outlineLevel="0" collapsed="false">
      <c r="A148" s="4" t="n">
        <v>71.5</v>
      </c>
      <c r="B148" s="9" t="n">
        <v>0.043</v>
      </c>
      <c r="C148" s="9" t="n">
        <v>0.0511</v>
      </c>
      <c r="D148" s="10" t="n">
        <f aca="false">(C148-B148)*10000</f>
        <v>81</v>
      </c>
      <c r="E148" s="11" t="n">
        <f aca="false">MAX(0,C148-B148)*(1-Parametros!$B$5)</f>
        <v>0.0081</v>
      </c>
      <c r="F148" s="11" t="n">
        <f aca="false">B148+E148*Parametros!$B$6</f>
        <v>0.0511</v>
      </c>
      <c r="G148" s="12" t="n">
        <f aca="false">(1+F148/2)^2-1</f>
        <v>0.0517528025</v>
      </c>
      <c r="H148" s="13" t="n">
        <f aca="false">(1+G148)^(-A148)</f>
        <v>0.0271126538444406</v>
      </c>
      <c r="I148" s="11" t="n">
        <f aca="false">B148+E148*Parametros!$B$7</f>
        <v>0.0511</v>
      </c>
      <c r="J148" s="12" t="n">
        <f aca="false">(1+I148/2)^2-1</f>
        <v>0.0517528025</v>
      </c>
      <c r="K148" s="13" t="n">
        <f aca="false">(1+J148)^(-A148)</f>
        <v>0.0271126538444406</v>
      </c>
      <c r="L148" s="11" t="n">
        <f aca="false">B148+E148*Parametros!$B$8</f>
        <v>0.0511</v>
      </c>
      <c r="M148" s="12" t="n">
        <f aca="false">(1+L148/2)^2-1</f>
        <v>0.0517528025</v>
      </c>
      <c r="N148" s="13" t="n">
        <f aca="false">(1+M148)^(-A148)</f>
        <v>0.0271126538444406</v>
      </c>
    </row>
    <row r="149" customFormat="false" ht="15" hidden="false" customHeight="false" outlineLevel="0" collapsed="false">
      <c r="A149" s="4" t="n">
        <v>72</v>
      </c>
      <c r="B149" s="9" t="n">
        <v>0.043</v>
      </c>
      <c r="C149" s="9" t="n">
        <v>0.0511</v>
      </c>
      <c r="D149" s="10" t="n">
        <f aca="false">(C149-B149)*10000</f>
        <v>81</v>
      </c>
      <c r="E149" s="11" t="n">
        <f aca="false">MAX(0,C149-B149)*(1-Parametros!$B$5)</f>
        <v>0.0081</v>
      </c>
      <c r="F149" s="11" t="n">
        <f aca="false">B149+E149*Parametros!$B$6</f>
        <v>0.0511</v>
      </c>
      <c r="G149" s="12" t="n">
        <f aca="false">(1+F149/2)^2-1</f>
        <v>0.0517528025</v>
      </c>
      <c r="H149" s="13" t="n">
        <f aca="false">(1+G149)^(-A149)</f>
        <v>0.0264371837983917</v>
      </c>
      <c r="I149" s="11" t="n">
        <f aca="false">B149+E149*Parametros!$B$7</f>
        <v>0.0511</v>
      </c>
      <c r="J149" s="12" t="n">
        <f aca="false">(1+I149/2)^2-1</f>
        <v>0.0517528025</v>
      </c>
      <c r="K149" s="13" t="n">
        <f aca="false">(1+J149)^(-A149)</f>
        <v>0.0264371837983917</v>
      </c>
      <c r="L149" s="11" t="n">
        <f aca="false">B149+E149*Parametros!$B$8</f>
        <v>0.0511</v>
      </c>
      <c r="M149" s="12" t="n">
        <f aca="false">(1+L149/2)^2-1</f>
        <v>0.0517528025</v>
      </c>
      <c r="N149" s="13" t="n">
        <f aca="false">(1+M149)^(-A149)</f>
        <v>0.0264371837983917</v>
      </c>
    </row>
    <row r="150" customFormat="false" ht="15" hidden="false" customHeight="false" outlineLevel="0" collapsed="false">
      <c r="A150" s="4" t="n">
        <v>72.5</v>
      </c>
      <c r="B150" s="9" t="n">
        <v>0.043</v>
      </c>
      <c r="C150" s="9" t="n">
        <v>0.0511</v>
      </c>
      <c r="D150" s="10" t="n">
        <f aca="false">(C150-B150)*10000</f>
        <v>81</v>
      </c>
      <c r="E150" s="11" t="n">
        <f aca="false">MAX(0,C150-B150)*(1-Parametros!$B$5)</f>
        <v>0.0081</v>
      </c>
      <c r="F150" s="11" t="n">
        <f aca="false">B150+E150*Parametros!$B$6</f>
        <v>0.0511</v>
      </c>
      <c r="G150" s="12" t="n">
        <f aca="false">(1+F150/2)^2-1</f>
        <v>0.0517528025</v>
      </c>
      <c r="H150" s="13" t="n">
        <f aca="false">(1+G150)^(-A150)</f>
        <v>0.0257785420490388</v>
      </c>
      <c r="I150" s="11" t="n">
        <f aca="false">B150+E150*Parametros!$B$7</f>
        <v>0.0511</v>
      </c>
      <c r="J150" s="12" t="n">
        <f aca="false">(1+I150/2)^2-1</f>
        <v>0.0517528025</v>
      </c>
      <c r="K150" s="13" t="n">
        <f aca="false">(1+J150)^(-A150)</f>
        <v>0.0257785420490388</v>
      </c>
      <c r="L150" s="11" t="n">
        <f aca="false">B150+E150*Parametros!$B$8</f>
        <v>0.0511</v>
      </c>
      <c r="M150" s="12" t="n">
        <f aca="false">(1+L150/2)^2-1</f>
        <v>0.0517528025</v>
      </c>
      <c r="N150" s="13" t="n">
        <f aca="false">(1+M150)^(-A150)</f>
        <v>0.0257785420490388</v>
      </c>
    </row>
    <row r="151" customFormat="false" ht="15" hidden="false" customHeight="false" outlineLevel="0" collapsed="false">
      <c r="A151" s="4" t="n">
        <v>73</v>
      </c>
      <c r="B151" s="9" t="n">
        <v>0.0431</v>
      </c>
      <c r="C151" s="9" t="n">
        <v>0.0511</v>
      </c>
      <c r="D151" s="10" t="n">
        <f aca="false">(C151-B151)*10000</f>
        <v>80</v>
      </c>
      <c r="E151" s="11" t="n">
        <f aca="false">MAX(0,C151-B151)*(1-Parametros!$B$5)</f>
        <v>0.008</v>
      </c>
      <c r="F151" s="11" t="n">
        <f aca="false">B151+E151*Parametros!$B$6</f>
        <v>0.0511</v>
      </c>
      <c r="G151" s="12" t="n">
        <f aca="false">(1+F151/2)^2-1</f>
        <v>0.0517528025</v>
      </c>
      <c r="H151" s="13" t="n">
        <f aca="false">(1+G151)^(-A151)</f>
        <v>0.0251363093452672</v>
      </c>
      <c r="I151" s="11" t="n">
        <f aca="false">B151+E151*Parametros!$B$7</f>
        <v>0.0511</v>
      </c>
      <c r="J151" s="12" t="n">
        <f aca="false">(1+I151/2)^2-1</f>
        <v>0.0517528025</v>
      </c>
      <c r="K151" s="13" t="n">
        <f aca="false">(1+J151)^(-A151)</f>
        <v>0.0251363093452672</v>
      </c>
      <c r="L151" s="11" t="n">
        <f aca="false">B151+E151*Parametros!$B$8</f>
        <v>0.0511</v>
      </c>
      <c r="M151" s="12" t="n">
        <f aca="false">(1+L151/2)^2-1</f>
        <v>0.0517528025</v>
      </c>
      <c r="N151" s="13" t="n">
        <f aca="false">(1+M151)^(-A151)</f>
        <v>0.0251363093452672</v>
      </c>
    </row>
    <row r="152" customFormat="false" ht="15" hidden="false" customHeight="false" outlineLevel="0" collapsed="false">
      <c r="A152" s="4" t="n">
        <v>73.5</v>
      </c>
      <c r="B152" s="9" t="n">
        <v>0.0431</v>
      </c>
      <c r="C152" s="9" t="n">
        <v>0.0511</v>
      </c>
      <c r="D152" s="10" t="n">
        <f aca="false">(C152-B152)*10000</f>
        <v>80</v>
      </c>
      <c r="E152" s="11" t="n">
        <f aca="false">MAX(0,C152-B152)*(1-Parametros!$B$5)</f>
        <v>0.008</v>
      </c>
      <c r="F152" s="11" t="n">
        <f aca="false">B152+E152*Parametros!$B$6</f>
        <v>0.0511</v>
      </c>
      <c r="G152" s="12" t="n">
        <f aca="false">(1+F152/2)^2-1</f>
        <v>0.0517528025</v>
      </c>
      <c r="H152" s="13" t="n">
        <f aca="false">(1+G152)^(-A152)</f>
        <v>0.0245100768809587</v>
      </c>
      <c r="I152" s="11" t="n">
        <f aca="false">B152+E152*Parametros!$B$7</f>
        <v>0.0511</v>
      </c>
      <c r="J152" s="12" t="n">
        <f aca="false">(1+I152/2)^2-1</f>
        <v>0.0517528025</v>
      </c>
      <c r="K152" s="13" t="n">
        <f aca="false">(1+J152)^(-A152)</f>
        <v>0.0245100768809587</v>
      </c>
      <c r="L152" s="11" t="n">
        <f aca="false">B152+E152*Parametros!$B$8</f>
        <v>0.0511</v>
      </c>
      <c r="M152" s="12" t="n">
        <f aca="false">(1+L152/2)^2-1</f>
        <v>0.0517528025</v>
      </c>
      <c r="N152" s="13" t="n">
        <f aca="false">(1+M152)^(-A152)</f>
        <v>0.0245100768809587</v>
      </c>
    </row>
    <row r="153" customFormat="false" ht="15" hidden="false" customHeight="false" outlineLevel="0" collapsed="false">
      <c r="A153" s="4" t="n">
        <v>74</v>
      </c>
      <c r="B153" s="9" t="n">
        <v>0.0431</v>
      </c>
      <c r="C153" s="9" t="n">
        <v>0.0511</v>
      </c>
      <c r="D153" s="10" t="n">
        <f aca="false">(C153-B153)*10000</f>
        <v>80</v>
      </c>
      <c r="E153" s="11" t="n">
        <f aca="false">MAX(0,C153-B153)*(1-Parametros!$B$5)</f>
        <v>0.008</v>
      </c>
      <c r="F153" s="11" t="n">
        <f aca="false">B153+E153*Parametros!$B$6</f>
        <v>0.0511</v>
      </c>
      <c r="G153" s="12" t="n">
        <f aca="false">(1+F153/2)^2-1</f>
        <v>0.0517528025</v>
      </c>
      <c r="H153" s="13" t="n">
        <f aca="false">(1+G153)^(-A153)</f>
        <v>0.0238994460347703</v>
      </c>
      <c r="I153" s="11" t="n">
        <f aca="false">B153+E153*Parametros!$B$7</f>
        <v>0.0511</v>
      </c>
      <c r="J153" s="12" t="n">
        <f aca="false">(1+I153/2)^2-1</f>
        <v>0.0517528025</v>
      </c>
      <c r="K153" s="13" t="n">
        <f aca="false">(1+J153)^(-A153)</f>
        <v>0.0238994460347703</v>
      </c>
      <c r="L153" s="11" t="n">
        <f aca="false">B153+E153*Parametros!$B$8</f>
        <v>0.0511</v>
      </c>
      <c r="M153" s="12" t="n">
        <f aca="false">(1+L153/2)^2-1</f>
        <v>0.0517528025</v>
      </c>
      <c r="N153" s="13" t="n">
        <f aca="false">(1+M153)^(-A153)</f>
        <v>0.0238994460347703</v>
      </c>
    </row>
    <row r="154" customFormat="false" ht="15" hidden="false" customHeight="false" outlineLevel="0" collapsed="false">
      <c r="A154" s="4" t="n">
        <v>74.5</v>
      </c>
      <c r="B154" s="9" t="n">
        <v>0.0431</v>
      </c>
      <c r="C154" s="9" t="n">
        <v>0.0511</v>
      </c>
      <c r="D154" s="10" t="n">
        <f aca="false">(C154-B154)*10000</f>
        <v>80</v>
      </c>
      <c r="E154" s="11" t="n">
        <f aca="false">MAX(0,C154-B154)*(1-Parametros!$B$5)</f>
        <v>0.008</v>
      </c>
      <c r="F154" s="11" t="n">
        <f aca="false">B154+E154*Parametros!$B$6</f>
        <v>0.0511</v>
      </c>
      <c r="G154" s="12" t="n">
        <f aca="false">(1+F154/2)^2-1</f>
        <v>0.0517528025</v>
      </c>
      <c r="H154" s="13" t="n">
        <f aca="false">(1+G154)^(-A154)</f>
        <v>0.0233040281163964</v>
      </c>
      <c r="I154" s="11" t="n">
        <f aca="false">B154+E154*Parametros!$B$7</f>
        <v>0.0511</v>
      </c>
      <c r="J154" s="12" t="n">
        <f aca="false">(1+I154/2)^2-1</f>
        <v>0.0517528025</v>
      </c>
      <c r="K154" s="13" t="n">
        <f aca="false">(1+J154)^(-A154)</f>
        <v>0.0233040281163964</v>
      </c>
      <c r="L154" s="11" t="n">
        <f aca="false">B154+E154*Parametros!$B$8</f>
        <v>0.0511</v>
      </c>
      <c r="M154" s="12" t="n">
        <f aca="false">(1+L154/2)^2-1</f>
        <v>0.0517528025</v>
      </c>
      <c r="N154" s="13" t="n">
        <f aca="false">(1+M154)^(-A154)</f>
        <v>0.0233040281163964</v>
      </c>
    </row>
    <row r="155" customFormat="false" ht="15" hidden="false" customHeight="false" outlineLevel="0" collapsed="false">
      <c r="A155" s="4" t="n">
        <v>75</v>
      </c>
      <c r="B155" s="9" t="n">
        <v>0.0431</v>
      </c>
      <c r="C155" s="9" t="n">
        <v>0.0511</v>
      </c>
      <c r="D155" s="10" t="n">
        <f aca="false">(C155-B155)*10000</f>
        <v>80</v>
      </c>
      <c r="E155" s="11" t="n">
        <f aca="false">MAX(0,C155-B155)*(1-Parametros!$B$5)</f>
        <v>0.008</v>
      </c>
      <c r="F155" s="11" t="n">
        <f aca="false">B155+E155*Parametros!$B$6</f>
        <v>0.0511</v>
      </c>
      <c r="G155" s="12" t="n">
        <f aca="false">(1+F155/2)^2-1</f>
        <v>0.0517528025</v>
      </c>
      <c r="H155" s="13" t="n">
        <f aca="false">(1+G155)^(-A155)</f>
        <v>0.022723444119152</v>
      </c>
      <c r="I155" s="11" t="n">
        <f aca="false">B155+E155*Parametros!$B$7</f>
        <v>0.0511</v>
      </c>
      <c r="J155" s="12" t="n">
        <f aca="false">(1+I155/2)^2-1</f>
        <v>0.0517528025</v>
      </c>
      <c r="K155" s="13" t="n">
        <f aca="false">(1+J155)^(-A155)</f>
        <v>0.022723444119152</v>
      </c>
      <c r="L155" s="11" t="n">
        <f aca="false">B155+E155*Parametros!$B$8</f>
        <v>0.0511</v>
      </c>
      <c r="M155" s="12" t="n">
        <f aca="false">(1+L155/2)^2-1</f>
        <v>0.0517528025</v>
      </c>
      <c r="N155" s="13" t="n">
        <f aca="false">(1+M155)^(-A155)</f>
        <v>0.022723444119152</v>
      </c>
    </row>
    <row r="156" customFormat="false" ht="15" hidden="false" customHeight="false" outlineLevel="0" collapsed="false">
      <c r="A156" s="4" t="n">
        <v>75.5</v>
      </c>
      <c r="B156" s="9" t="n">
        <v>0.0431</v>
      </c>
      <c r="C156" s="9" t="n">
        <v>0.0511</v>
      </c>
      <c r="D156" s="10" t="n">
        <f aca="false">(C156-B156)*10000</f>
        <v>80</v>
      </c>
      <c r="E156" s="11" t="n">
        <f aca="false">MAX(0,C156-B156)*(1-Parametros!$B$5)</f>
        <v>0.008</v>
      </c>
      <c r="F156" s="11" t="n">
        <f aca="false">B156+E156*Parametros!$B$6</f>
        <v>0.0511</v>
      </c>
      <c r="G156" s="12" t="n">
        <f aca="false">(1+F156/2)^2-1</f>
        <v>0.0517528025</v>
      </c>
      <c r="H156" s="13" t="n">
        <f aca="false">(1+G156)^(-A156)</f>
        <v>0.0221573244787207</v>
      </c>
      <c r="I156" s="11" t="n">
        <f aca="false">B156+E156*Parametros!$B$7</f>
        <v>0.0511</v>
      </c>
      <c r="J156" s="12" t="n">
        <f aca="false">(1+I156/2)^2-1</f>
        <v>0.0517528025</v>
      </c>
      <c r="K156" s="13" t="n">
        <f aca="false">(1+J156)^(-A156)</f>
        <v>0.0221573244787207</v>
      </c>
      <c r="L156" s="11" t="n">
        <f aca="false">B156+E156*Parametros!$B$8</f>
        <v>0.0511</v>
      </c>
      <c r="M156" s="12" t="n">
        <f aca="false">(1+L156/2)^2-1</f>
        <v>0.0517528025</v>
      </c>
      <c r="N156" s="13" t="n">
        <f aca="false">(1+M156)^(-A156)</f>
        <v>0.0221573244787207</v>
      </c>
    </row>
    <row r="157" customFormat="false" ht="15" hidden="false" customHeight="false" outlineLevel="0" collapsed="false">
      <c r="A157" s="4" t="n">
        <v>76</v>
      </c>
      <c r="B157" s="9" t="n">
        <v>0.0431</v>
      </c>
      <c r="C157" s="9" t="n">
        <v>0.0511</v>
      </c>
      <c r="D157" s="10" t="n">
        <f aca="false">(C157-B157)*10000</f>
        <v>80</v>
      </c>
      <c r="E157" s="11" t="n">
        <f aca="false">MAX(0,C157-B157)*(1-Parametros!$B$5)</f>
        <v>0.008</v>
      </c>
      <c r="F157" s="11" t="n">
        <f aca="false">B157+E157*Parametros!$B$6</f>
        <v>0.0511</v>
      </c>
      <c r="G157" s="12" t="n">
        <f aca="false">(1+F157/2)^2-1</f>
        <v>0.0517528025</v>
      </c>
      <c r="H157" s="13" t="n">
        <f aca="false">(1+G157)^(-A157)</f>
        <v>0.0216053088379121</v>
      </c>
      <c r="I157" s="11" t="n">
        <f aca="false">B157+E157*Parametros!$B$7</f>
        <v>0.0511</v>
      </c>
      <c r="J157" s="12" t="n">
        <f aca="false">(1+I157/2)^2-1</f>
        <v>0.0517528025</v>
      </c>
      <c r="K157" s="13" t="n">
        <f aca="false">(1+J157)^(-A157)</f>
        <v>0.0216053088379121</v>
      </c>
      <c r="L157" s="11" t="n">
        <f aca="false">B157+E157*Parametros!$B$8</f>
        <v>0.0511</v>
      </c>
      <c r="M157" s="12" t="n">
        <f aca="false">(1+L157/2)^2-1</f>
        <v>0.0517528025</v>
      </c>
      <c r="N157" s="13" t="n">
        <f aca="false">(1+M157)^(-A157)</f>
        <v>0.0216053088379121</v>
      </c>
    </row>
    <row r="158" customFormat="false" ht="15" hidden="false" customHeight="false" outlineLevel="0" collapsed="false">
      <c r="A158" s="4" t="n">
        <v>76.5</v>
      </c>
      <c r="B158" s="9" t="n">
        <v>0.0431</v>
      </c>
      <c r="C158" s="9" t="n">
        <v>0.0511</v>
      </c>
      <c r="D158" s="10" t="n">
        <f aca="false">(C158-B158)*10000</f>
        <v>80</v>
      </c>
      <c r="E158" s="11" t="n">
        <f aca="false">MAX(0,C158-B158)*(1-Parametros!$B$5)</f>
        <v>0.008</v>
      </c>
      <c r="F158" s="11" t="n">
        <f aca="false">B158+E158*Parametros!$B$6</f>
        <v>0.0511</v>
      </c>
      <c r="G158" s="12" t="n">
        <f aca="false">(1+F158/2)^2-1</f>
        <v>0.0517528025</v>
      </c>
      <c r="H158" s="13" t="n">
        <f aca="false">(1+G158)^(-A158)</f>
        <v>0.0210670458172806</v>
      </c>
      <c r="I158" s="11" t="n">
        <f aca="false">B158+E158*Parametros!$B$7</f>
        <v>0.0511</v>
      </c>
      <c r="J158" s="12" t="n">
        <f aca="false">(1+I158/2)^2-1</f>
        <v>0.0517528025</v>
      </c>
      <c r="K158" s="13" t="n">
        <f aca="false">(1+J158)^(-A158)</f>
        <v>0.0210670458172806</v>
      </c>
      <c r="L158" s="11" t="n">
        <f aca="false">B158+E158*Parametros!$B$8</f>
        <v>0.0511</v>
      </c>
      <c r="M158" s="12" t="n">
        <f aca="false">(1+L158/2)^2-1</f>
        <v>0.0517528025</v>
      </c>
      <c r="N158" s="13" t="n">
        <f aca="false">(1+M158)^(-A158)</f>
        <v>0.0210670458172806</v>
      </c>
    </row>
    <row r="159" customFormat="false" ht="15" hidden="false" customHeight="false" outlineLevel="0" collapsed="false">
      <c r="A159" s="4" t="n">
        <v>77</v>
      </c>
      <c r="B159" s="9" t="n">
        <v>0.0432</v>
      </c>
      <c r="C159" s="9" t="n">
        <v>0.0511</v>
      </c>
      <c r="D159" s="10" t="n">
        <f aca="false">(C159-B159)*10000</f>
        <v>79</v>
      </c>
      <c r="E159" s="11" t="n">
        <f aca="false">MAX(0,C159-B159)*(1-Parametros!$B$5)</f>
        <v>0.0079</v>
      </c>
      <c r="F159" s="11" t="n">
        <f aca="false">B159+E159*Parametros!$B$6</f>
        <v>0.0511</v>
      </c>
      <c r="G159" s="12" t="n">
        <f aca="false">(1+F159/2)^2-1</f>
        <v>0.0517528025</v>
      </c>
      <c r="H159" s="13" t="n">
        <f aca="false">(1+G159)^(-A159)</f>
        <v>0.0205421927914588</v>
      </c>
      <c r="I159" s="11" t="n">
        <f aca="false">B159+E159*Parametros!$B$7</f>
        <v>0.0511</v>
      </c>
      <c r="J159" s="12" t="n">
        <f aca="false">(1+I159/2)^2-1</f>
        <v>0.0517528025</v>
      </c>
      <c r="K159" s="13" t="n">
        <f aca="false">(1+J159)^(-A159)</f>
        <v>0.0205421927914588</v>
      </c>
      <c r="L159" s="11" t="n">
        <f aca="false">B159+E159*Parametros!$B$8</f>
        <v>0.0511</v>
      </c>
      <c r="M159" s="12" t="n">
        <f aca="false">(1+L159/2)^2-1</f>
        <v>0.0517528025</v>
      </c>
      <c r="N159" s="13" t="n">
        <f aca="false">(1+M159)^(-A159)</f>
        <v>0.0205421927914588</v>
      </c>
    </row>
    <row r="160" customFormat="false" ht="15" hidden="false" customHeight="false" outlineLevel="0" collapsed="false">
      <c r="A160" s="4" t="n">
        <v>77.5</v>
      </c>
      <c r="B160" s="9" t="n">
        <v>0.0432</v>
      </c>
      <c r="C160" s="9" t="n">
        <v>0.0511</v>
      </c>
      <c r="D160" s="10" t="n">
        <f aca="false">(C160-B160)*10000</f>
        <v>79</v>
      </c>
      <c r="E160" s="11" t="n">
        <f aca="false">MAX(0,C160-B160)*(1-Parametros!$B$5)</f>
        <v>0.0079</v>
      </c>
      <c r="F160" s="11" t="n">
        <f aca="false">B160+E160*Parametros!$B$6</f>
        <v>0.0511</v>
      </c>
      <c r="G160" s="12" t="n">
        <f aca="false">(1+F160/2)^2-1</f>
        <v>0.0517528025</v>
      </c>
      <c r="H160" s="13" t="n">
        <f aca="false">(1+G160)^(-A160)</f>
        <v>0.0200304156710631</v>
      </c>
      <c r="I160" s="11" t="n">
        <f aca="false">B160+E160*Parametros!$B$7</f>
        <v>0.0511</v>
      </c>
      <c r="J160" s="12" t="n">
        <f aca="false">(1+I160/2)^2-1</f>
        <v>0.0517528025</v>
      </c>
      <c r="K160" s="13" t="n">
        <f aca="false">(1+J160)^(-A160)</f>
        <v>0.0200304156710631</v>
      </c>
      <c r="L160" s="11" t="n">
        <f aca="false">B160+E160*Parametros!$B$8</f>
        <v>0.0511</v>
      </c>
      <c r="M160" s="12" t="n">
        <f aca="false">(1+L160/2)^2-1</f>
        <v>0.0517528025</v>
      </c>
      <c r="N160" s="13" t="n">
        <f aca="false">(1+M160)^(-A160)</f>
        <v>0.0200304156710631</v>
      </c>
    </row>
    <row r="161" customFormat="false" ht="15" hidden="false" customHeight="false" outlineLevel="0" collapsed="false">
      <c r="A161" s="4" t="n">
        <v>78</v>
      </c>
      <c r="B161" s="9" t="n">
        <v>0.0432</v>
      </c>
      <c r="C161" s="9" t="n">
        <v>0.0511</v>
      </c>
      <c r="D161" s="10" t="n">
        <f aca="false">(C161-B161)*10000</f>
        <v>79</v>
      </c>
      <c r="E161" s="11" t="n">
        <f aca="false">MAX(0,C161-B161)*(1-Parametros!$B$5)</f>
        <v>0.0079</v>
      </c>
      <c r="F161" s="11" t="n">
        <f aca="false">B161+E161*Parametros!$B$6</f>
        <v>0.0511</v>
      </c>
      <c r="G161" s="12" t="n">
        <f aca="false">(1+F161/2)^2-1</f>
        <v>0.0517528025</v>
      </c>
      <c r="H161" s="13" t="n">
        <f aca="false">(1+G161)^(-A161)</f>
        <v>0.0195313886900328</v>
      </c>
      <c r="I161" s="11" t="n">
        <f aca="false">B161+E161*Parametros!$B$7</f>
        <v>0.0511</v>
      </c>
      <c r="J161" s="12" t="n">
        <f aca="false">(1+I161/2)^2-1</f>
        <v>0.0517528025</v>
      </c>
      <c r="K161" s="13" t="n">
        <f aca="false">(1+J161)^(-A161)</f>
        <v>0.0195313886900328</v>
      </c>
      <c r="L161" s="11" t="n">
        <f aca="false">B161+E161*Parametros!$B$8</f>
        <v>0.0511</v>
      </c>
      <c r="M161" s="12" t="n">
        <f aca="false">(1+L161/2)^2-1</f>
        <v>0.0517528025</v>
      </c>
      <c r="N161" s="13" t="n">
        <f aca="false">(1+M161)^(-A161)</f>
        <v>0.0195313886900328</v>
      </c>
    </row>
    <row r="162" customFormat="false" ht="15" hidden="false" customHeight="false" outlineLevel="0" collapsed="false">
      <c r="A162" s="4" t="n">
        <v>78.5</v>
      </c>
      <c r="B162" s="9" t="n">
        <v>0.0432</v>
      </c>
      <c r="C162" s="9" t="n">
        <v>0.0511</v>
      </c>
      <c r="D162" s="10" t="n">
        <f aca="false">(C162-B162)*10000</f>
        <v>79</v>
      </c>
      <c r="E162" s="11" t="n">
        <f aca="false">MAX(0,C162-B162)*(1-Parametros!$B$5)</f>
        <v>0.0079</v>
      </c>
      <c r="F162" s="11" t="n">
        <f aca="false">B162+E162*Parametros!$B$6</f>
        <v>0.0511</v>
      </c>
      <c r="G162" s="12" t="n">
        <f aca="false">(1+F162/2)^2-1</f>
        <v>0.0517528025</v>
      </c>
      <c r="H162" s="13" t="n">
        <f aca="false">(1+G162)^(-A162)</f>
        <v>0.0190447941982671</v>
      </c>
      <c r="I162" s="11" t="n">
        <f aca="false">B162+E162*Parametros!$B$7</f>
        <v>0.0511</v>
      </c>
      <c r="J162" s="12" t="n">
        <f aca="false">(1+I162/2)^2-1</f>
        <v>0.0517528025</v>
      </c>
      <c r="K162" s="13" t="n">
        <f aca="false">(1+J162)^(-A162)</f>
        <v>0.0190447941982671</v>
      </c>
      <c r="L162" s="11" t="n">
        <f aca="false">B162+E162*Parametros!$B$8</f>
        <v>0.0511</v>
      </c>
      <c r="M162" s="12" t="n">
        <f aca="false">(1+L162/2)^2-1</f>
        <v>0.0517528025</v>
      </c>
      <c r="N162" s="13" t="n">
        <f aca="false">(1+M162)^(-A162)</f>
        <v>0.0190447941982671</v>
      </c>
    </row>
    <row r="163" customFormat="false" ht="15" hidden="false" customHeight="false" outlineLevel="0" collapsed="false">
      <c r="A163" s="4" t="n">
        <v>79</v>
      </c>
      <c r="B163" s="9" t="n">
        <v>0.0432</v>
      </c>
      <c r="C163" s="9" t="n">
        <v>0.0511</v>
      </c>
      <c r="D163" s="10" t="n">
        <f aca="false">(C163-B163)*10000</f>
        <v>79</v>
      </c>
      <c r="E163" s="11" t="n">
        <f aca="false">MAX(0,C163-B163)*(1-Parametros!$B$5)</f>
        <v>0.0079</v>
      </c>
      <c r="F163" s="11" t="n">
        <f aca="false">B163+E163*Parametros!$B$6</f>
        <v>0.0511</v>
      </c>
      <c r="G163" s="12" t="n">
        <f aca="false">(1+F163/2)^2-1</f>
        <v>0.0517528025</v>
      </c>
      <c r="H163" s="13" t="n">
        <f aca="false">(1+G163)^(-A163)</f>
        <v>0.0185703224594287</v>
      </c>
      <c r="I163" s="11" t="n">
        <f aca="false">B163+E163*Parametros!$B$7</f>
        <v>0.0511</v>
      </c>
      <c r="J163" s="12" t="n">
        <f aca="false">(1+I163/2)^2-1</f>
        <v>0.0517528025</v>
      </c>
      <c r="K163" s="13" t="n">
        <f aca="false">(1+J163)^(-A163)</f>
        <v>0.0185703224594287</v>
      </c>
      <c r="L163" s="11" t="n">
        <f aca="false">B163+E163*Parametros!$B$8</f>
        <v>0.0511</v>
      </c>
      <c r="M163" s="12" t="n">
        <f aca="false">(1+L163/2)^2-1</f>
        <v>0.0517528025</v>
      </c>
      <c r="N163" s="13" t="n">
        <f aca="false">(1+M163)^(-A163)</f>
        <v>0.0185703224594287</v>
      </c>
    </row>
    <row r="164" customFormat="false" ht="15" hidden="false" customHeight="false" outlineLevel="0" collapsed="false">
      <c r="A164" s="4" t="n">
        <v>79.5</v>
      </c>
      <c r="B164" s="9" t="n">
        <v>0.0432</v>
      </c>
      <c r="C164" s="9" t="n">
        <v>0.0511</v>
      </c>
      <c r="D164" s="10" t="n">
        <f aca="false">(C164-B164)*10000</f>
        <v>79</v>
      </c>
      <c r="E164" s="11" t="n">
        <f aca="false">MAX(0,C164-B164)*(1-Parametros!$B$5)</f>
        <v>0.0079</v>
      </c>
      <c r="F164" s="11" t="n">
        <f aca="false">B164+E164*Parametros!$B$6</f>
        <v>0.0511</v>
      </c>
      <c r="G164" s="12" t="n">
        <f aca="false">(1+F164/2)^2-1</f>
        <v>0.0517528025</v>
      </c>
      <c r="H164" s="13" t="n">
        <f aca="false">(1+G164)^(-A164)</f>
        <v>0.0181076714537845</v>
      </c>
      <c r="I164" s="11" t="n">
        <f aca="false">B164+E164*Parametros!$B$7</f>
        <v>0.0511</v>
      </c>
      <c r="J164" s="12" t="n">
        <f aca="false">(1+I164/2)^2-1</f>
        <v>0.0517528025</v>
      </c>
      <c r="K164" s="13" t="n">
        <f aca="false">(1+J164)^(-A164)</f>
        <v>0.0181076714537845</v>
      </c>
      <c r="L164" s="11" t="n">
        <f aca="false">B164+E164*Parametros!$B$8</f>
        <v>0.0511</v>
      </c>
      <c r="M164" s="12" t="n">
        <f aca="false">(1+L164/2)^2-1</f>
        <v>0.0517528025</v>
      </c>
      <c r="N164" s="13" t="n">
        <f aca="false">(1+M164)^(-A164)</f>
        <v>0.0181076714537845</v>
      </c>
    </row>
    <row r="165" customFormat="false" ht="15" hidden="false" customHeight="false" outlineLevel="0" collapsed="false">
      <c r="A165" s="4" t="n">
        <v>80</v>
      </c>
      <c r="B165" s="9" t="n">
        <v>0.0432</v>
      </c>
      <c r="C165" s="9" t="n">
        <v>0.0511</v>
      </c>
      <c r="D165" s="10" t="n">
        <f aca="false">(C165-B165)*10000</f>
        <v>79</v>
      </c>
      <c r="E165" s="11" t="n">
        <f aca="false">MAX(0,C165-B165)*(1-Parametros!$B$5)</f>
        <v>0.0079</v>
      </c>
      <c r="F165" s="11" t="n">
        <f aca="false">B165+E165*Parametros!$B$6</f>
        <v>0.0511</v>
      </c>
      <c r="G165" s="12" t="n">
        <f aca="false">(1+F165/2)^2-1</f>
        <v>0.0517528025</v>
      </c>
      <c r="H165" s="13" t="n">
        <f aca="false">(1+G165)^(-A165)</f>
        <v>0.0176565466859582</v>
      </c>
      <c r="I165" s="11" t="n">
        <f aca="false">B165+E165*Parametros!$B$7</f>
        <v>0.0511</v>
      </c>
      <c r="J165" s="12" t="n">
        <f aca="false">(1+I165/2)^2-1</f>
        <v>0.0517528025</v>
      </c>
      <c r="K165" s="13" t="n">
        <f aca="false">(1+J165)^(-A165)</f>
        <v>0.0176565466859582</v>
      </c>
      <c r="L165" s="11" t="n">
        <f aca="false">B165+E165*Parametros!$B$8</f>
        <v>0.0511</v>
      </c>
      <c r="M165" s="12" t="n">
        <f aca="false">(1+L165/2)^2-1</f>
        <v>0.0517528025</v>
      </c>
      <c r="N165" s="13" t="n">
        <f aca="false">(1+M165)^(-A165)</f>
        <v>0.0176565466859582</v>
      </c>
    </row>
    <row r="166" customFormat="false" ht="15" hidden="false" customHeight="false" outlineLevel="0" collapsed="false">
      <c r="A166" s="4" t="n">
        <v>80.5</v>
      </c>
      <c r="B166" s="9" t="n">
        <v>0.0432</v>
      </c>
      <c r="C166" s="9" t="n">
        <v>0.0511</v>
      </c>
      <c r="D166" s="10" t="n">
        <f aca="false">(C166-B166)*10000</f>
        <v>79</v>
      </c>
      <c r="E166" s="11" t="n">
        <f aca="false">MAX(0,C166-B166)*(1-Parametros!$B$5)</f>
        <v>0.0079</v>
      </c>
      <c r="F166" s="11" t="n">
        <f aca="false">B166+E166*Parametros!$B$6</f>
        <v>0.0511</v>
      </c>
      <c r="G166" s="12" t="n">
        <f aca="false">(1+F166/2)^2-1</f>
        <v>0.0517528025</v>
      </c>
      <c r="H166" s="13" t="n">
        <f aca="false">(1+G166)^(-A166)</f>
        <v>0.0172166609974728</v>
      </c>
      <c r="I166" s="11" t="n">
        <f aca="false">B166+E166*Parametros!$B$7</f>
        <v>0.0511</v>
      </c>
      <c r="J166" s="12" t="n">
        <f aca="false">(1+I166/2)^2-1</f>
        <v>0.0517528025</v>
      </c>
      <c r="K166" s="13" t="n">
        <f aca="false">(1+J166)^(-A166)</f>
        <v>0.0172166609974728</v>
      </c>
      <c r="L166" s="11" t="n">
        <f aca="false">B166+E166*Parametros!$B$8</f>
        <v>0.0511</v>
      </c>
      <c r="M166" s="12" t="n">
        <f aca="false">(1+L166/2)^2-1</f>
        <v>0.0517528025</v>
      </c>
      <c r="N166" s="13" t="n">
        <f aca="false">(1+M166)^(-A166)</f>
        <v>0.0172166609974728</v>
      </c>
    </row>
    <row r="167" customFormat="false" ht="15" hidden="false" customHeight="false" outlineLevel="0" collapsed="false">
      <c r="A167" s="4" t="n">
        <v>81</v>
      </c>
      <c r="B167" s="9" t="n">
        <v>0.0432</v>
      </c>
      <c r="C167" s="9" t="n">
        <v>0.0511</v>
      </c>
      <c r="D167" s="10" t="n">
        <f aca="false">(C167-B167)*10000</f>
        <v>79</v>
      </c>
      <c r="E167" s="11" t="n">
        <f aca="false">MAX(0,C167-B167)*(1-Parametros!$B$5)</f>
        <v>0.0079</v>
      </c>
      <c r="F167" s="11" t="n">
        <f aca="false">B167+E167*Parametros!$B$6</f>
        <v>0.0511</v>
      </c>
      <c r="G167" s="12" t="n">
        <f aca="false">(1+F167/2)^2-1</f>
        <v>0.0517528025</v>
      </c>
      <c r="H167" s="13" t="n">
        <f aca="false">(1+G167)^(-A167)</f>
        <v>0.0167877343839626</v>
      </c>
      <c r="I167" s="11" t="n">
        <f aca="false">B167+E167*Parametros!$B$7</f>
        <v>0.0511</v>
      </c>
      <c r="J167" s="12" t="n">
        <f aca="false">(1+I167/2)^2-1</f>
        <v>0.0517528025</v>
      </c>
      <c r="K167" s="13" t="n">
        <f aca="false">(1+J167)^(-A167)</f>
        <v>0.0167877343839626</v>
      </c>
      <c r="L167" s="11" t="n">
        <f aca="false">B167+E167*Parametros!$B$8</f>
        <v>0.0511</v>
      </c>
      <c r="M167" s="12" t="n">
        <f aca="false">(1+L167/2)^2-1</f>
        <v>0.0517528025</v>
      </c>
      <c r="N167" s="13" t="n">
        <f aca="false">(1+M167)^(-A167)</f>
        <v>0.0167877343839626</v>
      </c>
    </row>
    <row r="168" customFormat="false" ht="15" hidden="false" customHeight="false" outlineLevel="0" collapsed="false">
      <c r="A168" s="4" t="n">
        <v>81.5</v>
      </c>
      <c r="B168" s="9" t="n">
        <v>0.0432</v>
      </c>
      <c r="C168" s="9" t="n">
        <v>0.0511</v>
      </c>
      <c r="D168" s="10" t="n">
        <f aca="false">(C168-B168)*10000</f>
        <v>79</v>
      </c>
      <c r="E168" s="11" t="n">
        <f aca="false">MAX(0,C168-B168)*(1-Parametros!$B$5)</f>
        <v>0.0079</v>
      </c>
      <c r="F168" s="11" t="n">
        <f aca="false">B168+E168*Parametros!$B$6</f>
        <v>0.0511</v>
      </c>
      <c r="G168" s="12" t="n">
        <f aca="false">(1+F168/2)^2-1</f>
        <v>0.0517528025</v>
      </c>
      <c r="H168" s="13" t="n">
        <f aca="false">(1+G168)^(-A168)</f>
        <v>0.0163694938169398</v>
      </c>
      <c r="I168" s="11" t="n">
        <f aca="false">B168+E168*Parametros!$B$7</f>
        <v>0.0511</v>
      </c>
      <c r="J168" s="12" t="n">
        <f aca="false">(1+I168/2)^2-1</f>
        <v>0.0517528025</v>
      </c>
      <c r="K168" s="13" t="n">
        <f aca="false">(1+J168)^(-A168)</f>
        <v>0.0163694938169398</v>
      </c>
      <c r="L168" s="11" t="n">
        <f aca="false">B168+E168*Parametros!$B$8</f>
        <v>0.0511</v>
      </c>
      <c r="M168" s="12" t="n">
        <f aca="false">(1+L168/2)^2-1</f>
        <v>0.0517528025</v>
      </c>
      <c r="N168" s="13" t="n">
        <f aca="false">(1+M168)^(-A168)</f>
        <v>0.0163694938169398</v>
      </c>
    </row>
    <row r="169" customFormat="false" ht="15" hidden="false" customHeight="false" outlineLevel="0" collapsed="false">
      <c r="A169" s="4" t="n">
        <v>82</v>
      </c>
      <c r="B169" s="9" t="n">
        <v>0.0433</v>
      </c>
      <c r="C169" s="9" t="n">
        <v>0.0511</v>
      </c>
      <c r="D169" s="10" t="n">
        <f aca="false">(C169-B169)*10000</f>
        <v>78</v>
      </c>
      <c r="E169" s="11" t="n">
        <f aca="false">MAX(0,C169-B169)*(1-Parametros!$B$5)</f>
        <v>0.0078</v>
      </c>
      <c r="F169" s="11" t="n">
        <f aca="false">B169+E169*Parametros!$B$6</f>
        <v>0.0511</v>
      </c>
      <c r="G169" s="12" t="n">
        <f aca="false">(1+F169/2)^2-1</f>
        <v>0.0517528025</v>
      </c>
      <c r="H169" s="13" t="n">
        <f aca="false">(1+G169)^(-A169)</f>
        <v>0.0159616730700012</v>
      </c>
      <c r="I169" s="11" t="n">
        <f aca="false">B169+E169*Parametros!$B$7</f>
        <v>0.0511</v>
      </c>
      <c r="J169" s="12" t="n">
        <f aca="false">(1+I169/2)^2-1</f>
        <v>0.0517528025</v>
      </c>
      <c r="K169" s="13" t="n">
        <f aca="false">(1+J169)^(-A169)</f>
        <v>0.0159616730700012</v>
      </c>
      <c r="L169" s="11" t="n">
        <f aca="false">B169+E169*Parametros!$B$8</f>
        <v>0.0511</v>
      </c>
      <c r="M169" s="12" t="n">
        <f aca="false">(1+L169/2)^2-1</f>
        <v>0.0517528025</v>
      </c>
      <c r="N169" s="13" t="n">
        <f aca="false">(1+M169)^(-A169)</f>
        <v>0.0159616730700012</v>
      </c>
    </row>
    <row r="170" customFormat="false" ht="15" hidden="false" customHeight="false" outlineLevel="0" collapsed="false">
      <c r="A170" s="4" t="n">
        <v>82.5</v>
      </c>
      <c r="B170" s="9" t="n">
        <v>0.0433</v>
      </c>
      <c r="C170" s="9" t="n">
        <v>0.0511</v>
      </c>
      <c r="D170" s="10" t="n">
        <f aca="false">(C170-B170)*10000</f>
        <v>78</v>
      </c>
      <c r="E170" s="11" t="n">
        <f aca="false">MAX(0,C170-B170)*(1-Parametros!$B$5)</f>
        <v>0.0078</v>
      </c>
      <c r="F170" s="11" t="n">
        <f aca="false">B170+E170*Parametros!$B$6</f>
        <v>0.0511</v>
      </c>
      <c r="G170" s="12" t="n">
        <f aca="false">(1+F170/2)^2-1</f>
        <v>0.0517528025</v>
      </c>
      <c r="H170" s="13" t="n">
        <f aca="false">(1+G170)^(-A170)</f>
        <v>0.0155640125493649</v>
      </c>
      <c r="I170" s="11" t="n">
        <f aca="false">B170+E170*Parametros!$B$7</f>
        <v>0.0511</v>
      </c>
      <c r="J170" s="12" t="n">
        <f aca="false">(1+I170/2)^2-1</f>
        <v>0.0517528025</v>
      </c>
      <c r="K170" s="13" t="n">
        <f aca="false">(1+J170)^(-A170)</f>
        <v>0.0155640125493649</v>
      </c>
      <c r="L170" s="11" t="n">
        <f aca="false">B170+E170*Parametros!$B$8</f>
        <v>0.0511</v>
      </c>
      <c r="M170" s="12" t="n">
        <f aca="false">(1+L170/2)^2-1</f>
        <v>0.0517528025</v>
      </c>
      <c r="N170" s="13" t="n">
        <f aca="false">(1+M170)^(-A170)</f>
        <v>0.0155640125493649</v>
      </c>
    </row>
    <row r="171" customFormat="false" ht="15" hidden="false" customHeight="false" outlineLevel="0" collapsed="false">
      <c r="A171" s="4" t="n">
        <v>83</v>
      </c>
      <c r="B171" s="9" t="n">
        <v>0.0433</v>
      </c>
      <c r="C171" s="9" t="n">
        <v>0.0511</v>
      </c>
      <c r="D171" s="10" t="n">
        <f aca="false">(C171-B171)*10000</f>
        <v>78</v>
      </c>
      <c r="E171" s="11" t="n">
        <f aca="false">MAX(0,C171-B171)*(1-Parametros!$B$5)</f>
        <v>0.0078</v>
      </c>
      <c r="F171" s="11" t="n">
        <f aca="false">B171+E171*Parametros!$B$6</f>
        <v>0.0511</v>
      </c>
      <c r="G171" s="12" t="n">
        <f aca="false">(1+F171/2)^2-1</f>
        <v>0.0517528025</v>
      </c>
      <c r="H171" s="13" t="n">
        <f aca="false">(1+G171)^(-A171)</f>
        <v>0.0151762591286285</v>
      </c>
      <c r="I171" s="11" t="n">
        <f aca="false">B171+E171*Parametros!$B$7</f>
        <v>0.0511</v>
      </c>
      <c r="J171" s="12" t="n">
        <f aca="false">(1+I171/2)^2-1</f>
        <v>0.0517528025</v>
      </c>
      <c r="K171" s="13" t="n">
        <f aca="false">(1+J171)^(-A171)</f>
        <v>0.0151762591286285</v>
      </c>
      <c r="L171" s="11" t="n">
        <f aca="false">B171+E171*Parametros!$B$8</f>
        <v>0.0511</v>
      </c>
      <c r="M171" s="12" t="n">
        <f aca="false">(1+L171/2)^2-1</f>
        <v>0.0517528025</v>
      </c>
      <c r="N171" s="13" t="n">
        <f aca="false">(1+M171)^(-A171)</f>
        <v>0.0151762591286285</v>
      </c>
    </row>
    <row r="172" customFormat="false" ht="15" hidden="false" customHeight="false" outlineLevel="0" collapsed="false">
      <c r="A172" s="4" t="n">
        <v>83.5</v>
      </c>
      <c r="B172" s="9" t="n">
        <v>0.0433</v>
      </c>
      <c r="C172" s="9" t="n">
        <v>0.0511</v>
      </c>
      <c r="D172" s="10" t="n">
        <f aca="false">(C172-B172)*10000</f>
        <v>78</v>
      </c>
      <c r="E172" s="11" t="n">
        <f aca="false">MAX(0,C172-B172)*(1-Parametros!$B$5)</f>
        <v>0.0078</v>
      </c>
      <c r="F172" s="11" t="n">
        <f aca="false">B172+E172*Parametros!$B$6</f>
        <v>0.0511</v>
      </c>
      <c r="G172" s="12" t="n">
        <f aca="false">(1+F172/2)^2-1</f>
        <v>0.0517528025</v>
      </c>
      <c r="H172" s="13" t="n">
        <f aca="false">(1+G172)^(-A172)</f>
        <v>0.0147981659876442</v>
      </c>
      <c r="I172" s="11" t="n">
        <f aca="false">B172+E172*Parametros!$B$7</f>
        <v>0.0511</v>
      </c>
      <c r="J172" s="12" t="n">
        <f aca="false">(1+I172/2)^2-1</f>
        <v>0.0517528025</v>
      </c>
      <c r="K172" s="13" t="n">
        <f aca="false">(1+J172)^(-A172)</f>
        <v>0.0147981659876442</v>
      </c>
      <c r="L172" s="11" t="n">
        <f aca="false">B172+E172*Parametros!$B$8</f>
        <v>0.0511</v>
      </c>
      <c r="M172" s="12" t="n">
        <f aca="false">(1+L172/2)^2-1</f>
        <v>0.0517528025</v>
      </c>
      <c r="N172" s="13" t="n">
        <f aca="false">(1+M172)^(-A172)</f>
        <v>0.0147981659876442</v>
      </c>
    </row>
    <row r="173" customFormat="false" ht="15" hidden="false" customHeight="false" outlineLevel="0" collapsed="false">
      <c r="A173" s="4" t="n">
        <v>84</v>
      </c>
      <c r="B173" s="9" t="n">
        <v>0.0433</v>
      </c>
      <c r="C173" s="9" t="n">
        <v>0.0511</v>
      </c>
      <c r="D173" s="10" t="n">
        <f aca="false">(C173-B173)*10000</f>
        <v>78</v>
      </c>
      <c r="E173" s="11" t="n">
        <f aca="false">MAX(0,C173-B173)*(1-Parametros!$B$5)</f>
        <v>0.0078</v>
      </c>
      <c r="F173" s="11" t="n">
        <f aca="false">B173+E173*Parametros!$B$6</f>
        <v>0.0511</v>
      </c>
      <c r="G173" s="12" t="n">
        <f aca="false">(1+F173/2)^2-1</f>
        <v>0.0517528025</v>
      </c>
      <c r="H173" s="13" t="n">
        <f aca="false">(1+G173)^(-A173)</f>
        <v>0.0144294924554085</v>
      </c>
      <c r="I173" s="11" t="n">
        <f aca="false">B173+E173*Parametros!$B$7</f>
        <v>0.0511</v>
      </c>
      <c r="J173" s="12" t="n">
        <f aca="false">(1+I173/2)^2-1</f>
        <v>0.0517528025</v>
      </c>
      <c r="K173" s="13" t="n">
        <f aca="false">(1+J173)^(-A173)</f>
        <v>0.0144294924554085</v>
      </c>
      <c r="L173" s="11" t="n">
        <f aca="false">B173+E173*Parametros!$B$8</f>
        <v>0.0511</v>
      </c>
      <c r="M173" s="12" t="n">
        <f aca="false">(1+L173/2)^2-1</f>
        <v>0.0517528025</v>
      </c>
      <c r="N173" s="13" t="n">
        <f aca="false">(1+M173)^(-A173)</f>
        <v>0.0144294924554085</v>
      </c>
    </row>
    <row r="174" customFormat="false" ht="15" hidden="false" customHeight="false" outlineLevel="0" collapsed="false">
      <c r="A174" s="4" t="n">
        <v>84.5</v>
      </c>
      <c r="B174" s="9" t="n">
        <v>0.0433</v>
      </c>
      <c r="C174" s="9" t="n">
        <v>0.0511</v>
      </c>
      <c r="D174" s="10" t="n">
        <f aca="false">(C174-B174)*10000</f>
        <v>78</v>
      </c>
      <c r="E174" s="11" t="n">
        <f aca="false">MAX(0,C174-B174)*(1-Parametros!$B$5)</f>
        <v>0.0078</v>
      </c>
      <c r="F174" s="11" t="n">
        <f aca="false">B174+E174*Parametros!$B$6</f>
        <v>0.0511</v>
      </c>
      <c r="G174" s="12" t="n">
        <f aca="false">(1+F174/2)^2-1</f>
        <v>0.0517528025</v>
      </c>
      <c r="H174" s="13" t="n">
        <f aca="false">(1+G174)^(-A174)</f>
        <v>0.0140700038568656</v>
      </c>
      <c r="I174" s="11" t="n">
        <f aca="false">B174+E174*Parametros!$B$7</f>
        <v>0.0511</v>
      </c>
      <c r="J174" s="12" t="n">
        <f aca="false">(1+I174/2)^2-1</f>
        <v>0.0517528025</v>
      </c>
      <c r="K174" s="13" t="n">
        <f aca="false">(1+J174)^(-A174)</f>
        <v>0.0140700038568656</v>
      </c>
      <c r="L174" s="11" t="n">
        <f aca="false">B174+E174*Parametros!$B$8</f>
        <v>0.0511</v>
      </c>
      <c r="M174" s="12" t="n">
        <f aca="false">(1+L174/2)^2-1</f>
        <v>0.0517528025</v>
      </c>
      <c r="N174" s="13" t="n">
        <f aca="false">(1+M174)^(-A174)</f>
        <v>0.0140700038568656</v>
      </c>
    </row>
    <row r="175" customFormat="false" ht="15" hidden="false" customHeight="false" outlineLevel="0" collapsed="false">
      <c r="A175" s="4" t="n">
        <v>85</v>
      </c>
      <c r="B175" s="9" t="n">
        <v>0.0433</v>
      </c>
      <c r="C175" s="9" t="n">
        <v>0.0511</v>
      </c>
      <c r="D175" s="10" t="n">
        <f aca="false">(C175-B175)*10000</f>
        <v>78</v>
      </c>
      <c r="E175" s="11" t="n">
        <f aca="false">MAX(0,C175-B175)*(1-Parametros!$B$5)</f>
        <v>0.0078</v>
      </c>
      <c r="F175" s="11" t="n">
        <f aca="false">B175+E175*Parametros!$B$6</f>
        <v>0.0511</v>
      </c>
      <c r="G175" s="12" t="n">
        <f aca="false">(1+F175/2)^2-1</f>
        <v>0.0517528025</v>
      </c>
      <c r="H175" s="13" t="n">
        <f aca="false">(1+G175)^(-A175)</f>
        <v>0.0137194713635274</v>
      </c>
      <c r="I175" s="11" t="n">
        <f aca="false">B175+E175*Parametros!$B$7</f>
        <v>0.0511</v>
      </c>
      <c r="J175" s="12" t="n">
        <f aca="false">(1+I175/2)^2-1</f>
        <v>0.0517528025</v>
      </c>
      <c r="K175" s="13" t="n">
        <f aca="false">(1+J175)^(-A175)</f>
        <v>0.0137194713635274</v>
      </c>
      <c r="L175" s="11" t="n">
        <f aca="false">B175+E175*Parametros!$B$8</f>
        <v>0.0511</v>
      </c>
      <c r="M175" s="12" t="n">
        <f aca="false">(1+L175/2)^2-1</f>
        <v>0.0517528025</v>
      </c>
      <c r="N175" s="13" t="n">
        <f aca="false">(1+M175)^(-A175)</f>
        <v>0.0137194713635274</v>
      </c>
    </row>
    <row r="176" customFormat="false" ht="15" hidden="false" customHeight="false" outlineLevel="0" collapsed="false">
      <c r="A176" s="4" t="n">
        <v>85.5</v>
      </c>
      <c r="B176" s="9" t="n">
        <v>0.0433</v>
      </c>
      <c r="C176" s="9" t="n">
        <v>0.0511</v>
      </c>
      <c r="D176" s="10" t="n">
        <f aca="false">(C176-B176)*10000</f>
        <v>78</v>
      </c>
      <c r="E176" s="11" t="n">
        <f aca="false">MAX(0,C176-B176)*(1-Parametros!$B$5)</f>
        <v>0.0078</v>
      </c>
      <c r="F176" s="11" t="n">
        <f aca="false">B176+E176*Parametros!$B$6</f>
        <v>0.0511</v>
      </c>
      <c r="G176" s="12" t="n">
        <f aca="false">(1+F176/2)^2-1</f>
        <v>0.0517528025</v>
      </c>
      <c r="H176" s="13" t="n">
        <f aca="false">(1+G176)^(-A176)</f>
        <v>0.0133776718478158</v>
      </c>
      <c r="I176" s="11" t="n">
        <f aca="false">B176+E176*Parametros!$B$7</f>
        <v>0.0511</v>
      </c>
      <c r="J176" s="12" t="n">
        <f aca="false">(1+I176/2)^2-1</f>
        <v>0.0517528025</v>
      </c>
      <c r="K176" s="13" t="n">
        <f aca="false">(1+J176)^(-A176)</f>
        <v>0.0133776718478158</v>
      </c>
      <c r="L176" s="11" t="n">
        <f aca="false">B176+E176*Parametros!$B$8</f>
        <v>0.0511</v>
      </c>
      <c r="M176" s="12" t="n">
        <f aca="false">(1+L176/2)^2-1</f>
        <v>0.0517528025</v>
      </c>
      <c r="N176" s="13" t="n">
        <f aca="false">(1+M176)^(-A176)</f>
        <v>0.0133776718478158</v>
      </c>
    </row>
    <row r="177" customFormat="false" ht="15" hidden="false" customHeight="false" outlineLevel="0" collapsed="false">
      <c r="A177" s="4" t="n">
        <v>86</v>
      </c>
      <c r="B177" s="9" t="n">
        <v>0.0433</v>
      </c>
      <c r="C177" s="9" t="n">
        <v>0.0511</v>
      </c>
      <c r="D177" s="10" t="n">
        <f aca="false">(C177-B177)*10000</f>
        <v>78</v>
      </c>
      <c r="E177" s="11" t="n">
        <f aca="false">MAX(0,C177-B177)*(1-Parametros!$B$5)</f>
        <v>0.0078</v>
      </c>
      <c r="F177" s="11" t="n">
        <f aca="false">B177+E177*Parametros!$B$6</f>
        <v>0.0511</v>
      </c>
      <c r="G177" s="12" t="n">
        <f aca="false">(1+F177/2)^2-1</f>
        <v>0.0517528025</v>
      </c>
      <c r="H177" s="13" t="n">
        <f aca="false">(1+G177)^(-A177)</f>
        <v>0.0130443877410324</v>
      </c>
      <c r="I177" s="11" t="n">
        <f aca="false">B177+E177*Parametros!$B$7</f>
        <v>0.0511</v>
      </c>
      <c r="J177" s="12" t="n">
        <f aca="false">(1+I177/2)^2-1</f>
        <v>0.0517528025</v>
      </c>
      <c r="K177" s="13" t="n">
        <f aca="false">(1+J177)^(-A177)</f>
        <v>0.0130443877410324</v>
      </c>
      <c r="L177" s="11" t="n">
        <f aca="false">B177+E177*Parametros!$B$8</f>
        <v>0.0511</v>
      </c>
      <c r="M177" s="12" t="n">
        <f aca="false">(1+L177/2)^2-1</f>
        <v>0.0517528025</v>
      </c>
      <c r="N177" s="13" t="n">
        <f aca="false">(1+M177)^(-A177)</f>
        <v>0.0130443877410324</v>
      </c>
    </row>
    <row r="178" customFormat="false" ht="15" hidden="false" customHeight="false" outlineLevel="0" collapsed="false">
      <c r="A178" s="4" t="n">
        <v>86.5</v>
      </c>
      <c r="B178" s="9" t="n">
        <v>0.0433</v>
      </c>
      <c r="C178" s="9" t="n">
        <v>0.0511</v>
      </c>
      <c r="D178" s="10" t="n">
        <f aca="false">(C178-B178)*10000</f>
        <v>78</v>
      </c>
      <c r="E178" s="11" t="n">
        <f aca="false">MAX(0,C178-B178)*(1-Parametros!$B$5)</f>
        <v>0.0078</v>
      </c>
      <c r="F178" s="11" t="n">
        <f aca="false">B178+E178*Parametros!$B$6</f>
        <v>0.0511</v>
      </c>
      <c r="G178" s="12" t="n">
        <f aca="false">(1+F178/2)^2-1</f>
        <v>0.0517528025</v>
      </c>
      <c r="H178" s="13" t="n">
        <f aca="false">(1+G178)^(-A178)</f>
        <v>0.0127194068948685</v>
      </c>
      <c r="I178" s="11" t="n">
        <f aca="false">B178+E178*Parametros!$B$7</f>
        <v>0.0511</v>
      </c>
      <c r="J178" s="12" t="n">
        <f aca="false">(1+I178/2)^2-1</f>
        <v>0.0517528025</v>
      </c>
      <c r="K178" s="13" t="n">
        <f aca="false">(1+J178)^(-A178)</f>
        <v>0.0127194068948685</v>
      </c>
      <c r="L178" s="11" t="n">
        <f aca="false">B178+E178*Parametros!$B$8</f>
        <v>0.0511</v>
      </c>
      <c r="M178" s="12" t="n">
        <f aca="false">(1+L178/2)^2-1</f>
        <v>0.0517528025</v>
      </c>
      <c r="N178" s="13" t="n">
        <f aca="false">(1+M178)^(-A178)</f>
        <v>0.0127194068948685</v>
      </c>
    </row>
    <row r="179" customFormat="false" ht="15" hidden="false" customHeight="false" outlineLevel="0" collapsed="false">
      <c r="A179" s="4" t="n">
        <v>87</v>
      </c>
      <c r="B179" s="9" t="n">
        <v>0.0434</v>
      </c>
      <c r="C179" s="9" t="n">
        <v>0.0511</v>
      </c>
      <c r="D179" s="10" t="n">
        <f aca="false">(C179-B179)*10000</f>
        <v>77</v>
      </c>
      <c r="E179" s="11" t="n">
        <f aca="false">MAX(0,C179-B179)*(1-Parametros!$B$5)</f>
        <v>0.0077</v>
      </c>
      <c r="F179" s="11" t="n">
        <f aca="false">B179+E179*Parametros!$B$6</f>
        <v>0.0511</v>
      </c>
      <c r="G179" s="12" t="n">
        <f aca="false">(1+F179/2)^2-1</f>
        <v>0.0517528025</v>
      </c>
      <c r="H179" s="13" t="n">
        <f aca="false">(1+G179)^(-A179)</f>
        <v>0.0124025224463639</v>
      </c>
      <c r="I179" s="11" t="n">
        <f aca="false">B179+E179*Parametros!$B$7</f>
        <v>0.0511</v>
      </c>
      <c r="J179" s="12" t="n">
        <f aca="false">(1+I179/2)^2-1</f>
        <v>0.0517528025</v>
      </c>
      <c r="K179" s="13" t="n">
        <f aca="false">(1+J179)^(-A179)</f>
        <v>0.0124025224463639</v>
      </c>
      <c r="L179" s="11" t="n">
        <f aca="false">B179+E179*Parametros!$B$8</f>
        <v>0.0511</v>
      </c>
      <c r="M179" s="12" t="n">
        <f aca="false">(1+L179/2)^2-1</f>
        <v>0.0517528025</v>
      </c>
      <c r="N179" s="13" t="n">
        <f aca="false">(1+M179)^(-A179)</f>
        <v>0.0124025224463639</v>
      </c>
    </row>
    <row r="180" customFormat="false" ht="15" hidden="false" customHeight="false" outlineLevel="0" collapsed="false">
      <c r="A180" s="4" t="n">
        <v>87.5</v>
      </c>
      <c r="B180" s="9" t="n">
        <v>0.0434</v>
      </c>
      <c r="C180" s="9" t="n">
        <v>0.0511</v>
      </c>
      <c r="D180" s="10" t="n">
        <f aca="false">(C180-B180)*10000</f>
        <v>77</v>
      </c>
      <c r="E180" s="11" t="n">
        <f aca="false">MAX(0,C180-B180)*(1-Parametros!$B$5)</f>
        <v>0.0077</v>
      </c>
      <c r="F180" s="11" t="n">
        <f aca="false">B180+E180*Parametros!$B$6</f>
        <v>0.0511</v>
      </c>
      <c r="G180" s="12" t="n">
        <f aca="false">(1+F180/2)^2-1</f>
        <v>0.0517528025</v>
      </c>
      <c r="H180" s="13" t="n">
        <f aca="false">(1+G180)^(-A180)</f>
        <v>0.0120935326862307</v>
      </c>
      <c r="I180" s="11" t="n">
        <f aca="false">B180+E180*Parametros!$B$7</f>
        <v>0.0511</v>
      </c>
      <c r="J180" s="12" t="n">
        <f aca="false">(1+I180/2)^2-1</f>
        <v>0.0517528025</v>
      </c>
      <c r="K180" s="13" t="n">
        <f aca="false">(1+J180)^(-A180)</f>
        <v>0.0120935326862307</v>
      </c>
      <c r="L180" s="11" t="n">
        <f aca="false">B180+E180*Parametros!$B$8</f>
        <v>0.0511</v>
      </c>
      <c r="M180" s="12" t="n">
        <f aca="false">(1+L180/2)^2-1</f>
        <v>0.0517528025</v>
      </c>
      <c r="N180" s="13" t="n">
        <f aca="false">(1+M180)^(-A180)</f>
        <v>0.0120935326862307</v>
      </c>
    </row>
    <row r="181" customFormat="false" ht="15" hidden="false" customHeight="false" outlineLevel="0" collapsed="false">
      <c r="A181" s="4" t="n">
        <v>88</v>
      </c>
      <c r="B181" s="9" t="n">
        <v>0.0434</v>
      </c>
      <c r="C181" s="9" t="n">
        <v>0.0511</v>
      </c>
      <c r="D181" s="10" t="n">
        <f aca="false">(C181-B181)*10000</f>
        <v>77</v>
      </c>
      <c r="E181" s="11" t="n">
        <f aca="false">MAX(0,C181-B181)*(1-Parametros!$B$5)</f>
        <v>0.0077</v>
      </c>
      <c r="F181" s="11" t="n">
        <f aca="false">B181+E181*Parametros!$B$6</f>
        <v>0.0511</v>
      </c>
      <c r="G181" s="12" t="n">
        <f aca="false">(1+F181/2)^2-1</f>
        <v>0.0517528025</v>
      </c>
      <c r="H181" s="13" t="n">
        <f aca="false">(1+G181)^(-A181)</f>
        <v>0.0117922409304575</v>
      </c>
      <c r="I181" s="11" t="n">
        <f aca="false">B181+E181*Parametros!$B$7</f>
        <v>0.0511</v>
      </c>
      <c r="J181" s="12" t="n">
        <f aca="false">(1+I181/2)^2-1</f>
        <v>0.0517528025</v>
      </c>
      <c r="K181" s="13" t="n">
        <f aca="false">(1+J181)^(-A181)</f>
        <v>0.0117922409304575</v>
      </c>
      <c r="L181" s="11" t="n">
        <f aca="false">B181+E181*Parametros!$B$8</f>
        <v>0.0511</v>
      </c>
      <c r="M181" s="12" t="n">
        <f aca="false">(1+L181/2)^2-1</f>
        <v>0.0517528025</v>
      </c>
      <c r="N181" s="13" t="n">
        <f aca="false">(1+M181)^(-A181)</f>
        <v>0.0117922409304575</v>
      </c>
    </row>
    <row r="182" customFormat="false" ht="15" hidden="false" customHeight="false" outlineLevel="0" collapsed="false">
      <c r="A182" s="4" t="n">
        <v>88.5</v>
      </c>
      <c r="B182" s="9" t="n">
        <v>0.0434</v>
      </c>
      <c r="C182" s="9" t="n">
        <v>0.0511</v>
      </c>
      <c r="D182" s="10" t="n">
        <f aca="false">(C182-B182)*10000</f>
        <v>77</v>
      </c>
      <c r="E182" s="11" t="n">
        <f aca="false">MAX(0,C182-B182)*(1-Parametros!$B$5)</f>
        <v>0.0077</v>
      </c>
      <c r="F182" s="11" t="n">
        <f aca="false">B182+E182*Parametros!$B$6</f>
        <v>0.0511</v>
      </c>
      <c r="G182" s="12" t="n">
        <f aca="false">(1+F182/2)^2-1</f>
        <v>0.0517528025</v>
      </c>
      <c r="H182" s="13" t="n">
        <f aca="false">(1+G182)^(-A182)</f>
        <v>0.0114984553951124</v>
      </c>
      <c r="I182" s="11" t="n">
        <f aca="false">B182+E182*Parametros!$B$7</f>
        <v>0.0511</v>
      </c>
      <c r="J182" s="12" t="n">
        <f aca="false">(1+I182/2)^2-1</f>
        <v>0.0517528025</v>
      </c>
      <c r="K182" s="13" t="n">
        <f aca="false">(1+J182)^(-A182)</f>
        <v>0.0114984553951124</v>
      </c>
      <c r="L182" s="11" t="n">
        <f aca="false">B182+E182*Parametros!$B$8</f>
        <v>0.0511</v>
      </c>
      <c r="M182" s="12" t="n">
        <f aca="false">(1+L182/2)^2-1</f>
        <v>0.0517528025</v>
      </c>
      <c r="N182" s="13" t="n">
        <f aca="false">(1+M182)^(-A182)</f>
        <v>0.0114984553951124</v>
      </c>
    </row>
    <row r="183" customFormat="false" ht="15" hidden="false" customHeight="false" outlineLevel="0" collapsed="false">
      <c r="A183" s="4" t="n">
        <v>89</v>
      </c>
      <c r="B183" s="9" t="n">
        <v>0.0434</v>
      </c>
      <c r="C183" s="9" t="n">
        <v>0.0511</v>
      </c>
      <c r="D183" s="10" t="n">
        <f aca="false">(C183-B183)*10000</f>
        <v>77</v>
      </c>
      <c r="E183" s="11" t="n">
        <f aca="false">MAX(0,C183-B183)*(1-Parametros!$B$5)</f>
        <v>0.0077</v>
      </c>
      <c r="F183" s="11" t="n">
        <f aca="false">B183+E183*Parametros!$B$6</f>
        <v>0.0511</v>
      </c>
      <c r="G183" s="12" t="n">
        <f aca="false">(1+F183/2)^2-1</f>
        <v>0.0517528025</v>
      </c>
      <c r="H183" s="13" t="n">
        <f aca="false">(1+G183)^(-A183)</f>
        <v>0.0112119890742649</v>
      </c>
      <c r="I183" s="11" t="n">
        <f aca="false">B183+E183*Parametros!$B$7</f>
        <v>0.0511</v>
      </c>
      <c r="J183" s="12" t="n">
        <f aca="false">(1+I183/2)^2-1</f>
        <v>0.0517528025</v>
      </c>
      <c r="K183" s="13" t="n">
        <f aca="false">(1+J183)^(-A183)</f>
        <v>0.0112119890742649</v>
      </c>
      <c r="L183" s="11" t="n">
        <f aca="false">B183+E183*Parametros!$B$8</f>
        <v>0.0511</v>
      </c>
      <c r="M183" s="12" t="n">
        <f aca="false">(1+L183/2)^2-1</f>
        <v>0.0517528025</v>
      </c>
      <c r="N183" s="13" t="n">
        <f aca="false">(1+M183)^(-A183)</f>
        <v>0.0112119890742649</v>
      </c>
    </row>
    <row r="184" customFormat="false" ht="15" hidden="false" customHeight="false" outlineLevel="0" collapsed="false">
      <c r="A184" s="4" t="n">
        <v>89.5</v>
      </c>
      <c r="B184" s="9" t="n">
        <v>0.0434</v>
      </c>
      <c r="C184" s="9" t="n">
        <v>0.0511</v>
      </c>
      <c r="D184" s="10" t="n">
        <f aca="false">(C184-B184)*10000</f>
        <v>77</v>
      </c>
      <c r="E184" s="11" t="n">
        <f aca="false">MAX(0,C184-B184)*(1-Parametros!$B$5)</f>
        <v>0.0077</v>
      </c>
      <c r="F184" s="11" t="n">
        <f aca="false">B184+E184*Parametros!$B$6</f>
        <v>0.0511</v>
      </c>
      <c r="G184" s="12" t="n">
        <f aca="false">(1+F184/2)^2-1</f>
        <v>0.0517528025</v>
      </c>
      <c r="H184" s="13" t="n">
        <f aca="false">(1+G184)^(-A184)</f>
        <v>0.0109326596209497</v>
      </c>
      <c r="I184" s="11" t="n">
        <f aca="false">B184+E184*Parametros!$B$7</f>
        <v>0.0511</v>
      </c>
      <c r="J184" s="12" t="n">
        <f aca="false">(1+I184/2)^2-1</f>
        <v>0.0517528025</v>
      </c>
      <c r="K184" s="13" t="n">
        <f aca="false">(1+J184)^(-A184)</f>
        <v>0.0109326596209497</v>
      </c>
      <c r="L184" s="11" t="n">
        <f aca="false">B184+E184*Parametros!$B$8</f>
        <v>0.0511</v>
      </c>
      <c r="M184" s="12" t="n">
        <f aca="false">(1+L184/2)^2-1</f>
        <v>0.0517528025</v>
      </c>
      <c r="N184" s="13" t="n">
        <f aca="false">(1+M184)^(-A184)</f>
        <v>0.0109326596209497</v>
      </c>
    </row>
    <row r="185" customFormat="false" ht="15" hidden="false" customHeight="false" outlineLevel="0" collapsed="false">
      <c r="A185" s="4" t="n">
        <v>90</v>
      </c>
      <c r="B185" s="9" t="n">
        <v>0.0434</v>
      </c>
      <c r="C185" s="9" t="n">
        <v>0.0511</v>
      </c>
      <c r="D185" s="10" t="n">
        <f aca="false">(C185-B185)*10000</f>
        <v>77</v>
      </c>
      <c r="E185" s="11" t="n">
        <f aca="false">MAX(0,C185-B185)*(1-Parametros!$B$5)</f>
        <v>0.0077</v>
      </c>
      <c r="F185" s="11" t="n">
        <f aca="false">B185+E185*Parametros!$B$6</f>
        <v>0.0511</v>
      </c>
      <c r="G185" s="12" t="n">
        <f aca="false">(1+F185/2)^2-1</f>
        <v>0.0517528025</v>
      </c>
      <c r="H185" s="13" t="n">
        <f aca="false">(1+G185)^(-A185)</f>
        <v>0.0106602892310952</v>
      </c>
      <c r="I185" s="11" t="n">
        <f aca="false">B185+E185*Parametros!$B$7</f>
        <v>0.0511</v>
      </c>
      <c r="J185" s="12" t="n">
        <f aca="false">(1+I185/2)^2-1</f>
        <v>0.0517528025</v>
      </c>
      <c r="K185" s="13" t="n">
        <f aca="false">(1+J185)^(-A185)</f>
        <v>0.0106602892310952</v>
      </c>
      <c r="L185" s="11" t="n">
        <f aca="false">B185+E185*Parametros!$B$8</f>
        <v>0.0511</v>
      </c>
      <c r="M185" s="12" t="n">
        <f aca="false">(1+L185/2)^2-1</f>
        <v>0.0517528025</v>
      </c>
      <c r="N185" s="13" t="n">
        <f aca="false">(1+M185)^(-A185)</f>
        <v>0.0106602892310952</v>
      </c>
    </row>
    <row r="186" customFormat="false" ht="15" hidden="false" customHeight="false" outlineLevel="0" collapsed="false">
      <c r="A186" s="4" t="n">
        <v>90.5</v>
      </c>
      <c r="B186" s="9" t="n">
        <v>0.0434</v>
      </c>
      <c r="C186" s="9" t="n">
        <v>0.0511</v>
      </c>
      <c r="D186" s="10" t="n">
        <f aca="false">(C186-B186)*10000</f>
        <v>77</v>
      </c>
      <c r="E186" s="11" t="n">
        <f aca="false">MAX(0,C186-B186)*(1-Parametros!$B$5)</f>
        <v>0.0077</v>
      </c>
      <c r="F186" s="11" t="n">
        <f aca="false">B186+E186*Parametros!$B$6</f>
        <v>0.0511</v>
      </c>
      <c r="G186" s="12" t="n">
        <f aca="false">(1+F186/2)^2-1</f>
        <v>0.0517528025</v>
      </c>
      <c r="H186" s="13" t="n">
        <f aca="false">(1+G186)^(-A186)</f>
        <v>0.0103947045303449</v>
      </c>
      <c r="I186" s="11" t="n">
        <f aca="false">B186+E186*Parametros!$B$7</f>
        <v>0.0511</v>
      </c>
      <c r="J186" s="12" t="n">
        <f aca="false">(1+I186/2)^2-1</f>
        <v>0.0517528025</v>
      </c>
      <c r="K186" s="13" t="n">
        <f aca="false">(1+J186)^(-A186)</f>
        <v>0.0103947045303449</v>
      </c>
      <c r="L186" s="11" t="n">
        <f aca="false">B186+E186*Parametros!$B$8</f>
        <v>0.0511</v>
      </c>
      <c r="M186" s="12" t="n">
        <f aca="false">(1+L186/2)^2-1</f>
        <v>0.0517528025</v>
      </c>
      <c r="N186" s="13" t="n">
        <f aca="false">(1+M186)^(-A186)</f>
        <v>0.0103947045303449</v>
      </c>
    </row>
    <row r="187" customFormat="false" ht="15" hidden="false" customHeight="false" outlineLevel="0" collapsed="false">
      <c r="A187" s="4" t="n">
        <v>91</v>
      </c>
      <c r="B187" s="9" t="n">
        <v>0.0434</v>
      </c>
      <c r="C187" s="9" t="n">
        <v>0.0511</v>
      </c>
      <c r="D187" s="10" t="n">
        <f aca="false">(C187-B187)*10000</f>
        <v>77</v>
      </c>
      <c r="E187" s="11" t="n">
        <f aca="false">MAX(0,C187-B187)*(1-Parametros!$B$5)</f>
        <v>0.0077</v>
      </c>
      <c r="F187" s="11" t="n">
        <f aca="false">B187+E187*Parametros!$B$6</f>
        <v>0.0511</v>
      </c>
      <c r="G187" s="12" t="n">
        <f aca="false">(1+F187/2)^2-1</f>
        <v>0.0517528025</v>
      </c>
      <c r="H187" s="13" t="n">
        <f aca="false">(1+G187)^(-A187)</f>
        <v>0.0101357364636974</v>
      </c>
      <c r="I187" s="11" t="n">
        <f aca="false">B187+E187*Parametros!$B$7</f>
        <v>0.0511</v>
      </c>
      <c r="J187" s="12" t="n">
        <f aca="false">(1+I187/2)^2-1</f>
        <v>0.0517528025</v>
      </c>
      <c r="K187" s="13" t="n">
        <f aca="false">(1+J187)^(-A187)</f>
        <v>0.0101357364636974</v>
      </c>
      <c r="L187" s="11" t="n">
        <f aca="false">B187+E187*Parametros!$B$8</f>
        <v>0.0511</v>
      </c>
      <c r="M187" s="12" t="n">
        <f aca="false">(1+L187/2)^2-1</f>
        <v>0.0517528025</v>
      </c>
      <c r="N187" s="13" t="n">
        <f aca="false">(1+M187)^(-A187)</f>
        <v>0.0101357364636974</v>
      </c>
    </row>
    <row r="188" customFormat="false" ht="15" hidden="false" customHeight="false" outlineLevel="0" collapsed="false">
      <c r="A188" s="4" t="n">
        <v>91.5</v>
      </c>
      <c r="B188" s="9" t="n">
        <v>0.0434</v>
      </c>
      <c r="C188" s="9" t="n">
        <v>0.0511</v>
      </c>
      <c r="D188" s="10" t="n">
        <f aca="false">(C188-B188)*10000</f>
        <v>77</v>
      </c>
      <c r="E188" s="11" t="n">
        <f aca="false">MAX(0,C188-B188)*(1-Parametros!$B$5)</f>
        <v>0.0077</v>
      </c>
      <c r="F188" s="11" t="n">
        <f aca="false">B188+E188*Parametros!$B$6</f>
        <v>0.0511</v>
      </c>
      <c r="G188" s="12" t="n">
        <f aca="false">(1+F188/2)^2-1</f>
        <v>0.0517528025</v>
      </c>
      <c r="H188" s="13" t="n">
        <f aca="false">(1+G188)^(-A188)</f>
        <v>0.00988322018789663</v>
      </c>
      <c r="I188" s="11" t="n">
        <f aca="false">B188+E188*Parametros!$B$7</f>
        <v>0.0511</v>
      </c>
      <c r="J188" s="12" t="n">
        <f aca="false">(1+I188/2)^2-1</f>
        <v>0.0517528025</v>
      </c>
      <c r="K188" s="13" t="n">
        <f aca="false">(1+J188)^(-A188)</f>
        <v>0.00988322018789663</v>
      </c>
      <c r="L188" s="11" t="n">
        <f aca="false">B188+E188*Parametros!$B$8</f>
        <v>0.0511</v>
      </c>
      <c r="M188" s="12" t="n">
        <f aca="false">(1+L188/2)^2-1</f>
        <v>0.0517528025</v>
      </c>
      <c r="N188" s="13" t="n">
        <f aca="false">(1+M188)^(-A188)</f>
        <v>0.00988322018789663</v>
      </c>
    </row>
    <row r="189" customFormat="false" ht="15" hidden="false" customHeight="false" outlineLevel="0" collapsed="false">
      <c r="A189" s="4" t="n">
        <v>92</v>
      </c>
      <c r="B189" s="9" t="n">
        <v>0.0434</v>
      </c>
      <c r="C189" s="9" t="n">
        <v>0.0511</v>
      </c>
      <c r="D189" s="10" t="n">
        <f aca="false">(C189-B189)*10000</f>
        <v>77</v>
      </c>
      <c r="E189" s="11" t="n">
        <f aca="false">MAX(0,C189-B189)*(1-Parametros!$B$5)</f>
        <v>0.0077</v>
      </c>
      <c r="F189" s="11" t="n">
        <f aca="false">B189+E189*Parametros!$B$6</f>
        <v>0.0511</v>
      </c>
      <c r="G189" s="12" t="n">
        <f aca="false">(1+F189/2)^2-1</f>
        <v>0.0517528025</v>
      </c>
      <c r="H189" s="13" t="n">
        <f aca="false">(1+G189)^(-A189)</f>
        <v>0.00963699496650249</v>
      </c>
      <c r="I189" s="11" t="n">
        <f aca="false">B189+E189*Parametros!$B$7</f>
        <v>0.0511</v>
      </c>
      <c r="J189" s="12" t="n">
        <f aca="false">(1+I189/2)^2-1</f>
        <v>0.0517528025</v>
      </c>
      <c r="K189" s="13" t="n">
        <f aca="false">(1+J189)^(-A189)</f>
        <v>0.00963699496650249</v>
      </c>
      <c r="L189" s="11" t="n">
        <f aca="false">B189+E189*Parametros!$B$8</f>
        <v>0.0511</v>
      </c>
      <c r="M189" s="12" t="n">
        <f aca="false">(1+L189/2)^2-1</f>
        <v>0.0517528025</v>
      </c>
      <c r="N189" s="13" t="n">
        <f aca="false">(1+M189)^(-A189)</f>
        <v>0.00963699496650249</v>
      </c>
    </row>
    <row r="190" customFormat="false" ht="15" hidden="false" customHeight="false" outlineLevel="0" collapsed="false">
      <c r="A190" s="4" t="n">
        <v>92.5</v>
      </c>
      <c r="B190" s="9" t="n">
        <v>0.0434</v>
      </c>
      <c r="C190" s="9" t="n">
        <v>0.0511</v>
      </c>
      <c r="D190" s="10" t="n">
        <f aca="false">(C190-B190)*10000</f>
        <v>77</v>
      </c>
      <c r="E190" s="11" t="n">
        <f aca="false">MAX(0,C190-B190)*(1-Parametros!$B$5)</f>
        <v>0.0077</v>
      </c>
      <c r="F190" s="11" t="n">
        <f aca="false">B190+E190*Parametros!$B$6</f>
        <v>0.0511</v>
      </c>
      <c r="G190" s="12" t="n">
        <f aca="false">(1+F190/2)^2-1</f>
        <v>0.0517528025</v>
      </c>
      <c r="H190" s="13" t="n">
        <f aca="false">(1+G190)^(-A190)</f>
        <v>0.00939690406757593</v>
      </c>
      <c r="I190" s="11" t="n">
        <f aca="false">B190+E190*Parametros!$B$7</f>
        <v>0.0511</v>
      </c>
      <c r="J190" s="12" t="n">
        <f aca="false">(1+I190/2)^2-1</f>
        <v>0.0517528025</v>
      </c>
      <c r="K190" s="13" t="n">
        <f aca="false">(1+J190)^(-A190)</f>
        <v>0.00939690406757593</v>
      </c>
      <c r="L190" s="11" t="n">
        <f aca="false">B190+E190*Parametros!$B$8</f>
        <v>0.0511</v>
      </c>
      <c r="M190" s="12" t="n">
        <f aca="false">(1+L190/2)^2-1</f>
        <v>0.0517528025</v>
      </c>
      <c r="N190" s="13" t="n">
        <f aca="false">(1+M190)^(-A190)</f>
        <v>0.00939690406757593</v>
      </c>
    </row>
    <row r="191" customFormat="false" ht="15" hidden="false" customHeight="false" outlineLevel="0" collapsed="false">
      <c r="A191" s="4" t="n">
        <v>93</v>
      </c>
      <c r="B191" s="9" t="n">
        <v>0.0435</v>
      </c>
      <c r="C191" s="9" t="n">
        <v>0.0511</v>
      </c>
      <c r="D191" s="10" t="n">
        <f aca="false">(C191-B191)*10000</f>
        <v>76</v>
      </c>
      <c r="E191" s="11" t="n">
        <f aca="false">MAX(0,C191-B191)*(1-Parametros!$B$5)</f>
        <v>0.0076</v>
      </c>
      <c r="F191" s="11" t="n">
        <f aca="false">B191+E191*Parametros!$B$6</f>
        <v>0.0511</v>
      </c>
      <c r="G191" s="12" t="n">
        <f aca="false">(1+F191/2)^2-1</f>
        <v>0.0517528025</v>
      </c>
      <c r="H191" s="13" t="n">
        <f aca="false">(1+G191)^(-A191)</f>
        <v>0.00916279466391295</v>
      </c>
      <c r="I191" s="11" t="n">
        <f aca="false">B191+E191*Parametros!$B$7</f>
        <v>0.0511</v>
      </c>
      <c r="J191" s="12" t="n">
        <f aca="false">(1+I191/2)^2-1</f>
        <v>0.0517528025</v>
      </c>
      <c r="K191" s="13" t="n">
        <f aca="false">(1+J191)^(-A191)</f>
        <v>0.00916279466391295</v>
      </c>
      <c r="L191" s="11" t="n">
        <f aca="false">B191+E191*Parametros!$B$8</f>
        <v>0.0511</v>
      </c>
      <c r="M191" s="12" t="n">
        <f aca="false">(1+L191/2)^2-1</f>
        <v>0.0517528025</v>
      </c>
      <c r="N191" s="13" t="n">
        <f aca="false">(1+M191)^(-A191)</f>
        <v>0.00916279466391295</v>
      </c>
    </row>
    <row r="192" customFormat="false" ht="15" hidden="false" customHeight="false" outlineLevel="0" collapsed="false">
      <c r="A192" s="4" t="n">
        <v>93.5</v>
      </c>
      <c r="B192" s="9" t="n">
        <v>0.0435</v>
      </c>
      <c r="C192" s="9" t="n">
        <v>0.0511</v>
      </c>
      <c r="D192" s="10" t="n">
        <f aca="false">(C192-B192)*10000</f>
        <v>76</v>
      </c>
      <c r="E192" s="11" t="n">
        <f aca="false">MAX(0,C192-B192)*(1-Parametros!$B$5)</f>
        <v>0.0076</v>
      </c>
      <c r="F192" s="11" t="n">
        <f aca="false">B192+E192*Parametros!$B$6</f>
        <v>0.0511</v>
      </c>
      <c r="G192" s="12" t="n">
        <f aca="false">(1+F192/2)^2-1</f>
        <v>0.0517528025</v>
      </c>
      <c r="H192" s="13" t="n">
        <f aca="false">(1+G192)^(-A192)</f>
        <v>0.00893451773576418</v>
      </c>
      <c r="I192" s="11" t="n">
        <f aca="false">B192+E192*Parametros!$B$7</f>
        <v>0.0511</v>
      </c>
      <c r="J192" s="12" t="n">
        <f aca="false">(1+I192/2)^2-1</f>
        <v>0.0517528025</v>
      </c>
      <c r="K192" s="13" t="n">
        <f aca="false">(1+J192)^(-A192)</f>
        <v>0.00893451773576418</v>
      </c>
      <c r="L192" s="11" t="n">
        <f aca="false">B192+E192*Parametros!$B$8</f>
        <v>0.0511</v>
      </c>
      <c r="M192" s="12" t="n">
        <f aca="false">(1+L192/2)^2-1</f>
        <v>0.0517528025</v>
      </c>
      <c r="N192" s="13" t="n">
        <f aca="false">(1+M192)^(-A192)</f>
        <v>0.00893451773576418</v>
      </c>
    </row>
    <row r="193" customFormat="false" ht="15" hidden="false" customHeight="false" outlineLevel="0" collapsed="false">
      <c r="A193" s="4" t="n">
        <v>94</v>
      </c>
      <c r="B193" s="9" t="n">
        <v>0.0435</v>
      </c>
      <c r="C193" s="9" t="n">
        <v>0.0511</v>
      </c>
      <c r="D193" s="10" t="n">
        <f aca="false">(C193-B193)*10000</f>
        <v>76</v>
      </c>
      <c r="E193" s="11" t="n">
        <f aca="false">MAX(0,C193-B193)*(1-Parametros!$B$5)</f>
        <v>0.0076</v>
      </c>
      <c r="F193" s="11" t="n">
        <f aca="false">B193+E193*Parametros!$B$6</f>
        <v>0.0511</v>
      </c>
      <c r="G193" s="12" t="n">
        <f aca="false">(1+F193/2)^2-1</f>
        <v>0.0517528025</v>
      </c>
      <c r="H193" s="13" t="n">
        <f aca="false">(1+G193)^(-A193)</f>
        <v>0.00871192797597794</v>
      </c>
      <c r="I193" s="11" t="n">
        <f aca="false">B193+E193*Parametros!$B$7</f>
        <v>0.0511</v>
      </c>
      <c r="J193" s="12" t="n">
        <f aca="false">(1+I193/2)^2-1</f>
        <v>0.0517528025</v>
      </c>
      <c r="K193" s="13" t="n">
        <f aca="false">(1+J193)^(-A193)</f>
        <v>0.00871192797597794</v>
      </c>
      <c r="L193" s="11" t="n">
        <f aca="false">B193+E193*Parametros!$B$8</f>
        <v>0.0511</v>
      </c>
      <c r="M193" s="12" t="n">
        <f aca="false">(1+L193/2)^2-1</f>
        <v>0.0517528025</v>
      </c>
      <c r="N193" s="13" t="n">
        <f aca="false">(1+M193)^(-A193)</f>
        <v>0.00871192797597794</v>
      </c>
    </row>
    <row r="194" customFormat="false" ht="15" hidden="false" customHeight="false" outlineLevel="0" collapsed="false">
      <c r="A194" s="4" t="n">
        <v>94.5</v>
      </c>
      <c r="B194" s="9" t="n">
        <v>0.0435</v>
      </c>
      <c r="C194" s="9" t="n">
        <v>0.0511</v>
      </c>
      <c r="D194" s="10" t="n">
        <f aca="false">(C194-B194)*10000</f>
        <v>76</v>
      </c>
      <c r="E194" s="11" t="n">
        <f aca="false">MAX(0,C194-B194)*(1-Parametros!$B$5)</f>
        <v>0.0076</v>
      </c>
      <c r="F194" s="11" t="n">
        <f aca="false">B194+E194*Parametros!$B$6</f>
        <v>0.0511</v>
      </c>
      <c r="G194" s="12" t="n">
        <f aca="false">(1+F194/2)^2-1</f>
        <v>0.0517528025</v>
      </c>
      <c r="H194" s="13" t="n">
        <f aca="false">(1+G194)^(-A194)</f>
        <v>0.00849488369750664</v>
      </c>
      <c r="I194" s="11" t="n">
        <f aca="false">B194+E194*Parametros!$B$7</f>
        <v>0.0511</v>
      </c>
      <c r="J194" s="12" t="n">
        <f aca="false">(1+I194/2)^2-1</f>
        <v>0.0517528025</v>
      </c>
      <c r="K194" s="13" t="n">
        <f aca="false">(1+J194)^(-A194)</f>
        <v>0.00849488369750664</v>
      </c>
      <c r="L194" s="11" t="n">
        <f aca="false">B194+E194*Parametros!$B$8</f>
        <v>0.0511</v>
      </c>
      <c r="M194" s="12" t="n">
        <f aca="false">(1+L194/2)^2-1</f>
        <v>0.0517528025</v>
      </c>
      <c r="N194" s="13" t="n">
        <f aca="false">(1+M194)^(-A194)</f>
        <v>0.00849488369750664</v>
      </c>
    </row>
    <row r="195" customFormat="false" ht="15" hidden="false" customHeight="false" outlineLevel="0" collapsed="false">
      <c r="A195" s="4" t="n">
        <v>95</v>
      </c>
      <c r="B195" s="9" t="n">
        <v>0.0435</v>
      </c>
      <c r="C195" s="9" t="n">
        <v>0.0511</v>
      </c>
      <c r="D195" s="10" t="n">
        <f aca="false">(C195-B195)*10000</f>
        <v>76</v>
      </c>
      <c r="E195" s="11" t="n">
        <f aca="false">MAX(0,C195-B195)*(1-Parametros!$B$5)</f>
        <v>0.0076</v>
      </c>
      <c r="F195" s="11" t="n">
        <f aca="false">B195+E195*Parametros!$B$6</f>
        <v>0.0511</v>
      </c>
      <c r="G195" s="12" t="n">
        <f aca="false">(1+F195/2)^2-1</f>
        <v>0.0517528025</v>
      </c>
      <c r="H195" s="13" t="n">
        <f aca="false">(1+G195)^(-A195)</f>
        <v>0.00828324674321744</v>
      </c>
      <c r="I195" s="11" t="n">
        <f aca="false">B195+E195*Parametros!$B$7</f>
        <v>0.0511</v>
      </c>
      <c r="J195" s="12" t="n">
        <f aca="false">(1+I195/2)^2-1</f>
        <v>0.0517528025</v>
      </c>
      <c r="K195" s="13" t="n">
        <f aca="false">(1+J195)^(-A195)</f>
        <v>0.00828324674321744</v>
      </c>
      <c r="L195" s="11" t="n">
        <f aca="false">B195+E195*Parametros!$B$8</f>
        <v>0.0511</v>
      </c>
      <c r="M195" s="12" t="n">
        <f aca="false">(1+L195/2)^2-1</f>
        <v>0.0517528025</v>
      </c>
      <c r="N195" s="13" t="n">
        <f aca="false">(1+M195)^(-A195)</f>
        <v>0.00828324674321744</v>
      </c>
    </row>
    <row r="196" customFormat="false" ht="15" hidden="false" customHeight="false" outlineLevel="0" collapsed="false">
      <c r="A196" s="4" t="n">
        <v>95.5</v>
      </c>
      <c r="B196" s="9" t="n">
        <v>0.0435</v>
      </c>
      <c r="C196" s="9" t="n">
        <v>0.0511</v>
      </c>
      <c r="D196" s="10" t="n">
        <f aca="false">(C196-B196)*10000</f>
        <v>76</v>
      </c>
      <c r="E196" s="11" t="n">
        <f aca="false">MAX(0,C196-B196)*(1-Parametros!$B$5)</f>
        <v>0.0076</v>
      </c>
      <c r="F196" s="11" t="n">
        <f aca="false">B196+E196*Parametros!$B$6</f>
        <v>0.0511</v>
      </c>
      <c r="G196" s="12" t="n">
        <f aca="false">(1+F196/2)^2-1</f>
        <v>0.0517528025</v>
      </c>
      <c r="H196" s="13" t="n">
        <f aca="false">(1+G196)^(-A196)</f>
        <v>0.00807688239794982</v>
      </c>
      <c r="I196" s="11" t="n">
        <f aca="false">B196+E196*Parametros!$B$7</f>
        <v>0.0511</v>
      </c>
      <c r="J196" s="12" t="n">
        <f aca="false">(1+I196/2)^2-1</f>
        <v>0.0517528025</v>
      </c>
      <c r="K196" s="13" t="n">
        <f aca="false">(1+J196)^(-A196)</f>
        <v>0.00807688239794982</v>
      </c>
      <c r="L196" s="11" t="n">
        <f aca="false">B196+E196*Parametros!$B$8</f>
        <v>0.0511</v>
      </c>
      <c r="M196" s="12" t="n">
        <f aca="false">(1+L196/2)^2-1</f>
        <v>0.0517528025</v>
      </c>
      <c r="N196" s="13" t="n">
        <f aca="false">(1+M196)^(-A196)</f>
        <v>0.00807688239794982</v>
      </c>
    </row>
    <row r="197" customFormat="false" ht="15" hidden="false" customHeight="false" outlineLevel="0" collapsed="false">
      <c r="A197" s="4" t="n">
        <v>96</v>
      </c>
      <c r="B197" s="9" t="n">
        <v>0.0435</v>
      </c>
      <c r="C197" s="9" t="n">
        <v>0.0511</v>
      </c>
      <c r="D197" s="10" t="n">
        <f aca="false">(C197-B197)*10000</f>
        <v>76</v>
      </c>
      <c r="E197" s="11" t="n">
        <f aca="false">MAX(0,C197-B197)*(1-Parametros!$B$5)</f>
        <v>0.0076</v>
      </c>
      <c r="F197" s="11" t="n">
        <f aca="false">B197+E197*Parametros!$B$6</f>
        <v>0.0511</v>
      </c>
      <c r="G197" s="12" t="n">
        <f aca="false">(1+F197/2)^2-1</f>
        <v>0.0517528025</v>
      </c>
      <c r="H197" s="13" t="n">
        <f aca="false">(1+G197)^(-A197)</f>
        <v>0.0078756593027642</v>
      </c>
      <c r="I197" s="11" t="n">
        <f aca="false">B197+E197*Parametros!$B$7</f>
        <v>0.0511</v>
      </c>
      <c r="J197" s="12" t="n">
        <f aca="false">(1+I197/2)^2-1</f>
        <v>0.0517528025</v>
      </c>
      <c r="K197" s="13" t="n">
        <f aca="false">(1+J197)^(-A197)</f>
        <v>0.0078756593027642</v>
      </c>
      <c r="L197" s="11" t="n">
        <f aca="false">B197+E197*Parametros!$B$8</f>
        <v>0.0511</v>
      </c>
      <c r="M197" s="12" t="n">
        <f aca="false">(1+L197/2)^2-1</f>
        <v>0.0517528025</v>
      </c>
      <c r="N197" s="13" t="n">
        <f aca="false">(1+M197)^(-A197)</f>
        <v>0.0078756593027642</v>
      </c>
    </row>
    <row r="198" customFormat="false" ht="15" hidden="false" customHeight="false" outlineLevel="0" collapsed="false">
      <c r="A198" s="4" t="n">
        <v>96.5</v>
      </c>
      <c r="B198" s="9" t="n">
        <v>0.0435</v>
      </c>
      <c r="C198" s="9" t="n">
        <v>0.0511</v>
      </c>
      <c r="D198" s="10" t="n">
        <f aca="false">(C198-B198)*10000</f>
        <v>76</v>
      </c>
      <c r="E198" s="11" t="n">
        <f aca="false">MAX(0,C198-B198)*(1-Parametros!$B$5)</f>
        <v>0.0076</v>
      </c>
      <c r="F198" s="11" t="n">
        <f aca="false">B198+E198*Parametros!$B$6</f>
        <v>0.0511</v>
      </c>
      <c r="G198" s="12" t="n">
        <f aca="false">(1+F198/2)^2-1</f>
        <v>0.0517528025</v>
      </c>
      <c r="H198" s="13" t="n">
        <f aca="false">(1+G198)^(-A198)</f>
        <v>0.0076794493713268</v>
      </c>
      <c r="I198" s="11" t="n">
        <f aca="false">B198+E198*Parametros!$B$7</f>
        <v>0.0511</v>
      </c>
      <c r="J198" s="12" t="n">
        <f aca="false">(1+I198/2)^2-1</f>
        <v>0.0517528025</v>
      </c>
      <c r="K198" s="13" t="n">
        <f aca="false">(1+J198)^(-A198)</f>
        <v>0.0076794493713268</v>
      </c>
      <c r="L198" s="11" t="n">
        <f aca="false">B198+E198*Parametros!$B$8</f>
        <v>0.0511</v>
      </c>
      <c r="M198" s="12" t="n">
        <f aca="false">(1+L198/2)^2-1</f>
        <v>0.0517528025</v>
      </c>
      <c r="N198" s="13" t="n">
        <f aca="false">(1+M198)^(-A198)</f>
        <v>0.0076794493713268</v>
      </c>
    </row>
    <row r="199" customFormat="false" ht="15" hidden="false" customHeight="false" outlineLevel="0" collapsed="false">
      <c r="A199" s="4" t="n">
        <v>97</v>
      </c>
      <c r="B199" s="9" t="n">
        <v>0.0435</v>
      </c>
      <c r="C199" s="9" t="n">
        <v>0.0511</v>
      </c>
      <c r="D199" s="10" t="n">
        <f aca="false">(C199-B199)*10000</f>
        <v>76</v>
      </c>
      <c r="E199" s="11" t="n">
        <f aca="false">MAX(0,C199-B199)*(1-Parametros!$B$5)</f>
        <v>0.0076</v>
      </c>
      <c r="F199" s="11" t="n">
        <f aca="false">B199+E199*Parametros!$B$6</f>
        <v>0.0511</v>
      </c>
      <c r="G199" s="12" t="n">
        <f aca="false">(1+F199/2)^2-1</f>
        <v>0.0517528025</v>
      </c>
      <c r="H199" s="13" t="n">
        <f aca="false">(1+G199)^(-A199)</f>
        <v>0.00748812770837775</v>
      </c>
      <c r="I199" s="11" t="n">
        <f aca="false">B199+E199*Parametros!$B$7</f>
        <v>0.0511</v>
      </c>
      <c r="J199" s="12" t="n">
        <f aca="false">(1+I199/2)^2-1</f>
        <v>0.0517528025</v>
      </c>
      <c r="K199" s="13" t="n">
        <f aca="false">(1+J199)^(-A199)</f>
        <v>0.00748812770837775</v>
      </c>
      <c r="L199" s="11" t="n">
        <f aca="false">B199+E199*Parametros!$B$8</f>
        <v>0.0511</v>
      </c>
      <c r="M199" s="12" t="n">
        <f aca="false">(1+L199/2)^2-1</f>
        <v>0.0517528025</v>
      </c>
      <c r="N199" s="13" t="n">
        <f aca="false">(1+M199)^(-A199)</f>
        <v>0.00748812770837775</v>
      </c>
    </row>
    <row r="200" customFormat="false" ht="15" hidden="false" customHeight="false" outlineLevel="0" collapsed="false">
      <c r="A200" s="4" t="n">
        <v>97.5</v>
      </c>
      <c r="B200" s="9" t="n">
        <v>0.0435</v>
      </c>
      <c r="C200" s="9" t="n">
        <v>0.0511</v>
      </c>
      <c r="D200" s="10" t="n">
        <f aca="false">(C200-B200)*10000</f>
        <v>76</v>
      </c>
      <c r="E200" s="11" t="n">
        <f aca="false">MAX(0,C200-B200)*(1-Parametros!$B$5)</f>
        <v>0.0076</v>
      </c>
      <c r="F200" s="11" t="n">
        <f aca="false">B200+E200*Parametros!$B$6</f>
        <v>0.0511</v>
      </c>
      <c r="G200" s="12" t="n">
        <f aca="false">(1+F200/2)^2-1</f>
        <v>0.0517528025</v>
      </c>
      <c r="H200" s="13" t="n">
        <f aca="false">(1+G200)^(-A200)</f>
        <v>0.00730157253023036</v>
      </c>
      <c r="I200" s="11" t="n">
        <f aca="false">B200+E200*Parametros!$B$7</f>
        <v>0.0511</v>
      </c>
      <c r="J200" s="12" t="n">
        <f aca="false">(1+I200/2)^2-1</f>
        <v>0.0517528025</v>
      </c>
      <c r="K200" s="13" t="n">
        <f aca="false">(1+J200)^(-A200)</f>
        <v>0.00730157253023036</v>
      </c>
      <c r="L200" s="11" t="n">
        <f aca="false">B200+E200*Parametros!$B$8</f>
        <v>0.0511</v>
      </c>
      <c r="M200" s="12" t="n">
        <f aca="false">(1+L200/2)^2-1</f>
        <v>0.0517528025</v>
      </c>
      <c r="N200" s="13" t="n">
        <f aca="false">(1+M200)^(-A200)</f>
        <v>0.00730157253023036</v>
      </c>
    </row>
    <row r="201" customFormat="false" ht="15" hidden="false" customHeight="false" outlineLevel="0" collapsed="false">
      <c r="A201" s="4" t="n">
        <v>98</v>
      </c>
      <c r="B201" s="9" t="n">
        <v>0.0435</v>
      </c>
      <c r="C201" s="9" t="n">
        <v>0.0511</v>
      </c>
      <c r="D201" s="10" t="n">
        <f aca="false">(C201-B201)*10000</f>
        <v>76</v>
      </c>
      <c r="E201" s="11" t="n">
        <f aca="false">MAX(0,C201-B201)*(1-Parametros!$B$5)</f>
        <v>0.0076</v>
      </c>
      <c r="F201" s="11" t="n">
        <f aca="false">B201+E201*Parametros!$B$6</f>
        <v>0.0511</v>
      </c>
      <c r="G201" s="12" t="n">
        <f aca="false">(1+F201/2)^2-1</f>
        <v>0.0517528025</v>
      </c>
      <c r="H201" s="13" t="n">
        <f aca="false">(1+G201)^(-A201)</f>
        <v>0.00711966508725109</v>
      </c>
      <c r="I201" s="11" t="n">
        <f aca="false">B201+E201*Parametros!$B$7</f>
        <v>0.0511</v>
      </c>
      <c r="J201" s="12" t="n">
        <f aca="false">(1+I201/2)^2-1</f>
        <v>0.0517528025</v>
      </c>
      <c r="K201" s="13" t="n">
        <f aca="false">(1+J201)^(-A201)</f>
        <v>0.00711966508725109</v>
      </c>
      <c r="L201" s="11" t="n">
        <f aca="false">B201+E201*Parametros!$B$8</f>
        <v>0.0511</v>
      </c>
      <c r="M201" s="12" t="n">
        <f aca="false">(1+L201/2)^2-1</f>
        <v>0.0517528025</v>
      </c>
      <c r="N201" s="13" t="n">
        <f aca="false">(1+M201)^(-A201)</f>
        <v>0.00711966508725109</v>
      </c>
    </row>
    <row r="202" customFormat="false" ht="15" hidden="false" customHeight="false" outlineLevel="0" collapsed="false">
      <c r="A202" s="4" t="n">
        <v>98.5</v>
      </c>
      <c r="B202" s="9" t="n">
        <v>0.0435</v>
      </c>
      <c r="C202" s="9" t="n">
        <v>0.0511</v>
      </c>
      <c r="D202" s="10" t="n">
        <f aca="false">(C202-B202)*10000</f>
        <v>76</v>
      </c>
      <c r="E202" s="11" t="n">
        <f aca="false">MAX(0,C202-B202)*(1-Parametros!$B$5)</f>
        <v>0.0076</v>
      </c>
      <c r="F202" s="11" t="n">
        <f aca="false">B202+E202*Parametros!$B$6</f>
        <v>0.0511</v>
      </c>
      <c r="G202" s="12" t="n">
        <f aca="false">(1+F202/2)^2-1</f>
        <v>0.0517528025</v>
      </c>
      <c r="H202" s="13" t="n">
        <f aca="false">(1+G202)^(-A202)</f>
        <v>0.00694228958827078</v>
      </c>
      <c r="I202" s="11" t="n">
        <f aca="false">B202+E202*Parametros!$B$7</f>
        <v>0.0511</v>
      </c>
      <c r="J202" s="12" t="n">
        <f aca="false">(1+I202/2)^2-1</f>
        <v>0.0517528025</v>
      </c>
      <c r="K202" s="13" t="n">
        <f aca="false">(1+J202)^(-A202)</f>
        <v>0.00694228958827078</v>
      </c>
      <c r="L202" s="11" t="n">
        <f aca="false">B202+E202*Parametros!$B$8</f>
        <v>0.0511</v>
      </c>
      <c r="M202" s="12" t="n">
        <f aca="false">(1+L202/2)^2-1</f>
        <v>0.0517528025</v>
      </c>
      <c r="N202" s="13" t="n">
        <f aca="false">(1+M202)^(-A202)</f>
        <v>0.00694228958827078</v>
      </c>
    </row>
    <row r="203" customFormat="false" ht="15" hidden="false" customHeight="false" outlineLevel="0" collapsed="false">
      <c r="A203" s="4" t="n">
        <v>99</v>
      </c>
      <c r="B203" s="9" t="n">
        <v>0.0435</v>
      </c>
      <c r="C203" s="9" t="n">
        <v>0.0511</v>
      </c>
      <c r="D203" s="10" t="n">
        <f aca="false">(C203-B203)*10000</f>
        <v>76</v>
      </c>
      <c r="E203" s="11" t="n">
        <f aca="false">MAX(0,C203-B203)*(1-Parametros!$B$5)</f>
        <v>0.0076</v>
      </c>
      <c r="F203" s="11" t="n">
        <f aca="false">B203+E203*Parametros!$B$6</f>
        <v>0.0511</v>
      </c>
      <c r="G203" s="12" t="n">
        <f aca="false">(1+F203/2)^2-1</f>
        <v>0.0517528025</v>
      </c>
      <c r="H203" s="13" t="n">
        <f aca="false">(1+G203)^(-A203)</f>
        <v>0.00676933312687902</v>
      </c>
      <c r="I203" s="11" t="n">
        <f aca="false">B203+E203*Parametros!$B$7</f>
        <v>0.0511</v>
      </c>
      <c r="J203" s="12" t="n">
        <f aca="false">(1+I203/2)^2-1</f>
        <v>0.0517528025</v>
      </c>
      <c r="K203" s="13" t="n">
        <f aca="false">(1+J203)^(-A203)</f>
        <v>0.00676933312687902</v>
      </c>
      <c r="L203" s="11" t="n">
        <f aca="false">B203+E203*Parametros!$B$8</f>
        <v>0.0511</v>
      </c>
      <c r="M203" s="12" t="n">
        <f aca="false">(1+L203/2)^2-1</f>
        <v>0.0517528025</v>
      </c>
      <c r="N203" s="13" t="n">
        <f aca="false">(1+M203)^(-A203)</f>
        <v>0.00676933312687902</v>
      </c>
    </row>
    <row r="204" customFormat="false" ht="15" hidden="false" customHeight="false" outlineLevel="0" collapsed="false">
      <c r="A204" s="4" t="n">
        <v>99.5</v>
      </c>
      <c r="B204" s="9" t="n">
        <v>0.0435</v>
      </c>
      <c r="C204" s="9" t="n">
        <v>0.0511</v>
      </c>
      <c r="D204" s="10" t="n">
        <f aca="false">(C204-B204)*10000</f>
        <v>76</v>
      </c>
      <c r="E204" s="11" t="n">
        <f aca="false">MAX(0,C204-B204)*(1-Parametros!$B$5)</f>
        <v>0.0076</v>
      </c>
      <c r="F204" s="11" t="n">
        <f aca="false">B204+E204*Parametros!$B$6</f>
        <v>0.0511</v>
      </c>
      <c r="G204" s="12" t="n">
        <f aca="false">(1+F204/2)^2-1</f>
        <v>0.0517528025</v>
      </c>
      <c r="H204" s="13" t="n">
        <f aca="false">(1+G204)^(-A204)</f>
        <v>0.00660068560955489</v>
      </c>
      <c r="I204" s="11" t="n">
        <f aca="false">B204+E204*Parametros!$B$7</f>
        <v>0.0511</v>
      </c>
      <c r="J204" s="12" t="n">
        <f aca="false">(1+I204/2)^2-1</f>
        <v>0.0517528025</v>
      </c>
      <c r="K204" s="13" t="n">
        <f aca="false">(1+J204)^(-A204)</f>
        <v>0.00660068560955489</v>
      </c>
      <c r="L204" s="11" t="n">
        <f aca="false">B204+E204*Parametros!$B$8</f>
        <v>0.0511</v>
      </c>
      <c r="M204" s="12" t="n">
        <f aca="false">(1+L204/2)^2-1</f>
        <v>0.0517528025</v>
      </c>
      <c r="N204" s="13" t="n">
        <f aca="false">(1+M204)^(-A204)</f>
        <v>0.00660068560955489</v>
      </c>
    </row>
    <row r="205" customFormat="false" ht="15" hidden="false" customHeight="false" outlineLevel="0" collapsed="false">
      <c r="A205" s="4" t="n">
        <v>100</v>
      </c>
      <c r="B205" s="9" t="n">
        <v>0.0436</v>
      </c>
      <c r="C205" s="9" t="n">
        <v>0.0511</v>
      </c>
      <c r="D205" s="10" t="n">
        <f aca="false">(C205-B205)*10000</f>
        <v>75</v>
      </c>
      <c r="E205" s="11" t="n">
        <f aca="false">MAX(0,C205-B205)*(1-Parametros!$B$5)</f>
        <v>0.0075</v>
      </c>
      <c r="F205" s="11" t="n">
        <f aca="false">B205+E205*Parametros!$B$6</f>
        <v>0.0511</v>
      </c>
      <c r="G205" s="12" t="n">
        <f aca="false">(1+F205/2)^2-1</f>
        <v>0.0517528025</v>
      </c>
      <c r="H205" s="13" t="n">
        <f aca="false">(1+G205)^(-A205)</f>
        <v>0.00643623968558811</v>
      </c>
      <c r="I205" s="11" t="n">
        <f aca="false">B205+E205*Parametros!$B$7</f>
        <v>0.0511</v>
      </c>
      <c r="J205" s="12" t="n">
        <f aca="false">(1+I205/2)^2-1</f>
        <v>0.0517528025</v>
      </c>
      <c r="K205" s="13" t="n">
        <f aca="false">(1+J205)^(-A205)</f>
        <v>0.00643623968558811</v>
      </c>
      <c r="L205" s="11" t="n">
        <f aca="false">B205+E205*Parametros!$B$8</f>
        <v>0.0511</v>
      </c>
      <c r="M205" s="12" t="n">
        <f aca="false">(1+L205/2)^2-1</f>
        <v>0.0517528025</v>
      </c>
      <c r="N205" s="13" t="n">
        <f aca="false">(1+M205)^(-A205)</f>
        <v>0.00643623968558811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12"/>
    <col collapsed="false" customWidth="true" hidden="false" outlineLevel="0" max="14" min="4" style="0" width="13"/>
  </cols>
  <sheetData>
    <row r="1" customFormat="false" ht="15" hidden="false" customHeight="false" outlineLevel="0" collapsed="false">
      <c r="A1" s="1" t="s">
        <v>56</v>
      </c>
    </row>
    <row r="2" customFormat="false" ht="15" hidden="false" customHeight="false" outlineLevel="0" collapsed="false">
      <c r="A2" s="2" t="s">
        <v>41</v>
      </c>
    </row>
    <row r="5" customFormat="false" ht="42" hidden="false" customHeight="true" outlineLevel="0" collapsed="false">
      <c r="A5" s="3" t="s">
        <v>42</v>
      </c>
      <c r="B5" s="3" t="s">
        <v>43</v>
      </c>
      <c r="C5" s="3" t="s">
        <v>44</v>
      </c>
      <c r="D5" s="3" t="s">
        <v>45</v>
      </c>
      <c r="E5" s="3" t="s">
        <v>46</v>
      </c>
      <c r="F5" s="3" t="s">
        <v>47</v>
      </c>
      <c r="G5" s="3" t="s">
        <v>48</v>
      </c>
      <c r="H5" s="3" t="s">
        <v>49</v>
      </c>
      <c r="I5" s="3" t="s">
        <v>50</v>
      </c>
      <c r="J5" s="3" t="s">
        <v>51</v>
      </c>
      <c r="K5" s="3" t="s">
        <v>52</v>
      </c>
      <c r="L5" s="3" t="s">
        <v>53</v>
      </c>
      <c r="M5" s="3" t="s">
        <v>54</v>
      </c>
      <c r="N5" s="3" t="s">
        <v>55</v>
      </c>
    </row>
    <row r="6" customFormat="false" ht="15" hidden="false" customHeight="false" outlineLevel="0" collapsed="false">
      <c r="A6" s="4" t="n">
        <v>0.5</v>
      </c>
      <c r="B6" s="9" t="n">
        <v>0.0425</v>
      </c>
      <c r="C6" s="9" t="n">
        <v>0.0456</v>
      </c>
      <c r="D6" s="10" t="n">
        <f aca="false">(C6-B6)*10000</f>
        <v>31</v>
      </c>
      <c r="E6" s="11" t="n">
        <f aca="false">MAX(0,C6-B6)*(1-Parametros!$B$5)</f>
        <v>0.0031</v>
      </c>
      <c r="F6" s="11" t="n">
        <f aca="false">B6+E6*Parametros!$B$6</f>
        <v>0.0456</v>
      </c>
      <c r="G6" s="12" t="n">
        <f aca="false">(1+F6/2)^2-1</f>
        <v>0.0461198399999998</v>
      </c>
      <c r="H6" s="13" t="n">
        <f aca="false">(1+G6)^(-A6)</f>
        <v>0.977708251857646</v>
      </c>
      <c r="I6" s="11" t="n">
        <f aca="false">B6+E6*Parametros!$B$7</f>
        <v>0.0456</v>
      </c>
      <c r="J6" s="12" t="n">
        <f aca="false">(1+I6/2)^2-1</f>
        <v>0.0461198399999998</v>
      </c>
      <c r="K6" s="13" t="n">
        <f aca="false">(1+J6)^(-A6)</f>
        <v>0.977708251857646</v>
      </c>
      <c r="L6" s="11" t="n">
        <f aca="false">B6+E6*Parametros!$B$8</f>
        <v>0.0456</v>
      </c>
      <c r="M6" s="12" t="n">
        <f aca="false">(1+L6/2)^2-1</f>
        <v>0.0461198399999998</v>
      </c>
      <c r="N6" s="13" t="n">
        <f aca="false">(1+M6)^(-A6)</f>
        <v>0.977708251857646</v>
      </c>
    </row>
    <row r="7" customFormat="false" ht="15" hidden="false" customHeight="false" outlineLevel="0" collapsed="false">
      <c r="A7" s="4" t="n">
        <v>1</v>
      </c>
      <c r="B7" s="9" t="n">
        <v>0.0424</v>
      </c>
      <c r="C7" s="9" t="n">
        <v>0.0459</v>
      </c>
      <c r="D7" s="10" t="n">
        <f aca="false">(C7-B7)*10000</f>
        <v>35</v>
      </c>
      <c r="E7" s="11" t="n">
        <f aca="false">MAX(0,C7-B7)*(1-Parametros!$B$5)</f>
        <v>0.0035</v>
      </c>
      <c r="F7" s="11" t="n">
        <f aca="false">B7+E7*Parametros!$B$6</f>
        <v>0.0459</v>
      </c>
      <c r="G7" s="12" t="n">
        <f aca="false">(1+F7/2)^2-1</f>
        <v>0.0464267025</v>
      </c>
      <c r="H7" s="13" t="n">
        <f aca="false">(1+G7)^(-A7)</f>
        <v>0.955633106084657</v>
      </c>
      <c r="I7" s="11" t="n">
        <f aca="false">B7+E7*Parametros!$B$7</f>
        <v>0.0459</v>
      </c>
      <c r="J7" s="12" t="n">
        <f aca="false">(1+I7/2)^2-1</f>
        <v>0.0464267025</v>
      </c>
      <c r="K7" s="13" t="n">
        <f aca="false">(1+J7)^(-A7)</f>
        <v>0.955633106084657</v>
      </c>
      <c r="L7" s="11" t="n">
        <f aca="false">B7+E7*Parametros!$B$8</f>
        <v>0.0459</v>
      </c>
      <c r="M7" s="12" t="n">
        <f aca="false">(1+L7/2)^2-1</f>
        <v>0.0464267025</v>
      </c>
      <c r="N7" s="13" t="n">
        <f aca="false">(1+M7)^(-A7)</f>
        <v>0.955633106084657</v>
      </c>
    </row>
    <row r="8" customFormat="false" ht="15" hidden="false" customHeight="false" outlineLevel="0" collapsed="false">
      <c r="A8" s="4" t="n">
        <v>1.5</v>
      </c>
      <c r="B8" s="9" t="n">
        <v>0.0424</v>
      </c>
      <c r="C8" s="9" t="n">
        <v>0.0462</v>
      </c>
      <c r="D8" s="10" t="n">
        <f aca="false">(C8-B8)*10000</f>
        <v>38</v>
      </c>
      <c r="E8" s="11" t="n">
        <f aca="false">MAX(0,C8-B8)*(1-Parametros!$B$5)</f>
        <v>0.0038</v>
      </c>
      <c r="F8" s="11" t="n">
        <f aca="false">B8+E8*Parametros!$B$6</f>
        <v>0.0462</v>
      </c>
      <c r="G8" s="12" t="n">
        <f aca="false">(1+F8/2)^2-1</f>
        <v>0.0467336099999998</v>
      </c>
      <c r="H8" s="13" t="n">
        <f aca="false">(1+G8)^(-A8)</f>
        <v>0.933782533188799</v>
      </c>
      <c r="I8" s="11" t="n">
        <f aca="false">B8+E8*Parametros!$B$7</f>
        <v>0.0462</v>
      </c>
      <c r="J8" s="12" t="n">
        <f aca="false">(1+I8/2)^2-1</f>
        <v>0.0467336099999998</v>
      </c>
      <c r="K8" s="13" t="n">
        <f aca="false">(1+J8)^(-A8)</f>
        <v>0.933782533188799</v>
      </c>
      <c r="L8" s="11" t="n">
        <f aca="false">B8+E8*Parametros!$B$8</f>
        <v>0.0462</v>
      </c>
      <c r="M8" s="12" t="n">
        <f aca="false">(1+L8/2)^2-1</f>
        <v>0.0467336099999998</v>
      </c>
      <c r="N8" s="13" t="n">
        <f aca="false">(1+M8)^(-A8)</f>
        <v>0.933782533188799</v>
      </c>
    </row>
    <row r="9" customFormat="false" ht="15" hidden="false" customHeight="false" outlineLevel="0" collapsed="false">
      <c r="A9" s="4" t="n">
        <v>2</v>
      </c>
      <c r="B9" s="9" t="n">
        <v>0.0425</v>
      </c>
      <c r="C9" s="9" t="n">
        <v>0.0465</v>
      </c>
      <c r="D9" s="10" t="n">
        <f aca="false">(C9-B9)*10000</f>
        <v>40</v>
      </c>
      <c r="E9" s="11" t="n">
        <f aca="false">MAX(0,C9-B9)*(1-Parametros!$B$5)</f>
        <v>0.004</v>
      </c>
      <c r="F9" s="11" t="n">
        <f aca="false">B9+E9*Parametros!$B$6</f>
        <v>0.0465</v>
      </c>
      <c r="G9" s="12" t="n">
        <f aca="false">(1+F9/2)^2-1</f>
        <v>0.0470405624999999</v>
      </c>
      <c r="H9" s="13" t="n">
        <f aca="false">(1+G9)^(-A9)</f>
        <v>0.912164123097817</v>
      </c>
      <c r="I9" s="11" t="n">
        <f aca="false">B9+E9*Parametros!$B$7</f>
        <v>0.0465</v>
      </c>
      <c r="J9" s="12" t="n">
        <f aca="false">(1+I9/2)^2-1</f>
        <v>0.0470405624999999</v>
      </c>
      <c r="K9" s="13" t="n">
        <f aca="false">(1+J9)^(-A9)</f>
        <v>0.912164123097817</v>
      </c>
      <c r="L9" s="11" t="n">
        <f aca="false">B9+E9*Parametros!$B$8</f>
        <v>0.0465</v>
      </c>
      <c r="M9" s="12" t="n">
        <f aca="false">(1+L9/2)^2-1</f>
        <v>0.0470405624999999</v>
      </c>
      <c r="N9" s="13" t="n">
        <f aca="false">(1+M9)^(-A9)</f>
        <v>0.912164123097817</v>
      </c>
    </row>
    <row r="10" customFormat="false" ht="15" hidden="false" customHeight="false" outlineLevel="0" collapsed="false">
      <c r="A10" s="4" t="n">
        <v>2.5</v>
      </c>
      <c r="B10" s="9" t="n">
        <v>0.0427</v>
      </c>
      <c r="C10" s="9" t="n">
        <v>0.0469</v>
      </c>
      <c r="D10" s="10" t="n">
        <f aca="false">(C10-B10)*10000</f>
        <v>42</v>
      </c>
      <c r="E10" s="11" t="n">
        <f aca="false">MAX(0,C10-B10)*(1-Parametros!$B$5)</f>
        <v>0.0042</v>
      </c>
      <c r="F10" s="11" t="n">
        <f aca="false">B10+E10*Parametros!$B$6</f>
        <v>0.0469</v>
      </c>
      <c r="G10" s="12" t="n">
        <f aca="false">(1+F10/2)^2-1</f>
        <v>0.0474499024999999</v>
      </c>
      <c r="H10" s="13" t="n">
        <f aca="false">(1+G10)^(-A10)</f>
        <v>0.890567512713547</v>
      </c>
      <c r="I10" s="11" t="n">
        <f aca="false">B10+E10*Parametros!$B$7</f>
        <v>0.0469</v>
      </c>
      <c r="J10" s="12" t="n">
        <f aca="false">(1+I10/2)^2-1</f>
        <v>0.0474499024999999</v>
      </c>
      <c r="K10" s="13" t="n">
        <f aca="false">(1+J10)^(-A10)</f>
        <v>0.890567512713547</v>
      </c>
      <c r="L10" s="11" t="n">
        <f aca="false">B10+E10*Parametros!$B$8</f>
        <v>0.0469</v>
      </c>
      <c r="M10" s="12" t="n">
        <f aca="false">(1+L10/2)^2-1</f>
        <v>0.0474499024999999</v>
      </c>
      <c r="N10" s="13" t="n">
        <f aca="false">(1+M10)^(-A10)</f>
        <v>0.890567512713547</v>
      </c>
    </row>
    <row r="11" customFormat="false" ht="15" hidden="false" customHeight="false" outlineLevel="0" collapsed="false">
      <c r="A11" s="4" t="n">
        <v>3</v>
      </c>
      <c r="B11" s="9" t="n">
        <v>0.043</v>
      </c>
      <c r="C11" s="9" t="n">
        <v>0.0473</v>
      </c>
      <c r="D11" s="10" t="n">
        <f aca="false">(C11-B11)*10000</f>
        <v>43.0000000000001</v>
      </c>
      <c r="E11" s="11" t="n">
        <f aca="false">MAX(0,C11-B11)*(1-Parametros!$B$5)</f>
        <v>0.00430000000000001</v>
      </c>
      <c r="F11" s="11" t="n">
        <f aca="false">B11+E11*Parametros!$B$6</f>
        <v>0.0473</v>
      </c>
      <c r="G11" s="12" t="n">
        <f aca="false">(1+F11/2)^2-1</f>
        <v>0.0478593224999999</v>
      </c>
      <c r="H11" s="13" t="n">
        <f aca="false">(1+G11)^(-A11)</f>
        <v>0.869142637040769</v>
      </c>
      <c r="I11" s="11" t="n">
        <f aca="false">B11+E11*Parametros!$B$7</f>
        <v>0.0473</v>
      </c>
      <c r="J11" s="12" t="n">
        <f aca="false">(1+I11/2)^2-1</f>
        <v>0.0478593224999999</v>
      </c>
      <c r="K11" s="13" t="n">
        <f aca="false">(1+J11)^(-A11)</f>
        <v>0.869142637040769</v>
      </c>
      <c r="L11" s="11" t="n">
        <f aca="false">B11+E11*Parametros!$B$8</f>
        <v>0.0473</v>
      </c>
      <c r="M11" s="12" t="n">
        <f aca="false">(1+L11/2)^2-1</f>
        <v>0.0478593224999999</v>
      </c>
      <c r="N11" s="13" t="n">
        <f aca="false">(1+M11)^(-A11)</f>
        <v>0.869142637040769</v>
      </c>
    </row>
    <row r="12" customFormat="false" ht="15" hidden="false" customHeight="false" outlineLevel="0" collapsed="false">
      <c r="A12" s="4" t="n">
        <v>3.5</v>
      </c>
      <c r="B12" s="9" t="n">
        <v>0.0433</v>
      </c>
      <c r="C12" s="9" t="n">
        <v>0.0477</v>
      </c>
      <c r="D12" s="10" t="n">
        <f aca="false">(C12-B12)*10000</f>
        <v>44</v>
      </c>
      <c r="E12" s="11" t="n">
        <f aca="false">MAX(0,C12-B12)*(1-Parametros!$B$5)</f>
        <v>0.0044</v>
      </c>
      <c r="F12" s="11" t="n">
        <f aca="false">B12+E12*Parametros!$B$6</f>
        <v>0.0477</v>
      </c>
      <c r="G12" s="12" t="n">
        <f aca="false">(1+F12/2)^2-1</f>
        <v>0.0482688224999999</v>
      </c>
      <c r="H12" s="13" t="n">
        <f aca="false">(1+G12)^(-A12)</f>
        <v>0.847901996031153</v>
      </c>
      <c r="I12" s="11" t="n">
        <f aca="false">B12+E12*Parametros!$B$7</f>
        <v>0.0477</v>
      </c>
      <c r="J12" s="12" t="n">
        <f aca="false">(1+I12/2)^2-1</f>
        <v>0.0482688224999999</v>
      </c>
      <c r="K12" s="13" t="n">
        <f aca="false">(1+J12)^(-A12)</f>
        <v>0.847901996031153</v>
      </c>
      <c r="L12" s="11" t="n">
        <f aca="false">B12+E12*Parametros!$B$8</f>
        <v>0.0477</v>
      </c>
      <c r="M12" s="12" t="n">
        <f aca="false">(1+L12/2)^2-1</f>
        <v>0.0482688224999999</v>
      </c>
      <c r="N12" s="13" t="n">
        <f aca="false">(1+M12)^(-A12)</f>
        <v>0.847901996031153</v>
      </c>
    </row>
    <row r="13" customFormat="false" ht="15" hidden="false" customHeight="false" outlineLevel="0" collapsed="false">
      <c r="A13" s="4" t="n">
        <v>4</v>
      </c>
      <c r="B13" s="9" t="n">
        <v>0.0436</v>
      </c>
      <c r="C13" s="9" t="n">
        <v>0.0481</v>
      </c>
      <c r="D13" s="10" t="n">
        <f aca="false">(C13-B13)*10000</f>
        <v>45</v>
      </c>
      <c r="E13" s="11" t="n">
        <f aca="false">MAX(0,C13-B13)*(1-Parametros!$B$5)</f>
        <v>0.0045</v>
      </c>
      <c r="F13" s="11" t="n">
        <f aca="false">B13+E13*Parametros!$B$6</f>
        <v>0.0481</v>
      </c>
      <c r="G13" s="12" t="n">
        <f aca="false">(1+F13/2)^2-1</f>
        <v>0.0486784024999998</v>
      </c>
      <c r="H13" s="13" t="n">
        <f aca="false">(1+G13)^(-A13)</f>
        <v>0.826857566112177</v>
      </c>
      <c r="I13" s="11" t="n">
        <f aca="false">B13+E13*Parametros!$B$7</f>
        <v>0.0481</v>
      </c>
      <c r="J13" s="12" t="n">
        <f aca="false">(1+I13/2)^2-1</f>
        <v>0.0486784024999998</v>
      </c>
      <c r="K13" s="13" t="n">
        <f aca="false">(1+J13)^(-A13)</f>
        <v>0.826857566112177</v>
      </c>
      <c r="L13" s="11" t="n">
        <f aca="false">B13+E13*Parametros!$B$8</f>
        <v>0.0481</v>
      </c>
      <c r="M13" s="12" t="n">
        <f aca="false">(1+L13/2)^2-1</f>
        <v>0.0486784024999998</v>
      </c>
      <c r="N13" s="13" t="n">
        <f aca="false">(1+M13)^(-A13)</f>
        <v>0.826857566112177</v>
      </c>
    </row>
    <row r="14" customFormat="false" ht="15" hidden="false" customHeight="false" outlineLevel="0" collapsed="false">
      <c r="A14" s="4" t="n">
        <v>4.5</v>
      </c>
      <c r="B14" s="9" t="n">
        <v>0.0439</v>
      </c>
      <c r="C14" s="9" t="n">
        <v>0.0485</v>
      </c>
      <c r="D14" s="10" t="n">
        <f aca="false">(C14-B14)*10000</f>
        <v>46</v>
      </c>
      <c r="E14" s="11" t="n">
        <f aca="false">MAX(0,C14-B14)*(1-Parametros!$B$5)</f>
        <v>0.0046</v>
      </c>
      <c r="F14" s="11" t="n">
        <f aca="false">B14+E14*Parametros!$B$6</f>
        <v>0.0485</v>
      </c>
      <c r="G14" s="12" t="n">
        <f aca="false">(1+F14/2)^2-1</f>
        <v>0.0490880625000003</v>
      </c>
      <c r="H14" s="13" t="n">
        <f aca="false">(1+G14)^(-A14)</f>
        <v>0.806020794642609</v>
      </c>
      <c r="I14" s="11" t="n">
        <f aca="false">B14+E14*Parametros!$B$7</f>
        <v>0.0485</v>
      </c>
      <c r="J14" s="12" t="n">
        <f aca="false">(1+I14/2)^2-1</f>
        <v>0.0490880625000003</v>
      </c>
      <c r="K14" s="13" t="n">
        <f aca="false">(1+J14)^(-A14)</f>
        <v>0.806020794642609</v>
      </c>
      <c r="L14" s="11" t="n">
        <f aca="false">B14+E14*Parametros!$B$8</f>
        <v>0.0485</v>
      </c>
      <c r="M14" s="12" t="n">
        <f aca="false">(1+L14/2)^2-1</f>
        <v>0.0490880625000003</v>
      </c>
      <c r="N14" s="13" t="n">
        <f aca="false">(1+M14)^(-A14)</f>
        <v>0.806020794642609</v>
      </c>
    </row>
    <row r="15" customFormat="false" ht="15" hidden="false" customHeight="false" outlineLevel="0" collapsed="false">
      <c r="A15" s="4" t="n">
        <v>5</v>
      </c>
      <c r="B15" s="9" t="n">
        <v>0.0442</v>
      </c>
      <c r="C15" s="9" t="n">
        <v>0.049</v>
      </c>
      <c r="D15" s="10" t="n">
        <f aca="false">(C15-B15)*10000</f>
        <v>48</v>
      </c>
      <c r="E15" s="11" t="n">
        <f aca="false">MAX(0,C15-B15)*(1-Parametros!$B$5)</f>
        <v>0.0048</v>
      </c>
      <c r="F15" s="11" t="n">
        <f aca="false">B15+E15*Parametros!$B$6</f>
        <v>0.049</v>
      </c>
      <c r="G15" s="12" t="n">
        <f aca="false">(1+F15/2)^2-1</f>
        <v>0.0496002499999999</v>
      </c>
      <c r="H15" s="13" t="n">
        <f aca="false">(1+G15)^(-A15)</f>
        <v>0.785019369510734</v>
      </c>
      <c r="I15" s="11" t="n">
        <f aca="false">B15+E15*Parametros!$B$7</f>
        <v>0.049</v>
      </c>
      <c r="J15" s="12" t="n">
        <f aca="false">(1+I15/2)^2-1</f>
        <v>0.0496002499999999</v>
      </c>
      <c r="K15" s="13" t="n">
        <f aca="false">(1+J15)^(-A15)</f>
        <v>0.785019369510734</v>
      </c>
      <c r="L15" s="11" t="n">
        <f aca="false">B15+E15*Parametros!$B$8</f>
        <v>0.049</v>
      </c>
      <c r="M15" s="12" t="n">
        <f aca="false">(1+L15/2)^2-1</f>
        <v>0.0496002499999999</v>
      </c>
      <c r="N15" s="13" t="n">
        <f aca="false">(1+M15)^(-A15)</f>
        <v>0.785019369510734</v>
      </c>
    </row>
    <row r="16" customFormat="false" ht="15" hidden="false" customHeight="false" outlineLevel="0" collapsed="false">
      <c r="A16" s="4" t="n">
        <v>5.5</v>
      </c>
      <c r="B16" s="9" t="n">
        <v>0.0444</v>
      </c>
      <c r="C16" s="9" t="n">
        <v>0.0495</v>
      </c>
      <c r="D16" s="10" t="n">
        <f aca="false">(C16-B16)*10000</f>
        <v>51</v>
      </c>
      <c r="E16" s="11" t="n">
        <f aca="false">MAX(0,C16-B16)*(1-Parametros!$B$5)</f>
        <v>0.0051</v>
      </c>
      <c r="F16" s="11" t="n">
        <f aca="false">B16+E16*Parametros!$B$6</f>
        <v>0.0495</v>
      </c>
      <c r="G16" s="12" t="n">
        <f aca="false">(1+F16/2)^2-1</f>
        <v>0.0501125625000001</v>
      </c>
      <c r="H16" s="13" t="n">
        <f aca="false">(1+G16)^(-A16)</f>
        <v>0.764192556379722</v>
      </c>
      <c r="I16" s="11" t="n">
        <f aca="false">B16+E16*Parametros!$B$7</f>
        <v>0.0495</v>
      </c>
      <c r="J16" s="12" t="n">
        <f aca="false">(1+I16/2)^2-1</f>
        <v>0.0501125625000001</v>
      </c>
      <c r="K16" s="13" t="n">
        <f aca="false">(1+J16)^(-A16)</f>
        <v>0.764192556379722</v>
      </c>
      <c r="L16" s="11" t="n">
        <f aca="false">B16+E16*Parametros!$B$8</f>
        <v>0.0495</v>
      </c>
      <c r="M16" s="12" t="n">
        <f aca="false">(1+L16/2)^2-1</f>
        <v>0.0501125625000001</v>
      </c>
      <c r="N16" s="13" t="n">
        <f aca="false">(1+M16)^(-A16)</f>
        <v>0.764192556379722</v>
      </c>
    </row>
    <row r="17" customFormat="false" ht="15" hidden="false" customHeight="false" outlineLevel="0" collapsed="false">
      <c r="A17" s="4" t="n">
        <v>6</v>
      </c>
      <c r="B17" s="9" t="n">
        <v>0.0447</v>
      </c>
      <c r="C17" s="9" t="n">
        <v>0.05</v>
      </c>
      <c r="D17" s="10" t="n">
        <f aca="false">(C17-B17)*10000</f>
        <v>53.0000000000001</v>
      </c>
      <c r="E17" s="11" t="n">
        <f aca="false">MAX(0,C17-B17)*(1-Parametros!$B$5)</f>
        <v>0.00530000000000001</v>
      </c>
      <c r="F17" s="11" t="n">
        <f aca="false">B17+E17*Parametros!$B$6</f>
        <v>0.05</v>
      </c>
      <c r="G17" s="12" t="n">
        <f aca="false">(1+F17/2)^2-1</f>
        <v>0.0506249999999999</v>
      </c>
      <c r="H17" s="13" t="n">
        <f aca="false">(1+G17)^(-A17)</f>
        <v>0.743555885045308</v>
      </c>
      <c r="I17" s="11" t="n">
        <f aca="false">B17+E17*Parametros!$B$7</f>
        <v>0.05</v>
      </c>
      <c r="J17" s="12" t="n">
        <f aca="false">(1+I17/2)^2-1</f>
        <v>0.0506249999999999</v>
      </c>
      <c r="K17" s="13" t="n">
        <f aca="false">(1+J17)^(-A17)</f>
        <v>0.743555885045308</v>
      </c>
      <c r="L17" s="11" t="n">
        <f aca="false">B17+E17*Parametros!$B$8</f>
        <v>0.05</v>
      </c>
      <c r="M17" s="12" t="n">
        <f aca="false">(1+L17/2)^2-1</f>
        <v>0.0506249999999999</v>
      </c>
      <c r="N17" s="13" t="n">
        <f aca="false">(1+M17)^(-A17)</f>
        <v>0.743555885045308</v>
      </c>
    </row>
    <row r="18" customFormat="false" ht="15" hidden="false" customHeight="false" outlineLevel="0" collapsed="false">
      <c r="A18" s="4" t="n">
        <v>6.5</v>
      </c>
      <c r="B18" s="9" t="n">
        <v>0.0448</v>
      </c>
      <c r="C18" s="9" t="n">
        <v>0.0505</v>
      </c>
      <c r="D18" s="10" t="n">
        <f aca="false">(C18-B18)*10000</f>
        <v>57</v>
      </c>
      <c r="E18" s="11" t="n">
        <f aca="false">MAX(0,C18-B18)*(1-Parametros!$B$5)</f>
        <v>0.0057</v>
      </c>
      <c r="F18" s="11" t="n">
        <f aca="false">B18+E18*Parametros!$B$6</f>
        <v>0.0505</v>
      </c>
      <c r="G18" s="12" t="n">
        <f aca="false">(1+F18/2)^2-1</f>
        <v>0.0511375624999999</v>
      </c>
      <c r="H18" s="13" t="n">
        <f aca="false">(1+G18)^(-A18)</f>
        <v>0.72312418450621</v>
      </c>
      <c r="I18" s="11" t="n">
        <f aca="false">B18+E18*Parametros!$B$7</f>
        <v>0.0505</v>
      </c>
      <c r="J18" s="12" t="n">
        <f aca="false">(1+I18/2)^2-1</f>
        <v>0.0511375624999999</v>
      </c>
      <c r="K18" s="13" t="n">
        <f aca="false">(1+J18)^(-A18)</f>
        <v>0.72312418450621</v>
      </c>
      <c r="L18" s="11" t="n">
        <f aca="false">B18+E18*Parametros!$B$8</f>
        <v>0.0505</v>
      </c>
      <c r="M18" s="12" t="n">
        <f aca="false">(1+L18/2)^2-1</f>
        <v>0.0511375624999999</v>
      </c>
      <c r="N18" s="13" t="n">
        <f aca="false">(1+M18)^(-A18)</f>
        <v>0.72312418450621</v>
      </c>
    </row>
    <row r="19" customFormat="false" ht="15" hidden="false" customHeight="false" outlineLevel="0" collapsed="false">
      <c r="A19" s="4" t="n">
        <v>7</v>
      </c>
      <c r="B19" s="9" t="n">
        <v>0.045</v>
      </c>
      <c r="C19" s="9" t="n">
        <v>0.051</v>
      </c>
      <c r="D19" s="10" t="n">
        <f aca="false">(C19-B19)*10000</f>
        <v>60</v>
      </c>
      <c r="E19" s="11" t="n">
        <f aca="false">MAX(0,C19-B19)*(1-Parametros!$B$5)</f>
        <v>0.006</v>
      </c>
      <c r="F19" s="11" t="n">
        <f aca="false">B19+E19*Parametros!$B$6</f>
        <v>0.051</v>
      </c>
      <c r="G19" s="12" t="n">
        <f aca="false">(1+F19/2)^2-1</f>
        <v>0.0516502500000002</v>
      </c>
      <c r="H19" s="13" t="n">
        <f aca="false">(1+G19)^(-A19)</f>
        <v>0.702911573608143</v>
      </c>
      <c r="I19" s="11" t="n">
        <f aca="false">B19+E19*Parametros!$B$7</f>
        <v>0.051</v>
      </c>
      <c r="J19" s="12" t="n">
        <f aca="false">(1+I19/2)^2-1</f>
        <v>0.0516502500000002</v>
      </c>
      <c r="K19" s="13" t="n">
        <f aca="false">(1+J19)^(-A19)</f>
        <v>0.702911573608143</v>
      </c>
      <c r="L19" s="11" t="n">
        <f aca="false">B19+E19*Parametros!$B$8</f>
        <v>0.051</v>
      </c>
      <c r="M19" s="12" t="n">
        <f aca="false">(1+L19/2)^2-1</f>
        <v>0.0516502500000002</v>
      </c>
      <c r="N19" s="13" t="n">
        <f aca="false">(1+M19)^(-A19)</f>
        <v>0.702911573608143</v>
      </c>
    </row>
    <row r="20" customFormat="false" ht="15" hidden="false" customHeight="false" outlineLevel="0" collapsed="false">
      <c r="A20" s="4" t="n">
        <v>7.5</v>
      </c>
      <c r="B20" s="9" t="n">
        <v>0.0452</v>
      </c>
      <c r="C20" s="9" t="n">
        <v>0.0515</v>
      </c>
      <c r="D20" s="10" t="n">
        <f aca="false">(C20-B20)*10000</f>
        <v>63</v>
      </c>
      <c r="E20" s="11" t="n">
        <f aca="false">MAX(0,C20-B20)*(1-Parametros!$B$5)</f>
        <v>0.0063</v>
      </c>
      <c r="F20" s="11" t="n">
        <f aca="false">B20+E20*Parametros!$B$6</f>
        <v>0.0515</v>
      </c>
      <c r="G20" s="12" t="n">
        <f aca="false">(1+F20/2)^2-1</f>
        <v>0.0521630624999998</v>
      </c>
      <c r="H20" s="13" t="n">
        <f aca="false">(1+G20)^(-A20)</f>
        <v>0.682931453672935</v>
      </c>
      <c r="I20" s="11" t="n">
        <f aca="false">B20+E20*Parametros!$B$7</f>
        <v>0.0515</v>
      </c>
      <c r="J20" s="12" t="n">
        <f aca="false">(1+I20/2)^2-1</f>
        <v>0.0521630624999998</v>
      </c>
      <c r="K20" s="13" t="n">
        <f aca="false">(1+J20)^(-A20)</f>
        <v>0.682931453672935</v>
      </c>
      <c r="L20" s="11" t="n">
        <f aca="false">B20+E20*Parametros!$B$8</f>
        <v>0.0515</v>
      </c>
      <c r="M20" s="12" t="n">
        <f aca="false">(1+L20/2)^2-1</f>
        <v>0.0521630624999998</v>
      </c>
      <c r="N20" s="13" t="n">
        <f aca="false">(1+M20)^(-A20)</f>
        <v>0.682931453672935</v>
      </c>
    </row>
    <row r="21" customFormat="false" ht="15" hidden="false" customHeight="false" outlineLevel="0" collapsed="false">
      <c r="A21" s="4" t="n">
        <v>8</v>
      </c>
      <c r="B21" s="9" t="n">
        <v>0.0453</v>
      </c>
      <c r="C21" s="9" t="n">
        <v>0.0519</v>
      </c>
      <c r="D21" s="10" t="n">
        <f aca="false">(C21-B21)*10000</f>
        <v>66</v>
      </c>
      <c r="E21" s="11" t="n">
        <f aca="false">MAX(0,C21-B21)*(1-Parametros!$B$5)</f>
        <v>0.0066</v>
      </c>
      <c r="F21" s="11" t="n">
        <f aca="false">B21+E21*Parametros!$B$6</f>
        <v>0.0519</v>
      </c>
      <c r="G21" s="12" t="n">
        <f aca="false">(1+F21/2)^2-1</f>
        <v>0.0525734024999998</v>
      </c>
      <c r="H21" s="13" t="n">
        <f aca="false">(1+G21)^(-A21)</f>
        <v>0.663713829626701</v>
      </c>
      <c r="I21" s="11" t="n">
        <f aca="false">B21+E21*Parametros!$B$7</f>
        <v>0.0519</v>
      </c>
      <c r="J21" s="12" t="n">
        <f aca="false">(1+I21/2)^2-1</f>
        <v>0.0525734024999998</v>
      </c>
      <c r="K21" s="13" t="n">
        <f aca="false">(1+J21)^(-A21)</f>
        <v>0.663713829626701</v>
      </c>
      <c r="L21" s="11" t="n">
        <f aca="false">B21+E21*Parametros!$B$8</f>
        <v>0.0519</v>
      </c>
      <c r="M21" s="12" t="n">
        <f aca="false">(1+L21/2)^2-1</f>
        <v>0.0525734024999998</v>
      </c>
      <c r="N21" s="13" t="n">
        <f aca="false">(1+M21)^(-A21)</f>
        <v>0.663713829626701</v>
      </c>
    </row>
    <row r="22" customFormat="false" ht="15" hidden="false" customHeight="false" outlineLevel="0" collapsed="false">
      <c r="A22" s="4" t="n">
        <v>8.5</v>
      </c>
      <c r="B22" s="9" t="n">
        <v>0.0454</v>
      </c>
      <c r="C22" s="9" t="n">
        <v>0.0524</v>
      </c>
      <c r="D22" s="10" t="n">
        <f aca="false">(C22-B22)*10000</f>
        <v>70</v>
      </c>
      <c r="E22" s="11" t="n">
        <f aca="false">MAX(0,C22-B22)*(1-Parametros!$B$5)</f>
        <v>0.007</v>
      </c>
      <c r="F22" s="11" t="n">
        <f aca="false">B22+E22*Parametros!$B$6</f>
        <v>0.0524</v>
      </c>
      <c r="G22" s="12" t="n">
        <f aca="false">(1+F22/2)^2-1</f>
        <v>0.05308644</v>
      </c>
      <c r="H22" s="13" t="n">
        <f aca="false">(1+G22)^(-A22)</f>
        <v>0.644252072885633</v>
      </c>
      <c r="I22" s="11" t="n">
        <f aca="false">B22+E22*Parametros!$B$7</f>
        <v>0.0524</v>
      </c>
      <c r="J22" s="12" t="n">
        <f aca="false">(1+I22/2)^2-1</f>
        <v>0.05308644</v>
      </c>
      <c r="K22" s="13" t="n">
        <f aca="false">(1+J22)^(-A22)</f>
        <v>0.644252072885633</v>
      </c>
      <c r="L22" s="11" t="n">
        <f aca="false">B22+E22*Parametros!$B$8</f>
        <v>0.0524</v>
      </c>
      <c r="M22" s="12" t="n">
        <f aca="false">(1+L22/2)^2-1</f>
        <v>0.05308644</v>
      </c>
      <c r="N22" s="13" t="n">
        <f aca="false">(1+M22)^(-A22)</f>
        <v>0.644252072885633</v>
      </c>
    </row>
    <row r="23" customFormat="false" ht="15" hidden="false" customHeight="false" outlineLevel="0" collapsed="false">
      <c r="A23" s="4" t="n">
        <v>9</v>
      </c>
      <c r="B23" s="9" t="n">
        <v>0.0456</v>
      </c>
      <c r="C23" s="9" t="n">
        <v>0.0528</v>
      </c>
      <c r="D23" s="10" t="n">
        <f aca="false">(C23-B23)*10000</f>
        <v>72</v>
      </c>
      <c r="E23" s="11" t="n">
        <f aca="false">MAX(0,C23-B23)*(1-Parametros!$B$5)</f>
        <v>0.0072</v>
      </c>
      <c r="F23" s="11" t="n">
        <f aca="false">B23+E23*Parametros!$B$6</f>
        <v>0.0528</v>
      </c>
      <c r="G23" s="12" t="n">
        <f aca="false">(1+F23/2)^2-1</f>
        <v>0.0534969599999999</v>
      </c>
      <c r="H23" s="13" t="n">
        <f aca="false">(1+G23)^(-A23)</f>
        <v>0.625605300108043</v>
      </c>
      <c r="I23" s="11" t="n">
        <f aca="false">B23+E23*Parametros!$B$7</f>
        <v>0.0528</v>
      </c>
      <c r="J23" s="12" t="n">
        <f aca="false">(1+I23/2)^2-1</f>
        <v>0.0534969599999999</v>
      </c>
      <c r="K23" s="13" t="n">
        <f aca="false">(1+J23)^(-A23)</f>
        <v>0.625605300108043</v>
      </c>
      <c r="L23" s="11" t="n">
        <f aca="false">B23+E23*Parametros!$B$8</f>
        <v>0.0528</v>
      </c>
      <c r="M23" s="12" t="n">
        <f aca="false">(1+L23/2)^2-1</f>
        <v>0.0534969599999999</v>
      </c>
      <c r="N23" s="13" t="n">
        <f aca="false">(1+M23)^(-A23)</f>
        <v>0.625605300108043</v>
      </c>
    </row>
    <row r="24" customFormat="false" ht="15" hidden="false" customHeight="false" outlineLevel="0" collapsed="false">
      <c r="A24" s="4" t="n">
        <v>9.5</v>
      </c>
      <c r="B24" s="9" t="n">
        <v>0.0457</v>
      </c>
      <c r="C24" s="9" t="n">
        <v>0.0532</v>
      </c>
      <c r="D24" s="10" t="n">
        <f aca="false">(C24-B24)*10000</f>
        <v>75</v>
      </c>
      <c r="E24" s="11" t="n">
        <f aca="false">MAX(0,C24-B24)*(1-Parametros!$B$5)</f>
        <v>0.0075</v>
      </c>
      <c r="F24" s="11" t="n">
        <f aca="false">B24+E24*Parametros!$B$6</f>
        <v>0.0532</v>
      </c>
      <c r="G24" s="12" t="n">
        <f aca="false">(1+F24/2)^2-1</f>
        <v>0.0539075599999999</v>
      </c>
      <c r="H24" s="13" t="n">
        <f aca="false">(1+G24)^(-A24)</f>
        <v>0.607261938265292</v>
      </c>
      <c r="I24" s="11" t="n">
        <f aca="false">B24+E24*Parametros!$B$7</f>
        <v>0.0532</v>
      </c>
      <c r="J24" s="12" t="n">
        <f aca="false">(1+I24/2)^2-1</f>
        <v>0.0539075599999999</v>
      </c>
      <c r="K24" s="13" t="n">
        <f aca="false">(1+J24)^(-A24)</f>
        <v>0.607261938265292</v>
      </c>
      <c r="L24" s="11" t="n">
        <f aca="false">B24+E24*Parametros!$B$8</f>
        <v>0.0532</v>
      </c>
      <c r="M24" s="12" t="n">
        <f aca="false">(1+L24/2)^2-1</f>
        <v>0.0539075599999999</v>
      </c>
      <c r="N24" s="13" t="n">
        <f aca="false">(1+M24)^(-A24)</f>
        <v>0.607261938265292</v>
      </c>
    </row>
    <row r="25" customFormat="false" ht="15" hidden="false" customHeight="false" outlineLevel="0" collapsed="false">
      <c r="A25" s="4" t="n">
        <v>10</v>
      </c>
      <c r="B25" s="9" t="n">
        <v>0.0458</v>
      </c>
      <c r="C25" s="9" t="n">
        <v>0.0536</v>
      </c>
      <c r="D25" s="10" t="n">
        <f aca="false">(C25-B25)*10000</f>
        <v>78</v>
      </c>
      <c r="E25" s="11" t="n">
        <f aca="false">MAX(0,C25-B25)*(1-Parametros!$B$5)</f>
        <v>0.0078</v>
      </c>
      <c r="F25" s="11" t="n">
        <f aca="false">B25+E25*Parametros!$B$6</f>
        <v>0.0536</v>
      </c>
      <c r="G25" s="12" t="n">
        <f aca="false">(1+F25/2)^2-1</f>
        <v>0.05431824</v>
      </c>
      <c r="H25" s="13" t="n">
        <f aca="false">(1+G25)^(-A25)</f>
        <v>0.589227218190429</v>
      </c>
      <c r="I25" s="11" t="n">
        <f aca="false">B25+E25*Parametros!$B$7</f>
        <v>0.0536</v>
      </c>
      <c r="J25" s="12" t="n">
        <f aca="false">(1+I25/2)^2-1</f>
        <v>0.05431824</v>
      </c>
      <c r="K25" s="13" t="n">
        <f aca="false">(1+J25)^(-A25)</f>
        <v>0.589227218190429</v>
      </c>
      <c r="L25" s="11" t="n">
        <f aca="false">B25+E25*Parametros!$B$8</f>
        <v>0.0536</v>
      </c>
      <c r="M25" s="12" t="n">
        <f aca="false">(1+L25/2)^2-1</f>
        <v>0.05431824</v>
      </c>
      <c r="N25" s="13" t="n">
        <f aca="false">(1+M25)^(-A25)</f>
        <v>0.589227218190429</v>
      </c>
    </row>
    <row r="26" customFormat="false" ht="15" hidden="false" customHeight="false" outlineLevel="0" collapsed="false">
      <c r="A26" s="4" t="n">
        <v>10.5</v>
      </c>
      <c r="B26" s="9" t="n">
        <v>0.0459</v>
      </c>
      <c r="C26" s="9" t="n">
        <v>0.0539</v>
      </c>
      <c r="D26" s="10" t="n">
        <f aca="false">(C26-B26)*10000</f>
        <v>80</v>
      </c>
      <c r="E26" s="11" t="n">
        <f aca="false">MAX(0,C26-B26)*(1-Parametros!$B$5)</f>
        <v>0.008</v>
      </c>
      <c r="F26" s="11" t="n">
        <f aca="false">B26+E26*Parametros!$B$6</f>
        <v>0.0539</v>
      </c>
      <c r="G26" s="12" t="n">
        <f aca="false">(1+F26/2)^2-1</f>
        <v>0.0546263025</v>
      </c>
      <c r="H26" s="13" t="n">
        <f aca="false">(1+G26)^(-A26)</f>
        <v>0.572090473497418</v>
      </c>
      <c r="I26" s="11" t="n">
        <f aca="false">B26+E26*Parametros!$B$7</f>
        <v>0.0539</v>
      </c>
      <c r="J26" s="12" t="n">
        <f aca="false">(1+I26/2)^2-1</f>
        <v>0.0546263025</v>
      </c>
      <c r="K26" s="13" t="n">
        <f aca="false">(1+J26)^(-A26)</f>
        <v>0.572090473497418</v>
      </c>
      <c r="L26" s="11" t="n">
        <f aca="false">B26+E26*Parametros!$B$8</f>
        <v>0.0539</v>
      </c>
      <c r="M26" s="12" t="n">
        <f aca="false">(1+L26/2)^2-1</f>
        <v>0.0546263025</v>
      </c>
      <c r="N26" s="13" t="n">
        <f aca="false">(1+M26)^(-A26)</f>
        <v>0.572090473497418</v>
      </c>
    </row>
    <row r="27" customFormat="false" ht="15" hidden="false" customHeight="false" outlineLevel="0" collapsed="false">
      <c r="A27" s="4" t="n">
        <v>11</v>
      </c>
      <c r="B27" s="9" t="n">
        <v>0.0461</v>
      </c>
      <c r="C27" s="9" t="n">
        <v>0.0543</v>
      </c>
      <c r="D27" s="10" t="n">
        <f aca="false">(C27-B27)*10000</f>
        <v>82</v>
      </c>
      <c r="E27" s="11" t="n">
        <f aca="false">MAX(0,C27-B27)*(1-Parametros!$B$5)</f>
        <v>0.0082</v>
      </c>
      <c r="F27" s="11" t="n">
        <f aca="false">B27+E27*Parametros!$B$6</f>
        <v>0.0543</v>
      </c>
      <c r="G27" s="12" t="n">
        <f aca="false">(1+F27/2)^2-1</f>
        <v>0.0550371224999999</v>
      </c>
      <c r="H27" s="13" t="n">
        <f aca="false">(1+G27)^(-A27)</f>
        <v>0.55469576392788</v>
      </c>
      <c r="I27" s="11" t="n">
        <f aca="false">B27+E27*Parametros!$B$7</f>
        <v>0.0543</v>
      </c>
      <c r="J27" s="12" t="n">
        <f aca="false">(1+I27/2)^2-1</f>
        <v>0.0550371224999999</v>
      </c>
      <c r="K27" s="13" t="n">
        <f aca="false">(1+J27)^(-A27)</f>
        <v>0.55469576392788</v>
      </c>
      <c r="L27" s="11" t="n">
        <f aca="false">B27+E27*Parametros!$B$8</f>
        <v>0.0543</v>
      </c>
      <c r="M27" s="12" t="n">
        <f aca="false">(1+L27/2)^2-1</f>
        <v>0.0550371224999999</v>
      </c>
      <c r="N27" s="13" t="n">
        <f aca="false">(1+M27)^(-A27)</f>
        <v>0.55469576392788</v>
      </c>
    </row>
    <row r="28" customFormat="false" ht="15" hidden="false" customHeight="false" outlineLevel="0" collapsed="false">
      <c r="A28" s="4" t="n">
        <v>11.5</v>
      </c>
      <c r="B28" s="9" t="n">
        <v>0.0463</v>
      </c>
      <c r="C28" s="9" t="n">
        <v>0.0546</v>
      </c>
      <c r="D28" s="10" t="n">
        <f aca="false">(C28-B28)*10000</f>
        <v>83</v>
      </c>
      <c r="E28" s="11" t="n">
        <f aca="false">MAX(0,C28-B28)*(1-Parametros!$B$5)</f>
        <v>0.0083</v>
      </c>
      <c r="F28" s="11" t="n">
        <f aca="false">B28+E28*Parametros!$B$6</f>
        <v>0.0546</v>
      </c>
      <c r="G28" s="12" t="n">
        <f aca="false">(1+F28/2)^2-1</f>
        <v>0.0553452900000002</v>
      </c>
      <c r="H28" s="13" t="n">
        <f aca="false">(1+G28)^(-A28)</f>
        <v>0.538223149646386</v>
      </c>
      <c r="I28" s="11" t="n">
        <f aca="false">B28+E28*Parametros!$B$7</f>
        <v>0.0546</v>
      </c>
      <c r="J28" s="12" t="n">
        <f aca="false">(1+I28/2)^2-1</f>
        <v>0.0553452900000002</v>
      </c>
      <c r="K28" s="13" t="n">
        <f aca="false">(1+J28)^(-A28)</f>
        <v>0.538223149646386</v>
      </c>
      <c r="L28" s="11" t="n">
        <f aca="false">B28+E28*Parametros!$B$8</f>
        <v>0.0546</v>
      </c>
      <c r="M28" s="12" t="n">
        <f aca="false">(1+L28/2)^2-1</f>
        <v>0.0553452900000002</v>
      </c>
      <c r="N28" s="13" t="n">
        <f aca="false">(1+M28)^(-A28)</f>
        <v>0.538223149646386</v>
      </c>
    </row>
    <row r="29" customFormat="false" ht="15" hidden="false" customHeight="false" outlineLevel="0" collapsed="false">
      <c r="A29" s="4" t="n">
        <v>12</v>
      </c>
      <c r="B29" s="9" t="n">
        <v>0.0465</v>
      </c>
      <c r="C29" s="9" t="n">
        <v>0.0549</v>
      </c>
      <c r="D29" s="10" t="n">
        <f aca="false">(C29-B29)*10000</f>
        <v>84</v>
      </c>
      <c r="E29" s="11" t="n">
        <f aca="false">MAX(0,C29-B29)*(1-Parametros!$B$5)</f>
        <v>0.0084</v>
      </c>
      <c r="F29" s="11" t="n">
        <f aca="false">B29+E29*Parametros!$B$6</f>
        <v>0.0549</v>
      </c>
      <c r="G29" s="12" t="n">
        <f aca="false">(1+F29/2)^2-1</f>
        <v>0.0556535025</v>
      </c>
      <c r="H29" s="13" t="n">
        <f aca="false">(1+G29)^(-A29)</f>
        <v>0.522087486914417</v>
      </c>
      <c r="I29" s="11" t="n">
        <f aca="false">B29+E29*Parametros!$B$7</f>
        <v>0.0549</v>
      </c>
      <c r="J29" s="12" t="n">
        <f aca="false">(1+I29/2)^2-1</f>
        <v>0.0556535025</v>
      </c>
      <c r="K29" s="13" t="n">
        <f aca="false">(1+J29)^(-A29)</f>
        <v>0.522087486914417</v>
      </c>
      <c r="L29" s="11" t="n">
        <f aca="false">B29+E29*Parametros!$B$8</f>
        <v>0.0549</v>
      </c>
      <c r="M29" s="12" t="n">
        <f aca="false">(1+L29/2)^2-1</f>
        <v>0.0556535025</v>
      </c>
      <c r="N29" s="13" t="n">
        <f aca="false">(1+M29)^(-A29)</f>
        <v>0.522087486914417</v>
      </c>
    </row>
    <row r="30" customFormat="false" ht="15" hidden="false" customHeight="false" outlineLevel="0" collapsed="false">
      <c r="A30" s="4" t="n">
        <v>12.5</v>
      </c>
      <c r="B30" s="9" t="n">
        <v>0.0468</v>
      </c>
      <c r="C30" s="9" t="n">
        <v>0.0552</v>
      </c>
      <c r="D30" s="10" t="n">
        <f aca="false">(C30-B30)*10000</f>
        <v>84</v>
      </c>
      <c r="E30" s="11" t="n">
        <f aca="false">MAX(0,C30-B30)*(1-Parametros!$B$5)</f>
        <v>0.0084</v>
      </c>
      <c r="F30" s="11" t="n">
        <f aca="false">B30+E30*Parametros!$B$6</f>
        <v>0.0552</v>
      </c>
      <c r="G30" s="12" t="n">
        <f aca="false">(1+F30/2)^2-1</f>
        <v>0.0559617600000002</v>
      </c>
      <c r="H30" s="13" t="n">
        <f aca="false">(1+G30)^(-A30)</f>
        <v>0.506287972311209</v>
      </c>
      <c r="I30" s="11" t="n">
        <f aca="false">B30+E30*Parametros!$B$7</f>
        <v>0.0552</v>
      </c>
      <c r="J30" s="12" t="n">
        <f aca="false">(1+I30/2)^2-1</f>
        <v>0.0559617600000002</v>
      </c>
      <c r="K30" s="13" t="n">
        <f aca="false">(1+J30)^(-A30)</f>
        <v>0.506287972311209</v>
      </c>
      <c r="L30" s="11" t="n">
        <f aca="false">B30+E30*Parametros!$B$8</f>
        <v>0.0552</v>
      </c>
      <c r="M30" s="12" t="n">
        <f aca="false">(1+L30/2)^2-1</f>
        <v>0.0559617600000002</v>
      </c>
      <c r="N30" s="13" t="n">
        <f aca="false">(1+M30)^(-A30)</f>
        <v>0.506287972311209</v>
      </c>
    </row>
    <row r="31" customFormat="false" ht="15" hidden="false" customHeight="false" outlineLevel="0" collapsed="false">
      <c r="A31" s="4" t="n">
        <v>13</v>
      </c>
      <c r="B31" s="9" t="n">
        <v>0.047</v>
      </c>
      <c r="C31" s="9" t="n">
        <v>0.0555</v>
      </c>
      <c r="D31" s="10" t="n">
        <f aca="false">(C31-B31)*10000</f>
        <v>85</v>
      </c>
      <c r="E31" s="11" t="n">
        <f aca="false">MAX(0,C31-B31)*(1-Parametros!$B$5)</f>
        <v>0.0085</v>
      </c>
      <c r="F31" s="11" t="n">
        <f aca="false">B31+E31*Parametros!$B$6</f>
        <v>0.0555</v>
      </c>
      <c r="G31" s="12" t="n">
        <f aca="false">(1+F31/2)^2-1</f>
        <v>0.0562700624999999</v>
      </c>
      <c r="H31" s="13" t="n">
        <f aca="false">(1+G31)^(-A31)</f>
        <v>0.490823534155882</v>
      </c>
      <c r="I31" s="11" t="n">
        <f aca="false">B31+E31*Parametros!$B$7</f>
        <v>0.0555</v>
      </c>
      <c r="J31" s="12" t="n">
        <f aca="false">(1+I31/2)^2-1</f>
        <v>0.0562700624999999</v>
      </c>
      <c r="K31" s="13" t="n">
        <f aca="false">(1+J31)^(-A31)</f>
        <v>0.490823534155882</v>
      </c>
      <c r="L31" s="11" t="n">
        <f aca="false">B31+E31*Parametros!$B$8</f>
        <v>0.0555</v>
      </c>
      <c r="M31" s="12" t="n">
        <f aca="false">(1+L31/2)^2-1</f>
        <v>0.0562700624999999</v>
      </c>
      <c r="N31" s="13" t="n">
        <f aca="false">(1+M31)^(-A31)</f>
        <v>0.490823534155882</v>
      </c>
    </row>
    <row r="32" customFormat="false" ht="15" hidden="false" customHeight="false" outlineLevel="0" collapsed="false">
      <c r="A32" s="4" t="n">
        <v>13.5</v>
      </c>
      <c r="B32" s="9" t="n">
        <v>0.0473</v>
      </c>
      <c r="C32" s="9" t="n">
        <v>0.0557</v>
      </c>
      <c r="D32" s="10" t="n">
        <f aca="false">(C32-B32)*10000</f>
        <v>84</v>
      </c>
      <c r="E32" s="11" t="n">
        <f aca="false">MAX(0,C32-B32)*(1-Parametros!$B$5)</f>
        <v>0.0084</v>
      </c>
      <c r="F32" s="11" t="n">
        <f aca="false">B32+E32*Parametros!$B$6</f>
        <v>0.0557</v>
      </c>
      <c r="G32" s="12" t="n">
        <f aca="false">(1+F32/2)^2-1</f>
        <v>0.0564756224999998</v>
      </c>
      <c r="H32" s="13" t="n">
        <f aca="false">(1+G32)^(-A32)</f>
        <v>0.476318022322018</v>
      </c>
      <c r="I32" s="11" t="n">
        <f aca="false">B32+E32*Parametros!$B$7</f>
        <v>0.0557</v>
      </c>
      <c r="J32" s="12" t="n">
        <f aca="false">(1+I32/2)^2-1</f>
        <v>0.0564756224999998</v>
      </c>
      <c r="K32" s="13" t="n">
        <f aca="false">(1+J32)^(-A32)</f>
        <v>0.476318022322018</v>
      </c>
      <c r="L32" s="11" t="n">
        <f aca="false">B32+E32*Parametros!$B$8</f>
        <v>0.0557</v>
      </c>
      <c r="M32" s="12" t="n">
        <f aca="false">(1+L32/2)^2-1</f>
        <v>0.0564756224999998</v>
      </c>
      <c r="N32" s="13" t="n">
        <f aca="false">(1+M32)^(-A32)</f>
        <v>0.476318022322018</v>
      </c>
    </row>
    <row r="33" customFormat="false" ht="15" hidden="false" customHeight="false" outlineLevel="0" collapsed="false">
      <c r="A33" s="4" t="n">
        <v>14</v>
      </c>
      <c r="B33" s="9" t="n">
        <v>0.0476</v>
      </c>
      <c r="C33" s="9" t="n">
        <v>0.0559</v>
      </c>
      <c r="D33" s="10" t="n">
        <f aca="false">(C33-B33)*10000</f>
        <v>82.9999999999999</v>
      </c>
      <c r="E33" s="11" t="n">
        <f aca="false">MAX(0,C33-B33)*(1-Parametros!$B$5)</f>
        <v>0.0083</v>
      </c>
      <c r="F33" s="11" t="n">
        <f aca="false">B33+E33*Parametros!$B$6</f>
        <v>0.0559</v>
      </c>
      <c r="G33" s="12" t="n">
        <f aca="false">(1+F33/2)^2-1</f>
        <v>0.0566812024999999</v>
      </c>
      <c r="H33" s="13" t="n">
        <f aca="false">(1+G33)^(-A33)</f>
        <v>0.462151381448276</v>
      </c>
      <c r="I33" s="11" t="n">
        <f aca="false">B33+E33*Parametros!$B$7</f>
        <v>0.0559</v>
      </c>
      <c r="J33" s="12" t="n">
        <f aca="false">(1+I33/2)^2-1</f>
        <v>0.0566812024999999</v>
      </c>
      <c r="K33" s="13" t="n">
        <f aca="false">(1+J33)^(-A33)</f>
        <v>0.462151381448276</v>
      </c>
      <c r="L33" s="11" t="n">
        <f aca="false">B33+E33*Parametros!$B$8</f>
        <v>0.0559</v>
      </c>
      <c r="M33" s="12" t="n">
        <f aca="false">(1+L33/2)^2-1</f>
        <v>0.0566812024999999</v>
      </c>
      <c r="N33" s="13" t="n">
        <f aca="false">(1+M33)^(-A33)</f>
        <v>0.462151381448276</v>
      </c>
    </row>
    <row r="34" customFormat="false" ht="15" hidden="false" customHeight="false" outlineLevel="0" collapsed="false">
      <c r="A34" s="4" t="n">
        <v>14.5</v>
      </c>
      <c r="B34" s="9" t="n">
        <v>0.0478</v>
      </c>
      <c r="C34" s="9" t="n">
        <v>0.0562</v>
      </c>
      <c r="D34" s="10" t="n">
        <f aca="false">(C34-B34)*10000</f>
        <v>84</v>
      </c>
      <c r="E34" s="11" t="n">
        <f aca="false">MAX(0,C34-B34)*(1-Parametros!$B$5)</f>
        <v>0.0084</v>
      </c>
      <c r="F34" s="11" t="n">
        <f aca="false">B34+E34*Parametros!$B$6</f>
        <v>0.0562</v>
      </c>
      <c r="G34" s="12" t="n">
        <f aca="false">(1+F34/2)^2-1</f>
        <v>0.05698961</v>
      </c>
      <c r="H34" s="13" t="n">
        <f aca="false">(1+G34)^(-A34)</f>
        <v>0.447687104324081</v>
      </c>
      <c r="I34" s="11" t="n">
        <f aca="false">B34+E34*Parametros!$B$7</f>
        <v>0.0562</v>
      </c>
      <c r="J34" s="12" t="n">
        <f aca="false">(1+I34/2)^2-1</f>
        <v>0.05698961</v>
      </c>
      <c r="K34" s="13" t="n">
        <f aca="false">(1+J34)^(-A34)</f>
        <v>0.447687104324081</v>
      </c>
      <c r="L34" s="11" t="n">
        <f aca="false">B34+E34*Parametros!$B$8</f>
        <v>0.0562</v>
      </c>
      <c r="M34" s="12" t="n">
        <f aca="false">(1+L34/2)^2-1</f>
        <v>0.05698961</v>
      </c>
      <c r="N34" s="13" t="n">
        <f aca="false">(1+M34)^(-A34)</f>
        <v>0.447687104324081</v>
      </c>
    </row>
    <row r="35" customFormat="false" ht="15" hidden="false" customHeight="false" outlineLevel="0" collapsed="false">
      <c r="A35" s="4" t="n">
        <v>15</v>
      </c>
      <c r="B35" s="9" t="n">
        <v>0.0481</v>
      </c>
      <c r="C35" s="9" t="n">
        <v>0.0564</v>
      </c>
      <c r="D35" s="10" t="n">
        <f aca="false">(C35-B35)*10000</f>
        <v>83</v>
      </c>
      <c r="E35" s="11" t="n">
        <f aca="false">MAX(0,C35-B35)*(1-Parametros!$B$5)</f>
        <v>0.0083</v>
      </c>
      <c r="F35" s="11" t="n">
        <f aca="false">B35+E35*Parametros!$B$6</f>
        <v>0.0564</v>
      </c>
      <c r="G35" s="12" t="n">
        <f aca="false">(1+F35/2)^2-1</f>
        <v>0.05719524</v>
      </c>
      <c r="H35" s="13" t="n">
        <f aca="false">(1+G35)^(-A35)</f>
        <v>0.434182199189579</v>
      </c>
      <c r="I35" s="11" t="n">
        <f aca="false">B35+E35*Parametros!$B$7</f>
        <v>0.0564</v>
      </c>
      <c r="J35" s="12" t="n">
        <f aca="false">(1+I35/2)^2-1</f>
        <v>0.05719524</v>
      </c>
      <c r="K35" s="13" t="n">
        <f aca="false">(1+J35)^(-A35)</f>
        <v>0.434182199189579</v>
      </c>
      <c r="L35" s="11" t="n">
        <f aca="false">B35+E35*Parametros!$B$8</f>
        <v>0.0564</v>
      </c>
      <c r="M35" s="12" t="n">
        <f aca="false">(1+L35/2)^2-1</f>
        <v>0.05719524</v>
      </c>
      <c r="N35" s="13" t="n">
        <f aca="false">(1+M35)^(-A35)</f>
        <v>0.434182199189579</v>
      </c>
    </row>
    <row r="36" customFormat="false" ht="15" hidden="false" customHeight="false" outlineLevel="0" collapsed="false">
      <c r="A36" s="4" t="n">
        <v>15.5</v>
      </c>
      <c r="B36" s="9" t="n">
        <v>0.0484</v>
      </c>
      <c r="C36" s="9" t="n">
        <v>0.0566</v>
      </c>
      <c r="D36" s="10" t="n">
        <f aca="false">(C36-B36)*10000</f>
        <v>82</v>
      </c>
      <c r="E36" s="11" t="n">
        <f aca="false">MAX(0,C36-B36)*(1-Parametros!$B$5)</f>
        <v>0.0082</v>
      </c>
      <c r="F36" s="11" t="n">
        <f aca="false">B36+E36*Parametros!$B$6</f>
        <v>0.0566</v>
      </c>
      <c r="G36" s="12" t="n">
        <f aca="false">(1+F36/2)^2-1</f>
        <v>0.05740089</v>
      </c>
      <c r="H36" s="13" t="n">
        <f aca="false">(1+G36)^(-A36)</f>
        <v>0.421002902576197</v>
      </c>
      <c r="I36" s="11" t="n">
        <f aca="false">B36+E36*Parametros!$B$7</f>
        <v>0.0566</v>
      </c>
      <c r="J36" s="12" t="n">
        <f aca="false">(1+I36/2)^2-1</f>
        <v>0.05740089</v>
      </c>
      <c r="K36" s="13" t="n">
        <f aca="false">(1+J36)^(-A36)</f>
        <v>0.421002902576197</v>
      </c>
      <c r="L36" s="11" t="n">
        <f aca="false">B36+E36*Parametros!$B$8</f>
        <v>0.0566</v>
      </c>
      <c r="M36" s="12" t="n">
        <f aca="false">(1+L36/2)^2-1</f>
        <v>0.05740089</v>
      </c>
      <c r="N36" s="13" t="n">
        <f aca="false">(1+M36)^(-A36)</f>
        <v>0.421002902576197</v>
      </c>
    </row>
    <row r="37" customFormat="false" ht="15" hidden="false" customHeight="false" outlineLevel="0" collapsed="false">
      <c r="A37" s="4" t="n">
        <v>16</v>
      </c>
      <c r="B37" s="9" t="n">
        <v>0.0486</v>
      </c>
      <c r="C37" s="9" t="n">
        <v>0.0567</v>
      </c>
      <c r="D37" s="10" t="n">
        <f aca="false">(C37-B37)*10000</f>
        <v>81</v>
      </c>
      <c r="E37" s="11" t="n">
        <f aca="false">MAX(0,C37-B37)*(1-Parametros!$B$5)</f>
        <v>0.0081</v>
      </c>
      <c r="F37" s="11" t="n">
        <f aca="false">B37+E37*Parametros!$B$6</f>
        <v>0.0567</v>
      </c>
      <c r="G37" s="12" t="n">
        <f aca="false">(1+F37/2)^2-1</f>
        <v>0.0575037225000001</v>
      </c>
      <c r="H37" s="13" t="n">
        <f aca="false">(1+G37)^(-A37)</f>
        <v>0.40877989066849</v>
      </c>
      <c r="I37" s="11" t="n">
        <f aca="false">B37+E37*Parametros!$B$7</f>
        <v>0.0567</v>
      </c>
      <c r="J37" s="12" t="n">
        <f aca="false">(1+I37/2)^2-1</f>
        <v>0.0575037225000001</v>
      </c>
      <c r="K37" s="13" t="n">
        <f aca="false">(1+J37)^(-A37)</f>
        <v>0.40877989066849</v>
      </c>
      <c r="L37" s="11" t="n">
        <f aca="false">B37+E37*Parametros!$B$8</f>
        <v>0.0567</v>
      </c>
      <c r="M37" s="12" t="n">
        <f aca="false">(1+L37/2)^2-1</f>
        <v>0.0575037225000001</v>
      </c>
      <c r="N37" s="13" t="n">
        <f aca="false">(1+M37)^(-A37)</f>
        <v>0.40877989066849</v>
      </c>
    </row>
    <row r="38" customFormat="false" ht="15" hidden="false" customHeight="false" outlineLevel="0" collapsed="false">
      <c r="A38" s="4" t="n">
        <v>16.5</v>
      </c>
      <c r="B38" s="9" t="n">
        <v>0.0489</v>
      </c>
      <c r="C38" s="9" t="n">
        <v>0.0569</v>
      </c>
      <c r="D38" s="10" t="n">
        <f aca="false">(C38-B38)*10000</f>
        <v>80</v>
      </c>
      <c r="E38" s="11" t="n">
        <f aca="false">MAX(0,C38-B38)*(1-Parametros!$B$5)</f>
        <v>0.008</v>
      </c>
      <c r="F38" s="11" t="n">
        <f aca="false">B38+E38*Parametros!$B$6</f>
        <v>0.0569</v>
      </c>
      <c r="G38" s="12" t="n">
        <f aca="false">(1+F38/2)^2-1</f>
        <v>0.0577094025000002</v>
      </c>
      <c r="H38" s="13" t="n">
        <f aca="false">(1+G38)^(-A38)</f>
        <v>0.396236954556627</v>
      </c>
      <c r="I38" s="11" t="n">
        <f aca="false">B38+E38*Parametros!$B$7</f>
        <v>0.0569</v>
      </c>
      <c r="J38" s="12" t="n">
        <f aca="false">(1+I38/2)^2-1</f>
        <v>0.0577094025000002</v>
      </c>
      <c r="K38" s="13" t="n">
        <f aca="false">(1+J38)^(-A38)</f>
        <v>0.396236954556627</v>
      </c>
      <c r="L38" s="11" t="n">
        <f aca="false">B38+E38*Parametros!$B$8</f>
        <v>0.0569</v>
      </c>
      <c r="M38" s="12" t="n">
        <f aca="false">(1+L38/2)^2-1</f>
        <v>0.0577094025000002</v>
      </c>
      <c r="N38" s="13" t="n">
        <f aca="false">(1+M38)^(-A38)</f>
        <v>0.396236954556627</v>
      </c>
    </row>
    <row r="39" customFormat="false" ht="15" hidden="false" customHeight="false" outlineLevel="0" collapsed="false">
      <c r="A39" s="4" t="n">
        <v>17</v>
      </c>
      <c r="B39" s="9" t="n">
        <v>0.0491</v>
      </c>
      <c r="C39" s="9" t="n">
        <v>0.057</v>
      </c>
      <c r="D39" s="10" t="n">
        <f aca="false">(C39-B39)*10000</f>
        <v>79</v>
      </c>
      <c r="E39" s="11" t="n">
        <f aca="false">MAX(0,C39-B39)*(1-Parametros!$B$5)</f>
        <v>0.0079</v>
      </c>
      <c r="F39" s="11" t="n">
        <f aca="false">B39+E39*Parametros!$B$6</f>
        <v>0.057</v>
      </c>
      <c r="G39" s="12" t="n">
        <f aca="false">(1+F39/2)^2-1</f>
        <v>0.05781225</v>
      </c>
      <c r="H39" s="13" t="n">
        <f aca="false">(1+G39)^(-A39)</f>
        <v>0.384639547396534</v>
      </c>
      <c r="I39" s="11" t="n">
        <f aca="false">B39+E39*Parametros!$B$7</f>
        <v>0.057</v>
      </c>
      <c r="J39" s="12" t="n">
        <f aca="false">(1+I39/2)^2-1</f>
        <v>0.05781225</v>
      </c>
      <c r="K39" s="13" t="n">
        <f aca="false">(1+J39)^(-A39)</f>
        <v>0.384639547396534</v>
      </c>
      <c r="L39" s="11" t="n">
        <f aca="false">B39+E39*Parametros!$B$8</f>
        <v>0.057</v>
      </c>
      <c r="M39" s="12" t="n">
        <f aca="false">(1+L39/2)^2-1</f>
        <v>0.05781225</v>
      </c>
      <c r="N39" s="13" t="n">
        <f aca="false">(1+M39)^(-A39)</f>
        <v>0.384639547396534</v>
      </c>
    </row>
    <row r="40" customFormat="false" ht="15" hidden="false" customHeight="false" outlineLevel="0" collapsed="false">
      <c r="A40" s="4" t="n">
        <v>17.5</v>
      </c>
      <c r="B40" s="9" t="n">
        <v>0.0493</v>
      </c>
      <c r="C40" s="9" t="n">
        <v>0.0572</v>
      </c>
      <c r="D40" s="10" t="n">
        <f aca="false">(C40-B40)*10000</f>
        <v>79</v>
      </c>
      <c r="E40" s="11" t="n">
        <f aca="false">MAX(0,C40-B40)*(1-Parametros!$B$5)</f>
        <v>0.0079</v>
      </c>
      <c r="F40" s="11" t="n">
        <f aca="false">B40+E40*Parametros!$B$6</f>
        <v>0.0572</v>
      </c>
      <c r="G40" s="12" t="n">
        <f aca="false">(1+F40/2)^2-1</f>
        <v>0.0580179599999999</v>
      </c>
      <c r="H40" s="13" t="n">
        <f aca="false">(1+G40)^(-A40)</f>
        <v>0.372710648169927</v>
      </c>
      <c r="I40" s="11" t="n">
        <f aca="false">B40+E40*Parametros!$B$7</f>
        <v>0.0572</v>
      </c>
      <c r="J40" s="12" t="n">
        <f aca="false">(1+I40/2)^2-1</f>
        <v>0.0580179599999999</v>
      </c>
      <c r="K40" s="13" t="n">
        <f aca="false">(1+J40)^(-A40)</f>
        <v>0.372710648169927</v>
      </c>
      <c r="L40" s="11" t="n">
        <f aca="false">B40+E40*Parametros!$B$8</f>
        <v>0.0572</v>
      </c>
      <c r="M40" s="12" t="n">
        <f aca="false">(1+L40/2)^2-1</f>
        <v>0.0580179599999999</v>
      </c>
      <c r="N40" s="13" t="n">
        <f aca="false">(1+M40)^(-A40)</f>
        <v>0.372710648169927</v>
      </c>
    </row>
    <row r="41" customFormat="false" ht="15" hidden="false" customHeight="false" outlineLevel="0" collapsed="false">
      <c r="A41" s="4" t="n">
        <v>18</v>
      </c>
      <c r="B41" s="9" t="n">
        <v>0.0495</v>
      </c>
      <c r="C41" s="9" t="n">
        <v>0.0573</v>
      </c>
      <c r="D41" s="10" t="n">
        <f aca="false">(C41-B41)*10000</f>
        <v>77.9999999999999</v>
      </c>
      <c r="E41" s="11" t="n">
        <f aca="false">MAX(0,C41-B41)*(1-Parametros!$B$5)</f>
        <v>0.00779999999999999</v>
      </c>
      <c r="F41" s="11" t="n">
        <f aca="false">B41+E41*Parametros!$B$6</f>
        <v>0.0573</v>
      </c>
      <c r="G41" s="12" t="n">
        <f aca="false">(1+F41/2)^2-1</f>
        <v>0.0581208225000001</v>
      </c>
      <c r="H41" s="13" t="n">
        <f aca="false">(1+G41)^(-A41)</f>
        <v>0.36171398874759</v>
      </c>
      <c r="I41" s="11" t="n">
        <f aca="false">B41+E41*Parametros!$B$7</f>
        <v>0.0573</v>
      </c>
      <c r="J41" s="12" t="n">
        <f aca="false">(1+I41/2)^2-1</f>
        <v>0.0581208225000001</v>
      </c>
      <c r="K41" s="13" t="n">
        <f aca="false">(1+J41)^(-A41)</f>
        <v>0.36171398874759</v>
      </c>
      <c r="L41" s="11" t="n">
        <f aca="false">B41+E41*Parametros!$B$8</f>
        <v>0.0573</v>
      </c>
      <c r="M41" s="12" t="n">
        <f aca="false">(1+L41/2)^2-1</f>
        <v>0.0581208225000001</v>
      </c>
      <c r="N41" s="13" t="n">
        <f aca="false">(1+M41)^(-A41)</f>
        <v>0.36171398874759</v>
      </c>
    </row>
    <row r="42" customFormat="false" ht="15" hidden="false" customHeight="false" outlineLevel="0" collapsed="false">
      <c r="A42" s="4" t="n">
        <v>18.5</v>
      </c>
      <c r="B42" s="9" t="n">
        <v>0.0496</v>
      </c>
      <c r="C42" s="9" t="n">
        <v>0.0574</v>
      </c>
      <c r="D42" s="10" t="n">
        <f aca="false">(C42-B42)*10000</f>
        <v>78</v>
      </c>
      <c r="E42" s="11" t="n">
        <f aca="false">MAX(0,C42-B42)*(1-Parametros!$B$5)</f>
        <v>0.0078</v>
      </c>
      <c r="F42" s="11" t="n">
        <f aca="false">B42+E42*Parametros!$B$6</f>
        <v>0.0574</v>
      </c>
      <c r="G42" s="12" t="n">
        <f aca="false">(1+F42/2)^2-1</f>
        <v>0.0582236899999999</v>
      </c>
      <c r="H42" s="13" t="n">
        <f aca="false">(1+G42)^(-A42)</f>
        <v>0.351007685856357</v>
      </c>
      <c r="I42" s="11" t="n">
        <f aca="false">B42+E42*Parametros!$B$7</f>
        <v>0.0574</v>
      </c>
      <c r="J42" s="12" t="n">
        <f aca="false">(1+I42/2)^2-1</f>
        <v>0.0582236899999999</v>
      </c>
      <c r="K42" s="13" t="n">
        <f aca="false">(1+J42)^(-A42)</f>
        <v>0.351007685856357</v>
      </c>
      <c r="L42" s="11" t="n">
        <f aca="false">B42+E42*Parametros!$B$8</f>
        <v>0.0574</v>
      </c>
      <c r="M42" s="12" t="n">
        <f aca="false">(1+L42/2)^2-1</f>
        <v>0.0582236899999999</v>
      </c>
      <c r="N42" s="13" t="n">
        <f aca="false">(1+M42)^(-A42)</f>
        <v>0.351007685856357</v>
      </c>
    </row>
    <row r="43" customFormat="false" ht="15" hidden="false" customHeight="false" outlineLevel="0" collapsed="false">
      <c r="A43" s="4" t="n">
        <v>19</v>
      </c>
      <c r="B43" s="9" t="n">
        <v>0.0498</v>
      </c>
      <c r="C43" s="9" t="n">
        <v>0.0575</v>
      </c>
      <c r="D43" s="10" t="n">
        <f aca="false">(C43-B43)*10000</f>
        <v>77.0000000000001</v>
      </c>
      <c r="E43" s="11" t="n">
        <f aca="false">MAX(0,C43-B43)*(1-Parametros!$B$5)</f>
        <v>0.00770000000000001</v>
      </c>
      <c r="F43" s="11" t="n">
        <f aca="false">B43+E43*Parametros!$B$6</f>
        <v>0.0575</v>
      </c>
      <c r="G43" s="12" t="n">
        <f aca="false">(1+F43/2)^2-1</f>
        <v>0.0583265625</v>
      </c>
      <c r="H43" s="13" t="n">
        <f aca="false">(1+G43)^(-A43)</f>
        <v>0.340585196621635</v>
      </c>
      <c r="I43" s="11" t="n">
        <f aca="false">B43+E43*Parametros!$B$7</f>
        <v>0.0575</v>
      </c>
      <c r="J43" s="12" t="n">
        <f aca="false">(1+I43/2)^2-1</f>
        <v>0.0583265625</v>
      </c>
      <c r="K43" s="13" t="n">
        <f aca="false">(1+J43)^(-A43)</f>
        <v>0.340585196621635</v>
      </c>
      <c r="L43" s="11" t="n">
        <f aca="false">B43+E43*Parametros!$B$8</f>
        <v>0.0575</v>
      </c>
      <c r="M43" s="12" t="n">
        <f aca="false">(1+L43/2)^2-1</f>
        <v>0.0583265625</v>
      </c>
      <c r="N43" s="13" t="n">
        <f aca="false">(1+M43)^(-A43)</f>
        <v>0.340585196621635</v>
      </c>
    </row>
    <row r="44" customFormat="false" ht="15" hidden="false" customHeight="false" outlineLevel="0" collapsed="false">
      <c r="A44" s="4" t="n">
        <v>19.5</v>
      </c>
      <c r="B44" s="9" t="n">
        <v>0.0499</v>
      </c>
      <c r="C44" s="9" t="n">
        <v>0.0576</v>
      </c>
      <c r="D44" s="10" t="n">
        <f aca="false">(C44-B44)*10000</f>
        <v>77</v>
      </c>
      <c r="E44" s="11" t="n">
        <f aca="false">MAX(0,C44-B44)*(1-Parametros!$B$5)</f>
        <v>0.0077</v>
      </c>
      <c r="F44" s="11" t="n">
        <f aca="false">B44+E44*Parametros!$B$6</f>
        <v>0.0576</v>
      </c>
      <c r="G44" s="12" t="n">
        <f aca="false">(1+F44/2)^2-1</f>
        <v>0.0584294399999998</v>
      </c>
      <c r="H44" s="13" t="n">
        <f aca="false">(1+G44)^(-A44)</f>
        <v>0.33044009045477</v>
      </c>
      <c r="I44" s="11" t="n">
        <f aca="false">B44+E44*Parametros!$B$7</f>
        <v>0.0576</v>
      </c>
      <c r="J44" s="12" t="n">
        <f aca="false">(1+I44/2)^2-1</f>
        <v>0.0584294399999998</v>
      </c>
      <c r="K44" s="13" t="n">
        <f aca="false">(1+J44)^(-A44)</f>
        <v>0.33044009045477</v>
      </c>
      <c r="L44" s="11" t="n">
        <f aca="false">B44+E44*Parametros!$B$8</f>
        <v>0.0576</v>
      </c>
      <c r="M44" s="12" t="n">
        <f aca="false">(1+L44/2)^2-1</f>
        <v>0.0584294399999998</v>
      </c>
      <c r="N44" s="13" t="n">
        <f aca="false">(1+M44)^(-A44)</f>
        <v>0.33044009045477</v>
      </c>
    </row>
    <row r="45" customFormat="false" ht="15" hidden="false" customHeight="false" outlineLevel="0" collapsed="false">
      <c r="A45" s="4" t="n">
        <v>20</v>
      </c>
      <c r="B45" s="9" t="n">
        <v>0.0499</v>
      </c>
      <c r="C45" s="9" t="n">
        <v>0.0576</v>
      </c>
      <c r="D45" s="10" t="n">
        <f aca="false">(C45-B45)*10000</f>
        <v>77</v>
      </c>
      <c r="E45" s="11" t="n">
        <f aca="false">MAX(0,C45-B45)*(1-Parametros!$B$5)</f>
        <v>0.0077</v>
      </c>
      <c r="F45" s="11" t="n">
        <f aca="false">B45+E45*Parametros!$B$6</f>
        <v>0.0576</v>
      </c>
      <c r="G45" s="12" t="n">
        <f aca="false">(1+F45/2)^2-1</f>
        <v>0.0584294399999998</v>
      </c>
      <c r="H45" s="13" t="n">
        <f aca="false">(1+G45)^(-A45)</f>
        <v>0.321189823536907</v>
      </c>
      <c r="I45" s="11" t="n">
        <f aca="false">B45+E45*Parametros!$B$7</f>
        <v>0.0576</v>
      </c>
      <c r="J45" s="12" t="n">
        <f aca="false">(1+I45/2)^2-1</f>
        <v>0.0584294399999998</v>
      </c>
      <c r="K45" s="13" t="n">
        <f aca="false">(1+J45)^(-A45)</f>
        <v>0.321189823536907</v>
      </c>
      <c r="L45" s="11" t="n">
        <f aca="false">B45+E45*Parametros!$B$8</f>
        <v>0.0576</v>
      </c>
      <c r="M45" s="12" t="n">
        <f aca="false">(1+L45/2)^2-1</f>
        <v>0.0584294399999998</v>
      </c>
      <c r="N45" s="13" t="n">
        <f aca="false">(1+M45)^(-A45)</f>
        <v>0.321189823536907</v>
      </c>
    </row>
    <row r="46" customFormat="false" ht="15" hidden="false" customHeight="false" outlineLevel="0" collapsed="false">
      <c r="A46" s="4" t="n">
        <v>20.5</v>
      </c>
      <c r="B46" s="9" t="n">
        <v>0.05</v>
      </c>
      <c r="C46" s="9" t="n">
        <v>0.0577</v>
      </c>
      <c r="D46" s="10" t="n">
        <f aca="false">(C46-B46)*10000</f>
        <v>77</v>
      </c>
      <c r="E46" s="11" t="n">
        <f aca="false">MAX(0,C46-B46)*(1-Parametros!$B$5)</f>
        <v>0.0077</v>
      </c>
      <c r="F46" s="11" t="n">
        <f aca="false">B46+E46*Parametros!$B$6</f>
        <v>0.0577</v>
      </c>
      <c r="G46" s="12" t="n">
        <f aca="false">(1+F46/2)^2-1</f>
        <v>0.0585323225000001</v>
      </c>
      <c r="H46" s="13" t="n">
        <f aca="false">(1+G46)^(-A46)</f>
        <v>0.311577050290598</v>
      </c>
      <c r="I46" s="11" t="n">
        <f aca="false">B46+E46*Parametros!$B$7</f>
        <v>0.0577</v>
      </c>
      <c r="J46" s="12" t="n">
        <f aca="false">(1+I46/2)^2-1</f>
        <v>0.0585323225000001</v>
      </c>
      <c r="K46" s="13" t="n">
        <f aca="false">(1+J46)^(-A46)</f>
        <v>0.311577050290598</v>
      </c>
      <c r="L46" s="11" t="n">
        <f aca="false">B46+E46*Parametros!$B$8</f>
        <v>0.0577</v>
      </c>
      <c r="M46" s="12" t="n">
        <f aca="false">(1+L46/2)^2-1</f>
        <v>0.0585323225000001</v>
      </c>
      <c r="N46" s="13" t="n">
        <f aca="false">(1+M46)^(-A46)</f>
        <v>0.311577050290598</v>
      </c>
    </row>
    <row r="47" customFormat="false" ht="15" hidden="false" customHeight="false" outlineLevel="0" collapsed="false">
      <c r="A47" s="4" t="n">
        <v>21</v>
      </c>
      <c r="B47" s="9" t="n">
        <v>0.05</v>
      </c>
      <c r="C47" s="9" t="n">
        <v>0.0577</v>
      </c>
      <c r="D47" s="10" t="n">
        <f aca="false">(C47-B47)*10000</f>
        <v>77</v>
      </c>
      <c r="E47" s="11" t="n">
        <f aca="false">MAX(0,C47-B47)*(1-Parametros!$B$5)</f>
        <v>0.0077</v>
      </c>
      <c r="F47" s="11" t="n">
        <f aca="false">B47+E47*Parametros!$B$6</f>
        <v>0.0577</v>
      </c>
      <c r="G47" s="12" t="n">
        <f aca="false">(1+F47/2)^2-1</f>
        <v>0.0585323225000001</v>
      </c>
      <c r="H47" s="13" t="n">
        <f aca="false">(1+G47)^(-A47)</f>
        <v>0.302840113029692</v>
      </c>
      <c r="I47" s="11" t="n">
        <f aca="false">B47+E47*Parametros!$B$7</f>
        <v>0.0577</v>
      </c>
      <c r="J47" s="12" t="n">
        <f aca="false">(1+I47/2)^2-1</f>
        <v>0.0585323225000001</v>
      </c>
      <c r="K47" s="13" t="n">
        <f aca="false">(1+J47)^(-A47)</f>
        <v>0.302840113029692</v>
      </c>
      <c r="L47" s="11" t="n">
        <f aca="false">B47+E47*Parametros!$B$8</f>
        <v>0.0577</v>
      </c>
      <c r="M47" s="12" t="n">
        <f aca="false">(1+L47/2)^2-1</f>
        <v>0.0585323225000001</v>
      </c>
      <c r="N47" s="13" t="n">
        <f aca="false">(1+M47)^(-A47)</f>
        <v>0.302840113029692</v>
      </c>
    </row>
    <row r="48" customFormat="false" ht="15" hidden="false" customHeight="false" outlineLevel="0" collapsed="false">
      <c r="A48" s="4" t="n">
        <v>21.5</v>
      </c>
      <c r="B48" s="9" t="n">
        <v>0.0499</v>
      </c>
      <c r="C48" s="9" t="n">
        <v>0.0578</v>
      </c>
      <c r="D48" s="10" t="n">
        <f aca="false">(C48-B48)*10000</f>
        <v>79</v>
      </c>
      <c r="E48" s="11" t="n">
        <f aca="false">MAX(0,C48-B48)*(1-Parametros!$B$5)</f>
        <v>0.0079</v>
      </c>
      <c r="F48" s="11" t="n">
        <f aca="false">B48+E48*Parametros!$B$6</f>
        <v>0.0578</v>
      </c>
      <c r="G48" s="12" t="n">
        <f aca="false">(1+F48/2)^2-1</f>
        <v>0.0586352099999998</v>
      </c>
      <c r="H48" s="13" t="n">
        <f aca="false">(1+G48)^(-A48)</f>
        <v>0.29373372268831</v>
      </c>
      <c r="I48" s="11" t="n">
        <f aca="false">B48+E48*Parametros!$B$7</f>
        <v>0.0578</v>
      </c>
      <c r="J48" s="12" t="n">
        <f aca="false">(1+I48/2)^2-1</f>
        <v>0.0586352099999998</v>
      </c>
      <c r="K48" s="13" t="n">
        <f aca="false">(1+J48)^(-A48)</f>
        <v>0.29373372268831</v>
      </c>
      <c r="L48" s="11" t="n">
        <f aca="false">B48+E48*Parametros!$B$8</f>
        <v>0.0578</v>
      </c>
      <c r="M48" s="12" t="n">
        <f aca="false">(1+L48/2)^2-1</f>
        <v>0.0586352099999998</v>
      </c>
      <c r="N48" s="13" t="n">
        <f aca="false">(1+M48)^(-A48)</f>
        <v>0.29373372268831</v>
      </c>
    </row>
    <row r="49" customFormat="false" ht="15" hidden="false" customHeight="false" outlineLevel="0" collapsed="false">
      <c r="A49" s="4" t="n">
        <v>22</v>
      </c>
      <c r="B49" s="9" t="n">
        <v>0.0499</v>
      </c>
      <c r="C49" s="9" t="n">
        <v>0.0578</v>
      </c>
      <c r="D49" s="10" t="n">
        <f aca="false">(C49-B49)*10000</f>
        <v>79</v>
      </c>
      <c r="E49" s="11" t="n">
        <f aca="false">MAX(0,C49-B49)*(1-Parametros!$B$5)</f>
        <v>0.0079</v>
      </c>
      <c r="F49" s="11" t="n">
        <f aca="false">B49+E49*Parametros!$B$6</f>
        <v>0.0578</v>
      </c>
      <c r="G49" s="12" t="n">
        <f aca="false">(1+F49/2)^2-1</f>
        <v>0.0586352099999998</v>
      </c>
      <c r="H49" s="13" t="n">
        <f aca="false">(1+G49)^(-A49)</f>
        <v>0.285483256573341</v>
      </c>
      <c r="I49" s="11" t="n">
        <f aca="false">B49+E49*Parametros!$B$7</f>
        <v>0.0578</v>
      </c>
      <c r="J49" s="12" t="n">
        <f aca="false">(1+I49/2)^2-1</f>
        <v>0.0586352099999998</v>
      </c>
      <c r="K49" s="13" t="n">
        <f aca="false">(1+J49)^(-A49)</f>
        <v>0.285483256573341</v>
      </c>
      <c r="L49" s="11" t="n">
        <f aca="false">B49+E49*Parametros!$B$8</f>
        <v>0.0578</v>
      </c>
      <c r="M49" s="12" t="n">
        <f aca="false">(1+L49/2)^2-1</f>
        <v>0.0586352099999998</v>
      </c>
      <c r="N49" s="13" t="n">
        <f aca="false">(1+M49)^(-A49)</f>
        <v>0.285483256573341</v>
      </c>
    </row>
    <row r="50" customFormat="false" ht="15" hidden="false" customHeight="false" outlineLevel="0" collapsed="false">
      <c r="A50" s="4" t="n">
        <v>22.5</v>
      </c>
      <c r="B50" s="9" t="n">
        <v>0.0498</v>
      </c>
      <c r="C50" s="9" t="n">
        <v>0.0578</v>
      </c>
      <c r="D50" s="10" t="n">
        <f aca="false">(C50-B50)*10000</f>
        <v>80</v>
      </c>
      <c r="E50" s="11" t="n">
        <f aca="false">MAX(0,C50-B50)*(1-Parametros!$B$5)</f>
        <v>0.008</v>
      </c>
      <c r="F50" s="11" t="n">
        <f aca="false">B50+E50*Parametros!$B$6</f>
        <v>0.0578</v>
      </c>
      <c r="G50" s="12" t="n">
        <f aca="false">(1+F50/2)^2-1</f>
        <v>0.0586352099999998</v>
      </c>
      <c r="H50" s="13" t="n">
        <f aca="false">(1+G50)^(-A50)</f>
        <v>0.277464531609817</v>
      </c>
      <c r="I50" s="11" t="n">
        <f aca="false">B50+E50*Parametros!$B$7</f>
        <v>0.0578</v>
      </c>
      <c r="J50" s="12" t="n">
        <f aca="false">(1+I50/2)^2-1</f>
        <v>0.0586352099999998</v>
      </c>
      <c r="K50" s="13" t="n">
        <f aca="false">(1+J50)^(-A50)</f>
        <v>0.277464531609817</v>
      </c>
      <c r="L50" s="11" t="n">
        <f aca="false">B50+E50*Parametros!$B$8</f>
        <v>0.0578</v>
      </c>
      <c r="M50" s="12" t="n">
        <f aca="false">(1+L50/2)^2-1</f>
        <v>0.0586352099999998</v>
      </c>
      <c r="N50" s="13" t="n">
        <f aca="false">(1+M50)^(-A50)</f>
        <v>0.277464531609817</v>
      </c>
    </row>
    <row r="51" customFormat="false" ht="15" hidden="false" customHeight="false" outlineLevel="0" collapsed="false">
      <c r="A51" s="4" t="n">
        <v>23</v>
      </c>
      <c r="B51" s="9" t="n">
        <v>0.0497</v>
      </c>
      <c r="C51" s="9" t="n">
        <v>0.0578</v>
      </c>
      <c r="D51" s="10" t="n">
        <f aca="false">(C51-B51)*10000</f>
        <v>81</v>
      </c>
      <c r="E51" s="11" t="n">
        <f aca="false">MAX(0,C51-B51)*(1-Parametros!$B$5)</f>
        <v>0.0081</v>
      </c>
      <c r="F51" s="11" t="n">
        <f aca="false">B51+E51*Parametros!$B$6</f>
        <v>0.0578</v>
      </c>
      <c r="G51" s="12" t="n">
        <f aca="false">(1+F51/2)^2-1</f>
        <v>0.0586352099999998</v>
      </c>
      <c r="H51" s="13" t="n">
        <f aca="false">(1+G51)^(-A51)</f>
        <v>0.269671038594438</v>
      </c>
      <c r="I51" s="11" t="n">
        <f aca="false">B51+E51*Parametros!$B$7</f>
        <v>0.0578</v>
      </c>
      <c r="J51" s="12" t="n">
        <f aca="false">(1+I51/2)^2-1</f>
        <v>0.0586352099999998</v>
      </c>
      <c r="K51" s="13" t="n">
        <f aca="false">(1+J51)^(-A51)</f>
        <v>0.269671038594438</v>
      </c>
      <c r="L51" s="11" t="n">
        <f aca="false">B51+E51*Parametros!$B$8</f>
        <v>0.0578</v>
      </c>
      <c r="M51" s="12" t="n">
        <f aca="false">(1+L51/2)^2-1</f>
        <v>0.0586352099999998</v>
      </c>
      <c r="N51" s="13" t="n">
        <f aca="false">(1+M51)^(-A51)</f>
        <v>0.269671038594438</v>
      </c>
    </row>
    <row r="52" customFormat="false" ht="15" hidden="false" customHeight="false" outlineLevel="0" collapsed="false">
      <c r="A52" s="4" t="n">
        <v>23.5</v>
      </c>
      <c r="B52" s="9" t="n">
        <v>0.0496</v>
      </c>
      <c r="C52" s="9" t="n">
        <v>0.0578</v>
      </c>
      <c r="D52" s="10" t="n">
        <f aca="false">(C52-B52)*10000</f>
        <v>82</v>
      </c>
      <c r="E52" s="11" t="n">
        <f aca="false">MAX(0,C52-B52)*(1-Parametros!$B$5)</f>
        <v>0.0082</v>
      </c>
      <c r="F52" s="11" t="n">
        <f aca="false">B52+E52*Parametros!$B$6</f>
        <v>0.0578</v>
      </c>
      <c r="G52" s="12" t="n">
        <f aca="false">(1+F52/2)^2-1</f>
        <v>0.0586352099999998</v>
      </c>
      <c r="H52" s="13" t="n">
        <f aca="false">(1+G52)^(-A52)</f>
        <v>0.262096451156028</v>
      </c>
      <c r="I52" s="11" t="n">
        <f aca="false">B52+E52*Parametros!$B$7</f>
        <v>0.0578</v>
      </c>
      <c r="J52" s="12" t="n">
        <f aca="false">(1+I52/2)^2-1</f>
        <v>0.0586352099999998</v>
      </c>
      <c r="K52" s="13" t="n">
        <f aca="false">(1+J52)^(-A52)</f>
        <v>0.262096451156028</v>
      </c>
      <c r="L52" s="11" t="n">
        <f aca="false">B52+E52*Parametros!$B$8</f>
        <v>0.0578</v>
      </c>
      <c r="M52" s="12" t="n">
        <f aca="false">(1+L52/2)^2-1</f>
        <v>0.0586352099999998</v>
      </c>
      <c r="N52" s="13" t="n">
        <f aca="false">(1+M52)^(-A52)</f>
        <v>0.262096451156028</v>
      </c>
    </row>
    <row r="53" customFormat="false" ht="15" hidden="false" customHeight="false" outlineLevel="0" collapsed="false">
      <c r="A53" s="4" t="n">
        <v>24</v>
      </c>
      <c r="B53" s="9" t="n">
        <v>0.0495</v>
      </c>
      <c r="C53" s="9" t="n">
        <v>0.0578</v>
      </c>
      <c r="D53" s="10" t="n">
        <f aca="false">(C53-B53)*10000</f>
        <v>82.9999999999999</v>
      </c>
      <c r="E53" s="11" t="n">
        <f aca="false">MAX(0,C53-B53)*(1-Parametros!$B$5)</f>
        <v>0.0083</v>
      </c>
      <c r="F53" s="11" t="n">
        <f aca="false">B53+E53*Parametros!$B$6</f>
        <v>0.0578</v>
      </c>
      <c r="G53" s="12" t="n">
        <f aca="false">(1+F53/2)^2-1</f>
        <v>0.0586352099999998</v>
      </c>
      <c r="H53" s="13" t="n">
        <f aca="false">(1+G53)^(-A53)</f>
        <v>0.254734620620107</v>
      </c>
      <c r="I53" s="11" t="n">
        <f aca="false">B53+E53*Parametros!$B$7</f>
        <v>0.0578</v>
      </c>
      <c r="J53" s="12" t="n">
        <f aca="false">(1+I53/2)^2-1</f>
        <v>0.0586352099999998</v>
      </c>
      <c r="K53" s="13" t="n">
        <f aca="false">(1+J53)^(-A53)</f>
        <v>0.254734620620107</v>
      </c>
      <c r="L53" s="11" t="n">
        <f aca="false">B53+E53*Parametros!$B$8</f>
        <v>0.0578</v>
      </c>
      <c r="M53" s="12" t="n">
        <f aca="false">(1+L53/2)^2-1</f>
        <v>0.0586352099999998</v>
      </c>
      <c r="N53" s="13" t="n">
        <f aca="false">(1+M53)^(-A53)</f>
        <v>0.254734620620107</v>
      </c>
    </row>
    <row r="54" customFormat="false" ht="15" hidden="false" customHeight="false" outlineLevel="0" collapsed="false">
      <c r="A54" s="4" t="n">
        <v>24.5</v>
      </c>
      <c r="B54" s="9" t="n">
        <v>0.0494</v>
      </c>
      <c r="C54" s="9" t="n">
        <v>0.0578</v>
      </c>
      <c r="D54" s="10" t="n">
        <f aca="false">(C54-B54)*10000</f>
        <v>84</v>
      </c>
      <c r="E54" s="11" t="n">
        <f aca="false">MAX(0,C54-B54)*(1-Parametros!$B$5)</f>
        <v>0.0084</v>
      </c>
      <c r="F54" s="11" t="n">
        <f aca="false">B54+E54*Parametros!$B$6</f>
        <v>0.0578</v>
      </c>
      <c r="G54" s="12" t="n">
        <f aca="false">(1+F54/2)^2-1</f>
        <v>0.0586352099999998</v>
      </c>
      <c r="H54" s="13" t="n">
        <f aca="false">(1+G54)^(-A54)</f>
        <v>0.247579571017696</v>
      </c>
      <c r="I54" s="11" t="n">
        <f aca="false">B54+E54*Parametros!$B$7</f>
        <v>0.0578</v>
      </c>
      <c r="J54" s="12" t="n">
        <f aca="false">(1+I54/2)^2-1</f>
        <v>0.0586352099999998</v>
      </c>
      <c r="K54" s="13" t="n">
        <f aca="false">(1+J54)^(-A54)</f>
        <v>0.247579571017696</v>
      </c>
      <c r="L54" s="11" t="n">
        <f aca="false">B54+E54*Parametros!$B$8</f>
        <v>0.0578</v>
      </c>
      <c r="M54" s="12" t="n">
        <f aca="false">(1+L54/2)^2-1</f>
        <v>0.0586352099999998</v>
      </c>
      <c r="N54" s="13" t="n">
        <f aca="false">(1+M54)^(-A54)</f>
        <v>0.247579571017696</v>
      </c>
    </row>
    <row r="55" customFormat="false" ht="15" hidden="false" customHeight="false" outlineLevel="0" collapsed="false">
      <c r="A55" s="4" t="n">
        <v>25</v>
      </c>
      <c r="B55" s="9" t="n">
        <v>0.0493</v>
      </c>
      <c r="C55" s="9" t="n">
        <v>0.0578</v>
      </c>
      <c r="D55" s="10" t="n">
        <f aca="false">(C55-B55)*10000</f>
        <v>85</v>
      </c>
      <c r="E55" s="11" t="n">
        <f aca="false">MAX(0,C55-B55)*(1-Parametros!$B$5)</f>
        <v>0.0085</v>
      </c>
      <c r="F55" s="11" t="n">
        <f aca="false">B55+E55*Parametros!$B$6</f>
        <v>0.0578</v>
      </c>
      <c r="G55" s="12" t="n">
        <f aca="false">(1+F55/2)^2-1</f>
        <v>0.0586352099999998</v>
      </c>
      <c r="H55" s="13" t="n">
        <f aca="false">(1+G55)^(-A55)</f>
        <v>0.240625494234324</v>
      </c>
      <c r="I55" s="11" t="n">
        <f aca="false">B55+E55*Parametros!$B$7</f>
        <v>0.0578</v>
      </c>
      <c r="J55" s="12" t="n">
        <f aca="false">(1+I55/2)^2-1</f>
        <v>0.0586352099999998</v>
      </c>
      <c r="K55" s="13" t="n">
        <f aca="false">(1+J55)^(-A55)</f>
        <v>0.240625494234324</v>
      </c>
      <c r="L55" s="11" t="n">
        <f aca="false">B55+E55*Parametros!$B$8</f>
        <v>0.0578</v>
      </c>
      <c r="M55" s="12" t="n">
        <f aca="false">(1+L55/2)^2-1</f>
        <v>0.0586352099999998</v>
      </c>
      <c r="N55" s="13" t="n">
        <f aca="false">(1+M55)^(-A55)</f>
        <v>0.240625494234324</v>
      </c>
    </row>
    <row r="56" customFormat="false" ht="15" hidden="false" customHeight="false" outlineLevel="0" collapsed="false">
      <c r="A56" s="4" t="n">
        <v>25.5</v>
      </c>
      <c r="B56" s="9" t="n">
        <v>0.0492</v>
      </c>
      <c r="C56" s="9" t="n">
        <v>0.0578</v>
      </c>
      <c r="D56" s="10" t="n">
        <f aca="false">(C56-B56)*10000</f>
        <v>86</v>
      </c>
      <c r="E56" s="11" t="n">
        <f aca="false">MAX(0,C56-B56)*(1-Parametros!$B$5)</f>
        <v>0.0086</v>
      </c>
      <c r="F56" s="11" t="n">
        <f aca="false">B56+E56*Parametros!$B$6</f>
        <v>0.0578</v>
      </c>
      <c r="G56" s="12" t="n">
        <f aca="false">(1+F56/2)^2-1</f>
        <v>0.0586352099999998</v>
      </c>
      <c r="H56" s="13" t="n">
        <f aca="false">(1+G56)^(-A56)</f>
        <v>0.23386674529529</v>
      </c>
      <c r="I56" s="11" t="n">
        <f aca="false">B56+E56*Parametros!$B$7</f>
        <v>0.0578</v>
      </c>
      <c r="J56" s="12" t="n">
        <f aca="false">(1+I56/2)^2-1</f>
        <v>0.0586352099999998</v>
      </c>
      <c r="K56" s="13" t="n">
        <f aca="false">(1+J56)^(-A56)</f>
        <v>0.23386674529529</v>
      </c>
      <c r="L56" s="11" t="n">
        <f aca="false">B56+E56*Parametros!$B$8</f>
        <v>0.0578</v>
      </c>
      <c r="M56" s="12" t="n">
        <f aca="false">(1+L56/2)^2-1</f>
        <v>0.0586352099999998</v>
      </c>
      <c r="N56" s="13" t="n">
        <f aca="false">(1+M56)^(-A56)</f>
        <v>0.23386674529529</v>
      </c>
    </row>
    <row r="57" customFormat="false" ht="15" hidden="false" customHeight="false" outlineLevel="0" collapsed="false">
      <c r="A57" s="4" t="n">
        <v>26</v>
      </c>
      <c r="B57" s="9" t="n">
        <v>0.049</v>
      </c>
      <c r="C57" s="9" t="n">
        <v>0.0578</v>
      </c>
      <c r="D57" s="10" t="n">
        <f aca="false">(C57-B57)*10000</f>
        <v>88</v>
      </c>
      <c r="E57" s="11" t="n">
        <f aca="false">MAX(0,C57-B57)*(1-Parametros!$B$5)</f>
        <v>0.0088</v>
      </c>
      <c r="F57" s="11" t="n">
        <f aca="false">B57+E57*Parametros!$B$6</f>
        <v>0.0578</v>
      </c>
      <c r="G57" s="12" t="n">
        <f aca="false">(1+F57/2)^2-1</f>
        <v>0.0586352099999998</v>
      </c>
      <c r="H57" s="13" t="n">
        <f aca="false">(1+G57)^(-A57)</f>
        <v>0.227297837783351</v>
      </c>
      <c r="I57" s="11" t="n">
        <f aca="false">B57+E57*Parametros!$B$7</f>
        <v>0.0578</v>
      </c>
      <c r="J57" s="12" t="n">
        <f aca="false">(1+I57/2)^2-1</f>
        <v>0.0586352099999998</v>
      </c>
      <c r="K57" s="13" t="n">
        <f aca="false">(1+J57)^(-A57)</f>
        <v>0.227297837783351</v>
      </c>
      <c r="L57" s="11" t="n">
        <f aca="false">B57+E57*Parametros!$B$8</f>
        <v>0.0578</v>
      </c>
      <c r="M57" s="12" t="n">
        <f aca="false">(1+L57/2)^2-1</f>
        <v>0.0586352099999998</v>
      </c>
      <c r="N57" s="13" t="n">
        <f aca="false">(1+M57)^(-A57)</f>
        <v>0.227297837783351</v>
      </c>
    </row>
    <row r="58" customFormat="false" ht="15" hidden="false" customHeight="false" outlineLevel="0" collapsed="false">
      <c r="A58" s="4" t="n">
        <v>26.5</v>
      </c>
      <c r="B58" s="9" t="n">
        <v>0.0489</v>
      </c>
      <c r="C58" s="9" t="n">
        <v>0.0578</v>
      </c>
      <c r="D58" s="10" t="n">
        <f aca="false">(C58-B58)*10000</f>
        <v>89</v>
      </c>
      <c r="E58" s="11" t="n">
        <f aca="false">MAX(0,C58-B58)*(1-Parametros!$B$5)</f>
        <v>0.0089</v>
      </c>
      <c r="F58" s="11" t="n">
        <f aca="false">B58+E58*Parametros!$B$6</f>
        <v>0.0578</v>
      </c>
      <c r="G58" s="12" t="n">
        <f aca="false">(1+F58/2)^2-1</f>
        <v>0.0586352099999998</v>
      </c>
      <c r="H58" s="13" t="n">
        <f aca="false">(1+G58)^(-A58)</f>
        <v>0.220913439385121</v>
      </c>
      <c r="I58" s="11" t="n">
        <f aca="false">B58+E58*Parametros!$B$7</f>
        <v>0.0578</v>
      </c>
      <c r="J58" s="12" t="n">
        <f aca="false">(1+I58/2)^2-1</f>
        <v>0.0586352099999998</v>
      </c>
      <c r="K58" s="13" t="n">
        <f aca="false">(1+J58)^(-A58)</f>
        <v>0.220913439385121</v>
      </c>
      <c r="L58" s="11" t="n">
        <f aca="false">B58+E58*Parametros!$B$8</f>
        <v>0.0578</v>
      </c>
      <c r="M58" s="12" t="n">
        <f aca="false">(1+L58/2)^2-1</f>
        <v>0.0586352099999998</v>
      </c>
      <c r="N58" s="13" t="n">
        <f aca="false">(1+M58)^(-A58)</f>
        <v>0.220913439385121</v>
      </c>
    </row>
    <row r="59" customFormat="false" ht="15" hidden="false" customHeight="false" outlineLevel="0" collapsed="false">
      <c r="A59" s="4" t="n">
        <v>27</v>
      </c>
      <c r="B59" s="9" t="n">
        <v>0.0488</v>
      </c>
      <c r="C59" s="9" t="n">
        <v>0.0578</v>
      </c>
      <c r="D59" s="10" t="n">
        <f aca="false">(C59-B59)*10000</f>
        <v>89.9999999999999</v>
      </c>
      <c r="E59" s="11" t="n">
        <f aca="false">MAX(0,C59-B59)*(1-Parametros!$B$5)</f>
        <v>0.00899999999999999</v>
      </c>
      <c r="F59" s="11" t="n">
        <f aca="false">B59+E59*Parametros!$B$6</f>
        <v>0.0578</v>
      </c>
      <c r="G59" s="12" t="n">
        <f aca="false">(1+F59/2)^2-1</f>
        <v>0.0586352099999998</v>
      </c>
      <c r="H59" s="13" t="n">
        <f aca="false">(1+G59)^(-A59)</f>
        <v>0.214708367562563</v>
      </c>
      <c r="I59" s="11" t="n">
        <f aca="false">B59+E59*Parametros!$B$7</f>
        <v>0.0578</v>
      </c>
      <c r="J59" s="12" t="n">
        <f aca="false">(1+I59/2)^2-1</f>
        <v>0.0586352099999998</v>
      </c>
      <c r="K59" s="13" t="n">
        <f aca="false">(1+J59)^(-A59)</f>
        <v>0.214708367562563</v>
      </c>
      <c r="L59" s="11" t="n">
        <f aca="false">B59+E59*Parametros!$B$8</f>
        <v>0.0578</v>
      </c>
      <c r="M59" s="12" t="n">
        <f aca="false">(1+L59/2)^2-1</f>
        <v>0.0586352099999998</v>
      </c>
      <c r="N59" s="13" t="n">
        <f aca="false">(1+M59)^(-A59)</f>
        <v>0.214708367562563</v>
      </c>
    </row>
    <row r="60" customFormat="false" ht="15" hidden="false" customHeight="false" outlineLevel="0" collapsed="false">
      <c r="A60" s="4" t="n">
        <v>27.5</v>
      </c>
      <c r="B60" s="9" t="n">
        <v>0.0487</v>
      </c>
      <c r="C60" s="9" t="n">
        <v>0.0578</v>
      </c>
      <c r="D60" s="10" t="n">
        <f aca="false">(C60-B60)*10000</f>
        <v>91</v>
      </c>
      <c r="E60" s="11" t="n">
        <f aca="false">MAX(0,C60-B60)*(1-Parametros!$B$5)</f>
        <v>0.0091</v>
      </c>
      <c r="F60" s="11" t="n">
        <f aca="false">B60+E60*Parametros!$B$6</f>
        <v>0.0578</v>
      </c>
      <c r="G60" s="12" t="n">
        <f aca="false">(1+F60/2)^2-1</f>
        <v>0.0586352099999998</v>
      </c>
      <c r="H60" s="13" t="n">
        <f aca="false">(1+G60)^(-A60)</f>
        <v>0.208677585346062</v>
      </c>
      <c r="I60" s="11" t="n">
        <f aca="false">B60+E60*Parametros!$B$7</f>
        <v>0.0578</v>
      </c>
      <c r="J60" s="12" t="n">
        <f aca="false">(1+I60/2)^2-1</f>
        <v>0.0586352099999998</v>
      </c>
      <c r="K60" s="13" t="n">
        <f aca="false">(1+J60)^(-A60)</f>
        <v>0.208677585346062</v>
      </c>
      <c r="L60" s="11" t="n">
        <f aca="false">B60+E60*Parametros!$B$8</f>
        <v>0.0578</v>
      </c>
      <c r="M60" s="12" t="n">
        <f aca="false">(1+L60/2)^2-1</f>
        <v>0.0586352099999998</v>
      </c>
      <c r="N60" s="13" t="n">
        <f aca="false">(1+M60)^(-A60)</f>
        <v>0.208677585346062</v>
      </c>
    </row>
    <row r="61" customFormat="false" ht="15" hidden="false" customHeight="false" outlineLevel="0" collapsed="false">
      <c r="A61" s="4" t="n">
        <v>28</v>
      </c>
      <c r="B61" s="9" t="n">
        <v>0.0487</v>
      </c>
      <c r="C61" s="9" t="n">
        <v>0.0578</v>
      </c>
      <c r="D61" s="10" t="n">
        <f aca="false">(C61-B61)*10000</f>
        <v>91</v>
      </c>
      <c r="E61" s="11" t="n">
        <f aca="false">MAX(0,C61-B61)*(1-Parametros!$B$5)</f>
        <v>0.0091</v>
      </c>
      <c r="F61" s="11" t="n">
        <f aca="false">B61+E61*Parametros!$B$6</f>
        <v>0.0578</v>
      </c>
      <c r="G61" s="12" t="n">
        <f aca="false">(1+F61/2)^2-1</f>
        <v>0.0586352099999998</v>
      </c>
      <c r="H61" s="13" t="n">
        <f aca="false">(1+G61)^(-A61)</f>
        <v>0.202816197245662</v>
      </c>
      <c r="I61" s="11" t="n">
        <f aca="false">B61+E61*Parametros!$B$7</f>
        <v>0.0578</v>
      </c>
      <c r="J61" s="12" t="n">
        <f aca="false">(1+I61/2)^2-1</f>
        <v>0.0586352099999998</v>
      </c>
      <c r="K61" s="13" t="n">
        <f aca="false">(1+J61)^(-A61)</f>
        <v>0.202816197245662</v>
      </c>
      <c r="L61" s="11" t="n">
        <f aca="false">B61+E61*Parametros!$B$8</f>
        <v>0.0578</v>
      </c>
      <c r="M61" s="12" t="n">
        <f aca="false">(1+L61/2)^2-1</f>
        <v>0.0586352099999998</v>
      </c>
      <c r="N61" s="13" t="n">
        <f aca="false">(1+M61)^(-A61)</f>
        <v>0.202816197245662</v>
      </c>
    </row>
    <row r="62" customFormat="false" ht="15" hidden="false" customHeight="false" outlineLevel="0" collapsed="false">
      <c r="A62" s="4" t="n">
        <v>28.5</v>
      </c>
      <c r="B62" s="9" t="n">
        <v>0.0486</v>
      </c>
      <c r="C62" s="9" t="n">
        <v>0.0579</v>
      </c>
      <c r="D62" s="10" t="n">
        <f aca="false">(C62-B62)*10000</f>
        <v>93</v>
      </c>
      <c r="E62" s="11" t="n">
        <f aca="false">MAX(0,C62-B62)*(1-Parametros!$B$5)</f>
        <v>0.0093</v>
      </c>
      <c r="F62" s="11" t="n">
        <f aca="false">B62+E62*Parametros!$B$6</f>
        <v>0.0579</v>
      </c>
      <c r="G62" s="12" t="n">
        <f aca="false">(1+F62/2)^2-1</f>
        <v>0.0587381025</v>
      </c>
      <c r="H62" s="13" t="n">
        <f aca="false">(1+G62)^(-A62)</f>
        <v>0.196574203310379</v>
      </c>
      <c r="I62" s="11" t="n">
        <f aca="false">B62+E62*Parametros!$B$7</f>
        <v>0.0579</v>
      </c>
      <c r="J62" s="12" t="n">
        <f aca="false">(1+I62/2)^2-1</f>
        <v>0.0587381025</v>
      </c>
      <c r="K62" s="13" t="n">
        <f aca="false">(1+J62)^(-A62)</f>
        <v>0.196574203310379</v>
      </c>
      <c r="L62" s="11" t="n">
        <f aca="false">B62+E62*Parametros!$B$8</f>
        <v>0.0579</v>
      </c>
      <c r="M62" s="12" t="n">
        <f aca="false">(1+L62/2)^2-1</f>
        <v>0.0587381025</v>
      </c>
      <c r="N62" s="13" t="n">
        <f aca="false">(1+M62)^(-A62)</f>
        <v>0.196574203310379</v>
      </c>
    </row>
    <row r="63" customFormat="false" ht="15" hidden="false" customHeight="false" outlineLevel="0" collapsed="false">
      <c r="A63" s="4" t="n">
        <v>29</v>
      </c>
      <c r="B63" s="9" t="n">
        <v>0.0486</v>
      </c>
      <c r="C63" s="9" t="n">
        <v>0.0579</v>
      </c>
      <c r="D63" s="10" t="n">
        <f aca="false">(C63-B63)*10000</f>
        <v>93</v>
      </c>
      <c r="E63" s="11" t="n">
        <f aca="false">MAX(0,C63-B63)*(1-Parametros!$B$5)</f>
        <v>0.0093</v>
      </c>
      <c r="F63" s="11" t="n">
        <f aca="false">B63+E63*Parametros!$B$6</f>
        <v>0.0579</v>
      </c>
      <c r="G63" s="12" t="n">
        <f aca="false">(1+F63/2)^2-1</f>
        <v>0.0587381025</v>
      </c>
      <c r="H63" s="13" t="n">
        <f aca="false">(1+G63)^(-A63)</f>
        <v>0.191043494154603</v>
      </c>
      <c r="I63" s="11" t="n">
        <f aca="false">B63+E63*Parametros!$B$7</f>
        <v>0.0579</v>
      </c>
      <c r="J63" s="12" t="n">
        <f aca="false">(1+I63/2)^2-1</f>
        <v>0.0587381025</v>
      </c>
      <c r="K63" s="13" t="n">
        <f aca="false">(1+J63)^(-A63)</f>
        <v>0.191043494154603</v>
      </c>
      <c r="L63" s="11" t="n">
        <f aca="false">B63+E63*Parametros!$B$8</f>
        <v>0.0579</v>
      </c>
      <c r="M63" s="12" t="n">
        <f aca="false">(1+L63/2)^2-1</f>
        <v>0.0587381025</v>
      </c>
      <c r="N63" s="13" t="n">
        <f aca="false">(1+M63)^(-A63)</f>
        <v>0.191043494154603</v>
      </c>
    </row>
    <row r="64" customFormat="false" ht="15" hidden="false" customHeight="false" outlineLevel="0" collapsed="false">
      <c r="A64" s="4" t="n">
        <v>29.5</v>
      </c>
      <c r="B64" s="9" t="n">
        <v>0.0486</v>
      </c>
      <c r="C64" s="9" t="n">
        <v>0.0579</v>
      </c>
      <c r="D64" s="10" t="n">
        <f aca="false">(C64-B64)*10000</f>
        <v>93</v>
      </c>
      <c r="E64" s="11" t="n">
        <f aca="false">MAX(0,C64-B64)*(1-Parametros!$B$5)</f>
        <v>0.0093</v>
      </c>
      <c r="F64" s="11" t="n">
        <f aca="false">B64+E64*Parametros!$B$6</f>
        <v>0.0579</v>
      </c>
      <c r="G64" s="12" t="n">
        <f aca="false">(1+F64/2)^2-1</f>
        <v>0.0587381025</v>
      </c>
      <c r="H64" s="13" t="n">
        <f aca="false">(1+G64)^(-A64)</f>
        <v>0.18566839414413</v>
      </c>
      <c r="I64" s="11" t="n">
        <f aca="false">B64+E64*Parametros!$B$7</f>
        <v>0.0579</v>
      </c>
      <c r="J64" s="12" t="n">
        <f aca="false">(1+I64/2)^2-1</f>
        <v>0.0587381025</v>
      </c>
      <c r="K64" s="13" t="n">
        <f aca="false">(1+J64)^(-A64)</f>
        <v>0.18566839414413</v>
      </c>
      <c r="L64" s="11" t="n">
        <f aca="false">B64+E64*Parametros!$B$8</f>
        <v>0.0579</v>
      </c>
      <c r="M64" s="12" t="n">
        <f aca="false">(1+L64/2)^2-1</f>
        <v>0.0587381025</v>
      </c>
      <c r="N64" s="13" t="n">
        <f aca="false">(1+M64)^(-A64)</f>
        <v>0.18566839414413</v>
      </c>
    </row>
    <row r="65" customFormat="false" ht="15" hidden="false" customHeight="false" outlineLevel="0" collapsed="false">
      <c r="A65" s="4" t="n">
        <v>30</v>
      </c>
      <c r="B65" s="9" t="n">
        <v>0.0486</v>
      </c>
      <c r="C65" s="9" t="n">
        <v>0.0579</v>
      </c>
      <c r="D65" s="10" t="n">
        <f aca="false">(C65-B65)*10000</f>
        <v>93</v>
      </c>
      <c r="E65" s="11" t="n">
        <f aca="false">MAX(0,C65-B65)*(1-Parametros!$B$5)</f>
        <v>0.0093</v>
      </c>
      <c r="F65" s="11" t="n">
        <f aca="false">B65+E65*Parametros!$B$6</f>
        <v>0.0579</v>
      </c>
      <c r="G65" s="12" t="n">
        <f aca="false">(1+F65/2)^2-1</f>
        <v>0.0587381025</v>
      </c>
      <c r="H65" s="13" t="n">
        <f aca="false">(1+G65)^(-A65)</f>
        <v>0.18044452514129</v>
      </c>
      <c r="I65" s="11" t="n">
        <f aca="false">B65+E65*Parametros!$B$7</f>
        <v>0.0579</v>
      </c>
      <c r="J65" s="12" t="n">
        <f aca="false">(1+I65/2)^2-1</f>
        <v>0.0587381025</v>
      </c>
      <c r="K65" s="13" t="n">
        <f aca="false">(1+J65)^(-A65)</f>
        <v>0.18044452514129</v>
      </c>
      <c r="L65" s="11" t="n">
        <f aca="false">B65+E65*Parametros!$B$8</f>
        <v>0.0579</v>
      </c>
      <c r="M65" s="12" t="n">
        <f aca="false">(1+L65/2)^2-1</f>
        <v>0.0587381025</v>
      </c>
      <c r="N65" s="13" t="n">
        <f aca="false">(1+M65)^(-A65)</f>
        <v>0.18044452514129</v>
      </c>
    </row>
    <row r="66" customFormat="false" ht="15" hidden="false" customHeight="false" outlineLevel="0" collapsed="false">
      <c r="A66" s="4" t="n">
        <v>30.5</v>
      </c>
      <c r="B66" s="9" t="n">
        <v>0.0487</v>
      </c>
      <c r="C66" s="9" t="n">
        <v>0.058</v>
      </c>
      <c r="D66" s="10" t="n">
        <f aca="false">(C66-B66)*10000</f>
        <v>93</v>
      </c>
      <c r="E66" s="11" t="n">
        <f aca="false">MAX(0,C66-B66)*(1-Parametros!$B$5)</f>
        <v>0.0093</v>
      </c>
      <c r="F66" s="11" t="n">
        <f aca="false">B66+E66*Parametros!$B$6</f>
        <v>0.058</v>
      </c>
      <c r="G66" s="12" t="n">
        <f aca="false">(1+F66/2)^2-1</f>
        <v>0.0588409999999999</v>
      </c>
      <c r="H66" s="13" t="n">
        <f aca="false">(1+G66)^(-A66)</f>
        <v>0.174848592027108</v>
      </c>
      <c r="I66" s="11" t="n">
        <f aca="false">B66+E66*Parametros!$B$7</f>
        <v>0.058</v>
      </c>
      <c r="J66" s="12" t="n">
        <f aca="false">(1+I66/2)^2-1</f>
        <v>0.0588409999999999</v>
      </c>
      <c r="K66" s="13" t="n">
        <f aca="false">(1+J66)^(-A66)</f>
        <v>0.174848592027108</v>
      </c>
      <c r="L66" s="11" t="n">
        <f aca="false">B66+E66*Parametros!$B$8</f>
        <v>0.058</v>
      </c>
      <c r="M66" s="12" t="n">
        <f aca="false">(1+L66/2)^2-1</f>
        <v>0.0588409999999999</v>
      </c>
      <c r="N66" s="13" t="n">
        <f aca="false">(1+M66)^(-A66)</f>
        <v>0.174848592027108</v>
      </c>
    </row>
    <row r="67" customFormat="false" ht="15" hidden="false" customHeight="false" outlineLevel="0" collapsed="false">
      <c r="A67" s="4" t="n">
        <v>31</v>
      </c>
      <c r="B67" s="9" t="n">
        <v>0.0487</v>
      </c>
      <c r="C67" s="9" t="n">
        <v>0.058</v>
      </c>
      <c r="D67" s="10" t="n">
        <f aca="false">(C67-B67)*10000</f>
        <v>93</v>
      </c>
      <c r="E67" s="11" t="n">
        <f aca="false">MAX(0,C67-B67)*(1-Parametros!$B$5)</f>
        <v>0.0093</v>
      </c>
      <c r="F67" s="11" t="n">
        <f aca="false">B67+E67*Parametros!$B$6</f>
        <v>0.058</v>
      </c>
      <c r="G67" s="12" t="n">
        <f aca="false">(1+F67/2)^2-1</f>
        <v>0.0588409999999999</v>
      </c>
      <c r="H67" s="13" t="n">
        <f aca="false">(1+G67)^(-A67)</f>
        <v>0.169920886323721</v>
      </c>
      <c r="I67" s="11" t="n">
        <f aca="false">B67+E67*Parametros!$B$7</f>
        <v>0.058</v>
      </c>
      <c r="J67" s="12" t="n">
        <f aca="false">(1+I67/2)^2-1</f>
        <v>0.0588409999999999</v>
      </c>
      <c r="K67" s="13" t="n">
        <f aca="false">(1+J67)^(-A67)</f>
        <v>0.169920886323721</v>
      </c>
      <c r="L67" s="11" t="n">
        <f aca="false">B67+E67*Parametros!$B$8</f>
        <v>0.058</v>
      </c>
      <c r="M67" s="12" t="n">
        <f aca="false">(1+L67/2)^2-1</f>
        <v>0.0588409999999999</v>
      </c>
      <c r="N67" s="13" t="n">
        <f aca="false">(1+M67)^(-A67)</f>
        <v>0.169920886323721</v>
      </c>
    </row>
    <row r="68" customFormat="false" ht="15" hidden="false" customHeight="false" outlineLevel="0" collapsed="false">
      <c r="A68" s="4" t="n">
        <v>31.5</v>
      </c>
      <c r="B68" s="9" t="n">
        <v>0.0488</v>
      </c>
      <c r="C68" s="9" t="n">
        <v>0.058</v>
      </c>
      <c r="D68" s="10" t="n">
        <f aca="false">(C68-B68)*10000</f>
        <v>92</v>
      </c>
      <c r="E68" s="11" t="n">
        <f aca="false">MAX(0,C68-B68)*(1-Parametros!$B$5)</f>
        <v>0.0092</v>
      </c>
      <c r="F68" s="11" t="n">
        <f aca="false">B68+E68*Parametros!$B$6</f>
        <v>0.058</v>
      </c>
      <c r="G68" s="12" t="n">
        <f aca="false">(1+F68/2)^2-1</f>
        <v>0.0588409999999999</v>
      </c>
      <c r="H68" s="13" t="n">
        <f aca="false">(1+G68)^(-A68)</f>
        <v>0.165132056680001</v>
      </c>
      <c r="I68" s="11" t="n">
        <f aca="false">B68+E68*Parametros!$B$7</f>
        <v>0.058</v>
      </c>
      <c r="J68" s="12" t="n">
        <f aca="false">(1+I68/2)^2-1</f>
        <v>0.0588409999999999</v>
      </c>
      <c r="K68" s="13" t="n">
        <f aca="false">(1+J68)^(-A68)</f>
        <v>0.165132056680001</v>
      </c>
      <c r="L68" s="11" t="n">
        <f aca="false">B68+E68*Parametros!$B$8</f>
        <v>0.058</v>
      </c>
      <c r="M68" s="12" t="n">
        <f aca="false">(1+L68/2)^2-1</f>
        <v>0.0588409999999999</v>
      </c>
      <c r="N68" s="13" t="n">
        <f aca="false">(1+M68)^(-A68)</f>
        <v>0.165132056680001</v>
      </c>
    </row>
    <row r="69" customFormat="false" ht="15" hidden="false" customHeight="false" outlineLevel="0" collapsed="false">
      <c r="A69" s="4" t="n">
        <v>32</v>
      </c>
      <c r="B69" s="9" t="n">
        <v>0.0488</v>
      </c>
      <c r="C69" s="9" t="n">
        <v>0.0581</v>
      </c>
      <c r="D69" s="10" t="n">
        <f aca="false">(C69-B69)*10000</f>
        <v>93</v>
      </c>
      <c r="E69" s="11" t="n">
        <f aca="false">MAX(0,C69-B69)*(1-Parametros!$B$5)</f>
        <v>0.0093</v>
      </c>
      <c r="F69" s="11" t="n">
        <f aca="false">B69+E69*Parametros!$B$6</f>
        <v>0.0581</v>
      </c>
      <c r="G69" s="12" t="n">
        <f aca="false">(1+F69/2)^2-1</f>
        <v>0.0589439025</v>
      </c>
      <c r="H69" s="13" t="n">
        <f aca="false">(1+G69)^(-A69)</f>
        <v>0.159979918927949</v>
      </c>
      <c r="I69" s="11" t="n">
        <f aca="false">B69+E69*Parametros!$B$7</f>
        <v>0.0581</v>
      </c>
      <c r="J69" s="12" t="n">
        <f aca="false">(1+I69/2)^2-1</f>
        <v>0.0589439025</v>
      </c>
      <c r="K69" s="13" t="n">
        <f aca="false">(1+J69)^(-A69)</f>
        <v>0.159979918927949</v>
      </c>
      <c r="L69" s="11" t="n">
        <f aca="false">B69+E69*Parametros!$B$8</f>
        <v>0.0581</v>
      </c>
      <c r="M69" s="12" t="n">
        <f aca="false">(1+L69/2)^2-1</f>
        <v>0.0589439025</v>
      </c>
      <c r="N69" s="13" t="n">
        <f aca="false">(1+M69)^(-A69)</f>
        <v>0.159979918927949</v>
      </c>
    </row>
    <row r="70" customFormat="false" ht="15" hidden="false" customHeight="false" outlineLevel="0" collapsed="false">
      <c r="A70" s="4" t="n">
        <v>32.5</v>
      </c>
      <c r="B70" s="9" t="n">
        <v>0.0489</v>
      </c>
      <c r="C70" s="9" t="n">
        <v>0.0581</v>
      </c>
      <c r="D70" s="10" t="n">
        <f aca="false">(C70-B70)*10000</f>
        <v>92</v>
      </c>
      <c r="E70" s="11" t="n">
        <f aca="false">MAX(0,C70-B70)*(1-Parametros!$B$5)</f>
        <v>0.0092</v>
      </c>
      <c r="F70" s="11" t="n">
        <f aca="false">B70+E70*Parametros!$B$6</f>
        <v>0.0581</v>
      </c>
      <c r="G70" s="12" t="n">
        <f aca="false">(1+F70/2)^2-1</f>
        <v>0.0589439025</v>
      </c>
      <c r="H70" s="13" t="n">
        <f aca="false">(1+G70)^(-A70)</f>
        <v>0.155463698486904</v>
      </c>
      <c r="I70" s="11" t="n">
        <f aca="false">B70+E70*Parametros!$B$7</f>
        <v>0.0581</v>
      </c>
      <c r="J70" s="12" t="n">
        <f aca="false">(1+I70/2)^2-1</f>
        <v>0.0589439025</v>
      </c>
      <c r="K70" s="13" t="n">
        <f aca="false">(1+J70)^(-A70)</f>
        <v>0.155463698486904</v>
      </c>
      <c r="L70" s="11" t="n">
        <f aca="false">B70+E70*Parametros!$B$8</f>
        <v>0.0581</v>
      </c>
      <c r="M70" s="12" t="n">
        <f aca="false">(1+L70/2)^2-1</f>
        <v>0.0589439025</v>
      </c>
      <c r="N70" s="13" t="n">
        <f aca="false">(1+M70)^(-A70)</f>
        <v>0.155463698486904</v>
      </c>
    </row>
    <row r="71" customFormat="false" ht="15" hidden="false" customHeight="false" outlineLevel="0" collapsed="false">
      <c r="A71" s="4" t="n">
        <v>33</v>
      </c>
      <c r="B71" s="9" t="n">
        <v>0.0489</v>
      </c>
      <c r="C71" s="9" t="n">
        <v>0.0581</v>
      </c>
      <c r="D71" s="10" t="n">
        <f aca="false">(C71-B71)*10000</f>
        <v>92</v>
      </c>
      <c r="E71" s="11" t="n">
        <f aca="false">MAX(0,C71-B71)*(1-Parametros!$B$5)</f>
        <v>0.0092</v>
      </c>
      <c r="F71" s="11" t="n">
        <f aca="false">B71+E71*Parametros!$B$6</f>
        <v>0.0581</v>
      </c>
      <c r="G71" s="12" t="n">
        <f aca="false">(1+F71/2)^2-1</f>
        <v>0.0589439025</v>
      </c>
      <c r="H71" s="13" t="n">
        <f aca="false">(1+G71)^(-A71)</f>
        <v>0.151074970591229</v>
      </c>
      <c r="I71" s="11" t="n">
        <f aca="false">B71+E71*Parametros!$B$7</f>
        <v>0.0581</v>
      </c>
      <c r="J71" s="12" t="n">
        <f aca="false">(1+I71/2)^2-1</f>
        <v>0.0589439025</v>
      </c>
      <c r="K71" s="13" t="n">
        <f aca="false">(1+J71)^(-A71)</f>
        <v>0.151074970591229</v>
      </c>
      <c r="L71" s="11" t="n">
        <f aca="false">B71+E71*Parametros!$B$8</f>
        <v>0.0581</v>
      </c>
      <c r="M71" s="12" t="n">
        <f aca="false">(1+L71/2)^2-1</f>
        <v>0.0589439025</v>
      </c>
      <c r="N71" s="13" t="n">
        <f aca="false">(1+M71)^(-A71)</f>
        <v>0.151074970591229</v>
      </c>
    </row>
    <row r="72" customFormat="false" ht="15" hidden="false" customHeight="false" outlineLevel="0" collapsed="false">
      <c r="A72" s="4" t="n">
        <v>33.5</v>
      </c>
      <c r="B72" s="9" t="n">
        <v>0.049</v>
      </c>
      <c r="C72" s="9" t="n">
        <v>0.0582</v>
      </c>
      <c r="D72" s="10" t="n">
        <f aca="false">(C72-B72)*10000</f>
        <v>92</v>
      </c>
      <c r="E72" s="11" t="n">
        <f aca="false">MAX(0,C72-B72)*(1-Parametros!$B$5)</f>
        <v>0.0092</v>
      </c>
      <c r="F72" s="11" t="n">
        <f aca="false">B72+E72*Parametros!$B$6</f>
        <v>0.0582</v>
      </c>
      <c r="G72" s="12" t="n">
        <f aca="false">(1+F72/2)^2-1</f>
        <v>0.0590468099999999</v>
      </c>
      <c r="H72" s="13" t="n">
        <f aca="false">(1+G72)^(-A72)</f>
        <v>0.146332994712711</v>
      </c>
      <c r="I72" s="11" t="n">
        <f aca="false">B72+E72*Parametros!$B$7</f>
        <v>0.0582</v>
      </c>
      <c r="J72" s="12" t="n">
        <f aca="false">(1+I72/2)^2-1</f>
        <v>0.0590468099999999</v>
      </c>
      <c r="K72" s="13" t="n">
        <f aca="false">(1+J72)^(-A72)</f>
        <v>0.146332994712711</v>
      </c>
      <c r="L72" s="11" t="n">
        <f aca="false">B72+E72*Parametros!$B$8</f>
        <v>0.0582</v>
      </c>
      <c r="M72" s="12" t="n">
        <f aca="false">(1+L72/2)^2-1</f>
        <v>0.0590468099999999</v>
      </c>
      <c r="N72" s="13" t="n">
        <f aca="false">(1+M72)^(-A72)</f>
        <v>0.146332994712711</v>
      </c>
    </row>
    <row r="73" customFormat="false" ht="15" hidden="false" customHeight="false" outlineLevel="0" collapsed="false">
      <c r="A73" s="4" t="n">
        <v>34</v>
      </c>
      <c r="B73" s="9" t="n">
        <v>0.049</v>
      </c>
      <c r="C73" s="9" t="n">
        <v>0.0582</v>
      </c>
      <c r="D73" s="10" t="n">
        <f aca="false">(C73-B73)*10000</f>
        <v>92</v>
      </c>
      <c r="E73" s="11" t="n">
        <f aca="false">MAX(0,C73-B73)*(1-Parametros!$B$5)</f>
        <v>0.0092</v>
      </c>
      <c r="F73" s="11" t="n">
        <f aca="false">B73+E73*Parametros!$B$6</f>
        <v>0.0582</v>
      </c>
      <c r="G73" s="12" t="n">
        <f aca="false">(1+F73/2)^2-1</f>
        <v>0.0590468099999999</v>
      </c>
      <c r="H73" s="13" t="n">
        <f aca="false">(1+G73)^(-A73)</f>
        <v>0.14219511681344</v>
      </c>
      <c r="I73" s="11" t="n">
        <f aca="false">B73+E73*Parametros!$B$7</f>
        <v>0.0582</v>
      </c>
      <c r="J73" s="12" t="n">
        <f aca="false">(1+I73/2)^2-1</f>
        <v>0.0590468099999999</v>
      </c>
      <c r="K73" s="13" t="n">
        <f aca="false">(1+J73)^(-A73)</f>
        <v>0.14219511681344</v>
      </c>
      <c r="L73" s="11" t="n">
        <f aca="false">B73+E73*Parametros!$B$8</f>
        <v>0.0582</v>
      </c>
      <c r="M73" s="12" t="n">
        <f aca="false">(1+L73/2)^2-1</f>
        <v>0.0590468099999999</v>
      </c>
      <c r="N73" s="13" t="n">
        <f aca="false">(1+M73)^(-A73)</f>
        <v>0.14219511681344</v>
      </c>
    </row>
    <row r="74" customFormat="false" ht="15" hidden="false" customHeight="false" outlineLevel="0" collapsed="false">
      <c r="A74" s="4" t="n">
        <v>34.5</v>
      </c>
      <c r="B74" s="9" t="n">
        <v>0.049</v>
      </c>
      <c r="C74" s="9" t="n">
        <v>0.0582</v>
      </c>
      <c r="D74" s="10" t="n">
        <f aca="false">(C74-B74)*10000</f>
        <v>92</v>
      </c>
      <c r="E74" s="11" t="n">
        <f aca="false">MAX(0,C74-B74)*(1-Parametros!$B$5)</f>
        <v>0.0092</v>
      </c>
      <c r="F74" s="11" t="n">
        <f aca="false">B74+E74*Parametros!$B$6</f>
        <v>0.0582</v>
      </c>
      <c r="G74" s="12" t="n">
        <f aca="false">(1+F74/2)^2-1</f>
        <v>0.0590468099999999</v>
      </c>
      <c r="H74" s="13" t="n">
        <f aca="false">(1+G74)^(-A74)</f>
        <v>0.138174246247634</v>
      </c>
      <c r="I74" s="11" t="n">
        <f aca="false">B74+E74*Parametros!$B$7</f>
        <v>0.0582</v>
      </c>
      <c r="J74" s="12" t="n">
        <f aca="false">(1+I74/2)^2-1</f>
        <v>0.0590468099999999</v>
      </c>
      <c r="K74" s="13" t="n">
        <f aca="false">(1+J74)^(-A74)</f>
        <v>0.138174246247634</v>
      </c>
      <c r="L74" s="11" t="n">
        <f aca="false">B74+E74*Parametros!$B$8</f>
        <v>0.0582</v>
      </c>
      <c r="M74" s="12" t="n">
        <f aca="false">(1+L74/2)^2-1</f>
        <v>0.0590468099999999</v>
      </c>
      <c r="N74" s="13" t="n">
        <f aca="false">(1+M74)^(-A74)</f>
        <v>0.138174246247634</v>
      </c>
    </row>
    <row r="75" customFormat="false" ht="15" hidden="false" customHeight="false" outlineLevel="0" collapsed="false">
      <c r="A75" s="4" t="n">
        <v>35</v>
      </c>
      <c r="B75" s="9" t="n">
        <v>0.0491</v>
      </c>
      <c r="C75" s="9" t="n">
        <v>0.0583</v>
      </c>
      <c r="D75" s="10" t="n">
        <f aca="false">(C75-B75)*10000</f>
        <v>92</v>
      </c>
      <c r="E75" s="11" t="n">
        <f aca="false">MAX(0,C75-B75)*(1-Parametros!$B$5)</f>
        <v>0.0092</v>
      </c>
      <c r="F75" s="11" t="n">
        <f aca="false">B75+E75*Parametros!$B$6</f>
        <v>0.0583</v>
      </c>
      <c r="G75" s="12" t="n">
        <f aca="false">(1+F75/2)^2-1</f>
        <v>0.0591497224999999</v>
      </c>
      <c r="H75" s="13" t="n">
        <f aca="false">(1+G75)^(-A75)</f>
        <v>0.13381121474128</v>
      </c>
      <c r="I75" s="11" t="n">
        <f aca="false">B75+E75*Parametros!$B$7</f>
        <v>0.0583</v>
      </c>
      <c r="J75" s="12" t="n">
        <f aca="false">(1+I75/2)^2-1</f>
        <v>0.0591497224999999</v>
      </c>
      <c r="K75" s="13" t="n">
        <f aca="false">(1+J75)^(-A75)</f>
        <v>0.13381121474128</v>
      </c>
      <c r="L75" s="11" t="n">
        <f aca="false">B75+E75*Parametros!$B$8</f>
        <v>0.0583</v>
      </c>
      <c r="M75" s="12" t="n">
        <f aca="false">(1+L75/2)^2-1</f>
        <v>0.0591497224999999</v>
      </c>
      <c r="N75" s="13" t="n">
        <f aca="false">(1+M75)^(-A75)</f>
        <v>0.13381121474128</v>
      </c>
    </row>
    <row r="76" customFormat="false" ht="15" hidden="false" customHeight="false" outlineLevel="0" collapsed="false">
      <c r="A76" s="4" t="n">
        <v>35.5</v>
      </c>
      <c r="B76" s="9" t="n">
        <v>0.0491</v>
      </c>
      <c r="C76" s="9" t="n">
        <v>0.0583</v>
      </c>
      <c r="D76" s="10" t="n">
        <f aca="false">(C76-B76)*10000</f>
        <v>92</v>
      </c>
      <c r="E76" s="11" t="n">
        <f aca="false">MAX(0,C76-B76)*(1-Parametros!$B$5)</f>
        <v>0.0092</v>
      </c>
      <c r="F76" s="11" t="n">
        <f aca="false">B76+E76*Parametros!$B$6</f>
        <v>0.0583</v>
      </c>
      <c r="G76" s="12" t="n">
        <f aca="false">(1+F76/2)^2-1</f>
        <v>0.0591497224999999</v>
      </c>
      <c r="H76" s="13" t="n">
        <f aca="false">(1+G76)^(-A76)</f>
        <v>0.130021099685449</v>
      </c>
      <c r="I76" s="11" t="n">
        <f aca="false">B76+E76*Parametros!$B$7</f>
        <v>0.0583</v>
      </c>
      <c r="J76" s="12" t="n">
        <f aca="false">(1+I76/2)^2-1</f>
        <v>0.0591497224999999</v>
      </c>
      <c r="K76" s="13" t="n">
        <f aca="false">(1+J76)^(-A76)</f>
        <v>0.130021099685449</v>
      </c>
      <c r="L76" s="11" t="n">
        <f aca="false">B76+E76*Parametros!$B$8</f>
        <v>0.0583</v>
      </c>
      <c r="M76" s="12" t="n">
        <f aca="false">(1+L76/2)^2-1</f>
        <v>0.0591497224999999</v>
      </c>
      <c r="N76" s="13" t="n">
        <f aca="false">(1+M76)^(-A76)</f>
        <v>0.130021099685449</v>
      </c>
    </row>
    <row r="77" customFormat="false" ht="15" hidden="false" customHeight="false" outlineLevel="0" collapsed="false">
      <c r="A77" s="4" t="n">
        <v>36</v>
      </c>
      <c r="B77" s="9" t="n">
        <v>0.0491</v>
      </c>
      <c r="C77" s="9" t="n">
        <v>0.0583</v>
      </c>
      <c r="D77" s="10" t="n">
        <f aca="false">(C77-B77)*10000</f>
        <v>92</v>
      </c>
      <c r="E77" s="11" t="n">
        <f aca="false">MAX(0,C77-B77)*(1-Parametros!$B$5)</f>
        <v>0.0092</v>
      </c>
      <c r="F77" s="11" t="n">
        <f aca="false">B77+E77*Parametros!$B$6</f>
        <v>0.0583</v>
      </c>
      <c r="G77" s="12" t="n">
        <f aca="false">(1+F77/2)^2-1</f>
        <v>0.0591497224999999</v>
      </c>
      <c r="H77" s="13" t="n">
        <f aca="false">(1+G77)^(-A77)</f>
        <v>0.126338337157314</v>
      </c>
      <c r="I77" s="11" t="n">
        <f aca="false">B77+E77*Parametros!$B$7</f>
        <v>0.0583</v>
      </c>
      <c r="J77" s="12" t="n">
        <f aca="false">(1+I77/2)^2-1</f>
        <v>0.0591497224999999</v>
      </c>
      <c r="K77" s="13" t="n">
        <f aca="false">(1+J77)^(-A77)</f>
        <v>0.126338337157314</v>
      </c>
      <c r="L77" s="11" t="n">
        <f aca="false">B77+E77*Parametros!$B$8</f>
        <v>0.0583</v>
      </c>
      <c r="M77" s="12" t="n">
        <f aca="false">(1+L77/2)^2-1</f>
        <v>0.0591497224999999</v>
      </c>
      <c r="N77" s="13" t="n">
        <f aca="false">(1+M77)^(-A77)</f>
        <v>0.126338337157314</v>
      </c>
    </row>
    <row r="78" customFormat="false" ht="15" hidden="false" customHeight="false" outlineLevel="0" collapsed="false">
      <c r="A78" s="4" t="n">
        <v>36.5</v>
      </c>
      <c r="B78" s="9" t="n">
        <v>0.0492</v>
      </c>
      <c r="C78" s="9" t="n">
        <v>0.0583</v>
      </c>
      <c r="D78" s="10" t="n">
        <f aca="false">(C78-B78)*10000</f>
        <v>91</v>
      </c>
      <c r="E78" s="11" t="n">
        <f aca="false">MAX(0,C78-B78)*(1-Parametros!$B$5)</f>
        <v>0.0091</v>
      </c>
      <c r="F78" s="11" t="n">
        <f aca="false">B78+E78*Parametros!$B$6</f>
        <v>0.0583</v>
      </c>
      <c r="G78" s="12" t="n">
        <f aca="false">(1+F78/2)^2-1</f>
        <v>0.0591497224999999</v>
      </c>
      <c r="H78" s="13" t="n">
        <f aca="false">(1+G78)^(-A78)</f>
        <v>0.122759886466806</v>
      </c>
      <c r="I78" s="11" t="n">
        <f aca="false">B78+E78*Parametros!$B$7</f>
        <v>0.0583</v>
      </c>
      <c r="J78" s="12" t="n">
        <f aca="false">(1+I78/2)^2-1</f>
        <v>0.0591497224999999</v>
      </c>
      <c r="K78" s="13" t="n">
        <f aca="false">(1+J78)^(-A78)</f>
        <v>0.122759886466806</v>
      </c>
      <c r="L78" s="11" t="n">
        <f aca="false">B78+E78*Parametros!$B$8</f>
        <v>0.0583</v>
      </c>
      <c r="M78" s="12" t="n">
        <f aca="false">(1+L78/2)^2-1</f>
        <v>0.0591497224999999</v>
      </c>
      <c r="N78" s="13" t="n">
        <f aca="false">(1+M78)^(-A78)</f>
        <v>0.122759886466806</v>
      </c>
    </row>
    <row r="79" customFormat="false" ht="15" hidden="false" customHeight="false" outlineLevel="0" collapsed="false">
      <c r="A79" s="4" t="n">
        <v>37</v>
      </c>
      <c r="B79" s="9" t="n">
        <v>0.0492</v>
      </c>
      <c r="C79" s="9" t="n">
        <v>0.0584</v>
      </c>
      <c r="D79" s="10" t="n">
        <f aca="false">(C79-B79)*10000</f>
        <v>92</v>
      </c>
      <c r="E79" s="11" t="n">
        <f aca="false">MAX(0,C79-B79)*(1-Parametros!$B$5)</f>
        <v>0.0092</v>
      </c>
      <c r="F79" s="11" t="n">
        <f aca="false">B79+E79*Parametros!$B$6</f>
        <v>0.0584</v>
      </c>
      <c r="G79" s="12" t="n">
        <f aca="false">(1+F79/2)^2-1</f>
        <v>0.0592526399999997</v>
      </c>
      <c r="H79" s="13" t="n">
        <f aca="false">(1+G79)^(-A79)</f>
        <v>0.118854727910489</v>
      </c>
      <c r="I79" s="11" t="n">
        <f aca="false">B79+E79*Parametros!$B$7</f>
        <v>0.0584</v>
      </c>
      <c r="J79" s="12" t="n">
        <f aca="false">(1+I79/2)^2-1</f>
        <v>0.0592526399999997</v>
      </c>
      <c r="K79" s="13" t="n">
        <f aca="false">(1+J79)^(-A79)</f>
        <v>0.118854727910489</v>
      </c>
      <c r="L79" s="11" t="n">
        <f aca="false">B79+E79*Parametros!$B$8</f>
        <v>0.0584</v>
      </c>
      <c r="M79" s="12" t="n">
        <f aca="false">(1+L79/2)^2-1</f>
        <v>0.0592526399999997</v>
      </c>
      <c r="N79" s="13" t="n">
        <f aca="false">(1+M79)^(-A79)</f>
        <v>0.118854727910489</v>
      </c>
    </row>
    <row r="80" customFormat="false" ht="15" hidden="false" customHeight="false" outlineLevel="0" collapsed="false">
      <c r="A80" s="4" t="n">
        <v>37.5</v>
      </c>
      <c r="B80" s="9" t="n">
        <v>0.0492</v>
      </c>
      <c r="C80" s="9" t="n">
        <v>0.0584</v>
      </c>
      <c r="D80" s="10" t="n">
        <f aca="false">(C80-B80)*10000</f>
        <v>92</v>
      </c>
      <c r="E80" s="11" t="n">
        <f aca="false">MAX(0,C80-B80)*(1-Parametros!$B$5)</f>
        <v>0.0092</v>
      </c>
      <c r="F80" s="11" t="n">
        <f aca="false">B80+E80*Parametros!$B$6</f>
        <v>0.0584</v>
      </c>
      <c r="G80" s="12" t="n">
        <f aca="false">(1+F80/2)^2-1</f>
        <v>0.0592526399999997</v>
      </c>
      <c r="H80" s="13" t="n">
        <f aca="false">(1+G80)^(-A80)</f>
        <v>0.115482634969383</v>
      </c>
      <c r="I80" s="11" t="n">
        <f aca="false">B80+E80*Parametros!$B$7</f>
        <v>0.0584</v>
      </c>
      <c r="J80" s="12" t="n">
        <f aca="false">(1+I80/2)^2-1</f>
        <v>0.0592526399999997</v>
      </c>
      <c r="K80" s="13" t="n">
        <f aca="false">(1+J80)^(-A80)</f>
        <v>0.115482634969383</v>
      </c>
      <c r="L80" s="11" t="n">
        <f aca="false">B80+E80*Parametros!$B$8</f>
        <v>0.0584</v>
      </c>
      <c r="M80" s="12" t="n">
        <f aca="false">(1+L80/2)^2-1</f>
        <v>0.0592526399999997</v>
      </c>
      <c r="N80" s="13" t="n">
        <f aca="false">(1+M80)^(-A80)</f>
        <v>0.115482634969383</v>
      </c>
    </row>
    <row r="81" customFormat="false" ht="15" hidden="false" customHeight="false" outlineLevel="0" collapsed="false">
      <c r="A81" s="4" t="n">
        <v>38</v>
      </c>
      <c r="B81" s="9" t="n">
        <v>0.0493</v>
      </c>
      <c r="C81" s="9" t="n">
        <v>0.0584</v>
      </c>
      <c r="D81" s="10" t="n">
        <f aca="false">(C81-B81)*10000</f>
        <v>91</v>
      </c>
      <c r="E81" s="11" t="n">
        <f aca="false">MAX(0,C81-B81)*(1-Parametros!$B$5)</f>
        <v>0.0091</v>
      </c>
      <c r="F81" s="11" t="n">
        <f aca="false">B81+E81*Parametros!$B$6</f>
        <v>0.0584</v>
      </c>
      <c r="G81" s="12" t="n">
        <f aca="false">(1+F81/2)^2-1</f>
        <v>0.0592526399999997</v>
      </c>
      <c r="H81" s="13" t="n">
        <f aca="false">(1+G81)^(-A81)</f>
        <v>0.112206213534185</v>
      </c>
      <c r="I81" s="11" t="n">
        <f aca="false">B81+E81*Parametros!$B$7</f>
        <v>0.0584</v>
      </c>
      <c r="J81" s="12" t="n">
        <f aca="false">(1+I81/2)^2-1</f>
        <v>0.0592526399999997</v>
      </c>
      <c r="K81" s="13" t="n">
        <f aca="false">(1+J81)^(-A81)</f>
        <v>0.112206213534185</v>
      </c>
      <c r="L81" s="11" t="n">
        <f aca="false">B81+E81*Parametros!$B$8</f>
        <v>0.0584</v>
      </c>
      <c r="M81" s="12" t="n">
        <f aca="false">(1+L81/2)^2-1</f>
        <v>0.0592526399999997</v>
      </c>
      <c r="N81" s="13" t="n">
        <f aca="false">(1+M81)^(-A81)</f>
        <v>0.112206213534185</v>
      </c>
    </row>
    <row r="82" customFormat="false" ht="15" hidden="false" customHeight="false" outlineLevel="0" collapsed="false">
      <c r="A82" s="4" t="n">
        <v>38.5</v>
      </c>
      <c r="B82" s="9" t="n">
        <v>0.0493</v>
      </c>
      <c r="C82" s="9" t="n">
        <v>0.0584</v>
      </c>
      <c r="D82" s="10" t="n">
        <f aca="false">(C82-B82)*10000</f>
        <v>91</v>
      </c>
      <c r="E82" s="11" t="n">
        <f aca="false">MAX(0,C82-B82)*(1-Parametros!$B$5)</f>
        <v>0.0091</v>
      </c>
      <c r="F82" s="11" t="n">
        <f aca="false">B82+E82*Parametros!$B$6</f>
        <v>0.0584</v>
      </c>
      <c r="G82" s="12" t="n">
        <f aca="false">(1+F82/2)^2-1</f>
        <v>0.0592526399999997</v>
      </c>
      <c r="H82" s="13" t="n">
        <f aca="false">(1+G82)^(-A82)</f>
        <v>0.109022749255913</v>
      </c>
      <c r="I82" s="11" t="n">
        <f aca="false">B82+E82*Parametros!$B$7</f>
        <v>0.0584</v>
      </c>
      <c r="J82" s="12" t="n">
        <f aca="false">(1+I82/2)^2-1</f>
        <v>0.0592526399999997</v>
      </c>
      <c r="K82" s="13" t="n">
        <f aca="false">(1+J82)^(-A82)</f>
        <v>0.109022749255913</v>
      </c>
      <c r="L82" s="11" t="n">
        <f aca="false">B82+E82*Parametros!$B$8</f>
        <v>0.0584</v>
      </c>
      <c r="M82" s="12" t="n">
        <f aca="false">(1+L82/2)^2-1</f>
        <v>0.0592526399999997</v>
      </c>
      <c r="N82" s="13" t="n">
        <f aca="false">(1+M82)^(-A82)</f>
        <v>0.109022749255913</v>
      </c>
    </row>
    <row r="83" customFormat="false" ht="15" hidden="false" customHeight="false" outlineLevel="0" collapsed="false">
      <c r="A83" s="4" t="n">
        <v>39</v>
      </c>
      <c r="B83" s="9" t="n">
        <v>0.0493</v>
      </c>
      <c r="C83" s="9" t="n">
        <v>0.0585</v>
      </c>
      <c r="D83" s="10" t="n">
        <f aca="false">(C83-B83)*10000</f>
        <v>92.0000000000001</v>
      </c>
      <c r="E83" s="11" t="n">
        <f aca="false">MAX(0,C83-B83)*(1-Parametros!$B$5)</f>
        <v>0.00920000000000001</v>
      </c>
      <c r="F83" s="11" t="n">
        <f aca="false">B83+E83*Parametros!$B$6</f>
        <v>0.0585</v>
      </c>
      <c r="G83" s="12" t="n">
        <f aca="false">(1+F83/2)^2-1</f>
        <v>0.0593555625</v>
      </c>
      <c r="H83" s="13" t="n">
        <f aca="false">(1+G83)^(-A83)</f>
        <v>0.105528969631716</v>
      </c>
      <c r="I83" s="11" t="n">
        <f aca="false">B83+E83*Parametros!$B$7</f>
        <v>0.0585</v>
      </c>
      <c r="J83" s="12" t="n">
        <f aca="false">(1+I83/2)^2-1</f>
        <v>0.0593555625</v>
      </c>
      <c r="K83" s="13" t="n">
        <f aca="false">(1+J83)^(-A83)</f>
        <v>0.105528969631716</v>
      </c>
      <c r="L83" s="11" t="n">
        <f aca="false">B83+E83*Parametros!$B$8</f>
        <v>0.0585</v>
      </c>
      <c r="M83" s="12" t="n">
        <f aca="false">(1+L83/2)^2-1</f>
        <v>0.0593555625</v>
      </c>
      <c r="N83" s="13" t="n">
        <f aca="false">(1+M83)^(-A83)</f>
        <v>0.105528969631716</v>
      </c>
    </row>
    <row r="84" customFormat="false" ht="15" hidden="false" customHeight="false" outlineLevel="0" collapsed="false">
      <c r="A84" s="4" t="n">
        <v>39.5</v>
      </c>
      <c r="B84" s="9" t="n">
        <v>0.0494</v>
      </c>
      <c r="C84" s="9" t="n">
        <v>0.0585</v>
      </c>
      <c r="D84" s="10" t="n">
        <f aca="false">(C84-B84)*10000</f>
        <v>91</v>
      </c>
      <c r="E84" s="11" t="n">
        <f aca="false">MAX(0,C84-B84)*(1-Parametros!$B$5)</f>
        <v>0.0091</v>
      </c>
      <c r="F84" s="11" t="n">
        <f aca="false">B84+E84*Parametros!$B$6</f>
        <v>0.0585</v>
      </c>
      <c r="G84" s="12" t="n">
        <f aca="false">(1+F84/2)^2-1</f>
        <v>0.0593555625</v>
      </c>
      <c r="H84" s="13" t="n">
        <f aca="false">(1+G84)^(-A84)</f>
        <v>0.102529968065791</v>
      </c>
      <c r="I84" s="11" t="n">
        <f aca="false">B84+E84*Parametros!$B$7</f>
        <v>0.0585</v>
      </c>
      <c r="J84" s="12" t="n">
        <f aca="false">(1+I84/2)^2-1</f>
        <v>0.0593555625</v>
      </c>
      <c r="K84" s="13" t="n">
        <f aca="false">(1+J84)^(-A84)</f>
        <v>0.102529968065791</v>
      </c>
      <c r="L84" s="11" t="n">
        <f aca="false">B84+E84*Parametros!$B$8</f>
        <v>0.0585</v>
      </c>
      <c r="M84" s="12" t="n">
        <f aca="false">(1+L84/2)^2-1</f>
        <v>0.0593555625</v>
      </c>
      <c r="N84" s="13" t="n">
        <f aca="false">(1+M84)^(-A84)</f>
        <v>0.102529968065791</v>
      </c>
    </row>
    <row r="85" customFormat="false" ht="15" hidden="false" customHeight="false" outlineLevel="0" collapsed="false">
      <c r="A85" s="4" t="n">
        <v>40</v>
      </c>
      <c r="B85" s="9" t="n">
        <v>0.0494</v>
      </c>
      <c r="C85" s="9" t="n">
        <v>0.0585</v>
      </c>
      <c r="D85" s="10" t="n">
        <f aca="false">(C85-B85)*10000</f>
        <v>91</v>
      </c>
      <c r="E85" s="11" t="n">
        <f aca="false">MAX(0,C85-B85)*(1-Parametros!$B$5)</f>
        <v>0.0091</v>
      </c>
      <c r="F85" s="11" t="n">
        <f aca="false">B85+E85*Parametros!$B$6</f>
        <v>0.0585</v>
      </c>
      <c r="G85" s="12" t="n">
        <f aca="false">(1+F85/2)^2-1</f>
        <v>0.0593555625</v>
      </c>
      <c r="H85" s="13" t="n">
        <f aca="false">(1+G85)^(-A85)</f>
        <v>0.0996161943801712</v>
      </c>
      <c r="I85" s="11" t="n">
        <f aca="false">B85+E85*Parametros!$B$7</f>
        <v>0.0585</v>
      </c>
      <c r="J85" s="12" t="n">
        <f aca="false">(1+I85/2)^2-1</f>
        <v>0.0593555625</v>
      </c>
      <c r="K85" s="13" t="n">
        <f aca="false">(1+J85)^(-A85)</f>
        <v>0.0996161943801712</v>
      </c>
      <c r="L85" s="11" t="n">
        <f aca="false">B85+E85*Parametros!$B$8</f>
        <v>0.0585</v>
      </c>
      <c r="M85" s="12" t="n">
        <f aca="false">(1+L85/2)^2-1</f>
        <v>0.0593555625</v>
      </c>
      <c r="N85" s="13" t="n">
        <f aca="false">(1+M85)^(-A85)</f>
        <v>0.0996161943801712</v>
      </c>
    </row>
    <row r="86" customFormat="false" ht="15" hidden="false" customHeight="false" outlineLevel="0" collapsed="false">
      <c r="A86" s="4" t="n">
        <v>40.5</v>
      </c>
      <c r="B86" s="9" t="n">
        <v>0.0494</v>
      </c>
      <c r="C86" s="9" t="n">
        <v>0.0585</v>
      </c>
      <c r="D86" s="10" t="n">
        <f aca="false">(C86-B86)*10000</f>
        <v>91</v>
      </c>
      <c r="E86" s="11" t="n">
        <f aca="false">MAX(0,C86-B86)*(1-Parametros!$B$5)</f>
        <v>0.0091</v>
      </c>
      <c r="F86" s="11" t="n">
        <f aca="false">B86+E86*Parametros!$B$6</f>
        <v>0.0585</v>
      </c>
      <c r="G86" s="12" t="n">
        <f aca="false">(1+F86/2)^2-1</f>
        <v>0.0593555625</v>
      </c>
      <c r="H86" s="13" t="n">
        <f aca="false">(1+G86)^(-A86)</f>
        <v>0.0967852265049028</v>
      </c>
      <c r="I86" s="11" t="n">
        <f aca="false">B86+E86*Parametros!$B$7</f>
        <v>0.0585</v>
      </c>
      <c r="J86" s="12" t="n">
        <f aca="false">(1+I86/2)^2-1</f>
        <v>0.0593555625</v>
      </c>
      <c r="K86" s="13" t="n">
        <f aca="false">(1+J86)^(-A86)</f>
        <v>0.0967852265049028</v>
      </c>
      <c r="L86" s="11" t="n">
        <f aca="false">B86+E86*Parametros!$B$8</f>
        <v>0.0585</v>
      </c>
      <c r="M86" s="12" t="n">
        <f aca="false">(1+L86/2)^2-1</f>
        <v>0.0593555625</v>
      </c>
      <c r="N86" s="13" t="n">
        <f aca="false">(1+M86)^(-A86)</f>
        <v>0.0967852265049028</v>
      </c>
    </row>
    <row r="87" customFormat="false" ht="15" hidden="false" customHeight="false" outlineLevel="0" collapsed="false">
      <c r="A87" s="4" t="n">
        <v>41</v>
      </c>
      <c r="B87" s="9" t="n">
        <v>0.0494</v>
      </c>
      <c r="C87" s="9" t="n">
        <v>0.0585</v>
      </c>
      <c r="D87" s="10" t="n">
        <f aca="false">(C87-B87)*10000</f>
        <v>91</v>
      </c>
      <c r="E87" s="11" t="n">
        <f aca="false">MAX(0,C87-B87)*(1-Parametros!$B$5)</f>
        <v>0.0091</v>
      </c>
      <c r="F87" s="11" t="n">
        <f aca="false">B87+E87*Parametros!$B$6</f>
        <v>0.0585</v>
      </c>
      <c r="G87" s="12" t="n">
        <f aca="false">(1+F87/2)^2-1</f>
        <v>0.0593555625</v>
      </c>
      <c r="H87" s="13" t="n">
        <f aca="false">(1+G87)^(-A87)</f>
        <v>0.0940347112022373</v>
      </c>
      <c r="I87" s="11" t="n">
        <f aca="false">B87+E87*Parametros!$B$7</f>
        <v>0.0585</v>
      </c>
      <c r="J87" s="12" t="n">
        <f aca="false">(1+I87/2)^2-1</f>
        <v>0.0593555625</v>
      </c>
      <c r="K87" s="13" t="n">
        <f aca="false">(1+J87)^(-A87)</f>
        <v>0.0940347112022373</v>
      </c>
      <c r="L87" s="11" t="n">
        <f aca="false">B87+E87*Parametros!$B$8</f>
        <v>0.0585</v>
      </c>
      <c r="M87" s="12" t="n">
        <f aca="false">(1+L87/2)^2-1</f>
        <v>0.0593555625</v>
      </c>
      <c r="N87" s="13" t="n">
        <f aca="false">(1+M87)^(-A87)</f>
        <v>0.0940347112022373</v>
      </c>
    </row>
    <row r="88" customFormat="false" ht="15" hidden="false" customHeight="false" outlineLevel="0" collapsed="false">
      <c r="A88" s="4" t="n">
        <v>41.5</v>
      </c>
      <c r="B88" s="9" t="n">
        <v>0.0495</v>
      </c>
      <c r="C88" s="9" t="n">
        <v>0.0586</v>
      </c>
      <c r="D88" s="10" t="n">
        <f aca="false">(C88-B88)*10000</f>
        <v>91</v>
      </c>
      <c r="E88" s="11" t="n">
        <f aca="false">MAX(0,C88-B88)*(1-Parametros!$B$5)</f>
        <v>0.0091</v>
      </c>
      <c r="F88" s="11" t="n">
        <f aca="false">B88+E88*Parametros!$B$6</f>
        <v>0.0586</v>
      </c>
      <c r="G88" s="12" t="n">
        <f aca="false">(1+F88/2)^2-1</f>
        <v>0.0594584900000001</v>
      </c>
      <c r="H88" s="13" t="n">
        <f aca="false">(1+G88)^(-A88)</f>
        <v>0.0909947339627204</v>
      </c>
      <c r="I88" s="11" t="n">
        <f aca="false">B88+E88*Parametros!$B$7</f>
        <v>0.0586</v>
      </c>
      <c r="J88" s="12" t="n">
        <f aca="false">(1+I88/2)^2-1</f>
        <v>0.0594584900000001</v>
      </c>
      <c r="K88" s="13" t="n">
        <f aca="false">(1+J88)^(-A88)</f>
        <v>0.0909947339627204</v>
      </c>
      <c r="L88" s="11" t="n">
        <f aca="false">B88+E88*Parametros!$B$8</f>
        <v>0.0586</v>
      </c>
      <c r="M88" s="12" t="n">
        <f aca="false">(1+L88/2)^2-1</f>
        <v>0.0594584900000001</v>
      </c>
      <c r="N88" s="13" t="n">
        <f aca="false">(1+M88)^(-A88)</f>
        <v>0.0909947339627204</v>
      </c>
    </row>
    <row r="89" customFormat="false" ht="15" hidden="false" customHeight="false" outlineLevel="0" collapsed="false">
      <c r="A89" s="4" t="n">
        <v>42</v>
      </c>
      <c r="B89" s="9" t="n">
        <v>0.0495</v>
      </c>
      <c r="C89" s="9" t="n">
        <v>0.0586</v>
      </c>
      <c r="D89" s="10" t="n">
        <f aca="false">(C89-B89)*10000</f>
        <v>91</v>
      </c>
      <c r="E89" s="11" t="n">
        <f aca="false">MAX(0,C89-B89)*(1-Parametros!$B$5)</f>
        <v>0.0091</v>
      </c>
      <c r="F89" s="11" t="n">
        <f aca="false">B89+E89*Parametros!$B$6</f>
        <v>0.0586</v>
      </c>
      <c r="G89" s="12" t="n">
        <f aca="false">(1+F89/2)^2-1</f>
        <v>0.0594584900000001</v>
      </c>
      <c r="H89" s="13" t="n">
        <f aca="false">(1+G89)^(-A89)</f>
        <v>0.0884044826218988</v>
      </c>
      <c r="I89" s="11" t="n">
        <f aca="false">B89+E89*Parametros!$B$7</f>
        <v>0.0586</v>
      </c>
      <c r="J89" s="12" t="n">
        <f aca="false">(1+I89/2)^2-1</f>
        <v>0.0594584900000001</v>
      </c>
      <c r="K89" s="13" t="n">
        <f aca="false">(1+J89)^(-A89)</f>
        <v>0.0884044826218988</v>
      </c>
      <c r="L89" s="11" t="n">
        <f aca="false">B89+E89*Parametros!$B$8</f>
        <v>0.0586</v>
      </c>
      <c r="M89" s="12" t="n">
        <f aca="false">(1+L89/2)^2-1</f>
        <v>0.0594584900000001</v>
      </c>
      <c r="N89" s="13" t="n">
        <f aca="false">(1+M89)^(-A89)</f>
        <v>0.0884044826218988</v>
      </c>
    </row>
    <row r="90" customFormat="false" ht="15" hidden="false" customHeight="false" outlineLevel="0" collapsed="false">
      <c r="A90" s="4" t="n">
        <v>42.5</v>
      </c>
      <c r="B90" s="9" t="n">
        <v>0.0495</v>
      </c>
      <c r="C90" s="9" t="n">
        <v>0.0586</v>
      </c>
      <c r="D90" s="10" t="n">
        <f aca="false">(C90-B90)*10000</f>
        <v>91</v>
      </c>
      <c r="E90" s="11" t="n">
        <f aca="false">MAX(0,C90-B90)*(1-Parametros!$B$5)</f>
        <v>0.0091</v>
      </c>
      <c r="F90" s="11" t="n">
        <f aca="false">B90+E90*Parametros!$B$6</f>
        <v>0.0586</v>
      </c>
      <c r="G90" s="12" t="n">
        <f aca="false">(1+F90/2)^2-1</f>
        <v>0.0594584900000001</v>
      </c>
      <c r="H90" s="13" t="n">
        <f aca="false">(1+G90)^(-A90)</f>
        <v>0.0858879652403564</v>
      </c>
      <c r="I90" s="11" t="n">
        <f aca="false">B90+E90*Parametros!$B$7</f>
        <v>0.0586</v>
      </c>
      <c r="J90" s="12" t="n">
        <f aca="false">(1+I90/2)^2-1</f>
        <v>0.0594584900000001</v>
      </c>
      <c r="K90" s="13" t="n">
        <f aca="false">(1+J90)^(-A90)</f>
        <v>0.0858879652403564</v>
      </c>
      <c r="L90" s="11" t="n">
        <f aca="false">B90+E90*Parametros!$B$8</f>
        <v>0.0586</v>
      </c>
      <c r="M90" s="12" t="n">
        <f aca="false">(1+L90/2)^2-1</f>
        <v>0.0594584900000001</v>
      </c>
      <c r="N90" s="13" t="n">
        <f aca="false">(1+M90)^(-A90)</f>
        <v>0.0858879652403564</v>
      </c>
    </row>
    <row r="91" customFormat="false" ht="15" hidden="false" customHeight="false" outlineLevel="0" collapsed="false">
      <c r="A91" s="4" t="n">
        <v>43</v>
      </c>
      <c r="B91" s="9" t="n">
        <v>0.0495</v>
      </c>
      <c r="C91" s="9" t="n">
        <v>0.0586</v>
      </c>
      <c r="D91" s="10" t="n">
        <f aca="false">(C91-B91)*10000</f>
        <v>91</v>
      </c>
      <c r="E91" s="11" t="n">
        <f aca="false">MAX(0,C91-B91)*(1-Parametros!$B$5)</f>
        <v>0.0091</v>
      </c>
      <c r="F91" s="11" t="n">
        <f aca="false">B91+E91*Parametros!$B$6</f>
        <v>0.0586</v>
      </c>
      <c r="G91" s="12" t="n">
        <f aca="false">(1+F91/2)^2-1</f>
        <v>0.0594584900000001</v>
      </c>
      <c r="H91" s="13" t="n">
        <f aca="false">(1+G91)^(-A91)</f>
        <v>0.0834430829110622</v>
      </c>
      <c r="I91" s="11" t="n">
        <f aca="false">B91+E91*Parametros!$B$7</f>
        <v>0.0586</v>
      </c>
      <c r="J91" s="12" t="n">
        <f aca="false">(1+I91/2)^2-1</f>
        <v>0.0594584900000001</v>
      </c>
      <c r="K91" s="13" t="n">
        <f aca="false">(1+J91)^(-A91)</f>
        <v>0.0834430829110622</v>
      </c>
      <c r="L91" s="11" t="n">
        <f aca="false">B91+E91*Parametros!$B$8</f>
        <v>0.0586</v>
      </c>
      <c r="M91" s="12" t="n">
        <f aca="false">(1+L91/2)^2-1</f>
        <v>0.0594584900000001</v>
      </c>
      <c r="N91" s="13" t="n">
        <f aca="false">(1+M91)^(-A91)</f>
        <v>0.0834430829110622</v>
      </c>
    </row>
    <row r="92" customFormat="false" ht="15" hidden="false" customHeight="false" outlineLevel="0" collapsed="false">
      <c r="A92" s="4" t="n">
        <v>43.5</v>
      </c>
      <c r="B92" s="9" t="n">
        <v>0.0496</v>
      </c>
      <c r="C92" s="9" t="n">
        <v>0.0586</v>
      </c>
      <c r="D92" s="10" t="n">
        <f aca="false">(C92-B92)*10000</f>
        <v>90</v>
      </c>
      <c r="E92" s="11" t="n">
        <f aca="false">MAX(0,C92-B92)*(1-Parametros!$B$5)</f>
        <v>0.009</v>
      </c>
      <c r="F92" s="11" t="n">
        <f aca="false">B92+E92*Parametros!$B$6</f>
        <v>0.0586</v>
      </c>
      <c r="G92" s="12" t="n">
        <f aca="false">(1+F92/2)^2-1</f>
        <v>0.0594584900000001</v>
      </c>
      <c r="H92" s="13" t="n">
        <f aca="false">(1+G92)^(-A92)</f>
        <v>0.0810677964743634</v>
      </c>
      <c r="I92" s="11" t="n">
        <f aca="false">B92+E92*Parametros!$B$7</f>
        <v>0.0586</v>
      </c>
      <c r="J92" s="12" t="n">
        <f aca="false">(1+I92/2)^2-1</f>
        <v>0.0594584900000001</v>
      </c>
      <c r="K92" s="13" t="n">
        <f aca="false">(1+J92)^(-A92)</f>
        <v>0.0810677964743634</v>
      </c>
      <c r="L92" s="11" t="n">
        <f aca="false">B92+E92*Parametros!$B$8</f>
        <v>0.0586</v>
      </c>
      <c r="M92" s="12" t="n">
        <f aca="false">(1+L92/2)^2-1</f>
        <v>0.0594584900000001</v>
      </c>
      <c r="N92" s="13" t="n">
        <f aca="false">(1+M92)^(-A92)</f>
        <v>0.0810677964743634</v>
      </c>
    </row>
    <row r="93" customFormat="false" ht="15" hidden="false" customHeight="false" outlineLevel="0" collapsed="false">
      <c r="A93" s="4" t="n">
        <v>44</v>
      </c>
      <c r="B93" s="9" t="n">
        <v>0.0496</v>
      </c>
      <c r="C93" s="9" t="n">
        <v>0.0587</v>
      </c>
      <c r="D93" s="10" t="n">
        <f aca="false">(C93-B93)*10000</f>
        <v>91</v>
      </c>
      <c r="E93" s="11" t="n">
        <f aca="false">MAX(0,C93-B93)*(1-Parametros!$B$5)</f>
        <v>0.0091</v>
      </c>
      <c r="F93" s="11" t="n">
        <f aca="false">B93+E93*Parametros!$B$6</f>
        <v>0.0587</v>
      </c>
      <c r="G93" s="12" t="n">
        <f aca="false">(1+F93/2)^2-1</f>
        <v>0.0595614225000001</v>
      </c>
      <c r="H93" s="13" t="n">
        <f aca="false">(1+G93)^(-A93)</f>
        <v>0.0784241717160329</v>
      </c>
      <c r="I93" s="11" t="n">
        <f aca="false">B93+E93*Parametros!$B$7</f>
        <v>0.0587</v>
      </c>
      <c r="J93" s="12" t="n">
        <f aca="false">(1+I93/2)^2-1</f>
        <v>0.0595614225000001</v>
      </c>
      <c r="K93" s="13" t="n">
        <f aca="false">(1+J93)^(-A93)</f>
        <v>0.0784241717160329</v>
      </c>
      <c r="L93" s="11" t="n">
        <f aca="false">B93+E93*Parametros!$B$8</f>
        <v>0.0587</v>
      </c>
      <c r="M93" s="12" t="n">
        <f aca="false">(1+L93/2)^2-1</f>
        <v>0.0595614225000001</v>
      </c>
      <c r="N93" s="13" t="n">
        <f aca="false">(1+M93)^(-A93)</f>
        <v>0.0784241717160329</v>
      </c>
    </row>
    <row r="94" customFormat="false" ht="15" hidden="false" customHeight="false" outlineLevel="0" collapsed="false">
      <c r="A94" s="4" t="n">
        <v>44.5</v>
      </c>
      <c r="B94" s="9" t="n">
        <v>0.0496</v>
      </c>
      <c r="C94" s="9" t="n">
        <v>0.0587</v>
      </c>
      <c r="D94" s="10" t="n">
        <f aca="false">(C94-B94)*10000</f>
        <v>91</v>
      </c>
      <c r="E94" s="11" t="n">
        <f aca="false">MAX(0,C94-B94)*(1-Parametros!$B$5)</f>
        <v>0.0091</v>
      </c>
      <c r="F94" s="11" t="n">
        <f aca="false">B94+E94*Parametros!$B$6</f>
        <v>0.0587</v>
      </c>
      <c r="G94" s="12" t="n">
        <f aca="false">(1+F94/2)^2-1</f>
        <v>0.0595614225000001</v>
      </c>
      <c r="H94" s="13" t="n">
        <f aca="false">(1+G94)^(-A94)</f>
        <v>0.0761880523787176</v>
      </c>
      <c r="I94" s="11" t="n">
        <f aca="false">B94+E94*Parametros!$B$7</f>
        <v>0.0587</v>
      </c>
      <c r="J94" s="12" t="n">
        <f aca="false">(1+I94/2)^2-1</f>
        <v>0.0595614225000001</v>
      </c>
      <c r="K94" s="13" t="n">
        <f aca="false">(1+J94)^(-A94)</f>
        <v>0.0761880523787176</v>
      </c>
      <c r="L94" s="11" t="n">
        <f aca="false">B94+E94*Parametros!$B$8</f>
        <v>0.0587</v>
      </c>
      <c r="M94" s="12" t="n">
        <f aca="false">(1+L94/2)^2-1</f>
        <v>0.0595614225000001</v>
      </c>
      <c r="N94" s="13" t="n">
        <f aca="false">(1+M94)^(-A94)</f>
        <v>0.0761880523787176</v>
      </c>
    </row>
    <row r="95" customFormat="false" ht="15" hidden="false" customHeight="false" outlineLevel="0" collapsed="false">
      <c r="A95" s="4" t="n">
        <v>45</v>
      </c>
      <c r="B95" s="9" t="n">
        <v>0.0496</v>
      </c>
      <c r="C95" s="9" t="n">
        <v>0.0587</v>
      </c>
      <c r="D95" s="10" t="n">
        <f aca="false">(C95-B95)*10000</f>
        <v>91</v>
      </c>
      <c r="E95" s="11" t="n">
        <f aca="false">MAX(0,C95-B95)*(1-Parametros!$B$5)</f>
        <v>0.0091</v>
      </c>
      <c r="F95" s="11" t="n">
        <f aca="false">B95+E95*Parametros!$B$6</f>
        <v>0.0587</v>
      </c>
      <c r="G95" s="12" t="n">
        <f aca="false">(1+F95/2)^2-1</f>
        <v>0.0595614225000001</v>
      </c>
      <c r="H95" s="13" t="n">
        <f aca="false">(1+G95)^(-A95)</f>
        <v>0.0740156918236922</v>
      </c>
      <c r="I95" s="11" t="n">
        <f aca="false">B95+E95*Parametros!$B$7</f>
        <v>0.0587</v>
      </c>
      <c r="J95" s="12" t="n">
        <f aca="false">(1+I95/2)^2-1</f>
        <v>0.0595614225000001</v>
      </c>
      <c r="K95" s="13" t="n">
        <f aca="false">(1+J95)^(-A95)</f>
        <v>0.0740156918236922</v>
      </c>
      <c r="L95" s="11" t="n">
        <f aca="false">B95+E95*Parametros!$B$8</f>
        <v>0.0587</v>
      </c>
      <c r="M95" s="12" t="n">
        <f aca="false">(1+L95/2)^2-1</f>
        <v>0.0595614225000001</v>
      </c>
      <c r="N95" s="13" t="n">
        <f aca="false">(1+M95)^(-A95)</f>
        <v>0.0740156918236922</v>
      </c>
    </row>
    <row r="96" customFormat="false" ht="15" hidden="false" customHeight="false" outlineLevel="0" collapsed="false">
      <c r="A96" s="4" t="n">
        <v>45.5</v>
      </c>
      <c r="B96" s="9" t="n">
        <v>0.0497</v>
      </c>
      <c r="C96" s="9" t="n">
        <v>0.0587</v>
      </c>
      <c r="D96" s="10" t="n">
        <f aca="false">(C96-B96)*10000</f>
        <v>90</v>
      </c>
      <c r="E96" s="11" t="n">
        <f aca="false">MAX(0,C96-B96)*(1-Parametros!$B$5)</f>
        <v>0.009</v>
      </c>
      <c r="F96" s="11" t="n">
        <f aca="false">B96+E96*Parametros!$B$6</f>
        <v>0.0587</v>
      </c>
      <c r="G96" s="12" t="n">
        <f aca="false">(1+F96/2)^2-1</f>
        <v>0.0595614225000001</v>
      </c>
      <c r="H96" s="13" t="n">
        <f aca="false">(1+G96)^(-A96)</f>
        <v>0.071905272087912</v>
      </c>
      <c r="I96" s="11" t="n">
        <f aca="false">B96+E96*Parametros!$B$7</f>
        <v>0.0587</v>
      </c>
      <c r="J96" s="12" t="n">
        <f aca="false">(1+I96/2)^2-1</f>
        <v>0.0595614225000001</v>
      </c>
      <c r="K96" s="13" t="n">
        <f aca="false">(1+J96)^(-A96)</f>
        <v>0.071905272087912</v>
      </c>
      <c r="L96" s="11" t="n">
        <f aca="false">B96+E96*Parametros!$B$8</f>
        <v>0.0587</v>
      </c>
      <c r="M96" s="12" t="n">
        <f aca="false">(1+L96/2)^2-1</f>
        <v>0.0595614225000001</v>
      </c>
      <c r="N96" s="13" t="n">
        <f aca="false">(1+M96)^(-A96)</f>
        <v>0.071905272087912</v>
      </c>
    </row>
    <row r="97" customFormat="false" ht="15" hidden="false" customHeight="false" outlineLevel="0" collapsed="false">
      <c r="A97" s="4" t="n">
        <v>46</v>
      </c>
      <c r="B97" s="9" t="n">
        <v>0.0497</v>
      </c>
      <c r="C97" s="9" t="n">
        <v>0.0587</v>
      </c>
      <c r="D97" s="10" t="n">
        <f aca="false">(C97-B97)*10000</f>
        <v>90</v>
      </c>
      <c r="E97" s="11" t="n">
        <f aca="false">MAX(0,C97-B97)*(1-Parametros!$B$5)</f>
        <v>0.009</v>
      </c>
      <c r="F97" s="11" t="n">
        <f aca="false">B97+E97*Parametros!$B$6</f>
        <v>0.0587</v>
      </c>
      <c r="G97" s="12" t="n">
        <f aca="false">(1+F97/2)^2-1</f>
        <v>0.0595614225000001</v>
      </c>
      <c r="H97" s="13" t="n">
        <f aca="false">(1+G97)^(-A97)</f>
        <v>0.0698550270441657</v>
      </c>
      <c r="I97" s="11" t="n">
        <f aca="false">B97+E97*Parametros!$B$7</f>
        <v>0.0587</v>
      </c>
      <c r="J97" s="12" t="n">
        <f aca="false">(1+I97/2)^2-1</f>
        <v>0.0595614225000001</v>
      </c>
      <c r="K97" s="13" t="n">
        <f aca="false">(1+J97)^(-A97)</f>
        <v>0.0698550270441657</v>
      </c>
      <c r="L97" s="11" t="n">
        <f aca="false">B97+E97*Parametros!$B$8</f>
        <v>0.0587</v>
      </c>
      <c r="M97" s="12" t="n">
        <f aca="false">(1+L97/2)^2-1</f>
        <v>0.0595614225000001</v>
      </c>
      <c r="N97" s="13" t="n">
        <f aca="false">(1+M97)^(-A97)</f>
        <v>0.0698550270441657</v>
      </c>
    </row>
    <row r="98" customFormat="false" ht="15" hidden="false" customHeight="false" outlineLevel="0" collapsed="false">
      <c r="A98" s="4" t="n">
        <v>46.5</v>
      </c>
      <c r="B98" s="9" t="n">
        <v>0.0497</v>
      </c>
      <c r="C98" s="9" t="n">
        <v>0.0587</v>
      </c>
      <c r="D98" s="10" t="n">
        <f aca="false">(C98-B98)*10000</f>
        <v>90</v>
      </c>
      <c r="E98" s="11" t="n">
        <f aca="false">MAX(0,C98-B98)*(1-Parametros!$B$5)</f>
        <v>0.009</v>
      </c>
      <c r="F98" s="11" t="n">
        <f aca="false">B98+E98*Parametros!$B$6</f>
        <v>0.0587</v>
      </c>
      <c r="G98" s="12" t="n">
        <f aca="false">(1+F98/2)^2-1</f>
        <v>0.0595614225000001</v>
      </c>
      <c r="H98" s="13" t="n">
        <f aca="false">(1+G98)^(-A98)</f>
        <v>0.0678632409230735</v>
      </c>
      <c r="I98" s="11" t="n">
        <f aca="false">B98+E98*Parametros!$B$7</f>
        <v>0.0587</v>
      </c>
      <c r="J98" s="12" t="n">
        <f aca="false">(1+I98/2)^2-1</f>
        <v>0.0595614225000001</v>
      </c>
      <c r="K98" s="13" t="n">
        <f aca="false">(1+J98)^(-A98)</f>
        <v>0.0678632409230735</v>
      </c>
      <c r="L98" s="11" t="n">
        <f aca="false">B98+E98*Parametros!$B$8</f>
        <v>0.0587</v>
      </c>
      <c r="M98" s="12" t="n">
        <f aca="false">(1+L98/2)^2-1</f>
        <v>0.0595614225000001</v>
      </c>
      <c r="N98" s="13" t="n">
        <f aca="false">(1+M98)^(-A98)</f>
        <v>0.0678632409230735</v>
      </c>
    </row>
    <row r="99" customFormat="false" ht="15" hidden="false" customHeight="false" outlineLevel="0" collapsed="false">
      <c r="A99" s="4" t="n">
        <v>47</v>
      </c>
      <c r="B99" s="9" t="n">
        <v>0.0497</v>
      </c>
      <c r="C99" s="9" t="n">
        <v>0.0588</v>
      </c>
      <c r="D99" s="10" t="n">
        <f aca="false">(C99-B99)*10000</f>
        <v>91</v>
      </c>
      <c r="E99" s="11" t="n">
        <f aca="false">MAX(0,C99-B99)*(1-Parametros!$B$5)</f>
        <v>0.0091</v>
      </c>
      <c r="F99" s="11" t="n">
        <f aca="false">B99+E99*Parametros!$B$6</f>
        <v>0.0588</v>
      </c>
      <c r="G99" s="12" t="n">
        <f aca="false">(1+F99/2)^2-1</f>
        <v>0.0596643600000002</v>
      </c>
      <c r="H99" s="13" t="n">
        <f aca="false">(1+G99)^(-A99)</f>
        <v>0.0656279127539904</v>
      </c>
      <c r="I99" s="11" t="n">
        <f aca="false">B99+E99*Parametros!$B$7</f>
        <v>0.0588</v>
      </c>
      <c r="J99" s="12" t="n">
        <f aca="false">(1+I99/2)^2-1</f>
        <v>0.0596643600000002</v>
      </c>
      <c r="K99" s="13" t="n">
        <f aca="false">(1+J99)^(-A99)</f>
        <v>0.0656279127539904</v>
      </c>
      <c r="L99" s="11" t="n">
        <f aca="false">B99+E99*Parametros!$B$8</f>
        <v>0.0588</v>
      </c>
      <c r="M99" s="12" t="n">
        <f aca="false">(1+L99/2)^2-1</f>
        <v>0.0596643600000002</v>
      </c>
      <c r="N99" s="13" t="n">
        <f aca="false">(1+M99)^(-A99)</f>
        <v>0.0656279127539904</v>
      </c>
    </row>
    <row r="100" customFormat="false" ht="15" hidden="false" customHeight="false" outlineLevel="0" collapsed="false">
      <c r="A100" s="4" t="n">
        <v>47.5</v>
      </c>
      <c r="B100" s="9" t="n">
        <v>0.0497</v>
      </c>
      <c r="C100" s="9" t="n">
        <v>0.0588</v>
      </c>
      <c r="D100" s="10" t="n">
        <f aca="false">(C100-B100)*10000</f>
        <v>91</v>
      </c>
      <c r="E100" s="11" t="n">
        <f aca="false">MAX(0,C100-B100)*(1-Parametros!$B$5)</f>
        <v>0.0091</v>
      </c>
      <c r="F100" s="11" t="n">
        <f aca="false">B100+E100*Parametros!$B$6</f>
        <v>0.0588</v>
      </c>
      <c r="G100" s="12" t="n">
        <f aca="false">(1+F100/2)^2-1</f>
        <v>0.0596643600000002</v>
      </c>
      <c r="H100" s="13" t="n">
        <f aca="false">(1+G100)^(-A100)</f>
        <v>0.0637535581445409</v>
      </c>
      <c r="I100" s="11" t="n">
        <f aca="false">B100+E100*Parametros!$B$7</f>
        <v>0.0588</v>
      </c>
      <c r="J100" s="12" t="n">
        <f aca="false">(1+I100/2)^2-1</f>
        <v>0.0596643600000002</v>
      </c>
      <c r="K100" s="13" t="n">
        <f aca="false">(1+J100)^(-A100)</f>
        <v>0.0637535581445409</v>
      </c>
      <c r="L100" s="11" t="n">
        <f aca="false">B100+E100*Parametros!$B$8</f>
        <v>0.0588</v>
      </c>
      <c r="M100" s="12" t="n">
        <f aca="false">(1+L100/2)^2-1</f>
        <v>0.0596643600000002</v>
      </c>
      <c r="N100" s="13" t="n">
        <f aca="false">(1+M100)^(-A100)</f>
        <v>0.0637535581445409</v>
      </c>
    </row>
    <row r="101" customFormat="false" ht="15" hidden="false" customHeight="false" outlineLevel="0" collapsed="false">
      <c r="A101" s="4" t="n">
        <v>48</v>
      </c>
      <c r="B101" s="9" t="n">
        <v>0.0498</v>
      </c>
      <c r="C101" s="9" t="n">
        <v>0.0588</v>
      </c>
      <c r="D101" s="10" t="n">
        <f aca="false">(C101-B101)*10000</f>
        <v>90</v>
      </c>
      <c r="E101" s="11" t="n">
        <f aca="false">MAX(0,C101-B101)*(1-Parametros!$B$5)</f>
        <v>0.009</v>
      </c>
      <c r="F101" s="11" t="n">
        <f aca="false">B101+E101*Parametros!$B$6</f>
        <v>0.0588</v>
      </c>
      <c r="G101" s="12" t="n">
        <f aca="false">(1+F101/2)^2-1</f>
        <v>0.0596643600000002</v>
      </c>
      <c r="H101" s="13" t="n">
        <f aca="false">(1+G101)^(-A101)</f>
        <v>0.0619327357145336</v>
      </c>
      <c r="I101" s="11" t="n">
        <f aca="false">B101+E101*Parametros!$B$7</f>
        <v>0.0588</v>
      </c>
      <c r="J101" s="12" t="n">
        <f aca="false">(1+I101/2)^2-1</f>
        <v>0.0596643600000002</v>
      </c>
      <c r="K101" s="13" t="n">
        <f aca="false">(1+J101)^(-A101)</f>
        <v>0.0619327357145336</v>
      </c>
      <c r="L101" s="11" t="n">
        <f aca="false">B101+E101*Parametros!$B$8</f>
        <v>0.0588</v>
      </c>
      <c r="M101" s="12" t="n">
        <f aca="false">(1+L101/2)^2-1</f>
        <v>0.0596643600000002</v>
      </c>
      <c r="N101" s="13" t="n">
        <f aca="false">(1+M101)^(-A101)</f>
        <v>0.0619327357145336</v>
      </c>
    </row>
    <row r="102" customFormat="false" ht="15" hidden="false" customHeight="false" outlineLevel="0" collapsed="false">
      <c r="A102" s="4" t="n">
        <v>48.5</v>
      </c>
      <c r="B102" s="9" t="n">
        <v>0.0498</v>
      </c>
      <c r="C102" s="9" t="n">
        <v>0.0588</v>
      </c>
      <c r="D102" s="10" t="n">
        <f aca="false">(C102-B102)*10000</f>
        <v>90</v>
      </c>
      <c r="E102" s="11" t="n">
        <f aca="false">MAX(0,C102-B102)*(1-Parametros!$B$5)</f>
        <v>0.009</v>
      </c>
      <c r="F102" s="11" t="n">
        <f aca="false">B102+E102*Parametros!$B$6</f>
        <v>0.0588</v>
      </c>
      <c r="G102" s="12" t="n">
        <f aca="false">(1+F102/2)^2-1</f>
        <v>0.0596643600000002</v>
      </c>
      <c r="H102" s="13" t="n">
        <f aca="false">(1+G102)^(-A102)</f>
        <v>0.0601639165674505</v>
      </c>
      <c r="I102" s="11" t="n">
        <f aca="false">B102+E102*Parametros!$B$7</f>
        <v>0.0588</v>
      </c>
      <c r="J102" s="12" t="n">
        <f aca="false">(1+I102/2)^2-1</f>
        <v>0.0596643600000002</v>
      </c>
      <c r="K102" s="13" t="n">
        <f aca="false">(1+J102)^(-A102)</f>
        <v>0.0601639165674505</v>
      </c>
      <c r="L102" s="11" t="n">
        <f aca="false">B102+E102*Parametros!$B$8</f>
        <v>0.0588</v>
      </c>
      <c r="M102" s="12" t="n">
        <f aca="false">(1+L102/2)^2-1</f>
        <v>0.0596643600000002</v>
      </c>
      <c r="N102" s="13" t="n">
        <f aca="false">(1+M102)^(-A102)</f>
        <v>0.0601639165674505</v>
      </c>
    </row>
    <row r="103" customFormat="false" ht="15" hidden="false" customHeight="false" outlineLevel="0" collapsed="false">
      <c r="A103" s="4" t="n">
        <v>49</v>
      </c>
      <c r="B103" s="9" t="n">
        <v>0.0498</v>
      </c>
      <c r="C103" s="9" t="n">
        <v>0.0588</v>
      </c>
      <c r="D103" s="10" t="n">
        <f aca="false">(C103-B103)*10000</f>
        <v>90</v>
      </c>
      <c r="E103" s="11" t="n">
        <f aca="false">MAX(0,C103-B103)*(1-Parametros!$B$5)</f>
        <v>0.009</v>
      </c>
      <c r="F103" s="11" t="n">
        <f aca="false">B103+E103*Parametros!$B$6</f>
        <v>0.0588</v>
      </c>
      <c r="G103" s="12" t="n">
        <f aca="false">(1+F103/2)^2-1</f>
        <v>0.0596643600000002</v>
      </c>
      <c r="H103" s="13" t="n">
        <f aca="false">(1+G103)^(-A103)</f>
        <v>0.0584456154725573</v>
      </c>
      <c r="I103" s="11" t="n">
        <f aca="false">B103+E103*Parametros!$B$7</f>
        <v>0.0588</v>
      </c>
      <c r="J103" s="12" t="n">
        <f aca="false">(1+I103/2)^2-1</f>
        <v>0.0596643600000002</v>
      </c>
      <c r="K103" s="13" t="n">
        <f aca="false">(1+J103)^(-A103)</f>
        <v>0.0584456154725573</v>
      </c>
      <c r="L103" s="11" t="n">
        <f aca="false">B103+E103*Parametros!$B$8</f>
        <v>0.0588</v>
      </c>
      <c r="M103" s="12" t="n">
        <f aca="false">(1+L103/2)^2-1</f>
        <v>0.0596643600000002</v>
      </c>
      <c r="N103" s="13" t="n">
        <f aca="false">(1+M103)^(-A103)</f>
        <v>0.0584456154725573</v>
      </c>
    </row>
    <row r="104" customFormat="false" ht="15" hidden="false" customHeight="false" outlineLevel="0" collapsed="false">
      <c r="A104" s="4" t="n">
        <v>49.5</v>
      </c>
      <c r="B104" s="9" t="n">
        <v>0.0498</v>
      </c>
      <c r="C104" s="9" t="n">
        <v>0.0588</v>
      </c>
      <c r="D104" s="10" t="n">
        <f aca="false">(C104-B104)*10000</f>
        <v>90</v>
      </c>
      <c r="E104" s="11" t="n">
        <f aca="false">MAX(0,C104-B104)*(1-Parametros!$B$5)</f>
        <v>0.009</v>
      </c>
      <c r="F104" s="11" t="n">
        <f aca="false">B104+E104*Parametros!$B$6</f>
        <v>0.0588</v>
      </c>
      <c r="G104" s="12" t="n">
        <f aca="false">(1+F104/2)^2-1</f>
        <v>0.0596643600000002</v>
      </c>
      <c r="H104" s="13" t="n">
        <f aca="false">(1+G104)^(-A104)</f>
        <v>0.0567763896177942</v>
      </c>
      <c r="I104" s="11" t="n">
        <f aca="false">B104+E104*Parametros!$B$7</f>
        <v>0.0588</v>
      </c>
      <c r="J104" s="12" t="n">
        <f aca="false">(1+I104/2)^2-1</f>
        <v>0.0596643600000002</v>
      </c>
      <c r="K104" s="13" t="n">
        <f aca="false">(1+J104)^(-A104)</f>
        <v>0.0567763896177942</v>
      </c>
      <c r="L104" s="11" t="n">
        <f aca="false">B104+E104*Parametros!$B$8</f>
        <v>0.0588</v>
      </c>
      <c r="M104" s="12" t="n">
        <f aca="false">(1+L104/2)^2-1</f>
        <v>0.0596643600000002</v>
      </c>
      <c r="N104" s="13" t="n">
        <f aca="false">(1+M104)^(-A104)</f>
        <v>0.0567763896177942</v>
      </c>
    </row>
    <row r="105" customFormat="false" ht="15" hidden="false" customHeight="false" outlineLevel="0" collapsed="false">
      <c r="A105" s="4" t="n">
        <v>50</v>
      </c>
      <c r="B105" s="9" t="n">
        <v>0.0498</v>
      </c>
      <c r="C105" s="9" t="n">
        <v>0.0588</v>
      </c>
      <c r="D105" s="10" t="n">
        <f aca="false">(C105-B105)*10000</f>
        <v>90</v>
      </c>
      <c r="E105" s="11" t="n">
        <f aca="false">MAX(0,C105-B105)*(1-Parametros!$B$5)</f>
        <v>0.009</v>
      </c>
      <c r="F105" s="11" t="n">
        <f aca="false">B105+E105*Parametros!$B$6</f>
        <v>0.0588</v>
      </c>
      <c r="G105" s="12" t="n">
        <f aca="false">(1+F105/2)^2-1</f>
        <v>0.0596643600000002</v>
      </c>
      <c r="H105" s="13" t="n">
        <f aca="false">(1+G105)^(-A105)</f>
        <v>0.0551548373982846</v>
      </c>
      <c r="I105" s="11" t="n">
        <f aca="false">B105+E105*Parametros!$B$7</f>
        <v>0.0588</v>
      </c>
      <c r="J105" s="12" t="n">
        <f aca="false">(1+I105/2)^2-1</f>
        <v>0.0596643600000002</v>
      </c>
      <c r="K105" s="13" t="n">
        <f aca="false">(1+J105)^(-A105)</f>
        <v>0.0551548373982846</v>
      </c>
      <c r="L105" s="11" t="n">
        <f aca="false">B105+E105*Parametros!$B$8</f>
        <v>0.0588</v>
      </c>
      <c r="M105" s="12" t="n">
        <f aca="false">(1+L105/2)^2-1</f>
        <v>0.0596643600000002</v>
      </c>
      <c r="N105" s="13" t="n">
        <f aca="false">(1+M105)^(-A105)</f>
        <v>0.0551548373982846</v>
      </c>
    </row>
    <row r="106" customFormat="false" ht="15" hidden="false" customHeight="false" outlineLevel="0" collapsed="false">
      <c r="A106" s="4" t="n">
        <v>50.5</v>
      </c>
      <c r="B106" s="9" t="n">
        <v>0.0499</v>
      </c>
      <c r="C106" s="9" t="n">
        <v>0.0589</v>
      </c>
      <c r="D106" s="10" t="n">
        <f aca="false">(C106-B106)*10000</f>
        <v>90</v>
      </c>
      <c r="E106" s="11" t="n">
        <f aca="false">MAX(0,C106-B106)*(1-Parametros!$B$5)</f>
        <v>0.009</v>
      </c>
      <c r="F106" s="11" t="n">
        <f aca="false">B106+E106*Parametros!$B$6</f>
        <v>0.0589</v>
      </c>
      <c r="G106" s="12" t="n">
        <f aca="false">(1+F106/2)^2-1</f>
        <v>0.0597673024999998</v>
      </c>
      <c r="H106" s="13" t="n">
        <f aca="false">(1+G106)^(-A106)</f>
        <v>0.0533173980778465</v>
      </c>
      <c r="I106" s="11" t="n">
        <f aca="false">B106+E106*Parametros!$B$7</f>
        <v>0.0589</v>
      </c>
      <c r="J106" s="12" t="n">
        <f aca="false">(1+I106/2)^2-1</f>
        <v>0.0597673024999998</v>
      </c>
      <c r="K106" s="13" t="n">
        <f aca="false">(1+J106)^(-A106)</f>
        <v>0.0533173980778465</v>
      </c>
      <c r="L106" s="11" t="n">
        <f aca="false">B106+E106*Parametros!$B$8</f>
        <v>0.0589</v>
      </c>
      <c r="M106" s="12" t="n">
        <f aca="false">(1+L106/2)^2-1</f>
        <v>0.0597673024999998</v>
      </c>
      <c r="N106" s="13" t="n">
        <f aca="false">(1+M106)^(-A106)</f>
        <v>0.0533173980778465</v>
      </c>
    </row>
    <row r="107" customFormat="false" ht="15" hidden="false" customHeight="false" outlineLevel="0" collapsed="false">
      <c r="A107" s="4" t="n">
        <v>51</v>
      </c>
      <c r="B107" s="9" t="n">
        <v>0.0499</v>
      </c>
      <c r="C107" s="9" t="n">
        <v>0.0589</v>
      </c>
      <c r="D107" s="10" t="n">
        <f aca="false">(C107-B107)*10000</f>
        <v>90</v>
      </c>
      <c r="E107" s="11" t="n">
        <f aca="false">MAX(0,C107-B107)*(1-Parametros!$B$5)</f>
        <v>0.009</v>
      </c>
      <c r="F107" s="11" t="n">
        <f aca="false">B107+E107*Parametros!$B$6</f>
        <v>0.0589</v>
      </c>
      <c r="G107" s="12" t="n">
        <f aca="false">(1+F107/2)^2-1</f>
        <v>0.0597673024999998</v>
      </c>
      <c r="H107" s="13" t="n">
        <f aca="false">(1+G107)^(-A107)</f>
        <v>0.0517921201397314</v>
      </c>
      <c r="I107" s="11" t="n">
        <f aca="false">B107+E107*Parametros!$B$7</f>
        <v>0.0589</v>
      </c>
      <c r="J107" s="12" t="n">
        <f aca="false">(1+I107/2)^2-1</f>
        <v>0.0597673024999998</v>
      </c>
      <c r="K107" s="13" t="n">
        <f aca="false">(1+J107)^(-A107)</f>
        <v>0.0517921201397314</v>
      </c>
      <c r="L107" s="11" t="n">
        <f aca="false">B107+E107*Parametros!$B$8</f>
        <v>0.0589</v>
      </c>
      <c r="M107" s="12" t="n">
        <f aca="false">(1+L107/2)^2-1</f>
        <v>0.0597673024999998</v>
      </c>
      <c r="N107" s="13" t="n">
        <f aca="false">(1+M107)^(-A107)</f>
        <v>0.0517921201397314</v>
      </c>
    </row>
    <row r="108" customFormat="false" ht="15" hidden="false" customHeight="false" outlineLevel="0" collapsed="false">
      <c r="A108" s="4" t="n">
        <v>51.5</v>
      </c>
      <c r="B108" s="9" t="n">
        <v>0.0499</v>
      </c>
      <c r="C108" s="9" t="n">
        <v>0.0589</v>
      </c>
      <c r="D108" s="10" t="n">
        <f aca="false">(C108-B108)*10000</f>
        <v>90</v>
      </c>
      <c r="E108" s="11" t="n">
        <f aca="false">MAX(0,C108-B108)*(1-Parametros!$B$5)</f>
        <v>0.009</v>
      </c>
      <c r="F108" s="11" t="n">
        <f aca="false">B108+E108*Parametros!$B$6</f>
        <v>0.0589</v>
      </c>
      <c r="G108" s="12" t="n">
        <f aca="false">(1+F108/2)^2-1</f>
        <v>0.0597673024999998</v>
      </c>
      <c r="H108" s="13" t="n">
        <f aca="false">(1+G108)^(-A108)</f>
        <v>0.050310476603751</v>
      </c>
      <c r="I108" s="11" t="n">
        <f aca="false">B108+E108*Parametros!$B$7</f>
        <v>0.0589</v>
      </c>
      <c r="J108" s="12" t="n">
        <f aca="false">(1+I108/2)^2-1</f>
        <v>0.0597673024999998</v>
      </c>
      <c r="K108" s="13" t="n">
        <f aca="false">(1+J108)^(-A108)</f>
        <v>0.050310476603751</v>
      </c>
      <c r="L108" s="11" t="n">
        <f aca="false">B108+E108*Parametros!$B$8</f>
        <v>0.0589</v>
      </c>
      <c r="M108" s="12" t="n">
        <f aca="false">(1+L108/2)^2-1</f>
        <v>0.0597673024999998</v>
      </c>
      <c r="N108" s="13" t="n">
        <f aca="false">(1+M108)^(-A108)</f>
        <v>0.050310476603751</v>
      </c>
    </row>
    <row r="109" customFormat="false" ht="15" hidden="false" customHeight="false" outlineLevel="0" collapsed="false">
      <c r="A109" s="4" t="n">
        <v>52</v>
      </c>
      <c r="B109" s="9" t="n">
        <v>0.0499</v>
      </c>
      <c r="C109" s="9" t="n">
        <v>0.0589</v>
      </c>
      <c r="D109" s="10" t="n">
        <f aca="false">(C109-B109)*10000</f>
        <v>90</v>
      </c>
      <c r="E109" s="11" t="n">
        <f aca="false">MAX(0,C109-B109)*(1-Parametros!$B$5)</f>
        <v>0.009</v>
      </c>
      <c r="F109" s="11" t="n">
        <f aca="false">B109+E109*Parametros!$B$6</f>
        <v>0.0589</v>
      </c>
      <c r="G109" s="12" t="n">
        <f aca="false">(1+F109/2)^2-1</f>
        <v>0.0597673024999998</v>
      </c>
      <c r="H109" s="13" t="n">
        <f aca="false">(1+G109)^(-A109)</f>
        <v>0.0488712191983593</v>
      </c>
      <c r="I109" s="11" t="n">
        <f aca="false">B109+E109*Parametros!$B$7</f>
        <v>0.0589</v>
      </c>
      <c r="J109" s="12" t="n">
        <f aca="false">(1+I109/2)^2-1</f>
        <v>0.0597673024999998</v>
      </c>
      <c r="K109" s="13" t="n">
        <f aca="false">(1+J109)^(-A109)</f>
        <v>0.0488712191983593</v>
      </c>
      <c r="L109" s="11" t="n">
        <f aca="false">B109+E109*Parametros!$B$8</f>
        <v>0.0589</v>
      </c>
      <c r="M109" s="12" t="n">
        <f aca="false">(1+L109/2)^2-1</f>
        <v>0.0597673024999998</v>
      </c>
      <c r="N109" s="13" t="n">
        <f aca="false">(1+M109)^(-A109)</f>
        <v>0.0488712191983593</v>
      </c>
    </row>
    <row r="110" customFormat="false" ht="15" hidden="false" customHeight="false" outlineLevel="0" collapsed="false">
      <c r="A110" s="4" t="n">
        <v>52.5</v>
      </c>
      <c r="B110" s="9" t="n">
        <v>0.0499</v>
      </c>
      <c r="C110" s="9" t="n">
        <v>0.0589</v>
      </c>
      <c r="D110" s="10" t="n">
        <f aca="false">(C110-B110)*10000</f>
        <v>90</v>
      </c>
      <c r="E110" s="11" t="n">
        <f aca="false">MAX(0,C110-B110)*(1-Parametros!$B$5)</f>
        <v>0.009</v>
      </c>
      <c r="F110" s="11" t="n">
        <f aca="false">B110+E110*Parametros!$B$6</f>
        <v>0.0589</v>
      </c>
      <c r="G110" s="12" t="n">
        <f aca="false">(1+F110/2)^2-1</f>
        <v>0.0597673024999998</v>
      </c>
      <c r="H110" s="13" t="n">
        <f aca="false">(1+G110)^(-A110)</f>
        <v>0.0474731353619499</v>
      </c>
      <c r="I110" s="11" t="n">
        <f aca="false">B110+E110*Parametros!$B$7</f>
        <v>0.0589</v>
      </c>
      <c r="J110" s="12" t="n">
        <f aca="false">(1+I110/2)^2-1</f>
        <v>0.0597673024999998</v>
      </c>
      <c r="K110" s="13" t="n">
        <f aca="false">(1+J110)^(-A110)</f>
        <v>0.0474731353619499</v>
      </c>
      <c r="L110" s="11" t="n">
        <f aca="false">B110+E110*Parametros!$B$8</f>
        <v>0.0589</v>
      </c>
      <c r="M110" s="12" t="n">
        <f aca="false">(1+L110/2)^2-1</f>
        <v>0.0597673024999998</v>
      </c>
      <c r="N110" s="13" t="n">
        <f aca="false">(1+M110)^(-A110)</f>
        <v>0.0474731353619499</v>
      </c>
    </row>
    <row r="111" customFormat="false" ht="15" hidden="false" customHeight="false" outlineLevel="0" collapsed="false">
      <c r="A111" s="4" t="n">
        <v>53</v>
      </c>
      <c r="B111" s="9" t="n">
        <v>0.0499</v>
      </c>
      <c r="C111" s="9" t="n">
        <v>0.0589</v>
      </c>
      <c r="D111" s="10" t="n">
        <f aca="false">(C111-B111)*10000</f>
        <v>90</v>
      </c>
      <c r="E111" s="11" t="n">
        <f aca="false">MAX(0,C111-B111)*(1-Parametros!$B$5)</f>
        <v>0.009</v>
      </c>
      <c r="F111" s="11" t="n">
        <f aca="false">B111+E111*Parametros!$B$6</f>
        <v>0.0589</v>
      </c>
      <c r="G111" s="12" t="n">
        <f aca="false">(1+F111/2)^2-1</f>
        <v>0.0597673024999998</v>
      </c>
      <c r="H111" s="13" t="n">
        <f aca="false">(1+G111)^(-A111)</f>
        <v>0.0461150472212831</v>
      </c>
      <c r="I111" s="11" t="n">
        <f aca="false">B111+E111*Parametros!$B$7</f>
        <v>0.0589</v>
      </c>
      <c r="J111" s="12" t="n">
        <f aca="false">(1+I111/2)^2-1</f>
        <v>0.0597673024999998</v>
      </c>
      <c r="K111" s="13" t="n">
        <f aca="false">(1+J111)^(-A111)</f>
        <v>0.0461150472212831</v>
      </c>
      <c r="L111" s="11" t="n">
        <f aca="false">B111+E111*Parametros!$B$8</f>
        <v>0.0589</v>
      </c>
      <c r="M111" s="12" t="n">
        <f aca="false">(1+L111/2)^2-1</f>
        <v>0.0597673024999998</v>
      </c>
      <c r="N111" s="13" t="n">
        <f aca="false">(1+M111)^(-A111)</f>
        <v>0.0461150472212831</v>
      </c>
    </row>
    <row r="112" customFormat="false" ht="15" hidden="false" customHeight="false" outlineLevel="0" collapsed="false">
      <c r="A112" s="4" t="n">
        <v>53.5</v>
      </c>
      <c r="B112" s="9" t="n">
        <v>0.05</v>
      </c>
      <c r="C112" s="9" t="n">
        <v>0.0589</v>
      </c>
      <c r="D112" s="10" t="n">
        <f aca="false">(C112-B112)*10000</f>
        <v>89</v>
      </c>
      <c r="E112" s="11" t="n">
        <f aca="false">MAX(0,C112-B112)*(1-Parametros!$B$5)</f>
        <v>0.0089</v>
      </c>
      <c r="F112" s="11" t="n">
        <f aca="false">B112+E112*Parametros!$B$6</f>
        <v>0.0589</v>
      </c>
      <c r="G112" s="12" t="n">
        <f aca="false">(1+F112/2)^2-1</f>
        <v>0.0597673024999998</v>
      </c>
      <c r="H112" s="13" t="n">
        <f aca="false">(1+G112)^(-A112)</f>
        <v>0.0447958105991385</v>
      </c>
      <c r="I112" s="11" t="n">
        <f aca="false">B112+E112*Parametros!$B$7</f>
        <v>0.0589</v>
      </c>
      <c r="J112" s="12" t="n">
        <f aca="false">(1+I112/2)^2-1</f>
        <v>0.0597673024999998</v>
      </c>
      <c r="K112" s="13" t="n">
        <f aca="false">(1+J112)^(-A112)</f>
        <v>0.0447958105991385</v>
      </c>
      <c r="L112" s="11" t="n">
        <f aca="false">B112+E112*Parametros!$B$8</f>
        <v>0.0589</v>
      </c>
      <c r="M112" s="12" t="n">
        <f aca="false">(1+L112/2)^2-1</f>
        <v>0.0597673024999998</v>
      </c>
      <c r="N112" s="13" t="n">
        <f aca="false">(1+M112)^(-A112)</f>
        <v>0.0447958105991385</v>
      </c>
    </row>
    <row r="113" customFormat="false" ht="15" hidden="false" customHeight="false" outlineLevel="0" collapsed="false">
      <c r="A113" s="4" t="n">
        <v>54</v>
      </c>
      <c r="B113" s="9" t="n">
        <v>0.05</v>
      </c>
      <c r="C113" s="9" t="n">
        <v>0.059</v>
      </c>
      <c r="D113" s="10" t="n">
        <f aca="false">(C113-B113)*10000</f>
        <v>89.9999999999999</v>
      </c>
      <c r="E113" s="11" t="n">
        <f aca="false">MAX(0,C113-B113)*(1-Parametros!$B$5)</f>
        <v>0.00899999999999999</v>
      </c>
      <c r="F113" s="11" t="n">
        <f aca="false">B113+E113*Parametros!$B$6</f>
        <v>0.059</v>
      </c>
      <c r="G113" s="12" t="n">
        <f aca="false">(1+F113/2)^2-1</f>
        <v>0.0598702500000001</v>
      </c>
      <c r="H113" s="13" t="n">
        <f aca="false">(1+G113)^(-A113)</f>
        <v>0.0432866619966214</v>
      </c>
      <c r="I113" s="11" t="n">
        <f aca="false">B113+E113*Parametros!$B$7</f>
        <v>0.059</v>
      </c>
      <c r="J113" s="12" t="n">
        <f aca="false">(1+I113/2)^2-1</f>
        <v>0.0598702500000001</v>
      </c>
      <c r="K113" s="13" t="n">
        <f aca="false">(1+J113)^(-A113)</f>
        <v>0.0432866619966214</v>
      </c>
      <c r="L113" s="11" t="n">
        <f aca="false">B113+E113*Parametros!$B$8</f>
        <v>0.059</v>
      </c>
      <c r="M113" s="12" t="n">
        <f aca="false">(1+L113/2)^2-1</f>
        <v>0.0598702500000001</v>
      </c>
      <c r="N113" s="13" t="n">
        <f aca="false">(1+M113)^(-A113)</f>
        <v>0.0432866619966214</v>
      </c>
    </row>
    <row r="114" customFormat="false" ht="15" hidden="false" customHeight="false" outlineLevel="0" collapsed="false">
      <c r="A114" s="4" t="n">
        <v>54.5</v>
      </c>
      <c r="B114" s="9" t="n">
        <v>0.05</v>
      </c>
      <c r="C114" s="9" t="n">
        <v>0.059</v>
      </c>
      <c r="D114" s="10" t="n">
        <f aca="false">(C114-B114)*10000</f>
        <v>89.9999999999999</v>
      </c>
      <c r="E114" s="11" t="n">
        <f aca="false">MAX(0,C114-B114)*(1-Parametros!$B$5)</f>
        <v>0.00899999999999999</v>
      </c>
      <c r="F114" s="11" t="n">
        <f aca="false">B114+E114*Parametros!$B$6</f>
        <v>0.059</v>
      </c>
      <c r="G114" s="12" t="n">
        <f aca="false">(1+F114/2)^2-1</f>
        <v>0.0598702500000001</v>
      </c>
      <c r="H114" s="13" t="n">
        <f aca="false">(1+G114)^(-A114)</f>
        <v>0.0420462962570388</v>
      </c>
      <c r="I114" s="11" t="n">
        <f aca="false">B114+E114*Parametros!$B$7</f>
        <v>0.059</v>
      </c>
      <c r="J114" s="12" t="n">
        <f aca="false">(1+I114/2)^2-1</f>
        <v>0.0598702500000001</v>
      </c>
      <c r="K114" s="13" t="n">
        <f aca="false">(1+J114)^(-A114)</f>
        <v>0.0420462962570388</v>
      </c>
      <c r="L114" s="11" t="n">
        <f aca="false">B114+E114*Parametros!$B$8</f>
        <v>0.059</v>
      </c>
      <c r="M114" s="12" t="n">
        <f aca="false">(1+L114/2)^2-1</f>
        <v>0.0598702500000001</v>
      </c>
      <c r="N114" s="13" t="n">
        <f aca="false">(1+M114)^(-A114)</f>
        <v>0.0420462962570388</v>
      </c>
    </row>
    <row r="115" customFormat="false" ht="15" hidden="false" customHeight="false" outlineLevel="0" collapsed="false">
      <c r="A115" s="4" t="n">
        <v>55</v>
      </c>
      <c r="B115" s="9" t="n">
        <v>0.05</v>
      </c>
      <c r="C115" s="9" t="n">
        <v>0.059</v>
      </c>
      <c r="D115" s="10" t="n">
        <f aca="false">(C115-B115)*10000</f>
        <v>89.9999999999999</v>
      </c>
      <c r="E115" s="11" t="n">
        <f aca="false">MAX(0,C115-B115)*(1-Parametros!$B$5)</f>
        <v>0.00899999999999999</v>
      </c>
      <c r="F115" s="11" t="n">
        <f aca="false">B115+E115*Parametros!$B$6</f>
        <v>0.059</v>
      </c>
      <c r="G115" s="12" t="n">
        <f aca="false">(1+F115/2)^2-1</f>
        <v>0.0598702500000001</v>
      </c>
      <c r="H115" s="13" t="n">
        <f aca="false">(1+G115)^(-A115)</f>
        <v>0.0408414728091683</v>
      </c>
      <c r="I115" s="11" t="n">
        <f aca="false">B115+E115*Parametros!$B$7</f>
        <v>0.059</v>
      </c>
      <c r="J115" s="12" t="n">
        <f aca="false">(1+I115/2)^2-1</f>
        <v>0.0598702500000001</v>
      </c>
      <c r="K115" s="13" t="n">
        <f aca="false">(1+J115)^(-A115)</f>
        <v>0.0408414728091683</v>
      </c>
      <c r="L115" s="11" t="n">
        <f aca="false">B115+E115*Parametros!$B$8</f>
        <v>0.059</v>
      </c>
      <c r="M115" s="12" t="n">
        <f aca="false">(1+L115/2)^2-1</f>
        <v>0.0598702500000001</v>
      </c>
      <c r="N115" s="13" t="n">
        <f aca="false">(1+M115)^(-A115)</f>
        <v>0.0408414728091683</v>
      </c>
    </row>
    <row r="116" customFormat="false" ht="15" hidden="false" customHeight="false" outlineLevel="0" collapsed="false">
      <c r="A116" s="4" t="n">
        <v>55.5</v>
      </c>
      <c r="B116" s="9" t="n">
        <v>0.05</v>
      </c>
      <c r="C116" s="9" t="n">
        <v>0.059</v>
      </c>
      <c r="D116" s="10" t="n">
        <f aca="false">(C116-B116)*10000</f>
        <v>89.9999999999999</v>
      </c>
      <c r="E116" s="11" t="n">
        <f aca="false">MAX(0,C116-B116)*(1-Parametros!$B$5)</f>
        <v>0.00899999999999999</v>
      </c>
      <c r="F116" s="11" t="n">
        <f aca="false">B116+E116*Parametros!$B$6</f>
        <v>0.059</v>
      </c>
      <c r="G116" s="12" t="n">
        <f aca="false">(1+F116/2)^2-1</f>
        <v>0.0598702500000001</v>
      </c>
      <c r="H116" s="13" t="n">
        <f aca="false">(1+G116)^(-A116)</f>
        <v>0.039671173199775</v>
      </c>
      <c r="I116" s="11" t="n">
        <f aca="false">B116+E116*Parametros!$B$7</f>
        <v>0.059</v>
      </c>
      <c r="J116" s="12" t="n">
        <f aca="false">(1+I116/2)^2-1</f>
        <v>0.0598702500000001</v>
      </c>
      <c r="K116" s="13" t="n">
        <f aca="false">(1+J116)^(-A116)</f>
        <v>0.039671173199775</v>
      </c>
      <c r="L116" s="11" t="n">
        <f aca="false">B116+E116*Parametros!$B$8</f>
        <v>0.059</v>
      </c>
      <c r="M116" s="12" t="n">
        <f aca="false">(1+L116/2)^2-1</f>
        <v>0.0598702500000001</v>
      </c>
      <c r="N116" s="13" t="n">
        <f aca="false">(1+M116)^(-A116)</f>
        <v>0.039671173199775</v>
      </c>
    </row>
    <row r="117" customFormat="false" ht="15" hidden="false" customHeight="false" outlineLevel="0" collapsed="false">
      <c r="A117" s="4" t="n">
        <v>56</v>
      </c>
      <c r="B117" s="9" t="n">
        <v>0.05</v>
      </c>
      <c r="C117" s="9" t="n">
        <v>0.059</v>
      </c>
      <c r="D117" s="10" t="n">
        <f aca="false">(C117-B117)*10000</f>
        <v>89.9999999999999</v>
      </c>
      <c r="E117" s="11" t="n">
        <f aca="false">MAX(0,C117-B117)*(1-Parametros!$B$5)</f>
        <v>0.00899999999999999</v>
      </c>
      <c r="F117" s="11" t="n">
        <f aca="false">B117+E117*Parametros!$B$6</f>
        <v>0.059</v>
      </c>
      <c r="G117" s="12" t="n">
        <f aca="false">(1+F117/2)^2-1</f>
        <v>0.0598702500000001</v>
      </c>
      <c r="H117" s="13" t="n">
        <f aca="false">(1+G117)^(-A117)</f>
        <v>0.038534408159082</v>
      </c>
      <c r="I117" s="11" t="n">
        <f aca="false">B117+E117*Parametros!$B$7</f>
        <v>0.059</v>
      </c>
      <c r="J117" s="12" t="n">
        <f aca="false">(1+I117/2)^2-1</f>
        <v>0.0598702500000001</v>
      </c>
      <c r="K117" s="13" t="n">
        <f aca="false">(1+J117)^(-A117)</f>
        <v>0.038534408159082</v>
      </c>
      <c r="L117" s="11" t="n">
        <f aca="false">B117+E117*Parametros!$B$8</f>
        <v>0.059</v>
      </c>
      <c r="M117" s="12" t="n">
        <f aca="false">(1+L117/2)^2-1</f>
        <v>0.0598702500000001</v>
      </c>
      <c r="N117" s="13" t="n">
        <f aca="false">(1+M117)^(-A117)</f>
        <v>0.038534408159082</v>
      </c>
    </row>
    <row r="118" customFormat="false" ht="15" hidden="false" customHeight="false" outlineLevel="0" collapsed="false">
      <c r="A118" s="4" t="n">
        <v>56.5</v>
      </c>
      <c r="B118" s="9" t="n">
        <v>0.05</v>
      </c>
      <c r="C118" s="9" t="n">
        <v>0.059</v>
      </c>
      <c r="D118" s="10" t="n">
        <f aca="false">(C118-B118)*10000</f>
        <v>89.9999999999999</v>
      </c>
      <c r="E118" s="11" t="n">
        <f aca="false">MAX(0,C118-B118)*(1-Parametros!$B$5)</f>
        <v>0.00899999999999999</v>
      </c>
      <c r="F118" s="11" t="n">
        <f aca="false">B118+E118*Parametros!$B$6</f>
        <v>0.059</v>
      </c>
      <c r="G118" s="12" t="n">
        <f aca="false">(1+F118/2)^2-1</f>
        <v>0.0598702500000001</v>
      </c>
      <c r="H118" s="13" t="n">
        <f aca="false">(1+G118)^(-A118)</f>
        <v>0.0374302167645285</v>
      </c>
      <c r="I118" s="11" t="n">
        <f aca="false">B118+E118*Parametros!$B$7</f>
        <v>0.059</v>
      </c>
      <c r="J118" s="12" t="n">
        <f aca="false">(1+I118/2)^2-1</f>
        <v>0.0598702500000001</v>
      </c>
      <c r="K118" s="13" t="n">
        <f aca="false">(1+J118)^(-A118)</f>
        <v>0.0374302167645285</v>
      </c>
      <c r="L118" s="11" t="n">
        <f aca="false">B118+E118*Parametros!$B$8</f>
        <v>0.059</v>
      </c>
      <c r="M118" s="12" t="n">
        <f aca="false">(1+L118/2)^2-1</f>
        <v>0.0598702500000001</v>
      </c>
      <c r="N118" s="13" t="n">
        <f aca="false">(1+M118)^(-A118)</f>
        <v>0.0374302167645285</v>
      </c>
    </row>
    <row r="119" customFormat="false" ht="15" hidden="false" customHeight="false" outlineLevel="0" collapsed="false">
      <c r="A119" s="4" t="n">
        <v>57</v>
      </c>
      <c r="B119" s="9" t="n">
        <v>0.0501</v>
      </c>
      <c r="C119" s="9" t="n">
        <v>0.059</v>
      </c>
      <c r="D119" s="10" t="n">
        <f aca="false">(C119-B119)*10000</f>
        <v>89</v>
      </c>
      <c r="E119" s="11" t="n">
        <f aca="false">MAX(0,C119-B119)*(1-Parametros!$B$5)</f>
        <v>0.0089</v>
      </c>
      <c r="F119" s="11" t="n">
        <f aca="false">B119+E119*Parametros!$B$6</f>
        <v>0.059</v>
      </c>
      <c r="G119" s="12" t="n">
        <f aca="false">(1+F119/2)^2-1</f>
        <v>0.0598702500000001</v>
      </c>
      <c r="H119" s="13" t="n">
        <f aca="false">(1+G119)^(-A119)</f>
        <v>0.0363576656284881</v>
      </c>
      <c r="I119" s="11" t="n">
        <f aca="false">B119+E119*Parametros!$B$7</f>
        <v>0.059</v>
      </c>
      <c r="J119" s="12" t="n">
        <f aca="false">(1+I119/2)^2-1</f>
        <v>0.0598702500000001</v>
      </c>
      <c r="K119" s="13" t="n">
        <f aca="false">(1+J119)^(-A119)</f>
        <v>0.0363576656284881</v>
      </c>
      <c r="L119" s="11" t="n">
        <f aca="false">B119+E119*Parametros!$B$8</f>
        <v>0.059</v>
      </c>
      <c r="M119" s="12" t="n">
        <f aca="false">(1+L119/2)^2-1</f>
        <v>0.0598702500000001</v>
      </c>
      <c r="N119" s="13" t="n">
        <f aca="false">(1+M119)^(-A119)</f>
        <v>0.0363576656284881</v>
      </c>
    </row>
    <row r="120" customFormat="false" ht="15" hidden="false" customHeight="false" outlineLevel="0" collapsed="false">
      <c r="A120" s="4" t="n">
        <v>57.5</v>
      </c>
      <c r="B120" s="9" t="n">
        <v>0.0501</v>
      </c>
      <c r="C120" s="9" t="n">
        <v>0.059</v>
      </c>
      <c r="D120" s="10" t="n">
        <f aca="false">(C120-B120)*10000</f>
        <v>89</v>
      </c>
      <c r="E120" s="11" t="n">
        <f aca="false">MAX(0,C120-B120)*(1-Parametros!$B$5)</f>
        <v>0.0089</v>
      </c>
      <c r="F120" s="11" t="n">
        <f aca="false">B120+E120*Parametros!$B$6</f>
        <v>0.059</v>
      </c>
      <c r="G120" s="12" t="n">
        <f aca="false">(1+F120/2)^2-1</f>
        <v>0.0598702500000001</v>
      </c>
      <c r="H120" s="13" t="n">
        <f aca="false">(1+G120)^(-A120)</f>
        <v>0.0353158481092647</v>
      </c>
      <c r="I120" s="11" t="n">
        <f aca="false">B120+E120*Parametros!$B$7</f>
        <v>0.059</v>
      </c>
      <c r="J120" s="12" t="n">
        <f aca="false">(1+I120/2)^2-1</f>
        <v>0.0598702500000001</v>
      </c>
      <c r="K120" s="13" t="n">
        <f aca="false">(1+J120)^(-A120)</f>
        <v>0.0353158481092647</v>
      </c>
      <c r="L120" s="11" t="n">
        <f aca="false">B120+E120*Parametros!$B$8</f>
        <v>0.059</v>
      </c>
      <c r="M120" s="12" t="n">
        <f aca="false">(1+L120/2)^2-1</f>
        <v>0.0598702500000001</v>
      </c>
      <c r="N120" s="13" t="n">
        <f aca="false">(1+M120)^(-A120)</f>
        <v>0.0353158481092647</v>
      </c>
    </row>
    <row r="121" customFormat="false" ht="15" hidden="false" customHeight="false" outlineLevel="0" collapsed="false">
      <c r="A121" s="4" t="n">
        <v>58</v>
      </c>
      <c r="B121" s="9" t="n">
        <v>0.0501</v>
      </c>
      <c r="C121" s="9" t="n">
        <v>0.059</v>
      </c>
      <c r="D121" s="10" t="n">
        <f aca="false">(C121-B121)*10000</f>
        <v>89</v>
      </c>
      <c r="E121" s="11" t="n">
        <f aca="false">MAX(0,C121-B121)*(1-Parametros!$B$5)</f>
        <v>0.0089</v>
      </c>
      <c r="F121" s="11" t="n">
        <f aca="false">B121+E121*Parametros!$B$6</f>
        <v>0.059</v>
      </c>
      <c r="G121" s="12" t="n">
        <f aca="false">(1+F121/2)^2-1</f>
        <v>0.0598702500000001</v>
      </c>
      <c r="H121" s="13" t="n">
        <f aca="false">(1+G121)^(-A121)</f>
        <v>0.0343038835446962</v>
      </c>
      <c r="I121" s="11" t="n">
        <f aca="false">B121+E121*Parametros!$B$7</f>
        <v>0.059</v>
      </c>
      <c r="J121" s="12" t="n">
        <f aca="false">(1+I121/2)^2-1</f>
        <v>0.0598702500000001</v>
      </c>
      <c r="K121" s="13" t="n">
        <f aca="false">(1+J121)^(-A121)</f>
        <v>0.0343038835446962</v>
      </c>
      <c r="L121" s="11" t="n">
        <f aca="false">B121+E121*Parametros!$B$8</f>
        <v>0.059</v>
      </c>
      <c r="M121" s="12" t="n">
        <f aca="false">(1+L121/2)^2-1</f>
        <v>0.0598702500000001</v>
      </c>
      <c r="N121" s="13" t="n">
        <f aca="false">(1+M121)^(-A121)</f>
        <v>0.0343038835446962</v>
      </c>
    </row>
    <row r="122" customFormat="false" ht="15" hidden="false" customHeight="false" outlineLevel="0" collapsed="false">
      <c r="A122" s="4" t="n">
        <v>58.5</v>
      </c>
      <c r="B122" s="9" t="n">
        <v>0.0501</v>
      </c>
      <c r="C122" s="9" t="n">
        <v>0.059</v>
      </c>
      <c r="D122" s="10" t="n">
        <f aca="false">(C122-B122)*10000</f>
        <v>89</v>
      </c>
      <c r="E122" s="11" t="n">
        <f aca="false">MAX(0,C122-B122)*(1-Parametros!$B$5)</f>
        <v>0.0089</v>
      </c>
      <c r="F122" s="11" t="n">
        <f aca="false">B122+E122*Parametros!$B$6</f>
        <v>0.059</v>
      </c>
      <c r="G122" s="12" t="n">
        <f aca="false">(1+F122/2)^2-1</f>
        <v>0.0598702500000001</v>
      </c>
      <c r="H122" s="13" t="n">
        <f aca="false">(1+G122)^(-A122)</f>
        <v>0.0333209165077185</v>
      </c>
      <c r="I122" s="11" t="n">
        <f aca="false">B122+E122*Parametros!$B$7</f>
        <v>0.059</v>
      </c>
      <c r="J122" s="12" t="n">
        <f aca="false">(1+I122/2)^2-1</f>
        <v>0.0598702500000001</v>
      </c>
      <c r="K122" s="13" t="n">
        <f aca="false">(1+J122)^(-A122)</f>
        <v>0.0333209165077185</v>
      </c>
      <c r="L122" s="11" t="n">
        <f aca="false">B122+E122*Parametros!$B$8</f>
        <v>0.059</v>
      </c>
      <c r="M122" s="12" t="n">
        <f aca="false">(1+L122/2)^2-1</f>
        <v>0.0598702500000001</v>
      </c>
      <c r="N122" s="13" t="n">
        <f aca="false">(1+M122)^(-A122)</f>
        <v>0.0333209165077185</v>
      </c>
    </row>
    <row r="123" customFormat="false" ht="15" hidden="false" customHeight="false" outlineLevel="0" collapsed="false">
      <c r="A123" s="4" t="n">
        <v>59</v>
      </c>
      <c r="B123" s="9" t="n">
        <v>0.0501</v>
      </c>
      <c r="C123" s="9" t="n">
        <v>0.0591</v>
      </c>
      <c r="D123" s="10" t="n">
        <f aca="false">(C123-B123)*10000</f>
        <v>90</v>
      </c>
      <c r="E123" s="11" t="n">
        <f aca="false">MAX(0,C123-B123)*(1-Parametros!$B$5)</f>
        <v>0.009</v>
      </c>
      <c r="F123" s="11" t="n">
        <f aca="false">B123+E123*Parametros!$B$6</f>
        <v>0.0591</v>
      </c>
      <c r="G123" s="12" t="n">
        <f aca="false">(1+F123/2)^2-1</f>
        <v>0.0599732024999999</v>
      </c>
      <c r="H123" s="13" t="n">
        <f aca="false">(1+G123)^(-A123)</f>
        <v>0.032181162874907</v>
      </c>
      <c r="I123" s="11" t="n">
        <f aca="false">B123+E123*Parametros!$B$7</f>
        <v>0.0591</v>
      </c>
      <c r="J123" s="12" t="n">
        <f aca="false">(1+I123/2)^2-1</f>
        <v>0.0599732024999999</v>
      </c>
      <c r="K123" s="13" t="n">
        <f aca="false">(1+J123)^(-A123)</f>
        <v>0.032181162874907</v>
      </c>
      <c r="L123" s="11" t="n">
        <f aca="false">B123+E123*Parametros!$B$8</f>
        <v>0.0591</v>
      </c>
      <c r="M123" s="12" t="n">
        <f aca="false">(1+L123/2)^2-1</f>
        <v>0.0599732024999999</v>
      </c>
      <c r="N123" s="13" t="n">
        <f aca="false">(1+M123)^(-A123)</f>
        <v>0.032181162874907</v>
      </c>
    </row>
    <row r="124" customFormat="false" ht="15" hidden="false" customHeight="false" outlineLevel="0" collapsed="false">
      <c r="A124" s="4" t="n">
        <v>59.5</v>
      </c>
      <c r="B124" s="9" t="n">
        <v>0.0501</v>
      </c>
      <c r="C124" s="9" t="n">
        <v>0.0591</v>
      </c>
      <c r="D124" s="10" t="n">
        <f aca="false">(C124-B124)*10000</f>
        <v>90</v>
      </c>
      <c r="E124" s="11" t="n">
        <f aca="false">MAX(0,C124-B124)*(1-Parametros!$B$5)</f>
        <v>0.009</v>
      </c>
      <c r="F124" s="11" t="n">
        <f aca="false">B124+E124*Parametros!$B$6</f>
        <v>0.0591</v>
      </c>
      <c r="G124" s="12" t="n">
        <f aca="false">(1+F124/2)^2-1</f>
        <v>0.0599732024999999</v>
      </c>
      <c r="H124" s="13" t="n">
        <f aca="false">(1+G124)^(-A124)</f>
        <v>0.0312575036422777</v>
      </c>
      <c r="I124" s="11" t="n">
        <f aca="false">B124+E124*Parametros!$B$7</f>
        <v>0.0591</v>
      </c>
      <c r="J124" s="12" t="n">
        <f aca="false">(1+I124/2)^2-1</f>
        <v>0.0599732024999999</v>
      </c>
      <c r="K124" s="13" t="n">
        <f aca="false">(1+J124)^(-A124)</f>
        <v>0.0312575036422777</v>
      </c>
      <c r="L124" s="11" t="n">
        <f aca="false">B124+E124*Parametros!$B$8</f>
        <v>0.0591</v>
      </c>
      <c r="M124" s="12" t="n">
        <f aca="false">(1+L124/2)^2-1</f>
        <v>0.0599732024999999</v>
      </c>
      <c r="N124" s="13" t="n">
        <f aca="false">(1+M124)^(-A124)</f>
        <v>0.0312575036422777</v>
      </c>
    </row>
    <row r="125" customFormat="false" ht="15" hidden="false" customHeight="false" outlineLevel="0" collapsed="false">
      <c r="A125" s="4" t="n">
        <v>60</v>
      </c>
      <c r="B125" s="9" t="n">
        <v>0.0501</v>
      </c>
      <c r="C125" s="9" t="n">
        <v>0.0591</v>
      </c>
      <c r="D125" s="10" t="n">
        <f aca="false">(C125-B125)*10000</f>
        <v>90</v>
      </c>
      <c r="E125" s="11" t="n">
        <f aca="false">MAX(0,C125-B125)*(1-Parametros!$B$5)</f>
        <v>0.009</v>
      </c>
      <c r="F125" s="11" t="n">
        <f aca="false">B125+E125*Parametros!$B$6</f>
        <v>0.0591</v>
      </c>
      <c r="G125" s="12" t="n">
        <f aca="false">(1+F125/2)^2-1</f>
        <v>0.0599732024999999</v>
      </c>
      <c r="H125" s="13" t="n">
        <f aca="false">(1+G125)^(-A125)</f>
        <v>0.0303603551476642</v>
      </c>
      <c r="I125" s="11" t="n">
        <f aca="false">B125+E125*Parametros!$B$7</f>
        <v>0.0591</v>
      </c>
      <c r="J125" s="12" t="n">
        <f aca="false">(1+I125/2)^2-1</f>
        <v>0.0599732024999999</v>
      </c>
      <c r="K125" s="13" t="n">
        <f aca="false">(1+J125)^(-A125)</f>
        <v>0.0303603551476642</v>
      </c>
      <c r="L125" s="11" t="n">
        <f aca="false">B125+E125*Parametros!$B$8</f>
        <v>0.0591</v>
      </c>
      <c r="M125" s="12" t="n">
        <f aca="false">(1+L125/2)^2-1</f>
        <v>0.0599732024999999</v>
      </c>
      <c r="N125" s="13" t="n">
        <f aca="false">(1+M125)^(-A125)</f>
        <v>0.0303603551476642</v>
      </c>
    </row>
    <row r="126" customFormat="false" ht="15" hidden="false" customHeight="false" outlineLevel="0" collapsed="false">
      <c r="A126" s="4" t="n">
        <v>60.5</v>
      </c>
      <c r="B126" s="9" t="n">
        <v>0.0502</v>
      </c>
      <c r="C126" s="9" t="n">
        <v>0.0591</v>
      </c>
      <c r="D126" s="10" t="n">
        <f aca="false">(C126-B126)*10000</f>
        <v>89</v>
      </c>
      <c r="E126" s="11" t="n">
        <f aca="false">MAX(0,C126-B126)*(1-Parametros!$B$5)</f>
        <v>0.0089</v>
      </c>
      <c r="F126" s="11" t="n">
        <f aca="false">B126+E126*Parametros!$B$6</f>
        <v>0.0591</v>
      </c>
      <c r="G126" s="12" t="n">
        <f aca="false">(1+F126/2)^2-1</f>
        <v>0.0599732024999999</v>
      </c>
      <c r="H126" s="13" t="n">
        <f aca="false">(1+G126)^(-A126)</f>
        <v>0.0294889564835746</v>
      </c>
      <c r="I126" s="11" t="n">
        <f aca="false">B126+E126*Parametros!$B$7</f>
        <v>0.0591</v>
      </c>
      <c r="J126" s="12" t="n">
        <f aca="false">(1+I126/2)^2-1</f>
        <v>0.0599732024999999</v>
      </c>
      <c r="K126" s="13" t="n">
        <f aca="false">(1+J126)^(-A126)</f>
        <v>0.0294889564835746</v>
      </c>
      <c r="L126" s="11" t="n">
        <f aca="false">B126+E126*Parametros!$B$8</f>
        <v>0.0591</v>
      </c>
      <c r="M126" s="12" t="n">
        <f aca="false">(1+L126/2)^2-1</f>
        <v>0.0599732024999999</v>
      </c>
      <c r="N126" s="13" t="n">
        <f aca="false">(1+M126)^(-A126)</f>
        <v>0.0294889564835746</v>
      </c>
    </row>
    <row r="127" customFormat="false" ht="15" hidden="false" customHeight="false" outlineLevel="0" collapsed="false">
      <c r="A127" s="4" t="n">
        <v>61</v>
      </c>
      <c r="B127" s="9" t="n">
        <v>0.0502</v>
      </c>
      <c r="C127" s="9" t="n">
        <v>0.0591</v>
      </c>
      <c r="D127" s="10" t="n">
        <f aca="false">(C127-B127)*10000</f>
        <v>89</v>
      </c>
      <c r="E127" s="11" t="n">
        <f aca="false">MAX(0,C127-B127)*(1-Parametros!$B$5)</f>
        <v>0.0089</v>
      </c>
      <c r="F127" s="11" t="n">
        <f aca="false">B127+E127*Parametros!$B$6</f>
        <v>0.0591</v>
      </c>
      <c r="G127" s="12" t="n">
        <f aca="false">(1+F127/2)^2-1</f>
        <v>0.0599732024999999</v>
      </c>
      <c r="H127" s="13" t="n">
        <f aca="false">(1+G127)^(-A127)</f>
        <v>0.0286425685819772</v>
      </c>
      <c r="I127" s="11" t="n">
        <f aca="false">B127+E127*Parametros!$B$7</f>
        <v>0.0591</v>
      </c>
      <c r="J127" s="12" t="n">
        <f aca="false">(1+I127/2)^2-1</f>
        <v>0.0599732024999999</v>
      </c>
      <c r="K127" s="13" t="n">
        <f aca="false">(1+J127)^(-A127)</f>
        <v>0.0286425685819772</v>
      </c>
      <c r="L127" s="11" t="n">
        <f aca="false">B127+E127*Parametros!$B$8</f>
        <v>0.0591</v>
      </c>
      <c r="M127" s="12" t="n">
        <f aca="false">(1+L127/2)^2-1</f>
        <v>0.0599732024999999</v>
      </c>
      <c r="N127" s="13" t="n">
        <f aca="false">(1+M127)^(-A127)</f>
        <v>0.0286425685819772</v>
      </c>
    </row>
    <row r="128" customFormat="false" ht="15" hidden="false" customHeight="false" outlineLevel="0" collapsed="false">
      <c r="A128" s="4" t="n">
        <v>61.5</v>
      </c>
      <c r="B128" s="9" t="n">
        <v>0.0502</v>
      </c>
      <c r="C128" s="9" t="n">
        <v>0.0591</v>
      </c>
      <c r="D128" s="10" t="n">
        <f aca="false">(C128-B128)*10000</f>
        <v>89</v>
      </c>
      <c r="E128" s="11" t="n">
        <f aca="false">MAX(0,C128-B128)*(1-Parametros!$B$5)</f>
        <v>0.0089</v>
      </c>
      <c r="F128" s="11" t="n">
        <f aca="false">B128+E128*Parametros!$B$6</f>
        <v>0.0591</v>
      </c>
      <c r="G128" s="12" t="n">
        <f aca="false">(1+F128/2)^2-1</f>
        <v>0.0599732024999999</v>
      </c>
      <c r="H128" s="13" t="n">
        <f aca="false">(1+G128)^(-A128)</f>
        <v>0.0278204735874675</v>
      </c>
      <c r="I128" s="11" t="n">
        <f aca="false">B128+E128*Parametros!$B$7</f>
        <v>0.0591</v>
      </c>
      <c r="J128" s="12" t="n">
        <f aca="false">(1+I128/2)^2-1</f>
        <v>0.0599732024999999</v>
      </c>
      <c r="K128" s="13" t="n">
        <f aca="false">(1+J128)^(-A128)</f>
        <v>0.0278204735874675</v>
      </c>
      <c r="L128" s="11" t="n">
        <f aca="false">B128+E128*Parametros!$B$8</f>
        <v>0.0591</v>
      </c>
      <c r="M128" s="12" t="n">
        <f aca="false">(1+L128/2)^2-1</f>
        <v>0.0599732024999999</v>
      </c>
      <c r="N128" s="13" t="n">
        <f aca="false">(1+M128)^(-A128)</f>
        <v>0.0278204735874675</v>
      </c>
    </row>
    <row r="129" customFormat="false" ht="15" hidden="false" customHeight="false" outlineLevel="0" collapsed="false">
      <c r="A129" s="4" t="n">
        <v>62</v>
      </c>
      <c r="B129" s="9" t="n">
        <v>0.0502</v>
      </c>
      <c r="C129" s="9" t="n">
        <v>0.0591</v>
      </c>
      <c r="D129" s="10" t="n">
        <f aca="false">(C129-B129)*10000</f>
        <v>89</v>
      </c>
      <c r="E129" s="11" t="n">
        <f aca="false">MAX(0,C129-B129)*(1-Parametros!$B$5)</f>
        <v>0.0089</v>
      </c>
      <c r="F129" s="11" t="n">
        <f aca="false">B129+E129*Parametros!$B$6</f>
        <v>0.0591</v>
      </c>
      <c r="G129" s="12" t="n">
        <f aca="false">(1+F129/2)^2-1</f>
        <v>0.0599732024999999</v>
      </c>
      <c r="H129" s="13" t="n">
        <f aca="false">(1+G129)^(-A129)</f>
        <v>0.0270219742484265</v>
      </c>
      <c r="I129" s="11" t="n">
        <f aca="false">B129+E129*Parametros!$B$7</f>
        <v>0.0591</v>
      </c>
      <c r="J129" s="12" t="n">
        <f aca="false">(1+I129/2)^2-1</f>
        <v>0.0599732024999999</v>
      </c>
      <c r="K129" s="13" t="n">
        <f aca="false">(1+J129)^(-A129)</f>
        <v>0.0270219742484265</v>
      </c>
      <c r="L129" s="11" t="n">
        <f aca="false">B129+E129*Parametros!$B$8</f>
        <v>0.0591</v>
      </c>
      <c r="M129" s="12" t="n">
        <f aca="false">(1+L129/2)^2-1</f>
        <v>0.0599732024999999</v>
      </c>
      <c r="N129" s="13" t="n">
        <f aca="false">(1+M129)^(-A129)</f>
        <v>0.0270219742484265</v>
      </c>
    </row>
    <row r="130" customFormat="false" ht="15" hidden="false" customHeight="false" outlineLevel="0" collapsed="false">
      <c r="A130" s="4" t="n">
        <v>62.5</v>
      </c>
      <c r="B130" s="9" t="n">
        <v>0.0502</v>
      </c>
      <c r="C130" s="9" t="n">
        <v>0.0591</v>
      </c>
      <c r="D130" s="10" t="n">
        <f aca="false">(C130-B130)*10000</f>
        <v>89</v>
      </c>
      <c r="E130" s="11" t="n">
        <f aca="false">MAX(0,C130-B130)*(1-Parametros!$B$5)</f>
        <v>0.0089</v>
      </c>
      <c r="F130" s="11" t="n">
        <f aca="false">B130+E130*Parametros!$B$6</f>
        <v>0.0591</v>
      </c>
      <c r="G130" s="12" t="n">
        <f aca="false">(1+F130/2)^2-1</f>
        <v>0.0599732024999999</v>
      </c>
      <c r="H130" s="13" t="n">
        <f aca="false">(1+G130)^(-A130)</f>
        <v>0.0262463933256534</v>
      </c>
      <c r="I130" s="11" t="n">
        <f aca="false">B130+E130*Parametros!$B$7</f>
        <v>0.0591</v>
      </c>
      <c r="J130" s="12" t="n">
        <f aca="false">(1+I130/2)^2-1</f>
        <v>0.0599732024999999</v>
      </c>
      <c r="K130" s="13" t="n">
        <f aca="false">(1+J130)^(-A130)</f>
        <v>0.0262463933256534</v>
      </c>
      <c r="L130" s="11" t="n">
        <f aca="false">B130+E130*Parametros!$B$8</f>
        <v>0.0591</v>
      </c>
      <c r="M130" s="12" t="n">
        <f aca="false">(1+L130/2)^2-1</f>
        <v>0.0599732024999999</v>
      </c>
      <c r="N130" s="13" t="n">
        <f aca="false">(1+M130)^(-A130)</f>
        <v>0.0262463933256534</v>
      </c>
    </row>
    <row r="131" customFormat="false" ht="15" hidden="false" customHeight="false" outlineLevel="0" collapsed="false">
      <c r="A131" s="4" t="n">
        <v>63</v>
      </c>
      <c r="B131" s="9" t="n">
        <v>0.0502</v>
      </c>
      <c r="C131" s="9" t="n">
        <v>0.0591</v>
      </c>
      <c r="D131" s="10" t="n">
        <f aca="false">(C131-B131)*10000</f>
        <v>89</v>
      </c>
      <c r="E131" s="11" t="n">
        <f aca="false">MAX(0,C131-B131)*(1-Parametros!$B$5)</f>
        <v>0.0089</v>
      </c>
      <c r="F131" s="11" t="n">
        <f aca="false">B131+E131*Parametros!$B$6</f>
        <v>0.0591</v>
      </c>
      <c r="G131" s="12" t="n">
        <f aca="false">(1+F131/2)^2-1</f>
        <v>0.0599732024999999</v>
      </c>
      <c r="H131" s="13" t="n">
        <f aca="false">(1+G131)^(-A131)</f>
        <v>0.0254930730179724</v>
      </c>
      <c r="I131" s="11" t="n">
        <f aca="false">B131+E131*Parametros!$B$7</f>
        <v>0.0591</v>
      </c>
      <c r="J131" s="12" t="n">
        <f aca="false">(1+I131/2)^2-1</f>
        <v>0.0599732024999999</v>
      </c>
      <c r="K131" s="13" t="n">
        <f aca="false">(1+J131)^(-A131)</f>
        <v>0.0254930730179724</v>
      </c>
      <c r="L131" s="11" t="n">
        <f aca="false">B131+E131*Parametros!$B$8</f>
        <v>0.0591</v>
      </c>
      <c r="M131" s="12" t="n">
        <f aca="false">(1+L131/2)^2-1</f>
        <v>0.0599732024999999</v>
      </c>
      <c r="N131" s="13" t="n">
        <f aca="false">(1+M131)^(-A131)</f>
        <v>0.0254930730179724</v>
      </c>
    </row>
    <row r="132" customFormat="false" ht="15" hidden="false" customHeight="false" outlineLevel="0" collapsed="false">
      <c r="A132" s="4" t="n">
        <v>63.5</v>
      </c>
      <c r="B132" s="9" t="n">
        <v>0.0502</v>
      </c>
      <c r="C132" s="9" t="n">
        <v>0.0591</v>
      </c>
      <c r="D132" s="10" t="n">
        <f aca="false">(C132-B132)*10000</f>
        <v>89</v>
      </c>
      <c r="E132" s="11" t="n">
        <f aca="false">MAX(0,C132-B132)*(1-Parametros!$B$5)</f>
        <v>0.0089</v>
      </c>
      <c r="F132" s="11" t="n">
        <f aca="false">B132+E132*Parametros!$B$6</f>
        <v>0.0591</v>
      </c>
      <c r="G132" s="12" t="n">
        <f aca="false">(1+F132/2)^2-1</f>
        <v>0.0599732024999999</v>
      </c>
      <c r="H132" s="13" t="n">
        <f aca="false">(1+G132)^(-A132)</f>
        <v>0.0247613744043246</v>
      </c>
      <c r="I132" s="11" t="n">
        <f aca="false">B132+E132*Parametros!$B$7</f>
        <v>0.0591</v>
      </c>
      <c r="J132" s="12" t="n">
        <f aca="false">(1+I132/2)^2-1</f>
        <v>0.0599732024999999</v>
      </c>
      <c r="K132" s="13" t="n">
        <f aca="false">(1+J132)^(-A132)</f>
        <v>0.0247613744043246</v>
      </c>
      <c r="L132" s="11" t="n">
        <f aca="false">B132+E132*Parametros!$B$8</f>
        <v>0.0591</v>
      </c>
      <c r="M132" s="12" t="n">
        <f aca="false">(1+L132/2)^2-1</f>
        <v>0.0599732024999999</v>
      </c>
      <c r="N132" s="13" t="n">
        <f aca="false">(1+M132)^(-A132)</f>
        <v>0.0247613744043246</v>
      </c>
    </row>
    <row r="133" customFormat="false" ht="15" hidden="false" customHeight="false" outlineLevel="0" collapsed="false">
      <c r="A133" s="4" t="n">
        <v>64</v>
      </c>
      <c r="B133" s="9" t="n">
        <v>0.0502</v>
      </c>
      <c r="C133" s="9" t="n">
        <v>0.0592</v>
      </c>
      <c r="D133" s="10" t="n">
        <f aca="false">(C133-B133)*10000</f>
        <v>90</v>
      </c>
      <c r="E133" s="11" t="n">
        <f aca="false">MAX(0,C133-B133)*(1-Parametros!$B$5)</f>
        <v>0.009</v>
      </c>
      <c r="F133" s="11" t="n">
        <f aca="false">B133+E133*Parametros!$B$6</f>
        <v>0.0592</v>
      </c>
      <c r="G133" s="12" t="n">
        <f aca="false">(1+F133/2)^2-1</f>
        <v>0.0600761600000002</v>
      </c>
      <c r="H133" s="13" t="n">
        <f aca="false">(1+G133)^(-A133)</f>
        <v>0.0239016378196966</v>
      </c>
      <c r="I133" s="11" t="n">
        <f aca="false">B133+E133*Parametros!$B$7</f>
        <v>0.0592</v>
      </c>
      <c r="J133" s="12" t="n">
        <f aca="false">(1+I133/2)^2-1</f>
        <v>0.0600761600000002</v>
      </c>
      <c r="K133" s="13" t="n">
        <f aca="false">(1+J133)^(-A133)</f>
        <v>0.0239016378196966</v>
      </c>
      <c r="L133" s="11" t="n">
        <f aca="false">B133+E133*Parametros!$B$8</f>
        <v>0.0592</v>
      </c>
      <c r="M133" s="12" t="n">
        <f aca="false">(1+L133/2)^2-1</f>
        <v>0.0600761600000002</v>
      </c>
      <c r="N133" s="13" t="n">
        <f aca="false">(1+M133)^(-A133)</f>
        <v>0.0239016378196966</v>
      </c>
    </row>
    <row r="134" customFormat="false" ht="15" hidden="false" customHeight="false" outlineLevel="0" collapsed="false">
      <c r="A134" s="4" t="n">
        <v>64.5</v>
      </c>
      <c r="B134" s="9" t="n">
        <v>0.0502</v>
      </c>
      <c r="C134" s="9" t="n">
        <v>0.0592</v>
      </c>
      <c r="D134" s="10" t="n">
        <f aca="false">(C134-B134)*10000</f>
        <v>90</v>
      </c>
      <c r="E134" s="11" t="n">
        <f aca="false">MAX(0,C134-B134)*(1-Parametros!$B$5)</f>
        <v>0.009</v>
      </c>
      <c r="F134" s="11" t="n">
        <f aca="false">B134+E134*Parametros!$B$6</f>
        <v>0.0592</v>
      </c>
      <c r="G134" s="12" t="n">
        <f aca="false">(1+F134/2)^2-1</f>
        <v>0.0600761600000002</v>
      </c>
      <c r="H134" s="13" t="n">
        <f aca="false">(1+G134)^(-A134)</f>
        <v>0.0232144889468693</v>
      </c>
      <c r="I134" s="11" t="n">
        <f aca="false">B134+E134*Parametros!$B$7</f>
        <v>0.0592</v>
      </c>
      <c r="J134" s="12" t="n">
        <f aca="false">(1+I134/2)^2-1</f>
        <v>0.0600761600000002</v>
      </c>
      <c r="K134" s="13" t="n">
        <f aca="false">(1+J134)^(-A134)</f>
        <v>0.0232144889468693</v>
      </c>
      <c r="L134" s="11" t="n">
        <f aca="false">B134+E134*Parametros!$B$8</f>
        <v>0.0592</v>
      </c>
      <c r="M134" s="12" t="n">
        <f aca="false">(1+L134/2)^2-1</f>
        <v>0.0600761600000002</v>
      </c>
      <c r="N134" s="13" t="n">
        <f aca="false">(1+M134)^(-A134)</f>
        <v>0.0232144889468693</v>
      </c>
    </row>
    <row r="135" customFormat="false" ht="15" hidden="false" customHeight="false" outlineLevel="0" collapsed="false">
      <c r="A135" s="4" t="n">
        <v>65</v>
      </c>
      <c r="B135" s="9" t="n">
        <v>0.0503</v>
      </c>
      <c r="C135" s="9" t="n">
        <v>0.0592</v>
      </c>
      <c r="D135" s="10" t="n">
        <f aca="false">(C135-B135)*10000</f>
        <v>89.0000000000001</v>
      </c>
      <c r="E135" s="11" t="n">
        <f aca="false">MAX(0,C135-B135)*(1-Parametros!$B$5)</f>
        <v>0.00890000000000001</v>
      </c>
      <c r="F135" s="11" t="n">
        <f aca="false">B135+E135*Parametros!$B$6</f>
        <v>0.0592</v>
      </c>
      <c r="G135" s="12" t="n">
        <f aca="false">(1+F135/2)^2-1</f>
        <v>0.0600761600000002</v>
      </c>
      <c r="H135" s="13" t="n">
        <f aca="false">(1+G135)^(-A135)</f>
        <v>0.0225470949367417</v>
      </c>
      <c r="I135" s="11" t="n">
        <f aca="false">B135+E135*Parametros!$B$7</f>
        <v>0.0592</v>
      </c>
      <c r="J135" s="12" t="n">
        <f aca="false">(1+I135/2)^2-1</f>
        <v>0.0600761600000002</v>
      </c>
      <c r="K135" s="13" t="n">
        <f aca="false">(1+J135)^(-A135)</f>
        <v>0.0225470949367417</v>
      </c>
      <c r="L135" s="11" t="n">
        <f aca="false">B135+E135*Parametros!$B$8</f>
        <v>0.0592</v>
      </c>
      <c r="M135" s="12" t="n">
        <f aca="false">(1+L135/2)^2-1</f>
        <v>0.0600761600000002</v>
      </c>
      <c r="N135" s="13" t="n">
        <f aca="false">(1+M135)^(-A135)</f>
        <v>0.0225470949367417</v>
      </c>
    </row>
    <row r="136" customFormat="false" ht="15" hidden="false" customHeight="false" outlineLevel="0" collapsed="false">
      <c r="A136" s="4" t="n">
        <v>65.5</v>
      </c>
      <c r="B136" s="9" t="n">
        <v>0.0503</v>
      </c>
      <c r="C136" s="9" t="n">
        <v>0.0592</v>
      </c>
      <c r="D136" s="10" t="n">
        <f aca="false">(C136-B136)*10000</f>
        <v>89.0000000000001</v>
      </c>
      <c r="E136" s="11" t="n">
        <f aca="false">MAX(0,C136-B136)*(1-Parametros!$B$5)</f>
        <v>0.00890000000000001</v>
      </c>
      <c r="F136" s="11" t="n">
        <f aca="false">B136+E136*Parametros!$B$6</f>
        <v>0.0592</v>
      </c>
      <c r="G136" s="12" t="n">
        <f aca="false">(1+F136/2)^2-1</f>
        <v>0.0600761600000002</v>
      </c>
      <c r="H136" s="13" t="n">
        <f aca="false">(1+G136)^(-A136)</f>
        <v>0.0218988878561983</v>
      </c>
      <c r="I136" s="11" t="n">
        <f aca="false">B136+E136*Parametros!$B$7</f>
        <v>0.0592</v>
      </c>
      <c r="J136" s="12" t="n">
        <f aca="false">(1+I136/2)^2-1</f>
        <v>0.0600761600000002</v>
      </c>
      <c r="K136" s="13" t="n">
        <f aca="false">(1+J136)^(-A136)</f>
        <v>0.0218988878561983</v>
      </c>
      <c r="L136" s="11" t="n">
        <f aca="false">B136+E136*Parametros!$B$8</f>
        <v>0.0592</v>
      </c>
      <c r="M136" s="12" t="n">
        <f aca="false">(1+L136/2)^2-1</f>
        <v>0.0600761600000002</v>
      </c>
      <c r="N136" s="13" t="n">
        <f aca="false">(1+M136)^(-A136)</f>
        <v>0.0218988878561983</v>
      </c>
    </row>
    <row r="137" customFormat="false" ht="15" hidden="false" customHeight="false" outlineLevel="0" collapsed="false">
      <c r="A137" s="4" t="n">
        <v>66</v>
      </c>
      <c r="B137" s="9" t="n">
        <v>0.0503</v>
      </c>
      <c r="C137" s="9" t="n">
        <v>0.0592</v>
      </c>
      <c r="D137" s="10" t="n">
        <f aca="false">(C137-B137)*10000</f>
        <v>89.0000000000001</v>
      </c>
      <c r="E137" s="11" t="n">
        <f aca="false">MAX(0,C137-B137)*(1-Parametros!$B$5)</f>
        <v>0.00890000000000001</v>
      </c>
      <c r="F137" s="11" t="n">
        <f aca="false">B137+E137*Parametros!$B$6</f>
        <v>0.0592</v>
      </c>
      <c r="G137" s="12" t="n">
        <f aca="false">(1+F137/2)^2-1</f>
        <v>0.0600761600000002</v>
      </c>
      <c r="H137" s="13" t="n">
        <f aca="false">(1+G137)^(-A137)</f>
        <v>0.0212693160996487</v>
      </c>
      <c r="I137" s="11" t="n">
        <f aca="false">B137+E137*Parametros!$B$7</f>
        <v>0.0592</v>
      </c>
      <c r="J137" s="12" t="n">
        <f aca="false">(1+I137/2)^2-1</f>
        <v>0.0600761600000002</v>
      </c>
      <c r="K137" s="13" t="n">
        <f aca="false">(1+J137)^(-A137)</f>
        <v>0.0212693160996487</v>
      </c>
      <c r="L137" s="11" t="n">
        <f aca="false">B137+E137*Parametros!$B$8</f>
        <v>0.0592</v>
      </c>
      <c r="M137" s="12" t="n">
        <f aca="false">(1+L137/2)^2-1</f>
        <v>0.0600761600000002</v>
      </c>
      <c r="N137" s="13" t="n">
        <f aca="false">(1+M137)^(-A137)</f>
        <v>0.0212693160996487</v>
      </c>
    </row>
    <row r="138" customFormat="false" ht="15" hidden="false" customHeight="false" outlineLevel="0" collapsed="false">
      <c r="A138" s="4" t="n">
        <v>66.5</v>
      </c>
      <c r="B138" s="9" t="n">
        <v>0.0503</v>
      </c>
      <c r="C138" s="9" t="n">
        <v>0.0592</v>
      </c>
      <c r="D138" s="10" t="n">
        <f aca="false">(C138-B138)*10000</f>
        <v>89.0000000000001</v>
      </c>
      <c r="E138" s="11" t="n">
        <f aca="false">MAX(0,C138-B138)*(1-Parametros!$B$5)</f>
        <v>0.00890000000000001</v>
      </c>
      <c r="F138" s="11" t="n">
        <f aca="false">B138+E138*Parametros!$B$6</f>
        <v>0.0592</v>
      </c>
      <c r="G138" s="12" t="n">
        <f aca="false">(1+F138/2)^2-1</f>
        <v>0.0600761600000002</v>
      </c>
      <c r="H138" s="13" t="n">
        <f aca="false">(1+G138)^(-A138)</f>
        <v>0.0206578439196277</v>
      </c>
      <c r="I138" s="11" t="n">
        <f aca="false">B138+E138*Parametros!$B$7</f>
        <v>0.0592</v>
      </c>
      <c r="J138" s="12" t="n">
        <f aca="false">(1+I138/2)^2-1</f>
        <v>0.0600761600000002</v>
      </c>
      <c r="K138" s="13" t="n">
        <f aca="false">(1+J138)^(-A138)</f>
        <v>0.0206578439196277</v>
      </c>
      <c r="L138" s="11" t="n">
        <f aca="false">B138+E138*Parametros!$B$8</f>
        <v>0.0592</v>
      </c>
      <c r="M138" s="12" t="n">
        <f aca="false">(1+L138/2)^2-1</f>
        <v>0.0600761600000002</v>
      </c>
      <c r="N138" s="13" t="n">
        <f aca="false">(1+M138)^(-A138)</f>
        <v>0.0206578439196277</v>
      </c>
    </row>
    <row r="139" customFormat="false" ht="15" hidden="false" customHeight="false" outlineLevel="0" collapsed="false">
      <c r="A139" s="4" t="n">
        <v>67</v>
      </c>
      <c r="B139" s="9" t="n">
        <v>0.0503</v>
      </c>
      <c r="C139" s="9" t="n">
        <v>0.0592</v>
      </c>
      <c r="D139" s="10" t="n">
        <f aca="false">(C139-B139)*10000</f>
        <v>89.0000000000001</v>
      </c>
      <c r="E139" s="11" t="n">
        <f aca="false">MAX(0,C139-B139)*(1-Parametros!$B$5)</f>
        <v>0.00890000000000001</v>
      </c>
      <c r="F139" s="11" t="n">
        <f aca="false">B139+E139*Parametros!$B$6</f>
        <v>0.0592</v>
      </c>
      <c r="G139" s="12" t="n">
        <f aca="false">(1+F139/2)^2-1</f>
        <v>0.0600761600000002</v>
      </c>
      <c r="H139" s="13" t="n">
        <f aca="false">(1+G139)^(-A139)</f>
        <v>0.0200639509708893</v>
      </c>
      <c r="I139" s="11" t="n">
        <f aca="false">B139+E139*Parametros!$B$7</f>
        <v>0.0592</v>
      </c>
      <c r="J139" s="12" t="n">
        <f aca="false">(1+I139/2)^2-1</f>
        <v>0.0600761600000002</v>
      </c>
      <c r="K139" s="13" t="n">
        <f aca="false">(1+J139)^(-A139)</f>
        <v>0.0200639509708893</v>
      </c>
      <c r="L139" s="11" t="n">
        <f aca="false">B139+E139*Parametros!$B$8</f>
        <v>0.0592</v>
      </c>
      <c r="M139" s="12" t="n">
        <f aca="false">(1+L139/2)^2-1</f>
        <v>0.0600761600000002</v>
      </c>
      <c r="N139" s="13" t="n">
        <f aca="false">(1+M139)^(-A139)</f>
        <v>0.0200639509708893</v>
      </c>
    </row>
    <row r="140" customFormat="false" ht="15" hidden="false" customHeight="false" outlineLevel="0" collapsed="false">
      <c r="A140" s="4" t="n">
        <v>67.5</v>
      </c>
      <c r="B140" s="9" t="n">
        <v>0.0503</v>
      </c>
      <c r="C140" s="9" t="n">
        <v>0.0592</v>
      </c>
      <c r="D140" s="10" t="n">
        <f aca="false">(C140-B140)*10000</f>
        <v>89.0000000000001</v>
      </c>
      <c r="E140" s="11" t="n">
        <f aca="false">MAX(0,C140-B140)*(1-Parametros!$B$5)</f>
        <v>0.00890000000000001</v>
      </c>
      <c r="F140" s="11" t="n">
        <f aca="false">B140+E140*Parametros!$B$6</f>
        <v>0.0592</v>
      </c>
      <c r="G140" s="12" t="n">
        <f aca="false">(1+F140/2)^2-1</f>
        <v>0.0600761600000002</v>
      </c>
      <c r="H140" s="13" t="n">
        <f aca="false">(1+G140)^(-A140)</f>
        <v>0.0194871318676081</v>
      </c>
      <c r="I140" s="11" t="n">
        <f aca="false">B140+E140*Parametros!$B$7</f>
        <v>0.0592</v>
      </c>
      <c r="J140" s="12" t="n">
        <f aca="false">(1+I140/2)^2-1</f>
        <v>0.0600761600000002</v>
      </c>
      <c r="K140" s="13" t="n">
        <f aca="false">(1+J140)^(-A140)</f>
        <v>0.0194871318676081</v>
      </c>
      <c r="L140" s="11" t="n">
        <f aca="false">B140+E140*Parametros!$B$8</f>
        <v>0.0592</v>
      </c>
      <c r="M140" s="12" t="n">
        <f aca="false">(1+L140/2)^2-1</f>
        <v>0.0600761600000002</v>
      </c>
      <c r="N140" s="13" t="n">
        <f aca="false">(1+M140)^(-A140)</f>
        <v>0.0194871318676081</v>
      </c>
    </row>
    <row r="141" customFormat="false" ht="15" hidden="false" customHeight="false" outlineLevel="0" collapsed="false">
      <c r="A141" s="4" t="n">
        <v>68</v>
      </c>
      <c r="B141" s="9" t="n">
        <v>0.0503</v>
      </c>
      <c r="C141" s="9" t="n">
        <v>0.0592</v>
      </c>
      <c r="D141" s="10" t="n">
        <f aca="false">(C141-B141)*10000</f>
        <v>89.0000000000001</v>
      </c>
      <c r="E141" s="11" t="n">
        <f aca="false">MAX(0,C141-B141)*(1-Parametros!$B$5)</f>
        <v>0.00890000000000001</v>
      </c>
      <c r="F141" s="11" t="n">
        <f aca="false">B141+E141*Parametros!$B$6</f>
        <v>0.0592</v>
      </c>
      <c r="G141" s="12" t="n">
        <f aca="false">(1+F141/2)^2-1</f>
        <v>0.0600761600000002</v>
      </c>
      <c r="H141" s="13" t="n">
        <f aca="false">(1+G141)^(-A141)</f>
        <v>0.0189268957533102</v>
      </c>
      <c r="I141" s="11" t="n">
        <f aca="false">B141+E141*Parametros!$B$7</f>
        <v>0.0592</v>
      </c>
      <c r="J141" s="12" t="n">
        <f aca="false">(1+I141/2)^2-1</f>
        <v>0.0600761600000002</v>
      </c>
      <c r="K141" s="13" t="n">
        <f aca="false">(1+J141)^(-A141)</f>
        <v>0.0189268957533102</v>
      </c>
      <c r="L141" s="11" t="n">
        <f aca="false">B141+E141*Parametros!$B$8</f>
        <v>0.0592</v>
      </c>
      <c r="M141" s="12" t="n">
        <f aca="false">(1+L141/2)^2-1</f>
        <v>0.0600761600000002</v>
      </c>
      <c r="N141" s="13" t="n">
        <f aca="false">(1+M141)^(-A141)</f>
        <v>0.0189268957533102</v>
      </c>
    </row>
    <row r="142" customFormat="false" ht="15" hidden="false" customHeight="false" outlineLevel="0" collapsed="false">
      <c r="A142" s="4" t="n">
        <v>68.5</v>
      </c>
      <c r="B142" s="9" t="n">
        <v>0.0503</v>
      </c>
      <c r="C142" s="9" t="n">
        <v>0.0592</v>
      </c>
      <c r="D142" s="10" t="n">
        <f aca="false">(C142-B142)*10000</f>
        <v>89.0000000000001</v>
      </c>
      <c r="E142" s="11" t="n">
        <f aca="false">MAX(0,C142-B142)*(1-Parametros!$B$5)</f>
        <v>0.00890000000000001</v>
      </c>
      <c r="F142" s="11" t="n">
        <f aca="false">B142+E142*Parametros!$B$6</f>
        <v>0.0592</v>
      </c>
      <c r="G142" s="12" t="n">
        <f aca="false">(1+F142/2)^2-1</f>
        <v>0.0600761600000002</v>
      </c>
      <c r="H142" s="13" t="n">
        <f aca="false">(1+G142)^(-A142)</f>
        <v>0.0183827658831684</v>
      </c>
      <c r="I142" s="11" t="n">
        <f aca="false">B142+E142*Parametros!$B$7</f>
        <v>0.0592</v>
      </c>
      <c r="J142" s="12" t="n">
        <f aca="false">(1+I142/2)^2-1</f>
        <v>0.0600761600000002</v>
      </c>
      <c r="K142" s="13" t="n">
        <f aca="false">(1+J142)^(-A142)</f>
        <v>0.0183827658831684</v>
      </c>
      <c r="L142" s="11" t="n">
        <f aca="false">B142+E142*Parametros!$B$8</f>
        <v>0.0592</v>
      </c>
      <c r="M142" s="12" t="n">
        <f aca="false">(1+L142/2)^2-1</f>
        <v>0.0600761600000002</v>
      </c>
      <c r="N142" s="13" t="n">
        <f aca="false">(1+M142)^(-A142)</f>
        <v>0.0183827658831684</v>
      </c>
    </row>
    <row r="143" customFormat="false" ht="15" hidden="false" customHeight="false" outlineLevel="0" collapsed="false">
      <c r="A143" s="4" t="n">
        <v>69</v>
      </c>
      <c r="B143" s="9" t="n">
        <v>0.0503</v>
      </c>
      <c r="C143" s="9" t="n">
        <v>0.0592</v>
      </c>
      <c r="D143" s="10" t="n">
        <f aca="false">(C143-B143)*10000</f>
        <v>89.0000000000001</v>
      </c>
      <c r="E143" s="11" t="n">
        <f aca="false">MAX(0,C143-B143)*(1-Parametros!$B$5)</f>
        <v>0.00890000000000001</v>
      </c>
      <c r="F143" s="11" t="n">
        <f aca="false">B143+E143*Parametros!$B$6</f>
        <v>0.0592</v>
      </c>
      <c r="G143" s="12" t="n">
        <f aca="false">(1+F143/2)^2-1</f>
        <v>0.0600761600000002</v>
      </c>
      <c r="H143" s="13" t="n">
        <f aca="false">(1+G143)^(-A143)</f>
        <v>0.0178542792183065</v>
      </c>
      <c r="I143" s="11" t="n">
        <f aca="false">B143+E143*Parametros!$B$7</f>
        <v>0.0592</v>
      </c>
      <c r="J143" s="12" t="n">
        <f aca="false">(1+I143/2)^2-1</f>
        <v>0.0600761600000002</v>
      </c>
      <c r="K143" s="13" t="n">
        <f aca="false">(1+J143)^(-A143)</f>
        <v>0.0178542792183065</v>
      </c>
      <c r="L143" s="11" t="n">
        <f aca="false">B143+E143*Parametros!$B$8</f>
        <v>0.0592</v>
      </c>
      <c r="M143" s="12" t="n">
        <f aca="false">(1+L143/2)^2-1</f>
        <v>0.0600761600000002</v>
      </c>
      <c r="N143" s="13" t="n">
        <f aca="false">(1+M143)^(-A143)</f>
        <v>0.0178542792183065</v>
      </c>
    </row>
    <row r="144" customFormat="false" ht="15" hidden="false" customHeight="false" outlineLevel="0" collapsed="false">
      <c r="A144" s="4" t="n">
        <v>69.5</v>
      </c>
      <c r="B144" s="9" t="n">
        <v>0.0504</v>
      </c>
      <c r="C144" s="9" t="n">
        <v>0.0592</v>
      </c>
      <c r="D144" s="10" t="n">
        <f aca="false">(C144-B144)*10000</f>
        <v>88</v>
      </c>
      <c r="E144" s="11" t="n">
        <f aca="false">MAX(0,C144-B144)*(1-Parametros!$B$5)</f>
        <v>0.0088</v>
      </c>
      <c r="F144" s="11" t="n">
        <f aca="false">B144+E144*Parametros!$B$6</f>
        <v>0.0592</v>
      </c>
      <c r="G144" s="12" t="n">
        <f aca="false">(1+F144/2)^2-1</f>
        <v>0.0600761600000002</v>
      </c>
      <c r="H144" s="13" t="n">
        <f aca="false">(1+G144)^(-A144)</f>
        <v>0.0173409860317662</v>
      </c>
      <c r="I144" s="11" t="n">
        <f aca="false">B144+E144*Parametros!$B$7</f>
        <v>0.0592</v>
      </c>
      <c r="J144" s="12" t="n">
        <f aca="false">(1+I144/2)^2-1</f>
        <v>0.0600761600000002</v>
      </c>
      <c r="K144" s="13" t="n">
        <f aca="false">(1+J144)^(-A144)</f>
        <v>0.0173409860317662</v>
      </c>
      <c r="L144" s="11" t="n">
        <f aca="false">B144+E144*Parametros!$B$8</f>
        <v>0.0592</v>
      </c>
      <c r="M144" s="12" t="n">
        <f aca="false">(1+L144/2)^2-1</f>
        <v>0.0600761600000002</v>
      </c>
      <c r="N144" s="13" t="n">
        <f aca="false">(1+M144)^(-A144)</f>
        <v>0.0173409860317662</v>
      </c>
    </row>
    <row r="145" customFormat="false" ht="15" hidden="false" customHeight="false" outlineLevel="0" collapsed="false">
      <c r="A145" s="4" t="n">
        <v>70</v>
      </c>
      <c r="B145" s="9" t="n">
        <v>0.0504</v>
      </c>
      <c r="C145" s="9" t="n">
        <v>0.0592</v>
      </c>
      <c r="D145" s="10" t="n">
        <f aca="false">(C145-B145)*10000</f>
        <v>88</v>
      </c>
      <c r="E145" s="11" t="n">
        <f aca="false">MAX(0,C145-B145)*(1-Parametros!$B$5)</f>
        <v>0.0088</v>
      </c>
      <c r="F145" s="11" t="n">
        <f aca="false">B145+E145*Parametros!$B$6</f>
        <v>0.0592</v>
      </c>
      <c r="G145" s="12" t="n">
        <f aca="false">(1+F145/2)^2-1</f>
        <v>0.0600761600000002</v>
      </c>
      <c r="H145" s="13" t="n">
        <f aca="false">(1+G145)^(-A145)</f>
        <v>0.0168424495258025</v>
      </c>
      <c r="I145" s="11" t="n">
        <f aca="false">B145+E145*Parametros!$B$7</f>
        <v>0.0592</v>
      </c>
      <c r="J145" s="12" t="n">
        <f aca="false">(1+I145/2)^2-1</f>
        <v>0.0600761600000002</v>
      </c>
      <c r="K145" s="13" t="n">
        <f aca="false">(1+J145)^(-A145)</f>
        <v>0.0168424495258025</v>
      </c>
      <c r="L145" s="11" t="n">
        <f aca="false">B145+E145*Parametros!$B$8</f>
        <v>0.0592</v>
      </c>
      <c r="M145" s="12" t="n">
        <f aca="false">(1+L145/2)^2-1</f>
        <v>0.0600761600000002</v>
      </c>
      <c r="N145" s="13" t="n">
        <f aca="false">(1+M145)^(-A145)</f>
        <v>0.0168424495258025</v>
      </c>
    </row>
    <row r="146" customFormat="false" ht="15" hidden="false" customHeight="false" outlineLevel="0" collapsed="false">
      <c r="A146" s="4" t="n">
        <v>70.5</v>
      </c>
      <c r="B146" s="9" t="n">
        <v>0.0504</v>
      </c>
      <c r="C146" s="9" t="n">
        <v>0.0592</v>
      </c>
      <c r="D146" s="10" t="n">
        <f aca="false">(C146-B146)*10000</f>
        <v>88</v>
      </c>
      <c r="E146" s="11" t="n">
        <f aca="false">MAX(0,C146-B146)*(1-Parametros!$B$5)</f>
        <v>0.0088</v>
      </c>
      <c r="F146" s="11" t="n">
        <f aca="false">B146+E146*Parametros!$B$6</f>
        <v>0.0592</v>
      </c>
      <c r="G146" s="12" t="n">
        <f aca="false">(1+F146/2)^2-1</f>
        <v>0.0600761600000002</v>
      </c>
      <c r="H146" s="13" t="n">
        <f aca="false">(1+G146)^(-A146)</f>
        <v>0.0163582454601811</v>
      </c>
      <c r="I146" s="11" t="n">
        <f aca="false">B146+E146*Parametros!$B$7</f>
        <v>0.0592</v>
      </c>
      <c r="J146" s="12" t="n">
        <f aca="false">(1+I146/2)^2-1</f>
        <v>0.0600761600000002</v>
      </c>
      <c r="K146" s="13" t="n">
        <f aca="false">(1+J146)^(-A146)</f>
        <v>0.0163582454601811</v>
      </c>
      <c r="L146" s="11" t="n">
        <f aca="false">B146+E146*Parametros!$B$8</f>
        <v>0.0592</v>
      </c>
      <c r="M146" s="12" t="n">
        <f aca="false">(1+L146/2)^2-1</f>
        <v>0.0600761600000002</v>
      </c>
      <c r="N146" s="13" t="n">
        <f aca="false">(1+M146)^(-A146)</f>
        <v>0.0163582454601811</v>
      </c>
    </row>
    <row r="147" customFormat="false" ht="15" hidden="false" customHeight="false" outlineLevel="0" collapsed="false">
      <c r="A147" s="4" t="n">
        <v>71</v>
      </c>
      <c r="B147" s="9" t="n">
        <v>0.0504</v>
      </c>
      <c r="C147" s="9" t="n">
        <v>0.0593</v>
      </c>
      <c r="D147" s="10" t="n">
        <f aca="false">(C147-B147)*10000</f>
        <v>89</v>
      </c>
      <c r="E147" s="11" t="n">
        <f aca="false">MAX(0,C147-B147)*(1-Parametros!$B$5)</f>
        <v>0.0089</v>
      </c>
      <c r="F147" s="11" t="n">
        <f aca="false">B147+E147*Parametros!$B$6</f>
        <v>0.0593</v>
      </c>
      <c r="G147" s="12" t="n">
        <f aca="false">(1+F147/2)^2-1</f>
        <v>0.0601791224999999</v>
      </c>
      <c r="H147" s="13" t="n">
        <f aca="false">(1+G147)^(-A147)</f>
        <v>0.0157787798197824</v>
      </c>
      <c r="I147" s="11" t="n">
        <f aca="false">B147+E147*Parametros!$B$7</f>
        <v>0.0593</v>
      </c>
      <c r="J147" s="12" t="n">
        <f aca="false">(1+I147/2)^2-1</f>
        <v>0.0601791224999999</v>
      </c>
      <c r="K147" s="13" t="n">
        <f aca="false">(1+J147)^(-A147)</f>
        <v>0.0157787798197824</v>
      </c>
      <c r="L147" s="11" t="n">
        <f aca="false">B147+E147*Parametros!$B$8</f>
        <v>0.0593</v>
      </c>
      <c r="M147" s="12" t="n">
        <f aca="false">(1+L147/2)^2-1</f>
        <v>0.0601791224999999</v>
      </c>
      <c r="N147" s="13" t="n">
        <f aca="false">(1+M147)^(-A147)</f>
        <v>0.0157787798197824</v>
      </c>
    </row>
    <row r="148" customFormat="false" ht="15" hidden="false" customHeight="false" outlineLevel="0" collapsed="false">
      <c r="A148" s="4" t="n">
        <v>71.5</v>
      </c>
      <c r="B148" s="9" t="n">
        <v>0.0504</v>
      </c>
      <c r="C148" s="9" t="n">
        <v>0.0593</v>
      </c>
      <c r="D148" s="10" t="n">
        <f aca="false">(C148-B148)*10000</f>
        <v>89</v>
      </c>
      <c r="E148" s="11" t="n">
        <f aca="false">MAX(0,C148-B148)*(1-Parametros!$B$5)</f>
        <v>0.0089</v>
      </c>
      <c r="F148" s="11" t="n">
        <f aca="false">B148+E148*Parametros!$B$6</f>
        <v>0.0593</v>
      </c>
      <c r="G148" s="12" t="n">
        <f aca="false">(1+F148/2)^2-1</f>
        <v>0.0601791224999999</v>
      </c>
      <c r="H148" s="13" t="n">
        <f aca="false">(1+G148)^(-A148)</f>
        <v>0.0153244110326639</v>
      </c>
      <c r="I148" s="11" t="n">
        <f aca="false">B148+E148*Parametros!$B$7</f>
        <v>0.0593</v>
      </c>
      <c r="J148" s="12" t="n">
        <f aca="false">(1+I148/2)^2-1</f>
        <v>0.0601791224999999</v>
      </c>
      <c r="K148" s="13" t="n">
        <f aca="false">(1+J148)^(-A148)</f>
        <v>0.0153244110326639</v>
      </c>
      <c r="L148" s="11" t="n">
        <f aca="false">B148+E148*Parametros!$B$8</f>
        <v>0.0593</v>
      </c>
      <c r="M148" s="12" t="n">
        <f aca="false">(1+L148/2)^2-1</f>
        <v>0.0601791224999999</v>
      </c>
      <c r="N148" s="13" t="n">
        <f aca="false">(1+M148)^(-A148)</f>
        <v>0.0153244110326639</v>
      </c>
    </row>
    <row r="149" customFormat="false" ht="15" hidden="false" customHeight="false" outlineLevel="0" collapsed="false">
      <c r="A149" s="4" t="n">
        <v>72</v>
      </c>
      <c r="B149" s="9" t="n">
        <v>0.0504</v>
      </c>
      <c r="C149" s="9" t="n">
        <v>0.0593</v>
      </c>
      <c r="D149" s="10" t="n">
        <f aca="false">(C149-B149)*10000</f>
        <v>89</v>
      </c>
      <c r="E149" s="11" t="n">
        <f aca="false">MAX(0,C149-B149)*(1-Parametros!$B$5)</f>
        <v>0.0089</v>
      </c>
      <c r="F149" s="11" t="n">
        <f aca="false">B149+E149*Parametros!$B$6</f>
        <v>0.0593</v>
      </c>
      <c r="G149" s="12" t="n">
        <f aca="false">(1+F149/2)^2-1</f>
        <v>0.0601791224999999</v>
      </c>
      <c r="H149" s="13" t="n">
        <f aca="false">(1+G149)^(-A149)</f>
        <v>0.0148831263367784</v>
      </c>
      <c r="I149" s="11" t="n">
        <f aca="false">B149+E149*Parametros!$B$7</f>
        <v>0.0593</v>
      </c>
      <c r="J149" s="12" t="n">
        <f aca="false">(1+I149/2)^2-1</f>
        <v>0.0601791224999999</v>
      </c>
      <c r="K149" s="13" t="n">
        <f aca="false">(1+J149)^(-A149)</f>
        <v>0.0148831263367784</v>
      </c>
      <c r="L149" s="11" t="n">
        <f aca="false">B149+E149*Parametros!$B$8</f>
        <v>0.0593</v>
      </c>
      <c r="M149" s="12" t="n">
        <f aca="false">(1+L149/2)^2-1</f>
        <v>0.0601791224999999</v>
      </c>
      <c r="N149" s="13" t="n">
        <f aca="false">(1+M149)^(-A149)</f>
        <v>0.0148831263367784</v>
      </c>
    </row>
    <row r="150" customFormat="false" ht="15" hidden="false" customHeight="false" outlineLevel="0" collapsed="false">
      <c r="A150" s="4" t="n">
        <v>72.5</v>
      </c>
      <c r="B150" s="9" t="n">
        <v>0.0504</v>
      </c>
      <c r="C150" s="9" t="n">
        <v>0.0593</v>
      </c>
      <c r="D150" s="10" t="n">
        <f aca="false">(C150-B150)*10000</f>
        <v>89</v>
      </c>
      <c r="E150" s="11" t="n">
        <f aca="false">MAX(0,C150-B150)*(1-Parametros!$B$5)</f>
        <v>0.0089</v>
      </c>
      <c r="F150" s="11" t="n">
        <f aca="false">B150+E150*Parametros!$B$6</f>
        <v>0.0593</v>
      </c>
      <c r="G150" s="12" t="n">
        <f aca="false">(1+F150/2)^2-1</f>
        <v>0.0601791224999999</v>
      </c>
      <c r="H150" s="13" t="n">
        <f aca="false">(1+G150)^(-A150)</f>
        <v>0.0144545489601111</v>
      </c>
      <c r="I150" s="11" t="n">
        <f aca="false">B150+E150*Parametros!$B$7</f>
        <v>0.0593</v>
      </c>
      <c r="J150" s="12" t="n">
        <f aca="false">(1+I150/2)^2-1</f>
        <v>0.0601791224999999</v>
      </c>
      <c r="K150" s="13" t="n">
        <f aca="false">(1+J150)^(-A150)</f>
        <v>0.0144545489601111</v>
      </c>
      <c r="L150" s="11" t="n">
        <f aca="false">B150+E150*Parametros!$B$8</f>
        <v>0.0593</v>
      </c>
      <c r="M150" s="12" t="n">
        <f aca="false">(1+L150/2)^2-1</f>
        <v>0.0601791224999999</v>
      </c>
      <c r="N150" s="13" t="n">
        <f aca="false">(1+M150)^(-A150)</f>
        <v>0.0144545489601111</v>
      </c>
    </row>
    <row r="151" customFormat="false" ht="15" hidden="false" customHeight="false" outlineLevel="0" collapsed="false">
      <c r="A151" s="4" t="n">
        <v>73</v>
      </c>
      <c r="B151" s="9" t="n">
        <v>0.0504</v>
      </c>
      <c r="C151" s="9" t="n">
        <v>0.0593</v>
      </c>
      <c r="D151" s="10" t="n">
        <f aca="false">(C151-B151)*10000</f>
        <v>89</v>
      </c>
      <c r="E151" s="11" t="n">
        <f aca="false">MAX(0,C151-B151)*(1-Parametros!$B$5)</f>
        <v>0.0089</v>
      </c>
      <c r="F151" s="11" t="n">
        <f aca="false">B151+E151*Parametros!$B$6</f>
        <v>0.0593</v>
      </c>
      <c r="G151" s="12" t="n">
        <f aca="false">(1+F151/2)^2-1</f>
        <v>0.0601791224999999</v>
      </c>
      <c r="H151" s="13" t="n">
        <f aca="false">(1+G151)^(-A151)</f>
        <v>0.0140383129802468</v>
      </c>
      <c r="I151" s="11" t="n">
        <f aca="false">B151+E151*Parametros!$B$7</f>
        <v>0.0593</v>
      </c>
      <c r="J151" s="12" t="n">
        <f aca="false">(1+I151/2)^2-1</f>
        <v>0.0601791224999999</v>
      </c>
      <c r="K151" s="13" t="n">
        <f aca="false">(1+J151)^(-A151)</f>
        <v>0.0140383129802468</v>
      </c>
      <c r="L151" s="11" t="n">
        <f aca="false">B151+E151*Parametros!$B$8</f>
        <v>0.0593</v>
      </c>
      <c r="M151" s="12" t="n">
        <f aca="false">(1+L151/2)^2-1</f>
        <v>0.0601791224999999</v>
      </c>
      <c r="N151" s="13" t="n">
        <f aca="false">(1+M151)^(-A151)</f>
        <v>0.0140383129802468</v>
      </c>
    </row>
    <row r="152" customFormat="false" ht="15" hidden="false" customHeight="false" outlineLevel="0" collapsed="false">
      <c r="A152" s="4" t="n">
        <v>73.5</v>
      </c>
      <c r="B152" s="9" t="n">
        <v>0.0504</v>
      </c>
      <c r="C152" s="9" t="n">
        <v>0.0593</v>
      </c>
      <c r="D152" s="10" t="n">
        <f aca="false">(C152-B152)*10000</f>
        <v>89</v>
      </c>
      <c r="E152" s="11" t="n">
        <f aca="false">MAX(0,C152-B152)*(1-Parametros!$B$5)</f>
        <v>0.0089</v>
      </c>
      <c r="F152" s="11" t="n">
        <f aca="false">B152+E152*Parametros!$B$6</f>
        <v>0.0593</v>
      </c>
      <c r="G152" s="12" t="n">
        <f aca="false">(1+F152/2)^2-1</f>
        <v>0.0601791224999999</v>
      </c>
      <c r="H152" s="13" t="n">
        <f aca="false">(1+G152)^(-A152)</f>
        <v>0.0136340630119427</v>
      </c>
      <c r="I152" s="11" t="n">
        <f aca="false">B152+E152*Parametros!$B$7</f>
        <v>0.0593</v>
      </c>
      <c r="J152" s="12" t="n">
        <f aca="false">(1+I152/2)^2-1</f>
        <v>0.0601791224999999</v>
      </c>
      <c r="K152" s="13" t="n">
        <f aca="false">(1+J152)^(-A152)</f>
        <v>0.0136340630119427</v>
      </c>
      <c r="L152" s="11" t="n">
        <f aca="false">B152+E152*Parametros!$B$8</f>
        <v>0.0593</v>
      </c>
      <c r="M152" s="12" t="n">
        <f aca="false">(1+L152/2)^2-1</f>
        <v>0.0601791224999999</v>
      </c>
      <c r="N152" s="13" t="n">
        <f aca="false">(1+M152)^(-A152)</f>
        <v>0.0136340630119427</v>
      </c>
    </row>
    <row r="153" customFormat="false" ht="15" hidden="false" customHeight="false" outlineLevel="0" collapsed="false">
      <c r="A153" s="4" t="n">
        <v>74</v>
      </c>
      <c r="B153" s="9" t="n">
        <v>0.0504</v>
      </c>
      <c r="C153" s="9" t="n">
        <v>0.0593</v>
      </c>
      <c r="D153" s="10" t="n">
        <f aca="false">(C153-B153)*10000</f>
        <v>89</v>
      </c>
      <c r="E153" s="11" t="n">
        <f aca="false">MAX(0,C153-B153)*(1-Parametros!$B$5)</f>
        <v>0.0089</v>
      </c>
      <c r="F153" s="11" t="n">
        <f aca="false">B153+E153*Parametros!$B$6</f>
        <v>0.0593</v>
      </c>
      <c r="G153" s="12" t="n">
        <f aca="false">(1+F153/2)^2-1</f>
        <v>0.0601791224999999</v>
      </c>
      <c r="H153" s="13" t="n">
        <f aca="false">(1+G153)^(-A153)</f>
        <v>0.013241453903698</v>
      </c>
      <c r="I153" s="11" t="n">
        <f aca="false">B153+E153*Parametros!$B$7</f>
        <v>0.0593</v>
      </c>
      <c r="J153" s="12" t="n">
        <f aca="false">(1+I153/2)^2-1</f>
        <v>0.0601791224999999</v>
      </c>
      <c r="K153" s="13" t="n">
        <f aca="false">(1+J153)^(-A153)</f>
        <v>0.013241453903698</v>
      </c>
      <c r="L153" s="11" t="n">
        <f aca="false">B153+E153*Parametros!$B$8</f>
        <v>0.0593</v>
      </c>
      <c r="M153" s="12" t="n">
        <f aca="false">(1+L153/2)^2-1</f>
        <v>0.0601791224999999</v>
      </c>
      <c r="N153" s="13" t="n">
        <f aca="false">(1+M153)^(-A153)</f>
        <v>0.013241453903698</v>
      </c>
    </row>
    <row r="154" customFormat="false" ht="15" hidden="false" customHeight="false" outlineLevel="0" collapsed="false">
      <c r="A154" s="4" t="n">
        <v>74.5</v>
      </c>
      <c r="B154" s="9" t="n">
        <v>0.0504</v>
      </c>
      <c r="C154" s="9" t="n">
        <v>0.0593</v>
      </c>
      <c r="D154" s="10" t="n">
        <f aca="false">(C154-B154)*10000</f>
        <v>89</v>
      </c>
      <c r="E154" s="11" t="n">
        <f aca="false">MAX(0,C154-B154)*(1-Parametros!$B$5)</f>
        <v>0.0089</v>
      </c>
      <c r="F154" s="11" t="n">
        <f aca="false">B154+E154*Parametros!$B$6</f>
        <v>0.0593</v>
      </c>
      <c r="G154" s="12" t="n">
        <f aca="false">(1+F154/2)^2-1</f>
        <v>0.0601791224999999</v>
      </c>
      <c r="H154" s="13" t="n">
        <f aca="false">(1+G154)^(-A154)</f>
        <v>0.0128601504430613</v>
      </c>
      <c r="I154" s="11" t="n">
        <f aca="false">B154+E154*Parametros!$B$7</f>
        <v>0.0593</v>
      </c>
      <c r="J154" s="12" t="n">
        <f aca="false">(1+I154/2)^2-1</f>
        <v>0.0601791224999999</v>
      </c>
      <c r="K154" s="13" t="n">
        <f aca="false">(1+J154)^(-A154)</f>
        <v>0.0128601504430613</v>
      </c>
      <c r="L154" s="11" t="n">
        <f aca="false">B154+E154*Parametros!$B$8</f>
        <v>0.0593</v>
      </c>
      <c r="M154" s="12" t="n">
        <f aca="false">(1+L154/2)^2-1</f>
        <v>0.0601791224999999</v>
      </c>
      <c r="N154" s="13" t="n">
        <f aca="false">(1+M154)^(-A154)</f>
        <v>0.0128601504430613</v>
      </c>
    </row>
    <row r="155" customFormat="false" ht="15" hidden="false" customHeight="false" outlineLevel="0" collapsed="false">
      <c r="A155" s="4" t="n">
        <v>75</v>
      </c>
      <c r="B155" s="9" t="n">
        <v>0.0504</v>
      </c>
      <c r="C155" s="9" t="n">
        <v>0.0593</v>
      </c>
      <c r="D155" s="10" t="n">
        <f aca="false">(C155-B155)*10000</f>
        <v>89</v>
      </c>
      <c r="E155" s="11" t="n">
        <f aca="false">MAX(0,C155-B155)*(1-Parametros!$B$5)</f>
        <v>0.0089</v>
      </c>
      <c r="F155" s="11" t="n">
        <f aca="false">B155+E155*Parametros!$B$6</f>
        <v>0.0593</v>
      </c>
      <c r="G155" s="12" t="n">
        <f aca="false">(1+F155/2)^2-1</f>
        <v>0.0601791224999999</v>
      </c>
      <c r="H155" s="13" t="n">
        <f aca="false">(1+G155)^(-A155)</f>
        <v>0.0124898270704232</v>
      </c>
      <c r="I155" s="11" t="n">
        <f aca="false">B155+E155*Parametros!$B$7</f>
        <v>0.0593</v>
      </c>
      <c r="J155" s="12" t="n">
        <f aca="false">(1+I155/2)^2-1</f>
        <v>0.0601791224999999</v>
      </c>
      <c r="K155" s="13" t="n">
        <f aca="false">(1+J155)^(-A155)</f>
        <v>0.0124898270704232</v>
      </c>
      <c r="L155" s="11" t="n">
        <f aca="false">B155+E155*Parametros!$B$8</f>
        <v>0.0593</v>
      </c>
      <c r="M155" s="12" t="n">
        <f aca="false">(1+L155/2)^2-1</f>
        <v>0.0601791224999999</v>
      </c>
      <c r="N155" s="13" t="n">
        <f aca="false">(1+M155)^(-A155)</f>
        <v>0.0124898270704232</v>
      </c>
    </row>
    <row r="156" customFormat="false" ht="15" hidden="false" customHeight="false" outlineLevel="0" collapsed="false">
      <c r="A156" s="4" t="n">
        <v>75.5</v>
      </c>
      <c r="B156" s="9" t="n">
        <v>0.0505</v>
      </c>
      <c r="C156" s="9" t="n">
        <v>0.0593</v>
      </c>
      <c r="D156" s="10" t="n">
        <f aca="false">(C156-B156)*10000</f>
        <v>88</v>
      </c>
      <c r="E156" s="11" t="n">
        <f aca="false">MAX(0,C156-B156)*(1-Parametros!$B$5)</f>
        <v>0.0088</v>
      </c>
      <c r="F156" s="11" t="n">
        <f aca="false">B156+E156*Parametros!$B$6</f>
        <v>0.0593</v>
      </c>
      <c r="G156" s="12" t="n">
        <f aca="false">(1+F156/2)^2-1</f>
        <v>0.0601791224999999</v>
      </c>
      <c r="H156" s="13" t="n">
        <f aca="false">(1+G156)^(-A156)</f>
        <v>0.012130167601052</v>
      </c>
      <c r="I156" s="11" t="n">
        <f aca="false">B156+E156*Parametros!$B$7</f>
        <v>0.0593</v>
      </c>
      <c r="J156" s="12" t="n">
        <f aca="false">(1+I156/2)^2-1</f>
        <v>0.0601791224999999</v>
      </c>
      <c r="K156" s="13" t="n">
        <f aca="false">(1+J156)^(-A156)</f>
        <v>0.012130167601052</v>
      </c>
      <c r="L156" s="11" t="n">
        <f aca="false">B156+E156*Parametros!$B$8</f>
        <v>0.0593</v>
      </c>
      <c r="M156" s="12" t="n">
        <f aca="false">(1+L156/2)^2-1</f>
        <v>0.0601791224999999</v>
      </c>
      <c r="N156" s="13" t="n">
        <f aca="false">(1+M156)^(-A156)</f>
        <v>0.012130167601052</v>
      </c>
    </row>
    <row r="157" customFormat="false" ht="15" hidden="false" customHeight="false" outlineLevel="0" collapsed="false">
      <c r="A157" s="4" t="n">
        <v>76</v>
      </c>
      <c r="B157" s="9" t="n">
        <v>0.0505</v>
      </c>
      <c r="C157" s="9" t="n">
        <v>0.0593</v>
      </c>
      <c r="D157" s="10" t="n">
        <f aca="false">(C157-B157)*10000</f>
        <v>88</v>
      </c>
      <c r="E157" s="11" t="n">
        <f aca="false">MAX(0,C157-B157)*(1-Parametros!$B$5)</f>
        <v>0.0088</v>
      </c>
      <c r="F157" s="11" t="n">
        <f aca="false">B157+E157*Parametros!$B$6</f>
        <v>0.0593</v>
      </c>
      <c r="G157" s="12" t="n">
        <f aca="false">(1+F157/2)^2-1</f>
        <v>0.0601791224999999</v>
      </c>
      <c r="H157" s="13" t="n">
        <f aca="false">(1+G157)^(-A157)</f>
        <v>0.0117808649551324</v>
      </c>
      <c r="I157" s="11" t="n">
        <f aca="false">B157+E157*Parametros!$B$7</f>
        <v>0.0593</v>
      </c>
      <c r="J157" s="12" t="n">
        <f aca="false">(1+I157/2)^2-1</f>
        <v>0.0601791224999999</v>
      </c>
      <c r="K157" s="13" t="n">
        <f aca="false">(1+J157)^(-A157)</f>
        <v>0.0117808649551324</v>
      </c>
      <c r="L157" s="11" t="n">
        <f aca="false">B157+E157*Parametros!$B$8</f>
        <v>0.0593</v>
      </c>
      <c r="M157" s="12" t="n">
        <f aca="false">(1+L157/2)^2-1</f>
        <v>0.0601791224999999</v>
      </c>
      <c r="N157" s="13" t="n">
        <f aca="false">(1+M157)^(-A157)</f>
        <v>0.0117808649551324</v>
      </c>
    </row>
    <row r="158" customFormat="false" ht="15" hidden="false" customHeight="false" outlineLevel="0" collapsed="false">
      <c r="A158" s="4" t="n">
        <v>76.5</v>
      </c>
      <c r="B158" s="9" t="n">
        <v>0.0505</v>
      </c>
      <c r="C158" s="9" t="n">
        <v>0.0593</v>
      </c>
      <c r="D158" s="10" t="n">
        <f aca="false">(C158-B158)*10000</f>
        <v>88</v>
      </c>
      <c r="E158" s="11" t="n">
        <f aca="false">MAX(0,C158-B158)*(1-Parametros!$B$5)</f>
        <v>0.0088</v>
      </c>
      <c r="F158" s="11" t="n">
        <f aca="false">B158+E158*Parametros!$B$6</f>
        <v>0.0593</v>
      </c>
      <c r="G158" s="12" t="n">
        <f aca="false">(1+F158/2)^2-1</f>
        <v>0.0601791224999999</v>
      </c>
      <c r="H158" s="13" t="n">
        <f aca="false">(1+G158)^(-A158)</f>
        <v>0.0114416208955785</v>
      </c>
      <c r="I158" s="11" t="n">
        <f aca="false">B158+E158*Parametros!$B$7</f>
        <v>0.0593</v>
      </c>
      <c r="J158" s="12" t="n">
        <f aca="false">(1+I158/2)^2-1</f>
        <v>0.0601791224999999</v>
      </c>
      <c r="K158" s="13" t="n">
        <f aca="false">(1+J158)^(-A158)</f>
        <v>0.0114416208955785</v>
      </c>
      <c r="L158" s="11" t="n">
        <f aca="false">B158+E158*Parametros!$B$8</f>
        <v>0.0593</v>
      </c>
      <c r="M158" s="12" t="n">
        <f aca="false">(1+L158/2)^2-1</f>
        <v>0.0601791224999999</v>
      </c>
      <c r="N158" s="13" t="n">
        <f aca="false">(1+M158)^(-A158)</f>
        <v>0.0114416208955785</v>
      </c>
    </row>
    <row r="159" customFormat="false" ht="15" hidden="false" customHeight="false" outlineLevel="0" collapsed="false">
      <c r="A159" s="4" t="n">
        <v>77</v>
      </c>
      <c r="B159" s="9" t="n">
        <v>0.0505</v>
      </c>
      <c r="C159" s="9" t="n">
        <v>0.0593</v>
      </c>
      <c r="D159" s="10" t="n">
        <f aca="false">(C159-B159)*10000</f>
        <v>88</v>
      </c>
      <c r="E159" s="11" t="n">
        <f aca="false">MAX(0,C159-B159)*(1-Parametros!$B$5)</f>
        <v>0.0088</v>
      </c>
      <c r="F159" s="11" t="n">
        <f aca="false">B159+E159*Parametros!$B$6</f>
        <v>0.0593</v>
      </c>
      <c r="G159" s="12" t="n">
        <f aca="false">(1+F159/2)^2-1</f>
        <v>0.0601791224999999</v>
      </c>
      <c r="H159" s="13" t="n">
        <f aca="false">(1+G159)^(-A159)</f>
        <v>0.0111121457733972</v>
      </c>
      <c r="I159" s="11" t="n">
        <f aca="false">B159+E159*Parametros!$B$7</f>
        <v>0.0593</v>
      </c>
      <c r="J159" s="12" t="n">
        <f aca="false">(1+I159/2)^2-1</f>
        <v>0.0601791224999999</v>
      </c>
      <c r="K159" s="13" t="n">
        <f aca="false">(1+J159)^(-A159)</f>
        <v>0.0111121457733972</v>
      </c>
      <c r="L159" s="11" t="n">
        <f aca="false">B159+E159*Parametros!$B$8</f>
        <v>0.0593</v>
      </c>
      <c r="M159" s="12" t="n">
        <f aca="false">(1+L159/2)^2-1</f>
        <v>0.0601791224999999</v>
      </c>
      <c r="N159" s="13" t="n">
        <f aca="false">(1+M159)^(-A159)</f>
        <v>0.0111121457733972</v>
      </c>
    </row>
    <row r="160" customFormat="false" ht="15" hidden="false" customHeight="false" outlineLevel="0" collapsed="false">
      <c r="A160" s="4" t="n">
        <v>77.5</v>
      </c>
      <c r="B160" s="9" t="n">
        <v>0.0505</v>
      </c>
      <c r="C160" s="9" t="n">
        <v>0.0593</v>
      </c>
      <c r="D160" s="10" t="n">
        <f aca="false">(C160-B160)*10000</f>
        <v>88</v>
      </c>
      <c r="E160" s="11" t="n">
        <f aca="false">MAX(0,C160-B160)*(1-Parametros!$B$5)</f>
        <v>0.0088</v>
      </c>
      <c r="F160" s="11" t="n">
        <f aca="false">B160+E160*Parametros!$B$6</f>
        <v>0.0593</v>
      </c>
      <c r="G160" s="12" t="n">
        <f aca="false">(1+F160/2)^2-1</f>
        <v>0.0601791224999999</v>
      </c>
      <c r="H160" s="13" t="n">
        <f aca="false">(1+G160)^(-A160)</f>
        <v>0.0107921582803839</v>
      </c>
      <c r="I160" s="11" t="n">
        <f aca="false">B160+E160*Parametros!$B$7</f>
        <v>0.0593</v>
      </c>
      <c r="J160" s="12" t="n">
        <f aca="false">(1+I160/2)^2-1</f>
        <v>0.0601791224999999</v>
      </c>
      <c r="K160" s="13" t="n">
        <f aca="false">(1+J160)^(-A160)</f>
        <v>0.0107921582803839</v>
      </c>
      <c r="L160" s="11" t="n">
        <f aca="false">B160+E160*Parametros!$B$8</f>
        <v>0.0593</v>
      </c>
      <c r="M160" s="12" t="n">
        <f aca="false">(1+L160/2)^2-1</f>
        <v>0.0601791224999999</v>
      </c>
      <c r="N160" s="13" t="n">
        <f aca="false">(1+M160)^(-A160)</f>
        <v>0.0107921582803839</v>
      </c>
    </row>
    <row r="161" customFormat="false" ht="15" hidden="false" customHeight="false" outlineLevel="0" collapsed="false">
      <c r="A161" s="4" t="n">
        <v>78</v>
      </c>
      <c r="B161" s="9" t="n">
        <v>0.0505</v>
      </c>
      <c r="C161" s="9" t="n">
        <v>0.0593</v>
      </c>
      <c r="D161" s="10" t="n">
        <f aca="false">(C161-B161)*10000</f>
        <v>88</v>
      </c>
      <c r="E161" s="11" t="n">
        <f aca="false">MAX(0,C161-B161)*(1-Parametros!$B$5)</f>
        <v>0.0088</v>
      </c>
      <c r="F161" s="11" t="n">
        <f aca="false">B161+E161*Parametros!$B$6</f>
        <v>0.0593</v>
      </c>
      <c r="G161" s="12" t="n">
        <f aca="false">(1+F161/2)^2-1</f>
        <v>0.0601791224999999</v>
      </c>
      <c r="H161" s="13" t="n">
        <f aca="false">(1+G161)^(-A161)</f>
        <v>0.0104813852089388</v>
      </c>
      <c r="I161" s="11" t="n">
        <f aca="false">B161+E161*Parametros!$B$7</f>
        <v>0.0593</v>
      </c>
      <c r="J161" s="12" t="n">
        <f aca="false">(1+I161/2)^2-1</f>
        <v>0.0601791224999999</v>
      </c>
      <c r="K161" s="13" t="n">
        <f aca="false">(1+J161)^(-A161)</f>
        <v>0.0104813852089388</v>
      </c>
      <c r="L161" s="11" t="n">
        <f aca="false">B161+E161*Parametros!$B$8</f>
        <v>0.0593</v>
      </c>
      <c r="M161" s="12" t="n">
        <f aca="false">(1+L161/2)^2-1</f>
        <v>0.0601791224999999</v>
      </c>
      <c r="N161" s="13" t="n">
        <f aca="false">(1+M161)^(-A161)</f>
        <v>0.0104813852089388</v>
      </c>
    </row>
    <row r="162" customFormat="false" ht="15" hidden="false" customHeight="false" outlineLevel="0" collapsed="false">
      <c r="A162" s="4" t="n">
        <v>78.5</v>
      </c>
      <c r="B162" s="9" t="n">
        <v>0.0505</v>
      </c>
      <c r="C162" s="9" t="n">
        <v>0.0593</v>
      </c>
      <c r="D162" s="10" t="n">
        <f aca="false">(C162-B162)*10000</f>
        <v>88</v>
      </c>
      <c r="E162" s="11" t="n">
        <f aca="false">MAX(0,C162-B162)*(1-Parametros!$B$5)</f>
        <v>0.0088</v>
      </c>
      <c r="F162" s="11" t="n">
        <f aca="false">B162+E162*Parametros!$B$6</f>
        <v>0.0593</v>
      </c>
      <c r="G162" s="12" t="n">
        <f aca="false">(1+F162/2)^2-1</f>
        <v>0.0601791224999999</v>
      </c>
      <c r="H162" s="13" t="n">
        <f aca="false">(1+G162)^(-A162)</f>
        <v>0.0101795612188014</v>
      </c>
      <c r="I162" s="11" t="n">
        <f aca="false">B162+E162*Parametros!$B$7</f>
        <v>0.0593</v>
      </c>
      <c r="J162" s="12" t="n">
        <f aca="false">(1+I162/2)^2-1</f>
        <v>0.0601791224999999</v>
      </c>
      <c r="K162" s="13" t="n">
        <f aca="false">(1+J162)^(-A162)</f>
        <v>0.0101795612188014</v>
      </c>
      <c r="L162" s="11" t="n">
        <f aca="false">B162+E162*Parametros!$B$8</f>
        <v>0.0593</v>
      </c>
      <c r="M162" s="12" t="n">
        <f aca="false">(1+L162/2)^2-1</f>
        <v>0.0601791224999999</v>
      </c>
      <c r="N162" s="13" t="n">
        <f aca="false">(1+M162)^(-A162)</f>
        <v>0.0101795612188014</v>
      </c>
    </row>
    <row r="163" customFormat="false" ht="15" hidden="false" customHeight="false" outlineLevel="0" collapsed="false">
      <c r="A163" s="4" t="n">
        <v>79</v>
      </c>
      <c r="B163" s="9" t="n">
        <v>0.0505</v>
      </c>
      <c r="C163" s="9" t="n">
        <v>0.0594</v>
      </c>
      <c r="D163" s="10" t="n">
        <f aca="false">(C163-B163)*10000</f>
        <v>89</v>
      </c>
      <c r="E163" s="11" t="n">
        <f aca="false">MAX(0,C163-B163)*(1-Parametros!$B$5)</f>
        <v>0.0089</v>
      </c>
      <c r="F163" s="11" t="n">
        <f aca="false">B163+E163*Parametros!$B$6</f>
        <v>0.0594</v>
      </c>
      <c r="G163" s="12" t="n">
        <f aca="false">(1+F163/2)^2-1</f>
        <v>0.0602820900000001</v>
      </c>
      <c r="H163" s="13" t="n">
        <f aca="false">(1+G163)^(-A163)</f>
        <v>0.00981086696640192</v>
      </c>
      <c r="I163" s="11" t="n">
        <f aca="false">B163+E163*Parametros!$B$7</f>
        <v>0.0594</v>
      </c>
      <c r="J163" s="12" t="n">
        <f aca="false">(1+I163/2)^2-1</f>
        <v>0.0602820900000001</v>
      </c>
      <c r="K163" s="13" t="n">
        <f aca="false">(1+J163)^(-A163)</f>
        <v>0.00981086696640192</v>
      </c>
      <c r="L163" s="11" t="n">
        <f aca="false">B163+E163*Parametros!$B$8</f>
        <v>0.0594</v>
      </c>
      <c r="M163" s="12" t="n">
        <f aca="false">(1+L163/2)^2-1</f>
        <v>0.0602820900000001</v>
      </c>
      <c r="N163" s="13" t="n">
        <f aca="false">(1+M163)^(-A163)</f>
        <v>0.00981086696640192</v>
      </c>
    </row>
    <row r="164" customFormat="false" ht="15" hidden="false" customHeight="false" outlineLevel="0" collapsed="false">
      <c r="A164" s="4" t="n">
        <v>79.5</v>
      </c>
      <c r="B164" s="9" t="n">
        <v>0.0505</v>
      </c>
      <c r="C164" s="9" t="n">
        <v>0.0594</v>
      </c>
      <c r="D164" s="10" t="n">
        <f aca="false">(C164-B164)*10000</f>
        <v>89</v>
      </c>
      <c r="E164" s="11" t="n">
        <f aca="false">MAX(0,C164-B164)*(1-Parametros!$B$5)</f>
        <v>0.0089</v>
      </c>
      <c r="F164" s="11" t="n">
        <f aca="false">B164+E164*Parametros!$B$6</f>
        <v>0.0594</v>
      </c>
      <c r="G164" s="12" t="n">
        <f aca="false">(1+F164/2)^2-1</f>
        <v>0.0602820900000001</v>
      </c>
      <c r="H164" s="13" t="n">
        <f aca="false">(1+G164)^(-A164)</f>
        <v>0.00952788867281919</v>
      </c>
      <c r="I164" s="11" t="n">
        <f aca="false">B164+E164*Parametros!$B$7</f>
        <v>0.0594</v>
      </c>
      <c r="J164" s="12" t="n">
        <f aca="false">(1+I164/2)^2-1</f>
        <v>0.0602820900000001</v>
      </c>
      <c r="K164" s="13" t="n">
        <f aca="false">(1+J164)^(-A164)</f>
        <v>0.00952788867281919</v>
      </c>
      <c r="L164" s="11" t="n">
        <f aca="false">B164+E164*Parametros!$B$8</f>
        <v>0.0594</v>
      </c>
      <c r="M164" s="12" t="n">
        <f aca="false">(1+L164/2)^2-1</f>
        <v>0.0602820900000001</v>
      </c>
      <c r="N164" s="13" t="n">
        <f aca="false">(1+M164)^(-A164)</f>
        <v>0.00952788867281919</v>
      </c>
    </row>
    <row r="165" customFormat="false" ht="15" hidden="false" customHeight="false" outlineLevel="0" collapsed="false">
      <c r="A165" s="4" t="n">
        <v>80</v>
      </c>
      <c r="B165" s="9" t="n">
        <v>0.0505</v>
      </c>
      <c r="C165" s="9" t="n">
        <v>0.0594</v>
      </c>
      <c r="D165" s="10" t="n">
        <f aca="false">(C165-B165)*10000</f>
        <v>89</v>
      </c>
      <c r="E165" s="11" t="n">
        <f aca="false">MAX(0,C165-B165)*(1-Parametros!$B$5)</f>
        <v>0.0089</v>
      </c>
      <c r="F165" s="11" t="n">
        <f aca="false">B165+E165*Parametros!$B$6</f>
        <v>0.0594</v>
      </c>
      <c r="G165" s="12" t="n">
        <f aca="false">(1+F165/2)^2-1</f>
        <v>0.0602820900000001</v>
      </c>
      <c r="H165" s="13" t="n">
        <f aca="false">(1+G165)^(-A165)</f>
        <v>0.00925307242188908</v>
      </c>
      <c r="I165" s="11" t="n">
        <f aca="false">B165+E165*Parametros!$B$7</f>
        <v>0.0594</v>
      </c>
      <c r="J165" s="12" t="n">
        <f aca="false">(1+I165/2)^2-1</f>
        <v>0.0602820900000001</v>
      </c>
      <c r="K165" s="13" t="n">
        <f aca="false">(1+J165)^(-A165)</f>
        <v>0.00925307242188908</v>
      </c>
      <c r="L165" s="11" t="n">
        <f aca="false">B165+E165*Parametros!$B$8</f>
        <v>0.0594</v>
      </c>
      <c r="M165" s="12" t="n">
        <f aca="false">(1+L165/2)^2-1</f>
        <v>0.0602820900000001</v>
      </c>
      <c r="N165" s="13" t="n">
        <f aca="false">(1+M165)^(-A165)</f>
        <v>0.00925307242188908</v>
      </c>
    </row>
    <row r="166" customFormat="false" ht="15" hidden="false" customHeight="false" outlineLevel="0" collapsed="false">
      <c r="A166" s="4" t="n">
        <v>80.5</v>
      </c>
      <c r="B166" s="9" t="n">
        <v>0.0505</v>
      </c>
      <c r="C166" s="9" t="n">
        <v>0.0594</v>
      </c>
      <c r="D166" s="10" t="n">
        <f aca="false">(C166-B166)*10000</f>
        <v>89</v>
      </c>
      <c r="E166" s="11" t="n">
        <f aca="false">MAX(0,C166-B166)*(1-Parametros!$B$5)</f>
        <v>0.0089</v>
      </c>
      <c r="F166" s="11" t="n">
        <f aca="false">B166+E166*Parametros!$B$6</f>
        <v>0.0594</v>
      </c>
      <c r="G166" s="12" t="n">
        <f aca="false">(1+F166/2)^2-1</f>
        <v>0.0602820900000001</v>
      </c>
      <c r="H166" s="13" t="n">
        <f aca="false">(1+G166)^(-A166)</f>
        <v>0.0089861827929388</v>
      </c>
      <c r="I166" s="11" t="n">
        <f aca="false">B166+E166*Parametros!$B$7</f>
        <v>0.0594</v>
      </c>
      <c r="J166" s="12" t="n">
        <f aca="false">(1+I166/2)^2-1</f>
        <v>0.0602820900000001</v>
      </c>
      <c r="K166" s="13" t="n">
        <f aca="false">(1+J166)^(-A166)</f>
        <v>0.0089861827929388</v>
      </c>
      <c r="L166" s="11" t="n">
        <f aca="false">B166+E166*Parametros!$B$8</f>
        <v>0.0594</v>
      </c>
      <c r="M166" s="12" t="n">
        <f aca="false">(1+L166/2)^2-1</f>
        <v>0.0602820900000001</v>
      </c>
      <c r="N166" s="13" t="n">
        <f aca="false">(1+M166)^(-A166)</f>
        <v>0.0089861827929388</v>
      </c>
    </row>
    <row r="167" customFormat="false" ht="15" hidden="false" customHeight="false" outlineLevel="0" collapsed="false">
      <c r="A167" s="4" t="n">
        <v>81</v>
      </c>
      <c r="B167" s="9" t="n">
        <v>0.0505</v>
      </c>
      <c r="C167" s="9" t="n">
        <v>0.0594</v>
      </c>
      <c r="D167" s="10" t="n">
        <f aca="false">(C167-B167)*10000</f>
        <v>89</v>
      </c>
      <c r="E167" s="11" t="n">
        <f aca="false">MAX(0,C167-B167)*(1-Parametros!$B$5)</f>
        <v>0.0089</v>
      </c>
      <c r="F167" s="11" t="n">
        <f aca="false">B167+E167*Parametros!$B$6</f>
        <v>0.0594</v>
      </c>
      <c r="G167" s="12" t="n">
        <f aca="false">(1+F167/2)^2-1</f>
        <v>0.0602820900000001</v>
      </c>
      <c r="H167" s="13" t="n">
        <f aca="false">(1+G167)^(-A167)</f>
        <v>0.00872699115561697</v>
      </c>
      <c r="I167" s="11" t="n">
        <f aca="false">B167+E167*Parametros!$B$7</f>
        <v>0.0594</v>
      </c>
      <c r="J167" s="12" t="n">
        <f aca="false">(1+I167/2)^2-1</f>
        <v>0.0602820900000001</v>
      </c>
      <c r="K167" s="13" t="n">
        <f aca="false">(1+J167)^(-A167)</f>
        <v>0.00872699115561697</v>
      </c>
      <c r="L167" s="11" t="n">
        <f aca="false">B167+E167*Parametros!$B$8</f>
        <v>0.0594</v>
      </c>
      <c r="M167" s="12" t="n">
        <f aca="false">(1+L167/2)^2-1</f>
        <v>0.0602820900000001</v>
      </c>
      <c r="N167" s="13" t="n">
        <f aca="false">(1+M167)^(-A167)</f>
        <v>0.00872699115561697</v>
      </c>
    </row>
    <row r="168" customFormat="false" ht="15" hidden="false" customHeight="false" outlineLevel="0" collapsed="false">
      <c r="A168" s="4" t="n">
        <v>81.5</v>
      </c>
      <c r="B168" s="9" t="n">
        <v>0.0505</v>
      </c>
      <c r="C168" s="9" t="n">
        <v>0.0594</v>
      </c>
      <c r="D168" s="10" t="n">
        <f aca="false">(C168-B168)*10000</f>
        <v>89</v>
      </c>
      <c r="E168" s="11" t="n">
        <f aca="false">MAX(0,C168-B168)*(1-Parametros!$B$5)</f>
        <v>0.0089</v>
      </c>
      <c r="F168" s="11" t="n">
        <f aca="false">B168+E168*Parametros!$B$6</f>
        <v>0.0594</v>
      </c>
      <c r="G168" s="12" t="n">
        <f aca="false">(1+F168/2)^2-1</f>
        <v>0.0602820900000001</v>
      </c>
      <c r="H168" s="13" t="n">
        <f aca="false">(1+G168)^(-A168)</f>
        <v>0.00847527547403804</v>
      </c>
      <c r="I168" s="11" t="n">
        <f aca="false">B168+E168*Parametros!$B$7</f>
        <v>0.0594</v>
      </c>
      <c r="J168" s="12" t="n">
        <f aca="false">(1+I168/2)^2-1</f>
        <v>0.0602820900000001</v>
      </c>
      <c r="K168" s="13" t="n">
        <f aca="false">(1+J168)^(-A168)</f>
        <v>0.00847527547403804</v>
      </c>
      <c r="L168" s="11" t="n">
        <f aca="false">B168+E168*Parametros!$B$8</f>
        <v>0.0594</v>
      </c>
      <c r="M168" s="12" t="n">
        <f aca="false">(1+L168/2)^2-1</f>
        <v>0.0602820900000001</v>
      </c>
      <c r="N168" s="13" t="n">
        <f aca="false">(1+M168)^(-A168)</f>
        <v>0.00847527547403804</v>
      </c>
    </row>
    <row r="169" customFormat="false" ht="15" hidden="false" customHeight="false" outlineLevel="0" collapsed="false">
      <c r="A169" s="4" t="n">
        <v>82</v>
      </c>
      <c r="B169" s="9" t="n">
        <v>0.0505</v>
      </c>
      <c r="C169" s="9" t="n">
        <v>0.0594</v>
      </c>
      <c r="D169" s="10" t="n">
        <f aca="false">(C169-B169)*10000</f>
        <v>89</v>
      </c>
      <c r="E169" s="11" t="n">
        <f aca="false">MAX(0,C169-B169)*(1-Parametros!$B$5)</f>
        <v>0.0089</v>
      </c>
      <c r="F169" s="11" t="n">
        <f aca="false">B169+E169*Parametros!$B$6</f>
        <v>0.0594</v>
      </c>
      <c r="G169" s="12" t="n">
        <f aca="false">(1+F169/2)^2-1</f>
        <v>0.0602820900000001</v>
      </c>
      <c r="H169" s="13" t="n">
        <f aca="false">(1+G169)^(-A169)</f>
        <v>0.00823082011657574</v>
      </c>
      <c r="I169" s="11" t="n">
        <f aca="false">B169+E169*Parametros!$B$7</f>
        <v>0.0594</v>
      </c>
      <c r="J169" s="12" t="n">
        <f aca="false">(1+I169/2)^2-1</f>
        <v>0.0602820900000001</v>
      </c>
      <c r="K169" s="13" t="n">
        <f aca="false">(1+J169)^(-A169)</f>
        <v>0.00823082011657574</v>
      </c>
      <c r="L169" s="11" t="n">
        <f aca="false">B169+E169*Parametros!$B$8</f>
        <v>0.0594</v>
      </c>
      <c r="M169" s="12" t="n">
        <f aca="false">(1+L169/2)^2-1</f>
        <v>0.0602820900000001</v>
      </c>
      <c r="N169" s="13" t="n">
        <f aca="false">(1+M169)^(-A169)</f>
        <v>0.00823082011657574</v>
      </c>
    </row>
    <row r="170" customFormat="false" ht="15" hidden="false" customHeight="false" outlineLevel="0" collapsed="false">
      <c r="A170" s="4" t="n">
        <v>82.5</v>
      </c>
      <c r="B170" s="9" t="n">
        <v>0.0506</v>
      </c>
      <c r="C170" s="9" t="n">
        <v>0.0594</v>
      </c>
      <c r="D170" s="10" t="n">
        <f aca="false">(C170-B170)*10000</f>
        <v>88</v>
      </c>
      <c r="E170" s="11" t="n">
        <f aca="false">MAX(0,C170-B170)*(1-Parametros!$B$5)</f>
        <v>0.0088</v>
      </c>
      <c r="F170" s="11" t="n">
        <f aca="false">B170+E170*Parametros!$B$6</f>
        <v>0.0594</v>
      </c>
      <c r="G170" s="12" t="n">
        <f aca="false">(1+F170/2)^2-1</f>
        <v>0.0602820900000001</v>
      </c>
      <c r="H170" s="13" t="n">
        <f aca="false">(1+G170)^(-A170)</f>
        <v>0.0079934156711428</v>
      </c>
      <c r="I170" s="11" t="n">
        <f aca="false">B170+E170*Parametros!$B$7</f>
        <v>0.0594</v>
      </c>
      <c r="J170" s="12" t="n">
        <f aca="false">(1+I170/2)^2-1</f>
        <v>0.0602820900000001</v>
      </c>
      <c r="K170" s="13" t="n">
        <f aca="false">(1+J170)^(-A170)</f>
        <v>0.0079934156711428</v>
      </c>
      <c r="L170" s="11" t="n">
        <f aca="false">B170+E170*Parametros!$B$8</f>
        <v>0.0594</v>
      </c>
      <c r="M170" s="12" t="n">
        <f aca="false">(1+L170/2)^2-1</f>
        <v>0.0602820900000001</v>
      </c>
      <c r="N170" s="13" t="n">
        <f aca="false">(1+M170)^(-A170)</f>
        <v>0.0079934156711428</v>
      </c>
    </row>
    <row r="171" customFormat="false" ht="15" hidden="false" customHeight="false" outlineLevel="0" collapsed="false">
      <c r="A171" s="4" t="n">
        <v>83</v>
      </c>
      <c r="B171" s="9" t="n">
        <v>0.0506</v>
      </c>
      <c r="C171" s="9" t="n">
        <v>0.0594</v>
      </c>
      <c r="D171" s="10" t="n">
        <f aca="false">(C171-B171)*10000</f>
        <v>88</v>
      </c>
      <c r="E171" s="11" t="n">
        <f aca="false">MAX(0,C171-B171)*(1-Parametros!$B$5)</f>
        <v>0.0088</v>
      </c>
      <c r="F171" s="11" t="n">
        <f aca="false">B171+E171*Parametros!$B$6</f>
        <v>0.0594</v>
      </c>
      <c r="G171" s="12" t="n">
        <f aca="false">(1+F171/2)^2-1</f>
        <v>0.0602820900000001</v>
      </c>
      <c r="H171" s="13" t="n">
        <f aca="false">(1+G171)^(-A171)</f>
        <v>0.00776285876579858</v>
      </c>
      <c r="I171" s="11" t="n">
        <f aca="false">B171+E171*Parametros!$B$7</f>
        <v>0.0594</v>
      </c>
      <c r="J171" s="12" t="n">
        <f aca="false">(1+I171/2)^2-1</f>
        <v>0.0602820900000001</v>
      </c>
      <c r="K171" s="13" t="n">
        <f aca="false">(1+J171)^(-A171)</f>
        <v>0.00776285876579858</v>
      </c>
      <c r="L171" s="11" t="n">
        <f aca="false">B171+E171*Parametros!$B$8</f>
        <v>0.0594</v>
      </c>
      <c r="M171" s="12" t="n">
        <f aca="false">(1+L171/2)^2-1</f>
        <v>0.0602820900000001</v>
      </c>
      <c r="N171" s="13" t="n">
        <f aca="false">(1+M171)^(-A171)</f>
        <v>0.00776285876579858</v>
      </c>
    </row>
    <row r="172" customFormat="false" ht="15" hidden="false" customHeight="false" outlineLevel="0" collapsed="false">
      <c r="A172" s="4" t="n">
        <v>83.5</v>
      </c>
      <c r="B172" s="9" t="n">
        <v>0.0506</v>
      </c>
      <c r="C172" s="9" t="n">
        <v>0.0594</v>
      </c>
      <c r="D172" s="10" t="n">
        <f aca="false">(C172-B172)*10000</f>
        <v>88</v>
      </c>
      <c r="E172" s="11" t="n">
        <f aca="false">MAX(0,C172-B172)*(1-Parametros!$B$5)</f>
        <v>0.0088</v>
      </c>
      <c r="F172" s="11" t="n">
        <f aca="false">B172+E172*Parametros!$B$6</f>
        <v>0.0594</v>
      </c>
      <c r="G172" s="12" t="n">
        <f aca="false">(1+F172/2)^2-1</f>
        <v>0.0602820900000001</v>
      </c>
      <c r="H172" s="13" t="n">
        <f aca="false">(1+G172)^(-A172)</f>
        <v>0.00753895189453101</v>
      </c>
      <c r="I172" s="11" t="n">
        <f aca="false">B172+E172*Parametros!$B$7</f>
        <v>0.0594</v>
      </c>
      <c r="J172" s="12" t="n">
        <f aca="false">(1+I172/2)^2-1</f>
        <v>0.0602820900000001</v>
      </c>
      <c r="K172" s="13" t="n">
        <f aca="false">(1+J172)^(-A172)</f>
        <v>0.00753895189453101</v>
      </c>
      <c r="L172" s="11" t="n">
        <f aca="false">B172+E172*Parametros!$B$8</f>
        <v>0.0594</v>
      </c>
      <c r="M172" s="12" t="n">
        <f aca="false">(1+L172/2)^2-1</f>
        <v>0.0602820900000001</v>
      </c>
      <c r="N172" s="13" t="n">
        <f aca="false">(1+M172)^(-A172)</f>
        <v>0.00753895189453101</v>
      </c>
    </row>
    <row r="173" customFormat="false" ht="15" hidden="false" customHeight="false" outlineLevel="0" collapsed="false">
      <c r="A173" s="4" t="n">
        <v>84</v>
      </c>
      <c r="B173" s="9" t="n">
        <v>0.0506</v>
      </c>
      <c r="C173" s="9" t="n">
        <v>0.0594</v>
      </c>
      <c r="D173" s="10" t="n">
        <f aca="false">(C173-B173)*10000</f>
        <v>88</v>
      </c>
      <c r="E173" s="11" t="n">
        <f aca="false">MAX(0,C173-B173)*(1-Parametros!$B$5)</f>
        <v>0.0088</v>
      </c>
      <c r="F173" s="11" t="n">
        <f aca="false">B173+E173*Parametros!$B$6</f>
        <v>0.0594</v>
      </c>
      <c r="G173" s="12" t="n">
        <f aca="false">(1+F173/2)^2-1</f>
        <v>0.0602820900000001</v>
      </c>
      <c r="H173" s="13" t="n">
        <f aca="false">(1+G173)^(-A173)</f>
        <v>0.00732150324806353</v>
      </c>
      <c r="I173" s="11" t="n">
        <f aca="false">B173+E173*Parametros!$B$7</f>
        <v>0.0594</v>
      </c>
      <c r="J173" s="12" t="n">
        <f aca="false">(1+I173/2)^2-1</f>
        <v>0.0602820900000001</v>
      </c>
      <c r="K173" s="13" t="n">
        <f aca="false">(1+J173)^(-A173)</f>
        <v>0.00732150324806353</v>
      </c>
      <c r="L173" s="11" t="n">
        <f aca="false">B173+E173*Parametros!$B$8</f>
        <v>0.0594</v>
      </c>
      <c r="M173" s="12" t="n">
        <f aca="false">(1+L173/2)^2-1</f>
        <v>0.0602820900000001</v>
      </c>
      <c r="N173" s="13" t="n">
        <f aca="false">(1+M173)^(-A173)</f>
        <v>0.00732150324806353</v>
      </c>
    </row>
    <row r="174" customFormat="false" ht="15" hidden="false" customHeight="false" outlineLevel="0" collapsed="false">
      <c r="A174" s="4" t="n">
        <v>84.5</v>
      </c>
      <c r="B174" s="9" t="n">
        <v>0.0506</v>
      </c>
      <c r="C174" s="9" t="n">
        <v>0.0594</v>
      </c>
      <c r="D174" s="10" t="n">
        <f aca="false">(C174-B174)*10000</f>
        <v>88</v>
      </c>
      <c r="E174" s="11" t="n">
        <f aca="false">MAX(0,C174-B174)*(1-Parametros!$B$5)</f>
        <v>0.0088</v>
      </c>
      <c r="F174" s="11" t="n">
        <f aca="false">B174+E174*Parametros!$B$6</f>
        <v>0.0594</v>
      </c>
      <c r="G174" s="12" t="n">
        <f aca="false">(1+F174/2)^2-1</f>
        <v>0.0602820900000001</v>
      </c>
      <c r="H174" s="13" t="n">
        <f aca="false">(1+G174)^(-A174)</f>
        <v>0.00711032654954212</v>
      </c>
      <c r="I174" s="11" t="n">
        <f aca="false">B174+E174*Parametros!$B$7</f>
        <v>0.0594</v>
      </c>
      <c r="J174" s="12" t="n">
        <f aca="false">(1+I174/2)^2-1</f>
        <v>0.0602820900000001</v>
      </c>
      <c r="K174" s="13" t="n">
        <f aca="false">(1+J174)^(-A174)</f>
        <v>0.00711032654954212</v>
      </c>
      <c r="L174" s="11" t="n">
        <f aca="false">B174+E174*Parametros!$B$8</f>
        <v>0.0594</v>
      </c>
      <c r="M174" s="12" t="n">
        <f aca="false">(1+L174/2)^2-1</f>
        <v>0.0602820900000001</v>
      </c>
      <c r="N174" s="13" t="n">
        <f aca="false">(1+M174)^(-A174)</f>
        <v>0.00711032654954212</v>
      </c>
    </row>
    <row r="175" customFormat="false" ht="15" hidden="false" customHeight="false" outlineLevel="0" collapsed="false">
      <c r="A175" s="4" t="n">
        <v>85</v>
      </c>
      <c r="B175" s="9" t="n">
        <v>0.0506</v>
      </c>
      <c r="C175" s="9" t="n">
        <v>0.0594</v>
      </c>
      <c r="D175" s="10" t="n">
        <f aca="false">(C175-B175)*10000</f>
        <v>88</v>
      </c>
      <c r="E175" s="11" t="n">
        <f aca="false">MAX(0,C175-B175)*(1-Parametros!$B$5)</f>
        <v>0.0088</v>
      </c>
      <c r="F175" s="11" t="n">
        <f aca="false">B175+E175*Parametros!$B$6</f>
        <v>0.0594</v>
      </c>
      <c r="G175" s="12" t="n">
        <f aca="false">(1+F175/2)^2-1</f>
        <v>0.0602820900000001</v>
      </c>
      <c r="H175" s="13" t="n">
        <f aca="false">(1+G175)^(-A175)</f>
        <v>0.00690524089496176</v>
      </c>
      <c r="I175" s="11" t="n">
        <f aca="false">B175+E175*Parametros!$B$7</f>
        <v>0.0594</v>
      </c>
      <c r="J175" s="12" t="n">
        <f aca="false">(1+I175/2)^2-1</f>
        <v>0.0602820900000001</v>
      </c>
      <c r="K175" s="13" t="n">
        <f aca="false">(1+J175)^(-A175)</f>
        <v>0.00690524089496176</v>
      </c>
      <c r="L175" s="11" t="n">
        <f aca="false">B175+E175*Parametros!$B$8</f>
        <v>0.0594</v>
      </c>
      <c r="M175" s="12" t="n">
        <f aca="false">(1+L175/2)^2-1</f>
        <v>0.0602820900000001</v>
      </c>
      <c r="N175" s="13" t="n">
        <f aca="false">(1+M175)^(-A175)</f>
        <v>0.00690524089496176</v>
      </c>
    </row>
    <row r="176" customFormat="false" ht="15" hidden="false" customHeight="false" outlineLevel="0" collapsed="false">
      <c r="A176" s="4" t="n">
        <v>85.5</v>
      </c>
      <c r="B176" s="9" t="n">
        <v>0.0506</v>
      </c>
      <c r="C176" s="9" t="n">
        <v>0.0594</v>
      </c>
      <c r="D176" s="10" t="n">
        <f aca="false">(C176-B176)*10000</f>
        <v>88</v>
      </c>
      <c r="E176" s="11" t="n">
        <f aca="false">MAX(0,C176-B176)*(1-Parametros!$B$5)</f>
        <v>0.0088</v>
      </c>
      <c r="F176" s="11" t="n">
        <f aca="false">B176+E176*Parametros!$B$6</f>
        <v>0.0594</v>
      </c>
      <c r="G176" s="12" t="n">
        <f aca="false">(1+F176/2)^2-1</f>
        <v>0.0602820900000001</v>
      </c>
      <c r="H176" s="13" t="n">
        <f aca="false">(1+G176)^(-A176)</f>
        <v>0.00670607059819536</v>
      </c>
      <c r="I176" s="11" t="n">
        <f aca="false">B176+E176*Parametros!$B$7</f>
        <v>0.0594</v>
      </c>
      <c r="J176" s="12" t="n">
        <f aca="false">(1+I176/2)^2-1</f>
        <v>0.0602820900000001</v>
      </c>
      <c r="K176" s="13" t="n">
        <f aca="false">(1+J176)^(-A176)</f>
        <v>0.00670607059819536</v>
      </c>
      <c r="L176" s="11" t="n">
        <f aca="false">B176+E176*Parametros!$B$8</f>
        <v>0.0594</v>
      </c>
      <c r="M176" s="12" t="n">
        <f aca="false">(1+L176/2)^2-1</f>
        <v>0.0602820900000001</v>
      </c>
      <c r="N176" s="13" t="n">
        <f aca="false">(1+M176)^(-A176)</f>
        <v>0.00670607059819536</v>
      </c>
    </row>
    <row r="177" customFormat="false" ht="15" hidden="false" customHeight="false" outlineLevel="0" collapsed="false">
      <c r="A177" s="4" t="n">
        <v>86</v>
      </c>
      <c r="B177" s="9" t="n">
        <v>0.0506</v>
      </c>
      <c r="C177" s="9" t="n">
        <v>0.0594</v>
      </c>
      <c r="D177" s="10" t="n">
        <f aca="false">(C177-B177)*10000</f>
        <v>88</v>
      </c>
      <c r="E177" s="11" t="n">
        <f aca="false">MAX(0,C177-B177)*(1-Parametros!$B$5)</f>
        <v>0.0088</v>
      </c>
      <c r="F177" s="11" t="n">
        <f aca="false">B177+E177*Parametros!$B$6</f>
        <v>0.0594</v>
      </c>
      <c r="G177" s="12" t="n">
        <f aca="false">(1+F177/2)^2-1</f>
        <v>0.0602820900000001</v>
      </c>
      <c r="H177" s="13" t="n">
        <f aca="false">(1+G177)^(-A177)</f>
        <v>0.00651264504049272</v>
      </c>
      <c r="I177" s="11" t="n">
        <f aca="false">B177+E177*Parametros!$B$7</f>
        <v>0.0594</v>
      </c>
      <c r="J177" s="12" t="n">
        <f aca="false">(1+I177/2)^2-1</f>
        <v>0.0602820900000001</v>
      </c>
      <c r="K177" s="13" t="n">
        <f aca="false">(1+J177)^(-A177)</f>
        <v>0.00651264504049272</v>
      </c>
      <c r="L177" s="11" t="n">
        <f aca="false">B177+E177*Parametros!$B$8</f>
        <v>0.0594</v>
      </c>
      <c r="M177" s="12" t="n">
        <f aca="false">(1+L177/2)^2-1</f>
        <v>0.0602820900000001</v>
      </c>
      <c r="N177" s="13" t="n">
        <f aca="false">(1+M177)^(-A177)</f>
        <v>0.00651264504049272</v>
      </c>
    </row>
    <row r="178" customFormat="false" ht="15" hidden="false" customHeight="false" outlineLevel="0" collapsed="false">
      <c r="A178" s="4" t="n">
        <v>86.5</v>
      </c>
      <c r="B178" s="9" t="n">
        <v>0.0506</v>
      </c>
      <c r="C178" s="9" t="n">
        <v>0.0594</v>
      </c>
      <c r="D178" s="10" t="n">
        <f aca="false">(C178-B178)*10000</f>
        <v>88</v>
      </c>
      <c r="E178" s="11" t="n">
        <f aca="false">MAX(0,C178-B178)*(1-Parametros!$B$5)</f>
        <v>0.0088</v>
      </c>
      <c r="F178" s="11" t="n">
        <f aca="false">B178+E178*Parametros!$B$6</f>
        <v>0.0594</v>
      </c>
      <c r="G178" s="12" t="n">
        <f aca="false">(1+F178/2)^2-1</f>
        <v>0.0602820900000001</v>
      </c>
      <c r="H178" s="13" t="n">
        <f aca="false">(1+G178)^(-A178)</f>
        <v>0.00632479852432041</v>
      </c>
      <c r="I178" s="11" t="n">
        <f aca="false">B178+E178*Parametros!$B$7</f>
        <v>0.0594</v>
      </c>
      <c r="J178" s="12" t="n">
        <f aca="false">(1+I178/2)^2-1</f>
        <v>0.0602820900000001</v>
      </c>
      <c r="K178" s="13" t="n">
        <f aca="false">(1+J178)^(-A178)</f>
        <v>0.00632479852432041</v>
      </c>
      <c r="L178" s="11" t="n">
        <f aca="false">B178+E178*Parametros!$B$8</f>
        <v>0.0594</v>
      </c>
      <c r="M178" s="12" t="n">
        <f aca="false">(1+L178/2)^2-1</f>
        <v>0.0602820900000001</v>
      </c>
      <c r="N178" s="13" t="n">
        <f aca="false">(1+M178)^(-A178)</f>
        <v>0.00632479852432041</v>
      </c>
    </row>
    <row r="179" customFormat="false" ht="15" hidden="false" customHeight="false" outlineLevel="0" collapsed="false">
      <c r="A179" s="4" t="n">
        <v>87</v>
      </c>
      <c r="B179" s="9" t="n">
        <v>0.0506</v>
      </c>
      <c r="C179" s="9" t="n">
        <v>0.0594</v>
      </c>
      <c r="D179" s="10" t="n">
        <f aca="false">(C179-B179)*10000</f>
        <v>88</v>
      </c>
      <c r="E179" s="11" t="n">
        <f aca="false">MAX(0,C179-B179)*(1-Parametros!$B$5)</f>
        <v>0.0088</v>
      </c>
      <c r="F179" s="11" t="n">
        <f aca="false">B179+E179*Parametros!$B$6</f>
        <v>0.0594</v>
      </c>
      <c r="G179" s="12" t="n">
        <f aca="false">(1+F179/2)^2-1</f>
        <v>0.0602820900000001</v>
      </c>
      <c r="H179" s="13" t="n">
        <f aca="false">(1+G179)^(-A179)</f>
        <v>0.00614237013141731</v>
      </c>
      <c r="I179" s="11" t="n">
        <f aca="false">B179+E179*Parametros!$B$7</f>
        <v>0.0594</v>
      </c>
      <c r="J179" s="12" t="n">
        <f aca="false">(1+I179/2)^2-1</f>
        <v>0.0602820900000001</v>
      </c>
      <c r="K179" s="13" t="n">
        <f aca="false">(1+J179)^(-A179)</f>
        <v>0.00614237013141731</v>
      </c>
      <c r="L179" s="11" t="n">
        <f aca="false">B179+E179*Parametros!$B$8</f>
        <v>0.0594</v>
      </c>
      <c r="M179" s="12" t="n">
        <f aca="false">(1+L179/2)^2-1</f>
        <v>0.0602820900000001</v>
      </c>
      <c r="N179" s="13" t="n">
        <f aca="false">(1+M179)^(-A179)</f>
        <v>0.00614237013141731</v>
      </c>
    </row>
    <row r="180" customFormat="false" ht="15" hidden="false" customHeight="false" outlineLevel="0" collapsed="false">
      <c r="A180" s="4" t="n">
        <v>87.5</v>
      </c>
      <c r="B180" s="9" t="n">
        <v>0.0506</v>
      </c>
      <c r="C180" s="9" t="n">
        <v>0.0594</v>
      </c>
      <c r="D180" s="10" t="n">
        <f aca="false">(C180-B180)*10000</f>
        <v>88</v>
      </c>
      <c r="E180" s="11" t="n">
        <f aca="false">MAX(0,C180-B180)*(1-Parametros!$B$5)</f>
        <v>0.0088</v>
      </c>
      <c r="F180" s="11" t="n">
        <f aca="false">B180+E180*Parametros!$B$6</f>
        <v>0.0594</v>
      </c>
      <c r="G180" s="12" t="n">
        <f aca="false">(1+F180/2)^2-1</f>
        <v>0.0602820900000001</v>
      </c>
      <c r="H180" s="13" t="n">
        <f aca="false">(1+G180)^(-A180)</f>
        <v>0.00596520358494446</v>
      </c>
      <c r="I180" s="11" t="n">
        <f aca="false">B180+E180*Parametros!$B$7</f>
        <v>0.0594</v>
      </c>
      <c r="J180" s="12" t="n">
        <f aca="false">(1+I180/2)^2-1</f>
        <v>0.0602820900000001</v>
      </c>
      <c r="K180" s="13" t="n">
        <f aca="false">(1+J180)^(-A180)</f>
        <v>0.00596520358494446</v>
      </c>
      <c r="L180" s="11" t="n">
        <f aca="false">B180+E180*Parametros!$B$8</f>
        <v>0.0594</v>
      </c>
      <c r="M180" s="12" t="n">
        <f aca="false">(1+L180/2)^2-1</f>
        <v>0.0602820900000001</v>
      </c>
      <c r="N180" s="13" t="n">
        <f aca="false">(1+M180)^(-A180)</f>
        <v>0.00596520358494446</v>
      </c>
    </row>
    <row r="181" customFormat="false" ht="15" hidden="false" customHeight="false" outlineLevel="0" collapsed="false">
      <c r="A181" s="4" t="n">
        <v>88</v>
      </c>
      <c r="B181" s="9" t="n">
        <v>0.0506</v>
      </c>
      <c r="C181" s="9" t="n">
        <v>0.0594</v>
      </c>
      <c r="D181" s="10" t="n">
        <f aca="false">(C181-B181)*10000</f>
        <v>88</v>
      </c>
      <c r="E181" s="11" t="n">
        <f aca="false">MAX(0,C181-B181)*(1-Parametros!$B$5)</f>
        <v>0.0088</v>
      </c>
      <c r="F181" s="11" t="n">
        <f aca="false">B181+E181*Parametros!$B$6</f>
        <v>0.0594</v>
      </c>
      <c r="G181" s="12" t="n">
        <f aca="false">(1+F181/2)^2-1</f>
        <v>0.0602820900000001</v>
      </c>
      <c r="H181" s="13" t="n">
        <f aca="false">(1+G181)^(-A181)</f>
        <v>0.00579314711561082</v>
      </c>
      <c r="I181" s="11" t="n">
        <f aca="false">B181+E181*Parametros!$B$7</f>
        <v>0.0594</v>
      </c>
      <c r="J181" s="12" t="n">
        <f aca="false">(1+I181/2)^2-1</f>
        <v>0.0602820900000001</v>
      </c>
      <c r="K181" s="13" t="n">
        <f aca="false">(1+J181)^(-A181)</f>
        <v>0.00579314711561082</v>
      </c>
      <c r="L181" s="11" t="n">
        <f aca="false">B181+E181*Parametros!$B$8</f>
        <v>0.0594</v>
      </c>
      <c r="M181" s="12" t="n">
        <f aca="false">(1+L181/2)^2-1</f>
        <v>0.0602820900000001</v>
      </c>
      <c r="N181" s="13" t="n">
        <f aca="false">(1+M181)^(-A181)</f>
        <v>0.00579314711561082</v>
      </c>
    </row>
    <row r="182" customFormat="false" ht="15" hidden="false" customHeight="false" outlineLevel="0" collapsed="false">
      <c r="A182" s="4" t="n">
        <v>88.5</v>
      </c>
      <c r="B182" s="9" t="n">
        <v>0.0506</v>
      </c>
      <c r="C182" s="9" t="n">
        <v>0.0594</v>
      </c>
      <c r="D182" s="10" t="n">
        <f aca="false">(C182-B182)*10000</f>
        <v>88</v>
      </c>
      <c r="E182" s="11" t="n">
        <f aca="false">MAX(0,C182-B182)*(1-Parametros!$B$5)</f>
        <v>0.0088</v>
      </c>
      <c r="F182" s="11" t="n">
        <f aca="false">B182+E182*Parametros!$B$6</f>
        <v>0.0594</v>
      </c>
      <c r="G182" s="12" t="n">
        <f aca="false">(1+F182/2)^2-1</f>
        <v>0.0602820900000001</v>
      </c>
      <c r="H182" s="13" t="n">
        <f aca="false">(1+G182)^(-A182)</f>
        <v>0.0056260533316605</v>
      </c>
      <c r="I182" s="11" t="n">
        <f aca="false">B182+E182*Parametros!$B$7</f>
        <v>0.0594</v>
      </c>
      <c r="J182" s="12" t="n">
        <f aca="false">(1+I182/2)^2-1</f>
        <v>0.0602820900000001</v>
      </c>
      <c r="K182" s="13" t="n">
        <f aca="false">(1+J182)^(-A182)</f>
        <v>0.0056260533316605</v>
      </c>
      <c r="L182" s="11" t="n">
        <f aca="false">B182+E182*Parametros!$B$8</f>
        <v>0.0594</v>
      </c>
      <c r="M182" s="12" t="n">
        <f aca="false">(1+L182/2)^2-1</f>
        <v>0.0602820900000001</v>
      </c>
      <c r="N182" s="13" t="n">
        <f aca="false">(1+M182)^(-A182)</f>
        <v>0.0056260533316605</v>
      </c>
    </row>
    <row r="183" customFormat="false" ht="15" hidden="false" customHeight="false" outlineLevel="0" collapsed="false">
      <c r="A183" s="4" t="n">
        <v>89</v>
      </c>
      <c r="B183" s="9" t="n">
        <v>0.0506</v>
      </c>
      <c r="C183" s="9" t="n">
        <v>0.0595</v>
      </c>
      <c r="D183" s="10" t="n">
        <f aca="false">(C183-B183)*10000</f>
        <v>89</v>
      </c>
      <c r="E183" s="11" t="n">
        <f aca="false">MAX(0,C183-B183)*(1-Parametros!$B$5)</f>
        <v>0.0089</v>
      </c>
      <c r="F183" s="11" t="n">
        <f aca="false">B183+E183*Parametros!$B$6</f>
        <v>0.0595</v>
      </c>
      <c r="G183" s="12" t="n">
        <f aca="false">(1+F183/2)^2-1</f>
        <v>0.0603850625</v>
      </c>
      <c r="H183" s="13" t="n">
        <f aca="false">(1+G183)^(-A183)</f>
        <v>0.00541675868260227</v>
      </c>
      <c r="I183" s="11" t="n">
        <f aca="false">B183+E183*Parametros!$B$7</f>
        <v>0.0595</v>
      </c>
      <c r="J183" s="12" t="n">
        <f aca="false">(1+I183/2)^2-1</f>
        <v>0.0603850625</v>
      </c>
      <c r="K183" s="13" t="n">
        <f aca="false">(1+J183)^(-A183)</f>
        <v>0.00541675868260227</v>
      </c>
      <c r="L183" s="11" t="n">
        <f aca="false">B183+E183*Parametros!$B$8</f>
        <v>0.0595</v>
      </c>
      <c r="M183" s="12" t="n">
        <f aca="false">(1+L183/2)^2-1</f>
        <v>0.0603850625</v>
      </c>
      <c r="N183" s="13" t="n">
        <f aca="false">(1+M183)^(-A183)</f>
        <v>0.00541675868260227</v>
      </c>
    </row>
    <row r="184" customFormat="false" ht="15" hidden="false" customHeight="false" outlineLevel="0" collapsed="false">
      <c r="A184" s="4" t="n">
        <v>89.5</v>
      </c>
      <c r="B184" s="9" t="n">
        <v>0.0506</v>
      </c>
      <c r="C184" s="9" t="n">
        <v>0.0595</v>
      </c>
      <c r="D184" s="10" t="n">
        <f aca="false">(C184-B184)*10000</f>
        <v>89</v>
      </c>
      <c r="E184" s="11" t="n">
        <f aca="false">MAX(0,C184-B184)*(1-Parametros!$B$5)</f>
        <v>0.0089</v>
      </c>
      <c r="F184" s="11" t="n">
        <f aca="false">B184+E184*Parametros!$B$6</f>
        <v>0.0595</v>
      </c>
      <c r="G184" s="12" t="n">
        <f aca="false">(1+F184/2)^2-1</f>
        <v>0.0603850625</v>
      </c>
      <c r="H184" s="13" t="n">
        <f aca="false">(1+G184)^(-A184)</f>
        <v>0.00526026577577303</v>
      </c>
      <c r="I184" s="11" t="n">
        <f aca="false">B184+E184*Parametros!$B$7</f>
        <v>0.0595</v>
      </c>
      <c r="J184" s="12" t="n">
        <f aca="false">(1+I184/2)^2-1</f>
        <v>0.0603850625</v>
      </c>
      <c r="K184" s="13" t="n">
        <f aca="false">(1+J184)^(-A184)</f>
        <v>0.00526026577577303</v>
      </c>
      <c r="L184" s="11" t="n">
        <f aca="false">B184+E184*Parametros!$B$8</f>
        <v>0.0595</v>
      </c>
      <c r="M184" s="12" t="n">
        <f aca="false">(1+L184/2)^2-1</f>
        <v>0.0603850625</v>
      </c>
      <c r="N184" s="13" t="n">
        <f aca="false">(1+M184)^(-A184)</f>
        <v>0.00526026577577303</v>
      </c>
    </row>
    <row r="185" customFormat="false" ht="15" hidden="false" customHeight="false" outlineLevel="0" collapsed="false">
      <c r="A185" s="4" t="n">
        <v>90</v>
      </c>
      <c r="B185" s="9" t="n">
        <v>0.0506</v>
      </c>
      <c r="C185" s="9" t="n">
        <v>0.0595</v>
      </c>
      <c r="D185" s="10" t="n">
        <f aca="false">(C185-B185)*10000</f>
        <v>89</v>
      </c>
      <c r="E185" s="11" t="n">
        <f aca="false">MAX(0,C185-B185)*(1-Parametros!$B$5)</f>
        <v>0.0089</v>
      </c>
      <c r="F185" s="11" t="n">
        <f aca="false">B185+E185*Parametros!$B$6</f>
        <v>0.0595</v>
      </c>
      <c r="G185" s="12" t="n">
        <f aca="false">(1+F185/2)^2-1</f>
        <v>0.0603850625</v>
      </c>
      <c r="H185" s="13" t="n">
        <f aca="false">(1+G185)^(-A185)</f>
        <v>0.00510829402842731</v>
      </c>
      <c r="I185" s="11" t="n">
        <f aca="false">B185+E185*Parametros!$B$7</f>
        <v>0.0595</v>
      </c>
      <c r="J185" s="12" t="n">
        <f aca="false">(1+I185/2)^2-1</f>
        <v>0.0603850625</v>
      </c>
      <c r="K185" s="13" t="n">
        <f aca="false">(1+J185)^(-A185)</f>
        <v>0.00510829402842731</v>
      </c>
      <c r="L185" s="11" t="n">
        <f aca="false">B185+E185*Parametros!$B$8</f>
        <v>0.0595</v>
      </c>
      <c r="M185" s="12" t="n">
        <f aca="false">(1+L185/2)^2-1</f>
        <v>0.0603850625</v>
      </c>
      <c r="N185" s="13" t="n">
        <f aca="false">(1+M185)^(-A185)</f>
        <v>0.00510829402842731</v>
      </c>
    </row>
    <row r="186" customFormat="false" ht="15" hidden="false" customHeight="false" outlineLevel="0" collapsed="false">
      <c r="A186" s="4" t="n">
        <v>90.5</v>
      </c>
      <c r="B186" s="9" t="n">
        <v>0.0507</v>
      </c>
      <c r="C186" s="9" t="n">
        <v>0.0595</v>
      </c>
      <c r="D186" s="10" t="n">
        <f aca="false">(C186-B186)*10000</f>
        <v>88</v>
      </c>
      <c r="E186" s="11" t="n">
        <f aca="false">MAX(0,C186-B186)*(1-Parametros!$B$5)</f>
        <v>0.0088</v>
      </c>
      <c r="F186" s="11" t="n">
        <f aca="false">B186+E186*Parametros!$B$6</f>
        <v>0.0595</v>
      </c>
      <c r="G186" s="12" t="n">
        <f aca="false">(1+F186/2)^2-1</f>
        <v>0.0603850625</v>
      </c>
      <c r="H186" s="13" t="n">
        <f aca="false">(1+G186)^(-A186)</f>
        <v>0.0049607128219736</v>
      </c>
      <c r="I186" s="11" t="n">
        <f aca="false">B186+E186*Parametros!$B$7</f>
        <v>0.0595</v>
      </c>
      <c r="J186" s="12" t="n">
        <f aca="false">(1+I186/2)^2-1</f>
        <v>0.0603850625</v>
      </c>
      <c r="K186" s="13" t="n">
        <f aca="false">(1+J186)^(-A186)</f>
        <v>0.0049607128219736</v>
      </c>
      <c r="L186" s="11" t="n">
        <f aca="false">B186+E186*Parametros!$B$8</f>
        <v>0.0595</v>
      </c>
      <c r="M186" s="12" t="n">
        <f aca="false">(1+L186/2)^2-1</f>
        <v>0.0603850625</v>
      </c>
      <c r="N186" s="13" t="n">
        <f aca="false">(1+M186)^(-A186)</f>
        <v>0.0049607128219736</v>
      </c>
    </row>
    <row r="187" customFormat="false" ht="15" hidden="false" customHeight="false" outlineLevel="0" collapsed="false">
      <c r="A187" s="4" t="n">
        <v>91</v>
      </c>
      <c r="B187" s="9" t="n">
        <v>0.0507</v>
      </c>
      <c r="C187" s="9" t="n">
        <v>0.0595</v>
      </c>
      <c r="D187" s="10" t="n">
        <f aca="false">(C187-B187)*10000</f>
        <v>88</v>
      </c>
      <c r="E187" s="11" t="n">
        <f aca="false">MAX(0,C187-B187)*(1-Parametros!$B$5)</f>
        <v>0.0088</v>
      </c>
      <c r="F187" s="11" t="n">
        <f aca="false">B187+E187*Parametros!$B$6</f>
        <v>0.0595</v>
      </c>
      <c r="G187" s="12" t="n">
        <f aca="false">(1+F187/2)^2-1</f>
        <v>0.0603850625</v>
      </c>
      <c r="H187" s="13" t="n">
        <f aca="false">(1+G187)^(-A187)</f>
        <v>0.00481739531145773</v>
      </c>
      <c r="I187" s="11" t="n">
        <f aca="false">B187+E187*Parametros!$B$7</f>
        <v>0.0595</v>
      </c>
      <c r="J187" s="12" t="n">
        <f aca="false">(1+I187/2)^2-1</f>
        <v>0.0603850625</v>
      </c>
      <c r="K187" s="13" t="n">
        <f aca="false">(1+J187)^(-A187)</f>
        <v>0.00481739531145773</v>
      </c>
      <c r="L187" s="11" t="n">
        <f aca="false">B187+E187*Parametros!$B$8</f>
        <v>0.0595</v>
      </c>
      <c r="M187" s="12" t="n">
        <f aca="false">(1+L187/2)^2-1</f>
        <v>0.0603850625</v>
      </c>
      <c r="N187" s="13" t="n">
        <f aca="false">(1+M187)^(-A187)</f>
        <v>0.00481739531145773</v>
      </c>
    </row>
    <row r="188" customFormat="false" ht="15" hidden="false" customHeight="false" outlineLevel="0" collapsed="false">
      <c r="A188" s="4" t="n">
        <v>91.5</v>
      </c>
      <c r="B188" s="9" t="n">
        <v>0.0507</v>
      </c>
      <c r="C188" s="9" t="n">
        <v>0.0595</v>
      </c>
      <c r="D188" s="10" t="n">
        <f aca="false">(C188-B188)*10000</f>
        <v>88</v>
      </c>
      <c r="E188" s="11" t="n">
        <f aca="false">MAX(0,C188-B188)*(1-Parametros!$B$5)</f>
        <v>0.0088</v>
      </c>
      <c r="F188" s="11" t="n">
        <f aca="false">B188+E188*Parametros!$B$6</f>
        <v>0.0595</v>
      </c>
      <c r="G188" s="12" t="n">
        <f aca="false">(1+F188/2)^2-1</f>
        <v>0.0603850625</v>
      </c>
      <c r="H188" s="13" t="n">
        <f aca="false">(1+G188)^(-A188)</f>
        <v>0.00467821831654065</v>
      </c>
      <c r="I188" s="11" t="n">
        <f aca="false">B188+E188*Parametros!$B$7</f>
        <v>0.0595</v>
      </c>
      <c r="J188" s="12" t="n">
        <f aca="false">(1+I188/2)^2-1</f>
        <v>0.0603850625</v>
      </c>
      <c r="K188" s="13" t="n">
        <f aca="false">(1+J188)^(-A188)</f>
        <v>0.00467821831654065</v>
      </c>
      <c r="L188" s="11" t="n">
        <f aca="false">B188+E188*Parametros!$B$8</f>
        <v>0.0595</v>
      </c>
      <c r="M188" s="12" t="n">
        <f aca="false">(1+L188/2)^2-1</f>
        <v>0.0603850625</v>
      </c>
      <c r="N188" s="13" t="n">
        <f aca="false">(1+M188)^(-A188)</f>
        <v>0.00467821831654065</v>
      </c>
    </row>
    <row r="189" customFormat="false" ht="15" hidden="false" customHeight="false" outlineLevel="0" collapsed="false">
      <c r="A189" s="4" t="n">
        <v>92</v>
      </c>
      <c r="B189" s="9" t="n">
        <v>0.0507</v>
      </c>
      <c r="C189" s="9" t="n">
        <v>0.0595</v>
      </c>
      <c r="D189" s="10" t="n">
        <f aca="false">(C189-B189)*10000</f>
        <v>88</v>
      </c>
      <c r="E189" s="11" t="n">
        <f aca="false">MAX(0,C189-B189)*(1-Parametros!$B$5)</f>
        <v>0.0088</v>
      </c>
      <c r="F189" s="11" t="n">
        <f aca="false">B189+E189*Parametros!$B$6</f>
        <v>0.0595</v>
      </c>
      <c r="G189" s="12" t="n">
        <f aca="false">(1+F189/2)^2-1</f>
        <v>0.0603850625</v>
      </c>
      <c r="H189" s="13" t="n">
        <f aca="false">(1+G189)^(-A189)</f>
        <v>0.00454306221562578</v>
      </c>
      <c r="I189" s="11" t="n">
        <f aca="false">B189+E189*Parametros!$B$7</f>
        <v>0.0595</v>
      </c>
      <c r="J189" s="12" t="n">
        <f aca="false">(1+I189/2)^2-1</f>
        <v>0.0603850625</v>
      </c>
      <c r="K189" s="13" t="n">
        <f aca="false">(1+J189)^(-A189)</f>
        <v>0.00454306221562578</v>
      </c>
      <c r="L189" s="11" t="n">
        <f aca="false">B189+E189*Parametros!$B$8</f>
        <v>0.0595</v>
      </c>
      <c r="M189" s="12" t="n">
        <f aca="false">(1+L189/2)^2-1</f>
        <v>0.0603850625</v>
      </c>
      <c r="N189" s="13" t="n">
        <f aca="false">(1+M189)^(-A189)</f>
        <v>0.00454306221562578</v>
      </c>
    </row>
    <row r="190" customFormat="false" ht="15" hidden="false" customHeight="false" outlineLevel="0" collapsed="false">
      <c r="A190" s="4" t="n">
        <v>92.5</v>
      </c>
      <c r="B190" s="9" t="n">
        <v>0.0507</v>
      </c>
      <c r="C190" s="9" t="n">
        <v>0.0595</v>
      </c>
      <c r="D190" s="10" t="n">
        <f aca="false">(C190-B190)*10000</f>
        <v>88</v>
      </c>
      <c r="E190" s="11" t="n">
        <f aca="false">MAX(0,C190-B190)*(1-Parametros!$B$5)</f>
        <v>0.0088</v>
      </c>
      <c r="F190" s="11" t="n">
        <f aca="false">B190+E190*Parametros!$B$6</f>
        <v>0.0595</v>
      </c>
      <c r="G190" s="12" t="n">
        <f aca="false">(1+F190/2)^2-1</f>
        <v>0.0603850625</v>
      </c>
      <c r="H190" s="13" t="n">
        <f aca="false">(1+G190)^(-A190)</f>
        <v>0.00441181084304519</v>
      </c>
      <c r="I190" s="11" t="n">
        <f aca="false">B190+E190*Parametros!$B$7</f>
        <v>0.0595</v>
      </c>
      <c r="J190" s="12" t="n">
        <f aca="false">(1+I190/2)^2-1</f>
        <v>0.0603850625</v>
      </c>
      <c r="K190" s="13" t="n">
        <f aca="false">(1+J190)^(-A190)</f>
        <v>0.00441181084304519</v>
      </c>
      <c r="L190" s="11" t="n">
        <f aca="false">B190+E190*Parametros!$B$8</f>
        <v>0.0595</v>
      </c>
      <c r="M190" s="12" t="n">
        <f aca="false">(1+L190/2)^2-1</f>
        <v>0.0603850625</v>
      </c>
      <c r="N190" s="13" t="n">
        <f aca="false">(1+M190)^(-A190)</f>
        <v>0.00441181084304519</v>
      </c>
    </row>
    <row r="191" customFormat="false" ht="15" hidden="false" customHeight="false" outlineLevel="0" collapsed="false">
      <c r="A191" s="4" t="n">
        <v>93</v>
      </c>
      <c r="B191" s="9" t="n">
        <v>0.0507</v>
      </c>
      <c r="C191" s="9" t="n">
        <v>0.0595</v>
      </c>
      <c r="D191" s="10" t="n">
        <f aca="false">(C191-B191)*10000</f>
        <v>88</v>
      </c>
      <c r="E191" s="11" t="n">
        <f aca="false">MAX(0,C191-B191)*(1-Parametros!$B$5)</f>
        <v>0.0088</v>
      </c>
      <c r="F191" s="11" t="n">
        <f aca="false">B191+E191*Parametros!$B$6</f>
        <v>0.0595</v>
      </c>
      <c r="G191" s="12" t="n">
        <f aca="false">(1+F191/2)^2-1</f>
        <v>0.0603850625</v>
      </c>
      <c r="H191" s="13" t="n">
        <f aca="false">(1+G191)^(-A191)</f>
        <v>0.00428435138921601</v>
      </c>
      <c r="I191" s="11" t="n">
        <f aca="false">B191+E191*Parametros!$B$7</f>
        <v>0.0595</v>
      </c>
      <c r="J191" s="12" t="n">
        <f aca="false">(1+I191/2)^2-1</f>
        <v>0.0603850625</v>
      </c>
      <c r="K191" s="13" t="n">
        <f aca="false">(1+J191)^(-A191)</f>
        <v>0.00428435138921601</v>
      </c>
      <c r="L191" s="11" t="n">
        <f aca="false">B191+E191*Parametros!$B$8</f>
        <v>0.0595</v>
      </c>
      <c r="M191" s="12" t="n">
        <f aca="false">(1+L191/2)^2-1</f>
        <v>0.0603850625</v>
      </c>
      <c r="N191" s="13" t="n">
        <f aca="false">(1+M191)^(-A191)</f>
        <v>0.00428435138921601</v>
      </c>
    </row>
    <row r="192" customFormat="false" ht="15" hidden="false" customHeight="false" outlineLevel="0" collapsed="false">
      <c r="A192" s="4" t="n">
        <v>93.5</v>
      </c>
      <c r="B192" s="9" t="n">
        <v>0.0507</v>
      </c>
      <c r="C192" s="9" t="n">
        <v>0.0595</v>
      </c>
      <c r="D192" s="10" t="n">
        <f aca="false">(C192-B192)*10000</f>
        <v>88</v>
      </c>
      <c r="E192" s="11" t="n">
        <f aca="false">MAX(0,C192-B192)*(1-Parametros!$B$5)</f>
        <v>0.0088</v>
      </c>
      <c r="F192" s="11" t="n">
        <f aca="false">B192+E192*Parametros!$B$6</f>
        <v>0.0595</v>
      </c>
      <c r="G192" s="12" t="n">
        <f aca="false">(1+F192/2)^2-1</f>
        <v>0.0603850625</v>
      </c>
      <c r="H192" s="13" t="n">
        <f aca="false">(1+G192)^(-A192)</f>
        <v>0.00416057430368149</v>
      </c>
      <c r="I192" s="11" t="n">
        <f aca="false">B192+E192*Parametros!$B$7</f>
        <v>0.0595</v>
      </c>
      <c r="J192" s="12" t="n">
        <f aca="false">(1+I192/2)^2-1</f>
        <v>0.0603850625</v>
      </c>
      <c r="K192" s="13" t="n">
        <f aca="false">(1+J192)^(-A192)</f>
        <v>0.00416057430368149</v>
      </c>
      <c r="L192" s="11" t="n">
        <f aca="false">B192+E192*Parametros!$B$8</f>
        <v>0.0595</v>
      </c>
      <c r="M192" s="12" t="n">
        <f aca="false">(1+L192/2)^2-1</f>
        <v>0.0603850625</v>
      </c>
      <c r="N192" s="13" t="n">
        <f aca="false">(1+M192)^(-A192)</f>
        <v>0.00416057430368149</v>
      </c>
    </row>
    <row r="193" customFormat="false" ht="15" hidden="false" customHeight="false" outlineLevel="0" collapsed="false">
      <c r="A193" s="4" t="n">
        <v>94</v>
      </c>
      <c r="B193" s="9" t="n">
        <v>0.0507</v>
      </c>
      <c r="C193" s="9" t="n">
        <v>0.0595</v>
      </c>
      <c r="D193" s="10" t="n">
        <f aca="false">(C193-B193)*10000</f>
        <v>88</v>
      </c>
      <c r="E193" s="11" t="n">
        <f aca="false">MAX(0,C193-B193)*(1-Parametros!$B$5)</f>
        <v>0.0088</v>
      </c>
      <c r="F193" s="11" t="n">
        <f aca="false">B193+E193*Parametros!$B$6</f>
        <v>0.0595</v>
      </c>
      <c r="G193" s="12" t="n">
        <f aca="false">(1+F193/2)^2-1</f>
        <v>0.0603850625</v>
      </c>
      <c r="H193" s="13" t="n">
        <f aca="false">(1+G193)^(-A193)</f>
        <v>0.00404037320095313</v>
      </c>
      <c r="I193" s="11" t="n">
        <f aca="false">B193+E193*Parametros!$B$7</f>
        <v>0.0595</v>
      </c>
      <c r="J193" s="12" t="n">
        <f aca="false">(1+I193/2)^2-1</f>
        <v>0.0603850625</v>
      </c>
      <c r="K193" s="13" t="n">
        <f aca="false">(1+J193)^(-A193)</f>
        <v>0.00404037320095313</v>
      </c>
      <c r="L193" s="11" t="n">
        <f aca="false">B193+E193*Parametros!$B$8</f>
        <v>0.0595</v>
      </c>
      <c r="M193" s="12" t="n">
        <f aca="false">(1+L193/2)^2-1</f>
        <v>0.0603850625</v>
      </c>
      <c r="N193" s="13" t="n">
        <f aca="false">(1+M193)^(-A193)</f>
        <v>0.00404037320095313</v>
      </c>
    </row>
    <row r="194" customFormat="false" ht="15" hidden="false" customHeight="false" outlineLevel="0" collapsed="false">
      <c r="A194" s="4" t="n">
        <v>94.5</v>
      </c>
      <c r="B194" s="9" t="n">
        <v>0.0507</v>
      </c>
      <c r="C194" s="9" t="n">
        <v>0.0595</v>
      </c>
      <c r="D194" s="10" t="n">
        <f aca="false">(C194-B194)*10000</f>
        <v>88</v>
      </c>
      <c r="E194" s="11" t="n">
        <f aca="false">MAX(0,C194-B194)*(1-Parametros!$B$5)</f>
        <v>0.0088</v>
      </c>
      <c r="F194" s="11" t="n">
        <f aca="false">B194+E194*Parametros!$B$6</f>
        <v>0.0595</v>
      </c>
      <c r="G194" s="12" t="n">
        <f aca="false">(1+F194/2)^2-1</f>
        <v>0.0603850625</v>
      </c>
      <c r="H194" s="13" t="n">
        <f aca="false">(1+G194)^(-A194)</f>
        <v>0.0039236447690732</v>
      </c>
      <c r="I194" s="11" t="n">
        <f aca="false">B194+E194*Parametros!$B$7</f>
        <v>0.0595</v>
      </c>
      <c r="J194" s="12" t="n">
        <f aca="false">(1+I194/2)^2-1</f>
        <v>0.0603850625</v>
      </c>
      <c r="K194" s="13" t="n">
        <f aca="false">(1+J194)^(-A194)</f>
        <v>0.0039236447690732</v>
      </c>
      <c r="L194" s="11" t="n">
        <f aca="false">B194+E194*Parametros!$B$8</f>
        <v>0.0595</v>
      </c>
      <c r="M194" s="12" t="n">
        <f aca="false">(1+L194/2)^2-1</f>
        <v>0.0603850625</v>
      </c>
      <c r="N194" s="13" t="n">
        <f aca="false">(1+M194)^(-A194)</f>
        <v>0.0039236447690732</v>
      </c>
    </row>
    <row r="195" customFormat="false" ht="15" hidden="false" customHeight="false" outlineLevel="0" collapsed="false">
      <c r="A195" s="4" t="n">
        <v>95</v>
      </c>
      <c r="B195" s="9" t="n">
        <v>0.0507</v>
      </c>
      <c r="C195" s="9" t="n">
        <v>0.0595</v>
      </c>
      <c r="D195" s="10" t="n">
        <f aca="false">(C195-B195)*10000</f>
        <v>88</v>
      </c>
      <c r="E195" s="11" t="n">
        <f aca="false">MAX(0,C195-B195)*(1-Parametros!$B$5)</f>
        <v>0.0088</v>
      </c>
      <c r="F195" s="11" t="n">
        <f aca="false">B195+E195*Parametros!$B$6</f>
        <v>0.0595</v>
      </c>
      <c r="G195" s="12" t="n">
        <f aca="false">(1+F195/2)^2-1</f>
        <v>0.0603850625</v>
      </c>
      <c r="H195" s="13" t="n">
        <f aca="false">(1+G195)^(-A195)</f>
        <v>0.00381028868081884</v>
      </c>
      <c r="I195" s="11" t="n">
        <f aca="false">B195+E195*Parametros!$B$7</f>
        <v>0.0595</v>
      </c>
      <c r="J195" s="12" t="n">
        <f aca="false">(1+I195/2)^2-1</f>
        <v>0.0603850625</v>
      </c>
      <c r="K195" s="13" t="n">
        <f aca="false">(1+J195)^(-A195)</f>
        <v>0.00381028868081884</v>
      </c>
      <c r="L195" s="11" t="n">
        <f aca="false">B195+E195*Parametros!$B$8</f>
        <v>0.0595</v>
      </c>
      <c r="M195" s="12" t="n">
        <f aca="false">(1+L195/2)^2-1</f>
        <v>0.0603850625</v>
      </c>
      <c r="N195" s="13" t="n">
        <f aca="false">(1+M195)^(-A195)</f>
        <v>0.00381028868081884</v>
      </c>
    </row>
    <row r="196" customFormat="false" ht="15" hidden="false" customHeight="false" outlineLevel="0" collapsed="false">
      <c r="A196" s="4" t="n">
        <v>95.5</v>
      </c>
      <c r="B196" s="9" t="n">
        <v>0.0507</v>
      </c>
      <c r="C196" s="9" t="n">
        <v>0.0595</v>
      </c>
      <c r="D196" s="10" t="n">
        <f aca="false">(C196-B196)*10000</f>
        <v>88</v>
      </c>
      <c r="E196" s="11" t="n">
        <f aca="false">MAX(0,C196-B196)*(1-Parametros!$B$5)</f>
        <v>0.0088</v>
      </c>
      <c r="F196" s="11" t="n">
        <f aca="false">B196+E196*Parametros!$B$6</f>
        <v>0.0595</v>
      </c>
      <c r="G196" s="12" t="n">
        <f aca="false">(1+F196/2)^2-1</f>
        <v>0.0603850625</v>
      </c>
      <c r="H196" s="13" t="n">
        <f aca="false">(1+G196)^(-A196)</f>
        <v>0.00370020750747156</v>
      </c>
      <c r="I196" s="11" t="n">
        <f aca="false">B196+E196*Parametros!$B$7</f>
        <v>0.0595</v>
      </c>
      <c r="J196" s="12" t="n">
        <f aca="false">(1+I196/2)^2-1</f>
        <v>0.0603850625</v>
      </c>
      <c r="K196" s="13" t="n">
        <f aca="false">(1+J196)^(-A196)</f>
        <v>0.00370020750747156</v>
      </c>
      <c r="L196" s="11" t="n">
        <f aca="false">B196+E196*Parametros!$B$8</f>
        <v>0.0595</v>
      </c>
      <c r="M196" s="12" t="n">
        <f aca="false">(1+L196/2)^2-1</f>
        <v>0.0603850625</v>
      </c>
      <c r="N196" s="13" t="n">
        <f aca="false">(1+M196)^(-A196)</f>
        <v>0.00370020750747156</v>
      </c>
    </row>
    <row r="197" customFormat="false" ht="15" hidden="false" customHeight="false" outlineLevel="0" collapsed="false">
      <c r="A197" s="4" t="n">
        <v>96</v>
      </c>
      <c r="B197" s="9" t="n">
        <v>0.0507</v>
      </c>
      <c r="C197" s="9" t="n">
        <v>0.0595</v>
      </c>
      <c r="D197" s="10" t="n">
        <f aca="false">(C197-B197)*10000</f>
        <v>88</v>
      </c>
      <c r="E197" s="11" t="n">
        <f aca="false">MAX(0,C197-B197)*(1-Parametros!$B$5)</f>
        <v>0.0088</v>
      </c>
      <c r="F197" s="11" t="n">
        <f aca="false">B197+E197*Parametros!$B$6</f>
        <v>0.0595</v>
      </c>
      <c r="G197" s="12" t="n">
        <f aca="false">(1+F197/2)^2-1</f>
        <v>0.0603850625</v>
      </c>
      <c r="H197" s="13" t="n">
        <f aca="false">(1+G197)^(-A197)</f>
        <v>0.00359330663507799</v>
      </c>
      <c r="I197" s="11" t="n">
        <f aca="false">B197+E197*Parametros!$B$7</f>
        <v>0.0595</v>
      </c>
      <c r="J197" s="12" t="n">
        <f aca="false">(1+I197/2)^2-1</f>
        <v>0.0603850625</v>
      </c>
      <c r="K197" s="13" t="n">
        <f aca="false">(1+J197)^(-A197)</f>
        <v>0.00359330663507799</v>
      </c>
      <c r="L197" s="11" t="n">
        <f aca="false">B197+E197*Parametros!$B$8</f>
        <v>0.0595</v>
      </c>
      <c r="M197" s="12" t="n">
        <f aca="false">(1+L197/2)^2-1</f>
        <v>0.0603850625</v>
      </c>
      <c r="N197" s="13" t="n">
        <f aca="false">(1+M197)^(-A197)</f>
        <v>0.00359330663507799</v>
      </c>
    </row>
    <row r="198" customFormat="false" ht="15" hidden="false" customHeight="false" outlineLevel="0" collapsed="false">
      <c r="A198" s="4" t="n">
        <v>96.5</v>
      </c>
      <c r="B198" s="9" t="n">
        <v>0.0507</v>
      </c>
      <c r="C198" s="9" t="n">
        <v>0.0595</v>
      </c>
      <c r="D198" s="10" t="n">
        <f aca="false">(C198-B198)*10000</f>
        <v>88</v>
      </c>
      <c r="E198" s="11" t="n">
        <f aca="false">MAX(0,C198-B198)*(1-Parametros!$B$5)</f>
        <v>0.0088</v>
      </c>
      <c r="F198" s="11" t="n">
        <f aca="false">B198+E198*Parametros!$B$6</f>
        <v>0.0595</v>
      </c>
      <c r="G198" s="12" t="n">
        <f aca="false">(1+F198/2)^2-1</f>
        <v>0.0603850625</v>
      </c>
      <c r="H198" s="13" t="n">
        <f aca="false">(1+G198)^(-A198)</f>
        <v>0.00348949418312988</v>
      </c>
      <c r="I198" s="11" t="n">
        <f aca="false">B198+E198*Parametros!$B$7</f>
        <v>0.0595</v>
      </c>
      <c r="J198" s="12" t="n">
        <f aca="false">(1+I198/2)^2-1</f>
        <v>0.0603850625</v>
      </c>
      <c r="K198" s="13" t="n">
        <f aca="false">(1+J198)^(-A198)</f>
        <v>0.00348949418312988</v>
      </c>
      <c r="L198" s="11" t="n">
        <f aca="false">B198+E198*Parametros!$B$8</f>
        <v>0.0595</v>
      </c>
      <c r="M198" s="12" t="n">
        <f aca="false">(1+L198/2)^2-1</f>
        <v>0.0603850625</v>
      </c>
      <c r="N198" s="13" t="n">
        <f aca="false">(1+M198)^(-A198)</f>
        <v>0.00348949418312988</v>
      </c>
    </row>
    <row r="199" customFormat="false" ht="15" hidden="false" customHeight="false" outlineLevel="0" collapsed="false">
      <c r="A199" s="4" t="n">
        <v>97</v>
      </c>
      <c r="B199" s="9" t="n">
        <v>0.0507</v>
      </c>
      <c r="C199" s="9" t="n">
        <v>0.0595</v>
      </c>
      <c r="D199" s="10" t="n">
        <f aca="false">(C199-B199)*10000</f>
        <v>88</v>
      </c>
      <c r="E199" s="11" t="n">
        <f aca="false">MAX(0,C199-B199)*(1-Parametros!$B$5)</f>
        <v>0.0088</v>
      </c>
      <c r="F199" s="11" t="n">
        <f aca="false">B199+E199*Parametros!$B$6</f>
        <v>0.0595</v>
      </c>
      <c r="G199" s="12" t="n">
        <f aca="false">(1+F199/2)^2-1</f>
        <v>0.0603850625</v>
      </c>
      <c r="H199" s="13" t="n">
        <f aca="false">(1+G199)^(-A199)</f>
        <v>0.00338868092559347</v>
      </c>
      <c r="I199" s="11" t="n">
        <f aca="false">B199+E199*Parametros!$B$7</f>
        <v>0.0595</v>
      </c>
      <c r="J199" s="12" t="n">
        <f aca="false">(1+I199/2)^2-1</f>
        <v>0.0603850625</v>
      </c>
      <c r="K199" s="13" t="n">
        <f aca="false">(1+J199)^(-A199)</f>
        <v>0.00338868092559347</v>
      </c>
      <c r="L199" s="11" t="n">
        <f aca="false">B199+E199*Parametros!$B$8</f>
        <v>0.0595</v>
      </c>
      <c r="M199" s="12" t="n">
        <f aca="false">(1+L199/2)^2-1</f>
        <v>0.0603850625</v>
      </c>
      <c r="N199" s="13" t="n">
        <f aca="false">(1+M199)^(-A199)</f>
        <v>0.00338868092559347</v>
      </c>
    </row>
    <row r="200" customFormat="false" ht="15" hidden="false" customHeight="false" outlineLevel="0" collapsed="false">
      <c r="A200" s="4" t="n">
        <v>97.5</v>
      </c>
      <c r="B200" s="9" t="n">
        <v>0.0507</v>
      </c>
      <c r="C200" s="9" t="n">
        <v>0.0595</v>
      </c>
      <c r="D200" s="10" t="n">
        <f aca="false">(C200-B200)*10000</f>
        <v>88</v>
      </c>
      <c r="E200" s="11" t="n">
        <f aca="false">MAX(0,C200-B200)*(1-Parametros!$B$5)</f>
        <v>0.0088</v>
      </c>
      <c r="F200" s="11" t="n">
        <f aca="false">B200+E200*Parametros!$B$6</f>
        <v>0.0595</v>
      </c>
      <c r="G200" s="12" t="n">
        <f aca="false">(1+F200/2)^2-1</f>
        <v>0.0603850625</v>
      </c>
      <c r="H200" s="13" t="n">
        <f aca="false">(1+G200)^(-A200)</f>
        <v>0.00329078021422042</v>
      </c>
      <c r="I200" s="11" t="n">
        <f aca="false">B200+E200*Parametros!$B$7</f>
        <v>0.0595</v>
      </c>
      <c r="J200" s="12" t="n">
        <f aca="false">(1+I200/2)^2-1</f>
        <v>0.0603850625</v>
      </c>
      <c r="K200" s="13" t="n">
        <f aca="false">(1+J200)^(-A200)</f>
        <v>0.00329078021422042</v>
      </c>
      <c r="L200" s="11" t="n">
        <f aca="false">B200+E200*Parametros!$B$8</f>
        <v>0.0595</v>
      </c>
      <c r="M200" s="12" t="n">
        <f aca="false">(1+L200/2)^2-1</f>
        <v>0.0603850625</v>
      </c>
      <c r="N200" s="13" t="n">
        <f aca="false">(1+M200)^(-A200)</f>
        <v>0.00329078021422042</v>
      </c>
    </row>
    <row r="201" customFormat="false" ht="15" hidden="false" customHeight="false" outlineLevel="0" collapsed="false">
      <c r="A201" s="4" t="n">
        <v>98</v>
      </c>
      <c r="B201" s="9" t="n">
        <v>0.0507</v>
      </c>
      <c r="C201" s="9" t="n">
        <v>0.0595</v>
      </c>
      <c r="D201" s="10" t="n">
        <f aca="false">(C201-B201)*10000</f>
        <v>88</v>
      </c>
      <c r="E201" s="11" t="n">
        <f aca="false">MAX(0,C201-B201)*(1-Parametros!$B$5)</f>
        <v>0.0088</v>
      </c>
      <c r="F201" s="11" t="n">
        <f aca="false">B201+E201*Parametros!$B$6</f>
        <v>0.0595</v>
      </c>
      <c r="G201" s="12" t="n">
        <f aca="false">(1+F201/2)^2-1</f>
        <v>0.0603850625</v>
      </c>
      <c r="H201" s="13" t="n">
        <f aca="false">(1+G201)^(-A201)</f>
        <v>0.00319570790407421</v>
      </c>
      <c r="I201" s="11" t="n">
        <f aca="false">B201+E201*Parametros!$B$7</f>
        <v>0.0595</v>
      </c>
      <c r="J201" s="12" t="n">
        <f aca="false">(1+I201/2)^2-1</f>
        <v>0.0603850625</v>
      </c>
      <c r="K201" s="13" t="n">
        <f aca="false">(1+J201)^(-A201)</f>
        <v>0.00319570790407421</v>
      </c>
      <c r="L201" s="11" t="n">
        <f aca="false">B201+E201*Parametros!$B$8</f>
        <v>0.0595</v>
      </c>
      <c r="M201" s="12" t="n">
        <f aca="false">(1+L201/2)^2-1</f>
        <v>0.0603850625</v>
      </c>
      <c r="N201" s="13" t="n">
        <f aca="false">(1+M201)^(-A201)</f>
        <v>0.00319570790407421</v>
      </c>
    </row>
    <row r="202" customFormat="false" ht="15" hidden="false" customHeight="false" outlineLevel="0" collapsed="false">
      <c r="A202" s="4" t="n">
        <v>98.5</v>
      </c>
      <c r="B202" s="9" t="n">
        <v>0.0507</v>
      </c>
      <c r="C202" s="9" t="n">
        <v>0.0595</v>
      </c>
      <c r="D202" s="10" t="n">
        <f aca="false">(C202-B202)*10000</f>
        <v>88</v>
      </c>
      <c r="E202" s="11" t="n">
        <f aca="false">MAX(0,C202-B202)*(1-Parametros!$B$5)</f>
        <v>0.0088</v>
      </c>
      <c r="F202" s="11" t="n">
        <f aca="false">B202+E202*Parametros!$B$6</f>
        <v>0.0595</v>
      </c>
      <c r="G202" s="12" t="n">
        <f aca="false">(1+F202/2)^2-1</f>
        <v>0.0603850625</v>
      </c>
      <c r="H202" s="13" t="n">
        <f aca="false">(1+G202)^(-A202)</f>
        <v>0.00310338228120826</v>
      </c>
      <c r="I202" s="11" t="n">
        <f aca="false">B202+E202*Parametros!$B$7</f>
        <v>0.0595</v>
      </c>
      <c r="J202" s="12" t="n">
        <f aca="false">(1+I202/2)^2-1</f>
        <v>0.0603850625</v>
      </c>
      <c r="K202" s="13" t="n">
        <f aca="false">(1+J202)^(-A202)</f>
        <v>0.00310338228120826</v>
      </c>
      <c r="L202" s="11" t="n">
        <f aca="false">B202+E202*Parametros!$B$8</f>
        <v>0.0595</v>
      </c>
      <c r="M202" s="12" t="n">
        <f aca="false">(1+L202/2)^2-1</f>
        <v>0.0603850625</v>
      </c>
      <c r="N202" s="13" t="n">
        <f aca="false">(1+M202)^(-A202)</f>
        <v>0.00310338228120826</v>
      </c>
    </row>
    <row r="203" customFormat="false" ht="15" hidden="false" customHeight="false" outlineLevel="0" collapsed="false">
      <c r="A203" s="4" t="n">
        <v>99</v>
      </c>
      <c r="B203" s="9" t="n">
        <v>0.0507</v>
      </c>
      <c r="C203" s="9" t="n">
        <v>0.0595</v>
      </c>
      <c r="D203" s="10" t="n">
        <f aca="false">(C203-B203)*10000</f>
        <v>88</v>
      </c>
      <c r="E203" s="11" t="n">
        <f aca="false">MAX(0,C203-B203)*(1-Parametros!$B$5)</f>
        <v>0.0088</v>
      </c>
      <c r="F203" s="11" t="n">
        <f aca="false">B203+E203*Parametros!$B$6</f>
        <v>0.0595</v>
      </c>
      <c r="G203" s="12" t="n">
        <f aca="false">(1+F203/2)^2-1</f>
        <v>0.0603850625</v>
      </c>
      <c r="H203" s="13" t="n">
        <f aca="false">(1+G203)^(-A203)</f>
        <v>0.00301372399243337</v>
      </c>
      <c r="I203" s="11" t="n">
        <f aca="false">B203+E203*Parametros!$B$7</f>
        <v>0.0595</v>
      </c>
      <c r="J203" s="12" t="n">
        <f aca="false">(1+I203/2)^2-1</f>
        <v>0.0603850625</v>
      </c>
      <c r="K203" s="13" t="n">
        <f aca="false">(1+J203)^(-A203)</f>
        <v>0.00301372399243337</v>
      </c>
      <c r="L203" s="11" t="n">
        <f aca="false">B203+E203*Parametros!$B$8</f>
        <v>0.0595</v>
      </c>
      <c r="M203" s="12" t="n">
        <f aca="false">(1+L203/2)^2-1</f>
        <v>0.0603850625</v>
      </c>
      <c r="N203" s="13" t="n">
        <f aca="false">(1+M203)^(-A203)</f>
        <v>0.00301372399243337</v>
      </c>
    </row>
    <row r="204" customFormat="false" ht="15" hidden="false" customHeight="false" outlineLevel="0" collapsed="false">
      <c r="A204" s="4" t="n">
        <v>99.5</v>
      </c>
      <c r="B204" s="9" t="n">
        <v>0.0507</v>
      </c>
      <c r="C204" s="9" t="n">
        <v>0.0595</v>
      </c>
      <c r="D204" s="10" t="n">
        <f aca="false">(C204-B204)*10000</f>
        <v>88</v>
      </c>
      <c r="E204" s="11" t="n">
        <f aca="false">MAX(0,C204-B204)*(1-Parametros!$B$5)</f>
        <v>0.0088</v>
      </c>
      <c r="F204" s="11" t="n">
        <f aca="false">B204+E204*Parametros!$B$6</f>
        <v>0.0595</v>
      </c>
      <c r="G204" s="12" t="n">
        <f aca="false">(1+F204/2)^2-1</f>
        <v>0.0603850625</v>
      </c>
      <c r="H204" s="13" t="n">
        <f aca="false">(1+G204)^(-A204)</f>
        <v>0.00292665597711422</v>
      </c>
      <c r="I204" s="11" t="n">
        <f aca="false">B204+E204*Parametros!$B$7</f>
        <v>0.0595</v>
      </c>
      <c r="J204" s="12" t="n">
        <f aca="false">(1+I204/2)^2-1</f>
        <v>0.0603850625</v>
      </c>
      <c r="K204" s="13" t="n">
        <f aca="false">(1+J204)^(-A204)</f>
        <v>0.00292665597711422</v>
      </c>
      <c r="L204" s="11" t="n">
        <f aca="false">B204+E204*Parametros!$B$8</f>
        <v>0.0595</v>
      </c>
      <c r="M204" s="12" t="n">
        <f aca="false">(1+L204/2)^2-1</f>
        <v>0.0603850625</v>
      </c>
      <c r="N204" s="13" t="n">
        <f aca="false">(1+M204)^(-A204)</f>
        <v>0.00292665597711422</v>
      </c>
    </row>
    <row r="205" customFormat="false" ht="15" hidden="false" customHeight="false" outlineLevel="0" collapsed="false">
      <c r="A205" s="4" t="n">
        <v>100</v>
      </c>
      <c r="B205" s="9" t="n">
        <v>0.0507</v>
      </c>
      <c r="C205" s="9" t="n">
        <v>0.0595</v>
      </c>
      <c r="D205" s="10" t="n">
        <f aca="false">(C205-B205)*10000</f>
        <v>88</v>
      </c>
      <c r="E205" s="11" t="n">
        <f aca="false">MAX(0,C205-B205)*(1-Parametros!$B$5)</f>
        <v>0.0088</v>
      </c>
      <c r="F205" s="11" t="n">
        <f aca="false">B205+E205*Parametros!$B$6</f>
        <v>0.0595</v>
      </c>
      <c r="G205" s="12" t="n">
        <f aca="false">(1+F205/2)^2-1</f>
        <v>0.0603850625</v>
      </c>
      <c r="H205" s="13" t="n">
        <f aca="false">(1+G205)^(-A205)</f>
        <v>0.00284210340093636</v>
      </c>
      <c r="I205" s="11" t="n">
        <f aca="false">B205+E205*Parametros!$B$7</f>
        <v>0.0595</v>
      </c>
      <c r="J205" s="12" t="n">
        <f aca="false">(1+I205/2)^2-1</f>
        <v>0.0603850625</v>
      </c>
      <c r="K205" s="13" t="n">
        <f aca="false">(1+J205)^(-A205)</f>
        <v>0.00284210340093636</v>
      </c>
      <c r="L205" s="11" t="n">
        <f aca="false">B205+E205*Parametros!$B$8</f>
        <v>0.0595</v>
      </c>
      <c r="M205" s="12" t="n">
        <f aca="false">(1+L205/2)^2-1</f>
        <v>0.0603850625</v>
      </c>
      <c r="N205" s="13" t="n">
        <f aca="false">(1+M205)^(-A205)</f>
        <v>0.00284210340093636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12"/>
    <col collapsed="false" customWidth="true" hidden="false" outlineLevel="0" max="14" min="4" style="0" width="13"/>
  </cols>
  <sheetData>
    <row r="1" customFormat="false" ht="15" hidden="false" customHeight="false" outlineLevel="0" collapsed="false">
      <c r="A1" s="1" t="s">
        <v>57</v>
      </c>
    </row>
    <row r="2" customFormat="false" ht="15" hidden="false" customHeight="false" outlineLevel="0" collapsed="false">
      <c r="A2" s="2" t="s">
        <v>41</v>
      </c>
    </row>
    <row r="5" customFormat="false" ht="42" hidden="false" customHeight="true" outlineLevel="0" collapsed="false">
      <c r="A5" s="3" t="s">
        <v>42</v>
      </c>
      <c r="B5" s="3" t="s">
        <v>43</v>
      </c>
      <c r="C5" s="3" t="s">
        <v>44</v>
      </c>
      <c r="D5" s="3" t="s">
        <v>45</v>
      </c>
      <c r="E5" s="3" t="s">
        <v>46</v>
      </c>
      <c r="F5" s="3" t="s">
        <v>47</v>
      </c>
      <c r="G5" s="3" t="s">
        <v>48</v>
      </c>
      <c r="H5" s="3" t="s">
        <v>49</v>
      </c>
      <c r="I5" s="3" t="s">
        <v>50</v>
      </c>
      <c r="J5" s="3" t="s">
        <v>51</v>
      </c>
      <c r="K5" s="3" t="s">
        <v>52</v>
      </c>
      <c r="L5" s="3" t="s">
        <v>53</v>
      </c>
      <c r="M5" s="3" t="s">
        <v>54</v>
      </c>
      <c r="N5" s="3" t="s">
        <v>55</v>
      </c>
    </row>
    <row r="6" customFormat="false" ht="15" hidden="false" customHeight="false" outlineLevel="0" collapsed="false">
      <c r="A6" s="4" t="n">
        <v>0.5</v>
      </c>
      <c r="B6" s="9" t="n">
        <v>0.0356</v>
      </c>
      <c r="C6" s="9" t="n">
        <v>0.038</v>
      </c>
      <c r="D6" s="10" t="n">
        <f aca="false">(C6-B6)*10000</f>
        <v>24</v>
      </c>
      <c r="E6" s="11" t="n">
        <f aca="false">MAX(0,C6-B6)*(1-Parametros!$B$5)</f>
        <v>0.0024</v>
      </c>
      <c r="F6" s="11" t="n">
        <f aca="false">B6+E6*Parametros!$B$6</f>
        <v>0.038</v>
      </c>
      <c r="G6" s="12" t="n">
        <f aca="false">(1+F6/2)^2-1</f>
        <v>0.0383609999999999</v>
      </c>
      <c r="H6" s="13" t="n">
        <f aca="false">(1+G6)^(-A6)</f>
        <v>0.98135426889107</v>
      </c>
      <c r="I6" s="11" t="n">
        <f aca="false">B6+E6*Parametros!$B$7</f>
        <v>0.038</v>
      </c>
      <c r="J6" s="12" t="n">
        <f aca="false">(1+I6/2)^2-1</f>
        <v>0.0383609999999999</v>
      </c>
      <c r="K6" s="13" t="n">
        <f aca="false">(1+J6)^(-A6)</f>
        <v>0.98135426889107</v>
      </c>
      <c r="L6" s="11" t="n">
        <f aca="false">B6+E6*Parametros!$B$8</f>
        <v>0.038</v>
      </c>
      <c r="M6" s="12" t="n">
        <f aca="false">(1+L6/2)^2-1</f>
        <v>0.0383609999999999</v>
      </c>
      <c r="N6" s="13" t="n">
        <f aca="false">(1+M6)^(-A6)</f>
        <v>0.98135426889107</v>
      </c>
    </row>
    <row r="7" customFormat="false" ht="15" hidden="false" customHeight="false" outlineLevel="0" collapsed="false">
      <c r="A7" s="4" t="n">
        <v>1</v>
      </c>
      <c r="B7" s="9" t="n">
        <v>0.0352</v>
      </c>
      <c r="C7" s="9" t="n">
        <v>0.0384</v>
      </c>
      <c r="D7" s="10" t="n">
        <f aca="false">(C7-B7)*10000</f>
        <v>31.9999999999999</v>
      </c>
      <c r="E7" s="11" t="n">
        <f aca="false">MAX(0,C7-B7)*(1-Parametros!$B$5)</f>
        <v>0.00319999999999999</v>
      </c>
      <c r="F7" s="11" t="n">
        <f aca="false">B7+E7*Parametros!$B$6</f>
        <v>0.0384</v>
      </c>
      <c r="G7" s="12" t="n">
        <f aca="false">(1+F7/2)^2-1</f>
        <v>0.0387686400000002</v>
      </c>
      <c r="H7" s="13" t="n">
        <f aca="false">(1+G7)^(-A7)</f>
        <v>0.962678272613235</v>
      </c>
      <c r="I7" s="11" t="n">
        <f aca="false">B7+E7*Parametros!$B$7</f>
        <v>0.0384</v>
      </c>
      <c r="J7" s="12" t="n">
        <f aca="false">(1+I7/2)^2-1</f>
        <v>0.0387686400000002</v>
      </c>
      <c r="K7" s="13" t="n">
        <f aca="false">(1+J7)^(-A7)</f>
        <v>0.962678272613235</v>
      </c>
      <c r="L7" s="11" t="n">
        <f aca="false">B7+E7*Parametros!$B$8</f>
        <v>0.0384</v>
      </c>
      <c r="M7" s="12" t="n">
        <f aca="false">(1+L7/2)^2-1</f>
        <v>0.0387686400000002</v>
      </c>
      <c r="N7" s="13" t="n">
        <f aca="false">(1+M7)^(-A7)</f>
        <v>0.962678272613235</v>
      </c>
    </row>
    <row r="8" customFormat="false" ht="15" hidden="false" customHeight="false" outlineLevel="0" collapsed="false">
      <c r="A8" s="4" t="n">
        <v>1.5</v>
      </c>
      <c r="B8" s="9" t="n">
        <v>0.0349</v>
      </c>
      <c r="C8" s="9" t="n">
        <v>0.0387</v>
      </c>
      <c r="D8" s="10" t="n">
        <f aca="false">(C8-B8)*10000</f>
        <v>38</v>
      </c>
      <c r="E8" s="11" t="n">
        <f aca="false">MAX(0,C8-B8)*(1-Parametros!$B$5)</f>
        <v>0.0038</v>
      </c>
      <c r="F8" s="11" t="n">
        <f aca="false">B8+E8*Parametros!$B$6</f>
        <v>0.0387</v>
      </c>
      <c r="G8" s="12" t="n">
        <f aca="false">(1+F8/2)^2-1</f>
        <v>0.0390744224999999</v>
      </c>
      <c r="H8" s="13" t="n">
        <f aca="false">(1+G8)^(-A8)</f>
        <v>0.944126131596324</v>
      </c>
      <c r="I8" s="11" t="n">
        <f aca="false">B8+E8*Parametros!$B$7</f>
        <v>0.0387</v>
      </c>
      <c r="J8" s="12" t="n">
        <f aca="false">(1+I8/2)^2-1</f>
        <v>0.0390744224999999</v>
      </c>
      <c r="K8" s="13" t="n">
        <f aca="false">(1+J8)^(-A8)</f>
        <v>0.944126131596324</v>
      </c>
      <c r="L8" s="11" t="n">
        <f aca="false">B8+E8*Parametros!$B$8</f>
        <v>0.0387</v>
      </c>
      <c r="M8" s="12" t="n">
        <f aca="false">(1+L8/2)^2-1</f>
        <v>0.0390744224999999</v>
      </c>
      <c r="N8" s="13" t="n">
        <f aca="false">(1+M8)^(-A8)</f>
        <v>0.944126131596324</v>
      </c>
    </row>
    <row r="9" customFormat="false" ht="15" hidden="false" customHeight="false" outlineLevel="0" collapsed="false">
      <c r="A9" s="4" t="n">
        <v>2</v>
      </c>
      <c r="B9" s="9" t="n">
        <v>0.0349</v>
      </c>
      <c r="C9" s="9" t="n">
        <v>0.0391</v>
      </c>
      <c r="D9" s="10" t="n">
        <f aca="false">(C9-B9)*10000</f>
        <v>42</v>
      </c>
      <c r="E9" s="11" t="n">
        <f aca="false">MAX(0,C9-B9)*(1-Parametros!$B$5)</f>
        <v>0.0042</v>
      </c>
      <c r="F9" s="11" t="n">
        <f aca="false">B9+E9*Parametros!$B$6</f>
        <v>0.0391</v>
      </c>
      <c r="G9" s="12" t="n">
        <f aca="false">(1+F9/2)^2-1</f>
        <v>0.0394822024999999</v>
      </c>
      <c r="H9" s="13" t="n">
        <f aca="false">(1+G9)^(-A9)</f>
        <v>0.925477541214079</v>
      </c>
      <c r="I9" s="11" t="n">
        <f aca="false">B9+E9*Parametros!$B$7</f>
        <v>0.0391</v>
      </c>
      <c r="J9" s="12" t="n">
        <f aca="false">(1+I9/2)^2-1</f>
        <v>0.0394822024999999</v>
      </c>
      <c r="K9" s="13" t="n">
        <f aca="false">(1+J9)^(-A9)</f>
        <v>0.925477541214079</v>
      </c>
      <c r="L9" s="11" t="n">
        <f aca="false">B9+E9*Parametros!$B$8</f>
        <v>0.0391</v>
      </c>
      <c r="M9" s="12" t="n">
        <f aca="false">(1+L9/2)^2-1</f>
        <v>0.0394822024999999</v>
      </c>
      <c r="N9" s="13" t="n">
        <f aca="false">(1+M9)^(-A9)</f>
        <v>0.925477541214079</v>
      </c>
    </row>
    <row r="10" customFormat="false" ht="15" hidden="false" customHeight="false" outlineLevel="0" collapsed="false">
      <c r="A10" s="4" t="n">
        <v>2.5</v>
      </c>
      <c r="B10" s="9" t="n">
        <v>0.035</v>
      </c>
      <c r="C10" s="9" t="n">
        <v>0.0396</v>
      </c>
      <c r="D10" s="10" t="n">
        <f aca="false">(C10-B10)*10000</f>
        <v>46</v>
      </c>
      <c r="E10" s="11" t="n">
        <f aca="false">MAX(0,C10-B10)*(1-Parametros!$B$5)</f>
        <v>0.0046</v>
      </c>
      <c r="F10" s="11" t="n">
        <f aca="false">B10+E10*Parametros!$B$6</f>
        <v>0.0396</v>
      </c>
      <c r="G10" s="12" t="n">
        <f aca="false">(1+F10/2)^2-1</f>
        <v>0.03999204</v>
      </c>
      <c r="H10" s="13" t="n">
        <f aca="false">(1+G10)^(-A10)</f>
        <v>0.90661930378728</v>
      </c>
      <c r="I10" s="11" t="n">
        <f aca="false">B10+E10*Parametros!$B$7</f>
        <v>0.0396</v>
      </c>
      <c r="J10" s="12" t="n">
        <f aca="false">(1+I10/2)^2-1</f>
        <v>0.03999204</v>
      </c>
      <c r="K10" s="13" t="n">
        <f aca="false">(1+J10)^(-A10)</f>
        <v>0.90661930378728</v>
      </c>
      <c r="L10" s="11" t="n">
        <f aca="false">B10+E10*Parametros!$B$8</f>
        <v>0.0396</v>
      </c>
      <c r="M10" s="12" t="n">
        <f aca="false">(1+L10/2)^2-1</f>
        <v>0.03999204</v>
      </c>
      <c r="N10" s="13" t="n">
        <f aca="false">(1+M10)^(-A10)</f>
        <v>0.90661930378728</v>
      </c>
    </row>
    <row r="11" customFormat="false" ht="15" hidden="false" customHeight="false" outlineLevel="0" collapsed="false">
      <c r="A11" s="4" t="n">
        <v>3</v>
      </c>
      <c r="B11" s="9" t="n">
        <v>0.0354</v>
      </c>
      <c r="C11" s="9" t="n">
        <v>0.0401</v>
      </c>
      <c r="D11" s="10" t="n">
        <f aca="false">(C11-B11)*10000</f>
        <v>47</v>
      </c>
      <c r="E11" s="11" t="n">
        <f aca="false">MAX(0,C11-B11)*(1-Parametros!$B$5)</f>
        <v>0.0047</v>
      </c>
      <c r="F11" s="11" t="n">
        <f aca="false">B11+E11*Parametros!$B$6</f>
        <v>0.0401</v>
      </c>
      <c r="G11" s="12" t="n">
        <f aca="false">(1+F11/2)^2-1</f>
        <v>0.0405020024999998</v>
      </c>
      <c r="H11" s="13" t="n">
        <f aca="false">(1+G11)^(-A11)</f>
        <v>0.887710258934996</v>
      </c>
      <c r="I11" s="11" t="n">
        <f aca="false">B11+E11*Parametros!$B$7</f>
        <v>0.0401</v>
      </c>
      <c r="J11" s="12" t="n">
        <f aca="false">(1+I11/2)^2-1</f>
        <v>0.0405020024999998</v>
      </c>
      <c r="K11" s="13" t="n">
        <f aca="false">(1+J11)^(-A11)</f>
        <v>0.887710258934996</v>
      </c>
      <c r="L11" s="11" t="n">
        <f aca="false">B11+E11*Parametros!$B$8</f>
        <v>0.0401</v>
      </c>
      <c r="M11" s="12" t="n">
        <f aca="false">(1+L11/2)^2-1</f>
        <v>0.0405020024999998</v>
      </c>
      <c r="N11" s="13" t="n">
        <f aca="false">(1+M11)^(-A11)</f>
        <v>0.887710258934996</v>
      </c>
    </row>
    <row r="12" customFormat="false" ht="15" hidden="false" customHeight="false" outlineLevel="0" collapsed="false">
      <c r="A12" s="4" t="n">
        <v>3.5</v>
      </c>
      <c r="B12" s="9" t="n">
        <v>0.0358</v>
      </c>
      <c r="C12" s="9" t="n">
        <v>0.0406</v>
      </c>
      <c r="D12" s="10" t="n">
        <f aca="false">(C12-B12)*10000</f>
        <v>48</v>
      </c>
      <c r="E12" s="11" t="n">
        <f aca="false">MAX(0,C12-B12)*(1-Parametros!$B$5)</f>
        <v>0.0048</v>
      </c>
      <c r="F12" s="11" t="n">
        <f aca="false">B12+E12*Parametros!$B$6</f>
        <v>0.0406</v>
      </c>
      <c r="G12" s="12" t="n">
        <f aca="false">(1+F12/2)^2-1</f>
        <v>0.0410120899999999</v>
      </c>
      <c r="H12" s="13" t="n">
        <f aca="false">(1+G12)^(-A12)</f>
        <v>0.868769955598502</v>
      </c>
      <c r="I12" s="11" t="n">
        <f aca="false">B12+E12*Parametros!$B$7</f>
        <v>0.0406</v>
      </c>
      <c r="J12" s="12" t="n">
        <f aca="false">(1+I12/2)^2-1</f>
        <v>0.0410120899999999</v>
      </c>
      <c r="K12" s="13" t="n">
        <f aca="false">(1+J12)^(-A12)</f>
        <v>0.868769955598502</v>
      </c>
      <c r="L12" s="11" t="n">
        <f aca="false">B12+E12*Parametros!$B$8</f>
        <v>0.0406</v>
      </c>
      <c r="M12" s="12" t="n">
        <f aca="false">(1+L12/2)^2-1</f>
        <v>0.0410120899999999</v>
      </c>
      <c r="N12" s="13" t="n">
        <f aca="false">(1+M12)^(-A12)</f>
        <v>0.868769955598502</v>
      </c>
    </row>
    <row r="13" customFormat="false" ht="15" hidden="false" customHeight="false" outlineLevel="0" collapsed="false">
      <c r="A13" s="4" t="n">
        <v>4</v>
      </c>
      <c r="B13" s="9" t="n">
        <v>0.0363</v>
      </c>
      <c r="C13" s="9" t="n">
        <v>0.0412</v>
      </c>
      <c r="D13" s="10" t="n">
        <f aca="false">(C13-B13)*10000</f>
        <v>49</v>
      </c>
      <c r="E13" s="11" t="n">
        <f aca="false">MAX(0,C13-B13)*(1-Parametros!$B$5)</f>
        <v>0.0049</v>
      </c>
      <c r="F13" s="11" t="n">
        <f aca="false">B13+E13*Parametros!$B$6</f>
        <v>0.0412</v>
      </c>
      <c r="G13" s="12" t="n">
        <f aca="false">(1+F13/2)^2-1</f>
        <v>0.0416243599999999</v>
      </c>
      <c r="H13" s="13" t="n">
        <f aca="false">(1+G13)^(-A13)</f>
        <v>0.849484556815066</v>
      </c>
      <c r="I13" s="11" t="n">
        <f aca="false">B13+E13*Parametros!$B$7</f>
        <v>0.0412</v>
      </c>
      <c r="J13" s="12" t="n">
        <f aca="false">(1+I13/2)^2-1</f>
        <v>0.0416243599999999</v>
      </c>
      <c r="K13" s="13" t="n">
        <f aca="false">(1+J13)^(-A13)</f>
        <v>0.849484556815066</v>
      </c>
      <c r="L13" s="11" t="n">
        <f aca="false">B13+E13*Parametros!$B$8</f>
        <v>0.0412</v>
      </c>
      <c r="M13" s="12" t="n">
        <f aca="false">(1+L13/2)^2-1</f>
        <v>0.0416243599999999</v>
      </c>
      <c r="N13" s="13" t="n">
        <f aca="false">(1+M13)^(-A13)</f>
        <v>0.849484556815066</v>
      </c>
    </row>
    <row r="14" customFormat="false" ht="15" hidden="false" customHeight="false" outlineLevel="0" collapsed="false">
      <c r="A14" s="4" t="n">
        <v>4.5</v>
      </c>
      <c r="B14" s="9" t="n">
        <v>0.0368</v>
      </c>
      <c r="C14" s="9" t="n">
        <v>0.0419</v>
      </c>
      <c r="D14" s="10" t="n">
        <f aca="false">(C14-B14)*10000</f>
        <v>51</v>
      </c>
      <c r="E14" s="11" t="n">
        <f aca="false">MAX(0,C14-B14)*(1-Parametros!$B$5)</f>
        <v>0.0051</v>
      </c>
      <c r="F14" s="11" t="n">
        <f aca="false">B14+E14*Parametros!$B$6</f>
        <v>0.0419</v>
      </c>
      <c r="G14" s="12" t="n">
        <f aca="false">(1+F14/2)^2-1</f>
        <v>0.0423389025000001</v>
      </c>
      <c r="H14" s="13" t="n">
        <f aca="false">(1+G14)^(-A14)</f>
        <v>0.829773839806654</v>
      </c>
      <c r="I14" s="11" t="n">
        <f aca="false">B14+E14*Parametros!$B$7</f>
        <v>0.0419</v>
      </c>
      <c r="J14" s="12" t="n">
        <f aca="false">(1+I14/2)^2-1</f>
        <v>0.0423389025000001</v>
      </c>
      <c r="K14" s="13" t="n">
        <f aca="false">(1+J14)^(-A14)</f>
        <v>0.829773839806654</v>
      </c>
      <c r="L14" s="11" t="n">
        <f aca="false">B14+E14*Parametros!$B$8</f>
        <v>0.0419</v>
      </c>
      <c r="M14" s="12" t="n">
        <f aca="false">(1+L14/2)^2-1</f>
        <v>0.0423389025000001</v>
      </c>
      <c r="N14" s="13" t="n">
        <f aca="false">(1+M14)^(-A14)</f>
        <v>0.829773839806654</v>
      </c>
    </row>
    <row r="15" customFormat="false" ht="15" hidden="false" customHeight="false" outlineLevel="0" collapsed="false">
      <c r="A15" s="4" t="n">
        <v>5</v>
      </c>
      <c r="B15" s="9" t="n">
        <v>0.0374</v>
      </c>
      <c r="C15" s="9" t="n">
        <v>0.0425</v>
      </c>
      <c r="D15" s="10" t="n">
        <f aca="false">(C15-B15)*10000</f>
        <v>51</v>
      </c>
      <c r="E15" s="11" t="n">
        <f aca="false">MAX(0,C15-B15)*(1-Parametros!$B$5)</f>
        <v>0.0051</v>
      </c>
      <c r="F15" s="11" t="n">
        <f aca="false">B15+E15*Parametros!$B$6</f>
        <v>0.0425</v>
      </c>
      <c r="G15" s="12" t="n">
        <f aca="false">(1+F15/2)^2-1</f>
        <v>0.0429515624999999</v>
      </c>
      <c r="H15" s="13" t="n">
        <f aca="false">(1+G15)^(-A15)</f>
        <v>0.810362442174778</v>
      </c>
      <c r="I15" s="11" t="n">
        <f aca="false">B15+E15*Parametros!$B$7</f>
        <v>0.0425</v>
      </c>
      <c r="J15" s="12" t="n">
        <f aca="false">(1+I15/2)^2-1</f>
        <v>0.0429515624999999</v>
      </c>
      <c r="K15" s="13" t="n">
        <f aca="false">(1+J15)^(-A15)</f>
        <v>0.810362442174778</v>
      </c>
      <c r="L15" s="11" t="n">
        <f aca="false">B15+E15*Parametros!$B$8</f>
        <v>0.0425</v>
      </c>
      <c r="M15" s="12" t="n">
        <f aca="false">(1+L15/2)^2-1</f>
        <v>0.0429515624999999</v>
      </c>
      <c r="N15" s="13" t="n">
        <f aca="false">(1+M15)^(-A15)</f>
        <v>0.810362442174778</v>
      </c>
    </row>
    <row r="16" customFormat="false" ht="15" hidden="false" customHeight="false" outlineLevel="0" collapsed="false">
      <c r="A16" s="4" t="n">
        <v>5.5</v>
      </c>
      <c r="B16" s="9" t="n">
        <v>0.0379</v>
      </c>
      <c r="C16" s="9" t="n">
        <v>0.0432</v>
      </c>
      <c r="D16" s="10" t="n">
        <f aca="false">(C16-B16)*10000</f>
        <v>53</v>
      </c>
      <c r="E16" s="11" t="n">
        <f aca="false">MAX(0,C16-B16)*(1-Parametros!$B$5)</f>
        <v>0.0053</v>
      </c>
      <c r="F16" s="11" t="n">
        <f aca="false">B16+E16*Parametros!$B$6</f>
        <v>0.0432</v>
      </c>
      <c r="G16" s="12" t="n">
        <f aca="false">(1+F16/2)^2-1</f>
        <v>0.0436665600000001</v>
      </c>
      <c r="H16" s="13" t="n">
        <f aca="false">(1+G16)^(-A16)</f>
        <v>0.790515287812693</v>
      </c>
      <c r="I16" s="11" t="n">
        <f aca="false">B16+E16*Parametros!$B$7</f>
        <v>0.0432</v>
      </c>
      <c r="J16" s="12" t="n">
        <f aca="false">(1+I16/2)^2-1</f>
        <v>0.0436665600000001</v>
      </c>
      <c r="K16" s="13" t="n">
        <f aca="false">(1+J16)^(-A16)</f>
        <v>0.790515287812693</v>
      </c>
      <c r="L16" s="11" t="n">
        <f aca="false">B16+E16*Parametros!$B$8</f>
        <v>0.0432</v>
      </c>
      <c r="M16" s="12" t="n">
        <f aca="false">(1+L16/2)^2-1</f>
        <v>0.0436665600000001</v>
      </c>
      <c r="N16" s="13" t="n">
        <f aca="false">(1+M16)^(-A16)</f>
        <v>0.790515287812693</v>
      </c>
    </row>
    <row r="17" customFormat="false" ht="15" hidden="false" customHeight="false" outlineLevel="0" collapsed="false">
      <c r="A17" s="4" t="n">
        <v>6</v>
      </c>
      <c r="B17" s="9" t="n">
        <v>0.0384</v>
      </c>
      <c r="C17" s="9" t="n">
        <v>0.044</v>
      </c>
      <c r="D17" s="10" t="n">
        <f aca="false">(C17-B17)*10000</f>
        <v>56</v>
      </c>
      <c r="E17" s="11" t="n">
        <f aca="false">MAX(0,C17-B17)*(1-Parametros!$B$5)</f>
        <v>0.0056</v>
      </c>
      <c r="F17" s="11" t="n">
        <f aca="false">B17+E17*Parametros!$B$6</f>
        <v>0.044</v>
      </c>
      <c r="G17" s="12" t="n">
        <f aca="false">(1+F17/2)^2-1</f>
        <v>0.044484</v>
      </c>
      <c r="H17" s="13" t="n">
        <f aca="false">(1+G17)^(-A17)</f>
        <v>0.770174704138499</v>
      </c>
      <c r="I17" s="11" t="n">
        <f aca="false">B17+E17*Parametros!$B$7</f>
        <v>0.044</v>
      </c>
      <c r="J17" s="12" t="n">
        <f aca="false">(1+I17/2)^2-1</f>
        <v>0.044484</v>
      </c>
      <c r="K17" s="13" t="n">
        <f aca="false">(1+J17)^(-A17)</f>
        <v>0.770174704138499</v>
      </c>
      <c r="L17" s="11" t="n">
        <f aca="false">B17+E17*Parametros!$B$8</f>
        <v>0.044</v>
      </c>
      <c r="M17" s="12" t="n">
        <f aca="false">(1+L17/2)^2-1</f>
        <v>0.044484</v>
      </c>
      <c r="N17" s="13" t="n">
        <f aca="false">(1+M17)^(-A17)</f>
        <v>0.770174704138499</v>
      </c>
    </row>
    <row r="18" customFormat="false" ht="15" hidden="false" customHeight="false" outlineLevel="0" collapsed="false">
      <c r="A18" s="4" t="n">
        <v>6.5</v>
      </c>
      <c r="B18" s="9" t="n">
        <v>0.0389</v>
      </c>
      <c r="C18" s="9" t="n">
        <v>0.0447</v>
      </c>
      <c r="D18" s="10" t="n">
        <f aca="false">(C18-B18)*10000</f>
        <v>58</v>
      </c>
      <c r="E18" s="11" t="n">
        <f aca="false">MAX(0,C18-B18)*(1-Parametros!$B$5)</f>
        <v>0.0058</v>
      </c>
      <c r="F18" s="11" t="n">
        <f aca="false">B18+E18*Parametros!$B$6</f>
        <v>0.0447</v>
      </c>
      <c r="G18" s="12" t="n">
        <f aca="false">(1+F18/2)^2-1</f>
        <v>0.0451995225000001</v>
      </c>
      <c r="H18" s="13" t="n">
        <f aca="false">(1+G18)^(-A18)</f>
        <v>0.750248581182274</v>
      </c>
      <c r="I18" s="11" t="n">
        <f aca="false">B18+E18*Parametros!$B$7</f>
        <v>0.0447</v>
      </c>
      <c r="J18" s="12" t="n">
        <f aca="false">(1+I18/2)^2-1</f>
        <v>0.0451995225000001</v>
      </c>
      <c r="K18" s="13" t="n">
        <f aca="false">(1+J18)^(-A18)</f>
        <v>0.750248581182274</v>
      </c>
      <c r="L18" s="11" t="n">
        <f aca="false">B18+E18*Parametros!$B$8</f>
        <v>0.0447</v>
      </c>
      <c r="M18" s="12" t="n">
        <f aca="false">(1+L18/2)^2-1</f>
        <v>0.0451995225000001</v>
      </c>
      <c r="N18" s="13" t="n">
        <f aca="false">(1+M18)^(-A18)</f>
        <v>0.750248581182274</v>
      </c>
    </row>
    <row r="19" customFormat="false" ht="15" hidden="false" customHeight="false" outlineLevel="0" collapsed="false">
      <c r="A19" s="4" t="n">
        <v>7</v>
      </c>
      <c r="B19" s="9" t="n">
        <v>0.0395</v>
      </c>
      <c r="C19" s="9" t="n">
        <v>0.0455</v>
      </c>
      <c r="D19" s="10" t="n">
        <f aca="false">(C19-B19)*10000</f>
        <v>60</v>
      </c>
      <c r="E19" s="11" t="n">
        <f aca="false">MAX(0,C19-B19)*(1-Parametros!$B$5)</f>
        <v>0.006</v>
      </c>
      <c r="F19" s="11" t="n">
        <f aca="false">B19+E19*Parametros!$B$6</f>
        <v>0.0455</v>
      </c>
      <c r="G19" s="12" t="n">
        <f aca="false">(1+F19/2)^2-1</f>
        <v>0.0460175625000001</v>
      </c>
      <c r="H19" s="13" t="n">
        <f aca="false">(1+G19)^(-A19)</f>
        <v>0.729839166057358</v>
      </c>
      <c r="I19" s="11" t="n">
        <f aca="false">B19+E19*Parametros!$B$7</f>
        <v>0.0455</v>
      </c>
      <c r="J19" s="12" t="n">
        <f aca="false">(1+I19/2)^2-1</f>
        <v>0.0460175625000001</v>
      </c>
      <c r="K19" s="13" t="n">
        <f aca="false">(1+J19)^(-A19)</f>
        <v>0.729839166057358</v>
      </c>
      <c r="L19" s="11" t="n">
        <f aca="false">B19+E19*Parametros!$B$8</f>
        <v>0.0455</v>
      </c>
      <c r="M19" s="12" t="n">
        <f aca="false">(1+L19/2)^2-1</f>
        <v>0.0460175625000001</v>
      </c>
      <c r="N19" s="13" t="n">
        <f aca="false">(1+M19)^(-A19)</f>
        <v>0.729839166057358</v>
      </c>
    </row>
    <row r="20" customFormat="false" ht="15" hidden="false" customHeight="false" outlineLevel="0" collapsed="false">
      <c r="A20" s="4" t="n">
        <v>7.5</v>
      </c>
      <c r="B20" s="9" t="n">
        <v>0.0399</v>
      </c>
      <c r="C20" s="9" t="n">
        <v>0.0462</v>
      </c>
      <c r="D20" s="10" t="n">
        <f aca="false">(C20-B20)*10000</f>
        <v>63</v>
      </c>
      <c r="E20" s="11" t="n">
        <f aca="false">MAX(0,C20-B20)*(1-Parametros!$B$5)</f>
        <v>0.0063</v>
      </c>
      <c r="F20" s="11" t="n">
        <f aca="false">B20+E20*Parametros!$B$6</f>
        <v>0.0462</v>
      </c>
      <c r="G20" s="12" t="n">
        <f aca="false">(1+F20/2)^2-1</f>
        <v>0.0467336099999998</v>
      </c>
      <c r="H20" s="13" t="n">
        <f aca="false">(1+G20)^(-A20)</f>
        <v>0.709951579938981</v>
      </c>
      <c r="I20" s="11" t="n">
        <f aca="false">B20+E20*Parametros!$B$7</f>
        <v>0.0462</v>
      </c>
      <c r="J20" s="12" t="n">
        <f aca="false">(1+I20/2)^2-1</f>
        <v>0.0467336099999998</v>
      </c>
      <c r="K20" s="13" t="n">
        <f aca="false">(1+J20)^(-A20)</f>
        <v>0.709951579938981</v>
      </c>
      <c r="L20" s="11" t="n">
        <f aca="false">B20+E20*Parametros!$B$8</f>
        <v>0.0462</v>
      </c>
      <c r="M20" s="12" t="n">
        <f aca="false">(1+L20/2)^2-1</f>
        <v>0.0467336099999998</v>
      </c>
      <c r="N20" s="13" t="n">
        <f aca="false">(1+M20)^(-A20)</f>
        <v>0.709951579938981</v>
      </c>
    </row>
    <row r="21" customFormat="false" ht="15" hidden="false" customHeight="false" outlineLevel="0" collapsed="false">
      <c r="A21" s="4" t="n">
        <v>8</v>
      </c>
      <c r="B21" s="9" t="n">
        <v>0.0404</v>
      </c>
      <c r="C21" s="9" t="n">
        <v>0.0469</v>
      </c>
      <c r="D21" s="10" t="n">
        <f aca="false">(C21-B21)*10000</f>
        <v>65</v>
      </c>
      <c r="E21" s="11" t="n">
        <f aca="false">MAX(0,C21-B21)*(1-Parametros!$B$5)</f>
        <v>0.0065</v>
      </c>
      <c r="F21" s="11" t="n">
        <f aca="false">B21+E21*Parametros!$B$6</f>
        <v>0.0469</v>
      </c>
      <c r="G21" s="12" t="n">
        <f aca="false">(1+F21/2)^2-1</f>
        <v>0.0474499024999999</v>
      </c>
      <c r="H21" s="13" t="n">
        <f aca="false">(1+G21)^(-A21)</f>
        <v>0.690134779982116</v>
      </c>
      <c r="I21" s="11" t="n">
        <f aca="false">B21+E21*Parametros!$B$7</f>
        <v>0.0469</v>
      </c>
      <c r="J21" s="12" t="n">
        <f aca="false">(1+I21/2)^2-1</f>
        <v>0.0474499024999999</v>
      </c>
      <c r="K21" s="13" t="n">
        <f aca="false">(1+J21)^(-A21)</f>
        <v>0.690134779982116</v>
      </c>
      <c r="L21" s="11" t="n">
        <f aca="false">B21+E21*Parametros!$B$8</f>
        <v>0.0469</v>
      </c>
      <c r="M21" s="12" t="n">
        <f aca="false">(1+L21/2)^2-1</f>
        <v>0.0474499024999999</v>
      </c>
      <c r="N21" s="13" t="n">
        <f aca="false">(1+M21)^(-A21)</f>
        <v>0.690134779982116</v>
      </c>
    </row>
    <row r="22" customFormat="false" ht="15" hidden="false" customHeight="false" outlineLevel="0" collapsed="false">
      <c r="A22" s="4" t="n">
        <v>8.5</v>
      </c>
      <c r="B22" s="9" t="n">
        <v>0.0409</v>
      </c>
      <c r="C22" s="9" t="n">
        <v>0.0476</v>
      </c>
      <c r="D22" s="10" t="n">
        <f aca="false">(C22-B22)*10000</f>
        <v>67</v>
      </c>
      <c r="E22" s="11" t="n">
        <f aca="false">MAX(0,C22-B22)*(1-Parametros!$B$5)</f>
        <v>0.0067</v>
      </c>
      <c r="F22" s="11" t="n">
        <f aca="false">B22+E22*Parametros!$B$6</f>
        <v>0.0476</v>
      </c>
      <c r="G22" s="12" t="n">
        <f aca="false">(1+F22/2)^2-1</f>
        <v>0.0481664400000001</v>
      </c>
      <c r="H22" s="13" t="n">
        <f aca="false">(1+G22)^(-A22)</f>
        <v>0.670413685759962</v>
      </c>
      <c r="I22" s="11" t="n">
        <f aca="false">B22+E22*Parametros!$B$7</f>
        <v>0.0476</v>
      </c>
      <c r="J22" s="12" t="n">
        <f aca="false">(1+I22/2)^2-1</f>
        <v>0.0481664400000001</v>
      </c>
      <c r="K22" s="13" t="n">
        <f aca="false">(1+J22)^(-A22)</f>
        <v>0.670413685759962</v>
      </c>
      <c r="L22" s="11" t="n">
        <f aca="false">B22+E22*Parametros!$B$8</f>
        <v>0.0476</v>
      </c>
      <c r="M22" s="12" t="n">
        <f aca="false">(1+L22/2)^2-1</f>
        <v>0.0481664400000001</v>
      </c>
      <c r="N22" s="13" t="n">
        <f aca="false">(1+M22)^(-A22)</f>
        <v>0.670413685759962</v>
      </c>
    </row>
    <row r="23" customFormat="false" ht="15" hidden="false" customHeight="false" outlineLevel="0" collapsed="false">
      <c r="A23" s="4" t="n">
        <v>9</v>
      </c>
      <c r="B23" s="9" t="n">
        <v>0.0414</v>
      </c>
      <c r="C23" s="9" t="n">
        <v>0.0483</v>
      </c>
      <c r="D23" s="10" t="n">
        <f aca="false">(C23-B23)*10000</f>
        <v>69</v>
      </c>
      <c r="E23" s="11" t="n">
        <f aca="false">MAX(0,C23-B23)*(1-Parametros!$B$5)</f>
        <v>0.0069</v>
      </c>
      <c r="F23" s="11" t="n">
        <f aca="false">B23+E23*Parametros!$B$6</f>
        <v>0.0483</v>
      </c>
      <c r="G23" s="12" t="n">
        <f aca="false">(1+F23/2)^2-1</f>
        <v>0.0488832224999998</v>
      </c>
      <c r="H23" s="13" t="n">
        <f aca="false">(1+G23)^(-A23)</f>
        <v>0.650812299504567</v>
      </c>
      <c r="I23" s="11" t="n">
        <f aca="false">B23+E23*Parametros!$B$7</f>
        <v>0.0483</v>
      </c>
      <c r="J23" s="12" t="n">
        <f aca="false">(1+I23/2)^2-1</f>
        <v>0.0488832224999998</v>
      </c>
      <c r="K23" s="13" t="n">
        <f aca="false">(1+J23)^(-A23)</f>
        <v>0.650812299504567</v>
      </c>
      <c r="L23" s="11" t="n">
        <f aca="false">B23+E23*Parametros!$B$8</f>
        <v>0.0483</v>
      </c>
      <c r="M23" s="12" t="n">
        <f aca="false">(1+L23/2)^2-1</f>
        <v>0.0488832224999998</v>
      </c>
      <c r="N23" s="13" t="n">
        <f aca="false">(1+M23)^(-A23)</f>
        <v>0.650812299504567</v>
      </c>
    </row>
    <row r="24" customFormat="false" ht="15" hidden="false" customHeight="false" outlineLevel="0" collapsed="false">
      <c r="A24" s="4" t="n">
        <v>9.5</v>
      </c>
      <c r="B24" s="9" t="n">
        <v>0.0418</v>
      </c>
      <c r="C24" s="9" t="n">
        <v>0.049</v>
      </c>
      <c r="D24" s="10" t="n">
        <f aca="false">(C24-B24)*10000</f>
        <v>72.0000000000001</v>
      </c>
      <c r="E24" s="11" t="n">
        <f aca="false">MAX(0,C24-B24)*(1-Parametros!$B$5)</f>
        <v>0.00720000000000001</v>
      </c>
      <c r="F24" s="11" t="n">
        <f aca="false">B24+E24*Parametros!$B$6</f>
        <v>0.049</v>
      </c>
      <c r="G24" s="12" t="n">
        <f aca="false">(1+F24/2)^2-1</f>
        <v>0.0496002499999999</v>
      </c>
      <c r="H24" s="13" t="n">
        <f aca="false">(1+G24)^(-A24)</f>
        <v>0.631353668064452</v>
      </c>
      <c r="I24" s="11" t="n">
        <f aca="false">B24+E24*Parametros!$B$7</f>
        <v>0.049</v>
      </c>
      <c r="J24" s="12" t="n">
        <f aca="false">(1+I24/2)^2-1</f>
        <v>0.0496002499999999</v>
      </c>
      <c r="K24" s="13" t="n">
        <f aca="false">(1+J24)^(-A24)</f>
        <v>0.631353668064452</v>
      </c>
      <c r="L24" s="11" t="n">
        <f aca="false">B24+E24*Parametros!$B$8</f>
        <v>0.049</v>
      </c>
      <c r="M24" s="12" t="n">
        <f aca="false">(1+L24/2)^2-1</f>
        <v>0.0496002499999999</v>
      </c>
      <c r="N24" s="13" t="n">
        <f aca="false">(1+M24)^(-A24)</f>
        <v>0.631353668064452</v>
      </c>
    </row>
    <row r="25" customFormat="false" ht="15" hidden="false" customHeight="false" outlineLevel="0" collapsed="false">
      <c r="A25" s="4" t="n">
        <v>10</v>
      </c>
      <c r="B25" s="9" t="n">
        <v>0.0422</v>
      </c>
      <c r="C25" s="9" t="n">
        <v>0.0496</v>
      </c>
      <c r="D25" s="10" t="n">
        <f aca="false">(C25-B25)*10000</f>
        <v>74</v>
      </c>
      <c r="E25" s="11" t="n">
        <f aca="false">MAX(0,C25-B25)*(1-Parametros!$B$5)</f>
        <v>0.0074</v>
      </c>
      <c r="F25" s="11" t="n">
        <f aca="false">B25+E25*Parametros!$B$6</f>
        <v>0.0496</v>
      </c>
      <c r="G25" s="12" t="n">
        <f aca="false">(1+F25/2)^2-1</f>
        <v>0.0502150399999999</v>
      </c>
      <c r="H25" s="13" t="n">
        <f aca="false">(1+G25)^(-A25)</f>
        <v>0.612657374254464</v>
      </c>
      <c r="I25" s="11" t="n">
        <f aca="false">B25+E25*Parametros!$B$7</f>
        <v>0.0496</v>
      </c>
      <c r="J25" s="12" t="n">
        <f aca="false">(1+I25/2)^2-1</f>
        <v>0.0502150399999999</v>
      </c>
      <c r="K25" s="13" t="n">
        <f aca="false">(1+J25)^(-A25)</f>
        <v>0.612657374254464</v>
      </c>
      <c r="L25" s="11" t="n">
        <f aca="false">B25+E25*Parametros!$B$8</f>
        <v>0.0496</v>
      </c>
      <c r="M25" s="12" t="n">
        <f aca="false">(1+L25/2)^2-1</f>
        <v>0.0502150399999999</v>
      </c>
      <c r="N25" s="13" t="n">
        <f aca="false">(1+M25)^(-A25)</f>
        <v>0.612657374254464</v>
      </c>
    </row>
    <row r="26" customFormat="false" ht="15" hidden="false" customHeight="false" outlineLevel="0" collapsed="false">
      <c r="A26" s="4" t="n">
        <v>10.5</v>
      </c>
      <c r="B26" s="9" t="n">
        <v>0.0427</v>
      </c>
      <c r="C26" s="9" t="n">
        <v>0.0502</v>
      </c>
      <c r="D26" s="10" t="n">
        <f aca="false">(C26-B26)*10000</f>
        <v>75</v>
      </c>
      <c r="E26" s="11" t="n">
        <f aca="false">MAX(0,C26-B26)*(1-Parametros!$B$5)</f>
        <v>0.0075</v>
      </c>
      <c r="F26" s="11" t="n">
        <f aca="false">B26+E26*Parametros!$B$6</f>
        <v>0.0502</v>
      </c>
      <c r="G26" s="12" t="n">
        <f aca="false">(1+F26/2)^2-1</f>
        <v>0.0508300099999999</v>
      </c>
      <c r="H26" s="13" t="n">
        <f aca="false">(1+G26)^(-A26)</f>
        <v>0.594167778003101</v>
      </c>
      <c r="I26" s="11" t="n">
        <f aca="false">B26+E26*Parametros!$B$7</f>
        <v>0.0502</v>
      </c>
      <c r="J26" s="12" t="n">
        <f aca="false">(1+I26/2)^2-1</f>
        <v>0.0508300099999999</v>
      </c>
      <c r="K26" s="13" t="n">
        <f aca="false">(1+J26)^(-A26)</f>
        <v>0.594167778003101</v>
      </c>
      <c r="L26" s="11" t="n">
        <f aca="false">B26+E26*Parametros!$B$8</f>
        <v>0.0502</v>
      </c>
      <c r="M26" s="12" t="n">
        <f aca="false">(1+L26/2)^2-1</f>
        <v>0.0508300099999999</v>
      </c>
      <c r="N26" s="13" t="n">
        <f aca="false">(1+M26)^(-A26)</f>
        <v>0.594167778003101</v>
      </c>
    </row>
    <row r="27" customFormat="false" ht="15" hidden="false" customHeight="false" outlineLevel="0" collapsed="false">
      <c r="A27" s="4" t="n">
        <v>11</v>
      </c>
      <c r="B27" s="9" t="n">
        <v>0.0431</v>
      </c>
      <c r="C27" s="9" t="n">
        <v>0.0508</v>
      </c>
      <c r="D27" s="10" t="n">
        <f aca="false">(C27-B27)*10000</f>
        <v>77</v>
      </c>
      <c r="E27" s="11" t="n">
        <f aca="false">MAX(0,C27-B27)*(1-Parametros!$B$5)</f>
        <v>0.0077</v>
      </c>
      <c r="F27" s="11" t="n">
        <f aca="false">B27+E27*Parametros!$B$6</f>
        <v>0.0508</v>
      </c>
      <c r="G27" s="12" t="n">
        <f aca="false">(1+F27/2)^2-1</f>
        <v>0.0514451600000001</v>
      </c>
      <c r="H27" s="13" t="n">
        <f aca="false">(1+G27)^(-A27)</f>
        <v>0.575900043990307</v>
      </c>
      <c r="I27" s="11" t="n">
        <f aca="false">B27+E27*Parametros!$B$7</f>
        <v>0.0508</v>
      </c>
      <c r="J27" s="12" t="n">
        <f aca="false">(1+I27/2)^2-1</f>
        <v>0.0514451600000001</v>
      </c>
      <c r="K27" s="13" t="n">
        <f aca="false">(1+J27)^(-A27)</f>
        <v>0.575900043990307</v>
      </c>
      <c r="L27" s="11" t="n">
        <f aca="false">B27+E27*Parametros!$B$8</f>
        <v>0.0508</v>
      </c>
      <c r="M27" s="12" t="n">
        <f aca="false">(1+L27/2)^2-1</f>
        <v>0.0514451600000001</v>
      </c>
      <c r="N27" s="13" t="n">
        <f aca="false">(1+M27)^(-A27)</f>
        <v>0.575900043990307</v>
      </c>
    </row>
    <row r="28" customFormat="false" ht="15" hidden="false" customHeight="false" outlineLevel="0" collapsed="false">
      <c r="A28" s="4" t="n">
        <v>11.5</v>
      </c>
      <c r="B28" s="9" t="n">
        <v>0.0436</v>
      </c>
      <c r="C28" s="9" t="n">
        <v>0.0514</v>
      </c>
      <c r="D28" s="10" t="n">
        <f aca="false">(C28-B28)*10000</f>
        <v>78</v>
      </c>
      <c r="E28" s="11" t="n">
        <f aca="false">MAX(0,C28-B28)*(1-Parametros!$B$5)</f>
        <v>0.0078</v>
      </c>
      <c r="F28" s="11" t="n">
        <f aca="false">B28+E28*Parametros!$B$6</f>
        <v>0.0514</v>
      </c>
      <c r="G28" s="12" t="n">
        <f aca="false">(1+F28/2)^2-1</f>
        <v>0.0520604900000001</v>
      </c>
      <c r="H28" s="13" t="n">
        <f aca="false">(1+G28)^(-A28)</f>
        <v>0.557868478710578</v>
      </c>
      <c r="I28" s="11" t="n">
        <f aca="false">B28+E28*Parametros!$B$7</f>
        <v>0.0514</v>
      </c>
      <c r="J28" s="12" t="n">
        <f aca="false">(1+I28/2)^2-1</f>
        <v>0.0520604900000001</v>
      </c>
      <c r="K28" s="13" t="n">
        <f aca="false">(1+J28)^(-A28)</f>
        <v>0.557868478710578</v>
      </c>
      <c r="L28" s="11" t="n">
        <f aca="false">B28+E28*Parametros!$B$8</f>
        <v>0.0514</v>
      </c>
      <c r="M28" s="12" t="n">
        <f aca="false">(1+L28/2)^2-1</f>
        <v>0.0520604900000001</v>
      </c>
      <c r="N28" s="13" t="n">
        <f aca="false">(1+M28)^(-A28)</f>
        <v>0.557868478710578</v>
      </c>
    </row>
    <row r="29" customFormat="false" ht="15" hidden="false" customHeight="false" outlineLevel="0" collapsed="false">
      <c r="A29" s="4" t="n">
        <v>12</v>
      </c>
      <c r="B29" s="9" t="n">
        <v>0.0441</v>
      </c>
      <c r="C29" s="9" t="n">
        <v>0.0519</v>
      </c>
      <c r="D29" s="10" t="n">
        <f aca="false">(C29-B29)*10000</f>
        <v>78</v>
      </c>
      <c r="E29" s="11" t="n">
        <f aca="false">MAX(0,C29-B29)*(1-Parametros!$B$5)</f>
        <v>0.0078</v>
      </c>
      <c r="F29" s="11" t="n">
        <f aca="false">B29+E29*Parametros!$B$6</f>
        <v>0.0519</v>
      </c>
      <c r="G29" s="12" t="n">
        <f aca="false">(1+F29/2)^2-1</f>
        <v>0.0525734024999998</v>
      </c>
      <c r="H29" s="13" t="n">
        <f aca="false">(1+G29)^(-A29)</f>
        <v>0.540718589461897</v>
      </c>
      <c r="I29" s="11" t="n">
        <f aca="false">B29+E29*Parametros!$B$7</f>
        <v>0.0519</v>
      </c>
      <c r="J29" s="12" t="n">
        <f aca="false">(1+I29/2)^2-1</f>
        <v>0.0525734024999998</v>
      </c>
      <c r="K29" s="13" t="n">
        <f aca="false">(1+J29)^(-A29)</f>
        <v>0.540718589461897</v>
      </c>
      <c r="L29" s="11" t="n">
        <f aca="false">B29+E29*Parametros!$B$8</f>
        <v>0.0519</v>
      </c>
      <c r="M29" s="12" t="n">
        <f aca="false">(1+L29/2)^2-1</f>
        <v>0.0525734024999998</v>
      </c>
      <c r="N29" s="13" t="n">
        <f aca="false">(1+M29)^(-A29)</f>
        <v>0.540718589461897</v>
      </c>
    </row>
    <row r="30" customFormat="false" ht="15" hidden="false" customHeight="false" outlineLevel="0" collapsed="false">
      <c r="A30" s="4" t="n">
        <v>12.5</v>
      </c>
      <c r="B30" s="9" t="n">
        <v>0.0446</v>
      </c>
      <c r="C30" s="9" t="n">
        <v>0.0524</v>
      </c>
      <c r="D30" s="10" t="n">
        <f aca="false">(C30-B30)*10000</f>
        <v>78</v>
      </c>
      <c r="E30" s="11" t="n">
        <f aca="false">MAX(0,C30-B30)*(1-Parametros!$B$5)</f>
        <v>0.0078</v>
      </c>
      <c r="F30" s="11" t="n">
        <f aca="false">B30+E30*Parametros!$B$6</f>
        <v>0.0524</v>
      </c>
      <c r="G30" s="12" t="n">
        <f aca="false">(1+F30/2)^2-1</f>
        <v>0.05308644</v>
      </c>
      <c r="H30" s="13" t="n">
        <f aca="false">(1+G30)^(-A30)</f>
        <v>0.523841307850008</v>
      </c>
      <c r="I30" s="11" t="n">
        <f aca="false">B30+E30*Parametros!$B$7</f>
        <v>0.0524</v>
      </c>
      <c r="J30" s="12" t="n">
        <f aca="false">(1+I30/2)^2-1</f>
        <v>0.05308644</v>
      </c>
      <c r="K30" s="13" t="n">
        <f aca="false">(1+J30)^(-A30)</f>
        <v>0.523841307850008</v>
      </c>
      <c r="L30" s="11" t="n">
        <f aca="false">B30+E30*Parametros!$B$8</f>
        <v>0.0524</v>
      </c>
      <c r="M30" s="12" t="n">
        <f aca="false">(1+L30/2)^2-1</f>
        <v>0.05308644</v>
      </c>
      <c r="N30" s="13" t="n">
        <f aca="false">(1+M30)^(-A30)</f>
        <v>0.523841307850008</v>
      </c>
    </row>
    <row r="31" customFormat="false" ht="15" hidden="false" customHeight="false" outlineLevel="0" collapsed="false">
      <c r="A31" s="4" t="n">
        <v>13</v>
      </c>
      <c r="B31" s="9" t="n">
        <v>0.0451</v>
      </c>
      <c r="C31" s="9" t="n">
        <v>0.0529</v>
      </c>
      <c r="D31" s="10" t="n">
        <f aca="false">(C31-B31)*10000</f>
        <v>78</v>
      </c>
      <c r="E31" s="11" t="n">
        <f aca="false">MAX(0,C31-B31)*(1-Parametros!$B$5)</f>
        <v>0.0078</v>
      </c>
      <c r="F31" s="11" t="n">
        <f aca="false">B31+E31*Parametros!$B$6</f>
        <v>0.0529</v>
      </c>
      <c r="G31" s="12" t="n">
        <f aca="false">(1+F31/2)^2-1</f>
        <v>0.0535996025000001</v>
      </c>
      <c r="H31" s="13" t="n">
        <f aca="false">(1+G31)^(-A31)</f>
        <v>0.507244357422836</v>
      </c>
      <c r="I31" s="11" t="n">
        <f aca="false">B31+E31*Parametros!$B$7</f>
        <v>0.0529</v>
      </c>
      <c r="J31" s="12" t="n">
        <f aca="false">(1+I31/2)^2-1</f>
        <v>0.0535996025000001</v>
      </c>
      <c r="K31" s="13" t="n">
        <f aca="false">(1+J31)^(-A31)</f>
        <v>0.507244357422836</v>
      </c>
      <c r="L31" s="11" t="n">
        <f aca="false">B31+E31*Parametros!$B$8</f>
        <v>0.0529</v>
      </c>
      <c r="M31" s="12" t="n">
        <f aca="false">(1+L31/2)^2-1</f>
        <v>0.0535996025000001</v>
      </c>
      <c r="N31" s="13" t="n">
        <f aca="false">(1+M31)^(-A31)</f>
        <v>0.507244357422836</v>
      </c>
    </row>
    <row r="32" customFormat="false" ht="15" hidden="false" customHeight="false" outlineLevel="0" collapsed="false">
      <c r="A32" s="4" t="n">
        <v>13.5</v>
      </c>
      <c r="B32" s="9" t="n">
        <v>0.0456</v>
      </c>
      <c r="C32" s="9" t="n">
        <v>0.0534</v>
      </c>
      <c r="D32" s="10" t="n">
        <f aca="false">(C32-B32)*10000</f>
        <v>78</v>
      </c>
      <c r="E32" s="11" t="n">
        <f aca="false">MAX(0,C32-B32)*(1-Parametros!$B$5)</f>
        <v>0.0078</v>
      </c>
      <c r="F32" s="11" t="n">
        <f aca="false">B32+E32*Parametros!$B$6</f>
        <v>0.0534</v>
      </c>
      <c r="G32" s="12" t="n">
        <f aca="false">(1+F32/2)^2-1</f>
        <v>0.0541128899999999</v>
      </c>
      <c r="H32" s="13" t="n">
        <f aca="false">(1+G32)^(-A32)</f>
        <v>0.490934808107267</v>
      </c>
      <c r="I32" s="11" t="n">
        <f aca="false">B32+E32*Parametros!$B$7</f>
        <v>0.0534</v>
      </c>
      <c r="J32" s="12" t="n">
        <f aca="false">(1+I32/2)^2-1</f>
        <v>0.0541128899999999</v>
      </c>
      <c r="K32" s="13" t="n">
        <f aca="false">(1+J32)^(-A32)</f>
        <v>0.490934808107267</v>
      </c>
      <c r="L32" s="11" t="n">
        <f aca="false">B32+E32*Parametros!$B$8</f>
        <v>0.0534</v>
      </c>
      <c r="M32" s="12" t="n">
        <f aca="false">(1+L32/2)^2-1</f>
        <v>0.0541128899999999</v>
      </c>
      <c r="N32" s="13" t="n">
        <f aca="false">(1+M32)^(-A32)</f>
        <v>0.490934808107267</v>
      </c>
    </row>
    <row r="33" customFormat="false" ht="15" hidden="false" customHeight="false" outlineLevel="0" collapsed="false">
      <c r="A33" s="4" t="n">
        <v>14</v>
      </c>
      <c r="B33" s="9" t="n">
        <v>0.0461</v>
      </c>
      <c r="C33" s="9" t="n">
        <v>0.0538</v>
      </c>
      <c r="D33" s="10" t="n">
        <f aca="false">(C33-B33)*10000</f>
        <v>77</v>
      </c>
      <c r="E33" s="11" t="n">
        <f aca="false">MAX(0,C33-B33)*(1-Parametros!$B$5)</f>
        <v>0.0077</v>
      </c>
      <c r="F33" s="11" t="n">
        <f aca="false">B33+E33*Parametros!$B$6</f>
        <v>0.0538</v>
      </c>
      <c r="G33" s="12" t="n">
        <f aca="false">(1+F33/2)^2-1</f>
        <v>0.0545236099999999</v>
      </c>
      <c r="H33" s="13" t="n">
        <f aca="false">(1+G33)^(-A33)</f>
        <v>0.475566979261654</v>
      </c>
      <c r="I33" s="11" t="n">
        <f aca="false">B33+E33*Parametros!$B$7</f>
        <v>0.0538</v>
      </c>
      <c r="J33" s="12" t="n">
        <f aca="false">(1+I33/2)^2-1</f>
        <v>0.0545236099999999</v>
      </c>
      <c r="K33" s="13" t="n">
        <f aca="false">(1+J33)^(-A33)</f>
        <v>0.475566979261654</v>
      </c>
      <c r="L33" s="11" t="n">
        <f aca="false">B33+E33*Parametros!$B$8</f>
        <v>0.0538</v>
      </c>
      <c r="M33" s="12" t="n">
        <f aca="false">(1+L33/2)^2-1</f>
        <v>0.0545236099999999</v>
      </c>
      <c r="N33" s="13" t="n">
        <f aca="false">(1+M33)^(-A33)</f>
        <v>0.475566979261654</v>
      </c>
    </row>
    <row r="34" customFormat="false" ht="15" hidden="false" customHeight="false" outlineLevel="0" collapsed="false">
      <c r="A34" s="4" t="n">
        <v>14.5</v>
      </c>
      <c r="B34" s="9" t="n">
        <v>0.0465</v>
      </c>
      <c r="C34" s="9" t="n">
        <v>0.0542</v>
      </c>
      <c r="D34" s="10" t="n">
        <f aca="false">(C34-B34)*10000</f>
        <v>77</v>
      </c>
      <c r="E34" s="11" t="n">
        <f aca="false">MAX(0,C34-B34)*(1-Parametros!$B$5)</f>
        <v>0.0077</v>
      </c>
      <c r="F34" s="11" t="n">
        <f aca="false">B34+E34*Parametros!$B$6</f>
        <v>0.0542</v>
      </c>
      <c r="G34" s="12" t="n">
        <f aca="false">(1+F34/2)^2-1</f>
        <v>0.0549344099999998</v>
      </c>
      <c r="H34" s="13" t="n">
        <f aca="false">(1+G34)^(-A34)</f>
        <v>0.460501291606571</v>
      </c>
      <c r="I34" s="11" t="n">
        <f aca="false">B34+E34*Parametros!$B$7</f>
        <v>0.0542</v>
      </c>
      <c r="J34" s="12" t="n">
        <f aca="false">(1+I34/2)^2-1</f>
        <v>0.0549344099999998</v>
      </c>
      <c r="K34" s="13" t="n">
        <f aca="false">(1+J34)^(-A34)</f>
        <v>0.460501291606571</v>
      </c>
      <c r="L34" s="11" t="n">
        <f aca="false">B34+E34*Parametros!$B$8</f>
        <v>0.0542</v>
      </c>
      <c r="M34" s="12" t="n">
        <f aca="false">(1+L34/2)^2-1</f>
        <v>0.0549344099999998</v>
      </c>
      <c r="N34" s="13" t="n">
        <f aca="false">(1+M34)^(-A34)</f>
        <v>0.460501291606571</v>
      </c>
    </row>
    <row r="35" customFormat="false" ht="15" hidden="false" customHeight="false" outlineLevel="0" collapsed="false">
      <c r="A35" s="4" t="n">
        <v>15</v>
      </c>
      <c r="B35" s="9" t="n">
        <v>0.047</v>
      </c>
      <c r="C35" s="9" t="n">
        <v>0.0546</v>
      </c>
      <c r="D35" s="10" t="n">
        <f aca="false">(C35-B35)*10000</f>
        <v>76</v>
      </c>
      <c r="E35" s="11" t="n">
        <f aca="false">MAX(0,C35-B35)*(1-Parametros!$B$5)</f>
        <v>0.0076</v>
      </c>
      <c r="F35" s="11" t="n">
        <f aca="false">B35+E35*Parametros!$B$6</f>
        <v>0.0546</v>
      </c>
      <c r="G35" s="12" t="n">
        <f aca="false">(1+F35/2)^2-1</f>
        <v>0.0553452900000002</v>
      </c>
      <c r="H35" s="13" t="n">
        <f aca="false">(1+G35)^(-A35)</f>
        <v>0.445739741198054</v>
      </c>
      <c r="I35" s="11" t="n">
        <f aca="false">B35+E35*Parametros!$B$7</f>
        <v>0.0546</v>
      </c>
      <c r="J35" s="12" t="n">
        <f aca="false">(1+I35/2)^2-1</f>
        <v>0.0553452900000002</v>
      </c>
      <c r="K35" s="13" t="n">
        <f aca="false">(1+J35)^(-A35)</f>
        <v>0.445739741198054</v>
      </c>
      <c r="L35" s="11" t="n">
        <f aca="false">B35+E35*Parametros!$B$8</f>
        <v>0.0546</v>
      </c>
      <c r="M35" s="12" t="n">
        <f aca="false">(1+L35/2)^2-1</f>
        <v>0.0553452900000002</v>
      </c>
      <c r="N35" s="13" t="n">
        <f aca="false">(1+M35)^(-A35)</f>
        <v>0.445739741198054</v>
      </c>
    </row>
    <row r="36" customFormat="false" ht="15" hidden="false" customHeight="false" outlineLevel="0" collapsed="false">
      <c r="A36" s="4" t="n">
        <v>15.5</v>
      </c>
      <c r="B36" s="9" t="n">
        <v>0.0474</v>
      </c>
      <c r="C36" s="9" t="n">
        <v>0.055</v>
      </c>
      <c r="D36" s="10" t="n">
        <f aca="false">(C36-B36)*10000</f>
        <v>76</v>
      </c>
      <c r="E36" s="11" t="n">
        <f aca="false">MAX(0,C36-B36)*(1-Parametros!$B$5)</f>
        <v>0.0076</v>
      </c>
      <c r="F36" s="11" t="n">
        <f aca="false">B36+E36*Parametros!$B$6</f>
        <v>0.055</v>
      </c>
      <c r="G36" s="12" t="n">
        <f aca="false">(1+F36/2)^2-1</f>
        <v>0.0557562500000002</v>
      </c>
      <c r="H36" s="13" t="n">
        <f aca="false">(1+G36)^(-A36)</f>
        <v>0.431283906898206</v>
      </c>
      <c r="I36" s="11" t="n">
        <f aca="false">B36+E36*Parametros!$B$7</f>
        <v>0.055</v>
      </c>
      <c r="J36" s="12" t="n">
        <f aca="false">(1+I36/2)^2-1</f>
        <v>0.0557562500000002</v>
      </c>
      <c r="K36" s="13" t="n">
        <f aca="false">(1+J36)^(-A36)</f>
        <v>0.431283906898206</v>
      </c>
      <c r="L36" s="11" t="n">
        <f aca="false">B36+E36*Parametros!$B$8</f>
        <v>0.055</v>
      </c>
      <c r="M36" s="12" t="n">
        <f aca="false">(1+L36/2)^2-1</f>
        <v>0.0557562500000002</v>
      </c>
      <c r="N36" s="13" t="n">
        <f aca="false">(1+M36)^(-A36)</f>
        <v>0.431283906898206</v>
      </c>
    </row>
    <row r="37" customFormat="false" ht="15" hidden="false" customHeight="false" outlineLevel="0" collapsed="false">
      <c r="A37" s="4" t="n">
        <v>16</v>
      </c>
      <c r="B37" s="9" t="n">
        <v>0.0479</v>
      </c>
      <c r="C37" s="9" t="n">
        <v>0.0553</v>
      </c>
      <c r="D37" s="10" t="n">
        <f aca="false">(C37-B37)*10000</f>
        <v>74</v>
      </c>
      <c r="E37" s="11" t="n">
        <f aca="false">MAX(0,C37-B37)*(1-Parametros!$B$5)</f>
        <v>0.0074</v>
      </c>
      <c r="F37" s="11" t="n">
        <f aca="false">B37+E37*Parametros!$B$6</f>
        <v>0.0553</v>
      </c>
      <c r="G37" s="12" t="n">
        <f aca="false">(1+F37/2)^2-1</f>
        <v>0.0560645224999998</v>
      </c>
      <c r="H37" s="13" t="n">
        <f aca="false">(1+G37)^(-A37)</f>
        <v>0.417784909981387</v>
      </c>
      <c r="I37" s="11" t="n">
        <f aca="false">B37+E37*Parametros!$B$7</f>
        <v>0.0553</v>
      </c>
      <c r="J37" s="12" t="n">
        <f aca="false">(1+I37/2)^2-1</f>
        <v>0.0560645224999998</v>
      </c>
      <c r="K37" s="13" t="n">
        <f aca="false">(1+J37)^(-A37)</f>
        <v>0.417784909981387</v>
      </c>
      <c r="L37" s="11" t="n">
        <f aca="false">B37+E37*Parametros!$B$8</f>
        <v>0.0553</v>
      </c>
      <c r="M37" s="12" t="n">
        <f aca="false">(1+L37/2)^2-1</f>
        <v>0.0560645224999998</v>
      </c>
      <c r="N37" s="13" t="n">
        <f aca="false">(1+M37)^(-A37)</f>
        <v>0.417784909981387</v>
      </c>
    </row>
    <row r="38" customFormat="false" ht="15" hidden="false" customHeight="false" outlineLevel="0" collapsed="false">
      <c r="A38" s="4" t="n">
        <v>16.5</v>
      </c>
      <c r="B38" s="9" t="n">
        <v>0.0483</v>
      </c>
      <c r="C38" s="9" t="n">
        <v>0.0557</v>
      </c>
      <c r="D38" s="10" t="n">
        <f aca="false">(C38-B38)*10000</f>
        <v>74</v>
      </c>
      <c r="E38" s="11" t="n">
        <f aca="false">MAX(0,C38-B38)*(1-Parametros!$B$5)</f>
        <v>0.0074</v>
      </c>
      <c r="F38" s="11" t="n">
        <f aca="false">B38+E38*Parametros!$B$6</f>
        <v>0.0557</v>
      </c>
      <c r="G38" s="12" t="n">
        <f aca="false">(1+F38/2)^2-1</f>
        <v>0.0564756224999998</v>
      </c>
      <c r="H38" s="13" t="n">
        <f aca="false">(1+G38)^(-A38)</f>
        <v>0.403941592030416</v>
      </c>
      <c r="I38" s="11" t="n">
        <f aca="false">B38+E38*Parametros!$B$7</f>
        <v>0.0557</v>
      </c>
      <c r="J38" s="12" t="n">
        <f aca="false">(1+I38/2)^2-1</f>
        <v>0.0564756224999998</v>
      </c>
      <c r="K38" s="13" t="n">
        <f aca="false">(1+J38)^(-A38)</f>
        <v>0.403941592030416</v>
      </c>
      <c r="L38" s="11" t="n">
        <f aca="false">B38+E38*Parametros!$B$8</f>
        <v>0.0557</v>
      </c>
      <c r="M38" s="12" t="n">
        <f aca="false">(1+L38/2)^2-1</f>
        <v>0.0564756224999998</v>
      </c>
      <c r="N38" s="13" t="n">
        <f aca="false">(1+M38)^(-A38)</f>
        <v>0.403941592030416</v>
      </c>
    </row>
    <row r="39" customFormat="false" ht="15" hidden="false" customHeight="false" outlineLevel="0" collapsed="false">
      <c r="A39" s="4" t="n">
        <v>17</v>
      </c>
      <c r="B39" s="9" t="n">
        <v>0.0487</v>
      </c>
      <c r="C39" s="9" t="n">
        <v>0.056</v>
      </c>
      <c r="D39" s="10" t="n">
        <f aca="false">(C39-B39)*10000</f>
        <v>73</v>
      </c>
      <c r="E39" s="11" t="n">
        <f aca="false">MAX(0,C39-B39)*(1-Parametros!$B$5)</f>
        <v>0.0073</v>
      </c>
      <c r="F39" s="11" t="n">
        <f aca="false">B39+E39*Parametros!$B$6</f>
        <v>0.056</v>
      </c>
      <c r="G39" s="12" t="n">
        <f aca="false">(1+F39/2)^2-1</f>
        <v>0.0567839999999999</v>
      </c>
      <c r="H39" s="13" t="n">
        <f aca="false">(1+G39)^(-A39)</f>
        <v>0.39105163099999</v>
      </c>
      <c r="I39" s="11" t="n">
        <f aca="false">B39+E39*Parametros!$B$7</f>
        <v>0.056</v>
      </c>
      <c r="J39" s="12" t="n">
        <f aca="false">(1+I39/2)^2-1</f>
        <v>0.0567839999999999</v>
      </c>
      <c r="K39" s="13" t="n">
        <f aca="false">(1+J39)^(-A39)</f>
        <v>0.39105163099999</v>
      </c>
      <c r="L39" s="11" t="n">
        <f aca="false">B39+E39*Parametros!$B$8</f>
        <v>0.056</v>
      </c>
      <c r="M39" s="12" t="n">
        <f aca="false">(1+L39/2)^2-1</f>
        <v>0.0567839999999999</v>
      </c>
      <c r="N39" s="13" t="n">
        <f aca="false">(1+M39)^(-A39)</f>
        <v>0.39105163099999</v>
      </c>
    </row>
    <row r="40" customFormat="false" ht="15" hidden="false" customHeight="false" outlineLevel="0" collapsed="false">
      <c r="A40" s="4" t="n">
        <v>17.5</v>
      </c>
      <c r="B40" s="9" t="n">
        <v>0.049</v>
      </c>
      <c r="C40" s="9" t="n">
        <v>0.0563</v>
      </c>
      <c r="D40" s="10" t="n">
        <f aca="false">(C40-B40)*10000</f>
        <v>73</v>
      </c>
      <c r="E40" s="11" t="n">
        <f aca="false">MAX(0,C40-B40)*(1-Parametros!$B$5)</f>
        <v>0.0073</v>
      </c>
      <c r="F40" s="11" t="n">
        <f aca="false">B40+E40*Parametros!$B$6</f>
        <v>0.0563</v>
      </c>
      <c r="G40" s="12" t="n">
        <f aca="false">(1+F40/2)^2-1</f>
        <v>0.0570924224999998</v>
      </c>
      <c r="H40" s="13" t="n">
        <f aca="false">(1+G40)^(-A40)</f>
        <v>0.378462806108724</v>
      </c>
      <c r="I40" s="11" t="n">
        <f aca="false">B40+E40*Parametros!$B$7</f>
        <v>0.0563</v>
      </c>
      <c r="J40" s="12" t="n">
        <f aca="false">(1+I40/2)^2-1</f>
        <v>0.0570924224999998</v>
      </c>
      <c r="K40" s="13" t="n">
        <f aca="false">(1+J40)^(-A40)</f>
        <v>0.378462806108724</v>
      </c>
      <c r="L40" s="11" t="n">
        <f aca="false">B40+E40*Parametros!$B$8</f>
        <v>0.0563</v>
      </c>
      <c r="M40" s="12" t="n">
        <f aca="false">(1+L40/2)^2-1</f>
        <v>0.0570924224999998</v>
      </c>
      <c r="N40" s="13" t="n">
        <f aca="false">(1+M40)^(-A40)</f>
        <v>0.378462806108724</v>
      </c>
    </row>
    <row r="41" customFormat="false" ht="15" hidden="false" customHeight="false" outlineLevel="0" collapsed="false">
      <c r="A41" s="4" t="n">
        <v>18</v>
      </c>
      <c r="B41" s="9" t="n">
        <v>0.0494</v>
      </c>
      <c r="C41" s="9" t="n">
        <v>0.0566</v>
      </c>
      <c r="D41" s="10" t="n">
        <f aca="false">(C41-B41)*10000</f>
        <v>72</v>
      </c>
      <c r="E41" s="11" t="n">
        <f aca="false">MAX(0,C41-B41)*(1-Parametros!$B$5)</f>
        <v>0.0072</v>
      </c>
      <c r="F41" s="11" t="n">
        <f aca="false">B41+E41*Parametros!$B$6</f>
        <v>0.0566</v>
      </c>
      <c r="G41" s="12" t="n">
        <f aca="false">(1+F41/2)^2-1</f>
        <v>0.05740089</v>
      </c>
      <c r="H41" s="13" t="n">
        <f aca="false">(1+G41)^(-A41)</f>
        <v>0.366172656732645</v>
      </c>
      <c r="I41" s="11" t="n">
        <f aca="false">B41+E41*Parametros!$B$7</f>
        <v>0.0566</v>
      </c>
      <c r="J41" s="12" t="n">
        <f aca="false">(1+I41/2)^2-1</f>
        <v>0.05740089</v>
      </c>
      <c r="K41" s="13" t="n">
        <f aca="false">(1+J41)^(-A41)</f>
        <v>0.366172656732645</v>
      </c>
      <c r="L41" s="11" t="n">
        <f aca="false">B41+E41*Parametros!$B$8</f>
        <v>0.0566</v>
      </c>
      <c r="M41" s="12" t="n">
        <f aca="false">(1+L41/2)^2-1</f>
        <v>0.05740089</v>
      </c>
      <c r="N41" s="13" t="n">
        <f aca="false">(1+M41)^(-A41)</f>
        <v>0.366172656732645</v>
      </c>
    </row>
    <row r="42" customFormat="false" ht="15" hidden="false" customHeight="false" outlineLevel="0" collapsed="false">
      <c r="A42" s="4" t="n">
        <v>18.5</v>
      </c>
      <c r="B42" s="9" t="n">
        <v>0.0497</v>
      </c>
      <c r="C42" s="9" t="n">
        <v>0.0569</v>
      </c>
      <c r="D42" s="10" t="n">
        <f aca="false">(C42-B42)*10000</f>
        <v>72</v>
      </c>
      <c r="E42" s="11" t="n">
        <f aca="false">MAX(0,C42-B42)*(1-Parametros!$B$5)</f>
        <v>0.0072</v>
      </c>
      <c r="F42" s="11" t="n">
        <f aca="false">B42+E42*Parametros!$B$6</f>
        <v>0.0569</v>
      </c>
      <c r="G42" s="12" t="n">
        <f aca="false">(1+F42/2)^2-1</f>
        <v>0.0577094025000002</v>
      </c>
      <c r="H42" s="13" t="n">
        <f aca="false">(1+G42)^(-A42)</f>
        <v>0.354178542958251</v>
      </c>
      <c r="I42" s="11" t="n">
        <f aca="false">B42+E42*Parametros!$B$7</f>
        <v>0.0569</v>
      </c>
      <c r="J42" s="12" t="n">
        <f aca="false">(1+I42/2)^2-1</f>
        <v>0.0577094025000002</v>
      </c>
      <c r="K42" s="13" t="n">
        <f aca="false">(1+J42)^(-A42)</f>
        <v>0.354178542958251</v>
      </c>
      <c r="L42" s="11" t="n">
        <f aca="false">B42+E42*Parametros!$B$8</f>
        <v>0.0569</v>
      </c>
      <c r="M42" s="12" t="n">
        <f aca="false">(1+L42/2)^2-1</f>
        <v>0.0577094025000002</v>
      </c>
      <c r="N42" s="13" t="n">
        <f aca="false">(1+M42)^(-A42)</f>
        <v>0.354178542958251</v>
      </c>
    </row>
    <row r="43" customFormat="false" ht="15" hidden="false" customHeight="false" outlineLevel="0" collapsed="false">
      <c r="A43" s="4" t="n">
        <v>19</v>
      </c>
      <c r="B43" s="9" t="n">
        <v>0.0499</v>
      </c>
      <c r="C43" s="9" t="n">
        <v>0.0571</v>
      </c>
      <c r="D43" s="10" t="n">
        <f aca="false">(C43-B43)*10000</f>
        <v>72</v>
      </c>
      <c r="E43" s="11" t="n">
        <f aca="false">MAX(0,C43-B43)*(1-Parametros!$B$5)</f>
        <v>0.0072</v>
      </c>
      <c r="F43" s="11" t="n">
        <f aca="false">B43+E43*Parametros!$B$6</f>
        <v>0.0571</v>
      </c>
      <c r="G43" s="12" t="n">
        <f aca="false">(1+F43/2)^2-1</f>
        <v>0.0579151025000002</v>
      </c>
      <c r="H43" s="13" t="n">
        <f aca="false">(1+G43)^(-A43)</f>
        <v>0.343110869338822</v>
      </c>
      <c r="I43" s="11" t="n">
        <f aca="false">B43+E43*Parametros!$B$7</f>
        <v>0.0571</v>
      </c>
      <c r="J43" s="12" t="n">
        <f aca="false">(1+I43/2)^2-1</f>
        <v>0.0579151025000002</v>
      </c>
      <c r="K43" s="13" t="n">
        <f aca="false">(1+J43)^(-A43)</f>
        <v>0.343110869338822</v>
      </c>
      <c r="L43" s="11" t="n">
        <f aca="false">B43+E43*Parametros!$B$8</f>
        <v>0.0571</v>
      </c>
      <c r="M43" s="12" t="n">
        <f aca="false">(1+L43/2)^2-1</f>
        <v>0.0579151025000002</v>
      </c>
      <c r="N43" s="13" t="n">
        <f aca="false">(1+M43)^(-A43)</f>
        <v>0.343110869338822</v>
      </c>
    </row>
    <row r="44" customFormat="false" ht="15" hidden="false" customHeight="false" outlineLevel="0" collapsed="false">
      <c r="A44" s="4" t="n">
        <v>19.5</v>
      </c>
      <c r="B44" s="9" t="n">
        <v>0.0501</v>
      </c>
      <c r="C44" s="9" t="n">
        <v>0.0574</v>
      </c>
      <c r="D44" s="10" t="n">
        <f aca="false">(C44-B44)*10000</f>
        <v>73</v>
      </c>
      <c r="E44" s="11" t="n">
        <f aca="false">MAX(0,C44-B44)*(1-Parametros!$B$5)</f>
        <v>0.0073</v>
      </c>
      <c r="F44" s="11" t="n">
        <f aca="false">B44+E44*Parametros!$B$6</f>
        <v>0.0574</v>
      </c>
      <c r="G44" s="12" t="n">
        <f aca="false">(1+F44/2)^2-1</f>
        <v>0.0582236899999999</v>
      </c>
      <c r="H44" s="13" t="n">
        <f aca="false">(1+G44)^(-A44)</f>
        <v>0.33169516915309</v>
      </c>
      <c r="I44" s="11" t="n">
        <f aca="false">B44+E44*Parametros!$B$7</f>
        <v>0.0574</v>
      </c>
      <c r="J44" s="12" t="n">
        <f aca="false">(1+I44/2)^2-1</f>
        <v>0.0582236899999999</v>
      </c>
      <c r="K44" s="13" t="n">
        <f aca="false">(1+J44)^(-A44)</f>
        <v>0.33169516915309</v>
      </c>
      <c r="L44" s="11" t="n">
        <f aca="false">B44+E44*Parametros!$B$8</f>
        <v>0.0574</v>
      </c>
      <c r="M44" s="12" t="n">
        <f aca="false">(1+L44/2)^2-1</f>
        <v>0.0582236899999999</v>
      </c>
      <c r="N44" s="13" t="n">
        <f aca="false">(1+M44)^(-A44)</f>
        <v>0.33169516915309</v>
      </c>
    </row>
    <row r="45" customFormat="false" ht="15" hidden="false" customHeight="false" outlineLevel="0" collapsed="false">
      <c r="A45" s="4" t="n">
        <v>20</v>
      </c>
      <c r="B45" s="9" t="n">
        <v>0.0503</v>
      </c>
      <c r="C45" s="9" t="n">
        <v>0.0576</v>
      </c>
      <c r="D45" s="10" t="n">
        <f aca="false">(C45-B45)*10000</f>
        <v>73</v>
      </c>
      <c r="E45" s="11" t="n">
        <f aca="false">MAX(0,C45-B45)*(1-Parametros!$B$5)</f>
        <v>0.0073</v>
      </c>
      <c r="F45" s="11" t="n">
        <f aca="false">B45+E45*Parametros!$B$6</f>
        <v>0.0576</v>
      </c>
      <c r="G45" s="12" t="n">
        <f aca="false">(1+F45/2)^2-1</f>
        <v>0.0584294399999998</v>
      </c>
      <c r="H45" s="13" t="n">
        <f aca="false">(1+G45)^(-A45)</f>
        <v>0.321189823536907</v>
      </c>
      <c r="I45" s="11" t="n">
        <f aca="false">B45+E45*Parametros!$B$7</f>
        <v>0.0576</v>
      </c>
      <c r="J45" s="12" t="n">
        <f aca="false">(1+I45/2)^2-1</f>
        <v>0.0584294399999998</v>
      </c>
      <c r="K45" s="13" t="n">
        <f aca="false">(1+J45)^(-A45)</f>
        <v>0.321189823536907</v>
      </c>
      <c r="L45" s="11" t="n">
        <f aca="false">B45+E45*Parametros!$B$8</f>
        <v>0.0576</v>
      </c>
      <c r="M45" s="12" t="n">
        <f aca="false">(1+L45/2)^2-1</f>
        <v>0.0584294399999998</v>
      </c>
      <c r="N45" s="13" t="n">
        <f aca="false">(1+M45)^(-A45)</f>
        <v>0.321189823536907</v>
      </c>
    </row>
    <row r="46" customFormat="false" ht="15" hidden="false" customHeight="false" outlineLevel="0" collapsed="false">
      <c r="A46" s="4" t="n">
        <v>20.5</v>
      </c>
      <c r="B46" s="9" t="n">
        <v>0.0505</v>
      </c>
      <c r="C46" s="9" t="n">
        <v>0.0578</v>
      </c>
      <c r="D46" s="10" t="n">
        <f aca="false">(C46-B46)*10000</f>
        <v>72.9999999999999</v>
      </c>
      <c r="E46" s="11" t="n">
        <f aca="false">MAX(0,C46-B46)*(1-Parametros!$B$5)</f>
        <v>0.00729999999999999</v>
      </c>
      <c r="F46" s="11" t="n">
        <f aca="false">B46+E46*Parametros!$B$6</f>
        <v>0.0578</v>
      </c>
      <c r="G46" s="12" t="n">
        <f aca="false">(1+F46/2)^2-1</f>
        <v>0.0586352099999998</v>
      </c>
      <c r="H46" s="13" t="n">
        <f aca="false">(1+G46)^(-A46)</f>
        <v>0.310956861202221</v>
      </c>
      <c r="I46" s="11" t="n">
        <f aca="false">B46+E46*Parametros!$B$7</f>
        <v>0.0578</v>
      </c>
      <c r="J46" s="12" t="n">
        <f aca="false">(1+I46/2)^2-1</f>
        <v>0.0586352099999998</v>
      </c>
      <c r="K46" s="13" t="n">
        <f aca="false">(1+J46)^(-A46)</f>
        <v>0.310956861202221</v>
      </c>
      <c r="L46" s="11" t="n">
        <f aca="false">B46+E46*Parametros!$B$8</f>
        <v>0.0578</v>
      </c>
      <c r="M46" s="12" t="n">
        <f aca="false">(1+L46/2)^2-1</f>
        <v>0.0586352099999998</v>
      </c>
      <c r="N46" s="13" t="n">
        <f aca="false">(1+M46)^(-A46)</f>
        <v>0.310956861202221</v>
      </c>
    </row>
    <row r="47" customFormat="false" ht="15" hidden="false" customHeight="false" outlineLevel="0" collapsed="false">
      <c r="A47" s="4" t="n">
        <v>21</v>
      </c>
      <c r="B47" s="9" t="n">
        <v>0.0506</v>
      </c>
      <c r="C47" s="9" t="n">
        <v>0.058</v>
      </c>
      <c r="D47" s="10" t="n">
        <f aca="false">(C47-B47)*10000</f>
        <v>74</v>
      </c>
      <c r="E47" s="11" t="n">
        <f aca="false">MAX(0,C47-B47)*(1-Parametros!$B$5)</f>
        <v>0.0074</v>
      </c>
      <c r="F47" s="11" t="n">
        <f aca="false">B47+E47*Parametros!$B$6</f>
        <v>0.058</v>
      </c>
      <c r="G47" s="12" t="n">
        <f aca="false">(1+F47/2)^2-1</f>
        <v>0.0588409999999999</v>
      </c>
      <c r="H47" s="13" t="n">
        <f aca="false">(1+G47)^(-A47)</f>
        <v>0.300991519881792</v>
      </c>
      <c r="I47" s="11" t="n">
        <f aca="false">B47+E47*Parametros!$B$7</f>
        <v>0.058</v>
      </c>
      <c r="J47" s="12" t="n">
        <f aca="false">(1+I47/2)^2-1</f>
        <v>0.0588409999999999</v>
      </c>
      <c r="K47" s="13" t="n">
        <f aca="false">(1+J47)^(-A47)</f>
        <v>0.300991519881792</v>
      </c>
      <c r="L47" s="11" t="n">
        <f aca="false">B47+E47*Parametros!$B$8</f>
        <v>0.058</v>
      </c>
      <c r="M47" s="12" t="n">
        <f aca="false">(1+L47/2)^2-1</f>
        <v>0.0588409999999999</v>
      </c>
      <c r="N47" s="13" t="n">
        <f aca="false">(1+M47)^(-A47)</f>
        <v>0.300991519881792</v>
      </c>
    </row>
    <row r="48" customFormat="false" ht="15" hidden="false" customHeight="false" outlineLevel="0" collapsed="false">
      <c r="A48" s="4" t="n">
        <v>21.5</v>
      </c>
      <c r="B48" s="9" t="n">
        <v>0.0507</v>
      </c>
      <c r="C48" s="9" t="n">
        <v>0.0582</v>
      </c>
      <c r="D48" s="10" t="n">
        <f aca="false">(C48-B48)*10000</f>
        <v>75</v>
      </c>
      <c r="E48" s="11" t="n">
        <f aca="false">MAX(0,C48-B48)*(1-Parametros!$B$5)</f>
        <v>0.0075</v>
      </c>
      <c r="F48" s="11" t="n">
        <f aca="false">B48+E48*Parametros!$B$6</f>
        <v>0.0582</v>
      </c>
      <c r="G48" s="12" t="n">
        <f aca="false">(1+F48/2)^2-1</f>
        <v>0.0590468099999999</v>
      </c>
      <c r="H48" s="13" t="n">
        <f aca="false">(1+G48)^(-A48)</f>
        <v>0.291289035394906</v>
      </c>
      <c r="I48" s="11" t="n">
        <f aca="false">B48+E48*Parametros!$B$7</f>
        <v>0.0582</v>
      </c>
      <c r="J48" s="12" t="n">
        <f aca="false">(1+I48/2)^2-1</f>
        <v>0.0590468099999999</v>
      </c>
      <c r="K48" s="13" t="n">
        <f aca="false">(1+J48)^(-A48)</f>
        <v>0.291289035394906</v>
      </c>
      <c r="L48" s="11" t="n">
        <f aca="false">B48+E48*Parametros!$B$8</f>
        <v>0.0582</v>
      </c>
      <c r="M48" s="12" t="n">
        <f aca="false">(1+L48/2)^2-1</f>
        <v>0.0590468099999999</v>
      </c>
      <c r="N48" s="13" t="n">
        <f aca="false">(1+M48)^(-A48)</f>
        <v>0.291289035394906</v>
      </c>
    </row>
    <row r="49" customFormat="false" ht="15" hidden="false" customHeight="false" outlineLevel="0" collapsed="false">
      <c r="A49" s="4" t="n">
        <v>22</v>
      </c>
      <c r="B49" s="9" t="n">
        <v>0.0507</v>
      </c>
      <c r="C49" s="9" t="n">
        <v>0.0584</v>
      </c>
      <c r="D49" s="10" t="n">
        <f aca="false">(C49-B49)*10000</f>
        <v>77</v>
      </c>
      <c r="E49" s="11" t="n">
        <f aca="false">MAX(0,C49-B49)*(1-Parametros!$B$5)</f>
        <v>0.0077</v>
      </c>
      <c r="F49" s="11" t="n">
        <f aca="false">B49+E49*Parametros!$B$6</f>
        <v>0.0584</v>
      </c>
      <c r="G49" s="12" t="n">
        <f aca="false">(1+F49/2)^2-1</f>
        <v>0.0592526399999997</v>
      </c>
      <c r="H49" s="13" t="n">
        <f aca="false">(1+G49)^(-A49)</f>
        <v>0.281844645389781</v>
      </c>
      <c r="I49" s="11" t="n">
        <f aca="false">B49+E49*Parametros!$B$7</f>
        <v>0.0584</v>
      </c>
      <c r="J49" s="12" t="n">
        <f aca="false">(1+I49/2)^2-1</f>
        <v>0.0592526399999997</v>
      </c>
      <c r="K49" s="13" t="n">
        <f aca="false">(1+J49)^(-A49)</f>
        <v>0.281844645389781</v>
      </c>
      <c r="L49" s="11" t="n">
        <f aca="false">B49+E49*Parametros!$B$8</f>
        <v>0.0584</v>
      </c>
      <c r="M49" s="12" t="n">
        <f aca="false">(1+L49/2)^2-1</f>
        <v>0.0592526399999997</v>
      </c>
      <c r="N49" s="13" t="n">
        <f aca="false">(1+M49)^(-A49)</f>
        <v>0.281844645389781</v>
      </c>
    </row>
    <row r="50" customFormat="false" ht="15" hidden="false" customHeight="false" outlineLevel="0" collapsed="false">
      <c r="A50" s="4" t="n">
        <v>22.5</v>
      </c>
      <c r="B50" s="9" t="n">
        <v>0.0507</v>
      </c>
      <c r="C50" s="9" t="n">
        <v>0.0586</v>
      </c>
      <c r="D50" s="10" t="n">
        <f aca="false">(C50-B50)*10000</f>
        <v>79</v>
      </c>
      <c r="E50" s="11" t="n">
        <f aca="false">MAX(0,C50-B50)*(1-Parametros!$B$5)</f>
        <v>0.0079</v>
      </c>
      <c r="F50" s="11" t="n">
        <f aca="false">B50+E50*Parametros!$B$6</f>
        <v>0.0586</v>
      </c>
      <c r="G50" s="12" t="n">
        <f aca="false">(1+F50/2)^2-1</f>
        <v>0.0594584900000001</v>
      </c>
      <c r="H50" s="13" t="n">
        <f aca="false">(1+G50)^(-A50)</f>
        <v>0.272653592962599</v>
      </c>
      <c r="I50" s="11" t="n">
        <f aca="false">B50+E50*Parametros!$B$7</f>
        <v>0.0586</v>
      </c>
      <c r="J50" s="12" t="n">
        <f aca="false">(1+I50/2)^2-1</f>
        <v>0.0594584900000001</v>
      </c>
      <c r="K50" s="13" t="n">
        <f aca="false">(1+J50)^(-A50)</f>
        <v>0.272653592962599</v>
      </c>
      <c r="L50" s="11" t="n">
        <f aca="false">B50+E50*Parametros!$B$8</f>
        <v>0.0586</v>
      </c>
      <c r="M50" s="12" t="n">
        <f aca="false">(1+L50/2)^2-1</f>
        <v>0.0594584900000001</v>
      </c>
      <c r="N50" s="13" t="n">
        <f aca="false">(1+M50)^(-A50)</f>
        <v>0.272653592962599</v>
      </c>
    </row>
    <row r="51" customFormat="false" ht="15" hidden="false" customHeight="false" outlineLevel="0" collapsed="false">
      <c r="A51" s="4" t="n">
        <v>23</v>
      </c>
      <c r="B51" s="9" t="n">
        <v>0.0507</v>
      </c>
      <c r="C51" s="9" t="n">
        <v>0.0587</v>
      </c>
      <c r="D51" s="10" t="n">
        <f aca="false">(C51-B51)*10000</f>
        <v>80</v>
      </c>
      <c r="E51" s="11" t="n">
        <f aca="false">MAX(0,C51-B51)*(1-Parametros!$B$5)</f>
        <v>0.008</v>
      </c>
      <c r="F51" s="11" t="n">
        <f aca="false">B51+E51*Parametros!$B$6</f>
        <v>0.0587</v>
      </c>
      <c r="G51" s="12" t="n">
        <f aca="false">(1+F51/2)^2-1</f>
        <v>0.0595614225000001</v>
      </c>
      <c r="H51" s="13" t="n">
        <f aca="false">(1+G51)^(-A51)</f>
        <v>0.264301015972632</v>
      </c>
      <c r="I51" s="11" t="n">
        <f aca="false">B51+E51*Parametros!$B$7</f>
        <v>0.0587</v>
      </c>
      <c r="J51" s="12" t="n">
        <f aca="false">(1+I51/2)^2-1</f>
        <v>0.0595614225000001</v>
      </c>
      <c r="K51" s="13" t="n">
        <f aca="false">(1+J51)^(-A51)</f>
        <v>0.264301015972632</v>
      </c>
      <c r="L51" s="11" t="n">
        <f aca="false">B51+E51*Parametros!$B$8</f>
        <v>0.0587</v>
      </c>
      <c r="M51" s="12" t="n">
        <f aca="false">(1+L51/2)^2-1</f>
        <v>0.0595614225000001</v>
      </c>
      <c r="N51" s="13" t="n">
        <f aca="false">(1+M51)^(-A51)</f>
        <v>0.264301015972632</v>
      </c>
    </row>
    <row r="52" customFormat="false" ht="15" hidden="false" customHeight="false" outlineLevel="0" collapsed="false">
      <c r="A52" s="4" t="n">
        <v>23.5</v>
      </c>
      <c r="B52" s="9" t="n">
        <v>0.0507</v>
      </c>
      <c r="C52" s="9" t="n">
        <v>0.0589</v>
      </c>
      <c r="D52" s="10" t="n">
        <f aca="false">(C52-B52)*10000</f>
        <v>82</v>
      </c>
      <c r="E52" s="11" t="n">
        <f aca="false">MAX(0,C52-B52)*(1-Parametros!$B$5)</f>
        <v>0.0082</v>
      </c>
      <c r="F52" s="11" t="n">
        <f aca="false">B52+E52*Parametros!$B$6</f>
        <v>0.0589</v>
      </c>
      <c r="G52" s="12" t="n">
        <f aca="false">(1+F52/2)^2-1</f>
        <v>0.0597673024999998</v>
      </c>
      <c r="H52" s="13" t="n">
        <f aca="false">(1+G52)^(-A52)</f>
        <v>0.255595307628312</v>
      </c>
      <c r="I52" s="11" t="n">
        <f aca="false">B52+E52*Parametros!$B$7</f>
        <v>0.0589</v>
      </c>
      <c r="J52" s="12" t="n">
        <f aca="false">(1+I52/2)^2-1</f>
        <v>0.0597673024999998</v>
      </c>
      <c r="K52" s="13" t="n">
        <f aca="false">(1+J52)^(-A52)</f>
        <v>0.255595307628312</v>
      </c>
      <c r="L52" s="11" t="n">
        <f aca="false">B52+E52*Parametros!$B$8</f>
        <v>0.0589</v>
      </c>
      <c r="M52" s="12" t="n">
        <f aca="false">(1+L52/2)^2-1</f>
        <v>0.0597673024999998</v>
      </c>
      <c r="N52" s="13" t="n">
        <f aca="false">(1+M52)^(-A52)</f>
        <v>0.255595307628312</v>
      </c>
    </row>
    <row r="53" customFormat="false" ht="15" hidden="false" customHeight="false" outlineLevel="0" collapsed="false">
      <c r="A53" s="4" t="n">
        <v>24</v>
      </c>
      <c r="B53" s="9" t="n">
        <v>0.0507</v>
      </c>
      <c r="C53" s="9" t="n">
        <v>0.059</v>
      </c>
      <c r="D53" s="10" t="n">
        <f aca="false">(C53-B53)*10000</f>
        <v>82.9999999999999</v>
      </c>
      <c r="E53" s="11" t="n">
        <f aca="false">MAX(0,C53-B53)*(1-Parametros!$B$5)</f>
        <v>0.0083</v>
      </c>
      <c r="F53" s="11" t="n">
        <f aca="false">B53+E53*Parametros!$B$6</f>
        <v>0.059</v>
      </c>
      <c r="G53" s="12" t="n">
        <f aca="false">(1+F53/2)^2-1</f>
        <v>0.0598702500000001</v>
      </c>
      <c r="H53" s="13" t="n">
        <f aca="false">(1+G53)^(-A53)</f>
        <v>0.24770521740287</v>
      </c>
      <c r="I53" s="11" t="n">
        <f aca="false">B53+E53*Parametros!$B$7</f>
        <v>0.059</v>
      </c>
      <c r="J53" s="12" t="n">
        <f aca="false">(1+I53/2)^2-1</f>
        <v>0.0598702500000001</v>
      </c>
      <c r="K53" s="13" t="n">
        <f aca="false">(1+J53)^(-A53)</f>
        <v>0.24770521740287</v>
      </c>
      <c r="L53" s="11" t="n">
        <f aca="false">B53+E53*Parametros!$B$8</f>
        <v>0.059</v>
      </c>
      <c r="M53" s="12" t="n">
        <f aca="false">(1+L53/2)^2-1</f>
        <v>0.0598702500000001</v>
      </c>
      <c r="N53" s="13" t="n">
        <f aca="false">(1+M53)^(-A53)</f>
        <v>0.24770521740287</v>
      </c>
    </row>
    <row r="54" customFormat="false" ht="15" hidden="false" customHeight="false" outlineLevel="0" collapsed="false">
      <c r="A54" s="4" t="n">
        <v>24.5</v>
      </c>
      <c r="B54" s="9" t="n">
        <v>0.0506</v>
      </c>
      <c r="C54" s="9" t="n">
        <v>0.0592</v>
      </c>
      <c r="D54" s="10" t="n">
        <f aca="false">(C54-B54)*10000</f>
        <v>86</v>
      </c>
      <c r="E54" s="11" t="n">
        <f aca="false">MAX(0,C54-B54)*(1-Parametros!$B$5)</f>
        <v>0.0086</v>
      </c>
      <c r="F54" s="11" t="n">
        <f aca="false">B54+E54*Parametros!$B$6</f>
        <v>0.0592</v>
      </c>
      <c r="G54" s="12" t="n">
        <f aca="false">(1+F54/2)^2-1</f>
        <v>0.0600761600000002</v>
      </c>
      <c r="H54" s="13" t="n">
        <f aca="false">(1+G54)^(-A54)</f>
        <v>0.239464885753233</v>
      </c>
      <c r="I54" s="11" t="n">
        <f aca="false">B54+E54*Parametros!$B$7</f>
        <v>0.0592</v>
      </c>
      <c r="J54" s="12" t="n">
        <f aca="false">(1+I54/2)^2-1</f>
        <v>0.0600761600000002</v>
      </c>
      <c r="K54" s="13" t="n">
        <f aca="false">(1+J54)^(-A54)</f>
        <v>0.239464885753233</v>
      </c>
      <c r="L54" s="11" t="n">
        <f aca="false">B54+E54*Parametros!$B$8</f>
        <v>0.0592</v>
      </c>
      <c r="M54" s="12" t="n">
        <f aca="false">(1+L54/2)^2-1</f>
        <v>0.0600761600000002</v>
      </c>
      <c r="N54" s="13" t="n">
        <f aca="false">(1+M54)^(-A54)</f>
        <v>0.239464885753233</v>
      </c>
    </row>
    <row r="55" customFormat="false" ht="15" hidden="false" customHeight="false" outlineLevel="0" collapsed="false">
      <c r="A55" s="4" t="n">
        <v>25</v>
      </c>
      <c r="B55" s="9" t="n">
        <v>0.0506</v>
      </c>
      <c r="C55" s="9" t="n">
        <v>0.0593</v>
      </c>
      <c r="D55" s="10" t="n">
        <f aca="false">(C55-B55)*10000</f>
        <v>87</v>
      </c>
      <c r="E55" s="11" t="n">
        <f aca="false">MAX(0,C55-B55)*(1-Parametros!$B$5)</f>
        <v>0.0087</v>
      </c>
      <c r="F55" s="11" t="n">
        <f aca="false">B55+E55*Parametros!$B$6</f>
        <v>0.0593</v>
      </c>
      <c r="G55" s="12" t="n">
        <f aca="false">(1+F55/2)^2-1</f>
        <v>0.0601791224999999</v>
      </c>
      <c r="H55" s="13" t="n">
        <f aca="false">(1+G55)^(-A55)</f>
        <v>0.232016466518659</v>
      </c>
      <c r="I55" s="11" t="n">
        <f aca="false">B55+E55*Parametros!$B$7</f>
        <v>0.0593</v>
      </c>
      <c r="J55" s="12" t="n">
        <f aca="false">(1+I55/2)^2-1</f>
        <v>0.0601791224999999</v>
      </c>
      <c r="K55" s="13" t="n">
        <f aca="false">(1+J55)^(-A55)</f>
        <v>0.232016466518659</v>
      </c>
      <c r="L55" s="11" t="n">
        <f aca="false">B55+E55*Parametros!$B$8</f>
        <v>0.0593</v>
      </c>
      <c r="M55" s="12" t="n">
        <f aca="false">(1+L55/2)^2-1</f>
        <v>0.0601791224999999</v>
      </c>
      <c r="N55" s="13" t="n">
        <f aca="false">(1+M55)^(-A55)</f>
        <v>0.232016466518659</v>
      </c>
    </row>
    <row r="56" customFormat="false" ht="15" hidden="false" customHeight="false" outlineLevel="0" collapsed="false">
      <c r="A56" s="4" t="n">
        <v>25.5</v>
      </c>
      <c r="B56" s="9" t="n">
        <v>0.0505</v>
      </c>
      <c r="C56" s="9" t="n">
        <v>0.0594</v>
      </c>
      <c r="D56" s="10" t="n">
        <f aca="false">(C56-B56)*10000</f>
        <v>89</v>
      </c>
      <c r="E56" s="11" t="n">
        <f aca="false">MAX(0,C56-B56)*(1-Parametros!$B$5)</f>
        <v>0.0089</v>
      </c>
      <c r="F56" s="11" t="n">
        <f aca="false">B56+E56*Parametros!$B$6</f>
        <v>0.0594</v>
      </c>
      <c r="G56" s="12" t="n">
        <f aca="false">(1+F56/2)^2-1</f>
        <v>0.0602820900000001</v>
      </c>
      <c r="H56" s="13" t="n">
        <f aca="false">(1+G56)^(-A56)</f>
        <v>0.224777921060538</v>
      </c>
      <c r="I56" s="11" t="n">
        <f aca="false">B56+E56*Parametros!$B$7</f>
        <v>0.0594</v>
      </c>
      <c r="J56" s="12" t="n">
        <f aca="false">(1+I56/2)^2-1</f>
        <v>0.0602820900000001</v>
      </c>
      <c r="K56" s="13" t="n">
        <f aca="false">(1+J56)^(-A56)</f>
        <v>0.224777921060538</v>
      </c>
      <c r="L56" s="11" t="n">
        <f aca="false">B56+E56*Parametros!$B$8</f>
        <v>0.0594</v>
      </c>
      <c r="M56" s="12" t="n">
        <f aca="false">(1+L56/2)^2-1</f>
        <v>0.0602820900000001</v>
      </c>
      <c r="N56" s="13" t="n">
        <f aca="false">(1+M56)^(-A56)</f>
        <v>0.224777921060538</v>
      </c>
    </row>
    <row r="57" customFormat="false" ht="15" hidden="false" customHeight="false" outlineLevel="0" collapsed="false">
      <c r="A57" s="4" t="n">
        <v>26</v>
      </c>
      <c r="B57" s="9" t="n">
        <v>0.0504</v>
      </c>
      <c r="C57" s="9" t="n">
        <v>0.0596</v>
      </c>
      <c r="D57" s="10" t="n">
        <f aca="false">(C57-B57)*10000</f>
        <v>92</v>
      </c>
      <c r="E57" s="11" t="n">
        <f aca="false">MAX(0,C57-B57)*(1-Parametros!$B$5)</f>
        <v>0.0092</v>
      </c>
      <c r="F57" s="11" t="n">
        <f aca="false">B57+E57*Parametros!$B$6</f>
        <v>0.0596</v>
      </c>
      <c r="G57" s="12" t="n">
        <f aca="false">(1+F57/2)^2-1</f>
        <v>0.0604880400000001</v>
      </c>
      <c r="H57" s="13" t="n">
        <f aca="false">(1+G57)^(-A57)</f>
        <v>0.217195013615987</v>
      </c>
      <c r="I57" s="11" t="n">
        <f aca="false">B57+E57*Parametros!$B$7</f>
        <v>0.0596</v>
      </c>
      <c r="J57" s="12" t="n">
        <f aca="false">(1+I57/2)^2-1</f>
        <v>0.0604880400000001</v>
      </c>
      <c r="K57" s="13" t="n">
        <f aca="false">(1+J57)^(-A57)</f>
        <v>0.217195013615987</v>
      </c>
      <c r="L57" s="11" t="n">
        <f aca="false">B57+E57*Parametros!$B$8</f>
        <v>0.0596</v>
      </c>
      <c r="M57" s="12" t="n">
        <f aca="false">(1+L57/2)^2-1</f>
        <v>0.0604880400000001</v>
      </c>
      <c r="N57" s="13" t="n">
        <f aca="false">(1+M57)^(-A57)</f>
        <v>0.217195013615987</v>
      </c>
    </row>
    <row r="58" customFormat="false" ht="15" hidden="false" customHeight="false" outlineLevel="0" collapsed="false">
      <c r="A58" s="4" t="n">
        <v>26.5</v>
      </c>
      <c r="B58" s="9" t="n">
        <v>0.0504</v>
      </c>
      <c r="C58" s="9" t="n">
        <v>0.0597</v>
      </c>
      <c r="D58" s="10" t="n">
        <f aca="false">(C58-B58)*10000</f>
        <v>93</v>
      </c>
      <c r="E58" s="11" t="n">
        <f aca="false">MAX(0,C58-B58)*(1-Parametros!$B$5)</f>
        <v>0.0093</v>
      </c>
      <c r="F58" s="11" t="n">
        <f aca="false">B58+E58*Parametros!$B$6</f>
        <v>0.0597</v>
      </c>
      <c r="G58" s="12" t="n">
        <f aca="false">(1+F58/2)^2-1</f>
        <v>0.0605910224999999</v>
      </c>
      <c r="H58" s="13" t="n">
        <f aca="false">(1+G58)^(-A58)</f>
        <v>0.21036787184761</v>
      </c>
      <c r="I58" s="11" t="n">
        <f aca="false">B58+E58*Parametros!$B$7</f>
        <v>0.0597</v>
      </c>
      <c r="J58" s="12" t="n">
        <f aca="false">(1+I58/2)^2-1</f>
        <v>0.0605910224999999</v>
      </c>
      <c r="K58" s="13" t="n">
        <f aca="false">(1+J58)^(-A58)</f>
        <v>0.21036787184761</v>
      </c>
      <c r="L58" s="11" t="n">
        <f aca="false">B58+E58*Parametros!$B$8</f>
        <v>0.0597</v>
      </c>
      <c r="M58" s="12" t="n">
        <f aca="false">(1+L58/2)^2-1</f>
        <v>0.0605910224999999</v>
      </c>
      <c r="N58" s="13" t="n">
        <f aca="false">(1+M58)^(-A58)</f>
        <v>0.21036787184761</v>
      </c>
    </row>
    <row r="59" customFormat="false" ht="15" hidden="false" customHeight="false" outlineLevel="0" collapsed="false">
      <c r="A59" s="4" t="n">
        <v>27</v>
      </c>
      <c r="B59" s="9" t="n">
        <v>0.0503</v>
      </c>
      <c r="C59" s="9" t="n">
        <v>0.0598</v>
      </c>
      <c r="D59" s="10" t="n">
        <f aca="false">(C59-B59)*10000</f>
        <v>95</v>
      </c>
      <c r="E59" s="11" t="n">
        <f aca="false">MAX(0,C59-B59)*(1-Parametros!$B$5)</f>
        <v>0.0095</v>
      </c>
      <c r="F59" s="11" t="n">
        <f aca="false">B59+E59*Parametros!$B$6</f>
        <v>0.0598</v>
      </c>
      <c r="G59" s="12" t="n">
        <f aca="false">(1+F59/2)^2-1</f>
        <v>0.0606940100000002</v>
      </c>
      <c r="H59" s="13" t="n">
        <f aca="false">(1+G59)^(-A59)</f>
        <v>0.203735570687735</v>
      </c>
      <c r="I59" s="11" t="n">
        <f aca="false">B59+E59*Parametros!$B$7</f>
        <v>0.0598</v>
      </c>
      <c r="J59" s="12" t="n">
        <f aca="false">(1+I59/2)^2-1</f>
        <v>0.0606940100000002</v>
      </c>
      <c r="K59" s="13" t="n">
        <f aca="false">(1+J59)^(-A59)</f>
        <v>0.203735570687735</v>
      </c>
      <c r="L59" s="11" t="n">
        <f aca="false">B59+E59*Parametros!$B$8</f>
        <v>0.0598</v>
      </c>
      <c r="M59" s="12" t="n">
        <f aca="false">(1+L59/2)^2-1</f>
        <v>0.0606940100000002</v>
      </c>
      <c r="N59" s="13" t="n">
        <f aca="false">(1+M59)^(-A59)</f>
        <v>0.203735570687735</v>
      </c>
    </row>
    <row r="60" customFormat="false" ht="15" hidden="false" customHeight="false" outlineLevel="0" collapsed="false">
      <c r="A60" s="4" t="n">
        <v>27.5</v>
      </c>
      <c r="B60" s="9" t="n">
        <v>0.0503</v>
      </c>
      <c r="C60" s="9" t="n">
        <v>0.0599</v>
      </c>
      <c r="D60" s="10" t="n">
        <f aca="false">(C60-B60)*10000</f>
        <v>96</v>
      </c>
      <c r="E60" s="11" t="n">
        <f aca="false">MAX(0,C60-B60)*(1-Parametros!$B$5)</f>
        <v>0.0096</v>
      </c>
      <c r="F60" s="11" t="n">
        <f aca="false">B60+E60*Parametros!$B$6</f>
        <v>0.0599</v>
      </c>
      <c r="G60" s="12" t="n">
        <f aca="false">(1+F60/2)^2-1</f>
        <v>0.0607970024999998</v>
      </c>
      <c r="H60" s="13" t="n">
        <f aca="false">(1+G60)^(-A60)</f>
        <v>0.197293234775309</v>
      </c>
      <c r="I60" s="11" t="n">
        <f aca="false">B60+E60*Parametros!$B$7</f>
        <v>0.0599</v>
      </c>
      <c r="J60" s="12" t="n">
        <f aca="false">(1+I60/2)^2-1</f>
        <v>0.0607970024999998</v>
      </c>
      <c r="K60" s="13" t="n">
        <f aca="false">(1+J60)^(-A60)</f>
        <v>0.197293234775309</v>
      </c>
      <c r="L60" s="11" t="n">
        <f aca="false">B60+E60*Parametros!$B$8</f>
        <v>0.0599</v>
      </c>
      <c r="M60" s="12" t="n">
        <f aca="false">(1+L60/2)^2-1</f>
        <v>0.0607970024999998</v>
      </c>
      <c r="N60" s="13" t="n">
        <f aca="false">(1+M60)^(-A60)</f>
        <v>0.197293234775309</v>
      </c>
    </row>
    <row r="61" customFormat="false" ht="15" hidden="false" customHeight="false" outlineLevel="0" collapsed="false">
      <c r="A61" s="4" t="n">
        <v>28</v>
      </c>
      <c r="B61" s="9" t="n">
        <v>0.0503</v>
      </c>
      <c r="C61" s="9" t="n">
        <v>0.06</v>
      </c>
      <c r="D61" s="10" t="n">
        <f aca="false">(C61-B61)*10000</f>
        <v>97</v>
      </c>
      <c r="E61" s="11" t="n">
        <f aca="false">MAX(0,C61-B61)*(1-Parametros!$B$5)</f>
        <v>0.0097</v>
      </c>
      <c r="F61" s="11" t="n">
        <f aca="false">B61+E61*Parametros!$B$6</f>
        <v>0.06</v>
      </c>
      <c r="G61" s="12" t="n">
        <f aca="false">(1+F61/2)^2-1</f>
        <v>0.0609</v>
      </c>
      <c r="H61" s="13" t="n">
        <f aca="false">(1+G61)^(-A61)</f>
        <v>0.191036088162001</v>
      </c>
      <c r="I61" s="11" t="n">
        <f aca="false">B61+E61*Parametros!$B$7</f>
        <v>0.06</v>
      </c>
      <c r="J61" s="12" t="n">
        <f aca="false">(1+I61/2)^2-1</f>
        <v>0.0609</v>
      </c>
      <c r="K61" s="13" t="n">
        <f aca="false">(1+J61)^(-A61)</f>
        <v>0.191036088162001</v>
      </c>
      <c r="L61" s="11" t="n">
        <f aca="false">B61+E61*Parametros!$B$8</f>
        <v>0.06</v>
      </c>
      <c r="M61" s="12" t="n">
        <f aca="false">(1+L61/2)^2-1</f>
        <v>0.0609</v>
      </c>
      <c r="N61" s="13" t="n">
        <f aca="false">(1+M61)^(-A61)</f>
        <v>0.191036088162001</v>
      </c>
    </row>
    <row r="62" customFormat="false" ht="15" hidden="false" customHeight="false" outlineLevel="0" collapsed="false">
      <c r="A62" s="4" t="n">
        <v>28.5</v>
      </c>
      <c r="B62" s="9" t="n">
        <v>0.0503</v>
      </c>
      <c r="C62" s="9" t="n">
        <v>0.0601</v>
      </c>
      <c r="D62" s="10" t="n">
        <f aca="false">(C62-B62)*10000</f>
        <v>98</v>
      </c>
      <c r="E62" s="11" t="n">
        <f aca="false">MAX(0,C62-B62)*(1-Parametros!$B$5)</f>
        <v>0.0098</v>
      </c>
      <c r="F62" s="11" t="n">
        <f aca="false">B62+E62*Parametros!$B$6</f>
        <v>0.0601</v>
      </c>
      <c r="G62" s="12" t="n">
        <f aca="false">(1+F62/2)^2-1</f>
        <v>0.0610030024999999</v>
      </c>
      <c r="H62" s="13" t="n">
        <f aca="false">(1+G62)^(-A62)</f>
        <v>0.18495945299948</v>
      </c>
      <c r="I62" s="11" t="n">
        <f aca="false">B62+E62*Parametros!$B$7</f>
        <v>0.0601</v>
      </c>
      <c r="J62" s="12" t="n">
        <f aca="false">(1+I62/2)^2-1</f>
        <v>0.0610030024999999</v>
      </c>
      <c r="K62" s="13" t="n">
        <f aca="false">(1+J62)^(-A62)</f>
        <v>0.18495945299948</v>
      </c>
      <c r="L62" s="11" t="n">
        <f aca="false">B62+E62*Parametros!$B$8</f>
        <v>0.0601</v>
      </c>
      <c r="M62" s="12" t="n">
        <f aca="false">(1+L62/2)^2-1</f>
        <v>0.0610030024999999</v>
      </c>
      <c r="N62" s="13" t="n">
        <f aca="false">(1+M62)^(-A62)</f>
        <v>0.18495945299948</v>
      </c>
    </row>
    <row r="63" customFormat="false" ht="15" hidden="false" customHeight="false" outlineLevel="0" collapsed="false">
      <c r="A63" s="4" t="n">
        <v>29</v>
      </c>
      <c r="B63" s="9" t="n">
        <v>0.0503</v>
      </c>
      <c r="C63" s="9" t="n">
        <v>0.0602</v>
      </c>
      <c r="D63" s="10" t="n">
        <f aca="false">(C63-B63)*10000</f>
        <v>99</v>
      </c>
      <c r="E63" s="11" t="n">
        <f aca="false">MAX(0,C63-B63)*(1-Parametros!$B$5)</f>
        <v>0.0099</v>
      </c>
      <c r="F63" s="11" t="n">
        <f aca="false">B63+E63*Parametros!$B$6</f>
        <v>0.0602</v>
      </c>
      <c r="G63" s="12" t="n">
        <f aca="false">(1+F63/2)^2-1</f>
        <v>0.06110601</v>
      </c>
      <c r="H63" s="13" t="n">
        <f aca="false">(1+G63)^(-A63)</f>
        <v>0.179058748221075</v>
      </c>
      <c r="I63" s="11" t="n">
        <f aca="false">B63+E63*Parametros!$B$7</f>
        <v>0.0602</v>
      </c>
      <c r="J63" s="12" t="n">
        <f aca="false">(1+I63/2)^2-1</f>
        <v>0.06110601</v>
      </c>
      <c r="K63" s="13" t="n">
        <f aca="false">(1+J63)^(-A63)</f>
        <v>0.179058748221075</v>
      </c>
      <c r="L63" s="11" t="n">
        <f aca="false">B63+E63*Parametros!$B$8</f>
        <v>0.0602</v>
      </c>
      <c r="M63" s="12" t="n">
        <f aca="false">(1+L63/2)^2-1</f>
        <v>0.06110601</v>
      </c>
      <c r="N63" s="13" t="n">
        <f aca="false">(1+M63)^(-A63)</f>
        <v>0.179058748221075</v>
      </c>
    </row>
    <row r="64" customFormat="false" ht="15" hidden="false" customHeight="false" outlineLevel="0" collapsed="false">
      <c r="A64" s="4" t="n">
        <v>29.5</v>
      </c>
      <c r="B64" s="9" t="n">
        <v>0.0503</v>
      </c>
      <c r="C64" s="9" t="n">
        <v>0.0603</v>
      </c>
      <c r="D64" s="10" t="n">
        <f aca="false">(C64-B64)*10000</f>
        <v>100</v>
      </c>
      <c r="E64" s="11" t="n">
        <f aca="false">MAX(0,C64-B64)*(1-Parametros!$B$5)</f>
        <v>0.01</v>
      </c>
      <c r="F64" s="11" t="n">
        <f aca="false">B64+E64*Parametros!$B$6</f>
        <v>0.0603</v>
      </c>
      <c r="G64" s="12" t="n">
        <f aca="false">(1+F64/2)^2-1</f>
        <v>0.0612090224999997</v>
      </c>
      <c r="H64" s="13" t="n">
        <f aca="false">(1+G64)^(-A64)</f>
        <v>0.173329488218866</v>
      </c>
      <c r="I64" s="11" t="n">
        <f aca="false">B64+E64*Parametros!$B$7</f>
        <v>0.0603</v>
      </c>
      <c r="J64" s="12" t="n">
        <f aca="false">(1+I64/2)^2-1</f>
        <v>0.0612090224999997</v>
      </c>
      <c r="K64" s="13" t="n">
        <f aca="false">(1+J64)^(-A64)</f>
        <v>0.173329488218866</v>
      </c>
      <c r="L64" s="11" t="n">
        <f aca="false">B64+E64*Parametros!$B$8</f>
        <v>0.0603</v>
      </c>
      <c r="M64" s="12" t="n">
        <f aca="false">(1+L64/2)^2-1</f>
        <v>0.0612090224999997</v>
      </c>
      <c r="N64" s="13" t="n">
        <f aca="false">(1+M64)^(-A64)</f>
        <v>0.173329488218866</v>
      </c>
    </row>
    <row r="65" customFormat="false" ht="15" hidden="false" customHeight="false" outlineLevel="0" collapsed="false">
      <c r="A65" s="4" t="n">
        <v>30</v>
      </c>
      <c r="B65" s="9" t="n">
        <v>0.0504</v>
      </c>
      <c r="C65" s="9" t="n">
        <v>0.0604</v>
      </c>
      <c r="D65" s="10" t="n">
        <f aca="false">(C65-B65)*10000</f>
        <v>100</v>
      </c>
      <c r="E65" s="11" t="n">
        <f aca="false">MAX(0,C65-B65)*(1-Parametros!$B$5)</f>
        <v>0.01</v>
      </c>
      <c r="F65" s="11" t="n">
        <f aca="false">B65+E65*Parametros!$B$6</f>
        <v>0.0604</v>
      </c>
      <c r="G65" s="12" t="n">
        <f aca="false">(1+F65/2)^2-1</f>
        <v>0.06131204</v>
      </c>
      <c r="H65" s="13" t="n">
        <f aca="false">(1+G65)^(-A65)</f>
        <v>0.167767281517035</v>
      </c>
      <c r="I65" s="11" t="n">
        <f aca="false">B65+E65*Parametros!$B$7</f>
        <v>0.0604</v>
      </c>
      <c r="J65" s="12" t="n">
        <f aca="false">(1+I65/2)^2-1</f>
        <v>0.06131204</v>
      </c>
      <c r="K65" s="13" t="n">
        <f aca="false">(1+J65)^(-A65)</f>
        <v>0.167767281517035</v>
      </c>
      <c r="L65" s="11" t="n">
        <f aca="false">B65+E65*Parametros!$B$8</f>
        <v>0.0604</v>
      </c>
      <c r="M65" s="12" t="n">
        <f aca="false">(1+L65/2)^2-1</f>
        <v>0.06131204</v>
      </c>
      <c r="N65" s="13" t="n">
        <f aca="false">(1+M65)^(-A65)</f>
        <v>0.167767281517035</v>
      </c>
    </row>
    <row r="66" customFormat="false" ht="15" hidden="false" customHeight="false" outlineLevel="0" collapsed="false">
      <c r="A66" s="4" t="n">
        <v>30.5</v>
      </c>
      <c r="B66" s="9" t="n">
        <v>0.0505</v>
      </c>
      <c r="C66" s="9" t="n">
        <v>0.0605</v>
      </c>
      <c r="D66" s="10" t="n">
        <f aca="false">(C66-B66)*10000</f>
        <v>99.9999999999999</v>
      </c>
      <c r="E66" s="11" t="n">
        <f aca="false">MAX(0,C66-B66)*(1-Parametros!$B$5)</f>
        <v>0.01</v>
      </c>
      <c r="F66" s="11" t="n">
        <f aca="false">B66+E66*Parametros!$B$6</f>
        <v>0.0605</v>
      </c>
      <c r="G66" s="12" t="n">
        <f aca="false">(1+F66/2)^2-1</f>
        <v>0.0614150625000003</v>
      </c>
      <c r="H66" s="13" t="n">
        <f aca="false">(1+G66)^(-A66)</f>
        <v>0.162367829442433</v>
      </c>
      <c r="I66" s="11" t="n">
        <f aca="false">B66+E66*Parametros!$B$7</f>
        <v>0.0605</v>
      </c>
      <c r="J66" s="12" t="n">
        <f aca="false">(1+I66/2)^2-1</f>
        <v>0.0614150625000003</v>
      </c>
      <c r="K66" s="13" t="n">
        <f aca="false">(1+J66)^(-A66)</f>
        <v>0.162367829442433</v>
      </c>
      <c r="L66" s="11" t="n">
        <f aca="false">B66+E66*Parametros!$B$8</f>
        <v>0.0605</v>
      </c>
      <c r="M66" s="12" t="n">
        <f aca="false">(1+L66/2)^2-1</f>
        <v>0.0614150625000003</v>
      </c>
      <c r="N66" s="13" t="n">
        <f aca="false">(1+M66)^(-A66)</f>
        <v>0.162367829442433</v>
      </c>
    </row>
    <row r="67" customFormat="false" ht="15" hidden="false" customHeight="false" outlineLevel="0" collapsed="false">
      <c r="A67" s="4" t="n">
        <v>31</v>
      </c>
      <c r="B67" s="9" t="n">
        <v>0.0506</v>
      </c>
      <c r="C67" s="9" t="n">
        <v>0.0606</v>
      </c>
      <c r="D67" s="10" t="n">
        <f aca="false">(C67-B67)*10000</f>
        <v>100</v>
      </c>
      <c r="E67" s="11" t="n">
        <f aca="false">MAX(0,C67-B67)*(1-Parametros!$B$5)</f>
        <v>0.01</v>
      </c>
      <c r="F67" s="11" t="n">
        <f aca="false">B67+E67*Parametros!$B$6</f>
        <v>0.0606</v>
      </c>
      <c r="G67" s="12" t="n">
        <f aca="false">(1+F67/2)^2-1</f>
        <v>0.0615180900000001</v>
      </c>
      <c r="H67" s="13" t="n">
        <f aca="false">(1+G67)^(-A67)</f>
        <v>0.157126924793171</v>
      </c>
      <c r="I67" s="11" t="n">
        <f aca="false">B67+E67*Parametros!$B$7</f>
        <v>0.0606</v>
      </c>
      <c r="J67" s="12" t="n">
        <f aca="false">(1+I67/2)^2-1</f>
        <v>0.0615180900000001</v>
      </c>
      <c r="K67" s="13" t="n">
        <f aca="false">(1+J67)^(-A67)</f>
        <v>0.157126924793171</v>
      </c>
      <c r="L67" s="11" t="n">
        <f aca="false">B67+E67*Parametros!$B$8</f>
        <v>0.0606</v>
      </c>
      <c r="M67" s="12" t="n">
        <f aca="false">(1+L67/2)^2-1</f>
        <v>0.0615180900000001</v>
      </c>
      <c r="N67" s="13" t="n">
        <f aca="false">(1+M67)^(-A67)</f>
        <v>0.157126924793171</v>
      </c>
    </row>
    <row r="68" customFormat="false" ht="15" hidden="false" customHeight="false" outlineLevel="0" collapsed="false">
      <c r="A68" s="4" t="n">
        <v>31.5</v>
      </c>
      <c r="B68" s="9" t="n">
        <v>0.0507</v>
      </c>
      <c r="C68" s="9" t="n">
        <v>0.0607</v>
      </c>
      <c r="D68" s="10" t="n">
        <f aca="false">(C68-B68)*10000</f>
        <v>99.9999999999999</v>
      </c>
      <c r="E68" s="11" t="n">
        <f aca="false">MAX(0,C68-B68)*(1-Parametros!$B$5)</f>
        <v>0.01</v>
      </c>
      <c r="F68" s="11" t="n">
        <f aca="false">B68+E68*Parametros!$B$6</f>
        <v>0.0607</v>
      </c>
      <c r="G68" s="12" t="n">
        <f aca="false">(1+F68/2)^2-1</f>
        <v>0.0616211225000003</v>
      </c>
      <c r="H68" s="13" t="n">
        <f aca="false">(1+G68)^(-A68)</f>
        <v>0.152040450506088</v>
      </c>
      <c r="I68" s="11" t="n">
        <f aca="false">B68+E68*Parametros!$B$7</f>
        <v>0.0607</v>
      </c>
      <c r="J68" s="12" t="n">
        <f aca="false">(1+I68/2)^2-1</f>
        <v>0.0616211225000003</v>
      </c>
      <c r="K68" s="13" t="n">
        <f aca="false">(1+J68)^(-A68)</f>
        <v>0.152040450506088</v>
      </c>
      <c r="L68" s="11" t="n">
        <f aca="false">B68+E68*Parametros!$B$8</f>
        <v>0.0607</v>
      </c>
      <c r="M68" s="12" t="n">
        <f aca="false">(1+L68/2)^2-1</f>
        <v>0.0616211225000003</v>
      </c>
      <c r="N68" s="13" t="n">
        <f aca="false">(1+M68)^(-A68)</f>
        <v>0.152040450506088</v>
      </c>
    </row>
    <row r="69" customFormat="false" ht="15" hidden="false" customHeight="false" outlineLevel="0" collapsed="false">
      <c r="A69" s="4" t="n">
        <v>32</v>
      </c>
      <c r="B69" s="9" t="n">
        <v>0.0508</v>
      </c>
      <c r="C69" s="9" t="n">
        <v>0.0608</v>
      </c>
      <c r="D69" s="10" t="n">
        <f aca="false">(C69-B69)*10000</f>
        <v>100</v>
      </c>
      <c r="E69" s="11" t="n">
        <f aca="false">MAX(0,C69-B69)*(1-Parametros!$B$5)</f>
        <v>0.01</v>
      </c>
      <c r="F69" s="11" t="n">
        <f aca="false">B69+E69*Parametros!$B$6</f>
        <v>0.0608</v>
      </c>
      <c r="G69" s="12" t="n">
        <f aca="false">(1+F69/2)^2-1</f>
        <v>0.06172416</v>
      </c>
      <c r="H69" s="13" t="n">
        <f aca="false">(1+G69)^(-A69)</f>
        <v>0.147104378323934</v>
      </c>
      <c r="I69" s="11" t="n">
        <f aca="false">B69+E69*Parametros!$B$7</f>
        <v>0.0608</v>
      </c>
      <c r="J69" s="12" t="n">
        <f aca="false">(1+I69/2)^2-1</f>
        <v>0.06172416</v>
      </c>
      <c r="K69" s="13" t="n">
        <f aca="false">(1+J69)^(-A69)</f>
        <v>0.147104378323934</v>
      </c>
      <c r="L69" s="11" t="n">
        <f aca="false">B69+E69*Parametros!$B$8</f>
        <v>0.0608</v>
      </c>
      <c r="M69" s="12" t="n">
        <f aca="false">(1+L69/2)^2-1</f>
        <v>0.06172416</v>
      </c>
      <c r="N69" s="13" t="n">
        <f aca="false">(1+M69)^(-A69)</f>
        <v>0.147104378323934</v>
      </c>
    </row>
    <row r="70" customFormat="false" ht="15" hidden="false" customHeight="false" outlineLevel="0" collapsed="false">
      <c r="A70" s="4" t="n">
        <v>32.5</v>
      </c>
      <c r="B70" s="9" t="n">
        <v>0.0509</v>
      </c>
      <c r="C70" s="9" t="n">
        <v>0.0609</v>
      </c>
      <c r="D70" s="10" t="n">
        <f aca="false">(C70-B70)*10000</f>
        <v>100</v>
      </c>
      <c r="E70" s="11" t="n">
        <f aca="false">MAX(0,C70-B70)*(1-Parametros!$B$5)</f>
        <v>0.01</v>
      </c>
      <c r="F70" s="11" t="n">
        <f aca="false">B70+E70*Parametros!$B$6</f>
        <v>0.0609</v>
      </c>
      <c r="G70" s="12" t="n">
        <f aca="false">(1+F70/2)^2-1</f>
        <v>0.0618272025000002</v>
      </c>
      <c r="H70" s="13" t="n">
        <f aca="false">(1+G70)^(-A70)</f>
        <v>0.142314767462981</v>
      </c>
      <c r="I70" s="11" t="n">
        <f aca="false">B70+E70*Parametros!$B$7</f>
        <v>0.0609</v>
      </c>
      <c r="J70" s="12" t="n">
        <f aca="false">(1+I70/2)^2-1</f>
        <v>0.0618272025000002</v>
      </c>
      <c r="K70" s="13" t="n">
        <f aca="false">(1+J70)^(-A70)</f>
        <v>0.142314767462981</v>
      </c>
      <c r="L70" s="11" t="n">
        <f aca="false">B70+E70*Parametros!$B$8</f>
        <v>0.0609</v>
      </c>
      <c r="M70" s="12" t="n">
        <f aca="false">(1+L70/2)^2-1</f>
        <v>0.0618272025000002</v>
      </c>
      <c r="N70" s="13" t="n">
        <f aca="false">(1+M70)^(-A70)</f>
        <v>0.142314767462981</v>
      </c>
    </row>
    <row r="71" customFormat="false" ht="15" hidden="false" customHeight="false" outlineLevel="0" collapsed="false">
      <c r="A71" s="4" t="n">
        <v>33</v>
      </c>
      <c r="B71" s="9" t="n">
        <v>0.051</v>
      </c>
      <c r="C71" s="9" t="n">
        <v>0.0609</v>
      </c>
      <c r="D71" s="10" t="n">
        <f aca="false">(C71-B71)*10000</f>
        <v>99.0000000000001</v>
      </c>
      <c r="E71" s="11" t="n">
        <f aca="false">MAX(0,C71-B71)*(1-Parametros!$B$5)</f>
        <v>0.00990000000000001</v>
      </c>
      <c r="F71" s="11" t="n">
        <f aca="false">B71+E71*Parametros!$B$6</f>
        <v>0.0609</v>
      </c>
      <c r="G71" s="12" t="n">
        <f aca="false">(1+F71/2)^2-1</f>
        <v>0.0618272025000002</v>
      </c>
      <c r="H71" s="13" t="n">
        <f aca="false">(1+G71)^(-A71)</f>
        <v>0.138109338117309</v>
      </c>
      <c r="I71" s="11" t="n">
        <f aca="false">B71+E71*Parametros!$B$7</f>
        <v>0.0609</v>
      </c>
      <c r="J71" s="12" t="n">
        <f aca="false">(1+I71/2)^2-1</f>
        <v>0.0618272025000002</v>
      </c>
      <c r="K71" s="13" t="n">
        <f aca="false">(1+J71)^(-A71)</f>
        <v>0.138109338117309</v>
      </c>
      <c r="L71" s="11" t="n">
        <f aca="false">B71+E71*Parametros!$B$8</f>
        <v>0.0609</v>
      </c>
      <c r="M71" s="12" t="n">
        <f aca="false">(1+L71/2)^2-1</f>
        <v>0.0618272025000002</v>
      </c>
      <c r="N71" s="13" t="n">
        <f aca="false">(1+M71)^(-A71)</f>
        <v>0.138109338117309</v>
      </c>
    </row>
    <row r="72" customFormat="false" ht="15" hidden="false" customHeight="false" outlineLevel="0" collapsed="false">
      <c r="A72" s="4" t="n">
        <v>33.5</v>
      </c>
      <c r="B72" s="9" t="n">
        <v>0.051</v>
      </c>
      <c r="C72" s="9" t="n">
        <v>0.061</v>
      </c>
      <c r="D72" s="10" t="n">
        <f aca="false">(C72-B72)*10000</f>
        <v>100</v>
      </c>
      <c r="E72" s="11" t="n">
        <f aca="false">MAX(0,C72-B72)*(1-Parametros!$B$5)</f>
        <v>0.01</v>
      </c>
      <c r="F72" s="11" t="n">
        <f aca="false">B72+E72*Parametros!$B$6</f>
        <v>0.061</v>
      </c>
      <c r="G72" s="12" t="n">
        <f aca="false">(1+F72/2)^2-1</f>
        <v>0.0619302499999999</v>
      </c>
      <c r="H72" s="13" t="n">
        <f aca="false">(1+G72)^(-A72)</f>
        <v>0.133593171549636</v>
      </c>
      <c r="I72" s="11" t="n">
        <f aca="false">B72+E72*Parametros!$B$7</f>
        <v>0.061</v>
      </c>
      <c r="J72" s="12" t="n">
        <f aca="false">(1+I72/2)^2-1</f>
        <v>0.0619302499999999</v>
      </c>
      <c r="K72" s="13" t="n">
        <f aca="false">(1+J72)^(-A72)</f>
        <v>0.133593171549636</v>
      </c>
      <c r="L72" s="11" t="n">
        <f aca="false">B72+E72*Parametros!$B$8</f>
        <v>0.061</v>
      </c>
      <c r="M72" s="12" t="n">
        <f aca="false">(1+L72/2)^2-1</f>
        <v>0.0619302499999999</v>
      </c>
      <c r="N72" s="13" t="n">
        <f aca="false">(1+M72)^(-A72)</f>
        <v>0.133593171549636</v>
      </c>
    </row>
    <row r="73" customFormat="false" ht="15" hidden="false" customHeight="false" outlineLevel="0" collapsed="false">
      <c r="A73" s="4" t="n">
        <v>34</v>
      </c>
      <c r="B73" s="9" t="n">
        <v>0.0511</v>
      </c>
      <c r="C73" s="9" t="n">
        <v>0.0611</v>
      </c>
      <c r="D73" s="10" t="n">
        <f aca="false">(C73-B73)*10000</f>
        <v>100</v>
      </c>
      <c r="E73" s="11" t="n">
        <f aca="false">MAX(0,C73-B73)*(1-Parametros!$B$5)</f>
        <v>0.01</v>
      </c>
      <c r="F73" s="11" t="n">
        <f aca="false">B73+E73*Parametros!$B$6</f>
        <v>0.0611</v>
      </c>
      <c r="G73" s="12" t="n">
        <f aca="false">(1+F73/2)^2-1</f>
        <v>0.0620333025000002</v>
      </c>
      <c r="H73" s="13" t="n">
        <f aca="false">(1+G73)^(-A73)</f>
        <v>0.129212164332205</v>
      </c>
      <c r="I73" s="11" t="n">
        <f aca="false">B73+E73*Parametros!$B$7</f>
        <v>0.0611</v>
      </c>
      <c r="J73" s="12" t="n">
        <f aca="false">(1+I73/2)^2-1</f>
        <v>0.0620333025000002</v>
      </c>
      <c r="K73" s="13" t="n">
        <f aca="false">(1+J73)^(-A73)</f>
        <v>0.129212164332205</v>
      </c>
      <c r="L73" s="11" t="n">
        <f aca="false">B73+E73*Parametros!$B$8</f>
        <v>0.0611</v>
      </c>
      <c r="M73" s="12" t="n">
        <f aca="false">(1+L73/2)^2-1</f>
        <v>0.0620333025000002</v>
      </c>
      <c r="N73" s="13" t="n">
        <f aca="false">(1+M73)^(-A73)</f>
        <v>0.129212164332205</v>
      </c>
    </row>
    <row r="74" customFormat="false" ht="15" hidden="false" customHeight="false" outlineLevel="0" collapsed="false">
      <c r="A74" s="4" t="n">
        <v>34.5</v>
      </c>
      <c r="B74" s="9" t="n">
        <v>0.0512</v>
      </c>
      <c r="C74" s="9" t="n">
        <v>0.0612</v>
      </c>
      <c r="D74" s="10" t="n">
        <f aca="false">(C74-B74)*10000</f>
        <v>99.9999999999999</v>
      </c>
      <c r="E74" s="11" t="n">
        <f aca="false">MAX(0,C74-B74)*(1-Parametros!$B$5)</f>
        <v>0.01</v>
      </c>
      <c r="F74" s="11" t="n">
        <f aca="false">B74+E74*Parametros!$B$6</f>
        <v>0.0612</v>
      </c>
      <c r="G74" s="12" t="n">
        <f aca="false">(1+F74/2)^2-1</f>
        <v>0.06213636</v>
      </c>
      <c r="H74" s="13" t="n">
        <f aca="false">(1+G74)^(-A74)</f>
        <v>0.124962719904421</v>
      </c>
      <c r="I74" s="11" t="n">
        <f aca="false">B74+E74*Parametros!$B$7</f>
        <v>0.0612</v>
      </c>
      <c r="J74" s="12" t="n">
        <f aca="false">(1+I74/2)^2-1</f>
        <v>0.06213636</v>
      </c>
      <c r="K74" s="13" t="n">
        <f aca="false">(1+J74)^(-A74)</f>
        <v>0.124962719904421</v>
      </c>
      <c r="L74" s="11" t="n">
        <f aca="false">B74+E74*Parametros!$B$8</f>
        <v>0.0612</v>
      </c>
      <c r="M74" s="12" t="n">
        <f aca="false">(1+L74/2)^2-1</f>
        <v>0.06213636</v>
      </c>
      <c r="N74" s="13" t="n">
        <f aca="false">(1+M74)^(-A74)</f>
        <v>0.124962719904421</v>
      </c>
    </row>
    <row r="75" customFormat="false" ht="15" hidden="false" customHeight="false" outlineLevel="0" collapsed="false">
      <c r="A75" s="4" t="n">
        <v>35</v>
      </c>
      <c r="B75" s="9" t="n">
        <v>0.0513</v>
      </c>
      <c r="C75" s="9" t="n">
        <v>0.0613</v>
      </c>
      <c r="D75" s="10" t="n">
        <f aca="false">(C75-B75)*10000</f>
        <v>100</v>
      </c>
      <c r="E75" s="11" t="n">
        <f aca="false">MAX(0,C75-B75)*(1-Parametros!$B$5)</f>
        <v>0.01</v>
      </c>
      <c r="F75" s="11" t="n">
        <f aca="false">B75+E75*Parametros!$B$6</f>
        <v>0.0613</v>
      </c>
      <c r="G75" s="12" t="n">
        <f aca="false">(1+F75/2)^2-1</f>
        <v>0.0622394225</v>
      </c>
      <c r="H75" s="13" t="n">
        <f aca="false">(1+G75)^(-A75)</f>
        <v>0.12084132212367</v>
      </c>
      <c r="I75" s="11" t="n">
        <f aca="false">B75+E75*Parametros!$B$7</f>
        <v>0.0613</v>
      </c>
      <c r="J75" s="12" t="n">
        <f aca="false">(1+I75/2)^2-1</f>
        <v>0.0622394225</v>
      </c>
      <c r="K75" s="13" t="n">
        <f aca="false">(1+J75)^(-A75)</f>
        <v>0.12084132212367</v>
      </c>
      <c r="L75" s="11" t="n">
        <f aca="false">B75+E75*Parametros!$B$8</f>
        <v>0.0613</v>
      </c>
      <c r="M75" s="12" t="n">
        <f aca="false">(1+L75/2)^2-1</f>
        <v>0.0622394225</v>
      </c>
      <c r="N75" s="13" t="n">
        <f aca="false">(1+M75)^(-A75)</f>
        <v>0.12084132212367</v>
      </c>
    </row>
    <row r="76" customFormat="false" ht="15" hidden="false" customHeight="false" outlineLevel="0" collapsed="false">
      <c r="A76" s="4" t="n">
        <v>35.5</v>
      </c>
      <c r="B76" s="9" t="n">
        <v>0.0513</v>
      </c>
      <c r="C76" s="9" t="n">
        <v>0.0613</v>
      </c>
      <c r="D76" s="10" t="n">
        <f aca="false">(C76-B76)*10000</f>
        <v>100</v>
      </c>
      <c r="E76" s="11" t="n">
        <f aca="false">MAX(0,C76-B76)*(1-Parametros!$B$5)</f>
        <v>0.01</v>
      </c>
      <c r="F76" s="11" t="n">
        <f aca="false">B76+E76*Parametros!$B$6</f>
        <v>0.0613</v>
      </c>
      <c r="G76" s="12" t="n">
        <f aca="false">(1+F76/2)^2-1</f>
        <v>0.0622394225</v>
      </c>
      <c r="H76" s="13" t="n">
        <f aca="false">(1+G76)^(-A76)</f>
        <v>0.117247680709911</v>
      </c>
      <c r="I76" s="11" t="n">
        <f aca="false">B76+E76*Parametros!$B$7</f>
        <v>0.0613</v>
      </c>
      <c r="J76" s="12" t="n">
        <f aca="false">(1+I76/2)^2-1</f>
        <v>0.0622394225</v>
      </c>
      <c r="K76" s="13" t="n">
        <f aca="false">(1+J76)^(-A76)</f>
        <v>0.117247680709911</v>
      </c>
      <c r="L76" s="11" t="n">
        <f aca="false">B76+E76*Parametros!$B$8</f>
        <v>0.0613</v>
      </c>
      <c r="M76" s="12" t="n">
        <f aca="false">(1+L76/2)^2-1</f>
        <v>0.0622394225</v>
      </c>
      <c r="N76" s="13" t="n">
        <f aca="false">(1+M76)^(-A76)</f>
        <v>0.117247680709911</v>
      </c>
    </row>
    <row r="77" customFormat="false" ht="15" hidden="false" customHeight="false" outlineLevel="0" collapsed="false">
      <c r="A77" s="4" t="n">
        <v>36</v>
      </c>
      <c r="B77" s="9" t="n">
        <v>0.0514</v>
      </c>
      <c r="C77" s="9" t="n">
        <v>0.0614</v>
      </c>
      <c r="D77" s="10" t="n">
        <f aca="false">(C77-B77)*10000</f>
        <v>100</v>
      </c>
      <c r="E77" s="11" t="n">
        <f aca="false">MAX(0,C77-B77)*(1-Parametros!$B$5)</f>
        <v>0.01</v>
      </c>
      <c r="F77" s="11" t="n">
        <f aca="false">B77+E77*Parametros!$B$6</f>
        <v>0.0614</v>
      </c>
      <c r="G77" s="12" t="n">
        <f aca="false">(1+F77/2)^2-1</f>
        <v>0.0623424899999998</v>
      </c>
      <c r="H77" s="13" t="n">
        <f aca="false">(1+G77)^(-A77)</f>
        <v>0.113364251446531</v>
      </c>
      <c r="I77" s="11" t="n">
        <f aca="false">B77+E77*Parametros!$B$7</f>
        <v>0.0614</v>
      </c>
      <c r="J77" s="12" t="n">
        <f aca="false">(1+I77/2)^2-1</f>
        <v>0.0623424899999998</v>
      </c>
      <c r="K77" s="13" t="n">
        <f aca="false">(1+J77)^(-A77)</f>
        <v>0.113364251446531</v>
      </c>
      <c r="L77" s="11" t="n">
        <f aca="false">B77+E77*Parametros!$B$8</f>
        <v>0.0614</v>
      </c>
      <c r="M77" s="12" t="n">
        <f aca="false">(1+L77/2)^2-1</f>
        <v>0.0623424899999998</v>
      </c>
      <c r="N77" s="13" t="n">
        <f aca="false">(1+M77)^(-A77)</f>
        <v>0.113364251446531</v>
      </c>
    </row>
    <row r="78" customFormat="false" ht="15" hidden="false" customHeight="false" outlineLevel="0" collapsed="false">
      <c r="A78" s="4" t="n">
        <v>36.5</v>
      </c>
      <c r="B78" s="9" t="n">
        <v>0.0515</v>
      </c>
      <c r="C78" s="9" t="n">
        <v>0.0615</v>
      </c>
      <c r="D78" s="10" t="n">
        <f aca="false">(C78-B78)*10000</f>
        <v>100</v>
      </c>
      <c r="E78" s="11" t="n">
        <f aca="false">MAX(0,C78-B78)*(1-Parametros!$B$5)</f>
        <v>0.01</v>
      </c>
      <c r="F78" s="11" t="n">
        <f aca="false">B78+E78*Parametros!$B$6</f>
        <v>0.0615</v>
      </c>
      <c r="G78" s="12" t="n">
        <f aca="false">(1+F78/2)^2-1</f>
        <v>0.0624455625000002</v>
      </c>
      <c r="H78" s="13" t="n">
        <f aca="false">(1+G78)^(-A78)</f>
        <v>0.109598832142876</v>
      </c>
      <c r="I78" s="11" t="n">
        <f aca="false">B78+E78*Parametros!$B$7</f>
        <v>0.0615</v>
      </c>
      <c r="J78" s="12" t="n">
        <f aca="false">(1+I78/2)^2-1</f>
        <v>0.0624455625000002</v>
      </c>
      <c r="K78" s="13" t="n">
        <f aca="false">(1+J78)^(-A78)</f>
        <v>0.109598832142876</v>
      </c>
      <c r="L78" s="11" t="n">
        <f aca="false">B78+E78*Parametros!$B$8</f>
        <v>0.0615</v>
      </c>
      <c r="M78" s="12" t="n">
        <f aca="false">(1+L78/2)^2-1</f>
        <v>0.0624455625000002</v>
      </c>
      <c r="N78" s="13" t="n">
        <f aca="false">(1+M78)^(-A78)</f>
        <v>0.109598832142876</v>
      </c>
    </row>
    <row r="79" customFormat="false" ht="15" hidden="false" customHeight="false" outlineLevel="0" collapsed="false">
      <c r="A79" s="4" t="n">
        <v>37</v>
      </c>
      <c r="B79" s="9" t="n">
        <v>0.0515</v>
      </c>
      <c r="C79" s="9" t="n">
        <v>0.0615</v>
      </c>
      <c r="D79" s="10" t="n">
        <f aca="false">(C79-B79)*10000</f>
        <v>100</v>
      </c>
      <c r="E79" s="11" t="n">
        <f aca="false">MAX(0,C79-B79)*(1-Parametros!$B$5)</f>
        <v>0.01</v>
      </c>
      <c r="F79" s="11" t="n">
        <f aca="false">B79+E79*Parametros!$B$6</f>
        <v>0.0615</v>
      </c>
      <c r="G79" s="12" t="n">
        <f aca="false">(1+F79/2)^2-1</f>
        <v>0.0624455625000002</v>
      </c>
      <c r="H79" s="13" t="n">
        <f aca="false">(1+G79)^(-A79)</f>
        <v>0.106329208967136</v>
      </c>
      <c r="I79" s="11" t="n">
        <f aca="false">B79+E79*Parametros!$B$7</f>
        <v>0.0615</v>
      </c>
      <c r="J79" s="12" t="n">
        <f aca="false">(1+I79/2)^2-1</f>
        <v>0.0624455625000002</v>
      </c>
      <c r="K79" s="13" t="n">
        <f aca="false">(1+J79)^(-A79)</f>
        <v>0.106329208967136</v>
      </c>
      <c r="L79" s="11" t="n">
        <f aca="false">B79+E79*Parametros!$B$8</f>
        <v>0.0615</v>
      </c>
      <c r="M79" s="12" t="n">
        <f aca="false">(1+L79/2)^2-1</f>
        <v>0.0624455625000002</v>
      </c>
      <c r="N79" s="13" t="n">
        <f aca="false">(1+M79)^(-A79)</f>
        <v>0.106329208967136</v>
      </c>
    </row>
    <row r="80" customFormat="false" ht="15" hidden="false" customHeight="false" outlineLevel="0" collapsed="false">
      <c r="A80" s="4" t="n">
        <v>37.5</v>
      </c>
      <c r="B80" s="9" t="n">
        <v>0.0516</v>
      </c>
      <c r="C80" s="9" t="n">
        <v>0.0616</v>
      </c>
      <c r="D80" s="10" t="n">
        <f aca="false">(C80-B80)*10000</f>
        <v>100</v>
      </c>
      <c r="E80" s="11" t="n">
        <f aca="false">MAX(0,C80-B80)*(1-Parametros!$B$5)</f>
        <v>0.01</v>
      </c>
      <c r="F80" s="11" t="n">
        <f aca="false">B80+E80*Parametros!$B$6</f>
        <v>0.0616</v>
      </c>
      <c r="G80" s="12" t="n">
        <f aca="false">(1+F80/2)^2-1</f>
        <v>0.0625486399999999</v>
      </c>
      <c r="H80" s="13" t="n">
        <f aca="false">(1+G80)^(-A80)</f>
        <v>0.102782519447479</v>
      </c>
      <c r="I80" s="11" t="n">
        <f aca="false">B80+E80*Parametros!$B$7</f>
        <v>0.0616</v>
      </c>
      <c r="J80" s="12" t="n">
        <f aca="false">(1+I80/2)^2-1</f>
        <v>0.0625486399999999</v>
      </c>
      <c r="K80" s="13" t="n">
        <f aca="false">(1+J80)^(-A80)</f>
        <v>0.102782519447479</v>
      </c>
      <c r="L80" s="11" t="n">
        <f aca="false">B80+E80*Parametros!$B$8</f>
        <v>0.0616</v>
      </c>
      <c r="M80" s="12" t="n">
        <f aca="false">(1+L80/2)^2-1</f>
        <v>0.0625486399999999</v>
      </c>
      <c r="N80" s="13" t="n">
        <f aca="false">(1+M80)^(-A80)</f>
        <v>0.102782519447479</v>
      </c>
    </row>
    <row r="81" customFormat="false" ht="15" hidden="false" customHeight="false" outlineLevel="0" collapsed="false">
      <c r="A81" s="4" t="n">
        <v>38</v>
      </c>
      <c r="B81" s="9" t="n">
        <v>0.0517</v>
      </c>
      <c r="C81" s="9" t="n">
        <v>0.0617</v>
      </c>
      <c r="D81" s="10" t="n">
        <f aca="false">(C81-B81)*10000</f>
        <v>99.9999999999999</v>
      </c>
      <c r="E81" s="11" t="n">
        <f aca="false">MAX(0,C81-B81)*(1-Parametros!$B$5)</f>
        <v>0.01</v>
      </c>
      <c r="F81" s="11" t="n">
        <f aca="false">B81+E81*Parametros!$B$6</f>
        <v>0.0617</v>
      </c>
      <c r="G81" s="12" t="n">
        <f aca="false">(1+F81/2)^2-1</f>
        <v>0.0626517225000001</v>
      </c>
      <c r="H81" s="13" t="n">
        <f aca="false">(1+G81)^(-A81)</f>
        <v>0.0993445118357284</v>
      </c>
      <c r="I81" s="11" t="n">
        <f aca="false">B81+E81*Parametros!$B$7</f>
        <v>0.0617</v>
      </c>
      <c r="J81" s="12" t="n">
        <f aca="false">(1+I81/2)^2-1</f>
        <v>0.0626517225000001</v>
      </c>
      <c r="K81" s="13" t="n">
        <f aca="false">(1+J81)^(-A81)</f>
        <v>0.0993445118357284</v>
      </c>
      <c r="L81" s="11" t="n">
        <f aca="false">B81+E81*Parametros!$B$8</f>
        <v>0.0617</v>
      </c>
      <c r="M81" s="12" t="n">
        <f aca="false">(1+L81/2)^2-1</f>
        <v>0.0626517225000001</v>
      </c>
      <c r="N81" s="13" t="n">
        <f aca="false">(1+M81)^(-A81)</f>
        <v>0.0993445118357284</v>
      </c>
    </row>
    <row r="82" customFormat="false" ht="15" hidden="false" customHeight="false" outlineLevel="0" collapsed="false">
      <c r="A82" s="4" t="n">
        <v>38.5</v>
      </c>
      <c r="B82" s="9" t="n">
        <v>0.0517</v>
      </c>
      <c r="C82" s="9" t="n">
        <v>0.0617</v>
      </c>
      <c r="D82" s="10" t="n">
        <f aca="false">(C82-B82)*10000</f>
        <v>99.9999999999999</v>
      </c>
      <c r="E82" s="11" t="n">
        <f aca="false">MAX(0,C82-B82)*(1-Parametros!$B$5)</f>
        <v>0.01</v>
      </c>
      <c r="F82" s="11" t="n">
        <f aca="false">B82+E82*Parametros!$B$6</f>
        <v>0.0617</v>
      </c>
      <c r="G82" s="12" t="n">
        <f aca="false">(1+F82/2)^2-1</f>
        <v>0.0626517225000001</v>
      </c>
      <c r="H82" s="13" t="n">
        <f aca="false">(1+G82)^(-A82)</f>
        <v>0.0963714525253222</v>
      </c>
      <c r="I82" s="11" t="n">
        <f aca="false">B82+E82*Parametros!$B$7</f>
        <v>0.0617</v>
      </c>
      <c r="J82" s="12" t="n">
        <f aca="false">(1+I82/2)^2-1</f>
        <v>0.0626517225000001</v>
      </c>
      <c r="K82" s="13" t="n">
        <f aca="false">(1+J82)^(-A82)</f>
        <v>0.0963714525253222</v>
      </c>
      <c r="L82" s="11" t="n">
        <f aca="false">B82+E82*Parametros!$B$8</f>
        <v>0.0617</v>
      </c>
      <c r="M82" s="12" t="n">
        <f aca="false">(1+L82/2)^2-1</f>
        <v>0.0626517225000001</v>
      </c>
      <c r="N82" s="13" t="n">
        <f aca="false">(1+M82)^(-A82)</f>
        <v>0.0963714525253222</v>
      </c>
    </row>
    <row r="83" customFormat="false" ht="15" hidden="false" customHeight="false" outlineLevel="0" collapsed="false">
      <c r="A83" s="4" t="n">
        <v>39</v>
      </c>
      <c r="B83" s="9" t="n">
        <v>0.0518</v>
      </c>
      <c r="C83" s="9" t="n">
        <v>0.0618</v>
      </c>
      <c r="D83" s="10" t="n">
        <f aca="false">(C83-B83)*10000</f>
        <v>100</v>
      </c>
      <c r="E83" s="11" t="n">
        <f aca="false">MAX(0,C83-B83)*(1-Parametros!$B$5)</f>
        <v>0.01</v>
      </c>
      <c r="F83" s="11" t="n">
        <f aca="false">B83+E83*Parametros!$B$6</f>
        <v>0.0618</v>
      </c>
      <c r="G83" s="12" t="n">
        <f aca="false">(1+F83/2)^2-1</f>
        <v>0.0627548099999999</v>
      </c>
      <c r="H83" s="13" t="n">
        <f aca="false">(1+G83)^(-A83)</f>
        <v>0.0931343545879946</v>
      </c>
      <c r="I83" s="11" t="n">
        <f aca="false">B83+E83*Parametros!$B$7</f>
        <v>0.0618</v>
      </c>
      <c r="J83" s="12" t="n">
        <f aca="false">(1+I83/2)^2-1</f>
        <v>0.0627548099999999</v>
      </c>
      <c r="K83" s="13" t="n">
        <f aca="false">(1+J83)^(-A83)</f>
        <v>0.0931343545879946</v>
      </c>
      <c r="L83" s="11" t="n">
        <f aca="false">B83+E83*Parametros!$B$8</f>
        <v>0.0618</v>
      </c>
      <c r="M83" s="12" t="n">
        <f aca="false">(1+L83/2)^2-1</f>
        <v>0.0627548099999999</v>
      </c>
      <c r="N83" s="13" t="n">
        <f aca="false">(1+M83)^(-A83)</f>
        <v>0.0931343545879946</v>
      </c>
    </row>
    <row r="84" customFormat="false" ht="15" hidden="false" customHeight="false" outlineLevel="0" collapsed="false">
      <c r="A84" s="4" t="n">
        <v>39.5</v>
      </c>
      <c r="B84" s="9" t="n">
        <v>0.0519</v>
      </c>
      <c r="C84" s="9" t="n">
        <v>0.0619</v>
      </c>
      <c r="D84" s="10" t="n">
        <f aca="false">(C84-B84)*10000</f>
        <v>99.9999999999999</v>
      </c>
      <c r="E84" s="11" t="n">
        <f aca="false">MAX(0,C84-B84)*(1-Parametros!$B$5)</f>
        <v>0.01</v>
      </c>
      <c r="F84" s="11" t="n">
        <f aca="false">B84+E84*Parametros!$B$6</f>
        <v>0.0619</v>
      </c>
      <c r="G84" s="12" t="n">
        <f aca="false">(1+F84/2)^2-1</f>
        <v>0.0628579025</v>
      </c>
      <c r="H84" s="13" t="n">
        <f aca="false">(1+G84)^(-A84)</f>
        <v>0.0899972762468825</v>
      </c>
      <c r="I84" s="11" t="n">
        <f aca="false">B84+E84*Parametros!$B$7</f>
        <v>0.0619</v>
      </c>
      <c r="J84" s="12" t="n">
        <f aca="false">(1+I84/2)^2-1</f>
        <v>0.0628579025</v>
      </c>
      <c r="K84" s="13" t="n">
        <f aca="false">(1+J84)^(-A84)</f>
        <v>0.0899972762468825</v>
      </c>
      <c r="L84" s="11" t="n">
        <f aca="false">B84+E84*Parametros!$B$8</f>
        <v>0.0619</v>
      </c>
      <c r="M84" s="12" t="n">
        <f aca="false">(1+L84/2)^2-1</f>
        <v>0.0628579025</v>
      </c>
      <c r="N84" s="13" t="n">
        <f aca="false">(1+M84)^(-A84)</f>
        <v>0.0899972762468825</v>
      </c>
    </row>
    <row r="85" customFormat="false" ht="15" hidden="false" customHeight="false" outlineLevel="0" collapsed="false">
      <c r="A85" s="4" t="n">
        <v>40</v>
      </c>
      <c r="B85" s="9" t="n">
        <v>0.0519</v>
      </c>
      <c r="C85" s="9" t="n">
        <v>0.0619</v>
      </c>
      <c r="D85" s="10" t="n">
        <f aca="false">(C85-B85)*10000</f>
        <v>99.9999999999999</v>
      </c>
      <c r="E85" s="11" t="n">
        <f aca="false">MAX(0,C85-B85)*(1-Parametros!$B$5)</f>
        <v>0.01</v>
      </c>
      <c r="F85" s="11" t="n">
        <f aca="false">B85+E85*Parametros!$B$6</f>
        <v>0.0619</v>
      </c>
      <c r="G85" s="12" t="n">
        <f aca="false">(1+F85/2)^2-1</f>
        <v>0.0628579025</v>
      </c>
      <c r="H85" s="13" t="n">
        <f aca="false">(1+G85)^(-A85)</f>
        <v>0.0872954811066322</v>
      </c>
      <c r="I85" s="11" t="n">
        <f aca="false">B85+E85*Parametros!$B$7</f>
        <v>0.0619</v>
      </c>
      <c r="J85" s="12" t="n">
        <f aca="false">(1+I85/2)^2-1</f>
        <v>0.0628579025</v>
      </c>
      <c r="K85" s="13" t="n">
        <f aca="false">(1+J85)^(-A85)</f>
        <v>0.0872954811066322</v>
      </c>
      <c r="L85" s="11" t="n">
        <f aca="false">B85+E85*Parametros!$B$8</f>
        <v>0.0619</v>
      </c>
      <c r="M85" s="12" t="n">
        <f aca="false">(1+L85/2)^2-1</f>
        <v>0.0628579025</v>
      </c>
      <c r="N85" s="13" t="n">
        <f aca="false">(1+M85)^(-A85)</f>
        <v>0.0872954811066322</v>
      </c>
    </row>
    <row r="86" customFormat="false" ht="15" hidden="false" customHeight="false" outlineLevel="0" collapsed="false">
      <c r="A86" s="4" t="n">
        <v>40.5</v>
      </c>
      <c r="B86" s="9" t="n">
        <v>0.052</v>
      </c>
      <c r="C86" s="9" t="n">
        <v>0.062</v>
      </c>
      <c r="D86" s="10" t="n">
        <f aca="false">(C86-B86)*10000</f>
        <v>100</v>
      </c>
      <c r="E86" s="11" t="n">
        <f aca="false">MAX(0,C86-B86)*(1-Parametros!$B$5)</f>
        <v>0.01</v>
      </c>
      <c r="F86" s="11" t="n">
        <f aca="false">B86+E86*Parametros!$B$6</f>
        <v>0.062</v>
      </c>
      <c r="G86" s="12" t="n">
        <f aca="false">(1+F86/2)^2-1</f>
        <v>0.0629609999999998</v>
      </c>
      <c r="H86" s="13" t="n">
        <f aca="false">(1+G86)^(-A86)</f>
        <v>0.0843428189296932</v>
      </c>
      <c r="I86" s="11" t="n">
        <f aca="false">B86+E86*Parametros!$B$7</f>
        <v>0.062</v>
      </c>
      <c r="J86" s="12" t="n">
        <f aca="false">(1+I86/2)^2-1</f>
        <v>0.0629609999999998</v>
      </c>
      <c r="K86" s="13" t="n">
        <f aca="false">(1+J86)^(-A86)</f>
        <v>0.0843428189296932</v>
      </c>
      <c r="L86" s="11" t="n">
        <f aca="false">B86+E86*Parametros!$B$8</f>
        <v>0.062</v>
      </c>
      <c r="M86" s="12" t="n">
        <f aca="false">(1+L86/2)^2-1</f>
        <v>0.0629609999999998</v>
      </c>
      <c r="N86" s="13" t="n">
        <f aca="false">(1+M86)^(-A86)</f>
        <v>0.0843428189296932</v>
      </c>
    </row>
    <row r="87" customFormat="false" ht="15" hidden="false" customHeight="false" outlineLevel="0" collapsed="false">
      <c r="A87" s="4" t="n">
        <v>41</v>
      </c>
      <c r="B87" s="9" t="n">
        <v>0.052</v>
      </c>
      <c r="C87" s="9" t="n">
        <v>0.062</v>
      </c>
      <c r="D87" s="10" t="n">
        <f aca="false">(C87-B87)*10000</f>
        <v>100</v>
      </c>
      <c r="E87" s="11" t="n">
        <f aca="false">MAX(0,C87-B87)*(1-Parametros!$B$5)</f>
        <v>0.01</v>
      </c>
      <c r="F87" s="11" t="n">
        <f aca="false">B87+E87*Parametros!$B$6</f>
        <v>0.062</v>
      </c>
      <c r="G87" s="12" t="n">
        <f aca="false">(1+F87/2)^2-1</f>
        <v>0.0629609999999998</v>
      </c>
      <c r="H87" s="13" t="n">
        <f aca="false">(1+G87)^(-A87)</f>
        <v>0.0818068078852504</v>
      </c>
      <c r="I87" s="11" t="n">
        <f aca="false">B87+E87*Parametros!$B$7</f>
        <v>0.062</v>
      </c>
      <c r="J87" s="12" t="n">
        <f aca="false">(1+I87/2)^2-1</f>
        <v>0.0629609999999998</v>
      </c>
      <c r="K87" s="13" t="n">
        <f aca="false">(1+J87)^(-A87)</f>
        <v>0.0818068078852504</v>
      </c>
      <c r="L87" s="11" t="n">
        <f aca="false">B87+E87*Parametros!$B$8</f>
        <v>0.062</v>
      </c>
      <c r="M87" s="12" t="n">
        <f aca="false">(1+L87/2)^2-1</f>
        <v>0.0629609999999998</v>
      </c>
      <c r="N87" s="13" t="n">
        <f aca="false">(1+M87)^(-A87)</f>
        <v>0.0818068078852504</v>
      </c>
    </row>
    <row r="88" customFormat="false" ht="15" hidden="false" customHeight="false" outlineLevel="0" collapsed="false">
      <c r="A88" s="4" t="n">
        <v>41.5</v>
      </c>
      <c r="B88" s="9" t="n">
        <v>0.0521</v>
      </c>
      <c r="C88" s="9" t="n">
        <v>0.0621</v>
      </c>
      <c r="D88" s="10" t="n">
        <f aca="false">(C88-B88)*10000</f>
        <v>100</v>
      </c>
      <c r="E88" s="11" t="n">
        <f aca="false">MAX(0,C88-B88)*(1-Parametros!$B$5)</f>
        <v>0.01</v>
      </c>
      <c r="F88" s="11" t="n">
        <f aca="false">B88+E88*Parametros!$B$6</f>
        <v>0.0621</v>
      </c>
      <c r="G88" s="12" t="n">
        <f aca="false">(1+F88/2)^2-1</f>
        <v>0.0630641025000001</v>
      </c>
      <c r="H88" s="13" t="n">
        <f aca="false">(1+G88)^(-A88)</f>
        <v>0.0790283098225719</v>
      </c>
      <c r="I88" s="11" t="n">
        <f aca="false">B88+E88*Parametros!$B$7</f>
        <v>0.0621</v>
      </c>
      <c r="J88" s="12" t="n">
        <f aca="false">(1+I88/2)^2-1</f>
        <v>0.0630641025000001</v>
      </c>
      <c r="K88" s="13" t="n">
        <f aca="false">(1+J88)^(-A88)</f>
        <v>0.0790283098225719</v>
      </c>
      <c r="L88" s="11" t="n">
        <f aca="false">B88+E88*Parametros!$B$8</f>
        <v>0.0621</v>
      </c>
      <c r="M88" s="12" t="n">
        <f aca="false">(1+L88/2)^2-1</f>
        <v>0.0630641025000001</v>
      </c>
      <c r="N88" s="13" t="n">
        <f aca="false">(1+M88)^(-A88)</f>
        <v>0.0790283098225719</v>
      </c>
    </row>
    <row r="89" customFormat="false" ht="15" hidden="false" customHeight="false" outlineLevel="0" collapsed="false">
      <c r="A89" s="4" t="n">
        <v>42</v>
      </c>
      <c r="B89" s="9" t="n">
        <v>0.0521</v>
      </c>
      <c r="C89" s="9" t="n">
        <v>0.0621</v>
      </c>
      <c r="D89" s="10" t="n">
        <f aca="false">(C89-B89)*10000</f>
        <v>100</v>
      </c>
      <c r="E89" s="11" t="n">
        <f aca="false">MAX(0,C89-B89)*(1-Parametros!$B$5)</f>
        <v>0.01</v>
      </c>
      <c r="F89" s="11" t="n">
        <f aca="false">B89+E89*Parametros!$B$6</f>
        <v>0.0621</v>
      </c>
      <c r="G89" s="12" t="n">
        <f aca="false">(1+F89/2)^2-1</f>
        <v>0.0630641025000001</v>
      </c>
      <c r="H89" s="13" t="n">
        <f aca="false">(1+G89)^(-A89)</f>
        <v>0.0766483776951379</v>
      </c>
      <c r="I89" s="11" t="n">
        <f aca="false">B89+E89*Parametros!$B$7</f>
        <v>0.0621</v>
      </c>
      <c r="J89" s="12" t="n">
        <f aca="false">(1+I89/2)^2-1</f>
        <v>0.0630641025000001</v>
      </c>
      <c r="K89" s="13" t="n">
        <f aca="false">(1+J89)^(-A89)</f>
        <v>0.0766483776951379</v>
      </c>
      <c r="L89" s="11" t="n">
        <f aca="false">B89+E89*Parametros!$B$8</f>
        <v>0.0621</v>
      </c>
      <c r="M89" s="12" t="n">
        <f aca="false">(1+L89/2)^2-1</f>
        <v>0.0630641025000001</v>
      </c>
      <c r="N89" s="13" t="n">
        <f aca="false">(1+M89)^(-A89)</f>
        <v>0.0766483776951379</v>
      </c>
    </row>
    <row r="90" customFormat="false" ht="15" hidden="false" customHeight="false" outlineLevel="0" collapsed="false">
      <c r="A90" s="4" t="n">
        <v>42.5</v>
      </c>
      <c r="B90" s="9" t="n">
        <v>0.0522</v>
      </c>
      <c r="C90" s="9" t="n">
        <v>0.0622</v>
      </c>
      <c r="D90" s="10" t="n">
        <f aca="false">(C90-B90)*10000</f>
        <v>99.9999999999999</v>
      </c>
      <c r="E90" s="11" t="n">
        <f aca="false">MAX(0,C90-B90)*(1-Parametros!$B$5)</f>
        <v>0.01</v>
      </c>
      <c r="F90" s="11" t="n">
        <f aca="false">B90+E90*Parametros!$B$6</f>
        <v>0.0622</v>
      </c>
      <c r="G90" s="12" t="n">
        <f aca="false">(1+F90/2)^2-1</f>
        <v>0.0631672099999998</v>
      </c>
      <c r="H90" s="13" t="n">
        <f aca="false">(1+G90)^(-A90)</f>
        <v>0.0740343243279708</v>
      </c>
      <c r="I90" s="11" t="n">
        <f aca="false">B90+E90*Parametros!$B$7</f>
        <v>0.0622</v>
      </c>
      <c r="J90" s="12" t="n">
        <f aca="false">(1+I90/2)^2-1</f>
        <v>0.0631672099999998</v>
      </c>
      <c r="K90" s="13" t="n">
        <f aca="false">(1+J90)^(-A90)</f>
        <v>0.0740343243279708</v>
      </c>
      <c r="L90" s="11" t="n">
        <f aca="false">B90+E90*Parametros!$B$8</f>
        <v>0.0622</v>
      </c>
      <c r="M90" s="12" t="n">
        <f aca="false">(1+L90/2)^2-1</f>
        <v>0.0631672099999998</v>
      </c>
      <c r="N90" s="13" t="n">
        <f aca="false">(1+M90)^(-A90)</f>
        <v>0.0740343243279708</v>
      </c>
    </row>
    <row r="91" customFormat="false" ht="15" hidden="false" customHeight="false" outlineLevel="0" collapsed="false">
      <c r="A91" s="4" t="n">
        <v>43</v>
      </c>
      <c r="B91" s="9" t="n">
        <v>0.0522</v>
      </c>
      <c r="C91" s="9" t="n">
        <v>0.0622</v>
      </c>
      <c r="D91" s="10" t="n">
        <f aca="false">(C91-B91)*10000</f>
        <v>99.9999999999999</v>
      </c>
      <c r="E91" s="11" t="n">
        <f aca="false">MAX(0,C91-B91)*(1-Parametros!$B$5)</f>
        <v>0.01</v>
      </c>
      <c r="F91" s="11" t="n">
        <f aca="false">B91+E91*Parametros!$B$6</f>
        <v>0.0622</v>
      </c>
      <c r="G91" s="12" t="n">
        <f aca="false">(1+F91/2)^2-1</f>
        <v>0.0631672099999998</v>
      </c>
      <c r="H91" s="13" t="n">
        <f aca="false">(1+G91)^(-A91)</f>
        <v>0.0718013037804004</v>
      </c>
      <c r="I91" s="11" t="n">
        <f aca="false">B91+E91*Parametros!$B$7</f>
        <v>0.0622</v>
      </c>
      <c r="J91" s="12" t="n">
        <f aca="false">(1+I91/2)^2-1</f>
        <v>0.0631672099999998</v>
      </c>
      <c r="K91" s="13" t="n">
        <f aca="false">(1+J91)^(-A91)</f>
        <v>0.0718013037804004</v>
      </c>
      <c r="L91" s="11" t="n">
        <f aca="false">B91+E91*Parametros!$B$8</f>
        <v>0.0622</v>
      </c>
      <c r="M91" s="12" t="n">
        <f aca="false">(1+L91/2)^2-1</f>
        <v>0.0631672099999998</v>
      </c>
      <c r="N91" s="13" t="n">
        <f aca="false">(1+M91)^(-A91)</f>
        <v>0.0718013037804004</v>
      </c>
    </row>
    <row r="92" customFormat="false" ht="15" hidden="false" customHeight="false" outlineLevel="0" collapsed="false">
      <c r="A92" s="4" t="n">
        <v>43.5</v>
      </c>
      <c r="B92" s="9" t="n">
        <v>0.0523</v>
      </c>
      <c r="C92" s="9" t="n">
        <v>0.0623</v>
      </c>
      <c r="D92" s="10" t="n">
        <f aca="false">(C92-B92)*10000</f>
        <v>100</v>
      </c>
      <c r="E92" s="11" t="n">
        <f aca="false">MAX(0,C92-B92)*(1-Parametros!$B$5)</f>
        <v>0.01</v>
      </c>
      <c r="F92" s="11" t="n">
        <f aca="false">B92+E92*Parametros!$B$6</f>
        <v>0.0623</v>
      </c>
      <c r="G92" s="12" t="n">
        <f aca="false">(1+F92/2)^2-1</f>
        <v>0.0632703225</v>
      </c>
      <c r="H92" s="13" t="n">
        <f aca="false">(1+G92)^(-A92)</f>
        <v>0.0693424829307004</v>
      </c>
      <c r="I92" s="11" t="n">
        <f aca="false">B92+E92*Parametros!$B$7</f>
        <v>0.0623</v>
      </c>
      <c r="J92" s="12" t="n">
        <f aca="false">(1+I92/2)^2-1</f>
        <v>0.0632703225</v>
      </c>
      <c r="K92" s="13" t="n">
        <f aca="false">(1+J92)^(-A92)</f>
        <v>0.0693424829307004</v>
      </c>
      <c r="L92" s="11" t="n">
        <f aca="false">B92+E92*Parametros!$B$8</f>
        <v>0.0623</v>
      </c>
      <c r="M92" s="12" t="n">
        <f aca="false">(1+L92/2)^2-1</f>
        <v>0.0632703225</v>
      </c>
      <c r="N92" s="13" t="n">
        <f aca="false">(1+M92)^(-A92)</f>
        <v>0.0693424829307004</v>
      </c>
    </row>
    <row r="93" customFormat="false" ht="15" hidden="false" customHeight="false" outlineLevel="0" collapsed="false">
      <c r="A93" s="4" t="n">
        <v>44</v>
      </c>
      <c r="B93" s="9" t="n">
        <v>0.0523</v>
      </c>
      <c r="C93" s="9" t="n">
        <v>0.0623</v>
      </c>
      <c r="D93" s="10" t="n">
        <f aca="false">(C93-B93)*10000</f>
        <v>100</v>
      </c>
      <c r="E93" s="11" t="n">
        <f aca="false">MAX(0,C93-B93)*(1-Parametros!$B$5)</f>
        <v>0.01</v>
      </c>
      <c r="F93" s="11" t="n">
        <f aca="false">B93+E93*Parametros!$B$6</f>
        <v>0.0623</v>
      </c>
      <c r="G93" s="12" t="n">
        <f aca="false">(1+F93/2)^2-1</f>
        <v>0.0632703225</v>
      </c>
      <c r="H93" s="13" t="n">
        <f aca="false">(1+G93)^(-A93)</f>
        <v>0.0672477165598607</v>
      </c>
      <c r="I93" s="11" t="n">
        <f aca="false">B93+E93*Parametros!$B$7</f>
        <v>0.0623</v>
      </c>
      <c r="J93" s="12" t="n">
        <f aca="false">(1+I93/2)^2-1</f>
        <v>0.0632703225</v>
      </c>
      <c r="K93" s="13" t="n">
        <f aca="false">(1+J93)^(-A93)</f>
        <v>0.0672477165598607</v>
      </c>
      <c r="L93" s="11" t="n">
        <f aca="false">B93+E93*Parametros!$B$8</f>
        <v>0.0623</v>
      </c>
      <c r="M93" s="12" t="n">
        <f aca="false">(1+L93/2)^2-1</f>
        <v>0.0632703225</v>
      </c>
      <c r="N93" s="13" t="n">
        <f aca="false">(1+M93)^(-A93)</f>
        <v>0.0672477165598607</v>
      </c>
    </row>
    <row r="94" customFormat="false" ht="15" hidden="false" customHeight="false" outlineLevel="0" collapsed="false">
      <c r="A94" s="4" t="n">
        <v>44.5</v>
      </c>
      <c r="B94" s="9" t="n">
        <v>0.0524</v>
      </c>
      <c r="C94" s="9" t="n">
        <v>0.0624</v>
      </c>
      <c r="D94" s="10" t="n">
        <f aca="false">(C94-B94)*10000</f>
        <v>99.9999999999999</v>
      </c>
      <c r="E94" s="11" t="n">
        <f aca="false">MAX(0,C94-B94)*(1-Parametros!$B$5)</f>
        <v>0.01</v>
      </c>
      <c r="F94" s="11" t="n">
        <f aca="false">B94+E94*Parametros!$B$6</f>
        <v>0.0624</v>
      </c>
      <c r="G94" s="12" t="n">
        <f aca="false">(1+F94/2)^2-1</f>
        <v>0.0633734399999999</v>
      </c>
      <c r="H94" s="13" t="n">
        <f aca="false">(1+G94)^(-A94)</f>
        <v>0.0649353989753252</v>
      </c>
      <c r="I94" s="11" t="n">
        <f aca="false">B94+E94*Parametros!$B$7</f>
        <v>0.0624</v>
      </c>
      <c r="J94" s="12" t="n">
        <f aca="false">(1+I94/2)^2-1</f>
        <v>0.0633734399999999</v>
      </c>
      <c r="K94" s="13" t="n">
        <f aca="false">(1+J94)^(-A94)</f>
        <v>0.0649353989753252</v>
      </c>
      <c r="L94" s="11" t="n">
        <f aca="false">B94+E94*Parametros!$B$8</f>
        <v>0.0624</v>
      </c>
      <c r="M94" s="12" t="n">
        <f aca="false">(1+L94/2)^2-1</f>
        <v>0.0633734399999999</v>
      </c>
      <c r="N94" s="13" t="n">
        <f aca="false">(1+M94)^(-A94)</f>
        <v>0.0649353989753252</v>
      </c>
    </row>
    <row r="95" customFormat="false" ht="15" hidden="false" customHeight="false" outlineLevel="0" collapsed="false">
      <c r="A95" s="4" t="n">
        <v>45</v>
      </c>
      <c r="B95" s="9" t="n">
        <v>0.0524</v>
      </c>
      <c r="C95" s="9" t="n">
        <v>0.0624</v>
      </c>
      <c r="D95" s="10" t="n">
        <f aca="false">(C95-B95)*10000</f>
        <v>99.9999999999999</v>
      </c>
      <c r="E95" s="11" t="n">
        <f aca="false">MAX(0,C95-B95)*(1-Parametros!$B$5)</f>
        <v>0.01</v>
      </c>
      <c r="F95" s="11" t="n">
        <f aca="false">B95+E95*Parametros!$B$6</f>
        <v>0.0624</v>
      </c>
      <c r="G95" s="12" t="n">
        <f aca="false">(1+F95/2)^2-1</f>
        <v>0.0633734399999999</v>
      </c>
      <c r="H95" s="13" t="n">
        <f aca="false">(1+G95)^(-A95)</f>
        <v>0.0629707127379026</v>
      </c>
      <c r="I95" s="11" t="n">
        <f aca="false">B95+E95*Parametros!$B$7</f>
        <v>0.0624</v>
      </c>
      <c r="J95" s="12" t="n">
        <f aca="false">(1+I95/2)^2-1</f>
        <v>0.0633734399999999</v>
      </c>
      <c r="K95" s="13" t="n">
        <f aca="false">(1+J95)^(-A95)</f>
        <v>0.0629707127379026</v>
      </c>
      <c r="L95" s="11" t="n">
        <f aca="false">B95+E95*Parametros!$B$8</f>
        <v>0.0624</v>
      </c>
      <c r="M95" s="12" t="n">
        <f aca="false">(1+L95/2)^2-1</f>
        <v>0.0633734399999999</v>
      </c>
      <c r="N95" s="13" t="n">
        <f aca="false">(1+M95)^(-A95)</f>
        <v>0.0629707127379026</v>
      </c>
    </row>
    <row r="96" customFormat="false" ht="15" hidden="false" customHeight="false" outlineLevel="0" collapsed="false">
      <c r="A96" s="4" t="n">
        <v>45.5</v>
      </c>
      <c r="B96" s="9" t="n">
        <v>0.0524</v>
      </c>
      <c r="C96" s="9" t="n">
        <v>0.0625</v>
      </c>
      <c r="D96" s="10" t="n">
        <f aca="false">(C96-B96)*10000</f>
        <v>101</v>
      </c>
      <c r="E96" s="11" t="n">
        <f aca="false">MAX(0,C96-B96)*(1-Parametros!$B$5)</f>
        <v>0.0101</v>
      </c>
      <c r="F96" s="11" t="n">
        <f aca="false">B96+E96*Parametros!$B$6</f>
        <v>0.0625</v>
      </c>
      <c r="G96" s="12" t="n">
        <f aca="false">(1+F96/2)^2-1</f>
        <v>0.0634765625</v>
      </c>
      <c r="H96" s="13" t="n">
        <f aca="false">(1+G96)^(-A96)</f>
        <v>0.0607966288146589</v>
      </c>
      <c r="I96" s="11" t="n">
        <f aca="false">B96+E96*Parametros!$B$7</f>
        <v>0.0625</v>
      </c>
      <c r="J96" s="12" t="n">
        <f aca="false">(1+I96/2)^2-1</f>
        <v>0.0634765625</v>
      </c>
      <c r="K96" s="13" t="n">
        <f aca="false">(1+J96)^(-A96)</f>
        <v>0.0607966288146589</v>
      </c>
      <c r="L96" s="11" t="n">
        <f aca="false">B96+E96*Parametros!$B$8</f>
        <v>0.0625</v>
      </c>
      <c r="M96" s="12" t="n">
        <f aca="false">(1+L96/2)^2-1</f>
        <v>0.0634765625</v>
      </c>
      <c r="N96" s="13" t="n">
        <f aca="false">(1+M96)^(-A96)</f>
        <v>0.0607966288146589</v>
      </c>
    </row>
    <row r="97" customFormat="false" ht="15" hidden="false" customHeight="false" outlineLevel="0" collapsed="false">
      <c r="A97" s="4" t="n">
        <v>46</v>
      </c>
      <c r="B97" s="9" t="n">
        <v>0.0525</v>
      </c>
      <c r="C97" s="9" t="n">
        <v>0.0625</v>
      </c>
      <c r="D97" s="10" t="n">
        <f aca="false">(C97-B97)*10000</f>
        <v>100</v>
      </c>
      <c r="E97" s="11" t="n">
        <f aca="false">MAX(0,C97-B97)*(1-Parametros!$B$5)</f>
        <v>0.01</v>
      </c>
      <c r="F97" s="11" t="n">
        <f aca="false">B97+E97*Parametros!$B$6</f>
        <v>0.0625</v>
      </c>
      <c r="G97" s="12" t="n">
        <f aca="false">(1+F97/2)^2-1</f>
        <v>0.0634765625</v>
      </c>
      <c r="H97" s="13" t="n">
        <f aca="false">(1+G97)^(-A97)</f>
        <v>0.0589543067293662</v>
      </c>
      <c r="I97" s="11" t="n">
        <f aca="false">B97+E97*Parametros!$B$7</f>
        <v>0.0625</v>
      </c>
      <c r="J97" s="12" t="n">
        <f aca="false">(1+I97/2)^2-1</f>
        <v>0.0634765625</v>
      </c>
      <c r="K97" s="13" t="n">
        <f aca="false">(1+J97)^(-A97)</f>
        <v>0.0589543067293662</v>
      </c>
      <c r="L97" s="11" t="n">
        <f aca="false">B97+E97*Parametros!$B$8</f>
        <v>0.0625</v>
      </c>
      <c r="M97" s="12" t="n">
        <f aca="false">(1+L97/2)^2-1</f>
        <v>0.0634765625</v>
      </c>
      <c r="N97" s="13" t="n">
        <f aca="false">(1+M97)^(-A97)</f>
        <v>0.0589543067293662</v>
      </c>
    </row>
    <row r="98" customFormat="false" ht="15" hidden="false" customHeight="false" outlineLevel="0" collapsed="false">
      <c r="A98" s="4" t="n">
        <v>46.5</v>
      </c>
      <c r="B98" s="9" t="n">
        <v>0.0525</v>
      </c>
      <c r="C98" s="9" t="n">
        <v>0.0625</v>
      </c>
      <c r="D98" s="10" t="n">
        <f aca="false">(C98-B98)*10000</f>
        <v>100</v>
      </c>
      <c r="E98" s="11" t="n">
        <f aca="false">MAX(0,C98-B98)*(1-Parametros!$B$5)</f>
        <v>0.01</v>
      </c>
      <c r="F98" s="11" t="n">
        <f aca="false">B98+E98*Parametros!$B$6</f>
        <v>0.0625</v>
      </c>
      <c r="G98" s="12" t="n">
        <f aca="false">(1+F98/2)^2-1</f>
        <v>0.0634765625</v>
      </c>
      <c r="H98" s="13" t="n">
        <f aca="false">(1+G98)^(-A98)</f>
        <v>0.0571678125860521</v>
      </c>
      <c r="I98" s="11" t="n">
        <f aca="false">B98+E98*Parametros!$B$7</f>
        <v>0.0625</v>
      </c>
      <c r="J98" s="12" t="n">
        <f aca="false">(1+I98/2)^2-1</f>
        <v>0.0634765625</v>
      </c>
      <c r="K98" s="13" t="n">
        <f aca="false">(1+J98)^(-A98)</f>
        <v>0.0571678125860521</v>
      </c>
      <c r="L98" s="11" t="n">
        <f aca="false">B98+E98*Parametros!$B$8</f>
        <v>0.0625</v>
      </c>
      <c r="M98" s="12" t="n">
        <f aca="false">(1+L98/2)^2-1</f>
        <v>0.0634765625</v>
      </c>
      <c r="N98" s="13" t="n">
        <f aca="false">(1+M98)^(-A98)</f>
        <v>0.0571678125860521</v>
      </c>
    </row>
    <row r="99" customFormat="false" ht="15" hidden="false" customHeight="false" outlineLevel="0" collapsed="false">
      <c r="A99" s="4" t="n">
        <v>47</v>
      </c>
      <c r="B99" s="9" t="n">
        <v>0.0526</v>
      </c>
      <c r="C99" s="9" t="n">
        <v>0.0626</v>
      </c>
      <c r="D99" s="10" t="n">
        <f aca="false">(C99-B99)*10000</f>
        <v>100</v>
      </c>
      <c r="E99" s="11" t="n">
        <f aca="false">MAX(0,C99-B99)*(1-Parametros!$B$5)</f>
        <v>0.01</v>
      </c>
      <c r="F99" s="11" t="n">
        <f aca="false">B99+E99*Parametros!$B$6</f>
        <v>0.0626</v>
      </c>
      <c r="G99" s="12" t="n">
        <f aca="false">(1+F99/2)^2-1</f>
        <v>0.0635796900000003</v>
      </c>
      <c r="H99" s="13" t="n">
        <f aca="false">(1+G99)^(-A99)</f>
        <v>0.0551833843066251</v>
      </c>
      <c r="I99" s="11" t="n">
        <f aca="false">B99+E99*Parametros!$B$7</f>
        <v>0.0626</v>
      </c>
      <c r="J99" s="12" t="n">
        <f aca="false">(1+I99/2)^2-1</f>
        <v>0.0635796900000003</v>
      </c>
      <c r="K99" s="13" t="n">
        <f aca="false">(1+J99)^(-A99)</f>
        <v>0.0551833843066251</v>
      </c>
      <c r="L99" s="11" t="n">
        <f aca="false">B99+E99*Parametros!$B$8</f>
        <v>0.0626</v>
      </c>
      <c r="M99" s="12" t="n">
        <f aca="false">(1+L99/2)^2-1</f>
        <v>0.0635796900000003</v>
      </c>
      <c r="N99" s="13" t="n">
        <f aca="false">(1+M99)^(-A99)</f>
        <v>0.0551833843066251</v>
      </c>
    </row>
    <row r="100" customFormat="false" ht="15" hidden="false" customHeight="false" outlineLevel="0" collapsed="false">
      <c r="A100" s="4" t="n">
        <v>47.5</v>
      </c>
      <c r="B100" s="9" t="n">
        <v>0.0526</v>
      </c>
      <c r="C100" s="9" t="n">
        <v>0.0626</v>
      </c>
      <c r="D100" s="10" t="n">
        <f aca="false">(C100-B100)*10000</f>
        <v>100</v>
      </c>
      <c r="E100" s="11" t="n">
        <f aca="false">MAX(0,C100-B100)*(1-Parametros!$B$5)</f>
        <v>0.01</v>
      </c>
      <c r="F100" s="11" t="n">
        <f aca="false">B100+E100*Parametros!$B$6</f>
        <v>0.0626</v>
      </c>
      <c r="G100" s="12" t="n">
        <f aca="false">(1+F100/2)^2-1</f>
        <v>0.0635796900000003</v>
      </c>
      <c r="H100" s="13" t="n">
        <f aca="false">(1+G100)^(-A100)</f>
        <v>0.0535085661850336</v>
      </c>
      <c r="I100" s="11" t="n">
        <f aca="false">B100+E100*Parametros!$B$7</f>
        <v>0.0626</v>
      </c>
      <c r="J100" s="12" t="n">
        <f aca="false">(1+I100/2)^2-1</f>
        <v>0.0635796900000003</v>
      </c>
      <c r="K100" s="13" t="n">
        <f aca="false">(1+J100)^(-A100)</f>
        <v>0.0535085661850336</v>
      </c>
      <c r="L100" s="11" t="n">
        <f aca="false">B100+E100*Parametros!$B$8</f>
        <v>0.0626</v>
      </c>
      <c r="M100" s="12" t="n">
        <f aca="false">(1+L100/2)^2-1</f>
        <v>0.0635796900000003</v>
      </c>
      <c r="N100" s="13" t="n">
        <f aca="false">(1+M100)^(-A100)</f>
        <v>0.0535085661850336</v>
      </c>
    </row>
    <row r="101" customFormat="false" ht="15" hidden="false" customHeight="false" outlineLevel="0" collapsed="false">
      <c r="A101" s="4" t="n">
        <v>48</v>
      </c>
      <c r="B101" s="9" t="n">
        <v>0.0527</v>
      </c>
      <c r="C101" s="9" t="n">
        <v>0.0627</v>
      </c>
      <c r="D101" s="10" t="n">
        <f aca="false">(C101-B101)*10000</f>
        <v>100</v>
      </c>
      <c r="E101" s="11" t="n">
        <f aca="false">MAX(0,C101-B101)*(1-Parametros!$B$5)</f>
        <v>0.01</v>
      </c>
      <c r="F101" s="11" t="n">
        <f aca="false">B101+E101*Parametros!$B$6</f>
        <v>0.0627</v>
      </c>
      <c r="G101" s="12" t="n">
        <f aca="false">(1+F101/2)^2-1</f>
        <v>0.0636828224999999</v>
      </c>
      <c r="H101" s="13" t="n">
        <f aca="false">(1+G101)^(-A101)</f>
        <v>0.0516436583798353</v>
      </c>
      <c r="I101" s="11" t="n">
        <f aca="false">B101+E101*Parametros!$B$7</f>
        <v>0.0627</v>
      </c>
      <c r="J101" s="12" t="n">
        <f aca="false">(1+I101/2)^2-1</f>
        <v>0.0636828224999999</v>
      </c>
      <c r="K101" s="13" t="n">
        <f aca="false">(1+J101)^(-A101)</f>
        <v>0.0516436583798353</v>
      </c>
      <c r="L101" s="11" t="n">
        <f aca="false">B101+E101*Parametros!$B$8</f>
        <v>0.0627</v>
      </c>
      <c r="M101" s="12" t="n">
        <f aca="false">(1+L101/2)^2-1</f>
        <v>0.0636828224999999</v>
      </c>
      <c r="N101" s="13" t="n">
        <f aca="false">(1+M101)^(-A101)</f>
        <v>0.0516436583798353</v>
      </c>
    </row>
    <row r="102" customFormat="false" ht="15" hidden="false" customHeight="false" outlineLevel="0" collapsed="false">
      <c r="A102" s="4" t="n">
        <v>48.5</v>
      </c>
      <c r="B102" s="9" t="n">
        <v>0.0527</v>
      </c>
      <c r="C102" s="9" t="n">
        <v>0.0627</v>
      </c>
      <c r="D102" s="10" t="n">
        <f aca="false">(C102-B102)*10000</f>
        <v>100</v>
      </c>
      <c r="E102" s="11" t="n">
        <f aca="false">MAX(0,C102-B102)*(1-Parametros!$B$5)</f>
        <v>0.01</v>
      </c>
      <c r="F102" s="11" t="n">
        <f aca="false">B102+E102*Parametros!$B$6</f>
        <v>0.0627</v>
      </c>
      <c r="G102" s="12" t="n">
        <f aca="false">(1+F102/2)^2-1</f>
        <v>0.0636828224999999</v>
      </c>
      <c r="H102" s="13" t="n">
        <f aca="false">(1+G102)^(-A102)</f>
        <v>0.0500738433895722</v>
      </c>
      <c r="I102" s="11" t="n">
        <f aca="false">B102+E102*Parametros!$B$7</f>
        <v>0.0627</v>
      </c>
      <c r="J102" s="12" t="n">
        <f aca="false">(1+I102/2)^2-1</f>
        <v>0.0636828224999999</v>
      </c>
      <c r="K102" s="13" t="n">
        <f aca="false">(1+J102)^(-A102)</f>
        <v>0.0500738433895722</v>
      </c>
      <c r="L102" s="11" t="n">
        <f aca="false">B102+E102*Parametros!$B$8</f>
        <v>0.0627</v>
      </c>
      <c r="M102" s="12" t="n">
        <f aca="false">(1+L102/2)^2-1</f>
        <v>0.0636828224999999</v>
      </c>
      <c r="N102" s="13" t="n">
        <f aca="false">(1+M102)^(-A102)</f>
        <v>0.0500738433895722</v>
      </c>
    </row>
    <row r="103" customFormat="false" ht="15" hidden="false" customHeight="false" outlineLevel="0" collapsed="false">
      <c r="A103" s="4" t="n">
        <v>49</v>
      </c>
      <c r="B103" s="9" t="n">
        <v>0.0527</v>
      </c>
      <c r="C103" s="9" t="n">
        <v>0.0627</v>
      </c>
      <c r="D103" s="10" t="n">
        <f aca="false">(C103-B103)*10000</f>
        <v>100</v>
      </c>
      <c r="E103" s="11" t="n">
        <f aca="false">MAX(0,C103-B103)*(1-Parametros!$B$5)</f>
        <v>0.01</v>
      </c>
      <c r="F103" s="11" t="n">
        <f aca="false">B103+E103*Parametros!$B$6</f>
        <v>0.0627</v>
      </c>
      <c r="G103" s="12" t="n">
        <f aca="false">(1+F103/2)^2-1</f>
        <v>0.0636828224999999</v>
      </c>
      <c r="H103" s="13" t="n">
        <f aca="false">(1+G103)^(-A103)</f>
        <v>0.0485517461478375</v>
      </c>
      <c r="I103" s="11" t="n">
        <f aca="false">B103+E103*Parametros!$B$7</f>
        <v>0.0627</v>
      </c>
      <c r="J103" s="12" t="n">
        <f aca="false">(1+I103/2)^2-1</f>
        <v>0.0636828224999999</v>
      </c>
      <c r="K103" s="13" t="n">
        <f aca="false">(1+J103)^(-A103)</f>
        <v>0.0485517461478375</v>
      </c>
      <c r="L103" s="11" t="n">
        <f aca="false">B103+E103*Parametros!$B$8</f>
        <v>0.0627</v>
      </c>
      <c r="M103" s="12" t="n">
        <f aca="false">(1+L103/2)^2-1</f>
        <v>0.0636828224999999</v>
      </c>
      <c r="N103" s="13" t="n">
        <f aca="false">(1+M103)^(-A103)</f>
        <v>0.0485517461478375</v>
      </c>
    </row>
    <row r="104" customFormat="false" ht="15" hidden="false" customHeight="false" outlineLevel="0" collapsed="false">
      <c r="A104" s="4" t="n">
        <v>49.5</v>
      </c>
      <c r="B104" s="9" t="n">
        <v>0.0528</v>
      </c>
      <c r="C104" s="9" t="n">
        <v>0.0628</v>
      </c>
      <c r="D104" s="10" t="n">
        <f aca="false">(C104-B104)*10000</f>
        <v>99.9999999999999</v>
      </c>
      <c r="E104" s="11" t="n">
        <f aca="false">MAX(0,C104-B104)*(1-Parametros!$B$5)</f>
        <v>0.01</v>
      </c>
      <c r="F104" s="11" t="n">
        <f aca="false">B104+E104*Parametros!$B$6</f>
        <v>0.0628</v>
      </c>
      <c r="G104" s="12" t="n">
        <f aca="false">(1+F104/2)^2-1</f>
        <v>0.0637859600000001</v>
      </c>
      <c r="H104" s="13" t="n">
        <f aca="false">(1+G104)^(-A104)</f>
        <v>0.0468505204811047</v>
      </c>
      <c r="I104" s="11" t="n">
        <f aca="false">B104+E104*Parametros!$B$7</f>
        <v>0.0628</v>
      </c>
      <c r="J104" s="12" t="n">
        <f aca="false">(1+I104/2)^2-1</f>
        <v>0.0637859600000001</v>
      </c>
      <c r="K104" s="13" t="n">
        <f aca="false">(1+J104)^(-A104)</f>
        <v>0.0468505204811047</v>
      </c>
      <c r="L104" s="11" t="n">
        <f aca="false">B104+E104*Parametros!$B$8</f>
        <v>0.0628</v>
      </c>
      <c r="M104" s="12" t="n">
        <f aca="false">(1+L104/2)^2-1</f>
        <v>0.0637859600000001</v>
      </c>
      <c r="N104" s="13" t="n">
        <f aca="false">(1+M104)^(-A104)</f>
        <v>0.0468505204811047</v>
      </c>
    </row>
    <row r="105" customFormat="false" ht="15" hidden="false" customHeight="false" outlineLevel="0" collapsed="false">
      <c r="A105" s="4" t="n">
        <v>50</v>
      </c>
      <c r="B105" s="9" t="n">
        <v>0.0528</v>
      </c>
      <c r="C105" s="9" t="n">
        <v>0.0628</v>
      </c>
      <c r="D105" s="10" t="n">
        <f aca="false">(C105-B105)*10000</f>
        <v>99.9999999999999</v>
      </c>
      <c r="E105" s="11" t="n">
        <f aca="false">MAX(0,C105-B105)*(1-Parametros!$B$5)</f>
        <v>0.01</v>
      </c>
      <c r="F105" s="11" t="n">
        <f aca="false">B105+E105*Parametros!$B$6</f>
        <v>0.0628</v>
      </c>
      <c r="G105" s="12" t="n">
        <f aca="false">(1+F105/2)^2-1</f>
        <v>0.0637859600000001</v>
      </c>
      <c r="H105" s="13" t="n">
        <f aca="false">(1+G105)^(-A105)</f>
        <v>0.0454242005828047</v>
      </c>
      <c r="I105" s="11" t="n">
        <f aca="false">B105+E105*Parametros!$B$7</f>
        <v>0.0628</v>
      </c>
      <c r="J105" s="12" t="n">
        <f aca="false">(1+I105/2)^2-1</f>
        <v>0.0637859600000001</v>
      </c>
      <c r="K105" s="13" t="n">
        <f aca="false">(1+J105)^(-A105)</f>
        <v>0.0454242005828047</v>
      </c>
      <c r="L105" s="11" t="n">
        <f aca="false">B105+E105*Parametros!$B$8</f>
        <v>0.0628</v>
      </c>
      <c r="M105" s="12" t="n">
        <f aca="false">(1+L105/2)^2-1</f>
        <v>0.0637859600000001</v>
      </c>
      <c r="N105" s="13" t="n">
        <f aca="false">(1+M105)^(-A105)</f>
        <v>0.0454242005828047</v>
      </c>
    </row>
    <row r="106" customFormat="false" ht="15" hidden="false" customHeight="false" outlineLevel="0" collapsed="false">
      <c r="A106" s="4" t="n">
        <v>50.5</v>
      </c>
      <c r="B106" s="9" t="n">
        <v>0.0528</v>
      </c>
      <c r="C106" s="9" t="n">
        <v>0.0629</v>
      </c>
      <c r="D106" s="10" t="n">
        <f aca="false">(C106-B106)*10000</f>
        <v>101</v>
      </c>
      <c r="E106" s="11" t="n">
        <f aca="false">MAX(0,C106-B106)*(1-Parametros!$B$5)</f>
        <v>0.0101</v>
      </c>
      <c r="F106" s="11" t="n">
        <f aca="false">B106+E106*Parametros!$B$6</f>
        <v>0.0629</v>
      </c>
      <c r="G106" s="12" t="n">
        <f aca="false">(1+F106/2)^2-1</f>
        <v>0.0638891024999999</v>
      </c>
      <c r="H106" s="13" t="n">
        <f aca="false">(1+G106)^(-A106)</f>
        <v>0.0438261983334363</v>
      </c>
      <c r="I106" s="11" t="n">
        <f aca="false">B106+E106*Parametros!$B$7</f>
        <v>0.0629</v>
      </c>
      <c r="J106" s="12" t="n">
        <f aca="false">(1+I106/2)^2-1</f>
        <v>0.0638891024999999</v>
      </c>
      <c r="K106" s="13" t="n">
        <f aca="false">(1+J106)^(-A106)</f>
        <v>0.0438261983334363</v>
      </c>
      <c r="L106" s="11" t="n">
        <f aca="false">B106+E106*Parametros!$B$8</f>
        <v>0.0629</v>
      </c>
      <c r="M106" s="12" t="n">
        <f aca="false">(1+L106/2)^2-1</f>
        <v>0.0638891024999999</v>
      </c>
      <c r="N106" s="13" t="n">
        <f aca="false">(1+M106)^(-A106)</f>
        <v>0.0438261983334363</v>
      </c>
    </row>
    <row r="107" customFormat="false" ht="15" hidden="false" customHeight="false" outlineLevel="0" collapsed="false">
      <c r="A107" s="4" t="n">
        <v>51</v>
      </c>
      <c r="B107" s="9" t="n">
        <v>0.0529</v>
      </c>
      <c r="C107" s="9" t="n">
        <v>0.0629</v>
      </c>
      <c r="D107" s="10" t="n">
        <f aca="false">(C107-B107)*10000</f>
        <v>99.9999999999999</v>
      </c>
      <c r="E107" s="11" t="n">
        <f aca="false">MAX(0,C107-B107)*(1-Parametros!$B$5)</f>
        <v>0.01</v>
      </c>
      <c r="F107" s="11" t="n">
        <f aca="false">B107+E107*Parametros!$B$6</f>
        <v>0.0629</v>
      </c>
      <c r="G107" s="12" t="n">
        <f aca="false">(1+F107/2)^2-1</f>
        <v>0.0638891024999999</v>
      </c>
      <c r="H107" s="13" t="n">
        <f aca="false">(1+G107)^(-A107)</f>
        <v>0.0424898912535133</v>
      </c>
      <c r="I107" s="11" t="n">
        <f aca="false">B107+E107*Parametros!$B$7</f>
        <v>0.0629</v>
      </c>
      <c r="J107" s="12" t="n">
        <f aca="false">(1+I107/2)^2-1</f>
        <v>0.0638891024999999</v>
      </c>
      <c r="K107" s="13" t="n">
        <f aca="false">(1+J107)^(-A107)</f>
        <v>0.0424898912535133</v>
      </c>
      <c r="L107" s="11" t="n">
        <f aca="false">B107+E107*Parametros!$B$8</f>
        <v>0.0629</v>
      </c>
      <c r="M107" s="12" t="n">
        <f aca="false">(1+L107/2)^2-1</f>
        <v>0.0638891024999999</v>
      </c>
      <c r="N107" s="13" t="n">
        <f aca="false">(1+M107)^(-A107)</f>
        <v>0.0424898912535133</v>
      </c>
    </row>
    <row r="108" customFormat="false" ht="15" hidden="false" customHeight="false" outlineLevel="0" collapsed="false">
      <c r="A108" s="4" t="n">
        <v>51.5</v>
      </c>
      <c r="B108" s="9" t="n">
        <v>0.0529</v>
      </c>
      <c r="C108" s="9" t="n">
        <v>0.0629</v>
      </c>
      <c r="D108" s="10" t="n">
        <f aca="false">(C108-B108)*10000</f>
        <v>99.9999999999999</v>
      </c>
      <c r="E108" s="11" t="n">
        <f aca="false">MAX(0,C108-B108)*(1-Parametros!$B$5)</f>
        <v>0.01</v>
      </c>
      <c r="F108" s="11" t="n">
        <f aca="false">B108+E108*Parametros!$B$6</f>
        <v>0.0629</v>
      </c>
      <c r="G108" s="12" t="n">
        <f aca="false">(1+F108/2)^2-1</f>
        <v>0.0638891024999999</v>
      </c>
      <c r="H108" s="13" t="n">
        <f aca="false">(1+G108)^(-A108)</f>
        <v>0.0411943295879716</v>
      </c>
      <c r="I108" s="11" t="n">
        <f aca="false">B108+E108*Parametros!$B$7</f>
        <v>0.0629</v>
      </c>
      <c r="J108" s="12" t="n">
        <f aca="false">(1+I108/2)^2-1</f>
        <v>0.0638891024999999</v>
      </c>
      <c r="K108" s="13" t="n">
        <f aca="false">(1+J108)^(-A108)</f>
        <v>0.0411943295879716</v>
      </c>
      <c r="L108" s="11" t="n">
        <f aca="false">B108+E108*Parametros!$B$8</f>
        <v>0.0629</v>
      </c>
      <c r="M108" s="12" t="n">
        <f aca="false">(1+L108/2)^2-1</f>
        <v>0.0638891024999999</v>
      </c>
      <c r="N108" s="13" t="n">
        <f aca="false">(1+M108)^(-A108)</f>
        <v>0.0411943295879716</v>
      </c>
    </row>
    <row r="109" customFormat="false" ht="15" hidden="false" customHeight="false" outlineLevel="0" collapsed="false">
      <c r="A109" s="4" t="n">
        <v>52</v>
      </c>
      <c r="B109" s="9" t="n">
        <v>0.0529</v>
      </c>
      <c r="C109" s="9" t="n">
        <v>0.063</v>
      </c>
      <c r="D109" s="10" t="n">
        <f aca="false">(C109-B109)*10000</f>
        <v>101</v>
      </c>
      <c r="E109" s="11" t="n">
        <f aca="false">MAX(0,C109-B109)*(1-Parametros!$B$5)</f>
        <v>0.0101</v>
      </c>
      <c r="F109" s="11" t="n">
        <f aca="false">B109+E109*Parametros!$B$6</f>
        <v>0.063</v>
      </c>
      <c r="G109" s="12" t="n">
        <f aca="false">(1+F109/2)^2-1</f>
        <v>0.0639922500000001</v>
      </c>
      <c r="H109" s="13" t="n">
        <f aca="false">(1+G109)^(-A109)</f>
        <v>0.039737435852266</v>
      </c>
      <c r="I109" s="11" t="n">
        <f aca="false">B109+E109*Parametros!$B$7</f>
        <v>0.063</v>
      </c>
      <c r="J109" s="12" t="n">
        <f aca="false">(1+I109/2)^2-1</f>
        <v>0.0639922500000001</v>
      </c>
      <c r="K109" s="13" t="n">
        <f aca="false">(1+J109)^(-A109)</f>
        <v>0.039737435852266</v>
      </c>
      <c r="L109" s="11" t="n">
        <f aca="false">B109+E109*Parametros!$B$8</f>
        <v>0.063</v>
      </c>
      <c r="M109" s="12" t="n">
        <f aca="false">(1+L109/2)^2-1</f>
        <v>0.0639922500000001</v>
      </c>
      <c r="N109" s="13" t="n">
        <f aca="false">(1+M109)^(-A109)</f>
        <v>0.039737435852266</v>
      </c>
    </row>
    <row r="110" customFormat="false" ht="15" hidden="false" customHeight="false" outlineLevel="0" collapsed="false">
      <c r="A110" s="4" t="n">
        <v>52.5</v>
      </c>
      <c r="B110" s="9" t="n">
        <v>0.053</v>
      </c>
      <c r="C110" s="9" t="n">
        <v>0.063</v>
      </c>
      <c r="D110" s="10" t="n">
        <f aca="false">(C110-B110)*10000</f>
        <v>100</v>
      </c>
      <c r="E110" s="11" t="n">
        <f aca="false">MAX(0,C110-B110)*(1-Parametros!$B$5)</f>
        <v>0.01</v>
      </c>
      <c r="F110" s="11" t="n">
        <f aca="false">B110+E110*Parametros!$B$6</f>
        <v>0.063</v>
      </c>
      <c r="G110" s="12" t="n">
        <f aca="false">(1+F110/2)^2-1</f>
        <v>0.0639922500000001</v>
      </c>
      <c r="H110" s="13" t="n">
        <f aca="false">(1+G110)^(-A110)</f>
        <v>0.0385239319944411</v>
      </c>
      <c r="I110" s="11" t="n">
        <f aca="false">B110+E110*Parametros!$B$7</f>
        <v>0.063</v>
      </c>
      <c r="J110" s="12" t="n">
        <f aca="false">(1+I110/2)^2-1</f>
        <v>0.0639922500000001</v>
      </c>
      <c r="K110" s="13" t="n">
        <f aca="false">(1+J110)^(-A110)</f>
        <v>0.0385239319944411</v>
      </c>
      <c r="L110" s="11" t="n">
        <f aca="false">B110+E110*Parametros!$B$8</f>
        <v>0.063</v>
      </c>
      <c r="M110" s="12" t="n">
        <f aca="false">(1+L110/2)^2-1</f>
        <v>0.0639922500000001</v>
      </c>
      <c r="N110" s="13" t="n">
        <f aca="false">(1+M110)^(-A110)</f>
        <v>0.0385239319944411</v>
      </c>
    </row>
    <row r="111" customFormat="false" ht="15" hidden="false" customHeight="false" outlineLevel="0" collapsed="false">
      <c r="A111" s="4" t="n">
        <v>53</v>
      </c>
      <c r="B111" s="9" t="n">
        <v>0.053</v>
      </c>
      <c r="C111" s="9" t="n">
        <v>0.063</v>
      </c>
      <c r="D111" s="10" t="n">
        <f aca="false">(C111-B111)*10000</f>
        <v>100</v>
      </c>
      <c r="E111" s="11" t="n">
        <f aca="false">MAX(0,C111-B111)*(1-Parametros!$B$5)</f>
        <v>0.01</v>
      </c>
      <c r="F111" s="11" t="n">
        <f aca="false">B111+E111*Parametros!$B$6</f>
        <v>0.063</v>
      </c>
      <c r="G111" s="12" t="n">
        <f aca="false">(1+F111/2)^2-1</f>
        <v>0.0639922500000001</v>
      </c>
      <c r="H111" s="13" t="n">
        <f aca="false">(1+G111)^(-A111)</f>
        <v>0.0373474861797781</v>
      </c>
      <c r="I111" s="11" t="n">
        <f aca="false">B111+E111*Parametros!$B$7</f>
        <v>0.063</v>
      </c>
      <c r="J111" s="12" t="n">
        <f aca="false">(1+I111/2)^2-1</f>
        <v>0.0639922500000001</v>
      </c>
      <c r="K111" s="13" t="n">
        <f aca="false">(1+J111)^(-A111)</f>
        <v>0.0373474861797781</v>
      </c>
      <c r="L111" s="11" t="n">
        <f aca="false">B111+E111*Parametros!$B$8</f>
        <v>0.063</v>
      </c>
      <c r="M111" s="12" t="n">
        <f aca="false">(1+L111/2)^2-1</f>
        <v>0.0639922500000001</v>
      </c>
      <c r="N111" s="13" t="n">
        <f aca="false">(1+M111)^(-A111)</f>
        <v>0.0373474861797781</v>
      </c>
    </row>
    <row r="112" customFormat="false" ht="15" hidden="false" customHeight="false" outlineLevel="0" collapsed="false">
      <c r="A112" s="4" t="n">
        <v>53.5</v>
      </c>
      <c r="B112" s="9" t="n">
        <v>0.053</v>
      </c>
      <c r="C112" s="9" t="n">
        <v>0.0631</v>
      </c>
      <c r="D112" s="10" t="n">
        <f aca="false">(C112-B112)*10000</f>
        <v>101</v>
      </c>
      <c r="E112" s="11" t="n">
        <f aca="false">MAX(0,C112-B112)*(1-Parametros!$B$5)</f>
        <v>0.0101</v>
      </c>
      <c r="F112" s="11" t="n">
        <f aca="false">B112+E112*Parametros!$B$6</f>
        <v>0.0631</v>
      </c>
      <c r="G112" s="12" t="n">
        <f aca="false">(1+F112/2)^2-1</f>
        <v>0.0640954025</v>
      </c>
      <c r="H112" s="13" t="n">
        <f aca="false">(1+G112)^(-A112)</f>
        <v>0.0360196655879039</v>
      </c>
      <c r="I112" s="11" t="n">
        <f aca="false">B112+E112*Parametros!$B$7</f>
        <v>0.0631</v>
      </c>
      <c r="J112" s="12" t="n">
        <f aca="false">(1+I112/2)^2-1</f>
        <v>0.0640954025</v>
      </c>
      <c r="K112" s="13" t="n">
        <f aca="false">(1+J112)^(-A112)</f>
        <v>0.0360196655879039</v>
      </c>
      <c r="L112" s="11" t="n">
        <f aca="false">B112+E112*Parametros!$B$8</f>
        <v>0.0631</v>
      </c>
      <c r="M112" s="12" t="n">
        <f aca="false">(1+L112/2)^2-1</f>
        <v>0.0640954025</v>
      </c>
      <c r="N112" s="13" t="n">
        <f aca="false">(1+M112)^(-A112)</f>
        <v>0.0360196655879039</v>
      </c>
    </row>
    <row r="113" customFormat="false" ht="15" hidden="false" customHeight="false" outlineLevel="0" collapsed="false">
      <c r="A113" s="4" t="n">
        <v>54</v>
      </c>
      <c r="B113" s="9" t="n">
        <v>0.0531</v>
      </c>
      <c r="C113" s="9" t="n">
        <v>0.0631</v>
      </c>
      <c r="D113" s="10" t="n">
        <f aca="false">(C113-B113)*10000</f>
        <v>100</v>
      </c>
      <c r="E113" s="11" t="n">
        <f aca="false">MAX(0,C113-B113)*(1-Parametros!$B$5)</f>
        <v>0.01</v>
      </c>
      <c r="F113" s="11" t="n">
        <f aca="false">B113+E113*Parametros!$B$6</f>
        <v>0.0631</v>
      </c>
      <c r="G113" s="12" t="n">
        <f aca="false">(1+F113/2)^2-1</f>
        <v>0.0640954025</v>
      </c>
      <c r="H113" s="13" t="n">
        <f aca="false">(1+G113)^(-A113)</f>
        <v>0.0349180026056942</v>
      </c>
      <c r="I113" s="11" t="n">
        <f aca="false">B113+E113*Parametros!$B$7</f>
        <v>0.0631</v>
      </c>
      <c r="J113" s="12" t="n">
        <f aca="false">(1+I113/2)^2-1</f>
        <v>0.0640954025</v>
      </c>
      <c r="K113" s="13" t="n">
        <f aca="false">(1+J113)^(-A113)</f>
        <v>0.0349180026056942</v>
      </c>
      <c r="L113" s="11" t="n">
        <f aca="false">B113+E113*Parametros!$B$8</f>
        <v>0.0631</v>
      </c>
      <c r="M113" s="12" t="n">
        <f aca="false">(1+L113/2)^2-1</f>
        <v>0.0640954025</v>
      </c>
      <c r="N113" s="13" t="n">
        <f aca="false">(1+M113)^(-A113)</f>
        <v>0.0349180026056942</v>
      </c>
    </row>
    <row r="114" customFormat="false" ht="15" hidden="false" customHeight="false" outlineLevel="0" collapsed="false">
      <c r="A114" s="4" t="n">
        <v>54.5</v>
      </c>
      <c r="B114" s="9" t="n">
        <v>0.0531</v>
      </c>
      <c r="C114" s="9" t="n">
        <v>0.0631</v>
      </c>
      <c r="D114" s="10" t="n">
        <f aca="false">(C114-B114)*10000</f>
        <v>100</v>
      </c>
      <c r="E114" s="11" t="n">
        <f aca="false">MAX(0,C114-B114)*(1-Parametros!$B$5)</f>
        <v>0.01</v>
      </c>
      <c r="F114" s="11" t="n">
        <f aca="false">B114+E114*Parametros!$B$6</f>
        <v>0.0631</v>
      </c>
      <c r="G114" s="12" t="n">
        <f aca="false">(1+F114/2)^2-1</f>
        <v>0.0640954025</v>
      </c>
      <c r="H114" s="13" t="n">
        <f aca="false">(1+G114)^(-A114)</f>
        <v>0.0338500340319851</v>
      </c>
      <c r="I114" s="11" t="n">
        <f aca="false">B114+E114*Parametros!$B$7</f>
        <v>0.0631</v>
      </c>
      <c r="J114" s="12" t="n">
        <f aca="false">(1+I114/2)^2-1</f>
        <v>0.0640954025</v>
      </c>
      <c r="K114" s="13" t="n">
        <f aca="false">(1+J114)^(-A114)</f>
        <v>0.0338500340319851</v>
      </c>
      <c r="L114" s="11" t="n">
        <f aca="false">B114+E114*Parametros!$B$8</f>
        <v>0.0631</v>
      </c>
      <c r="M114" s="12" t="n">
        <f aca="false">(1+L114/2)^2-1</f>
        <v>0.0640954025</v>
      </c>
      <c r="N114" s="13" t="n">
        <f aca="false">(1+M114)^(-A114)</f>
        <v>0.0338500340319851</v>
      </c>
    </row>
    <row r="115" customFormat="false" ht="15" hidden="false" customHeight="false" outlineLevel="0" collapsed="false">
      <c r="A115" s="4" t="n">
        <v>55</v>
      </c>
      <c r="B115" s="9" t="n">
        <v>0.0531</v>
      </c>
      <c r="C115" s="9" t="n">
        <v>0.0631</v>
      </c>
      <c r="D115" s="10" t="n">
        <f aca="false">(C115-B115)*10000</f>
        <v>100</v>
      </c>
      <c r="E115" s="11" t="n">
        <f aca="false">MAX(0,C115-B115)*(1-Parametros!$B$5)</f>
        <v>0.01</v>
      </c>
      <c r="F115" s="11" t="n">
        <f aca="false">B115+E115*Parametros!$B$6</f>
        <v>0.0631</v>
      </c>
      <c r="G115" s="12" t="n">
        <f aca="false">(1+F115/2)^2-1</f>
        <v>0.0640954025</v>
      </c>
      <c r="H115" s="13" t="n">
        <f aca="false">(1+G115)^(-A115)</f>
        <v>0.0328147293218798</v>
      </c>
      <c r="I115" s="11" t="n">
        <f aca="false">B115+E115*Parametros!$B$7</f>
        <v>0.0631</v>
      </c>
      <c r="J115" s="12" t="n">
        <f aca="false">(1+I115/2)^2-1</f>
        <v>0.0640954025</v>
      </c>
      <c r="K115" s="13" t="n">
        <f aca="false">(1+J115)^(-A115)</f>
        <v>0.0328147293218798</v>
      </c>
      <c r="L115" s="11" t="n">
        <f aca="false">B115+E115*Parametros!$B$8</f>
        <v>0.0631</v>
      </c>
      <c r="M115" s="12" t="n">
        <f aca="false">(1+L115/2)^2-1</f>
        <v>0.0640954025</v>
      </c>
      <c r="N115" s="13" t="n">
        <f aca="false">(1+M115)^(-A115)</f>
        <v>0.0328147293218798</v>
      </c>
    </row>
    <row r="116" customFormat="false" ht="15" hidden="false" customHeight="false" outlineLevel="0" collapsed="false">
      <c r="A116" s="4" t="n">
        <v>55.5</v>
      </c>
      <c r="B116" s="9" t="n">
        <v>0.0532</v>
      </c>
      <c r="C116" s="9" t="n">
        <v>0.0632</v>
      </c>
      <c r="D116" s="10" t="n">
        <f aca="false">(C116-B116)*10000</f>
        <v>100</v>
      </c>
      <c r="E116" s="11" t="n">
        <f aca="false">MAX(0,C116-B116)*(1-Parametros!$B$5)</f>
        <v>0.01</v>
      </c>
      <c r="F116" s="11" t="n">
        <f aca="false">B116+E116*Parametros!$B$6</f>
        <v>0.0632</v>
      </c>
      <c r="G116" s="12" t="n">
        <f aca="false">(1+F116/2)^2-1</f>
        <v>0.0641985600000001</v>
      </c>
      <c r="H116" s="13" t="n">
        <f aca="false">(1+G116)^(-A116)</f>
        <v>0.0316404014604169</v>
      </c>
      <c r="I116" s="11" t="n">
        <f aca="false">B116+E116*Parametros!$B$7</f>
        <v>0.0632</v>
      </c>
      <c r="J116" s="12" t="n">
        <f aca="false">(1+I116/2)^2-1</f>
        <v>0.0641985600000001</v>
      </c>
      <c r="K116" s="13" t="n">
        <f aca="false">(1+J116)^(-A116)</f>
        <v>0.0316404014604169</v>
      </c>
      <c r="L116" s="11" t="n">
        <f aca="false">B116+E116*Parametros!$B$8</f>
        <v>0.0632</v>
      </c>
      <c r="M116" s="12" t="n">
        <f aca="false">(1+L116/2)^2-1</f>
        <v>0.0641985600000001</v>
      </c>
      <c r="N116" s="13" t="n">
        <f aca="false">(1+M116)^(-A116)</f>
        <v>0.0316404014604169</v>
      </c>
    </row>
    <row r="117" customFormat="false" ht="15" hidden="false" customHeight="false" outlineLevel="0" collapsed="false">
      <c r="A117" s="4" t="n">
        <v>56</v>
      </c>
      <c r="B117" s="9" t="n">
        <v>0.0532</v>
      </c>
      <c r="C117" s="9" t="n">
        <v>0.0632</v>
      </c>
      <c r="D117" s="10" t="n">
        <f aca="false">(C117-B117)*10000</f>
        <v>100</v>
      </c>
      <c r="E117" s="11" t="n">
        <f aca="false">MAX(0,C117-B117)*(1-Parametros!$B$5)</f>
        <v>0.01</v>
      </c>
      <c r="F117" s="11" t="n">
        <f aca="false">B117+E117*Parametros!$B$6</f>
        <v>0.0632</v>
      </c>
      <c r="G117" s="12" t="n">
        <f aca="false">(1+F117/2)^2-1</f>
        <v>0.0641985600000001</v>
      </c>
      <c r="H117" s="13" t="n">
        <f aca="false">(1+G117)^(-A117)</f>
        <v>0.0306711917995511</v>
      </c>
      <c r="I117" s="11" t="n">
        <f aca="false">B117+E117*Parametros!$B$7</f>
        <v>0.0632</v>
      </c>
      <c r="J117" s="12" t="n">
        <f aca="false">(1+I117/2)^2-1</f>
        <v>0.0641985600000001</v>
      </c>
      <c r="K117" s="13" t="n">
        <f aca="false">(1+J117)^(-A117)</f>
        <v>0.0306711917995511</v>
      </c>
      <c r="L117" s="11" t="n">
        <f aca="false">B117+E117*Parametros!$B$8</f>
        <v>0.0632</v>
      </c>
      <c r="M117" s="12" t="n">
        <f aca="false">(1+L117/2)^2-1</f>
        <v>0.0641985600000001</v>
      </c>
      <c r="N117" s="13" t="n">
        <f aca="false">(1+M117)^(-A117)</f>
        <v>0.0306711917995511</v>
      </c>
    </row>
    <row r="118" customFormat="false" ht="15" hidden="false" customHeight="false" outlineLevel="0" collapsed="false">
      <c r="A118" s="4" t="n">
        <v>56.5</v>
      </c>
      <c r="B118" s="9" t="n">
        <v>0.0532</v>
      </c>
      <c r="C118" s="9" t="n">
        <v>0.0632</v>
      </c>
      <c r="D118" s="10" t="n">
        <f aca="false">(C118-B118)*10000</f>
        <v>100</v>
      </c>
      <c r="E118" s="11" t="n">
        <f aca="false">MAX(0,C118-B118)*(1-Parametros!$B$5)</f>
        <v>0.01</v>
      </c>
      <c r="F118" s="11" t="n">
        <f aca="false">B118+E118*Parametros!$B$6</f>
        <v>0.0632</v>
      </c>
      <c r="G118" s="12" t="n">
        <f aca="false">(1+F118/2)^2-1</f>
        <v>0.0641985600000001</v>
      </c>
      <c r="H118" s="13" t="n">
        <f aca="false">(1+G118)^(-A118)</f>
        <v>0.0297316709960751</v>
      </c>
      <c r="I118" s="11" t="n">
        <f aca="false">B118+E118*Parametros!$B$7</f>
        <v>0.0632</v>
      </c>
      <c r="J118" s="12" t="n">
        <f aca="false">(1+I118/2)^2-1</f>
        <v>0.0641985600000001</v>
      </c>
      <c r="K118" s="13" t="n">
        <f aca="false">(1+J118)^(-A118)</f>
        <v>0.0297316709960751</v>
      </c>
      <c r="L118" s="11" t="n">
        <f aca="false">B118+E118*Parametros!$B$8</f>
        <v>0.0632</v>
      </c>
      <c r="M118" s="12" t="n">
        <f aca="false">(1+L118/2)^2-1</f>
        <v>0.0641985600000001</v>
      </c>
      <c r="N118" s="13" t="n">
        <f aca="false">(1+M118)^(-A118)</f>
        <v>0.0297316709960751</v>
      </c>
    </row>
    <row r="119" customFormat="false" ht="15" hidden="false" customHeight="false" outlineLevel="0" collapsed="false">
      <c r="A119" s="4" t="n">
        <v>57</v>
      </c>
      <c r="B119" s="9" t="n">
        <v>0.0532</v>
      </c>
      <c r="C119" s="9" t="n">
        <v>0.0633</v>
      </c>
      <c r="D119" s="10" t="n">
        <f aca="false">(C119-B119)*10000</f>
        <v>101</v>
      </c>
      <c r="E119" s="11" t="n">
        <f aca="false">MAX(0,C119-B119)*(1-Parametros!$B$5)</f>
        <v>0.0101</v>
      </c>
      <c r="F119" s="11" t="n">
        <f aca="false">B119+E119*Parametros!$B$6</f>
        <v>0.0633</v>
      </c>
      <c r="G119" s="12" t="n">
        <f aca="false">(1+F119/2)^2-1</f>
        <v>0.0643017225</v>
      </c>
      <c r="H119" s="13" t="n">
        <f aca="false">(1+G119)^(-A119)</f>
        <v>0.0286621255097008</v>
      </c>
      <c r="I119" s="11" t="n">
        <f aca="false">B119+E119*Parametros!$B$7</f>
        <v>0.0633</v>
      </c>
      <c r="J119" s="12" t="n">
        <f aca="false">(1+I119/2)^2-1</f>
        <v>0.0643017225</v>
      </c>
      <c r="K119" s="13" t="n">
        <f aca="false">(1+J119)^(-A119)</f>
        <v>0.0286621255097008</v>
      </c>
      <c r="L119" s="11" t="n">
        <f aca="false">B119+E119*Parametros!$B$8</f>
        <v>0.0633</v>
      </c>
      <c r="M119" s="12" t="n">
        <f aca="false">(1+L119/2)^2-1</f>
        <v>0.0643017225</v>
      </c>
      <c r="N119" s="13" t="n">
        <f aca="false">(1+M119)^(-A119)</f>
        <v>0.0286621255097008</v>
      </c>
    </row>
    <row r="120" customFormat="false" ht="15" hidden="false" customHeight="false" outlineLevel="0" collapsed="false">
      <c r="A120" s="4" t="n">
        <v>57.5</v>
      </c>
      <c r="B120" s="9" t="n">
        <v>0.0533</v>
      </c>
      <c r="C120" s="9" t="n">
        <v>0.0633</v>
      </c>
      <c r="D120" s="10" t="n">
        <f aca="false">(C120-B120)*10000</f>
        <v>99.9999999999999</v>
      </c>
      <c r="E120" s="11" t="n">
        <f aca="false">MAX(0,C120-B120)*(1-Parametros!$B$5)</f>
        <v>0.01</v>
      </c>
      <c r="F120" s="11" t="n">
        <f aca="false">B120+E120*Parametros!$B$6</f>
        <v>0.0633</v>
      </c>
      <c r="G120" s="12" t="n">
        <f aca="false">(1+F120/2)^2-1</f>
        <v>0.0643017225</v>
      </c>
      <c r="H120" s="13" t="n">
        <f aca="false">(1+G120)^(-A120)</f>
        <v>0.0277827998930847</v>
      </c>
      <c r="I120" s="11" t="n">
        <f aca="false">B120+E120*Parametros!$B$7</f>
        <v>0.0633</v>
      </c>
      <c r="J120" s="12" t="n">
        <f aca="false">(1+I120/2)^2-1</f>
        <v>0.0643017225</v>
      </c>
      <c r="K120" s="13" t="n">
        <f aca="false">(1+J120)^(-A120)</f>
        <v>0.0277827998930847</v>
      </c>
      <c r="L120" s="11" t="n">
        <f aca="false">B120+E120*Parametros!$B$8</f>
        <v>0.0633</v>
      </c>
      <c r="M120" s="12" t="n">
        <f aca="false">(1+L120/2)^2-1</f>
        <v>0.0643017225</v>
      </c>
      <c r="N120" s="13" t="n">
        <f aca="false">(1+M120)^(-A120)</f>
        <v>0.0277827998930847</v>
      </c>
    </row>
    <row r="121" customFormat="false" ht="15" hidden="false" customHeight="false" outlineLevel="0" collapsed="false">
      <c r="A121" s="4" t="n">
        <v>58</v>
      </c>
      <c r="B121" s="9" t="n">
        <v>0.0533</v>
      </c>
      <c r="C121" s="9" t="n">
        <v>0.0633</v>
      </c>
      <c r="D121" s="10" t="n">
        <f aca="false">(C121-B121)*10000</f>
        <v>99.9999999999999</v>
      </c>
      <c r="E121" s="11" t="n">
        <f aca="false">MAX(0,C121-B121)*(1-Parametros!$B$5)</f>
        <v>0.01</v>
      </c>
      <c r="F121" s="11" t="n">
        <f aca="false">B121+E121*Parametros!$B$6</f>
        <v>0.0633</v>
      </c>
      <c r="G121" s="12" t="n">
        <f aca="false">(1+F121/2)^2-1</f>
        <v>0.0643017225</v>
      </c>
      <c r="H121" s="13" t="n">
        <f aca="false">(1+G121)^(-A121)</f>
        <v>0.0269304511152859</v>
      </c>
      <c r="I121" s="11" t="n">
        <f aca="false">B121+E121*Parametros!$B$7</f>
        <v>0.0633</v>
      </c>
      <c r="J121" s="12" t="n">
        <f aca="false">(1+I121/2)^2-1</f>
        <v>0.0643017225</v>
      </c>
      <c r="K121" s="13" t="n">
        <f aca="false">(1+J121)^(-A121)</f>
        <v>0.0269304511152859</v>
      </c>
      <c r="L121" s="11" t="n">
        <f aca="false">B121+E121*Parametros!$B$8</f>
        <v>0.0633</v>
      </c>
      <c r="M121" s="12" t="n">
        <f aca="false">(1+L121/2)^2-1</f>
        <v>0.0643017225</v>
      </c>
      <c r="N121" s="13" t="n">
        <f aca="false">(1+M121)^(-A121)</f>
        <v>0.0269304511152859</v>
      </c>
    </row>
    <row r="122" customFormat="false" ht="15" hidden="false" customHeight="false" outlineLevel="0" collapsed="false">
      <c r="A122" s="4" t="n">
        <v>58.5</v>
      </c>
      <c r="B122" s="9" t="n">
        <v>0.0533</v>
      </c>
      <c r="C122" s="9" t="n">
        <v>0.0633</v>
      </c>
      <c r="D122" s="10" t="n">
        <f aca="false">(C122-B122)*10000</f>
        <v>99.9999999999999</v>
      </c>
      <c r="E122" s="11" t="n">
        <f aca="false">MAX(0,C122-B122)*(1-Parametros!$B$5)</f>
        <v>0.01</v>
      </c>
      <c r="F122" s="11" t="n">
        <f aca="false">B122+E122*Parametros!$B$6</f>
        <v>0.0633</v>
      </c>
      <c r="G122" s="12" t="n">
        <f aca="false">(1+F122/2)^2-1</f>
        <v>0.0643017225</v>
      </c>
      <c r="H122" s="13" t="n">
        <f aca="false">(1+G122)^(-A122)</f>
        <v>0.026104251553614</v>
      </c>
      <c r="I122" s="11" t="n">
        <f aca="false">B122+E122*Parametros!$B$7</f>
        <v>0.0633</v>
      </c>
      <c r="J122" s="12" t="n">
        <f aca="false">(1+I122/2)^2-1</f>
        <v>0.0643017225</v>
      </c>
      <c r="K122" s="13" t="n">
        <f aca="false">(1+J122)^(-A122)</f>
        <v>0.026104251553614</v>
      </c>
      <c r="L122" s="11" t="n">
        <f aca="false">B122+E122*Parametros!$B$8</f>
        <v>0.0633</v>
      </c>
      <c r="M122" s="12" t="n">
        <f aca="false">(1+L122/2)^2-1</f>
        <v>0.0643017225</v>
      </c>
      <c r="N122" s="13" t="n">
        <f aca="false">(1+M122)^(-A122)</f>
        <v>0.026104251553614</v>
      </c>
    </row>
    <row r="123" customFormat="false" ht="15" hidden="false" customHeight="false" outlineLevel="0" collapsed="false">
      <c r="A123" s="4" t="n">
        <v>59</v>
      </c>
      <c r="B123" s="9" t="n">
        <v>0.0533</v>
      </c>
      <c r="C123" s="9" t="n">
        <v>0.0634</v>
      </c>
      <c r="D123" s="10" t="n">
        <f aca="false">(C123-B123)*10000</f>
        <v>101</v>
      </c>
      <c r="E123" s="11" t="n">
        <f aca="false">MAX(0,C123-B123)*(1-Parametros!$B$5)</f>
        <v>0.0101</v>
      </c>
      <c r="F123" s="11" t="n">
        <f aca="false">B123+E123*Parametros!$B$6</f>
        <v>0.0634</v>
      </c>
      <c r="G123" s="12" t="n">
        <f aca="false">(1+F123/2)^2-1</f>
        <v>0.0644048900000001</v>
      </c>
      <c r="H123" s="13" t="n">
        <f aca="false">(1+G123)^(-A123)</f>
        <v>0.0251591054897183</v>
      </c>
      <c r="I123" s="11" t="n">
        <f aca="false">B123+E123*Parametros!$B$7</f>
        <v>0.0634</v>
      </c>
      <c r="J123" s="12" t="n">
        <f aca="false">(1+I123/2)^2-1</f>
        <v>0.0644048900000001</v>
      </c>
      <c r="K123" s="13" t="n">
        <f aca="false">(1+J123)^(-A123)</f>
        <v>0.0251591054897183</v>
      </c>
      <c r="L123" s="11" t="n">
        <f aca="false">B123+E123*Parametros!$B$8</f>
        <v>0.0634</v>
      </c>
      <c r="M123" s="12" t="n">
        <f aca="false">(1+L123/2)^2-1</f>
        <v>0.0644048900000001</v>
      </c>
      <c r="N123" s="13" t="n">
        <f aca="false">(1+M123)^(-A123)</f>
        <v>0.0251591054897183</v>
      </c>
    </row>
    <row r="124" customFormat="false" ht="15" hidden="false" customHeight="false" outlineLevel="0" collapsed="false">
      <c r="A124" s="4" t="n">
        <v>59.5</v>
      </c>
      <c r="B124" s="9" t="n">
        <v>0.0534</v>
      </c>
      <c r="C124" s="9" t="n">
        <v>0.0634</v>
      </c>
      <c r="D124" s="10" t="n">
        <f aca="false">(C124-B124)*10000</f>
        <v>99.9999999999999</v>
      </c>
      <c r="E124" s="11" t="n">
        <f aca="false">MAX(0,C124-B124)*(1-Parametros!$B$5)</f>
        <v>0.01</v>
      </c>
      <c r="F124" s="11" t="n">
        <f aca="false">B124+E124*Parametros!$B$6</f>
        <v>0.0634</v>
      </c>
      <c r="G124" s="12" t="n">
        <f aca="false">(1+F124/2)^2-1</f>
        <v>0.0644048900000001</v>
      </c>
      <c r="H124" s="13" t="n">
        <f aca="false">(1+G124)^(-A124)</f>
        <v>0.0243860671607234</v>
      </c>
      <c r="I124" s="11" t="n">
        <f aca="false">B124+E124*Parametros!$B$7</f>
        <v>0.0634</v>
      </c>
      <c r="J124" s="12" t="n">
        <f aca="false">(1+I124/2)^2-1</f>
        <v>0.0644048900000001</v>
      </c>
      <c r="K124" s="13" t="n">
        <f aca="false">(1+J124)^(-A124)</f>
        <v>0.0243860671607234</v>
      </c>
      <c r="L124" s="11" t="n">
        <f aca="false">B124+E124*Parametros!$B$8</f>
        <v>0.0634</v>
      </c>
      <c r="M124" s="12" t="n">
        <f aca="false">(1+L124/2)^2-1</f>
        <v>0.0644048900000001</v>
      </c>
      <c r="N124" s="13" t="n">
        <f aca="false">(1+M124)^(-A124)</f>
        <v>0.0243860671607234</v>
      </c>
    </row>
    <row r="125" customFormat="false" ht="15" hidden="false" customHeight="false" outlineLevel="0" collapsed="false">
      <c r="A125" s="4" t="n">
        <v>60</v>
      </c>
      <c r="B125" s="9" t="n">
        <v>0.0534</v>
      </c>
      <c r="C125" s="9" t="n">
        <v>0.0634</v>
      </c>
      <c r="D125" s="10" t="n">
        <f aca="false">(C125-B125)*10000</f>
        <v>99.9999999999999</v>
      </c>
      <c r="E125" s="11" t="n">
        <f aca="false">MAX(0,C125-B125)*(1-Parametros!$B$5)</f>
        <v>0.01</v>
      </c>
      <c r="F125" s="11" t="n">
        <f aca="false">B125+E125*Parametros!$B$6</f>
        <v>0.0634</v>
      </c>
      <c r="G125" s="12" t="n">
        <f aca="false">(1+F125/2)^2-1</f>
        <v>0.0644048900000001</v>
      </c>
      <c r="H125" s="13" t="n">
        <f aca="false">(1+G125)^(-A125)</f>
        <v>0.0236367811967853</v>
      </c>
      <c r="I125" s="11" t="n">
        <f aca="false">B125+E125*Parametros!$B$7</f>
        <v>0.0634</v>
      </c>
      <c r="J125" s="12" t="n">
        <f aca="false">(1+I125/2)^2-1</f>
        <v>0.0644048900000001</v>
      </c>
      <c r="K125" s="13" t="n">
        <f aca="false">(1+J125)^(-A125)</f>
        <v>0.0236367811967853</v>
      </c>
      <c r="L125" s="11" t="n">
        <f aca="false">B125+E125*Parametros!$B$8</f>
        <v>0.0634</v>
      </c>
      <c r="M125" s="12" t="n">
        <f aca="false">(1+L125/2)^2-1</f>
        <v>0.0644048900000001</v>
      </c>
      <c r="N125" s="13" t="n">
        <f aca="false">(1+M125)^(-A125)</f>
        <v>0.0236367811967853</v>
      </c>
    </row>
    <row r="126" customFormat="false" ht="15" hidden="false" customHeight="false" outlineLevel="0" collapsed="false">
      <c r="A126" s="4" t="n">
        <v>60.5</v>
      </c>
      <c r="B126" s="9" t="n">
        <v>0.0534</v>
      </c>
      <c r="C126" s="9" t="n">
        <v>0.0634</v>
      </c>
      <c r="D126" s="10" t="n">
        <f aca="false">(C126-B126)*10000</f>
        <v>99.9999999999999</v>
      </c>
      <c r="E126" s="11" t="n">
        <f aca="false">MAX(0,C126-B126)*(1-Parametros!$B$5)</f>
        <v>0.01</v>
      </c>
      <c r="F126" s="11" t="n">
        <f aca="false">B126+E126*Parametros!$B$6</f>
        <v>0.0634</v>
      </c>
      <c r="G126" s="12" t="n">
        <f aca="false">(1+F126/2)^2-1</f>
        <v>0.0644048900000001</v>
      </c>
      <c r="H126" s="13" t="n">
        <f aca="false">(1+G126)^(-A126)</f>
        <v>0.0229105177830622</v>
      </c>
      <c r="I126" s="11" t="n">
        <f aca="false">B126+E126*Parametros!$B$7</f>
        <v>0.0634</v>
      </c>
      <c r="J126" s="12" t="n">
        <f aca="false">(1+I126/2)^2-1</f>
        <v>0.0644048900000001</v>
      </c>
      <c r="K126" s="13" t="n">
        <f aca="false">(1+J126)^(-A126)</f>
        <v>0.0229105177830622</v>
      </c>
      <c r="L126" s="11" t="n">
        <f aca="false">B126+E126*Parametros!$B$8</f>
        <v>0.0634</v>
      </c>
      <c r="M126" s="12" t="n">
        <f aca="false">(1+L126/2)^2-1</f>
        <v>0.0644048900000001</v>
      </c>
      <c r="N126" s="13" t="n">
        <f aca="false">(1+M126)^(-A126)</f>
        <v>0.0229105177830622</v>
      </c>
    </row>
    <row r="127" customFormat="false" ht="15" hidden="false" customHeight="false" outlineLevel="0" collapsed="false">
      <c r="A127" s="4" t="n">
        <v>61</v>
      </c>
      <c r="B127" s="9" t="n">
        <v>0.0534</v>
      </c>
      <c r="C127" s="9" t="n">
        <v>0.0635</v>
      </c>
      <c r="D127" s="10" t="n">
        <f aca="false">(C127-B127)*10000</f>
        <v>101</v>
      </c>
      <c r="E127" s="11" t="n">
        <f aca="false">MAX(0,C127-B127)*(1-Parametros!$B$5)</f>
        <v>0.0101</v>
      </c>
      <c r="F127" s="11" t="n">
        <f aca="false">B127+E127*Parametros!$B$6</f>
        <v>0.0635</v>
      </c>
      <c r="G127" s="12" t="n">
        <f aca="false">(1+F127/2)^2-1</f>
        <v>0.0645080624999999</v>
      </c>
      <c r="H127" s="13" t="n">
        <f aca="false">(1+G127)^(-A127)</f>
        <v>0.0220756621523043</v>
      </c>
      <c r="I127" s="11" t="n">
        <f aca="false">B127+E127*Parametros!$B$7</f>
        <v>0.0635</v>
      </c>
      <c r="J127" s="12" t="n">
        <f aca="false">(1+I127/2)^2-1</f>
        <v>0.0645080624999999</v>
      </c>
      <c r="K127" s="13" t="n">
        <f aca="false">(1+J127)^(-A127)</f>
        <v>0.0220756621523043</v>
      </c>
      <c r="L127" s="11" t="n">
        <f aca="false">B127+E127*Parametros!$B$8</f>
        <v>0.0635</v>
      </c>
      <c r="M127" s="12" t="n">
        <f aca="false">(1+L127/2)^2-1</f>
        <v>0.0645080624999999</v>
      </c>
      <c r="N127" s="13" t="n">
        <f aca="false">(1+M127)^(-A127)</f>
        <v>0.0220756621523043</v>
      </c>
    </row>
    <row r="128" customFormat="false" ht="15" hidden="false" customHeight="false" outlineLevel="0" collapsed="false">
      <c r="A128" s="4" t="n">
        <v>61.5</v>
      </c>
      <c r="B128" s="9" t="n">
        <v>0.0535</v>
      </c>
      <c r="C128" s="9" t="n">
        <v>0.0635</v>
      </c>
      <c r="D128" s="10" t="n">
        <f aca="false">(C128-B128)*10000</f>
        <v>100</v>
      </c>
      <c r="E128" s="11" t="n">
        <f aca="false">MAX(0,C128-B128)*(1-Parametros!$B$5)</f>
        <v>0.01</v>
      </c>
      <c r="F128" s="11" t="n">
        <f aca="false">B128+E128*Parametros!$B$6</f>
        <v>0.0635</v>
      </c>
      <c r="G128" s="12" t="n">
        <f aca="false">(1+F128/2)^2-1</f>
        <v>0.0645080624999999</v>
      </c>
      <c r="H128" s="13" t="n">
        <f aca="false">(1+G128)^(-A128)</f>
        <v>0.0213963287155845</v>
      </c>
      <c r="I128" s="11" t="n">
        <f aca="false">B128+E128*Parametros!$B$7</f>
        <v>0.0635</v>
      </c>
      <c r="J128" s="12" t="n">
        <f aca="false">(1+I128/2)^2-1</f>
        <v>0.0645080624999999</v>
      </c>
      <c r="K128" s="13" t="n">
        <f aca="false">(1+J128)^(-A128)</f>
        <v>0.0213963287155845</v>
      </c>
      <c r="L128" s="11" t="n">
        <f aca="false">B128+E128*Parametros!$B$8</f>
        <v>0.0635</v>
      </c>
      <c r="M128" s="12" t="n">
        <f aca="false">(1+L128/2)^2-1</f>
        <v>0.0645080624999999</v>
      </c>
      <c r="N128" s="13" t="n">
        <f aca="false">(1+M128)^(-A128)</f>
        <v>0.0213963287155845</v>
      </c>
    </row>
    <row r="129" customFormat="false" ht="15" hidden="false" customHeight="false" outlineLevel="0" collapsed="false">
      <c r="A129" s="4" t="n">
        <v>62</v>
      </c>
      <c r="B129" s="9" t="n">
        <v>0.0535</v>
      </c>
      <c r="C129" s="9" t="n">
        <v>0.0635</v>
      </c>
      <c r="D129" s="10" t="n">
        <f aca="false">(C129-B129)*10000</f>
        <v>100</v>
      </c>
      <c r="E129" s="11" t="n">
        <f aca="false">MAX(0,C129-B129)*(1-Parametros!$B$5)</f>
        <v>0.01</v>
      </c>
      <c r="F129" s="11" t="n">
        <f aca="false">B129+E129*Parametros!$B$6</f>
        <v>0.0635</v>
      </c>
      <c r="G129" s="12" t="n">
        <f aca="false">(1+F129/2)^2-1</f>
        <v>0.0645080624999999</v>
      </c>
      <c r="H129" s="13" t="n">
        <f aca="false">(1+G129)^(-A129)</f>
        <v>0.0207379003785651</v>
      </c>
      <c r="I129" s="11" t="n">
        <f aca="false">B129+E129*Parametros!$B$7</f>
        <v>0.0635</v>
      </c>
      <c r="J129" s="12" t="n">
        <f aca="false">(1+I129/2)^2-1</f>
        <v>0.0645080624999999</v>
      </c>
      <c r="K129" s="13" t="n">
        <f aca="false">(1+J129)^(-A129)</f>
        <v>0.0207379003785651</v>
      </c>
      <c r="L129" s="11" t="n">
        <f aca="false">B129+E129*Parametros!$B$8</f>
        <v>0.0635</v>
      </c>
      <c r="M129" s="12" t="n">
        <f aca="false">(1+L129/2)^2-1</f>
        <v>0.0645080624999999</v>
      </c>
      <c r="N129" s="13" t="n">
        <f aca="false">(1+M129)^(-A129)</f>
        <v>0.0207379003785651</v>
      </c>
    </row>
    <row r="130" customFormat="false" ht="15" hidden="false" customHeight="false" outlineLevel="0" collapsed="false">
      <c r="A130" s="4" t="n">
        <v>62.5</v>
      </c>
      <c r="B130" s="9" t="n">
        <v>0.0535</v>
      </c>
      <c r="C130" s="9" t="n">
        <v>0.0635</v>
      </c>
      <c r="D130" s="10" t="n">
        <f aca="false">(C130-B130)*10000</f>
        <v>100</v>
      </c>
      <c r="E130" s="11" t="n">
        <f aca="false">MAX(0,C130-B130)*(1-Parametros!$B$5)</f>
        <v>0.01</v>
      </c>
      <c r="F130" s="11" t="n">
        <f aca="false">B130+E130*Parametros!$B$6</f>
        <v>0.0635</v>
      </c>
      <c r="G130" s="12" t="n">
        <f aca="false">(1+F130/2)^2-1</f>
        <v>0.0645080624999999</v>
      </c>
      <c r="H130" s="13" t="n">
        <f aca="false">(1+G130)^(-A130)</f>
        <v>0.0200997338294791</v>
      </c>
      <c r="I130" s="11" t="n">
        <f aca="false">B130+E130*Parametros!$B$7</f>
        <v>0.0635</v>
      </c>
      <c r="J130" s="12" t="n">
        <f aca="false">(1+I130/2)^2-1</f>
        <v>0.0645080624999999</v>
      </c>
      <c r="K130" s="13" t="n">
        <f aca="false">(1+J130)^(-A130)</f>
        <v>0.0200997338294791</v>
      </c>
      <c r="L130" s="11" t="n">
        <f aca="false">B130+E130*Parametros!$B$8</f>
        <v>0.0635</v>
      </c>
      <c r="M130" s="12" t="n">
        <f aca="false">(1+L130/2)^2-1</f>
        <v>0.0645080624999999</v>
      </c>
      <c r="N130" s="13" t="n">
        <f aca="false">(1+M130)^(-A130)</f>
        <v>0.0200997338294791</v>
      </c>
    </row>
    <row r="131" customFormat="false" ht="15" hidden="false" customHeight="false" outlineLevel="0" collapsed="false">
      <c r="A131" s="4" t="n">
        <v>63</v>
      </c>
      <c r="B131" s="9" t="n">
        <v>0.0535</v>
      </c>
      <c r="C131" s="9" t="n">
        <v>0.0636</v>
      </c>
      <c r="D131" s="10" t="n">
        <f aca="false">(C131-B131)*10000</f>
        <v>101</v>
      </c>
      <c r="E131" s="11" t="n">
        <f aca="false">MAX(0,C131-B131)*(1-Parametros!$B$5)</f>
        <v>0.0101</v>
      </c>
      <c r="F131" s="11" t="n">
        <f aca="false">B131+E131*Parametros!$B$6</f>
        <v>0.0636</v>
      </c>
      <c r="G131" s="12" t="n">
        <f aca="false">(1+F131/2)^2-1</f>
        <v>0.0646112400000001</v>
      </c>
      <c r="H131" s="13" t="n">
        <f aca="false">(1+G131)^(-A131)</f>
        <v>0.0193626160758087</v>
      </c>
      <c r="I131" s="11" t="n">
        <f aca="false">B131+E131*Parametros!$B$7</f>
        <v>0.0636</v>
      </c>
      <c r="J131" s="12" t="n">
        <f aca="false">(1+I131/2)^2-1</f>
        <v>0.0646112400000001</v>
      </c>
      <c r="K131" s="13" t="n">
        <f aca="false">(1+J131)^(-A131)</f>
        <v>0.0193626160758087</v>
      </c>
      <c r="L131" s="11" t="n">
        <f aca="false">B131+E131*Parametros!$B$8</f>
        <v>0.0636</v>
      </c>
      <c r="M131" s="12" t="n">
        <f aca="false">(1+L131/2)^2-1</f>
        <v>0.0646112400000001</v>
      </c>
      <c r="N131" s="13" t="n">
        <f aca="false">(1+M131)^(-A131)</f>
        <v>0.0193626160758087</v>
      </c>
    </row>
    <row r="132" customFormat="false" ht="15" hidden="false" customHeight="false" outlineLevel="0" collapsed="false">
      <c r="A132" s="4" t="n">
        <v>63.5</v>
      </c>
      <c r="B132" s="9" t="n">
        <v>0.0536</v>
      </c>
      <c r="C132" s="9" t="n">
        <v>0.0636</v>
      </c>
      <c r="D132" s="10" t="n">
        <f aca="false">(C132-B132)*10000</f>
        <v>100</v>
      </c>
      <c r="E132" s="11" t="n">
        <f aca="false">MAX(0,C132-B132)*(1-Parametros!$B$5)</f>
        <v>0.01</v>
      </c>
      <c r="F132" s="11" t="n">
        <f aca="false">B132+E132*Parametros!$B$6</f>
        <v>0.0636</v>
      </c>
      <c r="G132" s="12" t="n">
        <f aca="false">(1+F132/2)^2-1</f>
        <v>0.0646112400000001</v>
      </c>
      <c r="H132" s="13" t="n">
        <f aca="false">(1+G132)^(-A132)</f>
        <v>0.0187658616745577</v>
      </c>
      <c r="I132" s="11" t="n">
        <f aca="false">B132+E132*Parametros!$B$7</f>
        <v>0.0636</v>
      </c>
      <c r="J132" s="12" t="n">
        <f aca="false">(1+I132/2)^2-1</f>
        <v>0.0646112400000001</v>
      </c>
      <c r="K132" s="13" t="n">
        <f aca="false">(1+J132)^(-A132)</f>
        <v>0.0187658616745577</v>
      </c>
      <c r="L132" s="11" t="n">
        <f aca="false">B132+E132*Parametros!$B$8</f>
        <v>0.0636</v>
      </c>
      <c r="M132" s="12" t="n">
        <f aca="false">(1+L132/2)^2-1</f>
        <v>0.0646112400000001</v>
      </c>
      <c r="N132" s="13" t="n">
        <f aca="false">(1+M132)^(-A132)</f>
        <v>0.0187658616745577</v>
      </c>
    </row>
    <row r="133" customFormat="false" ht="15" hidden="false" customHeight="false" outlineLevel="0" collapsed="false">
      <c r="A133" s="4" t="n">
        <v>64</v>
      </c>
      <c r="B133" s="9" t="n">
        <v>0.0536</v>
      </c>
      <c r="C133" s="9" t="n">
        <v>0.0636</v>
      </c>
      <c r="D133" s="10" t="n">
        <f aca="false">(C133-B133)*10000</f>
        <v>100</v>
      </c>
      <c r="E133" s="11" t="n">
        <f aca="false">MAX(0,C133-B133)*(1-Parametros!$B$5)</f>
        <v>0.01</v>
      </c>
      <c r="F133" s="11" t="n">
        <f aca="false">B133+E133*Parametros!$B$6</f>
        <v>0.0636</v>
      </c>
      <c r="G133" s="12" t="n">
        <f aca="false">(1+F133/2)^2-1</f>
        <v>0.0646112400000001</v>
      </c>
      <c r="H133" s="13" t="n">
        <f aca="false">(1+G133)^(-A133)</f>
        <v>0.0181874991999978</v>
      </c>
      <c r="I133" s="11" t="n">
        <f aca="false">B133+E133*Parametros!$B$7</f>
        <v>0.0636</v>
      </c>
      <c r="J133" s="12" t="n">
        <f aca="false">(1+I133/2)^2-1</f>
        <v>0.0646112400000001</v>
      </c>
      <c r="K133" s="13" t="n">
        <f aca="false">(1+J133)^(-A133)</f>
        <v>0.0181874991999978</v>
      </c>
      <c r="L133" s="11" t="n">
        <f aca="false">B133+E133*Parametros!$B$8</f>
        <v>0.0636</v>
      </c>
      <c r="M133" s="12" t="n">
        <f aca="false">(1+L133/2)^2-1</f>
        <v>0.0646112400000001</v>
      </c>
      <c r="N133" s="13" t="n">
        <f aca="false">(1+M133)^(-A133)</f>
        <v>0.0181874991999978</v>
      </c>
    </row>
    <row r="134" customFormat="false" ht="15" hidden="false" customHeight="false" outlineLevel="0" collapsed="false">
      <c r="A134" s="4" t="n">
        <v>64.5</v>
      </c>
      <c r="B134" s="9" t="n">
        <v>0.0536</v>
      </c>
      <c r="C134" s="9" t="n">
        <v>0.0636</v>
      </c>
      <c r="D134" s="10" t="n">
        <f aca="false">(C134-B134)*10000</f>
        <v>100</v>
      </c>
      <c r="E134" s="11" t="n">
        <f aca="false">MAX(0,C134-B134)*(1-Parametros!$B$5)</f>
        <v>0.01</v>
      </c>
      <c r="F134" s="11" t="n">
        <f aca="false">B134+E134*Parametros!$B$6</f>
        <v>0.0636</v>
      </c>
      <c r="G134" s="12" t="n">
        <f aca="false">(1+F134/2)^2-1</f>
        <v>0.0646112400000001</v>
      </c>
      <c r="H134" s="13" t="n">
        <f aca="false">(1+G134)^(-A134)</f>
        <v>0.017626961814303</v>
      </c>
      <c r="I134" s="11" t="n">
        <f aca="false">B134+E134*Parametros!$B$7</f>
        <v>0.0636</v>
      </c>
      <c r="J134" s="12" t="n">
        <f aca="false">(1+I134/2)^2-1</f>
        <v>0.0646112400000001</v>
      </c>
      <c r="K134" s="13" t="n">
        <f aca="false">(1+J134)^(-A134)</f>
        <v>0.017626961814303</v>
      </c>
      <c r="L134" s="11" t="n">
        <f aca="false">B134+E134*Parametros!$B$8</f>
        <v>0.0636</v>
      </c>
      <c r="M134" s="12" t="n">
        <f aca="false">(1+L134/2)^2-1</f>
        <v>0.0646112400000001</v>
      </c>
      <c r="N134" s="13" t="n">
        <f aca="false">(1+M134)^(-A134)</f>
        <v>0.017626961814303</v>
      </c>
    </row>
    <row r="135" customFormat="false" ht="15" hidden="false" customHeight="false" outlineLevel="0" collapsed="false">
      <c r="A135" s="4" t="n">
        <v>65</v>
      </c>
      <c r="B135" s="9" t="n">
        <v>0.0536</v>
      </c>
      <c r="C135" s="9" t="n">
        <v>0.0637</v>
      </c>
      <c r="D135" s="10" t="n">
        <f aca="false">(C135-B135)*10000</f>
        <v>101</v>
      </c>
      <c r="E135" s="11" t="n">
        <f aca="false">MAX(0,C135-B135)*(1-Parametros!$B$5)</f>
        <v>0.0101</v>
      </c>
      <c r="F135" s="11" t="n">
        <f aca="false">B135+E135*Parametros!$B$6</f>
        <v>0.0637</v>
      </c>
      <c r="G135" s="12" t="n">
        <f aca="false">(1+F135/2)^2-1</f>
        <v>0.0647144224999998</v>
      </c>
      <c r="H135" s="13" t="n">
        <f aca="false">(1+G135)^(-A135)</f>
        <v>0.0169764193390496</v>
      </c>
      <c r="I135" s="11" t="n">
        <f aca="false">B135+E135*Parametros!$B$7</f>
        <v>0.0637</v>
      </c>
      <c r="J135" s="12" t="n">
        <f aca="false">(1+I135/2)^2-1</f>
        <v>0.0647144224999998</v>
      </c>
      <c r="K135" s="13" t="n">
        <f aca="false">(1+J135)^(-A135)</f>
        <v>0.0169764193390496</v>
      </c>
      <c r="L135" s="11" t="n">
        <f aca="false">B135+E135*Parametros!$B$8</f>
        <v>0.0637</v>
      </c>
      <c r="M135" s="12" t="n">
        <f aca="false">(1+L135/2)^2-1</f>
        <v>0.0647144224999998</v>
      </c>
      <c r="N135" s="13" t="n">
        <f aca="false">(1+M135)^(-A135)</f>
        <v>0.0169764193390496</v>
      </c>
    </row>
    <row r="136" customFormat="false" ht="15" hidden="false" customHeight="false" outlineLevel="0" collapsed="false">
      <c r="A136" s="4" t="n">
        <v>65.5</v>
      </c>
      <c r="B136" s="9" t="n">
        <v>0.0536</v>
      </c>
      <c r="C136" s="9" t="n">
        <v>0.0637</v>
      </c>
      <c r="D136" s="10" t="n">
        <f aca="false">(C136-B136)*10000</f>
        <v>101</v>
      </c>
      <c r="E136" s="11" t="n">
        <f aca="false">MAX(0,C136-B136)*(1-Parametros!$B$5)</f>
        <v>0.0101</v>
      </c>
      <c r="F136" s="11" t="n">
        <f aca="false">B136+E136*Parametros!$B$6</f>
        <v>0.0637</v>
      </c>
      <c r="G136" s="12" t="n">
        <f aca="false">(1+F136/2)^2-1</f>
        <v>0.0647144224999998</v>
      </c>
      <c r="H136" s="13" t="n">
        <f aca="false">(1+G136)^(-A136)</f>
        <v>0.0164524100780633</v>
      </c>
      <c r="I136" s="11" t="n">
        <f aca="false">B136+E136*Parametros!$B$7</f>
        <v>0.0637</v>
      </c>
      <c r="J136" s="12" t="n">
        <f aca="false">(1+I136/2)^2-1</f>
        <v>0.0647144224999998</v>
      </c>
      <c r="K136" s="13" t="n">
        <f aca="false">(1+J136)^(-A136)</f>
        <v>0.0164524100780633</v>
      </c>
      <c r="L136" s="11" t="n">
        <f aca="false">B136+E136*Parametros!$B$8</f>
        <v>0.0637</v>
      </c>
      <c r="M136" s="12" t="n">
        <f aca="false">(1+L136/2)^2-1</f>
        <v>0.0647144224999998</v>
      </c>
      <c r="N136" s="13" t="n">
        <f aca="false">(1+M136)^(-A136)</f>
        <v>0.0164524100780633</v>
      </c>
    </row>
    <row r="137" customFormat="false" ht="15" hidden="false" customHeight="false" outlineLevel="0" collapsed="false">
      <c r="A137" s="4" t="n">
        <v>66</v>
      </c>
      <c r="B137" s="9" t="n">
        <v>0.0537</v>
      </c>
      <c r="C137" s="9" t="n">
        <v>0.0637</v>
      </c>
      <c r="D137" s="10" t="n">
        <f aca="false">(C137-B137)*10000</f>
        <v>100</v>
      </c>
      <c r="E137" s="11" t="n">
        <f aca="false">MAX(0,C137-B137)*(1-Parametros!$B$5)</f>
        <v>0.01</v>
      </c>
      <c r="F137" s="11" t="n">
        <f aca="false">B137+E137*Parametros!$B$6</f>
        <v>0.0637</v>
      </c>
      <c r="G137" s="12" t="n">
        <f aca="false">(1+F137/2)^2-1</f>
        <v>0.0647144224999998</v>
      </c>
      <c r="H137" s="13" t="n">
        <f aca="false">(1+G137)^(-A137)</f>
        <v>0.0159445753530681</v>
      </c>
      <c r="I137" s="11" t="n">
        <f aca="false">B137+E137*Parametros!$B$7</f>
        <v>0.0637</v>
      </c>
      <c r="J137" s="12" t="n">
        <f aca="false">(1+I137/2)^2-1</f>
        <v>0.0647144224999998</v>
      </c>
      <c r="K137" s="13" t="n">
        <f aca="false">(1+J137)^(-A137)</f>
        <v>0.0159445753530681</v>
      </c>
      <c r="L137" s="11" t="n">
        <f aca="false">B137+E137*Parametros!$B$8</f>
        <v>0.0637</v>
      </c>
      <c r="M137" s="12" t="n">
        <f aca="false">(1+L137/2)^2-1</f>
        <v>0.0647144224999998</v>
      </c>
      <c r="N137" s="13" t="n">
        <f aca="false">(1+M137)^(-A137)</f>
        <v>0.0159445753530681</v>
      </c>
    </row>
    <row r="138" customFormat="false" ht="15" hidden="false" customHeight="false" outlineLevel="0" collapsed="false">
      <c r="A138" s="4" t="n">
        <v>66.5</v>
      </c>
      <c r="B138" s="9" t="n">
        <v>0.0537</v>
      </c>
      <c r="C138" s="9" t="n">
        <v>0.0637</v>
      </c>
      <c r="D138" s="10" t="n">
        <f aca="false">(C138-B138)*10000</f>
        <v>100</v>
      </c>
      <c r="E138" s="11" t="n">
        <f aca="false">MAX(0,C138-B138)*(1-Parametros!$B$5)</f>
        <v>0.01</v>
      </c>
      <c r="F138" s="11" t="n">
        <f aca="false">B138+E138*Parametros!$B$6</f>
        <v>0.0637</v>
      </c>
      <c r="G138" s="12" t="n">
        <f aca="false">(1+F138/2)^2-1</f>
        <v>0.0647144224999998</v>
      </c>
      <c r="H138" s="13" t="n">
        <f aca="false">(1+G138)^(-A138)</f>
        <v>0.0154524159064477</v>
      </c>
      <c r="I138" s="11" t="n">
        <f aca="false">B138+E138*Parametros!$B$7</f>
        <v>0.0637</v>
      </c>
      <c r="J138" s="12" t="n">
        <f aca="false">(1+I138/2)^2-1</f>
        <v>0.0647144224999998</v>
      </c>
      <c r="K138" s="13" t="n">
        <f aca="false">(1+J138)^(-A138)</f>
        <v>0.0154524159064477</v>
      </c>
      <c r="L138" s="11" t="n">
        <f aca="false">B138+E138*Parametros!$B$8</f>
        <v>0.0637</v>
      </c>
      <c r="M138" s="12" t="n">
        <f aca="false">(1+L138/2)^2-1</f>
        <v>0.0647144224999998</v>
      </c>
      <c r="N138" s="13" t="n">
        <f aca="false">(1+M138)^(-A138)</f>
        <v>0.0154524159064477</v>
      </c>
    </row>
    <row r="139" customFormat="false" ht="15" hidden="false" customHeight="false" outlineLevel="0" collapsed="false">
      <c r="A139" s="4" t="n">
        <v>67</v>
      </c>
      <c r="B139" s="9" t="n">
        <v>0.0537</v>
      </c>
      <c r="C139" s="9" t="n">
        <v>0.0637</v>
      </c>
      <c r="D139" s="10" t="n">
        <f aca="false">(C139-B139)*10000</f>
        <v>100</v>
      </c>
      <c r="E139" s="11" t="n">
        <f aca="false">MAX(0,C139-B139)*(1-Parametros!$B$5)</f>
        <v>0.01</v>
      </c>
      <c r="F139" s="11" t="n">
        <f aca="false">B139+E139*Parametros!$B$6</f>
        <v>0.0637</v>
      </c>
      <c r="G139" s="12" t="n">
        <f aca="false">(1+F139/2)^2-1</f>
        <v>0.0647144224999998</v>
      </c>
      <c r="H139" s="13" t="n">
        <f aca="false">(1+G139)^(-A139)</f>
        <v>0.0149754478911157</v>
      </c>
      <c r="I139" s="11" t="n">
        <f aca="false">B139+E139*Parametros!$B$7</f>
        <v>0.0637</v>
      </c>
      <c r="J139" s="12" t="n">
        <f aca="false">(1+I139/2)^2-1</f>
        <v>0.0647144224999998</v>
      </c>
      <c r="K139" s="13" t="n">
        <f aca="false">(1+J139)^(-A139)</f>
        <v>0.0149754478911157</v>
      </c>
      <c r="L139" s="11" t="n">
        <f aca="false">B139+E139*Parametros!$B$8</f>
        <v>0.0637</v>
      </c>
      <c r="M139" s="12" t="n">
        <f aca="false">(1+L139/2)^2-1</f>
        <v>0.0647144224999998</v>
      </c>
      <c r="N139" s="13" t="n">
        <f aca="false">(1+M139)^(-A139)</f>
        <v>0.0149754478911157</v>
      </c>
    </row>
    <row r="140" customFormat="false" ht="15" hidden="false" customHeight="false" outlineLevel="0" collapsed="false">
      <c r="A140" s="4" t="n">
        <v>67.5</v>
      </c>
      <c r="B140" s="9" t="n">
        <v>0.0537</v>
      </c>
      <c r="C140" s="9" t="n">
        <v>0.0638</v>
      </c>
      <c r="D140" s="10" t="n">
        <f aca="false">(C140-B140)*10000</f>
        <v>101</v>
      </c>
      <c r="E140" s="11" t="n">
        <f aca="false">MAX(0,C140-B140)*(1-Parametros!$B$5)</f>
        <v>0.0101</v>
      </c>
      <c r="F140" s="11" t="n">
        <f aca="false">B140+E140*Parametros!$B$6</f>
        <v>0.0638</v>
      </c>
      <c r="G140" s="12" t="n">
        <f aca="false">(1+F140/2)^2-1</f>
        <v>0.0648176100000002</v>
      </c>
      <c r="H140" s="13" t="n">
        <f aca="false">(1+G140)^(-A140)</f>
        <v>0.014418574268308</v>
      </c>
      <c r="I140" s="11" t="n">
        <f aca="false">B140+E140*Parametros!$B$7</f>
        <v>0.0638</v>
      </c>
      <c r="J140" s="12" t="n">
        <f aca="false">(1+I140/2)^2-1</f>
        <v>0.0648176100000002</v>
      </c>
      <c r="K140" s="13" t="n">
        <f aca="false">(1+J140)^(-A140)</f>
        <v>0.014418574268308</v>
      </c>
      <c r="L140" s="11" t="n">
        <f aca="false">B140+E140*Parametros!$B$8</f>
        <v>0.0638</v>
      </c>
      <c r="M140" s="12" t="n">
        <f aca="false">(1+L140/2)^2-1</f>
        <v>0.0648176100000002</v>
      </c>
      <c r="N140" s="13" t="n">
        <f aca="false">(1+M140)^(-A140)</f>
        <v>0.014418574268308</v>
      </c>
    </row>
    <row r="141" customFormat="false" ht="15" hidden="false" customHeight="false" outlineLevel="0" collapsed="false">
      <c r="A141" s="4" t="n">
        <v>68</v>
      </c>
      <c r="B141" s="9" t="n">
        <v>0.0537</v>
      </c>
      <c r="C141" s="9" t="n">
        <v>0.0638</v>
      </c>
      <c r="D141" s="10" t="n">
        <f aca="false">(C141-B141)*10000</f>
        <v>101</v>
      </c>
      <c r="E141" s="11" t="n">
        <f aca="false">MAX(0,C141-B141)*(1-Parametros!$B$5)</f>
        <v>0.0101</v>
      </c>
      <c r="F141" s="11" t="n">
        <f aca="false">B141+E141*Parametros!$B$6</f>
        <v>0.0638</v>
      </c>
      <c r="G141" s="12" t="n">
        <f aca="false">(1+F141/2)^2-1</f>
        <v>0.0648176100000002</v>
      </c>
      <c r="H141" s="13" t="n">
        <f aca="false">(1+G141)^(-A141)</f>
        <v>0.0139728406515243</v>
      </c>
      <c r="I141" s="11" t="n">
        <f aca="false">B141+E141*Parametros!$B$7</f>
        <v>0.0638</v>
      </c>
      <c r="J141" s="12" t="n">
        <f aca="false">(1+I141/2)^2-1</f>
        <v>0.0648176100000002</v>
      </c>
      <c r="K141" s="13" t="n">
        <f aca="false">(1+J141)^(-A141)</f>
        <v>0.0139728406515243</v>
      </c>
      <c r="L141" s="11" t="n">
        <f aca="false">B141+E141*Parametros!$B$8</f>
        <v>0.0638</v>
      </c>
      <c r="M141" s="12" t="n">
        <f aca="false">(1+L141/2)^2-1</f>
        <v>0.0648176100000002</v>
      </c>
      <c r="N141" s="13" t="n">
        <f aca="false">(1+M141)^(-A141)</f>
        <v>0.0139728406515243</v>
      </c>
    </row>
    <row r="142" customFormat="false" ht="15" hidden="false" customHeight="false" outlineLevel="0" collapsed="false">
      <c r="A142" s="4" t="n">
        <v>68.5</v>
      </c>
      <c r="B142" s="9" t="n">
        <v>0.0538</v>
      </c>
      <c r="C142" s="9" t="n">
        <v>0.0638</v>
      </c>
      <c r="D142" s="10" t="n">
        <f aca="false">(C142-B142)*10000</f>
        <v>99.9999999999999</v>
      </c>
      <c r="E142" s="11" t="n">
        <f aca="false">MAX(0,C142-B142)*(1-Parametros!$B$5)</f>
        <v>0.01</v>
      </c>
      <c r="F142" s="11" t="n">
        <f aca="false">B142+E142*Parametros!$B$6</f>
        <v>0.0638</v>
      </c>
      <c r="G142" s="12" t="n">
        <f aca="false">(1+F142/2)^2-1</f>
        <v>0.0648176100000002</v>
      </c>
      <c r="H142" s="13" t="n">
        <f aca="false">(1+G142)^(-A142)</f>
        <v>0.0135408863761259</v>
      </c>
      <c r="I142" s="11" t="n">
        <f aca="false">B142+E142*Parametros!$B$7</f>
        <v>0.0638</v>
      </c>
      <c r="J142" s="12" t="n">
        <f aca="false">(1+I142/2)^2-1</f>
        <v>0.0648176100000002</v>
      </c>
      <c r="K142" s="13" t="n">
        <f aca="false">(1+J142)^(-A142)</f>
        <v>0.0135408863761259</v>
      </c>
      <c r="L142" s="11" t="n">
        <f aca="false">B142+E142*Parametros!$B$8</f>
        <v>0.0638</v>
      </c>
      <c r="M142" s="12" t="n">
        <f aca="false">(1+L142/2)^2-1</f>
        <v>0.0648176100000002</v>
      </c>
      <c r="N142" s="13" t="n">
        <f aca="false">(1+M142)^(-A142)</f>
        <v>0.0135408863761259</v>
      </c>
    </row>
    <row r="143" customFormat="false" ht="15" hidden="false" customHeight="false" outlineLevel="0" collapsed="false">
      <c r="A143" s="4" t="n">
        <v>69</v>
      </c>
      <c r="B143" s="9" t="n">
        <v>0.0538</v>
      </c>
      <c r="C143" s="9" t="n">
        <v>0.0638</v>
      </c>
      <c r="D143" s="10" t="n">
        <f aca="false">(C143-B143)*10000</f>
        <v>99.9999999999999</v>
      </c>
      <c r="E143" s="11" t="n">
        <f aca="false">MAX(0,C143-B143)*(1-Parametros!$B$5)</f>
        <v>0.01</v>
      </c>
      <c r="F143" s="11" t="n">
        <f aca="false">B143+E143*Parametros!$B$6</f>
        <v>0.0638</v>
      </c>
      <c r="G143" s="12" t="n">
        <f aca="false">(1+F143/2)^2-1</f>
        <v>0.0648176100000002</v>
      </c>
      <c r="H143" s="13" t="n">
        <f aca="false">(1+G143)^(-A143)</f>
        <v>0.0131222854696443</v>
      </c>
      <c r="I143" s="11" t="n">
        <f aca="false">B143+E143*Parametros!$B$7</f>
        <v>0.0638</v>
      </c>
      <c r="J143" s="12" t="n">
        <f aca="false">(1+I143/2)^2-1</f>
        <v>0.0648176100000002</v>
      </c>
      <c r="K143" s="13" t="n">
        <f aca="false">(1+J143)^(-A143)</f>
        <v>0.0131222854696443</v>
      </c>
      <c r="L143" s="11" t="n">
        <f aca="false">B143+E143*Parametros!$B$8</f>
        <v>0.0638</v>
      </c>
      <c r="M143" s="12" t="n">
        <f aca="false">(1+L143/2)^2-1</f>
        <v>0.0648176100000002</v>
      </c>
      <c r="N143" s="13" t="n">
        <f aca="false">(1+M143)^(-A143)</f>
        <v>0.0131222854696443</v>
      </c>
    </row>
    <row r="144" customFormat="false" ht="15" hidden="false" customHeight="false" outlineLevel="0" collapsed="false">
      <c r="A144" s="4" t="n">
        <v>69.5</v>
      </c>
      <c r="B144" s="9" t="n">
        <v>0.0538</v>
      </c>
      <c r="C144" s="9" t="n">
        <v>0.0638</v>
      </c>
      <c r="D144" s="10" t="n">
        <f aca="false">(C144-B144)*10000</f>
        <v>99.9999999999999</v>
      </c>
      <c r="E144" s="11" t="n">
        <f aca="false">MAX(0,C144-B144)*(1-Parametros!$B$5)</f>
        <v>0.01</v>
      </c>
      <c r="F144" s="11" t="n">
        <f aca="false">B144+E144*Parametros!$B$6</f>
        <v>0.0638</v>
      </c>
      <c r="G144" s="12" t="n">
        <f aca="false">(1+F144/2)^2-1</f>
        <v>0.0648176100000002</v>
      </c>
      <c r="H144" s="13" t="n">
        <f aca="false">(1+G144)^(-A144)</f>
        <v>0.0127166251280592</v>
      </c>
      <c r="I144" s="11" t="n">
        <f aca="false">B144+E144*Parametros!$B$7</f>
        <v>0.0638</v>
      </c>
      <c r="J144" s="12" t="n">
        <f aca="false">(1+I144/2)^2-1</f>
        <v>0.0648176100000002</v>
      </c>
      <c r="K144" s="13" t="n">
        <f aca="false">(1+J144)^(-A144)</f>
        <v>0.0127166251280592</v>
      </c>
      <c r="L144" s="11" t="n">
        <f aca="false">B144+E144*Parametros!$B$8</f>
        <v>0.0638</v>
      </c>
      <c r="M144" s="12" t="n">
        <f aca="false">(1+L144/2)^2-1</f>
        <v>0.0648176100000002</v>
      </c>
      <c r="N144" s="13" t="n">
        <f aca="false">(1+M144)^(-A144)</f>
        <v>0.0127166251280592</v>
      </c>
    </row>
    <row r="145" customFormat="false" ht="15" hidden="false" customHeight="false" outlineLevel="0" collapsed="false">
      <c r="A145" s="4" t="n">
        <v>70</v>
      </c>
      <c r="B145" s="9" t="n">
        <v>0.0538</v>
      </c>
      <c r="C145" s="9" t="n">
        <v>0.0639</v>
      </c>
      <c r="D145" s="10" t="n">
        <f aca="false">(C145-B145)*10000</f>
        <v>101</v>
      </c>
      <c r="E145" s="11" t="n">
        <f aca="false">MAX(0,C145-B145)*(1-Parametros!$B$5)</f>
        <v>0.0101</v>
      </c>
      <c r="F145" s="11" t="n">
        <f aca="false">B145+E145*Parametros!$B$6</f>
        <v>0.0639</v>
      </c>
      <c r="G145" s="12" t="n">
        <f aca="false">(1+F145/2)^2-1</f>
        <v>0.0649208024999999</v>
      </c>
      <c r="H145" s="13" t="n">
        <f aca="false">(1+G145)^(-A145)</f>
        <v>0.0122401924589072</v>
      </c>
      <c r="I145" s="11" t="n">
        <f aca="false">B145+E145*Parametros!$B$7</f>
        <v>0.0639</v>
      </c>
      <c r="J145" s="12" t="n">
        <f aca="false">(1+I145/2)^2-1</f>
        <v>0.0649208024999999</v>
      </c>
      <c r="K145" s="13" t="n">
        <f aca="false">(1+J145)^(-A145)</f>
        <v>0.0122401924589072</v>
      </c>
      <c r="L145" s="11" t="n">
        <f aca="false">B145+E145*Parametros!$B$8</f>
        <v>0.0639</v>
      </c>
      <c r="M145" s="12" t="n">
        <f aca="false">(1+L145/2)^2-1</f>
        <v>0.0649208024999999</v>
      </c>
      <c r="N145" s="13" t="n">
        <f aca="false">(1+M145)^(-A145)</f>
        <v>0.0122401924589072</v>
      </c>
    </row>
    <row r="146" customFormat="false" ht="15" hidden="false" customHeight="false" outlineLevel="0" collapsed="false">
      <c r="A146" s="4" t="n">
        <v>70.5</v>
      </c>
      <c r="B146" s="9" t="n">
        <v>0.0538</v>
      </c>
      <c r="C146" s="9" t="n">
        <v>0.0639</v>
      </c>
      <c r="D146" s="10" t="n">
        <f aca="false">(C146-B146)*10000</f>
        <v>101</v>
      </c>
      <c r="E146" s="11" t="n">
        <f aca="false">MAX(0,C146-B146)*(1-Parametros!$B$5)</f>
        <v>0.0101</v>
      </c>
      <c r="F146" s="11" t="n">
        <f aca="false">B146+E146*Parametros!$B$6</f>
        <v>0.0639</v>
      </c>
      <c r="G146" s="12" t="n">
        <f aca="false">(1+F146/2)^2-1</f>
        <v>0.0649208024999999</v>
      </c>
      <c r="H146" s="13" t="n">
        <f aca="false">(1+G146)^(-A146)</f>
        <v>0.0118612262792841</v>
      </c>
      <c r="I146" s="11" t="n">
        <f aca="false">B146+E146*Parametros!$B$7</f>
        <v>0.0639</v>
      </c>
      <c r="J146" s="12" t="n">
        <f aca="false">(1+I146/2)^2-1</f>
        <v>0.0649208024999999</v>
      </c>
      <c r="K146" s="13" t="n">
        <f aca="false">(1+J146)^(-A146)</f>
        <v>0.0118612262792841</v>
      </c>
      <c r="L146" s="11" t="n">
        <f aca="false">B146+E146*Parametros!$B$8</f>
        <v>0.0639</v>
      </c>
      <c r="M146" s="12" t="n">
        <f aca="false">(1+L146/2)^2-1</f>
        <v>0.0649208024999999</v>
      </c>
      <c r="N146" s="13" t="n">
        <f aca="false">(1+M146)^(-A146)</f>
        <v>0.0118612262792841</v>
      </c>
    </row>
    <row r="147" customFormat="false" ht="15" hidden="false" customHeight="false" outlineLevel="0" collapsed="false">
      <c r="A147" s="4" t="n">
        <v>71</v>
      </c>
      <c r="B147" s="9" t="n">
        <v>0.0539</v>
      </c>
      <c r="C147" s="9" t="n">
        <v>0.0639</v>
      </c>
      <c r="D147" s="10" t="n">
        <f aca="false">(C147-B147)*10000</f>
        <v>99.9999999999999</v>
      </c>
      <c r="E147" s="11" t="n">
        <f aca="false">MAX(0,C147-B147)*(1-Parametros!$B$5)</f>
        <v>0.01</v>
      </c>
      <c r="F147" s="11" t="n">
        <f aca="false">B147+E147*Parametros!$B$6</f>
        <v>0.0639</v>
      </c>
      <c r="G147" s="12" t="n">
        <f aca="false">(1+F147/2)^2-1</f>
        <v>0.0649208024999999</v>
      </c>
      <c r="H147" s="13" t="n">
        <f aca="false">(1+G147)^(-A147)</f>
        <v>0.0114939931966511</v>
      </c>
      <c r="I147" s="11" t="n">
        <f aca="false">B147+E147*Parametros!$B$7</f>
        <v>0.0639</v>
      </c>
      <c r="J147" s="12" t="n">
        <f aca="false">(1+I147/2)^2-1</f>
        <v>0.0649208024999999</v>
      </c>
      <c r="K147" s="13" t="n">
        <f aca="false">(1+J147)^(-A147)</f>
        <v>0.0114939931966511</v>
      </c>
      <c r="L147" s="11" t="n">
        <f aca="false">B147+E147*Parametros!$B$8</f>
        <v>0.0639</v>
      </c>
      <c r="M147" s="12" t="n">
        <f aca="false">(1+L147/2)^2-1</f>
        <v>0.0649208024999999</v>
      </c>
      <c r="N147" s="13" t="n">
        <f aca="false">(1+M147)^(-A147)</f>
        <v>0.0114939931966511</v>
      </c>
    </row>
    <row r="148" customFormat="false" ht="15" hidden="false" customHeight="false" outlineLevel="0" collapsed="false">
      <c r="A148" s="4" t="n">
        <v>71.5</v>
      </c>
      <c r="B148" s="9" t="n">
        <v>0.0539</v>
      </c>
      <c r="C148" s="9" t="n">
        <v>0.0639</v>
      </c>
      <c r="D148" s="10" t="n">
        <f aca="false">(C148-B148)*10000</f>
        <v>99.9999999999999</v>
      </c>
      <c r="E148" s="11" t="n">
        <f aca="false">MAX(0,C148-B148)*(1-Parametros!$B$5)</f>
        <v>0.01</v>
      </c>
      <c r="F148" s="11" t="n">
        <f aca="false">B148+E148*Parametros!$B$6</f>
        <v>0.0639</v>
      </c>
      <c r="G148" s="12" t="n">
        <f aca="false">(1+F148/2)^2-1</f>
        <v>0.0649208024999999</v>
      </c>
      <c r="H148" s="13" t="n">
        <f aca="false">(1+G148)^(-A148)</f>
        <v>0.0111381299449112</v>
      </c>
      <c r="I148" s="11" t="n">
        <f aca="false">B148+E148*Parametros!$B$7</f>
        <v>0.0639</v>
      </c>
      <c r="J148" s="12" t="n">
        <f aca="false">(1+I148/2)^2-1</f>
        <v>0.0649208024999999</v>
      </c>
      <c r="K148" s="13" t="n">
        <f aca="false">(1+J148)^(-A148)</f>
        <v>0.0111381299449112</v>
      </c>
      <c r="L148" s="11" t="n">
        <f aca="false">B148+E148*Parametros!$B$8</f>
        <v>0.0639</v>
      </c>
      <c r="M148" s="12" t="n">
        <f aca="false">(1+L148/2)^2-1</f>
        <v>0.0649208024999999</v>
      </c>
      <c r="N148" s="13" t="n">
        <f aca="false">(1+M148)^(-A148)</f>
        <v>0.0111381299449112</v>
      </c>
    </row>
    <row r="149" customFormat="false" ht="15" hidden="false" customHeight="false" outlineLevel="0" collapsed="false">
      <c r="A149" s="4" t="n">
        <v>72</v>
      </c>
      <c r="B149" s="9" t="n">
        <v>0.0539</v>
      </c>
      <c r="C149" s="9" t="n">
        <v>0.0639</v>
      </c>
      <c r="D149" s="10" t="n">
        <f aca="false">(C149-B149)*10000</f>
        <v>99.9999999999999</v>
      </c>
      <c r="E149" s="11" t="n">
        <f aca="false">MAX(0,C149-B149)*(1-Parametros!$B$5)</f>
        <v>0.01</v>
      </c>
      <c r="F149" s="11" t="n">
        <f aca="false">B149+E149*Parametros!$B$6</f>
        <v>0.0639</v>
      </c>
      <c r="G149" s="12" t="n">
        <f aca="false">(1+F149/2)^2-1</f>
        <v>0.0649208024999999</v>
      </c>
      <c r="H149" s="13" t="n">
        <f aca="false">(1+G149)^(-A149)</f>
        <v>0.0107932845049772</v>
      </c>
      <c r="I149" s="11" t="n">
        <f aca="false">B149+E149*Parametros!$B$7</f>
        <v>0.0639</v>
      </c>
      <c r="J149" s="12" t="n">
        <f aca="false">(1+I149/2)^2-1</f>
        <v>0.0649208024999999</v>
      </c>
      <c r="K149" s="13" t="n">
        <f aca="false">(1+J149)^(-A149)</f>
        <v>0.0107932845049772</v>
      </c>
      <c r="L149" s="11" t="n">
        <f aca="false">B149+E149*Parametros!$B$8</f>
        <v>0.0639</v>
      </c>
      <c r="M149" s="12" t="n">
        <f aca="false">(1+L149/2)^2-1</f>
        <v>0.0649208024999999</v>
      </c>
      <c r="N149" s="13" t="n">
        <f aca="false">(1+M149)^(-A149)</f>
        <v>0.0107932845049772</v>
      </c>
    </row>
    <row r="150" customFormat="false" ht="15" hidden="false" customHeight="false" outlineLevel="0" collapsed="false">
      <c r="A150" s="4" t="n">
        <v>72.5</v>
      </c>
      <c r="B150" s="9" t="n">
        <v>0.0539</v>
      </c>
      <c r="C150" s="9" t="n">
        <v>0.0639</v>
      </c>
      <c r="D150" s="10" t="n">
        <f aca="false">(C150-B150)*10000</f>
        <v>99.9999999999999</v>
      </c>
      <c r="E150" s="11" t="n">
        <f aca="false">MAX(0,C150-B150)*(1-Parametros!$B$5)</f>
        <v>0.01</v>
      </c>
      <c r="F150" s="11" t="n">
        <f aca="false">B150+E150*Parametros!$B$6</f>
        <v>0.0639</v>
      </c>
      <c r="G150" s="12" t="n">
        <f aca="false">(1+F150/2)^2-1</f>
        <v>0.0649208024999999</v>
      </c>
      <c r="H150" s="13" t="n">
        <f aca="false">(1+G150)^(-A150)</f>
        <v>0.0104591157565552</v>
      </c>
      <c r="I150" s="11" t="n">
        <f aca="false">B150+E150*Parametros!$B$7</f>
        <v>0.0639</v>
      </c>
      <c r="J150" s="12" t="n">
        <f aca="false">(1+I150/2)^2-1</f>
        <v>0.0649208024999999</v>
      </c>
      <c r="K150" s="13" t="n">
        <f aca="false">(1+J150)^(-A150)</f>
        <v>0.0104591157565552</v>
      </c>
      <c r="L150" s="11" t="n">
        <f aca="false">B150+E150*Parametros!$B$8</f>
        <v>0.0639</v>
      </c>
      <c r="M150" s="12" t="n">
        <f aca="false">(1+L150/2)^2-1</f>
        <v>0.0649208024999999</v>
      </c>
      <c r="N150" s="13" t="n">
        <f aca="false">(1+M150)^(-A150)</f>
        <v>0.0104591157565552</v>
      </c>
    </row>
    <row r="151" customFormat="false" ht="15" hidden="false" customHeight="false" outlineLevel="0" collapsed="false">
      <c r="A151" s="4" t="n">
        <v>73</v>
      </c>
      <c r="B151" s="9" t="n">
        <v>0.0539</v>
      </c>
      <c r="C151" s="9" t="n">
        <v>0.064</v>
      </c>
      <c r="D151" s="10" t="n">
        <f aca="false">(C151-B151)*10000</f>
        <v>101</v>
      </c>
      <c r="E151" s="11" t="n">
        <f aca="false">MAX(0,C151-B151)*(1-Parametros!$B$5)</f>
        <v>0.0101</v>
      </c>
      <c r="F151" s="11" t="n">
        <f aca="false">B151+E151*Parametros!$B$6</f>
        <v>0.064</v>
      </c>
      <c r="G151" s="12" t="n">
        <f aca="false">(1+F151/2)^2-1</f>
        <v>0.065024</v>
      </c>
      <c r="H151" s="13" t="n">
        <f aca="false">(1+G151)^(-A151)</f>
        <v>0.0100638509367176</v>
      </c>
      <c r="I151" s="11" t="n">
        <f aca="false">B151+E151*Parametros!$B$7</f>
        <v>0.064</v>
      </c>
      <c r="J151" s="12" t="n">
        <f aca="false">(1+I151/2)^2-1</f>
        <v>0.065024</v>
      </c>
      <c r="K151" s="13" t="n">
        <f aca="false">(1+J151)^(-A151)</f>
        <v>0.0100638509367176</v>
      </c>
      <c r="L151" s="11" t="n">
        <f aca="false">B151+E151*Parametros!$B$8</f>
        <v>0.064</v>
      </c>
      <c r="M151" s="12" t="n">
        <f aca="false">(1+L151/2)^2-1</f>
        <v>0.065024</v>
      </c>
      <c r="N151" s="13" t="n">
        <f aca="false">(1+M151)^(-A151)</f>
        <v>0.0100638509367176</v>
      </c>
    </row>
    <row r="152" customFormat="false" ht="15" hidden="false" customHeight="false" outlineLevel="0" collapsed="false">
      <c r="A152" s="4" t="n">
        <v>73.5</v>
      </c>
      <c r="B152" s="9" t="n">
        <v>0.0539</v>
      </c>
      <c r="C152" s="9" t="n">
        <v>0.064</v>
      </c>
      <c r="D152" s="10" t="n">
        <f aca="false">(C152-B152)*10000</f>
        <v>101</v>
      </c>
      <c r="E152" s="11" t="n">
        <f aca="false">MAX(0,C152-B152)*(1-Parametros!$B$5)</f>
        <v>0.0101</v>
      </c>
      <c r="F152" s="11" t="n">
        <f aca="false">B152+E152*Parametros!$B$6</f>
        <v>0.064</v>
      </c>
      <c r="G152" s="12" t="n">
        <f aca="false">(1+F152/2)^2-1</f>
        <v>0.065024</v>
      </c>
      <c r="H152" s="13" t="n">
        <f aca="false">(1+G152)^(-A152)</f>
        <v>0.00975179354333102</v>
      </c>
      <c r="I152" s="11" t="n">
        <f aca="false">B152+E152*Parametros!$B$7</f>
        <v>0.064</v>
      </c>
      <c r="J152" s="12" t="n">
        <f aca="false">(1+I152/2)^2-1</f>
        <v>0.065024</v>
      </c>
      <c r="K152" s="13" t="n">
        <f aca="false">(1+J152)^(-A152)</f>
        <v>0.00975179354333102</v>
      </c>
      <c r="L152" s="11" t="n">
        <f aca="false">B152+E152*Parametros!$B$8</f>
        <v>0.064</v>
      </c>
      <c r="M152" s="12" t="n">
        <f aca="false">(1+L152/2)^2-1</f>
        <v>0.065024</v>
      </c>
      <c r="N152" s="13" t="n">
        <f aca="false">(1+M152)^(-A152)</f>
        <v>0.00975179354333102</v>
      </c>
    </row>
    <row r="153" customFormat="false" ht="15" hidden="false" customHeight="false" outlineLevel="0" collapsed="false">
      <c r="A153" s="4" t="n">
        <v>74</v>
      </c>
      <c r="B153" s="9" t="n">
        <v>0.054</v>
      </c>
      <c r="C153" s="9" t="n">
        <v>0.064</v>
      </c>
      <c r="D153" s="10" t="n">
        <f aca="false">(C153-B153)*10000</f>
        <v>100</v>
      </c>
      <c r="E153" s="11" t="n">
        <f aca="false">MAX(0,C153-B153)*(1-Parametros!$B$5)</f>
        <v>0.01</v>
      </c>
      <c r="F153" s="11" t="n">
        <f aca="false">B153+E153*Parametros!$B$6</f>
        <v>0.064</v>
      </c>
      <c r="G153" s="12" t="n">
        <f aca="false">(1+F153/2)^2-1</f>
        <v>0.065024</v>
      </c>
      <c r="H153" s="13" t="n">
        <f aca="false">(1+G153)^(-A153)</f>
        <v>0.00944941234818897</v>
      </c>
      <c r="I153" s="11" t="n">
        <f aca="false">B153+E153*Parametros!$B$7</f>
        <v>0.064</v>
      </c>
      <c r="J153" s="12" t="n">
        <f aca="false">(1+I153/2)^2-1</f>
        <v>0.065024</v>
      </c>
      <c r="K153" s="13" t="n">
        <f aca="false">(1+J153)^(-A153)</f>
        <v>0.00944941234818897</v>
      </c>
      <c r="L153" s="11" t="n">
        <f aca="false">B153+E153*Parametros!$B$8</f>
        <v>0.064</v>
      </c>
      <c r="M153" s="12" t="n">
        <f aca="false">(1+L153/2)^2-1</f>
        <v>0.065024</v>
      </c>
      <c r="N153" s="13" t="n">
        <f aca="false">(1+M153)^(-A153)</f>
        <v>0.00944941234818897</v>
      </c>
    </row>
    <row r="154" customFormat="false" ht="15" hidden="false" customHeight="false" outlineLevel="0" collapsed="false">
      <c r="A154" s="4" t="n">
        <v>74.5</v>
      </c>
      <c r="B154" s="9" t="n">
        <v>0.054</v>
      </c>
      <c r="C154" s="9" t="n">
        <v>0.064</v>
      </c>
      <c r="D154" s="10" t="n">
        <f aca="false">(C154-B154)*10000</f>
        <v>100</v>
      </c>
      <c r="E154" s="11" t="n">
        <f aca="false">MAX(0,C154-B154)*(1-Parametros!$B$5)</f>
        <v>0.01</v>
      </c>
      <c r="F154" s="11" t="n">
        <f aca="false">B154+E154*Parametros!$B$6</f>
        <v>0.064</v>
      </c>
      <c r="G154" s="12" t="n">
        <f aca="false">(1+F154/2)^2-1</f>
        <v>0.065024</v>
      </c>
      <c r="H154" s="13" t="n">
        <f aca="false">(1+G154)^(-A154)</f>
        <v>0.0091564073141366</v>
      </c>
      <c r="I154" s="11" t="n">
        <f aca="false">B154+E154*Parametros!$B$7</f>
        <v>0.064</v>
      </c>
      <c r="J154" s="12" t="n">
        <f aca="false">(1+I154/2)^2-1</f>
        <v>0.065024</v>
      </c>
      <c r="K154" s="13" t="n">
        <f aca="false">(1+J154)^(-A154)</f>
        <v>0.0091564073141366</v>
      </c>
      <c r="L154" s="11" t="n">
        <f aca="false">B154+E154*Parametros!$B$8</f>
        <v>0.064</v>
      </c>
      <c r="M154" s="12" t="n">
        <f aca="false">(1+L154/2)^2-1</f>
        <v>0.065024</v>
      </c>
      <c r="N154" s="13" t="n">
        <f aca="false">(1+M154)^(-A154)</f>
        <v>0.0091564073141366</v>
      </c>
    </row>
    <row r="155" customFormat="false" ht="15" hidden="false" customHeight="false" outlineLevel="0" collapsed="false">
      <c r="A155" s="4" t="n">
        <v>75</v>
      </c>
      <c r="B155" s="9" t="n">
        <v>0.054</v>
      </c>
      <c r="C155" s="9" t="n">
        <v>0.064</v>
      </c>
      <c r="D155" s="10" t="n">
        <f aca="false">(C155-B155)*10000</f>
        <v>100</v>
      </c>
      <c r="E155" s="11" t="n">
        <f aca="false">MAX(0,C155-B155)*(1-Parametros!$B$5)</f>
        <v>0.01</v>
      </c>
      <c r="F155" s="11" t="n">
        <f aca="false">B155+E155*Parametros!$B$6</f>
        <v>0.064</v>
      </c>
      <c r="G155" s="12" t="n">
        <f aca="false">(1+F155/2)^2-1</f>
        <v>0.065024</v>
      </c>
      <c r="H155" s="13" t="n">
        <f aca="false">(1+G155)^(-A155)</f>
        <v>0.00887248770749671</v>
      </c>
      <c r="I155" s="11" t="n">
        <f aca="false">B155+E155*Parametros!$B$7</f>
        <v>0.064</v>
      </c>
      <c r="J155" s="12" t="n">
        <f aca="false">(1+I155/2)^2-1</f>
        <v>0.065024</v>
      </c>
      <c r="K155" s="13" t="n">
        <f aca="false">(1+J155)^(-A155)</f>
        <v>0.00887248770749671</v>
      </c>
      <c r="L155" s="11" t="n">
        <f aca="false">B155+E155*Parametros!$B$8</f>
        <v>0.064</v>
      </c>
      <c r="M155" s="12" t="n">
        <f aca="false">(1+L155/2)^2-1</f>
        <v>0.065024</v>
      </c>
      <c r="N155" s="13" t="n">
        <f aca="false">(1+M155)^(-A155)</f>
        <v>0.00887248770749671</v>
      </c>
    </row>
    <row r="156" customFormat="false" ht="15" hidden="false" customHeight="false" outlineLevel="0" collapsed="false">
      <c r="A156" s="4" t="n">
        <v>75.5</v>
      </c>
      <c r="B156" s="9" t="n">
        <v>0.054</v>
      </c>
      <c r="C156" s="9" t="n">
        <v>0.064</v>
      </c>
      <c r="D156" s="10" t="n">
        <f aca="false">(C156-B156)*10000</f>
        <v>100</v>
      </c>
      <c r="E156" s="11" t="n">
        <f aca="false">MAX(0,C156-B156)*(1-Parametros!$B$5)</f>
        <v>0.01</v>
      </c>
      <c r="F156" s="11" t="n">
        <f aca="false">B156+E156*Parametros!$B$6</f>
        <v>0.064</v>
      </c>
      <c r="G156" s="12" t="n">
        <f aca="false">(1+F156/2)^2-1</f>
        <v>0.065024</v>
      </c>
      <c r="H156" s="13" t="n">
        <f aca="false">(1+G156)^(-A156)</f>
        <v>0.00859737180958983</v>
      </c>
      <c r="I156" s="11" t="n">
        <f aca="false">B156+E156*Parametros!$B$7</f>
        <v>0.064</v>
      </c>
      <c r="J156" s="12" t="n">
        <f aca="false">(1+I156/2)^2-1</f>
        <v>0.065024</v>
      </c>
      <c r="K156" s="13" t="n">
        <f aca="false">(1+J156)^(-A156)</f>
        <v>0.00859737180958983</v>
      </c>
      <c r="L156" s="11" t="n">
        <f aca="false">B156+E156*Parametros!$B$8</f>
        <v>0.064</v>
      </c>
      <c r="M156" s="12" t="n">
        <f aca="false">(1+L156/2)^2-1</f>
        <v>0.065024</v>
      </c>
      <c r="N156" s="13" t="n">
        <f aca="false">(1+M156)^(-A156)</f>
        <v>0.00859737180958983</v>
      </c>
    </row>
    <row r="157" customFormat="false" ht="15" hidden="false" customHeight="false" outlineLevel="0" collapsed="false">
      <c r="A157" s="4" t="n">
        <v>76</v>
      </c>
      <c r="B157" s="9" t="n">
        <v>0.054</v>
      </c>
      <c r="C157" s="9" t="n">
        <v>0.0641</v>
      </c>
      <c r="D157" s="10" t="n">
        <f aca="false">(C157-B157)*10000</f>
        <v>101</v>
      </c>
      <c r="E157" s="11" t="n">
        <f aca="false">MAX(0,C157-B157)*(1-Parametros!$B$5)</f>
        <v>0.0101</v>
      </c>
      <c r="F157" s="11" t="n">
        <f aca="false">B157+E157*Parametros!$B$6</f>
        <v>0.0641</v>
      </c>
      <c r="G157" s="12" t="n">
        <f aca="false">(1+F157/2)^2-1</f>
        <v>0.0651272024999998</v>
      </c>
      <c r="H157" s="13" t="n">
        <f aca="false">(1+G157)^(-A157)</f>
        <v>0.00826966270856762</v>
      </c>
      <c r="I157" s="11" t="n">
        <f aca="false">B157+E157*Parametros!$B$7</f>
        <v>0.0641</v>
      </c>
      <c r="J157" s="12" t="n">
        <f aca="false">(1+I157/2)^2-1</f>
        <v>0.0651272024999998</v>
      </c>
      <c r="K157" s="13" t="n">
        <f aca="false">(1+J157)^(-A157)</f>
        <v>0.00826966270856762</v>
      </c>
      <c r="L157" s="11" t="n">
        <f aca="false">B157+E157*Parametros!$B$8</f>
        <v>0.0641</v>
      </c>
      <c r="M157" s="12" t="n">
        <f aca="false">(1+L157/2)^2-1</f>
        <v>0.0651272024999998</v>
      </c>
      <c r="N157" s="13" t="n">
        <f aca="false">(1+M157)^(-A157)</f>
        <v>0.00826966270856762</v>
      </c>
    </row>
    <row r="158" customFormat="false" ht="15" hidden="false" customHeight="false" outlineLevel="0" collapsed="false">
      <c r="A158" s="4" t="n">
        <v>76.5</v>
      </c>
      <c r="B158" s="9" t="n">
        <v>0.054</v>
      </c>
      <c r="C158" s="9" t="n">
        <v>0.0641</v>
      </c>
      <c r="D158" s="10" t="n">
        <f aca="false">(C158-B158)*10000</f>
        <v>101</v>
      </c>
      <c r="E158" s="11" t="n">
        <f aca="false">MAX(0,C158-B158)*(1-Parametros!$B$5)</f>
        <v>0.0101</v>
      </c>
      <c r="F158" s="11" t="n">
        <f aca="false">B158+E158*Parametros!$B$6</f>
        <v>0.0641</v>
      </c>
      <c r="G158" s="12" t="n">
        <f aca="false">(1+F158/2)^2-1</f>
        <v>0.0651272024999998</v>
      </c>
      <c r="H158" s="13" t="n">
        <f aca="false">(1+G158)^(-A158)</f>
        <v>0.00801285083917215</v>
      </c>
      <c r="I158" s="11" t="n">
        <f aca="false">B158+E158*Parametros!$B$7</f>
        <v>0.0641</v>
      </c>
      <c r="J158" s="12" t="n">
        <f aca="false">(1+I158/2)^2-1</f>
        <v>0.0651272024999998</v>
      </c>
      <c r="K158" s="13" t="n">
        <f aca="false">(1+J158)^(-A158)</f>
        <v>0.00801285083917215</v>
      </c>
      <c r="L158" s="11" t="n">
        <f aca="false">B158+E158*Parametros!$B$8</f>
        <v>0.0641</v>
      </c>
      <c r="M158" s="12" t="n">
        <f aca="false">(1+L158/2)^2-1</f>
        <v>0.0651272024999998</v>
      </c>
      <c r="N158" s="13" t="n">
        <f aca="false">(1+M158)^(-A158)</f>
        <v>0.00801285083917215</v>
      </c>
    </row>
    <row r="159" customFormat="false" ht="15" hidden="false" customHeight="false" outlineLevel="0" collapsed="false">
      <c r="A159" s="4" t="n">
        <v>77</v>
      </c>
      <c r="B159" s="9" t="n">
        <v>0.0541</v>
      </c>
      <c r="C159" s="9" t="n">
        <v>0.0641</v>
      </c>
      <c r="D159" s="10" t="n">
        <f aca="false">(C159-B159)*10000</f>
        <v>100</v>
      </c>
      <c r="E159" s="11" t="n">
        <f aca="false">MAX(0,C159-B159)*(1-Parametros!$B$5)</f>
        <v>0.01</v>
      </c>
      <c r="F159" s="11" t="n">
        <f aca="false">B159+E159*Parametros!$B$6</f>
        <v>0.0641</v>
      </c>
      <c r="G159" s="12" t="n">
        <f aca="false">(1+F159/2)^2-1</f>
        <v>0.0651272024999998</v>
      </c>
      <c r="H159" s="13" t="n">
        <f aca="false">(1+G159)^(-A159)</f>
        <v>0.0077640141845571</v>
      </c>
      <c r="I159" s="11" t="n">
        <f aca="false">B159+E159*Parametros!$B$7</f>
        <v>0.0641</v>
      </c>
      <c r="J159" s="12" t="n">
        <f aca="false">(1+I159/2)^2-1</f>
        <v>0.0651272024999998</v>
      </c>
      <c r="K159" s="13" t="n">
        <f aca="false">(1+J159)^(-A159)</f>
        <v>0.0077640141845571</v>
      </c>
      <c r="L159" s="11" t="n">
        <f aca="false">B159+E159*Parametros!$B$8</f>
        <v>0.0641</v>
      </c>
      <c r="M159" s="12" t="n">
        <f aca="false">(1+L159/2)^2-1</f>
        <v>0.0651272024999998</v>
      </c>
      <c r="N159" s="13" t="n">
        <f aca="false">(1+M159)^(-A159)</f>
        <v>0.0077640141845571</v>
      </c>
    </row>
    <row r="160" customFormat="false" ht="15" hidden="false" customHeight="false" outlineLevel="0" collapsed="false">
      <c r="A160" s="4" t="n">
        <v>77.5</v>
      </c>
      <c r="B160" s="9" t="n">
        <v>0.0541</v>
      </c>
      <c r="C160" s="9" t="n">
        <v>0.0641</v>
      </c>
      <c r="D160" s="10" t="n">
        <f aca="false">(C160-B160)*10000</f>
        <v>100</v>
      </c>
      <c r="E160" s="11" t="n">
        <f aca="false">MAX(0,C160-B160)*(1-Parametros!$B$5)</f>
        <v>0.01</v>
      </c>
      <c r="F160" s="11" t="n">
        <f aca="false">B160+E160*Parametros!$B$6</f>
        <v>0.0641</v>
      </c>
      <c r="G160" s="12" t="n">
        <f aca="false">(1+F160/2)^2-1</f>
        <v>0.0651272024999998</v>
      </c>
      <c r="H160" s="13" t="n">
        <f aca="false">(1+G160)^(-A160)</f>
        <v>0.00752290507684424</v>
      </c>
      <c r="I160" s="11" t="n">
        <f aca="false">B160+E160*Parametros!$B$7</f>
        <v>0.0641</v>
      </c>
      <c r="J160" s="12" t="n">
        <f aca="false">(1+I160/2)^2-1</f>
        <v>0.0651272024999998</v>
      </c>
      <c r="K160" s="13" t="n">
        <f aca="false">(1+J160)^(-A160)</f>
        <v>0.00752290507684424</v>
      </c>
      <c r="L160" s="11" t="n">
        <f aca="false">B160+E160*Parametros!$B$8</f>
        <v>0.0641</v>
      </c>
      <c r="M160" s="12" t="n">
        <f aca="false">(1+L160/2)^2-1</f>
        <v>0.0651272024999998</v>
      </c>
      <c r="N160" s="13" t="n">
        <f aca="false">(1+M160)^(-A160)</f>
        <v>0.00752290507684424</v>
      </c>
    </row>
    <row r="161" customFormat="false" ht="15" hidden="false" customHeight="false" outlineLevel="0" collapsed="false">
      <c r="A161" s="4" t="n">
        <v>78</v>
      </c>
      <c r="B161" s="9" t="n">
        <v>0.0541</v>
      </c>
      <c r="C161" s="9" t="n">
        <v>0.0641</v>
      </c>
      <c r="D161" s="10" t="n">
        <f aca="false">(C161-B161)*10000</f>
        <v>100</v>
      </c>
      <c r="E161" s="11" t="n">
        <f aca="false">MAX(0,C161-B161)*(1-Parametros!$B$5)</f>
        <v>0.01</v>
      </c>
      <c r="F161" s="11" t="n">
        <f aca="false">B161+E161*Parametros!$B$6</f>
        <v>0.0641</v>
      </c>
      <c r="G161" s="12" t="n">
        <f aca="false">(1+F161/2)^2-1</f>
        <v>0.0651272024999998</v>
      </c>
      <c r="H161" s="13" t="n">
        <f aca="false">(1+G161)^(-A161)</f>
        <v>0.00728928353940627</v>
      </c>
      <c r="I161" s="11" t="n">
        <f aca="false">B161+E161*Parametros!$B$7</f>
        <v>0.0641</v>
      </c>
      <c r="J161" s="12" t="n">
        <f aca="false">(1+I161/2)^2-1</f>
        <v>0.0651272024999998</v>
      </c>
      <c r="K161" s="13" t="n">
        <f aca="false">(1+J161)^(-A161)</f>
        <v>0.00728928353940627</v>
      </c>
      <c r="L161" s="11" t="n">
        <f aca="false">B161+E161*Parametros!$B$8</f>
        <v>0.0641</v>
      </c>
      <c r="M161" s="12" t="n">
        <f aca="false">(1+L161/2)^2-1</f>
        <v>0.0651272024999998</v>
      </c>
      <c r="N161" s="13" t="n">
        <f aca="false">(1+M161)^(-A161)</f>
        <v>0.00728928353940627</v>
      </c>
    </row>
    <row r="162" customFormat="false" ht="15" hidden="false" customHeight="false" outlineLevel="0" collapsed="false">
      <c r="A162" s="4" t="n">
        <v>78.5</v>
      </c>
      <c r="B162" s="9" t="n">
        <v>0.0541</v>
      </c>
      <c r="C162" s="9" t="n">
        <v>0.0641</v>
      </c>
      <c r="D162" s="10" t="n">
        <f aca="false">(C162-B162)*10000</f>
        <v>100</v>
      </c>
      <c r="E162" s="11" t="n">
        <f aca="false">MAX(0,C162-B162)*(1-Parametros!$B$5)</f>
        <v>0.01</v>
      </c>
      <c r="F162" s="11" t="n">
        <f aca="false">B162+E162*Parametros!$B$6</f>
        <v>0.0641</v>
      </c>
      <c r="G162" s="12" t="n">
        <f aca="false">(1+F162/2)^2-1</f>
        <v>0.0651272024999998</v>
      </c>
      <c r="H162" s="13" t="n">
        <f aca="false">(1+G162)^(-A162)</f>
        <v>0.00706291704801732</v>
      </c>
      <c r="I162" s="11" t="n">
        <f aca="false">B162+E162*Parametros!$B$7</f>
        <v>0.0641</v>
      </c>
      <c r="J162" s="12" t="n">
        <f aca="false">(1+I162/2)^2-1</f>
        <v>0.0651272024999998</v>
      </c>
      <c r="K162" s="13" t="n">
        <f aca="false">(1+J162)^(-A162)</f>
        <v>0.00706291704801732</v>
      </c>
      <c r="L162" s="11" t="n">
        <f aca="false">B162+E162*Parametros!$B$8</f>
        <v>0.0641</v>
      </c>
      <c r="M162" s="12" t="n">
        <f aca="false">(1+L162/2)^2-1</f>
        <v>0.0651272024999998</v>
      </c>
      <c r="N162" s="13" t="n">
        <f aca="false">(1+M162)^(-A162)</f>
        <v>0.00706291704801732</v>
      </c>
    </row>
    <row r="163" customFormat="false" ht="15" hidden="false" customHeight="false" outlineLevel="0" collapsed="false">
      <c r="A163" s="4" t="n">
        <v>79</v>
      </c>
      <c r="B163" s="9" t="n">
        <v>0.0541</v>
      </c>
      <c r="C163" s="9" t="n">
        <v>0.0641</v>
      </c>
      <c r="D163" s="10" t="n">
        <f aca="false">(C163-B163)*10000</f>
        <v>100</v>
      </c>
      <c r="E163" s="11" t="n">
        <f aca="false">MAX(0,C163-B163)*(1-Parametros!$B$5)</f>
        <v>0.01</v>
      </c>
      <c r="F163" s="11" t="n">
        <f aca="false">B163+E163*Parametros!$B$6</f>
        <v>0.0641</v>
      </c>
      <c r="G163" s="12" t="n">
        <f aca="false">(1+F163/2)^2-1</f>
        <v>0.0651272024999998</v>
      </c>
      <c r="H163" s="13" t="n">
        <f aca="false">(1+G163)^(-A163)</f>
        <v>0.00684358029942088</v>
      </c>
      <c r="I163" s="11" t="n">
        <f aca="false">B163+E163*Parametros!$B$7</f>
        <v>0.0641</v>
      </c>
      <c r="J163" s="12" t="n">
        <f aca="false">(1+I163/2)^2-1</f>
        <v>0.0651272024999998</v>
      </c>
      <c r="K163" s="13" t="n">
        <f aca="false">(1+J163)^(-A163)</f>
        <v>0.00684358029942088</v>
      </c>
      <c r="L163" s="11" t="n">
        <f aca="false">B163+E163*Parametros!$B$8</f>
        <v>0.0641</v>
      </c>
      <c r="M163" s="12" t="n">
        <f aca="false">(1+L163/2)^2-1</f>
        <v>0.0651272024999998</v>
      </c>
      <c r="N163" s="13" t="n">
        <f aca="false">(1+M163)^(-A163)</f>
        <v>0.00684358029942088</v>
      </c>
    </row>
    <row r="164" customFormat="false" ht="15" hidden="false" customHeight="false" outlineLevel="0" collapsed="false">
      <c r="A164" s="4" t="n">
        <v>79.5</v>
      </c>
      <c r="B164" s="9" t="n">
        <v>0.0541</v>
      </c>
      <c r="C164" s="9" t="n">
        <v>0.0642</v>
      </c>
      <c r="D164" s="10" t="n">
        <f aca="false">(C164-B164)*10000</f>
        <v>101</v>
      </c>
      <c r="E164" s="11" t="n">
        <f aca="false">MAX(0,C164-B164)*(1-Parametros!$B$5)</f>
        <v>0.0101</v>
      </c>
      <c r="F164" s="11" t="n">
        <f aca="false">B164+E164*Parametros!$B$6</f>
        <v>0.0642</v>
      </c>
      <c r="G164" s="12" t="n">
        <f aca="false">(1+F164/2)^2-1</f>
        <v>0.0652304100000001</v>
      </c>
      <c r="H164" s="13" t="n">
        <f aca="false">(1+G164)^(-A164)</f>
        <v>0.00658017266722011</v>
      </c>
      <c r="I164" s="11" t="n">
        <f aca="false">B164+E164*Parametros!$B$7</f>
        <v>0.0642</v>
      </c>
      <c r="J164" s="12" t="n">
        <f aca="false">(1+I164/2)^2-1</f>
        <v>0.0652304100000001</v>
      </c>
      <c r="K164" s="13" t="n">
        <f aca="false">(1+J164)^(-A164)</f>
        <v>0.00658017266722011</v>
      </c>
      <c r="L164" s="11" t="n">
        <f aca="false">B164+E164*Parametros!$B$8</f>
        <v>0.0642</v>
      </c>
      <c r="M164" s="12" t="n">
        <f aca="false">(1+L164/2)^2-1</f>
        <v>0.0652304100000001</v>
      </c>
      <c r="N164" s="13" t="n">
        <f aca="false">(1+M164)^(-A164)</f>
        <v>0.00658017266722011</v>
      </c>
    </row>
    <row r="165" customFormat="false" ht="15" hidden="false" customHeight="false" outlineLevel="0" collapsed="false">
      <c r="A165" s="4" t="n">
        <v>80</v>
      </c>
      <c r="B165" s="9" t="n">
        <v>0.0541</v>
      </c>
      <c r="C165" s="9" t="n">
        <v>0.0642</v>
      </c>
      <c r="D165" s="10" t="n">
        <f aca="false">(C165-B165)*10000</f>
        <v>101</v>
      </c>
      <c r="E165" s="11" t="n">
        <f aca="false">MAX(0,C165-B165)*(1-Parametros!$B$5)</f>
        <v>0.0101</v>
      </c>
      <c r="F165" s="11" t="n">
        <f aca="false">B165+E165*Parametros!$B$6</f>
        <v>0.0642</v>
      </c>
      <c r="G165" s="12" t="n">
        <f aca="false">(1+F165/2)^2-1</f>
        <v>0.0652304100000001</v>
      </c>
      <c r="H165" s="13" t="n">
        <f aca="false">(1+G165)^(-A165)</f>
        <v>0.00637551852264326</v>
      </c>
      <c r="I165" s="11" t="n">
        <f aca="false">B165+E165*Parametros!$B$7</f>
        <v>0.0642</v>
      </c>
      <c r="J165" s="12" t="n">
        <f aca="false">(1+I165/2)^2-1</f>
        <v>0.0652304100000001</v>
      </c>
      <c r="K165" s="13" t="n">
        <f aca="false">(1+J165)^(-A165)</f>
        <v>0.00637551852264326</v>
      </c>
      <c r="L165" s="11" t="n">
        <f aca="false">B165+E165*Parametros!$B$8</f>
        <v>0.0642</v>
      </c>
      <c r="M165" s="12" t="n">
        <f aca="false">(1+L165/2)^2-1</f>
        <v>0.0652304100000001</v>
      </c>
      <c r="N165" s="13" t="n">
        <f aca="false">(1+M165)^(-A165)</f>
        <v>0.00637551852264326</v>
      </c>
    </row>
    <row r="166" customFormat="false" ht="15" hidden="false" customHeight="false" outlineLevel="0" collapsed="false">
      <c r="A166" s="4" t="n">
        <v>80.5</v>
      </c>
      <c r="B166" s="9" t="n">
        <v>0.0542</v>
      </c>
      <c r="C166" s="9" t="n">
        <v>0.0642</v>
      </c>
      <c r="D166" s="10" t="n">
        <f aca="false">(C166-B166)*10000</f>
        <v>99.9999999999999</v>
      </c>
      <c r="E166" s="11" t="n">
        <f aca="false">MAX(0,C166-B166)*(1-Parametros!$B$5)</f>
        <v>0.01</v>
      </c>
      <c r="F166" s="11" t="n">
        <f aca="false">B166+E166*Parametros!$B$6</f>
        <v>0.0642</v>
      </c>
      <c r="G166" s="12" t="n">
        <f aca="false">(1+F166/2)^2-1</f>
        <v>0.0652304100000001</v>
      </c>
      <c r="H166" s="13" t="n">
        <f aca="false">(1+G166)^(-A166)</f>
        <v>0.00617722945707127</v>
      </c>
      <c r="I166" s="11" t="n">
        <f aca="false">B166+E166*Parametros!$B$7</f>
        <v>0.0642</v>
      </c>
      <c r="J166" s="12" t="n">
        <f aca="false">(1+I166/2)^2-1</f>
        <v>0.0652304100000001</v>
      </c>
      <c r="K166" s="13" t="n">
        <f aca="false">(1+J166)^(-A166)</f>
        <v>0.00617722945707127</v>
      </c>
      <c r="L166" s="11" t="n">
        <f aca="false">B166+E166*Parametros!$B$8</f>
        <v>0.0642</v>
      </c>
      <c r="M166" s="12" t="n">
        <f aca="false">(1+L166/2)^2-1</f>
        <v>0.0652304100000001</v>
      </c>
      <c r="N166" s="13" t="n">
        <f aca="false">(1+M166)^(-A166)</f>
        <v>0.00617722945707127</v>
      </c>
    </row>
    <row r="167" customFormat="false" ht="15" hidden="false" customHeight="false" outlineLevel="0" collapsed="false">
      <c r="A167" s="4" t="n">
        <v>81</v>
      </c>
      <c r="B167" s="9" t="n">
        <v>0.0542</v>
      </c>
      <c r="C167" s="9" t="n">
        <v>0.0642</v>
      </c>
      <c r="D167" s="10" t="n">
        <f aca="false">(C167-B167)*10000</f>
        <v>99.9999999999999</v>
      </c>
      <c r="E167" s="11" t="n">
        <f aca="false">MAX(0,C167-B167)*(1-Parametros!$B$5)</f>
        <v>0.01</v>
      </c>
      <c r="F167" s="11" t="n">
        <f aca="false">B167+E167*Parametros!$B$6</f>
        <v>0.0642</v>
      </c>
      <c r="G167" s="12" t="n">
        <f aca="false">(1+F167/2)^2-1</f>
        <v>0.0652304100000001</v>
      </c>
      <c r="H167" s="13" t="n">
        <f aca="false">(1+G167)^(-A167)</f>
        <v>0.00598510750612467</v>
      </c>
      <c r="I167" s="11" t="n">
        <f aca="false">B167+E167*Parametros!$B$7</f>
        <v>0.0642</v>
      </c>
      <c r="J167" s="12" t="n">
        <f aca="false">(1+I167/2)^2-1</f>
        <v>0.0652304100000001</v>
      </c>
      <c r="K167" s="13" t="n">
        <f aca="false">(1+J167)^(-A167)</f>
        <v>0.00598510750612467</v>
      </c>
      <c r="L167" s="11" t="n">
        <f aca="false">B167+E167*Parametros!$B$8</f>
        <v>0.0642</v>
      </c>
      <c r="M167" s="12" t="n">
        <f aca="false">(1+L167/2)^2-1</f>
        <v>0.0652304100000001</v>
      </c>
      <c r="N167" s="13" t="n">
        <f aca="false">(1+M167)^(-A167)</f>
        <v>0.00598510750612467</v>
      </c>
    </row>
    <row r="168" customFormat="false" ht="15" hidden="false" customHeight="false" outlineLevel="0" collapsed="false">
      <c r="A168" s="4" t="n">
        <v>81.5</v>
      </c>
      <c r="B168" s="9" t="n">
        <v>0.0542</v>
      </c>
      <c r="C168" s="9" t="n">
        <v>0.0642</v>
      </c>
      <c r="D168" s="10" t="n">
        <f aca="false">(C168-B168)*10000</f>
        <v>99.9999999999999</v>
      </c>
      <c r="E168" s="11" t="n">
        <f aca="false">MAX(0,C168-B168)*(1-Parametros!$B$5)</f>
        <v>0.01</v>
      </c>
      <c r="F168" s="11" t="n">
        <f aca="false">B168+E168*Parametros!$B$6</f>
        <v>0.0642</v>
      </c>
      <c r="G168" s="12" t="n">
        <f aca="false">(1+F168/2)^2-1</f>
        <v>0.0652304100000001</v>
      </c>
      <c r="H168" s="13" t="n">
        <f aca="false">(1+G168)^(-A168)</f>
        <v>0.00579896086244033</v>
      </c>
      <c r="I168" s="11" t="n">
        <f aca="false">B168+E168*Parametros!$B$7</f>
        <v>0.0642</v>
      </c>
      <c r="J168" s="12" t="n">
        <f aca="false">(1+I168/2)^2-1</f>
        <v>0.0652304100000001</v>
      </c>
      <c r="K168" s="13" t="n">
        <f aca="false">(1+J168)^(-A168)</f>
        <v>0.00579896086244033</v>
      </c>
      <c r="L168" s="11" t="n">
        <f aca="false">B168+E168*Parametros!$B$8</f>
        <v>0.0642</v>
      </c>
      <c r="M168" s="12" t="n">
        <f aca="false">(1+L168/2)^2-1</f>
        <v>0.0652304100000001</v>
      </c>
      <c r="N168" s="13" t="n">
        <f aca="false">(1+M168)^(-A168)</f>
        <v>0.00579896086244033</v>
      </c>
    </row>
    <row r="169" customFormat="false" ht="15" hidden="false" customHeight="false" outlineLevel="0" collapsed="false">
      <c r="A169" s="4" t="n">
        <v>82</v>
      </c>
      <c r="B169" s="9" t="n">
        <v>0.0542</v>
      </c>
      <c r="C169" s="9" t="n">
        <v>0.0642</v>
      </c>
      <c r="D169" s="10" t="n">
        <f aca="false">(C169-B169)*10000</f>
        <v>99.9999999999999</v>
      </c>
      <c r="E169" s="11" t="n">
        <f aca="false">MAX(0,C169-B169)*(1-Parametros!$B$5)</f>
        <v>0.01</v>
      </c>
      <c r="F169" s="11" t="n">
        <f aca="false">B169+E169*Parametros!$B$6</f>
        <v>0.0642</v>
      </c>
      <c r="G169" s="12" t="n">
        <f aca="false">(1+F169/2)^2-1</f>
        <v>0.0652304100000001</v>
      </c>
      <c r="H169" s="13" t="n">
        <f aca="false">(1+G169)^(-A169)</f>
        <v>0.00561860368417821</v>
      </c>
      <c r="I169" s="11" t="n">
        <f aca="false">B169+E169*Parametros!$B$7</f>
        <v>0.0642</v>
      </c>
      <c r="J169" s="12" t="n">
        <f aca="false">(1+I169/2)^2-1</f>
        <v>0.0652304100000001</v>
      </c>
      <c r="K169" s="13" t="n">
        <f aca="false">(1+J169)^(-A169)</f>
        <v>0.00561860368417821</v>
      </c>
      <c r="L169" s="11" t="n">
        <f aca="false">B169+E169*Parametros!$B$8</f>
        <v>0.0642</v>
      </c>
      <c r="M169" s="12" t="n">
        <f aca="false">(1+L169/2)^2-1</f>
        <v>0.0652304100000001</v>
      </c>
      <c r="N169" s="13" t="n">
        <f aca="false">(1+M169)^(-A169)</f>
        <v>0.00561860368417821</v>
      </c>
    </row>
    <row r="170" customFormat="false" ht="15" hidden="false" customHeight="false" outlineLevel="0" collapsed="false">
      <c r="A170" s="4" t="n">
        <v>82.5</v>
      </c>
      <c r="B170" s="9" t="n">
        <v>0.0542</v>
      </c>
      <c r="C170" s="9" t="n">
        <v>0.0642</v>
      </c>
      <c r="D170" s="10" t="n">
        <f aca="false">(C170-B170)*10000</f>
        <v>99.9999999999999</v>
      </c>
      <c r="E170" s="11" t="n">
        <f aca="false">MAX(0,C170-B170)*(1-Parametros!$B$5)</f>
        <v>0.01</v>
      </c>
      <c r="F170" s="11" t="n">
        <f aca="false">B170+E170*Parametros!$B$6</f>
        <v>0.0642</v>
      </c>
      <c r="G170" s="12" t="n">
        <f aca="false">(1+F170/2)^2-1</f>
        <v>0.0652304100000001</v>
      </c>
      <c r="H170" s="13" t="n">
        <f aca="false">(1+G170)^(-A170)</f>
        <v>0.00544385590948378</v>
      </c>
      <c r="I170" s="11" t="n">
        <f aca="false">B170+E170*Parametros!$B$7</f>
        <v>0.0642</v>
      </c>
      <c r="J170" s="12" t="n">
        <f aca="false">(1+I170/2)^2-1</f>
        <v>0.0652304100000001</v>
      </c>
      <c r="K170" s="13" t="n">
        <f aca="false">(1+J170)^(-A170)</f>
        <v>0.00544385590948378</v>
      </c>
      <c r="L170" s="11" t="n">
        <f aca="false">B170+E170*Parametros!$B$8</f>
        <v>0.0642</v>
      </c>
      <c r="M170" s="12" t="n">
        <f aca="false">(1+L170/2)^2-1</f>
        <v>0.0652304100000001</v>
      </c>
      <c r="N170" s="13" t="n">
        <f aca="false">(1+M170)^(-A170)</f>
        <v>0.00544385590948378</v>
      </c>
    </row>
    <row r="171" customFormat="false" ht="15" hidden="false" customHeight="false" outlineLevel="0" collapsed="false">
      <c r="A171" s="4" t="n">
        <v>83</v>
      </c>
      <c r="B171" s="9" t="n">
        <v>0.0542</v>
      </c>
      <c r="C171" s="9" t="n">
        <v>0.0643</v>
      </c>
      <c r="D171" s="10" t="n">
        <f aca="false">(C171-B171)*10000</f>
        <v>101</v>
      </c>
      <c r="E171" s="11" t="n">
        <f aca="false">MAX(0,C171-B171)*(1-Parametros!$B$5)</f>
        <v>0.0101</v>
      </c>
      <c r="F171" s="11" t="n">
        <f aca="false">B171+E171*Parametros!$B$6</f>
        <v>0.0643</v>
      </c>
      <c r="G171" s="12" t="n">
        <f aca="false">(1+F171/2)^2-1</f>
        <v>0.0653336224999999</v>
      </c>
      <c r="H171" s="13" t="n">
        <f aca="false">(1+G171)^(-A171)</f>
        <v>0.0052322970777662</v>
      </c>
      <c r="I171" s="11" t="n">
        <f aca="false">B171+E171*Parametros!$B$7</f>
        <v>0.0643</v>
      </c>
      <c r="J171" s="12" t="n">
        <f aca="false">(1+I171/2)^2-1</f>
        <v>0.0653336224999999</v>
      </c>
      <c r="K171" s="13" t="n">
        <f aca="false">(1+J171)^(-A171)</f>
        <v>0.0052322970777662</v>
      </c>
      <c r="L171" s="11" t="n">
        <f aca="false">B171+E171*Parametros!$B$8</f>
        <v>0.0643</v>
      </c>
      <c r="M171" s="12" t="n">
        <f aca="false">(1+L171/2)^2-1</f>
        <v>0.0653336224999999</v>
      </c>
      <c r="N171" s="13" t="n">
        <f aca="false">(1+M171)^(-A171)</f>
        <v>0.0052322970777662</v>
      </c>
    </row>
    <row r="172" customFormat="false" ht="15" hidden="false" customHeight="false" outlineLevel="0" collapsed="false">
      <c r="A172" s="4" t="n">
        <v>83.5</v>
      </c>
      <c r="B172" s="9" t="n">
        <v>0.0542</v>
      </c>
      <c r="C172" s="9" t="n">
        <v>0.0643</v>
      </c>
      <c r="D172" s="10" t="n">
        <f aca="false">(C172-B172)*10000</f>
        <v>101</v>
      </c>
      <c r="E172" s="11" t="n">
        <f aca="false">MAX(0,C172-B172)*(1-Parametros!$B$5)</f>
        <v>0.0101</v>
      </c>
      <c r="F172" s="11" t="n">
        <f aca="false">B172+E172*Parametros!$B$6</f>
        <v>0.0643</v>
      </c>
      <c r="G172" s="12" t="n">
        <f aca="false">(1+F172/2)^2-1</f>
        <v>0.0653336224999999</v>
      </c>
      <c r="H172" s="13" t="n">
        <f aca="false">(1+G172)^(-A172)</f>
        <v>0.00506931848836526</v>
      </c>
      <c r="I172" s="11" t="n">
        <f aca="false">B172+E172*Parametros!$B$7</f>
        <v>0.0643</v>
      </c>
      <c r="J172" s="12" t="n">
        <f aca="false">(1+I172/2)^2-1</f>
        <v>0.0653336224999999</v>
      </c>
      <c r="K172" s="13" t="n">
        <f aca="false">(1+J172)^(-A172)</f>
        <v>0.00506931848836526</v>
      </c>
      <c r="L172" s="11" t="n">
        <f aca="false">B172+E172*Parametros!$B$8</f>
        <v>0.0643</v>
      </c>
      <c r="M172" s="12" t="n">
        <f aca="false">(1+L172/2)^2-1</f>
        <v>0.0653336224999999</v>
      </c>
      <c r="N172" s="13" t="n">
        <f aca="false">(1+M172)^(-A172)</f>
        <v>0.00506931848836526</v>
      </c>
    </row>
    <row r="173" customFormat="false" ht="15" hidden="false" customHeight="false" outlineLevel="0" collapsed="false">
      <c r="A173" s="4" t="n">
        <v>84</v>
      </c>
      <c r="B173" s="9" t="n">
        <v>0.0542</v>
      </c>
      <c r="C173" s="9" t="n">
        <v>0.0643</v>
      </c>
      <c r="D173" s="10" t="n">
        <f aca="false">(C173-B173)*10000</f>
        <v>101</v>
      </c>
      <c r="E173" s="11" t="n">
        <f aca="false">MAX(0,C173-B173)*(1-Parametros!$B$5)</f>
        <v>0.0101</v>
      </c>
      <c r="F173" s="11" t="n">
        <f aca="false">B173+E173*Parametros!$B$6</f>
        <v>0.0643</v>
      </c>
      <c r="G173" s="12" t="n">
        <f aca="false">(1+F173/2)^2-1</f>
        <v>0.0653336224999999</v>
      </c>
      <c r="H173" s="13" t="n">
        <f aca="false">(1+G173)^(-A173)</f>
        <v>0.0049114164495134</v>
      </c>
      <c r="I173" s="11" t="n">
        <f aca="false">B173+E173*Parametros!$B$7</f>
        <v>0.0643</v>
      </c>
      <c r="J173" s="12" t="n">
        <f aca="false">(1+I173/2)^2-1</f>
        <v>0.0653336224999999</v>
      </c>
      <c r="K173" s="13" t="n">
        <f aca="false">(1+J173)^(-A173)</f>
        <v>0.0049114164495134</v>
      </c>
      <c r="L173" s="11" t="n">
        <f aca="false">B173+E173*Parametros!$B$8</f>
        <v>0.0643</v>
      </c>
      <c r="M173" s="12" t="n">
        <f aca="false">(1+L173/2)^2-1</f>
        <v>0.0653336224999999</v>
      </c>
      <c r="N173" s="13" t="n">
        <f aca="false">(1+M173)^(-A173)</f>
        <v>0.0049114164495134</v>
      </c>
    </row>
    <row r="174" customFormat="false" ht="15" hidden="false" customHeight="false" outlineLevel="0" collapsed="false">
      <c r="A174" s="4" t="n">
        <v>84.5</v>
      </c>
      <c r="B174" s="9" t="n">
        <v>0.0543</v>
      </c>
      <c r="C174" s="9" t="n">
        <v>0.0643</v>
      </c>
      <c r="D174" s="10" t="n">
        <f aca="false">(C174-B174)*10000</f>
        <v>99.9999999999999</v>
      </c>
      <c r="E174" s="11" t="n">
        <f aca="false">MAX(0,C174-B174)*(1-Parametros!$B$5)</f>
        <v>0.01</v>
      </c>
      <c r="F174" s="11" t="n">
        <f aca="false">B174+E174*Parametros!$B$6</f>
        <v>0.0643</v>
      </c>
      <c r="G174" s="12" t="n">
        <f aca="false">(1+F174/2)^2-1</f>
        <v>0.0653336224999999</v>
      </c>
      <c r="H174" s="13" t="n">
        <f aca="false">(1+G174)^(-A174)</f>
        <v>0.00475843283390341</v>
      </c>
      <c r="I174" s="11" t="n">
        <f aca="false">B174+E174*Parametros!$B$7</f>
        <v>0.0643</v>
      </c>
      <c r="J174" s="12" t="n">
        <f aca="false">(1+I174/2)^2-1</f>
        <v>0.0653336224999999</v>
      </c>
      <c r="K174" s="13" t="n">
        <f aca="false">(1+J174)^(-A174)</f>
        <v>0.00475843283390341</v>
      </c>
      <c r="L174" s="11" t="n">
        <f aca="false">B174+E174*Parametros!$B$8</f>
        <v>0.0643</v>
      </c>
      <c r="M174" s="12" t="n">
        <f aca="false">(1+L174/2)^2-1</f>
        <v>0.0653336224999999</v>
      </c>
      <c r="N174" s="13" t="n">
        <f aca="false">(1+M174)^(-A174)</f>
        <v>0.00475843283390341</v>
      </c>
    </row>
    <row r="175" customFormat="false" ht="15" hidden="false" customHeight="false" outlineLevel="0" collapsed="false">
      <c r="A175" s="4" t="n">
        <v>85</v>
      </c>
      <c r="B175" s="9" t="n">
        <v>0.0543</v>
      </c>
      <c r="C175" s="9" t="n">
        <v>0.0643</v>
      </c>
      <c r="D175" s="10" t="n">
        <f aca="false">(C175-B175)*10000</f>
        <v>99.9999999999999</v>
      </c>
      <c r="E175" s="11" t="n">
        <f aca="false">MAX(0,C175-B175)*(1-Parametros!$B$5)</f>
        <v>0.01</v>
      </c>
      <c r="F175" s="11" t="n">
        <f aca="false">B175+E175*Parametros!$B$6</f>
        <v>0.0643</v>
      </c>
      <c r="G175" s="12" t="n">
        <f aca="false">(1+F175/2)^2-1</f>
        <v>0.0653336224999999</v>
      </c>
      <c r="H175" s="13" t="n">
        <f aca="false">(1+G175)^(-A175)</f>
        <v>0.00461021443966808</v>
      </c>
      <c r="I175" s="11" t="n">
        <f aca="false">B175+E175*Parametros!$B$7</f>
        <v>0.0643</v>
      </c>
      <c r="J175" s="12" t="n">
        <f aca="false">(1+I175/2)^2-1</f>
        <v>0.0653336224999999</v>
      </c>
      <c r="K175" s="13" t="n">
        <f aca="false">(1+J175)^(-A175)</f>
        <v>0.00461021443966808</v>
      </c>
      <c r="L175" s="11" t="n">
        <f aca="false">B175+E175*Parametros!$B$8</f>
        <v>0.0643</v>
      </c>
      <c r="M175" s="12" t="n">
        <f aca="false">(1+L175/2)^2-1</f>
        <v>0.0653336224999999</v>
      </c>
      <c r="N175" s="13" t="n">
        <f aca="false">(1+M175)^(-A175)</f>
        <v>0.00461021443966808</v>
      </c>
    </row>
    <row r="176" customFormat="false" ht="15" hidden="false" customHeight="false" outlineLevel="0" collapsed="false">
      <c r="A176" s="4" t="n">
        <v>85.5</v>
      </c>
      <c r="B176" s="9" t="n">
        <v>0.0543</v>
      </c>
      <c r="C176" s="9" t="n">
        <v>0.0643</v>
      </c>
      <c r="D176" s="10" t="n">
        <f aca="false">(C176-B176)*10000</f>
        <v>99.9999999999999</v>
      </c>
      <c r="E176" s="11" t="n">
        <f aca="false">MAX(0,C176-B176)*(1-Parametros!$B$5)</f>
        <v>0.01</v>
      </c>
      <c r="F176" s="11" t="n">
        <f aca="false">B176+E176*Parametros!$B$6</f>
        <v>0.0643</v>
      </c>
      <c r="G176" s="12" t="n">
        <f aca="false">(1+F176/2)^2-1</f>
        <v>0.0653336224999999</v>
      </c>
      <c r="H176" s="13" t="n">
        <f aca="false">(1+G176)^(-A176)</f>
        <v>0.00446661283695982</v>
      </c>
      <c r="I176" s="11" t="n">
        <f aca="false">B176+E176*Parametros!$B$7</f>
        <v>0.0643</v>
      </c>
      <c r="J176" s="12" t="n">
        <f aca="false">(1+I176/2)^2-1</f>
        <v>0.0653336224999999</v>
      </c>
      <c r="K176" s="13" t="n">
        <f aca="false">(1+J176)^(-A176)</f>
        <v>0.00446661283695982</v>
      </c>
      <c r="L176" s="11" t="n">
        <f aca="false">B176+E176*Parametros!$B$8</f>
        <v>0.0643</v>
      </c>
      <c r="M176" s="12" t="n">
        <f aca="false">(1+L176/2)^2-1</f>
        <v>0.0653336224999999</v>
      </c>
      <c r="N176" s="13" t="n">
        <f aca="false">(1+M176)^(-A176)</f>
        <v>0.00446661283695982</v>
      </c>
    </row>
    <row r="177" customFormat="false" ht="15" hidden="false" customHeight="false" outlineLevel="0" collapsed="false">
      <c r="A177" s="4" t="n">
        <v>86</v>
      </c>
      <c r="B177" s="9" t="n">
        <v>0.0543</v>
      </c>
      <c r="C177" s="9" t="n">
        <v>0.0643</v>
      </c>
      <c r="D177" s="10" t="n">
        <f aca="false">(C177-B177)*10000</f>
        <v>99.9999999999999</v>
      </c>
      <c r="E177" s="11" t="n">
        <f aca="false">MAX(0,C177-B177)*(1-Parametros!$B$5)</f>
        <v>0.01</v>
      </c>
      <c r="F177" s="11" t="n">
        <f aca="false">B177+E177*Parametros!$B$6</f>
        <v>0.0643</v>
      </c>
      <c r="G177" s="12" t="n">
        <f aca="false">(1+F177/2)^2-1</f>
        <v>0.0653336224999999</v>
      </c>
      <c r="H177" s="13" t="n">
        <f aca="false">(1+G177)^(-A177)</f>
        <v>0.00432748421930904</v>
      </c>
      <c r="I177" s="11" t="n">
        <f aca="false">B177+E177*Parametros!$B$7</f>
        <v>0.0643</v>
      </c>
      <c r="J177" s="12" t="n">
        <f aca="false">(1+I177/2)^2-1</f>
        <v>0.0653336224999999</v>
      </c>
      <c r="K177" s="13" t="n">
        <f aca="false">(1+J177)^(-A177)</f>
        <v>0.00432748421930904</v>
      </c>
      <c r="L177" s="11" t="n">
        <f aca="false">B177+E177*Parametros!$B$8</f>
        <v>0.0643</v>
      </c>
      <c r="M177" s="12" t="n">
        <f aca="false">(1+L177/2)^2-1</f>
        <v>0.0653336224999999</v>
      </c>
      <c r="N177" s="13" t="n">
        <f aca="false">(1+M177)^(-A177)</f>
        <v>0.00432748421930904</v>
      </c>
    </row>
    <row r="178" customFormat="false" ht="15" hidden="false" customHeight="false" outlineLevel="0" collapsed="false">
      <c r="A178" s="4" t="n">
        <v>86.5</v>
      </c>
      <c r="B178" s="9" t="n">
        <v>0.0543</v>
      </c>
      <c r="C178" s="9" t="n">
        <v>0.0643</v>
      </c>
      <c r="D178" s="10" t="n">
        <f aca="false">(C178-B178)*10000</f>
        <v>99.9999999999999</v>
      </c>
      <c r="E178" s="11" t="n">
        <f aca="false">MAX(0,C178-B178)*(1-Parametros!$B$5)</f>
        <v>0.01</v>
      </c>
      <c r="F178" s="11" t="n">
        <f aca="false">B178+E178*Parametros!$B$6</f>
        <v>0.0643</v>
      </c>
      <c r="G178" s="12" t="n">
        <f aca="false">(1+F178/2)^2-1</f>
        <v>0.0653336224999999</v>
      </c>
      <c r="H178" s="13" t="n">
        <f aca="false">(1+G178)^(-A178)</f>
        <v>0.0041926892596125</v>
      </c>
      <c r="I178" s="11" t="n">
        <f aca="false">B178+E178*Parametros!$B$7</f>
        <v>0.0643</v>
      </c>
      <c r="J178" s="12" t="n">
        <f aca="false">(1+I178/2)^2-1</f>
        <v>0.0653336224999999</v>
      </c>
      <c r="K178" s="13" t="n">
        <f aca="false">(1+J178)^(-A178)</f>
        <v>0.0041926892596125</v>
      </c>
      <c r="L178" s="11" t="n">
        <f aca="false">B178+E178*Parametros!$B$8</f>
        <v>0.0643</v>
      </c>
      <c r="M178" s="12" t="n">
        <f aca="false">(1+L178/2)^2-1</f>
        <v>0.0653336224999999</v>
      </c>
      <c r="N178" s="13" t="n">
        <f aca="false">(1+M178)^(-A178)</f>
        <v>0.0041926892596125</v>
      </c>
    </row>
    <row r="179" customFormat="false" ht="15" hidden="false" customHeight="false" outlineLevel="0" collapsed="false">
      <c r="A179" s="4" t="n">
        <v>87</v>
      </c>
      <c r="B179" s="9" t="n">
        <v>0.0543</v>
      </c>
      <c r="C179" s="9" t="n">
        <v>0.0644</v>
      </c>
      <c r="D179" s="10" t="n">
        <f aca="false">(C179-B179)*10000</f>
        <v>101</v>
      </c>
      <c r="E179" s="11" t="n">
        <f aca="false">MAX(0,C179-B179)*(1-Parametros!$B$5)</f>
        <v>0.0101</v>
      </c>
      <c r="F179" s="11" t="n">
        <f aca="false">B179+E179*Parametros!$B$6</f>
        <v>0.0644</v>
      </c>
      <c r="G179" s="12" t="n">
        <f aca="false">(1+F179/2)^2-1</f>
        <v>0.0654368400000001</v>
      </c>
      <c r="H179" s="13" t="n">
        <f aca="false">(1+G179)^(-A179)</f>
        <v>0.00402799827872562</v>
      </c>
      <c r="I179" s="11" t="n">
        <f aca="false">B179+E179*Parametros!$B$7</f>
        <v>0.0644</v>
      </c>
      <c r="J179" s="12" t="n">
        <f aca="false">(1+I179/2)^2-1</f>
        <v>0.0654368400000001</v>
      </c>
      <c r="K179" s="13" t="n">
        <f aca="false">(1+J179)^(-A179)</f>
        <v>0.00402799827872562</v>
      </c>
      <c r="L179" s="11" t="n">
        <f aca="false">B179+E179*Parametros!$B$8</f>
        <v>0.0644</v>
      </c>
      <c r="M179" s="12" t="n">
        <f aca="false">(1+L179/2)^2-1</f>
        <v>0.0654368400000001</v>
      </c>
      <c r="N179" s="13" t="n">
        <f aca="false">(1+M179)^(-A179)</f>
        <v>0.00402799827872562</v>
      </c>
    </row>
    <row r="180" customFormat="false" ht="15" hidden="false" customHeight="false" outlineLevel="0" collapsed="false">
      <c r="A180" s="4" t="n">
        <v>87.5</v>
      </c>
      <c r="B180" s="9" t="n">
        <v>0.0543</v>
      </c>
      <c r="C180" s="9" t="n">
        <v>0.0644</v>
      </c>
      <c r="D180" s="10" t="n">
        <f aca="false">(C180-B180)*10000</f>
        <v>101</v>
      </c>
      <c r="E180" s="11" t="n">
        <f aca="false">MAX(0,C180-B180)*(1-Parametros!$B$5)</f>
        <v>0.0101</v>
      </c>
      <c r="F180" s="11" t="n">
        <f aca="false">B180+E180*Parametros!$B$6</f>
        <v>0.0644</v>
      </c>
      <c r="G180" s="12" t="n">
        <f aca="false">(1+F180/2)^2-1</f>
        <v>0.0654368400000001</v>
      </c>
      <c r="H180" s="13" t="n">
        <f aca="false">(1+G180)^(-A180)</f>
        <v>0.00390234283930016</v>
      </c>
      <c r="I180" s="11" t="n">
        <f aca="false">B180+E180*Parametros!$B$7</f>
        <v>0.0644</v>
      </c>
      <c r="J180" s="12" t="n">
        <f aca="false">(1+I180/2)^2-1</f>
        <v>0.0654368400000001</v>
      </c>
      <c r="K180" s="13" t="n">
        <f aca="false">(1+J180)^(-A180)</f>
        <v>0.00390234283930016</v>
      </c>
      <c r="L180" s="11" t="n">
        <f aca="false">B180+E180*Parametros!$B$8</f>
        <v>0.0644</v>
      </c>
      <c r="M180" s="12" t="n">
        <f aca="false">(1+L180/2)^2-1</f>
        <v>0.0654368400000001</v>
      </c>
      <c r="N180" s="13" t="n">
        <f aca="false">(1+M180)^(-A180)</f>
        <v>0.00390234283930016</v>
      </c>
    </row>
    <row r="181" customFormat="false" ht="15" hidden="false" customHeight="false" outlineLevel="0" collapsed="false">
      <c r="A181" s="4" t="n">
        <v>88</v>
      </c>
      <c r="B181" s="9" t="n">
        <v>0.0543</v>
      </c>
      <c r="C181" s="9" t="n">
        <v>0.0644</v>
      </c>
      <c r="D181" s="10" t="n">
        <f aca="false">(C181-B181)*10000</f>
        <v>101</v>
      </c>
      <c r="E181" s="11" t="n">
        <f aca="false">MAX(0,C181-B181)*(1-Parametros!$B$5)</f>
        <v>0.0101</v>
      </c>
      <c r="F181" s="11" t="n">
        <f aca="false">B181+E181*Parametros!$B$6</f>
        <v>0.0644</v>
      </c>
      <c r="G181" s="12" t="n">
        <f aca="false">(1+F181/2)^2-1</f>
        <v>0.0654368400000001</v>
      </c>
      <c r="H181" s="13" t="n">
        <f aca="false">(1+G181)^(-A181)</f>
        <v>0.00378060728473179</v>
      </c>
      <c r="I181" s="11" t="n">
        <f aca="false">B181+E181*Parametros!$B$7</f>
        <v>0.0644</v>
      </c>
      <c r="J181" s="12" t="n">
        <f aca="false">(1+I181/2)^2-1</f>
        <v>0.0654368400000001</v>
      </c>
      <c r="K181" s="13" t="n">
        <f aca="false">(1+J181)^(-A181)</f>
        <v>0.00378060728473179</v>
      </c>
      <c r="L181" s="11" t="n">
        <f aca="false">B181+E181*Parametros!$B$8</f>
        <v>0.0644</v>
      </c>
      <c r="M181" s="12" t="n">
        <f aca="false">(1+L181/2)^2-1</f>
        <v>0.0654368400000001</v>
      </c>
      <c r="N181" s="13" t="n">
        <f aca="false">(1+M181)^(-A181)</f>
        <v>0.00378060728473179</v>
      </c>
    </row>
    <row r="182" customFormat="false" ht="15" hidden="false" customHeight="false" outlineLevel="0" collapsed="false">
      <c r="A182" s="4" t="n">
        <v>88.5</v>
      </c>
      <c r="B182" s="9" t="n">
        <v>0.0544</v>
      </c>
      <c r="C182" s="9" t="n">
        <v>0.0644</v>
      </c>
      <c r="D182" s="10" t="n">
        <f aca="false">(C182-B182)*10000</f>
        <v>100</v>
      </c>
      <c r="E182" s="11" t="n">
        <f aca="false">MAX(0,C182-B182)*(1-Parametros!$B$5)</f>
        <v>0.01</v>
      </c>
      <c r="F182" s="11" t="n">
        <f aca="false">B182+E182*Parametros!$B$6</f>
        <v>0.0644</v>
      </c>
      <c r="G182" s="12" t="n">
        <f aca="false">(1+F182/2)^2-1</f>
        <v>0.0654368400000001</v>
      </c>
      <c r="H182" s="13" t="n">
        <f aca="false">(1+G182)^(-A182)</f>
        <v>0.00366266933223386</v>
      </c>
      <c r="I182" s="11" t="n">
        <f aca="false">B182+E182*Parametros!$B$7</f>
        <v>0.0644</v>
      </c>
      <c r="J182" s="12" t="n">
        <f aca="false">(1+I182/2)^2-1</f>
        <v>0.0654368400000001</v>
      </c>
      <c r="K182" s="13" t="n">
        <f aca="false">(1+J182)^(-A182)</f>
        <v>0.00366266933223386</v>
      </c>
      <c r="L182" s="11" t="n">
        <f aca="false">B182+E182*Parametros!$B$8</f>
        <v>0.0644</v>
      </c>
      <c r="M182" s="12" t="n">
        <f aca="false">(1+L182/2)^2-1</f>
        <v>0.0654368400000001</v>
      </c>
      <c r="N182" s="13" t="n">
        <f aca="false">(1+M182)^(-A182)</f>
        <v>0.00366266933223386</v>
      </c>
    </row>
    <row r="183" customFormat="false" ht="15" hidden="false" customHeight="false" outlineLevel="0" collapsed="false">
      <c r="A183" s="4" t="n">
        <v>89</v>
      </c>
      <c r="B183" s="9" t="n">
        <v>0.0544</v>
      </c>
      <c r="C183" s="9" t="n">
        <v>0.0644</v>
      </c>
      <c r="D183" s="10" t="n">
        <f aca="false">(C183-B183)*10000</f>
        <v>100</v>
      </c>
      <c r="E183" s="11" t="n">
        <f aca="false">MAX(0,C183-B183)*(1-Parametros!$B$5)</f>
        <v>0.01</v>
      </c>
      <c r="F183" s="11" t="n">
        <f aca="false">B183+E183*Parametros!$B$6</f>
        <v>0.0644</v>
      </c>
      <c r="G183" s="12" t="n">
        <f aca="false">(1+F183/2)^2-1</f>
        <v>0.0654368400000001</v>
      </c>
      <c r="H183" s="13" t="n">
        <f aca="false">(1+G183)^(-A183)</f>
        <v>0.00354841051369295</v>
      </c>
      <c r="I183" s="11" t="n">
        <f aca="false">B183+E183*Parametros!$B$7</f>
        <v>0.0644</v>
      </c>
      <c r="J183" s="12" t="n">
        <f aca="false">(1+I183/2)^2-1</f>
        <v>0.0654368400000001</v>
      </c>
      <c r="K183" s="13" t="n">
        <f aca="false">(1+J183)^(-A183)</f>
        <v>0.00354841051369295</v>
      </c>
      <c r="L183" s="11" t="n">
        <f aca="false">B183+E183*Parametros!$B$8</f>
        <v>0.0644</v>
      </c>
      <c r="M183" s="12" t="n">
        <f aca="false">(1+L183/2)^2-1</f>
        <v>0.0654368400000001</v>
      </c>
      <c r="N183" s="13" t="n">
        <f aca="false">(1+M183)^(-A183)</f>
        <v>0.00354841051369295</v>
      </c>
    </row>
    <row r="184" customFormat="false" ht="15" hidden="false" customHeight="false" outlineLevel="0" collapsed="false">
      <c r="A184" s="4" t="n">
        <v>89.5</v>
      </c>
      <c r="B184" s="9" t="n">
        <v>0.0544</v>
      </c>
      <c r="C184" s="9" t="n">
        <v>0.0644</v>
      </c>
      <c r="D184" s="10" t="n">
        <f aca="false">(C184-B184)*10000</f>
        <v>100</v>
      </c>
      <c r="E184" s="11" t="n">
        <f aca="false">MAX(0,C184-B184)*(1-Parametros!$B$5)</f>
        <v>0.01</v>
      </c>
      <c r="F184" s="11" t="n">
        <f aca="false">B184+E184*Parametros!$B$6</f>
        <v>0.0644</v>
      </c>
      <c r="G184" s="12" t="n">
        <f aca="false">(1+F184/2)^2-1</f>
        <v>0.0654368400000001</v>
      </c>
      <c r="H184" s="13" t="n">
        <f aca="false">(1+G184)^(-A184)</f>
        <v>0.00343771605666823</v>
      </c>
      <c r="I184" s="11" t="n">
        <f aca="false">B184+E184*Parametros!$B$7</f>
        <v>0.0644</v>
      </c>
      <c r="J184" s="12" t="n">
        <f aca="false">(1+I184/2)^2-1</f>
        <v>0.0654368400000001</v>
      </c>
      <c r="K184" s="13" t="n">
        <f aca="false">(1+J184)^(-A184)</f>
        <v>0.00343771605666823</v>
      </c>
      <c r="L184" s="11" t="n">
        <f aca="false">B184+E184*Parametros!$B$8</f>
        <v>0.0644</v>
      </c>
      <c r="M184" s="12" t="n">
        <f aca="false">(1+L184/2)^2-1</f>
        <v>0.0654368400000001</v>
      </c>
      <c r="N184" s="13" t="n">
        <f aca="false">(1+M184)^(-A184)</f>
        <v>0.00343771605666823</v>
      </c>
    </row>
    <row r="185" customFormat="false" ht="15" hidden="false" customHeight="false" outlineLevel="0" collapsed="false">
      <c r="A185" s="4" t="n">
        <v>90</v>
      </c>
      <c r="B185" s="9" t="n">
        <v>0.0544</v>
      </c>
      <c r="C185" s="9" t="n">
        <v>0.0644</v>
      </c>
      <c r="D185" s="10" t="n">
        <f aca="false">(C185-B185)*10000</f>
        <v>100</v>
      </c>
      <c r="E185" s="11" t="n">
        <f aca="false">MAX(0,C185-B185)*(1-Parametros!$B$5)</f>
        <v>0.01</v>
      </c>
      <c r="F185" s="11" t="n">
        <f aca="false">B185+E185*Parametros!$B$6</f>
        <v>0.0644</v>
      </c>
      <c r="G185" s="12" t="n">
        <f aca="false">(1+F185/2)^2-1</f>
        <v>0.0654368400000001</v>
      </c>
      <c r="H185" s="13" t="n">
        <f aca="false">(1+G185)^(-A185)</f>
        <v>0.00333047476910311</v>
      </c>
      <c r="I185" s="11" t="n">
        <f aca="false">B185+E185*Parametros!$B$7</f>
        <v>0.0644</v>
      </c>
      <c r="J185" s="12" t="n">
        <f aca="false">(1+I185/2)^2-1</f>
        <v>0.0654368400000001</v>
      </c>
      <c r="K185" s="13" t="n">
        <f aca="false">(1+J185)^(-A185)</f>
        <v>0.00333047476910311</v>
      </c>
      <c r="L185" s="11" t="n">
        <f aca="false">B185+E185*Parametros!$B$8</f>
        <v>0.0644</v>
      </c>
      <c r="M185" s="12" t="n">
        <f aca="false">(1+L185/2)^2-1</f>
        <v>0.0654368400000001</v>
      </c>
      <c r="N185" s="13" t="n">
        <f aca="false">(1+M185)^(-A185)</f>
        <v>0.00333047476910311</v>
      </c>
    </row>
    <row r="186" customFormat="false" ht="15" hidden="false" customHeight="false" outlineLevel="0" collapsed="false">
      <c r="A186" s="4" t="n">
        <v>90.5</v>
      </c>
      <c r="B186" s="9" t="n">
        <v>0.0544</v>
      </c>
      <c r="C186" s="9" t="n">
        <v>0.0644</v>
      </c>
      <c r="D186" s="10" t="n">
        <f aca="false">(C186-B186)*10000</f>
        <v>100</v>
      </c>
      <c r="E186" s="11" t="n">
        <f aca="false">MAX(0,C186-B186)*(1-Parametros!$B$5)</f>
        <v>0.01</v>
      </c>
      <c r="F186" s="11" t="n">
        <f aca="false">B186+E186*Parametros!$B$6</f>
        <v>0.0644</v>
      </c>
      <c r="G186" s="12" t="n">
        <f aca="false">(1+F186/2)^2-1</f>
        <v>0.0654368400000001</v>
      </c>
      <c r="H186" s="13" t="n">
        <f aca="false">(1+G186)^(-A186)</f>
        <v>0.00322657892763332</v>
      </c>
      <c r="I186" s="11" t="n">
        <f aca="false">B186+E186*Parametros!$B$7</f>
        <v>0.0644</v>
      </c>
      <c r="J186" s="12" t="n">
        <f aca="false">(1+I186/2)^2-1</f>
        <v>0.0654368400000001</v>
      </c>
      <c r="K186" s="13" t="n">
        <f aca="false">(1+J186)^(-A186)</f>
        <v>0.00322657892763332</v>
      </c>
      <c r="L186" s="11" t="n">
        <f aca="false">B186+E186*Parametros!$B$8</f>
        <v>0.0644</v>
      </c>
      <c r="M186" s="12" t="n">
        <f aca="false">(1+L186/2)^2-1</f>
        <v>0.0654368400000001</v>
      </c>
      <c r="N186" s="13" t="n">
        <f aca="false">(1+M186)^(-A186)</f>
        <v>0.00322657892763332</v>
      </c>
    </row>
    <row r="187" customFormat="false" ht="15" hidden="false" customHeight="false" outlineLevel="0" collapsed="false">
      <c r="A187" s="4" t="n">
        <v>91</v>
      </c>
      <c r="B187" s="9" t="n">
        <v>0.0544</v>
      </c>
      <c r="C187" s="9" t="n">
        <v>0.0644</v>
      </c>
      <c r="D187" s="10" t="n">
        <f aca="false">(C187-B187)*10000</f>
        <v>100</v>
      </c>
      <c r="E187" s="11" t="n">
        <f aca="false">MAX(0,C187-B187)*(1-Parametros!$B$5)</f>
        <v>0.01</v>
      </c>
      <c r="F187" s="11" t="n">
        <f aca="false">B187+E187*Parametros!$B$6</f>
        <v>0.0644</v>
      </c>
      <c r="G187" s="12" t="n">
        <f aca="false">(1+F187/2)^2-1</f>
        <v>0.0654368400000001</v>
      </c>
      <c r="H187" s="13" t="n">
        <f aca="false">(1+G187)^(-A187)</f>
        <v>0.00312592416937931</v>
      </c>
      <c r="I187" s="11" t="n">
        <f aca="false">B187+E187*Parametros!$B$7</f>
        <v>0.0644</v>
      </c>
      <c r="J187" s="12" t="n">
        <f aca="false">(1+I187/2)^2-1</f>
        <v>0.0654368400000001</v>
      </c>
      <c r="K187" s="13" t="n">
        <f aca="false">(1+J187)^(-A187)</f>
        <v>0.00312592416937931</v>
      </c>
      <c r="L187" s="11" t="n">
        <f aca="false">B187+E187*Parametros!$B$8</f>
        <v>0.0644</v>
      </c>
      <c r="M187" s="12" t="n">
        <f aca="false">(1+L187/2)^2-1</f>
        <v>0.0654368400000001</v>
      </c>
      <c r="N187" s="13" t="n">
        <f aca="false">(1+M187)^(-A187)</f>
        <v>0.00312592416937931</v>
      </c>
    </row>
    <row r="188" customFormat="false" ht="15" hidden="false" customHeight="false" outlineLevel="0" collapsed="false">
      <c r="A188" s="4" t="n">
        <v>91.5</v>
      </c>
      <c r="B188" s="9" t="n">
        <v>0.0544</v>
      </c>
      <c r="C188" s="9" t="n">
        <v>0.0645</v>
      </c>
      <c r="D188" s="10" t="n">
        <f aca="false">(C188-B188)*10000</f>
        <v>101</v>
      </c>
      <c r="E188" s="11" t="n">
        <f aca="false">MAX(0,C188-B188)*(1-Parametros!$B$5)</f>
        <v>0.0101</v>
      </c>
      <c r="F188" s="11" t="n">
        <f aca="false">B188+E188*Parametros!$B$6</f>
        <v>0.0645</v>
      </c>
      <c r="G188" s="12" t="n">
        <f aca="false">(1+F188/2)^2-1</f>
        <v>0.0655400624999998</v>
      </c>
      <c r="H188" s="13" t="n">
        <f aca="false">(1+G188)^(-A188)</f>
        <v>0.0030016831474795</v>
      </c>
      <c r="I188" s="11" t="n">
        <f aca="false">B188+E188*Parametros!$B$7</f>
        <v>0.0645</v>
      </c>
      <c r="J188" s="12" t="n">
        <f aca="false">(1+I188/2)^2-1</f>
        <v>0.0655400624999998</v>
      </c>
      <c r="K188" s="13" t="n">
        <f aca="false">(1+J188)^(-A188)</f>
        <v>0.0030016831474795</v>
      </c>
      <c r="L188" s="11" t="n">
        <f aca="false">B188+E188*Parametros!$B$8</f>
        <v>0.0645</v>
      </c>
      <c r="M188" s="12" t="n">
        <f aca="false">(1+L188/2)^2-1</f>
        <v>0.0655400624999998</v>
      </c>
      <c r="N188" s="13" t="n">
        <f aca="false">(1+M188)^(-A188)</f>
        <v>0.0030016831474795</v>
      </c>
    </row>
    <row r="189" customFormat="false" ht="15" hidden="false" customHeight="false" outlineLevel="0" collapsed="false">
      <c r="A189" s="4" t="n">
        <v>92</v>
      </c>
      <c r="B189" s="9" t="n">
        <v>0.0544</v>
      </c>
      <c r="C189" s="9" t="n">
        <v>0.0645</v>
      </c>
      <c r="D189" s="10" t="n">
        <f aca="false">(C189-B189)*10000</f>
        <v>101</v>
      </c>
      <c r="E189" s="11" t="n">
        <f aca="false">MAX(0,C189-B189)*(1-Parametros!$B$5)</f>
        <v>0.0101</v>
      </c>
      <c r="F189" s="11" t="n">
        <f aca="false">B189+E189*Parametros!$B$6</f>
        <v>0.0645</v>
      </c>
      <c r="G189" s="12" t="n">
        <f aca="false">(1+F189/2)^2-1</f>
        <v>0.0655400624999998</v>
      </c>
      <c r="H189" s="13" t="n">
        <f aca="false">(1+G189)^(-A189)</f>
        <v>0.00290790326711504</v>
      </c>
      <c r="I189" s="11" t="n">
        <f aca="false">B189+E189*Parametros!$B$7</f>
        <v>0.0645</v>
      </c>
      <c r="J189" s="12" t="n">
        <f aca="false">(1+I189/2)^2-1</f>
        <v>0.0655400624999998</v>
      </c>
      <c r="K189" s="13" t="n">
        <f aca="false">(1+J189)^(-A189)</f>
        <v>0.00290790326711504</v>
      </c>
      <c r="L189" s="11" t="n">
        <f aca="false">B189+E189*Parametros!$B$8</f>
        <v>0.0645</v>
      </c>
      <c r="M189" s="12" t="n">
        <f aca="false">(1+L189/2)^2-1</f>
        <v>0.0655400624999998</v>
      </c>
      <c r="N189" s="13" t="n">
        <f aca="false">(1+M189)^(-A189)</f>
        <v>0.00290790326711504</v>
      </c>
    </row>
    <row r="190" customFormat="false" ht="15" hidden="false" customHeight="false" outlineLevel="0" collapsed="false">
      <c r="A190" s="4" t="n">
        <v>92.5</v>
      </c>
      <c r="B190" s="9" t="n">
        <v>0.0544</v>
      </c>
      <c r="C190" s="9" t="n">
        <v>0.0645</v>
      </c>
      <c r="D190" s="10" t="n">
        <f aca="false">(C190-B190)*10000</f>
        <v>101</v>
      </c>
      <c r="E190" s="11" t="n">
        <f aca="false">MAX(0,C190-B190)*(1-Parametros!$B$5)</f>
        <v>0.0101</v>
      </c>
      <c r="F190" s="11" t="n">
        <f aca="false">B190+E190*Parametros!$B$6</f>
        <v>0.0645</v>
      </c>
      <c r="G190" s="12" t="n">
        <f aca="false">(1+F190/2)^2-1</f>
        <v>0.0655400624999998</v>
      </c>
      <c r="H190" s="13" t="n">
        <f aca="false">(1+G190)^(-A190)</f>
        <v>0.00281705329824659</v>
      </c>
      <c r="I190" s="11" t="n">
        <f aca="false">B190+E190*Parametros!$B$7</f>
        <v>0.0645</v>
      </c>
      <c r="J190" s="12" t="n">
        <f aca="false">(1+I190/2)^2-1</f>
        <v>0.0655400624999998</v>
      </c>
      <c r="K190" s="13" t="n">
        <f aca="false">(1+J190)^(-A190)</f>
        <v>0.00281705329824659</v>
      </c>
      <c r="L190" s="11" t="n">
        <f aca="false">B190+E190*Parametros!$B$8</f>
        <v>0.0645</v>
      </c>
      <c r="M190" s="12" t="n">
        <f aca="false">(1+L190/2)^2-1</f>
        <v>0.0655400624999998</v>
      </c>
      <c r="N190" s="13" t="n">
        <f aca="false">(1+M190)^(-A190)</f>
        <v>0.00281705329824659</v>
      </c>
    </row>
    <row r="191" customFormat="false" ht="15" hidden="false" customHeight="false" outlineLevel="0" collapsed="false">
      <c r="A191" s="4" t="n">
        <v>93</v>
      </c>
      <c r="B191" s="9" t="n">
        <v>0.0544</v>
      </c>
      <c r="C191" s="9" t="n">
        <v>0.0645</v>
      </c>
      <c r="D191" s="10" t="n">
        <f aca="false">(C191-B191)*10000</f>
        <v>101</v>
      </c>
      <c r="E191" s="11" t="n">
        <f aca="false">MAX(0,C191-B191)*(1-Parametros!$B$5)</f>
        <v>0.0101</v>
      </c>
      <c r="F191" s="11" t="n">
        <f aca="false">B191+E191*Parametros!$B$6</f>
        <v>0.0645</v>
      </c>
      <c r="G191" s="12" t="n">
        <f aca="false">(1+F191/2)^2-1</f>
        <v>0.0655400624999998</v>
      </c>
      <c r="H191" s="13" t="n">
        <f aca="false">(1+G191)^(-A191)</f>
        <v>0.00272904170331469</v>
      </c>
      <c r="I191" s="11" t="n">
        <f aca="false">B191+E191*Parametros!$B$7</f>
        <v>0.0645</v>
      </c>
      <c r="J191" s="12" t="n">
        <f aca="false">(1+I191/2)^2-1</f>
        <v>0.0655400624999998</v>
      </c>
      <c r="K191" s="13" t="n">
        <f aca="false">(1+J191)^(-A191)</f>
        <v>0.00272904170331469</v>
      </c>
      <c r="L191" s="11" t="n">
        <f aca="false">B191+E191*Parametros!$B$8</f>
        <v>0.0645</v>
      </c>
      <c r="M191" s="12" t="n">
        <f aca="false">(1+L191/2)^2-1</f>
        <v>0.0655400624999998</v>
      </c>
      <c r="N191" s="13" t="n">
        <f aca="false">(1+M191)^(-A191)</f>
        <v>0.00272904170331469</v>
      </c>
    </row>
    <row r="192" customFormat="false" ht="15" hidden="false" customHeight="false" outlineLevel="0" collapsed="false">
      <c r="A192" s="4" t="n">
        <v>93.5</v>
      </c>
      <c r="B192" s="9" t="n">
        <v>0.0545</v>
      </c>
      <c r="C192" s="9" t="n">
        <v>0.0645</v>
      </c>
      <c r="D192" s="10" t="n">
        <f aca="false">(C192-B192)*10000</f>
        <v>100</v>
      </c>
      <c r="E192" s="11" t="n">
        <f aca="false">MAX(0,C192-B192)*(1-Parametros!$B$5)</f>
        <v>0.01</v>
      </c>
      <c r="F192" s="11" t="n">
        <f aca="false">B192+E192*Parametros!$B$6</f>
        <v>0.0645</v>
      </c>
      <c r="G192" s="12" t="n">
        <f aca="false">(1+F192/2)^2-1</f>
        <v>0.0655400624999998</v>
      </c>
      <c r="H192" s="13" t="n">
        <f aca="false">(1+G192)^(-A192)</f>
        <v>0.00264377980461583</v>
      </c>
      <c r="I192" s="11" t="n">
        <f aca="false">B192+E192*Parametros!$B$7</f>
        <v>0.0645</v>
      </c>
      <c r="J192" s="12" t="n">
        <f aca="false">(1+I192/2)^2-1</f>
        <v>0.0655400624999998</v>
      </c>
      <c r="K192" s="13" t="n">
        <f aca="false">(1+J192)^(-A192)</f>
        <v>0.00264377980461583</v>
      </c>
      <c r="L192" s="11" t="n">
        <f aca="false">B192+E192*Parametros!$B$8</f>
        <v>0.0645</v>
      </c>
      <c r="M192" s="12" t="n">
        <f aca="false">(1+L192/2)^2-1</f>
        <v>0.0655400624999998</v>
      </c>
      <c r="N192" s="13" t="n">
        <f aca="false">(1+M192)^(-A192)</f>
        <v>0.00264377980461583</v>
      </c>
    </row>
    <row r="193" customFormat="false" ht="15" hidden="false" customHeight="false" outlineLevel="0" collapsed="false">
      <c r="A193" s="4" t="n">
        <v>94</v>
      </c>
      <c r="B193" s="9" t="n">
        <v>0.0545</v>
      </c>
      <c r="C193" s="9" t="n">
        <v>0.0645</v>
      </c>
      <c r="D193" s="10" t="n">
        <f aca="false">(C193-B193)*10000</f>
        <v>100</v>
      </c>
      <c r="E193" s="11" t="n">
        <f aca="false">MAX(0,C193-B193)*(1-Parametros!$B$5)</f>
        <v>0.01</v>
      </c>
      <c r="F193" s="11" t="n">
        <f aca="false">B193+E193*Parametros!$B$6</f>
        <v>0.0645</v>
      </c>
      <c r="G193" s="12" t="n">
        <f aca="false">(1+F193/2)^2-1</f>
        <v>0.0655400624999998</v>
      </c>
      <c r="H193" s="13" t="n">
        <f aca="false">(1+G193)^(-A193)</f>
        <v>0.00256118169495358</v>
      </c>
      <c r="I193" s="11" t="n">
        <f aca="false">B193+E193*Parametros!$B$7</f>
        <v>0.0645</v>
      </c>
      <c r="J193" s="12" t="n">
        <f aca="false">(1+I193/2)^2-1</f>
        <v>0.0655400624999998</v>
      </c>
      <c r="K193" s="13" t="n">
        <f aca="false">(1+J193)^(-A193)</f>
        <v>0.00256118169495358</v>
      </c>
      <c r="L193" s="11" t="n">
        <f aca="false">B193+E193*Parametros!$B$8</f>
        <v>0.0645</v>
      </c>
      <c r="M193" s="12" t="n">
        <f aca="false">(1+L193/2)^2-1</f>
        <v>0.0655400624999998</v>
      </c>
      <c r="N193" s="13" t="n">
        <f aca="false">(1+M193)^(-A193)</f>
        <v>0.00256118169495358</v>
      </c>
    </row>
    <row r="194" customFormat="false" ht="15" hidden="false" customHeight="false" outlineLevel="0" collapsed="false">
      <c r="A194" s="4" t="n">
        <v>94.5</v>
      </c>
      <c r="B194" s="9" t="n">
        <v>0.0545</v>
      </c>
      <c r="C194" s="9" t="n">
        <v>0.0645</v>
      </c>
      <c r="D194" s="10" t="n">
        <f aca="false">(C194-B194)*10000</f>
        <v>100</v>
      </c>
      <c r="E194" s="11" t="n">
        <f aca="false">MAX(0,C194-B194)*(1-Parametros!$B$5)</f>
        <v>0.01</v>
      </c>
      <c r="F194" s="11" t="n">
        <f aca="false">B194+E194*Parametros!$B$6</f>
        <v>0.0645</v>
      </c>
      <c r="G194" s="12" t="n">
        <f aca="false">(1+F194/2)^2-1</f>
        <v>0.0655400624999998</v>
      </c>
      <c r="H194" s="13" t="n">
        <f aca="false">(1+G194)^(-A194)</f>
        <v>0.00248116415108121</v>
      </c>
      <c r="I194" s="11" t="n">
        <f aca="false">B194+E194*Parametros!$B$7</f>
        <v>0.0645</v>
      </c>
      <c r="J194" s="12" t="n">
        <f aca="false">(1+I194/2)^2-1</f>
        <v>0.0655400624999998</v>
      </c>
      <c r="K194" s="13" t="n">
        <f aca="false">(1+J194)^(-A194)</f>
        <v>0.00248116415108121</v>
      </c>
      <c r="L194" s="11" t="n">
        <f aca="false">B194+E194*Parametros!$B$8</f>
        <v>0.0645</v>
      </c>
      <c r="M194" s="12" t="n">
        <f aca="false">(1+L194/2)^2-1</f>
        <v>0.0655400624999998</v>
      </c>
      <c r="N194" s="13" t="n">
        <f aca="false">(1+M194)^(-A194)</f>
        <v>0.00248116415108121</v>
      </c>
    </row>
    <row r="195" customFormat="false" ht="15" hidden="false" customHeight="false" outlineLevel="0" collapsed="false">
      <c r="A195" s="4" t="n">
        <v>95</v>
      </c>
      <c r="B195" s="9" t="n">
        <v>0.0545</v>
      </c>
      <c r="C195" s="9" t="n">
        <v>0.0645</v>
      </c>
      <c r="D195" s="10" t="n">
        <f aca="false">(C195-B195)*10000</f>
        <v>100</v>
      </c>
      <c r="E195" s="11" t="n">
        <f aca="false">MAX(0,C195-B195)*(1-Parametros!$B$5)</f>
        <v>0.01</v>
      </c>
      <c r="F195" s="11" t="n">
        <f aca="false">B195+E195*Parametros!$B$6</f>
        <v>0.0645</v>
      </c>
      <c r="G195" s="12" t="n">
        <f aca="false">(1+F195/2)^2-1</f>
        <v>0.0655400624999998</v>
      </c>
      <c r="H195" s="13" t="n">
        <f aca="false">(1+G195)^(-A195)</f>
        <v>0.00240364654984859</v>
      </c>
      <c r="I195" s="11" t="n">
        <f aca="false">B195+E195*Parametros!$B$7</f>
        <v>0.0645</v>
      </c>
      <c r="J195" s="12" t="n">
        <f aca="false">(1+I195/2)^2-1</f>
        <v>0.0655400624999998</v>
      </c>
      <c r="K195" s="13" t="n">
        <f aca="false">(1+J195)^(-A195)</f>
        <v>0.00240364654984859</v>
      </c>
      <c r="L195" s="11" t="n">
        <f aca="false">B195+E195*Parametros!$B$8</f>
        <v>0.0645</v>
      </c>
      <c r="M195" s="12" t="n">
        <f aca="false">(1+L195/2)^2-1</f>
        <v>0.0655400624999998</v>
      </c>
      <c r="N195" s="13" t="n">
        <f aca="false">(1+M195)^(-A195)</f>
        <v>0.00240364654984859</v>
      </c>
    </row>
    <row r="196" customFormat="false" ht="15" hidden="false" customHeight="false" outlineLevel="0" collapsed="false">
      <c r="A196" s="4" t="n">
        <v>95.5</v>
      </c>
      <c r="B196" s="9" t="n">
        <v>0.0545</v>
      </c>
      <c r="C196" s="9" t="n">
        <v>0.0645</v>
      </c>
      <c r="D196" s="10" t="n">
        <f aca="false">(C196-B196)*10000</f>
        <v>100</v>
      </c>
      <c r="E196" s="11" t="n">
        <f aca="false">MAX(0,C196-B196)*(1-Parametros!$B$5)</f>
        <v>0.01</v>
      </c>
      <c r="F196" s="11" t="n">
        <f aca="false">B196+E196*Parametros!$B$6</f>
        <v>0.0645</v>
      </c>
      <c r="G196" s="12" t="n">
        <f aca="false">(1+F196/2)^2-1</f>
        <v>0.0655400624999998</v>
      </c>
      <c r="H196" s="13" t="n">
        <f aca="false">(1+G196)^(-A196)</f>
        <v>0.00232855078696885</v>
      </c>
      <c r="I196" s="11" t="n">
        <f aca="false">B196+E196*Parametros!$B$7</f>
        <v>0.0645</v>
      </c>
      <c r="J196" s="12" t="n">
        <f aca="false">(1+I196/2)^2-1</f>
        <v>0.0655400624999998</v>
      </c>
      <c r="K196" s="13" t="n">
        <f aca="false">(1+J196)^(-A196)</f>
        <v>0.00232855078696885</v>
      </c>
      <c r="L196" s="11" t="n">
        <f aca="false">B196+E196*Parametros!$B$8</f>
        <v>0.0645</v>
      </c>
      <c r="M196" s="12" t="n">
        <f aca="false">(1+L196/2)^2-1</f>
        <v>0.0655400624999998</v>
      </c>
      <c r="N196" s="13" t="n">
        <f aca="false">(1+M196)^(-A196)</f>
        <v>0.00232855078696885</v>
      </c>
    </row>
    <row r="197" customFormat="false" ht="15" hidden="false" customHeight="false" outlineLevel="0" collapsed="false">
      <c r="A197" s="4" t="n">
        <v>96</v>
      </c>
      <c r="B197" s="9" t="n">
        <v>0.0545</v>
      </c>
      <c r="C197" s="9" t="n">
        <v>0.0646</v>
      </c>
      <c r="D197" s="10" t="n">
        <f aca="false">(C197-B197)*10000</f>
        <v>101</v>
      </c>
      <c r="E197" s="11" t="n">
        <f aca="false">MAX(0,C197-B197)*(1-Parametros!$B$5)</f>
        <v>0.0101</v>
      </c>
      <c r="F197" s="11" t="n">
        <f aca="false">B197+E197*Parametros!$B$6</f>
        <v>0.0646</v>
      </c>
      <c r="G197" s="12" t="n">
        <f aca="false">(1+F197/2)^2-1</f>
        <v>0.0656432899999999</v>
      </c>
      <c r="H197" s="13" t="n">
        <f aca="false">(1+G197)^(-A197)</f>
        <v>0.00223491983858174</v>
      </c>
      <c r="I197" s="11" t="n">
        <f aca="false">B197+E197*Parametros!$B$7</f>
        <v>0.0646</v>
      </c>
      <c r="J197" s="12" t="n">
        <f aca="false">(1+I197/2)^2-1</f>
        <v>0.0656432899999999</v>
      </c>
      <c r="K197" s="13" t="n">
        <f aca="false">(1+J197)^(-A197)</f>
        <v>0.00223491983858174</v>
      </c>
      <c r="L197" s="11" t="n">
        <f aca="false">B197+E197*Parametros!$B$8</f>
        <v>0.0646</v>
      </c>
      <c r="M197" s="12" t="n">
        <f aca="false">(1+L197/2)^2-1</f>
        <v>0.0656432899999999</v>
      </c>
      <c r="N197" s="13" t="n">
        <f aca="false">(1+M197)^(-A197)</f>
        <v>0.00223491983858174</v>
      </c>
    </row>
    <row r="198" customFormat="false" ht="15" hidden="false" customHeight="false" outlineLevel="0" collapsed="false">
      <c r="A198" s="4" t="n">
        <v>96.5</v>
      </c>
      <c r="B198" s="9" t="n">
        <v>0.0545</v>
      </c>
      <c r="C198" s="9" t="n">
        <v>0.0646</v>
      </c>
      <c r="D198" s="10" t="n">
        <f aca="false">(C198-B198)*10000</f>
        <v>101</v>
      </c>
      <c r="E198" s="11" t="n">
        <f aca="false">MAX(0,C198-B198)*(1-Parametros!$B$5)</f>
        <v>0.0101</v>
      </c>
      <c r="F198" s="11" t="n">
        <f aca="false">B198+E198*Parametros!$B$6</f>
        <v>0.0646</v>
      </c>
      <c r="G198" s="12" t="n">
        <f aca="false">(1+F198/2)^2-1</f>
        <v>0.0656432899999999</v>
      </c>
      <c r="H198" s="13" t="n">
        <f aca="false">(1+G198)^(-A198)</f>
        <v>0.00216499064088127</v>
      </c>
      <c r="I198" s="11" t="n">
        <f aca="false">B198+E198*Parametros!$B$7</f>
        <v>0.0646</v>
      </c>
      <c r="J198" s="12" t="n">
        <f aca="false">(1+I198/2)^2-1</f>
        <v>0.0656432899999999</v>
      </c>
      <c r="K198" s="13" t="n">
        <f aca="false">(1+J198)^(-A198)</f>
        <v>0.00216499064088127</v>
      </c>
      <c r="L198" s="11" t="n">
        <f aca="false">B198+E198*Parametros!$B$8</f>
        <v>0.0646</v>
      </c>
      <c r="M198" s="12" t="n">
        <f aca="false">(1+L198/2)^2-1</f>
        <v>0.0656432899999999</v>
      </c>
      <c r="N198" s="13" t="n">
        <f aca="false">(1+M198)^(-A198)</f>
        <v>0.00216499064088127</v>
      </c>
    </row>
    <row r="199" customFormat="false" ht="15" hidden="false" customHeight="false" outlineLevel="0" collapsed="false">
      <c r="A199" s="4" t="n">
        <v>97</v>
      </c>
      <c r="B199" s="9" t="n">
        <v>0.0545</v>
      </c>
      <c r="C199" s="9" t="n">
        <v>0.0646</v>
      </c>
      <c r="D199" s="10" t="n">
        <f aca="false">(C199-B199)*10000</f>
        <v>101</v>
      </c>
      <c r="E199" s="11" t="n">
        <f aca="false">MAX(0,C199-B199)*(1-Parametros!$B$5)</f>
        <v>0.0101</v>
      </c>
      <c r="F199" s="11" t="n">
        <f aca="false">B199+E199*Parametros!$B$6</f>
        <v>0.0646</v>
      </c>
      <c r="G199" s="12" t="n">
        <f aca="false">(1+F199/2)^2-1</f>
        <v>0.0656432899999999</v>
      </c>
      <c r="H199" s="13" t="n">
        <f aca="false">(1+G199)^(-A199)</f>
        <v>0.0020972494825935</v>
      </c>
      <c r="I199" s="11" t="n">
        <f aca="false">B199+E199*Parametros!$B$7</f>
        <v>0.0646</v>
      </c>
      <c r="J199" s="12" t="n">
        <f aca="false">(1+I199/2)^2-1</f>
        <v>0.0656432899999999</v>
      </c>
      <c r="K199" s="13" t="n">
        <f aca="false">(1+J199)^(-A199)</f>
        <v>0.0020972494825935</v>
      </c>
      <c r="L199" s="11" t="n">
        <f aca="false">B199+E199*Parametros!$B$8</f>
        <v>0.0646</v>
      </c>
      <c r="M199" s="12" t="n">
        <f aca="false">(1+L199/2)^2-1</f>
        <v>0.0656432899999999</v>
      </c>
      <c r="N199" s="13" t="n">
        <f aca="false">(1+M199)^(-A199)</f>
        <v>0.0020972494825935</v>
      </c>
    </row>
    <row r="200" customFormat="false" ht="15" hidden="false" customHeight="false" outlineLevel="0" collapsed="false">
      <c r="A200" s="4" t="n">
        <v>97.5</v>
      </c>
      <c r="B200" s="9" t="n">
        <v>0.0545</v>
      </c>
      <c r="C200" s="9" t="n">
        <v>0.0646</v>
      </c>
      <c r="D200" s="10" t="n">
        <f aca="false">(C200-B200)*10000</f>
        <v>101</v>
      </c>
      <c r="E200" s="11" t="n">
        <f aca="false">MAX(0,C200-B200)*(1-Parametros!$B$5)</f>
        <v>0.0101</v>
      </c>
      <c r="F200" s="11" t="n">
        <f aca="false">B200+E200*Parametros!$B$6</f>
        <v>0.0646</v>
      </c>
      <c r="G200" s="12" t="n">
        <f aca="false">(1+F200/2)^2-1</f>
        <v>0.0656432899999999</v>
      </c>
      <c r="H200" s="13" t="n">
        <f aca="false">(1+G200)^(-A200)</f>
        <v>0.00203162790137896</v>
      </c>
      <c r="I200" s="11" t="n">
        <f aca="false">B200+E200*Parametros!$B$7</f>
        <v>0.0646</v>
      </c>
      <c r="J200" s="12" t="n">
        <f aca="false">(1+I200/2)^2-1</f>
        <v>0.0656432899999999</v>
      </c>
      <c r="K200" s="13" t="n">
        <f aca="false">(1+J200)^(-A200)</f>
        <v>0.00203162790137896</v>
      </c>
      <c r="L200" s="11" t="n">
        <f aca="false">B200+E200*Parametros!$B$8</f>
        <v>0.0646</v>
      </c>
      <c r="M200" s="12" t="n">
        <f aca="false">(1+L200/2)^2-1</f>
        <v>0.0656432899999999</v>
      </c>
      <c r="N200" s="13" t="n">
        <f aca="false">(1+M200)^(-A200)</f>
        <v>0.00203162790137896</v>
      </c>
    </row>
    <row r="201" customFormat="false" ht="15" hidden="false" customHeight="false" outlineLevel="0" collapsed="false">
      <c r="A201" s="4" t="n">
        <v>98</v>
      </c>
      <c r="B201" s="9" t="n">
        <v>0.0545</v>
      </c>
      <c r="C201" s="9" t="n">
        <v>0.0646</v>
      </c>
      <c r="D201" s="10" t="n">
        <f aca="false">(C201-B201)*10000</f>
        <v>101</v>
      </c>
      <c r="E201" s="11" t="n">
        <f aca="false">MAX(0,C201-B201)*(1-Parametros!$B$5)</f>
        <v>0.0101</v>
      </c>
      <c r="F201" s="11" t="n">
        <f aca="false">B201+E201*Parametros!$B$6</f>
        <v>0.0646</v>
      </c>
      <c r="G201" s="12" t="n">
        <f aca="false">(1+F201/2)^2-1</f>
        <v>0.0656432899999999</v>
      </c>
      <c r="H201" s="13" t="n">
        <f aca="false">(1+G201)^(-A201)</f>
        <v>0.00196805957704055</v>
      </c>
      <c r="I201" s="11" t="n">
        <f aca="false">B201+E201*Parametros!$B$7</f>
        <v>0.0646</v>
      </c>
      <c r="J201" s="12" t="n">
        <f aca="false">(1+I201/2)^2-1</f>
        <v>0.0656432899999999</v>
      </c>
      <c r="K201" s="13" t="n">
        <f aca="false">(1+J201)^(-A201)</f>
        <v>0.00196805957704055</v>
      </c>
      <c r="L201" s="11" t="n">
        <f aca="false">B201+E201*Parametros!$B$8</f>
        <v>0.0646</v>
      </c>
      <c r="M201" s="12" t="n">
        <f aca="false">(1+L201/2)^2-1</f>
        <v>0.0656432899999999</v>
      </c>
      <c r="N201" s="13" t="n">
        <f aca="false">(1+M201)^(-A201)</f>
        <v>0.00196805957704055</v>
      </c>
    </row>
    <row r="202" customFormat="false" ht="15" hidden="false" customHeight="false" outlineLevel="0" collapsed="false">
      <c r="A202" s="4" t="n">
        <v>98.5</v>
      </c>
      <c r="B202" s="9" t="n">
        <v>0.0546</v>
      </c>
      <c r="C202" s="9" t="n">
        <v>0.0646</v>
      </c>
      <c r="D202" s="10" t="n">
        <f aca="false">(C202-B202)*10000</f>
        <v>100</v>
      </c>
      <c r="E202" s="11" t="n">
        <f aca="false">MAX(0,C202-B202)*(1-Parametros!$B$5)</f>
        <v>0.01</v>
      </c>
      <c r="F202" s="11" t="n">
        <f aca="false">B202+E202*Parametros!$B$6</f>
        <v>0.0646</v>
      </c>
      <c r="G202" s="12" t="n">
        <f aca="false">(1+F202/2)^2-1</f>
        <v>0.0656432899999999</v>
      </c>
      <c r="H202" s="13" t="n">
        <f aca="false">(1+G202)^(-A202)</f>
        <v>0.00190648026449729</v>
      </c>
      <c r="I202" s="11" t="n">
        <f aca="false">B202+E202*Parametros!$B$7</f>
        <v>0.0646</v>
      </c>
      <c r="J202" s="12" t="n">
        <f aca="false">(1+I202/2)^2-1</f>
        <v>0.0656432899999999</v>
      </c>
      <c r="K202" s="13" t="n">
        <f aca="false">(1+J202)^(-A202)</f>
        <v>0.00190648026449729</v>
      </c>
      <c r="L202" s="11" t="n">
        <f aca="false">B202+E202*Parametros!$B$8</f>
        <v>0.0646</v>
      </c>
      <c r="M202" s="12" t="n">
        <f aca="false">(1+L202/2)^2-1</f>
        <v>0.0656432899999999</v>
      </c>
      <c r="N202" s="13" t="n">
        <f aca="false">(1+M202)^(-A202)</f>
        <v>0.00190648026449729</v>
      </c>
    </row>
    <row r="203" customFormat="false" ht="15" hidden="false" customHeight="false" outlineLevel="0" collapsed="false">
      <c r="A203" s="4" t="n">
        <v>99</v>
      </c>
      <c r="B203" s="9" t="n">
        <v>0.0546</v>
      </c>
      <c r="C203" s="9" t="n">
        <v>0.0646</v>
      </c>
      <c r="D203" s="10" t="n">
        <f aca="false">(C203-B203)*10000</f>
        <v>100</v>
      </c>
      <c r="E203" s="11" t="n">
        <f aca="false">MAX(0,C203-B203)*(1-Parametros!$B$5)</f>
        <v>0.01</v>
      </c>
      <c r="F203" s="11" t="n">
        <f aca="false">B203+E203*Parametros!$B$6</f>
        <v>0.0646</v>
      </c>
      <c r="G203" s="12" t="n">
        <f aca="false">(1+F203/2)^2-1</f>
        <v>0.0656432899999999</v>
      </c>
      <c r="H203" s="13" t="n">
        <f aca="false">(1+G203)^(-A203)</f>
        <v>0.00184682772885527</v>
      </c>
      <c r="I203" s="11" t="n">
        <f aca="false">B203+E203*Parametros!$B$7</f>
        <v>0.0646</v>
      </c>
      <c r="J203" s="12" t="n">
        <f aca="false">(1+I203/2)^2-1</f>
        <v>0.0656432899999999</v>
      </c>
      <c r="K203" s="13" t="n">
        <f aca="false">(1+J203)^(-A203)</f>
        <v>0.00184682772885527</v>
      </c>
      <c r="L203" s="11" t="n">
        <f aca="false">B203+E203*Parametros!$B$8</f>
        <v>0.0646</v>
      </c>
      <c r="M203" s="12" t="n">
        <f aca="false">(1+L203/2)^2-1</f>
        <v>0.0656432899999999</v>
      </c>
      <c r="N203" s="13" t="n">
        <f aca="false">(1+M203)^(-A203)</f>
        <v>0.00184682772885527</v>
      </c>
    </row>
    <row r="204" customFormat="false" ht="15" hidden="false" customHeight="false" outlineLevel="0" collapsed="false">
      <c r="A204" s="4" t="n">
        <v>99.5</v>
      </c>
      <c r="B204" s="9" t="n">
        <v>0.0546</v>
      </c>
      <c r="C204" s="9" t="n">
        <v>0.0646</v>
      </c>
      <c r="D204" s="10" t="n">
        <f aca="false">(C204-B204)*10000</f>
        <v>100</v>
      </c>
      <c r="E204" s="11" t="n">
        <f aca="false">MAX(0,C204-B204)*(1-Parametros!$B$5)</f>
        <v>0.01</v>
      </c>
      <c r="F204" s="11" t="n">
        <f aca="false">B204+E204*Parametros!$B$6</f>
        <v>0.0646</v>
      </c>
      <c r="G204" s="12" t="n">
        <f aca="false">(1+F204/2)^2-1</f>
        <v>0.0656432899999999</v>
      </c>
      <c r="H204" s="13" t="n">
        <f aca="false">(1+G204)^(-A204)</f>
        <v>0.00178904168251019</v>
      </c>
      <c r="I204" s="11" t="n">
        <f aca="false">B204+E204*Parametros!$B$7</f>
        <v>0.0646</v>
      </c>
      <c r="J204" s="12" t="n">
        <f aca="false">(1+I204/2)^2-1</f>
        <v>0.0656432899999999</v>
      </c>
      <c r="K204" s="13" t="n">
        <f aca="false">(1+J204)^(-A204)</f>
        <v>0.00178904168251019</v>
      </c>
      <c r="L204" s="11" t="n">
        <f aca="false">B204+E204*Parametros!$B$8</f>
        <v>0.0646</v>
      </c>
      <c r="M204" s="12" t="n">
        <f aca="false">(1+L204/2)^2-1</f>
        <v>0.0656432899999999</v>
      </c>
      <c r="N204" s="13" t="n">
        <f aca="false">(1+M204)^(-A204)</f>
        <v>0.00178904168251019</v>
      </c>
    </row>
    <row r="205" customFormat="false" ht="15" hidden="false" customHeight="false" outlineLevel="0" collapsed="false">
      <c r="A205" s="4" t="n">
        <v>100</v>
      </c>
      <c r="B205" s="9" t="n">
        <v>0.0546</v>
      </c>
      <c r="C205" s="9" t="n">
        <v>0.0646</v>
      </c>
      <c r="D205" s="10" t="n">
        <f aca="false">(C205-B205)*10000</f>
        <v>100</v>
      </c>
      <c r="E205" s="11" t="n">
        <f aca="false">MAX(0,C205-B205)*(1-Parametros!$B$5)</f>
        <v>0.01</v>
      </c>
      <c r="F205" s="11" t="n">
        <f aca="false">B205+E205*Parametros!$B$6</f>
        <v>0.0646</v>
      </c>
      <c r="G205" s="12" t="n">
        <f aca="false">(1+F205/2)^2-1</f>
        <v>0.0656432899999999</v>
      </c>
      <c r="H205" s="13" t="n">
        <f aca="false">(1+G205)^(-A205)</f>
        <v>0.00173306372421795</v>
      </c>
      <c r="I205" s="11" t="n">
        <f aca="false">B205+E205*Parametros!$B$7</f>
        <v>0.0646</v>
      </c>
      <c r="J205" s="12" t="n">
        <f aca="false">(1+I205/2)^2-1</f>
        <v>0.0656432899999999</v>
      </c>
      <c r="K205" s="13" t="n">
        <f aca="false">(1+J205)^(-A205)</f>
        <v>0.00173306372421795</v>
      </c>
      <c r="L205" s="11" t="n">
        <f aca="false">B205+E205*Parametros!$B$8</f>
        <v>0.0646</v>
      </c>
      <c r="M205" s="12" t="n">
        <f aca="false">(1+L205/2)^2-1</f>
        <v>0.0656432899999999</v>
      </c>
      <c r="N205" s="13" t="n">
        <f aca="false">(1+M205)^(-A205)</f>
        <v>0.00173306372421795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2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0"/>
    <col collapsed="false" customWidth="true" hidden="false" outlineLevel="0" max="3" min="3" style="0" width="11"/>
    <col collapsed="false" customWidth="true" hidden="false" outlineLevel="0" max="12" min="4" style="0" width="13"/>
  </cols>
  <sheetData>
    <row r="1" customFormat="false" ht="15" hidden="false" customHeight="false" outlineLevel="0" collapsed="false">
      <c r="A1" s="1" t="s">
        <v>58</v>
      </c>
    </row>
    <row r="2" customFormat="false" ht="15" hidden="false" customHeight="false" outlineLevel="0" collapsed="false">
      <c r="A2" s="2" t="s">
        <v>59</v>
      </c>
    </row>
    <row r="4" customFormat="false" ht="42" hidden="false" customHeight="true" outlineLevel="0" collapsed="false">
      <c r="A4" s="3" t="s">
        <v>60</v>
      </c>
      <c r="B4" s="3" t="s">
        <v>42</v>
      </c>
      <c r="C4" s="3" t="s">
        <v>61</v>
      </c>
      <c r="D4" s="3" t="s">
        <v>49</v>
      </c>
      <c r="E4" s="3" t="s">
        <v>48</v>
      </c>
      <c r="F4" s="3" t="s">
        <v>62</v>
      </c>
      <c r="G4" s="3" t="s">
        <v>52</v>
      </c>
      <c r="H4" s="3" t="s">
        <v>51</v>
      </c>
      <c r="I4" s="3" t="s">
        <v>63</v>
      </c>
      <c r="J4" s="3" t="s">
        <v>55</v>
      </c>
      <c r="K4" s="3" t="s">
        <v>54</v>
      </c>
      <c r="L4" s="3" t="s">
        <v>64</v>
      </c>
    </row>
    <row r="5" customFormat="false" ht="15" hidden="false" customHeight="false" outlineLevel="0" collapsed="false">
      <c r="A5" s="4" t="n">
        <v>1</v>
      </c>
      <c r="B5" s="14" t="n">
        <f aca="false">A5/12</f>
        <v>0.0833333333333333</v>
      </c>
      <c r="C5" s="15" t="n">
        <f aca="false">INT(A5/6)</f>
        <v>0</v>
      </c>
      <c r="D5" s="16" t="n">
        <f aca="false">IF(C5=0,(1+Dic2023!$G$6)^(-B5),EXP(LN(INDEX(Dic2023!$H$6:$H$205,C5))+(LN(INDEX(Dic2023!$H$6:$H$205,MIN(C5+1,200)))-LN(INDEX(Dic2023!$H$6:$H$205,C5)))*(A5-6*C5)/6))</f>
        <v>0.995658410885187</v>
      </c>
      <c r="E5" s="12" t="n">
        <f aca="false">D5^(-1/B5)-1</f>
        <v>0.0535996025000003</v>
      </c>
      <c r="F5" s="12" t="n">
        <f aca="false">(1+E5)^(1/12)-1</f>
        <v>0.00436052070403714</v>
      </c>
      <c r="G5" s="16" t="n">
        <f aca="false">IF(C5=0,(1+Dic2023!$J$6)^(-B5),EXP(LN(INDEX(Dic2023!$K$6:$K$205,C5))+(LN(INDEX(Dic2023!$K$6:$K$205,MIN(C5+1,200)))-LN(INDEX(Dic2023!$K$6:$K$205,C5)))*(A5-6*C5)/6))</f>
        <v>0.995658410885187</v>
      </c>
      <c r="H5" s="12" t="n">
        <f aca="false">G5^(-1/B5)-1</f>
        <v>0.0535996025000003</v>
      </c>
      <c r="I5" s="12" t="n">
        <f aca="false">(1+H5)^(1/12)-1</f>
        <v>0.00436052070403714</v>
      </c>
      <c r="J5" s="16" t="n">
        <f aca="false">IF(C5=0,(1+Dic2023!$M$6)^(-B5),EXP(LN(INDEX(Dic2023!$N$6:$N$205,C5))+(LN(INDEX(Dic2023!$N$6:$N$205,MIN(C5+1,200)))-LN(INDEX(Dic2023!$N$6:$N$205,C5)))*(A5-6*C5)/6))</f>
        <v>0.995658410885187</v>
      </c>
      <c r="K5" s="12" t="n">
        <f aca="false">J5^(-1/B5)-1</f>
        <v>0.0535996025000003</v>
      </c>
      <c r="L5" s="12" t="n">
        <f aca="false">(1+K5)^(1/12)-1</f>
        <v>0.00436052070403714</v>
      </c>
    </row>
    <row r="6" customFormat="false" ht="15" hidden="false" customHeight="false" outlineLevel="0" collapsed="false">
      <c r="A6" s="4" t="n">
        <v>2</v>
      </c>
      <c r="B6" s="14" t="n">
        <f aca="false">A6/12</f>
        <v>0.166666666666667</v>
      </c>
      <c r="C6" s="15" t="n">
        <f aca="false">INT(A6/6)</f>
        <v>0</v>
      </c>
      <c r="D6" s="16" t="n">
        <f aca="false">IF(C6=0,(1+Dic2023!$G$6)^(-B6),EXP(LN(INDEX(Dic2023!$H$6:$H$205,C6))+(LN(INDEX(Dic2023!$H$6:$H$205,MIN(C6+1,200)))-LN(INDEX(Dic2023!$H$6:$H$205,C6)))*(A6-6*C6)/6))</f>
        <v>0.991335671166415</v>
      </c>
      <c r="E6" s="12" t="n">
        <f aca="false">D6^(-1/B6)-1</f>
        <v>0.0535996025000001</v>
      </c>
      <c r="F6" s="12" t="n">
        <f aca="false">(1+E6)^(1/12)-1</f>
        <v>0.00436052070403714</v>
      </c>
      <c r="G6" s="16" t="n">
        <f aca="false">IF(C6=0,(1+Dic2023!$J$6)^(-B6),EXP(LN(INDEX(Dic2023!$K$6:$K$205,C6))+(LN(INDEX(Dic2023!$K$6:$K$205,MIN(C6+1,200)))-LN(INDEX(Dic2023!$K$6:$K$205,C6)))*(A6-6*C6)/6))</f>
        <v>0.991335671166415</v>
      </c>
      <c r="H6" s="12" t="n">
        <f aca="false">G6^(-1/B6)-1</f>
        <v>0.0535996025000001</v>
      </c>
      <c r="I6" s="12" t="n">
        <f aca="false">(1+H6)^(1/12)-1</f>
        <v>0.00436052070403714</v>
      </c>
      <c r="J6" s="16" t="n">
        <f aca="false">IF(C6=0,(1+Dic2023!$M$6)^(-B6),EXP(LN(INDEX(Dic2023!$N$6:$N$205,C6))+(LN(INDEX(Dic2023!$N$6:$N$205,MIN(C6+1,200)))-LN(INDEX(Dic2023!$N$6:$N$205,C6)))*(A6-6*C6)/6))</f>
        <v>0.991335671166415</v>
      </c>
      <c r="K6" s="12" t="n">
        <f aca="false">J6^(-1/B6)-1</f>
        <v>0.0535996025000001</v>
      </c>
      <c r="L6" s="12" t="n">
        <f aca="false">(1+K6)^(1/12)-1</f>
        <v>0.00436052070403714</v>
      </c>
    </row>
    <row r="7" customFormat="false" ht="15" hidden="false" customHeight="false" outlineLevel="0" collapsed="false">
      <c r="A7" s="4" t="n">
        <v>3</v>
      </c>
      <c r="B7" s="14" t="n">
        <f aca="false">A7/12</f>
        <v>0.25</v>
      </c>
      <c r="C7" s="15" t="n">
        <f aca="false">INT(A7/6)</f>
        <v>0</v>
      </c>
      <c r="D7" s="16" t="n">
        <f aca="false">IF(C7=0,(1+Dic2023!$G$6)^(-B7),EXP(LN(INDEX(Dic2023!$H$6:$H$205,C7))+(LN(INDEX(Dic2023!$H$6:$H$205,MIN(C7+1,200)))-LN(INDEX(Dic2023!$H$6:$H$205,C7)))*(A7-6*C7)/6))</f>
        <v>0.987031699007352</v>
      </c>
      <c r="E7" s="12" t="n">
        <f aca="false">D7^(-1/B7)-1</f>
        <v>0.0535996024999998</v>
      </c>
      <c r="F7" s="12" t="n">
        <f aca="false">(1+E7)^(1/12)-1</f>
        <v>0.00436052070403714</v>
      </c>
      <c r="G7" s="16" t="n">
        <f aca="false">IF(C7=0,(1+Dic2023!$J$6)^(-B7),EXP(LN(INDEX(Dic2023!$K$6:$K$205,C7))+(LN(INDEX(Dic2023!$K$6:$K$205,MIN(C7+1,200)))-LN(INDEX(Dic2023!$K$6:$K$205,C7)))*(A7-6*C7)/6))</f>
        <v>0.987031699007352</v>
      </c>
      <c r="H7" s="12" t="n">
        <f aca="false">G7^(-1/B7)-1</f>
        <v>0.0535996024999998</v>
      </c>
      <c r="I7" s="12" t="n">
        <f aca="false">(1+H7)^(1/12)-1</f>
        <v>0.00436052070403714</v>
      </c>
      <c r="J7" s="16" t="n">
        <f aca="false">IF(C7=0,(1+Dic2023!$M$6)^(-B7),EXP(LN(INDEX(Dic2023!$N$6:$N$205,C7))+(LN(INDEX(Dic2023!$N$6:$N$205,MIN(C7+1,200)))-LN(INDEX(Dic2023!$N$6:$N$205,C7)))*(A7-6*C7)/6))</f>
        <v>0.987031699007352</v>
      </c>
      <c r="K7" s="12" t="n">
        <f aca="false">J7^(-1/B7)-1</f>
        <v>0.0535996024999998</v>
      </c>
      <c r="L7" s="12" t="n">
        <f aca="false">(1+K7)^(1/12)-1</f>
        <v>0.00436052070403714</v>
      </c>
    </row>
    <row r="8" customFormat="false" ht="15" hidden="false" customHeight="false" outlineLevel="0" collapsed="false">
      <c r="A8" s="4" t="n">
        <v>4</v>
      </c>
      <c r="B8" s="14" t="n">
        <f aca="false">A8/12</f>
        <v>0.333333333333333</v>
      </c>
      <c r="C8" s="15" t="n">
        <f aca="false">INT(A8/6)</f>
        <v>0</v>
      </c>
      <c r="D8" s="16" t="n">
        <f aca="false">IF(C8=0,(1+Dic2023!$G$6)^(-B8),EXP(LN(INDEX(Dic2023!$H$6:$H$205,C8))+(LN(INDEX(Dic2023!$H$6:$H$205,MIN(C8+1,200)))-LN(INDEX(Dic2023!$H$6:$H$205,C8)))*(A8-6*C8)/6))</f>
        <v>0.982746412926966</v>
      </c>
      <c r="E8" s="12" t="n">
        <f aca="false">D8^(-1/B8)-1</f>
        <v>0.0535996025000001</v>
      </c>
      <c r="F8" s="12" t="n">
        <f aca="false">(1+E8)^(1/12)-1</f>
        <v>0.00436052070403714</v>
      </c>
      <c r="G8" s="16" t="n">
        <f aca="false">IF(C8=0,(1+Dic2023!$J$6)^(-B8),EXP(LN(INDEX(Dic2023!$K$6:$K$205,C8))+(LN(INDEX(Dic2023!$K$6:$K$205,MIN(C8+1,200)))-LN(INDEX(Dic2023!$K$6:$K$205,C8)))*(A8-6*C8)/6))</f>
        <v>0.982746412926966</v>
      </c>
      <c r="H8" s="12" t="n">
        <f aca="false">G8^(-1/B8)-1</f>
        <v>0.0535996025000001</v>
      </c>
      <c r="I8" s="12" t="n">
        <f aca="false">(1+H8)^(1/12)-1</f>
        <v>0.00436052070403714</v>
      </c>
      <c r="J8" s="16" t="n">
        <f aca="false">IF(C8=0,(1+Dic2023!$M$6)^(-B8),EXP(LN(INDEX(Dic2023!$N$6:$N$205,C8))+(LN(INDEX(Dic2023!$N$6:$N$205,MIN(C8+1,200)))-LN(INDEX(Dic2023!$N$6:$N$205,C8)))*(A8-6*C8)/6))</f>
        <v>0.982746412926966</v>
      </c>
      <c r="K8" s="12" t="n">
        <f aca="false">J8^(-1/B8)-1</f>
        <v>0.0535996025000001</v>
      </c>
      <c r="L8" s="12" t="n">
        <f aca="false">(1+K8)^(1/12)-1</f>
        <v>0.00436052070403714</v>
      </c>
    </row>
    <row r="9" customFormat="false" ht="15" hidden="false" customHeight="false" outlineLevel="0" collapsed="false">
      <c r="A9" s="4" t="n">
        <v>5</v>
      </c>
      <c r="B9" s="14" t="n">
        <f aca="false">A9/12</f>
        <v>0.416666666666667</v>
      </c>
      <c r="C9" s="15" t="n">
        <f aca="false">INT(A9/6)</f>
        <v>0</v>
      </c>
      <c r="D9" s="16" t="n">
        <f aca="false">IF(C9=0,(1+Dic2023!$G$6)^(-B9),EXP(LN(INDEX(Dic2023!$H$6:$H$205,C9))+(LN(INDEX(Dic2023!$H$6:$H$205,MIN(C9+1,200)))-LN(INDEX(Dic2023!$H$6:$H$205,C9)))*(A9-6*C9)/6))</f>
        <v>0.97847973179798</v>
      </c>
      <c r="E9" s="12" t="n">
        <f aca="false">D9^(-1/B9)-1</f>
        <v>0.0535996025000001</v>
      </c>
      <c r="F9" s="12" t="n">
        <f aca="false">(1+E9)^(1/12)-1</f>
        <v>0.00436052070403714</v>
      </c>
      <c r="G9" s="16" t="n">
        <f aca="false">IF(C9=0,(1+Dic2023!$J$6)^(-B9),EXP(LN(INDEX(Dic2023!$K$6:$K$205,C9))+(LN(INDEX(Dic2023!$K$6:$K$205,MIN(C9+1,200)))-LN(INDEX(Dic2023!$K$6:$K$205,C9)))*(A9-6*C9)/6))</f>
        <v>0.97847973179798</v>
      </c>
      <c r="H9" s="12" t="n">
        <f aca="false">G9^(-1/B9)-1</f>
        <v>0.0535996025000001</v>
      </c>
      <c r="I9" s="12" t="n">
        <f aca="false">(1+H9)^(1/12)-1</f>
        <v>0.00436052070403714</v>
      </c>
      <c r="J9" s="16" t="n">
        <f aca="false">IF(C9=0,(1+Dic2023!$M$6)^(-B9),EXP(LN(INDEX(Dic2023!$N$6:$N$205,C9))+(LN(INDEX(Dic2023!$N$6:$N$205,MIN(C9+1,200)))-LN(INDEX(Dic2023!$N$6:$N$205,C9)))*(A9-6*C9)/6))</f>
        <v>0.97847973179798</v>
      </c>
      <c r="K9" s="12" t="n">
        <f aca="false">J9^(-1/B9)-1</f>
        <v>0.0535996025000001</v>
      </c>
      <c r="L9" s="12" t="n">
        <f aca="false">(1+K9)^(1/12)-1</f>
        <v>0.00436052070403714</v>
      </c>
    </row>
    <row r="10" customFormat="false" ht="15" hidden="false" customHeight="false" outlineLevel="0" collapsed="false">
      <c r="A10" s="4" t="n">
        <v>6</v>
      </c>
      <c r="B10" s="14" t="n">
        <f aca="false">A10/12</f>
        <v>0.5</v>
      </c>
      <c r="C10" s="15" t="n">
        <f aca="false">INT(A10/6)</f>
        <v>1</v>
      </c>
      <c r="D10" s="16" t="n">
        <f aca="false">IF(C10=0,(1+Dic2023!$G$6)^(-B10),EXP(LN(INDEX(Dic2023!$H$6:$H$205,C10))+(LN(INDEX(Dic2023!$H$6:$H$205,MIN(C10+1,200)))-LN(INDEX(Dic2023!$H$6:$H$205,C10)))*(A10-6*C10)/6))</f>
        <v>0.974231574845341</v>
      </c>
      <c r="E10" s="12" t="n">
        <f aca="false">D10^(-1/B10)-1</f>
        <v>0.0535996025000001</v>
      </c>
      <c r="F10" s="12" t="n">
        <f aca="false">(1+E10)^(1/12)-1</f>
        <v>0.00436052070403714</v>
      </c>
      <c r="G10" s="16" t="n">
        <f aca="false">IF(C10=0,(1+Dic2023!$J$6)^(-B10),EXP(LN(INDEX(Dic2023!$K$6:$K$205,C10))+(LN(INDEX(Dic2023!$K$6:$K$205,MIN(C10+1,200)))-LN(INDEX(Dic2023!$K$6:$K$205,C10)))*(A10-6*C10)/6))</f>
        <v>0.974231574845341</v>
      </c>
      <c r="H10" s="12" t="n">
        <f aca="false">G10^(-1/B10)-1</f>
        <v>0.0535996025000001</v>
      </c>
      <c r="I10" s="12" t="n">
        <f aca="false">(1+H10)^(1/12)-1</f>
        <v>0.00436052070403714</v>
      </c>
      <c r="J10" s="16" t="n">
        <f aca="false">IF(C10=0,(1+Dic2023!$M$6)^(-B10),EXP(LN(INDEX(Dic2023!$N$6:$N$205,C10))+(LN(INDEX(Dic2023!$N$6:$N$205,MIN(C10+1,200)))-LN(INDEX(Dic2023!$N$6:$N$205,C10)))*(A10-6*C10)/6))</f>
        <v>0.974231574845341</v>
      </c>
      <c r="K10" s="12" t="n">
        <f aca="false">J10^(-1/B10)-1</f>
        <v>0.0535996025000001</v>
      </c>
      <c r="L10" s="12" t="n">
        <f aca="false">(1+K10)^(1/12)-1</f>
        <v>0.00436052070403714</v>
      </c>
    </row>
    <row r="11" customFormat="false" ht="15" hidden="false" customHeight="false" outlineLevel="0" collapsed="false">
      <c r="A11" s="4" t="n">
        <v>7</v>
      </c>
      <c r="B11" s="14" t="n">
        <f aca="false">A11/12</f>
        <v>0.583333333333333</v>
      </c>
      <c r="C11" s="15" t="n">
        <f aca="false">INT(A11/6)</f>
        <v>1</v>
      </c>
      <c r="D11" s="16" t="n">
        <f aca="false">IF(C11=0,(1+Dic2023!$G$6)^(-B11),EXP(LN(INDEX(Dic2023!$H$6:$H$205,C11))+(LN(INDEX(Dic2023!$H$6:$H$205,MIN(C11+1,200)))-LN(INDEX(Dic2023!$H$6:$H$205,C11)))*(A11-6*C11)/6))</f>
        <v>0.970269761381276</v>
      </c>
      <c r="E11" s="12" t="n">
        <f aca="false">D11^(-1/B11)-1</f>
        <v>0.0531009525671369</v>
      </c>
      <c r="F11" s="12" t="n">
        <f aca="false">(1+E11)^(1/12)-1</f>
        <v>0.00432089994604978</v>
      </c>
      <c r="G11" s="16" t="n">
        <f aca="false">IF(C11=0,(1+Dic2023!$J$6)^(-B11),EXP(LN(INDEX(Dic2023!$K$6:$K$205,C11))+(LN(INDEX(Dic2023!$K$6:$K$205,MIN(C11+1,200)))-LN(INDEX(Dic2023!$K$6:$K$205,C11)))*(A11-6*C11)/6))</f>
        <v>0.970269761381276</v>
      </c>
      <c r="H11" s="12" t="n">
        <f aca="false">G11^(-1/B11)-1</f>
        <v>0.0531009525671369</v>
      </c>
      <c r="I11" s="12" t="n">
        <f aca="false">(1+H11)^(1/12)-1</f>
        <v>0.00432089994604978</v>
      </c>
      <c r="J11" s="16" t="n">
        <f aca="false">IF(C11=0,(1+Dic2023!$M$6)^(-B11),EXP(LN(INDEX(Dic2023!$N$6:$N$205,C11))+(LN(INDEX(Dic2023!$N$6:$N$205,MIN(C11+1,200)))-LN(INDEX(Dic2023!$N$6:$N$205,C11)))*(A11-6*C11)/6))</f>
        <v>0.970269761381276</v>
      </c>
      <c r="K11" s="12" t="n">
        <f aca="false">J11^(-1/B11)-1</f>
        <v>0.0531009525671369</v>
      </c>
      <c r="L11" s="12" t="n">
        <f aca="false">(1+K11)^(1/12)-1</f>
        <v>0.00432089994604978</v>
      </c>
    </row>
    <row r="12" customFormat="false" ht="15" hidden="false" customHeight="false" outlineLevel="0" collapsed="false">
      <c r="A12" s="4" t="n">
        <v>8</v>
      </c>
      <c r="B12" s="14" t="n">
        <f aca="false">A12/12</f>
        <v>0.666666666666667</v>
      </c>
      <c r="C12" s="15" t="n">
        <f aca="false">INT(A12/6)</f>
        <v>1</v>
      </c>
      <c r="D12" s="16" t="n">
        <f aca="false">IF(C12=0,(1+Dic2023!$G$6)^(-B12),EXP(LN(INDEX(Dic2023!$H$6:$H$205,C12))+(LN(INDEX(Dic2023!$H$6:$H$205,MIN(C12+1,200)))-LN(INDEX(Dic2023!$H$6:$H$205,C12)))*(A12-6*C12)/6))</f>
        <v>0.966324059041433</v>
      </c>
      <c r="E12" s="12" t="n">
        <f aca="false">D12^(-1/B12)-1</f>
        <v>0.0527271200000001</v>
      </c>
      <c r="F12" s="12" t="n">
        <f aca="false">(1+E12)^(1/12)-1</f>
        <v>0.00429118540327433</v>
      </c>
      <c r="G12" s="16" t="n">
        <f aca="false">IF(C12=0,(1+Dic2023!$J$6)^(-B12),EXP(LN(INDEX(Dic2023!$K$6:$K$205,C12))+(LN(INDEX(Dic2023!$K$6:$K$205,MIN(C12+1,200)))-LN(INDEX(Dic2023!$K$6:$K$205,C12)))*(A12-6*C12)/6))</f>
        <v>0.966324059041433</v>
      </c>
      <c r="H12" s="12" t="n">
        <f aca="false">G12^(-1/B12)-1</f>
        <v>0.0527271200000001</v>
      </c>
      <c r="I12" s="12" t="n">
        <f aca="false">(1+H12)^(1/12)-1</f>
        <v>0.00429118540327433</v>
      </c>
      <c r="J12" s="16" t="n">
        <f aca="false">IF(C12=0,(1+Dic2023!$M$6)^(-B12),EXP(LN(INDEX(Dic2023!$N$6:$N$205,C12))+(LN(INDEX(Dic2023!$N$6:$N$205,MIN(C12+1,200)))-LN(INDEX(Dic2023!$N$6:$N$205,C12)))*(A12-6*C12)/6))</f>
        <v>0.966324059041433</v>
      </c>
      <c r="K12" s="12" t="n">
        <f aca="false">J12^(-1/B12)-1</f>
        <v>0.0527271200000001</v>
      </c>
      <c r="L12" s="12" t="n">
        <f aca="false">(1+K12)^(1/12)-1</f>
        <v>0.00429118540327433</v>
      </c>
    </row>
    <row r="13" customFormat="false" ht="15" hidden="false" customHeight="false" outlineLevel="0" collapsed="false">
      <c r="A13" s="4" t="n">
        <v>9</v>
      </c>
      <c r="B13" s="14" t="n">
        <f aca="false">A13/12</f>
        <v>0.75</v>
      </c>
      <c r="C13" s="15" t="n">
        <f aca="false">INT(A13/6)</f>
        <v>1</v>
      </c>
      <c r="D13" s="16" t="n">
        <f aca="false">IF(C13=0,(1+Dic2023!$G$6)^(-B13),EXP(LN(INDEX(Dic2023!$H$6:$H$205,C13))+(LN(INDEX(Dic2023!$H$6:$H$205,MIN(C13+1,200)))-LN(INDEX(Dic2023!$H$6:$H$205,C13)))*(A13-6*C13)/6))</f>
        <v>0.962394402308261</v>
      </c>
      <c r="E13" s="12" t="n">
        <f aca="false">D13^(-1/B13)-1</f>
        <v>0.0524364530851116</v>
      </c>
      <c r="F13" s="12" t="n">
        <f aca="false">(1+E13)^(1/12)-1</f>
        <v>0.0042680747000392</v>
      </c>
      <c r="G13" s="16" t="n">
        <f aca="false">IF(C13=0,(1+Dic2023!$J$6)^(-B13),EXP(LN(INDEX(Dic2023!$K$6:$K$205,C13))+(LN(INDEX(Dic2023!$K$6:$K$205,MIN(C13+1,200)))-LN(INDEX(Dic2023!$K$6:$K$205,C13)))*(A13-6*C13)/6))</f>
        <v>0.962394402308261</v>
      </c>
      <c r="H13" s="12" t="n">
        <f aca="false">G13^(-1/B13)-1</f>
        <v>0.0524364530851116</v>
      </c>
      <c r="I13" s="12" t="n">
        <f aca="false">(1+H13)^(1/12)-1</f>
        <v>0.0042680747000392</v>
      </c>
      <c r="J13" s="16" t="n">
        <f aca="false">IF(C13=0,(1+Dic2023!$M$6)^(-B13),EXP(LN(INDEX(Dic2023!$N$6:$N$205,C13))+(LN(INDEX(Dic2023!$N$6:$N$205,MIN(C13+1,200)))-LN(INDEX(Dic2023!$N$6:$N$205,C13)))*(A13-6*C13)/6))</f>
        <v>0.962394402308261</v>
      </c>
      <c r="K13" s="12" t="n">
        <f aca="false">J13^(-1/B13)-1</f>
        <v>0.0524364530851116</v>
      </c>
      <c r="L13" s="12" t="n">
        <f aca="false">(1+K13)^(1/12)-1</f>
        <v>0.0042680747000392</v>
      </c>
    </row>
    <row r="14" customFormat="false" ht="15" hidden="false" customHeight="false" outlineLevel="0" collapsed="false">
      <c r="A14" s="4" t="n">
        <v>10</v>
      </c>
      <c r="B14" s="14" t="n">
        <f aca="false">A14/12</f>
        <v>0.833333333333333</v>
      </c>
      <c r="C14" s="15" t="n">
        <f aca="false">INT(A14/6)</f>
        <v>1</v>
      </c>
      <c r="D14" s="16" t="n">
        <f aca="false">IF(C14=0,(1+Dic2023!$G$6)^(-B14),EXP(LN(INDEX(Dic2023!$H$6:$H$205,C14))+(LN(INDEX(Dic2023!$H$6:$H$205,MIN(C14+1,200)))-LN(INDEX(Dic2023!$H$6:$H$205,C14)))*(A14-6*C14)/6))</f>
        <v>0.958480725930639</v>
      </c>
      <c r="E14" s="12" t="n">
        <f aca="false">D14^(-1/B14)-1</f>
        <v>0.0522039773383025</v>
      </c>
      <c r="F14" s="12" t="n">
        <f aca="false">(1+E14)^(1/12)-1</f>
        <v>0.00424958652036378</v>
      </c>
      <c r="G14" s="16" t="n">
        <f aca="false">IF(C14=0,(1+Dic2023!$J$6)^(-B14),EXP(LN(INDEX(Dic2023!$K$6:$K$205,C14))+(LN(INDEX(Dic2023!$K$6:$K$205,MIN(C14+1,200)))-LN(INDEX(Dic2023!$K$6:$K$205,C14)))*(A14-6*C14)/6))</f>
        <v>0.958480725930639</v>
      </c>
      <c r="H14" s="12" t="n">
        <f aca="false">G14^(-1/B14)-1</f>
        <v>0.0522039773383025</v>
      </c>
      <c r="I14" s="12" t="n">
        <f aca="false">(1+H14)^(1/12)-1</f>
        <v>0.00424958652036378</v>
      </c>
      <c r="J14" s="16" t="n">
        <f aca="false">IF(C14=0,(1+Dic2023!$M$6)^(-B14),EXP(LN(INDEX(Dic2023!$N$6:$N$205,C14))+(LN(INDEX(Dic2023!$N$6:$N$205,MIN(C14+1,200)))-LN(INDEX(Dic2023!$N$6:$N$205,C14)))*(A14-6*C14)/6))</f>
        <v>0.958480725930639</v>
      </c>
      <c r="K14" s="12" t="n">
        <f aca="false">J14^(-1/B14)-1</f>
        <v>0.0522039773383025</v>
      </c>
      <c r="L14" s="12" t="n">
        <f aca="false">(1+K14)^(1/12)-1</f>
        <v>0.00424958652036378</v>
      </c>
    </row>
    <row r="15" customFormat="false" ht="15" hidden="false" customHeight="false" outlineLevel="0" collapsed="false">
      <c r="A15" s="4" t="n">
        <v>11</v>
      </c>
      <c r="B15" s="14" t="n">
        <f aca="false">A15/12</f>
        <v>0.916666666666667</v>
      </c>
      <c r="C15" s="15" t="n">
        <f aca="false">INT(A15/6)</f>
        <v>1</v>
      </c>
      <c r="D15" s="16" t="n">
        <f aca="false">IF(C15=0,(1+Dic2023!$G$6)^(-B15),EXP(LN(INDEX(Dic2023!$H$6:$H$205,C15))+(LN(INDEX(Dic2023!$H$6:$H$205,MIN(C15+1,200)))-LN(INDEX(Dic2023!$H$6:$H$205,C15)))*(A15-6*C15)/6))</f>
        <v>0.954582964922799</v>
      </c>
      <c r="E15" s="12" t="n">
        <f aca="false">D15^(-1/B15)-1</f>
        <v>0.0520138081054899</v>
      </c>
      <c r="F15" s="12" t="n">
        <f aca="false">(1+E15)^(1/12)-1</f>
        <v>0.00423446008106287</v>
      </c>
      <c r="G15" s="16" t="n">
        <f aca="false">IF(C15=0,(1+Dic2023!$J$6)^(-B15),EXP(LN(INDEX(Dic2023!$K$6:$K$205,C15))+(LN(INDEX(Dic2023!$K$6:$K$205,MIN(C15+1,200)))-LN(INDEX(Dic2023!$K$6:$K$205,C15)))*(A15-6*C15)/6))</f>
        <v>0.954582964922799</v>
      </c>
      <c r="H15" s="12" t="n">
        <f aca="false">G15^(-1/B15)-1</f>
        <v>0.0520138081054899</v>
      </c>
      <c r="I15" s="12" t="n">
        <f aca="false">(1+H15)^(1/12)-1</f>
        <v>0.00423446008106287</v>
      </c>
      <c r="J15" s="16" t="n">
        <f aca="false">IF(C15=0,(1+Dic2023!$M$6)^(-B15),EXP(LN(INDEX(Dic2023!$N$6:$N$205,C15))+(LN(INDEX(Dic2023!$N$6:$N$205,MIN(C15+1,200)))-LN(INDEX(Dic2023!$N$6:$N$205,C15)))*(A15-6*C15)/6))</f>
        <v>0.954582964922799</v>
      </c>
      <c r="K15" s="12" t="n">
        <f aca="false">J15^(-1/B15)-1</f>
        <v>0.0520138081054899</v>
      </c>
      <c r="L15" s="12" t="n">
        <f aca="false">(1+K15)^(1/12)-1</f>
        <v>0.00423446008106287</v>
      </c>
    </row>
    <row r="16" customFormat="false" ht="15" hidden="false" customHeight="false" outlineLevel="0" collapsed="false">
      <c r="A16" s="4" t="n">
        <v>12</v>
      </c>
      <c r="B16" s="14" t="n">
        <f aca="false">A16/12</f>
        <v>1</v>
      </c>
      <c r="C16" s="15" t="n">
        <f aca="false">INT(A16/6)</f>
        <v>2</v>
      </c>
      <c r="D16" s="16" t="n">
        <f aca="false">IF(C16=0,(1+Dic2023!$G$6)^(-B16),EXP(LN(INDEX(Dic2023!$H$6:$H$205,C16))+(LN(INDEX(Dic2023!$H$6:$H$205,MIN(C16+1,200)))-LN(INDEX(Dic2023!$H$6:$H$205,C16)))*(A16-6*C16)/6))</f>
        <v>0.950701054563243</v>
      </c>
      <c r="E16" s="12" t="n">
        <f aca="false">D16^(-1/B16)-1</f>
        <v>0.0518553600000002</v>
      </c>
      <c r="F16" s="12" t="n">
        <f aca="false">(1+E16)^(1/12)-1</f>
        <v>0.00422185488902382</v>
      </c>
      <c r="G16" s="16" t="n">
        <f aca="false">IF(C16=0,(1+Dic2023!$J$6)^(-B16),EXP(LN(INDEX(Dic2023!$K$6:$K$205,C16))+(LN(INDEX(Dic2023!$K$6:$K$205,MIN(C16+1,200)))-LN(INDEX(Dic2023!$K$6:$K$205,C16)))*(A16-6*C16)/6))</f>
        <v>0.950701054563243</v>
      </c>
      <c r="H16" s="12" t="n">
        <f aca="false">G16^(-1/B16)-1</f>
        <v>0.0518553600000002</v>
      </c>
      <c r="I16" s="12" t="n">
        <f aca="false">(1+H16)^(1/12)-1</f>
        <v>0.00422185488902382</v>
      </c>
      <c r="J16" s="16" t="n">
        <f aca="false">IF(C16=0,(1+Dic2023!$M$6)^(-B16),EXP(LN(INDEX(Dic2023!$N$6:$N$205,C16))+(LN(INDEX(Dic2023!$N$6:$N$205,MIN(C16+1,200)))-LN(INDEX(Dic2023!$N$6:$N$205,C16)))*(A16-6*C16)/6))</f>
        <v>0.950701054563243</v>
      </c>
      <c r="K16" s="12" t="n">
        <f aca="false">J16^(-1/B16)-1</f>
        <v>0.0518553600000002</v>
      </c>
      <c r="L16" s="12" t="n">
        <f aca="false">(1+K16)^(1/12)-1</f>
        <v>0.00422185488902382</v>
      </c>
    </row>
    <row r="17" customFormat="false" ht="15" hidden="false" customHeight="false" outlineLevel="0" collapsed="false">
      <c r="A17" s="4" t="n">
        <v>13</v>
      </c>
      <c r="B17" s="14" t="n">
        <f aca="false">A17/12</f>
        <v>1.08333333333333</v>
      </c>
      <c r="C17" s="15" t="n">
        <f aca="false">INT(A17/6)</f>
        <v>2</v>
      </c>
      <c r="D17" s="16" t="n">
        <f aca="false">IF(C17=0,(1+Dic2023!$G$6)^(-B17),EXP(LN(INDEX(Dic2023!$H$6:$H$205,C17))+(LN(INDEX(Dic2023!$H$6:$H$205,MIN(C17+1,200)))-LN(INDEX(Dic2023!$H$6:$H$205,C17)))*(A17-6*C17)/6))</f>
        <v>0.947050549317513</v>
      </c>
      <c r="E17" s="12" t="n">
        <f aca="false">D17^(-1/B17)-1</f>
        <v>0.0515002746927107</v>
      </c>
      <c r="F17" s="12" t="n">
        <f aca="false">(1+E17)^(1/12)-1</f>
        <v>0.0041936000845757</v>
      </c>
      <c r="G17" s="16" t="n">
        <f aca="false">IF(C17=0,(1+Dic2023!$J$6)^(-B17),EXP(LN(INDEX(Dic2023!$K$6:$K$205,C17))+(LN(INDEX(Dic2023!$K$6:$K$205,MIN(C17+1,200)))-LN(INDEX(Dic2023!$K$6:$K$205,C17)))*(A17-6*C17)/6))</f>
        <v>0.947050549317513</v>
      </c>
      <c r="H17" s="12" t="n">
        <f aca="false">G17^(-1/B17)-1</f>
        <v>0.0515002746927107</v>
      </c>
      <c r="I17" s="12" t="n">
        <f aca="false">(1+H17)^(1/12)-1</f>
        <v>0.0041936000845757</v>
      </c>
      <c r="J17" s="16" t="n">
        <f aca="false">IF(C17=0,(1+Dic2023!$M$6)^(-B17),EXP(LN(INDEX(Dic2023!$N$6:$N$205,C17))+(LN(INDEX(Dic2023!$N$6:$N$205,MIN(C17+1,200)))-LN(INDEX(Dic2023!$N$6:$N$205,C17)))*(A17-6*C17)/6))</f>
        <v>0.947050549317513</v>
      </c>
      <c r="K17" s="12" t="n">
        <f aca="false">J17^(-1/B17)-1</f>
        <v>0.0515002746927107</v>
      </c>
      <c r="L17" s="12" t="n">
        <f aca="false">(1+K17)^(1/12)-1</f>
        <v>0.0041936000845757</v>
      </c>
    </row>
    <row r="18" customFormat="false" ht="15" hidden="false" customHeight="false" outlineLevel="0" collapsed="false">
      <c r="A18" s="4" t="n">
        <v>14</v>
      </c>
      <c r="B18" s="14" t="n">
        <f aca="false">A18/12</f>
        <v>1.16666666666667</v>
      </c>
      <c r="C18" s="15" t="n">
        <f aca="false">INT(A18/6)</f>
        <v>2</v>
      </c>
      <c r="D18" s="16" t="n">
        <f aca="false">IF(C18=0,(1+Dic2023!$G$6)^(-B18),EXP(LN(INDEX(Dic2023!$H$6:$H$205,C18))+(LN(INDEX(Dic2023!$H$6:$H$205,MIN(C18+1,200)))-LN(INDEX(Dic2023!$H$6:$H$205,C18)))*(A18-6*C18)/6))</f>
        <v>0.943414061294636</v>
      </c>
      <c r="E18" s="12" t="n">
        <f aca="false">D18^(-1/B18)-1</f>
        <v>0.0511960112659124</v>
      </c>
      <c r="F18" s="12" t="n">
        <f aca="false">(1+E18)^(1/12)-1</f>
        <v>0.00416938231350095</v>
      </c>
      <c r="G18" s="16" t="n">
        <f aca="false">IF(C18=0,(1+Dic2023!$J$6)^(-B18),EXP(LN(INDEX(Dic2023!$K$6:$K$205,C18))+(LN(INDEX(Dic2023!$K$6:$K$205,MIN(C18+1,200)))-LN(INDEX(Dic2023!$K$6:$K$205,C18)))*(A18-6*C18)/6))</f>
        <v>0.943414061294636</v>
      </c>
      <c r="H18" s="12" t="n">
        <f aca="false">G18^(-1/B18)-1</f>
        <v>0.0511960112659124</v>
      </c>
      <c r="I18" s="12" t="n">
        <f aca="false">(1+H18)^(1/12)-1</f>
        <v>0.00416938231350095</v>
      </c>
      <c r="J18" s="16" t="n">
        <f aca="false">IF(C18=0,(1+Dic2023!$M$6)^(-B18),EXP(LN(INDEX(Dic2023!$N$6:$N$205,C18))+(LN(INDEX(Dic2023!$N$6:$N$205,MIN(C18+1,200)))-LN(INDEX(Dic2023!$N$6:$N$205,C18)))*(A18-6*C18)/6))</f>
        <v>0.943414061294636</v>
      </c>
      <c r="K18" s="12" t="n">
        <f aca="false">J18^(-1/B18)-1</f>
        <v>0.0511960112659124</v>
      </c>
      <c r="L18" s="12" t="n">
        <f aca="false">(1+K18)^(1/12)-1</f>
        <v>0.00416938231350095</v>
      </c>
    </row>
    <row r="19" customFormat="false" ht="15" hidden="false" customHeight="false" outlineLevel="0" collapsed="false">
      <c r="A19" s="4" t="n">
        <v>15</v>
      </c>
      <c r="B19" s="14" t="n">
        <f aca="false">A19/12</f>
        <v>1.25</v>
      </c>
      <c r="C19" s="15" t="n">
        <f aca="false">INT(A19/6)</f>
        <v>2</v>
      </c>
      <c r="D19" s="16" t="n">
        <f aca="false">IF(C19=0,(1+Dic2023!$G$6)^(-B19),EXP(LN(INDEX(Dic2023!$H$6:$H$205,C19))+(LN(INDEX(Dic2023!$H$6:$H$205,MIN(C19+1,200)))-LN(INDEX(Dic2023!$H$6:$H$205,C19)))*(A19-6*C19)/6))</f>
        <v>0.939791536671232</v>
      </c>
      <c r="E19" s="12" t="n">
        <f aca="false">D19^(-1/B19)-1</f>
        <v>0.0509323875131675</v>
      </c>
      <c r="F19" s="12" t="n">
        <f aca="false">(1+E19)^(1/12)-1</f>
        <v>0.00414839405100254</v>
      </c>
      <c r="G19" s="16" t="n">
        <f aca="false">IF(C19=0,(1+Dic2023!$J$6)^(-B19),EXP(LN(INDEX(Dic2023!$K$6:$K$205,C19))+(LN(INDEX(Dic2023!$K$6:$K$205,MIN(C19+1,200)))-LN(INDEX(Dic2023!$K$6:$K$205,C19)))*(A19-6*C19)/6))</f>
        <v>0.939791536671232</v>
      </c>
      <c r="H19" s="12" t="n">
        <f aca="false">G19^(-1/B19)-1</f>
        <v>0.0509323875131675</v>
      </c>
      <c r="I19" s="12" t="n">
        <f aca="false">(1+H19)^(1/12)-1</f>
        <v>0.00414839405100254</v>
      </c>
      <c r="J19" s="16" t="n">
        <f aca="false">IF(C19=0,(1+Dic2023!$M$6)^(-B19),EXP(LN(INDEX(Dic2023!$N$6:$N$205,C19))+(LN(INDEX(Dic2023!$N$6:$N$205,MIN(C19+1,200)))-LN(INDEX(Dic2023!$N$6:$N$205,C19)))*(A19-6*C19)/6))</f>
        <v>0.939791536671232</v>
      </c>
      <c r="K19" s="12" t="n">
        <f aca="false">J19^(-1/B19)-1</f>
        <v>0.0509323875131675</v>
      </c>
      <c r="L19" s="12" t="n">
        <f aca="false">(1+K19)^(1/12)-1</f>
        <v>0.00414839405100254</v>
      </c>
    </row>
    <row r="20" customFormat="false" ht="15" hidden="false" customHeight="false" outlineLevel="0" collapsed="false">
      <c r="A20" s="4" t="n">
        <v>16</v>
      </c>
      <c r="B20" s="14" t="n">
        <f aca="false">A20/12</f>
        <v>1.33333333333333</v>
      </c>
      <c r="C20" s="15" t="n">
        <f aca="false">INT(A20/6)</f>
        <v>2</v>
      </c>
      <c r="D20" s="16" t="n">
        <f aca="false">IF(C20=0,(1+Dic2023!$G$6)^(-B20),EXP(LN(INDEX(Dic2023!$H$6:$H$205,C20))+(LN(INDEX(Dic2023!$H$6:$H$205,MIN(C20+1,200)))-LN(INDEX(Dic2023!$H$6:$H$205,C20)))*(A20-6*C20)/6))</f>
        <v>0.936182921830589</v>
      </c>
      <c r="E20" s="12" t="n">
        <f aca="false">D20^(-1/B20)-1</f>
        <v>0.0507017709632163</v>
      </c>
      <c r="F20" s="12" t="n">
        <f aca="false">(1+E20)^(1/12)-1</f>
        <v>0.00413002968116993</v>
      </c>
      <c r="G20" s="16" t="n">
        <f aca="false">IF(C20=0,(1+Dic2023!$J$6)^(-B20),EXP(LN(INDEX(Dic2023!$K$6:$K$205,C20))+(LN(INDEX(Dic2023!$K$6:$K$205,MIN(C20+1,200)))-LN(INDEX(Dic2023!$K$6:$K$205,C20)))*(A20-6*C20)/6))</f>
        <v>0.936182921830589</v>
      </c>
      <c r="H20" s="12" t="n">
        <f aca="false">G20^(-1/B20)-1</f>
        <v>0.0507017709632163</v>
      </c>
      <c r="I20" s="12" t="n">
        <f aca="false">(1+H20)^(1/12)-1</f>
        <v>0.00413002968116993</v>
      </c>
      <c r="J20" s="16" t="n">
        <f aca="false">IF(C20=0,(1+Dic2023!$M$6)^(-B20),EXP(LN(INDEX(Dic2023!$N$6:$N$205,C20))+(LN(INDEX(Dic2023!$N$6:$N$205,MIN(C20+1,200)))-LN(INDEX(Dic2023!$N$6:$N$205,C20)))*(A20-6*C20)/6))</f>
        <v>0.936182921830589</v>
      </c>
      <c r="K20" s="12" t="n">
        <f aca="false">J20^(-1/B20)-1</f>
        <v>0.0507017709632163</v>
      </c>
      <c r="L20" s="12" t="n">
        <f aca="false">(1+K20)^(1/12)-1</f>
        <v>0.00413002968116993</v>
      </c>
    </row>
    <row r="21" customFormat="false" ht="15" hidden="false" customHeight="false" outlineLevel="0" collapsed="false">
      <c r="A21" s="4" t="n">
        <v>17</v>
      </c>
      <c r="B21" s="14" t="n">
        <f aca="false">A21/12</f>
        <v>1.41666666666667</v>
      </c>
      <c r="C21" s="15" t="n">
        <f aca="false">INT(A21/6)</f>
        <v>2</v>
      </c>
      <c r="D21" s="16" t="n">
        <f aca="false">IF(C21=0,(1+Dic2023!$G$6)^(-B21),EXP(LN(INDEX(Dic2023!$H$6:$H$205,C21))+(LN(INDEX(Dic2023!$H$6:$H$205,MIN(C21+1,200)))-LN(INDEX(Dic2023!$H$6:$H$205,C21)))*(A21-6*C21)/6))</f>
        <v>0.932588163361876</v>
      </c>
      <c r="E21" s="12" t="n">
        <f aca="false">D21^(-1/B21)-1</f>
        <v>0.0504983277985902</v>
      </c>
      <c r="F21" s="12" t="n">
        <f aca="false">(1+E21)^(1/12)-1</f>
        <v>0.00411382610434785</v>
      </c>
      <c r="G21" s="16" t="n">
        <f aca="false">IF(C21=0,(1+Dic2023!$J$6)^(-B21),EXP(LN(INDEX(Dic2023!$K$6:$K$205,C21))+(LN(INDEX(Dic2023!$K$6:$K$205,MIN(C21+1,200)))-LN(INDEX(Dic2023!$K$6:$K$205,C21)))*(A21-6*C21)/6))</f>
        <v>0.932588163361876</v>
      </c>
      <c r="H21" s="12" t="n">
        <f aca="false">G21^(-1/B21)-1</f>
        <v>0.0504983277985902</v>
      </c>
      <c r="I21" s="12" t="n">
        <f aca="false">(1+H21)^(1/12)-1</f>
        <v>0.00411382610434785</v>
      </c>
      <c r="J21" s="16" t="n">
        <f aca="false">IF(C21=0,(1+Dic2023!$M$6)^(-B21),EXP(LN(INDEX(Dic2023!$N$6:$N$205,C21))+(LN(INDEX(Dic2023!$N$6:$N$205,MIN(C21+1,200)))-LN(INDEX(Dic2023!$N$6:$N$205,C21)))*(A21-6*C21)/6))</f>
        <v>0.932588163361876</v>
      </c>
      <c r="K21" s="12" t="n">
        <f aca="false">J21^(-1/B21)-1</f>
        <v>0.0504983277985902</v>
      </c>
      <c r="L21" s="12" t="n">
        <f aca="false">(1+K21)^(1/12)-1</f>
        <v>0.00411382610434785</v>
      </c>
    </row>
    <row r="22" customFormat="false" ht="15" hidden="false" customHeight="false" outlineLevel="0" collapsed="false">
      <c r="A22" s="4" t="n">
        <v>18</v>
      </c>
      <c r="B22" s="14" t="n">
        <f aca="false">A22/12</f>
        <v>1.5</v>
      </c>
      <c r="C22" s="15" t="n">
        <f aca="false">INT(A22/6)</f>
        <v>3</v>
      </c>
      <c r="D22" s="16" t="n">
        <f aca="false">IF(C22=0,(1+Dic2023!$G$6)^(-B22),EXP(LN(INDEX(Dic2023!$H$6:$H$205,C22))+(LN(INDEX(Dic2023!$H$6:$H$205,MIN(C22+1,200)))-LN(INDEX(Dic2023!$H$6:$H$205,C22)))*(A22-6*C22)/6))</f>
        <v>0.929007208059346</v>
      </c>
      <c r="E22" s="12" t="n">
        <f aca="false">D22^(-1/B22)-1</f>
        <v>0.0503175225000001</v>
      </c>
      <c r="F22" s="12" t="n">
        <f aca="false">(1+E22)^(1/12)-1</f>
        <v>0.0040994231444611</v>
      </c>
      <c r="G22" s="16" t="n">
        <f aca="false">IF(C22=0,(1+Dic2023!$J$6)^(-B22),EXP(LN(INDEX(Dic2023!$K$6:$K$205,C22))+(LN(INDEX(Dic2023!$K$6:$K$205,MIN(C22+1,200)))-LN(INDEX(Dic2023!$K$6:$K$205,C22)))*(A22-6*C22)/6))</f>
        <v>0.929007208059346</v>
      </c>
      <c r="H22" s="12" t="n">
        <f aca="false">G22^(-1/B22)-1</f>
        <v>0.0503175225000001</v>
      </c>
      <c r="I22" s="12" t="n">
        <f aca="false">(1+H22)^(1/12)-1</f>
        <v>0.0040994231444611</v>
      </c>
      <c r="J22" s="16" t="n">
        <f aca="false">IF(C22=0,(1+Dic2023!$M$6)^(-B22),EXP(LN(INDEX(Dic2023!$N$6:$N$205,C22))+(LN(INDEX(Dic2023!$N$6:$N$205,MIN(C22+1,200)))-LN(INDEX(Dic2023!$N$6:$N$205,C22)))*(A22-6*C22)/6))</f>
        <v>0.929007208059346</v>
      </c>
      <c r="K22" s="12" t="n">
        <f aca="false">J22^(-1/B22)-1</f>
        <v>0.0503175225000001</v>
      </c>
      <c r="L22" s="12" t="n">
        <f aca="false">(1+K22)^(1/12)-1</f>
        <v>0.0040994231444611</v>
      </c>
    </row>
    <row r="23" customFormat="false" ht="15" hidden="false" customHeight="false" outlineLevel="0" collapsed="false">
      <c r="A23" s="4" t="n">
        <v>19</v>
      </c>
      <c r="B23" s="14" t="n">
        <f aca="false">A23/12</f>
        <v>1.58333333333333</v>
      </c>
      <c r="C23" s="15" t="n">
        <f aca="false">INT(A23/6)</f>
        <v>3</v>
      </c>
      <c r="D23" s="16" t="n">
        <f aca="false">IF(C23=0,(1+Dic2023!$G$6)^(-B23),EXP(LN(INDEX(Dic2023!$H$6:$H$205,C23))+(LN(INDEX(Dic2023!$H$6:$H$205,MIN(C23+1,200)))-LN(INDEX(Dic2023!$H$6:$H$205,C23)))*(A23-6*C23)/6))</f>
        <v>0.925605774552681</v>
      </c>
      <c r="E23" s="12" t="n">
        <f aca="false">D23^(-1/B23)-1</f>
        <v>0.0500369857238003</v>
      </c>
      <c r="F23" s="12" t="n">
        <f aca="false">(1+E23)^(1/12)-1</f>
        <v>0.00407707107005151</v>
      </c>
      <c r="G23" s="16" t="n">
        <f aca="false">IF(C23=0,(1+Dic2023!$J$6)^(-B23),EXP(LN(INDEX(Dic2023!$K$6:$K$205,C23))+(LN(INDEX(Dic2023!$K$6:$K$205,MIN(C23+1,200)))-LN(INDEX(Dic2023!$K$6:$K$205,C23)))*(A23-6*C23)/6))</f>
        <v>0.925605774552681</v>
      </c>
      <c r="H23" s="12" t="n">
        <f aca="false">G23^(-1/B23)-1</f>
        <v>0.0500369857238003</v>
      </c>
      <c r="I23" s="12" t="n">
        <f aca="false">(1+H23)^(1/12)-1</f>
        <v>0.00407707107005151</v>
      </c>
      <c r="J23" s="16" t="n">
        <f aca="false">IF(C23=0,(1+Dic2023!$M$6)^(-B23),EXP(LN(INDEX(Dic2023!$N$6:$N$205,C23))+(LN(INDEX(Dic2023!$N$6:$N$205,MIN(C23+1,200)))-LN(INDEX(Dic2023!$N$6:$N$205,C23)))*(A23-6*C23)/6))</f>
        <v>0.925605774552681</v>
      </c>
      <c r="K23" s="12" t="n">
        <f aca="false">J23^(-1/B23)-1</f>
        <v>0.0500369857238003</v>
      </c>
      <c r="L23" s="12" t="n">
        <f aca="false">(1+K23)^(1/12)-1</f>
        <v>0.00407707107005151</v>
      </c>
    </row>
    <row r="24" customFormat="false" ht="15" hidden="false" customHeight="false" outlineLevel="0" collapsed="false">
      <c r="A24" s="4" t="n">
        <v>20</v>
      </c>
      <c r="B24" s="14" t="n">
        <f aca="false">A24/12</f>
        <v>1.66666666666667</v>
      </c>
      <c r="C24" s="15" t="n">
        <f aca="false">INT(A24/6)</f>
        <v>3</v>
      </c>
      <c r="D24" s="16" t="n">
        <f aca="false">IF(C24=0,(1+Dic2023!$G$6)^(-B24),EXP(LN(INDEX(Dic2023!$H$6:$H$205,C24))+(LN(INDEX(Dic2023!$H$6:$H$205,MIN(C24+1,200)))-LN(INDEX(Dic2023!$H$6:$H$205,C24)))*(A24-6*C24)/6))</f>
        <v>0.922216794932056</v>
      </c>
      <c r="E24" s="12" t="n">
        <f aca="false">D24^(-1/B24)-1</f>
        <v>0.0497845666914221</v>
      </c>
      <c r="F24" s="12" t="n">
        <f aca="false">(1+E24)^(1/12)-1</f>
        <v>0.00405695462851008</v>
      </c>
      <c r="G24" s="16" t="n">
        <f aca="false">IF(C24=0,(1+Dic2023!$J$6)^(-B24),EXP(LN(INDEX(Dic2023!$K$6:$K$205,C24))+(LN(INDEX(Dic2023!$K$6:$K$205,MIN(C24+1,200)))-LN(INDEX(Dic2023!$K$6:$K$205,C24)))*(A24-6*C24)/6))</f>
        <v>0.922216794932056</v>
      </c>
      <c r="H24" s="12" t="n">
        <f aca="false">G24^(-1/B24)-1</f>
        <v>0.0497845666914221</v>
      </c>
      <c r="I24" s="12" t="n">
        <f aca="false">(1+H24)^(1/12)-1</f>
        <v>0.00405695462851008</v>
      </c>
      <c r="J24" s="16" t="n">
        <f aca="false">IF(C24=0,(1+Dic2023!$M$6)^(-B24),EXP(LN(INDEX(Dic2023!$N$6:$N$205,C24))+(LN(INDEX(Dic2023!$N$6:$N$205,MIN(C24+1,200)))-LN(INDEX(Dic2023!$N$6:$N$205,C24)))*(A24-6*C24)/6))</f>
        <v>0.922216794932056</v>
      </c>
      <c r="K24" s="12" t="n">
        <f aca="false">J24^(-1/B24)-1</f>
        <v>0.0497845666914221</v>
      </c>
      <c r="L24" s="12" t="n">
        <f aca="false">(1+K24)^(1/12)-1</f>
        <v>0.00405695462851008</v>
      </c>
    </row>
    <row r="25" customFormat="false" ht="15" hidden="false" customHeight="false" outlineLevel="0" collapsed="false">
      <c r="A25" s="4" t="n">
        <v>21</v>
      </c>
      <c r="B25" s="14" t="n">
        <f aca="false">A25/12</f>
        <v>1.75</v>
      </c>
      <c r="C25" s="15" t="n">
        <f aca="false">INT(A25/6)</f>
        <v>3</v>
      </c>
      <c r="D25" s="16" t="n">
        <f aca="false">IF(C25=0,(1+Dic2023!$G$6)^(-B25),EXP(LN(INDEX(Dic2023!$H$6:$H$205,C25))+(LN(INDEX(Dic2023!$H$6:$H$205,MIN(C25+1,200)))-LN(INDEX(Dic2023!$H$6:$H$205,C25)))*(A25-6*C25)/6))</f>
        <v>0.918840223599262</v>
      </c>
      <c r="E25" s="12" t="n">
        <f aca="false">D25^(-1/B25)-1</f>
        <v>0.0495562398531906</v>
      </c>
      <c r="F25" s="12" t="n">
        <f aca="false">(1+E25)^(1/12)-1</f>
        <v>0.00403875438582468</v>
      </c>
      <c r="G25" s="16" t="n">
        <f aca="false">IF(C25=0,(1+Dic2023!$J$6)^(-B25),EXP(LN(INDEX(Dic2023!$K$6:$K$205,C25))+(LN(INDEX(Dic2023!$K$6:$K$205,MIN(C25+1,200)))-LN(INDEX(Dic2023!$K$6:$K$205,C25)))*(A25-6*C25)/6))</f>
        <v>0.918840223599262</v>
      </c>
      <c r="H25" s="12" t="n">
        <f aca="false">G25^(-1/B25)-1</f>
        <v>0.0495562398531906</v>
      </c>
      <c r="I25" s="12" t="n">
        <f aca="false">(1+H25)^(1/12)-1</f>
        <v>0.00403875438582468</v>
      </c>
      <c r="J25" s="16" t="n">
        <f aca="false">IF(C25=0,(1+Dic2023!$M$6)^(-B25),EXP(LN(INDEX(Dic2023!$N$6:$N$205,C25))+(LN(INDEX(Dic2023!$N$6:$N$205,MIN(C25+1,200)))-LN(INDEX(Dic2023!$N$6:$N$205,C25)))*(A25-6*C25)/6))</f>
        <v>0.918840223599262</v>
      </c>
      <c r="K25" s="12" t="n">
        <f aca="false">J25^(-1/B25)-1</f>
        <v>0.0495562398531906</v>
      </c>
      <c r="L25" s="12" t="n">
        <f aca="false">(1+K25)^(1/12)-1</f>
        <v>0.00403875438582468</v>
      </c>
    </row>
    <row r="26" customFormat="false" ht="15" hidden="false" customHeight="false" outlineLevel="0" collapsed="false">
      <c r="A26" s="4" t="n">
        <v>22</v>
      </c>
      <c r="B26" s="14" t="n">
        <f aca="false">A26/12</f>
        <v>1.83333333333333</v>
      </c>
      <c r="C26" s="15" t="n">
        <f aca="false">INT(A26/6)</f>
        <v>3</v>
      </c>
      <c r="D26" s="16" t="n">
        <f aca="false">IF(C26=0,(1+Dic2023!$G$6)^(-B26),EXP(LN(INDEX(Dic2023!$H$6:$H$205,C26))+(LN(INDEX(Dic2023!$H$6:$H$205,MIN(C26+1,200)))-LN(INDEX(Dic2023!$H$6:$H$205,C26)))*(A26-6*C26)/6))</f>
        <v>0.915476015123042</v>
      </c>
      <c r="E26" s="12" t="n">
        <f aca="false">D26^(-1/B26)-1</f>
        <v>0.0493487130946224</v>
      </c>
      <c r="F26" s="12" t="n">
        <f aca="false">(1+E26)^(1/12)-1</f>
        <v>0.00402220899694217</v>
      </c>
      <c r="G26" s="16" t="n">
        <f aca="false">IF(C26=0,(1+Dic2023!$J$6)^(-B26),EXP(LN(INDEX(Dic2023!$K$6:$K$205,C26))+(LN(INDEX(Dic2023!$K$6:$K$205,MIN(C26+1,200)))-LN(INDEX(Dic2023!$K$6:$K$205,C26)))*(A26-6*C26)/6))</f>
        <v>0.915476015123042</v>
      </c>
      <c r="H26" s="12" t="n">
        <f aca="false">G26^(-1/B26)-1</f>
        <v>0.0493487130946224</v>
      </c>
      <c r="I26" s="12" t="n">
        <f aca="false">(1+H26)^(1/12)-1</f>
        <v>0.00402220899694217</v>
      </c>
      <c r="J26" s="16" t="n">
        <f aca="false">IF(C26=0,(1+Dic2023!$M$6)^(-B26),EXP(LN(INDEX(Dic2023!$N$6:$N$205,C26))+(LN(INDEX(Dic2023!$N$6:$N$205,MIN(C26+1,200)))-LN(INDEX(Dic2023!$N$6:$N$205,C26)))*(A26-6*C26)/6))</f>
        <v>0.915476015123042</v>
      </c>
      <c r="K26" s="12" t="n">
        <f aca="false">J26^(-1/B26)-1</f>
        <v>0.0493487130946224</v>
      </c>
      <c r="L26" s="12" t="n">
        <f aca="false">(1+K26)^(1/12)-1</f>
        <v>0.00402220899694217</v>
      </c>
    </row>
    <row r="27" customFormat="false" ht="15" hidden="false" customHeight="false" outlineLevel="0" collapsed="false">
      <c r="A27" s="4" t="n">
        <v>23</v>
      </c>
      <c r="B27" s="14" t="n">
        <f aca="false">A27/12</f>
        <v>1.91666666666667</v>
      </c>
      <c r="C27" s="15" t="n">
        <f aca="false">INT(A27/6)</f>
        <v>3</v>
      </c>
      <c r="D27" s="16" t="n">
        <f aca="false">IF(C27=0,(1+Dic2023!$G$6)^(-B27),EXP(LN(INDEX(Dic2023!$H$6:$H$205,C27))+(LN(INDEX(Dic2023!$H$6:$H$205,MIN(C27+1,200)))-LN(INDEX(Dic2023!$H$6:$H$205,C27)))*(A27-6*C27)/6))</f>
        <v>0.912124124238478</v>
      </c>
      <c r="E27" s="12" t="n">
        <f aca="false">D27^(-1/B27)-1</f>
        <v>0.0491592679781172</v>
      </c>
      <c r="F27" s="12" t="n">
        <f aca="false">(1+E27)^(1/12)-1</f>
        <v>0.00400710257564452</v>
      </c>
      <c r="G27" s="16" t="n">
        <f aca="false">IF(C27=0,(1+Dic2023!$J$6)^(-B27),EXP(LN(INDEX(Dic2023!$K$6:$K$205,C27))+(LN(INDEX(Dic2023!$K$6:$K$205,MIN(C27+1,200)))-LN(INDEX(Dic2023!$K$6:$K$205,C27)))*(A27-6*C27)/6))</f>
        <v>0.912124124238478</v>
      </c>
      <c r="H27" s="12" t="n">
        <f aca="false">G27^(-1/B27)-1</f>
        <v>0.0491592679781172</v>
      </c>
      <c r="I27" s="12" t="n">
        <f aca="false">(1+H27)^(1/12)-1</f>
        <v>0.00400710257564452</v>
      </c>
      <c r="J27" s="16" t="n">
        <f aca="false">IF(C27=0,(1+Dic2023!$M$6)^(-B27),EXP(LN(INDEX(Dic2023!$N$6:$N$205,C27))+(LN(INDEX(Dic2023!$N$6:$N$205,MIN(C27+1,200)))-LN(INDEX(Dic2023!$N$6:$N$205,C27)))*(A27-6*C27)/6))</f>
        <v>0.912124124238478</v>
      </c>
      <c r="K27" s="12" t="n">
        <f aca="false">J27^(-1/B27)-1</f>
        <v>0.0491592679781172</v>
      </c>
      <c r="L27" s="12" t="n">
        <f aca="false">(1+K27)^(1/12)-1</f>
        <v>0.00400710257564452</v>
      </c>
    </row>
    <row r="28" customFormat="false" ht="15" hidden="false" customHeight="false" outlineLevel="0" collapsed="false">
      <c r="A28" s="4" t="n">
        <v>24</v>
      </c>
      <c r="B28" s="14" t="n">
        <f aca="false">A28/12</f>
        <v>2</v>
      </c>
      <c r="C28" s="15" t="n">
        <f aca="false">INT(A28/6)</f>
        <v>4</v>
      </c>
      <c r="D28" s="16" t="n">
        <f aca="false">IF(C28=0,(1+Dic2023!$G$6)^(-B28),EXP(LN(INDEX(Dic2023!$H$6:$H$205,C28))+(LN(INDEX(Dic2023!$H$6:$H$205,MIN(C28+1,200)))-LN(INDEX(Dic2023!$H$6:$H$205,C28)))*(A28-6*C28)/6))</f>
        <v>0.908784505846385</v>
      </c>
      <c r="E28" s="12" t="n">
        <f aca="false">D28^(-1/B28)-1</f>
        <v>0.0489856399999999</v>
      </c>
      <c r="F28" s="12" t="n">
        <f aca="false">(1+E28)^(1/12)-1</f>
        <v>0.00399325522245619</v>
      </c>
      <c r="G28" s="16" t="n">
        <f aca="false">IF(C28=0,(1+Dic2023!$J$6)^(-B28),EXP(LN(INDEX(Dic2023!$K$6:$K$205,C28))+(LN(INDEX(Dic2023!$K$6:$K$205,MIN(C28+1,200)))-LN(INDEX(Dic2023!$K$6:$K$205,C28)))*(A28-6*C28)/6))</f>
        <v>0.908784505846385</v>
      </c>
      <c r="H28" s="12" t="n">
        <f aca="false">G28^(-1/B28)-1</f>
        <v>0.0489856399999999</v>
      </c>
      <c r="I28" s="12" t="n">
        <f aca="false">(1+H28)^(1/12)-1</f>
        <v>0.00399325522245619</v>
      </c>
      <c r="J28" s="16" t="n">
        <f aca="false">IF(C28=0,(1+Dic2023!$M$6)^(-B28),EXP(LN(INDEX(Dic2023!$N$6:$N$205,C28))+(LN(INDEX(Dic2023!$N$6:$N$205,MIN(C28+1,200)))-LN(INDEX(Dic2023!$N$6:$N$205,C28)))*(A28-6*C28)/6))</f>
        <v>0.908784505846385</v>
      </c>
      <c r="K28" s="12" t="n">
        <f aca="false">J28^(-1/B28)-1</f>
        <v>0.0489856399999999</v>
      </c>
      <c r="L28" s="12" t="n">
        <f aca="false">(1+K28)^(1/12)-1</f>
        <v>0.00399325522245619</v>
      </c>
    </row>
    <row r="29" customFormat="false" ht="15" hidden="false" customHeight="false" outlineLevel="0" collapsed="false">
      <c r="A29" s="4" t="n">
        <v>25</v>
      </c>
      <c r="B29" s="14" t="n">
        <f aca="false">A29/12</f>
        <v>2.08333333333333</v>
      </c>
      <c r="C29" s="15" t="n">
        <f aca="false">INT(A29/6)</f>
        <v>4</v>
      </c>
      <c r="D29" s="16" t="n">
        <f aca="false">IF(C29=0,(1+Dic2023!$G$6)^(-B29),EXP(LN(INDEX(Dic2023!$H$6:$H$205,C29))+(LN(INDEX(Dic2023!$H$6:$H$205,MIN(C29+1,200)))-LN(INDEX(Dic2023!$H$6:$H$205,C29)))*(A29-6*C29)/6))</f>
        <v>0.905538338822564</v>
      </c>
      <c r="E29" s="12" t="n">
        <f aca="false">D29^(-1/B29)-1</f>
        <v>0.0487807699921865</v>
      </c>
      <c r="F29" s="12" t="n">
        <f aca="false">(1+E29)^(1/12)-1</f>
        <v>0.00397691352113139</v>
      </c>
      <c r="G29" s="16" t="n">
        <f aca="false">IF(C29=0,(1+Dic2023!$J$6)^(-B29),EXP(LN(INDEX(Dic2023!$K$6:$K$205,C29))+(LN(INDEX(Dic2023!$K$6:$K$205,MIN(C29+1,200)))-LN(INDEX(Dic2023!$K$6:$K$205,C29)))*(A29-6*C29)/6))</f>
        <v>0.905538338822564</v>
      </c>
      <c r="H29" s="12" t="n">
        <f aca="false">G29^(-1/B29)-1</f>
        <v>0.0487807699921865</v>
      </c>
      <c r="I29" s="12" t="n">
        <f aca="false">(1+H29)^(1/12)-1</f>
        <v>0.00397691352113139</v>
      </c>
      <c r="J29" s="16" t="n">
        <f aca="false">IF(C29=0,(1+Dic2023!$M$6)^(-B29),EXP(LN(INDEX(Dic2023!$N$6:$N$205,C29))+(LN(INDEX(Dic2023!$N$6:$N$205,MIN(C29+1,200)))-LN(INDEX(Dic2023!$N$6:$N$205,C29)))*(A29-6*C29)/6))</f>
        <v>0.905538338822564</v>
      </c>
      <c r="K29" s="12" t="n">
        <f aca="false">J29^(-1/B29)-1</f>
        <v>0.0487807699921865</v>
      </c>
      <c r="L29" s="12" t="n">
        <f aca="false">(1+K29)^(1/12)-1</f>
        <v>0.00397691352113139</v>
      </c>
    </row>
    <row r="30" customFormat="false" ht="15" hidden="false" customHeight="false" outlineLevel="0" collapsed="false">
      <c r="A30" s="4" t="n">
        <v>26</v>
      </c>
      <c r="B30" s="14" t="n">
        <f aca="false">A30/12</f>
        <v>2.16666666666667</v>
      </c>
      <c r="C30" s="15" t="n">
        <f aca="false">INT(A30/6)</f>
        <v>4</v>
      </c>
      <c r="D30" s="16" t="n">
        <f aca="false">IF(C30=0,(1+Dic2023!$G$6)^(-B30),EXP(LN(INDEX(Dic2023!$H$6:$H$205,C30))+(LN(INDEX(Dic2023!$H$6:$H$205,MIN(C30+1,200)))-LN(INDEX(Dic2023!$H$6:$H$205,C30)))*(A30-6*C30)/6))</f>
        <v>0.902303767067235</v>
      </c>
      <c r="E30" s="12" t="n">
        <f aca="false">D30^(-1/B30)-1</f>
        <v>0.0485916947292826</v>
      </c>
      <c r="F30" s="12" t="n">
        <f aca="false">(1+E30)^(1/12)-1</f>
        <v>0.00396182910983955</v>
      </c>
      <c r="G30" s="16" t="n">
        <f aca="false">IF(C30=0,(1+Dic2023!$J$6)^(-B30),EXP(LN(INDEX(Dic2023!$K$6:$K$205,C30))+(LN(INDEX(Dic2023!$K$6:$K$205,MIN(C30+1,200)))-LN(INDEX(Dic2023!$K$6:$K$205,C30)))*(A30-6*C30)/6))</f>
        <v>0.902303767067235</v>
      </c>
      <c r="H30" s="12" t="n">
        <f aca="false">G30^(-1/B30)-1</f>
        <v>0.0485916947292826</v>
      </c>
      <c r="I30" s="12" t="n">
        <f aca="false">(1+H30)^(1/12)-1</f>
        <v>0.00396182910983955</v>
      </c>
      <c r="J30" s="16" t="n">
        <f aca="false">IF(C30=0,(1+Dic2023!$M$6)^(-B30),EXP(LN(INDEX(Dic2023!$N$6:$N$205,C30))+(LN(INDEX(Dic2023!$N$6:$N$205,MIN(C30+1,200)))-LN(INDEX(Dic2023!$N$6:$N$205,C30)))*(A30-6*C30)/6))</f>
        <v>0.902303767067235</v>
      </c>
      <c r="K30" s="12" t="n">
        <f aca="false">J30^(-1/B30)-1</f>
        <v>0.0485916947292826</v>
      </c>
      <c r="L30" s="12" t="n">
        <f aca="false">(1+K30)^(1/12)-1</f>
        <v>0.00396182910983955</v>
      </c>
    </row>
    <row r="31" customFormat="false" ht="15" hidden="false" customHeight="false" outlineLevel="0" collapsed="false">
      <c r="A31" s="4" t="n">
        <v>27</v>
      </c>
      <c r="B31" s="14" t="n">
        <f aca="false">A31/12</f>
        <v>2.25</v>
      </c>
      <c r="C31" s="15" t="n">
        <f aca="false">INT(A31/6)</f>
        <v>4</v>
      </c>
      <c r="D31" s="16" t="n">
        <f aca="false">IF(C31=0,(1+Dic2023!$G$6)^(-B31),EXP(LN(INDEX(Dic2023!$H$6:$H$205,C31))+(LN(INDEX(Dic2023!$H$6:$H$205,MIN(C31+1,200)))-LN(INDEX(Dic2023!$H$6:$H$205,C31)))*(A31-6*C31)/6))</f>
        <v>0.899080749162242</v>
      </c>
      <c r="E31" s="12" t="n">
        <f aca="false">D31^(-1/B31)-1</f>
        <v>0.0484166554343315</v>
      </c>
      <c r="F31" s="12" t="n">
        <f aca="false">(1+E31)^(1/12)-1</f>
        <v>0.00394786226442512</v>
      </c>
      <c r="G31" s="16" t="n">
        <f aca="false">IF(C31=0,(1+Dic2023!$J$6)^(-B31),EXP(LN(INDEX(Dic2023!$K$6:$K$205,C31))+(LN(INDEX(Dic2023!$K$6:$K$205,MIN(C31+1,200)))-LN(INDEX(Dic2023!$K$6:$K$205,C31)))*(A31-6*C31)/6))</f>
        <v>0.899080749162242</v>
      </c>
      <c r="H31" s="12" t="n">
        <f aca="false">G31^(-1/B31)-1</f>
        <v>0.0484166554343315</v>
      </c>
      <c r="I31" s="12" t="n">
        <f aca="false">(1+H31)^(1/12)-1</f>
        <v>0.00394786226442512</v>
      </c>
      <c r="J31" s="16" t="n">
        <f aca="false">IF(C31=0,(1+Dic2023!$M$6)^(-B31),EXP(LN(INDEX(Dic2023!$N$6:$N$205,C31))+(LN(INDEX(Dic2023!$N$6:$N$205,MIN(C31+1,200)))-LN(INDEX(Dic2023!$N$6:$N$205,C31)))*(A31-6*C31)/6))</f>
        <v>0.899080749162242</v>
      </c>
      <c r="K31" s="12" t="n">
        <f aca="false">J31^(-1/B31)-1</f>
        <v>0.0484166554343315</v>
      </c>
      <c r="L31" s="12" t="n">
        <f aca="false">(1+K31)^(1/12)-1</f>
        <v>0.00394786226442512</v>
      </c>
    </row>
    <row r="32" customFormat="false" ht="15" hidden="false" customHeight="false" outlineLevel="0" collapsed="false">
      <c r="A32" s="4" t="n">
        <v>28</v>
      </c>
      <c r="B32" s="14" t="n">
        <f aca="false">A32/12</f>
        <v>2.33333333333333</v>
      </c>
      <c r="C32" s="15" t="n">
        <f aca="false">INT(A32/6)</f>
        <v>4</v>
      </c>
      <c r="D32" s="16" t="n">
        <f aca="false">IF(C32=0,(1+Dic2023!$G$6)^(-B32),EXP(LN(INDEX(Dic2023!$H$6:$H$205,C32))+(LN(INDEX(Dic2023!$H$6:$H$205,MIN(C32+1,200)))-LN(INDEX(Dic2023!$H$6:$H$205,C32)))*(A32-6*C32)/6))</f>
        <v>0.895869243837374</v>
      </c>
      <c r="E32" s="12" t="n">
        <f aca="false">D32^(-1/B32)-1</f>
        <v>0.0482541451091587</v>
      </c>
      <c r="F32" s="12" t="n">
        <f aca="false">(1+E32)^(1/12)-1</f>
        <v>0.00393489322480645</v>
      </c>
      <c r="G32" s="16" t="n">
        <f aca="false">IF(C32=0,(1+Dic2023!$J$6)^(-B32),EXP(LN(INDEX(Dic2023!$K$6:$K$205,C32))+(LN(INDEX(Dic2023!$K$6:$K$205,MIN(C32+1,200)))-LN(INDEX(Dic2023!$K$6:$K$205,C32)))*(A32-6*C32)/6))</f>
        <v>0.895869243837374</v>
      </c>
      <c r="H32" s="12" t="n">
        <f aca="false">G32^(-1/B32)-1</f>
        <v>0.0482541451091587</v>
      </c>
      <c r="I32" s="12" t="n">
        <f aca="false">(1+H32)^(1/12)-1</f>
        <v>0.00393489322480645</v>
      </c>
      <c r="J32" s="16" t="n">
        <f aca="false">IF(C32=0,(1+Dic2023!$M$6)^(-B32),EXP(LN(INDEX(Dic2023!$N$6:$N$205,C32))+(LN(INDEX(Dic2023!$N$6:$N$205,MIN(C32+1,200)))-LN(INDEX(Dic2023!$N$6:$N$205,C32)))*(A32-6*C32)/6))</f>
        <v>0.895869243837374</v>
      </c>
      <c r="K32" s="12" t="n">
        <f aca="false">J32^(-1/B32)-1</f>
        <v>0.0482541451091587</v>
      </c>
      <c r="L32" s="12" t="n">
        <f aca="false">(1+K32)^(1/12)-1</f>
        <v>0.00393489322480645</v>
      </c>
    </row>
    <row r="33" customFormat="false" ht="15" hidden="false" customHeight="false" outlineLevel="0" collapsed="false">
      <c r="A33" s="4" t="n">
        <v>29</v>
      </c>
      <c r="B33" s="14" t="n">
        <f aca="false">A33/12</f>
        <v>2.41666666666667</v>
      </c>
      <c r="C33" s="15" t="n">
        <f aca="false">INT(A33/6)</f>
        <v>4</v>
      </c>
      <c r="D33" s="16" t="n">
        <f aca="false">IF(C33=0,(1+Dic2023!$G$6)^(-B33),EXP(LN(INDEX(Dic2023!$H$6:$H$205,C33))+(LN(INDEX(Dic2023!$H$6:$H$205,MIN(C33+1,200)))-LN(INDEX(Dic2023!$H$6:$H$205,C33)))*(A33-6*C33)/6))</f>
        <v>0.892669209969838</v>
      </c>
      <c r="E33" s="12" t="n">
        <f aca="false">D33^(-1/B33)-1</f>
        <v>0.0481028650367337</v>
      </c>
      <c r="F33" s="12" t="n">
        <f aca="false">(1+E33)^(1/12)-1</f>
        <v>0.00392281875231526</v>
      </c>
      <c r="G33" s="16" t="n">
        <f aca="false">IF(C33=0,(1+Dic2023!$J$6)^(-B33),EXP(LN(INDEX(Dic2023!$K$6:$K$205,C33))+(LN(INDEX(Dic2023!$K$6:$K$205,MIN(C33+1,200)))-LN(INDEX(Dic2023!$K$6:$K$205,C33)))*(A33-6*C33)/6))</f>
        <v>0.892669209969838</v>
      </c>
      <c r="H33" s="12" t="n">
        <f aca="false">G33^(-1/B33)-1</f>
        <v>0.0481028650367337</v>
      </c>
      <c r="I33" s="12" t="n">
        <f aca="false">(1+H33)^(1/12)-1</f>
        <v>0.00392281875231526</v>
      </c>
      <c r="J33" s="16" t="n">
        <f aca="false">IF(C33=0,(1+Dic2023!$M$6)^(-B33),EXP(LN(INDEX(Dic2023!$N$6:$N$205,C33))+(LN(INDEX(Dic2023!$N$6:$N$205,MIN(C33+1,200)))-LN(INDEX(Dic2023!$N$6:$N$205,C33)))*(A33-6*C33)/6))</f>
        <v>0.892669209969838</v>
      </c>
      <c r="K33" s="12" t="n">
        <f aca="false">J33^(-1/B33)-1</f>
        <v>0.0481028650367337</v>
      </c>
      <c r="L33" s="12" t="n">
        <f aca="false">(1+K33)^(1/12)-1</f>
        <v>0.00392281875231526</v>
      </c>
    </row>
    <row r="34" customFormat="false" ht="15" hidden="false" customHeight="false" outlineLevel="0" collapsed="false">
      <c r="A34" s="4" t="n">
        <v>30</v>
      </c>
      <c r="B34" s="14" t="n">
        <f aca="false">A34/12</f>
        <v>2.5</v>
      </c>
      <c r="C34" s="15" t="n">
        <f aca="false">INT(A34/6)</f>
        <v>5</v>
      </c>
      <c r="D34" s="16" t="n">
        <f aca="false">IF(C34=0,(1+Dic2023!$G$6)^(-B34),EXP(LN(INDEX(Dic2023!$H$6:$H$205,C34))+(LN(INDEX(Dic2023!$H$6:$H$205,MIN(C34+1,200)))-LN(INDEX(Dic2023!$H$6:$H$205,C34)))*(A34-6*C34)/6))</f>
        <v>0.88948060658373</v>
      </c>
      <c r="E34" s="12" t="n">
        <f aca="false">D34^(-1/B34)-1</f>
        <v>0.0479616900000002</v>
      </c>
      <c r="F34" s="12" t="n">
        <f aca="false">(1+E34)^(1/12)-1</f>
        <v>0.00391154937567872</v>
      </c>
      <c r="G34" s="16" t="n">
        <f aca="false">IF(C34=0,(1+Dic2023!$J$6)^(-B34),EXP(LN(INDEX(Dic2023!$K$6:$K$205,C34))+(LN(INDEX(Dic2023!$K$6:$K$205,MIN(C34+1,200)))-LN(INDEX(Dic2023!$K$6:$K$205,C34)))*(A34-6*C34)/6))</f>
        <v>0.88948060658373</v>
      </c>
      <c r="H34" s="12" t="n">
        <f aca="false">G34^(-1/B34)-1</f>
        <v>0.0479616900000002</v>
      </c>
      <c r="I34" s="12" t="n">
        <f aca="false">(1+H34)^(1/12)-1</f>
        <v>0.00391154937567872</v>
      </c>
      <c r="J34" s="16" t="n">
        <f aca="false">IF(C34=0,(1+Dic2023!$M$6)^(-B34),EXP(LN(INDEX(Dic2023!$N$6:$N$205,C34))+(LN(INDEX(Dic2023!$N$6:$N$205,MIN(C34+1,200)))-LN(INDEX(Dic2023!$N$6:$N$205,C34)))*(A34-6*C34)/6))</f>
        <v>0.88948060658373</v>
      </c>
      <c r="K34" s="12" t="n">
        <f aca="false">J34^(-1/B34)-1</f>
        <v>0.0479616900000002</v>
      </c>
      <c r="L34" s="12" t="n">
        <f aca="false">(1+K34)^(1/12)-1</f>
        <v>0.00391154937567872</v>
      </c>
    </row>
    <row r="35" customFormat="false" ht="15" hidden="false" customHeight="false" outlineLevel="0" collapsed="false">
      <c r="A35" s="4" t="n">
        <v>31</v>
      </c>
      <c r="B35" s="14" t="n">
        <f aca="false">A35/12</f>
        <v>2.58333333333333</v>
      </c>
      <c r="C35" s="15" t="n">
        <f aca="false">INT(A35/6)</f>
        <v>5</v>
      </c>
      <c r="D35" s="16" t="n">
        <f aca="false">IF(C35=0,(1+Dic2023!$G$6)^(-B35),EXP(LN(INDEX(Dic2023!$H$6:$H$205,C35))+(LN(INDEX(Dic2023!$H$6:$H$205,MIN(C35+1,200)))-LN(INDEX(Dic2023!$H$6:$H$205,C35)))*(A35-6*C35)/6))</f>
        <v>0.886317944976205</v>
      </c>
      <c r="E35" s="12" t="n">
        <f aca="false">D35^(-1/B35)-1</f>
        <v>0.0478229806268808</v>
      </c>
      <c r="F35" s="12" t="n">
        <f aca="false">(1+E35)^(1/12)-1</f>
        <v>0.00390047546655947</v>
      </c>
      <c r="G35" s="16" t="n">
        <f aca="false">IF(C35=0,(1+Dic2023!$J$6)^(-B35),EXP(LN(INDEX(Dic2023!$K$6:$K$205,C35))+(LN(INDEX(Dic2023!$K$6:$K$205,MIN(C35+1,200)))-LN(INDEX(Dic2023!$K$6:$K$205,C35)))*(A35-6*C35)/6))</f>
        <v>0.886317944976205</v>
      </c>
      <c r="H35" s="12" t="n">
        <f aca="false">G35^(-1/B35)-1</f>
        <v>0.0478229806268808</v>
      </c>
      <c r="I35" s="12" t="n">
        <f aca="false">(1+H35)^(1/12)-1</f>
        <v>0.00390047546655947</v>
      </c>
      <c r="J35" s="16" t="n">
        <f aca="false">IF(C35=0,(1+Dic2023!$M$6)^(-B35),EXP(LN(INDEX(Dic2023!$N$6:$N$205,C35))+(LN(INDEX(Dic2023!$N$6:$N$205,MIN(C35+1,200)))-LN(INDEX(Dic2023!$N$6:$N$205,C35)))*(A35-6*C35)/6))</f>
        <v>0.886317944976205</v>
      </c>
      <c r="K35" s="12" t="n">
        <f aca="false">J35^(-1/B35)-1</f>
        <v>0.0478229806268808</v>
      </c>
      <c r="L35" s="12" t="n">
        <f aca="false">(1+K35)^(1/12)-1</f>
        <v>0.00390047546655947</v>
      </c>
    </row>
    <row r="36" customFormat="false" ht="15" hidden="false" customHeight="false" outlineLevel="0" collapsed="false">
      <c r="A36" s="4" t="n">
        <v>32</v>
      </c>
      <c r="B36" s="14" t="n">
        <f aca="false">A36/12</f>
        <v>2.66666666666667</v>
      </c>
      <c r="C36" s="15" t="n">
        <f aca="false">INT(A36/6)</f>
        <v>5</v>
      </c>
      <c r="D36" s="16" t="n">
        <f aca="false">IF(C36=0,(1+Dic2023!$G$6)^(-B36),EXP(LN(INDEX(Dic2023!$H$6:$H$205,C36))+(LN(INDEX(Dic2023!$H$6:$H$205,MIN(C36+1,200)))-LN(INDEX(Dic2023!$H$6:$H$205,C36)))*(A36-6*C36)/6))</f>
        <v>0.883166528614916</v>
      </c>
      <c r="E36" s="12" t="n">
        <f aca="false">D36^(-1/B36)-1</f>
        <v>0.0476929572639888</v>
      </c>
      <c r="F36" s="12" t="n">
        <f aca="false">(1+E36)^(1/12)-1</f>
        <v>0.00389009378770067</v>
      </c>
      <c r="G36" s="16" t="n">
        <f aca="false">IF(C36=0,(1+Dic2023!$J$6)^(-B36),EXP(LN(INDEX(Dic2023!$K$6:$K$205,C36))+(LN(INDEX(Dic2023!$K$6:$K$205,MIN(C36+1,200)))-LN(INDEX(Dic2023!$K$6:$K$205,C36)))*(A36-6*C36)/6))</f>
        <v>0.883166528614916</v>
      </c>
      <c r="H36" s="12" t="n">
        <f aca="false">G36^(-1/B36)-1</f>
        <v>0.0476929572639888</v>
      </c>
      <c r="I36" s="12" t="n">
        <f aca="false">(1+H36)^(1/12)-1</f>
        <v>0.00389009378770067</v>
      </c>
      <c r="J36" s="16" t="n">
        <f aca="false">IF(C36=0,(1+Dic2023!$M$6)^(-B36),EXP(LN(INDEX(Dic2023!$N$6:$N$205,C36))+(LN(INDEX(Dic2023!$N$6:$N$205,MIN(C36+1,200)))-LN(INDEX(Dic2023!$N$6:$N$205,C36)))*(A36-6*C36)/6))</f>
        <v>0.883166528614916</v>
      </c>
      <c r="K36" s="12" t="n">
        <f aca="false">J36^(-1/B36)-1</f>
        <v>0.0476929572639888</v>
      </c>
      <c r="L36" s="12" t="n">
        <f aca="false">(1+K36)^(1/12)-1</f>
        <v>0.00389009378770067</v>
      </c>
    </row>
    <row r="37" customFormat="false" ht="15" hidden="false" customHeight="false" outlineLevel="0" collapsed="false">
      <c r="A37" s="4" t="n">
        <v>33</v>
      </c>
      <c r="B37" s="14" t="n">
        <f aca="false">A37/12</f>
        <v>2.75</v>
      </c>
      <c r="C37" s="15" t="n">
        <f aca="false">INT(A37/6)</f>
        <v>5</v>
      </c>
      <c r="D37" s="16" t="n">
        <f aca="false">IF(C37=0,(1+Dic2023!$G$6)^(-B37),EXP(LN(INDEX(Dic2023!$H$6:$H$205,C37))+(LN(INDEX(Dic2023!$H$6:$H$205,MIN(C37+1,200)))-LN(INDEX(Dic2023!$H$6:$H$205,C37)))*(A37-6*C37)/6))</f>
        <v>0.880026317515958</v>
      </c>
      <c r="E37" s="12" t="n">
        <f aca="false">D37^(-1/B37)-1</f>
        <v>0.0475708288022825</v>
      </c>
      <c r="F37" s="12" t="n">
        <f aca="false">(1+E37)^(1/12)-1</f>
        <v>0.0038803413992976</v>
      </c>
      <c r="G37" s="16" t="n">
        <f aca="false">IF(C37=0,(1+Dic2023!$J$6)^(-B37),EXP(LN(INDEX(Dic2023!$K$6:$K$205,C37))+(LN(INDEX(Dic2023!$K$6:$K$205,MIN(C37+1,200)))-LN(INDEX(Dic2023!$K$6:$K$205,C37)))*(A37-6*C37)/6))</f>
        <v>0.880026317515958</v>
      </c>
      <c r="H37" s="12" t="n">
        <f aca="false">G37^(-1/B37)-1</f>
        <v>0.0475708288022825</v>
      </c>
      <c r="I37" s="12" t="n">
        <f aca="false">(1+H37)^(1/12)-1</f>
        <v>0.0038803413992976</v>
      </c>
      <c r="J37" s="16" t="n">
        <f aca="false">IF(C37=0,(1+Dic2023!$M$6)^(-B37),EXP(LN(INDEX(Dic2023!$N$6:$N$205,C37))+(LN(INDEX(Dic2023!$N$6:$N$205,MIN(C37+1,200)))-LN(INDEX(Dic2023!$N$6:$N$205,C37)))*(A37-6*C37)/6))</f>
        <v>0.880026317515958</v>
      </c>
      <c r="K37" s="12" t="n">
        <f aca="false">J37^(-1/B37)-1</f>
        <v>0.0475708288022825</v>
      </c>
      <c r="L37" s="12" t="n">
        <f aca="false">(1+K37)^(1/12)-1</f>
        <v>0.0038803413992976</v>
      </c>
    </row>
    <row r="38" customFormat="false" ht="15" hidden="false" customHeight="false" outlineLevel="0" collapsed="false">
      <c r="A38" s="4" t="n">
        <v>34</v>
      </c>
      <c r="B38" s="14" t="n">
        <f aca="false">A38/12</f>
        <v>2.83333333333333</v>
      </c>
      <c r="C38" s="15" t="n">
        <f aca="false">INT(A38/6)</f>
        <v>5</v>
      </c>
      <c r="D38" s="16" t="n">
        <f aca="false">IF(C38=0,(1+Dic2023!$G$6)^(-B38),EXP(LN(INDEX(Dic2023!$H$6:$H$205,C38))+(LN(INDEX(Dic2023!$H$6:$H$205,MIN(C38+1,200)))-LN(INDEX(Dic2023!$H$6:$H$205,C38)))*(A38-6*C38)/6))</f>
        <v>0.876897271837594</v>
      </c>
      <c r="E38" s="12" t="n">
        <f aca="false">D38^(-1/B38)-1</f>
        <v>0.0474558973726296</v>
      </c>
      <c r="F38" s="12" t="n">
        <f aca="false">(1+E38)^(1/12)-1</f>
        <v>0.00387116276734556</v>
      </c>
      <c r="G38" s="16" t="n">
        <f aca="false">IF(C38=0,(1+Dic2023!$J$6)^(-B38),EXP(LN(INDEX(Dic2023!$K$6:$K$205,C38))+(LN(INDEX(Dic2023!$K$6:$K$205,MIN(C38+1,200)))-LN(INDEX(Dic2023!$K$6:$K$205,C38)))*(A38-6*C38)/6))</f>
        <v>0.876897271837594</v>
      </c>
      <c r="H38" s="12" t="n">
        <f aca="false">G38^(-1/B38)-1</f>
        <v>0.0474558973726296</v>
      </c>
      <c r="I38" s="12" t="n">
        <f aca="false">(1+H38)^(1/12)-1</f>
        <v>0.00387116276734556</v>
      </c>
      <c r="J38" s="16" t="n">
        <f aca="false">IF(C38=0,(1+Dic2023!$M$6)^(-B38),EXP(LN(INDEX(Dic2023!$N$6:$N$205,C38))+(LN(INDEX(Dic2023!$N$6:$N$205,MIN(C38+1,200)))-LN(INDEX(Dic2023!$N$6:$N$205,C38)))*(A38-6*C38)/6))</f>
        <v>0.876897271837594</v>
      </c>
      <c r="K38" s="12" t="n">
        <f aca="false">J38^(-1/B38)-1</f>
        <v>0.0474558973726296</v>
      </c>
      <c r="L38" s="12" t="n">
        <f aca="false">(1+K38)^(1/12)-1</f>
        <v>0.00387116276734556</v>
      </c>
    </row>
    <row r="39" customFormat="false" ht="15" hidden="false" customHeight="false" outlineLevel="0" collapsed="false">
      <c r="A39" s="4" t="n">
        <v>35</v>
      </c>
      <c r="B39" s="14" t="n">
        <f aca="false">A39/12</f>
        <v>2.91666666666667</v>
      </c>
      <c r="C39" s="15" t="n">
        <f aca="false">INT(A39/6)</f>
        <v>5</v>
      </c>
      <c r="D39" s="16" t="n">
        <f aca="false">IF(C39=0,(1+Dic2023!$G$6)^(-B39),EXP(LN(INDEX(Dic2023!$H$6:$H$205,C39))+(LN(INDEX(Dic2023!$H$6:$H$205,MIN(C39+1,200)))-LN(INDEX(Dic2023!$H$6:$H$205,C39)))*(A39-6*C39)/6))</f>
        <v>0.873779351879748</v>
      </c>
      <c r="E39" s="12" t="n">
        <f aca="false">D39^(-1/B39)-1</f>
        <v>0.0473475450024423</v>
      </c>
      <c r="F39" s="12" t="n">
        <f aca="false">(1+E39)^(1/12)-1</f>
        <v>0.0038625087055133</v>
      </c>
      <c r="G39" s="16" t="n">
        <f aca="false">IF(C39=0,(1+Dic2023!$J$6)^(-B39),EXP(LN(INDEX(Dic2023!$K$6:$K$205,C39))+(LN(INDEX(Dic2023!$K$6:$K$205,MIN(C39+1,200)))-LN(INDEX(Dic2023!$K$6:$K$205,C39)))*(A39-6*C39)/6))</f>
        <v>0.873779351879748</v>
      </c>
      <c r="H39" s="12" t="n">
        <f aca="false">G39^(-1/B39)-1</f>
        <v>0.0473475450024423</v>
      </c>
      <c r="I39" s="12" t="n">
        <f aca="false">(1+H39)^(1/12)-1</f>
        <v>0.0038625087055133</v>
      </c>
      <c r="J39" s="16" t="n">
        <f aca="false">IF(C39=0,(1+Dic2023!$M$6)^(-B39),EXP(LN(INDEX(Dic2023!$N$6:$N$205,C39))+(LN(INDEX(Dic2023!$N$6:$N$205,MIN(C39+1,200)))-LN(INDEX(Dic2023!$N$6:$N$205,C39)))*(A39-6*C39)/6))</f>
        <v>0.873779351879748</v>
      </c>
      <c r="K39" s="12" t="n">
        <f aca="false">J39^(-1/B39)-1</f>
        <v>0.0473475450024423</v>
      </c>
      <c r="L39" s="12" t="n">
        <f aca="false">(1+K39)^(1/12)-1</f>
        <v>0.0038625087055133</v>
      </c>
    </row>
    <row r="40" customFormat="false" ht="15" hidden="false" customHeight="false" outlineLevel="0" collapsed="false">
      <c r="A40" s="4" t="n">
        <v>36</v>
      </c>
      <c r="B40" s="14" t="n">
        <f aca="false">A40/12</f>
        <v>3</v>
      </c>
      <c r="C40" s="15" t="n">
        <f aca="false">INT(A40/6)</f>
        <v>6</v>
      </c>
      <c r="D40" s="16" t="n">
        <f aca="false">IF(C40=0,(1+Dic2023!$G$6)^(-B40),EXP(LN(INDEX(Dic2023!$H$6:$H$205,C40))+(LN(INDEX(Dic2023!$H$6:$H$205,MIN(C40+1,200)))-LN(INDEX(Dic2023!$H$6:$H$205,C40)))*(A40-6*C40)/6))</f>
        <v>0.870672518083503</v>
      </c>
      <c r="E40" s="12" t="n">
        <f aca="false">D40^(-1/B40)-1</f>
        <v>0.0472452225</v>
      </c>
      <c r="F40" s="12" t="n">
        <f aca="false">(1+E40)^(1/12)-1</f>
        <v>0.00385433549339598</v>
      </c>
      <c r="G40" s="16" t="n">
        <f aca="false">IF(C40=0,(1+Dic2023!$J$6)^(-B40),EXP(LN(INDEX(Dic2023!$K$6:$K$205,C40))+(LN(INDEX(Dic2023!$K$6:$K$205,MIN(C40+1,200)))-LN(INDEX(Dic2023!$K$6:$K$205,C40)))*(A40-6*C40)/6))</f>
        <v>0.870672518083503</v>
      </c>
      <c r="H40" s="12" t="n">
        <f aca="false">G40^(-1/B40)-1</f>
        <v>0.0472452225</v>
      </c>
      <c r="I40" s="12" t="n">
        <f aca="false">(1+H40)^(1/12)-1</f>
        <v>0.00385433549339598</v>
      </c>
      <c r="J40" s="16" t="n">
        <f aca="false">IF(C40=0,(1+Dic2023!$M$6)^(-B40),EXP(LN(INDEX(Dic2023!$N$6:$N$205,C40))+(LN(INDEX(Dic2023!$N$6:$N$205,MIN(C40+1,200)))-LN(INDEX(Dic2023!$N$6:$N$205,C40)))*(A40-6*C40)/6))</f>
        <v>0.870672518083503</v>
      </c>
      <c r="K40" s="12" t="n">
        <f aca="false">J40^(-1/B40)-1</f>
        <v>0.0472452225</v>
      </c>
      <c r="L40" s="12" t="n">
        <f aca="false">(1+K40)^(1/12)-1</f>
        <v>0.00385433549339598</v>
      </c>
    </row>
    <row r="41" customFormat="false" ht="15" hidden="false" customHeight="false" outlineLevel="0" collapsed="false">
      <c r="A41" s="4" t="n">
        <v>37</v>
      </c>
      <c r="B41" s="14" t="n">
        <f aca="false">A41/12</f>
        <v>3.08333333333333</v>
      </c>
      <c r="C41" s="15" t="n">
        <f aca="false">INT(A41/6)</f>
        <v>6</v>
      </c>
      <c r="D41" s="16" t="n">
        <f aca="false">IF(C41=0,(1+Dic2023!$G$6)^(-B41),EXP(LN(INDEX(Dic2023!$H$6:$H$205,C41))+(LN(INDEX(Dic2023!$H$6:$H$205,MIN(C41+1,200)))-LN(INDEX(Dic2023!$H$6:$H$205,C41)))*(A41-6*C41)/6))</f>
        <v>0.867576803514125</v>
      </c>
      <c r="E41" s="12" t="n">
        <f aca="false">D41^(-1/B41)-1</f>
        <v>0.0471484117703951</v>
      </c>
      <c r="F41" s="12" t="n">
        <f aca="false">(1+E41)^(1/12)-1</f>
        <v>0.00384660187105879</v>
      </c>
      <c r="G41" s="16" t="n">
        <f aca="false">IF(C41=0,(1+Dic2023!$J$6)^(-B41),EXP(LN(INDEX(Dic2023!$K$6:$K$205,C41))+(LN(INDEX(Dic2023!$K$6:$K$205,MIN(C41+1,200)))-LN(INDEX(Dic2023!$K$6:$K$205,C41)))*(A41-6*C41)/6))</f>
        <v>0.867576803514125</v>
      </c>
      <c r="H41" s="12" t="n">
        <f aca="false">G41^(-1/B41)-1</f>
        <v>0.0471484117703951</v>
      </c>
      <c r="I41" s="12" t="n">
        <f aca="false">(1+H41)^(1/12)-1</f>
        <v>0.00384660187105879</v>
      </c>
      <c r="J41" s="16" t="n">
        <f aca="false">IF(C41=0,(1+Dic2023!$M$6)^(-B41),EXP(LN(INDEX(Dic2023!$N$6:$N$205,C41))+(LN(INDEX(Dic2023!$N$6:$N$205,MIN(C41+1,200)))-LN(INDEX(Dic2023!$N$6:$N$205,C41)))*(A41-6*C41)/6))</f>
        <v>0.867576803514125</v>
      </c>
      <c r="K41" s="12" t="n">
        <f aca="false">J41^(-1/B41)-1</f>
        <v>0.0471484117703951</v>
      </c>
      <c r="L41" s="12" t="n">
        <f aca="false">(1+K41)^(1/12)-1</f>
        <v>0.00384660187105879</v>
      </c>
    </row>
    <row r="42" customFormat="false" ht="15" hidden="false" customHeight="false" outlineLevel="0" collapsed="false">
      <c r="A42" s="4" t="n">
        <v>38</v>
      </c>
      <c r="B42" s="14" t="n">
        <f aca="false">A42/12</f>
        <v>3.16666666666667</v>
      </c>
      <c r="C42" s="15" t="n">
        <f aca="false">INT(A42/6)</f>
        <v>6</v>
      </c>
      <c r="D42" s="16" t="n">
        <f aca="false">IF(C42=0,(1+Dic2023!$G$6)^(-B42),EXP(LN(INDEX(Dic2023!$H$6:$H$205,C42))+(LN(INDEX(Dic2023!$H$6:$H$205,MIN(C42+1,200)))-LN(INDEX(Dic2023!$H$6:$H$205,C42)))*(A42-6*C42)/6))</f>
        <v>0.864492095894543</v>
      </c>
      <c r="E42" s="12" t="n">
        <f aca="false">D42^(-1/B42)-1</f>
        <v>0.0470567045977144</v>
      </c>
      <c r="F42" s="12" t="n">
        <f aca="false">(1+E42)^(1/12)-1</f>
        <v>0.00383927533643447</v>
      </c>
      <c r="G42" s="16" t="n">
        <f aca="false">IF(C42=0,(1+Dic2023!$J$6)^(-B42),EXP(LN(INDEX(Dic2023!$K$6:$K$205,C42))+(LN(INDEX(Dic2023!$K$6:$K$205,MIN(C42+1,200)))-LN(INDEX(Dic2023!$K$6:$K$205,C42)))*(A42-6*C42)/6))</f>
        <v>0.864492095894543</v>
      </c>
      <c r="H42" s="12" t="n">
        <f aca="false">G42^(-1/B42)-1</f>
        <v>0.0470567045977144</v>
      </c>
      <c r="I42" s="12" t="n">
        <f aca="false">(1+H42)^(1/12)-1</f>
        <v>0.00383927533643447</v>
      </c>
      <c r="J42" s="16" t="n">
        <f aca="false">IF(C42=0,(1+Dic2023!$M$6)^(-B42),EXP(LN(INDEX(Dic2023!$N$6:$N$205,C42))+(LN(INDEX(Dic2023!$N$6:$N$205,MIN(C42+1,200)))-LN(INDEX(Dic2023!$N$6:$N$205,C42)))*(A42-6*C42)/6))</f>
        <v>0.864492095894543</v>
      </c>
      <c r="K42" s="12" t="n">
        <f aca="false">J42^(-1/B42)-1</f>
        <v>0.0470567045977144</v>
      </c>
      <c r="L42" s="12" t="n">
        <f aca="false">(1+K42)^(1/12)-1</f>
        <v>0.00383927533643447</v>
      </c>
    </row>
    <row r="43" customFormat="false" ht="15" hidden="false" customHeight="false" outlineLevel="0" collapsed="false">
      <c r="A43" s="4" t="n">
        <v>39</v>
      </c>
      <c r="B43" s="14" t="n">
        <f aca="false">A43/12</f>
        <v>3.25</v>
      </c>
      <c r="C43" s="15" t="n">
        <f aca="false">INT(A43/6)</f>
        <v>6</v>
      </c>
      <c r="D43" s="16" t="n">
        <f aca="false">IF(C43=0,(1+Dic2023!$G$6)^(-B43),EXP(LN(INDEX(Dic2023!$H$6:$H$205,C43))+(LN(INDEX(Dic2023!$H$6:$H$205,MIN(C43+1,200)))-LN(INDEX(Dic2023!$H$6:$H$205,C43)))*(A43-6*C43)/6))</f>
        <v>0.861418356089061</v>
      </c>
      <c r="E43" s="12" t="n">
        <f aca="false">D43^(-1/B43)-1</f>
        <v>0.0469697077812596</v>
      </c>
      <c r="F43" s="12" t="n">
        <f aca="false">(1+E43)^(1/12)-1</f>
        <v>0.00383232457096394</v>
      </c>
      <c r="G43" s="16" t="n">
        <f aca="false">IF(C43=0,(1+Dic2023!$J$6)^(-B43),EXP(LN(INDEX(Dic2023!$K$6:$K$205,C43))+(LN(INDEX(Dic2023!$K$6:$K$205,MIN(C43+1,200)))-LN(INDEX(Dic2023!$K$6:$K$205,C43)))*(A43-6*C43)/6))</f>
        <v>0.861418356089061</v>
      </c>
      <c r="H43" s="12" t="n">
        <f aca="false">G43^(-1/B43)-1</f>
        <v>0.0469697077812596</v>
      </c>
      <c r="I43" s="12" t="n">
        <f aca="false">(1+H43)^(1/12)-1</f>
        <v>0.00383232457096394</v>
      </c>
      <c r="J43" s="16" t="n">
        <f aca="false">IF(C43=0,(1+Dic2023!$M$6)^(-B43),EXP(LN(INDEX(Dic2023!$N$6:$N$205,C43))+(LN(INDEX(Dic2023!$N$6:$N$205,MIN(C43+1,200)))-LN(INDEX(Dic2023!$N$6:$N$205,C43)))*(A43-6*C43)/6))</f>
        <v>0.861418356089061</v>
      </c>
      <c r="K43" s="12" t="n">
        <f aca="false">J43^(-1/B43)-1</f>
        <v>0.0469697077812596</v>
      </c>
      <c r="L43" s="12" t="n">
        <f aca="false">(1+K43)^(1/12)-1</f>
        <v>0.00383232457096394</v>
      </c>
    </row>
    <row r="44" customFormat="false" ht="15" hidden="false" customHeight="false" outlineLevel="0" collapsed="false">
      <c r="A44" s="4" t="n">
        <v>40</v>
      </c>
      <c r="B44" s="14" t="n">
        <f aca="false">A44/12</f>
        <v>3.33333333333333</v>
      </c>
      <c r="C44" s="15" t="n">
        <f aca="false">INT(A44/6)</f>
        <v>6</v>
      </c>
      <c r="D44" s="16" t="n">
        <f aca="false">IF(C44=0,(1+Dic2023!$G$6)^(-B44),EXP(LN(INDEX(Dic2023!$H$6:$H$205,C44))+(LN(INDEX(Dic2023!$H$6:$H$205,MIN(C44+1,200)))-LN(INDEX(Dic2023!$H$6:$H$205,C44)))*(A44-6*C44)/6))</f>
        <v>0.858355545101131</v>
      </c>
      <c r="E44" s="12" t="n">
        <f aca="false">D44^(-1/B44)-1</f>
        <v>0.046887067500855</v>
      </c>
      <c r="F44" s="12" t="n">
        <f aca="false">(1+E44)^(1/12)-1</f>
        <v>0.00382572138834592</v>
      </c>
      <c r="G44" s="16" t="n">
        <f aca="false">IF(C44=0,(1+Dic2023!$J$6)^(-B44),EXP(LN(INDEX(Dic2023!$K$6:$K$205,C44))+(LN(INDEX(Dic2023!$K$6:$K$205,MIN(C44+1,200)))-LN(INDEX(Dic2023!$K$6:$K$205,C44)))*(A44-6*C44)/6))</f>
        <v>0.858355545101131</v>
      </c>
      <c r="H44" s="12" t="n">
        <f aca="false">G44^(-1/B44)-1</f>
        <v>0.046887067500855</v>
      </c>
      <c r="I44" s="12" t="n">
        <f aca="false">(1+H44)^(1/12)-1</f>
        <v>0.00382572138834592</v>
      </c>
      <c r="J44" s="16" t="n">
        <f aca="false">IF(C44=0,(1+Dic2023!$M$6)^(-B44),EXP(LN(INDEX(Dic2023!$N$6:$N$205,C44))+(LN(INDEX(Dic2023!$N$6:$N$205,MIN(C44+1,200)))-LN(INDEX(Dic2023!$N$6:$N$205,C44)))*(A44-6*C44)/6))</f>
        <v>0.858355545101131</v>
      </c>
      <c r="K44" s="12" t="n">
        <f aca="false">J44^(-1/B44)-1</f>
        <v>0.046887067500855</v>
      </c>
      <c r="L44" s="12" t="n">
        <f aca="false">(1+K44)^(1/12)-1</f>
        <v>0.00382572138834592</v>
      </c>
    </row>
    <row r="45" customFormat="false" ht="15" hidden="false" customHeight="false" outlineLevel="0" collapsed="false">
      <c r="A45" s="4" t="n">
        <v>41</v>
      </c>
      <c r="B45" s="14" t="n">
        <f aca="false">A45/12</f>
        <v>3.41666666666667</v>
      </c>
      <c r="C45" s="15" t="n">
        <f aca="false">INT(A45/6)</f>
        <v>6</v>
      </c>
      <c r="D45" s="16" t="n">
        <f aca="false">IF(C45=0,(1+Dic2023!$G$6)^(-B45),EXP(LN(INDEX(Dic2023!$H$6:$H$205,C45))+(LN(INDEX(Dic2023!$H$6:$H$205,MIN(C45+1,200)))-LN(INDEX(Dic2023!$H$6:$H$205,C45)))*(A45-6*C45)/6))</f>
        <v>0.855303624072861</v>
      </c>
      <c r="E45" s="12" t="n">
        <f aca="false">D45^(-1/B45)-1</f>
        <v>0.0468084645071456</v>
      </c>
      <c r="F45" s="12" t="n">
        <f aca="false">(1+E45)^(1/12)-1</f>
        <v>0.00381944035250603</v>
      </c>
      <c r="G45" s="16" t="n">
        <f aca="false">IF(C45=0,(1+Dic2023!$J$6)^(-B45),EXP(LN(INDEX(Dic2023!$K$6:$K$205,C45))+(LN(INDEX(Dic2023!$K$6:$K$205,MIN(C45+1,200)))-LN(INDEX(Dic2023!$K$6:$K$205,C45)))*(A45-6*C45)/6))</f>
        <v>0.855303624072861</v>
      </c>
      <c r="H45" s="12" t="n">
        <f aca="false">G45^(-1/B45)-1</f>
        <v>0.0468084645071456</v>
      </c>
      <c r="I45" s="12" t="n">
        <f aca="false">(1+H45)^(1/12)-1</f>
        <v>0.00381944035250603</v>
      </c>
      <c r="J45" s="16" t="n">
        <f aca="false">IF(C45=0,(1+Dic2023!$M$6)^(-B45),EXP(LN(INDEX(Dic2023!$N$6:$N$205,C45))+(LN(INDEX(Dic2023!$N$6:$N$205,MIN(C45+1,200)))-LN(INDEX(Dic2023!$N$6:$N$205,C45)))*(A45-6*C45)/6))</f>
        <v>0.855303624072861</v>
      </c>
      <c r="K45" s="12" t="n">
        <f aca="false">J45^(-1/B45)-1</f>
        <v>0.0468084645071456</v>
      </c>
      <c r="L45" s="12" t="n">
        <f aca="false">(1+K45)^(1/12)-1</f>
        <v>0.00381944035250603</v>
      </c>
    </row>
    <row r="46" customFormat="false" ht="15" hidden="false" customHeight="false" outlineLevel="0" collapsed="false">
      <c r="A46" s="4" t="n">
        <v>42</v>
      </c>
      <c r="B46" s="14" t="n">
        <f aca="false">A46/12</f>
        <v>3.5</v>
      </c>
      <c r="C46" s="15" t="n">
        <f aca="false">INT(A46/6)</f>
        <v>7</v>
      </c>
      <c r="D46" s="16" t="n">
        <f aca="false">IF(C46=0,(1+Dic2023!$G$6)^(-B46),EXP(LN(INDEX(Dic2023!$H$6:$H$205,C46))+(LN(INDEX(Dic2023!$H$6:$H$205,MIN(C46+1,200)))-LN(INDEX(Dic2023!$H$6:$H$205,C46)))*(A46-6*C46)/6))</f>
        <v>0.852262554284518</v>
      </c>
      <c r="E46" s="12" t="n">
        <f aca="false">D46^(-1/B46)-1</f>
        <v>0.0467336099999998</v>
      </c>
      <c r="F46" s="12" t="n">
        <f aca="false">(1+E46)^(1/12)-1</f>
        <v>0.00381345845014924</v>
      </c>
      <c r="G46" s="16" t="n">
        <f aca="false">IF(C46=0,(1+Dic2023!$J$6)^(-B46),EXP(LN(INDEX(Dic2023!$K$6:$K$205,C46))+(LN(INDEX(Dic2023!$K$6:$K$205,MIN(C46+1,200)))-LN(INDEX(Dic2023!$K$6:$K$205,C46)))*(A46-6*C46)/6))</f>
        <v>0.852262554284518</v>
      </c>
      <c r="H46" s="12" t="n">
        <f aca="false">G46^(-1/B46)-1</f>
        <v>0.0467336099999998</v>
      </c>
      <c r="I46" s="12" t="n">
        <f aca="false">(1+H46)^(1/12)-1</f>
        <v>0.00381345845014924</v>
      </c>
      <c r="J46" s="16" t="n">
        <f aca="false">IF(C46=0,(1+Dic2023!$M$6)^(-B46),EXP(LN(INDEX(Dic2023!$N$6:$N$205,C46))+(LN(INDEX(Dic2023!$N$6:$N$205,MIN(C46+1,200)))-LN(INDEX(Dic2023!$N$6:$N$205,C46)))*(A46-6*C46)/6))</f>
        <v>0.852262554284518</v>
      </c>
      <c r="K46" s="12" t="n">
        <f aca="false">J46^(-1/B46)-1</f>
        <v>0.0467336099999998</v>
      </c>
      <c r="L46" s="12" t="n">
        <f aca="false">(1+K46)^(1/12)-1</f>
        <v>0.00381345845014924</v>
      </c>
    </row>
    <row r="47" customFormat="false" ht="15" hidden="false" customHeight="false" outlineLevel="0" collapsed="false">
      <c r="A47" s="4" t="n">
        <v>43</v>
      </c>
      <c r="B47" s="14" t="n">
        <f aca="false">A47/12</f>
        <v>3.58333333333333</v>
      </c>
      <c r="C47" s="15" t="n">
        <f aca="false">INT(A47/6)</f>
        <v>7</v>
      </c>
      <c r="D47" s="16" t="n">
        <f aca="false">IF(C47=0,(1+Dic2023!$G$6)^(-B47),EXP(LN(INDEX(Dic2023!$H$6:$H$205,C47))+(LN(INDEX(Dic2023!$H$6:$H$205,MIN(C47+1,200)))-LN(INDEX(Dic2023!$H$6:$H$205,C47)))*(A47-6*C47)/6))</f>
        <v>0.849190832788871</v>
      </c>
      <c r="E47" s="12" t="n">
        <f aca="false">D47^(-1/B47)-1</f>
        <v>0.0466765041155288</v>
      </c>
      <c r="F47" s="12" t="n">
        <f aca="false">(1+E47)^(1/12)-1</f>
        <v>0.00380889464261602</v>
      </c>
      <c r="G47" s="16" t="n">
        <f aca="false">IF(C47=0,(1+Dic2023!$J$6)^(-B47),EXP(LN(INDEX(Dic2023!$K$6:$K$205,C47))+(LN(INDEX(Dic2023!$K$6:$K$205,MIN(C47+1,200)))-LN(INDEX(Dic2023!$K$6:$K$205,C47)))*(A47-6*C47)/6))</f>
        <v>0.849190832788871</v>
      </c>
      <c r="H47" s="12" t="n">
        <f aca="false">G47^(-1/B47)-1</f>
        <v>0.0466765041155288</v>
      </c>
      <c r="I47" s="12" t="n">
        <f aca="false">(1+H47)^(1/12)-1</f>
        <v>0.00380889464261602</v>
      </c>
      <c r="J47" s="16" t="n">
        <f aca="false">IF(C47=0,(1+Dic2023!$M$6)^(-B47),EXP(LN(INDEX(Dic2023!$N$6:$N$205,C47))+(LN(INDEX(Dic2023!$N$6:$N$205,MIN(C47+1,200)))-LN(INDEX(Dic2023!$N$6:$N$205,C47)))*(A47-6*C47)/6))</f>
        <v>0.849190832788871</v>
      </c>
      <c r="K47" s="12" t="n">
        <f aca="false">J47^(-1/B47)-1</f>
        <v>0.0466765041155288</v>
      </c>
      <c r="L47" s="12" t="n">
        <f aca="false">(1+K47)^(1/12)-1</f>
        <v>0.00380889464261602</v>
      </c>
    </row>
    <row r="48" customFormat="false" ht="15" hidden="false" customHeight="false" outlineLevel="0" collapsed="false">
      <c r="A48" s="4" t="n">
        <v>44</v>
      </c>
      <c r="B48" s="14" t="n">
        <f aca="false">A48/12</f>
        <v>3.66666666666667</v>
      </c>
      <c r="C48" s="15" t="n">
        <f aca="false">INT(A48/6)</f>
        <v>7</v>
      </c>
      <c r="D48" s="16" t="n">
        <f aca="false">IF(C48=0,(1+Dic2023!$G$6)^(-B48),EXP(LN(INDEX(Dic2023!$H$6:$H$205,C48))+(LN(INDEX(Dic2023!$H$6:$H$205,MIN(C48+1,200)))-LN(INDEX(Dic2023!$H$6:$H$205,C48)))*(A48-6*C48)/6))</f>
        <v>0.846130182380296</v>
      </c>
      <c r="E48" s="12" t="n">
        <f aca="false">D48^(-1/B48)-1</f>
        <v>0.0466219968593651</v>
      </c>
      <c r="F48" s="12" t="n">
        <f aca="false">(1+E48)^(1/12)-1</f>
        <v>0.00380453830023586</v>
      </c>
      <c r="G48" s="16" t="n">
        <f aca="false">IF(C48=0,(1+Dic2023!$J$6)^(-B48),EXP(LN(INDEX(Dic2023!$K$6:$K$205,C48))+(LN(INDEX(Dic2023!$K$6:$K$205,MIN(C48+1,200)))-LN(INDEX(Dic2023!$K$6:$K$205,C48)))*(A48-6*C48)/6))</f>
        <v>0.846130182380296</v>
      </c>
      <c r="H48" s="12" t="n">
        <f aca="false">G48^(-1/B48)-1</f>
        <v>0.0466219968593651</v>
      </c>
      <c r="I48" s="12" t="n">
        <f aca="false">(1+H48)^(1/12)-1</f>
        <v>0.00380453830023586</v>
      </c>
      <c r="J48" s="16" t="n">
        <f aca="false">IF(C48=0,(1+Dic2023!$M$6)^(-B48),EXP(LN(INDEX(Dic2023!$N$6:$N$205,C48))+(LN(INDEX(Dic2023!$N$6:$N$205,MIN(C48+1,200)))-LN(INDEX(Dic2023!$N$6:$N$205,C48)))*(A48-6*C48)/6))</f>
        <v>0.846130182380296</v>
      </c>
      <c r="K48" s="12" t="n">
        <f aca="false">J48^(-1/B48)-1</f>
        <v>0.0466219968593651</v>
      </c>
      <c r="L48" s="12" t="n">
        <f aca="false">(1+K48)^(1/12)-1</f>
        <v>0.00380453830023586</v>
      </c>
    </row>
    <row r="49" customFormat="false" ht="15" hidden="false" customHeight="false" outlineLevel="0" collapsed="false">
      <c r="A49" s="4" t="n">
        <v>45</v>
      </c>
      <c r="B49" s="14" t="n">
        <f aca="false">A49/12</f>
        <v>3.75</v>
      </c>
      <c r="C49" s="15" t="n">
        <f aca="false">INT(A49/6)</f>
        <v>7</v>
      </c>
      <c r="D49" s="16" t="n">
        <f aca="false">IF(C49=0,(1+Dic2023!$G$6)^(-B49),EXP(LN(INDEX(Dic2023!$H$6:$H$205,C49))+(LN(INDEX(Dic2023!$H$6:$H$205,MIN(C49+1,200)))-LN(INDEX(Dic2023!$H$6:$H$205,C49)))*(A49-6*C49)/6))</f>
        <v>0.843080563156422</v>
      </c>
      <c r="E49" s="12" t="n">
        <f aca="false">D49^(-1/B49)-1</f>
        <v>0.0465699148000365</v>
      </c>
      <c r="F49" s="12" t="n">
        <f aca="false">(1+E49)^(1/12)-1</f>
        <v>0.00380037559073654</v>
      </c>
      <c r="G49" s="16" t="n">
        <f aca="false">IF(C49=0,(1+Dic2023!$J$6)^(-B49),EXP(LN(INDEX(Dic2023!$K$6:$K$205,C49))+(LN(INDEX(Dic2023!$K$6:$K$205,MIN(C49+1,200)))-LN(INDEX(Dic2023!$K$6:$K$205,C49)))*(A49-6*C49)/6))</f>
        <v>0.843080563156422</v>
      </c>
      <c r="H49" s="12" t="n">
        <f aca="false">G49^(-1/B49)-1</f>
        <v>0.0465699148000365</v>
      </c>
      <c r="I49" s="12" t="n">
        <f aca="false">(1+H49)^(1/12)-1</f>
        <v>0.00380037559073654</v>
      </c>
      <c r="J49" s="16" t="n">
        <f aca="false">IF(C49=0,(1+Dic2023!$M$6)^(-B49),EXP(LN(INDEX(Dic2023!$N$6:$N$205,C49))+(LN(INDEX(Dic2023!$N$6:$N$205,MIN(C49+1,200)))-LN(INDEX(Dic2023!$N$6:$N$205,C49)))*(A49-6*C49)/6))</f>
        <v>0.843080563156422</v>
      </c>
      <c r="K49" s="12" t="n">
        <f aca="false">J49^(-1/B49)-1</f>
        <v>0.0465699148000365</v>
      </c>
      <c r="L49" s="12" t="n">
        <f aca="false">(1+K49)^(1/12)-1</f>
        <v>0.00380037559073654</v>
      </c>
    </row>
    <row r="50" customFormat="false" ht="15" hidden="false" customHeight="false" outlineLevel="0" collapsed="false">
      <c r="A50" s="4" t="n">
        <v>46</v>
      </c>
      <c r="B50" s="14" t="n">
        <f aca="false">A50/12</f>
        <v>3.83333333333333</v>
      </c>
      <c r="C50" s="15" t="n">
        <f aca="false">INT(A50/6)</f>
        <v>7</v>
      </c>
      <c r="D50" s="16" t="n">
        <f aca="false">IF(C50=0,(1+Dic2023!$G$6)^(-B50),EXP(LN(INDEX(Dic2023!$H$6:$H$205,C50))+(LN(INDEX(Dic2023!$H$6:$H$205,MIN(C50+1,200)))-LN(INDEX(Dic2023!$H$6:$H$205,C50)))*(A50-6*C50)/6))</f>
        <v>0.840041935358696</v>
      </c>
      <c r="E50" s="12" t="n">
        <f aca="false">D50^(-1/B50)-1</f>
        <v>0.0465200996032067</v>
      </c>
      <c r="F50" s="12" t="n">
        <f aca="false">(1+E50)^(1/12)-1</f>
        <v>0.00379639388475961</v>
      </c>
      <c r="G50" s="16" t="n">
        <f aca="false">IF(C50=0,(1+Dic2023!$J$6)^(-B50),EXP(LN(INDEX(Dic2023!$K$6:$K$205,C50))+(LN(INDEX(Dic2023!$K$6:$K$205,MIN(C50+1,200)))-LN(INDEX(Dic2023!$K$6:$K$205,C50)))*(A50-6*C50)/6))</f>
        <v>0.840041935358696</v>
      </c>
      <c r="H50" s="12" t="n">
        <f aca="false">G50^(-1/B50)-1</f>
        <v>0.0465200996032067</v>
      </c>
      <c r="I50" s="12" t="n">
        <f aca="false">(1+H50)^(1/12)-1</f>
        <v>0.00379639388475961</v>
      </c>
      <c r="J50" s="16" t="n">
        <f aca="false">IF(C50=0,(1+Dic2023!$M$6)^(-B50),EXP(LN(INDEX(Dic2023!$N$6:$N$205,C50))+(LN(INDEX(Dic2023!$N$6:$N$205,MIN(C50+1,200)))-LN(INDEX(Dic2023!$N$6:$N$205,C50)))*(A50-6*C50)/6))</f>
        <v>0.840041935358696</v>
      </c>
      <c r="K50" s="12" t="n">
        <f aca="false">J50^(-1/B50)-1</f>
        <v>0.0465200996032067</v>
      </c>
      <c r="L50" s="12" t="n">
        <f aca="false">(1+K50)^(1/12)-1</f>
        <v>0.00379639388475961</v>
      </c>
    </row>
    <row r="51" customFormat="false" ht="15" hidden="false" customHeight="false" outlineLevel="0" collapsed="false">
      <c r="A51" s="4" t="n">
        <v>47</v>
      </c>
      <c r="B51" s="14" t="n">
        <f aca="false">A51/12</f>
        <v>3.91666666666667</v>
      </c>
      <c r="C51" s="15" t="n">
        <f aca="false">INT(A51/6)</f>
        <v>7</v>
      </c>
      <c r="D51" s="16" t="n">
        <f aca="false">IF(C51=0,(1+Dic2023!$G$6)^(-B51),EXP(LN(INDEX(Dic2023!$H$6:$H$205,C51))+(LN(INDEX(Dic2023!$H$6:$H$205,MIN(C51+1,200)))-LN(INDEX(Dic2023!$H$6:$H$205,C51)))*(A51-6*C51)/6))</f>
        <v>0.83701425937186</v>
      </c>
      <c r="E51" s="12" t="n">
        <f aca="false">D51^(-1/B51)-1</f>
        <v>0.0464724064239168</v>
      </c>
      <c r="F51" s="12" t="n">
        <f aca="false">(1+E51)^(1/12)-1</f>
        <v>0.00379258162787988</v>
      </c>
      <c r="G51" s="16" t="n">
        <f aca="false">IF(C51=0,(1+Dic2023!$J$6)^(-B51),EXP(LN(INDEX(Dic2023!$K$6:$K$205,C51))+(LN(INDEX(Dic2023!$K$6:$K$205,MIN(C51+1,200)))-LN(INDEX(Dic2023!$K$6:$K$205,C51)))*(A51-6*C51)/6))</f>
        <v>0.83701425937186</v>
      </c>
      <c r="H51" s="12" t="n">
        <f aca="false">G51^(-1/B51)-1</f>
        <v>0.0464724064239168</v>
      </c>
      <c r="I51" s="12" t="n">
        <f aca="false">(1+H51)^(1/12)-1</f>
        <v>0.00379258162787988</v>
      </c>
      <c r="J51" s="16" t="n">
        <f aca="false">IF(C51=0,(1+Dic2023!$M$6)^(-B51),EXP(LN(INDEX(Dic2023!$N$6:$N$205,C51))+(LN(INDEX(Dic2023!$N$6:$N$205,MIN(C51+1,200)))-LN(INDEX(Dic2023!$N$6:$N$205,C51)))*(A51-6*C51)/6))</f>
        <v>0.83701425937186</v>
      </c>
      <c r="K51" s="12" t="n">
        <f aca="false">J51^(-1/B51)-1</f>
        <v>0.0464724064239168</v>
      </c>
      <c r="L51" s="12" t="n">
        <f aca="false">(1+K51)^(1/12)-1</f>
        <v>0.00379258162787988</v>
      </c>
    </row>
    <row r="52" customFormat="false" ht="15" hidden="false" customHeight="false" outlineLevel="0" collapsed="false">
      <c r="A52" s="4" t="n">
        <v>48</v>
      </c>
      <c r="B52" s="14" t="n">
        <f aca="false">A52/12</f>
        <v>4</v>
      </c>
      <c r="C52" s="15" t="n">
        <f aca="false">INT(A52/6)</f>
        <v>8</v>
      </c>
      <c r="D52" s="16" t="n">
        <f aca="false">IF(C52=0,(1+Dic2023!$G$6)^(-B52),EXP(LN(INDEX(Dic2023!$H$6:$H$205,C52))+(LN(INDEX(Dic2023!$H$6:$H$205,MIN(C52+1,200)))-LN(INDEX(Dic2023!$H$6:$H$205,C52)))*(A52-6*C52)/6))</f>
        <v>0.833997495723439</v>
      </c>
      <c r="E52" s="12" t="n">
        <f aca="false">D52^(-1/B52)-1</f>
        <v>0.0464267025</v>
      </c>
      <c r="F52" s="12" t="n">
        <f aca="false">(1+E52)^(1/12)-1</f>
        <v>0.00378892822862276</v>
      </c>
      <c r="G52" s="16" t="n">
        <f aca="false">IF(C52=0,(1+Dic2023!$J$6)^(-B52),EXP(LN(INDEX(Dic2023!$K$6:$K$205,C52))+(LN(INDEX(Dic2023!$K$6:$K$205,MIN(C52+1,200)))-LN(INDEX(Dic2023!$K$6:$K$205,C52)))*(A52-6*C52)/6))</f>
        <v>0.833997495723439</v>
      </c>
      <c r="H52" s="12" t="n">
        <f aca="false">G52^(-1/B52)-1</f>
        <v>0.0464267025</v>
      </c>
      <c r="I52" s="12" t="n">
        <f aca="false">(1+H52)^(1/12)-1</f>
        <v>0.00378892822862276</v>
      </c>
      <c r="J52" s="16" t="n">
        <f aca="false">IF(C52=0,(1+Dic2023!$M$6)^(-B52),EXP(LN(INDEX(Dic2023!$N$6:$N$205,C52))+(LN(INDEX(Dic2023!$N$6:$N$205,MIN(C52+1,200)))-LN(INDEX(Dic2023!$N$6:$N$205,C52)))*(A52-6*C52)/6))</f>
        <v>0.833997495723439</v>
      </c>
      <c r="K52" s="12" t="n">
        <f aca="false">J52^(-1/B52)-1</f>
        <v>0.0464267025</v>
      </c>
      <c r="L52" s="12" t="n">
        <f aca="false">(1+K52)^(1/12)-1</f>
        <v>0.00378892822862276</v>
      </c>
    </row>
    <row r="53" customFormat="false" ht="15" hidden="false" customHeight="false" outlineLevel="0" collapsed="false">
      <c r="A53" s="4" t="n">
        <v>49</v>
      </c>
      <c r="B53" s="14" t="n">
        <f aca="false">A53/12</f>
        <v>4.08333333333333</v>
      </c>
      <c r="C53" s="15" t="n">
        <f aca="false">INT(A53/6)</f>
        <v>8</v>
      </c>
      <c r="D53" s="16" t="n">
        <f aca="false">IF(C53=0,(1+Dic2023!$G$6)^(-B53),EXP(LN(INDEX(Dic2023!$H$6:$H$205,C53))+(LN(INDEX(Dic2023!$H$6:$H$205,MIN(C53+1,200)))-LN(INDEX(Dic2023!$H$6:$H$205,C53)))*(A53-6*C53)/6))</f>
        <v>0.830910386142064</v>
      </c>
      <c r="E53" s="12" t="n">
        <f aca="false">D53^(-1/B53)-1</f>
        <v>0.0464079133319373</v>
      </c>
      <c r="F53" s="12" t="n">
        <f aca="false">(1+E53)^(1/12)-1</f>
        <v>0.00378742625098449</v>
      </c>
      <c r="G53" s="16" t="n">
        <f aca="false">IF(C53=0,(1+Dic2023!$J$6)^(-B53),EXP(LN(INDEX(Dic2023!$K$6:$K$205,C53))+(LN(INDEX(Dic2023!$K$6:$K$205,MIN(C53+1,200)))-LN(INDEX(Dic2023!$K$6:$K$205,C53)))*(A53-6*C53)/6))</f>
        <v>0.830910386142064</v>
      </c>
      <c r="H53" s="12" t="n">
        <f aca="false">G53^(-1/B53)-1</f>
        <v>0.0464079133319373</v>
      </c>
      <c r="I53" s="12" t="n">
        <f aca="false">(1+H53)^(1/12)-1</f>
        <v>0.00378742625098449</v>
      </c>
      <c r="J53" s="16" t="n">
        <f aca="false">IF(C53=0,(1+Dic2023!$M$6)^(-B53),EXP(LN(INDEX(Dic2023!$N$6:$N$205,C53))+(LN(INDEX(Dic2023!$N$6:$N$205,MIN(C53+1,200)))-LN(INDEX(Dic2023!$N$6:$N$205,C53)))*(A53-6*C53)/6))</f>
        <v>0.830910386142064</v>
      </c>
      <c r="K53" s="12" t="n">
        <f aca="false">J53^(-1/B53)-1</f>
        <v>0.0464079133319373</v>
      </c>
      <c r="L53" s="12" t="n">
        <f aca="false">(1+K53)^(1/12)-1</f>
        <v>0.00378742625098449</v>
      </c>
    </row>
    <row r="54" customFormat="false" ht="15" hidden="false" customHeight="false" outlineLevel="0" collapsed="false">
      <c r="A54" s="4" t="n">
        <v>50</v>
      </c>
      <c r="B54" s="14" t="n">
        <f aca="false">A54/12</f>
        <v>4.16666666666667</v>
      </c>
      <c r="C54" s="15" t="n">
        <f aca="false">INT(A54/6)</f>
        <v>8</v>
      </c>
      <c r="D54" s="16" t="n">
        <f aca="false">IF(C54=0,(1+Dic2023!$G$6)^(-B54),EXP(LN(INDEX(Dic2023!$H$6:$H$205,C54))+(LN(INDEX(Dic2023!$H$6:$H$205,MIN(C54+1,200)))-LN(INDEX(Dic2023!$H$6:$H$205,C54)))*(A54-6*C54)/6))</f>
        <v>0.82783470374796</v>
      </c>
      <c r="E54" s="12" t="n">
        <f aca="false">D54^(-1/B54)-1</f>
        <v>0.0463898760479946</v>
      </c>
      <c r="F54" s="12" t="n">
        <f aca="false">(1+E54)^(1/12)-1</f>
        <v>0.00378598435456601</v>
      </c>
      <c r="G54" s="16" t="n">
        <f aca="false">IF(C54=0,(1+Dic2023!$J$6)^(-B54),EXP(LN(INDEX(Dic2023!$K$6:$K$205,C54))+(LN(INDEX(Dic2023!$K$6:$K$205,MIN(C54+1,200)))-LN(INDEX(Dic2023!$K$6:$K$205,C54)))*(A54-6*C54)/6))</f>
        <v>0.82783470374796</v>
      </c>
      <c r="H54" s="12" t="n">
        <f aca="false">G54^(-1/B54)-1</f>
        <v>0.0463898760479946</v>
      </c>
      <c r="I54" s="12" t="n">
        <f aca="false">(1+H54)^(1/12)-1</f>
        <v>0.00378598435456601</v>
      </c>
      <c r="J54" s="16" t="n">
        <f aca="false">IF(C54=0,(1+Dic2023!$M$6)^(-B54),EXP(LN(INDEX(Dic2023!$N$6:$N$205,C54))+(LN(INDEX(Dic2023!$N$6:$N$205,MIN(C54+1,200)))-LN(INDEX(Dic2023!$N$6:$N$205,C54)))*(A54-6*C54)/6))</f>
        <v>0.82783470374796</v>
      </c>
      <c r="K54" s="12" t="n">
        <f aca="false">J54^(-1/B54)-1</f>
        <v>0.0463898760479946</v>
      </c>
      <c r="L54" s="12" t="n">
        <f aca="false">(1+K54)^(1/12)-1</f>
        <v>0.00378598435456601</v>
      </c>
    </row>
    <row r="55" customFormat="false" ht="15" hidden="false" customHeight="false" outlineLevel="0" collapsed="false">
      <c r="A55" s="4" t="n">
        <v>51</v>
      </c>
      <c r="B55" s="14" t="n">
        <f aca="false">A55/12</f>
        <v>4.25</v>
      </c>
      <c r="C55" s="15" t="n">
        <f aca="false">INT(A55/6)</f>
        <v>8</v>
      </c>
      <c r="D55" s="16" t="n">
        <f aca="false">IF(C55=0,(1+Dic2023!$G$6)^(-B55),EXP(LN(INDEX(Dic2023!$H$6:$H$205,C55))+(LN(INDEX(Dic2023!$H$6:$H$205,MIN(C55+1,200)))-LN(INDEX(Dic2023!$H$6:$H$205,C55)))*(A55-6*C55)/6))</f>
        <v>0.824770406242464</v>
      </c>
      <c r="E55" s="12" t="n">
        <f aca="false">D55^(-1/B55)-1</f>
        <v>0.0463725464013851</v>
      </c>
      <c r="F55" s="12" t="n">
        <f aca="false">(1+E55)^(1/12)-1</f>
        <v>0.00378459900505623</v>
      </c>
      <c r="G55" s="16" t="n">
        <f aca="false">IF(C55=0,(1+Dic2023!$J$6)^(-B55),EXP(LN(INDEX(Dic2023!$K$6:$K$205,C55))+(LN(INDEX(Dic2023!$K$6:$K$205,MIN(C55+1,200)))-LN(INDEX(Dic2023!$K$6:$K$205,C55)))*(A55-6*C55)/6))</f>
        <v>0.824770406242464</v>
      </c>
      <c r="H55" s="12" t="n">
        <f aca="false">G55^(-1/B55)-1</f>
        <v>0.0463725464013851</v>
      </c>
      <c r="I55" s="12" t="n">
        <f aca="false">(1+H55)^(1/12)-1</f>
        <v>0.00378459900505623</v>
      </c>
      <c r="J55" s="16" t="n">
        <f aca="false">IF(C55=0,(1+Dic2023!$M$6)^(-B55),EXP(LN(INDEX(Dic2023!$N$6:$N$205,C55))+(LN(INDEX(Dic2023!$N$6:$N$205,MIN(C55+1,200)))-LN(INDEX(Dic2023!$N$6:$N$205,C55)))*(A55-6*C55)/6))</f>
        <v>0.824770406242464</v>
      </c>
      <c r="K55" s="12" t="n">
        <f aca="false">J55^(-1/B55)-1</f>
        <v>0.0463725464013851</v>
      </c>
      <c r="L55" s="12" t="n">
        <f aca="false">(1+K55)^(1/12)-1</f>
        <v>0.00378459900505623</v>
      </c>
    </row>
    <row r="56" customFormat="false" ht="15" hidden="false" customHeight="false" outlineLevel="0" collapsed="false">
      <c r="A56" s="4" t="n">
        <v>52</v>
      </c>
      <c r="B56" s="14" t="n">
        <f aca="false">A56/12</f>
        <v>4.33333333333333</v>
      </c>
      <c r="C56" s="15" t="n">
        <f aca="false">INT(A56/6)</f>
        <v>8</v>
      </c>
      <c r="D56" s="16" t="n">
        <f aca="false">IF(C56=0,(1+Dic2023!$G$6)^(-B56),EXP(LN(INDEX(Dic2023!$H$6:$H$205,C56))+(LN(INDEX(Dic2023!$H$6:$H$205,MIN(C56+1,200)))-LN(INDEX(Dic2023!$H$6:$H$205,C56)))*(A56-6*C56)/6))</f>
        <v>0.821717451483485</v>
      </c>
      <c r="E56" s="12" t="n">
        <f aca="false">D56^(-1/B56)-1</f>
        <v>0.0463558835503024</v>
      </c>
      <c r="F56" s="12" t="n">
        <f aca="false">(1+E56)^(1/12)-1</f>
        <v>0.00378326694002284</v>
      </c>
      <c r="G56" s="16" t="n">
        <f aca="false">IF(C56=0,(1+Dic2023!$J$6)^(-B56),EXP(LN(INDEX(Dic2023!$K$6:$K$205,C56))+(LN(INDEX(Dic2023!$K$6:$K$205,MIN(C56+1,200)))-LN(INDEX(Dic2023!$K$6:$K$205,C56)))*(A56-6*C56)/6))</f>
        <v>0.821717451483485</v>
      </c>
      <c r="H56" s="12" t="n">
        <f aca="false">G56^(-1/B56)-1</f>
        <v>0.0463558835503024</v>
      </c>
      <c r="I56" s="12" t="n">
        <f aca="false">(1+H56)^(1/12)-1</f>
        <v>0.00378326694002284</v>
      </c>
      <c r="J56" s="16" t="n">
        <f aca="false">IF(C56=0,(1+Dic2023!$M$6)^(-B56),EXP(LN(INDEX(Dic2023!$N$6:$N$205,C56))+(LN(INDEX(Dic2023!$N$6:$N$205,MIN(C56+1,200)))-LN(INDEX(Dic2023!$N$6:$N$205,C56)))*(A56-6*C56)/6))</f>
        <v>0.821717451483485</v>
      </c>
      <c r="K56" s="12" t="n">
        <f aca="false">J56^(-1/B56)-1</f>
        <v>0.0463558835503024</v>
      </c>
      <c r="L56" s="12" t="n">
        <f aca="false">(1+K56)^(1/12)-1</f>
        <v>0.00378326694002284</v>
      </c>
    </row>
    <row r="57" customFormat="false" ht="15" hidden="false" customHeight="false" outlineLevel="0" collapsed="false">
      <c r="A57" s="4" t="n">
        <v>53</v>
      </c>
      <c r="B57" s="14" t="n">
        <f aca="false">A57/12</f>
        <v>4.41666666666667</v>
      </c>
      <c r="C57" s="15" t="n">
        <f aca="false">INT(A57/6)</f>
        <v>8</v>
      </c>
      <c r="D57" s="16" t="n">
        <f aca="false">IF(C57=0,(1+Dic2023!$G$6)^(-B57),EXP(LN(INDEX(Dic2023!$H$6:$H$205,C57))+(LN(INDEX(Dic2023!$H$6:$H$205,MIN(C57+1,200)))-LN(INDEX(Dic2023!$H$6:$H$205,C57)))*(A57-6*C57)/6))</f>
        <v>0.818675797484923</v>
      </c>
      <c r="E57" s="12" t="n">
        <f aca="false">D57^(-1/B57)-1</f>
        <v>0.0463398497365681</v>
      </c>
      <c r="F57" s="12" t="n">
        <f aca="false">(1+E57)^(1/12)-1</f>
        <v>0.00378198514326344</v>
      </c>
      <c r="G57" s="16" t="n">
        <f aca="false">IF(C57=0,(1+Dic2023!$J$6)^(-B57),EXP(LN(INDEX(Dic2023!$K$6:$K$205,C57))+(LN(INDEX(Dic2023!$K$6:$K$205,MIN(C57+1,200)))-LN(INDEX(Dic2023!$K$6:$K$205,C57)))*(A57-6*C57)/6))</f>
        <v>0.818675797484923</v>
      </c>
      <c r="H57" s="12" t="n">
        <f aca="false">G57^(-1/B57)-1</f>
        <v>0.0463398497365681</v>
      </c>
      <c r="I57" s="12" t="n">
        <f aca="false">(1+H57)^(1/12)-1</f>
        <v>0.00378198514326344</v>
      </c>
      <c r="J57" s="16" t="n">
        <f aca="false">IF(C57=0,(1+Dic2023!$M$6)^(-B57),EXP(LN(INDEX(Dic2023!$N$6:$N$205,C57))+(LN(INDEX(Dic2023!$N$6:$N$205,MIN(C57+1,200)))-LN(INDEX(Dic2023!$N$6:$N$205,C57)))*(A57-6*C57)/6))</f>
        <v>0.818675797484923</v>
      </c>
      <c r="K57" s="12" t="n">
        <f aca="false">J57^(-1/B57)-1</f>
        <v>0.0463398497365681</v>
      </c>
      <c r="L57" s="12" t="n">
        <f aca="false">(1+K57)^(1/12)-1</f>
        <v>0.00378198514326344</v>
      </c>
    </row>
    <row r="58" customFormat="false" ht="15" hidden="false" customHeight="false" outlineLevel="0" collapsed="false">
      <c r="A58" s="4" t="n">
        <v>54</v>
      </c>
      <c r="B58" s="14" t="n">
        <f aca="false">A58/12</f>
        <v>4.5</v>
      </c>
      <c r="C58" s="15" t="n">
        <f aca="false">INT(A58/6)</f>
        <v>9</v>
      </c>
      <c r="D58" s="16" t="n">
        <f aca="false">IF(C58=0,(1+Dic2023!$G$6)^(-B58),EXP(LN(INDEX(Dic2023!$H$6:$H$205,C58))+(LN(INDEX(Dic2023!$H$6:$H$205,MIN(C58+1,200)))-LN(INDEX(Dic2023!$H$6:$H$205,C58)))*(A58-6*C58)/6))</f>
        <v>0.815645402416095</v>
      </c>
      <c r="E58" s="12" t="n">
        <f aca="false">D58^(-1/B58)-1</f>
        <v>0.0463244099999998</v>
      </c>
      <c r="F58" s="12" t="n">
        <f aca="false">(1+E58)^(1/12)-1</f>
        <v>0.00378075082200513</v>
      </c>
      <c r="G58" s="16" t="n">
        <f aca="false">IF(C58=0,(1+Dic2023!$J$6)^(-B58),EXP(LN(INDEX(Dic2023!$K$6:$K$205,C58))+(LN(INDEX(Dic2023!$K$6:$K$205,MIN(C58+1,200)))-LN(INDEX(Dic2023!$K$6:$K$205,C58)))*(A58-6*C58)/6))</f>
        <v>0.815645402416095</v>
      </c>
      <c r="H58" s="12" t="n">
        <f aca="false">G58^(-1/B58)-1</f>
        <v>0.0463244099999998</v>
      </c>
      <c r="I58" s="12" t="n">
        <f aca="false">(1+H58)^(1/12)-1</f>
        <v>0.00378075082200513</v>
      </c>
      <c r="J58" s="16" t="n">
        <f aca="false">IF(C58=0,(1+Dic2023!$M$6)^(-B58),EXP(LN(INDEX(Dic2023!$N$6:$N$205,C58))+(LN(INDEX(Dic2023!$N$6:$N$205,MIN(C58+1,200)))-LN(INDEX(Dic2023!$N$6:$N$205,C58)))*(A58-6*C58)/6))</f>
        <v>0.815645402416095</v>
      </c>
      <c r="K58" s="12" t="n">
        <f aca="false">J58^(-1/B58)-1</f>
        <v>0.0463244099999998</v>
      </c>
      <c r="L58" s="12" t="n">
        <f aca="false">(1+K58)^(1/12)-1</f>
        <v>0.00378075082200513</v>
      </c>
    </row>
    <row r="59" customFormat="false" ht="15" hidden="false" customHeight="false" outlineLevel="0" collapsed="false">
      <c r="A59" s="4" t="n">
        <v>55</v>
      </c>
      <c r="B59" s="14" t="n">
        <f aca="false">A59/12</f>
        <v>4.58333333333333</v>
      </c>
      <c r="C59" s="15" t="n">
        <f aca="false">INT(A59/6)</f>
        <v>9</v>
      </c>
      <c r="D59" s="16" t="n">
        <f aca="false">IF(C59=0,(1+Dic2023!$G$6)^(-B59),EXP(LN(INDEX(Dic2023!$H$6:$H$205,C59))+(LN(INDEX(Dic2023!$H$6:$H$205,MIN(C59+1,200)))-LN(INDEX(Dic2023!$H$6:$H$205,C59)))*(A59-6*C59)/6))</f>
        <v>0.812573265375088</v>
      </c>
      <c r="E59" s="12" t="n">
        <f aca="false">D59^(-1/B59)-1</f>
        <v>0.0463244099999998</v>
      </c>
      <c r="F59" s="12" t="n">
        <f aca="false">(1+E59)^(1/12)-1</f>
        <v>0.00378075082200513</v>
      </c>
      <c r="G59" s="16" t="n">
        <f aca="false">IF(C59=0,(1+Dic2023!$J$6)^(-B59),EXP(LN(INDEX(Dic2023!$K$6:$K$205,C59))+(LN(INDEX(Dic2023!$K$6:$K$205,MIN(C59+1,200)))-LN(INDEX(Dic2023!$K$6:$K$205,C59)))*(A59-6*C59)/6))</f>
        <v>0.812573265375088</v>
      </c>
      <c r="H59" s="12" t="n">
        <f aca="false">G59^(-1/B59)-1</f>
        <v>0.0463244099999998</v>
      </c>
      <c r="I59" s="12" t="n">
        <f aca="false">(1+H59)^(1/12)-1</f>
        <v>0.00378075082200513</v>
      </c>
      <c r="J59" s="16" t="n">
        <f aca="false">IF(C59=0,(1+Dic2023!$M$6)^(-B59),EXP(LN(INDEX(Dic2023!$N$6:$N$205,C59))+(LN(INDEX(Dic2023!$N$6:$N$205,MIN(C59+1,200)))-LN(INDEX(Dic2023!$N$6:$N$205,C59)))*(A59-6*C59)/6))</f>
        <v>0.812573265375088</v>
      </c>
      <c r="K59" s="12" t="n">
        <f aca="false">J59^(-1/B59)-1</f>
        <v>0.0463244099999998</v>
      </c>
      <c r="L59" s="12" t="n">
        <f aca="false">(1+K59)^(1/12)-1</f>
        <v>0.00378075082200513</v>
      </c>
    </row>
    <row r="60" customFormat="false" ht="15" hidden="false" customHeight="false" outlineLevel="0" collapsed="false">
      <c r="A60" s="4" t="n">
        <v>56</v>
      </c>
      <c r="B60" s="14" t="n">
        <f aca="false">A60/12</f>
        <v>4.66666666666667</v>
      </c>
      <c r="C60" s="15" t="n">
        <f aca="false">INT(A60/6)</f>
        <v>9</v>
      </c>
      <c r="D60" s="16" t="n">
        <f aca="false">IF(C60=0,(1+Dic2023!$G$6)^(-B60),EXP(LN(INDEX(Dic2023!$H$6:$H$205,C60))+(LN(INDEX(Dic2023!$H$6:$H$205,MIN(C60+1,200)))-LN(INDEX(Dic2023!$H$6:$H$205,C60)))*(A60-6*C60)/6))</f>
        <v>0.809512699570763</v>
      </c>
      <c r="E60" s="12" t="n">
        <f aca="false">D60^(-1/B60)-1</f>
        <v>0.0463244099999998</v>
      </c>
      <c r="F60" s="12" t="n">
        <f aca="false">(1+E60)^(1/12)-1</f>
        <v>0.00378075082200513</v>
      </c>
      <c r="G60" s="16" t="n">
        <f aca="false">IF(C60=0,(1+Dic2023!$J$6)^(-B60),EXP(LN(INDEX(Dic2023!$K$6:$K$205,C60))+(LN(INDEX(Dic2023!$K$6:$K$205,MIN(C60+1,200)))-LN(INDEX(Dic2023!$K$6:$K$205,C60)))*(A60-6*C60)/6))</f>
        <v>0.809512699570763</v>
      </c>
      <c r="H60" s="12" t="n">
        <f aca="false">G60^(-1/B60)-1</f>
        <v>0.0463244099999998</v>
      </c>
      <c r="I60" s="12" t="n">
        <f aca="false">(1+H60)^(1/12)-1</f>
        <v>0.00378075082200513</v>
      </c>
      <c r="J60" s="16" t="n">
        <f aca="false">IF(C60=0,(1+Dic2023!$M$6)^(-B60),EXP(LN(INDEX(Dic2023!$N$6:$N$205,C60))+(LN(INDEX(Dic2023!$N$6:$N$205,MIN(C60+1,200)))-LN(INDEX(Dic2023!$N$6:$N$205,C60)))*(A60-6*C60)/6))</f>
        <v>0.809512699570763</v>
      </c>
      <c r="K60" s="12" t="n">
        <f aca="false">J60^(-1/B60)-1</f>
        <v>0.0463244099999998</v>
      </c>
      <c r="L60" s="12" t="n">
        <f aca="false">(1+K60)^(1/12)-1</f>
        <v>0.00378075082200513</v>
      </c>
    </row>
    <row r="61" customFormat="false" ht="15" hidden="false" customHeight="false" outlineLevel="0" collapsed="false">
      <c r="A61" s="4" t="n">
        <v>57</v>
      </c>
      <c r="B61" s="14" t="n">
        <f aca="false">A61/12</f>
        <v>4.75</v>
      </c>
      <c r="C61" s="15" t="n">
        <f aca="false">INT(A61/6)</f>
        <v>9</v>
      </c>
      <c r="D61" s="16" t="n">
        <f aca="false">IF(C61=0,(1+Dic2023!$G$6)^(-B61),EXP(LN(INDEX(Dic2023!$H$6:$H$205,C61))+(LN(INDEX(Dic2023!$H$6:$H$205,MIN(C61+1,200)))-LN(INDEX(Dic2023!$H$6:$H$205,C61)))*(A61-6*C61)/6))</f>
        <v>0.806463661419932</v>
      </c>
      <c r="E61" s="12" t="n">
        <f aca="false">D61^(-1/B61)-1</f>
        <v>0.0463244099999998</v>
      </c>
      <c r="F61" s="12" t="n">
        <f aca="false">(1+E61)^(1/12)-1</f>
        <v>0.00378075082200513</v>
      </c>
      <c r="G61" s="16" t="n">
        <f aca="false">IF(C61=0,(1+Dic2023!$J$6)^(-B61),EXP(LN(INDEX(Dic2023!$K$6:$K$205,C61))+(LN(INDEX(Dic2023!$K$6:$K$205,MIN(C61+1,200)))-LN(INDEX(Dic2023!$K$6:$K$205,C61)))*(A61-6*C61)/6))</f>
        <v>0.806463661419932</v>
      </c>
      <c r="H61" s="12" t="n">
        <f aca="false">G61^(-1/B61)-1</f>
        <v>0.0463244099999998</v>
      </c>
      <c r="I61" s="12" t="n">
        <f aca="false">(1+H61)^(1/12)-1</f>
        <v>0.00378075082200513</v>
      </c>
      <c r="J61" s="16" t="n">
        <f aca="false">IF(C61=0,(1+Dic2023!$M$6)^(-B61),EXP(LN(INDEX(Dic2023!$N$6:$N$205,C61))+(LN(INDEX(Dic2023!$N$6:$N$205,MIN(C61+1,200)))-LN(INDEX(Dic2023!$N$6:$N$205,C61)))*(A61-6*C61)/6))</f>
        <v>0.806463661419932</v>
      </c>
      <c r="K61" s="12" t="n">
        <f aca="false">J61^(-1/B61)-1</f>
        <v>0.0463244099999998</v>
      </c>
      <c r="L61" s="12" t="n">
        <f aca="false">(1+K61)^(1/12)-1</f>
        <v>0.00378075082200513</v>
      </c>
    </row>
    <row r="62" customFormat="false" ht="15" hidden="false" customHeight="false" outlineLevel="0" collapsed="false">
      <c r="A62" s="4" t="n">
        <v>58</v>
      </c>
      <c r="B62" s="14" t="n">
        <f aca="false">A62/12</f>
        <v>4.83333333333333</v>
      </c>
      <c r="C62" s="15" t="n">
        <f aca="false">INT(A62/6)</f>
        <v>9</v>
      </c>
      <c r="D62" s="16" t="n">
        <f aca="false">IF(C62=0,(1+Dic2023!$G$6)^(-B62),EXP(LN(INDEX(Dic2023!$H$6:$H$205,C62))+(LN(INDEX(Dic2023!$H$6:$H$205,MIN(C62+1,200)))-LN(INDEX(Dic2023!$H$6:$H$205,C62)))*(A62-6*C62)/6))</f>
        <v>0.803426107503567</v>
      </c>
      <c r="E62" s="12" t="n">
        <f aca="false">D62^(-1/B62)-1</f>
        <v>0.0463244099999998</v>
      </c>
      <c r="F62" s="12" t="n">
        <f aca="false">(1+E62)^(1/12)-1</f>
        <v>0.00378075082200513</v>
      </c>
      <c r="G62" s="16" t="n">
        <f aca="false">IF(C62=0,(1+Dic2023!$J$6)^(-B62),EXP(LN(INDEX(Dic2023!$K$6:$K$205,C62))+(LN(INDEX(Dic2023!$K$6:$K$205,MIN(C62+1,200)))-LN(INDEX(Dic2023!$K$6:$K$205,C62)))*(A62-6*C62)/6))</f>
        <v>0.803426107503567</v>
      </c>
      <c r="H62" s="12" t="n">
        <f aca="false">G62^(-1/B62)-1</f>
        <v>0.0463244099999998</v>
      </c>
      <c r="I62" s="12" t="n">
        <f aca="false">(1+H62)^(1/12)-1</f>
        <v>0.00378075082200513</v>
      </c>
      <c r="J62" s="16" t="n">
        <f aca="false">IF(C62=0,(1+Dic2023!$M$6)^(-B62),EXP(LN(INDEX(Dic2023!$N$6:$N$205,C62))+(LN(INDEX(Dic2023!$N$6:$N$205,MIN(C62+1,200)))-LN(INDEX(Dic2023!$N$6:$N$205,C62)))*(A62-6*C62)/6))</f>
        <v>0.803426107503567</v>
      </c>
      <c r="K62" s="12" t="n">
        <f aca="false">J62^(-1/B62)-1</f>
        <v>0.0463244099999998</v>
      </c>
      <c r="L62" s="12" t="n">
        <f aca="false">(1+K62)^(1/12)-1</f>
        <v>0.00378075082200513</v>
      </c>
    </row>
    <row r="63" customFormat="false" ht="15" hidden="false" customHeight="false" outlineLevel="0" collapsed="false">
      <c r="A63" s="4" t="n">
        <v>59</v>
      </c>
      <c r="B63" s="14" t="n">
        <f aca="false">A63/12</f>
        <v>4.91666666666667</v>
      </c>
      <c r="C63" s="15" t="n">
        <f aca="false">INT(A63/6)</f>
        <v>9</v>
      </c>
      <c r="D63" s="16" t="n">
        <f aca="false">IF(C63=0,(1+Dic2023!$G$6)^(-B63),EXP(LN(INDEX(Dic2023!$H$6:$H$205,C63))+(LN(INDEX(Dic2023!$H$6:$H$205,MIN(C63+1,200)))-LN(INDEX(Dic2023!$H$6:$H$205,C63)))*(A63-6*C63)/6))</f>
        <v>0.800399994566178</v>
      </c>
      <c r="E63" s="12" t="n">
        <f aca="false">D63^(-1/B63)-1</f>
        <v>0.0463244099999998</v>
      </c>
      <c r="F63" s="12" t="n">
        <f aca="false">(1+E63)^(1/12)-1</f>
        <v>0.00378075082200513</v>
      </c>
      <c r="G63" s="16" t="n">
        <f aca="false">IF(C63=0,(1+Dic2023!$J$6)^(-B63),EXP(LN(INDEX(Dic2023!$K$6:$K$205,C63))+(LN(INDEX(Dic2023!$K$6:$K$205,MIN(C63+1,200)))-LN(INDEX(Dic2023!$K$6:$K$205,C63)))*(A63-6*C63)/6))</f>
        <v>0.800399994566178</v>
      </c>
      <c r="H63" s="12" t="n">
        <f aca="false">G63^(-1/B63)-1</f>
        <v>0.0463244099999998</v>
      </c>
      <c r="I63" s="12" t="n">
        <f aca="false">(1+H63)^(1/12)-1</f>
        <v>0.00378075082200513</v>
      </c>
      <c r="J63" s="16" t="n">
        <f aca="false">IF(C63=0,(1+Dic2023!$M$6)^(-B63),EXP(LN(INDEX(Dic2023!$N$6:$N$205,C63))+(LN(INDEX(Dic2023!$N$6:$N$205,MIN(C63+1,200)))-LN(INDEX(Dic2023!$N$6:$N$205,C63)))*(A63-6*C63)/6))</f>
        <v>0.800399994566178</v>
      </c>
      <c r="K63" s="12" t="n">
        <f aca="false">J63^(-1/B63)-1</f>
        <v>0.0463244099999998</v>
      </c>
      <c r="L63" s="12" t="n">
        <f aca="false">(1+K63)^(1/12)-1</f>
        <v>0.00378075082200513</v>
      </c>
    </row>
    <row r="64" customFormat="false" ht="15" hidden="false" customHeight="false" outlineLevel="0" collapsed="false">
      <c r="A64" s="4" t="n">
        <v>60</v>
      </c>
      <c r="B64" s="14" t="n">
        <f aca="false">A64/12</f>
        <v>5</v>
      </c>
      <c r="C64" s="15" t="n">
        <f aca="false">INT(A64/6)</f>
        <v>10</v>
      </c>
      <c r="D64" s="16" t="n">
        <f aca="false">IF(C64=0,(1+Dic2023!$G$6)^(-B64),EXP(LN(INDEX(Dic2023!$H$6:$H$205,C64))+(LN(INDEX(Dic2023!$H$6:$H$205,MIN(C64+1,200)))-LN(INDEX(Dic2023!$H$6:$H$205,C64)))*(A64-6*C64)/6))</f>
        <v>0.797385279515197</v>
      </c>
      <c r="E64" s="12" t="n">
        <f aca="false">D64^(-1/B64)-1</f>
        <v>0.0463244099999998</v>
      </c>
      <c r="F64" s="12" t="n">
        <f aca="false">(1+E64)^(1/12)-1</f>
        <v>0.00378075082200513</v>
      </c>
      <c r="G64" s="16" t="n">
        <f aca="false">IF(C64=0,(1+Dic2023!$J$6)^(-B64),EXP(LN(INDEX(Dic2023!$K$6:$K$205,C64))+(LN(INDEX(Dic2023!$K$6:$K$205,MIN(C64+1,200)))-LN(INDEX(Dic2023!$K$6:$K$205,C64)))*(A64-6*C64)/6))</f>
        <v>0.797385279515197</v>
      </c>
      <c r="H64" s="12" t="n">
        <f aca="false">G64^(-1/B64)-1</f>
        <v>0.0463244099999998</v>
      </c>
      <c r="I64" s="12" t="n">
        <f aca="false">(1+H64)^(1/12)-1</f>
        <v>0.00378075082200513</v>
      </c>
      <c r="J64" s="16" t="n">
        <f aca="false">IF(C64=0,(1+Dic2023!$M$6)^(-B64),EXP(LN(INDEX(Dic2023!$N$6:$N$205,C64))+(LN(INDEX(Dic2023!$N$6:$N$205,MIN(C64+1,200)))-LN(INDEX(Dic2023!$N$6:$N$205,C64)))*(A64-6*C64)/6))</f>
        <v>0.797385279515197</v>
      </c>
      <c r="K64" s="12" t="n">
        <f aca="false">J64^(-1/B64)-1</f>
        <v>0.0463244099999998</v>
      </c>
      <c r="L64" s="12" t="n">
        <f aca="false">(1+K64)^(1/12)-1</f>
        <v>0.00378075082200513</v>
      </c>
    </row>
    <row r="65" customFormat="false" ht="15" hidden="false" customHeight="false" outlineLevel="0" collapsed="false">
      <c r="A65" s="4" t="n">
        <v>61</v>
      </c>
      <c r="B65" s="14" t="n">
        <f aca="false">A65/12</f>
        <v>5.08333333333333</v>
      </c>
      <c r="C65" s="15" t="n">
        <f aca="false">INT(A65/6)</f>
        <v>10</v>
      </c>
      <c r="D65" s="16" t="n">
        <f aca="false">IF(C65=0,(1+Dic2023!$G$6)^(-B65),EXP(LN(INDEX(Dic2023!$H$6:$H$205,C65))+(LN(INDEX(Dic2023!$H$6:$H$205,MIN(C65+1,200)))-LN(INDEX(Dic2023!$H$6:$H$205,C65)))*(A65-6*C65)/6))</f>
        <v>0.794239562867644</v>
      </c>
      <c r="E65" s="12" t="n">
        <f aca="false">D65^(-1/B65)-1</f>
        <v>0.0463613003225554</v>
      </c>
      <c r="F65" s="12" t="n">
        <f aca="false">(1+E65)^(1/12)-1</f>
        <v>0.00378369997086603</v>
      </c>
      <c r="G65" s="16" t="n">
        <f aca="false">IF(C65=0,(1+Dic2023!$J$6)^(-B65),EXP(LN(INDEX(Dic2023!$K$6:$K$205,C65))+(LN(INDEX(Dic2023!$K$6:$K$205,MIN(C65+1,200)))-LN(INDEX(Dic2023!$K$6:$K$205,C65)))*(A65-6*C65)/6))</f>
        <v>0.794239562867644</v>
      </c>
      <c r="H65" s="12" t="n">
        <f aca="false">G65^(-1/B65)-1</f>
        <v>0.0463613003225554</v>
      </c>
      <c r="I65" s="12" t="n">
        <f aca="false">(1+H65)^(1/12)-1</f>
        <v>0.00378369997086603</v>
      </c>
      <c r="J65" s="16" t="n">
        <f aca="false">IF(C65=0,(1+Dic2023!$M$6)^(-B65),EXP(LN(INDEX(Dic2023!$N$6:$N$205,C65))+(LN(INDEX(Dic2023!$N$6:$N$205,MIN(C65+1,200)))-LN(INDEX(Dic2023!$N$6:$N$205,C65)))*(A65-6*C65)/6))</f>
        <v>0.794239562867644</v>
      </c>
      <c r="K65" s="12" t="n">
        <f aca="false">J65^(-1/B65)-1</f>
        <v>0.0463613003225554</v>
      </c>
      <c r="L65" s="12" t="n">
        <f aca="false">(1+K65)^(1/12)-1</f>
        <v>0.00378369997086603</v>
      </c>
    </row>
    <row r="66" customFormat="false" ht="15" hidden="false" customHeight="false" outlineLevel="0" collapsed="false">
      <c r="A66" s="4" t="n">
        <v>62</v>
      </c>
      <c r="B66" s="14" t="n">
        <f aca="false">A66/12</f>
        <v>5.16666666666667</v>
      </c>
      <c r="C66" s="15" t="n">
        <f aca="false">INT(A66/6)</f>
        <v>10</v>
      </c>
      <c r="D66" s="16" t="n">
        <f aca="false">IF(C66=0,(1+Dic2023!$G$6)^(-B66),EXP(LN(INDEX(Dic2023!$H$6:$H$205,C66))+(LN(INDEX(Dic2023!$H$6:$H$205,MIN(C66+1,200)))-LN(INDEX(Dic2023!$H$6:$H$205,C66)))*(A66-6*C66)/6))</f>
        <v>0.791106256197403</v>
      </c>
      <c r="E66" s="12" t="n">
        <f aca="false">D66^(-1/B66)-1</f>
        <v>0.0463970018730919</v>
      </c>
      <c r="F66" s="12" t="n">
        <f aca="false">(1+E66)^(1/12)-1</f>
        <v>0.00378655399414285</v>
      </c>
      <c r="G66" s="16" t="n">
        <f aca="false">IF(C66=0,(1+Dic2023!$J$6)^(-B66),EXP(LN(INDEX(Dic2023!$K$6:$K$205,C66))+(LN(INDEX(Dic2023!$K$6:$K$205,MIN(C66+1,200)))-LN(INDEX(Dic2023!$K$6:$K$205,C66)))*(A66-6*C66)/6))</f>
        <v>0.791106256197403</v>
      </c>
      <c r="H66" s="12" t="n">
        <f aca="false">G66^(-1/B66)-1</f>
        <v>0.0463970018730919</v>
      </c>
      <c r="I66" s="12" t="n">
        <f aca="false">(1+H66)^(1/12)-1</f>
        <v>0.00378655399414285</v>
      </c>
      <c r="J66" s="16" t="n">
        <f aca="false">IF(C66=0,(1+Dic2023!$M$6)^(-B66),EXP(LN(INDEX(Dic2023!$N$6:$N$205,C66))+(LN(INDEX(Dic2023!$N$6:$N$205,MIN(C66+1,200)))-LN(INDEX(Dic2023!$N$6:$N$205,C66)))*(A66-6*C66)/6))</f>
        <v>0.791106256197403</v>
      </c>
      <c r="K66" s="12" t="n">
        <f aca="false">J66^(-1/B66)-1</f>
        <v>0.0463970018730919</v>
      </c>
      <c r="L66" s="12" t="n">
        <f aca="false">(1+K66)^(1/12)-1</f>
        <v>0.00378655399414285</v>
      </c>
    </row>
    <row r="67" customFormat="false" ht="15" hidden="false" customHeight="false" outlineLevel="0" collapsed="false">
      <c r="A67" s="4" t="n">
        <v>63</v>
      </c>
      <c r="B67" s="14" t="n">
        <f aca="false">A67/12</f>
        <v>5.25</v>
      </c>
      <c r="C67" s="15" t="n">
        <f aca="false">INT(A67/6)</f>
        <v>10</v>
      </c>
      <c r="D67" s="16" t="n">
        <f aca="false">IF(C67=0,(1+Dic2023!$G$6)^(-B67),EXP(LN(INDEX(Dic2023!$H$6:$H$205,C67))+(LN(INDEX(Dic2023!$H$6:$H$205,MIN(C67+1,200)))-LN(INDEX(Dic2023!$H$6:$H$205,C67)))*(A67-6*C67)/6))</f>
        <v>0.787985310546618</v>
      </c>
      <c r="E67" s="12" t="n">
        <f aca="false">D67^(-1/B67)-1</f>
        <v>0.0464315712018062</v>
      </c>
      <c r="F67" s="12" t="n">
        <f aca="false">(1+E67)^(1/12)-1</f>
        <v>0.00378931742123845</v>
      </c>
      <c r="G67" s="16" t="n">
        <f aca="false">IF(C67=0,(1+Dic2023!$J$6)^(-B67),EXP(LN(INDEX(Dic2023!$K$6:$K$205,C67))+(LN(INDEX(Dic2023!$K$6:$K$205,MIN(C67+1,200)))-LN(INDEX(Dic2023!$K$6:$K$205,C67)))*(A67-6*C67)/6))</f>
        <v>0.787985310546618</v>
      </c>
      <c r="H67" s="12" t="n">
        <f aca="false">G67^(-1/B67)-1</f>
        <v>0.0464315712018062</v>
      </c>
      <c r="I67" s="12" t="n">
        <f aca="false">(1+H67)^(1/12)-1</f>
        <v>0.00378931742123845</v>
      </c>
      <c r="J67" s="16" t="n">
        <f aca="false">IF(C67=0,(1+Dic2023!$M$6)^(-B67),EXP(LN(INDEX(Dic2023!$N$6:$N$205,C67))+(LN(INDEX(Dic2023!$N$6:$N$205,MIN(C67+1,200)))-LN(INDEX(Dic2023!$N$6:$N$205,C67)))*(A67-6*C67)/6))</f>
        <v>0.787985310546618</v>
      </c>
      <c r="K67" s="12" t="n">
        <f aca="false">J67^(-1/B67)-1</f>
        <v>0.0464315712018062</v>
      </c>
      <c r="L67" s="12" t="n">
        <f aca="false">(1+K67)^(1/12)-1</f>
        <v>0.00378931742123845</v>
      </c>
    </row>
    <row r="68" customFormat="false" ht="15" hidden="false" customHeight="false" outlineLevel="0" collapsed="false">
      <c r="A68" s="4" t="n">
        <v>64</v>
      </c>
      <c r="B68" s="14" t="n">
        <f aca="false">A68/12</f>
        <v>5.33333333333333</v>
      </c>
      <c r="C68" s="15" t="n">
        <f aca="false">INT(A68/6)</f>
        <v>10</v>
      </c>
      <c r="D68" s="16" t="n">
        <f aca="false">IF(C68=0,(1+Dic2023!$G$6)^(-B68),EXP(LN(INDEX(Dic2023!$H$6:$H$205,C68))+(LN(INDEX(Dic2023!$H$6:$H$205,MIN(C68+1,200)))-LN(INDEX(Dic2023!$H$6:$H$205,C68)))*(A68-6*C68)/6))</f>
        <v>0.784876677150576</v>
      </c>
      <c r="E68" s="12" t="n">
        <f aca="false">D68^(-1/B68)-1</f>
        <v>0.0464650613280724</v>
      </c>
      <c r="F68" s="12" t="n">
        <f aca="false">(1+E68)^(1/12)-1</f>
        <v>0.0037919944984921</v>
      </c>
      <c r="G68" s="16" t="n">
        <f aca="false">IF(C68=0,(1+Dic2023!$J$6)^(-B68),EXP(LN(INDEX(Dic2023!$K$6:$K$205,C68))+(LN(INDEX(Dic2023!$K$6:$K$205,MIN(C68+1,200)))-LN(INDEX(Dic2023!$K$6:$K$205,C68)))*(A68-6*C68)/6))</f>
        <v>0.784876677150576</v>
      </c>
      <c r="H68" s="12" t="n">
        <f aca="false">G68^(-1/B68)-1</f>
        <v>0.0464650613280724</v>
      </c>
      <c r="I68" s="12" t="n">
        <f aca="false">(1+H68)^(1/12)-1</f>
        <v>0.0037919944984921</v>
      </c>
      <c r="J68" s="16" t="n">
        <f aca="false">IF(C68=0,(1+Dic2023!$M$6)^(-B68),EXP(LN(INDEX(Dic2023!$N$6:$N$205,C68))+(LN(INDEX(Dic2023!$N$6:$N$205,MIN(C68+1,200)))-LN(INDEX(Dic2023!$N$6:$N$205,C68)))*(A68-6*C68)/6))</f>
        <v>0.784876677150576</v>
      </c>
      <c r="K68" s="12" t="n">
        <f aca="false">J68^(-1/B68)-1</f>
        <v>0.0464650613280724</v>
      </c>
      <c r="L68" s="12" t="n">
        <f aca="false">(1+K68)^(1/12)-1</f>
        <v>0.0037919944984921</v>
      </c>
    </row>
    <row r="69" customFormat="false" ht="15" hidden="false" customHeight="false" outlineLevel="0" collapsed="false">
      <c r="A69" s="4" t="n">
        <v>65</v>
      </c>
      <c r="B69" s="14" t="n">
        <f aca="false">A69/12</f>
        <v>5.41666666666667</v>
      </c>
      <c r="C69" s="15" t="n">
        <f aca="false">INT(A69/6)</f>
        <v>10</v>
      </c>
      <c r="D69" s="16" t="n">
        <f aca="false">IF(C69=0,(1+Dic2023!$G$6)^(-B69),EXP(LN(INDEX(Dic2023!$H$6:$H$205,C69))+(LN(INDEX(Dic2023!$H$6:$H$205,MIN(C69+1,200)))-LN(INDEX(Dic2023!$H$6:$H$205,C69)))*(A69-6*C69)/6))</f>
        <v>0.781780307436942</v>
      </c>
      <c r="E69" s="12" t="n">
        <f aca="false">D69^(-1/B69)-1</f>
        <v>0.0464975220117754</v>
      </c>
      <c r="F69" s="12" t="n">
        <f aca="false">(1+E69)^(1/12)-1</f>
        <v>0.00379458921095166</v>
      </c>
      <c r="G69" s="16" t="n">
        <f aca="false">IF(C69=0,(1+Dic2023!$J$6)^(-B69),EXP(LN(INDEX(Dic2023!$K$6:$K$205,C69))+(LN(INDEX(Dic2023!$K$6:$K$205,MIN(C69+1,200)))-LN(INDEX(Dic2023!$K$6:$K$205,C69)))*(A69-6*C69)/6))</f>
        <v>0.781780307436942</v>
      </c>
      <c r="H69" s="12" t="n">
        <f aca="false">G69^(-1/B69)-1</f>
        <v>0.0464975220117754</v>
      </c>
      <c r="I69" s="12" t="n">
        <f aca="false">(1+H69)^(1/12)-1</f>
        <v>0.00379458921095166</v>
      </c>
      <c r="J69" s="16" t="n">
        <f aca="false">IF(C69=0,(1+Dic2023!$M$6)^(-B69),EXP(LN(INDEX(Dic2023!$N$6:$N$205,C69))+(LN(INDEX(Dic2023!$N$6:$N$205,MIN(C69+1,200)))-LN(INDEX(Dic2023!$N$6:$N$205,C69)))*(A69-6*C69)/6))</f>
        <v>0.781780307436942</v>
      </c>
      <c r="K69" s="12" t="n">
        <f aca="false">J69^(-1/B69)-1</f>
        <v>0.0464975220117754</v>
      </c>
      <c r="L69" s="12" t="n">
        <f aca="false">(1+K69)^(1/12)-1</f>
        <v>0.00379458921095166</v>
      </c>
    </row>
    <row r="70" customFormat="false" ht="15" hidden="false" customHeight="false" outlineLevel="0" collapsed="false">
      <c r="A70" s="4" t="n">
        <v>66</v>
      </c>
      <c r="B70" s="14" t="n">
        <f aca="false">A70/12</f>
        <v>5.5</v>
      </c>
      <c r="C70" s="15" t="n">
        <f aca="false">INT(A70/6)</f>
        <v>11</v>
      </c>
      <c r="D70" s="16" t="n">
        <f aca="false">IF(C70=0,(1+Dic2023!$G$6)^(-B70),EXP(LN(INDEX(Dic2023!$H$6:$H$205,C70))+(LN(INDEX(Dic2023!$H$6:$H$205,MIN(C70+1,200)))-LN(INDEX(Dic2023!$H$6:$H$205,C70)))*(A70-6*C70)/6))</f>
        <v>0.778696153025002</v>
      </c>
      <c r="E70" s="12" t="n">
        <f aca="false">D70^(-1/B70)-1</f>
        <v>0.0465289999999998</v>
      </c>
      <c r="F70" s="12" t="n">
        <f aca="false">(1+E70)^(1/12)-1</f>
        <v>0.00379710530216615</v>
      </c>
      <c r="G70" s="16" t="n">
        <f aca="false">IF(C70=0,(1+Dic2023!$J$6)^(-B70),EXP(LN(INDEX(Dic2023!$K$6:$K$205,C70))+(LN(INDEX(Dic2023!$K$6:$K$205,MIN(C70+1,200)))-LN(INDEX(Dic2023!$K$6:$K$205,C70)))*(A70-6*C70)/6))</f>
        <v>0.778696153025002</v>
      </c>
      <c r="H70" s="12" t="n">
        <f aca="false">G70^(-1/B70)-1</f>
        <v>0.0465289999999998</v>
      </c>
      <c r="I70" s="12" t="n">
        <f aca="false">(1+H70)^(1/12)-1</f>
        <v>0.00379710530216615</v>
      </c>
      <c r="J70" s="16" t="n">
        <f aca="false">IF(C70=0,(1+Dic2023!$M$6)^(-B70),EXP(LN(INDEX(Dic2023!$N$6:$N$205,C70))+(LN(INDEX(Dic2023!$N$6:$N$205,MIN(C70+1,200)))-LN(INDEX(Dic2023!$N$6:$N$205,C70)))*(A70-6*C70)/6))</f>
        <v>0.778696153025002</v>
      </c>
      <c r="K70" s="12" t="n">
        <f aca="false">J70^(-1/B70)-1</f>
        <v>0.0465289999999998</v>
      </c>
      <c r="L70" s="12" t="n">
        <f aca="false">(1+K70)^(1/12)-1</f>
        <v>0.00379710530216615</v>
      </c>
    </row>
    <row r="71" customFormat="false" ht="15" hidden="false" customHeight="false" outlineLevel="0" collapsed="false">
      <c r="A71" s="4" t="n">
        <v>67</v>
      </c>
      <c r="B71" s="14" t="n">
        <f aca="false">A71/12</f>
        <v>5.58333333333333</v>
      </c>
      <c r="C71" s="15" t="n">
        <f aca="false">INT(A71/6)</f>
        <v>11</v>
      </c>
      <c r="D71" s="16" t="n">
        <f aca="false">IF(C71=0,(1+Dic2023!$G$6)^(-B71),EXP(LN(INDEX(Dic2023!$H$6:$H$205,C71))+(LN(INDEX(Dic2023!$H$6:$H$205,MIN(C71+1,200)))-LN(INDEX(Dic2023!$H$6:$H$205,C71)))*(A71-6*C71)/6))</f>
        <v>0.775598906860674</v>
      </c>
      <c r="E71" s="12" t="n">
        <f aca="false">D71^(-1/B71)-1</f>
        <v>0.0465656436267041</v>
      </c>
      <c r="F71" s="12" t="n">
        <f aca="false">(1+E71)^(1/12)-1</f>
        <v>0.00380003420460828</v>
      </c>
      <c r="G71" s="16" t="n">
        <f aca="false">IF(C71=0,(1+Dic2023!$J$6)^(-B71),EXP(LN(INDEX(Dic2023!$K$6:$K$205,C71))+(LN(INDEX(Dic2023!$K$6:$K$205,MIN(C71+1,200)))-LN(INDEX(Dic2023!$K$6:$K$205,C71)))*(A71-6*C71)/6))</f>
        <v>0.775598906860674</v>
      </c>
      <c r="H71" s="12" t="n">
        <f aca="false">G71^(-1/B71)-1</f>
        <v>0.0465656436267041</v>
      </c>
      <c r="I71" s="12" t="n">
        <f aca="false">(1+H71)^(1/12)-1</f>
        <v>0.00380003420460828</v>
      </c>
      <c r="J71" s="16" t="n">
        <f aca="false">IF(C71=0,(1+Dic2023!$M$6)^(-B71),EXP(LN(INDEX(Dic2023!$N$6:$N$205,C71))+(LN(INDEX(Dic2023!$N$6:$N$205,MIN(C71+1,200)))-LN(INDEX(Dic2023!$N$6:$N$205,C71)))*(A71-6*C71)/6))</f>
        <v>0.775598906860674</v>
      </c>
      <c r="K71" s="12" t="n">
        <f aca="false">J71^(-1/B71)-1</f>
        <v>0.0465656436267041</v>
      </c>
      <c r="L71" s="12" t="n">
        <f aca="false">(1+K71)^(1/12)-1</f>
        <v>0.00380003420460828</v>
      </c>
    </row>
    <row r="72" customFormat="false" ht="15" hidden="false" customHeight="false" outlineLevel="0" collapsed="false">
      <c r="A72" s="4" t="n">
        <v>68</v>
      </c>
      <c r="B72" s="14" t="n">
        <f aca="false">A72/12</f>
        <v>5.66666666666667</v>
      </c>
      <c r="C72" s="15" t="n">
        <f aca="false">INT(A72/6)</f>
        <v>11</v>
      </c>
      <c r="D72" s="16" t="n">
        <f aca="false">IF(C72=0,(1+Dic2023!$G$6)^(-B72),EXP(LN(INDEX(Dic2023!$H$6:$H$205,C72))+(LN(INDEX(Dic2023!$H$6:$H$205,MIN(C72+1,200)))-LN(INDEX(Dic2023!$H$6:$H$205,C72)))*(A72-6*C72)/6))</f>
        <v>0.772513979922227</v>
      </c>
      <c r="E72" s="12" t="n">
        <f aca="false">D72^(-1/B72)-1</f>
        <v>0.0466012107266871</v>
      </c>
      <c r="F72" s="12" t="n">
        <f aca="false">(1+E72)^(1/12)-1</f>
        <v>0.00380287697103365</v>
      </c>
      <c r="G72" s="16" t="n">
        <f aca="false">IF(C72=0,(1+Dic2023!$J$6)^(-B72),EXP(LN(INDEX(Dic2023!$K$6:$K$205,C72))+(LN(INDEX(Dic2023!$K$6:$K$205,MIN(C72+1,200)))-LN(INDEX(Dic2023!$K$6:$K$205,C72)))*(A72-6*C72)/6))</f>
        <v>0.772513979922227</v>
      </c>
      <c r="H72" s="12" t="n">
        <f aca="false">G72^(-1/B72)-1</f>
        <v>0.0466012107266871</v>
      </c>
      <c r="I72" s="12" t="n">
        <f aca="false">(1+H72)^(1/12)-1</f>
        <v>0.00380287697103365</v>
      </c>
      <c r="J72" s="16" t="n">
        <f aca="false">IF(C72=0,(1+Dic2023!$M$6)^(-B72),EXP(LN(INDEX(Dic2023!$N$6:$N$205,C72))+(LN(INDEX(Dic2023!$N$6:$N$205,MIN(C72+1,200)))-LN(INDEX(Dic2023!$N$6:$N$205,C72)))*(A72-6*C72)/6))</f>
        <v>0.772513979922227</v>
      </c>
      <c r="K72" s="12" t="n">
        <f aca="false">J72^(-1/B72)-1</f>
        <v>0.0466012107266871</v>
      </c>
      <c r="L72" s="12" t="n">
        <f aca="false">(1+K72)^(1/12)-1</f>
        <v>0.00380287697103365</v>
      </c>
    </row>
    <row r="73" customFormat="false" ht="15" hidden="false" customHeight="false" outlineLevel="0" collapsed="false">
      <c r="A73" s="4" t="n">
        <v>69</v>
      </c>
      <c r="B73" s="14" t="n">
        <f aca="false">A73/12</f>
        <v>5.75</v>
      </c>
      <c r="C73" s="15" t="n">
        <f aca="false">INT(A73/6)</f>
        <v>11</v>
      </c>
      <c r="D73" s="16" t="n">
        <f aca="false">IF(C73=0,(1+Dic2023!$G$6)^(-B73),EXP(LN(INDEX(Dic2023!$H$6:$H$205,C73))+(LN(INDEX(Dic2023!$H$6:$H$205,MIN(C73+1,200)))-LN(INDEX(Dic2023!$H$6:$H$205,C73)))*(A73-6*C73)/6))</f>
        <v>0.769441323210222</v>
      </c>
      <c r="E73" s="12" t="n">
        <f aca="false">D73^(-1/B73)-1</f>
        <v>0.0466357480529227</v>
      </c>
      <c r="F73" s="12" t="n">
        <f aca="false">(1+E73)^(1/12)-1</f>
        <v>0.00380563734613615</v>
      </c>
      <c r="G73" s="16" t="n">
        <f aca="false">IF(C73=0,(1+Dic2023!$J$6)^(-B73),EXP(LN(INDEX(Dic2023!$K$6:$K$205,C73))+(LN(INDEX(Dic2023!$K$6:$K$205,MIN(C73+1,200)))-LN(INDEX(Dic2023!$K$6:$K$205,C73)))*(A73-6*C73)/6))</f>
        <v>0.769441323210222</v>
      </c>
      <c r="H73" s="12" t="n">
        <f aca="false">G73^(-1/B73)-1</f>
        <v>0.0466357480529227</v>
      </c>
      <c r="I73" s="12" t="n">
        <f aca="false">(1+H73)^(1/12)-1</f>
        <v>0.00380563734613615</v>
      </c>
      <c r="J73" s="16" t="n">
        <f aca="false">IF(C73=0,(1+Dic2023!$M$6)^(-B73),EXP(LN(INDEX(Dic2023!$N$6:$N$205,C73))+(LN(INDEX(Dic2023!$N$6:$N$205,MIN(C73+1,200)))-LN(INDEX(Dic2023!$N$6:$N$205,C73)))*(A73-6*C73)/6))</f>
        <v>0.769441323210222</v>
      </c>
      <c r="K73" s="12" t="n">
        <f aca="false">J73^(-1/B73)-1</f>
        <v>0.0466357480529227</v>
      </c>
      <c r="L73" s="12" t="n">
        <f aca="false">(1+K73)^(1/12)-1</f>
        <v>0.00380563734613615</v>
      </c>
    </row>
    <row r="74" customFormat="false" ht="15" hidden="false" customHeight="false" outlineLevel="0" collapsed="false">
      <c r="A74" s="4" t="n">
        <v>70</v>
      </c>
      <c r="B74" s="14" t="n">
        <f aca="false">A74/12</f>
        <v>5.83333333333333</v>
      </c>
      <c r="C74" s="15" t="n">
        <f aca="false">INT(A74/6)</f>
        <v>11</v>
      </c>
      <c r="D74" s="16" t="n">
        <f aca="false">IF(C74=0,(1+Dic2023!$G$6)^(-B74),EXP(LN(INDEX(Dic2023!$H$6:$H$205,C74))+(LN(INDEX(Dic2023!$H$6:$H$205,MIN(C74+1,200)))-LN(INDEX(Dic2023!$H$6:$H$205,C74)))*(A74-6*C74)/6))</f>
        <v>0.766380887920115</v>
      </c>
      <c r="E74" s="12" t="n">
        <f aca="false">D74^(-1/B74)-1</f>
        <v>0.0466692996897435</v>
      </c>
      <c r="F74" s="12" t="n">
        <f aca="false">(1+E74)^(1/12)-1</f>
        <v>0.00380831886064725</v>
      </c>
      <c r="G74" s="16" t="n">
        <f aca="false">IF(C74=0,(1+Dic2023!$J$6)^(-B74),EXP(LN(INDEX(Dic2023!$K$6:$K$205,C74))+(LN(INDEX(Dic2023!$K$6:$K$205,MIN(C74+1,200)))-LN(INDEX(Dic2023!$K$6:$K$205,C74)))*(A74-6*C74)/6))</f>
        <v>0.766380887920115</v>
      </c>
      <c r="H74" s="12" t="n">
        <f aca="false">G74^(-1/B74)-1</f>
        <v>0.0466692996897435</v>
      </c>
      <c r="I74" s="12" t="n">
        <f aca="false">(1+H74)^(1/12)-1</f>
        <v>0.00380831886064725</v>
      </c>
      <c r="J74" s="16" t="n">
        <f aca="false">IF(C74=0,(1+Dic2023!$M$6)^(-B74),EXP(LN(INDEX(Dic2023!$N$6:$N$205,C74))+(LN(INDEX(Dic2023!$N$6:$N$205,MIN(C74+1,200)))-LN(INDEX(Dic2023!$N$6:$N$205,C74)))*(A74-6*C74)/6))</f>
        <v>0.766380887920115</v>
      </c>
      <c r="K74" s="12" t="n">
        <f aca="false">J74^(-1/B74)-1</f>
        <v>0.0466692996897435</v>
      </c>
      <c r="L74" s="12" t="n">
        <f aca="false">(1+K74)^(1/12)-1</f>
        <v>0.00380831886064725</v>
      </c>
    </row>
    <row r="75" customFormat="false" ht="15" hidden="false" customHeight="false" outlineLevel="0" collapsed="false">
      <c r="A75" s="4" t="n">
        <v>71</v>
      </c>
      <c r="B75" s="14" t="n">
        <f aca="false">A75/12</f>
        <v>5.91666666666667</v>
      </c>
      <c r="C75" s="15" t="n">
        <f aca="false">INT(A75/6)</f>
        <v>11</v>
      </c>
      <c r="D75" s="16" t="n">
        <f aca="false">IF(C75=0,(1+Dic2023!$G$6)^(-B75),EXP(LN(INDEX(Dic2023!$H$6:$H$205,C75))+(LN(INDEX(Dic2023!$H$6:$H$205,MIN(C75+1,200)))-LN(INDEX(Dic2023!$H$6:$H$205,C75)))*(A75-6*C75)/6))</f>
        <v>0.763332625441477</v>
      </c>
      <c r="E75" s="12" t="n">
        <f aca="false">D75^(-1/B75)-1</f>
        <v>0.0467019072405677</v>
      </c>
      <c r="F75" s="12" t="n">
        <f aca="false">(1+E75)^(1/12)-1</f>
        <v>0.00381092484640178</v>
      </c>
      <c r="G75" s="16" t="n">
        <f aca="false">IF(C75=0,(1+Dic2023!$J$6)^(-B75),EXP(LN(INDEX(Dic2023!$K$6:$K$205,C75))+(LN(INDEX(Dic2023!$K$6:$K$205,MIN(C75+1,200)))-LN(INDEX(Dic2023!$K$6:$K$205,C75)))*(A75-6*C75)/6))</f>
        <v>0.763332625441477</v>
      </c>
      <c r="H75" s="12" t="n">
        <f aca="false">G75^(-1/B75)-1</f>
        <v>0.0467019072405677</v>
      </c>
      <c r="I75" s="12" t="n">
        <f aca="false">(1+H75)^(1/12)-1</f>
        <v>0.00381092484640178</v>
      </c>
      <c r="J75" s="16" t="n">
        <f aca="false">IF(C75=0,(1+Dic2023!$M$6)^(-B75),EXP(LN(INDEX(Dic2023!$N$6:$N$205,C75))+(LN(INDEX(Dic2023!$N$6:$N$205,MIN(C75+1,200)))-LN(INDEX(Dic2023!$N$6:$N$205,C75)))*(A75-6*C75)/6))</f>
        <v>0.763332625441477</v>
      </c>
      <c r="K75" s="12" t="n">
        <f aca="false">J75^(-1/B75)-1</f>
        <v>0.0467019072405677</v>
      </c>
      <c r="L75" s="12" t="n">
        <f aca="false">(1+K75)^(1/12)-1</f>
        <v>0.00381092484640178</v>
      </c>
    </row>
    <row r="76" customFormat="false" ht="15" hidden="false" customHeight="false" outlineLevel="0" collapsed="false">
      <c r="A76" s="4" t="n">
        <v>72</v>
      </c>
      <c r="B76" s="14" t="n">
        <f aca="false">A76/12</f>
        <v>6</v>
      </c>
      <c r="C76" s="15" t="n">
        <f aca="false">INT(A76/6)</f>
        <v>12</v>
      </c>
      <c r="D76" s="16" t="n">
        <f aca="false">IF(C76=0,(1+Dic2023!$G$6)^(-B76),EXP(LN(INDEX(Dic2023!$H$6:$H$205,C76))+(LN(INDEX(Dic2023!$H$6:$H$205,MIN(C76+1,200)))-LN(INDEX(Dic2023!$H$6:$H$205,C76)))*(A76-6*C76)/6))</f>
        <v>0.760296487357231</v>
      </c>
      <c r="E76" s="12" t="n">
        <f aca="false">D76^(-1/B76)-1</f>
        <v>0.0467336099999998</v>
      </c>
      <c r="F76" s="12" t="n">
        <f aca="false">(1+E76)^(1/12)-1</f>
        <v>0.00381345845014924</v>
      </c>
      <c r="G76" s="16" t="n">
        <f aca="false">IF(C76=0,(1+Dic2023!$J$6)^(-B76),EXP(LN(INDEX(Dic2023!$K$6:$K$205,C76))+(LN(INDEX(Dic2023!$K$6:$K$205,MIN(C76+1,200)))-LN(INDEX(Dic2023!$K$6:$K$205,C76)))*(A76-6*C76)/6))</f>
        <v>0.760296487357231</v>
      </c>
      <c r="H76" s="12" t="n">
        <f aca="false">G76^(-1/B76)-1</f>
        <v>0.0467336099999998</v>
      </c>
      <c r="I76" s="12" t="n">
        <f aca="false">(1+H76)^(1/12)-1</f>
        <v>0.00381345845014924</v>
      </c>
      <c r="J76" s="16" t="n">
        <f aca="false">IF(C76=0,(1+Dic2023!$M$6)^(-B76),EXP(LN(INDEX(Dic2023!$N$6:$N$205,C76))+(LN(INDEX(Dic2023!$N$6:$N$205,MIN(C76+1,200)))-LN(INDEX(Dic2023!$N$6:$N$205,C76)))*(A76-6*C76)/6))</f>
        <v>0.760296487357231</v>
      </c>
      <c r="K76" s="12" t="n">
        <f aca="false">J76^(-1/B76)-1</f>
        <v>0.0467336099999998</v>
      </c>
      <c r="L76" s="12" t="n">
        <f aca="false">(1+K76)^(1/12)-1</f>
        <v>0.00381345845014924</v>
      </c>
    </row>
    <row r="77" customFormat="false" ht="15" hidden="false" customHeight="false" outlineLevel="0" collapsed="false">
      <c r="A77" s="4" t="n">
        <v>73</v>
      </c>
      <c r="B77" s="14" t="n">
        <f aca="false">A77/12</f>
        <v>6.08333333333333</v>
      </c>
      <c r="C77" s="15" t="n">
        <f aca="false">INT(A77/6)</f>
        <v>12</v>
      </c>
      <c r="D77" s="16" t="n">
        <f aca="false">IF(C77=0,(1+Dic2023!$G$6)^(-B77),EXP(LN(INDEX(Dic2023!$H$6:$H$205,C77))+(LN(INDEX(Dic2023!$H$6:$H$205,MIN(C77+1,200)))-LN(INDEX(Dic2023!$H$6:$H$205,C77)))*(A77-6*C77)/6))</f>
        <v>0.75716759892421</v>
      </c>
      <c r="E77" s="12" t="n">
        <f aca="false">D77^(-1/B77)-1</f>
        <v>0.046788266187578</v>
      </c>
      <c r="F77" s="12" t="n">
        <f aca="false">(1+E77)^(1/12)-1</f>
        <v>0.00381782626821692</v>
      </c>
      <c r="G77" s="16" t="n">
        <f aca="false">IF(C77=0,(1+Dic2023!$J$6)^(-B77),EXP(LN(INDEX(Dic2023!$K$6:$K$205,C77))+(LN(INDEX(Dic2023!$K$6:$K$205,MIN(C77+1,200)))-LN(INDEX(Dic2023!$K$6:$K$205,C77)))*(A77-6*C77)/6))</f>
        <v>0.75716759892421</v>
      </c>
      <c r="H77" s="12" t="n">
        <f aca="false">G77^(-1/B77)-1</f>
        <v>0.046788266187578</v>
      </c>
      <c r="I77" s="12" t="n">
        <f aca="false">(1+H77)^(1/12)-1</f>
        <v>0.00381782626821692</v>
      </c>
      <c r="J77" s="16" t="n">
        <f aca="false">IF(C77=0,(1+Dic2023!$M$6)^(-B77),EXP(LN(INDEX(Dic2023!$N$6:$N$205,C77))+(LN(INDEX(Dic2023!$N$6:$N$205,MIN(C77+1,200)))-LN(INDEX(Dic2023!$N$6:$N$205,C77)))*(A77-6*C77)/6))</f>
        <v>0.75716759892421</v>
      </c>
      <c r="K77" s="12" t="n">
        <f aca="false">J77^(-1/B77)-1</f>
        <v>0.046788266187578</v>
      </c>
      <c r="L77" s="12" t="n">
        <f aca="false">(1+K77)^(1/12)-1</f>
        <v>0.00381782626821692</v>
      </c>
    </row>
    <row r="78" customFormat="false" ht="15" hidden="false" customHeight="false" outlineLevel="0" collapsed="false">
      <c r="A78" s="4" t="n">
        <v>74</v>
      </c>
      <c r="B78" s="14" t="n">
        <f aca="false">A78/12</f>
        <v>6.16666666666667</v>
      </c>
      <c r="C78" s="15" t="n">
        <f aca="false">INT(A78/6)</f>
        <v>12</v>
      </c>
      <c r="D78" s="16" t="n">
        <f aca="false">IF(C78=0,(1+Dic2023!$G$6)^(-B78),EXP(LN(INDEX(Dic2023!$H$6:$H$205,C78))+(LN(INDEX(Dic2023!$H$6:$H$205,MIN(C78+1,200)))-LN(INDEX(Dic2023!$H$6:$H$205,C78)))*(A78-6*C78)/6))</f>
        <v>0.7540515869716</v>
      </c>
      <c r="E78" s="12" t="n">
        <f aca="false">D78^(-1/B78)-1</f>
        <v>0.0468414479201633</v>
      </c>
      <c r="F78" s="12" t="n">
        <f aca="false">(1+E78)^(1/12)-1</f>
        <v>0.00382207605538953</v>
      </c>
      <c r="G78" s="16" t="n">
        <f aca="false">IF(C78=0,(1+Dic2023!$J$6)^(-B78),EXP(LN(INDEX(Dic2023!$K$6:$K$205,C78))+(LN(INDEX(Dic2023!$K$6:$K$205,MIN(C78+1,200)))-LN(INDEX(Dic2023!$K$6:$K$205,C78)))*(A78-6*C78)/6))</f>
        <v>0.7540515869716</v>
      </c>
      <c r="H78" s="12" t="n">
        <f aca="false">G78^(-1/B78)-1</f>
        <v>0.0468414479201633</v>
      </c>
      <c r="I78" s="12" t="n">
        <f aca="false">(1+H78)^(1/12)-1</f>
        <v>0.00382207605538953</v>
      </c>
      <c r="J78" s="16" t="n">
        <f aca="false">IF(C78=0,(1+Dic2023!$M$6)^(-B78),EXP(LN(INDEX(Dic2023!$N$6:$N$205,C78))+(LN(INDEX(Dic2023!$N$6:$N$205,MIN(C78+1,200)))-LN(INDEX(Dic2023!$N$6:$N$205,C78)))*(A78-6*C78)/6))</f>
        <v>0.7540515869716</v>
      </c>
      <c r="K78" s="12" t="n">
        <f aca="false">J78^(-1/B78)-1</f>
        <v>0.0468414479201633</v>
      </c>
      <c r="L78" s="12" t="n">
        <f aca="false">(1+K78)^(1/12)-1</f>
        <v>0.00382207605538953</v>
      </c>
    </row>
    <row r="79" customFormat="false" ht="15" hidden="false" customHeight="false" outlineLevel="0" collapsed="false">
      <c r="A79" s="4" t="n">
        <v>75</v>
      </c>
      <c r="B79" s="14" t="n">
        <f aca="false">A79/12</f>
        <v>6.25</v>
      </c>
      <c r="C79" s="15" t="n">
        <f aca="false">INT(A79/6)</f>
        <v>12</v>
      </c>
      <c r="D79" s="16" t="n">
        <f aca="false">IF(C79=0,(1+Dic2023!$G$6)^(-B79),EXP(LN(INDEX(Dic2023!$H$6:$H$205,C79))+(LN(INDEX(Dic2023!$H$6:$H$205,MIN(C79+1,200)))-LN(INDEX(Dic2023!$H$6:$H$205,C79)))*(A79-6*C79)/6))</f>
        <v>0.750948398508139</v>
      </c>
      <c r="E79" s="12" t="n">
        <f aca="false">D79^(-1/B79)-1</f>
        <v>0.0468932140679779</v>
      </c>
      <c r="F79" s="12" t="n">
        <f aca="false">(1+E79)^(1/12)-1</f>
        <v>0.00382621253218263</v>
      </c>
      <c r="G79" s="16" t="n">
        <f aca="false">IF(C79=0,(1+Dic2023!$J$6)^(-B79),EXP(LN(INDEX(Dic2023!$K$6:$K$205,C79))+(LN(INDEX(Dic2023!$K$6:$K$205,MIN(C79+1,200)))-LN(INDEX(Dic2023!$K$6:$K$205,C79)))*(A79-6*C79)/6))</f>
        <v>0.750948398508139</v>
      </c>
      <c r="H79" s="12" t="n">
        <f aca="false">G79^(-1/B79)-1</f>
        <v>0.0468932140679779</v>
      </c>
      <c r="I79" s="12" t="n">
        <f aca="false">(1+H79)^(1/12)-1</f>
        <v>0.00382621253218263</v>
      </c>
      <c r="J79" s="16" t="n">
        <f aca="false">IF(C79=0,(1+Dic2023!$M$6)^(-B79),EXP(LN(INDEX(Dic2023!$N$6:$N$205,C79))+(LN(INDEX(Dic2023!$N$6:$N$205,MIN(C79+1,200)))-LN(INDEX(Dic2023!$N$6:$N$205,C79)))*(A79-6*C79)/6))</f>
        <v>0.750948398508139</v>
      </c>
      <c r="K79" s="12" t="n">
        <f aca="false">J79^(-1/B79)-1</f>
        <v>0.0468932140679779</v>
      </c>
      <c r="L79" s="12" t="n">
        <f aca="false">(1+K79)^(1/12)-1</f>
        <v>0.00382621253218263</v>
      </c>
    </row>
    <row r="80" customFormat="false" ht="15" hidden="false" customHeight="false" outlineLevel="0" collapsed="false">
      <c r="A80" s="4" t="n">
        <v>76</v>
      </c>
      <c r="B80" s="14" t="n">
        <f aca="false">A80/12</f>
        <v>6.33333333333333</v>
      </c>
      <c r="C80" s="15" t="n">
        <f aca="false">INT(A80/6)</f>
        <v>12</v>
      </c>
      <c r="D80" s="16" t="n">
        <f aca="false">IF(C80=0,(1+Dic2023!$G$6)^(-B80),EXP(LN(INDEX(Dic2023!$H$6:$H$205,C80))+(LN(INDEX(Dic2023!$H$6:$H$205,MIN(C80+1,200)))-LN(INDEX(Dic2023!$H$6:$H$205,C80)))*(A80-6*C80)/6))</f>
        <v>0.747857980760643</v>
      </c>
      <c r="E80" s="12" t="n">
        <f aca="false">D80^(-1/B80)-1</f>
        <v>0.0469436204084119</v>
      </c>
      <c r="F80" s="12" t="n">
        <f aca="false">(1+E80)^(1/12)-1</f>
        <v>0.00383024017070199</v>
      </c>
      <c r="G80" s="16" t="n">
        <f aca="false">IF(C80=0,(1+Dic2023!$J$6)^(-B80),EXP(LN(INDEX(Dic2023!$K$6:$K$205,C80))+(LN(INDEX(Dic2023!$K$6:$K$205,MIN(C80+1,200)))-LN(INDEX(Dic2023!$K$6:$K$205,C80)))*(A80-6*C80)/6))</f>
        <v>0.747857980760643</v>
      </c>
      <c r="H80" s="12" t="n">
        <f aca="false">G80^(-1/B80)-1</f>
        <v>0.0469436204084119</v>
      </c>
      <c r="I80" s="12" t="n">
        <f aca="false">(1+H80)^(1/12)-1</f>
        <v>0.00383024017070199</v>
      </c>
      <c r="J80" s="16" t="n">
        <f aca="false">IF(C80=0,(1+Dic2023!$M$6)^(-B80),EXP(LN(INDEX(Dic2023!$N$6:$N$205,C80))+(LN(INDEX(Dic2023!$N$6:$N$205,MIN(C80+1,200)))-LN(INDEX(Dic2023!$N$6:$N$205,C80)))*(A80-6*C80)/6))</f>
        <v>0.747857980760643</v>
      </c>
      <c r="K80" s="12" t="n">
        <f aca="false">J80^(-1/B80)-1</f>
        <v>0.0469436204084119</v>
      </c>
      <c r="L80" s="12" t="n">
        <f aca="false">(1+K80)^(1/12)-1</f>
        <v>0.00383024017070199</v>
      </c>
    </row>
    <row r="81" customFormat="false" ht="15" hidden="false" customHeight="false" outlineLevel="0" collapsed="false">
      <c r="A81" s="4" t="n">
        <v>77</v>
      </c>
      <c r="B81" s="14" t="n">
        <f aca="false">A81/12</f>
        <v>6.41666666666667</v>
      </c>
      <c r="C81" s="15" t="n">
        <f aca="false">INT(A81/6)</f>
        <v>12</v>
      </c>
      <c r="D81" s="16" t="n">
        <f aca="false">IF(C81=0,(1+Dic2023!$G$6)^(-B81),EXP(LN(INDEX(Dic2023!$H$6:$H$205,C81))+(LN(INDEX(Dic2023!$H$6:$H$205,MIN(C81+1,200)))-LN(INDEX(Dic2023!$H$6:$H$205,C81)))*(A81-6*C81)/6))</f>
        <v>0.744780281173107</v>
      </c>
      <c r="E81" s="12" t="n">
        <f aca="false">D81^(-1/B81)-1</f>
        <v>0.0469927198265001</v>
      </c>
      <c r="F81" s="12" t="n">
        <f aca="false">(1+E81)^(1/12)-1</f>
        <v>0.00383416321076946</v>
      </c>
      <c r="G81" s="16" t="n">
        <f aca="false">IF(C81=0,(1+Dic2023!$J$6)^(-B81),EXP(LN(INDEX(Dic2023!$K$6:$K$205,C81))+(LN(INDEX(Dic2023!$K$6:$K$205,MIN(C81+1,200)))-LN(INDEX(Dic2023!$K$6:$K$205,C81)))*(A81-6*C81)/6))</f>
        <v>0.744780281173107</v>
      </c>
      <c r="H81" s="12" t="n">
        <f aca="false">G81^(-1/B81)-1</f>
        <v>0.0469927198265001</v>
      </c>
      <c r="I81" s="12" t="n">
        <f aca="false">(1+H81)^(1/12)-1</f>
        <v>0.00383416321076946</v>
      </c>
      <c r="J81" s="16" t="n">
        <f aca="false">IF(C81=0,(1+Dic2023!$M$6)^(-B81),EXP(LN(INDEX(Dic2023!$N$6:$N$205,C81))+(LN(INDEX(Dic2023!$N$6:$N$205,MIN(C81+1,200)))-LN(INDEX(Dic2023!$N$6:$N$205,C81)))*(A81-6*C81)/6))</f>
        <v>0.744780281173107</v>
      </c>
      <c r="K81" s="12" t="n">
        <f aca="false">J81^(-1/B81)-1</f>
        <v>0.0469927198265001</v>
      </c>
      <c r="L81" s="12" t="n">
        <f aca="false">(1+K81)^(1/12)-1</f>
        <v>0.00383416321076946</v>
      </c>
    </row>
    <row r="82" customFormat="false" ht="15" hidden="false" customHeight="false" outlineLevel="0" collapsed="false">
      <c r="A82" s="4" t="n">
        <v>78</v>
      </c>
      <c r="B82" s="14" t="n">
        <f aca="false">A82/12</f>
        <v>6.5</v>
      </c>
      <c r="C82" s="15" t="n">
        <f aca="false">INT(A82/6)</f>
        <v>13</v>
      </c>
      <c r="D82" s="16" t="n">
        <f aca="false">IF(C82=0,(1+Dic2023!$G$6)^(-B82),EXP(LN(INDEX(Dic2023!$H$6:$H$205,C82))+(LN(INDEX(Dic2023!$H$6:$H$205,MIN(C82+1,200)))-LN(INDEX(Dic2023!$H$6:$H$205,C82)))*(A82-6*C82)/6))</f>
        <v>0.741715247405813</v>
      </c>
      <c r="E82" s="12" t="n">
        <f aca="false">D82^(-1/B82)-1</f>
        <v>0.0470405624999999</v>
      </c>
      <c r="F82" s="12" t="n">
        <f aca="false">(1+E82)^(1/12)-1</f>
        <v>0.00383798567481297</v>
      </c>
      <c r="G82" s="16" t="n">
        <f aca="false">IF(C82=0,(1+Dic2023!$J$6)^(-B82),EXP(LN(INDEX(Dic2023!$K$6:$K$205,C82))+(LN(INDEX(Dic2023!$K$6:$K$205,MIN(C82+1,200)))-LN(INDEX(Dic2023!$K$6:$K$205,C82)))*(A82-6*C82)/6))</f>
        <v>0.741715247405813</v>
      </c>
      <c r="H82" s="12" t="n">
        <f aca="false">G82^(-1/B82)-1</f>
        <v>0.0470405624999999</v>
      </c>
      <c r="I82" s="12" t="n">
        <f aca="false">(1+H82)^(1/12)-1</f>
        <v>0.00383798567481297</v>
      </c>
      <c r="J82" s="16" t="n">
        <f aca="false">IF(C82=0,(1+Dic2023!$M$6)^(-B82),EXP(LN(INDEX(Dic2023!$N$6:$N$205,C82))+(LN(INDEX(Dic2023!$N$6:$N$205,MIN(C82+1,200)))-LN(INDEX(Dic2023!$N$6:$N$205,C82)))*(A82-6*C82)/6))</f>
        <v>0.741715247405813</v>
      </c>
      <c r="K82" s="12" t="n">
        <f aca="false">J82^(-1/B82)-1</f>
        <v>0.0470405624999999</v>
      </c>
      <c r="L82" s="12" t="n">
        <f aca="false">(1+K82)^(1/12)-1</f>
        <v>0.00383798567481297</v>
      </c>
    </row>
    <row r="83" customFormat="false" ht="15" hidden="false" customHeight="false" outlineLevel="0" collapsed="false">
      <c r="A83" s="4" t="n">
        <v>79</v>
      </c>
      <c r="B83" s="14" t="n">
        <f aca="false">A83/12</f>
        <v>6.58333333333333</v>
      </c>
      <c r="C83" s="15" t="n">
        <f aca="false">INT(A83/6)</f>
        <v>13</v>
      </c>
      <c r="D83" s="16" t="n">
        <f aca="false">IF(C83=0,(1+Dic2023!$G$6)^(-B83),EXP(LN(INDEX(Dic2023!$H$6:$H$205,C83))+(LN(INDEX(Dic2023!$H$6:$H$205,MIN(C83+1,200)))-LN(INDEX(Dic2023!$H$6:$H$205,C83)))*(A83-6*C83)/6))</f>
        <v>0.738542572727429</v>
      </c>
      <c r="E83" s="12" t="n">
        <f aca="false">D83^(-1/B83)-1</f>
        <v>0.0471130921015159</v>
      </c>
      <c r="F83" s="12" t="n">
        <f aca="false">(1+E83)^(1/12)-1</f>
        <v>0.00384378023363907</v>
      </c>
      <c r="G83" s="16" t="n">
        <f aca="false">IF(C83=0,(1+Dic2023!$J$6)^(-B83),EXP(LN(INDEX(Dic2023!$K$6:$K$205,C83))+(LN(INDEX(Dic2023!$K$6:$K$205,MIN(C83+1,200)))-LN(INDEX(Dic2023!$K$6:$K$205,C83)))*(A83-6*C83)/6))</f>
        <v>0.738542572727429</v>
      </c>
      <c r="H83" s="12" t="n">
        <f aca="false">G83^(-1/B83)-1</f>
        <v>0.0471130921015159</v>
      </c>
      <c r="I83" s="12" t="n">
        <f aca="false">(1+H83)^(1/12)-1</f>
        <v>0.00384378023363907</v>
      </c>
      <c r="J83" s="16" t="n">
        <f aca="false">IF(C83=0,(1+Dic2023!$M$6)^(-B83),EXP(LN(INDEX(Dic2023!$N$6:$N$205,C83))+(LN(INDEX(Dic2023!$N$6:$N$205,MIN(C83+1,200)))-LN(INDEX(Dic2023!$N$6:$N$205,C83)))*(A83-6*C83)/6))</f>
        <v>0.738542572727429</v>
      </c>
      <c r="K83" s="12" t="n">
        <f aca="false">J83^(-1/B83)-1</f>
        <v>0.0471130921015159</v>
      </c>
      <c r="L83" s="12" t="n">
        <f aca="false">(1+K83)^(1/12)-1</f>
        <v>0.00384378023363907</v>
      </c>
    </row>
    <row r="84" customFormat="false" ht="15" hidden="false" customHeight="false" outlineLevel="0" collapsed="false">
      <c r="A84" s="4" t="n">
        <v>80</v>
      </c>
      <c r="B84" s="14" t="n">
        <f aca="false">A84/12</f>
        <v>6.66666666666667</v>
      </c>
      <c r="C84" s="15" t="n">
        <f aca="false">INT(A84/6)</f>
        <v>13</v>
      </c>
      <c r="D84" s="16" t="n">
        <f aca="false">IF(C84=0,(1+Dic2023!$G$6)^(-B84),EXP(LN(INDEX(Dic2023!$H$6:$H$205,C84))+(LN(INDEX(Dic2023!$H$6:$H$205,MIN(C84+1,200)))-LN(INDEX(Dic2023!$H$6:$H$205,C84)))*(A84-6*C84)/6))</f>
        <v>0.7353834691124</v>
      </c>
      <c r="E84" s="12" t="n">
        <f aca="false">D84^(-1/B84)-1</f>
        <v>0.0471838133003555</v>
      </c>
      <c r="F84" s="12" t="n">
        <f aca="false">(1+E84)^(1/12)-1</f>
        <v>0.00384942996069926</v>
      </c>
      <c r="G84" s="16" t="n">
        <f aca="false">IF(C84=0,(1+Dic2023!$J$6)^(-B84),EXP(LN(INDEX(Dic2023!$K$6:$K$205,C84))+(LN(INDEX(Dic2023!$K$6:$K$205,MIN(C84+1,200)))-LN(INDEX(Dic2023!$K$6:$K$205,C84)))*(A84-6*C84)/6))</f>
        <v>0.7353834691124</v>
      </c>
      <c r="H84" s="12" t="n">
        <f aca="false">G84^(-1/B84)-1</f>
        <v>0.0471838133003555</v>
      </c>
      <c r="I84" s="12" t="n">
        <f aca="false">(1+H84)^(1/12)-1</f>
        <v>0.00384942996069926</v>
      </c>
      <c r="J84" s="16" t="n">
        <f aca="false">IF(C84=0,(1+Dic2023!$M$6)^(-B84),EXP(LN(INDEX(Dic2023!$N$6:$N$205,C84))+(LN(INDEX(Dic2023!$N$6:$N$205,MIN(C84+1,200)))-LN(INDEX(Dic2023!$N$6:$N$205,C84)))*(A84-6*C84)/6))</f>
        <v>0.7353834691124</v>
      </c>
      <c r="K84" s="12" t="n">
        <f aca="false">J84^(-1/B84)-1</f>
        <v>0.0471838133003555</v>
      </c>
      <c r="L84" s="12" t="n">
        <f aca="false">(1+K84)^(1/12)-1</f>
        <v>0.00384942996069926</v>
      </c>
    </row>
    <row r="85" customFormat="false" ht="15" hidden="false" customHeight="false" outlineLevel="0" collapsed="false">
      <c r="A85" s="4" t="n">
        <v>81</v>
      </c>
      <c r="B85" s="14" t="n">
        <f aca="false">A85/12</f>
        <v>6.75</v>
      </c>
      <c r="C85" s="15" t="n">
        <f aca="false">INT(A85/6)</f>
        <v>13</v>
      </c>
      <c r="D85" s="16" t="n">
        <f aca="false">IF(C85=0,(1+Dic2023!$G$6)^(-B85),EXP(LN(INDEX(Dic2023!$H$6:$H$205,C85))+(LN(INDEX(Dic2023!$H$6:$H$205,MIN(C85+1,200)))-LN(INDEX(Dic2023!$H$6:$H$205,C85)))*(A85-6*C85)/6))</f>
        <v>0.732237878510729</v>
      </c>
      <c r="E85" s="12" t="n">
        <f aca="false">D85^(-1/B85)-1</f>
        <v>0.0472527928977569</v>
      </c>
      <c r="F85" s="12" t="n">
        <f aca="false">(1+E85)^(1/12)-1</f>
        <v>0.00385494021895494</v>
      </c>
      <c r="G85" s="16" t="n">
        <f aca="false">IF(C85=0,(1+Dic2023!$J$6)^(-B85),EXP(LN(INDEX(Dic2023!$K$6:$K$205,C85))+(LN(INDEX(Dic2023!$K$6:$K$205,MIN(C85+1,200)))-LN(INDEX(Dic2023!$K$6:$K$205,C85)))*(A85-6*C85)/6))</f>
        <v>0.732237878510729</v>
      </c>
      <c r="H85" s="12" t="n">
        <f aca="false">G85^(-1/B85)-1</f>
        <v>0.0472527928977569</v>
      </c>
      <c r="I85" s="12" t="n">
        <f aca="false">(1+H85)^(1/12)-1</f>
        <v>0.00385494021895494</v>
      </c>
      <c r="J85" s="16" t="n">
        <f aca="false">IF(C85=0,(1+Dic2023!$M$6)^(-B85),EXP(LN(INDEX(Dic2023!$N$6:$N$205,C85))+(LN(INDEX(Dic2023!$N$6:$N$205,MIN(C85+1,200)))-LN(INDEX(Dic2023!$N$6:$N$205,C85)))*(A85-6*C85)/6))</f>
        <v>0.732237878510729</v>
      </c>
      <c r="K85" s="12" t="n">
        <f aca="false">J85^(-1/B85)-1</f>
        <v>0.0472527928977569</v>
      </c>
      <c r="L85" s="12" t="n">
        <f aca="false">(1+K85)^(1/12)-1</f>
        <v>0.00385494021895494</v>
      </c>
    </row>
    <row r="86" customFormat="false" ht="15" hidden="false" customHeight="false" outlineLevel="0" collapsed="false">
      <c r="A86" s="4" t="n">
        <v>82</v>
      </c>
      <c r="B86" s="14" t="n">
        <f aca="false">A86/12</f>
        <v>6.83333333333333</v>
      </c>
      <c r="C86" s="15" t="n">
        <f aca="false">INT(A86/6)</f>
        <v>13</v>
      </c>
      <c r="D86" s="16" t="n">
        <f aca="false">IF(C86=0,(1+Dic2023!$G$6)^(-B86),EXP(LN(INDEX(Dic2023!$H$6:$H$205,C86))+(LN(INDEX(Dic2023!$H$6:$H$205,MIN(C86+1,200)))-LN(INDEX(Dic2023!$H$6:$H$205,C86)))*(A86-6*C86)/6))</f>
        <v>0.729105743120725</v>
      </c>
      <c r="E86" s="12" t="n">
        <f aca="false">D86^(-1/B86)-1</f>
        <v>0.0473200944448577</v>
      </c>
      <c r="F86" s="12" t="n">
        <f aca="false">(1+E86)^(1/12)-1</f>
        <v>0.00386031610981674</v>
      </c>
      <c r="G86" s="16" t="n">
        <f aca="false">IF(C86=0,(1+Dic2023!$J$6)^(-B86),EXP(LN(INDEX(Dic2023!$K$6:$K$205,C86))+(LN(INDEX(Dic2023!$K$6:$K$205,MIN(C86+1,200)))-LN(INDEX(Dic2023!$K$6:$K$205,C86)))*(A86-6*C86)/6))</f>
        <v>0.729105743120725</v>
      </c>
      <c r="H86" s="12" t="n">
        <f aca="false">G86^(-1/B86)-1</f>
        <v>0.0473200944448577</v>
      </c>
      <c r="I86" s="12" t="n">
        <f aca="false">(1+H86)^(1/12)-1</f>
        <v>0.00386031610981674</v>
      </c>
      <c r="J86" s="16" t="n">
        <f aca="false">IF(C86=0,(1+Dic2023!$M$6)^(-B86),EXP(LN(INDEX(Dic2023!$N$6:$N$205,C86))+(LN(INDEX(Dic2023!$N$6:$N$205,MIN(C86+1,200)))-LN(INDEX(Dic2023!$N$6:$N$205,C86)))*(A86-6*C86)/6))</f>
        <v>0.729105743120725</v>
      </c>
      <c r="K86" s="12" t="n">
        <f aca="false">J86^(-1/B86)-1</f>
        <v>0.0473200944448577</v>
      </c>
      <c r="L86" s="12" t="n">
        <f aca="false">(1+K86)^(1/12)-1</f>
        <v>0.00386031610981674</v>
      </c>
    </row>
    <row r="87" customFormat="false" ht="15" hidden="false" customHeight="false" outlineLevel="0" collapsed="false">
      <c r="A87" s="4" t="n">
        <v>83</v>
      </c>
      <c r="B87" s="14" t="n">
        <f aca="false">A87/12</f>
        <v>6.91666666666667</v>
      </c>
      <c r="C87" s="15" t="n">
        <f aca="false">INT(A87/6)</f>
        <v>13</v>
      </c>
      <c r="D87" s="16" t="n">
        <f aca="false">IF(C87=0,(1+Dic2023!$G$6)^(-B87),EXP(LN(INDEX(Dic2023!$H$6:$H$205,C87))+(LN(INDEX(Dic2023!$H$6:$H$205,MIN(C87+1,200)))-LN(INDEX(Dic2023!$H$6:$H$205,C87)))*(A87-6*C87)/6))</f>
        <v>0.725987005387943</v>
      </c>
      <c r="E87" s="12" t="n">
        <f aca="false">D87^(-1/B87)-1</f>
        <v>0.0473857784379796</v>
      </c>
      <c r="F87" s="12" t="n">
        <f aca="false">(1+E87)^(1/12)-1</f>
        <v>0.0038655624888968</v>
      </c>
      <c r="G87" s="16" t="n">
        <f aca="false">IF(C87=0,(1+Dic2023!$J$6)^(-B87),EXP(LN(INDEX(Dic2023!$K$6:$K$205,C87))+(LN(INDEX(Dic2023!$K$6:$K$205,MIN(C87+1,200)))-LN(INDEX(Dic2023!$K$6:$K$205,C87)))*(A87-6*C87)/6))</f>
        <v>0.725987005387943</v>
      </c>
      <c r="H87" s="12" t="n">
        <f aca="false">G87^(-1/B87)-1</f>
        <v>0.0473857784379796</v>
      </c>
      <c r="I87" s="12" t="n">
        <f aca="false">(1+H87)^(1/12)-1</f>
        <v>0.0038655624888968</v>
      </c>
      <c r="J87" s="16" t="n">
        <f aca="false">IF(C87=0,(1+Dic2023!$M$6)^(-B87),EXP(LN(INDEX(Dic2023!$N$6:$N$205,C87))+(LN(INDEX(Dic2023!$N$6:$N$205,MIN(C87+1,200)))-LN(INDEX(Dic2023!$N$6:$N$205,C87)))*(A87-6*C87)/6))</f>
        <v>0.725987005387943</v>
      </c>
      <c r="K87" s="12" t="n">
        <f aca="false">J87^(-1/B87)-1</f>
        <v>0.0473857784379796</v>
      </c>
      <c r="L87" s="12" t="n">
        <f aca="false">(1+K87)^(1/12)-1</f>
        <v>0.0038655624888968</v>
      </c>
    </row>
    <row r="88" customFormat="false" ht="15" hidden="false" customHeight="false" outlineLevel="0" collapsed="false">
      <c r="A88" s="4" t="n">
        <v>84</v>
      </c>
      <c r="B88" s="14" t="n">
        <f aca="false">A88/12</f>
        <v>7</v>
      </c>
      <c r="C88" s="15" t="n">
        <f aca="false">INT(A88/6)</f>
        <v>14</v>
      </c>
      <c r="D88" s="16" t="n">
        <f aca="false">IF(C88=0,(1+Dic2023!$G$6)^(-B88),EXP(LN(INDEX(Dic2023!$H$6:$H$205,C88))+(LN(INDEX(Dic2023!$H$6:$H$205,MIN(C88+1,200)))-LN(INDEX(Dic2023!$H$6:$H$205,C88)))*(A88-6*C88)/6))</f>
        <v>0.722881608004127</v>
      </c>
      <c r="E88" s="12" t="n">
        <f aca="false">D88^(-1/B88)-1</f>
        <v>0.0474499024999999</v>
      </c>
      <c r="F88" s="12" t="n">
        <f aca="false">(1+E88)^(1/12)-1</f>
        <v>0.00387068398063639</v>
      </c>
      <c r="G88" s="16" t="n">
        <f aca="false">IF(C88=0,(1+Dic2023!$J$6)^(-B88),EXP(LN(INDEX(Dic2023!$K$6:$K$205,C88))+(LN(INDEX(Dic2023!$K$6:$K$205,MIN(C88+1,200)))-LN(INDEX(Dic2023!$K$6:$K$205,C88)))*(A88-6*C88)/6))</f>
        <v>0.722881608004127</v>
      </c>
      <c r="H88" s="12" t="n">
        <f aca="false">G88^(-1/B88)-1</f>
        <v>0.0474499024999999</v>
      </c>
      <c r="I88" s="12" t="n">
        <f aca="false">(1+H88)^(1/12)-1</f>
        <v>0.00387068398063639</v>
      </c>
      <c r="J88" s="16" t="n">
        <f aca="false">IF(C88=0,(1+Dic2023!$M$6)^(-B88),EXP(LN(INDEX(Dic2023!$N$6:$N$205,C88))+(LN(INDEX(Dic2023!$N$6:$N$205,MIN(C88+1,200)))-LN(INDEX(Dic2023!$N$6:$N$205,C88)))*(A88-6*C88)/6))</f>
        <v>0.722881608004127</v>
      </c>
      <c r="K88" s="12" t="n">
        <f aca="false">J88^(-1/B88)-1</f>
        <v>0.0474499024999999</v>
      </c>
      <c r="L88" s="12" t="n">
        <f aca="false">(1+K88)^(1/12)-1</f>
        <v>0.00387068398063639</v>
      </c>
    </row>
    <row r="89" customFormat="false" ht="15" hidden="false" customHeight="false" outlineLevel="0" collapsed="false">
      <c r="A89" s="4" t="n">
        <v>85</v>
      </c>
      <c r="B89" s="14" t="n">
        <f aca="false">A89/12</f>
        <v>7.08333333333333</v>
      </c>
      <c r="C89" s="15" t="n">
        <f aca="false">INT(A89/6)</f>
        <v>14</v>
      </c>
      <c r="D89" s="16" t="n">
        <f aca="false">IF(C89=0,(1+Dic2023!$G$6)^(-B89),EXP(LN(INDEX(Dic2023!$H$6:$H$205,C89))+(LN(INDEX(Dic2023!$H$6:$H$205,MIN(C89+1,200)))-LN(INDEX(Dic2023!$H$6:$H$205,C89)))*(A89-6*C89)/6))</f>
        <v>0.719742673087136</v>
      </c>
      <c r="E89" s="12" t="n">
        <f aca="false">D89^(-1/B89)-1</f>
        <v>0.0475221414624276</v>
      </c>
      <c r="F89" s="12" t="n">
        <f aca="false">(1+E89)^(1/12)-1</f>
        <v>0.00387645325293162</v>
      </c>
      <c r="G89" s="16" t="n">
        <f aca="false">IF(C89=0,(1+Dic2023!$J$6)^(-B89),EXP(LN(INDEX(Dic2023!$K$6:$K$205,C89))+(LN(INDEX(Dic2023!$K$6:$K$205,MIN(C89+1,200)))-LN(INDEX(Dic2023!$K$6:$K$205,C89)))*(A89-6*C89)/6))</f>
        <v>0.719742673087136</v>
      </c>
      <c r="H89" s="12" t="n">
        <f aca="false">G89^(-1/B89)-1</f>
        <v>0.0475221414624276</v>
      </c>
      <c r="I89" s="12" t="n">
        <f aca="false">(1+H89)^(1/12)-1</f>
        <v>0.00387645325293162</v>
      </c>
      <c r="J89" s="16" t="n">
        <f aca="false">IF(C89=0,(1+Dic2023!$M$6)^(-B89),EXP(LN(INDEX(Dic2023!$N$6:$N$205,C89))+(LN(INDEX(Dic2023!$N$6:$N$205,MIN(C89+1,200)))-LN(INDEX(Dic2023!$N$6:$N$205,C89)))*(A89-6*C89)/6))</f>
        <v>0.719742673087136</v>
      </c>
      <c r="K89" s="12" t="n">
        <f aca="false">J89^(-1/B89)-1</f>
        <v>0.0475221414624276</v>
      </c>
      <c r="L89" s="12" t="n">
        <f aca="false">(1+K89)^(1/12)-1</f>
        <v>0.00387645325293162</v>
      </c>
    </row>
    <row r="90" customFormat="false" ht="15" hidden="false" customHeight="false" outlineLevel="0" collapsed="false">
      <c r="A90" s="4" t="n">
        <v>86</v>
      </c>
      <c r="B90" s="14" t="n">
        <f aca="false">A90/12</f>
        <v>7.16666666666667</v>
      </c>
      <c r="C90" s="15" t="n">
        <f aca="false">INT(A90/6)</f>
        <v>14</v>
      </c>
      <c r="D90" s="16" t="n">
        <f aca="false">IF(C90=0,(1+Dic2023!$G$6)^(-B90),EXP(LN(INDEX(Dic2023!$H$6:$H$205,C90))+(LN(INDEX(Dic2023!$H$6:$H$205,MIN(C90+1,200)))-LN(INDEX(Dic2023!$H$6:$H$205,C90)))*(A90-6*C90)/6))</f>
        <v>0.716617368220078</v>
      </c>
      <c r="E90" s="12" t="n">
        <f aca="false">D90^(-1/B90)-1</f>
        <v>0.0475927052586054</v>
      </c>
      <c r="F90" s="12" t="n">
        <f aca="false">(1+E90)^(1/12)-1</f>
        <v>0.0038820883881121</v>
      </c>
      <c r="G90" s="16" t="n">
        <f aca="false">IF(C90=0,(1+Dic2023!$J$6)^(-B90),EXP(LN(INDEX(Dic2023!$K$6:$K$205,C90))+(LN(INDEX(Dic2023!$K$6:$K$205,MIN(C90+1,200)))-LN(INDEX(Dic2023!$K$6:$K$205,C90)))*(A90-6*C90)/6))</f>
        <v>0.716617368220078</v>
      </c>
      <c r="H90" s="12" t="n">
        <f aca="false">G90^(-1/B90)-1</f>
        <v>0.0475927052586054</v>
      </c>
      <c r="I90" s="12" t="n">
        <f aca="false">(1+H90)^(1/12)-1</f>
        <v>0.0038820883881121</v>
      </c>
      <c r="J90" s="16" t="n">
        <f aca="false">IF(C90=0,(1+Dic2023!$M$6)^(-B90),EXP(LN(INDEX(Dic2023!$N$6:$N$205,C90))+(LN(INDEX(Dic2023!$N$6:$N$205,MIN(C90+1,200)))-LN(INDEX(Dic2023!$N$6:$N$205,C90)))*(A90-6*C90)/6))</f>
        <v>0.716617368220078</v>
      </c>
      <c r="K90" s="12" t="n">
        <f aca="false">J90^(-1/B90)-1</f>
        <v>0.0475927052586054</v>
      </c>
      <c r="L90" s="12" t="n">
        <f aca="false">(1+K90)^(1/12)-1</f>
        <v>0.0038820883881121</v>
      </c>
    </row>
    <row r="91" customFormat="false" ht="15" hidden="false" customHeight="false" outlineLevel="0" collapsed="false">
      <c r="A91" s="4" t="n">
        <v>87</v>
      </c>
      <c r="B91" s="14" t="n">
        <f aca="false">A91/12</f>
        <v>7.25</v>
      </c>
      <c r="C91" s="15" t="n">
        <f aca="false">INT(A91/6)</f>
        <v>14</v>
      </c>
      <c r="D91" s="16" t="n">
        <f aca="false">IF(C91=0,(1+Dic2023!$G$6)^(-B91),EXP(LN(INDEX(Dic2023!$H$6:$H$205,C91))+(LN(INDEX(Dic2023!$H$6:$H$205,MIN(C91+1,200)))-LN(INDEX(Dic2023!$H$6:$H$205,C91)))*(A91-6*C91)/6))</f>
        <v>0.713505634217827</v>
      </c>
      <c r="E91" s="12" t="n">
        <f aca="false">D91^(-1/B91)-1</f>
        <v>0.0476616514892534</v>
      </c>
      <c r="F91" s="12" t="n">
        <f aca="false">(1+E91)^(1/12)-1</f>
        <v>0.00388759401050498</v>
      </c>
      <c r="G91" s="16" t="n">
        <f aca="false">IF(C91=0,(1+Dic2023!$J$6)^(-B91),EXP(LN(INDEX(Dic2023!$K$6:$K$205,C91))+(LN(INDEX(Dic2023!$K$6:$K$205,MIN(C91+1,200)))-LN(INDEX(Dic2023!$K$6:$K$205,C91)))*(A91-6*C91)/6))</f>
        <v>0.713505634217827</v>
      </c>
      <c r="H91" s="12" t="n">
        <f aca="false">G91^(-1/B91)-1</f>
        <v>0.0476616514892534</v>
      </c>
      <c r="I91" s="12" t="n">
        <f aca="false">(1+H91)^(1/12)-1</f>
        <v>0.00388759401050498</v>
      </c>
      <c r="J91" s="16" t="n">
        <f aca="false">IF(C91=0,(1+Dic2023!$M$6)^(-B91),EXP(LN(INDEX(Dic2023!$N$6:$N$205,C91))+(LN(INDEX(Dic2023!$N$6:$N$205,MIN(C91+1,200)))-LN(INDEX(Dic2023!$N$6:$N$205,C91)))*(A91-6*C91)/6))</f>
        <v>0.713505634217827</v>
      </c>
      <c r="K91" s="12" t="n">
        <f aca="false">J91^(-1/B91)-1</f>
        <v>0.0476616514892534</v>
      </c>
      <c r="L91" s="12" t="n">
        <f aca="false">(1+K91)^(1/12)-1</f>
        <v>0.00388759401050498</v>
      </c>
    </row>
    <row r="92" customFormat="false" ht="15" hidden="false" customHeight="false" outlineLevel="0" collapsed="false">
      <c r="A92" s="4" t="n">
        <v>88</v>
      </c>
      <c r="B92" s="14" t="n">
        <f aca="false">A92/12</f>
        <v>7.33333333333333</v>
      </c>
      <c r="C92" s="15" t="n">
        <f aca="false">INT(A92/6)</f>
        <v>14</v>
      </c>
      <c r="D92" s="16" t="n">
        <f aca="false">IF(C92=0,(1+Dic2023!$G$6)^(-B92),EXP(LN(INDEX(Dic2023!$H$6:$H$205,C92))+(LN(INDEX(Dic2023!$H$6:$H$205,MIN(C92+1,200)))-LN(INDEX(Dic2023!$H$6:$H$205,C92)))*(A92-6*C92)/6))</f>
        <v>0.710407412152253</v>
      </c>
      <c r="E92" s="12" t="n">
        <f aca="false">D92^(-1/B92)-1</f>
        <v>0.047729035144217</v>
      </c>
      <c r="F92" s="12" t="n">
        <f aca="false">(1+E92)^(1/12)-1</f>
        <v>0.00389297453428905</v>
      </c>
      <c r="G92" s="16" t="n">
        <f aca="false">IF(C92=0,(1+Dic2023!$J$6)^(-B92),EXP(LN(INDEX(Dic2023!$K$6:$K$205,C92))+(LN(INDEX(Dic2023!$K$6:$K$205,MIN(C92+1,200)))-LN(INDEX(Dic2023!$K$6:$K$205,C92)))*(A92-6*C92)/6))</f>
        <v>0.710407412152253</v>
      </c>
      <c r="H92" s="12" t="n">
        <f aca="false">G92^(-1/B92)-1</f>
        <v>0.047729035144217</v>
      </c>
      <c r="I92" s="12" t="n">
        <f aca="false">(1+H92)^(1/12)-1</f>
        <v>0.00389297453428905</v>
      </c>
      <c r="J92" s="16" t="n">
        <f aca="false">IF(C92=0,(1+Dic2023!$M$6)^(-B92),EXP(LN(INDEX(Dic2023!$N$6:$N$205,C92))+(LN(INDEX(Dic2023!$N$6:$N$205,MIN(C92+1,200)))-LN(INDEX(Dic2023!$N$6:$N$205,C92)))*(A92-6*C92)/6))</f>
        <v>0.710407412152253</v>
      </c>
      <c r="K92" s="12" t="n">
        <f aca="false">J92^(-1/B92)-1</f>
        <v>0.047729035144217</v>
      </c>
      <c r="L92" s="12" t="n">
        <f aca="false">(1+K92)^(1/12)-1</f>
        <v>0.00389297453428905</v>
      </c>
    </row>
    <row r="93" customFormat="false" ht="15" hidden="false" customHeight="false" outlineLevel="0" collapsed="false">
      <c r="A93" s="4" t="n">
        <v>89</v>
      </c>
      <c r="B93" s="14" t="n">
        <f aca="false">A93/12</f>
        <v>7.41666666666667</v>
      </c>
      <c r="C93" s="15" t="n">
        <f aca="false">INT(A93/6)</f>
        <v>14</v>
      </c>
      <c r="D93" s="16" t="n">
        <f aca="false">IF(C93=0,(1+Dic2023!$G$6)^(-B93),EXP(LN(INDEX(Dic2023!$H$6:$H$205,C93))+(LN(INDEX(Dic2023!$H$6:$H$205,MIN(C93+1,200)))-LN(INDEX(Dic2023!$H$6:$H$205,C93)))*(A93-6*C93)/6))</f>
        <v>0.707322643351106</v>
      </c>
      <c r="E93" s="12" t="n">
        <f aca="false">D93^(-1/B93)-1</f>
        <v>0.0477949087487375</v>
      </c>
      <c r="F93" s="12" t="n">
        <f aca="false">(1+E93)^(1/12)-1</f>
        <v>0.00389823417529955</v>
      </c>
      <c r="G93" s="16" t="n">
        <f aca="false">IF(C93=0,(1+Dic2023!$J$6)^(-B93),EXP(LN(INDEX(Dic2023!$K$6:$K$205,C93))+(LN(INDEX(Dic2023!$K$6:$K$205,MIN(C93+1,200)))-LN(INDEX(Dic2023!$K$6:$K$205,C93)))*(A93-6*C93)/6))</f>
        <v>0.707322643351106</v>
      </c>
      <c r="H93" s="12" t="n">
        <f aca="false">G93^(-1/B93)-1</f>
        <v>0.0477949087487375</v>
      </c>
      <c r="I93" s="12" t="n">
        <f aca="false">(1+H93)^(1/12)-1</f>
        <v>0.00389823417529955</v>
      </c>
      <c r="J93" s="16" t="n">
        <f aca="false">IF(C93=0,(1+Dic2023!$M$6)^(-B93),EXP(LN(INDEX(Dic2023!$N$6:$N$205,C93))+(LN(INDEX(Dic2023!$N$6:$N$205,MIN(C93+1,200)))-LN(INDEX(Dic2023!$N$6:$N$205,C93)))*(A93-6*C93)/6))</f>
        <v>0.707322643351106</v>
      </c>
      <c r="K93" s="12" t="n">
        <f aca="false">J93^(-1/B93)-1</f>
        <v>0.0477949087487375</v>
      </c>
      <c r="L93" s="12" t="n">
        <f aca="false">(1+K93)^(1/12)-1</f>
        <v>0.00389823417529955</v>
      </c>
    </row>
    <row r="94" customFormat="false" ht="15" hidden="false" customHeight="false" outlineLevel="0" collapsed="false">
      <c r="A94" s="4" t="n">
        <v>90</v>
      </c>
      <c r="B94" s="14" t="n">
        <f aca="false">A94/12</f>
        <v>7.5</v>
      </c>
      <c r="C94" s="15" t="n">
        <f aca="false">INT(A94/6)</f>
        <v>15</v>
      </c>
      <c r="D94" s="16" t="n">
        <f aca="false">IF(C94=0,(1+Dic2023!$G$6)^(-B94),EXP(LN(INDEX(Dic2023!$H$6:$H$205,C94))+(LN(INDEX(Dic2023!$H$6:$H$205,MIN(C94+1,200)))-LN(INDEX(Dic2023!$H$6:$H$205,C94)))*(A94-6*C94)/6))</f>
        <v>0.704251269396907</v>
      </c>
      <c r="E94" s="12" t="n">
        <f aca="false">D94^(-1/B94)-1</f>
        <v>0.0478593224999999</v>
      </c>
      <c r="F94" s="12" t="n">
        <f aca="false">(1+E94)^(1/12)-1</f>
        <v>0.00390337696204357</v>
      </c>
      <c r="G94" s="16" t="n">
        <f aca="false">IF(C94=0,(1+Dic2023!$J$6)^(-B94),EXP(LN(INDEX(Dic2023!$K$6:$K$205,C94))+(LN(INDEX(Dic2023!$K$6:$K$205,MIN(C94+1,200)))-LN(INDEX(Dic2023!$K$6:$K$205,C94)))*(A94-6*C94)/6))</f>
        <v>0.704251269396907</v>
      </c>
      <c r="H94" s="12" t="n">
        <f aca="false">G94^(-1/B94)-1</f>
        <v>0.0478593224999999</v>
      </c>
      <c r="I94" s="12" t="n">
        <f aca="false">(1+H94)^(1/12)-1</f>
        <v>0.00390337696204357</v>
      </c>
      <c r="J94" s="16" t="n">
        <f aca="false">IF(C94=0,(1+Dic2023!$M$6)^(-B94),EXP(LN(INDEX(Dic2023!$N$6:$N$205,C94))+(LN(INDEX(Dic2023!$N$6:$N$205,MIN(C94+1,200)))-LN(INDEX(Dic2023!$N$6:$N$205,C94)))*(A94-6*C94)/6))</f>
        <v>0.704251269396907</v>
      </c>
      <c r="K94" s="12" t="n">
        <f aca="false">J94^(-1/B94)-1</f>
        <v>0.0478593224999999</v>
      </c>
      <c r="L94" s="12" t="n">
        <f aca="false">(1+K94)^(1/12)-1</f>
        <v>0.00390337696204357</v>
      </c>
    </row>
    <row r="95" customFormat="false" ht="15" hidden="false" customHeight="false" outlineLevel="0" collapsed="false">
      <c r="A95" s="4" t="n">
        <v>91</v>
      </c>
      <c r="B95" s="14" t="n">
        <f aca="false">A95/12</f>
        <v>7.58333333333333</v>
      </c>
      <c r="C95" s="15" t="n">
        <f aca="false">INT(A95/6)</f>
        <v>15</v>
      </c>
      <c r="D95" s="16" t="n">
        <f aca="false">IF(C95=0,(1+Dic2023!$G$6)^(-B95),EXP(LN(INDEX(Dic2023!$H$6:$H$205,C95))+(LN(INDEX(Dic2023!$H$6:$H$205,MIN(C95+1,200)))-LN(INDEX(Dic2023!$H$6:$H$205,C95)))*(A95-6*C95)/6))</f>
        <v>0.701147634315028</v>
      </c>
      <c r="E95" s="12" t="n">
        <f aca="false">D95^(-1/B95)-1</f>
        <v>0.0479313109076867</v>
      </c>
      <c r="F95" s="12" t="n">
        <f aca="false">(1+E95)^(1/12)-1</f>
        <v>0.0039091241656144</v>
      </c>
      <c r="G95" s="16" t="n">
        <f aca="false">IF(C95=0,(1+Dic2023!$J$6)^(-B95),EXP(LN(INDEX(Dic2023!$K$6:$K$205,C95))+(LN(INDEX(Dic2023!$K$6:$K$205,MIN(C95+1,200)))-LN(INDEX(Dic2023!$K$6:$K$205,C95)))*(A95-6*C95)/6))</f>
        <v>0.701147634315028</v>
      </c>
      <c r="H95" s="12" t="n">
        <f aca="false">G95^(-1/B95)-1</f>
        <v>0.0479313109076867</v>
      </c>
      <c r="I95" s="12" t="n">
        <f aca="false">(1+H95)^(1/12)-1</f>
        <v>0.0039091241656144</v>
      </c>
      <c r="J95" s="16" t="n">
        <f aca="false">IF(C95=0,(1+Dic2023!$M$6)^(-B95),EXP(LN(INDEX(Dic2023!$N$6:$N$205,C95))+(LN(INDEX(Dic2023!$N$6:$N$205,MIN(C95+1,200)))-LN(INDEX(Dic2023!$N$6:$N$205,C95)))*(A95-6*C95)/6))</f>
        <v>0.701147634315028</v>
      </c>
      <c r="K95" s="12" t="n">
        <f aca="false">J95^(-1/B95)-1</f>
        <v>0.0479313109076867</v>
      </c>
      <c r="L95" s="12" t="n">
        <f aca="false">(1+K95)^(1/12)-1</f>
        <v>0.0039091241656144</v>
      </c>
    </row>
    <row r="96" customFormat="false" ht="15" hidden="false" customHeight="false" outlineLevel="0" collapsed="false">
      <c r="A96" s="4" t="n">
        <v>92</v>
      </c>
      <c r="B96" s="14" t="n">
        <f aca="false">A96/12</f>
        <v>7.66666666666667</v>
      </c>
      <c r="C96" s="15" t="n">
        <f aca="false">INT(A96/6)</f>
        <v>15</v>
      </c>
      <c r="D96" s="16" t="n">
        <f aca="false">IF(C96=0,(1+Dic2023!$G$6)^(-B96),EXP(LN(INDEX(Dic2023!$H$6:$H$205,C96))+(LN(INDEX(Dic2023!$H$6:$H$205,MIN(C96+1,200)))-LN(INDEX(Dic2023!$H$6:$H$205,C96)))*(A96-6*C96)/6))</f>
        <v>0.698057676951799</v>
      </c>
      <c r="E96" s="12" t="n">
        <f aca="false">D96^(-1/B96)-1</f>
        <v>0.0480017391355203</v>
      </c>
      <c r="F96" s="12" t="n">
        <f aca="false">(1+E96)^(1/12)-1</f>
        <v>0.00391474646181411</v>
      </c>
      <c r="G96" s="16" t="n">
        <f aca="false">IF(C96=0,(1+Dic2023!$J$6)^(-B96),EXP(LN(INDEX(Dic2023!$K$6:$K$205,C96))+(LN(INDEX(Dic2023!$K$6:$K$205,MIN(C96+1,200)))-LN(INDEX(Dic2023!$K$6:$K$205,C96)))*(A96-6*C96)/6))</f>
        <v>0.698057676951799</v>
      </c>
      <c r="H96" s="12" t="n">
        <f aca="false">G96^(-1/B96)-1</f>
        <v>0.0480017391355203</v>
      </c>
      <c r="I96" s="12" t="n">
        <f aca="false">(1+H96)^(1/12)-1</f>
        <v>0.00391474646181411</v>
      </c>
      <c r="J96" s="16" t="n">
        <f aca="false">IF(C96=0,(1+Dic2023!$M$6)^(-B96),EXP(LN(INDEX(Dic2023!$N$6:$N$205,C96))+(LN(INDEX(Dic2023!$N$6:$N$205,MIN(C96+1,200)))-LN(INDEX(Dic2023!$N$6:$N$205,C96)))*(A96-6*C96)/6))</f>
        <v>0.698057676951799</v>
      </c>
      <c r="K96" s="12" t="n">
        <f aca="false">J96^(-1/B96)-1</f>
        <v>0.0480017391355203</v>
      </c>
      <c r="L96" s="12" t="n">
        <f aca="false">(1+K96)^(1/12)-1</f>
        <v>0.00391474646181411</v>
      </c>
    </row>
    <row r="97" customFormat="false" ht="15" hidden="false" customHeight="false" outlineLevel="0" collapsed="false">
      <c r="A97" s="4" t="n">
        <v>93</v>
      </c>
      <c r="B97" s="14" t="n">
        <f aca="false">A97/12</f>
        <v>7.75</v>
      </c>
      <c r="C97" s="15" t="n">
        <f aca="false">INT(A97/6)</f>
        <v>15</v>
      </c>
      <c r="D97" s="16" t="n">
        <f aca="false">IF(C97=0,(1+Dic2023!$G$6)^(-B97),EXP(LN(INDEX(Dic2023!$H$6:$H$205,C97))+(LN(INDEX(Dic2023!$H$6:$H$205,MIN(C97+1,200)))-LN(INDEX(Dic2023!$H$6:$H$205,C97)))*(A97-6*C97)/6))</f>
        <v>0.694981337029519</v>
      </c>
      <c r="E97" s="12" t="n">
        <f aca="false">D97^(-1/B97)-1</f>
        <v>0.0480706573594794</v>
      </c>
      <c r="F97" s="12" t="n">
        <f aca="false">(1+E97)^(1/12)-1</f>
        <v>0.00392024787889667</v>
      </c>
      <c r="G97" s="16" t="n">
        <f aca="false">IF(C97=0,(1+Dic2023!$J$6)^(-B97),EXP(LN(INDEX(Dic2023!$K$6:$K$205,C97))+(LN(INDEX(Dic2023!$K$6:$K$205,MIN(C97+1,200)))-LN(INDEX(Dic2023!$K$6:$K$205,C97)))*(A97-6*C97)/6))</f>
        <v>0.694981337029519</v>
      </c>
      <c r="H97" s="12" t="n">
        <f aca="false">G97^(-1/B97)-1</f>
        <v>0.0480706573594794</v>
      </c>
      <c r="I97" s="12" t="n">
        <f aca="false">(1+H97)^(1/12)-1</f>
        <v>0.00392024787889667</v>
      </c>
      <c r="J97" s="16" t="n">
        <f aca="false">IF(C97=0,(1+Dic2023!$M$6)^(-B97),EXP(LN(INDEX(Dic2023!$N$6:$N$205,C97))+(LN(INDEX(Dic2023!$N$6:$N$205,MIN(C97+1,200)))-LN(INDEX(Dic2023!$N$6:$N$205,C97)))*(A97-6*C97)/6))</f>
        <v>0.694981337029519</v>
      </c>
      <c r="K97" s="12" t="n">
        <f aca="false">J97^(-1/B97)-1</f>
        <v>0.0480706573594794</v>
      </c>
      <c r="L97" s="12" t="n">
        <f aca="false">(1+K97)^(1/12)-1</f>
        <v>0.00392024787889667</v>
      </c>
    </row>
    <row r="98" customFormat="false" ht="15" hidden="false" customHeight="false" outlineLevel="0" collapsed="false">
      <c r="A98" s="4" t="n">
        <v>94</v>
      </c>
      <c r="B98" s="14" t="n">
        <f aca="false">A98/12</f>
        <v>7.83333333333333</v>
      </c>
      <c r="C98" s="15" t="n">
        <f aca="false">INT(A98/6)</f>
        <v>15</v>
      </c>
      <c r="D98" s="16" t="n">
        <f aca="false">IF(C98=0,(1+Dic2023!$G$6)^(-B98),EXP(LN(INDEX(Dic2023!$H$6:$H$205,C98))+(LN(INDEX(Dic2023!$H$6:$H$205,MIN(C98+1,200)))-LN(INDEX(Dic2023!$H$6:$H$205,C98)))*(A98-6*C98)/6))</f>
        <v>0.69191855453613</v>
      </c>
      <c r="E98" s="12" t="n">
        <f aca="false">D98^(-1/B98)-1</f>
        <v>0.0481381136267973</v>
      </c>
      <c r="F98" s="12" t="n">
        <f aca="false">(1+E98)^(1/12)-1</f>
        <v>0.00392563227374421</v>
      </c>
      <c r="G98" s="16" t="n">
        <f aca="false">IF(C98=0,(1+Dic2023!$J$6)^(-B98),EXP(LN(INDEX(Dic2023!$K$6:$K$205,C98))+(LN(INDEX(Dic2023!$K$6:$K$205,MIN(C98+1,200)))-LN(INDEX(Dic2023!$K$6:$K$205,C98)))*(A98-6*C98)/6))</f>
        <v>0.69191855453613</v>
      </c>
      <c r="H98" s="12" t="n">
        <f aca="false">G98^(-1/B98)-1</f>
        <v>0.0481381136267973</v>
      </c>
      <c r="I98" s="12" t="n">
        <f aca="false">(1+H98)^(1/12)-1</f>
        <v>0.00392563227374421</v>
      </c>
      <c r="J98" s="16" t="n">
        <f aca="false">IF(C98=0,(1+Dic2023!$M$6)^(-B98),EXP(LN(INDEX(Dic2023!$N$6:$N$205,C98))+(LN(INDEX(Dic2023!$N$6:$N$205,MIN(C98+1,200)))-LN(INDEX(Dic2023!$N$6:$N$205,C98)))*(A98-6*C98)/6))</f>
        <v>0.69191855453613</v>
      </c>
      <c r="K98" s="12" t="n">
        <f aca="false">J98^(-1/B98)-1</f>
        <v>0.0481381136267973</v>
      </c>
      <c r="L98" s="12" t="n">
        <f aca="false">(1+K98)^(1/12)-1</f>
        <v>0.00392563227374421</v>
      </c>
    </row>
    <row r="99" customFormat="false" ht="15" hidden="false" customHeight="false" outlineLevel="0" collapsed="false">
      <c r="A99" s="4" t="n">
        <v>95</v>
      </c>
      <c r="B99" s="14" t="n">
        <f aca="false">A99/12</f>
        <v>7.91666666666667</v>
      </c>
      <c r="C99" s="15" t="n">
        <f aca="false">INT(A99/6)</f>
        <v>15</v>
      </c>
      <c r="D99" s="16" t="n">
        <f aca="false">IF(C99=0,(1+Dic2023!$G$6)^(-B99),EXP(LN(INDEX(Dic2023!$H$6:$H$205,C99))+(LN(INDEX(Dic2023!$H$6:$H$205,MIN(C99+1,200)))-LN(INDEX(Dic2023!$H$6:$H$205,C99)))*(A99-6*C99)/6))</f>
        <v>0.688869269724048</v>
      </c>
      <c r="E99" s="12" t="n">
        <f aca="false">D99^(-1/B99)-1</f>
        <v>0.0482041539676699</v>
      </c>
      <c r="F99" s="12" t="n">
        <f aca="false">(1+E99)^(1/12)-1</f>
        <v>0.00393090334088386</v>
      </c>
      <c r="G99" s="16" t="n">
        <f aca="false">IF(C99=0,(1+Dic2023!$J$6)^(-B99),EXP(LN(INDEX(Dic2023!$K$6:$K$205,C99))+(LN(INDEX(Dic2023!$K$6:$K$205,MIN(C99+1,200)))-LN(INDEX(Dic2023!$K$6:$K$205,C99)))*(A99-6*C99)/6))</f>
        <v>0.688869269724048</v>
      </c>
      <c r="H99" s="12" t="n">
        <f aca="false">G99^(-1/B99)-1</f>
        <v>0.0482041539676699</v>
      </c>
      <c r="I99" s="12" t="n">
        <f aca="false">(1+H99)^(1/12)-1</f>
        <v>0.00393090334088386</v>
      </c>
      <c r="J99" s="16" t="n">
        <f aca="false">IF(C99=0,(1+Dic2023!$M$6)^(-B99),EXP(LN(INDEX(Dic2023!$N$6:$N$205,C99))+(LN(INDEX(Dic2023!$N$6:$N$205,MIN(C99+1,200)))-LN(INDEX(Dic2023!$N$6:$N$205,C99)))*(A99-6*C99)/6))</f>
        <v>0.688869269724048</v>
      </c>
      <c r="K99" s="12" t="n">
        <f aca="false">J99^(-1/B99)-1</f>
        <v>0.0482041539676699</v>
      </c>
      <c r="L99" s="12" t="n">
        <f aca="false">(1+K99)^(1/12)-1</f>
        <v>0.00393090334088386</v>
      </c>
    </row>
    <row r="100" customFormat="false" ht="15" hidden="false" customHeight="false" outlineLevel="0" collapsed="false">
      <c r="A100" s="4" t="n">
        <v>96</v>
      </c>
      <c r="B100" s="14" t="n">
        <f aca="false">A100/12</f>
        <v>8</v>
      </c>
      <c r="C100" s="15" t="n">
        <f aca="false">INT(A100/6)</f>
        <v>16</v>
      </c>
      <c r="D100" s="16" t="n">
        <f aca="false">IF(C100=0,(1+Dic2023!$G$6)^(-B100),EXP(LN(INDEX(Dic2023!$H$6:$H$205,C100))+(LN(INDEX(Dic2023!$H$6:$H$205,MIN(C100+1,200)))-LN(INDEX(Dic2023!$H$6:$H$205,C100)))*(A100-6*C100)/6))</f>
        <v>0.685833423108997</v>
      </c>
      <c r="E100" s="12" t="n">
        <f aca="false">D100^(-1/B100)-1</f>
        <v>0.0482688224999999</v>
      </c>
      <c r="F100" s="12" t="n">
        <f aca="false">(1+E100)^(1/12)-1</f>
        <v>0.0039360646209412</v>
      </c>
      <c r="G100" s="16" t="n">
        <f aca="false">IF(C100=0,(1+Dic2023!$J$6)^(-B100),EXP(LN(INDEX(Dic2023!$K$6:$K$205,C100))+(LN(INDEX(Dic2023!$K$6:$K$205,MIN(C100+1,200)))-LN(INDEX(Dic2023!$K$6:$K$205,C100)))*(A100-6*C100)/6))</f>
        <v>0.685833423108997</v>
      </c>
      <c r="H100" s="12" t="n">
        <f aca="false">G100^(-1/B100)-1</f>
        <v>0.0482688224999999</v>
      </c>
      <c r="I100" s="12" t="n">
        <f aca="false">(1+H100)^(1/12)-1</f>
        <v>0.0039360646209412</v>
      </c>
      <c r="J100" s="16" t="n">
        <f aca="false">IF(C100=0,(1+Dic2023!$M$6)^(-B100),EXP(LN(INDEX(Dic2023!$N$6:$N$205,C100))+(LN(INDEX(Dic2023!$N$6:$N$205,MIN(C100+1,200)))-LN(INDEX(Dic2023!$N$6:$N$205,C100)))*(A100-6*C100)/6))</f>
        <v>0.685833423108997</v>
      </c>
      <c r="K100" s="12" t="n">
        <f aca="false">J100^(-1/B100)-1</f>
        <v>0.0482688224999999</v>
      </c>
      <c r="L100" s="12" t="n">
        <f aca="false">(1+K100)^(1/12)-1</f>
        <v>0.0039360646209412</v>
      </c>
    </row>
    <row r="101" customFormat="false" ht="15" hidden="false" customHeight="false" outlineLevel="0" collapsed="false">
      <c r="A101" s="4" t="n">
        <v>97</v>
      </c>
      <c r="B101" s="14" t="n">
        <f aca="false">A101/12</f>
        <v>8.08333333333333</v>
      </c>
      <c r="C101" s="15" t="n">
        <f aca="false">INT(A101/6)</f>
        <v>16</v>
      </c>
      <c r="D101" s="16" t="n">
        <f aca="false">IF(C101=0,(1+Dic2023!$G$6)^(-B101),EXP(LN(INDEX(Dic2023!$H$6:$H$205,C101))+(LN(INDEX(Dic2023!$H$6:$H$205,MIN(C101+1,200)))-LN(INDEX(Dic2023!$H$6:$H$205,C101)))*(A101-6*C101)/6))</f>
        <v>0.682766566039704</v>
      </c>
      <c r="E101" s="12" t="n">
        <f aca="false">D101^(-1/B101)-1</f>
        <v>0.0483405929989478</v>
      </c>
      <c r="F101" s="12" t="n">
        <f aca="false">(1+E101)^(1/12)-1</f>
        <v>0.00394179237653458</v>
      </c>
      <c r="G101" s="16" t="n">
        <f aca="false">IF(C101=0,(1+Dic2023!$J$6)^(-B101),EXP(LN(INDEX(Dic2023!$K$6:$K$205,C101))+(LN(INDEX(Dic2023!$K$6:$K$205,MIN(C101+1,200)))-LN(INDEX(Dic2023!$K$6:$K$205,C101)))*(A101-6*C101)/6))</f>
        <v>0.682766566039704</v>
      </c>
      <c r="H101" s="12" t="n">
        <f aca="false">G101^(-1/B101)-1</f>
        <v>0.0483405929989478</v>
      </c>
      <c r="I101" s="12" t="n">
        <f aca="false">(1+H101)^(1/12)-1</f>
        <v>0.00394179237653458</v>
      </c>
      <c r="J101" s="16" t="n">
        <f aca="false">IF(C101=0,(1+Dic2023!$M$6)^(-B101),EXP(LN(INDEX(Dic2023!$N$6:$N$205,C101))+(LN(INDEX(Dic2023!$N$6:$N$205,MIN(C101+1,200)))-LN(INDEX(Dic2023!$N$6:$N$205,C101)))*(A101-6*C101)/6))</f>
        <v>0.682766566039704</v>
      </c>
      <c r="K101" s="12" t="n">
        <f aca="false">J101^(-1/B101)-1</f>
        <v>0.0483405929989478</v>
      </c>
      <c r="L101" s="12" t="n">
        <f aca="false">(1+K101)^(1/12)-1</f>
        <v>0.00394179237653458</v>
      </c>
    </row>
    <row r="102" customFormat="false" ht="15" hidden="false" customHeight="false" outlineLevel="0" collapsed="false">
      <c r="A102" s="4" t="n">
        <v>98</v>
      </c>
      <c r="B102" s="14" t="n">
        <f aca="false">A102/12</f>
        <v>8.16666666666667</v>
      </c>
      <c r="C102" s="15" t="n">
        <f aca="false">INT(A102/6)</f>
        <v>16</v>
      </c>
      <c r="D102" s="16" t="n">
        <f aca="false">IF(C102=0,(1+Dic2023!$G$6)^(-B102),EXP(LN(INDEX(Dic2023!$H$6:$H$205,C102))+(LN(INDEX(Dic2023!$H$6:$H$205,MIN(C102+1,200)))-LN(INDEX(Dic2023!$H$6:$H$205,C102)))*(A102-6*C102)/6))</f>
        <v>0.679713423105602</v>
      </c>
      <c r="E102" s="12" t="n">
        <f aca="false">D102^(-1/B102)-1</f>
        <v>0.0484109035582536</v>
      </c>
      <c r="F102" s="12" t="n">
        <f aca="false">(1+E102)^(1/12)-1</f>
        <v>0.00394740327084153</v>
      </c>
      <c r="G102" s="16" t="n">
        <f aca="false">IF(C102=0,(1+Dic2023!$J$6)^(-B102),EXP(LN(INDEX(Dic2023!$K$6:$K$205,C102))+(LN(INDEX(Dic2023!$K$6:$K$205,MIN(C102+1,200)))-LN(INDEX(Dic2023!$K$6:$K$205,C102)))*(A102-6*C102)/6))</f>
        <v>0.679713423105602</v>
      </c>
      <c r="H102" s="12" t="n">
        <f aca="false">G102^(-1/B102)-1</f>
        <v>0.0484109035582536</v>
      </c>
      <c r="I102" s="12" t="n">
        <f aca="false">(1+H102)^(1/12)-1</f>
        <v>0.00394740327084153</v>
      </c>
      <c r="J102" s="16" t="n">
        <f aca="false">IF(C102=0,(1+Dic2023!$M$6)^(-B102),EXP(LN(INDEX(Dic2023!$N$6:$N$205,C102))+(LN(INDEX(Dic2023!$N$6:$N$205,MIN(C102+1,200)))-LN(INDEX(Dic2023!$N$6:$N$205,C102)))*(A102-6*C102)/6))</f>
        <v>0.679713423105602</v>
      </c>
      <c r="K102" s="12" t="n">
        <f aca="false">J102^(-1/B102)-1</f>
        <v>0.0484109035582536</v>
      </c>
      <c r="L102" s="12" t="n">
        <f aca="false">(1+K102)^(1/12)-1</f>
        <v>0.00394740327084153</v>
      </c>
    </row>
    <row r="103" customFormat="false" ht="15" hidden="false" customHeight="false" outlineLevel="0" collapsed="false">
      <c r="A103" s="4" t="n">
        <v>99</v>
      </c>
      <c r="B103" s="14" t="n">
        <f aca="false">A103/12</f>
        <v>8.25</v>
      </c>
      <c r="C103" s="15" t="n">
        <f aca="false">INT(A103/6)</f>
        <v>16</v>
      </c>
      <c r="D103" s="16" t="n">
        <f aca="false">IF(C103=0,(1+Dic2023!$G$6)^(-B103),EXP(LN(INDEX(Dic2023!$H$6:$H$205,C103))+(LN(INDEX(Dic2023!$H$6:$H$205,MIN(C103+1,200)))-LN(INDEX(Dic2023!$H$6:$H$205,C103)))*(A103-6*C103)/6))</f>
        <v>0.676673932980879</v>
      </c>
      <c r="E103" s="12" t="n">
        <f aca="false">D103^(-1/B103)-1</f>
        <v>0.0484797982759015</v>
      </c>
      <c r="F103" s="12" t="n">
        <f aca="false">(1+E103)^(1/12)-1</f>
        <v>0.003952900844163</v>
      </c>
      <c r="G103" s="16" t="n">
        <f aca="false">IF(C103=0,(1+Dic2023!$J$6)^(-B103),EXP(LN(INDEX(Dic2023!$K$6:$K$205,C103))+(LN(INDEX(Dic2023!$K$6:$K$205,MIN(C103+1,200)))-LN(INDEX(Dic2023!$K$6:$K$205,C103)))*(A103-6*C103)/6))</f>
        <v>0.676673932980879</v>
      </c>
      <c r="H103" s="12" t="n">
        <f aca="false">G103^(-1/B103)-1</f>
        <v>0.0484797982759015</v>
      </c>
      <c r="I103" s="12" t="n">
        <f aca="false">(1+H103)^(1/12)-1</f>
        <v>0.003952900844163</v>
      </c>
      <c r="J103" s="16" t="n">
        <f aca="false">IF(C103=0,(1+Dic2023!$M$6)^(-B103),EXP(LN(INDEX(Dic2023!$N$6:$N$205,C103))+(LN(INDEX(Dic2023!$N$6:$N$205,MIN(C103+1,200)))-LN(INDEX(Dic2023!$N$6:$N$205,C103)))*(A103-6*C103)/6))</f>
        <v>0.676673932980879</v>
      </c>
      <c r="K103" s="12" t="n">
        <f aca="false">J103^(-1/B103)-1</f>
        <v>0.0484797982759015</v>
      </c>
      <c r="L103" s="12" t="n">
        <f aca="false">(1+K103)^(1/12)-1</f>
        <v>0.003952900844163</v>
      </c>
    </row>
    <row r="104" customFormat="false" ht="15" hidden="false" customHeight="false" outlineLevel="0" collapsed="false">
      <c r="A104" s="4" t="n">
        <v>100</v>
      </c>
      <c r="B104" s="14" t="n">
        <f aca="false">A104/12</f>
        <v>8.33333333333333</v>
      </c>
      <c r="C104" s="15" t="n">
        <f aca="false">INT(A104/6)</f>
        <v>16</v>
      </c>
      <c r="D104" s="16" t="n">
        <f aca="false">IF(C104=0,(1+Dic2023!$G$6)^(-B104),EXP(LN(INDEX(Dic2023!$H$6:$H$205,C104))+(LN(INDEX(Dic2023!$H$6:$H$205,MIN(C104+1,200)))-LN(INDEX(Dic2023!$H$6:$H$205,C104)))*(A104-6*C104)/6))</f>
        <v>0.673648034613953</v>
      </c>
      <c r="E104" s="12" t="n">
        <f aca="false">D104^(-1/B104)-1</f>
        <v>0.0485473194915917</v>
      </c>
      <c r="F104" s="12" t="n">
        <f aca="false">(1+E104)^(1/12)-1</f>
        <v>0.00395828849522562</v>
      </c>
      <c r="G104" s="16" t="n">
        <f aca="false">IF(C104=0,(1+Dic2023!$J$6)^(-B104),EXP(LN(INDEX(Dic2023!$K$6:$K$205,C104))+(LN(INDEX(Dic2023!$K$6:$K$205,MIN(C104+1,200)))-LN(INDEX(Dic2023!$K$6:$K$205,C104)))*(A104-6*C104)/6))</f>
        <v>0.673648034613953</v>
      </c>
      <c r="H104" s="12" t="n">
        <f aca="false">G104^(-1/B104)-1</f>
        <v>0.0485473194915917</v>
      </c>
      <c r="I104" s="12" t="n">
        <f aca="false">(1+H104)^(1/12)-1</f>
        <v>0.00395828849522562</v>
      </c>
      <c r="J104" s="16" t="n">
        <f aca="false">IF(C104=0,(1+Dic2023!$M$6)^(-B104),EXP(LN(INDEX(Dic2023!$N$6:$N$205,C104))+(LN(INDEX(Dic2023!$N$6:$N$205,MIN(C104+1,200)))-LN(INDEX(Dic2023!$N$6:$N$205,C104)))*(A104-6*C104)/6))</f>
        <v>0.673648034613953</v>
      </c>
      <c r="K104" s="12" t="n">
        <f aca="false">J104^(-1/B104)-1</f>
        <v>0.0485473194915917</v>
      </c>
      <c r="L104" s="12" t="n">
        <f aca="false">(1+K104)^(1/12)-1</f>
        <v>0.00395828849522562</v>
      </c>
    </row>
    <row r="105" customFormat="false" ht="15" hidden="false" customHeight="false" outlineLevel="0" collapsed="false">
      <c r="A105" s="4" t="n">
        <v>101</v>
      </c>
      <c r="B105" s="14" t="n">
        <f aca="false">A105/12</f>
        <v>8.41666666666667</v>
      </c>
      <c r="C105" s="15" t="n">
        <f aca="false">INT(A105/6)</f>
        <v>16</v>
      </c>
      <c r="D105" s="16" t="n">
        <f aca="false">IF(C105=0,(1+Dic2023!$G$6)^(-B105),EXP(LN(INDEX(Dic2023!$H$6:$H$205,C105))+(LN(INDEX(Dic2023!$H$6:$H$205,MIN(C105+1,200)))-LN(INDEX(Dic2023!$H$6:$H$205,C105)))*(A105-6*C105)/6))</f>
        <v>0.670635667226248</v>
      </c>
      <c r="E105" s="12" t="n">
        <f aca="false">D105^(-1/B105)-1</f>
        <v>0.0486135078735084</v>
      </c>
      <c r="F105" s="12" t="n">
        <f aca="false">(1+E105)^(1/12)-1</f>
        <v>0.00396356948818766</v>
      </c>
      <c r="G105" s="16" t="n">
        <f aca="false">IF(C105=0,(1+Dic2023!$J$6)^(-B105),EXP(LN(INDEX(Dic2023!$K$6:$K$205,C105))+(LN(INDEX(Dic2023!$K$6:$K$205,MIN(C105+1,200)))-LN(INDEX(Dic2023!$K$6:$K$205,C105)))*(A105-6*C105)/6))</f>
        <v>0.670635667226248</v>
      </c>
      <c r="H105" s="12" t="n">
        <f aca="false">G105^(-1/B105)-1</f>
        <v>0.0486135078735084</v>
      </c>
      <c r="I105" s="12" t="n">
        <f aca="false">(1+H105)^(1/12)-1</f>
        <v>0.00396356948818766</v>
      </c>
      <c r="J105" s="16" t="n">
        <f aca="false">IF(C105=0,(1+Dic2023!$M$6)^(-B105),EXP(LN(INDEX(Dic2023!$N$6:$N$205,C105))+(LN(INDEX(Dic2023!$N$6:$N$205,MIN(C105+1,200)))-LN(INDEX(Dic2023!$N$6:$N$205,C105)))*(A105-6*C105)/6))</f>
        <v>0.670635667226248</v>
      </c>
      <c r="K105" s="12" t="n">
        <f aca="false">J105^(-1/B105)-1</f>
        <v>0.0486135078735084</v>
      </c>
      <c r="L105" s="12" t="n">
        <f aca="false">(1+K105)^(1/12)-1</f>
        <v>0.00396356948818766</v>
      </c>
    </row>
    <row r="106" customFormat="false" ht="15" hidden="false" customHeight="false" outlineLevel="0" collapsed="false">
      <c r="A106" s="4" t="n">
        <v>102</v>
      </c>
      <c r="B106" s="14" t="n">
        <f aca="false">A106/12</f>
        <v>8.5</v>
      </c>
      <c r="C106" s="15" t="n">
        <f aca="false">INT(A106/6)</f>
        <v>17</v>
      </c>
      <c r="D106" s="16" t="n">
        <f aca="false">IF(C106=0,(1+Dic2023!$G$6)^(-B106),EXP(LN(INDEX(Dic2023!$H$6:$H$205,C106))+(LN(INDEX(Dic2023!$H$6:$H$205,MIN(C106+1,200)))-LN(INDEX(Dic2023!$H$6:$H$205,C106)))*(A106-6*C106)/6))</f>
        <v>0.667636770310975</v>
      </c>
      <c r="E106" s="12" t="n">
        <f aca="false">D106^(-1/B106)-1</f>
        <v>0.0486784024999998</v>
      </c>
      <c r="F106" s="12" t="n">
        <f aca="false">(1+E106)^(1/12)-1</f>
        <v>0.00396874695923555</v>
      </c>
      <c r="G106" s="16" t="n">
        <f aca="false">IF(C106=0,(1+Dic2023!$J$6)^(-B106),EXP(LN(INDEX(Dic2023!$K$6:$K$205,C106))+(LN(INDEX(Dic2023!$K$6:$K$205,MIN(C106+1,200)))-LN(INDEX(Dic2023!$K$6:$K$205,C106)))*(A106-6*C106)/6))</f>
        <v>0.667636770310975</v>
      </c>
      <c r="H106" s="12" t="n">
        <f aca="false">G106^(-1/B106)-1</f>
        <v>0.0486784024999998</v>
      </c>
      <c r="I106" s="12" t="n">
        <f aca="false">(1+H106)^(1/12)-1</f>
        <v>0.00396874695923555</v>
      </c>
      <c r="J106" s="16" t="n">
        <f aca="false">IF(C106=0,(1+Dic2023!$M$6)^(-B106),EXP(LN(INDEX(Dic2023!$N$6:$N$205,C106))+(LN(INDEX(Dic2023!$N$6:$N$205,MIN(C106+1,200)))-LN(INDEX(Dic2023!$N$6:$N$205,C106)))*(A106-6*C106)/6))</f>
        <v>0.667636770310975</v>
      </c>
      <c r="K106" s="12" t="n">
        <f aca="false">J106^(-1/B106)-1</f>
        <v>0.0486784024999998</v>
      </c>
      <c r="L106" s="12" t="n">
        <f aca="false">(1+K106)^(1/12)-1</f>
        <v>0.00396874695923555</v>
      </c>
    </row>
    <row r="107" customFormat="false" ht="15" hidden="false" customHeight="false" outlineLevel="0" collapsed="false">
      <c r="A107" s="4" t="n">
        <v>103</v>
      </c>
      <c r="B107" s="14" t="n">
        <f aca="false">A107/12</f>
        <v>8.58333333333333</v>
      </c>
      <c r="C107" s="15" t="n">
        <f aca="false">INT(A107/6)</f>
        <v>17</v>
      </c>
      <c r="D107" s="16" t="n">
        <f aca="false">IF(C107=0,(1+Dic2023!$G$6)^(-B107),EXP(LN(INDEX(Dic2023!$H$6:$H$205,C107))+(LN(INDEX(Dic2023!$H$6:$H$205,MIN(C107+1,200)))-LN(INDEX(Dic2023!$H$6:$H$205,C107)))*(A107-6*C107)/6))</f>
        <v>0.664705427851768</v>
      </c>
      <c r="E107" s="12" t="n">
        <f aca="false">D107^(-1/B107)-1</f>
        <v>0.0487320880007243</v>
      </c>
      <c r="F107" s="12" t="n">
        <f aca="false">(1+E107)^(1/12)-1</f>
        <v>0.00397302991355097</v>
      </c>
      <c r="G107" s="16" t="n">
        <f aca="false">IF(C107=0,(1+Dic2023!$J$6)^(-B107),EXP(LN(INDEX(Dic2023!$K$6:$K$205,C107))+(LN(INDEX(Dic2023!$K$6:$K$205,MIN(C107+1,200)))-LN(INDEX(Dic2023!$K$6:$K$205,C107)))*(A107-6*C107)/6))</f>
        <v>0.664705427851768</v>
      </c>
      <c r="H107" s="12" t="n">
        <f aca="false">G107^(-1/B107)-1</f>
        <v>0.0487320880007243</v>
      </c>
      <c r="I107" s="12" t="n">
        <f aca="false">(1+H107)^(1/12)-1</f>
        <v>0.00397302991355097</v>
      </c>
      <c r="J107" s="16" t="n">
        <f aca="false">IF(C107=0,(1+Dic2023!$M$6)^(-B107),EXP(LN(INDEX(Dic2023!$N$6:$N$205,C107))+(LN(INDEX(Dic2023!$N$6:$N$205,MIN(C107+1,200)))-LN(INDEX(Dic2023!$N$6:$N$205,C107)))*(A107-6*C107)/6))</f>
        <v>0.664705427851768</v>
      </c>
      <c r="K107" s="12" t="n">
        <f aca="false">J107^(-1/B107)-1</f>
        <v>0.0487320880007243</v>
      </c>
      <c r="L107" s="12" t="n">
        <f aca="false">(1+K107)^(1/12)-1</f>
        <v>0.00397302991355097</v>
      </c>
    </row>
    <row r="108" customFormat="false" ht="15" hidden="false" customHeight="false" outlineLevel="0" collapsed="false">
      <c r="A108" s="4" t="n">
        <v>104</v>
      </c>
      <c r="B108" s="14" t="n">
        <f aca="false">A108/12</f>
        <v>8.66666666666667</v>
      </c>
      <c r="C108" s="15" t="n">
        <f aca="false">INT(A108/6)</f>
        <v>17</v>
      </c>
      <c r="D108" s="16" t="n">
        <f aca="false">IF(C108=0,(1+Dic2023!$G$6)^(-B108),EXP(LN(INDEX(Dic2023!$H$6:$H$205,C108))+(LN(INDEX(Dic2023!$H$6:$H$205,MIN(C108+1,200)))-LN(INDEX(Dic2023!$H$6:$H$205,C108)))*(A108-6*C108)/6))</f>
        <v>0.661786955817013</v>
      </c>
      <c r="E108" s="12" t="n">
        <f aca="false">D108^(-1/B108)-1</f>
        <v>0.0487847437575493</v>
      </c>
      <c r="F108" s="12" t="n">
        <f aca="false">(1+E108)^(1/12)-1</f>
        <v>0.0039772305211081</v>
      </c>
      <c r="G108" s="16" t="n">
        <f aca="false">IF(C108=0,(1+Dic2023!$J$6)^(-B108),EXP(LN(INDEX(Dic2023!$K$6:$K$205,C108))+(LN(INDEX(Dic2023!$K$6:$K$205,MIN(C108+1,200)))-LN(INDEX(Dic2023!$K$6:$K$205,C108)))*(A108-6*C108)/6))</f>
        <v>0.661786955817013</v>
      </c>
      <c r="H108" s="12" t="n">
        <f aca="false">G108^(-1/B108)-1</f>
        <v>0.0487847437575493</v>
      </c>
      <c r="I108" s="12" t="n">
        <f aca="false">(1+H108)^(1/12)-1</f>
        <v>0.0039772305211081</v>
      </c>
      <c r="J108" s="16" t="n">
        <f aca="false">IF(C108=0,(1+Dic2023!$M$6)^(-B108),EXP(LN(INDEX(Dic2023!$N$6:$N$205,C108))+(LN(INDEX(Dic2023!$N$6:$N$205,MIN(C108+1,200)))-LN(INDEX(Dic2023!$N$6:$N$205,C108)))*(A108-6*C108)/6))</f>
        <v>0.661786955817013</v>
      </c>
      <c r="K108" s="12" t="n">
        <f aca="false">J108^(-1/B108)-1</f>
        <v>0.0487847437575493</v>
      </c>
      <c r="L108" s="12" t="n">
        <f aca="false">(1+K108)^(1/12)-1</f>
        <v>0.0039772305211081</v>
      </c>
    </row>
    <row r="109" customFormat="false" ht="15" hidden="false" customHeight="false" outlineLevel="0" collapsed="false">
      <c r="A109" s="4" t="n">
        <v>105</v>
      </c>
      <c r="B109" s="14" t="n">
        <f aca="false">A109/12</f>
        <v>8.75</v>
      </c>
      <c r="C109" s="15" t="n">
        <f aca="false">INT(A109/6)</f>
        <v>17</v>
      </c>
      <c r="D109" s="16" t="n">
        <f aca="false">IF(C109=0,(1+Dic2023!$G$6)^(-B109),EXP(LN(INDEX(Dic2023!$H$6:$H$205,C109))+(LN(INDEX(Dic2023!$H$6:$H$205,MIN(C109+1,200)))-LN(INDEX(Dic2023!$H$6:$H$205,C109)))*(A109-6*C109)/6))</f>
        <v>0.658881297697506</v>
      </c>
      <c r="E109" s="12" t="n">
        <f aca="false">D109^(-1/B109)-1</f>
        <v>0.0488363991163108</v>
      </c>
      <c r="F109" s="12" t="n">
        <f aca="false">(1+E109)^(1/12)-1</f>
        <v>0.00398135113416886</v>
      </c>
      <c r="G109" s="16" t="n">
        <f aca="false">IF(C109=0,(1+Dic2023!$J$6)^(-B109),EXP(LN(INDEX(Dic2023!$K$6:$K$205,C109))+(LN(INDEX(Dic2023!$K$6:$K$205,MIN(C109+1,200)))-LN(INDEX(Dic2023!$K$6:$K$205,C109)))*(A109-6*C109)/6))</f>
        <v>0.658881297697506</v>
      </c>
      <c r="H109" s="12" t="n">
        <f aca="false">G109^(-1/B109)-1</f>
        <v>0.0488363991163108</v>
      </c>
      <c r="I109" s="12" t="n">
        <f aca="false">(1+H109)^(1/12)-1</f>
        <v>0.00398135113416886</v>
      </c>
      <c r="J109" s="16" t="n">
        <f aca="false">IF(C109=0,(1+Dic2023!$M$6)^(-B109),EXP(LN(INDEX(Dic2023!$N$6:$N$205,C109))+(LN(INDEX(Dic2023!$N$6:$N$205,MIN(C109+1,200)))-LN(INDEX(Dic2023!$N$6:$N$205,C109)))*(A109-6*C109)/6))</f>
        <v>0.658881297697506</v>
      </c>
      <c r="K109" s="12" t="n">
        <f aca="false">J109^(-1/B109)-1</f>
        <v>0.0488363991163108</v>
      </c>
      <c r="L109" s="12" t="n">
        <f aca="false">(1+K109)^(1/12)-1</f>
        <v>0.00398135113416886</v>
      </c>
    </row>
    <row r="110" customFormat="false" ht="15" hidden="false" customHeight="false" outlineLevel="0" collapsed="false">
      <c r="A110" s="4" t="n">
        <v>106</v>
      </c>
      <c r="B110" s="14" t="n">
        <f aca="false">A110/12</f>
        <v>8.83333333333333</v>
      </c>
      <c r="C110" s="15" t="n">
        <f aca="false">INT(A110/6)</f>
        <v>17</v>
      </c>
      <c r="D110" s="16" t="n">
        <f aca="false">IF(C110=0,(1+Dic2023!$G$6)^(-B110),EXP(LN(INDEX(Dic2023!$H$6:$H$205,C110))+(LN(INDEX(Dic2023!$H$6:$H$205,MIN(C110+1,200)))-LN(INDEX(Dic2023!$H$6:$H$205,C110)))*(A110-6*C110)/6))</f>
        <v>0.655988397232156</v>
      </c>
      <c r="E110" s="12" t="n">
        <f aca="false">D110^(-1/B110)-1</f>
        <v>0.048887082318269</v>
      </c>
      <c r="F110" s="12" t="n">
        <f aca="false">(1+E110)^(1/12)-1</f>
        <v>0.00398539401624976</v>
      </c>
      <c r="G110" s="16" t="n">
        <f aca="false">IF(C110=0,(1+Dic2023!$J$6)^(-B110),EXP(LN(INDEX(Dic2023!$K$6:$K$205,C110))+(LN(INDEX(Dic2023!$K$6:$K$205,MIN(C110+1,200)))-LN(INDEX(Dic2023!$K$6:$K$205,C110)))*(A110-6*C110)/6))</f>
        <v>0.655988397232156</v>
      </c>
      <c r="H110" s="12" t="n">
        <f aca="false">G110^(-1/B110)-1</f>
        <v>0.048887082318269</v>
      </c>
      <c r="I110" s="12" t="n">
        <f aca="false">(1+H110)^(1/12)-1</f>
        <v>0.00398539401624976</v>
      </c>
      <c r="J110" s="16" t="n">
        <f aca="false">IF(C110=0,(1+Dic2023!$M$6)^(-B110),EXP(LN(INDEX(Dic2023!$N$6:$N$205,C110))+(LN(INDEX(Dic2023!$N$6:$N$205,MIN(C110+1,200)))-LN(INDEX(Dic2023!$N$6:$N$205,C110)))*(A110-6*C110)/6))</f>
        <v>0.655988397232156</v>
      </c>
      <c r="K110" s="12" t="n">
        <f aca="false">J110^(-1/B110)-1</f>
        <v>0.048887082318269</v>
      </c>
      <c r="L110" s="12" t="n">
        <f aca="false">(1+K110)^(1/12)-1</f>
        <v>0.00398539401624976</v>
      </c>
    </row>
    <row r="111" customFormat="false" ht="15" hidden="false" customHeight="false" outlineLevel="0" collapsed="false">
      <c r="A111" s="4" t="n">
        <v>107</v>
      </c>
      <c r="B111" s="14" t="n">
        <f aca="false">A111/12</f>
        <v>8.91666666666667</v>
      </c>
      <c r="C111" s="15" t="n">
        <f aca="false">INT(A111/6)</f>
        <v>17</v>
      </c>
      <c r="D111" s="16" t="n">
        <f aca="false">IF(C111=0,(1+Dic2023!$G$6)^(-B111),EXP(LN(INDEX(Dic2023!$H$6:$H$205,C111))+(LN(INDEX(Dic2023!$H$6:$H$205,MIN(C111+1,200)))-LN(INDEX(Dic2023!$H$6:$H$205,C111)))*(A111-6*C111)/6))</f>
        <v>0.653108198406891</v>
      </c>
      <c r="E111" s="12" t="n">
        <f aca="false">D111^(-1/B111)-1</f>
        <v>0.0489368205515945</v>
      </c>
      <c r="F111" s="12" t="n">
        <f aca="false">(1+E111)^(1/12)-1</f>
        <v>0.00398936134626804</v>
      </c>
      <c r="G111" s="16" t="n">
        <f aca="false">IF(C111=0,(1+Dic2023!$J$6)^(-B111),EXP(LN(INDEX(Dic2023!$K$6:$K$205,C111))+(LN(INDEX(Dic2023!$K$6:$K$205,MIN(C111+1,200)))-LN(INDEX(Dic2023!$K$6:$K$205,C111)))*(A111-6*C111)/6))</f>
        <v>0.653108198406891</v>
      </c>
      <c r="H111" s="12" t="n">
        <f aca="false">G111^(-1/B111)-1</f>
        <v>0.0489368205515945</v>
      </c>
      <c r="I111" s="12" t="n">
        <f aca="false">(1+H111)^(1/12)-1</f>
        <v>0.00398936134626804</v>
      </c>
      <c r="J111" s="16" t="n">
        <f aca="false">IF(C111=0,(1+Dic2023!$M$6)^(-B111),EXP(LN(INDEX(Dic2023!$N$6:$N$205,C111))+(LN(INDEX(Dic2023!$N$6:$N$205,MIN(C111+1,200)))-LN(INDEX(Dic2023!$N$6:$N$205,C111)))*(A111-6*C111)/6))</f>
        <v>0.653108198406891</v>
      </c>
      <c r="K111" s="12" t="n">
        <f aca="false">J111^(-1/B111)-1</f>
        <v>0.0489368205515945</v>
      </c>
      <c r="L111" s="12" t="n">
        <f aca="false">(1+K111)^(1/12)-1</f>
        <v>0.00398936134626804</v>
      </c>
    </row>
    <row r="112" customFormat="false" ht="15" hidden="false" customHeight="false" outlineLevel="0" collapsed="false">
      <c r="A112" s="4" t="n">
        <v>108</v>
      </c>
      <c r="B112" s="14" t="n">
        <f aca="false">A112/12</f>
        <v>9</v>
      </c>
      <c r="C112" s="15" t="n">
        <f aca="false">INT(A112/6)</f>
        <v>18</v>
      </c>
      <c r="D112" s="16" t="n">
        <f aca="false">IF(C112=0,(1+Dic2023!$G$6)^(-B112),EXP(LN(INDEX(Dic2023!$H$6:$H$205,C112))+(LN(INDEX(Dic2023!$H$6:$H$205,MIN(C112+1,200)))-LN(INDEX(Dic2023!$H$6:$H$205,C112)))*(A112-6*C112)/6))</f>
        <v>0.650240645453577</v>
      </c>
      <c r="E112" s="12" t="n">
        <f aca="false">D112^(-1/B112)-1</f>
        <v>0.0489856399999999</v>
      </c>
      <c r="F112" s="12" t="n">
        <f aca="false">(1+E112)^(1/12)-1</f>
        <v>0.00399325522245619</v>
      </c>
      <c r="G112" s="16" t="n">
        <f aca="false">IF(C112=0,(1+Dic2023!$J$6)^(-B112),EXP(LN(INDEX(Dic2023!$K$6:$K$205,C112))+(LN(INDEX(Dic2023!$K$6:$K$205,MIN(C112+1,200)))-LN(INDEX(Dic2023!$K$6:$K$205,C112)))*(A112-6*C112)/6))</f>
        <v>0.650240645453577</v>
      </c>
      <c r="H112" s="12" t="n">
        <f aca="false">G112^(-1/B112)-1</f>
        <v>0.0489856399999999</v>
      </c>
      <c r="I112" s="12" t="n">
        <f aca="false">(1+H112)^(1/12)-1</f>
        <v>0.00399325522245619</v>
      </c>
      <c r="J112" s="16" t="n">
        <f aca="false">IF(C112=0,(1+Dic2023!$M$6)^(-B112),EXP(LN(INDEX(Dic2023!$N$6:$N$205,C112))+(LN(INDEX(Dic2023!$N$6:$N$205,MIN(C112+1,200)))-LN(INDEX(Dic2023!$N$6:$N$205,C112)))*(A112-6*C112)/6))</f>
        <v>0.650240645453577</v>
      </c>
      <c r="K112" s="12" t="n">
        <f aca="false">J112^(-1/B112)-1</f>
        <v>0.0489856399999999</v>
      </c>
      <c r="L112" s="12" t="n">
        <f aca="false">(1+K112)^(1/12)-1</f>
        <v>0.00399325522245619</v>
      </c>
    </row>
    <row r="113" customFormat="false" ht="15" hidden="false" customHeight="false" outlineLevel="0" collapsed="false">
      <c r="A113" s="4" t="n">
        <v>109</v>
      </c>
      <c r="B113" s="14" t="n">
        <f aca="false">A113/12</f>
        <v>9.08333333333333</v>
      </c>
      <c r="C113" s="15" t="n">
        <f aca="false">INT(A113/6)</f>
        <v>18</v>
      </c>
      <c r="D113" s="16" t="n">
        <f aca="false">IF(C113=0,(1+Dic2023!$G$6)^(-B113),EXP(LN(INDEX(Dic2023!$H$6:$H$205,C113))+(LN(INDEX(Dic2023!$H$6:$H$205,MIN(C113+1,200)))-LN(INDEX(Dic2023!$H$6:$H$205,C113)))*(A113-6*C113)/6))</f>
        <v>0.647254069749635</v>
      </c>
      <c r="E113" s="12" t="n">
        <f aca="false">D113^(-1/B113)-1</f>
        <v>0.0490570475688745</v>
      </c>
      <c r="F113" s="12" t="n">
        <f aca="false">(1+E113)^(1/12)-1</f>
        <v>0.00399895044506504</v>
      </c>
      <c r="G113" s="16" t="n">
        <f aca="false">IF(C113=0,(1+Dic2023!$J$6)^(-B113),EXP(LN(INDEX(Dic2023!$K$6:$K$205,C113))+(LN(INDEX(Dic2023!$K$6:$K$205,MIN(C113+1,200)))-LN(INDEX(Dic2023!$K$6:$K$205,C113)))*(A113-6*C113)/6))</f>
        <v>0.647254069749635</v>
      </c>
      <c r="H113" s="12" t="n">
        <f aca="false">G113^(-1/B113)-1</f>
        <v>0.0490570475688745</v>
      </c>
      <c r="I113" s="12" t="n">
        <f aca="false">(1+H113)^(1/12)-1</f>
        <v>0.00399895044506504</v>
      </c>
      <c r="J113" s="16" t="n">
        <f aca="false">IF(C113=0,(1+Dic2023!$M$6)^(-B113),EXP(LN(INDEX(Dic2023!$N$6:$N$205,C113))+(LN(INDEX(Dic2023!$N$6:$N$205,MIN(C113+1,200)))-LN(INDEX(Dic2023!$N$6:$N$205,C113)))*(A113-6*C113)/6))</f>
        <v>0.647254069749635</v>
      </c>
      <c r="K113" s="12" t="n">
        <f aca="false">J113^(-1/B113)-1</f>
        <v>0.0490570475688745</v>
      </c>
      <c r="L113" s="12" t="n">
        <f aca="false">(1+K113)^(1/12)-1</f>
        <v>0.00399895044506504</v>
      </c>
    </row>
    <row r="114" customFormat="false" ht="15" hidden="false" customHeight="false" outlineLevel="0" collapsed="false">
      <c r="A114" s="4" t="n">
        <v>110</v>
      </c>
      <c r="B114" s="14" t="n">
        <f aca="false">A114/12</f>
        <v>9.16666666666667</v>
      </c>
      <c r="C114" s="15" t="n">
        <f aca="false">INT(A114/6)</f>
        <v>18</v>
      </c>
      <c r="D114" s="16" t="n">
        <f aca="false">IF(C114=0,(1+Dic2023!$G$6)^(-B114),EXP(LN(INDEX(Dic2023!$H$6:$H$205,C114))+(LN(INDEX(Dic2023!$H$6:$H$205,MIN(C114+1,200)))-LN(INDEX(Dic2023!$H$6:$H$205,C114)))*(A114-6*C114)/6))</f>
        <v>0.644281211481689</v>
      </c>
      <c r="E114" s="12" t="n">
        <f aca="false">D114^(-1/B114)-1</f>
        <v>0.0491271615474713</v>
      </c>
      <c r="F114" s="12" t="n">
        <f aca="false">(1+E114)^(1/12)-1</f>
        <v>0.00400454214960266</v>
      </c>
      <c r="G114" s="16" t="n">
        <f aca="false">IF(C114=0,(1+Dic2023!$J$6)^(-B114),EXP(LN(INDEX(Dic2023!$K$6:$K$205,C114))+(LN(INDEX(Dic2023!$K$6:$K$205,MIN(C114+1,200)))-LN(INDEX(Dic2023!$K$6:$K$205,C114)))*(A114-6*C114)/6))</f>
        <v>0.644281211481689</v>
      </c>
      <c r="H114" s="12" t="n">
        <f aca="false">G114^(-1/B114)-1</f>
        <v>0.0491271615474713</v>
      </c>
      <c r="I114" s="12" t="n">
        <f aca="false">(1+H114)^(1/12)-1</f>
        <v>0.00400454214960266</v>
      </c>
      <c r="J114" s="16" t="n">
        <f aca="false">IF(C114=0,(1+Dic2023!$M$6)^(-B114),EXP(LN(INDEX(Dic2023!$N$6:$N$205,C114))+(LN(INDEX(Dic2023!$N$6:$N$205,MIN(C114+1,200)))-LN(INDEX(Dic2023!$N$6:$N$205,C114)))*(A114-6*C114)/6))</f>
        <v>0.644281211481689</v>
      </c>
      <c r="K114" s="12" t="n">
        <f aca="false">J114^(-1/B114)-1</f>
        <v>0.0491271615474713</v>
      </c>
      <c r="L114" s="12" t="n">
        <f aca="false">(1+K114)^(1/12)-1</f>
        <v>0.00400454214960266</v>
      </c>
    </row>
    <row r="115" customFormat="false" ht="15" hidden="false" customHeight="false" outlineLevel="0" collapsed="false">
      <c r="A115" s="4" t="n">
        <v>111</v>
      </c>
      <c r="B115" s="14" t="n">
        <f aca="false">A115/12</f>
        <v>9.25</v>
      </c>
      <c r="C115" s="15" t="n">
        <f aca="false">INT(A115/6)</f>
        <v>18</v>
      </c>
      <c r="D115" s="16" t="n">
        <f aca="false">IF(C115=0,(1+Dic2023!$G$6)^(-B115),EXP(LN(INDEX(Dic2023!$H$6:$H$205,C115))+(LN(INDEX(Dic2023!$H$6:$H$205,MIN(C115+1,200)))-LN(INDEX(Dic2023!$H$6:$H$205,C115)))*(A115-6*C115)/6))</f>
        <v>0.641322007645123</v>
      </c>
      <c r="E115" s="12" t="n">
        <f aca="false">D115^(-1/B115)-1</f>
        <v>0.0491960167713308</v>
      </c>
      <c r="F115" s="12" t="n">
        <f aca="false">(1+E115)^(1/12)-1</f>
        <v>0.00401003313301307</v>
      </c>
      <c r="G115" s="16" t="n">
        <f aca="false">IF(C115=0,(1+Dic2023!$J$6)^(-B115),EXP(LN(INDEX(Dic2023!$K$6:$K$205,C115))+(LN(INDEX(Dic2023!$K$6:$K$205,MIN(C115+1,200)))-LN(INDEX(Dic2023!$K$6:$K$205,C115)))*(A115-6*C115)/6))</f>
        <v>0.641322007645123</v>
      </c>
      <c r="H115" s="12" t="n">
        <f aca="false">G115^(-1/B115)-1</f>
        <v>0.0491960167713308</v>
      </c>
      <c r="I115" s="12" t="n">
        <f aca="false">(1+H115)^(1/12)-1</f>
        <v>0.00401003313301307</v>
      </c>
      <c r="J115" s="16" t="n">
        <f aca="false">IF(C115=0,(1+Dic2023!$M$6)^(-B115),EXP(LN(INDEX(Dic2023!$N$6:$N$205,C115))+(LN(INDEX(Dic2023!$N$6:$N$205,MIN(C115+1,200)))-LN(INDEX(Dic2023!$N$6:$N$205,C115)))*(A115-6*C115)/6))</f>
        <v>0.641322007645123</v>
      </c>
      <c r="K115" s="12" t="n">
        <f aca="false">J115^(-1/B115)-1</f>
        <v>0.0491960167713308</v>
      </c>
      <c r="L115" s="12" t="n">
        <f aca="false">(1+K115)^(1/12)-1</f>
        <v>0.00401003313301307</v>
      </c>
    </row>
    <row r="116" customFormat="false" ht="15" hidden="false" customHeight="false" outlineLevel="0" collapsed="false">
      <c r="A116" s="4" t="n">
        <v>112</v>
      </c>
      <c r="B116" s="14" t="n">
        <f aca="false">A116/12</f>
        <v>9.33333333333333</v>
      </c>
      <c r="C116" s="15" t="n">
        <f aca="false">INT(A116/6)</f>
        <v>18</v>
      </c>
      <c r="D116" s="16" t="n">
        <f aca="false">IF(C116=0,(1+Dic2023!$G$6)^(-B116),EXP(LN(INDEX(Dic2023!$H$6:$H$205,C116))+(LN(INDEX(Dic2023!$H$6:$H$205,MIN(C116+1,200)))-LN(INDEX(Dic2023!$H$6:$H$205,C116)))*(A116-6*C116)/6))</f>
        <v>0.638376395524705</v>
      </c>
      <c r="E116" s="12" t="n">
        <f aca="false">D116^(-1/B116)-1</f>
        <v>0.049263646836329</v>
      </c>
      <c r="F116" s="12" t="n">
        <f aca="false">(1+E116)^(1/12)-1</f>
        <v>0.00401542609237948</v>
      </c>
      <c r="G116" s="16" t="n">
        <f aca="false">IF(C116=0,(1+Dic2023!$J$6)^(-B116),EXP(LN(INDEX(Dic2023!$K$6:$K$205,C116))+(LN(INDEX(Dic2023!$K$6:$K$205,MIN(C116+1,200)))-LN(INDEX(Dic2023!$K$6:$K$205,C116)))*(A116-6*C116)/6))</f>
        <v>0.638376395524705</v>
      </c>
      <c r="H116" s="12" t="n">
        <f aca="false">G116^(-1/B116)-1</f>
        <v>0.049263646836329</v>
      </c>
      <c r="I116" s="12" t="n">
        <f aca="false">(1+H116)^(1/12)-1</f>
        <v>0.00401542609237948</v>
      </c>
      <c r="J116" s="16" t="n">
        <f aca="false">IF(C116=0,(1+Dic2023!$M$6)^(-B116),EXP(LN(INDEX(Dic2023!$N$6:$N$205,C116))+(LN(INDEX(Dic2023!$N$6:$N$205,MIN(C116+1,200)))-LN(INDEX(Dic2023!$N$6:$N$205,C116)))*(A116-6*C116)/6))</f>
        <v>0.638376395524705</v>
      </c>
      <c r="K116" s="12" t="n">
        <f aca="false">J116^(-1/B116)-1</f>
        <v>0.049263646836329</v>
      </c>
      <c r="L116" s="12" t="n">
        <f aca="false">(1+K116)^(1/12)-1</f>
        <v>0.00401542609237948</v>
      </c>
    </row>
    <row r="117" customFormat="false" ht="15" hidden="false" customHeight="false" outlineLevel="0" collapsed="false">
      <c r="A117" s="4" t="n">
        <v>113</v>
      </c>
      <c r="B117" s="14" t="n">
        <f aca="false">A117/12</f>
        <v>9.41666666666667</v>
      </c>
      <c r="C117" s="15" t="n">
        <f aca="false">INT(A117/6)</f>
        <v>18</v>
      </c>
      <c r="D117" s="16" t="n">
        <f aca="false">IF(C117=0,(1+Dic2023!$G$6)^(-B117),EXP(LN(INDEX(Dic2023!$H$6:$H$205,C117))+(LN(INDEX(Dic2023!$H$6:$H$205,MIN(C117+1,200)))-LN(INDEX(Dic2023!$H$6:$H$205,C117)))*(A117-6*C117)/6))</f>
        <v>0.635444312693257</v>
      </c>
      <c r="E117" s="12" t="n">
        <f aca="false">D117^(-1/B117)-1</f>
        <v>0.0493300841533348</v>
      </c>
      <c r="F117" s="12" t="n">
        <f aca="false">(1+E117)^(1/12)-1</f>
        <v>0.00402072362934081</v>
      </c>
      <c r="G117" s="16" t="n">
        <f aca="false">IF(C117=0,(1+Dic2023!$J$6)^(-B117),EXP(LN(INDEX(Dic2023!$K$6:$K$205,C117))+(LN(INDEX(Dic2023!$K$6:$K$205,MIN(C117+1,200)))-LN(INDEX(Dic2023!$K$6:$K$205,C117)))*(A117-6*C117)/6))</f>
        <v>0.635444312693257</v>
      </c>
      <c r="H117" s="12" t="n">
        <f aca="false">G117^(-1/B117)-1</f>
        <v>0.0493300841533348</v>
      </c>
      <c r="I117" s="12" t="n">
        <f aca="false">(1+H117)^(1/12)-1</f>
        <v>0.00402072362934081</v>
      </c>
      <c r="J117" s="16" t="n">
        <f aca="false">IF(C117=0,(1+Dic2023!$M$6)^(-B117),EXP(LN(INDEX(Dic2023!$N$6:$N$205,C117))+(LN(INDEX(Dic2023!$N$6:$N$205,MIN(C117+1,200)))-LN(INDEX(Dic2023!$N$6:$N$205,C117)))*(A117-6*C117)/6))</f>
        <v>0.635444312693257</v>
      </c>
      <c r="K117" s="12" t="n">
        <f aca="false">J117^(-1/B117)-1</f>
        <v>0.0493300841533348</v>
      </c>
      <c r="L117" s="12" t="n">
        <f aca="false">(1+K117)^(1/12)-1</f>
        <v>0.00402072362934081</v>
      </c>
    </row>
    <row r="118" customFormat="false" ht="15" hidden="false" customHeight="false" outlineLevel="0" collapsed="false">
      <c r="A118" s="4" t="n">
        <v>114</v>
      </c>
      <c r="B118" s="14" t="n">
        <f aca="false">A118/12</f>
        <v>9.5</v>
      </c>
      <c r="C118" s="15" t="n">
        <f aca="false">INT(A118/6)</f>
        <v>19</v>
      </c>
      <c r="D118" s="16" t="n">
        <f aca="false">IF(C118=0,(1+Dic2023!$G$6)^(-B118),EXP(LN(INDEX(Dic2023!$H$6:$H$205,C118))+(LN(INDEX(Dic2023!$H$6:$H$205,MIN(C118+1,200)))-LN(INDEX(Dic2023!$H$6:$H$205,C118)))*(A118-6*C118)/6))</f>
        <v>0.63252569701033</v>
      </c>
      <c r="E118" s="12" t="n">
        <f aca="false">D118^(-1/B118)-1</f>
        <v>0.0493953599999999</v>
      </c>
      <c r="F118" s="12" t="n">
        <f aca="false">(1+E118)^(1/12)-1</f>
        <v>0.00402592825427761</v>
      </c>
      <c r="G118" s="16" t="n">
        <f aca="false">IF(C118=0,(1+Dic2023!$J$6)^(-B118),EXP(LN(INDEX(Dic2023!$K$6:$K$205,C118))+(LN(INDEX(Dic2023!$K$6:$K$205,MIN(C118+1,200)))-LN(INDEX(Dic2023!$K$6:$K$205,C118)))*(A118-6*C118)/6))</f>
        <v>0.63252569701033</v>
      </c>
      <c r="H118" s="12" t="n">
        <f aca="false">G118^(-1/B118)-1</f>
        <v>0.0493953599999999</v>
      </c>
      <c r="I118" s="12" t="n">
        <f aca="false">(1+H118)^(1/12)-1</f>
        <v>0.00402592825427761</v>
      </c>
      <c r="J118" s="16" t="n">
        <f aca="false">IF(C118=0,(1+Dic2023!$M$6)^(-B118),EXP(LN(INDEX(Dic2023!$N$6:$N$205,C118))+(LN(INDEX(Dic2023!$N$6:$N$205,MIN(C118+1,200)))-LN(INDEX(Dic2023!$N$6:$N$205,C118)))*(A118-6*C118)/6))</f>
        <v>0.63252569701033</v>
      </c>
      <c r="K118" s="12" t="n">
        <f aca="false">J118^(-1/B118)-1</f>
        <v>0.0493953599999999</v>
      </c>
      <c r="L118" s="12" t="n">
        <f aca="false">(1+K118)^(1/12)-1</f>
        <v>0.00402592825427761</v>
      </c>
    </row>
    <row r="119" customFormat="false" ht="15" hidden="false" customHeight="false" outlineLevel="0" collapsed="false">
      <c r="A119" s="4" t="n">
        <v>115</v>
      </c>
      <c r="B119" s="14" t="n">
        <f aca="false">A119/12</f>
        <v>9.58333333333333</v>
      </c>
      <c r="C119" s="15" t="n">
        <f aca="false">INT(A119/6)</f>
        <v>19</v>
      </c>
      <c r="D119" s="16" t="n">
        <f aca="false">IF(C119=0,(1+Dic2023!$G$6)^(-B119),EXP(LN(INDEX(Dic2023!$H$6:$H$205,C119))+(LN(INDEX(Dic2023!$H$6:$H$205,MIN(C119+1,200)))-LN(INDEX(Dic2023!$H$6:$H$205,C119)))*(A119-6*C119)/6))</f>
        <v>0.629682010494463</v>
      </c>
      <c r="E119" s="12" t="n">
        <f aca="false">D119^(-1/B119)-1</f>
        <v>0.0494488044047425</v>
      </c>
      <c r="F119" s="12" t="n">
        <f aca="false">(1+E119)^(1/12)-1</f>
        <v>0.00403018930446808</v>
      </c>
      <c r="G119" s="16" t="n">
        <f aca="false">IF(C119=0,(1+Dic2023!$J$6)^(-B119),EXP(LN(INDEX(Dic2023!$K$6:$K$205,C119))+(LN(INDEX(Dic2023!$K$6:$K$205,MIN(C119+1,200)))-LN(INDEX(Dic2023!$K$6:$K$205,C119)))*(A119-6*C119)/6))</f>
        <v>0.629682010494463</v>
      </c>
      <c r="H119" s="12" t="n">
        <f aca="false">G119^(-1/B119)-1</f>
        <v>0.0494488044047425</v>
      </c>
      <c r="I119" s="12" t="n">
        <f aca="false">(1+H119)^(1/12)-1</f>
        <v>0.00403018930446808</v>
      </c>
      <c r="J119" s="16" t="n">
        <f aca="false">IF(C119=0,(1+Dic2023!$M$6)^(-B119),EXP(LN(INDEX(Dic2023!$N$6:$N$205,C119))+(LN(INDEX(Dic2023!$N$6:$N$205,MIN(C119+1,200)))-LN(INDEX(Dic2023!$N$6:$N$205,C119)))*(A119-6*C119)/6))</f>
        <v>0.629682010494463</v>
      </c>
      <c r="K119" s="12" t="n">
        <f aca="false">J119^(-1/B119)-1</f>
        <v>0.0494488044047425</v>
      </c>
      <c r="L119" s="12" t="n">
        <f aca="false">(1+K119)^(1/12)-1</f>
        <v>0.00403018930446808</v>
      </c>
    </row>
    <row r="120" customFormat="false" ht="15" hidden="false" customHeight="false" outlineLevel="0" collapsed="false">
      <c r="A120" s="4" t="n">
        <v>116</v>
      </c>
      <c r="B120" s="14" t="n">
        <f aca="false">A120/12</f>
        <v>9.66666666666667</v>
      </c>
      <c r="C120" s="15" t="n">
        <f aca="false">INT(A120/6)</f>
        <v>19</v>
      </c>
      <c r="D120" s="16" t="n">
        <f aca="false">IF(C120=0,(1+Dic2023!$G$6)^(-B120),EXP(LN(INDEX(Dic2023!$H$6:$H$205,C120))+(LN(INDEX(Dic2023!$H$6:$H$205,MIN(C120+1,200)))-LN(INDEX(Dic2023!$H$6:$H$205,C120)))*(A120-6*C120)/6))</f>
        <v>0.626851108523223</v>
      </c>
      <c r="E120" s="12" t="n">
        <f aca="false">D120^(-1/B120)-1</f>
        <v>0.0495013300060994</v>
      </c>
      <c r="F120" s="12" t="n">
        <f aca="false">(1+E120)^(1/12)-1</f>
        <v>0.00403437690589459</v>
      </c>
      <c r="G120" s="16" t="n">
        <f aca="false">IF(C120=0,(1+Dic2023!$J$6)^(-B120),EXP(LN(INDEX(Dic2023!$K$6:$K$205,C120))+(LN(INDEX(Dic2023!$K$6:$K$205,MIN(C120+1,200)))-LN(INDEX(Dic2023!$K$6:$K$205,C120)))*(A120-6*C120)/6))</f>
        <v>0.626851108523223</v>
      </c>
      <c r="H120" s="12" t="n">
        <f aca="false">G120^(-1/B120)-1</f>
        <v>0.0495013300060994</v>
      </c>
      <c r="I120" s="12" t="n">
        <f aca="false">(1+H120)^(1/12)-1</f>
        <v>0.00403437690589459</v>
      </c>
      <c r="J120" s="16" t="n">
        <f aca="false">IF(C120=0,(1+Dic2023!$M$6)^(-B120),EXP(LN(INDEX(Dic2023!$N$6:$N$205,C120))+(LN(INDEX(Dic2023!$N$6:$N$205,MIN(C120+1,200)))-LN(INDEX(Dic2023!$N$6:$N$205,C120)))*(A120-6*C120)/6))</f>
        <v>0.626851108523223</v>
      </c>
      <c r="K120" s="12" t="n">
        <f aca="false">J120^(-1/B120)-1</f>
        <v>0.0495013300060994</v>
      </c>
      <c r="L120" s="12" t="n">
        <f aca="false">(1+K120)^(1/12)-1</f>
        <v>0.00403437690589459</v>
      </c>
    </row>
    <row r="121" customFormat="false" ht="15" hidden="false" customHeight="false" outlineLevel="0" collapsed="false">
      <c r="A121" s="4" t="n">
        <v>117</v>
      </c>
      <c r="B121" s="14" t="n">
        <f aca="false">A121/12</f>
        <v>9.75</v>
      </c>
      <c r="C121" s="15" t="n">
        <f aca="false">INT(A121/6)</f>
        <v>19</v>
      </c>
      <c r="D121" s="16" t="n">
        <f aca="false">IF(C121=0,(1+Dic2023!$G$6)^(-B121),EXP(LN(INDEX(Dic2023!$H$6:$H$205,C121))+(LN(INDEX(Dic2023!$H$6:$H$205,MIN(C121+1,200)))-LN(INDEX(Dic2023!$H$6:$H$205,C121)))*(A121-6*C121)/6))</f>
        <v>0.624032933620307</v>
      </c>
      <c r="E121" s="12" t="n">
        <f aca="false">D121^(-1/B121)-1</f>
        <v>0.049552960295844</v>
      </c>
      <c r="F121" s="12" t="n">
        <f aca="false">(1+E121)^(1/12)-1</f>
        <v>0.00403849294141101</v>
      </c>
      <c r="G121" s="16" t="n">
        <f aca="false">IF(C121=0,(1+Dic2023!$J$6)^(-B121),EXP(LN(INDEX(Dic2023!$K$6:$K$205,C121))+(LN(INDEX(Dic2023!$K$6:$K$205,MIN(C121+1,200)))-LN(INDEX(Dic2023!$K$6:$K$205,C121)))*(A121-6*C121)/6))</f>
        <v>0.624032933620307</v>
      </c>
      <c r="H121" s="12" t="n">
        <f aca="false">G121^(-1/B121)-1</f>
        <v>0.049552960295844</v>
      </c>
      <c r="I121" s="12" t="n">
        <f aca="false">(1+H121)^(1/12)-1</f>
        <v>0.00403849294141101</v>
      </c>
      <c r="J121" s="16" t="n">
        <f aca="false">IF(C121=0,(1+Dic2023!$M$6)^(-B121),EXP(LN(INDEX(Dic2023!$N$6:$N$205,C121))+(LN(INDEX(Dic2023!$N$6:$N$205,MIN(C121+1,200)))-LN(INDEX(Dic2023!$N$6:$N$205,C121)))*(A121-6*C121)/6))</f>
        <v>0.624032933620307</v>
      </c>
      <c r="K121" s="12" t="n">
        <f aca="false">J121^(-1/B121)-1</f>
        <v>0.049552960295844</v>
      </c>
      <c r="L121" s="12" t="n">
        <f aca="false">(1+K121)^(1/12)-1</f>
        <v>0.00403849294141101</v>
      </c>
    </row>
    <row r="122" customFormat="false" ht="15" hidden="false" customHeight="false" outlineLevel="0" collapsed="false">
      <c r="A122" s="4" t="n">
        <v>118</v>
      </c>
      <c r="B122" s="14" t="n">
        <f aca="false">A122/12</f>
        <v>9.83333333333333</v>
      </c>
      <c r="C122" s="15" t="n">
        <f aca="false">INT(A122/6)</f>
        <v>19</v>
      </c>
      <c r="D122" s="16" t="n">
        <f aca="false">IF(C122=0,(1+Dic2023!$G$6)^(-B122),EXP(LN(INDEX(Dic2023!$H$6:$H$205,C122))+(LN(INDEX(Dic2023!$H$6:$H$205,MIN(C122+1,200)))-LN(INDEX(Dic2023!$H$6:$H$205,C122)))*(A122-6*C122)/6))</f>
        <v>0.621227428567817</v>
      </c>
      <c r="E122" s="12" t="n">
        <f aca="false">D122^(-1/B122)-1</f>
        <v>0.0496037179716766</v>
      </c>
      <c r="F122" s="12" t="n">
        <f aca="false">(1+E122)^(1/12)-1</f>
        <v>0.00404253923006093</v>
      </c>
      <c r="G122" s="16" t="n">
        <f aca="false">IF(C122=0,(1+Dic2023!$J$6)^(-B122),EXP(LN(INDEX(Dic2023!$K$6:$K$205,C122))+(LN(INDEX(Dic2023!$K$6:$K$205,MIN(C122+1,200)))-LN(INDEX(Dic2023!$K$6:$K$205,C122)))*(A122-6*C122)/6))</f>
        <v>0.621227428567817</v>
      </c>
      <c r="H122" s="12" t="n">
        <f aca="false">G122^(-1/B122)-1</f>
        <v>0.0496037179716766</v>
      </c>
      <c r="I122" s="12" t="n">
        <f aca="false">(1+H122)^(1/12)-1</f>
        <v>0.00404253923006093</v>
      </c>
      <c r="J122" s="16" t="n">
        <f aca="false">IF(C122=0,(1+Dic2023!$M$6)^(-B122),EXP(LN(INDEX(Dic2023!$N$6:$N$205,C122))+(LN(INDEX(Dic2023!$N$6:$N$205,MIN(C122+1,200)))-LN(INDEX(Dic2023!$N$6:$N$205,C122)))*(A122-6*C122)/6))</f>
        <v>0.621227428567817</v>
      </c>
      <c r="K122" s="12" t="n">
        <f aca="false">J122^(-1/B122)-1</f>
        <v>0.0496037179716766</v>
      </c>
      <c r="L122" s="12" t="n">
        <f aca="false">(1+K122)^(1/12)-1</f>
        <v>0.00404253923006093</v>
      </c>
    </row>
    <row r="123" customFormat="false" ht="15" hidden="false" customHeight="false" outlineLevel="0" collapsed="false">
      <c r="A123" s="4" t="n">
        <v>119</v>
      </c>
      <c r="B123" s="14" t="n">
        <f aca="false">A123/12</f>
        <v>9.91666666666667</v>
      </c>
      <c r="C123" s="15" t="n">
        <f aca="false">INT(A123/6)</f>
        <v>19</v>
      </c>
      <c r="D123" s="16" t="n">
        <f aca="false">IF(C123=0,(1+Dic2023!$G$6)^(-B123),EXP(LN(INDEX(Dic2023!$H$6:$H$205,C123))+(LN(INDEX(Dic2023!$H$6:$H$205,MIN(C123+1,200)))-LN(INDEX(Dic2023!$H$6:$H$205,C123)))*(A123-6*C123)/6))</f>
        <v>0.618434536405088</v>
      </c>
      <c r="E123" s="12" t="n">
        <f aca="false">D123^(-1/B123)-1</f>
        <v>0.0496536249704938</v>
      </c>
      <c r="F123" s="12" t="n">
        <f aca="false">(1+E123)^(1/12)-1</f>
        <v>0.00404651752975704</v>
      </c>
      <c r="G123" s="16" t="n">
        <f aca="false">IF(C123=0,(1+Dic2023!$J$6)^(-B123),EXP(LN(INDEX(Dic2023!$K$6:$K$205,C123))+(LN(INDEX(Dic2023!$K$6:$K$205,MIN(C123+1,200)))-LN(INDEX(Dic2023!$K$6:$K$205,C123)))*(A123-6*C123)/6))</f>
        <v>0.618434536405088</v>
      </c>
      <c r="H123" s="12" t="n">
        <f aca="false">G123^(-1/B123)-1</f>
        <v>0.0496536249704938</v>
      </c>
      <c r="I123" s="12" t="n">
        <f aca="false">(1+H123)^(1/12)-1</f>
        <v>0.00404651752975704</v>
      </c>
      <c r="J123" s="16" t="n">
        <f aca="false">IF(C123=0,(1+Dic2023!$M$6)^(-B123),EXP(LN(INDEX(Dic2023!$N$6:$N$205,C123))+(LN(INDEX(Dic2023!$N$6:$N$205,MIN(C123+1,200)))-LN(INDEX(Dic2023!$N$6:$N$205,C123)))*(A123-6*C123)/6))</f>
        <v>0.618434536405088</v>
      </c>
      <c r="K123" s="12" t="n">
        <f aca="false">J123^(-1/B123)-1</f>
        <v>0.0496536249704938</v>
      </c>
      <c r="L123" s="12" t="n">
        <f aca="false">(1+K123)^(1/12)-1</f>
        <v>0.00404651752975704</v>
      </c>
    </row>
    <row r="124" customFormat="false" ht="15" hidden="false" customHeight="false" outlineLevel="0" collapsed="false">
      <c r="A124" s="4" t="n">
        <v>120</v>
      </c>
      <c r="B124" s="14" t="n">
        <f aca="false">A124/12</f>
        <v>10</v>
      </c>
      <c r="C124" s="15" t="n">
        <f aca="false">INT(A124/6)</f>
        <v>20</v>
      </c>
      <c r="D124" s="16" t="n">
        <f aca="false">IF(C124=0,(1+Dic2023!$G$6)^(-B124),EXP(LN(INDEX(Dic2023!$H$6:$H$205,C124))+(LN(INDEX(Dic2023!$H$6:$H$205,MIN(C124+1,200)))-LN(INDEX(Dic2023!$H$6:$H$205,C124)))*(A124-6*C124)/6))</f>
        <v>0.61565420042754</v>
      </c>
      <c r="E124" s="12" t="n">
        <f aca="false">D124^(-1/B124)-1</f>
        <v>0.0497027025000001</v>
      </c>
      <c r="F124" s="12" t="n">
        <f aca="false">(1+E124)^(1/12)-1</f>
        <v>0.00405042953982981</v>
      </c>
      <c r="G124" s="16" t="n">
        <f aca="false">IF(C124=0,(1+Dic2023!$J$6)^(-B124),EXP(LN(INDEX(Dic2023!$K$6:$K$205,C124))+(LN(INDEX(Dic2023!$K$6:$K$205,MIN(C124+1,200)))-LN(INDEX(Dic2023!$K$6:$K$205,C124)))*(A124-6*C124)/6))</f>
        <v>0.61565420042754</v>
      </c>
      <c r="H124" s="12" t="n">
        <f aca="false">G124^(-1/B124)-1</f>
        <v>0.0497027025000001</v>
      </c>
      <c r="I124" s="12" t="n">
        <f aca="false">(1+H124)^(1/12)-1</f>
        <v>0.00405042953982981</v>
      </c>
      <c r="J124" s="16" t="n">
        <f aca="false">IF(C124=0,(1+Dic2023!$M$6)^(-B124),EXP(LN(INDEX(Dic2023!$N$6:$N$205,C124))+(LN(INDEX(Dic2023!$N$6:$N$205,MIN(C124+1,200)))-LN(INDEX(Dic2023!$N$6:$N$205,C124)))*(A124-6*C124)/6))</f>
        <v>0.61565420042754</v>
      </c>
      <c r="K124" s="12" t="n">
        <f aca="false">J124^(-1/B124)-1</f>
        <v>0.0497027025000001</v>
      </c>
      <c r="L124" s="12" t="n">
        <f aca="false">(1+K124)^(1/12)-1</f>
        <v>0.00405042953982981</v>
      </c>
    </row>
    <row r="125" customFormat="false" ht="15" hidden="false" customHeight="false" outlineLevel="0" collapsed="false">
      <c r="A125" s="4" t="n">
        <v>121</v>
      </c>
      <c r="B125" s="14" t="n">
        <f aca="false">A125/12</f>
        <v>10.0833333333333</v>
      </c>
      <c r="C125" s="15" t="n">
        <f aca="false">INT(A125/6)</f>
        <v>20</v>
      </c>
      <c r="D125" s="16" t="n">
        <f aca="false">IF(C125=0,(1+Dic2023!$G$6)^(-B125),EXP(LN(INDEX(Dic2023!$H$6:$H$205,C125))+(LN(INDEX(Dic2023!$H$6:$H$205,MIN(C125+1,200)))-LN(INDEX(Dic2023!$H$6:$H$205,C125)))*(A125-6*C125)/6))</f>
        <v>0.612751845495947</v>
      </c>
      <c r="E125" s="12" t="n">
        <f aca="false">D125^(-1/B125)-1</f>
        <v>0.0497738237531342</v>
      </c>
      <c r="F125" s="12" t="n">
        <f aca="false">(1+E125)^(1/12)-1</f>
        <v>0.0040560983756468</v>
      </c>
      <c r="G125" s="16" t="n">
        <f aca="false">IF(C125=0,(1+Dic2023!$J$6)^(-B125),EXP(LN(INDEX(Dic2023!$K$6:$K$205,C125))+(LN(INDEX(Dic2023!$K$6:$K$205,MIN(C125+1,200)))-LN(INDEX(Dic2023!$K$6:$K$205,C125)))*(A125-6*C125)/6))</f>
        <v>0.612751845495947</v>
      </c>
      <c r="H125" s="12" t="n">
        <f aca="false">G125^(-1/B125)-1</f>
        <v>0.0497738237531342</v>
      </c>
      <c r="I125" s="12" t="n">
        <f aca="false">(1+H125)^(1/12)-1</f>
        <v>0.0040560983756468</v>
      </c>
      <c r="J125" s="16" t="n">
        <f aca="false">IF(C125=0,(1+Dic2023!$M$6)^(-B125),EXP(LN(INDEX(Dic2023!$N$6:$N$205,C125))+(LN(INDEX(Dic2023!$N$6:$N$205,MIN(C125+1,200)))-LN(INDEX(Dic2023!$N$6:$N$205,C125)))*(A125-6*C125)/6))</f>
        <v>0.612751845495947</v>
      </c>
      <c r="K125" s="12" t="n">
        <f aca="false">J125^(-1/B125)-1</f>
        <v>0.0497738237531342</v>
      </c>
      <c r="L125" s="12" t="n">
        <f aca="false">(1+K125)^(1/12)-1</f>
        <v>0.0040560983756468</v>
      </c>
    </row>
    <row r="126" customFormat="false" ht="15" hidden="false" customHeight="false" outlineLevel="0" collapsed="false">
      <c r="A126" s="4" t="n">
        <v>122</v>
      </c>
      <c r="B126" s="14" t="n">
        <f aca="false">A126/12</f>
        <v>10.1666666666667</v>
      </c>
      <c r="C126" s="15" t="n">
        <f aca="false">INT(A126/6)</f>
        <v>20</v>
      </c>
      <c r="D126" s="16" t="n">
        <f aca="false">IF(C126=0,(1+Dic2023!$G$6)^(-B126),EXP(LN(INDEX(Dic2023!$H$6:$H$205,C126))+(LN(INDEX(Dic2023!$H$6:$H$205,MIN(C126+1,200)))-LN(INDEX(Dic2023!$H$6:$H$205,C126)))*(A126-6*C126)/6))</f>
        <v>0.609863173024642</v>
      </c>
      <c r="E126" s="12" t="n">
        <f aca="false">D126^(-1/B126)-1</f>
        <v>0.049843783784967</v>
      </c>
      <c r="F126" s="12" t="n">
        <f aca="false">(1+E126)^(1/12)-1</f>
        <v>0.00406167431095228</v>
      </c>
      <c r="G126" s="16" t="n">
        <f aca="false">IF(C126=0,(1+Dic2023!$J$6)^(-B126),EXP(LN(INDEX(Dic2023!$K$6:$K$205,C126))+(LN(INDEX(Dic2023!$K$6:$K$205,MIN(C126+1,200)))-LN(INDEX(Dic2023!$K$6:$K$205,C126)))*(A126-6*C126)/6))</f>
        <v>0.609863173024642</v>
      </c>
      <c r="H126" s="12" t="n">
        <f aca="false">G126^(-1/B126)-1</f>
        <v>0.049843783784967</v>
      </c>
      <c r="I126" s="12" t="n">
        <f aca="false">(1+H126)^(1/12)-1</f>
        <v>0.00406167431095228</v>
      </c>
      <c r="J126" s="16" t="n">
        <f aca="false">IF(C126=0,(1+Dic2023!$M$6)^(-B126),EXP(LN(INDEX(Dic2023!$N$6:$N$205,C126))+(LN(INDEX(Dic2023!$N$6:$N$205,MIN(C126+1,200)))-LN(INDEX(Dic2023!$N$6:$N$205,C126)))*(A126-6*C126)/6))</f>
        <v>0.609863173024642</v>
      </c>
      <c r="K126" s="12" t="n">
        <f aca="false">J126^(-1/B126)-1</f>
        <v>0.049843783784967</v>
      </c>
      <c r="L126" s="12" t="n">
        <f aca="false">(1+K126)^(1/12)-1</f>
        <v>0.00406167431095228</v>
      </c>
    </row>
    <row r="127" customFormat="false" ht="15" hidden="false" customHeight="false" outlineLevel="0" collapsed="false">
      <c r="A127" s="4" t="n">
        <v>123</v>
      </c>
      <c r="B127" s="14" t="n">
        <f aca="false">A127/12</f>
        <v>10.25</v>
      </c>
      <c r="C127" s="15" t="n">
        <f aca="false">INT(A127/6)</f>
        <v>20</v>
      </c>
      <c r="D127" s="16" t="n">
        <f aca="false">IF(C127=0,(1+Dic2023!$G$6)^(-B127),EXP(LN(INDEX(Dic2023!$H$6:$H$205,C127))+(LN(INDEX(Dic2023!$H$6:$H$205,MIN(C127+1,200)))-LN(INDEX(Dic2023!$H$6:$H$205,C127)))*(A127-6*C127)/6))</f>
        <v>0.606988118510929</v>
      </c>
      <c r="E127" s="12" t="n">
        <f aca="false">D127^(-1/B127)-1</f>
        <v>0.0499126108045489</v>
      </c>
      <c r="F127" s="12" t="n">
        <f aca="false">(1+E127)^(1/12)-1</f>
        <v>0.00406715961085746</v>
      </c>
      <c r="G127" s="16" t="n">
        <f aca="false">IF(C127=0,(1+Dic2023!$J$6)^(-B127),EXP(LN(INDEX(Dic2023!$K$6:$K$205,C127))+(LN(INDEX(Dic2023!$K$6:$K$205,MIN(C127+1,200)))-LN(INDEX(Dic2023!$K$6:$K$205,C127)))*(A127-6*C127)/6))</f>
        <v>0.606988118510929</v>
      </c>
      <c r="H127" s="12" t="n">
        <f aca="false">G127^(-1/B127)-1</f>
        <v>0.0499126108045489</v>
      </c>
      <c r="I127" s="12" t="n">
        <f aca="false">(1+H127)^(1/12)-1</f>
        <v>0.00406715961085746</v>
      </c>
      <c r="J127" s="16" t="n">
        <f aca="false">IF(C127=0,(1+Dic2023!$M$6)^(-B127),EXP(LN(INDEX(Dic2023!$N$6:$N$205,C127))+(LN(INDEX(Dic2023!$N$6:$N$205,MIN(C127+1,200)))-LN(INDEX(Dic2023!$N$6:$N$205,C127)))*(A127-6*C127)/6))</f>
        <v>0.606988118510929</v>
      </c>
      <c r="K127" s="12" t="n">
        <f aca="false">J127^(-1/B127)-1</f>
        <v>0.0499126108045489</v>
      </c>
      <c r="L127" s="12" t="n">
        <f aca="false">(1+K127)^(1/12)-1</f>
        <v>0.00406715961085746</v>
      </c>
    </row>
    <row r="128" customFormat="false" ht="15" hidden="false" customHeight="false" outlineLevel="0" collapsed="false">
      <c r="A128" s="4" t="n">
        <v>124</v>
      </c>
      <c r="B128" s="14" t="n">
        <f aca="false">A128/12</f>
        <v>10.3333333333333</v>
      </c>
      <c r="C128" s="15" t="n">
        <f aca="false">INT(A128/6)</f>
        <v>20</v>
      </c>
      <c r="D128" s="16" t="n">
        <f aca="false">IF(C128=0,(1+Dic2023!$G$6)^(-B128),EXP(LN(INDEX(Dic2023!$H$6:$H$205,C128))+(LN(INDEX(Dic2023!$H$6:$H$205,MIN(C128+1,200)))-LN(INDEX(Dic2023!$H$6:$H$205,C128)))*(A128-6*C128)/6))</f>
        <v>0.604126617756195</v>
      </c>
      <c r="E128" s="12" t="n">
        <f aca="false">D128^(-1/B128)-1</f>
        <v>0.0499803321145809</v>
      </c>
      <c r="F128" s="12" t="n">
        <f aca="false">(1+E128)^(1/12)-1</f>
        <v>0.0040725564674291</v>
      </c>
      <c r="G128" s="16" t="n">
        <f aca="false">IF(C128=0,(1+Dic2023!$J$6)^(-B128),EXP(LN(INDEX(Dic2023!$K$6:$K$205,C128))+(LN(INDEX(Dic2023!$K$6:$K$205,MIN(C128+1,200)))-LN(INDEX(Dic2023!$K$6:$K$205,C128)))*(A128-6*C128)/6))</f>
        <v>0.604126617756195</v>
      </c>
      <c r="H128" s="12" t="n">
        <f aca="false">G128^(-1/B128)-1</f>
        <v>0.0499803321145809</v>
      </c>
      <c r="I128" s="12" t="n">
        <f aca="false">(1+H128)^(1/12)-1</f>
        <v>0.0040725564674291</v>
      </c>
      <c r="J128" s="16" t="n">
        <f aca="false">IF(C128=0,(1+Dic2023!$M$6)^(-B128),EXP(LN(INDEX(Dic2023!$N$6:$N$205,C128))+(LN(INDEX(Dic2023!$N$6:$N$205,MIN(C128+1,200)))-LN(INDEX(Dic2023!$N$6:$N$205,C128)))*(A128-6*C128)/6))</f>
        <v>0.604126617756195</v>
      </c>
      <c r="K128" s="12" t="n">
        <f aca="false">J128^(-1/B128)-1</f>
        <v>0.0499803321145809</v>
      </c>
      <c r="L128" s="12" t="n">
        <f aca="false">(1+K128)^(1/12)-1</f>
        <v>0.0040725564674291</v>
      </c>
    </row>
    <row r="129" customFormat="false" ht="15" hidden="false" customHeight="false" outlineLevel="0" collapsed="false">
      <c r="A129" s="4" t="n">
        <v>125</v>
      </c>
      <c r="B129" s="14" t="n">
        <f aca="false">A129/12</f>
        <v>10.4166666666667</v>
      </c>
      <c r="C129" s="15" t="n">
        <f aca="false">INT(A129/6)</f>
        <v>20</v>
      </c>
      <c r="D129" s="16" t="n">
        <f aca="false">IF(C129=0,(1+Dic2023!$G$6)^(-B129),EXP(LN(INDEX(Dic2023!$H$6:$H$205,C129))+(LN(INDEX(Dic2023!$H$6:$H$205,MIN(C129+1,200)))-LN(INDEX(Dic2023!$H$6:$H$205,C129)))*(A129-6*C129)/6))</f>
        <v>0.601278606864474</v>
      </c>
      <c r="E129" s="12" t="n">
        <f aca="false">D129^(-1/B129)-1</f>
        <v>0.0500469741475245</v>
      </c>
      <c r="F129" s="12" t="n">
        <f aca="false">(1+E129)^(1/12)-1</f>
        <v>0.00407786700261137</v>
      </c>
      <c r="G129" s="16" t="n">
        <f aca="false">IF(C129=0,(1+Dic2023!$J$6)^(-B129),EXP(LN(INDEX(Dic2023!$K$6:$K$205,C129))+(LN(INDEX(Dic2023!$K$6:$K$205,MIN(C129+1,200)))-LN(INDEX(Dic2023!$K$6:$K$205,C129)))*(A129-6*C129)/6))</f>
        <v>0.601278606864474</v>
      </c>
      <c r="H129" s="12" t="n">
        <f aca="false">G129^(-1/B129)-1</f>
        <v>0.0500469741475245</v>
      </c>
      <c r="I129" s="12" t="n">
        <f aca="false">(1+H129)^(1/12)-1</f>
        <v>0.00407786700261137</v>
      </c>
      <c r="J129" s="16" t="n">
        <f aca="false">IF(C129=0,(1+Dic2023!$M$6)^(-B129),EXP(LN(INDEX(Dic2023!$N$6:$N$205,C129))+(LN(INDEX(Dic2023!$N$6:$N$205,MIN(C129+1,200)))-LN(INDEX(Dic2023!$N$6:$N$205,C129)))*(A129-6*C129)/6))</f>
        <v>0.601278606864474</v>
      </c>
      <c r="K129" s="12" t="n">
        <f aca="false">J129^(-1/B129)-1</f>
        <v>0.0500469741475245</v>
      </c>
      <c r="L129" s="12" t="n">
        <f aca="false">(1+K129)^(1/12)-1</f>
        <v>0.00407786700261137</v>
      </c>
    </row>
    <row r="130" customFormat="false" ht="15" hidden="false" customHeight="false" outlineLevel="0" collapsed="false">
      <c r="A130" s="4" t="n">
        <v>126</v>
      </c>
      <c r="B130" s="14" t="n">
        <f aca="false">A130/12</f>
        <v>10.5</v>
      </c>
      <c r="C130" s="15" t="n">
        <f aca="false">INT(A130/6)</f>
        <v>21</v>
      </c>
      <c r="D130" s="16" t="n">
        <f aca="false">IF(C130=0,(1+Dic2023!$G$6)^(-B130),EXP(LN(INDEX(Dic2023!$H$6:$H$205,C130))+(LN(INDEX(Dic2023!$H$6:$H$205,MIN(C130+1,200)))-LN(INDEX(Dic2023!$H$6:$H$205,C130)))*(A130-6*C130)/6))</f>
        <v>0.598444022241023</v>
      </c>
      <c r="E130" s="12" t="n">
        <f aca="false">D130^(-1/B130)-1</f>
        <v>0.0501125625000001</v>
      </c>
      <c r="F130" s="12" t="n">
        <f aca="false">(1+E130)^(1/12)-1</f>
        <v>0.00408309327100653</v>
      </c>
      <c r="G130" s="16" t="n">
        <f aca="false">IF(C130=0,(1+Dic2023!$J$6)^(-B130),EXP(LN(INDEX(Dic2023!$K$6:$K$205,C130))+(LN(INDEX(Dic2023!$K$6:$K$205,MIN(C130+1,200)))-LN(INDEX(Dic2023!$K$6:$K$205,C130)))*(A130-6*C130)/6))</f>
        <v>0.598444022241023</v>
      </c>
      <c r="H130" s="12" t="n">
        <f aca="false">G130^(-1/B130)-1</f>
        <v>0.0501125625000001</v>
      </c>
      <c r="I130" s="12" t="n">
        <f aca="false">(1+H130)^(1/12)-1</f>
        <v>0.00408309327100653</v>
      </c>
      <c r="J130" s="16" t="n">
        <f aca="false">IF(C130=0,(1+Dic2023!$M$6)^(-B130),EXP(LN(INDEX(Dic2023!$N$6:$N$205,C130))+(LN(INDEX(Dic2023!$N$6:$N$205,MIN(C130+1,200)))-LN(INDEX(Dic2023!$N$6:$N$205,C130)))*(A130-6*C130)/6))</f>
        <v>0.598444022241023</v>
      </c>
      <c r="K130" s="12" t="n">
        <f aca="false">J130^(-1/B130)-1</f>
        <v>0.0501125625000001</v>
      </c>
      <c r="L130" s="12" t="n">
        <f aca="false">(1+K130)^(1/12)-1</f>
        <v>0.00408309327100653</v>
      </c>
    </row>
    <row r="131" customFormat="false" ht="15" hidden="false" customHeight="false" outlineLevel="0" collapsed="false">
      <c r="A131" s="4" t="n">
        <v>127</v>
      </c>
      <c r="B131" s="14" t="n">
        <f aca="false">A131/12</f>
        <v>10.5833333333333</v>
      </c>
      <c r="C131" s="15" t="n">
        <f aca="false">INT(A131/6)</f>
        <v>21</v>
      </c>
      <c r="D131" s="16" t="n">
        <f aca="false">IF(C131=0,(1+Dic2023!$G$6)^(-B131),EXP(LN(INDEX(Dic2023!$H$6:$H$205,C131))+(LN(INDEX(Dic2023!$H$6:$H$205,MIN(C131+1,200)))-LN(INDEX(Dic2023!$H$6:$H$205,C131)))*(A131-6*C131)/6))</f>
        <v>0.59579724550174</v>
      </c>
      <c r="E131" s="12" t="n">
        <f aca="false">D131^(-1/B131)-1</f>
        <v>0.0501480645175449</v>
      </c>
      <c r="F131" s="12" t="n">
        <f aca="false">(1+E131)^(1/12)-1</f>
        <v>0.00408592204896485</v>
      </c>
      <c r="G131" s="16" t="n">
        <f aca="false">IF(C131=0,(1+Dic2023!$J$6)^(-B131),EXP(LN(INDEX(Dic2023!$K$6:$K$205,C131))+(LN(INDEX(Dic2023!$K$6:$K$205,MIN(C131+1,200)))-LN(INDEX(Dic2023!$K$6:$K$205,C131)))*(A131-6*C131)/6))</f>
        <v>0.59579724550174</v>
      </c>
      <c r="H131" s="12" t="n">
        <f aca="false">G131^(-1/B131)-1</f>
        <v>0.0501480645175449</v>
      </c>
      <c r="I131" s="12" t="n">
        <f aca="false">(1+H131)^(1/12)-1</f>
        <v>0.00408592204896485</v>
      </c>
      <c r="J131" s="16" t="n">
        <f aca="false">IF(C131=0,(1+Dic2023!$M$6)^(-B131),EXP(LN(INDEX(Dic2023!$N$6:$N$205,C131))+(LN(INDEX(Dic2023!$N$6:$N$205,MIN(C131+1,200)))-LN(INDEX(Dic2023!$N$6:$N$205,C131)))*(A131-6*C131)/6))</f>
        <v>0.59579724550174</v>
      </c>
      <c r="K131" s="12" t="n">
        <f aca="false">J131^(-1/B131)-1</f>
        <v>0.0501480645175449</v>
      </c>
      <c r="L131" s="12" t="n">
        <f aca="false">(1+K131)^(1/12)-1</f>
        <v>0.00408592204896485</v>
      </c>
    </row>
    <row r="132" customFormat="false" ht="15" hidden="false" customHeight="false" outlineLevel="0" collapsed="false">
      <c r="A132" s="4" t="n">
        <v>128</v>
      </c>
      <c r="B132" s="14" t="n">
        <f aca="false">A132/12</f>
        <v>10.6666666666667</v>
      </c>
      <c r="C132" s="15" t="n">
        <f aca="false">INT(A132/6)</f>
        <v>21</v>
      </c>
      <c r="D132" s="16" t="n">
        <f aca="false">IF(C132=0,(1+Dic2023!$G$6)^(-B132),EXP(LN(INDEX(Dic2023!$H$6:$H$205,C132))+(LN(INDEX(Dic2023!$H$6:$H$205,MIN(C132+1,200)))-LN(INDEX(Dic2023!$H$6:$H$205,C132)))*(A132-6*C132)/6))</f>
        <v>0.59316217483161</v>
      </c>
      <c r="E132" s="12" t="n">
        <f aca="false">D132^(-1/B132)-1</f>
        <v>0.0501830129883272</v>
      </c>
      <c r="F132" s="12" t="n">
        <f aca="false">(1+E132)^(1/12)-1</f>
        <v>0.00408870663505123</v>
      </c>
      <c r="G132" s="16" t="n">
        <f aca="false">IF(C132=0,(1+Dic2023!$J$6)^(-B132),EXP(LN(INDEX(Dic2023!$K$6:$K$205,C132))+(LN(INDEX(Dic2023!$K$6:$K$205,MIN(C132+1,200)))-LN(INDEX(Dic2023!$K$6:$K$205,C132)))*(A132-6*C132)/6))</f>
        <v>0.59316217483161</v>
      </c>
      <c r="H132" s="12" t="n">
        <f aca="false">G132^(-1/B132)-1</f>
        <v>0.0501830129883272</v>
      </c>
      <c r="I132" s="12" t="n">
        <f aca="false">(1+H132)^(1/12)-1</f>
        <v>0.00408870663505123</v>
      </c>
      <c r="J132" s="16" t="n">
        <f aca="false">IF(C132=0,(1+Dic2023!$M$6)^(-B132),EXP(LN(INDEX(Dic2023!$N$6:$N$205,C132))+(LN(INDEX(Dic2023!$N$6:$N$205,MIN(C132+1,200)))-LN(INDEX(Dic2023!$N$6:$N$205,C132)))*(A132-6*C132)/6))</f>
        <v>0.59316217483161</v>
      </c>
      <c r="K132" s="12" t="n">
        <f aca="false">J132^(-1/B132)-1</f>
        <v>0.0501830129883272</v>
      </c>
      <c r="L132" s="12" t="n">
        <f aca="false">(1+K132)^(1/12)-1</f>
        <v>0.00408870663505123</v>
      </c>
    </row>
    <row r="133" customFormat="false" ht="15" hidden="false" customHeight="false" outlineLevel="0" collapsed="false">
      <c r="A133" s="4" t="n">
        <v>129</v>
      </c>
      <c r="B133" s="14" t="n">
        <f aca="false">A133/12</f>
        <v>10.75</v>
      </c>
      <c r="C133" s="15" t="n">
        <f aca="false">INT(A133/6)</f>
        <v>21</v>
      </c>
      <c r="D133" s="16" t="n">
        <f aca="false">IF(C133=0,(1+Dic2023!$G$6)^(-B133),EXP(LN(INDEX(Dic2023!$H$6:$H$205,C133))+(LN(INDEX(Dic2023!$H$6:$H$205,MIN(C133+1,200)))-LN(INDEX(Dic2023!$H$6:$H$205,C133)))*(A133-6*C133)/6))</f>
        <v>0.590538758457448</v>
      </c>
      <c r="E133" s="12" t="n">
        <f aca="false">D133^(-1/B133)-1</f>
        <v>0.0502174207585144</v>
      </c>
      <c r="F133" s="12" t="n">
        <f aca="false">(1+E133)^(1/12)-1</f>
        <v>0.00409144805680395</v>
      </c>
      <c r="G133" s="16" t="n">
        <f aca="false">IF(C133=0,(1+Dic2023!$J$6)^(-B133),EXP(LN(INDEX(Dic2023!$K$6:$K$205,C133))+(LN(INDEX(Dic2023!$K$6:$K$205,MIN(C133+1,200)))-LN(INDEX(Dic2023!$K$6:$K$205,C133)))*(A133-6*C133)/6))</f>
        <v>0.590538758457448</v>
      </c>
      <c r="H133" s="12" t="n">
        <f aca="false">G133^(-1/B133)-1</f>
        <v>0.0502174207585144</v>
      </c>
      <c r="I133" s="12" t="n">
        <f aca="false">(1+H133)^(1/12)-1</f>
        <v>0.00409144805680395</v>
      </c>
      <c r="J133" s="16" t="n">
        <f aca="false">IF(C133=0,(1+Dic2023!$M$6)^(-B133),EXP(LN(INDEX(Dic2023!$N$6:$N$205,C133))+(LN(INDEX(Dic2023!$N$6:$N$205,MIN(C133+1,200)))-LN(INDEX(Dic2023!$N$6:$N$205,C133)))*(A133-6*C133)/6))</f>
        <v>0.590538758457448</v>
      </c>
      <c r="K133" s="12" t="n">
        <f aca="false">J133^(-1/B133)-1</f>
        <v>0.0502174207585144</v>
      </c>
      <c r="L133" s="12" t="n">
        <f aca="false">(1+K133)^(1/12)-1</f>
        <v>0.00409144805680395</v>
      </c>
    </row>
    <row r="134" customFormat="false" ht="15" hidden="false" customHeight="false" outlineLevel="0" collapsed="false">
      <c r="A134" s="4" t="n">
        <v>130</v>
      </c>
      <c r="B134" s="14" t="n">
        <f aca="false">A134/12</f>
        <v>10.8333333333333</v>
      </c>
      <c r="C134" s="15" t="n">
        <f aca="false">INT(A134/6)</f>
        <v>21</v>
      </c>
      <c r="D134" s="16" t="n">
        <f aca="false">IF(C134=0,(1+Dic2023!$G$6)^(-B134),EXP(LN(INDEX(Dic2023!$H$6:$H$205,C134))+(LN(INDEX(Dic2023!$H$6:$H$205,MIN(C134+1,200)))-LN(INDEX(Dic2023!$H$6:$H$205,C134)))*(A134-6*C134)/6))</f>
        <v>0.587926944835053</v>
      </c>
      <c r="E134" s="12" t="n">
        <f aca="false">D134^(-1/B134)-1</f>
        <v>0.0502513002798315</v>
      </c>
      <c r="F134" s="12" t="n">
        <f aca="false">(1+E134)^(1/12)-1</f>
        <v>0.00409414731015034</v>
      </c>
      <c r="G134" s="16" t="n">
        <f aca="false">IF(C134=0,(1+Dic2023!$J$6)^(-B134),EXP(LN(INDEX(Dic2023!$K$6:$K$205,C134))+(LN(INDEX(Dic2023!$K$6:$K$205,MIN(C134+1,200)))-LN(INDEX(Dic2023!$K$6:$K$205,C134)))*(A134-6*C134)/6))</f>
        <v>0.587926944835053</v>
      </c>
      <c r="H134" s="12" t="n">
        <f aca="false">G134^(-1/B134)-1</f>
        <v>0.0502513002798315</v>
      </c>
      <c r="I134" s="12" t="n">
        <f aca="false">(1+H134)^(1/12)-1</f>
        <v>0.00409414731015034</v>
      </c>
      <c r="J134" s="16" t="n">
        <f aca="false">IF(C134=0,(1+Dic2023!$M$6)^(-B134),EXP(LN(INDEX(Dic2023!$N$6:$N$205,C134))+(LN(INDEX(Dic2023!$N$6:$N$205,MIN(C134+1,200)))-LN(INDEX(Dic2023!$N$6:$N$205,C134)))*(A134-6*C134)/6))</f>
        <v>0.587926944835053</v>
      </c>
      <c r="K134" s="12" t="n">
        <f aca="false">J134^(-1/B134)-1</f>
        <v>0.0502513002798315</v>
      </c>
      <c r="L134" s="12" t="n">
        <f aca="false">(1+K134)^(1/12)-1</f>
        <v>0.00409414731015034</v>
      </c>
    </row>
    <row r="135" customFormat="false" ht="15" hidden="false" customHeight="false" outlineLevel="0" collapsed="false">
      <c r="A135" s="4" t="n">
        <v>131</v>
      </c>
      <c r="B135" s="14" t="n">
        <f aca="false">A135/12</f>
        <v>10.9166666666667</v>
      </c>
      <c r="C135" s="15" t="n">
        <f aca="false">INT(A135/6)</f>
        <v>21</v>
      </c>
      <c r="D135" s="16" t="n">
        <f aca="false">IF(C135=0,(1+Dic2023!$G$6)^(-B135),EXP(LN(INDEX(Dic2023!$H$6:$H$205,C135))+(LN(INDEX(Dic2023!$H$6:$H$205,MIN(C135+1,200)))-LN(INDEX(Dic2023!$H$6:$H$205,C135)))*(A135-6*C135)/6))</f>
        <v>0.585326682648191</v>
      </c>
      <c r="E135" s="12" t="n">
        <f aca="false">D135^(-1/B135)-1</f>
        <v>0.0502846636245837</v>
      </c>
      <c r="F135" s="12" t="n">
        <f aca="false">(1+E135)^(1/12)-1</f>
        <v>0.00409680536061297</v>
      </c>
      <c r="G135" s="16" t="n">
        <f aca="false">IF(C135=0,(1+Dic2023!$J$6)^(-B135),EXP(LN(INDEX(Dic2023!$K$6:$K$205,C135))+(LN(INDEX(Dic2023!$K$6:$K$205,MIN(C135+1,200)))-LN(INDEX(Dic2023!$K$6:$K$205,C135)))*(A135-6*C135)/6))</f>
        <v>0.585326682648191</v>
      </c>
      <c r="H135" s="12" t="n">
        <f aca="false">G135^(-1/B135)-1</f>
        <v>0.0502846636245837</v>
      </c>
      <c r="I135" s="12" t="n">
        <f aca="false">(1+H135)^(1/12)-1</f>
        <v>0.00409680536061297</v>
      </c>
      <c r="J135" s="16" t="n">
        <f aca="false">IF(C135=0,(1+Dic2023!$M$6)^(-B135),EXP(LN(INDEX(Dic2023!$N$6:$N$205,C135))+(LN(INDEX(Dic2023!$N$6:$N$205,MIN(C135+1,200)))-LN(INDEX(Dic2023!$N$6:$N$205,C135)))*(A135-6*C135)/6))</f>
        <v>0.585326682648191</v>
      </c>
      <c r="K135" s="12" t="n">
        <f aca="false">J135^(-1/B135)-1</f>
        <v>0.0502846636245837</v>
      </c>
      <c r="L135" s="12" t="n">
        <f aca="false">(1+K135)^(1/12)-1</f>
        <v>0.00409680536061297</v>
      </c>
    </row>
    <row r="136" customFormat="false" ht="15" hidden="false" customHeight="false" outlineLevel="0" collapsed="false">
      <c r="A136" s="4" t="n">
        <v>132</v>
      </c>
      <c r="B136" s="14" t="n">
        <f aca="false">A136/12</f>
        <v>11</v>
      </c>
      <c r="C136" s="15" t="n">
        <f aca="false">INT(A136/6)</f>
        <v>22</v>
      </c>
      <c r="D136" s="16" t="n">
        <f aca="false">IF(C136=0,(1+Dic2023!$G$6)^(-B136),EXP(LN(INDEX(Dic2023!$H$6:$H$205,C136))+(LN(INDEX(Dic2023!$H$6:$H$205,MIN(C136+1,200)))-LN(INDEX(Dic2023!$H$6:$H$205,C136)))*(A136-6*C136)/6))</f>
        <v>0.582737920807588</v>
      </c>
      <c r="E136" s="12" t="n">
        <f aca="false">D136^(-1/B136)-1</f>
        <v>0.0503175225000001</v>
      </c>
      <c r="F136" s="12" t="n">
        <f aca="false">(1+E136)^(1/12)-1</f>
        <v>0.0040994231444611</v>
      </c>
      <c r="G136" s="16" t="n">
        <f aca="false">IF(C136=0,(1+Dic2023!$J$6)^(-B136),EXP(LN(INDEX(Dic2023!$K$6:$K$205,C136))+(LN(INDEX(Dic2023!$K$6:$K$205,MIN(C136+1,200)))-LN(INDEX(Dic2023!$K$6:$K$205,C136)))*(A136-6*C136)/6))</f>
        <v>0.582737920807588</v>
      </c>
      <c r="H136" s="12" t="n">
        <f aca="false">G136^(-1/B136)-1</f>
        <v>0.0503175225000001</v>
      </c>
      <c r="I136" s="12" t="n">
        <f aca="false">(1+H136)^(1/12)-1</f>
        <v>0.0040994231444611</v>
      </c>
      <c r="J136" s="16" t="n">
        <f aca="false">IF(C136=0,(1+Dic2023!$M$6)^(-B136),EXP(LN(INDEX(Dic2023!$N$6:$N$205,C136))+(LN(INDEX(Dic2023!$N$6:$N$205,MIN(C136+1,200)))-LN(INDEX(Dic2023!$N$6:$N$205,C136)))*(A136-6*C136)/6))</f>
        <v>0.582737920807588</v>
      </c>
      <c r="K136" s="12" t="n">
        <f aca="false">J136^(-1/B136)-1</f>
        <v>0.0503175225000001</v>
      </c>
      <c r="L136" s="12" t="n">
        <f aca="false">(1+K136)^(1/12)-1</f>
        <v>0.0040994231444611</v>
      </c>
    </row>
    <row r="137" customFormat="false" ht="15" hidden="false" customHeight="false" outlineLevel="0" collapsed="false">
      <c r="A137" s="4" t="n">
        <v>133</v>
      </c>
      <c r="B137" s="14" t="n">
        <f aca="false">A137/12</f>
        <v>11.0833333333333</v>
      </c>
      <c r="C137" s="15" t="n">
        <f aca="false">INT(A137/6)</f>
        <v>22</v>
      </c>
      <c r="D137" s="16" t="n">
        <f aca="false">IF(C137=0,(1+Dic2023!$G$6)^(-B137),EXP(LN(INDEX(Dic2023!$H$6:$H$205,C137))+(LN(INDEX(Dic2023!$H$6:$H$205,MIN(C137+1,200)))-LN(INDEX(Dic2023!$H$6:$H$205,C137)))*(A137-6*C137)/6))</f>
        <v>0.580033284940548</v>
      </c>
      <c r="E137" s="12" t="n">
        <f aca="false">D137^(-1/B137)-1</f>
        <v>0.0503706888647539</v>
      </c>
      <c r="F137" s="12" t="n">
        <f aca="false">(1+E137)^(1/12)-1</f>
        <v>0.00410365861584094</v>
      </c>
      <c r="G137" s="16" t="n">
        <f aca="false">IF(C137=0,(1+Dic2023!$J$6)^(-B137),EXP(LN(INDEX(Dic2023!$K$6:$K$205,C137))+(LN(INDEX(Dic2023!$K$6:$K$205,MIN(C137+1,200)))-LN(INDEX(Dic2023!$K$6:$K$205,C137)))*(A137-6*C137)/6))</f>
        <v>0.580033284940548</v>
      </c>
      <c r="H137" s="12" t="n">
        <f aca="false">G137^(-1/B137)-1</f>
        <v>0.0503706888647539</v>
      </c>
      <c r="I137" s="12" t="n">
        <f aca="false">(1+H137)^(1/12)-1</f>
        <v>0.00410365861584094</v>
      </c>
      <c r="J137" s="16" t="n">
        <f aca="false">IF(C137=0,(1+Dic2023!$M$6)^(-B137),EXP(LN(INDEX(Dic2023!$N$6:$N$205,C137))+(LN(INDEX(Dic2023!$N$6:$N$205,MIN(C137+1,200)))-LN(INDEX(Dic2023!$N$6:$N$205,C137)))*(A137-6*C137)/6))</f>
        <v>0.580033284940548</v>
      </c>
      <c r="K137" s="12" t="n">
        <f aca="false">J137^(-1/B137)-1</f>
        <v>0.0503706888647539</v>
      </c>
      <c r="L137" s="12" t="n">
        <f aca="false">(1+K137)^(1/12)-1</f>
        <v>0.00410365861584094</v>
      </c>
    </row>
    <row r="138" customFormat="false" ht="15" hidden="false" customHeight="false" outlineLevel="0" collapsed="false">
      <c r="A138" s="4" t="n">
        <v>134</v>
      </c>
      <c r="B138" s="14" t="n">
        <f aca="false">A138/12</f>
        <v>11.1666666666667</v>
      </c>
      <c r="C138" s="15" t="n">
        <f aca="false">INT(A138/6)</f>
        <v>22</v>
      </c>
      <c r="D138" s="16" t="n">
        <f aca="false">IF(C138=0,(1+Dic2023!$G$6)^(-B138),EXP(LN(INDEX(Dic2023!$H$6:$H$205,C138))+(LN(INDEX(Dic2023!$H$6:$H$205,MIN(C138+1,200)))-LN(INDEX(Dic2023!$H$6:$H$205,C138)))*(A138-6*C138)/6))</f>
        <v>0.577341201980933</v>
      </c>
      <c r="E138" s="12" t="n">
        <f aca="false">D138^(-1/B138)-1</f>
        <v>0.0504230643329686</v>
      </c>
      <c r="F138" s="12" t="n">
        <f aca="false">(1+E138)^(1/12)-1</f>
        <v>0.00410783088869815</v>
      </c>
      <c r="G138" s="16" t="n">
        <f aca="false">IF(C138=0,(1+Dic2023!$J$6)^(-B138),EXP(LN(INDEX(Dic2023!$K$6:$K$205,C138))+(LN(INDEX(Dic2023!$K$6:$K$205,MIN(C138+1,200)))-LN(INDEX(Dic2023!$K$6:$K$205,C138)))*(A138-6*C138)/6))</f>
        <v>0.577341201980933</v>
      </c>
      <c r="H138" s="12" t="n">
        <f aca="false">G138^(-1/B138)-1</f>
        <v>0.0504230643329686</v>
      </c>
      <c r="I138" s="12" t="n">
        <f aca="false">(1+H138)^(1/12)-1</f>
        <v>0.00410783088869815</v>
      </c>
      <c r="J138" s="16" t="n">
        <f aca="false">IF(C138=0,(1+Dic2023!$M$6)^(-B138),EXP(LN(INDEX(Dic2023!$N$6:$N$205,C138))+(LN(INDEX(Dic2023!$N$6:$N$205,MIN(C138+1,200)))-LN(INDEX(Dic2023!$N$6:$N$205,C138)))*(A138-6*C138)/6))</f>
        <v>0.577341201980933</v>
      </c>
      <c r="K138" s="12" t="n">
        <f aca="false">J138^(-1/B138)-1</f>
        <v>0.0504230643329686</v>
      </c>
      <c r="L138" s="12" t="n">
        <f aca="false">(1+K138)^(1/12)-1</f>
        <v>0.00410783088869815</v>
      </c>
    </row>
    <row r="139" customFormat="false" ht="15" hidden="false" customHeight="false" outlineLevel="0" collapsed="false">
      <c r="A139" s="4" t="n">
        <v>135</v>
      </c>
      <c r="B139" s="14" t="n">
        <f aca="false">A139/12</f>
        <v>11.25</v>
      </c>
      <c r="C139" s="15" t="n">
        <f aca="false">INT(A139/6)</f>
        <v>22</v>
      </c>
      <c r="D139" s="16" t="n">
        <f aca="false">IF(C139=0,(1+Dic2023!$G$6)^(-B139),EXP(LN(INDEX(Dic2023!$H$6:$H$205,C139))+(LN(INDEX(Dic2023!$H$6:$H$205,MIN(C139+1,200)))-LN(INDEX(Dic2023!$H$6:$H$205,C139)))*(A139-6*C139)/6))</f>
        <v>0.574661613667487</v>
      </c>
      <c r="E139" s="12" t="n">
        <f aca="false">D139^(-1/B139)-1</f>
        <v>0.05047466642221</v>
      </c>
      <c r="F139" s="12" t="n">
        <f aca="false">(1+E139)^(1/12)-1</f>
        <v>0.00411194136705895</v>
      </c>
      <c r="G139" s="16" t="n">
        <f aca="false">IF(C139=0,(1+Dic2023!$J$6)^(-B139),EXP(LN(INDEX(Dic2023!$K$6:$K$205,C139))+(LN(INDEX(Dic2023!$K$6:$K$205,MIN(C139+1,200)))-LN(INDEX(Dic2023!$K$6:$K$205,C139)))*(A139-6*C139)/6))</f>
        <v>0.574661613667487</v>
      </c>
      <c r="H139" s="12" t="n">
        <f aca="false">G139^(-1/B139)-1</f>
        <v>0.05047466642221</v>
      </c>
      <c r="I139" s="12" t="n">
        <f aca="false">(1+H139)^(1/12)-1</f>
        <v>0.00411194136705895</v>
      </c>
      <c r="J139" s="16" t="n">
        <f aca="false">IF(C139=0,(1+Dic2023!$M$6)^(-B139),EXP(LN(INDEX(Dic2023!$N$6:$N$205,C139))+(LN(INDEX(Dic2023!$N$6:$N$205,MIN(C139+1,200)))-LN(INDEX(Dic2023!$N$6:$N$205,C139)))*(A139-6*C139)/6))</f>
        <v>0.574661613667487</v>
      </c>
      <c r="K139" s="12" t="n">
        <f aca="false">J139^(-1/B139)-1</f>
        <v>0.05047466642221</v>
      </c>
      <c r="L139" s="12" t="n">
        <f aca="false">(1+K139)^(1/12)-1</f>
        <v>0.00411194136705895</v>
      </c>
    </row>
    <row r="140" customFormat="false" ht="15" hidden="false" customHeight="false" outlineLevel="0" collapsed="false">
      <c r="A140" s="4" t="n">
        <v>136</v>
      </c>
      <c r="B140" s="14" t="n">
        <f aca="false">A140/12</f>
        <v>11.3333333333333</v>
      </c>
      <c r="C140" s="15" t="n">
        <f aca="false">INT(A140/6)</f>
        <v>22</v>
      </c>
      <c r="D140" s="16" t="n">
        <f aca="false">IF(C140=0,(1+Dic2023!$G$6)^(-B140),EXP(LN(INDEX(Dic2023!$H$6:$H$205,C140))+(LN(INDEX(Dic2023!$H$6:$H$205,MIN(C140+1,200)))-LN(INDEX(Dic2023!$H$6:$H$205,C140)))*(A140-6*C140)/6))</f>
        <v>0.571994462009358</v>
      </c>
      <c r="E140" s="12" t="n">
        <f aca="false">D140^(-1/B140)-1</f>
        <v>0.0505255121365087</v>
      </c>
      <c r="F140" s="12" t="n">
        <f aca="false">(1+E140)^(1/12)-1</f>
        <v>0.00411599141366592</v>
      </c>
      <c r="G140" s="16" t="n">
        <f aca="false">IF(C140=0,(1+Dic2023!$J$6)^(-B140),EXP(LN(INDEX(Dic2023!$K$6:$K$205,C140))+(LN(INDEX(Dic2023!$K$6:$K$205,MIN(C140+1,200)))-LN(INDEX(Dic2023!$K$6:$K$205,C140)))*(A140-6*C140)/6))</f>
        <v>0.571994462009358</v>
      </c>
      <c r="H140" s="12" t="n">
        <f aca="false">G140^(-1/B140)-1</f>
        <v>0.0505255121365087</v>
      </c>
      <c r="I140" s="12" t="n">
        <f aca="false">(1+H140)^(1/12)-1</f>
        <v>0.00411599141366592</v>
      </c>
      <c r="J140" s="16" t="n">
        <f aca="false">IF(C140=0,(1+Dic2023!$M$6)^(-B140),EXP(LN(INDEX(Dic2023!$N$6:$N$205,C140))+(LN(INDEX(Dic2023!$N$6:$N$205,MIN(C140+1,200)))-LN(INDEX(Dic2023!$N$6:$N$205,C140)))*(A140-6*C140)/6))</f>
        <v>0.571994462009358</v>
      </c>
      <c r="K140" s="12" t="n">
        <f aca="false">J140^(-1/B140)-1</f>
        <v>0.0505255121365087</v>
      </c>
      <c r="L140" s="12" t="n">
        <f aca="false">(1+K140)^(1/12)-1</f>
        <v>0.00411599141366592</v>
      </c>
    </row>
    <row r="141" customFormat="false" ht="15" hidden="false" customHeight="false" outlineLevel="0" collapsed="false">
      <c r="A141" s="4" t="n">
        <v>137</v>
      </c>
      <c r="B141" s="14" t="n">
        <f aca="false">A141/12</f>
        <v>11.4166666666667</v>
      </c>
      <c r="C141" s="15" t="n">
        <f aca="false">INT(A141/6)</f>
        <v>22</v>
      </c>
      <c r="D141" s="16" t="n">
        <f aca="false">IF(C141=0,(1+Dic2023!$G$6)^(-B141),EXP(LN(INDEX(Dic2023!$H$6:$H$205,C141))+(LN(INDEX(Dic2023!$H$6:$H$205,MIN(C141+1,200)))-LN(INDEX(Dic2023!$H$6:$H$205,C141)))*(A141-6*C141)/6))</f>
        <v>0.569339689284845</v>
      </c>
      <c r="E141" s="12" t="n">
        <f aca="false">D141^(-1/B141)-1</f>
        <v>0.0505756179850407</v>
      </c>
      <c r="F141" s="12" t="n">
        <f aca="false">(1+E141)^(1/12)-1</f>
        <v>0.00411998235148481</v>
      </c>
      <c r="G141" s="16" t="n">
        <f aca="false">IF(C141=0,(1+Dic2023!$J$6)^(-B141),EXP(LN(INDEX(Dic2023!$K$6:$K$205,C141))+(LN(INDEX(Dic2023!$K$6:$K$205,MIN(C141+1,200)))-LN(INDEX(Dic2023!$K$6:$K$205,C141)))*(A141-6*C141)/6))</f>
        <v>0.569339689284845</v>
      </c>
      <c r="H141" s="12" t="n">
        <f aca="false">G141^(-1/B141)-1</f>
        <v>0.0505756179850407</v>
      </c>
      <c r="I141" s="12" t="n">
        <f aca="false">(1+H141)^(1/12)-1</f>
        <v>0.00411998235148481</v>
      </c>
      <c r="J141" s="16" t="n">
        <f aca="false">IF(C141=0,(1+Dic2023!$M$6)^(-B141),EXP(LN(INDEX(Dic2023!$N$6:$N$205,C141))+(LN(INDEX(Dic2023!$N$6:$N$205,MIN(C141+1,200)))-LN(INDEX(Dic2023!$N$6:$N$205,C141)))*(A141-6*C141)/6))</f>
        <v>0.569339689284845</v>
      </c>
      <c r="K141" s="12" t="n">
        <f aca="false">J141^(-1/B141)-1</f>
        <v>0.0505756179850407</v>
      </c>
      <c r="L141" s="12" t="n">
        <f aca="false">(1+K141)^(1/12)-1</f>
        <v>0.00411998235148481</v>
      </c>
    </row>
    <row r="142" customFormat="false" ht="15" hidden="false" customHeight="false" outlineLevel="0" collapsed="false">
      <c r="A142" s="4" t="n">
        <v>138</v>
      </c>
      <c r="B142" s="14" t="n">
        <f aca="false">A142/12</f>
        <v>11.5</v>
      </c>
      <c r="C142" s="15" t="n">
        <f aca="false">INT(A142/6)</f>
        <v>23</v>
      </c>
      <c r="D142" s="16" t="n">
        <f aca="false">IF(C142=0,(1+Dic2023!$G$6)^(-B142),EXP(LN(INDEX(Dic2023!$H$6:$H$205,C142))+(LN(INDEX(Dic2023!$H$6:$H$205,MIN(C142+1,200)))-LN(INDEX(Dic2023!$H$6:$H$205,C142)))*(A142-6*C142)/6))</f>
        <v>0.56669723804015</v>
      </c>
      <c r="E142" s="12" t="n">
        <f aca="false">D142^(-1/B142)-1</f>
        <v>0.0506249999999999</v>
      </c>
      <c r="F142" s="12" t="n">
        <f aca="false">(1+E142)^(1/12)-1</f>
        <v>0.00412391546514423</v>
      </c>
      <c r="G142" s="16" t="n">
        <f aca="false">IF(C142=0,(1+Dic2023!$J$6)^(-B142),EXP(LN(INDEX(Dic2023!$K$6:$K$205,C142))+(LN(INDEX(Dic2023!$K$6:$K$205,MIN(C142+1,200)))-LN(INDEX(Dic2023!$K$6:$K$205,C142)))*(A142-6*C142)/6))</f>
        <v>0.56669723804015</v>
      </c>
      <c r="H142" s="12" t="n">
        <f aca="false">G142^(-1/B142)-1</f>
        <v>0.0506249999999999</v>
      </c>
      <c r="I142" s="12" t="n">
        <f aca="false">(1+H142)^(1/12)-1</f>
        <v>0.00412391546514423</v>
      </c>
      <c r="J142" s="16" t="n">
        <f aca="false">IF(C142=0,(1+Dic2023!$M$6)^(-B142),EXP(LN(INDEX(Dic2023!$N$6:$N$205,C142))+(LN(INDEX(Dic2023!$N$6:$N$205,MIN(C142+1,200)))-LN(INDEX(Dic2023!$N$6:$N$205,C142)))*(A142-6*C142)/6))</f>
        <v>0.56669723804015</v>
      </c>
      <c r="K142" s="12" t="n">
        <f aca="false">J142^(-1/B142)-1</f>
        <v>0.0506249999999999</v>
      </c>
      <c r="L142" s="12" t="n">
        <f aca="false">(1+K142)^(1/12)-1</f>
        <v>0.00412391546514423</v>
      </c>
    </row>
    <row r="143" customFormat="false" ht="15" hidden="false" customHeight="false" outlineLevel="0" collapsed="false">
      <c r="A143" s="4" t="n">
        <v>139</v>
      </c>
      <c r="B143" s="14" t="n">
        <f aca="false">A143/12</f>
        <v>11.5833333333333</v>
      </c>
      <c r="C143" s="15" t="n">
        <f aca="false">INT(A143/6)</f>
        <v>23</v>
      </c>
      <c r="D143" s="16" t="n">
        <f aca="false">IF(C143=0,(1+Dic2023!$G$6)^(-B143),EXP(LN(INDEX(Dic2023!$H$6:$H$205,C143))+(LN(INDEX(Dic2023!$H$6:$H$205,MIN(C143+1,200)))-LN(INDEX(Dic2023!$H$6:$H$205,C143)))*(A143-6*C143)/6))</f>
        <v>0.564149636416737</v>
      </c>
      <c r="E143" s="12" t="n">
        <f aca="false">D143^(-1/B143)-1</f>
        <v>0.0506603945531376</v>
      </c>
      <c r="F143" s="12" t="n">
        <f aca="false">(1+E143)^(1/12)-1</f>
        <v>0.00412673441961742</v>
      </c>
      <c r="G143" s="16" t="n">
        <f aca="false">IF(C143=0,(1+Dic2023!$J$6)^(-B143),EXP(LN(INDEX(Dic2023!$K$6:$K$205,C143))+(LN(INDEX(Dic2023!$K$6:$K$205,MIN(C143+1,200)))-LN(INDEX(Dic2023!$K$6:$K$205,C143)))*(A143-6*C143)/6))</f>
        <v>0.564149636416737</v>
      </c>
      <c r="H143" s="12" t="n">
        <f aca="false">G143^(-1/B143)-1</f>
        <v>0.0506603945531376</v>
      </c>
      <c r="I143" s="12" t="n">
        <f aca="false">(1+H143)^(1/12)-1</f>
        <v>0.00412673441961742</v>
      </c>
      <c r="J143" s="16" t="n">
        <f aca="false">IF(C143=0,(1+Dic2023!$M$6)^(-B143),EXP(LN(INDEX(Dic2023!$N$6:$N$205,C143))+(LN(INDEX(Dic2023!$N$6:$N$205,MIN(C143+1,200)))-LN(INDEX(Dic2023!$N$6:$N$205,C143)))*(A143-6*C143)/6))</f>
        <v>0.564149636416737</v>
      </c>
      <c r="K143" s="12" t="n">
        <f aca="false">J143^(-1/B143)-1</f>
        <v>0.0506603945531376</v>
      </c>
      <c r="L143" s="12" t="n">
        <f aca="false">(1+K143)^(1/12)-1</f>
        <v>0.00412673441961742</v>
      </c>
    </row>
    <row r="144" customFormat="false" ht="15" hidden="false" customHeight="false" outlineLevel="0" collapsed="false">
      <c r="A144" s="4" t="n">
        <v>140</v>
      </c>
      <c r="B144" s="14" t="n">
        <f aca="false">A144/12</f>
        <v>11.6666666666667</v>
      </c>
      <c r="C144" s="15" t="n">
        <f aca="false">INT(A144/6)</f>
        <v>23</v>
      </c>
      <c r="D144" s="16" t="n">
        <f aca="false">IF(C144=0,(1+Dic2023!$G$6)^(-B144),EXP(LN(INDEX(Dic2023!$H$6:$H$205,C144))+(LN(INDEX(Dic2023!$H$6:$H$205,MIN(C144+1,200)))-LN(INDEX(Dic2023!$H$6:$H$205,C144)))*(A144-6*C144)/6))</f>
        <v>0.561613487600213</v>
      </c>
      <c r="E144" s="12" t="n">
        <f aca="false">D144^(-1/B144)-1</f>
        <v>0.0506952846367807</v>
      </c>
      <c r="F144" s="12" t="n">
        <f aca="false">(1+E144)^(1/12)-1</f>
        <v>0.00412951311105747</v>
      </c>
      <c r="G144" s="16" t="n">
        <f aca="false">IF(C144=0,(1+Dic2023!$J$6)^(-B144),EXP(LN(INDEX(Dic2023!$K$6:$K$205,C144))+(LN(INDEX(Dic2023!$K$6:$K$205,MIN(C144+1,200)))-LN(INDEX(Dic2023!$K$6:$K$205,C144)))*(A144-6*C144)/6))</f>
        <v>0.561613487600213</v>
      </c>
      <c r="H144" s="12" t="n">
        <f aca="false">G144^(-1/B144)-1</f>
        <v>0.0506952846367807</v>
      </c>
      <c r="I144" s="12" t="n">
        <f aca="false">(1+H144)^(1/12)-1</f>
        <v>0.00412951311105747</v>
      </c>
      <c r="J144" s="16" t="n">
        <f aca="false">IF(C144=0,(1+Dic2023!$M$6)^(-B144),EXP(LN(INDEX(Dic2023!$N$6:$N$205,C144))+(LN(INDEX(Dic2023!$N$6:$N$205,MIN(C144+1,200)))-LN(INDEX(Dic2023!$N$6:$N$205,C144)))*(A144-6*C144)/6))</f>
        <v>0.561613487600213</v>
      </c>
      <c r="K144" s="12" t="n">
        <f aca="false">J144^(-1/B144)-1</f>
        <v>0.0506952846367807</v>
      </c>
      <c r="L144" s="12" t="n">
        <f aca="false">(1+K144)^(1/12)-1</f>
        <v>0.00412951311105747</v>
      </c>
    </row>
    <row r="145" customFormat="false" ht="15" hidden="false" customHeight="false" outlineLevel="0" collapsed="false">
      <c r="A145" s="4" t="n">
        <v>141</v>
      </c>
      <c r="B145" s="14" t="n">
        <f aca="false">A145/12</f>
        <v>11.75</v>
      </c>
      <c r="C145" s="15" t="n">
        <f aca="false">INT(A145/6)</f>
        <v>23</v>
      </c>
      <c r="D145" s="16" t="n">
        <f aca="false">IF(C145=0,(1+Dic2023!$G$6)^(-B145),EXP(LN(INDEX(Dic2023!$H$6:$H$205,C145))+(LN(INDEX(Dic2023!$H$6:$H$205,MIN(C145+1,200)))-LN(INDEX(Dic2023!$H$6:$H$205,C145)))*(A145-6*C145)/6))</f>
        <v>0.559088740104198</v>
      </c>
      <c r="E145" s="12" t="n">
        <f aca="false">D145^(-1/B145)-1</f>
        <v>0.0507296809597067</v>
      </c>
      <c r="F145" s="12" t="n">
        <f aca="false">(1+E145)^(1/12)-1</f>
        <v>0.00413225239596105</v>
      </c>
      <c r="G145" s="16" t="n">
        <f aca="false">IF(C145=0,(1+Dic2023!$J$6)^(-B145),EXP(LN(INDEX(Dic2023!$K$6:$K$205,C145))+(LN(INDEX(Dic2023!$K$6:$K$205,MIN(C145+1,200)))-LN(INDEX(Dic2023!$K$6:$K$205,C145)))*(A145-6*C145)/6))</f>
        <v>0.559088740104198</v>
      </c>
      <c r="H145" s="12" t="n">
        <f aca="false">G145^(-1/B145)-1</f>
        <v>0.0507296809597067</v>
      </c>
      <c r="I145" s="12" t="n">
        <f aca="false">(1+H145)^(1/12)-1</f>
        <v>0.00413225239596105</v>
      </c>
      <c r="J145" s="16" t="n">
        <f aca="false">IF(C145=0,(1+Dic2023!$M$6)^(-B145),EXP(LN(INDEX(Dic2023!$N$6:$N$205,C145))+(LN(INDEX(Dic2023!$N$6:$N$205,MIN(C145+1,200)))-LN(INDEX(Dic2023!$N$6:$N$205,C145)))*(A145-6*C145)/6))</f>
        <v>0.559088740104198</v>
      </c>
      <c r="K145" s="12" t="n">
        <f aca="false">J145^(-1/B145)-1</f>
        <v>0.0507296809597067</v>
      </c>
      <c r="L145" s="12" t="n">
        <f aca="false">(1+K145)^(1/12)-1</f>
        <v>0.00413225239596105</v>
      </c>
    </row>
    <row r="146" customFormat="false" ht="15" hidden="false" customHeight="false" outlineLevel="0" collapsed="false">
      <c r="A146" s="4" t="n">
        <v>142</v>
      </c>
      <c r="B146" s="14" t="n">
        <f aca="false">A146/12</f>
        <v>11.8333333333333</v>
      </c>
      <c r="C146" s="15" t="n">
        <f aca="false">INT(A146/6)</f>
        <v>23</v>
      </c>
      <c r="D146" s="16" t="n">
        <f aca="false">IF(C146=0,(1+Dic2023!$G$6)^(-B146),EXP(LN(INDEX(Dic2023!$H$6:$H$205,C146))+(LN(INDEX(Dic2023!$H$6:$H$205,MIN(C146+1,200)))-LN(INDEX(Dic2023!$H$6:$H$205,C146)))*(A146-6*C146)/6))</f>
        <v>0.556575342673769</v>
      </c>
      <c r="E146" s="12" t="n">
        <f aca="false">D146^(-1/B146)-1</f>
        <v>0.0507635939297255</v>
      </c>
      <c r="F146" s="12" t="n">
        <f aca="false">(1+E146)^(1/12)-1</f>
        <v>0.00413495310670298</v>
      </c>
      <c r="G146" s="16" t="n">
        <f aca="false">IF(C146=0,(1+Dic2023!$J$6)^(-B146),EXP(LN(INDEX(Dic2023!$K$6:$K$205,C146))+(LN(INDEX(Dic2023!$K$6:$K$205,MIN(C146+1,200)))-LN(INDEX(Dic2023!$K$6:$K$205,C146)))*(A146-6*C146)/6))</f>
        <v>0.556575342673769</v>
      </c>
      <c r="H146" s="12" t="n">
        <f aca="false">G146^(-1/B146)-1</f>
        <v>0.0507635939297255</v>
      </c>
      <c r="I146" s="12" t="n">
        <f aca="false">(1+H146)^(1/12)-1</f>
        <v>0.00413495310670298</v>
      </c>
      <c r="J146" s="16" t="n">
        <f aca="false">IF(C146=0,(1+Dic2023!$M$6)^(-B146),EXP(LN(INDEX(Dic2023!$N$6:$N$205,C146))+(LN(INDEX(Dic2023!$N$6:$N$205,MIN(C146+1,200)))-LN(INDEX(Dic2023!$N$6:$N$205,C146)))*(A146-6*C146)/6))</f>
        <v>0.556575342673769</v>
      </c>
      <c r="K146" s="12" t="n">
        <f aca="false">J146^(-1/B146)-1</f>
        <v>0.0507635939297255</v>
      </c>
      <c r="L146" s="12" t="n">
        <f aca="false">(1+K146)^(1/12)-1</f>
        <v>0.00413495310670298</v>
      </c>
    </row>
    <row r="147" customFormat="false" ht="15" hidden="false" customHeight="false" outlineLevel="0" collapsed="false">
      <c r="A147" s="4" t="n">
        <v>143</v>
      </c>
      <c r="B147" s="14" t="n">
        <f aca="false">A147/12</f>
        <v>11.9166666666667</v>
      </c>
      <c r="C147" s="15" t="n">
        <f aca="false">INT(A147/6)</f>
        <v>23</v>
      </c>
      <c r="D147" s="16" t="n">
        <f aca="false">IF(C147=0,(1+Dic2023!$G$6)^(-B147),EXP(LN(INDEX(Dic2023!$H$6:$H$205,C147))+(LN(INDEX(Dic2023!$H$6:$H$205,MIN(C147+1,200)))-LN(INDEX(Dic2023!$H$6:$H$205,C147)))*(A147-6*C147)/6))</f>
        <v>0.554073244284423</v>
      </c>
      <c r="E147" s="12" t="n">
        <f aca="false">D147^(-1/B147)-1</f>
        <v>0.0507970336641781</v>
      </c>
      <c r="F147" s="12" t="n">
        <f aca="false">(1+E147)^(1/12)-1</f>
        <v>0.00413761605237872</v>
      </c>
      <c r="G147" s="16" t="n">
        <f aca="false">IF(C147=0,(1+Dic2023!$J$6)^(-B147),EXP(LN(INDEX(Dic2023!$K$6:$K$205,C147))+(LN(INDEX(Dic2023!$K$6:$K$205,MIN(C147+1,200)))-LN(INDEX(Dic2023!$K$6:$K$205,C147)))*(A147-6*C147)/6))</f>
        <v>0.554073244284423</v>
      </c>
      <c r="H147" s="12" t="n">
        <f aca="false">G147^(-1/B147)-1</f>
        <v>0.0507970336641781</v>
      </c>
      <c r="I147" s="12" t="n">
        <f aca="false">(1+H147)^(1/12)-1</f>
        <v>0.00413761605237872</v>
      </c>
      <c r="J147" s="16" t="n">
        <f aca="false">IF(C147=0,(1+Dic2023!$M$6)^(-B147),EXP(LN(INDEX(Dic2023!$N$6:$N$205,C147))+(LN(INDEX(Dic2023!$N$6:$N$205,MIN(C147+1,200)))-LN(INDEX(Dic2023!$N$6:$N$205,C147)))*(A147-6*C147)/6))</f>
        <v>0.554073244284423</v>
      </c>
      <c r="K147" s="12" t="n">
        <f aca="false">J147^(-1/B147)-1</f>
        <v>0.0507970336641781</v>
      </c>
      <c r="L147" s="12" t="n">
        <f aca="false">(1+K147)^(1/12)-1</f>
        <v>0.00413761605237872</v>
      </c>
    </row>
    <row r="148" customFormat="false" ht="15" hidden="false" customHeight="false" outlineLevel="0" collapsed="false">
      <c r="A148" s="4" t="n">
        <v>144</v>
      </c>
      <c r="B148" s="14" t="n">
        <f aca="false">A148/12</f>
        <v>12</v>
      </c>
      <c r="C148" s="15" t="n">
        <f aca="false">INT(A148/6)</f>
        <v>24</v>
      </c>
      <c r="D148" s="16" t="n">
        <f aca="false">IF(C148=0,(1+Dic2023!$G$6)^(-B148),EXP(LN(INDEX(Dic2023!$H$6:$H$205,C148))+(LN(INDEX(Dic2023!$H$6:$H$205,MIN(C148+1,200)))-LN(INDEX(Dic2023!$H$6:$H$205,C148)))*(A148-6*C148)/6))</f>
        <v>0.551582394141037</v>
      </c>
      <c r="E148" s="12" t="n">
        <f aca="false">D148^(-1/B148)-1</f>
        <v>0.0508300099999999</v>
      </c>
      <c r="F148" s="12" t="n">
        <f aca="false">(1+E148)^(1/12)-1</f>
        <v>0.00414024201961349</v>
      </c>
      <c r="G148" s="16" t="n">
        <f aca="false">IF(C148=0,(1+Dic2023!$J$6)^(-B148),EXP(LN(INDEX(Dic2023!$K$6:$K$205,C148))+(LN(INDEX(Dic2023!$K$6:$K$205,MIN(C148+1,200)))-LN(INDEX(Dic2023!$K$6:$K$205,C148)))*(A148-6*C148)/6))</f>
        <v>0.551582394141037</v>
      </c>
      <c r="H148" s="12" t="n">
        <f aca="false">G148^(-1/B148)-1</f>
        <v>0.0508300099999999</v>
      </c>
      <c r="I148" s="12" t="n">
        <f aca="false">(1+H148)^(1/12)-1</f>
        <v>0.00414024201961349</v>
      </c>
      <c r="J148" s="16" t="n">
        <f aca="false">IF(C148=0,(1+Dic2023!$M$6)^(-B148),EXP(LN(INDEX(Dic2023!$N$6:$N$205,C148))+(LN(INDEX(Dic2023!$N$6:$N$205,MIN(C148+1,200)))-LN(INDEX(Dic2023!$N$6:$N$205,C148)))*(A148-6*C148)/6))</f>
        <v>0.551582394141037</v>
      </c>
      <c r="K148" s="12" t="n">
        <f aca="false">J148^(-1/B148)-1</f>
        <v>0.0508300099999999</v>
      </c>
      <c r="L148" s="12" t="n">
        <f aca="false">(1+K148)^(1/12)-1</f>
        <v>0.00414024201961349</v>
      </c>
    </row>
    <row r="149" customFormat="false" ht="15" hidden="false" customHeight="false" outlineLevel="0" collapsed="false">
      <c r="A149" s="4" t="n">
        <v>145</v>
      </c>
      <c r="B149" s="14" t="n">
        <f aca="false">A149/12</f>
        <v>12.0833333333333</v>
      </c>
      <c r="C149" s="15" t="n">
        <f aca="false">INT(A149/6)</f>
        <v>24</v>
      </c>
      <c r="D149" s="16" t="n">
        <f aca="false">IF(C149=0,(1+Dic2023!$G$6)^(-B149),EXP(LN(INDEX(Dic2023!$H$6:$H$205,C149))+(LN(INDEX(Dic2023!$H$6:$H$205,MIN(C149+1,200)))-LN(INDEX(Dic2023!$H$6:$H$205,C149)))*(A149-6*C149)/6))</f>
        <v>0.549084907610328</v>
      </c>
      <c r="E149" s="12" t="n">
        <f aca="false">D149^(-1/B149)-1</f>
        <v>0.0508653571463151</v>
      </c>
      <c r="F149" s="12" t="n">
        <f aca="false">(1+E149)^(1/12)-1</f>
        <v>0.00414305669503845</v>
      </c>
      <c r="G149" s="16" t="n">
        <f aca="false">IF(C149=0,(1+Dic2023!$J$6)^(-B149),EXP(LN(INDEX(Dic2023!$K$6:$K$205,C149))+(LN(INDEX(Dic2023!$K$6:$K$205,MIN(C149+1,200)))-LN(INDEX(Dic2023!$K$6:$K$205,C149)))*(A149-6*C149)/6))</f>
        <v>0.549084907610328</v>
      </c>
      <c r="H149" s="12" t="n">
        <f aca="false">G149^(-1/B149)-1</f>
        <v>0.0508653571463151</v>
      </c>
      <c r="I149" s="12" t="n">
        <f aca="false">(1+H149)^(1/12)-1</f>
        <v>0.00414305669503845</v>
      </c>
      <c r="J149" s="16" t="n">
        <f aca="false">IF(C149=0,(1+Dic2023!$M$6)^(-B149),EXP(LN(INDEX(Dic2023!$N$6:$N$205,C149))+(LN(INDEX(Dic2023!$N$6:$N$205,MIN(C149+1,200)))-LN(INDEX(Dic2023!$N$6:$N$205,C149)))*(A149-6*C149)/6))</f>
        <v>0.549084907610328</v>
      </c>
      <c r="K149" s="12" t="n">
        <f aca="false">J149^(-1/B149)-1</f>
        <v>0.0508653571463151</v>
      </c>
      <c r="L149" s="12" t="n">
        <f aca="false">(1+K149)^(1/12)-1</f>
        <v>0.00414305669503845</v>
      </c>
    </row>
    <row r="150" customFormat="false" ht="15" hidden="false" customHeight="false" outlineLevel="0" collapsed="false">
      <c r="A150" s="4" t="n">
        <v>146</v>
      </c>
      <c r="B150" s="14" t="n">
        <f aca="false">A150/12</f>
        <v>12.1666666666667</v>
      </c>
      <c r="C150" s="15" t="n">
        <f aca="false">INT(A150/6)</f>
        <v>24</v>
      </c>
      <c r="D150" s="16" t="n">
        <f aca="false">IF(C150=0,(1+Dic2023!$G$6)^(-B150),EXP(LN(INDEX(Dic2023!$H$6:$H$205,C150))+(LN(INDEX(Dic2023!$H$6:$H$205,MIN(C150+1,200)))-LN(INDEX(Dic2023!$H$6:$H$205,C150)))*(A150-6*C150)/6))</f>
        <v>0.546598729342966</v>
      </c>
      <c r="E150" s="12" t="n">
        <f aca="false">D150^(-1/B150)-1</f>
        <v>0.0509002212498113</v>
      </c>
      <c r="F150" s="12" t="n">
        <f aca="false">(1+E150)^(1/12)-1</f>
        <v>0.00414583282099423</v>
      </c>
      <c r="G150" s="16" t="n">
        <f aca="false">IF(C150=0,(1+Dic2023!$J$6)^(-B150),EXP(LN(INDEX(Dic2023!$K$6:$K$205,C150))+(LN(INDEX(Dic2023!$K$6:$K$205,MIN(C150+1,200)))-LN(INDEX(Dic2023!$K$6:$K$205,C150)))*(A150-6*C150)/6))</f>
        <v>0.546598729342966</v>
      </c>
      <c r="H150" s="12" t="n">
        <f aca="false">G150^(-1/B150)-1</f>
        <v>0.0509002212498113</v>
      </c>
      <c r="I150" s="12" t="n">
        <f aca="false">(1+H150)^(1/12)-1</f>
        <v>0.00414583282099423</v>
      </c>
      <c r="J150" s="16" t="n">
        <f aca="false">IF(C150=0,(1+Dic2023!$M$6)^(-B150),EXP(LN(INDEX(Dic2023!$N$6:$N$205,C150))+(LN(INDEX(Dic2023!$N$6:$N$205,MIN(C150+1,200)))-LN(INDEX(Dic2023!$N$6:$N$205,C150)))*(A150-6*C150)/6))</f>
        <v>0.546598729342966</v>
      </c>
      <c r="K150" s="12" t="n">
        <f aca="false">J150^(-1/B150)-1</f>
        <v>0.0509002212498113</v>
      </c>
      <c r="L150" s="12" t="n">
        <f aca="false">(1+K150)^(1/12)-1</f>
        <v>0.00414583282099423</v>
      </c>
    </row>
    <row r="151" customFormat="false" ht="15" hidden="false" customHeight="false" outlineLevel="0" collapsed="false">
      <c r="A151" s="4" t="n">
        <v>147</v>
      </c>
      <c r="B151" s="14" t="n">
        <f aca="false">A151/12</f>
        <v>12.25</v>
      </c>
      <c r="C151" s="15" t="n">
        <f aca="false">INT(A151/6)</f>
        <v>24</v>
      </c>
      <c r="D151" s="16" t="n">
        <f aca="false">IF(C151=0,(1+Dic2023!$G$6)^(-B151),EXP(LN(INDEX(Dic2023!$H$6:$H$205,C151))+(LN(INDEX(Dic2023!$H$6:$H$205,MIN(C151+1,200)))-LN(INDEX(Dic2023!$H$6:$H$205,C151)))*(A151-6*C151)/6))</f>
        <v>0.544123808136746</v>
      </c>
      <c r="E151" s="12" t="n">
        <f aca="false">D151^(-1/B151)-1</f>
        <v>0.0509346121449361</v>
      </c>
      <c r="F151" s="12" t="n">
        <f aca="false">(1+E151)^(1/12)-1</f>
        <v>0.00414857118404788</v>
      </c>
      <c r="G151" s="16" t="n">
        <f aca="false">IF(C151=0,(1+Dic2023!$J$6)^(-B151),EXP(LN(INDEX(Dic2023!$K$6:$K$205,C151))+(LN(INDEX(Dic2023!$K$6:$K$205,MIN(C151+1,200)))-LN(INDEX(Dic2023!$K$6:$K$205,C151)))*(A151-6*C151)/6))</f>
        <v>0.544123808136746</v>
      </c>
      <c r="H151" s="12" t="n">
        <f aca="false">G151^(-1/B151)-1</f>
        <v>0.0509346121449361</v>
      </c>
      <c r="I151" s="12" t="n">
        <f aca="false">(1+H151)^(1/12)-1</f>
        <v>0.00414857118404788</v>
      </c>
      <c r="J151" s="16" t="n">
        <f aca="false">IF(C151=0,(1+Dic2023!$M$6)^(-B151),EXP(LN(INDEX(Dic2023!$N$6:$N$205,C151))+(LN(INDEX(Dic2023!$N$6:$N$205,MIN(C151+1,200)))-LN(INDEX(Dic2023!$N$6:$N$205,C151)))*(A151-6*C151)/6))</f>
        <v>0.544123808136746</v>
      </c>
      <c r="K151" s="12" t="n">
        <f aca="false">J151^(-1/B151)-1</f>
        <v>0.0509346121449361</v>
      </c>
      <c r="L151" s="12" t="n">
        <f aca="false">(1+K151)^(1/12)-1</f>
        <v>0.00414857118404788</v>
      </c>
    </row>
    <row r="152" customFormat="false" ht="15" hidden="false" customHeight="false" outlineLevel="0" collapsed="false">
      <c r="A152" s="4" t="n">
        <v>148</v>
      </c>
      <c r="B152" s="14" t="n">
        <f aca="false">A152/12</f>
        <v>12.3333333333333</v>
      </c>
      <c r="C152" s="15" t="n">
        <f aca="false">INT(A152/6)</f>
        <v>24</v>
      </c>
      <c r="D152" s="16" t="n">
        <f aca="false">IF(C152=0,(1+Dic2023!$G$6)^(-B152),EXP(LN(INDEX(Dic2023!$H$6:$H$205,C152))+(LN(INDEX(Dic2023!$H$6:$H$205,MIN(C152+1,200)))-LN(INDEX(Dic2023!$H$6:$H$205,C152)))*(A152-6*C152)/6))</f>
        <v>0.541660093021298</v>
      </c>
      <c r="E152" s="12" t="n">
        <f aca="false">D152^(-1/B152)-1</f>
        <v>0.0509685394009722</v>
      </c>
      <c r="F152" s="12" t="n">
        <f aca="false">(1+E152)^(1/12)-1</f>
        <v>0.00415127254951253</v>
      </c>
      <c r="G152" s="16" t="n">
        <f aca="false">IF(C152=0,(1+Dic2023!$J$6)^(-B152),EXP(LN(INDEX(Dic2023!$K$6:$K$205,C152))+(LN(INDEX(Dic2023!$K$6:$K$205,MIN(C152+1,200)))-LN(INDEX(Dic2023!$K$6:$K$205,C152)))*(A152-6*C152)/6))</f>
        <v>0.541660093021298</v>
      </c>
      <c r="H152" s="12" t="n">
        <f aca="false">G152^(-1/B152)-1</f>
        <v>0.0509685394009722</v>
      </c>
      <c r="I152" s="12" t="n">
        <f aca="false">(1+H152)^(1/12)-1</f>
        <v>0.00415127254951253</v>
      </c>
      <c r="J152" s="16" t="n">
        <f aca="false">IF(C152=0,(1+Dic2023!$M$6)^(-B152),EXP(LN(INDEX(Dic2023!$N$6:$N$205,C152))+(LN(INDEX(Dic2023!$N$6:$N$205,MIN(C152+1,200)))-LN(INDEX(Dic2023!$N$6:$N$205,C152)))*(A152-6*C152)/6))</f>
        <v>0.541660093021298</v>
      </c>
      <c r="K152" s="12" t="n">
        <f aca="false">J152^(-1/B152)-1</f>
        <v>0.0509685394009722</v>
      </c>
      <c r="L152" s="12" t="n">
        <f aca="false">(1+K152)^(1/12)-1</f>
        <v>0.00415127254951253</v>
      </c>
    </row>
    <row r="153" customFormat="false" ht="15" hidden="false" customHeight="false" outlineLevel="0" collapsed="false">
      <c r="A153" s="4" t="n">
        <v>149</v>
      </c>
      <c r="B153" s="14" t="n">
        <f aca="false">A153/12</f>
        <v>12.4166666666667</v>
      </c>
      <c r="C153" s="15" t="n">
        <f aca="false">INT(A153/6)</f>
        <v>24</v>
      </c>
      <c r="D153" s="16" t="n">
        <f aca="false">IF(C153=0,(1+Dic2023!$G$6)^(-B153),EXP(LN(INDEX(Dic2023!$H$6:$H$205,C153))+(LN(INDEX(Dic2023!$H$6:$H$205,MIN(C153+1,200)))-LN(INDEX(Dic2023!$H$6:$H$205,C153)))*(A153-6*C153)/6))</f>
        <v>0.53920753325704</v>
      </c>
      <c r="E153" s="12" t="n">
        <f aca="false">D153^(-1/B153)-1</f>
        <v>0.0510020123309163</v>
      </c>
      <c r="F153" s="12" t="n">
        <f aca="false">(1+E153)^(1/12)-1</f>
        <v>0.00415393766215955</v>
      </c>
      <c r="G153" s="16" t="n">
        <f aca="false">IF(C153=0,(1+Dic2023!$J$6)^(-B153),EXP(LN(INDEX(Dic2023!$K$6:$K$205,C153))+(LN(INDEX(Dic2023!$K$6:$K$205,MIN(C153+1,200)))-LN(INDEX(Dic2023!$K$6:$K$205,C153)))*(A153-6*C153)/6))</f>
        <v>0.53920753325704</v>
      </c>
      <c r="H153" s="12" t="n">
        <f aca="false">G153^(-1/B153)-1</f>
        <v>0.0510020123309163</v>
      </c>
      <c r="I153" s="12" t="n">
        <f aca="false">(1+H153)^(1/12)-1</f>
        <v>0.00415393766215955</v>
      </c>
      <c r="J153" s="16" t="n">
        <f aca="false">IF(C153=0,(1+Dic2023!$M$6)^(-B153),EXP(LN(INDEX(Dic2023!$N$6:$N$205,C153))+(LN(INDEX(Dic2023!$N$6:$N$205,MIN(C153+1,200)))-LN(INDEX(Dic2023!$N$6:$N$205,C153)))*(A153-6*C153)/6))</f>
        <v>0.53920753325704</v>
      </c>
      <c r="K153" s="12" t="n">
        <f aca="false">J153^(-1/B153)-1</f>
        <v>0.0510020123309163</v>
      </c>
      <c r="L153" s="12" t="n">
        <f aca="false">(1+K153)^(1/12)-1</f>
        <v>0.00415393766215955</v>
      </c>
    </row>
    <row r="154" customFormat="false" ht="15" hidden="false" customHeight="false" outlineLevel="0" collapsed="false">
      <c r="A154" s="4" t="n">
        <v>150</v>
      </c>
      <c r="B154" s="14" t="n">
        <f aca="false">A154/12</f>
        <v>12.5</v>
      </c>
      <c r="C154" s="15" t="n">
        <f aca="false">INT(A154/6)</f>
        <v>25</v>
      </c>
      <c r="D154" s="16" t="n">
        <f aca="false">IF(C154=0,(1+Dic2023!$G$6)^(-B154),EXP(LN(INDEX(Dic2023!$H$6:$H$205,C154))+(LN(INDEX(Dic2023!$H$6:$H$205,MIN(C154+1,200)))-LN(INDEX(Dic2023!$H$6:$H$205,C154)))*(A154-6*C154)/6))</f>
        <v>0.536766078334129</v>
      </c>
      <c r="E154" s="12" t="n">
        <f aca="false">D154^(-1/B154)-1</f>
        <v>0.0510350399999997</v>
      </c>
      <c r="F154" s="12" t="n">
        <f aca="false">(1+E154)^(1/12)-1</f>
        <v>0.00415656724690394</v>
      </c>
      <c r="G154" s="16" t="n">
        <f aca="false">IF(C154=0,(1+Dic2023!$J$6)^(-B154),EXP(LN(INDEX(Dic2023!$K$6:$K$205,C154))+(LN(INDEX(Dic2023!$K$6:$K$205,MIN(C154+1,200)))-LN(INDEX(Dic2023!$K$6:$K$205,C154)))*(A154-6*C154)/6))</f>
        <v>0.536766078334129</v>
      </c>
      <c r="H154" s="12" t="n">
        <f aca="false">G154^(-1/B154)-1</f>
        <v>0.0510350399999997</v>
      </c>
      <c r="I154" s="12" t="n">
        <f aca="false">(1+H154)^(1/12)-1</f>
        <v>0.00415656724690394</v>
      </c>
      <c r="J154" s="16" t="n">
        <f aca="false">IF(C154=0,(1+Dic2023!$M$6)^(-B154),EXP(LN(INDEX(Dic2023!$N$6:$N$205,C154))+(LN(INDEX(Dic2023!$N$6:$N$205,MIN(C154+1,200)))-LN(INDEX(Dic2023!$N$6:$N$205,C154)))*(A154-6*C154)/6))</f>
        <v>0.536766078334129</v>
      </c>
      <c r="K154" s="12" t="n">
        <f aca="false">J154^(-1/B154)-1</f>
        <v>0.0510350399999997</v>
      </c>
      <c r="L154" s="12" t="n">
        <f aca="false">(1+K154)^(1/12)-1</f>
        <v>0.00415656724690394</v>
      </c>
    </row>
    <row r="155" customFormat="false" ht="15" hidden="false" customHeight="false" outlineLevel="0" collapsed="false">
      <c r="A155" s="4" t="n">
        <v>151</v>
      </c>
      <c r="B155" s="14" t="n">
        <f aca="false">A155/12</f>
        <v>12.5833333333333</v>
      </c>
      <c r="C155" s="15" t="n">
        <f aca="false">INT(A155/6)</f>
        <v>25</v>
      </c>
      <c r="D155" s="16" t="n">
        <f aca="false">IF(C155=0,(1+Dic2023!$G$6)^(-B155),EXP(LN(INDEX(Dic2023!$H$6:$H$205,C155))+(LN(INDEX(Dic2023!$H$6:$H$205,MIN(C155+1,200)))-LN(INDEX(Dic2023!$H$6:$H$205,C155)))*(A155-6*C155)/6))</f>
        <v>0.534318326055944</v>
      </c>
      <c r="E155" s="12" t="n">
        <f aca="false">D155^(-1/B155)-1</f>
        <v>0.051070343771825</v>
      </c>
      <c r="F155" s="12" t="n">
        <f aca="false">(1+E155)^(1/12)-1</f>
        <v>0.00415937796580002</v>
      </c>
      <c r="G155" s="16" t="n">
        <f aca="false">IF(C155=0,(1+Dic2023!$J$6)^(-B155),EXP(LN(INDEX(Dic2023!$K$6:$K$205,C155))+(LN(INDEX(Dic2023!$K$6:$K$205,MIN(C155+1,200)))-LN(INDEX(Dic2023!$K$6:$K$205,C155)))*(A155-6*C155)/6))</f>
        <v>0.534318326055944</v>
      </c>
      <c r="H155" s="12" t="n">
        <f aca="false">G155^(-1/B155)-1</f>
        <v>0.051070343771825</v>
      </c>
      <c r="I155" s="12" t="n">
        <f aca="false">(1+H155)^(1/12)-1</f>
        <v>0.00415937796580002</v>
      </c>
      <c r="J155" s="16" t="n">
        <f aca="false">IF(C155=0,(1+Dic2023!$M$6)^(-B155),EXP(LN(INDEX(Dic2023!$N$6:$N$205,C155))+(LN(INDEX(Dic2023!$N$6:$N$205,MIN(C155+1,200)))-LN(INDEX(Dic2023!$N$6:$N$205,C155)))*(A155-6*C155)/6))</f>
        <v>0.534318326055944</v>
      </c>
      <c r="K155" s="12" t="n">
        <f aca="false">J155^(-1/B155)-1</f>
        <v>0.051070343771825</v>
      </c>
      <c r="L155" s="12" t="n">
        <f aca="false">(1+K155)^(1/12)-1</f>
        <v>0.00415937796580002</v>
      </c>
    </row>
    <row r="156" customFormat="false" ht="15" hidden="false" customHeight="false" outlineLevel="0" collapsed="false">
      <c r="A156" s="4" t="n">
        <v>152</v>
      </c>
      <c r="B156" s="14" t="n">
        <f aca="false">A156/12</f>
        <v>12.6666666666667</v>
      </c>
      <c r="C156" s="15" t="n">
        <f aca="false">INT(A156/6)</f>
        <v>25</v>
      </c>
      <c r="D156" s="16" t="n">
        <f aca="false">IF(C156=0,(1+Dic2023!$G$6)^(-B156),EXP(LN(INDEX(Dic2023!$H$6:$H$205,C156))+(LN(INDEX(Dic2023!$H$6:$H$205,MIN(C156+1,200)))-LN(INDEX(Dic2023!$H$6:$H$205,C156)))*(A156-6*C156)/6))</f>
        <v>0.531881735979429</v>
      </c>
      <c r="E156" s="12" t="n">
        <f aca="false">D156^(-1/B156)-1</f>
        <v>0.0511051841828716</v>
      </c>
      <c r="F156" s="12" t="n">
        <f aca="false">(1+E156)^(1/12)-1</f>
        <v>0.00416215170926582</v>
      </c>
      <c r="G156" s="16" t="n">
        <f aca="false">IF(C156=0,(1+Dic2023!$J$6)^(-B156),EXP(LN(INDEX(Dic2023!$K$6:$K$205,C156))+(LN(INDEX(Dic2023!$K$6:$K$205,MIN(C156+1,200)))-LN(INDEX(Dic2023!$K$6:$K$205,C156)))*(A156-6*C156)/6))</f>
        <v>0.531881735979429</v>
      </c>
      <c r="H156" s="12" t="n">
        <f aca="false">G156^(-1/B156)-1</f>
        <v>0.0511051841828716</v>
      </c>
      <c r="I156" s="12" t="n">
        <f aca="false">(1+H156)^(1/12)-1</f>
        <v>0.00416215170926582</v>
      </c>
      <c r="J156" s="16" t="n">
        <f aca="false">IF(C156=0,(1+Dic2023!$M$6)^(-B156),EXP(LN(INDEX(Dic2023!$N$6:$N$205,C156))+(LN(INDEX(Dic2023!$N$6:$N$205,MIN(C156+1,200)))-LN(INDEX(Dic2023!$N$6:$N$205,C156)))*(A156-6*C156)/6))</f>
        <v>0.531881735979429</v>
      </c>
      <c r="K156" s="12" t="n">
        <f aca="false">J156^(-1/B156)-1</f>
        <v>0.0511051841828716</v>
      </c>
      <c r="L156" s="12" t="n">
        <f aca="false">(1+K156)^(1/12)-1</f>
        <v>0.00416215170926582</v>
      </c>
    </row>
    <row r="157" customFormat="false" ht="15" hidden="false" customHeight="false" outlineLevel="0" collapsed="false">
      <c r="A157" s="4" t="n">
        <v>153</v>
      </c>
      <c r="B157" s="14" t="n">
        <f aca="false">A157/12</f>
        <v>12.75</v>
      </c>
      <c r="C157" s="15" t="n">
        <f aca="false">INT(A157/6)</f>
        <v>25</v>
      </c>
      <c r="D157" s="16" t="n">
        <f aca="false">IF(C157=0,(1+Dic2023!$G$6)^(-B157),EXP(LN(INDEX(Dic2023!$H$6:$H$205,C157))+(LN(INDEX(Dic2023!$H$6:$H$205,MIN(C157+1,200)))-LN(INDEX(Dic2023!$H$6:$H$205,C157)))*(A157-6*C157)/6))</f>
        <v>0.529456257202885</v>
      </c>
      <c r="E157" s="12" t="n">
        <f aca="false">D157^(-1/B157)-1</f>
        <v>0.0511395702960369</v>
      </c>
      <c r="F157" s="12" t="n">
        <f aca="false">(1+E157)^(1/12)-1</f>
        <v>0.00416488920215929</v>
      </c>
      <c r="G157" s="16" t="n">
        <f aca="false">IF(C157=0,(1+Dic2023!$J$6)^(-B157),EXP(LN(INDEX(Dic2023!$K$6:$K$205,C157))+(LN(INDEX(Dic2023!$K$6:$K$205,MIN(C157+1,200)))-LN(INDEX(Dic2023!$K$6:$K$205,C157)))*(A157-6*C157)/6))</f>
        <v>0.529456257202885</v>
      </c>
      <c r="H157" s="12" t="n">
        <f aca="false">G157^(-1/B157)-1</f>
        <v>0.0511395702960369</v>
      </c>
      <c r="I157" s="12" t="n">
        <f aca="false">(1+H157)^(1/12)-1</f>
        <v>0.00416488920215929</v>
      </c>
      <c r="J157" s="16" t="n">
        <f aca="false">IF(C157=0,(1+Dic2023!$M$6)^(-B157),EXP(LN(INDEX(Dic2023!$N$6:$N$205,C157))+(LN(INDEX(Dic2023!$N$6:$N$205,MIN(C157+1,200)))-LN(INDEX(Dic2023!$N$6:$N$205,C157)))*(A157-6*C157)/6))</f>
        <v>0.529456257202885</v>
      </c>
      <c r="K157" s="12" t="n">
        <f aca="false">J157^(-1/B157)-1</f>
        <v>0.0511395702960369</v>
      </c>
      <c r="L157" s="12" t="n">
        <f aca="false">(1+K157)^(1/12)-1</f>
        <v>0.00416488920215929</v>
      </c>
    </row>
    <row r="158" customFormat="false" ht="15" hidden="false" customHeight="false" outlineLevel="0" collapsed="false">
      <c r="A158" s="4" t="n">
        <v>154</v>
      </c>
      <c r="B158" s="14" t="n">
        <f aca="false">A158/12</f>
        <v>12.8333333333333</v>
      </c>
      <c r="C158" s="15" t="n">
        <f aca="false">INT(A158/6)</f>
        <v>25</v>
      </c>
      <c r="D158" s="16" t="n">
        <f aca="false">IF(C158=0,(1+Dic2023!$G$6)^(-B158),EXP(LN(INDEX(Dic2023!$H$6:$H$205,C158))+(LN(INDEX(Dic2023!$H$6:$H$205,MIN(C158+1,200)))-LN(INDEX(Dic2023!$H$6:$H$205,C158)))*(A158-6*C158)/6))</f>
        <v>0.527041839056736</v>
      </c>
      <c r="E158" s="12" t="n">
        <f aca="false">D158^(-1/B158)-1</f>
        <v>0.0511735109394003</v>
      </c>
      <c r="F158" s="12" t="n">
        <f aca="false">(1+E158)^(1/12)-1</f>
        <v>0.00416759115051502</v>
      </c>
      <c r="G158" s="16" t="n">
        <f aca="false">IF(C158=0,(1+Dic2023!$J$6)^(-B158),EXP(LN(INDEX(Dic2023!$K$6:$K$205,C158))+(LN(INDEX(Dic2023!$K$6:$K$205,MIN(C158+1,200)))-LN(INDEX(Dic2023!$K$6:$K$205,C158)))*(A158-6*C158)/6))</f>
        <v>0.527041839056736</v>
      </c>
      <c r="H158" s="12" t="n">
        <f aca="false">G158^(-1/B158)-1</f>
        <v>0.0511735109394003</v>
      </c>
      <c r="I158" s="12" t="n">
        <f aca="false">(1+H158)^(1/12)-1</f>
        <v>0.00416759115051502</v>
      </c>
      <c r="J158" s="16" t="n">
        <f aca="false">IF(C158=0,(1+Dic2023!$M$6)^(-B158),EXP(LN(INDEX(Dic2023!$N$6:$N$205,C158))+(LN(INDEX(Dic2023!$N$6:$N$205,MIN(C158+1,200)))-LN(INDEX(Dic2023!$N$6:$N$205,C158)))*(A158-6*C158)/6))</f>
        <v>0.527041839056736</v>
      </c>
      <c r="K158" s="12" t="n">
        <f aca="false">J158^(-1/B158)-1</f>
        <v>0.0511735109394003</v>
      </c>
      <c r="L158" s="12" t="n">
        <f aca="false">(1+K158)^(1/12)-1</f>
        <v>0.00416759115051502</v>
      </c>
    </row>
    <row r="159" customFormat="false" ht="15" hidden="false" customHeight="false" outlineLevel="0" collapsed="false">
      <c r="A159" s="4" t="n">
        <v>155</v>
      </c>
      <c r="B159" s="14" t="n">
        <f aca="false">A159/12</f>
        <v>12.9166666666667</v>
      </c>
      <c r="C159" s="15" t="n">
        <f aca="false">INT(A159/6)</f>
        <v>25</v>
      </c>
      <c r="D159" s="16" t="n">
        <f aca="false">IF(C159=0,(1+Dic2023!$G$6)^(-B159),EXP(LN(INDEX(Dic2023!$H$6:$H$205,C159))+(LN(INDEX(Dic2023!$H$6:$H$205,MIN(C159+1,200)))-LN(INDEX(Dic2023!$H$6:$H$205,C159)))*(A159-6*C159)/6))</f>
        <v>0.524638431102469</v>
      </c>
      <c r="E159" s="12" t="n">
        <f aca="false">D159^(-1/B159)-1</f>
        <v>0.0512070147137804</v>
      </c>
      <c r="F159" s="12" t="n">
        <f aca="false">(1+E159)^(1/12)-1</f>
        <v>0.00417025824215123</v>
      </c>
      <c r="G159" s="16" t="n">
        <f aca="false">IF(C159=0,(1+Dic2023!$J$6)^(-B159),EXP(LN(INDEX(Dic2023!$K$6:$K$205,C159))+(LN(INDEX(Dic2023!$K$6:$K$205,MIN(C159+1,200)))-LN(INDEX(Dic2023!$K$6:$K$205,C159)))*(A159-6*C159)/6))</f>
        <v>0.524638431102469</v>
      </c>
      <c r="H159" s="12" t="n">
        <f aca="false">G159^(-1/B159)-1</f>
        <v>0.0512070147137804</v>
      </c>
      <c r="I159" s="12" t="n">
        <f aca="false">(1+H159)^(1/12)-1</f>
        <v>0.00417025824215123</v>
      </c>
      <c r="J159" s="16" t="n">
        <f aca="false">IF(C159=0,(1+Dic2023!$M$6)^(-B159),EXP(LN(INDEX(Dic2023!$N$6:$N$205,C159))+(LN(INDEX(Dic2023!$N$6:$N$205,MIN(C159+1,200)))-LN(INDEX(Dic2023!$N$6:$N$205,C159)))*(A159-6*C159)/6))</f>
        <v>0.524638431102469</v>
      </c>
      <c r="K159" s="12" t="n">
        <f aca="false">J159^(-1/B159)-1</f>
        <v>0.0512070147137804</v>
      </c>
      <c r="L159" s="12" t="n">
        <f aca="false">(1+K159)^(1/12)-1</f>
        <v>0.00417025824215123</v>
      </c>
    </row>
    <row r="160" customFormat="false" ht="15" hidden="false" customHeight="false" outlineLevel="0" collapsed="false">
      <c r="A160" s="4" t="n">
        <v>156</v>
      </c>
      <c r="B160" s="14" t="n">
        <f aca="false">A160/12</f>
        <v>13</v>
      </c>
      <c r="C160" s="15" t="n">
        <f aca="false">INT(A160/6)</f>
        <v>26</v>
      </c>
      <c r="D160" s="16" t="n">
        <f aca="false">IF(C160=0,(1+Dic2023!$G$6)^(-B160),EXP(LN(INDEX(Dic2023!$H$6:$H$205,C160))+(LN(INDEX(Dic2023!$H$6:$H$205,MIN(C160+1,200)))-LN(INDEX(Dic2023!$H$6:$H$205,C160)))*(A160-6*C160)/6))</f>
        <v>0.522245983131577</v>
      </c>
      <c r="E160" s="12" t="n">
        <f aca="false">D160^(-1/B160)-1</f>
        <v>0.0512400900000003</v>
      </c>
      <c r="F160" s="12" t="n">
        <f aca="false">(1+E160)^(1/12)-1</f>
        <v>0.00417289114725294</v>
      </c>
      <c r="G160" s="16" t="n">
        <f aca="false">IF(C160=0,(1+Dic2023!$J$6)^(-B160),EXP(LN(INDEX(Dic2023!$K$6:$K$205,C160))+(LN(INDEX(Dic2023!$K$6:$K$205,MIN(C160+1,200)))-LN(INDEX(Dic2023!$K$6:$K$205,C160)))*(A160-6*C160)/6))</f>
        <v>0.522245983131577</v>
      </c>
      <c r="H160" s="12" t="n">
        <f aca="false">G160^(-1/B160)-1</f>
        <v>0.0512400900000003</v>
      </c>
      <c r="I160" s="12" t="n">
        <f aca="false">(1+H160)^(1/12)-1</f>
        <v>0.00417289114725294</v>
      </c>
      <c r="J160" s="16" t="n">
        <f aca="false">IF(C160=0,(1+Dic2023!$M$6)^(-B160),EXP(LN(INDEX(Dic2023!$N$6:$N$205,C160))+(LN(INDEX(Dic2023!$N$6:$N$205,MIN(C160+1,200)))-LN(INDEX(Dic2023!$N$6:$N$205,C160)))*(A160-6*C160)/6))</f>
        <v>0.522245983131577</v>
      </c>
      <c r="K160" s="12" t="n">
        <f aca="false">J160^(-1/B160)-1</f>
        <v>0.0512400900000003</v>
      </c>
      <c r="L160" s="12" t="n">
        <f aca="false">(1+K160)^(1/12)-1</f>
        <v>0.00417289114725294</v>
      </c>
    </row>
    <row r="161" customFormat="false" ht="15" hidden="false" customHeight="false" outlineLevel="0" collapsed="false">
      <c r="A161" s="4" t="n">
        <v>157</v>
      </c>
      <c r="B161" s="14" t="n">
        <f aca="false">A161/12</f>
        <v>13.0833333333333</v>
      </c>
      <c r="C161" s="15" t="n">
        <f aca="false">INT(A161/6)</f>
        <v>26</v>
      </c>
      <c r="D161" s="16" t="n">
        <f aca="false">IF(C161=0,(1+Dic2023!$G$6)^(-B161),EXP(LN(INDEX(Dic2023!$H$6:$H$205,C161))+(LN(INDEX(Dic2023!$H$6:$H$205,MIN(C161+1,200)))-LN(INDEX(Dic2023!$H$6:$H$205,C161)))*(A161-6*C161)/6))</f>
        <v>0.519961649317076</v>
      </c>
      <c r="E161" s="12" t="n">
        <f aca="false">D161^(-1/B161)-1</f>
        <v>0.0512577222657185</v>
      </c>
      <c r="F161" s="12" t="n">
        <f aca="false">(1+E161)^(1/12)-1</f>
        <v>0.00417429470445008</v>
      </c>
      <c r="G161" s="16" t="n">
        <f aca="false">IF(C161=0,(1+Dic2023!$J$6)^(-B161),EXP(LN(INDEX(Dic2023!$K$6:$K$205,C161))+(LN(INDEX(Dic2023!$K$6:$K$205,MIN(C161+1,200)))-LN(INDEX(Dic2023!$K$6:$K$205,C161)))*(A161-6*C161)/6))</f>
        <v>0.519961649317076</v>
      </c>
      <c r="H161" s="12" t="n">
        <f aca="false">G161^(-1/B161)-1</f>
        <v>0.0512577222657185</v>
      </c>
      <c r="I161" s="12" t="n">
        <f aca="false">(1+H161)^(1/12)-1</f>
        <v>0.00417429470445008</v>
      </c>
      <c r="J161" s="16" t="n">
        <f aca="false">IF(C161=0,(1+Dic2023!$M$6)^(-B161),EXP(LN(INDEX(Dic2023!$N$6:$N$205,C161))+(LN(INDEX(Dic2023!$N$6:$N$205,MIN(C161+1,200)))-LN(INDEX(Dic2023!$N$6:$N$205,C161)))*(A161-6*C161)/6))</f>
        <v>0.519961649317076</v>
      </c>
      <c r="K161" s="12" t="n">
        <f aca="false">J161^(-1/B161)-1</f>
        <v>0.0512577222657185</v>
      </c>
      <c r="L161" s="12" t="n">
        <f aca="false">(1+K161)^(1/12)-1</f>
        <v>0.00417429470445008</v>
      </c>
    </row>
    <row r="162" customFormat="false" ht="15" hidden="false" customHeight="false" outlineLevel="0" collapsed="false">
      <c r="A162" s="4" t="n">
        <v>158</v>
      </c>
      <c r="B162" s="14" t="n">
        <f aca="false">A162/12</f>
        <v>13.1666666666667</v>
      </c>
      <c r="C162" s="15" t="n">
        <f aca="false">INT(A162/6)</f>
        <v>26</v>
      </c>
      <c r="D162" s="16" t="n">
        <f aca="false">IF(C162=0,(1+Dic2023!$G$6)^(-B162),EXP(LN(INDEX(Dic2023!$H$6:$H$205,C162))+(LN(INDEX(Dic2023!$H$6:$H$205,MIN(C162+1,200)))-LN(INDEX(Dic2023!$H$6:$H$205,C162)))*(A162-6*C162)/6))</f>
        <v>0.517687307309395</v>
      </c>
      <c r="E162" s="12" t="n">
        <f aca="false">D162^(-1/B162)-1</f>
        <v>0.0512751316283508</v>
      </c>
      <c r="F162" s="12" t="n">
        <f aca="false">(1+E162)^(1/12)-1</f>
        <v>0.00417568049702499</v>
      </c>
      <c r="G162" s="16" t="n">
        <f aca="false">IF(C162=0,(1+Dic2023!$J$6)^(-B162),EXP(LN(INDEX(Dic2023!$K$6:$K$205,C162))+(LN(INDEX(Dic2023!$K$6:$K$205,MIN(C162+1,200)))-LN(INDEX(Dic2023!$K$6:$K$205,C162)))*(A162-6*C162)/6))</f>
        <v>0.517687307309395</v>
      </c>
      <c r="H162" s="12" t="n">
        <f aca="false">G162^(-1/B162)-1</f>
        <v>0.0512751316283508</v>
      </c>
      <c r="I162" s="12" t="n">
        <f aca="false">(1+H162)^(1/12)-1</f>
        <v>0.00417568049702499</v>
      </c>
      <c r="J162" s="16" t="n">
        <f aca="false">IF(C162=0,(1+Dic2023!$M$6)^(-B162),EXP(LN(INDEX(Dic2023!$N$6:$N$205,C162))+(LN(INDEX(Dic2023!$N$6:$N$205,MIN(C162+1,200)))-LN(INDEX(Dic2023!$N$6:$N$205,C162)))*(A162-6*C162)/6))</f>
        <v>0.517687307309395</v>
      </c>
      <c r="K162" s="12" t="n">
        <f aca="false">J162^(-1/B162)-1</f>
        <v>0.0512751316283508</v>
      </c>
      <c r="L162" s="12" t="n">
        <f aca="false">(1+K162)^(1/12)-1</f>
        <v>0.00417568049702499</v>
      </c>
    </row>
    <row r="163" customFormat="false" ht="15" hidden="false" customHeight="false" outlineLevel="0" collapsed="false">
      <c r="A163" s="4" t="n">
        <v>159</v>
      </c>
      <c r="B163" s="14" t="n">
        <f aca="false">A163/12</f>
        <v>13.25</v>
      </c>
      <c r="C163" s="15" t="n">
        <f aca="false">INT(A163/6)</f>
        <v>26</v>
      </c>
      <c r="D163" s="16" t="n">
        <f aca="false">IF(C163=0,(1+Dic2023!$G$6)^(-B163),EXP(LN(INDEX(Dic2023!$H$6:$H$205,C163))+(LN(INDEX(Dic2023!$H$6:$H$205,MIN(C163+1,200)))-LN(INDEX(Dic2023!$H$6:$H$205,C163)))*(A163-6*C163)/6))</f>
        <v>0.5154229134038</v>
      </c>
      <c r="E163" s="12" t="n">
        <f aca="false">D163^(-1/B163)-1</f>
        <v>0.0512923222881807</v>
      </c>
      <c r="F163" s="12" t="n">
        <f aca="false">(1+E163)^(1/12)-1</f>
        <v>0.00417704886012338</v>
      </c>
      <c r="G163" s="16" t="n">
        <f aca="false">IF(C163=0,(1+Dic2023!$J$6)^(-B163),EXP(LN(INDEX(Dic2023!$K$6:$K$205,C163))+(LN(INDEX(Dic2023!$K$6:$K$205,MIN(C163+1,200)))-LN(INDEX(Dic2023!$K$6:$K$205,C163)))*(A163-6*C163)/6))</f>
        <v>0.5154229134038</v>
      </c>
      <c r="H163" s="12" t="n">
        <f aca="false">G163^(-1/B163)-1</f>
        <v>0.0512923222881807</v>
      </c>
      <c r="I163" s="12" t="n">
        <f aca="false">(1+H163)^(1/12)-1</f>
        <v>0.00417704886012338</v>
      </c>
      <c r="J163" s="16" t="n">
        <f aca="false">IF(C163=0,(1+Dic2023!$M$6)^(-B163),EXP(LN(INDEX(Dic2023!$N$6:$N$205,C163))+(LN(INDEX(Dic2023!$N$6:$N$205,MIN(C163+1,200)))-LN(INDEX(Dic2023!$N$6:$N$205,C163)))*(A163-6*C163)/6))</f>
        <v>0.5154229134038</v>
      </c>
      <c r="K163" s="12" t="n">
        <f aca="false">J163^(-1/B163)-1</f>
        <v>0.0512923222881807</v>
      </c>
      <c r="L163" s="12" t="n">
        <f aca="false">(1+K163)^(1/12)-1</f>
        <v>0.00417704886012338</v>
      </c>
    </row>
    <row r="164" customFormat="false" ht="15" hidden="false" customHeight="false" outlineLevel="0" collapsed="false">
      <c r="A164" s="4" t="n">
        <v>160</v>
      </c>
      <c r="B164" s="14" t="n">
        <f aca="false">A164/12</f>
        <v>13.3333333333333</v>
      </c>
      <c r="C164" s="15" t="n">
        <f aca="false">INT(A164/6)</f>
        <v>26</v>
      </c>
      <c r="D164" s="16" t="n">
        <f aca="false">IF(C164=0,(1+Dic2023!$G$6)^(-B164),EXP(LN(INDEX(Dic2023!$H$6:$H$205,C164))+(LN(INDEX(Dic2023!$H$6:$H$205,MIN(C164+1,200)))-LN(INDEX(Dic2023!$H$6:$H$205,C164)))*(A164-6*C164)/6))</f>
        <v>0.513168424086722</v>
      </c>
      <c r="E164" s="12" t="n">
        <f aca="false">D164^(-1/B164)-1</f>
        <v>0.0513092983406189</v>
      </c>
      <c r="F164" s="12" t="n">
        <f aca="false">(1+E164)^(1/12)-1</f>
        <v>0.00417840012051296</v>
      </c>
      <c r="G164" s="16" t="n">
        <f aca="false">IF(C164=0,(1+Dic2023!$J$6)^(-B164),EXP(LN(INDEX(Dic2023!$K$6:$K$205,C164))+(LN(INDEX(Dic2023!$K$6:$K$205,MIN(C164+1,200)))-LN(INDEX(Dic2023!$K$6:$K$205,C164)))*(A164-6*C164)/6))</f>
        <v>0.513168424086722</v>
      </c>
      <c r="H164" s="12" t="n">
        <f aca="false">G164^(-1/B164)-1</f>
        <v>0.0513092983406189</v>
      </c>
      <c r="I164" s="12" t="n">
        <f aca="false">(1+H164)^(1/12)-1</f>
        <v>0.00417840012051296</v>
      </c>
      <c r="J164" s="16" t="n">
        <f aca="false">IF(C164=0,(1+Dic2023!$M$6)^(-B164),EXP(LN(INDEX(Dic2023!$N$6:$N$205,C164))+(LN(INDEX(Dic2023!$N$6:$N$205,MIN(C164+1,200)))-LN(INDEX(Dic2023!$N$6:$N$205,C164)))*(A164-6*C164)/6))</f>
        <v>0.513168424086722</v>
      </c>
      <c r="K164" s="12" t="n">
        <f aca="false">J164^(-1/B164)-1</f>
        <v>0.0513092983406189</v>
      </c>
      <c r="L164" s="12" t="n">
        <f aca="false">(1+K164)^(1/12)-1</f>
        <v>0.00417840012051296</v>
      </c>
    </row>
    <row r="165" customFormat="false" ht="15" hidden="false" customHeight="false" outlineLevel="0" collapsed="false">
      <c r="A165" s="4" t="n">
        <v>161</v>
      </c>
      <c r="B165" s="14" t="n">
        <f aca="false">A165/12</f>
        <v>13.4166666666667</v>
      </c>
      <c r="C165" s="15" t="n">
        <f aca="false">INT(A165/6)</f>
        <v>26</v>
      </c>
      <c r="D165" s="16" t="n">
        <f aca="false">IF(C165=0,(1+Dic2023!$G$6)^(-B165),EXP(LN(INDEX(Dic2023!$H$6:$H$205,C165))+(LN(INDEX(Dic2023!$H$6:$H$205,MIN(C165+1,200)))-LN(INDEX(Dic2023!$H$6:$H$205,C165)))*(A165-6*C165)/6))</f>
        <v>0.510923796034924</v>
      </c>
      <c r="E165" s="12" t="n">
        <f aca="false">D165^(-1/B165)-1</f>
        <v>0.051326063779457</v>
      </c>
      <c r="F165" s="12" t="n">
        <f aca="false">(1+E165)^(1/12)-1</f>
        <v>0.00417973459684351</v>
      </c>
      <c r="G165" s="16" t="n">
        <f aca="false">IF(C165=0,(1+Dic2023!$J$6)^(-B165),EXP(LN(INDEX(Dic2023!$K$6:$K$205,C165))+(LN(INDEX(Dic2023!$K$6:$K$205,MIN(C165+1,200)))-LN(INDEX(Dic2023!$K$6:$K$205,C165)))*(A165-6*C165)/6))</f>
        <v>0.510923796034924</v>
      </c>
      <c r="H165" s="12" t="n">
        <f aca="false">G165^(-1/B165)-1</f>
        <v>0.051326063779457</v>
      </c>
      <c r="I165" s="12" t="n">
        <f aca="false">(1+H165)^(1/12)-1</f>
        <v>0.00417973459684351</v>
      </c>
      <c r="J165" s="16" t="n">
        <f aca="false">IF(C165=0,(1+Dic2023!$M$6)^(-B165),EXP(LN(INDEX(Dic2023!$N$6:$N$205,C165))+(LN(INDEX(Dic2023!$N$6:$N$205,MIN(C165+1,200)))-LN(INDEX(Dic2023!$N$6:$N$205,C165)))*(A165-6*C165)/6))</f>
        <v>0.510923796034924</v>
      </c>
      <c r="K165" s="12" t="n">
        <f aca="false">J165^(-1/B165)-1</f>
        <v>0.051326063779457</v>
      </c>
      <c r="L165" s="12" t="n">
        <f aca="false">(1+K165)^(1/12)-1</f>
        <v>0.00417973459684351</v>
      </c>
    </row>
    <row r="166" customFormat="false" ht="15" hidden="false" customHeight="false" outlineLevel="0" collapsed="false">
      <c r="A166" s="4" t="n">
        <v>162</v>
      </c>
      <c r="B166" s="14" t="n">
        <f aca="false">A166/12</f>
        <v>13.5</v>
      </c>
      <c r="C166" s="15" t="n">
        <f aca="false">INT(A166/6)</f>
        <v>27</v>
      </c>
      <c r="D166" s="16" t="n">
        <f aca="false">IF(C166=0,(1+Dic2023!$G$6)^(-B166),EXP(LN(INDEX(Dic2023!$H$6:$H$205,C166))+(LN(INDEX(Dic2023!$H$6:$H$205,MIN(C166+1,200)))-LN(INDEX(Dic2023!$H$6:$H$205,C166)))*(A166-6*C166)/6))</f>
        <v>0.508688986114669</v>
      </c>
      <c r="E166" s="12" t="n">
        <f aca="false">D166^(-1/B166)-1</f>
        <v>0.0513426225</v>
      </c>
      <c r="F166" s="12" t="n">
        <f aca="false">(1+E166)^(1/12)-1</f>
        <v>0.00418105259989865</v>
      </c>
      <c r="G166" s="16" t="n">
        <f aca="false">IF(C166=0,(1+Dic2023!$J$6)^(-B166),EXP(LN(INDEX(Dic2023!$K$6:$K$205,C166))+(LN(INDEX(Dic2023!$K$6:$K$205,MIN(C166+1,200)))-LN(INDEX(Dic2023!$K$6:$K$205,C166)))*(A166-6*C166)/6))</f>
        <v>0.508688986114669</v>
      </c>
      <c r="H166" s="12" t="n">
        <f aca="false">G166^(-1/B166)-1</f>
        <v>0.0513426225</v>
      </c>
      <c r="I166" s="12" t="n">
        <f aca="false">(1+H166)^(1/12)-1</f>
        <v>0.00418105259989865</v>
      </c>
      <c r="J166" s="16" t="n">
        <f aca="false">IF(C166=0,(1+Dic2023!$M$6)^(-B166),EXP(LN(INDEX(Dic2023!$N$6:$N$205,C166))+(LN(INDEX(Dic2023!$N$6:$N$205,MIN(C166+1,200)))-LN(INDEX(Dic2023!$N$6:$N$205,C166)))*(A166-6*C166)/6))</f>
        <v>0.508688986114669</v>
      </c>
      <c r="K166" s="12" t="n">
        <f aca="false">J166^(-1/B166)-1</f>
        <v>0.0513426225</v>
      </c>
      <c r="L166" s="12" t="n">
        <f aca="false">(1+K166)^(1/12)-1</f>
        <v>0.00418105259989865</v>
      </c>
    </row>
    <row r="167" customFormat="false" ht="15" hidden="false" customHeight="false" outlineLevel="0" collapsed="false">
      <c r="A167" s="4" t="n">
        <v>163</v>
      </c>
      <c r="B167" s="14" t="n">
        <f aca="false">A167/12</f>
        <v>13.5833333333333</v>
      </c>
      <c r="C167" s="15" t="n">
        <f aca="false">INT(A167/6)</f>
        <v>27</v>
      </c>
      <c r="D167" s="16" t="n">
        <f aca="false">IF(C167=0,(1+Dic2023!$G$6)^(-B167),EXP(LN(INDEX(Dic2023!$H$6:$H$205,C167))+(LN(INDEX(Dic2023!$H$6:$H$205,MIN(C167+1,200)))-LN(INDEX(Dic2023!$H$6:$H$205,C167)))*(A167-6*C167)/6))</f>
        <v>0.506455724492022</v>
      </c>
      <c r="E167" s="12" t="n">
        <f aca="false">D167^(-1/B167)-1</f>
        <v>0.0513602355923333</v>
      </c>
      <c r="F167" s="12" t="n">
        <f aca="false">(1+E167)^(1/12)-1</f>
        <v>0.004182454505536</v>
      </c>
      <c r="G167" s="16" t="n">
        <f aca="false">IF(C167=0,(1+Dic2023!$J$6)^(-B167),EXP(LN(INDEX(Dic2023!$K$6:$K$205,C167))+(LN(INDEX(Dic2023!$K$6:$K$205,MIN(C167+1,200)))-LN(INDEX(Dic2023!$K$6:$K$205,C167)))*(A167-6*C167)/6))</f>
        <v>0.506455724492022</v>
      </c>
      <c r="H167" s="12" t="n">
        <f aca="false">G167^(-1/B167)-1</f>
        <v>0.0513602355923333</v>
      </c>
      <c r="I167" s="12" t="n">
        <f aca="false">(1+H167)^(1/12)-1</f>
        <v>0.004182454505536</v>
      </c>
      <c r="J167" s="16" t="n">
        <f aca="false">IF(C167=0,(1+Dic2023!$M$6)^(-B167),EXP(LN(INDEX(Dic2023!$N$6:$N$205,C167))+(LN(INDEX(Dic2023!$N$6:$N$205,MIN(C167+1,200)))-LN(INDEX(Dic2023!$N$6:$N$205,C167)))*(A167-6*C167)/6))</f>
        <v>0.506455724492022</v>
      </c>
      <c r="K167" s="12" t="n">
        <f aca="false">J167^(-1/B167)-1</f>
        <v>0.0513602355923333</v>
      </c>
      <c r="L167" s="12" t="n">
        <f aca="false">(1+K167)^(1/12)-1</f>
        <v>0.004182454505536</v>
      </c>
    </row>
    <row r="168" customFormat="false" ht="15" hidden="false" customHeight="false" outlineLevel="0" collapsed="false">
      <c r="A168" s="4" t="n">
        <v>164</v>
      </c>
      <c r="B168" s="14" t="n">
        <f aca="false">A168/12</f>
        <v>13.6666666666667</v>
      </c>
      <c r="C168" s="15" t="n">
        <f aca="false">INT(A168/6)</f>
        <v>27</v>
      </c>
      <c r="D168" s="16" t="n">
        <f aca="false">IF(C168=0,(1+Dic2023!$G$6)^(-B168),EXP(LN(INDEX(Dic2023!$H$6:$H$205,C168))+(LN(INDEX(Dic2023!$H$6:$H$205,MIN(C168+1,200)))-LN(INDEX(Dic2023!$H$6:$H$205,C168)))*(A168-6*C168)/6))</f>
        <v>0.504232267401439</v>
      </c>
      <c r="E168" s="12" t="n">
        <f aca="false">D168^(-1/B168)-1</f>
        <v>0.0513776341805532</v>
      </c>
      <c r="F168" s="12" t="n">
        <f aca="false">(1+E168)^(1/12)-1</f>
        <v>0.00418383931668487</v>
      </c>
      <c r="G168" s="16" t="n">
        <f aca="false">IF(C168=0,(1+Dic2023!$J$6)^(-B168),EXP(LN(INDEX(Dic2023!$K$6:$K$205,C168))+(LN(INDEX(Dic2023!$K$6:$K$205,MIN(C168+1,200)))-LN(INDEX(Dic2023!$K$6:$K$205,C168)))*(A168-6*C168)/6))</f>
        <v>0.504232267401439</v>
      </c>
      <c r="H168" s="12" t="n">
        <f aca="false">G168^(-1/B168)-1</f>
        <v>0.0513776341805532</v>
      </c>
      <c r="I168" s="12" t="n">
        <f aca="false">(1+H168)^(1/12)-1</f>
        <v>0.00418383931668487</v>
      </c>
      <c r="J168" s="16" t="n">
        <f aca="false">IF(C168=0,(1+Dic2023!$M$6)^(-B168),EXP(LN(INDEX(Dic2023!$N$6:$N$205,C168))+(LN(INDEX(Dic2023!$N$6:$N$205,MIN(C168+1,200)))-LN(INDEX(Dic2023!$N$6:$N$205,C168)))*(A168-6*C168)/6))</f>
        <v>0.504232267401439</v>
      </c>
      <c r="K168" s="12" t="n">
        <f aca="false">J168^(-1/B168)-1</f>
        <v>0.0513776341805532</v>
      </c>
      <c r="L168" s="12" t="n">
        <f aca="false">(1+K168)^(1/12)-1</f>
        <v>0.00418383931668487</v>
      </c>
    </row>
    <row r="169" customFormat="false" ht="15" hidden="false" customHeight="false" outlineLevel="0" collapsed="false">
      <c r="A169" s="4" t="n">
        <v>165</v>
      </c>
      <c r="B169" s="14" t="n">
        <f aca="false">A169/12</f>
        <v>13.75</v>
      </c>
      <c r="C169" s="15" t="n">
        <f aca="false">INT(A169/6)</f>
        <v>27</v>
      </c>
      <c r="D169" s="16" t="n">
        <f aca="false">IF(C169=0,(1+Dic2023!$G$6)^(-B169),EXP(LN(INDEX(Dic2023!$H$6:$H$205,C169))+(LN(INDEX(Dic2023!$H$6:$H$205,MIN(C169+1,200)))-LN(INDEX(Dic2023!$H$6:$H$205,C169)))*(A169-6*C169)/6))</f>
        <v>0.502018571798771</v>
      </c>
      <c r="E169" s="12" t="n">
        <f aca="false">D169^(-1/B169)-1</f>
        <v>0.0513948221595038</v>
      </c>
      <c r="F169" s="12" t="n">
        <f aca="false">(1+E169)^(1/12)-1</f>
        <v>0.00418520734411931</v>
      </c>
      <c r="G169" s="16" t="n">
        <f aca="false">IF(C169=0,(1+Dic2023!$J$6)^(-B169),EXP(LN(INDEX(Dic2023!$K$6:$K$205,C169))+(LN(INDEX(Dic2023!$K$6:$K$205,MIN(C169+1,200)))-LN(INDEX(Dic2023!$K$6:$K$205,C169)))*(A169-6*C169)/6))</f>
        <v>0.502018571798771</v>
      </c>
      <c r="H169" s="12" t="n">
        <f aca="false">G169^(-1/B169)-1</f>
        <v>0.0513948221595038</v>
      </c>
      <c r="I169" s="12" t="n">
        <f aca="false">(1+H169)^(1/12)-1</f>
        <v>0.00418520734411931</v>
      </c>
      <c r="J169" s="16" t="n">
        <f aca="false">IF(C169=0,(1+Dic2023!$M$6)^(-B169),EXP(LN(INDEX(Dic2023!$N$6:$N$205,C169))+(LN(INDEX(Dic2023!$N$6:$N$205,MIN(C169+1,200)))-LN(INDEX(Dic2023!$N$6:$N$205,C169)))*(A169-6*C169)/6))</f>
        <v>0.502018571798771</v>
      </c>
      <c r="K169" s="12" t="n">
        <f aca="false">J169^(-1/B169)-1</f>
        <v>0.0513948221595038</v>
      </c>
      <c r="L169" s="12" t="n">
        <f aca="false">(1+K169)^(1/12)-1</f>
        <v>0.00418520734411931</v>
      </c>
    </row>
    <row r="170" customFormat="false" ht="15" hidden="false" customHeight="false" outlineLevel="0" collapsed="false">
      <c r="A170" s="4" t="n">
        <v>166</v>
      </c>
      <c r="B170" s="14" t="n">
        <f aca="false">A170/12</f>
        <v>13.8333333333333</v>
      </c>
      <c r="C170" s="15" t="n">
        <f aca="false">INT(A170/6)</f>
        <v>27</v>
      </c>
      <c r="D170" s="16" t="n">
        <f aca="false">IF(C170=0,(1+Dic2023!$G$6)^(-B170),EXP(LN(INDEX(Dic2023!$H$6:$H$205,C170))+(LN(INDEX(Dic2023!$H$6:$H$205,MIN(C170+1,200)))-LN(INDEX(Dic2023!$H$6:$H$205,C170)))*(A170-6*C170)/6))</f>
        <v>0.499814594828839</v>
      </c>
      <c r="E170" s="12" t="n">
        <f aca="false">D170^(-1/B170)-1</f>
        <v>0.051411803330303</v>
      </c>
      <c r="F170" s="12" t="n">
        <f aca="false">(1+E170)^(1/12)-1</f>
        <v>0.0041865588911254</v>
      </c>
      <c r="G170" s="16" t="n">
        <f aca="false">IF(C170=0,(1+Dic2023!$J$6)^(-B170),EXP(LN(INDEX(Dic2023!$K$6:$K$205,C170))+(LN(INDEX(Dic2023!$K$6:$K$205,MIN(C170+1,200)))-LN(INDEX(Dic2023!$K$6:$K$205,C170)))*(A170-6*C170)/6))</f>
        <v>0.499814594828839</v>
      </c>
      <c r="H170" s="12" t="n">
        <f aca="false">G170^(-1/B170)-1</f>
        <v>0.051411803330303</v>
      </c>
      <c r="I170" s="12" t="n">
        <f aca="false">(1+H170)^(1/12)-1</f>
        <v>0.0041865588911254</v>
      </c>
      <c r="J170" s="16" t="n">
        <f aca="false">IF(C170=0,(1+Dic2023!$M$6)^(-B170),EXP(LN(INDEX(Dic2023!$N$6:$N$205,C170))+(LN(INDEX(Dic2023!$N$6:$N$205,MIN(C170+1,200)))-LN(INDEX(Dic2023!$N$6:$N$205,C170)))*(A170-6*C170)/6))</f>
        <v>0.499814594828839</v>
      </c>
      <c r="K170" s="12" t="n">
        <f aca="false">J170^(-1/B170)-1</f>
        <v>0.051411803330303</v>
      </c>
      <c r="L170" s="12" t="n">
        <f aca="false">(1+K170)^(1/12)-1</f>
        <v>0.0041865588911254</v>
      </c>
    </row>
    <row r="171" customFormat="false" ht="15" hidden="false" customHeight="false" outlineLevel="0" collapsed="false">
      <c r="A171" s="4" t="n">
        <v>167</v>
      </c>
      <c r="B171" s="14" t="n">
        <f aca="false">A171/12</f>
        <v>13.9166666666667</v>
      </c>
      <c r="C171" s="15" t="n">
        <f aca="false">INT(A171/6)</f>
        <v>27</v>
      </c>
      <c r="D171" s="16" t="n">
        <f aca="false">IF(C171=0,(1+Dic2023!$G$6)^(-B171),EXP(LN(INDEX(Dic2023!$H$6:$H$205,C171))+(LN(INDEX(Dic2023!$H$6:$H$205,MIN(C171+1,200)))-LN(INDEX(Dic2023!$H$6:$H$205,C171)))*(A171-6*C171)/6))</f>
        <v>0.497620293824613</v>
      </c>
      <c r="E171" s="12" t="n">
        <f aca="false">D171^(-1/B171)-1</f>
        <v>0.0514285814031443</v>
      </c>
      <c r="F171" s="12" t="n">
        <f aca="false">(1+E171)^(1/12)-1</f>
        <v>0.00418789425372634</v>
      </c>
      <c r="G171" s="16" t="n">
        <f aca="false">IF(C171=0,(1+Dic2023!$J$6)^(-B171),EXP(LN(INDEX(Dic2023!$K$6:$K$205,C171))+(LN(INDEX(Dic2023!$K$6:$K$205,MIN(C171+1,200)))-LN(INDEX(Dic2023!$K$6:$K$205,C171)))*(A171-6*C171)/6))</f>
        <v>0.497620293824613</v>
      </c>
      <c r="H171" s="12" t="n">
        <f aca="false">G171^(-1/B171)-1</f>
        <v>0.0514285814031443</v>
      </c>
      <c r="I171" s="12" t="n">
        <f aca="false">(1+H171)^(1/12)-1</f>
        <v>0.00418789425372634</v>
      </c>
      <c r="J171" s="16" t="n">
        <f aca="false">IF(C171=0,(1+Dic2023!$M$6)^(-B171),EXP(LN(INDEX(Dic2023!$N$6:$N$205,C171))+(LN(INDEX(Dic2023!$N$6:$N$205,MIN(C171+1,200)))-LN(INDEX(Dic2023!$N$6:$N$205,C171)))*(A171-6*C171)/6))</f>
        <v>0.497620293824613</v>
      </c>
      <c r="K171" s="12" t="n">
        <f aca="false">J171^(-1/B171)-1</f>
        <v>0.0514285814031443</v>
      </c>
      <c r="L171" s="12" t="n">
        <f aca="false">(1+K171)^(1/12)-1</f>
        <v>0.00418789425372634</v>
      </c>
    </row>
    <row r="172" customFormat="false" ht="15" hidden="false" customHeight="false" outlineLevel="0" collapsed="false">
      <c r="A172" s="4" t="n">
        <v>168</v>
      </c>
      <c r="B172" s="14" t="n">
        <f aca="false">A172/12</f>
        <v>14</v>
      </c>
      <c r="C172" s="15" t="n">
        <f aca="false">INT(A172/6)</f>
        <v>28</v>
      </c>
      <c r="D172" s="16" t="n">
        <f aca="false">IF(C172=0,(1+Dic2023!$G$6)^(-B172),EXP(LN(INDEX(Dic2023!$H$6:$H$205,C172))+(LN(INDEX(Dic2023!$H$6:$H$205,MIN(C172+1,200)))-LN(INDEX(Dic2023!$H$6:$H$205,C172)))*(A172-6*C172)/6))</f>
        <v>0.495435626306377</v>
      </c>
      <c r="E172" s="12" t="n">
        <f aca="false">D172^(-1/B172)-1</f>
        <v>0.0514451600000001</v>
      </c>
      <c r="F172" s="12" t="n">
        <f aca="false">(1+E172)^(1/12)-1</f>
        <v>0.00418921372089787</v>
      </c>
      <c r="G172" s="16" t="n">
        <f aca="false">IF(C172=0,(1+Dic2023!$J$6)^(-B172),EXP(LN(INDEX(Dic2023!$K$6:$K$205,C172))+(LN(INDEX(Dic2023!$K$6:$K$205,MIN(C172+1,200)))-LN(INDEX(Dic2023!$K$6:$K$205,C172)))*(A172-6*C172)/6))</f>
        <v>0.495435626306377</v>
      </c>
      <c r="H172" s="12" t="n">
        <f aca="false">G172^(-1/B172)-1</f>
        <v>0.0514451600000001</v>
      </c>
      <c r="I172" s="12" t="n">
        <f aca="false">(1+H172)^(1/12)-1</f>
        <v>0.00418921372089787</v>
      </c>
      <c r="J172" s="16" t="n">
        <f aca="false">IF(C172=0,(1+Dic2023!$M$6)^(-B172),EXP(LN(INDEX(Dic2023!$N$6:$N$205,C172))+(LN(INDEX(Dic2023!$N$6:$N$205,MIN(C172+1,200)))-LN(INDEX(Dic2023!$N$6:$N$205,C172)))*(A172-6*C172)/6))</f>
        <v>0.495435626306377</v>
      </c>
      <c r="K172" s="12" t="n">
        <f aca="false">J172^(-1/B172)-1</f>
        <v>0.0514451600000001</v>
      </c>
      <c r="L172" s="12" t="n">
        <f aca="false">(1+K172)^(1/12)-1</f>
        <v>0.00418921372089787</v>
      </c>
    </row>
    <row r="173" customFormat="false" ht="15" hidden="false" customHeight="false" outlineLevel="0" collapsed="false">
      <c r="A173" s="4" t="n">
        <v>169</v>
      </c>
      <c r="B173" s="14" t="n">
        <f aca="false">A173/12</f>
        <v>14.0833333333333</v>
      </c>
      <c r="C173" s="15" t="n">
        <f aca="false">INT(A173/6)</f>
        <v>28</v>
      </c>
      <c r="D173" s="16" t="n">
        <f aca="false">IF(C173=0,(1+Dic2023!$G$6)^(-B173),EXP(LN(INDEX(Dic2023!$H$6:$H$205,C173))+(LN(INDEX(Dic2023!$H$6:$H$205,MIN(C173+1,200)))-LN(INDEX(Dic2023!$H$6:$H$205,C173)))*(A173-6*C173)/6))</f>
        <v>0.493252538151096</v>
      </c>
      <c r="E173" s="12" t="n">
        <f aca="false">D173^(-1/B173)-1</f>
        <v>0.0514627553395441</v>
      </c>
      <c r="F173" s="12" t="n">
        <f aca="false">(1+E173)^(1/12)-1</f>
        <v>0.00419061408832655</v>
      </c>
      <c r="G173" s="16" t="n">
        <f aca="false">IF(C173=0,(1+Dic2023!$J$6)^(-B173),EXP(LN(INDEX(Dic2023!$K$6:$K$205,C173))+(LN(INDEX(Dic2023!$K$6:$K$205,MIN(C173+1,200)))-LN(INDEX(Dic2023!$K$6:$K$205,C173)))*(A173-6*C173)/6))</f>
        <v>0.493252538151096</v>
      </c>
      <c r="H173" s="12" t="n">
        <f aca="false">G173^(-1/B173)-1</f>
        <v>0.0514627553395441</v>
      </c>
      <c r="I173" s="12" t="n">
        <f aca="false">(1+H173)^(1/12)-1</f>
        <v>0.00419061408832655</v>
      </c>
      <c r="J173" s="16" t="n">
        <f aca="false">IF(C173=0,(1+Dic2023!$M$6)^(-B173),EXP(LN(INDEX(Dic2023!$N$6:$N$205,C173))+(LN(INDEX(Dic2023!$N$6:$N$205,MIN(C173+1,200)))-LN(INDEX(Dic2023!$N$6:$N$205,C173)))*(A173-6*C173)/6))</f>
        <v>0.493252538151096</v>
      </c>
      <c r="K173" s="12" t="n">
        <f aca="false">J173^(-1/B173)-1</f>
        <v>0.0514627553395441</v>
      </c>
      <c r="L173" s="12" t="n">
        <f aca="false">(1+K173)^(1/12)-1</f>
        <v>0.00419061408832655</v>
      </c>
    </row>
    <row r="174" customFormat="false" ht="15" hidden="false" customHeight="false" outlineLevel="0" collapsed="false">
      <c r="A174" s="4" t="n">
        <v>170</v>
      </c>
      <c r="B174" s="14" t="n">
        <f aca="false">A174/12</f>
        <v>14.1666666666667</v>
      </c>
      <c r="C174" s="15" t="n">
        <f aca="false">INT(A174/6)</f>
        <v>28</v>
      </c>
      <c r="D174" s="16" t="n">
        <f aca="false">IF(C174=0,(1+Dic2023!$G$6)^(-B174),EXP(LN(INDEX(Dic2023!$H$6:$H$205,C174))+(LN(INDEX(Dic2023!$H$6:$H$205,MIN(C174+1,200)))-LN(INDEX(Dic2023!$H$6:$H$205,C174)))*(A174-6*C174)/6))</f>
        <v>0.491079069558156</v>
      </c>
      <c r="E174" s="12" t="n">
        <f aca="false">D174^(-1/B174)-1</f>
        <v>0.0514801439643657</v>
      </c>
      <c r="F174" s="12" t="n">
        <f aca="false">(1+E174)^(1/12)-1</f>
        <v>0.00419199798276293</v>
      </c>
      <c r="G174" s="16" t="n">
        <f aca="false">IF(C174=0,(1+Dic2023!$J$6)^(-B174),EXP(LN(INDEX(Dic2023!$K$6:$K$205,C174))+(LN(INDEX(Dic2023!$K$6:$K$205,MIN(C174+1,200)))-LN(INDEX(Dic2023!$K$6:$K$205,C174)))*(A174-6*C174)/6))</f>
        <v>0.491079069558156</v>
      </c>
      <c r="H174" s="12" t="n">
        <f aca="false">G174^(-1/B174)-1</f>
        <v>0.0514801439643657</v>
      </c>
      <c r="I174" s="12" t="n">
        <f aca="false">(1+H174)^(1/12)-1</f>
        <v>0.00419199798276293</v>
      </c>
      <c r="J174" s="16" t="n">
        <f aca="false">IF(C174=0,(1+Dic2023!$M$6)^(-B174),EXP(LN(INDEX(Dic2023!$N$6:$N$205,C174))+(LN(INDEX(Dic2023!$N$6:$N$205,MIN(C174+1,200)))-LN(INDEX(Dic2023!$N$6:$N$205,C174)))*(A174-6*C174)/6))</f>
        <v>0.491079069558156</v>
      </c>
      <c r="K174" s="12" t="n">
        <f aca="false">J174^(-1/B174)-1</f>
        <v>0.0514801439643657</v>
      </c>
      <c r="L174" s="12" t="n">
        <f aca="false">(1+K174)^(1/12)-1</f>
        <v>0.00419199798276293</v>
      </c>
    </row>
    <row r="175" customFormat="false" ht="15" hidden="false" customHeight="false" outlineLevel="0" collapsed="false">
      <c r="A175" s="4" t="n">
        <v>171</v>
      </c>
      <c r="B175" s="14" t="n">
        <f aca="false">A175/12</f>
        <v>14.25</v>
      </c>
      <c r="C175" s="15" t="n">
        <f aca="false">INT(A175/6)</f>
        <v>28</v>
      </c>
      <c r="D175" s="16" t="n">
        <f aca="false">IF(C175=0,(1+Dic2023!$G$6)^(-B175),EXP(LN(INDEX(Dic2023!$H$6:$H$205,C175))+(LN(INDEX(Dic2023!$H$6:$H$205,MIN(C175+1,200)))-LN(INDEX(Dic2023!$H$6:$H$205,C175)))*(A175-6*C175)/6))</f>
        <v>0.488915178139907</v>
      </c>
      <c r="E175" s="12" t="n">
        <f aca="false">D175^(-1/B175)-1</f>
        <v>0.0514973294959984</v>
      </c>
      <c r="F175" s="12" t="n">
        <f aca="false">(1+E175)^(1/12)-1</f>
        <v>0.00419336569317341</v>
      </c>
      <c r="G175" s="16" t="n">
        <f aca="false">IF(C175=0,(1+Dic2023!$J$6)^(-B175),EXP(LN(INDEX(Dic2023!$K$6:$K$205,C175))+(LN(INDEX(Dic2023!$K$6:$K$205,MIN(C175+1,200)))-LN(INDEX(Dic2023!$K$6:$K$205,C175)))*(A175-6*C175)/6))</f>
        <v>0.488915178139907</v>
      </c>
      <c r="H175" s="12" t="n">
        <f aca="false">G175^(-1/B175)-1</f>
        <v>0.0514973294959984</v>
      </c>
      <c r="I175" s="12" t="n">
        <f aca="false">(1+H175)^(1/12)-1</f>
        <v>0.00419336569317341</v>
      </c>
      <c r="J175" s="16" t="n">
        <f aca="false">IF(C175=0,(1+Dic2023!$M$6)^(-B175),EXP(LN(INDEX(Dic2023!$N$6:$N$205,C175))+(LN(INDEX(Dic2023!$N$6:$N$205,MIN(C175+1,200)))-LN(INDEX(Dic2023!$N$6:$N$205,C175)))*(A175-6*C175)/6))</f>
        <v>0.488915178139907</v>
      </c>
      <c r="K175" s="12" t="n">
        <f aca="false">J175^(-1/B175)-1</f>
        <v>0.0514973294959984</v>
      </c>
      <c r="L175" s="12" t="n">
        <f aca="false">(1+K175)^(1/12)-1</f>
        <v>0.00419336569317341</v>
      </c>
    </row>
    <row r="176" customFormat="false" ht="15" hidden="false" customHeight="false" outlineLevel="0" collapsed="false">
      <c r="A176" s="4" t="n">
        <v>172</v>
      </c>
      <c r="B176" s="14" t="n">
        <f aca="false">A176/12</f>
        <v>14.3333333333333</v>
      </c>
      <c r="C176" s="15" t="n">
        <f aca="false">INT(A176/6)</f>
        <v>28</v>
      </c>
      <c r="D176" s="16" t="n">
        <f aca="false">IF(C176=0,(1+Dic2023!$G$6)^(-B176),EXP(LN(INDEX(Dic2023!$H$6:$H$205,C176))+(LN(INDEX(Dic2023!$H$6:$H$205,MIN(C176+1,200)))-LN(INDEX(Dic2023!$H$6:$H$205,C176)))*(A176-6*C176)/6))</f>
        <v>0.486760821695475</v>
      </c>
      <c r="E176" s="12" t="n">
        <f aca="false">D176^(-1/B176)-1</f>
        <v>0.0515143154718705</v>
      </c>
      <c r="F176" s="12" t="n">
        <f aca="false">(1+E176)^(1/12)-1</f>
        <v>0.00419471750180467</v>
      </c>
      <c r="G176" s="16" t="n">
        <f aca="false">IF(C176=0,(1+Dic2023!$J$6)^(-B176),EXP(LN(INDEX(Dic2023!$K$6:$K$205,C176))+(LN(INDEX(Dic2023!$K$6:$K$205,MIN(C176+1,200)))-LN(INDEX(Dic2023!$K$6:$K$205,C176)))*(A176-6*C176)/6))</f>
        <v>0.486760821695475</v>
      </c>
      <c r="H176" s="12" t="n">
        <f aca="false">G176^(-1/B176)-1</f>
        <v>0.0515143154718705</v>
      </c>
      <c r="I176" s="12" t="n">
        <f aca="false">(1+H176)^(1/12)-1</f>
        <v>0.00419471750180467</v>
      </c>
      <c r="J176" s="16" t="n">
        <f aca="false">IF(C176=0,(1+Dic2023!$M$6)^(-B176),EXP(LN(INDEX(Dic2023!$N$6:$N$205,C176))+(LN(INDEX(Dic2023!$N$6:$N$205,MIN(C176+1,200)))-LN(INDEX(Dic2023!$N$6:$N$205,C176)))*(A176-6*C176)/6))</f>
        <v>0.486760821695475</v>
      </c>
      <c r="K176" s="12" t="n">
        <f aca="false">J176^(-1/B176)-1</f>
        <v>0.0515143154718705</v>
      </c>
      <c r="L176" s="12" t="n">
        <f aca="false">(1+K176)^(1/12)-1</f>
        <v>0.00419471750180467</v>
      </c>
    </row>
    <row r="177" customFormat="false" ht="15" hidden="false" customHeight="false" outlineLevel="0" collapsed="false">
      <c r="A177" s="4" t="n">
        <v>173</v>
      </c>
      <c r="B177" s="14" t="n">
        <f aca="false">A177/12</f>
        <v>14.4166666666667</v>
      </c>
      <c r="C177" s="15" t="n">
        <f aca="false">INT(A177/6)</f>
        <v>28</v>
      </c>
      <c r="D177" s="16" t="n">
        <f aca="false">IF(C177=0,(1+Dic2023!$G$6)^(-B177),EXP(LN(INDEX(Dic2023!$H$6:$H$205,C177))+(LN(INDEX(Dic2023!$H$6:$H$205,MIN(C177+1,200)))-LN(INDEX(Dic2023!$H$6:$H$205,C177)))*(A177-6*C177)/6))</f>
        <v>0.484615958209938</v>
      </c>
      <c r="E177" s="12" t="n">
        <f aca="false">D177^(-1/B177)-1</f>
        <v>0.0515311053477321</v>
      </c>
      <c r="F177" s="12" t="n">
        <f aca="false">(1+E177)^(1/12)-1</f>
        <v>0.00419605368437903</v>
      </c>
      <c r="G177" s="16" t="n">
        <f aca="false">IF(C177=0,(1+Dic2023!$J$6)^(-B177),EXP(LN(INDEX(Dic2023!$K$6:$K$205,C177))+(LN(INDEX(Dic2023!$K$6:$K$205,MIN(C177+1,200)))-LN(INDEX(Dic2023!$K$6:$K$205,C177)))*(A177-6*C177)/6))</f>
        <v>0.484615958209938</v>
      </c>
      <c r="H177" s="12" t="n">
        <f aca="false">G177^(-1/B177)-1</f>
        <v>0.0515311053477321</v>
      </c>
      <c r="I177" s="12" t="n">
        <f aca="false">(1+H177)^(1/12)-1</f>
        <v>0.00419605368437903</v>
      </c>
      <c r="J177" s="16" t="n">
        <f aca="false">IF(C177=0,(1+Dic2023!$M$6)^(-B177),EXP(LN(INDEX(Dic2023!$N$6:$N$205,C177))+(LN(INDEX(Dic2023!$N$6:$N$205,MIN(C177+1,200)))-LN(INDEX(Dic2023!$N$6:$N$205,C177)))*(A177-6*C177)/6))</f>
        <v>0.484615958209938</v>
      </c>
      <c r="K177" s="12" t="n">
        <f aca="false">J177^(-1/B177)-1</f>
        <v>0.0515311053477321</v>
      </c>
      <c r="L177" s="12" t="n">
        <f aca="false">(1+K177)^(1/12)-1</f>
        <v>0.00419605368437903</v>
      </c>
    </row>
    <row r="178" customFormat="false" ht="15" hidden="false" customHeight="false" outlineLevel="0" collapsed="false">
      <c r="A178" s="4" t="n">
        <v>174</v>
      </c>
      <c r="B178" s="14" t="n">
        <f aca="false">A178/12</f>
        <v>14.5</v>
      </c>
      <c r="C178" s="15" t="n">
        <f aca="false">INT(A178/6)</f>
        <v>29</v>
      </c>
      <c r="D178" s="16" t="n">
        <f aca="false">IF(C178=0,(1+Dic2023!$G$6)^(-B178),EXP(LN(INDEX(Dic2023!$H$6:$H$205,C178))+(LN(INDEX(Dic2023!$H$6:$H$205,MIN(C178+1,200)))-LN(INDEX(Dic2023!$H$6:$H$205,C178)))*(A178-6*C178)/6))</f>
        <v>0.482480545853511</v>
      </c>
      <c r="E178" s="12" t="n">
        <f aca="false">D178^(-1/B178)-1</f>
        <v>0.0515477025</v>
      </c>
      <c r="F178" s="12" t="n">
        <f aca="false">(1+E178)^(1/12)-1</f>
        <v>0.00419737451028035</v>
      </c>
      <c r="G178" s="16" t="n">
        <f aca="false">IF(C178=0,(1+Dic2023!$J$6)^(-B178),EXP(LN(INDEX(Dic2023!$K$6:$K$205,C178))+(LN(INDEX(Dic2023!$K$6:$K$205,MIN(C178+1,200)))-LN(INDEX(Dic2023!$K$6:$K$205,C178)))*(A178-6*C178)/6))</f>
        <v>0.482480545853511</v>
      </c>
      <c r="H178" s="12" t="n">
        <f aca="false">G178^(-1/B178)-1</f>
        <v>0.0515477025</v>
      </c>
      <c r="I178" s="12" t="n">
        <f aca="false">(1+H178)^(1/12)-1</f>
        <v>0.00419737451028035</v>
      </c>
      <c r="J178" s="16" t="n">
        <f aca="false">IF(C178=0,(1+Dic2023!$M$6)^(-B178),EXP(LN(INDEX(Dic2023!$N$6:$N$205,C178))+(LN(INDEX(Dic2023!$N$6:$N$205,MIN(C178+1,200)))-LN(INDEX(Dic2023!$N$6:$N$205,C178)))*(A178-6*C178)/6))</f>
        <v>0.482480545853511</v>
      </c>
      <c r="K178" s="12" t="n">
        <f aca="false">J178^(-1/B178)-1</f>
        <v>0.0515477025</v>
      </c>
      <c r="L178" s="12" t="n">
        <f aca="false">(1+K178)^(1/12)-1</f>
        <v>0.00419737451028035</v>
      </c>
    </row>
    <row r="179" customFormat="false" ht="15" hidden="false" customHeight="false" outlineLevel="0" collapsed="false">
      <c r="A179" s="4" t="n">
        <v>175</v>
      </c>
      <c r="B179" s="14" t="n">
        <f aca="false">A179/12</f>
        <v>14.5833333333333</v>
      </c>
      <c r="C179" s="15" t="n">
        <f aca="false">INT(A179/6)</f>
        <v>29</v>
      </c>
      <c r="D179" s="16" t="n">
        <f aca="false">IF(C179=0,(1+Dic2023!$G$6)^(-B179),EXP(LN(INDEX(Dic2023!$H$6:$H$205,C179))+(LN(INDEX(Dic2023!$H$6:$H$205,MIN(C179+1,200)))-LN(INDEX(Dic2023!$H$6:$H$205,C179)))*(A179-6*C179)/6))</f>
        <v>0.480346741348413</v>
      </c>
      <c r="E179" s="12" t="n">
        <f aca="false">D179^(-1/B179)-1</f>
        <v>0.0515652813612322</v>
      </c>
      <c r="F179" s="12" t="n">
        <f aca="false">(1+E179)^(1/12)-1</f>
        <v>0.00419877344119279</v>
      </c>
      <c r="G179" s="16" t="n">
        <f aca="false">IF(C179=0,(1+Dic2023!$J$6)^(-B179),EXP(LN(INDEX(Dic2023!$K$6:$K$205,C179))+(LN(INDEX(Dic2023!$K$6:$K$205,MIN(C179+1,200)))-LN(INDEX(Dic2023!$K$6:$K$205,C179)))*(A179-6*C179)/6))</f>
        <v>0.480346741348413</v>
      </c>
      <c r="H179" s="12" t="n">
        <f aca="false">G179^(-1/B179)-1</f>
        <v>0.0515652813612322</v>
      </c>
      <c r="I179" s="12" t="n">
        <f aca="false">(1+H179)^(1/12)-1</f>
        <v>0.00419877344119279</v>
      </c>
      <c r="J179" s="16" t="n">
        <f aca="false">IF(C179=0,(1+Dic2023!$M$6)^(-B179),EXP(LN(INDEX(Dic2023!$N$6:$N$205,C179))+(LN(INDEX(Dic2023!$N$6:$N$205,MIN(C179+1,200)))-LN(INDEX(Dic2023!$N$6:$N$205,C179)))*(A179-6*C179)/6))</f>
        <v>0.480346741348413</v>
      </c>
      <c r="K179" s="12" t="n">
        <f aca="false">J179^(-1/B179)-1</f>
        <v>0.0515652813612322</v>
      </c>
      <c r="L179" s="12" t="n">
        <f aca="false">(1+K179)^(1/12)-1</f>
        <v>0.00419877344119279</v>
      </c>
    </row>
    <row r="180" customFormat="false" ht="15" hidden="false" customHeight="false" outlineLevel="0" collapsed="false">
      <c r="A180" s="4" t="n">
        <v>176</v>
      </c>
      <c r="B180" s="14" t="n">
        <f aca="false">A180/12</f>
        <v>14.6666666666667</v>
      </c>
      <c r="C180" s="15" t="n">
        <f aca="false">INT(A180/6)</f>
        <v>29</v>
      </c>
      <c r="D180" s="16" t="n">
        <f aca="false">IF(C180=0,(1+Dic2023!$G$6)^(-B180),EXP(LN(INDEX(Dic2023!$H$6:$H$205,C180))+(LN(INDEX(Dic2023!$H$6:$H$205,MIN(C180+1,200)))-LN(INDEX(Dic2023!$H$6:$H$205,C180)))*(A180-6*C180)/6))</f>
        <v>0.478222373745393</v>
      </c>
      <c r="E180" s="12" t="n">
        <f aca="false">D180^(-1/B180)-1</f>
        <v>0.0515826607515555</v>
      </c>
      <c r="F180" s="12" t="n">
        <f aca="false">(1+E180)^(1/12)-1</f>
        <v>0.00420015647707861</v>
      </c>
      <c r="G180" s="16" t="n">
        <f aca="false">IF(C180=0,(1+Dic2023!$J$6)^(-B180),EXP(LN(INDEX(Dic2023!$K$6:$K$205,C180))+(LN(INDEX(Dic2023!$K$6:$K$205,MIN(C180+1,200)))-LN(INDEX(Dic2023!$K$6:$K$205,C180)))*(A180-6*C180)/6))</f>
        <v>0.478222373745393</v>
      </c>
      <c r="H180" s="12" t="n">
        <f aca="false">G180^(-1/B180)-1</f>
        <v>0.0515826607515555</v>
      </c>
      <c r="I180" s="12" t="n">
        <f aca="false">(1+H180)^(1/12)-1</f>
        <v>0.00420015647707861</v>
      </c>
      <c r="J180" s="16" t="n">
        <f aca="false">IF(C180=0,(1+Dic2023!$M$6)^(-B180),EXP(LN(INDEX(Dic2023!$N$6:$N$205,C180))+(LN(INDEX(Dic2023!$N$6:$N$205,MIN(C180+1,200)))-LN(INDEX(Dic2023!$N$6:$N$205,C180)))*(A180-6*C180)/6))</f>
        <v>0.478222373745393</v>
      </c>
      <c r="K180" s="12" t="n">
        <f aca="false">J180^(-1/B180)-1</f>
        <v>0.0515826607515555</v>
      </c>
      <c r="L180" s="12" t="n">
        <f aca="false">(1+K180)^(1/12)-1</f>
        <v>0.00420015647707861</v>
      </c>
    </row>
    <row r="181" customFormat="false" ht="15" hidden="false" customHeight="false" outlineLevel="0" collapsed="false">
      <c r="A181" s="4" t="n">
        <v>177</v>
      </c>
      <c r="B181" s="14" t="n">
        <f aca="false">A181/12</f>
        <v>14.75</v>
      </c>
      <c r="C181" s="15" t="n">
        <f aca="false">INT(A181/6)</f>
        <v>29</v>
      </c>
      <c r="D181" s="16" t="n">
        <f aca="false">IF(C181=0,(1+Dic2023!$G$6)^(-B181),EXP(LN(INDEX(Dic2023!$H$6:$H$205,C181))+(LN(INDEX(Dic2023!$H$6:$H$205,MIN(C181+1,200)))-LN(INDEX(Dic2023!$H$6:$H$205,C181)))*(A181-6*C181)/6))</f>
        <v>0.476107401309081</v>
      </c>
      <c r="E181" s="12" t="n">
        <f aca="false">D181^(-1/B181)-1</f>
        <v>0.0515998440469689</v>
      </c>
      <c r="F181" s="12" t="n">
        <f aca="false">(1+E181)^(1/12)-1</f>
        <v>0.00420152388731321</v>
      </c>
      <c r="G181" s="16" t="n">
        <f aca="false">IF(C181=0,(1+Dic2023!$J$6)^(-B181),EXP(LN(INDEX(Dic2023!$K$6:$K$205,C181))+(LN(INDEX(Dic2023!$K$6:$K$205,MIN(C181+1,200)))-LN(INDEX(Dic2023!$K$6:$K$205,C181)))*(A181-6*C181)/6))</f>
        <v>0.476107401309081</v>
      </c>
      <c r="H181" s="12" t="n">
        <f aca="false">G181^(-1/B181)-1</f>
        <v>0.0515998440469689</v>
      </c>
      <c r="I181" s="12" t="n">
        <f aca="false">(1+H181)^(1/12)-1</f>
        <v>0.00420152388731321</v>
      </c>
      <c r="J181" s="16" t="n">
        <f aca="false">IF(C181=0,(1+Dic2023!$M$6)^(-B181),EXP(LN(INDEX(Dic2023!$N$6:$N$205,C181))+(LN(INDEX(Dic2023!$N$6:$N$205,MIN(C181+1,200)))-LN(INDEX(Dic2023!$N$6:$N$205,C181)))*(A181-6*C181)/6))</f>
        <v>0.476107401309081</v>
      </c>
      <c r="K181" s="12" t="n">
        <f aca="false">J181^(-1/B181)-1</f>
        <v>0.0515998440469689</v>
      </c>
      <c r="L181" s="12" t="n">
        <f aca="false">(1+K181)^(1/12)-1</f>
        <v>0.00420152388731321</v>
      </c>
    </row>
    <row r="182" customFormat="false" ht="15" hidden="false" customHeight="false" outlineLevel="0" collapsed="false">
      <c r="A182" s="4" t="n">
        <v>178</v>
      </c>
      <c r="B182" s="14" t="n">
        <f aca="false">A182/12</f>
        <v>14.8333333333333</v>
      </c>
      <c r="C182" s="15" t="n">
        <f aca="false">INT(A182/6)</f>
        <v>29</v>
      </c>
      <c r="D182" s="16" t="n">
        <f aca="false">IF(C182=0,(1+Dic2023!$G$6)^(-B182),EXP(LN(INDEX(Dic2023!$H$6:$H$205,C182))+(LN(INDEX(Dic2023!$H$6:$H$205,MIN(C182+1,200)))-LN(INDEX(Dic2023!$H$6:$H$205,C182)))*(A182-6*C182)/6))</f>
        <v>0.474001782488685</v>
      </c>
      <c r="E182" s="12" t="n">
        <f aca="false">D182^(-1/B182)-1</f>
        <v>0.0516168345477153</v>
      </c>
      <c r="F182" s="12" t="n">
        <f aca="false">(1+E182)^(1/12)-1</f>
        <v>0.0042028759352184</v>
      </c>
      <c r="G182" s="16" t="n">
        <f aca="false">IF(C182=0,(1+Dic2023!$J$6)^(-B182),EXP(LN(INDEX(Dic2023!$K$6:$K$205,C182))+(LN(INDEX(Dic2023!$K$6:$K$205,MIN(C182+1,200)))-LN(INDEX(Dic2023!$K$6:$K$205,C182)))*(A182-6*C182)/6))</f>
        <v>0.474001782488685</v>
      </c>
      <c r="H182" s="12" t="n">
        <f aca="false">G182^(-1/B182)-1</f>
        <v>0.0516168345477153</v>
      </c>
      <c r="I182" s="12" t="n">
        <f aca="false">(1+H182)^(1/12)-1</f>
        <v>0.0042028759352184</v>
      </c>
      <c r="J182" s="16" t="n">
        <f aca="false">IF(C182=0,(1+Dic2023!$M$6)^(-B182),EXP(LN(INDEX(Dic2023!$N$6:$N$205,C182))+(LN(INDEX(Dic2023!$N$6:$N$205,MIN(C182+1,200)))-LN(INDEX(Dic2023!$N$6:$N$205,C182)))*(A182-6*C182)/6))</f>
        <v>0.474001782488685</v>
      </c>
      <c r="K182" s="12" t="n">
        <f aca="false">J182^(-1/B182)-1</f>
        <v>0.0516168345477153</v>
      </c>
      <c r="L182" s="12" t="n">
        <f aca="false">(1+K182)^(1/12)-1</f>
        <v>0.0042028759352184</v>
      </c>
    </row>
    <row r="183" customFormat="false" ht="15" hidden="false" customHeight="false" outlineLevel="0" collapsed="false">
      <c r="A183" s="4" t="n">
        <v>179</v>
      </c>
      <c r="B183" s="14" t="n">
        <f aca="false">A183/12</f>
        <v>14.9166666666667</v>
      </c>
      <c r="C183" s="15" t="n">
        <f aca="false">INT(A183/6)</f>
        <v>29</v>
      </c>
      <c r="D183" s="16" t="n">
        <f aca="false">IF(C183=0,(1+Dic2023!$G$6)^(-B183),EXP(LN(INDEX(Dic2023!$H$6:$H$205,C183))+(LN(INDEX(Dic2023!$H$6:$H$205,MIN(C183+1,200)))-LN(INDEX(Dic2023!$H$6:$H$205,C183)))*(A183-6*C183)/6))</f>
        <v>0.471905475917174</v>
      </c>
      <c r="E183" s="12" t="n">
        <f aca="false">D183^(-1/B183)-1</f>
        <v>0.0516336354803928</v>
      </c>
      <c r="F183" s="12" t="n">
        <f aca="false">(1+E183)^(1/12)-1</f>
        <v>0.00420421287823314</v>
      </c>
      <c r="G183" s="16" t="n">
        <f aca="false">IF(C183=0,(1+Dic2023!$J$6)^(-B183),EXP(LN(INDEX(Dic2023!$K$6:$K$205,C183))+(LN(INDEX(Dic2023!$K$6:$K$205,MIN(C183+1,200)))-LN(INDEX(Dic2023!$K$6:$K$205,C183)))*(A183-6*C183)/6))</f>
        <v>0.471905475917174</v>
      </c>
      <c r="H183" s="12" t="n">
        <f aca="false">G183^(-1/B183)-1</f>
        <v>0.0516336354803928</v>
      </c>
      <c r="I183" s="12" t="n">
        <f aca="false">(1+H183)^(1/12)-1</f>
        <v>0.00420421287823314</v>
      </c>
      <c r="J183" s="16" t="n">
        <f aca="false">IF(C183=0,(1+Dic2023!$M$6)^(-B183),EXP(LN(INDEX(Dic2023!$N$6:$N$205,C183))+(LN(INDEX(Dic2023!$N$6:$N$205,MIN(C183+1,200)))-LN(INDEX(Dic2023!$N$6:$N$205,C183)))*(A183-6*C183)/6))</f>
        <v>0.471905475917174</v>
      </c>
      <c r="K183" s="12" t="n">
        <f aca="false">J183^(-1/B183)-1</f>
        <v>0.0516336354803928</v>
      </c>
      <c r="L183" s="12" t="n">
        <f aca="false">(1+K183)^(1/12)-1</f>
        <v>0.00420421287823314</v>
      </c>
    </row>
    <row r="184" customFormat="false" ht="15" hidden="false" customHeight="false" outlineLevel="0" collapsed="false">
      <c r="A184" s="4" t="n">
        <v>180</v>
      </c>
      <c r="B184" s="14" t="n">
        <f aca="false">A184/12</f>
        <v>15</v>
      </c>
      <c r="C184" s="15" t="n">
        <f aca="false">INT(A184/6)</f>
        <v>30</v>
      </c>
      <c r="D184" s="16" t="n">
        <f aca="false">IF(C184=0,(1+Dic2023!$G$6)^(-B184),EXP(LN(INDEX(Dic2023!$H$6:$H$205,C184))+(LN(INDEX(Dic2023!$H$6:$H$205,MIN(C184+1,200)))-LN(INDEX(Dic2023!$H$6:$H$205,C184)))*(A184-6*C184)/6))</f>
        <v>0.469818440410465</v>
      </c>
      <c r="E184" s="12" t="n">
        <f aca="false">D184^(-1/B184)-1</f>
        <v>0.0516502500000002</v>
      </c>
      <c r="F184" s="12" t="n">
        <f aca="false">(1+E184)^(1/12)-1</f>
        <v>0.00420553496807585</v>
      </c>
      <c r="G184" s="16" t="n">
        <f aca="false">IF(C184=0,(1+Dic2023!$J$6)^(-B184),EXP(LN(INDEX(Dic2023!$K$6:$K$205,C184))+(LN(INDEX(Dic2023!$K$6:$K$205,MIN(C184+1,200)))-LN(INDEX(Dic2023!$K$6:$K$205,C184)))*(A184-6*C184)/6))</f>
        <v>0.469818440410465</v>
      </c>
      <c r="H184" s="12" t="n">
        <f aca="false">G184^(-1/B184)-1</f>
        <v>0.0516502500000002</v>
      </c>
      <c r="I184" s="12" t="n">
        <f aca="false">(1+H184)^(1/12)-1</f>
        <v>0.00420553496807585</v>
      </c>
      <c r="J184" s="16" t="n">
        <f aca="false">IF(C184=0,(1+Dic2023!$M$6)^(-B184),EXP(LN(INDEX(Dic2023!$N$6:$N$205,C184))+(LN(INDEX(Dic2023!$N$6:$N$205,MIN(C184+1,200)))-LN(INDEX(Dic2023!$N$6:$N$205,C184)))*(A184-6*C184)/6))</f>
        <v>0.469818440410465</v>
      </c>
      <c r="K184" s="12" t="n">
        <f aca="false">J184^(-1/B184)-1</f>
        <v>0.0516502500000002</v>
      </c>
      <c r="L184" s="12" t="n">
        <f aca="false">(1+K184)^(1/12)-1</f>
        <v>0.00420553496807585</v>
      </c>
    </row>
    <row r="185" customFormat="false" ht="15" hidden="false" customHeight="false" outlineLevel="0" collapsed="false">
      <c r="A185" s="4" t="n">
        <v>181</v>
      </c>
      <c r="B185" s="14" t="n">
        <f aca="false">A185/12</f>
        <v>15.0833333333333</v>
      </c>
      <c r="C185" s="15" t="n">
        <f aca="false">INT(A185/6)</f>
        <v>30</v>
      </c>
      <c r="D185" s="16" t="n">
        <f aca="false">IF(C185=0,(1+Dic2023!$G$6)^(-B185),EXP(LN(INDEX(Dic2023!$H$6:$H$205,C185))+(LN(INDEX(Dic2023!$H$6:$H$205,MIN(C185+1,200)))-LN(INDEX(Dic2023!$H$6:$H$205,C185)))*(A185-6*C185)/6))</f>
        <v>0.467850877186611</v>
      </c>
      <c r="E185" s="12" t="n">
        <f aca="false">D185^(-1/B185)-1</f>
        <v>0.0516502500000002</v>
      </c>
      <c r="F185" s="12" t="n">
        <f aca="false">(1+E185)^(1/12)-1</f>
        <v>0.00420553496807585</v>
      </c>
      <c r="G185" s="16" t="n">
        <f aca="false">IF(C185=0,(1+Dic2023!$J$6)^(-B185),EXP(LN(INDEX(Dic2023!$K$6:$K$205,C185))+(LN(INDEX(Dic2023!$K$6:$K$205,MIN(C185+1,200)))-LN(INDEX(Dic2023!$K$6:$K$205,C185)))*(A185-6*C185)/6))</f>
        <v>0.467850877186611</v>
      </c>
      <c r="H185" s="12" t="n">
        <f aca="false">G185^(-1/B185)-1</f>
        <v>0.0516502500000002</v>
      </c>
      <c r="I185" s="12" t="n">
        <f aca="false">(1+H185)^(1/12)-1</f>
        <v>0.00420553496807585</v>
      </c>
      <c r="J185" s="16" t="n">
        <f aca="false">IF(C185=0,(1+Dic2023!$M$6)^(-B185),EXP(LN(INDEX(Dic2023!$N$6:$N$205,C185))+(LN(INDEX(Dic2023!$N$6:$N$205,MIN(C185+1,200)))-LN(INDEX(Dic2023!$N$6:$N$205,C185)))*(A185-6*C185)/6))</f>
        <v>0.467850877186611</v>
      </c>
      <c r="K185" s="12" t="n">
        <f aca="false">J185^(-1/B185)-1</f>
        <v>0.0516502500000002</v>
      </c>
      <c r="L185" s="12" t="n">
        <f aca="false">(1+K185)^(1/12)-1</f>
        <v>0.00420553496807585</v>
      </c>
    </row>
    <row r="186" customFormat="false" ht="15" hidden="false" customHeight="false" outlineLevel="0" collapsed="false">
      <c r="A186" s="4" t="n">
        <v>182</v>
      </c>
      <c r="B186" s="14" t="n">
        <f aca="false">A186/12</f>
        <v>15.1666666666667</v>
      </c>
      <c r="C186" s="15" t="n">
        <f aca="false">INT(A186/6)</f>
        <v>30</v>
      </c>
      <c r="D186" s="16" t="n">
        <f aca="false">IF(C186=0,(1+Dic2023!$G$6)^(-B186),EXP(LN(INDEX(Dic2023!$H$6:$H$205,C186))+(LN(INDEX(Dic2023!$H$6:$H$205,MIN(C186+1,200)))-LN(INDEX(Dic2023!$H$6:$H$205,C186)))*(A186-6*C186)/6))</f>
        <v>0.46589155396508</v>
      </c>
      <c r="E186" s="12" t="n">
        <f aca="false">D186^(-1/B186)-1</f>
        <v>0.0516502500000002</v>
      </c>
      <c r="F186" s="12" t="n">
        <f aca="false">(1+E186)^(1/12)-1</f>
        <v>0.00420553496807585</v>
      </c>
      <c r="G186" s="16" t="n">
        <f aca="false">IF(C186=0,(1+Dic2023!$J$6)^(-B186),EXP(LN(INDEX(Dic2023!$K$6:$K$205,C186))+(LN(INDEX(Dic2023!$K$6:$K$205,MIN(C186+1,200)))-LN(INDEX(Dic2023!$K$6:$K$205,C186)))*(A186-6*C186)/6))</f>
        <v>0.46589155396508</v>
      </c>
      <c r="H186" s="12" t="n">
        <f aca="false">G186^(-1/B186)-1</f>
        <v>0.0516502500000002</v>
      </c>
      <c r="I186" s="12" t="n">
        <f aca="false">(1+H186)^(1/12)-1</f>
        <v>0.00420553496807585</v>
      </c>
      <c r="J186" s="16" t="n">
        <f aca="false">IF(C186=0,(1+Dic2023!$M$6)^(-B186),EXP(LN(INDEX(Dic2023!$N$6:$N$205,C186))+(LN(INDEX(Dic2023!$N$6:$N$205,MIN(C186+1,200)))-LN(INDEX(Dic2023!$N$6:$N$205,C186)))*(A186-6*C186)/6))</f>
        <v>0.46589155396508</v>
      </c>
      <c r="K186" s="12" t="n">
        <f aca="false">J186^(-1/B186)-1</f>
        <v>0.0516502500000002</v>
      </c>
      <c r="L186" s="12" t="n">
        <f aca="false">(1+K186)^(1/12)-1</f>
        <v>0.00420553496807585</v>
      </c>
    </row>
    <row r="187" customFormat="false" ht="15" hidden="false" customHeight="false" outlineLevel="0" collapsed="false">
      <c r="A187" s="4" t="n">
        <v>183</v>
      </c>
      <c r="B187" s="14" t="n">
        <f aca="false">A187/12</f>
        <v>15.25</v>
      </c>
      <c r="C187" s="15" t="n">
        <f aca="false">INT(A187/6)</f>
        <v>30</v>
      </c>
      <c r="D187" s="16" t="n">
        <f aca="false">IF(C187=0,(1+Dic2023!$G$6)^(-B187),EXP(LN(INDEX(Dic2023!$H$6:$H$205,C187))+(LN(INDEX(Dic2023!$H$6:$H$205,MIN(C187+1,200)))-LN(INDEX(Dic2023!$H$6:$H$205,C187)))*(A187-6*C187)/6))</f>
        <v>0.463940436237379</v>
      </c>
      <c r="E187" s="12" t="n">
        <f aca="false">D187^(-1/B187)-1</f>
        <v>0.0516502500000002</v>
      </c>
      <c r="F187" s="12" t="n">
        <f aca="false">(1+E187)^(1/12)-1</f>
        <v>0.00420553496807585</v>
      </c>
      <c r="G187" s="16" t="n">
        <f aca="false">IF(C187=0,(1+Dic2023!$J$6)^(-B187),EXP(LN(INDEX(Dic2023!$K$6:$K$205,C187))+(LN(INDEX(Dic2023!$K$6:$K$205,MIN(C187+1,200)))-LN(INDEX(Dic2023!$K$6:$K$205,C187)))*(A187-6*C187)/6))</f>
        <v>0.463940436237379</v>
      </c>
      <c r="H187" s="12" t="n">
        <f aca="false">G187^(-1/B187)-1</f>
        <v>0.0516502500000002</v>
      </c>
      <c r="I187" s="12" t="n">
        <f aca="false">(1+H187)^(1/12)-1</f>
        <v>0.00420553496807585</v>
      </c>
      <c r="J187" s="16" t="n">
        <f aca="false">IF(C187=0,(1+Dic2023!$M$6)^(-B187),EXP(LN(INDEX(Dic2023!$N$6:$N$205,C187))+(LN(INDEX(Dic2023!$N$6:$N$205,MIN(C187+1,200)))-LN(INDEX(Dic2023!$N$6:$N$205,C187)))*(A187-6*C187)/6))</f>
        <v>0.463940436237379</v>
      </c>
      <c r="K187" s="12" t="n">
        <f aca="false">J187^(-1/B187)-1</f>
        <v>0.0516502500000002</v>
      </c>
      <c r="L187" s="12" t="n">
        <f aca="false">(1+K187)^(1/12)-1</f>
        <v>0.00420553496807585</v>
      </c>
    </row>
    <row r="188" customFormat="false" ht="15" hidden="false" customHeight="false" outlineLevel="0" collapsed="false">
      <c r="A188" s="4" t="n">
        <v>184</v>
      </c>
      <c r="B188" s="14" t="n">
        <f aca="false">A188/12</f>
        <v>15.3333333333333</v>
      </c>
      <c r="C188" s="15" t="n">
        <f aca="false">INT(A188/6)</f>
        <v>30</v>
      </c>
      <c r="D188" s="16" t="n">
        <f aca="false">IF(C188=0,(1+Dic2023!$G$6)^(-B188),EXP(LN(INDEX(Dic2023!$H$6:$H$205,C188))+(LN(INDEX(Dic2023!$H$6:$H$205,MIN(C188+1,200)))-LN(INDEX(Dic2023!$H$6:$H$205,C188)))*(A188-6*C188)/6))</f>
        <v>0.461997489639537</v>
      </c>
      <c r="E188" s="12" t="n">
        <f aca="false">D188^(-1/B188)-1</f>
        <v>0.0516502500000002</v>
      </c>
      <c r="F188" s="12" t="n">
        <f aca="false">(1+E188)^(1/12)-1</f>
        <v>0.00420553496807585</v>
      </c>
      <c r="G188" s="16" t="n">
        <f aca="false">IF(C188=0,(1+Dic2023!$J$6)^(-B188),EXP(LN(INDEX(Dic2023!$K$6:$K$205,C188))+(LN(INDEX(Dic2023!$K$6:$K$205,MIN(C188+1,200)))-LN(INDEX(Dic2023!$K$6:$K$205,C188)))*(A188-6*C188)/6))</f>
        <v>0.461997489639537</v>
      </c>
      <c r="H188" s="12" t="n">
        <f aca="false">G188^(-1/B188)-1</f>
        <v>0.0516502500000002</v>
      </c>
      <c r="I188" s="12" t="n">
        <f aca="false">(1+H188)^(1/12)-1</f>
        <v>0.00420553496807585</v>
      </c>
      <c r="J188" s="16" t="n">
        <f aca="false">IF(C188=0,(1+Dic2023!$M$6)^(-B188),EXP(LN(INDEX(Dic2023!$N$6:$N$205,C188))+(LN(INDEX(Dic2023!$N$6:$N$205,MIN(C188+1,200)))-LN(INDEX(Dic2023!$N$6:$N$205,C188)))*(A188-6*C188)/6))</f>
        <v>0.461997489639537</v>
      </c>
      <c r="K188" s="12" t="n">
        <f aca="false">J188^(-1/B188)-1</f>
        <v>0.0516502500000002</v>
      </c>
      <c r="L188" s="12" t="n">
        <f aca="false">(1+K188)^(1/12)-1</f>
        <v>0.00420553496807585</v>
      </c>
    </row>
    <row r="189" customFormat="false" ht="15" hidden="false" customHeight="false" outlineLevel="0" collapsed="false">
      <c r="A189" s="4" t="n">
        <v>185</v>
      </c>
      <c r="B189" s="14" t="n">
        <f aca="false">A189/12</f>
        <v>15.4166666666667</v>
      </c>
      <c r="C189" s="15" t="n">
        <f aca="false">INT(A189/6)</f>
        <v>30</v>
      </c>
      <c r="D189" s="16" t="n">
        <f aca="false">IF(C189=0,(1+Dic2023!$G$6)^(-B189),EXP(LN(INDEX(Dic2023!$H$6:$H$205,C189))+(LN(INDEX(Dic2023!$H$6:$H$205,MIN(C189+1,200)))-LN(INDEX(Dic2023!$H$6:$H$205,C189)))*(A189-6*C189)/6))</f>
        <v>0.460062679951494</v>
      </c>
      <c r="E189" s="12" t="n">
        <f aca="false">D189^(-1/B189)-1</f>
        <v>0.0516502500000002</v>
      </c>
      <c r="F189" s="12" t="n">
        <f aca="false">(1+E189)^(1/12)-1</f>
        <v>0.00420553496807585</v>
      </c>
      <c r="G189" s="16" t="n">
        <f aca="false">IF(C189=0,(1+Dic2023!$J$6)^(-B189),EXP(LN(INDEX(Dic2023!$K$6:$K$205,C189))+(LN(INDEX(Dic2023!$K$6:$K$205,MIN(C189+1,200)))-LN(INDEX(Dic2023!$K$6:$K$205,C189)))*(A189-6*C189)/6))</f>
        <v>0.460062679951494</v>
      </c>
      <c r="H189" s="12" t="n">
        <f aca="false">G189^(-1/B189)-1</f>
        <v>0.0516502500000002</v>
      </c>
      <c r="I189" s="12" t="n">
        <f aca="false">(1+H189)^(1/12)-1</f>
        <v>0.00420553496807585</v>
      </c>
      <c r="J189" s="16" t="n">
        <f aca="false">IF(C189=0,(1+Dic2023!$M$6)^(-B189),EXP(LN(INDEX(Dic2023!$N$6:$N$205,C189))+(LN(INDEX(Dic2023!$N$6:$N$205,MIN(C189+1,200)))-LN(INDEX(Dic2023!$N$6:$N$205,C189)))*(A189-6*C189)/6))</f>
        <v>0.460062679951494</v>
      </c>
      <c r="K189" s="12" t="n">
        <f aca="false">J189^(-1/B189)-1</f>
        <v>0.0516502500000002</v>
      </c>
      <c r="L189" s="12" t="n">
        <f aca="false">(1+K189)^(1/12)-1</f>
        <v>0.00420553496807585</v>
      </c>
    </row>
    <row r="190" customFormat="false" ht="15" hidden="false" customHeight="false" outlineLevel="0" collapsed="false">
      <c r="A190" s="4" t="n">
        <v>186</v>
      </c>
      <c r="B190" s="14" t="n">
        <f aca="false">A190/12</f>
        <v>15.5</v>
      </c>
      <c r="C190" s="15" t="n">
        <f aca="false">INT(A190/6)</f>
        <v>31</v>
      </c>
      <c r="D190" s="16" t="n">
        <f aca="false">IF(C190=0,(1+Dic2023!$G$6)^(-B190),EXP(LN(INDEX(Dic2023!$H$6:$H$205,C190))+(LN(INDEX(Dic2023!$H$6:$H$205,MIN(C190+1,200)))-LN(INDEX(Dic2023!$H$6:$H$205,C190)))*(A190-6*C190)/6))</f>
        <v>0.458135973096504</v>
      </c>
      <c r="E190" s="12" t="n">
        <f aca="false">D190^(-1/B190)-1</f>
        <v>0.0516502500000002</v>
      </c>
      <c r="F190" s="12" t="n">
        <f aca="false">(1+E190)^(1/12)-1</f>
        <v>0.00420553496807585</v>
      </c>
      <c r="G190" s="16" t="n">
        <f aca="false">IF(C190=0,(1+Dic2023!$J$6)^(-B190),EXP(LN(INDEX(Dic2023!$K$6:$K$205,C190))+(LN(INDEX(Dic2023!$K$6:$K$205,MIN(C190+1,200)))-LN(INDEX(Dic2023!$K$6:$K$205,C190)))*(A190-6*C190)/6))</f>
        <v>0.458135973096504</v>
      </c>
      <c r="H190" s="12" t="n">
        <f aca="false">G190^(-1/B190)-1</f>
        <v>0.0516502500000002</v>
      </c>
      <c r="I190" s="12" t="n">
        <f aca="false">(1+H190)^(1/12)-1</f>
        <v>0.00420553496807585</v>
      </c>
      <c r="J190" s="16" t="n">
        <f aca="false">IF(C190=0,(1+Dic2023!$M$6)^(-B190),EXP(LN(INDEX(Dic2023!$N$6:$N$205,C190))+(LN(INDEX(Dic2023!$N$6:$N$205,MIN(C190+1,200)))-LN(INDEX(Dic2023!$N$6:$N$205,C190)))*(A190-6*C190)/6))</f>
        <v>0.458135973096504</v>
      </c>
      <c r="K190" s="12" t="n">
        <f aca="false">J190^(-1/B190)-1</f>
        <v>0.0516502500000002</v>
      </c>
      <c r="L190" s="12" t="n">
        <f aca="false">(1+K190)^(1/12)-1</f>
        <v>0.00420553496807585</v>
      </c>
    </row>
    <row r="191" customFormat="false" ht="15" hidden="false" customHeight="false" outlineLevel="0" collapsed="false">
      <c r="A191" s="4" t="n">
        <v>187</v>
      </c>
      <c r="B191" s="14" t="n">
        <f aca="false">A191/12</f>
        <v>15.5833333333333</v>
      </c>
      <c r="C191" s="15" t="n">
        <f aca="false">INT(A191/6)</f>
        <v>31</v>
      </c>
      <c r="D191" s="16" t="n">
        <f aca="false">IF(C191=0,(1+Dic2023!$G$6)^(-B191),EXP(LN(INDEX(Dic2023!$H$6:$H$205,C191))+(LN(INDEX(Dic2023!$H$6:$H$205,MIN(C191+1,200)))-LN(INDEX(Dic2023!$H$6:$H$205,C191)))*(A191-6*C191)/6))</f>
        <v>0.456098720635656</v>
      </c>
      <c r="E191" s="12" t="n">
        <f aca="false">D191^(-1/B191)-1</f>
        <v>0.0516677983817173</v>
      </c>
      <c r="F191" s="12" t="n">
        <f aca="false">(1+E191)^(1/12)-1</f>
        <v>0.00420693134861172</v>
      </c>
      <c r="G191" s="16" t="n">
        <f aca="false">IF(C191=0,(1+Dic2023!$J$6)^(-B191),EXP(LN(INDEX(Dic2023!$K$6:$K$205,C191))+(LN(INDEX(Dic2023!$K$6:$K$205,MIN(C191+1,200)))-LN(INDEX(Dic2023!$K$6:$K$205,C191)))*(A191-6*C191)/6))</f>
        <v>0.456098720635656</v>
      </c>
      <c r="H191" s="12" t="n">
        <f aca="false">G191^(-1/B191)-1</f>
        <v>0.0516677983817173</v>
      </c>
      <c r="I191" s="12" t="n">
        <f aca="false">(1+H191)^(1/12)-1</f>
        <v>0.00420693134861172</v>
      </c>
      <c r="J191" s="16" t="n">
        <f aca="false">IF(C191=0,(1+Dic2023!$M$6)^(-B191),EXP(LN(INDEX(Dic2023!$N$6:$N$205,C191))+(LN(INDEX(Dic2023!$N$6:$N$205,MIN(C191+1,200)))-LN(INDEX(Dic2023!$N$6:$N$205,C191)))*(A191-6*C191)/6))</f>
        <v>0.456098720635656</v>
      </c>
      <c r="K191" s="12" t="n">
        <f aca="false">J191^(-1/B191)-1</f>
        <v>0.0516677983817173</v>
      </c>
      <c r="L191" s="12" t="n">
        <f aca="false">(1+K191)^(1/12)-1</f>
        <v>0.00420693134861172</v>
      </c>
    </row>
    <row r="192" customFormat="false" ht="15" hidden="false" customHeight="false" outlineLevel="0" collapsed="false">
      <c r="A192" s="4" t="n">
        <v>188</v>
      </c>
      <c r="B192" s="14" t="n">
        <f aca="false">A192/12</f>
        <v>15.6666666666667</v>
      </c>
      <c r="C192" s="15" t="n">
        <f aca="false">INT(A192/6)</f>
        <v>31</v>
      </c>
      <c r="D192" s="16" t="n">
        <f aca="false">IF(C192=0,(1+Dic2023!$G$6)^(-B192),EXP(LN(INDEX(Dic2023!$H$6:$H$205,C192))+(LN(INDEX(Dic2023!$H$6:$H$205,MIN(C192+1,200)))-LN(INDEX(Dic2023!$H$6:$H$205,C192)))*(A192-6*C192)/6))</f>
        <v>0.454070527488709</v>
      </c>
      <c r="E192" s="12" t="n">
        <f aca="false">D192^(-1/B192)-1</f>
        <v>0.0516851603666877</v>
      </c>
      <c r="F192" s="12" t="n">
        <f aca="false">(1+E192)^(1/12)-1</f>
        <v>0.00420831287594647</v>
      </c>
      <c r="G192" s="16" t="n">
        <f aca="false">IF(C192=0,(1+Dic2023!$J$6)^(-B192),EXP(LN(INDEX(Dic2023!$K$6:$K$205,C192))+(LN(INDEX(Dic2023!$K$6:$K$205,MIN(C192+1,200)))-LN(INDEX(Dic2023!$K$6:$K$205,C192)))*(A192-6*C192)/6))</f>
        <v>0.454070527488709</v>
      </c>
      <c r="H192" s="12" t="n">
        <f aca="false">G192^(-1/B192)-1</f>
        <v>0.0516851603666877</v>
      </c>
      <c r="I192" s="12" t="n">
        <f aca="false">(1+H192)^(1/12)-1</f>
        <v>0.00420831287594647</v>
      </c>
      <c r="J192" s="16" t="n">
        <f aca="false">IF(C192=0,(1+Dic2023!$M$6)^(-B192),EXP(LN(INDEX(Dic2023!$N$6:$N$205,C192))+(LN(INDEX(Dic2023!$N$6:$N$205,MIN(C192+1,200)))-LN(INDEX(Dic2023!$N$6:$N$205,C192)))*(A192-6*C192)/6))</f>
        <v>0.454070527488709</v>
      </c>
      <c r="K192" s="12" t="n">
        <f aca="false">J192^(-1/B192)-1</f>
        <v>0.0516851603666877</v>
      </c>
      <c r="L192" s="12" t="n">
        <f aca="false">(1+K192)^(1/12)-1</f>
        <v>0.00420831287594647</v>
      </c>
    </row>
    <row r="193" customFormat="false" ht="15" hidden="false" customHeight="false" outlineLevel="0" collapsed="false">
      <c r="A193" s="4" t="n">
        <v>189</v>
      </c>
      <c r="B193" s="14" t="n">
        <f aca="false">A193/12</f>
        <v>15.75</v>
      </c>
      <c r="C193" s="15" t="n">
        <f aca="false">INT(A193/6)</f>
        <v>31</v>
      </c>
      <c r="D193" s="16" t="n">
        <f aca="false">IF(C193=0,(1+Dic2023!$G$6)^(-B193),EXP(LN(INDEX(Dic2023!$H$6:$H$205,C193))+(LN(INDEX(Dic2023!$H$6:$H$205,MIN(C193+1,200)))-LN(INDEX(Dic2023!$H$6:$H$205,C193)))*(A193-6*C193)/6))</f>
        <v>0.452051353370439</v>
      </c>
      <c r="E193" s="12" t="n">
        <f aca="false">D193^(-1/B193)-1</f>
        <v>0.051702338909045</v>
      </c>
      <c r="F193" s="12" t="n">
        <f aca="false">(1+E193)^(1/12)-1</f>
        <v>0.00420967978581488</v>
      </c>
      <c r="G193" s="16" t="n">
        <f aca="false">IF(C193=0,(1+Dic2023!$J$6)^(-B193),EXP(LN(INDEX(Dic2023!$K$6:$K$205,C193))+(LN(INDEX(Dic2023!$K$6:$K$205,MIN(C193+1,200)))-LN(INDEX(Dic2023!$K$6:$K$205,C193)))*(A193-6*C193)/6))</f>
        <v>0.452051353370439</v>
      </c>
      <c r="H193" s="12" t="n">
        <f aca="false">G193^(-1/B193)-1</f>
        <v>0.051702338909045</v>
      </c>
      <c r="I193" s="12" t="n">
        <f aca="false">(1+H193)^(1/12)-1</f>
        <v>0.00420967978581488</v>
      </c>
      <c r="J193" s="16" t="n">
        <f aca="false">IF(C193=0,(1+Dic2023!$M$6)^(-B193),EXP(LN(INDEX(Dic2023!$N$6:$N$205,C193))+(LN(INDEX(Dic2023!$N$6:$N$205,MIN(C193+1,200)))-LN(INDEX(Dic2023!$N$6:$N$205,C193)))*(A193-6*C193)/6))</f>
        <v>0.452051353370439</v>
      </c>
      <c r="K193" s="12" t="n">
        <f aca="false">J193^(-1/B193)-1</f>
        <v>0.051702338909045</v>
      </c>
      <c r="L193" s="12" t="n">
        <f aca="false">(1+K193)^(1/12)-1</f>
        <v>0.00420967978581488</v>
      </c>
    </row>
    <row r="194" customFormat="false" ht="15" hidden="false" customHeight="false" outlineLevel="0" collapsed="false">
      <c r="A194" s="4" t="n">
        <v>190</v>
      </c>
      <c r="B194" s="14" t="n">
        <f aca="false">A194/12</f>
        <v>15.8333333333333</v>
      </c>
      <c r="C194" s="15" t="n">
        <f aca="false">INT(A194/6)</f>
        <v>31</v>
      </c>
      <c r="D194" s="16" t="n">
        <f aca="false">IF(C194=0,(1+Dic2023!$G$6)^(-B194),EXP(LN(INDEX(Dic2023!$H$6:$H$205,C194))+(LN(INDEX(Dic2023!$H$6:$H$205,MIN(C194+1,200)))-LN(INDEX(Dic2023!$H$6:$H$205,C194)))*(A194-6*C194)/6))</f>
        <v>0.450041158174766</v>
      </c>
      <c r="E194" s="12" t="n">
        <f aca="false">D194^(-1/B194)-1</f>
        <v>0.0517193369008249</v>
      </c>
      <c r="F194" s="12" t="n">
        <f aca="false">(1+E194)^(1/12)-1</f>
        <v>0.00421103230898967</v>
      </c>
      <c r="G194" s="16" t="n">
        <f aca="false">IF(C194=0,(1+Dic2023!$J$6)^(-B194),EXP(LN(INDEX(Dic2023!$K$6:$K$205,C194))+(LN(INDEX(Dic2023!$K$6:$K$205,MIN(C194+1,200)))-LN(INDEX(Dic2023!$K$6:$K$205,C194)))*(A194-6*C194)/6))</f>
        <v>0.450041158174766</v>
      </c>
      <c r="H194" s="12" t="n">
        <f aca="false">G194^(-1/B194)-1</f>
        <v>0.0517193369008249</v>
      </c>
      <c r="I194" s="12" t="n">
        <f aca="false">(1+H194)^(1/12)-1</f>
        <v>0.00421103230898967</v>
      </c>
      <c r="J194" s="16" t="n">
        <f aca="false">IF(C194=0,(1+Dic2023!$M$6)^(-B194),EXP(LN(INDEX(Dic2023!$N$6:$N$205,C194))+(LN(INDEX(Dic2023!$N$6:$N$205,MIN(C194+1,200)))-LN(INDEX(Dic2023!$N$6:$N$205,C194)))*(A194-6*C194)/6))</f>
        <v>0.450041158174766</v>
      </c>
      <c r="K194" s="12" t="n">
        <f aca="false">J194^(-1/B194)-1</f>
        <v>0.0517193369008249</v>
      </c>
      <c r="L194" s="12" t="n">
        <f aca="false">(1+K194)^(1/12)-1</f>
        <v>0.00421103230898967</v>
      </c>
    </row>
    <row r="195" customFormat="false" ht="15" hidden="false" customHeight="false" outlineLevel="0" collapsed="false">
      <c r="A195" s="4" t="n">
        <v>191</v>
      </c>
      <c r="B195" s="14" t="n">
        <f aca="false">A195/12</f>
        <v>15.9166666666667</v>
      </c>
      <c r="C195" s="15" t="n">
        <f aca="false">INT(A195/6)</f>
        <v>31</v>
      </c>
      <c r="D195" s="16" t="n">
        <f aca="false">IF(C195=0,(1+Dic2023!$G$6)^(-B195),EXP(LN(INDEX(Dic2023!$H$6:$H$205,C195))+(LN(INDEX(Dic2023!$H$6:$H$205,MIN(C195+1,200)))-LN(INDEX(Dic2023!$H$6:$H$205,C195)))*(A195-6*C195)/6))</f>
        <v>0.448039901973955</v>
      </c>
      <c r="E195" s="12" t="n">
        <f aca="false">D195^(-1/B195)-1</f>
        <v>0.0517361571735897</v>
      </c>
      <c r="F195" s="12" t="n">
        <f aca="false">(1+E195)^(1/12)-1</f>
        <v>0.00421237067141145</v>
      </c>
      <c r="G195" s="16" t="n">
        <f aca="false">IF(C195=0,(1+Dic2023!$J$6)^(-B195),EXP(LN(INDEX(Dic2023!$K$6:$K$205,C195))+(LN(INDEX(Dic2023!$K$6:$K$205,MIN(C195+1,200)))-LN(INDEX(Dic2023!$K$6:$K$205,C195)))*(A195-6*C195)/6))</f>
        <v>0.448039901973955</v>
      </c>
      <c r="H195" s="12" t="n">
        <f aca="false">G195^(-1/B195)-1</f>
        <v>0.0517361571735897</v>
      </c>
      <c r="I195" s="12" t="n">
        <f aca="false">(1+H195)^(1/12)-1</f>
        <v>0.00421237067141145</v>
      </c>
      <c r="J195" s="16" t="n">
        <f aca="false">IF(C195=0,(1+Dic2023!$M$6)^(-B195),EXP(LN(INDEX(Dic2023!$N$6:$N$205,C195))+(LN(INDEX(Dic2023!$N$6:$N$205,MIN(C195+1,200)))-LN(INDEX(Dic2023!$N$6:$N$205,C195)))*(A195-6*C195)/6))</f>
        <v>0.448039901973955</v>
      </c>
      <c r="K195" s="12" t="n">
        <f aca="false">J195^(-1/B195)-1</f>
        <v>0.0517361571735897</v>
      </c>
      <c r="L195" s="12" t="n">
        <f aca="false">(1+K195)^(1/12)-1</f>
        <v>0.00421237067141145</v>
      </c>
    </row>
    <row r="196" customFormat="false" ht="15" hidden="false" customHeight="false" outlineLevel="0" collapsed="false">
      <c r="A196" s="4" t="n">
        <v>192</v>
      </c>
      <c r="B196" s="14" t="n">
        <f aca="false">A196/12</f>
        <v>16</v>
      </c>
      <c r="C196" s="15" t="n">
        <f aca="false">INT(A196/6)</f>
        <v>32</v>
      </c>
      <c r="D196" s="16" t="n">
        <f aca="false">IF(C196=0,(1+Dic2023!$G$6)^(-B196),EXP(LN(INDEX(Dic2023!$H$6:$H$205,C196))+(LN(INDEX(Dic2023!$H$6:$H$205,MIN(C196+1,200)))-LN(INDEX(Dic2023!$H$6:$H$205,C196)))*(A196-6*C196)/6))</f>
        <v>0.44604754501782</v>
      </c>
      <c r="E196" s="12" t="n">
        <f aca="false">D196^(-1/B196)-1</f>
        <v>0.0517528025</v>
      </c>
      <c r="F196" s="12" t="n">
        <f aca="false">(1+E196)^(1/12)-1</f>
        <v>0.00421369509431369</v>
      </c>
      <c r="G196" s="16" t="n">
        <f aca="false">IF(C196=0,(1+Dic2023!$J$6)^(-B196),EXP(LN(INDEX(Dic2023!$K$6:$K$205,C196))+(LN(INDEX(Dic2023!$K$6:$K$205,MIN(C196+1,200)))-LN(INDEX(Dic2023!$K$6:$K$205,C196)))*(A196-6*C196)/6))</f>
        <v>0.44604754501782</v>
      </c>
      <c r="H196" s="12" t="n">
        <f aca="false">G196^(-1/B196)-1</f>
        <v>0.0517528025</v>
      </c>
      <c r="I196" s="12" t="n">
        <f aca="false">(1+H196)^(1/12)-1</f>
        <v>0.00421369509431369</v>
      </c>
      <c r="J196" s="16" t="n">
        <f aca="false">IF(C196=0,(1+Dic2023!$M$6)^(-B196),EXP(LN(INDEX(Dic2023!$N$6:$N$205,C196))+(LN(INDEX(Dic2023!$N$6:$N$205,MIN(C196+1,200)))-LN(INDEX(Dic2023!$N$6:$N$205,C196)))*(A196-6*C196)/6))</f>
        <v>0.44604754501782</v>
      </c>
      <c r="K196" s="12" t="n">
        <f aca="false">J196^(-1/B196)-1</f>
        <v>0.0517528025</v>
      </c>
      <c r="L196" s="12" t="n">
        <f aca="false">(1+K196)^(1/12)-1</f>
        <v>0.00421369509431369</v>
      </c>
    </row>
    <row r="197" customFormat="false" ht="15" hidden="false" customHeight="false" outlineLevel="0" collapsed="false">
      <c r="A197" s="4" t="n">
        <v>193</v>
      </c>
      <c r="B197" s="14" t="n">
        <f aca="false">A197/12</f>
        <v>16.0833333333333</v>
      </c>
      <c r="C197" s="15" t="n">
        <f aca="false">INT(A197/6)</f>
        <v>32</v>
      </c>
      <c r="D197" s="16" t="n">
        <f aca="false">IF(C197=0,(1+Dic2023!$G$6)^(-B197),EXP(LN(INDEX(Dic2023!$H$6:$H$205,C197))+(LN(INDEX(Dic2023!$H$6:$H$205,MIN(C197+1,200)))-LN(INDEX(Dic2023!$H$6:$H$205,C197)))*(A197-6*C197)/6))</f>
        <v>0.444175923109601</v>
      </c>
      <c r="E197" s="12" t="n">
        <f aca="false">D197^(-1/B197)-1</f>
        <v>0.0517528025</v>
      </c>
      <c r="F197" s="12" t="n">
        <f aca="false">(1+E197)^(1/12)-1</f>
        <v>0.00421369509431369</v>
      </c>
      <c r="G197" s="16" t="n">
        <f aca="false">IF(C197=0,(1+Dic2023!$J$6)^(-B197),EXP(LN(INDEX(Dic2023!$K$6:$K$205,C197))+(LN(INDEX(Dic2023!$K$6:$K$205,MIN(C197+1,200)))-LN(INDEX(Dic2023!$K$6:$K$205,C197)))*(A197-6*C197)/6))</f>
        <v>0.444175923109601</v>
      </c>
      <c r="H197" s="12" t="n">
        <f aca="false">G197^(-1/B197)-1</f>
        <v>0.0517528025</v>
      </c>
      <c r="I197" s="12" t="n">
        <f aca="false">(1+H197)^(1/12)-1</f>
        <v>0.00421369509431369</v>
      </c>
      <c r="J197" s="16" t="n">
        <f aca="false">IF(C197=0,(1+Dic2023!$M$6)^(-B197),EXP(LN(INDEX(Dic2023!$N$6:$N$205,C197))+(LN(INDEX(Dic2023!$N$6:$N$205,MIN(C197+1,200)))-LN(INDEX(Dic2023!$N$6:$N$205,C197)))*(A197-6*C197)/6))</f>
        <v>0.444175923109601</v>
      </c>
      <c r="K197" s="12" t="n">
        <f aca="false">J197^(-1/B197)-1</f>
        <v>0.0517528025</v>
      </c>
      <c r="L197" s="12" t="n">
        <f aca="false">(1+K197)^(1/12)-1</f>
        <v>0.00421369509431369</v>
      </c>
    </row>
    <row r="198" customFormat="false" ht="15" hidden="false" customHeight="false" outlineLevel="0" collapsed="false">
      <c r="A198" s="4" t="n">
        <v>194</v>
      </c>
      <c r="B198" s="14" t="n">
        <f aca="false">A198/12</f>
        <v>16.1666666666667</v>
      </c>
      <c r="C198" s="15" t="n">
        <f aca="false">INT(A198/6)</f>
        <v>32</v>
      </c>
      <c r="D198" s="16" t="n">
        <f aca="false">IF(C198=0,(1+Dic2023!$G$6)^(-B198),EXP(LN(INDEX(Dic2023!$H$6:$H$205,C198))+(LN(INDEX(Dic2023!$H$6:$H$205,MIN(C198+1,200)))-LN(INDEX(Dic2023!$H$6:$H$205,C198)))*(A198-6*C198)/6))</f>
        <v>0.442312154553802</v>
      </c>
      <c r="E198" s="12" t="n">
        <f aca="false">D198^(-1/B198)-1</f>
        <v>0.0517528025</v>
      </c>
      <c r="F198" s="12" t="n">
        <f aca="false">(1+E198)^(1/12)-1</f>
        <v>0.00421369509431369</v>
      </c>
      <c r="G198" s="16" t="n">
        <f aca="false">IF(C198=0,(1+Dic2023!$J$6)^(-B198),EXP(LN(INDEX(Dic2023!$K$6:$K$205,C198))+(LN(INDEX(Dic2023!$K$6:$K$205,MIN(C198+1,200)))-LN(INDEX(Dic2023!$K$6:$K$205,C198)))*(A198-6*C198)/6))</f>
        <v>0.442312154553802</v>
      </c>
      <c r="H198" s="12" t="n">
        <f aca="false">G198^(-1/B198)-1</f>
        <v>0.0517528025</v>
      </c>
      <c r="I198" s="12" t="n">
        <f aca="false">(1+H198)^(1/12)-1</f>
        <v>0.00421369509431369</v>
      </c>
      <c r="J198" s="16" t="n">
        <f aca="false">IF(C198=0,(1+Dic2023!$M$6)^(-B198),EXP(LN(INDEX(Dic2023!$N$6:$N$205,C198))+(LN(INDEX(Dic2023!$N$6:$N$205,MIN(C198+1,200)))-LN(INDEX(Dic2023!$N$6:$N$205,C198)))*(A198-6*C198)/6))</f>
        <v>0.442312154553802</v>
      </c>
      <c r="K198" s="12" t="n">
        <f aca="false">J198^(-1/B198)-1</f>
        <v>0.0517528025</v>
      </c>
      <c r="L198" s="12" t="n">
        <f aca="false">(1+K198)^(1/12)-1</f>
        <v>0.00421369509431369</v>
      </c>
    </row>
    <row r="199" customFormat="false" ht="15" hidden="false" customHeight="false" outlineLevel="0" collapsed="false">
      <c r="A199" s="4" t="n">
        <v>195</v>
      </c>
      <c r="B199" s="14" t="n">
        <f aca="false">A199/12</f>
        <v>16.25</v>
      </c>
      <c r="C199" s="15" t="n">
        <f aca="false">INT(A199/6)</f>
        <v>32</v>
      </c>
      <c r="D199" s="16" t="n">
        <f aca="false">IF(C199=0,(1+Dic2023!$G$6)^(-B199),EXP(LN(INDEX(Dic2023!$H$6:$H$205,C199))+(LN(INDEX(Dic2023!$H$6:$H$205,MIN(C199+1,200)))-LN(INDEX(Dic2023!$H$6:$H$205,C199)))*(A199-6*C199)/6))</f>
        <v>0.440456206397644</v>
      </c>
      <c r="E199" s="12" t="n">
        <f aca="false">D199^(-1/B199)-1</f>
        <v>0.0517528025</v>
      </c>
      <c r="F199" s="12" t="n">
        <f aca="false">(1+E199)^(1/12)-1</f>
        <v>0.00421369509431369</v>
      </c>
      <c r="G199" s="16" t="n">
        <f aca="false">IF(C199=0,(1+Dic2023!$J$6)^(-B199),EXP(LN(INDEX(Dic2023!$K$6:$K$205,C199))+(LN(INDEX(Dic2023!$K$6:$K$205,MIN(C199+1,200)))-LN(INDEX(Dic2023!$K$6:$K$205,C199)))*(A199-6*C199)/6))</f>
        <v>0.440456206397644</v>
      </c>
      <c r="H199" s="12" t="n">
        <f aca="false">G199^(-1/B199)-1</f>
        <v>0.0517528025</v>
      </c>
      <c r="I199" s="12" t="n">
        <f aca="false">(1+H199)^(1/12)-1</f>
        <v>0.00421369509431369</v>
      </c>
      <c r="J199" s="16" t="n">
        <f aca="false">IF(C199=0,(1+Dic2023!$M$6)^(-B199),EXP(LN(INDEX(Dic2023!$N$6:$N$205,C199))+(LN(INDEX(Dic2023!$N$6:$N$205,MIN(C199+1,200)))-LN(INDEX(Dic2023!$N$6:$N$205,C199)))*(A199-6*C199)/6))</f>
        <v>0.440456206397644</v>
      </c>
      <c r="K199" s="12" t="n">
        <f aca="false">J199^(-1/B199)-1</f>
        <v>0.0517528025</v>
      </c>
      <c r="L199" s="12" t="n">
        <f aca="false">(1+K199)^(1/12)-1</f>
        <v>0.00421369509431369</v>
      </c>
    </row>
    <row r="200" customFormat="false" ht="15" hidden="false" customHeight="false" outlineLevel="0" collapsed="false">
      <c r="A200" s="4" t="n">
        <v>196</v>
      </c>
      <c r="B200" s="14" t="n">
        <f aca="false">A200/12</f>
        <v>16.3333333333333</v>
      </c>
      <c r="C200" s="15" t="n">
        <f aca="false">INT(A200/6)</f>
        <v>32</v>
      </c>
      <c r="D200" s="16" t="n">
        <f aca="false">IF(C200=0,(1+Dic2023!$G$6)^(-B200),EXP(LN(INDEX(Dic2023!$H$6:$H$205,C200))+(LN(INDEX(Dic2023!$H$6:$H$205,MIN(C200+1,200)))-LN(INDEX(Dic2023!$H$6:$H$205,C200)))*(A200-6*C200)/6))</f>
        <v>0.438608045826618</v>
      </c>
      <c r="E200" s="12" t="n">
        <f aca="false">D200^(-1/B200)-1</f>
        <v>0.0517528025</v>
      </c>
      <c r="F200" s="12" t="n">
        <f aca="false">(1+E200)^(1/12)-1</f>
        <v>0.00421369509431369</v>
      </c>
      <c r="G200" s="16" t="n">
        <f aca="false">IF(C200=0,(1+Dic2023!$J$6)^(-B200),EXP(LN(INDEX(Dic2023!$K$6:$K$205,C200))+(LN(INDEX(Dic2023!$K$6:$K$205,MIN(C200+1,200)))-LN(INDEX(Dic2023!$K$6:$K$205,C200)))*(A200-6*C200)/6))</f>
        <v>0.438608045826618</v>
      </c>
      <c r="H200" s="12" t="n">
        <f aca="false">G200^(-1/B200)-1</f>
        <v>0.0517528025</v>
      </c>
      <c r="I200" s="12" t="n">
        <f aca="false">(1+H200)^(1/12)-1</f>
        <v>0.00421369509431369</v>
      </c>
      <c r="J200" s="16" t="n">
        <f aca="false">IF(C200=0,(1+Dic2023!$M$6)^(-B200),EXP(LN(INDEX(Dic2023!$N$6:$N$205,C200))+(LN(INDEX(Dic2023!$N$6:$N$205,MIN(C200+1,200)))-LN(INDEX(Dic2023!$N$6:$N$205,C200)))*(A200-6*C200)/6))</f>
        <v>0.438608045826618</v>
      </c>
      <c r="K200" s="12" t="n">
        <f aca="false">J200^(-1/B200)-1</f>
        <v>0.0517528025</v>
      </c>
      <c r="L200" s="12" t="n">
        <f aca="false">(1+K200)^(1/12)-1</f>
        <v>0.00421369509431369</v>
      </c>
    </row>
    <row r="201" customFormat="false" ht="15" hidden="false" customHeight="false" outlineLevel="0" collapsed="false">
      <c r="A201" s="4" t="n">
        <v>197</v>
      </c>
      <c r="B201" s="14" t="n">
        <f aca="false">A201/12</f>
        <v>16.4166666666667</v>
      </c>
      <c r="C201" s="15" t="n">
        <f aca="false">INT(A201/6)</f>
        <v>32</v>
      </c>
      <c r="D201" s="16" t="n">
        <f aca="false">IF(C201=0,(1+Dic2023!$G$6)^(-B201),EXP(LN(INDEX(Dic2023!$H$6:$H$205,C201))+(LN(INDEX(Dic2023!$H$6:$H$205,MIN(C201+1,200)))-LN(INDEX(Dic2023!$H$6:$H$205,C201)))*(A201-6*C201)/6))</f>
        <v>0.436767640163905</v>
      </c>
      <c r="E201" s="12" t="n">
        <f aca="false">D201^(-1/B201)-1</f>
        <v>0.0517528025</v>
      </c>
      <c r="F201" s="12" t="n">
        <f aca="false">(1+E201)^(1/12)-1</f>
        <v>0.00421369509431369</v>
      </c>
      <c r="G201" s="16" t="n">
        <f aca="false">IF(C201=0,(1+Dic2023!$J$6)^(-B201),EXP(LN(INDEX(Dic2023!$K$6:$K$205,C201))+(LN(INDEX(Dic2023!$K$6:$K$205,MIN(C201+1,200)))-LN(INDEX(Dic2023!$K$6:$K$205,C201)))*(A201-6*C201)/6))</f>
        <v>0.436767640163905</v>
      </c>
      <c r="H201" s="12" t="n">
        <f aca="false">G201^(-1/B201)-1</f>
        <v>0.0517528025</v>
      </c>
      <c r="I201" s="12" t="n">
        <f aca="false">(1+H201)^(1/12)-1</f>
        <v>0.00421369509431369</v>
      </c>
      <c r="J201" s="16" t="n">
        <f aca="false">IF(C201=0,(1+Dic2023!$M$6)^(-B201),EXP(LN(INDEX(Dic2023!$N$6:$N$205,C201))+(LN(INDEX(Dic2023!$N$6:$N$205,MIN(C201+1,200)))-LN(INDEX(Dic2023!$N$6:$N$205,C201)))*(A201-6*C201)/6))</f>
        <v>0.436767640163905</v>
      </c>
      <c r="K201" s="12" t="n">
        <f aca="false">J201^(-1/B201)-1</f>
        <v>0.0517528025</v>
      </c>
      <c r="L201" s="12" t="n">
        <f aca="false">(1+K201)^(1/12)-1</f>
        <v>0.00421369509431369</v>
      </c>
    </row>
    <row r="202" customFormat="false" ht="15" hidden="false" customHeight="false" outlineLevel="0" collapsed="false">
      <c r="A202" s="4" t="n">
        <v>198</v>
      </c>
      <c r="B202" s="14" t="n">
        <f aca="false">A202/12</f>
        <v>16.5</v>
      </c>
      <c r="C202" s="15" t="n">
        <f aca="false">INT(A202/6)</f>
        <v>33</v>
      </c>
      <c r="D202" s="16" t="n">
        <f aca="false">IF(C202=0,(1+Dic2023!$G$6)^(-B202),EXP(LN(INDEX(Dic2023!$H$6:$H$205,C202))+(LN(INDEX(Dic2023!$H$6:$H$205,MIN(C202+1,200)))-LN(INDEX(Dic2023!$H$6:$H$205,C202)))*(A202-6*C202)/6))</f>
        <v>0.434934956869797</v>
      </c>
      <c r="E202" s="12" t="n">
        <f aca="false">D202^(-1/B202)-1</f>
        <v>0.0517528025</v>
      </c>
      <c r="F202" s="12" t="n">
        <f aca="false">(1+E202)^(1/12)-1</f>
        <v>0.00421369509431369</v>
      </c>
      <c r="G202" s="16" t="n">
        <f aca="false">IF(C202=0,(1+Dic2023!$J$6)^(-B202),EXP(LN(INDEX(Dic2023!$K$6:$K$205,C202))+(LN(INDEX(Dic2023!$K$6:$K$205,MIN(C202+1,200)))-LN(INDEX(Dic2023!$K$6:$K$205,C202)))*(A202-6*C202)/6))</f>
        <v>0.434934956869797</v>
      </c>
      <c r="H202" s="12" t="n">
        <f aca="false">G202^(-1/B202)-1</f>
        <v>0.0517528025</v>
      </c>
      <c r="I202" s="12" t="n">
        <f aca="false">(1+H202)^(1/12)-1</f>
        <v>0.00421369509431369</v>
      </c>
      <c r="J202" s="16" t="n">
        <f aca="false">IF(C202=0,(1+Dic2023!$M$6)^(-B202),EXP(LN(INDEX(Dic2023!$N$6:$N$205,C202))+(LN(INDEX(Dic2023!$N$6:$N$205,MIN(C202+1,200)))-LN(INDEX(Dic2023!$N$6:$N$205,C202)))*(A202-6*C202)/6))</f>
        <v>0.434934956869797</v>
      </c>
      <c r="K202" s="12" t="n">
        <f aca="false">J202^(-1/B202)-1</f>
        <v>0.0517528025</v>
      </c>
      <c r="L202" s="12" t="n">
        <f aca="false">(1+K202)^(1/12)-1</f>
        <v>0.00421369509431369</v>
      </c>
    </row>
    <row r="203" customFormat="false" ht="15" hidden="false" customHeight="false" outlineLevel="0" collapsed="false">
      <c r="A203" s="4" t="n">
        <v>199</v>
      </c>
      <c r="B203" s="14" t="n">
        <f aca="false">A203/12</f>
        <v>16.5833333333333</v>
      </c>
      <c r="C203" s="15" t="n">
        <f aca="false">INT(A203/6)</f>
        <v>33</v>
      </c>
      <c r="D203" s="16" t="n">
        <f aca="false">IF(C203=0,(1+Dic2023!$G$6)^(-B203),EXP(LN(INDEX(Dic2023!$H$6:$H$205,C203))+(LN(INDEX(Dic2023!$H$6:$H$205,MIN(C203+1,200)))-LN(INDEX(Dic2023!$H$6:$H$205,C203)))*(A203-6*C203)/6))</f>
        <v>0.433109963541125</v>
      </c>
      <c r="E203" s="12" t="n">
        <f aca="false">D203^(-1/B203)-1</f>
        <v>0.0517528025</v>
      </c>
      <c r="F203" s="12" t="n">
        <f aca="false">(1+E203)^(1/12)-1</f>
        <v>0.00421369509431369</v>
      </c>
      <c r="G203" s="16" t="n">
        <f aca="false">IF(C203=0,(1+Dic2023!$J$6)^(-B203),EXP(LN(INDEX(Dic2023!$K$6:$K$205,C203))+(LN(INDEX(Dic2023!$K$6:$K$205,MIN(C203+1,200)))-LN(INDEX(Dic2023!$K$6:$K$205,C203)))*(A203-6*C203)/6))</f>
        <v>0.433109963541125</v>
      </c>
      <c r="H203" s="12" t="n">
        <f aca="false">G203^(-1/B203)-1</f>
        <v>0.0517528025</v>
      </c>
      <c r="I203" s="12" t="n">
        <f aca="false">(1+H203)^(1/12)-1</f>
        <v>0.00421369509431369</v>
      </c>
      <c r="J203" s="16" t="n">
        <f aca="false">IF(C203=0,(1+Dic2023!$M$6)^(-B203),EXP(LN(INDEX(Dic2023!$N$6:$N$205,C203))+(LN(INDEX(Dic2023!$N$6:$N$205,MIN(C203+1,200)))-LN(INDEX(Dic2023!$N$6:$N$205,C203)))*(A203-6*C203)/6))</f>
        <v>0.433109963541125</v>
      </c>
      <c r="K203" s="12" t="n">
        <f aca="false">J203^(-1/B203)-1</f>
        <v>0.0517528025</v>
      </c>
      <c r="L203" s="12" t="n">
        <f aca="false">(1+K203)^(1/12)-1</f>
        <v>0.00421369509431369</v>
      </c>
    </row>
    <row r="204" customFormat="false" ht="15" hidden="false" customHeight="false" outlineLevel="0" collapsed="false">
      <c r="A204" s="4" t="n">
        <v>200</v>
      </c>
      <c r="B204" s="14" t="n">
        <f aca="false">A204/12</f>
        <v>16.6666666666667</v>
      </c>
      <c r="C204" s="15" t="n">
        <f aca="false">INT(A204/6)</f>
        <v>33</v>
      </c>
      <c r="D204" s="16" t="n">
        <f aca="false">IF(C204=0,(1+Dic2023!$G$6)^(-B204),EXP(LN(INDEX(Dic2023!$H$6:$H$205,C204))+(LN(INDEX(Dic2023!$H$6:$H$205,MIN(C204+1,200)))-LN(INDEX(Dic2023!$H$6:$H$205,C204)))*(A204-6*C204)/6))</f>
        <v>0.431292627910684</v>
      </c>
      <c r="E204" s="12" t="n">
        <f aca="false">D204^(-1/B204)-1</f>
        <v>0.0517528025</v>
      </c>
      <c r="F204" s="12" t="n">
        <f aca="false">(1+E204)^(1/12)-1</f>
        <v>0.00421369509431369</v>
      </c>
      <c r="G204" s="16" t="n">
        <f aca="false">IF(C204=0,(1+Dic2023!$J$6)^(-B204),EXP(LN(INDEX(Dic2023!$K$6:$K$205,C204))+(LN(INDEX(Dic2023!$K$6:$K$205,MIN(C204+1,200)))-LN(INDEX(Dic2023!$K$6:$K$205,C204)))*(A204-6*C204)/6))</f>
        <v>0.431292627910684</v>
      </c>
      <c r="H204" s="12" t="n">
        <f aca="false">G204^(-1/B204)-1</f>
        <v>0.0517528025</v>
      </c>
      <c r="I204" s="12" t="n">
        <f aca="false">(1+H204)^(1/12)-1</f>
        <v>0.00421369509431369</v>
      </c>
      <c r="J204" s="16" t="n">
        <f aca="false">IF(C204=0,(1+Dic2023!$M$6)^(-B204),EXP(LN(INDEX(Dic2023!$N$6:$N$205,C204))+(LN(INDEX(Dic2023!$N$6:$N$205,MIN(C204+1,200)))-LN(INDEX(Dic2023!$N$6:$N$205,C204)))*(A204-6*C204)/6))</f>
        <v>0.431292627910684</v>
      </c>
      <c r="K204" s="12" t="n">
        <f aca="false">J204^(-1/B204)-1</f>
        <v>0.0517528025</v>
      </c>
      <c r="L204" s="12" t="n">
        <f aca="false">(1+K204)^(1/12)-1</f>
        <v>0.00421369509431369</v>
      </c>
    </row>
    <row r="205" customFormat="false" ht="15" hidden="false" customHeight="false" outlineLevel="0" collapsed="false">
      <c r="A205" s="4" t="n">
        <v>201</v>
      </c>
      <c r="B205" s="14" t="n">
        <f aca="false">A205/12</f>
        <v>16.75</v>
      </c>
      <c r="C205" s="15" t="n">
        <f aca="false">INT(A205/6)</f>
        <v>33</v>
      </c>
      <c r="D205" s="16" t="n">
        <f aca="false">IF(C205=0,(1+Dic2023!$G$6)^(-B205),EXP(LN(INDEX(Dic2023!$H$6:$H$205,C205))+(LN(INDEX(Dic2023!$H$6:$H$205,MIN(C205+1,200)))-LN(INDEX(Dic2023!$H$6:$H$205,C205)))*(A205-6*C205)/6))</f>
        <v>0.429482917846662</v>
      </c>
      <c r="E205" s="12" t="n">
        <f aca="false">D205^(-1/B205)-1</f>
        <v>0.0517528025</v>
      </c>
      <c r="F205" s="12" t="n">
        <f aca="false">(1+E205)^(1/12)-1</f>
        <v>0.00421369509431369</v>
      </c>
      <c r="G205" s="16" t="n">
        <f aca="false">IF(C205=0,(1+Dic2023!$J$6)^(-B205),EXP(LN(INDEX(Dic2023!$K$6:$K$205,C205))+(LN(INDEX(Dic2023!$K$6:$K$205,MIN(C205+1,200)))-LN(INDEX(Dic2023!$K$6:$K$205,C205)))*(A205-6*C205)/6))</f>
        <v>0.429482917846662</v>
      </c>
      <c r="H205" s="12" t="n">
        <f aca="false">G205^(-1/B205)-1</f>
        <v>0.0517528025</v>
      </c>
      <c r="I205" s="12" t="n">
        <f aca="false">(1+H205)^(1/12)-1</f>
        <v>0.00421369509431369</v>
      </c>
      <c r="J205" s="16" t="n">
        <f aca="false">IF(C205=0,(1+Dic2023!$M$6)^(-B205),EXP(LN(INDEX(Dic2023!$N$6:$N$205,C205))+(LN(INDEX(Dic2023!$N$6:$N$205,MIN(C205+1,200)))-LN(INDEX(Dic2023!$N$6:$N$205,C205)))*(A205-6*C205)/6))</f>
        <v>0.429482917846662</v>
      </c>
      <c r="K205" s="12" t="n">
        <f aca="false">J205^(-1/B205)-1</f>
        <v>0.0517528025</v>
      </c>
      <c r="L205" s="12" t="n">
        <f aca="false">(1+K205)^(1/12)-1</f>
        <v>0.00421369509431369</v>
      </c>
    </row>
    <row r="206" customFormat="false" ht="15" hidden="false" customHeight="false" outlineLevel="0" collapsed="false">
      <c r="A206" s="4" t="n">
        <v>202</v>
      </c>
      <c r="B206" s="14" t="n">
        <f aca="false">A206/12</f>
        <v>16.8333333333333</v>
      </c>
      <c r="C206" s="15" t="n">
        <f aca="false">INT(A206/6)</f>
        <v>33</v>
      </c>
      <c r="D206" s="16" t="n">
        <f aca="false">IF(C206=0,(1+Dic2023!$G$6)^(-B206),EXP(LN(INDEX(Dic2023!$H$6:$H$205,C206))+(LN(INDEX(Dic2023!$H$6:$H$205,MIN(C206+1,200)))-LN(INDEX(Dic2023!$H$6:$H$205,C206)))*(A206-6*C206)/6))</f>
        <v>0.427680801352073</v>
      </c>
      <c r="E206" s="12" t="n">
        <f aca="false">D206^(-1/B206)-1</f>
        <v>0.0517528025</v>
      </c>
      <c r="F206" s="12" t="n">
        <f aca="false">(1+E206)^(1/12)-1</f>
        <v>0.00421369509431369</v>
      </c>
      <c r="G206" s="16" t="n">
        <f aca="false">IF(C206=0,(1+Dic2023!$J$6)^(-B206),EXP(LN(INDEX(Dic2023!$K$6:$K$205,C206))+(LN(INDEX(Dic2023!$K$6:$K$205,MIN(C206+1,200)))-LN(INDEX(Dic2023!$K$6:$K$205,C206)))*(A206-6*C206)/6))</f>
        <v>0.427680801352073</v>
      </c>
      <c r="H206" s="12" t="n">
        <f aca="false">G206^(-1/B206)-1</f>
        <v>0.0517528025</v>
      </c>
      <c r="I206" s="12" t="n">
        <f aca="false">(1+H206)^(1/12)-1</f>
        <v>0.00421369509431369</v>
      </c>
      <c r="J206" s="16" t="n">
        <f aca="false">IF(C206=0,(1+Dic2023!$M$6)^(-B206),EXP(LN(INDEX(Dic2023!$N$6:$N$205,C206))+(LN(INDEX(Dic2023!$N$6:$N$205,MIN(C206+1,200)))-LN(INDEX(Dic2023!$N$6:$N$205,C206)))*(A206-6*C206)/6))</f>
        <v>0.427680801352073</v>
      </c>
      <c r="K206" s="12" t="n">
        <f aca="false">J206^(-1/B206)-1</f>
        <v>0.0517528025</v>
      </c>
      <c r="L206" s="12" t="n">
        <f aca="false">(1+K206)^(1/12)-1</f>
        <v>0.00421369509431369</v>
      </c>
    </row>
    <row r="207" customFormat="false" ht="15" hidden="false" customHeight="false" outlineLevel="0" collapsed="false">
      <c r="A207" s="4" t="n">
        <v>203</v>
      </c>
      <c r="B207" s="14" t="n">
        <f aca="false">A207/12</f>
        <v>16.9166666666667</v>
      </c>
      <c r="C207" s="15" t="n">
        <f aca="false">INT(A207/6)</f>
        <v>33</v>
      </c>
      <c r="D207" s="16" t="n">
        <f aca="false">IF(C207=0,(1+Dic2023!$G$6)^(-B207),EXP(LN(INDEX(Dic2023!$H$6:$H$205,C207))+(LN(INDEX(Dic2023!$H$6:$H$205,MIN(C207+1,200)))-LN(INDEX(Dic2023!$H$6:$H$205,C207)))*(A207-6*C207)/6))</f>
        <v>0.42588624656419</v>
      </c>
      <c r="E207" s="12" t="n">
        <f aca="false">D207^(-1/B207)-1</f>
        <v>0.0517528025</v>
      </c>
      <c r="F207" s="12" t="n">
        <f aca="false">(1+E207)^(1/12)-1</f>
        <v>0.00421369509431369</v>
      </c>
      <c r="G207" s="16" t="n">
        <f aca="false">IF(C207=0,(1+Dic2023!$J$6)^(-B207),EXP(LN(INDEX(Dic2023!$K$6:$K$205,C207))+(LN(INDEX(Dic2023!$K$6:$K$205,MIN(C207+1,200)))-LN(INDEX(Dic2023!$K$6:$K$205,C207)))*(A207-6*C207)/6))</f>
        <v>0.42588624656419</v>
      </c>
      <c r="H207" s="12" t="n">
        <f aca="false">G207^(-1/B207)-1</f>
        <v>0.0517528025</v>
      </c>
      <c r="I207" s="12" t="n">
        <f aca="false">(1+H207)^(1/12)-1</f>
        <v>0.00421369509431369</v>
      </c>
      <c r="J207" s="16" t="n">
        <f aca="false">IF(C207=0,(1+Dic2023!$M$6)^(-B207),EXP(LN(INDEX(Dic2023!$N$6:$N$205,C207))+(LN(INDEX(Dic2023!$N$6:$N$205,MIN(C207+1,200)))-LN(INDEX(Dic2023!$N$6:$N$205,C207)))*(A207-6*C207)/6))</f>
        <v>0.42588624656419</v>
      </c>
      <c r="K207" s="12" t="n">
        <f aca="false">J207^(-1/B207)-1</f>
        <v>0.0517528025</v>
      </c>
      <c r="L207" s="12" t="n">
        <f aca="false">(1+K207)^(1/12)-1</f>
        <v>0.00421369509431369</v>
      </c>
    </row>
    <row r="208" customFormat="false" ht="15" hidden="false" customHeight="false" outlineLevel="0" collapsed="false">
      <c r="A208" s="4" t="n">
        <v>204</v>
      </c>
      <c r="B208" s="14" t="n">
        <f aca="false">A208/12</f>
        <v>17</v>
      </c>
      <c r="C208" s="15" t="n">
        <f aca="false">INT(A208/6)</f>
        <v>34</v>
      </c>
      <c r="D208" s="16" t="n">
        <f aca="false">IF(C208=0,(1+Dic2023!$G$6)^(-B208),EXP(LN(INDEX(Dic2023!$H$6:$H$205,C208))+(LN(INDEX(Dic2023!$H$6:$H$205,MIN(C208+1,200)))-LN(INDEX(Dic2023!$H$6:$H$205,C208)))*(A208-6*C208)/6))</f>
        <v>0.424099221753982</v>
      </c>
      <c r="E208" s="12" t="n">
        <f aca="false">D208^(-1/B208)-1</f>
        <v>0.0517528025</v>
      </c>
      <c r="F208" s="12" t="n">
        <f aca="false">(1+E208)^(1/12)-1</f>
        <v>0.00421369509431369</v>
      </c>
      <c r="G208" s="16" t="n">
        <f aca="false">IF(C208=0,(1+Dic2023!$J$6)^(-B208),EXP(LN(INDEX(Dic2023!$K$6:$K$205,C208))+(LN(INDEX(Dic2023!$K$6:$K$205,MIN(C208+1,200)))-LN(INDEX(Dic2023!$K$6:$K$205,C208)))*(A208-6*C208)/6))</f>
        <v>0.424099221753982</v>
      </c>
      <c r="H208" s="12" t="n">
        <f aca="false">G208^(-1/B208)-1</f>
        <v>0.0517528025</v>
      </c>
      <c r="I208" s="12" t="n">
        <f aca="false">(1+H208)^(1/12)-1</f>
        <v>0.00421369509431369</v>
      </c>
      <c r="J208" s="16" t="n">
        <f aca="false">IF(C208=0,(1+Dic2023!$M$6)^(-B208),EXP(LN(INDEX(Dic2023!$N$6:$N$205,C208))+(LN(INDEX(Dic2023!$N$6:$N$205,MIN(C208+1,200)))-LN(INDEX(Dic2023!$N$6:$N$205,C208)))*(A208-6*C208)/6))</f>
        <v>0.424099221753982</v>
      </c>
      <c r="K208" s="12" t="n">
        <f aca="false">J208^(-1/B208)-1</f>
        <v>0.0517528025</v>
      </c>
      <c r="L208" s="12" t="n">
        <f aca="false">(1+K208)^(1/12)-1</f>
        <v>0.00421369509431369</v>
      </c>
    </row>
    <row r="209" customFormat="false" ht="15" hidden="false" customHeight="false" outlineLevel="0" collapsed="false">
      <c r="A209" s="4" t="n">
        <v>205</v>
      </c>
      <c r="B209" s="14" t="n">
        <f aca="false">A209/12</f>
        <v>17.0833333333333</v>
      </c>
      <c r="C209" s="15" t="n">
        <f aca="false">INT(A209/6)</f>
        <v>34</v>
      </c>
      <c r="D209" s="16" t="n">
        <f aca="false">IF(C209=0,(1+Dic2023!$G$6)^(-B209),EXP(LN(INDEX(Dic2023!$H$6:$H$205,C209))+(LN(INDEX(Dic2023!$H$6:$H$205,MIN(C209+1,200)))-LN(INDEX(Dic2023!$H$6:$H$205,C209)))*(A209-6*C209)/6))</f>
        <v>0.422199607507318</v>
      </c>
      <c r="E209" s="12" t="n">
        <f aca="false">D209^(-1/B209)-1</f>
        <v>0.0517703116091688</v>
      </c>
      <c r="F209" s="12" t="n">
        <f aca="false">(1+E209)^(1/12)-1</f>
        <v>0.00421508822530226</v>
      </c>
      <c r="G209" s="16" t="n">
        <f aca="false">IF(C209=0,(1+Dic2023!$J$6)^(-B209),EXP(LN(INDEX(Dic2023!$K$6:$K$205,C209))+(LN(INDEX(Dic2023!$K$6:$K$205,MIN(C209+1,200)))-LN(INDEX(Dic2023!$K$6:$K$205,C209)))*(A209-6*C209)/6))</f>
        <v>0.422199607507318</v>
      </c>
      <c r="H209" s="12" t="n">
        <f aca="false">G209^(-1/B209)-1</f>
        <v>0.0517703116091688</v>
      </c>
      <c r="I209" s="12" t="n">
        <f aca="false">(1+H209)^(1/12)-1</f>
        <v>0.00421508822530226</v>
      </c>
      <c r="J209" s="16" t="n">
        <f aca="false">IF(C209=0,(1+Dic2023!$M$6)^(-B209),EXP(LN(INDEX(Dic2023!$N$6:$N$205,C209))+(LN(INDEX(Dic2023!$N$6:$N$205,MIN(C209+1,200)))-LN(INDEX(Dic2023!$N$6:$N$205,C209)))*(A209-6*C209)/6))</f>
        <v>0.422199607507318</v>
      </c>
      <c r="K209" s="12" t="n">
        <f aca="false">J209^(-1/B209)-1</f>
        <v>0.0517703116091688</v>
      </c>
      <c r="L209" s="12" t="n">
        <f aca="false">(1+K209)^(1/12)-1</f>
        <v>0.00421508822530226</v>
      </c>
    </row>
    <row r="210" customFormat="false" ht="15" hidden="false" customHeight="false" outlineLevel="0" collapsed="false">
      <c r="A210" s="4" t="n">
        <v>206</v>
      </c>
      <c r="B210" s="14" t="n">
        <f aca="false">A210/12</f>
        <v>17.1666666666667</v>
      </c>
      <c r="C210" s="15" t="n">
        <f aca="false">INT(A210/6)</f>
        <v>34</v>
      </c>
      <c r="D210" s="16" t="n">
        <f aca="false">IF(C210=0,(1+Dic2023!$G$6)^(-B210),EXP(LN(INDEX(Dic2023!$H$6:$H$205,C210))+(LN(INDEX(Dic2023!$H$6:$H$205,MIN(C210+1,200)))-LN(INDEX(Dic2023!$H$6:$H$205,C210)))*(A210-6*C210)/6))</f>
        <v>0.420308501963572</v>
      </c>
      <c r="E210" s="12" t="n">
        <f aca="false">D210^(-1/B210)-1</f>
        <v>0.0517876510142392</v>
      </c>
      <c r="F210" s="12" t="n">
        <f aca="false">(1+E210)^(1/12)-1</f>
        <v>0.00421646783265195</v>
      </c>
      <c r="G210" s="16" t="n">
        <f aca="false">IF(C210=0,(1+Dic2023!$J$6)^(-B210),EXP(LN(INDEX(Dic2023!$K$6:$K$205,C210))+(LN(INDEX(Dic2023!$K$6:$K$205,MIN(C210+1,200)))-LN(INDEX(Dic2023!$K$6:$K$205,C210)))*(A210-6*C210)/6))</f>
        <v>0.420308501963572</v>
      </c>
      <c r="H210" s="12" t="n">
        <f aca="false">G210^(-1/B210)-1</f>
        <v>0.0517876510142392</v>
      </c>
      <c r="I210" s="12" t="n">
        <f aca="false">(1+H210)^(1/12)-1</f>
        <v>0.00421646783265195</v>
      </c>
      <c r="J210" s="16" t="n">
        <f aca="false">IF(C210=0,(1+Dic2023!$M$6)^(-B210),EXP(LN(INDEX(Dic2023!$N$6:$N$205,C210))+(LN(INDEX(Dic2023!$N$6:$N$205,MIN(C210+1,200)))-LN(INDEX(Dic2023!$N$6:$N$205,C210)))*(A210-6*C210)/6))</f>
        <v>0.420308501963572</v>
      </c>
      <c r="K210" s="12" t="n">
        <f aca="false">J210^(-1/B210)-1</f>
        <v>0.0517876510142392</v>
      </c>
      <c r="L210" s="12" t="n">
        <f aca="false">(1+K210)^(1/12)-1</f>
        <v>0.00421646783265195</v>
      </c>
    </row>
    <row r="211" customFormat="false" ht="15" hidden="false" customHeight="false" outlineLevel="0" collapsed="false">
      <c r="A211" s="4" t="n">
        <v>207</v>
      </c>
      <c r="B211" s="14" t="n">
        <f aca="false">A211/12</f>
        <v>17.25</v>
      </c>
      <c r="C211" s="15" t="n">
        <f aca="false">INT(A211/6)</f>
        <v>34</v>
      </c>
      <c r="D211" s="16" t="n">
        <f aca="false">IF(C211=0,(1+Dic2023!$G$6)^(-B211),EXP(LN(INDEX(Dic2023!$H$6:$H$205,C211))+(LN(INDEX(Dic2023!$H$6:$H$205,MIN(C211+1,200)))-LN(INDEX(Dic2023!$H$6:$H$205,C211)))*(A211-6*C211)/6))</f>
        <v>0.418425867010783</v>
      </c>
      <c r="E211" s="12" t="n">
        <f aca="false">D211^(-1/B211)-1</f>
        <v>0.0518048231705524</v>
      </c>
      <c r="F211" s="12" t="n">
        <f aca="false">(1+E211)^(1/12)-1</f>
        <v>0.00421783411233001</v>
      </c>
      <c r="G211" s="16" t="n">
        <f aca="false">IF(C211=0,(1+Dic2023!$J$6)^(-B211),EXP(LN(INDEX(Dic2023!$K$6:$K$205,C211))+(LN(INDEX(Dic2023!$K$6:$K$205,MIN(C211+1,200)))-LN(INDEX(Dic2023!$K$6:$K$205,C211)))*(A211-6*C211)/6))</f>
        <v>0.418425867010783</v>
      </c>
      <c r="H211" s="12" t="n">
        <f aca="false">G211^(-1/B211)-1</f>
        <v>0.0518048231705524</v>
      </c>
      <c r="I211" s="12" t="n">
        <f aca="false">(1+H211)^(1/12)-1</f>
        <v>0.00421783411233001</v>
      </c>
      <c r="J211" s="16" t="n">
        <f aca="false">IF(C211=0,(1+Dic2023!$M$6)^(-B211),EXP(LN(INDEX(Dic2023!$N$6:$N$205,C211))+(LN(INDEX(Dic2023!$N$6:$N$205,MIN(C211+1,200)))-LN(INDEX(Dic2023!$N$6:$N$205,C211)))*(A211-6*C211)/6))</f>
        <v>0.418425867010783</v>
      </c>
      <c r="K211" s="12" t="n">
        <f aca="false">J211^(-1/B211)-1</f>
        <v>0.0518048231705524</v>
      </c>
      <c r="L211" s="12" t="n">
        <f aca="false">(1+K211)^(1/12)-1</f>
        <v>0.00421783411233001</v>
      </c>
    </row>
    <row r="212" customFormat="false" ht="15" hidden="false" customHeight="false" outlineLevel="0" collapsed="false">
      <c r="A212" s="4" t="n">
        <v>208</v>
      </c>
      <c r="B212" s="14" t="n">
        <f aca="false">A212/12</f>
        <v>17.3333333333333</v>
      </c>
      <c r="C212" s="15" t="n">
        <f aca="false">INT(A212/6)</f>
        <v>34</v>
      </c>
      <c r="D212" s="16" t="n">
        <f aca="false">IF(C212=0,(1+Dic2023!$G$6)^(-B212),EXP(LN(INDEX(Dic2023!$H$6:$H$205,C212))+(LN(INDEX(Dic2023!$H$6:$H$205,MIN(C212+1,200)))-LN(INDEX(Dic2023!$H$6:$H$205,C212)))*(A212-6*C212)/6))</f>
        <v>0.416551664707701</v>
      </c>
      <c r="E212" s="12" t="n">
        <f aca="false">D212^(-1/B212)-1</f>
        <v>0.0518218304863105</v>
      </c>
      <c r="F212" s="12" t="n">
        <f aca="false">(1+E212)^(1/12)-1</f>
        <v>0.00421918725653536</v>
      </c>
      <c r="G212" s="16" t="n">
        <f aca="false">IF(C212=0,(1+Dic2023!$J$6)^(-B212),EXP(LN(INDEX(Dic2023!$K$6:$K$205,C212))+(LN(INDEX(Dic2023!$K$6:$K$205,MIN(C212+1,200)))-LN(INDEX(Dic2023!$K$6:$K$205,C212)))*(A212-6*C212)/6))</f>
        <v>0.416551664707701</v>
      </c>
      <c r="H212" s="12" t="n">
        <f aca="false">G212^(-1/B212)-1</f>
        <v>0.0518218304863105</v>
      </c>
      <c r="I212" s="12" t="n">
        <f aca="false">(1+H212)^(1/12)-1</f>
        <v>0.00421918725653536</v>
      </c>
      <c r="J212" s="16" t="n">
        <f aca="false">IF(C212=0,(1+Dic2023!$M$6)^(-B212),EXP(LN(INDEX(Dic2023!$N$6:$N$205,C212))+(LN(INDEX(Dic2023!$N$6:$N$205,MIN(C212+1,200)))-LN(INDEX(Dic2023!$N$6:$N$205,C212)))*(A212-6*C212)/6))</f>
        <v>0.416551664707701</v>
      </c>
      <c r="K212" s="12" t="n">
        <f aca="false">J212^(-1/B212)-1</f>
        <v>0.0518218304863105</v>
      </c>
      <c r="L212" s="12" t="n">
        <f aca="false">(1+K212)^(1/12)-1</f>
        <v>0.00421918725653536</v>
      </c>
    </row>
    <row r="213" customFormat="false" ht="15" hidden="false" customHeight="false" outlineLevel="0" collapsed="false">
      <c r="A213" s="4" t="n">
        <v>209</v>
      </c>
      <c r="B213" s="14" t="n">
        <f aca="false">A213/12</f>
        <v>17.4166666666667</v>
      </c>
      <c r="C213" s="15" t="n">
        <f aca="false">INT(A213/6)</f>
        <v>34</v>
      </c>
      <c r="D213" s="16" t="n">
        <f aca="false">IF(C213=0,(1+Dic2023!$G$6)^(-B213),EXP(LN(INDEX(Dic2023!$H$6:$H$205,C213))+(LN(INDEX(Dic2023!$H$6:$H$205,MIN(C213+1,200)))-LN(INDEX(Dic2023!$H$6:$H$205,C213)))*(A213-6*C213)/6))</f>
        <v>0.414685857283018</v>
      </c>
      <c r="E213" s="12" t="n">
        <f aca="false">D213^(-1/B213)-1</f>
        <v>0.0518386753237032</v>
      </c>
      <c r="F213" s="12" t="n">
        <f aca="false">(1+E213)^(1/12)-1</f>
        <v>0.00422052745378987</v>
      </c>
      <c r="G213" s="16" t="n">
        <f aca="false">IF(C213=0,(1+Dic2023!$J$6)^(-B213),EXP(LN(INDEX(Dic2023!$K$6:$K$205,C213))+(LN(INDEX(Dic2023!$K$6:$K$205,MIN(C213+1,200)))-LN(INDEX(Dic2023!$K$6:$K$205,C213)))*(A213-6*C213)/6))</f>
        <v>0.414685857283018</v>
      </c>
      <c r="H213" s="12" t="n">
        <f aca="false">G213^(-1/B213)-1</f>
        <v>0.0518386753237032</v>
      </c>
      <c r="I213" s="12" t="n">
        <f aca="false">(1+H213)^(1/12)-1</f>
        <v>0.00422052745378987</v>
      </c>
      <c r="J213" s="16" t="n">
        <f aca="false">IF(C213=0,(1+Dic2023!$M$6)^(-B213),EXP(LN(INDEX(Dic2023!$N$6:$N$205,C213))+(LN(INDEX(Dic2023!$N$6:$N$205,MIN(C213+1,200)))-LN(INDEX(Dic2023!$N$6:$N$205,C213)))*(A213-6*C213)/6))</f>
        <v>0.414685857283018</v>
      </c>
      <c r="K213" s="12" t="n">
        <f aca="false">J213^(-1/B213)-1</f>
        <v>0.0518386753237032</v>
      </c>
      <c r="L213" s="12" t="n">
        <f aca="false">(1+K213)^(1/12)-1</f>
        <v>0.00422052745378987</v>
      </c>
    </row>
    <row r="214" customFormat="false" ht="15" hidden="false" customHeight="false" outlineLevel="0" collapsed="false">
      <c r="A214" s="4" t="n">
        <v>210</v>
      </c>
      <c r="B214" s="14" t="n">
        <f aca="false">A214/12</f>
        <v>17.5</v>
      </c>
      <c r="C214" s="15" t="n">
        <f aca="false">INT(A214/6)</f>
        <v>35</v>
      </c>
      <c r="D214" s="16" t="n">
        <f aca="false">IF(C214=0,(1+Dic2023!$G$6)^(-B214),EXP(LN(INDEX(Dic2023!$H$6:$H$205,C214))+(LN(INDEX(Dic2023!$H$6:$H$205,MIN(C214+1,200)))-LN(INDEX(Dic2023!$H$6:$H$205,C214)))*(A214-6*C214)/6))</f>
        <v>0.412828407134613</v>
      </c>
      <c r="E214" s="12" t="n">
        <f aca="false">D214^(-1/B214)-1</f>
        <v>0.0518553600000002</v>
      </c>
      <c r="F214" s="12" t="n">
        <f aca="false">(1+E214)^(1/12)-1</f>
        <v>0.00422185488902382</v>
      </c>
      <c r="G214" s="16" t="n">
        <f aca="false">IF(C214=0,(1+Dic2023!$J$6)^(-B214),EXP(LN(INDEX(Dic2023!$K$6:$K$205,C214))+(LN(INDEX(Dic2023!$K$6:$K$205,MIN(C214+1,200)))-LN(INDEX(Dic2023!$K$6:$K$205,C214)))*(A214-6*C214)/6))</f>
        <v>0.412828407134613</v>
      </c>
      <c r="H214" s="12" t="n">
        <f aca="false">G214^(-1/B214)-1</f>
        <v>0.0518553600000002</v>
      </c>
      <c r="I214" s="12" t="n">
        <f aca="false">(1+H214)^(1/12)-1</f>
        <v>0.00422185488902382</v>
      </c>
      <c r="J214" s="16" t="n">
        <f aca="false">IF(C214=0,(1+Dic2023!$M$6)^(-B214),EXP(LN(INDEX(Dic2023!$N$6:$N$205,C214))+(LN(INDEX(Dic2023!$N$6:$N$205,MIN(C214+1,200)))-LN(INDEX(Dic2023!$N$6:$N$205,C214)))*(A214-6*C214)/6))</f>
        <v>0.412828407134613</v>
      </c>
      <c r="K214" s="12" t="n">
        <f aca="false">J214^(-1/B214)-1</f>
        <v>0.0518553600000002</v>
      </c>
      <c r="L214" s="12" t="n">
        <f aca="false">(1+K214)^(1/12)-1</f>
        <v>0.00422185488902382</v>
      </c>
    </row>
    <row r="215" customFormat="false" ht="15" hidden="false" customHeight="false" outlineLevel="0" collapsed="false">
      <c r="A215" s="4" t="n">
        <v>211</v>
      </c>
      <c r="B215" s="14" t="n">
        <f aca="false">A215/12</f>
        <v>17.5833333333333</v>
      </c>
      <c r="C215" s="15" t="n">
        <f aca="false">INT(A215/6)</f>
        <v>35</v>
      </c>
      <c r="D215" s="16" t="n">
        <f aca="false">IF(C215=0,(1+Dic2023!$G$6)^(-B215),EXP(LN(INDEX(Dic2023!$H$6:$H$205,C215))+(LN(INDEX(Dic2023!$H$6:$H$205,MIN(C215+1,200)))-LN(INDEX(Dic2023!$H$6:$H$205,C215)))*(A215-6*C215)/6))</f>
        <v>0.41109283284841</v>
      </c>
      <c r="E215" s="12" t="n">
        <f aca="false">D215^(-1/B215)-1</f>
        <v>0.0518553600000002</v>
      </c>
      <c r="F215" s="12" t="n">
        <f aca="false">(1+E215)^(1/12)-1</f>
        <v>0.00422185488902382</v>
      </c>
      <c r="G215" s="16" t="n">
        <f aca="false">IF(C215=0,(1+Dic2023!$J$6)^(-B215),EXP(LN(INDEX(Dic2023!$K$6:$K$205,C215))+(LN(INDEX(Dic2023!$K$6:$K$205,MIN(C215+1,200)))-LN(INDEX(Dic2023!$K$6:$K$205,C215)))*(A215-6*C215)/6))</f>
        <v>0.41109283284841</v>
      </c>
      <c r="H215" s="12" t="n">
        <f aca="false">G215^(-1/B215)-1</f>
        <v>0.0518553600000002</v>
      </c>
      <c r="I215" s="12" t="n">
        <f aca="false">(1+H215)^(1/12)-1</f>
        <v>0.00422185488902382</v>
      </c>
      <c r="J215" s="16" t="n">
        <f aca="false">IF(C215=0,(1+Dic2023!$M$6)^(-B215),EXP(LN(INDEX(Dic2023!$N$6:$N$205,C215))+(LN(INDEX(Dic2023!$N$6:$N$205,MIN(C215+1,200)))-LN(INDEX(Dic2023!$N$6:$N$205,C215)))*(A215-6*C215)/6))</f>
        <v>0.41109283284841</v>
      </c>
      <c r="K215" s="12" t="n">
        <f aca="false">J215^(-1/B215)-1</f>
        <v>0.0518553600000002</v>
      </c>
      <c r="L215" s="12" t="n">
        <f aca="false">(1+K215)^(1/12)-1</f>
        <v>0.00422185488902382</v>
      </c>
    </row>
    <row r="216" customFormat="false" ht="15" hidden="false" customHeight="false" outlineLevel="0" collapsed="false">
      <c r="A216" s="4" t="n">
        <v>212</v>
      </c>
      <c r="B216" s="14" t="n">
        <f aca="false">A216/12</f>
        <v>17.6666666666667</v>
      </c>
      <c r="C216" s="15" t="n">
        <f aca="false">INT(A216/6)</f>
        <v>35</v>
      </c>
      <c r="D216" s="16" t="n">
        <f aca="false">IF(C216=0,(1+Dic2023!$G$6)^(-B216),EXP(LN(INDEX(Dic2023!$H$6:$H$205,C216))+(LN(INDEX(Dic2023!$H$6:$H$205,MIN(C216+1,200)))-LN(INDEX(Dic2023!$H$6:$H$205,C216)))*(A216-6*C216)/6))</f>
        <v>0.409364555100067</v>
      </c>
      <c r="E216" s="12" t="n">
        <f aca="false">D216^(-1/B216)-1</f>
        <v>0.0518553600000002</v>
      </c>
      <c r="F216" s="12" t="n">
        <f aca="false">(1+E216)^(1/12)-1</f>
        <v>0.00422185488902382</v>
      </c>
      <c r="G216" s="16" t="n">
        <f aca="false">IF(C216=0,(1+Dic2023!$J$6)^(-B216),EXP(LN(INDEX(Dic2023!$K$6:$K$205,C216))+(LN(INDEX(Dic2023!$K$6:$K$205,MIN(C216+1,200)))-LN(INDEX(Dic2023!$K$6:$K$205,C216)))*(A216-6*C216)/6))</f>
        <v>0.409364555100067</v>
      </c>
      <c r="H216" s="12" t="n">
        <f aca="false">G216^(-1/B216)-1</f>
        <v>0.0518553600000002</v>
      </c>
      <c r="I216" s="12" t="n">
        <f aca="false">(1+H216)^(1/12)-1</f>
        <v>0.00422185488902382</v>
      </c>
      <c r="J216" s="16" t="n">
        <f aca="false">IF(C216=0,(1+Dic2023!$M$6)^(-B216),EXP(LN(INDEX(Dic2023!$N$6:$N$205,C216))+(LN(INDEX(Dic2023!$N$6:$N$205,MIN(C216+1,200)))-LN(INDEX(Dic2023!$N$6:$N$205,C216)))*(A216-6*C216)/6))</f>
        <v>0.409364555100067</v>
      </c>
      <c r="K216" s="12" t="n">
        <f aca="false">J216^(-1/B216)-1</f>
        <v>0.0518553600000002</v>
      </c>
      <c r="L216" s="12" t="n">
        <f aca="false">(1+K216)^(1/12)-1</f>
        <v>0.00422185488902382</v>
      </c>
    </row>
    <row r="217" customFormat="false" ht="15" hidden="false" customHeight="false" outlineLevel="0" collapsed="false">
      <c r="A217" s="4" t="n">
        <v>213</v>
      </c>
      <c r="B217" s="14" t="n">
        <f aca="false">A217/12</f>
        <v>17.75</v>
      </c>
      <c r="C217" s="15" t="n">
        <f aca="false">INT(A217/6)</f>
        <v>35</v>
      </c>
      <c r="D217" s="16" t="n">
        <f aca="false">IF(C217=0,(1+Dic2023!$G$6)^(-B217),EXP(LN(INDEX(Dic2023!$H$6:$H$205,C217))+(LN(INDEX(Dic2023!$H$6:$H$205,MIN(C217+1,200)))-LN(INDEX(Dic2023!$H$6:$H$205,C217)))*(A217-6*C217)/6))</f>
        <v>0.40764354321417</v>
      </c>
      <c r="E217" s="12" t="n">
        <f aca="false">D217^(-1/B217)-1</f>
        <v>0.0518553600000002</v>
      </c>
      <c r="F217" s="12" t="n">
        <f aca="false">(1+E217)^(1/12)-1</f>
        <v>0.00422185488902382</v>
      </c>
      <c r="G217" s="16" t="n">
        <f aca="false">IF(C217=0,(1+Dic2023!$J$6)^(-B217),EXP(LN(INDEX(Dic2023!$K$6:$K$205,C217))+(LN(INDEX(Dic2023!$K$6:$K$205,MIN(C217+1,200)))-LN(INDEX(Dic2023!$K$6:$K$205,C217)))*(A217-6*C217)/6))</f>
        <v>0.40764354321417</v>
      </c>
      <c r="H217" s="12" t="n">
        <f aca="false">G217^(-1/B217)-1</f>
        <v>0.0518553600000002</v>
      </c>
      <c r="I217" s="12" t="n">
        <f aca="false">(1+H217)^(1/12)-1</f>
        <v>0.00422185488902382</v>
      </c>
      <c r="J217" s="16" t="n">
        <f aca="false">IF(C217=0,(1+Dic2023!$M$6)^(-B217),EXP(LN(INDEX(Dic2023!$N$6:$N$205,C217))+(LN(INDEX(Dic2023!$N$6:$N$205,MIN(C217+1,200)))-LN(INDEX(Dic2023!$N$6:$N$205,C217)))*(A217-6*C217)/6))</f>
        <v>0.40764354321417</v>
      </c>
      <c r="K217" s="12" t="n">
        <f aca="false">J217^(-1/B217)-1</f>
        <v>0.0518553600000002</v>
      </c>
      <c r="L217" s="12" t="n">
        <f aca="false">(1+K217)^(1/12)-1</f>
        <v>0.00422185488902382</v>
      </c>
    </row>
    <row r="218" customFormat="false" ht="15" hidden="false" customHeight="false" outlineLevel="0" collapsed="false">
      <c r="A218" s="4" t="n">
        <v>214</v>
      </c>
      <c r="B218" s="14" t="n">
        <f aca="false">A218/12</f>
        <v>17.8333333333333</v>
      </c>
      <c r="C218" s="15" t="n">
        <f aca="false">INT(A218/6)</f>
        <v>35</v>
      </c>
      <c r="D218" s="16" t="n">
        <f aca="false">IF(C218=0,(1+Dic2023!$G$6)^(-B218),EXP(LN(INDEX(Dic2023!$H$6:$H$205,C218))+(LN(INDEX(Dic2023!$H$6:$H$205,MIN(C218+1,200)))-LN(INDEX(Dic2023!$H$6:$H$205,C218)))*(A218-6*C218)/6))</f>
        <v>0.405929766644262</v>
      </c>
      <c r="E218" s="12" t="n">
        <f aca="false">D218^(-1/B218)-1</f>
        <v>0.0518553600000002</v>
      </c>
      <c r="F218" s="12" t="n">
        <f aca="false">(1+E218)^(1/12)-1</f>
        <v>0.00422185488902382</v>
      </c>
      <c r="G218" s="16" t="n">
        <f aca="false">IF(C218=0,(1+Dic2023!$J$6)^(-B218),EXP(LN(INDEX(Dic2023!$K$6:$K$205,C218))+(LN(INDEX(Dic2023!$K$6:$K$205,MIN(C218+1,200)))-LN(INDEX(Dic2023!$K$6:$K$205,C218)))*(A218-6*C218)/6))</f>
        <v>0.405929766644262</v>
      </c>
      <c r="H218" s="12" t="n">
        <f aca="false">G218^(-1/B218)-1</f>
        <v>0.0518553600000002</v>
      </c>
      <c r="I218" s="12" t="n">
        <f aca="false">(1+H218)^(1/12)-1</f>
        <v>0.00422185488902382</v>
      </c>
      <c r="J218" s="16" t="n">
        <f aca="false">IF(C218=0,(1+Dic2023!$M$6)^(-B218),EXP(LN(INDEX(Dic2023!$N$6:$N$205,C218))+(LN(INDEX(Dic2023!$N$6:$N$205,MIN(C218+1,200)))-LN(INDEX(Dic2023!$N$6:$N$205,C218)))*(A218-6*C218)/6))</f>
        <v>0.405929766644262</v>
      </c>
      <c r="K218" s="12" t="n">
        <f aca="false">J218^(-1/B218)-1</f>
        <v>0.0518553600000002</v>
      </c>
      <c r="L218" s="12" t="n">
        <f aca="false">(1+K218)^(1/12)-1</f>
        <v>0.00422185488902382</v>
      </c>
    </row>
    <row r="219" customFormat="false" ht="15" hidden="false" customHeight="false" outlineLevel="0" collapsed="false">
      <c r="A219" s="4" t="n">
        <v>215</v>
      </c>
      <c r="B219" s="14" t="n">
        <f aca="false">A219/12</f>
        <v>17.9166666666667</v>
      </c>
      <c r="C219" s="15" t="n">
        <f aca="false">INT(A219/6)</f>
        <v>35</v>
      </c>
      <c r="D219" s="16" t="n">
        <f aca="false">IF(C219=0,(1+Dic2023!$G$6)^(-B219),EXP(LN(INDEX(Dic2023!$H$6:$H$205,C219))+(LN(INDEX(Dic2023!$H$6:$H$205,MIN(C219+1,200)))-LN(INDEX(Dic2023!$H$6:$H$205,C219)))*(A219-6*C219)/6))</f>
        <v>0.404223194972311</v>
      </c>
      <c r="E219" s="12" t="n">
        <f aca="false">D219^(-1/B219)-1</f>
        <v>0.0518553600000002</v>
      </c>
      <c r="F219" s="12" t="n">
        <f aca="false">(1+E219)^(1/12)-1</f>
        <v>0.00422185488902382</v>
      </c>
      <c r="G219" s="16" t="n">
        <f aca="false">IF(C219=0,(1+Dic2023!$J$6)^(-B219),EXP(LN(INDEX(Dic2023!$K$6:$K$205,C219))+(LN(INDEX(Dic2023!$K$6:$K$205,MIN(C219+1,200)))-LN(INDEX(Dic2023!$K$6:$K$205,C219)))*(A219-6*C219)/6))</f>
        <v>0.404223194972311</v>
      </c>
      <c r="H219" s="12" t="n">
        <f aca="false">G219^(-1/B219)-1</f>
        <v>0.0518553600000002</v>
      </c>
      <c r="I219" s="12" t="n">
        <f aca="false">(1+H219)^(1/12)-1</f>
        <v>0.00422185488902382</v>
      </c>
      <c r="J219" s="16" t="n">
        <f aca="false">IF(C219=0,(1+Dic2023!$M$6)^(-B219),EXP(LN(INDEX(Dic2023!$N$6:$N$205,C219))+(LN(INDEX(Dic2023!$N$6:$N$205,MIN(C219+1,200)))-LN(INDEX(Dic2023!$N$6:$N$205,C219)))*(A219-6*C219)/6))</f>
        <v>0.404223194972311</v>
      </c>
      <c r="K219" s="12" t="n">
        <f aca="false">J219^(-1/B219)-1</f>
        <v>0.0518553600000002</v>
      </c>
      <c r="L219" s="12" t="n">
        <f aca="false">(1+K219)^(1/12)-1</f>
        <v>0.00422185488902382</v>
      </c>
    </row>
    <row r="220" customFormat="false" ht="15" hidden="false" customHeight="false" outlineLevel="0" collapsed="false">
      <c r="A220" s="4" t="n">
        <v>216</v>
      </c>
      <c r="B220" s="14" t="n">
        <f aca="false">A220/12</f>
        <v>18</v>
      </c>
      <c r="C220" s="15" t="n">
        <f aca="false">INT(A220/6)</f>
        <v>36</v>
      </c>
      <c r="D220" s="16" t="n">
        <f aca="false">IF(C220=0,(1+Dic2023!$G$6)^(-B220),EXP(LN(INDEX(Dic2023!$H$6:$H$205,C220))+(LN(INDEX(Dic2023!$H$6:$H$205,MIN(C220+1,200)))-LN(INDEX(Dic2023!$H$6:$H$205,C220)))*(A220-6*C220)/6))</f>
        <v>0.402523797908164</v>
      </c>
      <c r="E220" s="12" t="n">
        <f aca="false">D220^(-1/B220)-1</f>
        <v>0.0518553600000002</v>
      </c>
      <c r="F220" s="12" t="n">
        <f aca="false">(1+E220)^(1/12)-1</f>
        <v>0.00422185488902382</v>
      </c>
      <c r="G220" s="16" t="n">
        <f aca="false">IF(C220=0,(1+Dic2023!$J$6)^(-B220),EXP(LN(INDEX(Dic2023!$K$6:$K$205,C220))+(LN(INDEX(Dic2023!$K$6:$K$205,MIN(C220+1,200)))-LN(INDEX(Dic2023!$K$6:$K$205,C220)))*(A220-6*C220)/6))</f>
        <v>0.402523797908164</v>
      </c>
      <c r="H220" s="12" t="n">
        <f aca="false">G220^(-1/B220)-1</f>
        <v>0.0518553600000002</v>
      </c>
      <c r="I220" s="12" t="n">
        <f aca="false">(1+H220)^(1/12)-1</f>
        <v>0.00422185488902382</v>
      </c>
      <c r="J220" s="16" t="n">
        <f aca="false">IF(C220=0,(1+Dic2023!$M$6)^(-B220),EXP(LN(INDEX(Dic2023!$N$6:$N$205,C220))+(LN(INDEX(Dic2023!$N$6:$N$205,MIN(C220+1,200)))-LN(INDEX(Dic2023!$N$6:$N$205,C220)))*(A220-6*C220)/6))</f>
        <v>0.402523797908164</v>
      </c>
      <c r="K220" s="12" t="n">
        <f aca="false">J220^(-1/B220)-1</f>
        <v>0.0518553600000002</v>
      </c>
      <c r="L220" s="12" t="n">
        <f aca="false">(1+K220)^(1/12)-1</f>
        <v>0.00422185488902382</v>
      </c>
    </row>
    <row r="221" customFormat="false" ht="15" hidden="false" customHeight="false" outlineLevel="0" collapsed="false">
      <c r="A221" s="4" t="n">
        <v>217</v>
      </c>
      <c r="B221" s="14" t="n">
        <f aca="false">A221/12</f>
        <v>18.0833333333333</v>
      </c>
      <c r="C221" s="15" t="n">
        <f aca="false">INT(A221/6)</f>
        <v>36</v>
      </c>
      <c r="D221" s="16" t="n">
        <f aca="false">IF(C221=0,(1+Dic2023!$G$6)^(-B221),EXP(LN(INDEX(Dic2023!$H$6:$H$205,C221))+(LN(INDEX(Dic2023!$H$6:$H$205,MIN(C221+1,200)))-LN(INDEX(Dic2023!$H$6:$H$205,C221)))*(A221-6*C221)/6))</f>
        <v>0.400831545289011</v>
      </c>
      <c r="E221" s="12" t="n">
        <f aca="false">D221^(-1/B221)-1</f>
        <v>0.0518553600000002</v>
      </c>
      <c r="F221" s="12" t="n">
        <f aca="false">(1+E221)^(1/12)-1</f>
        <v>0.00422185488902382</v>
      </c>
      <c r="G221" s="16" t="n">
        <f aca="false">IF(C221=0,(1+Dic2023!$J$6)^(-B221),EXP(LN(INDEX(Dic2023!$K$6:$K$205,C221))+(LN(INDEX(Dic2023!$K$6:$K$205,MIN(C221+1,200)))-LN(INDEX(Dic2023!$K$6:$K$205,C221)))*(A221-6*C221)/6))</f>
        <v>0.400831545289011</v>
      </c>
      <c r="H221" s="12" t="n">
        <f aca="false">G221^(-1/B221)-1</f>
        <v>0.0518553600000002</v>
      </c>
      <c r="I221" s="12" t="n">
        <f aca="false">(1+H221)^(1/12)-1</f>
        <v>0.00422185488902382</v>
      </c>
      <c r="J221" s="16" t="n">
        <f aca="false">IF(C221=0,(1+Dic2023!$M$6)^(-B221),EXP(LN(INDEX(Dic2023!$N$6:$N$205,C221))+(LN(INDEX(Dic2023!$N$6:$N$205,MIN(C221+1,200)))-LN(INDEX(Dic2023!$N$6:$N$205,C221)))*(A221-6*C221)/6))</f>
        <v>0.400831545289011</v>
      </c>
      <c r="K221" s="12" t="n">
        <f aca="false">J221^(-1/B221)-1</f>
        <v>0.0518553600000002</v>
      </c>
      <c r="L221" s="12" t="n">
        <f aca="false">(1+K221)^(1/12)-1</f>
        <v>0.00422185488902382</v>
      </c>
    </row>
    <row r="222" customFormat="false" ht="15" hidden="false" customHeight="false" outlineLevel="0" collapsed="false">
      <c r="A222" s="4" t="n">
        <v>218</v>
      </c>
      <c r="B222" s="14" t="n">
        <f aca="false">A222/12</f>
        <v>18.1666666666667</v>
      </c>
      <c r="C222" s="15" t="n">
        <f aca="false">INT(A222/6)</f>
        <v>36</v>
      </c>
      <c r="D222" s="16" t="n">
        <f aca="false">IF(C222=0,(1+Dic2023!$G$6)^(-B222),EXP(LN(INDEX(Dic2023!$H$6:$H$205,C222))+(LN(INDEX(Dic2023!$H$6:$H$205,MIN(C222+1,200)))-LN(INDEX(Dic2023!$H$6:$H$205,C222)))*(A222-6*C222)/6))</f>
        <v>0.399146407078849</v>
      </c>
      <c r="E222" s="12" t="n">
        <f aca="false">D222^(-1/B222)-1</f>
        <v>0.0518553600000002</v>
      </c>
      <c r="F222" s="12" t="n">
        <f aca="false">(1+E222)^(1/12)-1</f>
        <v>0.00422185488902382</v>
      </c>
      <c r="G222" s="16" t="n">
        <f aca="false">IF(C222=0,(1+Dic2023!$J$6)^(-B222),EXP(LN(INDEX(Dic2023!$K$6:$K$205,C222))+(LN(INDEX(Dic2023!$K$6:$K$205,MIN(C222+1,200)))-LN(INDEX(Dic2023!$K$6:$K$205,C222)))*(A222-6*C222)/6))</f>
        <v>0.399146407078849</v>
      </c>
      <c r="H222" s="12" t="n">
        <f aca="false">G222^(-1/B222)-1</f>
        <v>0.0518553600000002</v>
      </c>
      <c r="I222" s="12" t="n">
        <f aca="false">(1+H222)^(1/12)-1</f>
        <v>0.00422185488902382</v>
      </c>
      <c r="J222" s="16" t="n">
        <f aca="false">IF(C222=0,(1+Dic2023!$M$6)^(-B222),EXP(LN(INDEX(Dic2023!$N$6:$N$205,C222))+(LN(INDEX(Dic2023!$N$6:$N$205,MIN(C222+1,200)))-LN(INDEX(Dic2023!$N$6:$N$205,C222)))*(A222-6*C222)/6))</f>
        <v>0.399146407078849</v>
      </c>
      <c r="K222" s="12" t="n">
        <f aca="false">J222^(-1/B222)-1</f>
        <v>0.0518553600000002</v>
      </c>
      <c r="L222" s="12" t="n">
        <f aca="false">(1+K222)^(1/12)-1</f>
        <v>0.00422185488902382</v>
      </c>
    </row>
    <row r="223" customFormat="false" ht="15" hidden="false" customHeight="false" outlineLevel="0" collapsed="false">
      <c r="A223" s="4" t="n">
        <v>219</v>
      </c>
      <c r="B223" s="14" t="n">
        <f aca="false">A223/12</f>
        <v>18.25</v>
      </c>
      <c r="C223" s="15" t="n">
        <f aca="false">INT(A223/6)</f>
        <v>36</v>
      </c>
      <c r="D223" s="16" t="n">
        <f aca="false">IF(C223=0,(1+Dic2023!$G$6)^(-B223),EXP(LN(INDEX(Dic2023!$H$6:$H$205,C223))+(LN(INDEX(Dic2023!$H$6:$H$205,MIN(C223+1,200)))-LN(INDEX(Dic2023!$H$6:$H$205,C223)))*(A223-6*C223)/6))</f>
        <v>0.39746835336795</v>
      </c>
      <c r="E223" s="12" t="n">
        <f aca="false">D223^(-1/B223)-1</f>
        <v>0.0518553600000002</v>
      </c>
      <c r="F223" s="12" t="n">
        <f aca="false">(1+E223)^(1/12)-1</f>
        <v>0.00422185488902382</v>
      </c>
      <c r="G223" s="16" t="n">
        <f aca="false">IF(C223=0,(1+Dic2023!$J$6)^(-B223),EXP(LN(INDEX(Dic2023!$K$6:$K$205,C223))+(LN(INDEX(Dic2023!$K$6:$K$205,MIN(C223+1,200)))-LN(INDEX(Dic2023!$K$6:$K$205,C223)))*(A223-6*C223)/6))</f>
        <v>0.39746835336795</v>
      </c>
      <c r="H223" s="12" t="n">
        <f aca="false">G223^(-1/B223)-1</f>
        <v>0.0518553600000002</v>
      </c>
      <c r="I223" s="12" t="n">
        <f aca="false">(1+H223)^(1/12)-1</f>
        <v>0.00422185488902382</v>
      </c>
      <c r="J223" s="16" t="n">
        <f aca="false">IF(C223=0,(1+Dic2023!$M$6)^(-B223),EXP(LN(INDEX(Dic2023!$N$6:$N$205,C223))+(LN(INDEX(Dic2023!$N$6:$N$205,MIN(C223+1,200)))-LN(INDEX(Dic2023!$N$6:$N$205,C223)))*(A223-6*C223)/6))</f>
        <v>0.39746835336795</v>
      </c>
      <c r="K223" s="12" t="n">
        <f aca="false">J223^(-1/B223)-1</f>
        <v>0.0518553600000002</v>
      </c>
      <c r="L223" s="12" t="n">
        <f aca="false">(1+K223)^(1/12)-1</f>
        <v>0.00422185488902382</v>
      </c>
    </row>
    <row r="224" customFormat="false" ht="15" hidden="false" customHeight="false" outlineLevel="0" collapsed="false">
      <c r="A224" s="4" t="n">
        <v>220</v>
      </c>
      <c r="B224" s="14" t="n">
        <f aca="false">A224/12</f>
        <v>18.3333333333333</v>
      </c>
      <c r="C224" s="15" t="n">
        <f aca="false">INT(A224/6)</f>
        <v>36</v>
      </c>
      <c r="D224" s="16" t="n">
        <f aca="false">IF(C224=0,(1+Dic2023!$G$6)^(-B224),EXP(LN(INDEX(Dic2023!$H$6:$H$205,C224))+(LN(INDEX(Dic2023!$H$6:$H$205,MIN(C224+1,200)))-LN(INDEX(Dic2023!$H$6:$H$205,C224)))*(A224-6*C224)/6))</f>
        <v>0.39579735437233</v>
      </c>
      <c r="E224" s="12" t="n">
        <f aca="false">D224^(-1/B224)-1</f>
        <v>0.0518553600000002</v>
      </c>
      <c r="F224" s="12" t="n">
        <f aca="false">(1+E224)^(1/12)-1</f>
        <v>0.00422185488902382</v>
      </c>
      <c r="G224" s="16" t="n">
        <f aca="false">IF(C224=0,(1+Dic2023!$J$6)^(-B224),EXP(LN(INDEX(Dic2023!$K$6:$K$205,C224))+(LN(INDEX(Dic2023!$K$6:$K$205,MIN(C224+1,200)))-LN(INDEX(Dic2023!$K$6:$K$205,C224)))*(A224-6*C224)/6))</f>
        <v>0.39579735437233</v>
      </c>
      <c r="H224" s="12" t="n">
        <f aca="false">G224^(-1/B224)-1</f>
        <v>0.0518553600000002</v>
      </c>
      <c r="I224" s="12" t="n">
        <f aca="false">(1+H224)^(1/12)-1</f>
        <v>0.00422185488902382</v>
      </c>
      <c r="J224" s="16" t="n">
        <f aca="false">IF(C224=0,(1+Dic2023!$M$6)^(-B224),EXP(LN(INDEX(Dic2023!$N$6:$N$205,C224))+(LN(INDEX(Dic2023!$N$6:$N$205,MIN(C224+1,200)))-LN(INDEX(Dic2023!$N$6:$N$205,C224)))*(A224-6*C224)/6))</f>
        <v>0.39579735437233</v>
      </c>
      <c r="K224" s="12" t="n">
        <f aca="false">J224^(-1/B224)-1</f>
        <v>0.0518553600000002</v>
      </c>
      <c r="L224" s="12" t="n">
        <f aca="false">(1+K224)^(1/12)-1</f>
        <v>0.00422185488902382</v>
      </c>
    </row>
    <row r="225" customFormat="false" ht="15" hidden="false" customHeight="false" outlineLevel="0" collapsed="false">
      <c r="A225" s="4" t="n">
        <v>221</v>
      </c>
      <c r="B225" s="14" t="n">
        <f aca="false">A225/12</f>
        <v>18.4166666666667</v>
      </c>
      <c r="C225" s="15" t="n">
        <f aca="false">INT(A225/6)</f>
        <v>36</v>
      </c>
      <c r="D225" s="16" t="n">
        <f aca="false">IF(C225=0,(1+Dic2023!$G$6)^(-B225),EXP(LN(INDEX(Dic2023!$H$6:$H$205,C225))+(LN(INDEX(Dic2023!$H$6:$H$205,MIN(C225+1,200)))-LN(INDEX(Dic2023!$H$6:$H$205,C225)))*(A225-6*C225)/6))</f>
        <v>0.394133380433221</v>
      </c>
      <c r="E225" s="12" t="n">
        <f aca="false">D225^(-1/B225)-1</f>
        <v>0.0518553600000002</v>
      </c>
      <c r="F225" s="12" t="n">
        <f aca="false">(1+E225)^(1/12)-1</f>
        <v>0.00422185488902382</v>
      </c>
      <c r="G225" s="16" t="n">
        <f aca="false">IF(C225=0,(1+Dic2023!$J$6)^(-B225),EXP(LN(INDEX(Dic2023!$K$6:$K$205,C225))+(LN(INDEX(Dic2023!$K$6:$K$205,MIN(C225+1,200)))-LN(INDEX(Dic2023!$K$6:$K$205,C225)))*(A225-6*C225)/6))</f>
        <v>0.394133380433221</v>
      </c>
      <c r="H225" s="12" t="n">
        <f aca="false">G225^(-1/B225)-1</f>
        <v>0.0518553600000002</v>
      </c>
      <c r="I225" s="12" t="n">
        <f aca="false">(1+H225)^(1/12)-1</f>
        <v>0.00422185488902382</v>
      </c>
      <c r="J225" s="16" t="n">
        <f aca="false">IF(C225=0,(1+Dic2023!$M$6)^(-B225),EXP(LN(INDEX(Dic2023!$N$6:$N$205,C225))+(LN(INDEX(Dic2023!$N$6:$N$205,MIN(C225+1,200)))-LN(INDEX(Dic2023!$N$6:$N$205,C225)))*(A225-6*C225)/6))</f>
        <v>0.394133380433221</v>
      </c>
      <c r="K225" s="12" t="n">
        <f aca="false">J225^(-1/B225)-1</f>
        <v>0.0518553600000002</v>
      </c>
      <c r="L225" s="12" t="n">
        <f aca="false">(1+K225)^(1/12)-1</f>
        <v>0.00422185488902382</v>
      </c>
    </row>
    <row r="226" customFormat="false" ht="15" hidden="false" customHeight="false" outlineLevel="0" collapsed="false">
      <c r="A226" s="4" t="n">
        <v>222</v>
      </c>
      <c r="B226" s="14" t="n">
        <f aca="false">A226/12</f>
        <v>18.5</v>
      </c>
      <c r="C226" s="15" t="n">
        <f aca="false">INT(A226/6)</f>
        <v>37</v>
      </c>
      <c r="D226" s="16" t="n">
        <f aca="false">IF(C226=0,(1+Dic2023!$G$6)^(-B226),EXP(LN(INDEX(Dic2023!$H$6:$H$205,C226))+(LN(INDEX(Dic2023!$H$6:$H$205,MIN(C226+1,200)))-LN(INDEX(Dic2023!$H$6:$H$205,C226)))*(A226-6*C226)/6))</f>
        <v>0.392476402016541</v>
      </c>
      <c r="E226" s="12" t="n">
        <f aca="false">D226^(-1/B226)-1</f>
        <v>0.0518553600000002</v>
      </c>
      <c r="F226" s="12" t="n">
        <f aca="false">(1+E226)^(1/12)-1</f>
        <v>0.00422185488902382</v>
      </c>
      <c r="G226" s="16" t="n">
        <f aca="false">IF(C226=0,(1+Dic2023!$J$6)^(-B226),EXP(LN(INDEX(Dic2023!$K$6:$K$205,C226))+(LN(INDEX(Dic2023!$K$6:$K$205,MIN(C226+1,200)))-LN(INDEX(Dic2023!$K$6:$K$205,C226)))*(A226-6*C226)/6))</f>
        <v>0.392476402016541</v>
      </c>
      <c r="H226" s="12" t="n">
        <f aca="false">G226^(-1/B226)-1</f>
        <v>0.0518553600000002</v>
      </c>
      <c r="I226" s="12" t="n">
        <f aca="false">(1+H226)^(1/12)-1</f>
        <v>0.00422185488902382</v>
      </c>
      <c r="J226" s="16" t="n">
        <f aca="false">IF(C226=0,(1+Dic2023!$M$6)^(-B226),EXP(LN(INDEX(Dic2023!$N$6:$N$205,C226))+(LN(INDEX(Dic2023!$N$6:$N$205,MIN(C226+1,200)))-LN(INDEX(Dic2023!$N$6:$N$205,C226)))*(A226-6*C226)/6))</f>
        <v>0.392476402016541</v>
      </c>
      <c r="K226" s="12" t="n">
        <f aca="false">J226^(-1/B226)-1</f>
        <v>0.0518553600000002</v>
      </c>
      <c r="L226" s="12" t="n">
        <f aca="false">(1+K226)^(1/12)-1</f>
        <v>0.00422185488902382</v>
      </c>
    </row>
    <row r="227" customFormat="false" ht="15" hidden="false" customHeight="false" outlineLevel="0" collapsed="false">
      <c r="A227" s="4" t="n">
        <v>223</v>
      </c>
      <c r="B227" s="14" t="n">
        <f aca="false">A227/12</f>
        <v>18.5833333333333</v>
      </c>
      <c r="C227" s="15" t="n">
        <f aca="false">INT(A227/6)</f>
        <v>37</v>
      </c>
      <c r="D227" s="16" t="n">
        <f aca="false">IF(C227=0,(1+Dic2023!$G$6)^(-B227),EXP(LN(INDEX(Dic2023!$H$6:$H$205,C227))+(LN(INDEX(Dic2023!$H$6:$H$205,MIN(C227+1,200)))-LN(INDEX(Dic2023!$H$6:$H$205,C227)))*(A227-6*C227)/6))</f>
        <v>0.390826389712374</v>
      </c>
      <c r="E227" s="12" t="n">
        <f aca="false">D227^(-1/B227)-1</f>
        <v>0.0518553600000002</v>
      </c>
      <c r="F227" s="12" t="n">
        <f aca="false">(1+E227)^(1/12)-1</f>
        <v>0.00422185488902382</v>
      </c>
      <c r="G227" s="16" t="n">
        <f aca="false">IF(C227=0,(1+Dic2023!$J$6)^(-B227),EXP(LN(INDEX(Dic2023!$K$6:$K$205,C227))+(LN(INDEX(Dic2023!$K$6:$K$205,MIN(C227+1,200)))-LN(INDEX(Dic2023!$K$6:$K$205,C227)))*(A227-6*C227)/6))</f>
        <v>0.390826389712374</v>
      </c>
      <c r="H227" s="12" t="n">
        <f aca="false">G227^(-1/B227)-1</f>
        <v>0.0518553600000002</v>
      </c>
      <c r="I227" s="12" t="n">
        <f aca="false">(1+H227)^(1/12)-1</f>
        <v>0.00422185488902382</v>
      </c>
      <c r="J227" s="16" t="n">
        <f aca="false">IF(C227=0,(1+Dic2023!$M$6)^(-B227),EXP(LN(INDEX(Dic2023!$N$6:$N$205,C227))+(LN(INDEX(Dic2023!$N$6:$N$205,MIN(C227+1,200)))-LN(INDEX(Dic2023!$N$6:$N$205,C227)))*(A227-6*C227)/6))</f>
        <v>0.390826389712374</v>
      </c>
      <c r="K227" s="12" t="n">
        <f aca="false">J227^(-1/B227)-1</f>
        <v>0.0518553600000002</v>
      </c>
      <c r="L227" s="12" t="n">
        <f aca="false">(1+K227)^(1/12)-1</f>
        <v>0.00422185488902382</v>
      </c>
    </row>
    <row r="228" customFormat="false" ht="15" hidden="false" customHeight="false" outlineLevel="0" collapsed="false">
      <c r="A228" s="4" t="n">
        <v>224</v>
      </c>
      <c r="B228" s="14" t="n">
        <f aca="false">A228/12</f>
        <v>18.6666666666667</v>
      </c>
      <c r="C228" s="15" t="n">
        <f aca="false">INT(A228/6)</f>
        <v>37</v>
      </c>
      <c r="D228" s="16" t="n">
        <f aca="false">IF(C228=0,(1+Dic2023!$G$6)^(-B228),EXP(LN(INDEX(Dic2023!$H$6:$H$205,C228))+(LN(INDEX(Dic2023!$H$6:$H$205,MIN(C228+1,200)))-LN(INDEX(Dic2023!$H$6:$H$205,C228)))*(A228-6*C228)/6))</f>
        <v>0.389183314234447</v>
      </c>
      <c r="E228" s="12" t="n">
        <f aca="false">D228^(-1/B228)-1</f>
        <v>0.0518553600000002</v>
      </c>
      <c r="F228" s="12" t="n">
        <f aca="false">(1+E228)^(1/12)-1</f>
        <v>0.00422185488902382</v>
      </c>
      <c r="G228" s="16" t="n">
        <f aca="false">IF(C228=0,(1+Dic2023!$J$6)^(-B228),EXP(LN(INDEX(Dic2023!$K$6:$K$205,C228))+(LN(INDEX(Dic2023!$K$6:$K$205,MIN(C228+1,200)))-LN(INDEX(Dic2023!$K$6:$K$205,C228)))*(A228-6*C228)/6))</f>
        <v>0.389183314234447</v>
      </c>
      <c r="H228" s="12" t="n">
        <f aca="false">G228^(-1/B228)-1</f>
        <v>0.0518553600000002</v>
      </c>
      <c r="I228" s="12" t="n">
        <f aca="false">(1+H228)^(1/12)-1</f>
        <v>0.00422185488902382</v>
      </c>
      <c r="J228" s="16" t="n">
        <f aca="false">IF(C228=0,(1+Dic2023!$M$6)^(-B228),EXP(LN(INDEX(Dic2023!$N$6:$N$205,C228))+(LN(INDEX(Dic2023!$N$6:$N$205,MIN(C228+1,200)))-LN(INDEX(Dic2023!$N$6:$N$205,C228)))*(A228-6*C228)/6))</f>
        <v>0.389183314234447</v>
      </c>
      <c r="K228" s="12" t="n">
        <f aca="false">J228^(-1/B228)-1</f>
        <v>0.0518553600000002</v>
      </c>
      <c r="L228" s="12" t="n">
        <f aca="false">(1+K228)^(1/12)-1</f>
        <v>0.00422185488902382</v>
      </c>
    </row>
    <row r="229" customFormat="false" ht="15" hidden="false" customHeight="false" outlineLevel="0" collapsed="false">
      <c r="A229" s="4" t="n">
        <v>225</v>
      </c>
      <c r="B229" s="14" t="n">
        <f aca="false">A229/12</f>
        <v>18.75</v>
      </c>
      <c r="C229" s="15" t="n">
        <f aca="false">INT(A229/6)</f>
        <v>37</v>
      </c>
      <c r="D229" s="16" t="n">
        <f aca="false">IF(C229=0,(1+Dic2023!$G$6)^(-B229),EXP(LN(INDEX(Dic2023!$H$6:$H$205,C229))+(LN(INDEX(Dic2023!$H$6:$H$205,MIN(C229+1,200)))-LN(INDEX(Dic2023!$H$6:$H$205,C229)))*(A229-6*C229)/6))</f>
        <v>0.387547146419608</v>
      </c>
      <c r="E229" s="12" t="n">
        <f aca="false">D229^(-1/B229)-1</f>
        <v>0.0518553600000002</v>
      </c>
      <c r="F229" s="12" t="n">
        <f aca="false">(1+E229)^(1/12)-1</f>
        <v>0.00422185488902382</v>
      </c>
      <c r="G229" s="16" t="n">
        <f aca="false">IF(C229=0,(1+Dic2023!$J$6)^(-B229),EXP(LN(INDEX(Dic2023!$K$6:$K$205,C229))+(LN(INDEX(Dic2023!$K$6:$K$205,MIN(C229+1,200)))-LN(INDEX(Dic2023!$K$6:$K$205,C229)))*(A229-6*C229)/6))</f>
        <v>0.387547146419608</v>
      </c>
      <c r="H229" s="12" t="n">
        <f aca="false">G229^(-1/B229)-1</f>
        <v>0.0518553600000002</v>
      </c>
      <c r="I229" s="12" t="n">
        <f aca="false">(1+H229)^(1/12)-1</f>
        <v>0.00422185488902382</v>
      </c>
      <c r="J229" s="16" t="n">
        <f aca="false">IF(C229=0,(1+Dic2023!$M$6)^(-B229),EXP(LN(INDEX(Dic2023!$N$6:$N$205,C229))+(LN(INDEX(Dic2023!$N$6:$N$205,MIN(C229+1,200)))-LN(INDEX(Dic2023!$N$6:$N$205,C229)))*(A229-6*C229)/6))</f>
        <v>0.387547146419608</v>
      </c>
      <c r="K229" s="12" t="n">
        <f aca="false">J229^(-1/B229)-1</f>
        <v>0.0518553600000002</v>
      </c>
      <c r="L229" s="12" t="n">
        <f aca="false">(1+K229)^(1/12)-1</f>
        <v>0.00422185488902382</v>
      </c>
    </row>
    <row r="230" customFormat="false" ht="15" hidden="false" customHeight="false" outlineLevel="0" collapsed="false">
      <c r="A230" s="4" t="n">
        <v>226</v>
      </c>
      <c r="B230" s="14" t="n">
        <f aca="false">A230/12</f>
        <v>18.8333333333333</v>
      </c>
      <c r="C230" s="15" t="n">
        <f aca="false">INT(A230/6)</f>
        <v>37</v>
      </c>
      <c r="D230" s="16" t="n">
        <f aca="false">IF(C230=0,(1+Dic2023!$G$6)^(-B230),EXP(LN(INDEX(Dic2023!$H$6:$H$205,C230))+(LN(INDEX(Dic2023!$H$6:$H$205,MIN(C230+1,200)))-LN(INDEX(Dic2023!$H$6:$H$205,C230)))*(A230-6*C230)/6))</f>
        <v>0.385917857227311</v>
      </c>
      <c r="E230" s="12" t="n">
        <f aca="false">D230^(-1/B230)-1</f>
        <v>0.0518553600000002</v>
      </c>
      <c r="F230" s="12" t="n">
        <f aca="false">(1+E230)^(1/12)-1</f>
        <v>0.00422185488902382</v>
      </c>
      <c r="G230" s="16" t="n">
        <f aca="false">IF(C230=0,(1+Dic2023!$J$6)^(-B230),EXP(LN(INDEX(Dic2023!$K$6:$K$205,C230))+(LN(INDEX(Dic2023!$K$6:$K$205,MIN(C230+1,200)))-LN(INDEX(Dic2023!$K$6:$K$205,C230)))*(A230-6*C230)/6))</f>
        <v>0.385917857227311</v>
      </c>
      <c r="H230" s="12" t="n">
        <f aca="false">G230^(-1/B230)-1</f>
        <v>0.0518553600000002</v>
      </c>
      <c r="I230" s="12" t="n">
        <f aca="false">(1+H230)^(1/12)-1</f>
        <v>0.00422185488902382</v>
      </c>
      <c r="J230" s="16" t="n">
        <f aca="false">IF(C230=0,(1+Dic2023!$M$6)^(-B230),EXP(LN(INDEX(Dic2023!$N$6:$N$205,C230))+(LN(INDEX(Dic2023!$N$6:$N$205,MIN(C230+1,200)))-LN(INDEX(Dic2023!$N$6:$N$205,C230)))*(A230-6*C230)/6))</f>
        <v>0.385917857227311</v>
      </c>
      <c r="K230" s="12" t="n">
        <f aca="false">J230^(-1/B230)-1</f>
        <v>0.0518553600000002</v>
      </c>
      <c r="L230" s="12" t="n">
        <f aca="false">(1+K230)^(1/12)-1</f>
        <v>0.00422185488902382</v>
      </c>
    </row>
    <row r="231" customFormat="false" ht="15" hidden="false" customHeight="false" outlineLevel="0" collapsed="false">
      <c r="A231" s="4" t="n">
        <v>227</v>
      </c>
      <c r="B231" s="14" t="n">
        <f aca="false">A231/12</f>
        <v>18.9166666666667</v>
      </c>
      <c r="C231" s="15" t="n">
        <f aca="false">INT(A231/6)</f>
        <v>37</v>
      </c>
      <c r="D231" s="16" t="n">
        <f aca="false">IF(C231=0,(1+Dic2023!$G$6)^(-B231),EXP(LN(INDEX(Dic2023!$H$6:$H$205,C231))+(LN(INDEX(Dic2023!$H$6:$H$205,MIN(C231+1,200)))-LN(INDEX(Dic2023!$H$6:$H$205,C231)))*(A231-6*C231)/6))</f>
        <v>0.3842954177391</v>
      </c>
      <c r="E231" s="12" t="n">
        <f aca="false">D231^(-1/B231)-1</f>
        <v>0.0518553600000002</v>
      </c>
      <c r="F231" s="12" t="n">
        <f aca="false">(1+E231)^(1/12)-1</f>
        <v>0.00422185488902382</v>
      </c>
      <c r="G231" s="16" t="n">
        <f aca="false">IF(C231=0,(1+Dic2023!$J$6)^(-B231),EXP(LN(INDEX(Dic2023!$K$6:$K$205,C231))+(LN(INDEX(Dic2023!$K$6:$K$205,MIN(C231+1,200)))-LN(INDEX(Dic2023!$K$6:$K$205,C231)))*(A231-6*C231)/6))</f>
        <v>0.3842954177391</v>
      </c>
      <c r="H231" s="12" t="n">
        <f aca="false">G231^(-1/B231)-1</f>
        <v>0.0518553600000002</v>
      </c>
      <c r="I231" s="12" t="n">
        <f aca="false">(1+H231)^(1/12)-1</f>
        <v>0.00422185488902382</v>
      </c>
      <c r="J231" s="16" t="n">
        <f aca="false">IF(C231=0,(1+Dic2023!$M$6)^(-B231),EXP(LN(INDEX(Dic2023!$N$6:$N$205,C231))+(LN(INDEX(Dic2023!$N$6:$N$205,MIN(C231+1,200)))-LN(INDEX(Dic2023!$N$6:$N$205,C231)))*(A231-6*C231)/6))</f>
        <v>0.3842954177391</v>
      </c>
      <c r="K231" s="12" t="n">
        <f aca="false">J231^(-1/B231)-1</f>
        <v>0.0518553600000002</v>
      </c>
      <c r="L231" s="12" t="n">
        <f aca="false">(1+K231)^(1/12)-1</f>
        <v>0.00422185488902382</v>
      </c>
    </row>
    <row r="232" customFormat="false" ht="15" hidden="false" customHeight="false" outlineLevel="0" collapsed="false">
      <c r="A232" s="4" t="n">
        <v>228</v>
      </c>
      <c r="B232" s="14" t="n">
        <f aca="false">A232/12</f>
        <v>19</v>
      </c>
      <c r="C232" s="15" t="n">
        <f aca="false">INT(A232/6)</f>
        <v>38</v>
      </c>
      <c r="D232" s="16" t="n">
        <f aca="false">IF(C232=0,(1+Dic2023!$G$6)^(-B232),EXP(LN(INDEX(Dic2023!$H$6:$H$205,C232))+(LN(INDEX(Dic2023!$H$6:$H$205,MIN(C232+1,200)))-LN(INDEX(Dic2023!$H$6:$H$205,C232)))*(A232-6*C232)/6))</f>
        <v>0.382679799158094</v>
      </c>
      <c r="E232" s="12" t="n">
        <f aca="false">D232^(-1/B232)-1</f>
        <v>0.0518553600000002</v>
      </c>
      <c r="F232" s="12" t="n">
        <f aca="false">(1+E232)^(1/12)-1</f>
        <v>0.00422185488902382</v>
      </c>
      <c r="G232" s="16" t="n">
        <f aca="false">IF(C232=0,(1+Dic2023!$J$6)^(-B232),EXP(LN(INDEX(Dic2023!$K$6:$K$205,C232))+(LN(INDEX(Dic2023!$K$6:$K$205,MIN(C232+1,200)))-LN(INDEX(Dic2023!$K$6:$K$205,C232)))*(A232-6*C232)/6))</f>
        <v>0.382679799158094</v>
      </c>
      <c r="H232" s="12" t="n">
        <f aca="false">G232^(-1/B232)-1</f>
        <v>0.0518553600000002</v>
      </c>
      <c r="I232" s="12" t="n">
        <f aca="false">(1+H232)^(1/12)-1</f>
        <v>0.00422185488902382</v>
      </c>
      <c r="J232" s="16" t="n">
        <f aca="false">IF(C232=0,(1+Dic2023!$M$6)^(-B232),EXP(LN(INDEX(Dic2023!$N$6:$N$205,C232))+(LN(INDEX(Dic2023!$N$6:$N$205,MIN(C232+1,200)))-LN(INDEX(Dic2023!$N$6:$N$205,C232)))*(A232-6*C232)/6))</f>
        <v>0.382679799158094</v>
      </c>
      <c r="K232" s="12" t="n">
        <f aca="false">J232^(-1/B232)-1</f>
        <v>0.0518553600000002</v>
      </c>
      <c r="L232" s="12" t="n">
        <f aca="false">(1+K232)^(1/12)-1</f>
        <v>0.00422185488902382</v>
      </c>
    </row>
    <row r="233" customFormat="false" ht="15" hidden="false" customHeight="false" outlineLevel="0" collapsed="false">
      <c r="A233" s="4" t="n">
        <v>229</v>
      </c>
      <c r="B233" s="14" t="n">
        <f aca="false">A233/12</f>
        <v>19.0833333333333</v>
      </c>
      <c r="C233" s="15" t="n">
        <f aca="false">INT(A233/6)</f>
        <v>38</v>
      </c>
      <c r="D233" s="16" t="n">
        <f aca="false">IF(C233=0,(1+Dic2023!$G$6)^(-B233),EXP(LN(INDEX(Dic2023!$H$6:$H$205,C233))+(LN(INDEX(Dic2023!$H$6:$H$205,MIN(C233+1,200)))-LN(INDEX(Dic2023!$H$6:$H$205,C233)))*(A233-6*C233)/6))</f>
        <v>0.381070972808477</v>
      </c>
      <c r="E233" s="12" t="n">
        <f aca="false">D233^(-1/B233)-1</f>
        <v>0.0518553600000002</v>
      </c>
      <c r="F233" s="12" t="n">
        <f aca="false">(1+E233)^(1/12)-1</f>
        <v>0.00422185488902382</v>
      </c>
      <c r="G233" s="16" t="n">
        <f aca="false">IF(C233=0,(1+Dic2023!$J$6)^(-B233),EXP(LN(INDEX(Dic2023!$K$6:$K$205,C233))+(LN(INDEX(Dic2023!$K$6:$K$205,MIN(C233+1,200)))-LN(INDEX(Dic2023!$K$6:$K$205,C233)))*(A233-6*C233)/6))</f>
        <v>0.381070972808477</v>
      </c>
      <c r="H233" s="12" t="n">
        <f aca="false">G233^(-1/B233)-1</f>
        <v>0.0518553600000002</v>
      </c>
      <c r="I233" s="12" t="n">
        <f aca="false">(1+H233)^(1/12)-1</f>
        <v>0.00422185488902382</v>
      </c>
      <c r="J233" s="16" t="n">
        <f aca="false">IF(C233=0,(1+Dic2023!$M$6)^(-B233),EXP(LN(INDEX(Dic2023!$N$6:$N$205,C233))+(LN(INDEX(Dic2023!$N$6:$N$205,MIN(C233+1,200)))-LN(INDEX(Dic2023!$N$6:$N$205,C233)))*(A233-6*C233)/6))</f>
        <v>0.381070972808477</v>
      </c>
      <c r="K233" s="12" t="n">
        <f aca="false">J233^(-1/B233)-1</f>
        <v>0.0518553600000002</v>
      </c>
      <c r="L233" s="12" t="n">
        <f aca="false">(1+K233)^(1/12)-1</f>
        <v>0.00422185488902382</v>
      </c>
    </row>
    <row r="234" customFormat="false" ht="15" hidden="false" customHeight="false" outlineLevel="0" collapsed="false">
      <c r="A234" s="4" t="n">
        <v>230</v>
      </c>
      <c r="B234" s="14" t="n">
        <f aca="false">A234/12</f>
        <v>19.1666666666667</v>
      </c>
      <c r="C234" s="15" t="n">
        <f aca="false">INT(A234/6)</f>
        <v>38</v>
      </c>
      <c r="D234" s="16" t="n">
        <f aca="false">IF(C234=0,(1+Dic2023!$G$6)^(-B234),EXP(LN(INDEX(Dic2023!$H$6:$H$205,C234))+(LN(INDEX(Dic2023!$H$6:$H$205,MIN(C234+1,200)))-LN(INDEX(Dic2023!$H$6:$H$205,C234)))*(A234-6*C234)/6))</f>
        <v>0.379468910134991</v>
      </c>
      <c r="E234" s="12" t="n">
        <f aca="false">D234^(-1/B234)-1</f>
        <v>0.0518553600000002</v>
      </c>
      <c r="F234" s="12" t="n">
        <f aca="false">(1+E234)^(1/12)-1</f>
        <v>0.00422185488902382</v>
      </c>
      <c r="G234" s="16" t="n">
        <f aca="false">IF(C234=0,(1+Dic2023!$J$6)^(-B234),EXP(LN(INDEX(Dic2023!$K$6:$K$205,C234))+(LN(INDEX(Dic2023!$K$6:$K$205,MIN(C234+1,200)))-LN(INDEX(Dic2023!$K$6:$K$205,C234)))*(A234-6*C234)/6))</f>
        <v>0.379468910134991</v>
      </c>
      <c r="H234" s="12" t="n">
        <f aca="false">G234^(-1/B234)-1</f>
        <v>0.0518553600000002</v>
      </c>
      <c r="I234" s="12" t="n">
        <f aca="false">(1+H234)^(1/12)-1</f>
        <v>0.00422185488902382</v>
      </c>
      <c r="J234" s="16" t="n">
        <f aca="false">IF(C234=0,(1+Dic2023!$M$6)^(-B234),EXP(LN(INDEX(Dic2023!$N$6:$N$205,C234))+(LN(INDEX(Dic2023!$N$6:$N$205,MIN(C234+1,200)))-LN(INDEX(Dic2023!$N$6:$N$205,C234)))*(A234-6*C234)/6))</f>
        <v>0.379468910134991</v>
      </c>
      <c r="K234" s="12" t="n">
        <f aca="false">J234^(-1/B234)-1</f>
        <v>0.0518553600000002</v>
      </c>
      <c r="L234" s="12" t="n">
        <f aca="false">(1+K234)^(1/12)-1</f>
        <v>0.00422185488902382</v>
      </c>
    </row>
    <row r="235" customFormat="false" ht="15" hidden="false" customHeight="false" outlineLevel="0" collapsed="false">
      <c r="A235" s="4" t="n">
        <v>231</v>
      </c>
      <c r="B235" s="14" t="n">
        <f aca="false">A235/12</f>
        <v>19.25</v>
      </c>
      <c r="C235" s="15" t="n">
        <f aca="false">INT(A235/6)</f>
        <v>38</v>
      </c>
      <c r="D235" s="16" t="n">
        <f aca="false">IF(C235=0,(1+Dic2023!$G$6)^(-B235),EXP(LN(INDEX(Dic2023!$H$6:$H$205,C235))+(LN(INDEX(Dic2023!$H$6:$H$205,MIN(C235+1,200)))-LN(INDEX(Dic2023!$H$6:$H$205,C235)))*(A235-6*C235)/6))</f>
        <v>0.377873582702426</v>
      </c>
      <c r="E235" s="12" t="n">
        <f aca="false">D235^(-1/B235)-1</f>
        <v>0.0518553600000002</v>
      </c>
      <c r="F235" s="12" t="n">
        <f aca="false">(1+E235)^(1/12)-1</f>
        <v>0.00422185488902382</v>
      </c>
      <c r="G235" s="16" t="n">
        <f aca="false">IF(C235=0,(1+Dic2023!$J$6)^(-B235),EXP(LN(INDEX(Dic2023!$K$6:$K$205,C235))+(LN(INDEX(Dic2023!$K$6:$K$205,MIN(C235+1,200)))-LN(INDEX(Dic2023!$K$6:$K$205,C235)))*(A235-6*C235)/6))</f>
        <v>0.377873582702426</v>
      </c>
      <c r="H235" s="12" t="n">
        <f aca="false">G235^(-1/B235)-1</f>
        <v>0.0518553600000002</v>
      </c>
      <c r="I235" s="12" t="n">
        <f aca="false">(1+H235)^(1/12)-1</f>
        <v>0.00422185488902382</v>
      </c>
      <c r="J235" s="16" t="n">
        <f aca="false">IF(C235=0,(1+Dic2023!$M$6)^(-B235),EXP(LN(INDEX(Dic2023!$N$6:$N$205,C235))+(LN(INDEX(Dic2023!$N$6:$N$205,MIN(C235+1,200)))-LN(INDEX(Dic2023!$N$6:$N$205,C235)))*(A235-6*C235)/6))</f>
        <v>0.377873582702426</v>
      </c>
      <c r="K235" s="12" t="n">
        <f aca="false">J235^(-1/B235)-1</f>
        <v>0.0518553600000002</v>
      </c>
      <c r="L235" s="12" t="n">
        <f aca="false">(1+K235)^(1/12)-1</f>
        <v>0.00422185488902382</v>
      </c>
    </row>
    <row r="236" customFormat="false" ht="15" hidden="false" customHeight="false" outlineLevel="0" collapsed="false">
      <c r="A236" s="4" t="n">
        <v>232</v>
      </c>
      <c r="B236" s="14" t="n">
        <f aca="false">A236/12</f>
        <v>19.3333333333333</v>
      </c>
      <c r="C236" s="15" t="n">
        <f aca="false">INT(A236/6)</f>
        <v>38</v>
      </c>
      <c r="D236" s="16" t="n">
        <f aca="false">IF(C236=0,(1+Dic2023!$G$6)^(-B236),EXP(LN(INDEX(Dic2023!$H$6:$H$205,C236))+(LN(INDEX(Dic2023!$H$6:$H$205,MIN(C236+1,200)))-LN(INDEX(Dic2023!$H$6:$H$205,C236)))*(A236-6*C236)/6))</f>
        <v>0.376284962195116</v>
      </c>
      <c r="E236" s="12" t="n">
        <f aca="false">D236^(-1/B236)-1</f>
        <v>0.0518553600000002</v>
      </c>
      <c r="F236" s="12" t="n">
        <f aca="false">(1+E236)^(1/12)-1</f>
        <v>0.00422185488902382</v>
      </c>
      <c r="G236" s="16" t="n">
        <f aca="false">IF(C236=0,(1+Dic2023!$J$6)^(-B236),EXP(LN(INDEX(Dic2023!$K$6:$K$205,C236))+(LN(INDEX(Dic2023!$K$6:$K$205,MIN(C236+1,200)))-LN(INDEX(Dic2023!$K$6:$K$205,C236)))*(A236-6*C236)/6))</f>
        <v>0.376284962195116</v>
      </c>
      <c r="H236" s="12" t="n">
        <f aca="false">G236^(-1/B236)-1</f>
        <v>0.0518553600000002</v>
      </c>
      <c r="I236" s="12" t="n">
        <f aca="false">(1+H236)^(1/12)-1</f>
        <v>0.00422185488902382</v>
      </c>
      <c r="J236" s="16" t="n">
        <f aca="false">IF(C236=0,(1+Dic2023!$M$6)^(-B236),EXP(LN(INDEX(Dic2023!$N$6:$N$205,C236))+(LN(INDEX(Dic2023!$N$6:$N$205,MIN(C236+1,200)))-LN(INDEX(Dic2023!$N$6:$N$205,C236)))*(A236-6*C236)/6))</f>
        <v>0.376284962195116</v>
      </c>
      <c r="K236" s="12" t="n">
        <f aca="false">J236^(-1/B236)-1</f>
        <v>0.0518553600000002</v>
      </c>
      <c r="L236" s="12" t="n">
        <f aca="false">(1+K236)^(1/12)-1</f>
        <v>0.00422185488902382</v>
      </c>
    </row>
    <row r="237" customFormat="false" ht="15" hidden="false" customHeight="false" outlineLevel="0" collapsed="false">
      <c r="A237" s="4" t="n">
        <v>233</v>
      </c>
      <c r="B237" s="14" t="n">
        <f aca="false">A237/12</f>
        <v>19.4166666666667</v>
      </c>
      <c r="C237" s="15" t="n">
        <f aca="false">INT(A237/6)</f>
        <v>38</v>
      </c>
      <c r="D237" s="16" t="n">
        <f aca="false">IF(C237=0,(1+Dic2023!$G$6)^(-B237),EXP(LN(INDEX(Dic2023!$H$6:$H$205,C237))+(LN(INDEX(Dic2023!$H$6:$H$205,MIN(C237+1,200)))-LN(INDEX(Dic2023!$H$6:$H$205,C237)))*(A237-6*C237)/6))</f>
        <v>0.374703020416439</v>
      </c>
      <c r="E237" s="12" t="n">
        <f aca="false">D237^(-1/B237)-1</f>
        <v>0.0518553600000002</v>
      </c>
      <c r="F237" s="12" t="n">
        <f aca="false">(1+E237)^(1/12)-1</f>
        <v>0.00422185488902382</v>
      </c>
      <c r="G237" s="16" t="n">
        <f aca="false">IF(C237=0,(1+Dic2023!$J$6)^(-B237),EXP(LN(INDEX(Dic2023!$K$6:$K$205,C237))+(LN(INDEX(Dic2023!$K$6:$K$205,MIN(C237+1,200)))-LN(INDEX(Dic2023!$K$6:$K$205,C237)))*(A237-6*C237)/6))</f>
        <v>0.374703020416439</v>
      </c>
      <c r="H237" s="12" t="n">
        <f aca="false">G237^(-1/B237)-1</f>
        <v>0.0518553600000002</v>
      </c>
      <c r="I237" s="12" t="n">
        <f aca="false">(1+H237)^(1/12)-1</f>
        <v>0.00422185488902382</v>
      </c>
      <c r="J237" s="16" t="n">
        <f aca="false">IF(C237=0,(1+Dic2023!$M$6)^(-B237),EXP(LN(INDEX(Dic2023!$N$6:$N$205,C237))+(LN(INDEX(Dic2023!$N$6:$N$205,MIN(C237+1,200)))-LN(INDEX(Dic2023!$N$6:$N$205,C237)))*(A237-6*C237)/6))</f>
        <v>0.374703020416439</v>
      </c>
      <c r="K237" s="12" t="n">
        <f aca="false">J237^(-1/B237)-1</f>
        <v>0.0518553600000002</v>
      </c>
      <c r="L237" s="12" t="n">
        <f aca="false">(1+K237)^(1/12)-1</f>
        <v>0.00422185488902382</v>
      </c>
    </row>
    <row r="238" customFormat="false" ht="15" hidden="false" customHeight="false" outlineLevel="0" collapsed="false">
      <c r="A238" s="4" t="n">
        <v>234</v>
      </c>
      <c r="B238" s="14" t="n">
        <f aca="false">A238/12</f>
        <v>19.5</v>
      </c>
      <c r="C238" s="15" t="n">
        <f aca="false">INT(A238/6)</f>
        <v>39</v>
      </c>
      <c r="D238" s="16" t="n">
        <f aca="false">IF(C238=0,(1+Dic2023!$G$6)^(-B238),EXP(LN(INDEX(Dic2023!$H$6:$H$205,C238))+(LN(INDEX(Dic2023!$H$6:$H$205,MIN(C238+1,200)))-LN(INDEX(Dic2023!$H$6:$H$205,C238)))*(A238-6*C238)/6))</f>
        <v>0.373127729288313</v>
      </c>
      <c r="E238" s="12" t="n">
        <f aca="false">D238^(-1/B238)-1</f>
        <v>0.0518553600000002</v>
      </c>
      <c r="F238" s="12" t="n">
        <f aca="false">(1+E238)^(1/12)-1</f>
        <v>0.00422185488902382</v>
      </c>
      <c r="G238" s="16" t="n">
        <f aca="false">IF(C238=0,(1+Dic2023!$J$6)^(-B238),EXP(LN(INDEX(Dic2023!$K$6:$K$205,C238))+(LN(INDEX(Dic2023!$K$6:$K$205,MIN(C238+1,200)))-LN(INDEX(Dic2023!$K$6:$K$205,C238)))*(A238-6*C238)/6))</f>
        <v>0.373127729288313</v>
      </c>
      <c r="H238" s="12" t="n">
        <f aca="false">G238^(-1/B238)-1</f>
        <v>0.0518553600000002</v>
      </c>
      <c r="I238" s="12" t="n">
        <f aca="false">(1+H238)^(1/12)-1</f>
        <v>0.00422185488902382</v>
      </c>
      <c r="J238" s="16" t="n">
        <f aca="false">IF(C238=0,(1+Dic2023!$M$6)^(-B238),EXP(LN(INDEX(Dic2023!$N$6:$N$205,C238))+(LN(INDEX(Dic2023!$N$6:$N$205,MIN(C238+1,200)))-LN(INDEX(Dic2023!$N$6:$N$205,C238)))*(A238-6*C238)/6))</f>
        <v>0.373127729288313</v>
      </c>
      <c r="K238" s="12" t="n">
        <f aca="false">J238^(-1/B238)-1</f>
        <v>0.0518553600000002</v>
      </c>
      <c r="L238" s="12" t="n">
        <f aca="false">(1+K238)^(1/12)-1</f>
        <v>0.00422185488902382</v>
      </c>
    </row>
    <row r="239" customFormat="false" ht="15" hidden="false" customHeight="false" outlineLevel="0" collapsed="false">
      <c r="A239" s="4" t="n">
        <v>235</v>
      </c>
      <c r="B239" s="14" t="n">
        <f aca="false">A239/12</f>
        <v>19.5833333333333</v>
      </c>
      <c r="C239" s="15" t="n">
        <f aca="false">INT(A239/6)</f>
        <v>39</v>
      </c>
      <c r="D239" s="16" t="n">
        <f aca="false">IF(C239=0,(1+Dic2023!$G$6)^(-B239),EXP(LN(INDEX(Dic2023!$H$6:$H$205,C239))+(LN(INDEX(Dic2023!$H$6:$H$205,MIN(C239+1,200)))-LN(INDEX(Dic2023!$H$6:$H$205,C239)))*(A239-6*C239)/6))</f>
        <v>0.371679844947329</v>
      </c>
      <c r="E239" s="12" t="n">
        <f aca="false">D239^(-1/B239)-1</f>
        <v>0.051837902698046</v>
      </c>
      <c r="F239" s="12" t="n">
        <f aca="false">(1+E239)^(1/12)-1</f>
        <v>0.00422046598311443</v>
      </c>
      <c r="G239" s="16" t="n">
        <f aca="false">IF(C239=0,(1+Dic2023!$J$6)^(-B239),EXP(LN(INDEX(Dic2023!$K$6:$K$205,C239))+(LN(INDEX(Dic2023!$K$6:$K$205,MIN(C239+1,200)))-LN(INDEX(Dic2023!$K$6:$K$205,C239)))*(A239-6*C239)/6))</f>
        <v>0.371679844947329</v>
      </c>
      <c r="H239" s="12" t="n">
        <f aca="false">G239^(-1/B239)-1</f>
        <v>0.051837902698046</v>
      </c>
      <c r="I239" s="12" t="n">
        <f aca="false">(1+H239)^(1/12)-1</f>
        <v>0.00422046598311443</v>
      </c>
      <c r="J239" s="16" t="n">
        <f aca="false">IF(C239=0,(1+Dic2023!$M$6)^(-B239),EXP(LN(INDEX(Dic2023!$N$6:$N$205,C239))+(LN(INDEX(Dic2023!$N$6:$N$205,MIN(C239+1,200)))-LN(INDEX(Dic2023!$N$6:$N$205,C239)))*(A239-6*C239)/6))</f>
        <v>0.371679844947329</v>
      </c>
      <c r="K239" s="12" t="n">
        <f aca="false">J239^(-1/B239)-1</f>
        <v>0.051837902698046</v>
      </c>
      <c r="L239" s="12" t="n">
        <f aca="false">(1+K239)^(1/12)-1</f>
        <v>0.00422046598311443</v>
      </c>
    </row>
    <row r="240" customFormat="false" ht="15" hidden="false" customHeight="false" outlineLevel="0" collapsed="false">
      <c r="A240" s="4" t="n">
        <v>236</v>
      </c>
      <c r="B240" s="14" t="n">
        <f aca="false">A240/12</f>
        <v>19.6666666666667</v>
      </c>
      <c r="C240" s="15" t="n">
        <f aca="false">INT(A240/6)</f>
        <v>39</v>
      </c>
      <c r="D240" s="16" t="n">
        <f aca="false">IF(C240=0,(1+Dic2023!$G$6)^(-B240),EXP(LN(INDEX(Dic2023!$H$6:$H$205,C240))+(LN(INDEX(Dic2023!$H$6:$H$205,MIN(C240+1,200)))-LN(INDEX(Dic2023!$H$6:$H$205,C240)))*(A240-6*C240)/6))</f>
        <v>0.370237578974802</v>
      </c>
      <c r="E240" s="12" t="n">
        <f aca="false">D240^(-1/B240)-1</f>
        <v>0.0518205936253893</v>
      </c>
      <c r="F240" s="12" t="n">
        <f aca="false">(1+E240)^(1/12)-1</f>
        <v>0.0042190888494904</v>
      </c>
      <c r="G240" s="16" t="n">
        <f aca="false">IF(C240=0,(1+Dic2023!$J$6)^(-B240),EXP(LN(INDEX(Dic2023!$K$6:$K$205,C240))+(LN(INDEX(Dic2023!$K$6:$K$205,MIN(C240+1,200)))-LN(INDEX(Dic2023!$K$6:$K$205,C240)))*(A240-6*C240)/6))</f>
        <v>0.370237578974802</v>
      </c>
      <c r="H240" s="12" t="n">
        <f aca="false">G240^(-1/B240)-1</f>
        <v>0.0518205936253893</v>
      </c>
      <c r="I240" s="12" t="n">
        <f aca="false">(1+H240)^(1/12)-1</f>
        <v>0.0042190888494904</v>
      </c>
      <c r="J240" s="16" t="n">
        <f aca="false">IF(C240=0,(1+Dic2023!$M$6)^(-B240),EXP(LN(INDEX(Dic2023!$N$6:$N$205,C240))+(LN(INDEX(Dic2023!$N$6:$N$205,MIN(C240+1,200)))-LN(INDEX(Dic2023!$N$6:$N$205,C240)))*(A240-6*C240)/6))</f>
        <v>0.370237578974802</v>
      </c>
      <c r="K240" s="12" t="n">
        <f aca="false">J240^(-1/B240)-1</f>
        <v>0.0518205936253893</v>
      </c>
      <c r="L240" s="12" t="n">
        <f aca="false">(1+K240)^(1/12)-1</f>
        <v>0.0042190888494904</v>
      </c>
    </row>
    <row r="241" customFormat="false" ht="15" hidden="false" customHeight="false" outlineLevel="0" collapsed="false">
      <c r="A241" s="4" t="n">
        <v>237</v>
      </c>
      <c r="B241" s="14" t="n">
        <f aca="false">A241/12</f>
        <v>19.75</v>
      </c>
      <c r="C241" s="15" t="n">
        <f aca="false">INT(A241/6)</f>
        <v>39</v>
      </c>
      <c r="D241" s="16" t="n">
        <f aca="false">IF(C241=0,(1+Dic2023!$G$6)^(-B241),EXP(LN(INDEX(Dic2023!$H$6:$H$205,C241))+(LN(INDEX(Dic2023!$H$6:$H$205,MIN(C241+1,200)))-LN(INDEX(Dic2023!$H$6:$H$205,C241)))*(A241-6*C241)/6))</f>
        <v>0.368800909569223</v>
      </c>
      <c r="E241" s="12" t="n">
        <f aca="false">D241^(-1/B241)-1</f>
        <v>0.0518034309020994</v>
      </c>
      <c r="F241" s="12" t="n">
        <f aca="false">(1+E241)^(1/12)-1</f>
        <v>0.00421772333911208</v>
      </c>
      <c r="G241" s="16" t="n">
        <f aca="false">IF(C241=0,(1+Dic2023!$J$6)^(-B241),EXP(LN(INDEX(Dic2023!$K$6:$K$205,C241))+(LN(INDEX(Dic2023!$K$6:$K$205,MIN(C241+1,200)))-LN(INDEX(Dic2023!$K$6:$K$205,C241)))*(A241-6*C241)/6))</f>
        <v>0.368800909569223</v>
      </c>
      <c r="H241" s="12" t="n">
        <f aca="false">G241^(-1/B241)-1</f>
        <v>0.0518034309020994</v>
      </c>
      <c r="I241" s="12" t="n">
        <f aca="false">(1+H241)^(1/12)-1</f>
        <v>0.00421772333911208</v>
      </c>
      <c r="J241" s="16" t="n">
        <f aca="false">IF(C241=0,(1+Dic2023!$M$6)^(-B241),EXP(LN(INDEX(Dic2023!$N$6:$N$205,C241))+(LN(INDEX(Dic2023!$N$6:$N$205,MIN(C241+1,200)))-LN(INDEX(Dic2023!$N$6:$N$205,C241)))*(A241-6*C241)/6))</f>
        <v>0.368800909569223</v>
      </c>
      <c r="K241" s="12" t="n">
        <f aca="false">J241^(-1/B241)-1</f>
        <v>0.0518034309020994</v>
      </c>
      <c r="L241" s="12" t="n">
        <f aca="false">(1+K241)^(1/12)-1</f>
        <v>0.00421772333911208</v>
      </c>
    </row>
    <row r="242" customFormat="false" ht="15" hidden="false" customHeight="false" outlineLevel="0" collapsed="false">
      <c r="A242" s="4" t="n">
        <v>238</v>
      </c>
      <c r="B242" s="14" t="n">
        <f aca="false">A242/12</f>
        <v>19.8333333333333</v>
      </c>
      <c r="C242" s="15" t="n">
        <f aca="false">INT(A242/6)</f>
        <v>39</v>
      </c>
      <c r="D242" s="16" t="n">
        <f aca="false">IF(C242=0,(1+Dic2023!$G$6)^(-B242),EXP(LN(INDEX(Dic2023!$H$6:$H$205,C242))+(LN(INDEX(Dic2023!$H$6:$H$205,MIN(C242+1,200)))-LN(INDEX(Dic2023!$H$6:$H$205,C242)))*(A242-6*C242)/6))</f>
        <v>0.367369815013682</v>
      </c>
      <c r="E242" s="12" t="n">
        <f aca="false">D242^(-1/B242)-1</f>
        <v>0.0517864126799017</v>
      </c>
      <c r="F242" s="12" t="n">
        <f aca="false">(1+E242)^(1/12)-1</f>
        <v>0.00421636930544422</v>
      </c>
      <c r="G242" s="16" t="n">
        <f aca="false">IF(C242=0,(1+Dic2023!$J$6)^(-B242),EXP(LN(INDEX(Dic2023!$K$6:$K$205,C242))+(LN(INDEX(Dic2023!$K$6:$K$205,MIN(C242+1,200)))-LN(INDEX(Dic2023!$K$6:$K$205,C242)))*(A242-6*C242)/6))</f>
        <v>0.367369815013682</v>
      </c>
      <c r="H242" s="12" t="n">
        <f aca="false">G242^(-1/B242)-1</f>
        <v>0.0517864126799017</v>
      </c>
      <c r="I242" s="12" t="n">
        <f aca="false">(1+H242)^(1/12)-1</f>
        <v>0.00421636930544422</v>
      </c>
      <c r="J242" s="16" t="n">
        <f aca="false">IF(C242=0,(1+Dic2023!$M$6)^(-B242),EXP(LN(INDEX(Dic2023!$N$6:$N$205,C242))+(LN(INDEX(Dic2023!$N$6:$N$205,MIN(C242+1,200)))-LN(INDEX(Dic2023!$N$6:$N$205,C242)))*(A242-6*C242)/6))</f>
        <v>0.367369815013682</v>
      </c>
      <c r="K242" s="12" t="n">
        <f aca="false">J242^(-1/B242)-1</f>
        <v>0.0517864126799017</v>
      </c>
      <c r="L242" s="12" t="n">
        <f aca="false">(1+K242)^(1/12)-1</f>
        <v>0.00421636930544422</v>
      </c>
    </row>
    <row r="243" customFormat="false" ht="15" hidden="false" customHeight="false" outlineLevel="0" collapsed="false">
      <c r="A243" s="4" t="n">
        <v>239</v>
      </c>
      <c r="B243" s="14" t="n">
        <f aca="false">A243/12</f>
        <v>19.9166666666667</v>
      </c>
      <c r="C243" s="15" t="n">
        <f aca="false">INT(A243/6)</f>
        <v>39</v>
      </c>
      <c r="D243" s="16" t="n">
        <f aca="false">IF(C243=0,(1+Dic2023!$G$6)^(-B243),EXP(LN(INDEX(Dic2023!$H$6:$H$205,C243))+(LN(INDEX(Dic2023!$H$6:$H$205,MIN(C243+1,200)))-LN(INDEX(Dic2023!$H$6:$H$205,C243)))*(A243-6*C243)/6))</f>
        <v>0.365944273675537</v>
      </c>
      <c r="E243" s="12" t="n">
        <f aca="false">D243^(-1/B243)-1</f>
        <v>0.0517695371415141</v>
      </c>
      <c r="F243" s="12" t="n">
        <f aca="false">(1+E243)^(1/12)-1</f>
        <v>0.00421502660440476</v>
      </c>
      <c r="G243" s="16" t="n">
        <f aca="false">IF(C243=0,(1+Dic2023!$J$6)^(-B243),EXP(LN(INDEX(Dic2023!$K$6:$K$205,C243))+(LN(INDEX(Dic2023!$K$6:$K$205,MIN(C243+1,200)))-LN(INDEX(Dic2023!$K$6:$K$205,C243)))*(A243-6*C243)/6))</f>
        <v>0.365944273675537</v>
      </c>
      <c r="H243" s="12" t="n">
        <f aca="false">G243^(-1/B243)-1</f>
        <v>0.0517695371415141</v>
      </c>
      <c r="I243" s="12" t="n">
        <f aca="false">(1+H243)^(1/12)-1</f>
        <v>0.00421502660440476</v>
      </c>
      <c r="J243" s="16" t="n">
        <f aca="false">IF(C243=0,(1+Dic2023!$M$6)^(-B243),EXP(LN(INDEX(Dic2023!$N$6:$N$205,C243))+(LN(INDEX(Dic2023!$N$6:$N$205,MIN(C243+1,200)))-LN(INDEX(Dic2023!$N$6:$N$205,C243)))*(A243-6*C243)/6))</f>
        <v>0.365944273675537</v>
      </c>
      <c r="K243" s="12" t="n">
        <f aca="false">J243^(-1/B243)-1</f>
        <v>0.0517695371415141</v>
      </c>
      <c r="L243" s="12" t="n">
        <f aca="false">(1+K243)^(1/12)-1</f>
        <v>0.00421502660440476</v>
      </c>
    </row>
    <row r="244" customFormat="false" ht="15" hidden="false" customHeight="false" outlineLevel="0" collapsed="false">
      <c r="A244" s="4" t="n">
        <v>240</v>
      </c>
      <c r="B244" s="14" t="n">
        <f aca="false">A244/12</f>
        <v>20</v>
      </c>
      <c r="C244" s="15" t="n">
        <f aca="false">INT(A244/6)</f>
        <v>40</v>
      </c>
      <c r="D244" s="16" t="n">
        <f aca="false">IF(C244=0,(1+Dic2023!$G$6)^(-B244),EXP(LN(INDEX(Dic2023!$H$6:$H$205,C244))+(LN(INDEX(Dic2023!$H$6:$H$205,MIN(C244+1,200)))-LN(INDEX(Dic2023!$H$6:$H$205,C244)))*(A244-6*C244)/6))</f>
        <v>0.364524264006091</v>
      </c>
      <c r="E244" s="12" t="n">
        <f aca="false">D244^(-1/B244)-1</f>
        <v>0.0517528025</v>
      </c>
      <c r="F244" s="12" t="n">
        <f aca="false">(1+E244)^(1/12)-1</f>
        <v>0.00421369509431369</v>
      </c>
      <c r="G244" s="16" t="n">
        <f aca="false">IF(C244=0,(1+Dic2023!$J$6)^(-B244),EXP(LN(INDEX(Dic2023!$K$6:$K$205,C244))+(LN(INDEX(Dic2023!$K$6:$K$205,MIN(C244+1,200)))-LN(INDEX(Dic2023!$K$6:$K$205,C244)))*(A244-6*C244)/6))</f>
        <v>0.364524264006091</v>
      </c>
      <c r="H244" s="12" t="n">
        <f aca="false">G244^(-1/B244)-1</f>
        <v>0.0517528025</v>
      </c>
      <c r="I244" s="12" t="n">
        <f aca="false">(1+H244)^(1/12)-1</f>
        <v>0.00421369509431369</v>
      </c>
      <c r="J244" s="16" t="n">
        <f aca="false">IF(C244=0,(1+Dic2023!$M$6)^(-B244),EXP(LN(INDEX(Dic2023!$N$6:$N$205,C244))+(LN(INDEX(Dic2023!$N$6:$N$205,MIN(C244+1,200)))-LN(INDEX(Dic2023!$N$6:$N$205,C244)))*(A244-6*C244)/6))</f>
        <v>0.364524264006091</v>
      </c>
      <c r="K244" s="12" t="n">
        <f aca="false">J244^(-1/B244)-1</f>
        <v>0.0517528025</v>
      </c>
      <c r="L244" s="12" t="n">
        <f aca="false">(1+K244)^(1/12)-1</f>
        <v>0.00421369509431369</v>
      </c>
    </row>
    <row r="245" customFormat="false" ht="15" hidden="false" customHeight="false" outlineLevel="0" collapsed="false">
      <c r="A245" s="4" t="n">
        <v>241</v>
      </c>
      <c r="B245" s="14" t="n">
        <f aca="false">A245/12</f>
        <v>20.0833333333333</v>
      </c>
      <c r="C245" s="15" t="n">
        <f aca="false">INT(A245/6)</f>
        <v>40</v>
      </c>
      <c r="D245" s="16" t="n">
        <f aca="false">IF(C245=0,(1+Dic2023!$G$6)^(-B245),EXP(LN(INDEX(Dic2023!$H$6:$H$205,C245))+(LN(INDEX(Dic2023!$H$6:$H$205,MIN(C245+1,200)))-LN(INDEX(Dic2023!$H$6:$H$205,C245)))*(A245-6*C245)/6))</f>
        <v>0.362994714956417</v>
      </c>
      <c r="E245" s="12" t="n">
        <f aca="false">D245^(-1/B245)-1</f>
        <v>0.0517528025</v>
      </c>
      <c r="F245" s="12" t="n">
        <f aca="false">(1+E245)^(1/12)-1</f>
        <v>0.00421369509431369</v>
      </c>
      <c r="G245" s="16" t="n">
        <f aca="false">IF(C245=0,(1+Dic2023!$J$6)^(-B245),EXP(LN(INDEX(Dic2023!$K$6:$K$205,C245))+(LN(INDEX(Dic2023!$K$6:$K$205,MIN(C245+1,200)))-LN(INDEX(Dic2023!$K$6:$K$205,C245)))*(A245-6*C245)/6))</f>
        <v>0.362994714956417</v>
      </c>
      <c r="H245" s="12" t="n">
        <f aca="false">G245^(-1/B245)-1</f>
        <v>0.0517528025</v>
      </c>
      <c r="I245" s="12" t="n">
        <f aca="false">(1+H245)^(1/12)-1</f>
        <v>0.00421369509431369</v>
      </c>
      <c r="J245" s="16" t="n">
        <f aca="false">IF(C245=0,(1+Dic2023!$M$6)^(-B245),EXP(LN(INDEX(Dic2023!$N$6:$N$205,C245))+(LN(INDEX(Dic2023!$N$6:$N$205,MIN(C245+1,200)))-LN(INDEX(Dic2023!$N$6:$N$205,C245)))*(A245-6*C245)/6))</f>
        <v>0.362994714956417</v>
      </c>
      <c r="K245" s="12" t="n">
        <f aca="false">J245^(-1/B245)-1</f>
        <v>0.0517528025</v>
      </c>
      <c r="L245" s="12" t="n">
        <f aca="false">(1+K245)^(1/12)-1</f>
        <v>0.00421369509431369</v>
      </c>
    </row>
    <row r="246" customFormat="false" ht="15" hidden="false" customHeight="false" outlineLevel="0" collapsed="false">
      <c r="A246" s="4" t="n">
        <v>242</v>
      </c>
      <c r="B246" s="14" t="n">
        <f aca="false">A246/12</f>
        <v>20.1666666666667</v>
      </c>
      <c r="C246" s="15" t="n">
        <f aca="false">INT(A246/6)</f>
        <v>40</v>
      </c>
      <c r="D246" s="16" t="n">
        <f aca="false">IF(C246=0,(1+Dic2023!$G$6)^(-B246),EXP(LN(INDEX(Dic2023!$H$6:$H$205,C246))+(LN(INDEX(Dic2023!$H$6:$H$205,MIN(C246+1,200)))-LN(INDEX(Dic2023!$H$6:$H$205,C246)))*(A246-6*C246)/6))</f>
        <v>0.361471583916535</v>
      </c>
      <c r="E246" s="12" t="n">
        <f aca="false">D246^(-1/B246)-1</f>
        <v>0.0517528025</v>
      </c>
      <c r="F246" s="12" t="n">
        <f aca="false">(1+E246)^(1/12)-1</f>
        <v>0.00421369509431369</v>
      </c>
      <c r="G246" s="16" t="n">
        <f aca="false">IF(C246=0,(1+Dic2023!$J$6)^(-B246),EXP(LN(INDEX(Dic2023!$K$6:$K$205,C246))+(LN(INDEX(Dic2023!$K$6:$K$205,MIN(C246+1,200)))-LN(INDEX(Dic2023!$K$6:$K$205,C246)))*(A246-6*C246)/6))</f>
        <v>0.361471583916535</v>
      </c>
      <c r="H246" s="12" t="n">
        <f aca="false">G246^(-1/B246)-1</f>
        <v>0.0517528025</v>
      </c>
      <c r="I246" s="12" t="n">
        <f aca="false">(1+H246)^(1/12)-1</f>
        <v>0.00421369509431369</v>
      </c>
      <c r="J246" s="16" t="n">
        <f aca="false">IF(C246=0,(1+Dic2023!$M$6)^(-B246),EXP(LN(INDEX(Dic2023!$N$6:$N$205,C246))+(LN(INDEX(Dic2023!$N$6:$N$205,MIN(C246+1,200)))-LN(INDEX(Dic2023!$N$6:$N$205,C246)))*(A246-6*C246)/6))</f>
        <v>0.361471583916535</v>
      </c>
      <c r="K246" s="12" t="n">
        <f aca="false">J246^(-1/B246)-1</f>
        <v>0.0517528025</v>
      </c>
      <c r="L246" s="12" t="n">
        <f aca="false">(1+K246)^(1/12)-1</f>
        <v>0.00421369509431369</v>
      </c>
    </row>
    <row r="247" customFormat="false" ht="15" hidden="false" customHeight="false" outlineLevel="0" collapsed="false">
      <c r="A247" s="4" t="n">
        <v>243</v>
      </c>
      <c r="B247" s="14" t="n">
        <f aca="false">A247/12</f>
        <v>20.25</v>
      </c>
      <c r="C247" s="15" t="n">
        <f aca="false">INT(A247/6)</f>
        <v>40</v>
      </c>
      <c r="D247" s="16" t="n">
        <f aca="false">IF(C247=0,(1+Dic2023!$G$6)^(-B247),EXP(LN(INDEX(Dic2023!$H$6:$H$205,C247))+(LN(INDEX(Dic2023!$H$6:$H$205,MIN(C247+1,200)))-LN(INDEX(Dic2023!$H$6:$H$205,C247)))*(A247-6*C247)/6))</f>
        <v>0.359954843956381</v>
      </c>
      <c r="E247" s="12" t="n">
        <f aca="false">D247^(-1/B247)-1</f>
        <v>0.0517528025</v>
      </c>
      <c r="F247" s="12" t="n">
        <f aca="false">(1+E247)^(1/12)-1</f>
        <v>0.00421369509431369</v>
      </c>
      <c r="G247" s="16" t="n">
        <f aca="false">IF(C247=0,(1+Dic2023!$J$6)^(-B247),EXP(LN(INDEX(Dic2023!$K$6:$K$205,C247))+(LN(INDEX(Dic2023!$K$6:$K$205,MIN(C247+1,200)))-LN(INDEX(Dic2023!$K$6:$K$205,C247)))*(A247-6*C247)/6))</f>
        <v>0.359954843956381</v>
      </c>
      <c r="H247" s="12" t="n">
        <f aca="false">G247^(-1/B247)-1</f>
        <v>0.0517528025</v>
      </c>
      <c r="I247" s="12" t="n">
        <f aca="false">(1+H247)^(1/12)-1</f>
        <v>0.00421369509431369</v>
      </c>
      <c r="J247" s="16" t="n">
        <f aca="false">IF(C247=0,(1+Dic2023!$M$6)^(-B247),EXP(LN(INDEX(Dic2023!$N$6:$N$205,C247))+(LN(INDEX(Dic2023!$N$6:$N$205,MIN(C247+1,200)))-LN(INDEX(Dic2023!$N$6:$N$205,C247)))*(A247-6*C247)/6))</f>
        <v>0.359954843956381</v>
      </c>
      <c r="K247" s="12" t="n">
        <f aca="false">J247^(-1/B247)-1</f>
        <v>0.0517528025</v>
      </c>
      <c r="L247" s="12" t="n">
        <f aca="false">(1+K247)^(1/12)-1</f>
        <v>0.00421369509431369</v>
      </c>
    </row>
    <row r="248" customFormat="false" ht="15" hidden="false" customHeight="false" outlineLevel="0" collapsed="false">
      <c r="A248" s="4" t="n">
        <v>244</v>
      </c>
      <c r="B248" s="14" t="n">
        <f aca="false">A248/12</f>
        <v>20.3333333333333</v>
      </c>
      <c r="C248" s="15" t="n">
        <f aca="false">INT(A248/6)</f>
        <v>40</v>
      </c>
      <c r="D248" s="16" t="n">
        <f aca="false">IF(C248=0,(1+Dic2023!$G$6)^(-B248),EXP(LN(INDEX(Dic2023!$H$6:$H$205,C248))+(LN(INDEX(Dic2023!$H$6:$H$205,MIN(C248+1,200)))-LN(INDEX(Dic2023!$H$6:$H$205,C248)))*(A248-6*C248)/6))</f>
        <v>0.358444468258895</v>
      </c>
      <c r="E248" s="12" t="n">
        <f aca="false">D248^(-1/B248)-1</f>
        <v>0.0517528025</v>
      </c>
      <c r="F248" s="12" t="n">
        <f aca="false">(1+E248)^(1/12)-1</f>
        <v>0.00421369509431369</v>
      </c>
      <c r="G248" s="16" t="n">
        <f aca="false">IF(C248=0,(1+Dic2023!$J$6)^(-B248),EXP(LN(INDEX(Dic2023!$K$6:$K$205,C248))+(LN(INDEX(Dic2023!$K$6:$K$205,MIN(C248+1,200)))-LN(INDEX(Dic2023!$K$6:$K$205,C248)))*(A248-6*C248)/6))</f>
        <v>0.358444468258895</v>
      </c>
      <c r="H248" s="12" t="n">
        <f aca="false">G248^(-1/B248)-1</f>
        <v>0.0517528025</v>
      </c>
      <c r="I248" s="12" t="n">
        <f aca="false">(1+H248)^(1/12)-1</f>
        <v>0.00421369509431369</v>
      </c>
      <c r="J248" s="16" t="n">
        <f aca="false">IF(C248=0,(1+Dic2023!$M$6)^(-B248),EXP(LN(INDEX(Dic2023!$N$6:$N$205,C248))+(LN(INDEX(Dic2023!$N$6:$N$205,MIN(C248+1,200)))-LN(INDEX(Dic2023!$N$6:$N$205,C248)))*(A248-6*C248)/6))</f>
        <v>0.358444468258895</v>
      </c>
      <c r="K248" s="12" t="n">
        <f aca="false">J248^(-1/B248)-1</f>
        <v>0.0517528025</v>
      </c>
      <c r="L248" s="12" t="n">
        <f aca="false">(1+K248)^(1/12)-1</f>
        <v>0.00421369509431369</v>
      </c>
    </row>
    <row r="249" customFormat="false" ht="15" hidden="false" customHeight="false" outlineLevel="0" collapsed="false">
      <c r="A249" s="4" t="n">
        <v>245</v>
      </c>
      <c r="B249" s="14" t="n">
        <f aca="false">A249/12</f>
        <v>20.4166666666667</v>
      </c>
      <c r="C249" s="15" t="n">
        <f aca="false">INT(A249/6)</f>
        <v>40</v>
      </c>
      <c r="D249" s="16" t="n">
        <f aca="false">IF(C249=0,(1+Dic2023!$G$6)^(-B249),EXP(LN(INDEX(Dic2023!$H$6:$H$205,C249))+(LN(INDEX(Dic2023!$H$6:$H$205,MIN(C249+1,200)))-LN(INDEX(Dic2023!$H$6:$H$205,C249)))*(A249-6*C249)/6))</f>
        <v>0.356940430119538</v>
      </c>
      <c r="E249" s="12" t="n">
        <f aca="false">D249^(-1/B249)-1</f>
        <v>0.0517528025</v>
      </c>
      <c r="F249" s="12" t="n">
        <f aca="false">(1+E249)^(1/12)-1</f>
        <v>0.00421369509431369</v>
      </c>
      <c r="G249" s="16" t="n">
        <f aca="false">IF(C249=0,(1+Dic2023!$J$6)^(-B249),EXP(LN(INDEX(Dic2023!$K$6:$K$205,C249))+(LN(INDEX(Dic2023!$K$6:$K$205,MIN(C249+1,200)))-LN(INDEX(Dic2023!$K$6:$K$205,C249)))*(A249-6*C249)/6))</f>
        <v>0.356940430119538</v>
      </c>
      <c r="H249" s="12" t="n">
        <f aca="false">G249^(-1/B249)-1</f>
        <v>0.0517528025</v>
      </c>
      <c r="I249" s="12" t="n">
        <f aca="false">(1+H249)^(1/12)-1</f>
        <v>0.00421369509431369</v>
      </c>
      <c r="J249" s="16" t="n">
        <f aca="false">IF(C249=0,(1+Dic2023!$M$6)^(-B249),EXP(LN(INDEX(Dic2023!$N$6:$N$205,C249))+(LN(INDEX(Dic2023!$N$6:$N$205,MIN(C249+1,200)))-LN(INDEX(Dic2023!$N$6:$N$205,C249)))*(A249-6*C249)/6))</f>
        <v>0.356940430119538</v>
      </c>
      <c r="K249" s="12" t="n">
        <f aca="false">J249^(-1/B249)-1</f>
        <v>0.0517528025</v>
      </c>
      <c r="L249" s="12" t="n">
        <f aca="false">(1+K249)^(1/12)-1</f>
        <v>0.00421369509431369</v>
      </c>
    </row>
    <row r="250" customFormat="false" ht="15" hidden="false" customHeight="false" outlineLevel="0" collapsed="false">
      <c r="A250" s="4" t="n">
        <v>246</v>
      </c>
      <c r="B250" s="14" t="n">
        <f aca="false">A250/12</f>
        <v>20.5</v>
      </c>
      <c r="C250" s="15" t="n">
        <f aca="false">INT(A250/6)</f>
        <v>41</v>
      </c>
      <c r="D250" s="16" t="n">
        <f aca="false">IF(C250=0,(1+Dic2023!$G$6)^(-B250),EXP(LN(INDEX(Dic2023!$H$6:$H$205,C250))+(LN(INDEX(Dic2023!$H$6:$H$205,MIN(C250+1,200)))-LN(INDEX(Dic2023!$H$6:$H$205,C250)))*(A250-6*C250)/6))</f>
        <v>0.355442702945825</v>
      </c>
      <c r="E250" s="12" t="n">
        <f aca="false">D250^(-1/B250)-1</f>
        <v>0.0517528025</v>
      </c>
      <c r="F250" s="12" t="n">
        <f aca="false">(1+E250)^(1/12)-1</f>
        <v>0.00421369509431369</v>
      </c>
      <c r="G250" s="16" t="n">
        <f aca="false">IF(C250=0,(1+Dic2023!$J$6)^(-B250),EXP(LN(INDEX(Dic2023!$K$6:$K$205,C250))+(LN(INDEX(Dic2023!$K$6:$K$205,MIN(C250+1,200)))-LN(INDEX(Dic2023!$K$6:$K$205,C250)))*(A250-6*C250)/6))</f>
        <v>0.355442702945825</v>
      </c>
      <c r="H250" s="12" t="n">
        <f aca="false">G250^(-1/B250)-1</f>
        <v>0.0517528025</v>
      </c>
      <c r="I250" s="12" t="n">
        <f aca="false">(1+H250)^(1/12)-1</f>
        <v>0.00421369509431369</v>
      </c>
      <c r="J250" s="16" t="n">
        <f aca="false">IF(C250=0,(1+Dic2023!$M$6)^(-B250),EXP(LN(INDEX(Dic2023!$N$6:$N$205,C250))+(LN(INDEX(Dic2023!$N$6:$N$205,MIN(C250+1,200)))-LN(INDEX(Dic2023!$N$6:$N$205,C250)))*(A250-6*C250)/6))</f>
        <v>0.355442702945825</v>
      </c>
      <c r="K250" s="12" t="n">
        <f aca="false">J250^(-1/B250)-1</f>
        <v>0.0517528025</v>
      </c>
      <c r="L250" s="12" t="n">
        <f aca="false">(1+K250)^(1/12)-1</f>
        <v>0.00421369509431369</v>
      </c>
    </row>
    <row r="251" customFormat="false" ht="15" hidden="false" customHeight="false" outlineLevel="0" collapsed="false">
      <c r="A251" s="4" t="n">
        <v>247</v>
      </c>
      <c r="B251" s="14" t="n">
        <f aca="false">A251/12</f>
        <v>20.5833333333333</v>
      </c>
      <c r="C251" s="15" t="n">
        <f aca="false">INT(A251/6)</f>
        <v>41</v>
      </c>
      <c r="D251" s="16" t="n">
        <f aca="false">IF(C251=0,(1+Dic2023!$G$6)^(-B251),EXP(LN(INDEX(Dic2023!$H$6:$H$205,C251))+(LN(INDEX(Dic2023!$H$6:$H$205,MIN(C251+1,200)))-LN(INDEX(Dic2023!$H$6:$H$205,C251)))*(A251-6*C251)/6))</f>
        <v>0.353951260256855</v>
      </c>
      <c r="E251" s="12" t="n">
        <f aca="false">D251^(-1/B251)-1</f>
        <v>0.0517528025</v>
      </c>
      <c r="F251" s="12" t="n">
        <f aca="false">(1+E251)^(1/12)-1</f>
        <v>0.00421369509431369</v>
      </c>
      <c r="G251" s="16" t="n">
        <f aca="false">IF(C251=0,(1+Dic2023!$J$6)^(-B251),EXP(LN(INDEX(Dic2023!$K$6:$K$205,C251))+(LN(INDEX(Dic2023!$K$6:$K$205,MIN(C251+1,200)))-LN(INDEX(Dic2023!$K$6:$K$205,C251)))*(A251-6*C251)/6))</f>
        <v>0.353951260256855</v>
      </c>
      <c r="H251" s="12" t="n">
        <f aca="false">G251^(-1/B251)-1</f>
        <v>0.0517528025</v>
      </c>
      <c r="I251" s="12" t="n">
        <f aca="false">(1+H251)^(1/12)-1</f>
        <v>0.00421369509431369</v>
      </c>
      <c r="J251" s="16" t="n">
        <f aca="false">IF(C251=0,(1+Dic2023!$M$6)^(-B251),EXP(LN(INDEX(Dic2023!$N$6:$N$205,C251))+(LN(INDEX(Dic2023!$N$6:$N$205,MIN(C251+1,200)))-LN(INDEX(Dic2023!$N$6:$N$205,C251)))*(A251-6*C251)/6))</f>
        <v>0.353951260256855</v>
      </c>
      <c r="K251" s="12" t="n">
        <f aca="false">J251^(-1/B251)-1</f>
        <v>0.0517528025</v>
      </c>
      <c r="L251" s="12" t="n">
        <f aca="false">(1+K251)^(1/12)-1</f>
        <v>0.00421369509431369</v>
      </c>
    </row>
    <row r="252" customFormat="false" ht="15" hidden="false" customHeight="false" outlineLevel="0" collapsed="false">
      <c r="A252" s="4" t="n">
        <v>248</v>
      </c>
      <c r="B252" s="14" t="n">
        <f aca="false">A252/12</f>
        <v>20.6666666666667</v>
      </c>
      <c r="C252" s="15" t="n">
        <f aca="false">INT(A252/6)</f>
        <v>41</v>
      </c>
      <c r="D252" s="16" t="n">
        <f aca="false">IF(C252=0,(1+Dic2023!$G$6)^(-B252),EXP(LN(INDEX(Dic2023!$H$6:$H$205,C252))+(LN(INDEX(Dic2023!$H$6:$H$205,MIN(C252+1,200)))-LN(INDEX(Dic2023!$H$6:$H$205,C252)))*(A252-6*C252)/6))</f>
        <v>0.352466075682838</v>
      </c>
      <c r="E252" s="12" t="n">
        <f aca="false">D252^(-1/B252)-1</f>
        <v>0.0517528025</v>
      </c>
      <c r="F252" s="12" t="n">
        <f aca="false">(1+E252)^(1/12)-1</f>
        <v>0.00421369509431369</v>
      </c>
      <c r="G252" s="16" t="n">
        <f aca="false">IF(C252=0,(1+Dic2023!$J$6)^(-B252),EXP(LN(INDEX(Dic2023!$K$6:$K$205,C252))+(LN(INDEX(Dic2023!$K$6:$K$205,MIN(C252+1,200)))-LN(INDEX(Dic2023!$K$6:$K$205,C252)))*(A252-6*C252)/6))</f>
        <v>0.352466075682838</v>
      </c>
      <c r="H252" s="12" t="n">
        <f aca="false">G252^(-1/B252)-1</f>
        <v>0.0517528025</v>
      </c>
      <c r="I252" s="12" t="n">
        <f aca="false">(1+H252)^(1/12)-1</f>
        <v>0.00421369509431369</v>
      </c>
      <c r="J252" s="16" t="n">
        <f aca="false">IF(C252=0,(1+Dic2023!$M$6)^(-B252),EXP(LN(INDEX(Dic2023!$N$6:$N$205,C252))+(LN(INDEX(Dic2023!$N$6:$N$205,MIN(C252+1,200)))-LN(INDEX(Dic2023!$N$6:$N$205,C252)))*(A252-6*C252)/6))</f>
        <v>0.352466075682838</v>
      </c>
      <c r="K252" s="12" t="n">
        <f aca="false">J252^(-1/B252)-1</f>
        <v>0.0517528025</v>
      </c>
      <c r="L252" s="12" t="n">
        <f aca="false">(1+K252)^(1/12)-1</f>
        <v>0.00421369509431369</v>
      </c>
    </row>
    <row r="253" customFormat="false" ht="15" hidden="false" customHeight="false" outlineLevel="0" collapsed="false">
      <c r="A253" s="4" t="n">
        <v>249</v>
      </c>
      <c r="B253" s="14" t="n">
        <f aca="false">A253/12</f>
        <v>20.75</v>
      </c>
      <c r="C253" s="15" t="n">
        <f aca="false">INT(A253/6)</f>
        <v>41</v>
      </c>
      <c r="D253" s="16" t="n">
        <f aca="false">IF(C253=0,(1+Dic2023!$G$6)^(-B253),EXP(LN(INDEX(Dic2023!$H$6:$H$205,C253))+(LN(INDEX(Dic2023!$H$6:$H$205,MIN(C253+1,200)))-LN(INDEX(Dic2023!$H$6:$H$205,C253)))*(A253-6*C253)/6))</f>
        <v>0.350987122964635</v>
      </c>
      <c r="E253" s="12" t="n">
        <f aca="false">D253^(-1/B253)-1</f>
        <v>0.0517528025</v>
      </c>
      <c r="F253" s="12" t="n">
        <f aca="false">(1+E253)^(1/12)-1</f>
        <v>0.00421369509431369</v>
      </c>
      <c r="G253" s="16" t="n">
        <f aca="false">IF(C253=0,(1+Dic2023!$J$6)^(-B253),EXP(LN(INDEX(Dic2023!$K$6:$K$205,C253))+(LN(INDEX(Dic2023!$K$6:$K$205,MIN(C253+1,200)))-LN(INDEX(Dic2023!$K$6:$K$205,C253)))*(A253-6*C253)/6))</f>
        <v>0.350987122964635</v>
      </c>
      <c r="H253" s="12" t="n">
        <f aca="false">G253^(-1/B253)-1</f>
        <v>0.0517528025</v>
      </c>
      <c r="I253" s="12" t="n">
        <f aca="false">(1+H253)^(1/12)-1</f>
        <v>0.00421369509431369</v>
      </c>
      <c r="J253" s="16" t="n">
        <f aca="false">IF(C253=0,(1+Dic2023!$M$6)^(-B253),EXP(LN(INDEX(Dic2023!$N$6:$N$205,C253))+(LN(INDEX(Dic2023!$N$6:$N$205,MIN(C253+1,200)))-LN(INDEX(Dic2023!$N$6:$N$205,C253)))*(A253-6*C253)/6))</f>
        <v>0.350987122964635</v>
      </c>
      <c r="K253" s="12" t="n">
        <f aca="false">J253^(-1/B253)-1</f>
        <v>0.0517528025</v>
      </c>
      <c r="L253" s="12" t="n">
        <f aca="false">(1+K253)^(1/12)-1</f>
        <v>0.00421369509431369</v>
      </c>
    </row>
    <row r="254" customFormat="false" ht="15" hidden="false" customHeight="false" outlineLevel="0" collapsed="false">
      <c r="A254" s="4" t="n">
        <v>250</v>
      </c>
      <c r="B254" s="14" t="n">
        <f aca="false">A254/12</f>
        <v>20.8333333333333</v>
      </c>
      <c r="C254" s="15" t="n">
        <f aca="false">INT(A254/6)</f>
        <v>41</v>
      </c>
      <c r="D254" s="16" t="n">
        <f aca="false">IF(C254=0,(1+Dic2023!$G$6)^(-B254),EXP(LN(INDEX(Dic2023!$H$6:$H$205,C254))+(LN(INDEX(Dic2023!$H$6:$H$205,MIN(C254+1,200)))-LN(INDEX(Dic2023!$H$6:$H$205,C254)))*(A254-6*C254)/6))</f>
        <v>0.349514375953288</v>
      </c>
      <c r="E254" s="12" t="n">
        <f aca="false">D254^(-1/B254)-1</f>
        <v>0.0517528025</v>
      </c>
      <c r="F254" s="12" t="n">
        <f aca="false">(1+E254)^(1/12)-1</f>
        <v>0.00421369509431369</v>
      </c>
      <c r="G254" s="16" t="n">
        <f aca="false">IF(C254=0,(1+Dic2023!$J$6)^(-B254),EXP(LN(INDEX(Dic2023!$K$6:$K$205,C254))+(LN(INDEX(Dic2023!$K$6:$K$205,MIN(C254+1,200)))-LN(INDEX(Dic2023!$K$6:$K$205,C254)))*(A254-6*C254)/6))</f>
        <v>0.349514375953288</v>
      </c>
      <c r="H254" s="12" t="n">
        <f aca="false">G254^(-1/B254)-1</f>
        <v>0.0517528025</v>
      </c>
      <c r="I254" s="12" t="n">
        <f aca="false">(1+H254)^(1/12)-1</f>
        <v>0.00421369509431369</v>
      </c>
      <c r="J254" s="16" t="n">
        <f aca="false">IF(C254=0,(1+Dic2023!$M$6)^(-B254),EXP(LN(INDEX(Dic2023!$N$6:$N$205,C254))+(LN(INDEX(Dic2023!$N$6:$N$205,MIN(C254+1,200)))-LN(INDEX(Dic2023!$N$6:$N$205,C254)))*(A254-6*C254)/6))</f>
        <v>0.349514375953288</v>
      </c>
      <c r="K254" s="12" t="n">
        <f aca="false">J254^(-1/B254)-1</f>
        <v>0.0517528025</v>
      </c>
      <c r="L254" s="12" t="n">
        <f aca="false">(1+K254)^(1/12)-1</f>
        <v>0.00421369509431369</v>
      </c>
    </row>
    <row r="255" customFormat="false" ht="15" hidden="false" customHeight="false" outlineLevel="0" collapsed="false">
      <c r="A255" s="4" t="n">
        <v>251</v>
      </c>
      <c r="B255" s="14" t="n">
        <f aca="false">A255/12</f>
        <v>20.9166666666667</v>
      </c>
      <c r="C255" s="15" t="n">
        <f aca="false">INT(A255/6)</f>
        <v>41</v>
      </c>
      <c r="D255" s="16" t="n">
        <f aca="false">IF(C255=0,(1+Dic2023!$G$6)^(-B255),EXP(LN(INDEX(Dic2023!$H$6:$H$205,C255))+(LN(INDEX(Dic2023!$H$6:$H$205,MIN(C255+1,200)))-LN(INDEX(Dic2023!$H$6:$H$205,C255)))*(A255-6*C255)/6))</f>
        <v>0.348047808609563</v>
      </c>
      <c r="E255" s="12" t="n">
        <f aca="false">D255^(-1/B255)-1</f>
        <v>0.0517528025</v>
      </c>
      <c r="F255" s="12" t="n">
        <f aca="false">(1+E255)^(1/12)-1</f>
        <v>0.00421369509431369</v>
      </c>
      <c r="G255" s="16" t="n">
        <f aca="false">IF(C255=0,(1+Dic2023!$J$6)^(-B255),EXP(LN(INDEX(Dic2023!$K$6:$K$205,C255))+(LN(INDEX(Dic2023!$K$6:$K$205,MIN(C255+1,200)))-LN(INDEX(Dic2023!$K$6:$K$205,C255)))*(A255-6*C255)/6))</f>
        <v>0.348047808609563</v>
      </c>
      <c r="H255" s="12" t="n">
        <f aca="false">G255^(-1/B255)-1</f>
        <v>0.0517528025</v>
      </c>
      <c r="I255" s="12" t="n">
        <f aca="false">(1+H255)^(1/12)-1</f>
        <v>0.00421369509431369</v>
      </c>
      <c r="J255" s="16" t="n">
        <f aca="false">IF(C255=0,(1+Dic2023!$M$6)^(-B255),EXP(LN(INDEX(Dic2023!$N$6:$N$205,C255))+(LN(INDEX(Dic2023!$N$6:$N$205,MIN(C255+1,200)))-LN(INDEX(Dic2023!$N$6:$N$205,C255)))*(A255-6*C255)/6))</f>
        <v>0.348047808609563</v>
      </c>
      <c r="K255" s="12" t="n">
        <f aca="false">J255^(-1/B255)-1</f>
        <v>0.0517528025</v>
      </c>
      <c r="L255" s="12" t="n">
        <f aca="false">(1+K255)^(1/12)-1</f>
        <v>0.00421369509431369</v>
      </c>
    </row>
    <row r="256" customFormat="false" ht="15" hidden="false" customHeight="false" outlineLevel="0" collapsed="false">
      <c r="A256" s="4" t="n">
        <v>252</v>
      </c>
      <c r="B256" s="14" t="n">
        <f aca="false">A256/12</f>
        <v>21</v>
      </c>
      <c r="C256" s="15" t="n">
        <f aca="false">INT(A256/6)</f>
        <v>42</v>
      </c>
      <c r="D256" s="16" t="n">
        <f aca="false">IF(C256=0,(1+Dic2023!$G$6)^(-B256),EXP(LN(INDEX(Dic2023!$H$6:$H$205,C256))+(LN(INDEX(Dic2023!$H$6:$H$205,MIN(C256+1,200)))-LN(INDEX(Dic2023!$H$6:$H$205,C256)))*(A256-6*C256)/6))</f>
        <v>0.346587395003486</v>
      </c>
      <c r="E256" s="12" t="n">
        <f aca="false">D256^(-1/B256)-1</f>
        <v>0.0517528025</v>
      </c>
      <c r="F256" s="12" t="n">
        <f aca="false">(1+E256)^(1/12)-1</f>
        <v>0.00421369509431369</v>
      </c>
      <c r="G256" s="16" t="n">
        <f aca="false">IF(C256=0,(1+Dic2023!$J$6)^(-B256),EXP(LN(INDEX(Dic2023!$K$6:$K$205,C256))+(LN(INDEX(Dic2023!$K$6:$K$205,MIN(C256+1,200)))-LN(INDEX(Dic2023!$K$6:$K$205,C256)))*(A256-6*C256)/6))</f>
        <v>0.346587395003486</v>
      </c>
      <c r="H256" s="12" t="n">
        <f aca="false">G256^(-1/B256)-1</f>
        <v>0.0517528025</v>
      </c>
      <c r="I256" s="12" t="n">
        <f aca="false">(1+H256)^(1/12)-1</f>
        <v>0.00421369509431369</v>
      </c>
      <c r="J256" s="16" t="n">
        <f aca="false">IF(C256=0,(1+Dic2023!$M$6)^(-B256),EXP(LN(INDEX(Dic2023!$N$6:$N$205,C256))+(LN(INDEX(Dic2023!$N$6:$N$205,MIN(C256+1,200)))-LN(INDEX(Dic2023!$N$6:$N$205,C256)))*(A256-6*C256)/6))</f>
        <v>0.346587395003486</v>
      </c>
      <c r="K256" s="12" t="n">
        <f aca="false">J256^(-1/B256)-1</f>
        <v>0.0517528025</v>
      </c>
      <c r="L256" s="12" t="n">
        <f aca="false">(1+K256)^(1/12)-1</f>
        <v>0.00421369509431369</v>
      </c>
    </row>
    <row r="257" customFormat="false" ht="15" hidden="false" customHeight="false" outlineLevel="0" collapsed="false">
      <c r="A257" s="4" t="n">
        <v>253</v>
      </c>
      <c r="B257" s="14" t="n">
        <f aca="false">A257/12</f>
        <v>21.0833333333333</v>
      </c>
      <c r="C257" s="15" t="n">
        <f aca="false">INT(A257/6)</f>
        <v>42</v>
      </c>
      <c r="D257" s="16" t="n">
        <f aca="false">IF(C257=0,(1+Dic2023!$G$6)^(-B257),EXP(LN(INDEX(Dic2023!$H$6:$H$205,C257))+(LN(INDEX(Dic2023!$H$6:$H$205,MIN(C257+1,200)))-LN(INDEX(Dic2023!$H$6:$H$205,C257)))*(A257-6*C257)/6))</f>
        <v>0.345133109313885</v>
      </c>
      <c r="E257" s="12" t="n">
        <f aca="false">D257^(-1/B257)-1</f>
        <v>0.0517528025</v>
      </c>
      <c r="F257" s="12" t="n">
        <f aca="false">(1+E257)^(1/12)-1</f>
        <v>0.00421369509431369</v>
      </c>
      <c r="G257" s="16" t="n">
        <f aca="false">IF(C257=0,(1+Dic2023!$J$6)^(-B257),EXP(LN(INDEX(Dic2023!$K$6:$K$205,C257))+(LN(INDEX(Dic2023!$K$6:$K$205,MIN(C257+1,200)))-LN(INDEX(Dic2023!$K$6:$K$205,C257)))*(A257-6*C257)/6))</f>
        <v>0.345133109313885</v>
      </c>
      <c r="H257" s="12" t="n">
        <f aca="false">G257^(-1/B257)-1</f>
        <v>0.0517528025</v>
      </c>
      <c r="I257" s="12" t="n">
        <f aca="false">(1+H257)^(1/12)-1</f>
        <v>0.00421369509431369</v>
      </c>
      <c r="J257" s="16" t="n">
        <f aca="false">IF(C257=0,(1+Dic2023!$M$6)^(-B257),EXP(LN(INDEX(Dic2023!$N$6:$N$205,C257))+(LN(INDEX(Dic2023!$N$6:$N$205,MIN(C257+1,200)))-LN(INDEX(Dic2023!$N$6:$N$205,C257)))*(A257-6*C257)/6))</f>
        <v>0.345133109313885</v>
      </c>
      <c r="K257" s="12" t="n">
        <f aca="false">J257^(-1/B257)-1</f>
        <v>0.0517528025</v>
      </c>
      <c r="L257" s="12" t="n">
        <f aca="false">(1+K257)^(1/12)-1</f>
        <v>0.00421369509431369</v>
      </c>
    </row>
    <row r="258" customFormat="false" ht="15" hidden="false" customHeight="false" outlineLevel="0" collapsed="false">
      <c r="A258" s="4" t="n">
        <v>254</v>
      </c>
      <c r="B258" s="14" t="n">
        <f aca="false">A258/12</f>
        <v>21.1666666666667</v>
      </c>
      <c r="C258" s="15" t="n">
        <f aca="false">INT(A258/6)</f>
        <v>42</v>
      </c>
      <c r="D258" s="16" t="n">
        <f aca="false">IF(C258=0,(1+Dic2023!$G$6)^(-B258),EXP(LN(INDEX(Dic2023!$H$6:$H$205,C258))+(LN(INDEX(Dic2023!$H$6:$H$205,MIN(C258+1,200)))-LN(INDEX(Dic2023!$H$6:$H$205,C258)))*(A258-6*C258)/6))</f>
        <v>0.343684925827934</v>
      </c>
      <c r="E258" s="12" t="n">
        <f aca="false">D258^(-1/B258)-1</f>
        <v>0.0517528025</v>
      </c>
      <c r="F258" s="12" t="n">
        <f aca="false">(1+E258)^(1/12)-1</f>
        <v>0.00421369509431369</v>
      </c>
      <c r="G258" s="16" t="n">
        <f aca="false">IF(C258=0,(1+Dic2023!$J$6)^(-B258),EXP(LN(INDEX(Dic2023!$K$6:$K$205,C258))+(LN(INDEX(Dic2023!$K$6:$K$205,MIN(C258+1,200)))-LN(INDEX(Dic2023!$K$6:$K$205,C258)))*(A258-6*C258)/6))</f>
        <v>0.343684925827934</v>
      </c>
      <c r="H258" s="12" t="n">
        <f aca="false">G258^(-1/B258)-1</f>
        <v>0.0517528025</v>
      </c>
      <c r="I258" s="12" t="n">
        <f aca="false">(1+H258)^(1/12)-1</f>
        <v>0.00421369509431369</v>
      </c>
      <c r="J258" s="16" t="n">
        <f aca="false">IF(C258=0,(1+Dic2023!$M$6)^(-B258),EXP(LN(INDEX(Dic2023!$N$6:$N$205,C258))+(LN(INDEX(Dic2023!$N$6:$N$205,MIN(C258+1,200)))-LN(INDEX(Dic2023!$N$6:$N$205,C258)))*(A258-6*C258)/6))</f>
        <v>0.343684925827934</v>
      </c>
      <c r="K258" s="12" t="n">
        <f aca="false">J258^(-1/B258)-1</f>
        <v>0.0517528025</v>
      </c>
      <c r="L258" s="12" t="n">
        <f aca="false">(1+K258)^(1/12)-1</f>
        <v>0.00421369509431369</v>
      </c>
    </row>
    <row r="259" customFormat="false" ht="15" hidden="false" customHeight="false" outlineLevel="0" collapsed="false">
      <c r="A259" s="4" t="n">
        <v>255</v>
      </c>
      <c r="B259" s="14" t="n">
        <f aca="false">A259/12</f>
        <v>21.25</v>
      </c>
      <c r="C259" s="15" t="n">
        <f aca="false">INT(A259/6)</f>
        <v>42</v>
      </c>
      <c r="D259" s="16" t="n">
        <f aca="false">IF(C259=0,(1+Dic2023!$G$6)^(-B259),EXP(LN(INDEX(Dic2023!$H$6:$H$205,C259))+(LN(INDEX(Dic2023!$H$6:$H$205,MIN(C259+1,200)))-LN(INDEX(Dic2023!$H$6:$H$205,C259)))*(A259-6*C259)/6))</f>
        <v>0.3422428189407</v>
      </c>
      <c r="E259" s="12" t="n">
        <f aca="false">D259^(-1/B259)-1</f>
        <v>0.0517528025</v>
      </c>
      <c r="F259" s="12" t="n">
        <f aca="false">(1+E259)^(1/12)-1</f>
        <v>0.00421369509431369</v>
      </c>
      <c r="G259" s="16" t="n">
        <f aca="false">IF(C259=0,(1+Dic2023!$J$6)^(-B259),EXP(LN(INDEX(Dic2023!$K$6:$K$205,C259))+(LN(INDEX(Dic2023!$K$6:$K$205,MIN(C259+1,200)))-LN(INDEX(Dic2023!$K$6:$K$205,C259)))*(A259-6*C259)/6))</f>
        <v>0.3422428189407</v>
      </c>
      <c r="H259" s="12" t="n">
        <f aca="false">G259^(-1/B259)-1</f>
        <v>0.0517528025</v>
      </c>
      <c r="I259" s="12" t="n">
        <f aca="false">(1+H259)^(1/12)-1</f>
        <v>0.00421369509431369</v>
      </c>
      <c r="J259" s="16" t="n">
        <f aca="false">IF(C259=0,(1+Dic2023!$M$6)^(-B259),EXP(LN(INDEX(Dic2023!$N$6:$N$205,C259))+(LN(INDEX(Dic2023!$N$6:$N$205,MIN(C259+1,200)))-LN(INDEX(Dic2023!$N$6:$N$205,C259)))*(A259-6*C259)/6))</f>
        <v>0.3422428189407</v>
      </c>
      <c r="K259" s="12" t="n">
        <f aca="false">J259^(-1/B259)-1</f>
        <v>0.0517528025</v>
      </c>
      <c r="L259" s="12" t="n">
        <f aca="false">(1+K259)^(1/12)-1</f>
        <v>0.00421369509431369</v>
      </c>
    </row>
    <row r="260" customFormat="false" ht="15" hidden="false" customHeight="false" outlineLevel="0" collapsed="false">
      <c r="A260" s="4" t="n">
        <v>256</v>
      </c>
      <c r="B260" s="14" t="n">
        <f aca="false">A260/12</f>
        <v>21.3333333333333</v>
      </c>
      <c r="C260" s="15" t="n">
        <f aca="false">INT(A260/6)</f>
        <v>42</v>
      </c>
      <c r="D260" s="16" t="n">
        <f aca="false">IF(C260=0,(1+Dic2023!$G$6)^(-B260),EXP(LN(INDEX(Dic2023!$H$6:$H$205,C260))+(LN(INDEX(Dic2023!$H$6:$H$205,MIN(C260+1,200)))-LN(INDEX(Dic2023!$H$6:$H$205,C260)))*(A260-6*C260)/6))</f>
        <v>0.340806763154686</v>
      </c>
      <c r="E260" s="12" t="n">
        <f aca="false">D260^(-1/B260)-1</f>
        <v>0.0517528025</v>
      </c>
      <c r="F260" s="12" t="n">
        <f aca="false">(1+E260)^(1/12)-1</f>
        <v>0.00421369509431369</v>
      </c>
      <c r="G260" s="16" t="n">
        <f aca="false">IF(C260=0,(1+Dic2023!$J$6)^(-B260),EXP(LN(INDEX(Dic2023!$K$6:$K$205,C260))+(LN(INDEX(Dic2023!$K$6:$K$205,MIN(C260+1,200)))-LN(INDEX(Dic2023!$K$6:$K$205,C260)))*(A260-6*C260)/6))</f>
        <v>0.340806763154686</v>
      </c>
      <c r="H260" s="12" t="n">
        <f aca="false">G260^(-1/B260)-1</f>
        <v>0.0517528025</v>
      </c>
      <c r="I260" s="12" t="n">
        <f aca="false">(1+H260)^(1/12)-1</f>
        <v>0.00421369509431369</v>
      </c>
      <c r="J260" s="16" t="n">
        <f aca="false">IF(C260=0,(1+Dic2023!$M$6)^(-B260),EXP(LN(INDEX(Dic2023!$N$6:$N$205,C260))+(LN(INDEX(Dic2023!$N$6:$N$205,MIN(C260+1,200)))-LN(INDEX(Dic2023!$N$6:$N$205,C260)))*(A260-6*C260)/6))</f>
        <v>0.340806763154686</v>
      </c>
      <c r="K260" s="12" t="n">
        <f aca="false">J260^(-1/B260)-1</f>
        <v>0.0517528025</v>
      </c>
      <c r="L260" s="12" t="n">
        <f aca="false">(1+K260)^(1/12)-1</f>
        <v>0.00421369509431369</v>
      </c>
    </row>
    <row r="261" customFormat="false" ht="15" hidden="false" customHeight="false" outlineLevel="0" collapsed="false">
      <c r="A261" s="4" t="n">
        <v>257</v>
      </c>
      <c r="B261" s="14" t="n">
        <f aca="false">A261/12</f>
        <v>21.4166666666667</v>
      </c>
      <c r="C261" s="15" t="n">
        <f aca="false">INT(A261/6)</f>
        <v>42</v>
      </c>
      <c r="D261" s="16" t="n">
        <f aca="false">IF(C261=0,(1+Dic2023!$G$6)^(-B261),EXP(LN(INDEX(Dic2023!$H$6:$H$205,C261))+(LN(INDEX(Dic2023!$H$6:$H$205,MIN(C261+1,200)))-LN(INDEX(Dic2023!$H$6:$H$205,C261)))*(A261-6*C261)/6))</f>
        <v>0.339376733079385</v>
      </c>
      <c r="E261" s="12" t="n">
        <f aca="false">D261^(-1/B261)-1</f>
        <v>0.0517528025</v>
      </c>
      <c r="F261" s="12" t="n">
        <f aca="false">(1+E261)^(1/12)-1</f>
        <v>0.00421369509431369</v>
      </c>
      <c r="G261" s="16" t="n">
        <f aca="false">IF(C261=0,(1+Dic2023!$J$6)^(-B261),EXP(LN(INDEX(Dic2023!$K$6:$K$205,C261))+(LN(INDEX(Dic2023!$K$6:$K$205,MIN(C261+1,200)))-LN(INDEX(Dic2023!$K$6:$K$205,C261)))*(A261-6*C261)/6))</f>
        <v>0.339376733079385</v>
      </c>
      <c r="H261" s="12" t="n">
        <f aca="false">G261^(-1/B261)-1</f>
        <v>0.0517528025</v>
      </c>
      <c r="I261" s="12" t="n">
        <f aca="false">(1+H261)^(1/12)-1</f>
        <v>0.00421369509431369</v>
      </c>
      <c r="J261" s="16" t="n">
        <f aca="false">IF(C261=0,(1+Dic2023!$M$6)^(-B261),EXP(LN(INDEX(Dic2023!$N$6:$N$205,C261))+(LN(INDEX(Dic2023!$N$6:$N$205,MIN(C261+1,200)))-LN(INDEX(Dic2023!$N$6:$N$205,C261)))*(A261-6*C261)/6))</f>
        <v>0.339376733079385</v>
      </c>
      <c r="K261" s="12" t="n">
        <f aca="false">J261^(-1/B261)-1</f>
        <v>0.0517528025</v>
      </c>
      <c r="L261" s="12" t="n">
        <f aca="false">(1+K261)^(1/12)-1</f>
        <v>0.00421369509431369</v>
      </c>
    </row>
    <row r="262" customFormat="false" ht="15" hidden="false" customHeight="false" outlineLevel="0" collapsed="false">
      <c r="A262" s="4" t="n">
        <v>258</v>
      </c>
      <c r="B262" s="14" t="n">
        <f aca="false">A262/12</f>
        <v>21.5</v>
      </c>
      <c r="C262" s="15" t="n">
        <f aca="false">INT(A262/6)</f>
        <v>43</v>
      </c>
      <c r="D262" s="16" t="n">
        <f aca="false">IF(C262=0,(1+Dic2023!$G$6)^(-B262),EXP(LN(INDEX(Dic2023!$H$6:$H$205,C262))+(LN(INDEX(Dic2023!$H$6:$H$205,MIN(C262+1,200)))-LN(INDEX(Dic2023!$H$6:$H$205,C262)))*(A262-6*C262)/6))</f>
        <v>0.337952703430829</v>
      </c>
      <c r="E262" s="12" t="n">
        <f aca="false">D262^(-1/B262)-1</f>
        <v>0.0517528025</v>
      </c>
      <c r="F262" s="12" t="n">
        <f aca="false">(1+E262)^(1/12)-1</f>
        <v>0.00421369509431369</v>
      </c>
      <c r="G262" s="16" t="n">
        <f aca="false">IF(C262=0,(1+Dic2023!$J$6)^(-B262),EXP(LN(INDEX(Dic2023!$K$6:$K$205,C262))+(LN(INDEX(Dic2023!$K$6:$K$205,MIN(C262+1,200)))-LN(INDEX(Dic2023!$K$6:$K$205,C262)))*(A262-6*C262)/6))</f>
        <v>0.337952703430829</v>
      </c>
      <c r="H262" s="12" t="n">
        <f aca="false">G262^(-1/B262)-1</f>
        <v>0.0517528025</v>
      </c>
      <c r="I262" s="12" t="n">
        <f aca="false">(1+H262)^(1/12)-1</f>
        <v>0.00421369509431369</v>
      </c>
      <c r="J262" s="16" t="n">
        <f aca="false">IF(C262=0,(1+Dic2023!$M$6)^(-B262),EXP(LN(INDEX(Dic2023!$N$6:$N$205,C262))+(LN(INDEX(Dic2023!$N$6:$N$205,MIN(C262+1,200)))-LN(INDEX(Dic2023!$N$6:$N$205,C262)))*(A262-6*C262)/6))</f>
        <v>0.337952703430829</v>
      </c>
      <c r="K262" s="12" t="n">
        <f aca="false">J262^(-1/B262)-1</f>
        <v>0.0517528025</v>
      </c>
      <c r="L262" s="12" t="n">
        <f aca="false">(1+K262)^(1/12)-1</f>
        <v>0.00421369509431369</v>
      </c>
    </row>
    <row r="263" customFormat="false" ht="15" hidden="false" customHeight="false" outlineLevel="0" collapsed="false">
      <c r="A263" s="4" t="n">
        <v>259</v>
      </c>
      <c r="B263" s="14" t="n">
        <f aca="false">A263/12</f>
        <v>21.5833333333333</v>
      </c>
      <c r="C263" s="15" t="n">
        <f aca="false">INT(A263/6)</f>
        <v>43</v>
      </c>
      <c r="D263" s="16" t="n">
        <f aca="false">IF(C263=0,(1+Dic2023!$G$6)^(-B263),EXP(LN(INDEX(Dic2023!$H$6:$H$205,C263))+(LN(INDEX(Dic2023!$H$6:$H$205,MIN(C263+1,200)))-LN(INDEX(Dic2023!$H$6:$H$205,C263)))*(A263-6*C263)/6))</f>
        <v>0.336534649031139</v>
      </c>
      <c r="E263" s="12" t="n">
        <f aca="false">D263^(-1/B263)-1</f>
        <v>0.0517528025</v>
      </c>
      <c r="F263" s="12" t="n">
        <f aca="false">(1+E263)^(1/12)-1</f>
        <v>0.00421369509431369</v>
      </c>
      <c r="G263" s="16" t="n">
        <f aca="false">IF(C263=0,(1+Dic2023!$J$6)^(-B263),EXP(LN(INDEX(Dic2023!$K$6:$K$205,C263))+(LN(INDEX(Dic2023!$K$6:$K$205,MIN(C263+1,200)))-LN(INDEX(Dic2023!$K$6:$K$205,C263)))*(A263-6*C263)/6))</f>
        <v>0.336534649031139</v>
      </c>
      <c r="H263" s="12" t="n">
        <f aca="false">G263^(-1/B263)-1</f>
        <v>0.0517528025</v>
      </c>
      <c r="I263" s="12" t="n">
        <f aca="false">(1+H263)^(1/12)-1</f>
        <v>0.00421369509431369</v>
      </c>
      <c r="J263" s="16" t="n">
        <f aca="false">IF(C263=0,(1+Dic2023!$M$6)^(-B263),EXP(LN(INDEX(Dic2023!$N$6:$N$205,C263))+(LN(INDEX(Dic2023!$N$6:$N$205,MIN(C263+1,200)))-LN(INDEX(Dic2023!$N$6:$N$205,C263)))*(A263-6*C263)/6))</f>
        <v>0.336534649031139</v>
      </c>
      <c r="K263" s="12" t="n">
        <f aca="false">J263^(-1/B263)-1</f>
        <v>0.0517528025</v>
      </c>
      <c r="L263" s="12" t="n">
        <f aca="false">(1+K263)^(1/12)-1</f>
        <v>0.00421369509431369</v>
      </c>
    </row>
    <row r="264" customFormat="false" ht="15" hidden="false" customHeight="false" outlineLevel="0" collapsed="false">
      <c r="A264" s="4" t="n">
        <v>260</v>
      </c>
      <c r="B264" s="14" t="n">
        <f aca="false">A264/12</f>
        <v>21.6666666666667</v>
      </c>
      <c r="C264" s="15" t="n">
        <f aca="false">INT(A264/6)</f>
        <v>43</v>
      </c>
      <c r="D264" s="16" t="n">
        <f aca="false">IF(C264=0,(1+Dic2023!$G$6)^(-B264),EXP(LN(INDEX(Dic2023!$H$6:$H$205,C264))+(LN(INDEX(Dic2023!$H$6:$H$205,MIN(C264+1,200)))-LN(INDEX(Dic2023!$H$6:$H$205,C264)))*(A264-6*C264)/6))</f>
        <v>0.335122544808088</v>
      </c>
      <c r="E264" s="12" t="n">
        <f aca="false">D264^(-1/B264)-1</f>
        <v>0.0517528025</v>
      </c>
      <c r="F264" s="12" t="n">
        <f aca="false">(1+E264)^(1/12)-1</f>
        <v>0.00421369509431369</v>
      </c>
      <c r="G264" s="16" t="n">
        <f aca="false">IF(C264=0,(1+Dic2023!$J$6)^(-B264),EXP(LN(INDEX(Dic2023!$K$6:$K$205,C264))+(LN(INDEX(Dic2023!$K$6:$K$205,MIN(C264+1,200)))-LN(INDEX(Dic2023!$K$6:$K$205,C264)))*(A264-6*C264)/6))</f>
        <v>0.335122544808088</v>
      </c>
      <c r="H264" s="12" t="n">
        <f aca="false">G264^(-1/B264)-1</f>
        <v>0.0517528025</v>
      </c>
      <c r="I264" s="12" t="n">
        <f aca="false">(1+H264)^(1/12)-1</f>
        <v>0.00421369509431369</v>
      </c>
      <c r="J264" s="16" t="n">
        <f aca="false">IF(C264=0,(1+Dic2023!$M$6)^(-B264),EXP(LN(INDEX(Dic2023!$N$6:$N$205,C264))+(LN(INDEX(Dic2023!$N$6:$N$205,MIN(C264+1,200)))-LN(INDEX(Dic2023!$N$6:$N$205,C264)))*(A264-6*C264)/6))</f>
        <v>0.335122544808088</v>
      </c>
      <c r="K264" s="12" t="n">
        <f aca="false">J264^(-1/B264)-1</f>
        <v>0.0517528025</v>
      </c>
      <c r="L264" s="12" t="n">
        <f aca="false">(1+K264)^(1/12)-1</f>
        <v>0.00421369509431369</v>
      </c>
    </row>
    <row r="265" customFormat="false" ht="15" hidden="false" customHeight="false" outlineLevel="0" collapsed="false">
      <c r="A265" s="4" t="n">
        <v>261</v>
      </c>
      <c r="B265" s="14" t="n">
        <f aca="false">A265/12</f>
        <v>21.75</v>
      </c>
      <c r="C265" s="15" t="n">
        <f aca="false">INT(A265/6)</f>
        <v>43</v>
      </c>
      <c r="D265" s="16" t="n">
        <f aca="false">IF(C265=0,(1+Dic2023!$G$6)^(-B265),EXP(LN(INDEX(Dic2023!$H$6:$H$205,C265))+(LN(INDEX(Dic2023!$H$6:$H$205,MIN(C265+1,200)))-LN(INDEX(Dic2023!$H$6:$H$205,C265)))*(A265-6*C265)/6))</f>
        <v>0.333716365794647</v>
      </c>
      <c r="E265" s="12" t="n">
        <f aca="false">D265^(-1/B265)-1</f>
        <v>0.0517528025</v>
      </c>
      <c r="F265" s="12" t="n">
        <f aca="false">(1+E265)^(1/12)-1</f>
        <v>0.00421369509431369</v>
      </c>
      <c r="G265" s="16" t="n">
        <f aca="false">IF(C265=0,(1+Dic2023!$J$6)^(-B265),EXP(LN(INDEX(Dic2023!$K$6:$K$205,C265))+(LN(INDEX(Dic2023!$K$6:$K$205,MIN(C265+1,200)))-LN(INDEX(Dic2023!$K$6:$K$205,C265)))*(A265-6*C265)/6))</f>
        <v>0.333716365794647</v>
      </c>
      <c r="H265" s="12" t="n">
        <f aca="false">G265^(-1/B265)-1</f>
        <v>0.0517528025</v>
      </c>
      <c r="I265" s="12" t="n">
        <f aca="false">(1+H265)^(1/12)-1</f>
        <v>0.00421369509431369</v>
      </c>
      <c r="J265" s="16" t="n">
        <f aca="false">IF(C265=0,(1+Dic2023!$M$6)^(-B265),EXP(LN(INDEX(Dic2023!$N$6:$N$205,C265))+(LN(INDEX(Dic2023!$N$6:$N$205,MIN(C265+1,200)))-LN(INDEX(Dic2023!$N$6:$N$205,C265)))*(A265-6*C265)/6))</f>
        <v>0.333716365794647</v>
      </c>
      <c r="K265" s="12" t="n">
        <f aca="false">J265^(-1/B265)-1</f>
        <v>0.0517528025</v>
      </c>
      <c r="L265" s="12" t="n">
        <f aca="false">(1+K265)^(1/12)-1</f>
        <v>0.00421369509431369</v>
      </c>
    </row>
    <row r="266" customFormat="false" ht="15" hidden="false" customHeight="false" outlineLevel="0" collapsed="false">
      <c r="A266" s="4" t="n">
        <v>262</v>
      </c>
      <c r="B266" s="14" t="n">
        <f aca="false">A266/12</f>
        <v>21.8333333333333</v>
      </c>
      <c r="C266" s="15" t="n">
        <f aca="false">INT(A266/6)</f>
        <v>43</v>
      </c>
      <c r="D266" s="16" t="n">
        <f aca="false">IF(C266=0,(1+Dic2023!$G$6)^(-B266),EXP(LN(INDEX(Dic2023!$H$6:$H$205,C266))+(LN(INDEX(Dic2023!$H$6:$H$205,MIN(C266+1,200)))-LN(INDEX(Dic2023!$H$6:$H$205,C266)))*(A266-6*C266)/6))</f>
        <v>0.332316087128551</v>
      </c>
      <c r="E266" s="12" t="n">
        <f aca="false">D266^(-1/B266)-1</f>
        <v>0.0517528025</v>
      </c>
      <c r="F266" s="12" t="n">
        <f aca="false">(1+E266)^(1/12)-1</f>
        <v>0.00421369509431369</v>
      </c>
      <c r="G266" s="16" t="n">
        <f aca="false">IF(C266=0,(1+Dic2023!$J$6)^(-B266),EXP(LN(INDEX(Dic2023!$K$6:$K$205,C266))+(LN(INDEX(Dic2023!$K$6:$K$205,MIN(C266+1,200)))-LN(INDEX(Dic2023!$K$6:$K$205,C266)))*(A266-6*C266)/6))</f>
        <v>0.332316087128551</v>
      </c>
      <c r="H266" s="12" t="n">
        <f aca="false">G266^(-1/B266)-1</f>
        <v>0.0517528025</v>
      </c>
      <c r="I266" s="12" t="n">
        <f aca="false">(1+H266)^(1/12)-1</f>
        <v>0.00421369509431369</v>
      </c>
      <c r="J266" s="16" t="n">
        <f aca="false">IF(C266=0,(1+Dic2023!$M$6)^(-B266),EXP(LN(INDEX(Dic2023!$N$6:$N$205,C266))+(LN(INDEX(Dic2023!$N$6:$N$205,MIN(C266+1,200)))-LN(INDEX(Dic2023!$N$6:$N$205,C266)))*(A266-6*C266)/6))</f>
        <v>0.332316087128551</v>
      </c>
      <c r="K266" s="12" t="n">
        <f aca="false">J266^(-1/B266)-1</f>
        <v>0.0517528025</v>
      </c>
      <c r="L266" s="12" t="n">
        <f aca="false">(1+K266)^(1/12)-1</f>
        <v>0.00421369509431369</v>
      </c>
    </row>
    <row r="267" customFormat="false" ht="15" hidden="false" customHeight="false" outlineLevel="0" collapsed="false">
      <c r="A267" s="4" t="n">
        <v>263</v>
      </c>
      <c r="B267" s="14" t="n">
        <f aca="false">A267/12</f>
        <v>21.9166666666667</v>
      </c>
      <c r="C267" s="15" t="n">
        <f aca="false">INT(A267/6)</f>
        <v>43</v>
      </c>
      <c r="D267" s="16" t="n">
        <f aca="false">IF(C267=0,(1+Dic2023!$G$6)^(-B267),EXP(LN(INDEX(Dic2023!$H$6:$H$205,C267))+(LN(INDEX(Dic2023!$H$6:$H$205,MIN(C267+1,200)))-LN(INDEX(Dic2023!$H$6:$H$205,C267)))*(A267-6*C267)/6))</f>
        <v>0.33092168405186</v>
      </c>
      <c r="E267" s="12" t="n">
        <f aca="false">D267^(-1/B267)-1</f>
        <v>0.0517528025</v>
      </c>
      <c r="F267" s="12" t="n">
        <f aca="false">(1+E267)^(1/12)-1</f>
        <v>0.00421369509431369</v>
      </c>
      <c r="G267" s="16" t="n">
        <f aca="false">IF(C267=0,(1+Dic2023!$J$6)^(-B267),EXP(LN(INDEX(Dic2023!$K$6:$K$205,C267))+(LN(INDEX(Dic2023!$K$6:$K$205,MIN(C267+1,200)))-LN(INDEX(Dic2023!$K$6:$K$205,C267)))*(A267-6*C267)/6))</f>
        <v>0.33092168405186</v>
      </c>
      <c r="H267" s="12" t="n">
        <f aca="false">G267^(-1/B267)-1</f>
        <v>0.0517528025</v>
      </c>
      <c r="I267" s="12" t="n">
        <f aca="false">(1+H267)^(1/12)-1</f>
        <v>0.00421369509431369</v>
      </c>
      <c r="J267" s="16" t="n">
        <f aca="false">IF(C267=0,(1+Dic2023!$M$6)^(-B267),EXP(LN(INDEX(Dic2023!$N$6:$N$205,C267))+(LN(INDEX(Dic2023!$N$6:$N$205,MIN(C267+1,200)))-LN(INDEX(Dic2023!$N$6:$N$205,C267)))*(A267-6*C267)/6))</f>
        <v>0.33092168405186</v>
      </c>
      <c r="K267" s="12" t="n">
        <f aca="false">J267^(-1/B267)-1</f>
        <v>0.0517528025</v>
      </c>
      <c r="L267" s="12" t="n">
        <f aca="false">(1+K267)^(1/12)-1</f>
        <v>0.00421369509431369</v>
      </c>
    </row>
    <row r="268" customFormat="false" ht="15" hidden="false" customHeight="false" outlineLevel="0" collapsed="false">
      <c r="A268" s="4" t="n">
        <v>264</v>
      </c>
      <c r="B268" s="14" t="n">
        <f aca="false">A268/12</f>
        <v>22</v>
      </c>
      <c r="C268" s="15" t="n">
        <f aca="false">INT(A268/6)</f>
        <v>44</v>
      </c>
      <c r="D268" s="16" t="n">
        <f aca="false">IF(C268=0,(1+Dic2023!$G$6)^(-B268),EXP(LN(INDEX(Dic2023!$H$6:$H$205,C268))+(LN(INDEX(Dic2023!$H$6:$H$205,MIN(C268+1,200)))-LN(INDEX(Dic2023!$H$6:$H$205,C268)))*(A268-6*C268)/6))</f>
        <v>0.329533131910515</v>
      </c>
      <c r="E268" s="12" t="n">
        <f aca="false">D268^(-1/B268)-1</f>
        <v>0.0517528025</v>
      </c>
      <c r="F268" s="12" t="n">
        <f aca="false">(1+E268)^(1/12)-1</f>
        <v>0.00421369509431369</v>
      </c>
      <c r="G268" s="16" t="n">
        <f aca="false">IF(C268=0,(1+Dic2023!$J$6)^(-B268),EXP(LN(INDEX(Dic2023!$K$6:$K$205,C268))+(LN(INDEX(Dic2023!$K$6:$K$205,MIN(C268+1,200)))-LN(INDEX(Dic2023!$K$6:$K$205,C268)))*(A268-6*C268)/6))</f>
        <v>0.329533131910515</v>
      </c>
      <c r="H268" s="12" t="n">
        <f aca="false">G268^(-1/B268)-1</f>
        <v>0.0517528025</v>
      </c>
      <c r="I268" s="12" t="n">
        <f aca="false">(1+H268)^(1/12)-1</f>
        <v>0.00421369509431369</v>
      </c>
      <c r="J268" s="16" t="n">
        <f aca="false">IF(C268=0,(1+Dic2023!$M$6)^(-B268),EXP(LN(INDEX(Dic2023!$N$6:$N$205,C268))+(LN(INDEX(Dic2023!$N$6:$N$205,MIN(C268+1,200)))-LN(INDEX(Dic2023!$N$6:$N$205,C268)))*(A268-6*C268)/6))</f>
        <v>0.329533131910515</v>
      </c>
      <c r="K268" s="12" t="n">
        <f aca="false">J268^(-1/B268)-1</f>
        <v>0.0517528025</v>
      </c>
      <c r="L268" s="12" t="n">
        <f aca="false">(1+K268)^(1/12)-1</f>
        <v>0.00421369509431369</v>
      </c>
    </row>
    <row r="269" customFormat="false" ht="15" hidden="false" customHeight="false" outlineLevel="0" collapsed="false">
      <c r="A269" s="4" t="n">
        <v>265</v>
      </c>
      <c r="B269" s="14" t="n">
        <f aca="false">A269/12</f>
        <v>22.0833333333333</v>
      </c>
      <c r="C269" s="15" t="n">
        <f aca="false">INT(A269/6)</f>
        <v>44</v>
      </c>
      <c r="D269" s="16" t="n">
        <f aca="false">IF(C269=0,(1+Dic2023!$G$6)^(-B269),EXP(LN(INDEX(Dic2023!$H$6:$H$205,C269))+(LN(INDEX(Dic2023!$H$6:$H$205,MIN(C269+1,200)))-LN(INDEX(Dic2023!$H$6:$H$205,C269)))*(A269-6*C269)/6))</f>
        <v>0.328150406153907</v>
      </c>
      <c r="E269" s="12" t="n">
        <f aca="false">D269^(-1/B269)-1</f>
        <v>0.0517528025</v>
      </c>
      <c r="F269" s="12" t="n">
        <f aca="false">(1+E269)^(1/12)-1</f>
        <v>0.00421369509431369</v>
      </c>
      <c r="G269" s="16" t="n">
        <f aca="false">IF(C269=0,(1+Dic2023!$J$6)^(-B269),EXP(LN(INDEX(Dic2023!$K$6:$K$205,C269))+(LN(INDEX(Dic2023!$K$6:$K$205,MIN(C269+1,200)))-LN(INDEX(Dic2023!$K$6:$K$205,C269)))*(A269-6*C269)/6))</f>
        <v>0.328150406153907</v>
      </c>
      <c r="H269" s="12" t="n">
        <f aca="false">G269^(-1/B269)-1</f>
        <v>0.0517528025</v>
      </c>
      <c r="I269" s="12" t="n">
        <f aca="false">(1+H269)^(1/12)-1</f>
        <v>0.00421369509431369</v>
      </c>
      <c r="J269" s="16" t="n">
        <f aca="false">IF(C269=0,(1+Dic2023!$M$6)^(-B269),EXP(LN(INDEX(Dic2023!$N$6:$N$205,C269))+(LN(INDEX(Dic2023!$N$6:$N$205,MIN(C269+1,200)))-LN(INDEX(Dic2023!$N$6:$N$205,C269)))*(A269-6*C269)/6))</f>
        <v>0.328150406153907</v>
      </c>
      <c r="K269" s="12" t="n">
        <f aca="false">J269^(-1/B269)-1</f>
        <v>0.0517528025</v>
      </c>
      <c r="L269" s="12" t="n">
        <f aca="false">(1+K269)^(1/12)-1</f>
        <v>0.00421369509431369</v>
      </c>
    </row>
    <row r="270" customFormat="false" ht="15" hidden="false" customHeight="false" outlineLevel="0" collapsed="false">
      <c r="A270" s="4" t="n">
        <v>266</v>
      </c>
      <c r="B270" s="14" t="n">
        <f aca="false">A270/12</f>
        <v>22.1666666666667</v>
      </c>
      <c r="C270" s="15" t="n">
        <f aca="false">INT(A270/6)</f>
        <v>44</v>
      </c>
      <c r="D270" s="16" t="n">
        <f aca="false">IF(C270=0,(1+Dic2023!$G$6)^(-B270),EXP(LN(INDEX(Dic2023!$H$6:$H$205,C270))+(LN(INDEX(Dic2023!$H$6:$H$205,MIN(C270+1,200)))-LN(INDEX(Dic2023!$H$6:$H$205,C270)))*(A270-6*C270)/6))</f>
        <v>0.326773482334443</v>
      </c>
      <c r="E270" s="12" t="n">
        <f aca="false">D270^(-1/B270)-1</f>
        <v>0.0517528025</v>
      </c>
      <c r="F270" s="12" t="n">
        <f aca="false">(1+E270)^(1/12)-1</f>
        <v>0.00421369509431369</v>
      </c>
      <c r="G270" s="16" t="n">
        <f aca="false">IF(C270=0,(1+Dic2023!$J$6)^(-B270),EXP(LN(INDEX(Dic2023!$K$6:$K$205,C270))+(LN(INDEX(Dic2023!$K$6:$K$205,MIN(C270+1,200)))-LN(INDEX(Dic2023!$K$6:$K$205,C270)))*(A270-6*C270)/6))</f>
        <v>0.326773482334443</v>
      </c>
      <c r="H270" s="12" t="n">
        <f aca="false">G270^(-1/B270)-1</f>
        <v>0.0517528025</v>
      </c>
      <c r="I270" s="12" t="n">
        <f aca="false">(1+H270)^(1/12)-1</f>
        <v>0.00421369509431369</v>
      </c>
      <c r="J270" s="16" t="n">
        <f aca="false">IF(C270=0,(1+Dic2023!$M$6)^(-B270),EXP(LN(INDEX(Dic2023!$N$6:$N$205,C270))+(LN(INDEX(Dic2023!$N$6:$N$205,MIN(C270+1,200)))-LN(INDEX(Dic2023!$N$6:$N$205,C270)))*(A270-6*C270)/6))</f>
        <v>0.326773482334443</v>
      </c>
      <c r="K270" s="12" t="n">
        <f aca="false">J270^(-1/B270)-1</f>
        <v>0.0517528025</v>
      </c>
      <c r="L270" s="12" t="n">
        <f aca="false">(1+K270)^(1/12)-1</f>
        <v>0.00421369509431369</v>
      </c>
    </row>
    <row r="271" customFormat="false" ht="15" hidden="false" customHeight="false" outlineLevel="0" collapsed="false">
      <c r="A271" s="4" t="n">
        <v>267</v>
      </c>
      <c r="B271" s="14" t="n">
        <f aca="false">A271/12</f>
        <v>22.25</v>
      </c>
      <c r="C271" s="15" t="n">
        <f aca="false">INT(A271/6)</f>
        <v>44</v>
      </c>
      <c r="D271" s="16" t="n">
        <f aca="false">IF(C271=0,(1+Dic2023!$G$6)^(-B271),EXP(LN(INDEX(Dic2023!$H$6:$H$205,C271))+(LN(INDEX(Dic2023!$H$6:$H$205,MIN(C271+1,200)))-LN(INDEX(Dic2023!$H$6:$H$205,C271)))*(A271-6*C271)/6))</f>
        <v>0.32540233610711</v>
      </c>
      <c r="E271" s="12" t="n">
        <f aca="false">D271^(-1/B271)-1</f>
        <v>0.0517528025</v>
      </c>
      <c r="F271" s="12" t="n">
        <f aca="false">(1+E271)^(1/12)-1</f>
        <v>0.00421369509431369</v>
      </c>
      <c r="G271" s="16" t="n">
        <f aca="false">IF(C271=0,(1+Dic2023!$J$6)^(-B271),EXP(LN(INDEX(Dic2023!$K$6:$K$205,C271))+(LN(INDEX(Dic2023!$K$6:$K$205,MIN(C271+1,200)))-LN(INDEX(Dic2023!$K$6:$K$205,C271)))*(A271-6*C271)/6))</f>
        <v>0.32540233610711</v>
      </c>
      <c r="H271" s="12" t="n">
        <f aca="false">G271^(-1/B271)-1</f>
        <v>0.0517528025</v>
      </c>
      <c r="I271" s="12" t="n">
        <f aca="false">(1+H271)^(1/12)-1</f>
        <v>0.00421369509431369</v>
      </c>
      <c r="J271" s="16" t="n">
        <f aca="false">IF(C271=0,(1+Dic2023!$M$6)^(-B271),EXP(LN(INDEX(Dic2023!$N$6:$N$205,C271))+(LN(INDEX(Dic2023!$N$6:$N$205,MIN(C271+1,200)))-LN(INDEX(Dic2023!$N$6:$N$205,C271)))*(A271-6*C271)/6))</f>
        <v>0.32540233610711</v>
      </c>
      <c r="K271" s="12" t="n">
        <f aca="false">J271^(-1/B271)-1</f>
        <v>0.0517528025</v>
      </c>
      <c r="L271" s="12" t="n">
        <f aca="false">(1+K271)^(1/12)-1</f>
        <v>0.00421369509431369</v>
      </c>
    </row>
    <row r="272" customFormat="false" ht="15" hidden="false" customHeight="false" outlineLevel="0" collapsed="false">
      <c r="A272" s="4" t="n">
        <v>268</v>
      </c>
      <c r="B272" s="14" t="n">
        <f aca="false">A272/12</f>
        <v>22.3333333333333</v>
      </c>
      <c r="C272" s="15" t="n">
        <f aca="false">INT(A272/6)</f>
        <v>44</v>
      </c>
      <c r="D272" s="16" t="n">
        <f aca="false">IF(C272=0,(1+Dic2023!$G$6)^(-B272),EXP(LN(INDEX(Dic2023!$H$6:$H$205,C272))+(LN(INDEX(Dic2023!$H$6:$H$205,MIN(C272+1,200)))-LN(INDEX(Dic2023!$H$6:$H$205,C272)))*(A272-6*C272)/6))</f>
        <v>0.324036943229049</v>
      </c>
      <c r="E272" s="12" t="n">
        <f aca="false">D272^(-1/B272)-1</f>
        <v>0.0517528025</v>
      </c>
      <c r="F272" s="12" t="n">
        <f aca="false">(1+E272)^(1/12)-1</f>
        <v>0.00421369509431369</v>
      </c>
      <c r="G272" s="16" t="n">
        <f aca="false">IF(C272=0,(1+Dic2023!$J$6)^(-B272),EXP(LN(INDEX(Dic2023!$K$6:$K$205,C272))+(LN(INDEX(Dic2023!$K$6:$K$205,MIN(C272+1,200)))-LN(INDEX(Dic2023!$K$6:$K$205,C272)))*(A272-6*C272)/6))</f>
        <v>0.324036943229049</v>
      </c>
      <c r="H272" s="12" t="n">
        <f aca="false">G272^(-1/B272)-1</f>
        <v>0.0517528025</v>
      </c>
      <c r="I272" s="12" t="n">
        <f aca="false">(1+H272)^(1/12)-1</f>
        <v>0.00421369509431369</v>
      </c>
      <c r="J272" s="16" t="n">
        <f aca="false">IF(C272=0,(1+Dic2023!$M$6)^(-B272),EXP(LN(INDEX(Dic2023!$N$6:$N$205,C272))+(LN(INDEX(Dic2023!$N$6:$N$205,MIN(C272+1,200)))-LN(INDEX(Dic2023!$N$6:$N$205,C272)))*(A272-6*C272)/6))</f>
        <v>0.324036943229049</v>
      </c>
      <c r="K272" s="12" t="n">
        <f aca="false">J272^(-1/B272)-1</f>
        <v>0.0517528025</v>
      </c>
      <c r="L272" s="12" t="n">
        <f aca="false">(1+K272)^(1/12)-1</f>
        <v>0.00421369509431369</v>
      </c>
    </row>
    <row r="273" customFormat="false" ht="15" hidden="false" customHeight="false" outlineLevel="0" collapsed="false">
      <c r="A273" s="4" t="n">
        <v>269</v>
      </c>
      <c r="B273" s="14" t="n">
        <f aca="false">A273/12</f>
        <v>22.4166666666667</v>
      </c>
      <c r="C273" s="15" t="n">
        <f aca="false">INT(A273/6)</f>
        <v>44</v>
      </c>
      <c r="D273" s="16" t="n">
        <f aca="false">IF(C273=0,(1+Dic2023!$G$6)^(-B273),EXP(LN(INDEX(Dic2023!$H$6:$H$205,C273))+(LN(INDEX(Dic2023!$H$6:$H$205,MIN(C273+1,200)))-LN(INDEX(Dic2023!$H$6:$H$205,C273)))*(A273-6*C273)/6))</f>
        <v>0.322677279559124</v>
      </c>
      <c r="E273" s="12" t="n">
        <f aca="false">D273^(-1/B273)-1</f>
        <v>0.0517528025</v>
      </c>
      <c r="F273" s="12" t="n">
        <f aca="false">(1+E273)^(1/12)-1</f>
        <v>0.00421369509431369</v>
      </c>
      <c r="G273" s="16" t="n">
        <f aca="false">IF(C273=0,(1+Dic2023!$J$6)^(-B273),EXP(LN(INDEX(Dic2023!$K$6:$K$205,C273))+(LN(INDEX(Dic2023!$K$6:$K$205,MIN(C273+1,200)))-LN(INDEX(Dic2023!$K$6:$K$205,C273)))*(A273-6*C273)/6))</f>
        <v>0.322677279559124</v>
      </c>
      <c r="H273" s="12" t="n">
        <f aca="false">G273^(-1/B273)-1</f>
        <v>0.0517528025</v>
      </c>
      <c r="I273" s="12" t="n">
        <f aca="false">(1+H273)^(1/12)-1</f>
        <v>0.00421369509431369</v>
      </c>
      <c r="J273" s="16" t="n">
        <f aca="false">IF(C273=0,(1+Dic2023!$M$6)^(-B273),EXP(LN(INDEX(Dic2023!$N$6:$N$205,C273))+(LN(INDEX(Dic2023!$N$6:$N$205,MIN(C273+1,200)))-LN(INDEX(Dic2023!$N$6:$N$205,C273)))*(A273-6*C273)/6))</f>
        <v>0.322677279559124</v>
      </c>
      <c r="K273" s="12" t="n">
        <f aca="false">J273^(-1/B273)-1</f>
        <v>0.0517528025</v>
      </c>
      <c r="L273" s="12" t="n">
        <f aca="false">(1+K273)^(1/12)-1</f>
        <v>0.00421369509431369</v>
      </c>
    </row>
    <row r="274" customFormat="false" ht="15" hidden="false" customHeight="false" outlineLevel="0" collapsed="false">
      <c r="A274" s="4" t="n">
        <v>270</v>
      </c>
      <c r="B274" s="14" t="n">
        <f aca="false">A274/12</f>
        <v>22.5</v>
      </c>
      <c r="C274" s="15" t="n">
        <f aca="false">INT(A274/6)</f>
        <v>45</v>
      </c>
      <c r="D274" s="16" t="n">
        <f aca="false">IF(C274=0,(1+Dic2023!$G$6)^(-B274),EXP(LN(INDEX(Dic2023!$H$6:$H$205,C274))+(LN(INDEX(Dic2023!$H$6:$H$205,MIN(C274+1,200)))-LN(INDEX(Dic2023!$H$6:$H$205,C274)))*(A274-6*C274)/6))</f>
        <v>0.321323321057496</v>
      </c>
      <c r="E274" s="12" t="n">
        <f aca="false">D274^(-1/B274)-1</f>
        <v>0.0517528025</v>
      </c>
      <c r="F274" s="12" t="n">
        <f aca="false">(1+E274)^(1/12)-1</f>
        <v>0.00421369509431369</v>
      </c>
      <c r="G274" s="16" t="n">
        <f aca="false">IF(C274=0,(1+Dic2023!$J$6)^(-B274),EXP(LN(INDEX(Dic2023!$K$6:$K$205,C274))+(LN(INDEX(Dic2023!$K$6:$K$205,MIN(C274+1,200)))-LN(INDEX(Dic2023!$K$6:$K$205,C274)))*(A274-6*C274)/6))</f>
        <v>0.321323321057496</v>
      </c>
      <c r="H274" s="12" t="n">
        <f aca="false">G274^(-1/B274)-1</f>
        <v>0.0517528025</v>
      </c>
      <c r="I274" s="12" t="n">
        <f aca="false">(1+H274)^(1/12)-1</f>
        <v>0.00421369509431369</v>
      </c>
      <c r="J274" s="16" t="n">
        <f aca="false">IF(C274=0,(1+Dic2023!$M$6)^(-B274),EXP(LN(INDEX(Dic2023!$N$6:$N$205,C274))+(LN(INDEX(Dic2023!$N$6:$N$205,MIN(C274+1,200)))-LN(INDEX(Dic2023!$N$6:$N$205,C274)))*(A274-6*C274)/6))</f>
        <v>0.321323321057496</v>
      </c>
      <c r="K274" s="12" t="n">
        <f aca="false">J274^(-1/B274)-1</f>
        <v>0.0517528025</v>
      </c>
      <c r="L274" s="12" t="n">
        <f aca="false">(1+K274)^(1/12)-1</f>
        <v>0.00421369509431369</v>
      </c>
    </row>
    <row r="275" customFormat="false" ht="15" hidden="false" customHeight="false" outlineLevel="0" collapsed="false">
      <c r="A275" s="4" t="n">
        <v>271</v>
      </c>
      <c r="B275" s="14" t="n">
        <f aca="false">A275/12</f>
        <v>22.5833333333333</v>
      </c>
      <c r="C275" s="15" t="n">
        <f aca="false">INT(A275/6)</f>
        <v>45</v>
      </c>
      <c r="D275" s="16" t="n">
        <f aca="false">IF(C275=0,(1+Dic2023!$G$6)^(-B275),EXP(LN(INDEX(Dic2023!$H$6:$H$205,C275))+(LN(INDEX(Dic2023!$H$6:$H$205,MIN(C275+1,200)))-LN(INDEX(Dic2023!$H$6:$H$205,C275)))*(A275-6*C275)/6))</f>
        <v>0.319975043785195</v>
      </c>
      <c r="E275" s="12" t="n">
        <f aca="false">D275^(-1/B275)-1</f>
        <v>0.0517528025</v>
      </c>
      <c r="F275" s="12" t="n">
        <f aca="false">(1+E275)^(1/12)-1</f>
        <v>0.00421369509431369</v>
      </c>
      <c r="G275" s="16" t="n">
        <f aca="false">IF(C275=0,(1+Dic2023!$J$6)^(-B275),EXP(LN(INDEX(Dic2023!$K$6:$K$205,C275))+(LN(INDEX(Dic2023!$K$6:$K$205,MIN(C275+1,200)))-LN(INDEX(Dic2023!$K$6:$K$205,C275)))*(A275-6*C275)/6))</f>
        <v>0.319975043785195</v>
      </c>
      <c r="H275" s="12" t="n">
        <f aca="false">G275^(-1/B275)-1</f>
        <v>0.0517528025</v>
      </c>
      <c r="I275" s="12" t="n">
        <f aca="false">(1+H275)^(1/12)-1</f>
        <v>0.00421369509431369</v>
      </c>
      <c r="J275" s="16" t="n">
        <f aca="false">IF(C275=0,(1+Dic2023!$M$6)^(-B275),EXP(LN(INDEX(Dic2023!$N$6:$N$205,C275))+(LN(INDEX(Dic2023!$N$6:$N$205,MIN(C275+1,200)))-LN(INDEX(Dic2023!$N$6:$N$205,C275)))*(A275-6*C275)/6))</f>
        <v>0.319975043785195</v>
      </c>
      <c r="K275" s="12" t="n">
        <f aca="false">J275^(-1/B275)-1</f>
        <v>0.0517528025</v>
      </c>
      <c r="L275" s="12" t="n">
        <f aca="false">(1+K275)^(1/12)-1</f>
        <v>0.00421369509431369</v>
      </c>
    </row>
    <row r="276" customFormat="false" ht="15" hidden="false" customHeight="false" outlineLevel="0" collapsed="false">
      <c r="A276" s="4" t="n">
        <v>272</v>
      </c>
      <c r="B276" s="14" t="n">
        <f aca="false">A276/12</f>
        <v>22.6666666666667</v>
      </c>
      <c r="C276" s="15" t="n">
        <f aca="false">INT(A276/6)</f>
        <v>45</v>
      </c>
      <c r="D276" s="16" t="n">
        <f aca="false">IF(C276=0,(1+Dic2023!$G$6)^(-B276),EXP(LN(INDEX(Dic2023!$H$6:$H$205,C276))+(LN(INDEX(Dic2023!$H$6:$H$205,MIN(C276+1,200)))-LN(INDEX(Dic2023!$H$6:$H$205,C276)))*(A276-6*C276)/6))</f>
        <v>0.318632423903703</v>
      </c>
      <c r="E276" s="12" t="n">
        <f aca="false">D276^(-1/B276)-1</f>
        <v>0.0517528025</v>
      </c>
      <c r="F276" s="12" t="n">
        <f aca="false">(1+E276)^(1/12)-1</f>
        <v>0.00421369509431369</v>
      </c>
      <c r="G276" s="16" t="n">
        <f aca="false">IF(C276=0,(1+Dic2023!$J$6)^(-B276),EXP(LN(INDEX(Dic2023!$K$6:$K$205,C276))+(LN(INDEX(Dic2023!$K$6:$K$205,MIN(C276+1,200)))-LN(INDEX(Dic2023!$K$6:$K$205,C276)))*(A276-6*C276)/6))</f>
        <v>0.318632423903703</v>
      </c>
      <c r="H276" s="12" t="n">
        <f aca="false">G276^(-1/B276)-1</f>
        <v>0.0517528025</v>
      </c>
      <c r="I276" s="12" t="n">
        <f aca="false">(1+H276)^(1/12)-1</f>
        <v>0.00421369509431369</v>
      </c>
      <c r="J276" s="16" t="n">
        <f aca="false">IF(C276=0,(1+Dic2023!$M$6)^(-B276),EXP(LN(INDEX(Dic2023!$N$6:$N$205,C276))+(LN(INDEX(Dic2023!$N$6:$N$205,MIN(C276+1,200)))-LN(INDEX(Dic2023!$N$6:$N$205,C276)))*(A276-6*C276)/6))</f>
        <v>0.318632423903703</v>
      </c>
      <c r="K276" s="12" t="n">
        <f aca="false">J276^(-1/B276)-1</f>
        <v>0.0517528025</v>
      </c>
      <c r="L276" s="12" t="n">
        <f aca="false">(1+K276)^(1/12)-1</f>
        <v>0.00421369509431369</v>
      </c>
    </row>
    <row r="277" customFormat="false" ht="15" hidden="false" customHeight="false" outlineLevel="0" collapsed="false">
      <c r="A277" s="4" t="n">
        <v>273</v>
      </c>
      <c r="B277" s="14" t="n">
        <f aca="false">A277/12</f>
        <v>22.75</v>
      </c>
      <c r="C277" s="15" t="n">
        <f aca="false">INT(A277/6)</f>
        <v>45</v>
      </c>
      <c r="D277" s="16" t="n">
        <f aca="false">IF(C277=0,(1+Dic2023!$G$6)^(-B277),EXP(LN(INDEX(Dic2023!$H$6:$H$205,C277))+(LN(INDEX(Dic2023!$H$6:$H$205,MIN(C277+1,200)))-LN(INDEX(Dic2023!$H$6:$H$205,C277)))*(A277-6*C277)/6))</f>
        <v>0.317295437674526</v>
      </c>
      <c r="E277" s="12" t="n">
        <f aca="false">D277^(-1/B277)-1</f>
        <v>0.0517528025</v>
      </c>
      <c r="F277" s="12" t="n">
        <f aca="false">(1+E277)^(1/12)-1</f>
        <v>0.00421369509431369</v>
      </c>
      <c r="G277" s="16" t="n">
        <f aca="false">IF(C277=0,(1+Dic2023!$J$6)^(-B277),EXP(LN(INDEX(Dic2023!$K$6:$K$205,C277))+(LN(INDEX(Dic2023!$K$6:$K$205,MIN(C277+1,200)))-LN(INDEX(Dic2023!$K$6:$K$205,C277)))*(A277-6*C277)/6))</f>
        <v>0.317295437674526</v>
      </c>
      <c r="H277" s="12" t="n">
        <f aca="false">G277^(-1/B277)-1</f>
        <v>0.0517528025</v>
      </c>
      <c r="I277" s="12" t="n">
        <f aca="false">(1+H277)^(1/12)-1</f>
        <v>0.00421369509431369</v>
      </c>
      <c r="J277" s="16" t="n">
        <f aca="false">IF(C277=0,(1+Dic2023!$M$6)^(-B277),EXP(LN(INDEX(Dic2023!$N$6:$N$205,C277))+(LN(INDEX(Dic2023!$N$6:$N$205,MIN(C277+1,200)))-LN(INDEX(Dic2023!$N$6:$N$205,C277)))*(A277-6*C277)/6))</f>
        <v>0.317295437674526</v>
      </c>
      <c r="K277" s="12" t="n">
        <f aca="false">J277^(-1/B277)-1</f>
        <v>0.0517528025</v>
      </c>
      <c r="L277" s="12" t="n">
        <f aca="false">(1+K277)^(1/12)-1</f>
        <v>0.00421369509431369</v>
      </c>
    </row>
    <row r="278" customFormat="false" ht="15" hidden="false" customHeight="false" outlineLevel="0" collapsed="false">
      <c r="A278" s="4" t="n">
        <v>274</v>
      </c>
      <c r="B278" s="14" t="n">
        <f aca="false">A278/12</f>
        <v>22.8333333333333</v>
      </c>
      <c r="C278" s="15" t="n">
        <f aca="false">INT(A278/6)</f>
        <v>45</v>
      </c>
      <c r="D278" s="16" t="n">
        <f aca="false">IF(C278=0,(1+Dic2023!$G$6)^(-B278),EXP(LN(INDEX(Dic2023!$H$6:$H$205,C278))+(LN(INDEX(Dic2023!$H$6:$H$205,MIN(C278+1,200)))-LN(INDEX(Dic2023!$H$6:$H$205,C278)))*(A278-6*C278)/6))</f>
        <v>0.315964061458777</v>
      </c>
      <c r="E278" s="12" t="n">
        <f aca="false">D278^(-1/B278)-1</f>
        <v>0.0517528025</v>
      </c>
      <c r="F278" s="12" t="n">
        <f aca="false">(1+E278)^(1/12)-1</f>
        <v>0.00421369509431369</v>
      </c>
      <c r="G278" s="16" t="n">
        <f aca="false">IF(C278=0,(1+Dic2023!$J$6)^(-B278),EXP(LN(INDEX(Dic2023!$K$6:$K$205,C278))+(LN(INDEX(Dic2023!$K$6:$K$205,MIN(C278+1,200)))-LN(INDEX(Dic2023!$K$6:$K$205,C278)))*(A278-6*C278)/6))</f>
        <v>0.315964061458777</v>
      </c>
      <c r="H278" s="12" t="n">
        <f aca="false">G278^(-1/B278)-1</f>
        <v>0.0517528025</v>
      </c>
      <c r="I278" s="12" t="n">
        <f aca="false">(1+H278)^(1/12)-1</f>
        <v>0.00421369509431369</v>
      </c>
      <c r="J278" s="16" t="n">
        <f aca="false">IF(C278=0,(1+Dic2023!$M$6)^(-B278),EXP(LN(INDEX(Dic2023!$N$6:$N$205,C278))+(LN(INDEX(Dic2023!$N$6:$N$205,MIN(C278+1,200)))-LN(INDEX(Dic2023!$N$6:$N$205,C278)))*(A278-6*C278)/6))</f>
        <v>0.315964061458777</v>
      </c>
      <c r="K278" s="12" t="n">
        <f aca="false">J278^(-1/B278)-1</f>
        <v>0.0517528025</v>
      </c>
      <c r="L278" s="12" t="n">
        <f aca="false">(1+K278)^(1/12)-1</f>
        <v>0.00421369509431369</v>
      </c>
    </row>
    <row r="279" customFormat="false" ht="15" hidden="false" customHeight="false" outlineLevel="0" collapsed="false">
      <c r="A279" s="4" t="n">
        <v>275</v>
      </c>
      <c r="B279" s="14" t="n">
        <f aca="false">A279/12</f>
        <v>22.9166666666667</v>
      </c>
      <c r="C279" s="15" t="n">
        <f aca="false">INT(A279/6)</f>
        <v>45</v>
      </c>
      <c r="D279" s="16" t="n">
        <f aca="false">IF(C279=0,(1+Dic2023!$G$6)^(-B279),EXP(LN(INDEX(Dic2023!$H$6:$H$205,C279))+(LN(INDEX(Dic2023!$H$6:$H$205,MIN(C279+1,200)))-LN(INDEX(Dic2023!$H$6:$H$205,C279)))*(A279-6*C279)/6))</f>
        <v>0.314638271716761</v>
      </c>
      <c r="E279" s="12" t="n">
        <f aca="false">D279^(-1/B279)-1</f>
        <v>0.0517528025</v>
      </c>
      <c r="F279" s="12" t="n">
        <f aca="false">(1+E279)^(1/12)-1</f>
        <v>0.00421369509431369</v>
      </c>
      <c r="G279" s="16" t="n">
        <f aca="false">IF(C279=0,(1+Dic2023!$J$6)^(-B279),EXP(LN(INDEX(Dic2023!$K$6:$K$205,C279))+(LN(INDEX(Dic2023!$K$6:$K$205,MIN(C279+1,200)))-LN(INDEX(Dic2023!$K$6:$K$205,C279)))*(A279-6*C279)/6))</f>
        <v>0.314638271716761</v>
      </c>
      <c r="H279" s="12" t="n">
        <f aca="false">G279^(-1/B279)-1</f>
        <v>0.0517528025</v>
      </c>
      <c r="I279" s="12" t="n">
        <f aca="false">(1+H279)^(1/12)-1</f>
        <v>0.00421369509431369</v>
      </c>
      <c r="J279" s="16" t="n">
        <f aca="false">IF(C279=0,(1+Dic2023!$M$6)^(-B279),EXP(LN(INDEX(Dic2023!$N$6:$N$205,C279))+(LN(INDEX(Dic2023!$N$6:$N$205,MIN(C279+1,200)))-LN(INDEX(Dic2023!$N$6:$N$205,C279)))*(A279-6*C279)/6))</f>
        <v>0.314638271716761</v>
      </c>
      <c r="K279" s="12" t="n">
        <f aca="false">J279^(-1/B279)-1</f>
        <v>0.0517528025</v>
      </c>
      <c r="L279" s="12" t="n">
        <f aca="false">(1+K279)^(1/12)-1</f>
        <v>0.00421369509431369</v>
      </c>
    </row>
    <row r="280" customFormat="false" ht="15" hidden="false" customHeight="false" outlineLevel="0" collapsed="false">
      <c r="A280" s="4" t="n">
        <v>276</v>
      </c>
      <c r="B280" s="14" t="n">
        <f aca="false">A280/12</f>
        <v>23</v>
      </c>
      <c r="C280" s="15" t="n">
        <f aca="false">INT(A280/6)</f>
        <v>46</v>
      </c>
      <c r="D280" s="16" t="n">
        <f aca="false">IF(C280=0,(1+Dic2023!$G$6)^(-B280),EXP(LN(INDEX(Dic2023!$H$6:$H$205,C280))+(LN(INDEX(Dic2023!$H$6:$H$205,MIN(C280+1,200)))-LN(INDEX(Dic2023!$H$6:$H$205,C280)))*(A280-6*C280)/6))</f>
        <v>0.313318045007553</v>
      </c>
      <c r="E280" s="12" t="n">
        <f aca="false">D280^(-1/B280)-1</f>
        <v>0.0517528025</v>
      </c>
      <c r="F280" s="12" t="n">
        <f aca="false">(1+E280)^(1/12)-1</f>
        <v>0.00421369509431369</v>
      </c>
      <c r="G280" s="16" t="n">
        <f aca="false">IF(C280=0,(1+Dic2023!$J$6)^(-B280),EXP(LN(INDEX(Dic2023!$K$6:$K$205,C280))+(LN(INDEX(Dic2023!$K$6:$K$205,MIN(C280+1,200)))-LN(INDEX(Dic2023!$K$6:$K$205,C280)))*(A280-6*C280)/6))</f>
        <v>0.313318045007553</v>
      </c>
      <c r="H280" s="12" t="n">
        <f aca="false">G280^(-1/B280)-1</f>
        <v>0.0517528025</v>
      </c>
      <c r="I280" s="12" t="n">
        <f aca="false">(1+H280)^(1/12)-1</f>
        <v>0.00421369509431369</v>
      </c>
      <c r="J280" s="16" t="n">
        <f aca="false">IF(C280=0,(1+Dic2023!$M$6)^(-B280),EXP(LN(INDEX(Dic2023!$N$6:$N$205,C280))+(LN(INDEX(Dic2023!$N$6:$N$205,MIN(C280+1,200)))-LN(INDEX(Dic2023!$N$6:$N$205,C280)))*(A280-6*C280)/6))</f>
        <v>0.313318045007553</v>
      </c>
      <c r="K280" s="12" t="n">
        <f aca="false">J280^(-1/B280)-1</f>
        <v>0.0517528025</v>
      </c>
      <c r="L280" s="12" t="n">
        <f aca="false">(1+K280)^(1/12)-1</f>
        <v>0.00421369509431369</v>
      </c>
    </row>
    <row r="281" customFormat="false" ht="15" hidden="false" customHeight="false" outlineLevel="0" collapsed="false">
      <c r="A281" s="4" t="n">
        <v>277</v>
      </c>
      <c r="B281" s="14" t="n">
        <f aca="false">A281/12</f>
        <v>23.0833333333333</v>
      </c>
      <c r="C281" s="15" t="n">
        <f aca="false">INT(A281/6)</f>
        <v>46</v>
      </c>
      <c r="D281" s="16" t="n">
        <f aca="false">IF(C281=0,(1+Dic2023!$G$6)^(-B281),EXP(LN(INDEX(Dic2023!$H$6:$H$205,C281))+(LN(INDEX(Dic2023!$H$6:$H$205,MIN(C281+1,200)))-LN(INDEX(Dic2023!$H$6:$H$205,C281)))*(A281-6*C281)/6))</f>
        <v>0.312003357988587</v>
      </c>
      <c r="E281" s="12" t="n">
        <f aca="false">D281^(-1/B281)-1</f>
        <v>0.0517528025</v>
      </c>
      <c r="F281" s="12" t="n">
        <f aca="false">(1+E281)^(1/12)-1</f>
        <v>0.00421369509431369</v>
      </c>
      <c r="G281" s="16" t="n">
        <f aca="false">IF(C281=0,(1+Dic2023!$J$6)^(-B281),EXP(LN(INDEX(Dic2023!$K$6:$K$205,C281))+(LN(INDEX(Dic2023!$K$6:$K$205,MIN(C281+1,200)))-LN(INDEX(Dic2023!$K$6:$K$205,C281)))*(A281-6*C281)/6))</f>
        <v>0.312003357988587</v>
      </c>
      <c r="H281" s="12" t="n">
        <f aca="false">G281^(-1/B281)-1</f>
        <v>0.0517528025</v>
      </c>
      <c r="I281" s="12" t="n">
        <f aca="false">(1+H281)^(1/12)-1</f>
        <v>0.00421369509431369</v>
      </c>
      <c r="J281" s="16" t="n">
        <f aca="false">IF(C281=0,(1+Dic2023!$M$6)^(-B281),EXP(LN(INDEX(Dic2023!$N$6:$N$205,C281))+(LN(INDEX(Dic2023!$N$6:$N$205,MIN(C281+1,200)))-LN(INDEX(Dic2023!$N$6:$N$205,C281)))*(A281-6*C281)/6))</f>
        <v>0.312003357988587</v>
      </c>
      <c r="K281" s="12" t="n">
        <f aca="false">J281^(-1/B281)-1</f>
        <v>0.0517528025</v>
      </c>
      <c r="L281" s="12" t="n">
        <f aca="false">(1+K281)^(1/12)-1</f>
        <v>0.00421369509431369</v>
      </c>
    </row>
    <row r="282" customFormat="false" ht="15" hidden="false" customHeight="false" outlineLevel="0" collapsed="false">
      <c r="A282" s="4" t="n">
        <v>278</v>
      </c>
      <c r="B282" s="14" t="n">
        <f aca="false">A282/12</f>
        <v>23.1666666666667</v>
      </c>
      <c r="C282" s="15" t="n">
        <f aca="false">INT(A282/6)</f>
        <v>46</v>
      </c>
      <c r="D282" s="16" t="n">
        <f aca="false">IF(C282=0,(1+Dic2023!$G$6)^(-B282),EXP(LN(INDEX(Dic2023!$H$6:$H$205,C282))+(LN(INDEX(Dic2023!$H$6:$H$205,MIN(C282+1,200)))-LN(INDEX(Dic2023!$H$6:$H$205,C282)))*(A282-6*C282)/6))</f>
        <v>0.310694187415244</v>
      </c>
      <c r="E282" s="12" t="n">
        <f aca="false">D282^(-1/B282)-1</f>
        <v>0.0517528025</v>
      </c>
      <c r="F282" s="12" t="n">
        <f aca="false">(1+E282)^(1/12)-1</f>
        <v>0.00421369509431369</v>
      </c>
      <c r="G282" s="16" t="n">
        <f aca="false">IF(C282=0,(1+Dic2023!$J$6)^(-B282),EXP(LN(INDEX(Dic2023!$K$6:$K$205,C282))+(LN(INDEX(Dic2023!$K$6:$K$205,MIN(C282+1,200)))-LN(INDEX(Dic2023!$K$6:$K$205,C282)))*(A282-6*C282)/6))</f>
        <v>0.310694187415244</v>
      </c>
      <c r="H282" s="12" t="n">
        <f aca="false">G282^(-1/B282)-1</f>
        <v>0.0517528025</v>
      </c>
      <c r="I282" s="12" t="n">
        <f aca="false">(1+H282)^(1/12)-1</f>
        <v>0.00421369509431369</v>
      </c>
      <c r="J282" s="16" t="n">
        <f aca="false">IF(C282=0,(1+Dic2023!$M$6)^(-B282),EXP(LN(INDEX(Dic2023!$N$6:$N$205,C282))+(LN(INDEX(Dic2023!$N$6:$N$205,MIN(C282+1,200)))-LN(INDEX(Dic2023!$N$6:$N$205,C282)))*(A282-6*C282)/6))</f>
        <v>0.310694187415244</v>
      </c>
      <c r="K282" s="12" t="n">
        <f aca="false">J282^(-1/B282)-1</f>
        <v>0.0517528025</v>
      </c>
      <c r="L282" s="12" t="n">
        <f aca="false">(1+K282)^(1/12)-1</f>
        <v>0.00421369509431369</v>
      </c>
    </row>
    <row r="283" customFormat="false" ht="15" hidden="false" customHeight="false" outlineLevel="0" collapsed="false">
      <c r="A283" s="4" t="n">
        <v>279</v>
      </c>
      <c r="B283" s="14" t="n">
        <f aca="false">A283/12</f>
        <v>23.25</v>
      </c>
      <c r="C283" s="15" t="n">
        <f aca="false">INT(A283/6)</f>
        <v>46</v>
      </c>
      <c r="D283" s="16" t="n">
        <f aca="false">IF(C283=0,(1+Dic2023!$G$6)^(-B283),EXP(LN(INDEX(Dic2023!$H$6:$H$205,C283))+(LN(INDEX(Dic2023!$H$6:$H$205,MIN(C283+1,200)))-LN(INDEX(Dic2023!$H$6:$H$205,C283)))*(A283-6*C283)/6))</f>
        <v>0.309390510140438</v>
      </c>
      <c r="E283" s="12" t="n">
        <f aca="false">D283^(-1/B283)-1</f>
        <v>0.0517528025</v>
      </c>
      <c r="F283" s="12" t="n">
        <f aca="false">(1+E283)^(1/12)-1</f>
        <v>0.00421369509431369</v>
      </c>
      <c r="G283" s="16" t="n">
        <f aca="false">IF(C283=0,(1+Dic2023!$J$6)^(-B283),EXP(LN(INDEX(Dic2023!$K$6:$K$205,C283))+(LN(INDEX(Dic2023!$K$6:$K$205,MIN(C283+1,200)))-LN(INDEX(Dic2023!$K$6:$K$205,C283)))*(A283-6*C283)/6))</f>
        <v>0.309390510140438</v>
      </c>
      <c r="H283" s="12" t="n">
        <f aca="false">G283^(-1/B283)-1</f>
        <v>0.0517528025</v>
      </c>
      <c r="I283" s="12" t="n">
        <f aca="false">(1+H283)^(1/12)-1</f>
        <v>0.00421369509431369</v>
      </c>
      <c r="J283" s="16" t="n">
        <f aca="false">IF(C283=0,(1+Dic2023!$M$6)^(-B283),EXP(LN(INDEX(Dic2023!$N$6:$N$205,C283))+(LN(INDEX(Dic2023!$N$6:$N$205,MIN(C283+1,200)))-LN(INDEX(Dic2023!$N$6:$N$205,C283)))*(A283-6*C283)/6))</f>
        <v>0.309390510140438</v>
      </c>
      <c r="K283" s="12" t="n">
        <f aca="false">J283^(-1/B283)-1</f>
        <v>0.0517528025</v>
      </c>
      <c r="L283" s="12" t="n">
        <f aca="false">(1+K283)^(1/12)-1</f>
        <v>0.00421369509431369</v>
      </c>
    </row>
    <row r="284" customFormat="false" ht="15" hidden="false" customHeight="false" outlineLevel="0" collapsed="false">
      <c r="A284" s="4" t="n">
        <v>280</v>
      </c>
      <c r="B284" s="14" t="n">
        <f aca="false">A284/12</f>
        <v>23.3333333333333</v>
      </c>
      <c r="C284" s="15" t="n">
        <f aca="false">INT(A284/6)</f>
        <v>46</v>
      </c>
      <c r="D284" s="16" t="n">
        <f aca="false">IF(C284=0,(1+Dic2023!$G$6)^(-B284),EXP(LN(INDEX(Dic2023!$H$6:$H$205,C284))+(LN(INDEX(Dic2023!$H$6:$H$205,MIN(C284+1,200)))-LN(INDEX(Dic2023!$H$6:$H$205,C284)))*(A284-6*C284)/6))</f>
        <v>0.308092303114209</v>
      </c>
      <c r="E284" s="12" t="n">
        <f aca="false">D284^(-1/B284)-1</f>
        <v>0.0517528025</v>
      </c>
      <c r="F284" s="12" t="n">
        <f aca="false">(1+E284)^(1/12)-1</f>
        <v>0.00421369509431369</v>
      </c>
      <c r="G284" s="16" t="n">
        <f aca="false">IF(C284=0,(1+Dic2023!$J$6)^(-B284),EXP(LN(INDEX(Dic2023!$K$6:$K$205,C284))+(LN(INDEX(Dic2023!$K$6:$K$205,MIN(C284+1,200)))-LN(INDEX(Dic2023!$K$6:$K$205,C284)))*(A284-6*C284)/6))</f>
        <v>0.308092303114209</v>
      </c>
      <c r="H284" s="12" t="n">
        <f aca="false">G284^(-1/B284)-1</f>
        <v>0.0517528025</v>
      </c>
      <c r="I284" s="12" t="n">
        <f aca="false">(1+H284)^(1/12)-1</f>
        <v>0.00421369509431369</v>
      </c>
      <c r="J284" s="16" t="n">
        <f aca="false">IF(C284=0,(1+Dic2023!$M$6)^(-B284),EXP(LN(INDEX(Dic2023!$N$6:$N$205,C284))+(LN(INDEX(Dic2023!$N$6:$N$205,MIN(C284+1,200)))-LN(INDEX(Dic2023!$N$6:$N$205,C284)))*(A284-6*C284)/6))</f>
        <v>0.308092303114209</v>
      </c>
      <c r="K284" s="12" t="n">
        <f aca="false">J284^(-1/B284)-1</f>
        <v>0.0517528025</v>
      </c>
      <c r="L284" s="12" t="n">
        <f aca="false">(1+K284)^(1/12)-1</f>
        <v>0.00421369509431369</v>
      </c>
    </row>
    <row r="285" customFormat="false" ht="15" hidden="false" customHeight="false" outlineLevel="0" collapsed="false">
      <c r="A285" s="4" t="n">
        <v>281</v>
      </c>
      <c r="B285" s="14" t="n">
        <f aca="false">A285/12</f>
        <v>23.4166666666667</v>
      </c>
      <c r="C285" s="15" t="n">
        <f aca="false">INT(A285/6)</f>
        <v>46</v>
      </c>
      <c r="D285" s="16" t="n">
        <f aca="false">IF(C285=0,(1+Dic2023!$G$6)^(-B285),EXP(LN(INDEX(Dic2023!$H$6:$H$205,C285))+(LN(INDEX(Dic2023!$H$6:$H$205,MIN(C285+1,200)))-LN(INDEX(Dic2023!$H$6:$H$205,C285)))*(A285-6*C285)/6))</f>
        <v>0.306799543383317</v>
      </c>
      <c r="E285" s="12" t="n">
        <f aca="false">D285^(-1/B285)-1</f>
        <v>0.0517528025</v>
      </c>
      <c r="F285" s="12" t="n">
        <f aca="false">(1+E285)^(1/12)-1</f>
        <v>0.00421369509431369</v>
      </c>
      <c r="G285" s="16" t="n">
        <f aca="false">IF(C285=0,(1+Dic2023!$J$6)^(-B285),EXP(LN(INDEX(Dic2023!$K$6:$K$205,C285))+(LN(INDEX(Dic2023!$K$6:$K$205,MIN(C285+1,200)))-LN(INDEX(Dic2023!$K$6:$K$205,C285)))*(A285-6*C285)/6))</f>
        <v>0.306799543383317</v>
      </c>
      <c r="H285" s="12" t="n">
        <f aca="false">G285^(-1/B285)-1</f>
        <v>0.0517528025</v>
      </c>
      <c r="I285" s="12" t="n">
        <f aca="false">(1+H285)^(1/12)-1</f>
        <v>0.00421369509431369</v>
      </c>
      <c r="J285" s="16" t="n">
        <f aca="false">IF(C285=0,(1+Dic2023!$M$6)^(-B285),EXP(LN(INDEX(Dic2023!$N$6:$N$205,C285))+(LN(INDEX(Dic2023!$N$6:$N$205,MIN(C285+1,200)))-LN(INDEX(Dic2023!$N$6:$N$205,C285)))*(A285-6*C285)/6))</f>
        <v>0.306799543383317</v>
      </c>
      <c r="K285" s="12" t="n">
        <f aca="false">J285^(-1/B285)-1</f>
        <v>0.0517528025</v>
      </c>
      <c r="L285" s="12" t="n">
        <f aca="false">(1+K285)^(1/12)-1</f>
        <v>0.00421369509431369</v>
      </c>
    </row>
    <row r="286" customFormat="false" ht="15" hidden="false" customHeight="false" outlineLevel="0" collapsed="false">
      <c r="A286" s="4" t="n">
        <v>282</v>
      </c>
      <c r="B286" s="14" t="n">
        <f aca="false">A286/12</f>
        <v>23.5</v>
      </c>
      <c r="C286" s="15" t="n">
        <f aca="false">INT(A286/6)</f>
        <v>47</v>
      </c>
      <c r="D286" s="16" t="n">
        <f aca="false">IF(C286=0,(1+Dic2023!$G$6)^(-B286),EXP(LN(INDEX(Dic2023!$H$6:$H$205,C286))+(LN(INDEX(Dic2023!$H$6:$H$205,MIN(C286+1,200)))-LN(INDEX(Dic2023!$H$6:$H$205,C286)))*(A286-6*C286)/6))</f>
        <v>0.305512208090832</v>
      </c>
      <c r="E286" s="12" t="n">
        <f aca="false">D286^(-1/B286)-1</f>
        <v>0.0517528025</v>
      </c>
      <c r="F286" s="12" t="n">
        <f aca="false">(1+E286)^(1/12)-1</f>
        <v>0.00421369509431369</v>
      </c>
      <c r="G286" s="16" t="n">
        <f aca="false">IF(C286=0,(1+Dic2023!$J$6)^(-B286),EXP(LN(INDEX(Dic2023!$K$6:$K$205,C286))+(LN(INDEX(Dic2023!$K$6:$K$205,MIN(C286+1,200)))-LN(INDEX(Dic2023!$K$6:$K$205,C286)))*(A286-6*C286)/6))</f>
        <v>0.305512208090832</v>
      </c>
      <c r="H286" s="12" t="n">
        <f aca="false">G286^(-1/B286)-1</f>
        <v>0.0517528025</v>
      </c>
      <c r="I286" s="12" t="n">
        <f aca="false">(1+H286)^(1/12)-1</f>
        <v>0.00421369509431369</v>
      </c>
      <c r="J286" s="16" t="n">
        <f aca="false">IF(C286=0,(1+Dic2023!$M$6)^(-B286),EXP(LN(INDEX(Dic2023!$N$6:$N$205,C286))+(LN(INDEX(Dic2023!$N$6:$N$205,MIN(C286+1,200)))-LN(INDEX(Dic2023!$N$6:$N$205,C286)))*(A286-6*C286)/6))</f>
        <v>0.305512208090832</v>
      </c>
      <c r="K286" s="12" t="n">
        <f aca="false">J286^(-1/B286)-1</f>
        <v>0.0517528025</v>
      </c>
      <c r="L286" s="12" t="n">
        <f aca="false">(1+K286)^(1/12)-1</f>
        <v>0.00421369509431369</v>
      </c>
    </row>
    <row r="287" customFormat="false" ht="15" hidden="false" customHeight="false" outlineLevel="0" collapsed="false">
      <c r="A287" s="4" t="n">
        <v>283</v>
      </c>
      <c r="B287" s="14" t="n">
        <f aca="false">A287/12</f>
        <v>23.5833333333333</v>
      </c>
      <c r="C287" s="15" t="n">
        <f aca="false">INT(A287/6)</f>
        <v>47</v>
      </c>
      <c r="D287" s="16" t="n">
        <f aca="false">IF(C287=0,(1+Dic2023!$G$6)^(-B287),EXP(LN(INDEX(Dic2023!$H$6:$H$205,C287))+(LN(INDEX(Dic2023!$H$6:$H$205,MIN(C287+1,200)))-LN(INDEX(Dic2023!$H$6:$H$205,C287)))*(A287-6*C287)/6))</f>
        <v>0.304230274475732</v>
      </c>
      <c r="E287" s="12" t="n">
        <f aca="false">D287^(-1/B287)-1</f>
        <v>0.0517528025</v>
      </c>
      <c r="F287" s="12" t="n">
        <f aca="false">(1+E287)^(1/12)-1</f>
        <v>0.00421369509431369</v>
      </c>
      <c r="G287" s="16" t="n">
        <f aca="false">IF(C287=0,(1+Dic2023!$J$6)^(-B287),EXP(LN(INDEX(Dic2023!$K$6:$K$205,C287))+(LN(INDEX(Dic2023!$K$6:$K$205,MIN(C287+1,200)))-LN(INDEX(Dic2023!$K$6:$K$205,C287)))*(A287-6*C287)/6))</f>
        <v>0.304230274475732</v>
      </c>
      <c r="H287" s="12" t="n">
        <f aca="false">G287^(-1/B287)-1</f>
        <v>0.0517528025</v>
      </c>
      <c r="I287" s="12" t="n">
        <f aca="false">(1+H287)^(1/12)-1</f>
        <v>0.00421369509431369</v>
      </c>
      <c r="J287" s="16" t="n">
        <f aca="false">IF(C287=0,(1+Dic2023!$M$6)^(-B287),EXP(LN(INDEX(Dic2023!$N$6:$N$205,C287))+(LN(INDEX(Dic2023!$N$6:$N$205,MIN(C287+1,200)))-LN(INDEX(Dic2023!$N$6:$N$205,C287)))*(A287-6*C287)/6))</f>
        <v>0.304230274475732</v>
      </c>
      <c r="K287" s="12" t="n">
        <f aca="false">J287^(-1/B287)-1</f>
        <v>0.0517528025</v>
      </c>
      <c r="L287" s="12" t="n">
        <f aca="false">(1+K287)^(1/12)-1</f>
        <v>0.00421369509431369</v>
      </c>
    </row>
    <row r="288" customFormat="false" ht="15" hidden="false" customHeight="false" outlineLevel="0" collapsed="false">
      <c r="A288" s="4" t="n">
        <v>284</v>
      </c>
      <c r="B288" s="14" t="n">
        <f aca="false">A288/12</f>
        <v>23.6666666666667</v>
      </c>
      <c r="C288" s="15" t="n">
        <f aca="false">INT(A288/6)</f>
        <v>47</v>
      </c>
      <c r="D288" s="16" t="n">
        <f aca="false">IF(C288=0,(1+Dic2023!$G$6)^(-B288),EXP(LN(INDEX(Dic2023!$H$6:$H$205,C288))+(LN(INDEX(Dic2023!$H$6:$H$205,MIN(C288+1,200)))-LN(INDEX(Dic2023!$H$6:$H$205,C288)))*(A288-6*C288)/6))</f>
        <v>0.302953719872501</v>
      </c>
      <c r="E288" s="12" t="n">
        <f aca="false">D288^(-1/B288)-1</f>
        <v>0.0517528025</v>
      </c>
      <c r="F288" s="12" t="n">
        <f aca="false">(1+E288)^(1/12)-1</f>
        <v>0.00421369509431369</v>
      </c>
      <c r="G288" s="16" t="n">
        <f aca="false">IF(C288=0,(1+Dic2023!$J$6)^(-B288),EXP(LN(INDEX(Dic2023!$K$6:$K$205,C288))+(LN(INDEX(Dic2023!$K$6:$K$205,MIN(C288+1,200)))-LN(INDEX(Dic2023!$K$6:$K$205,C288)))*(A288-6*C288)/6))</f>
        <v>0.302953719872501</v>
      </c>
      <c r="H288" s="12" t="n">
        <f aca="false">G288^(-1/B288)-1</f>
        <v>0.0517528025</v>
      </c>
      <c r="I288" s="12" t="n">
        <f aca="false">(1+H288)^(1/12)-1</f>
        <v>0.00421369509431369</v>
      </c>
      <c r="J288" s="16" t="n">
        <f aca="false">IF(C288=0,(1+Dic2023!$M$6)^(-B288),EXP(LN(INDEX(Dic2023!$N$6:$N$205,C288))+(LN(INDEX(Dic2023!$N$6:$N$205,MIN(C288+1,200)))-LN(INDEX(Dic2023!$N$6:$N$205,C288)))*(A288-6*C288)/6))</f>
        <v>0.302953719872501</v>
      </c>
      <c r="K288" s="12" t="n">
        <f aca="false">J288^(-1/B288)-1</f>
        <v>0.0517528025</v>
      </c>
      <c r="L288" s="12" t="n">
        <f aca="false">(1+K288)^(1/12)-1</f>
        <v>0.00421369509431369</v>
      </c>
    </row>
    <row r="289" customFormat="false" ht="15" hidden="false" customHeight="false" outlineLevel="0" collapsed="false">
      <c r="A289" s="4" t="n">
        <v>285</v>
      </c>
      <c r="B289" s="14" t="n">
        <f aca="false">A289/12</f>
        <v>23.75</v>
      </c>
      <c r="C289" s="15" t="n">
        <f aca="false">INT(A289/6)</f>
        <v>47</v>
      </c>
      <c r="D289" s="16" t="n">
        <f aca="false">IF(C289=0,(1+Dic2023!$G$6)^(-B289),EXP(LN(INDEX(Dic2023!$H$6:$H$205,C289))+(LN(INDEX(Dic2023!$H$6:$H$205,MIN(C289+1,200)))-LN(INDEX(Dic2023!$H$6:$H$205,C289)))*(A289-6*C289)/6))</f>
        <v>0.301682521710728</v>
      </c>
      <c r="E289" s="12" t="n">
        <f aca="false">D289^(-1/B289)-1</f>
        <v>0.0517528025</v>
      </c>
      <c r="F289" s="12" t="n">
        <f aca="false">(1+E289)^(1/12)-1</f>
        <v>0.00421369509431369</v>
      </c>
      <c r="G289" s="16" t="n">
        <f aca="false">IF(C289=0,(1+Dic2023!$J$6)^(-B289),EXP(LN(INDEX(Dic2023!$K$6:$K$205,C289))+(LN(INDEX(Dic2023!$K$6:$K$205,MIN(C289+1,200)))-LN(INDEX(Dic2023!$K$6:$K$205,C289)))*(A289-6*C289)/6))</f>
        <v>0.301682521710728</v>
      </c>
      <c r="H289" s="12" t="n">
        <f aca="false">G289^(-1/B289)-1</f>
        <v>0.0517528025</v>
      </c>
      <c r="I289" s="12" t="n">
        <f aca="false">(1+H289)^(1/12)-1</f>
        <v>0.00421369509431369</v>
      </c>
      <c r="J289" s="16" t="n">
        <f aca="false">IF(C289=0,(1+Dic2023!$M$6)^(-B289),EXP(LN(INDEX(Dic2023!$N$6:$N$205,C289))+(LN(INDEX(Dic2023!$N$6:$N$205,MIN(C289+1,200)))-LN(INDEX(Dic2023!$N$6:$N$205,C289)))*(A289-6*C289)/6))</f>
        <v>0.301682521710728</v>
      </c>
      <c r="K289" s="12" t="n">
        <f aca="false">J289^(-1/B289)-1</f>
        <v>0.0517528025</v>
      </c>
      <c r="L289" s="12" t="n">
        <f aca="false">(1+K289)^(1/12)-1</f>
        <v>0.00421369509431369</v>
      </c>
    </row>
    <row r="290" customFormat="false" ht="15" hidden="false" customHeight="false" outlineLevel="0" collapsed="false">
      <c r="A290" s="4" t="n">
        <v>286</v>
      </c>
      <c r="B290" s="14" t="n">
        <f aca="false">A290/12</f>
        <v>23.8333333333333</v>
      </c>
      <c r="C290" s="15" t="n">
        <f aca="false">INT(A290/6)</f>
        <v>47</v>
      </c>
      <c r="D290" s="16" t="n">
        <f aca="false">IF(C290=0,(1+Dic2023!$G$6)^(-B290),EXP(LN(INDEX(Dic2023!$H$6:$H$205,C290))+(LN(INDEX(Dic2023!$H$6:$H$205,MIN(C290+1,200)))-LN(INDEX(Dic2023!$H$6:$H$205,C290)))*(A290-6*C290)/6))</f>
        <v>0.300416657514709</v>
      </c>
      <c r="E290" s="12" t="n">
        <f aca="false">D290^(-1/B290)-1</f>
        <v>0.0517528025</v>
      </c>
      <c r="F290" s="12" t="n">
        <f aca="false">(1+E290)^(1/12)-1</f>
        <v>0.00421369509431369</v>
      </c>
      <c r="G290" s="16" t="n">
        <f aca="false">IF(C290=0,(1+Dic2023!$J$6)^(-B290),EXP(LN(INDEX(Dic2023!$K$6:$K$205,C290))+(LN(INDEX(Dic2023!$K$6:$K$205,MIN(C290+1,200)))-LN(INDEX(Dic2023!$K$6:$K$205,C290)))*(A290-6*C290)/6))</f>
        <v>0.300416657514709</v>
      </c>
      <c r="H290" s="12" t="n">
        <f aca="false">G290^(-1/B290)-1</f>
        <v>0.0517528025</v>
      </c>
      <c r="I290" s="12" t="n">
        <f aca="false">(1+H290)^(1/12)-1</f>
        <v>0.00421369509431369</v>
      </c>
      <c r="J290" s="16" t="n">
        <f aca="false">IF(C290=0,(1+Dic2023!$M$6)^(-B290),EXP(LN(INDEX(Dic2023!$N$6:$N$205,C290))+(LN(INDEX(Dic2023!$N$6:$N$205,MIN(C290+1,200)))-LN(INDEX(Dic2023!$N$6:$N$205,C290)))*(A290-6*C290)/6))</f>
        <v>0.300416657514709</v>
      </c>
      <c r="K290" s="12" t="n">
        <f aca="false">J290^(-1/B290)-1</f>
        <v>0.0517528025</v>
      </c>
      <c r="L290" s="12" t="n">
        <f aca="false">(1+K290)^(1/12)-1</f>
        <v>0.00421369509431369</v>
      </c>
    </row>
    <row r="291" customFormat="false" ht="15" hidden="false" customHeight="false" outlineLevel="0" collapsed="false">
      <c r="A291" s="4" t="n">
        <v>287</v>
      </c>
      <c r="B291" s="14" t="n">
        <f aca="false">A291/12</f>
        <v>23.9166666666667</v>
      </c>
      <c r="C291" s="15" t="n">
        <f aca="false">INT(A291/6)</f>
        <v>47</v>
      </c>
      <c r="D291" s="16" t="n">
        <f aca="false">IF(C291=0,(1+Dic2023!$G$6)^(-B291),EXP(LN(INDEX(Dic2023!$H$6:$H$205,C291))+(LN(INDEX(Dic2023!$H$6:$H$205,MIN(C291+1,200)))-LN(INDEX(Dic2023!$H$6:$H$205,C291)))*(A291-6*C291)/6))</f>
        <v>0.299156104903045</v>
      </c>
      <c r="E291" s="12" t="n">
        <f aca="false">D291^(-1/B291)-1</f>
        <v>0.0517528025</v>
      </c>
      <c r="F291" s="12" t="n">
        <f aca="false">(1+E291)^(1/12)-1</f>
        <v>0.00421369509431369</v>
      </c>
      <c r="G291" s="16" t="n">
        <f aca="false">IF(C291=0,(1+Dic2023!$J$6)^(-B291),EXP(LN(INDEX(Dic2023!$K$6:$K$205,C291))+(LN(INDEX(Dic2023!$K$6:$K$205,MIN(C291+1,200)))-LN(INDEX(Dic2023!$K$6:$K$205,C291)))*(A291-6*C291)/6))</f>
        <v>0.299156104903045</v>
      </c>
      <c r="H291" s="12" t="n">
        <f aca="false">G291^(-1/B291)-1</f>
        <v>0.0517528025</v>
      </c>
      <c r="I291" s="12" t="n">
        <f aca="false">(1+H291)^(1/12)-1</f>
        <v>0.00421369509431369</v>
      </c>
      <c r="J291" s="16" t="n">
        <f aca="false">IF(C291=0,(1+Dic2023!$M$6)^(-B291),EXP(LN(INDEX(Dic2023!$N$6:$N$205,C291))+(LN(INDEX(Dic2023!$N$6:$N$205,MIN(C291+1,200)))-LN(INDEX(Dic2023!$N$6:$N$205,C291)))*(A291-6*C291)/6))</f>
        <v>0.299156104903045</v>
      </c>
      <c r="K291" s="12" t="n">
        <f aca="false">J291^(-1/B291)-1</f>
        <v>0.0517528025</v>
      </c>
      <c r="L291" s="12" t="n">
        <f aca="false">(1+K291)^(1/12)-1</f>
        <v>0.00421369509431369</v>
      </c>
    </row>
    <row r="292" customFormat="false" ht="15" hidden="false" customHeight="false" outlineLevel="0" collapsed="false">
      <c r="A292" s="4" t="n">
        <v>288</v>
      </c>
      <c r="B292" s="14" t="n">
        <f aca="false">A292/12</f>
        <v>24</v>
      </c>
      <c r="C292" s="15" t="n">
        <f aca="false">INT(A292/6)</f>
        <v>48</v>
      </c>
      <c r="D292" s="16" t="n">
        <f aca="false">IF(C292=0,(1+Dic2023!$G$6)^(-B292),EXP(LN(INDEX(Dic2023!$H$6:$H$205,C292))+(LN(INDEX(Dic2023!$H$6:$H$205,MIN(C292+1,200)))-LN(INDEX(Dic2023!$H$6:$H$205,C292)))*(A292-6*C292)/6))</f>
        <v>0.297900841588252</v>
      </c>
      <c r="E292" s="12" t="n">
        <f aca="false">D292^(-1/B292)-1</f>
        <v>0.0517528025</v>
      </c>
      <c r="F292" s="12" t="n">
        <f aca="false">(1+E292)^(1/12)-1</f>
        <v>0.00421369509431369</v>
      </c>
      <c r="G292" s="16" t="n">
        <f aca="false">IF(C292=0,(1+Dic2023!$J$6)^(-B292),EXP(LN(INDEX(Dic2023!$K$6:$K$205,C292))+(LN(INDEX(Dic2023!$K$6:$K$205,MIN(C292+1,200)))-LN(INDEX(Dic2023!$K$6:$K$205,C292)))*(A292-6*C292)/6))</f>
        <v>0.297900841588252</v>
      </c>
      <c r="H292" s="12" t="n">
        <f aca="false">G292^(-1/B292)-1</f>
        <v>0.0517528025</v>
      </c>
      <c r="I292" s="12" t="n">
        <f aca="false">(1+H292)^(1/12)-1</f>
        <v>0.00421369509431369</v>
      </c>
      <c r="J292" s="16" t="n">
        <f aca="false">IF(C292=0,(1+Dic2023!$M$6)^(-B292),EXP(LN(INDEX(Dic2023!$N$6:$N$205,C292))+(LN(INDEX(Dic2023!$N$6:$N$205,MIN(C292+1,200)))-LN(INDEX(Dic2023!$N$6:$N$205,C292)))*(A292-6*C292)/6))</f>
        <v>0.297900841588252</v>
      </c>
      <c r="K292" s="12" t="n">
        <f aca="false">J292^(-1/B292)-1</f>
        <v>0.0517528025</v>
      </c>
      <c r="L292" s="12" t="n">
        <f aca="false">(1+K292)^(1/12)-1</f>
        <v>0.00421369509431369</v>
      </c>
    </row>
    <row r="293" customFormat="false" ht="15" hidden="false" customHeight="false" outlineLevel="0" collapsed="false">
      <c r="A293" s="4" t="n">
        <v>289</v>
      </c>
      <c r="B293" s="14" t="n">
        <f aca="false">A293/12</f>
        <v>24.0833333333333</v>
      </c>
      <c r="C293" s="15" t="n">
        <f aca="false">INT(A293/6)</f>
        <v>48</v>
      </c>
      <c r="D293" s="16" t="n">
        <f aca="false">IF(C293=0,(1+Dic2023!$G$6)^(-B293),EXP(LN(INDEX(Dic2023!$H$6:$H$205,C293))+(LN(INDEX(Dic2023!$H$6:$H$205,MIN(C293+1,200)))-LN(INDEX(Dic2023!$H$6:$H$205,C293)))*(A293-6*C293)/6))</f>
        <v>0.296650845376366</v>
      </c>
      <c r="E293" s="12" t="n">
        <f aca="false">D293^(-1/B293)-1</f>
        <v>0.0517528025</v>
      </c>
      <c r="F293" s="12" t="n">
        <f aca="false">(1+E293)^(1/12)-1</f>
        <v>0.00421369509431369</v>
      </c>
      <c r="G293" s="16" t="n">
        <f aca="false">IF(C293=0,(1+Dic2023!$J$6)^(-B293),EXP(LN(INDEX(Dic2023!$K$6:$K$205,C293))+(LN(INDEX(Dic2023!$K$6:$K$205,MIN(C293+1,200)))-LN(INDEX(Dic2023!$K$6:$K$205,C293)))*(A293-6*C293)/6))</f>
        <v>0.296650845376366</v>
      </c>
      <c r="H293" s="12" t="n">
        <f aca="false">G293^(-1/B293)-1</f>
        <v>0.0517528025</v>
      </c>
      <c r="I293" s="12" t="n">
        <f aca="false">(1+H293)^(1/12)-1</f>
        <v>0.00421369509431369</v>
      </c>
      <c r="J293" s="16" t="n">
        <f aca="false">IF(C293=0,(1+Dic2023!$M$6)^(-B293),EXP(LN(INDEX(Dic2023!$N$6:$N$205,C293))+(LN(INDEX(Dic2023!$N$6:$N$205,MIN(C293+1,200)))-LN(INDEX(Dic2023!$N$6:$N$205,C293)))*(A293-6*C293)/6))</f>
        <v>0.296650845376366</v>
      </c>
      <c r="K293" s="12" t="n">
        <f aca="false">J293^(-1/B293)-1</f>
        <v>0.0517528025</v>
      </c>
      <c r="L293" s="12" t="n">
        <f aca="false">(1+K293)^(1/12)-1</f>
        <v>0.00421369509431369</v>
      </c>
    </row>
    <row r="294" customFormat="false" ht="15" hidden="false" customHeight="false" outlineLevel="0" collapsed="false">
      <c r="A294" s="4" t="n">
        <v>290</v>
      </c>
      <c r="B294" s="14" t="n">
        <f aca="false">A294/12</f>
        <v>24.1666666666667</v>
      </c>
      <c r="C294" s="15" t="n">
        <f aca="false">INT(A294/6)</f>
        <v>48</v>
      </c>
      <c r="D294" s="16" t="n">
        <f aca="false">IF(C294=0,(1+Dic2023!$G$6)^(-B294),EXP(LN(INDEX(Dic2023!$H$6:$H$205,C294))+(LN(INDEX(Dic2023!$H$6:$H$205,MIN(C294+1,200)))-LN(INDEX(Dic2023!$H$6:$H$205,C294)))*(A294-6*C294)/6))</f>
        <v>0.295406094166546</v>
      </c>
      <c r="E294" s="12" t="n">
        <f aca="false">D294^(-1/B294)-1</f>
        <v>0.0517528025</v>
      </c>
      <c r="F294" s="12" t="n">
        <f aca="false">(1+E294)^(1/12)-1</f>
        <v>0.00421369509431369</v>
      </c>
      <c r="G294" s="16" t="n">
        <f aca="false">IF(C294=0,(1+Dic2023!$J$6)^(-B294),EXP(LN(INDEX(Dic2023!$K$6:$K$205,C294))+(LN(INDEX(Dic2023!$K$6:$K$205,MIN(C294+1,200)))-LN(INDEX(Dic2023!$K$6:$K$205,C294)))*(A294-6*C294)/6))</f>
        <v>0.295406094166546</v>
      </c>
      <c r="H294" s="12" t="n">
        <f aca="false">G294^(-1/B294)-1</f>
        <v>0.0517528025</v>
      </c>
      <c r="I294" s="12" t="n">
        <f aca="false">(1+H294)^(1/12)-1</f>
        <v>0.00421369509431369</v>
      </c>
      <c r="J294" s="16" t="n">
        <f aca="false">IF(C294=0,(1+Dic2023!$M$6)^(-B294),EXP(LN(INDEX(Dic2023!$N$6:$N$205,C294))+(LN(INDEX(Dic2023!$N$6:$N$205,MIN(C294+1,200)))-LN(INDEX(Dic2023!$N$6:$N$205,C294)))*(A294-6*C294)/6))</f>
        <v>0.295406094166546</v>
      </c>
      <c r="K294" s="12" t="n">
        <f aca="false">J294^(-1/B294)-1</f>
        <v>0.0517528025</v>
      </c>
      <c r="L294" s="12" t="n">
        <f aca="false">(1+K294)^(1/12)-1</f>
        <v>0.00421369509431369</v>
      </c>
    </row>
    <row r="295" customFormat="false" ht="15" hidden="false" customHeight="false" outlineLevel="0" collapsed="false">
      <c r="A295" s="4" t="n">
        <v>291</v>
      </c>
      <c r="B295" s="14" t="n">
        <f aca="false">A295/12</f>
        <v>24.25</v>
      </c>
      <c r="C295" s="15" t="n">
        <f aca="false">INT(A295/6)</f>
        <v>48</v>
      </c>
      <c r="D295" s="16" t="n">
        <f aca="false">IF(C295=0,(1+Dic2023!$G$6)^(-B295),EXP(LN(INDEX(Dic2023!$H$6:$H$205,C295))+(LN(INDEX(Dic2023!$H$6:$H$205,MIN(C295+1,200)))-LN(INDEX(Dic2023!$H$6:$H$205,C295)))*(A295-6*C295)/6))</f>
        <v>0.294166565950688</v>
      </c>
      <c r="E295" s="12" t="n">
        <f aca="false">D295^(-1/B295)-1</f>
        <v>0.0517528025</v>
      </c>
      <c r="F295" s="12" t="n">
        <f aca="false">(1+E295)^(1/12)-1</f>
        <v>0.00421369509431369</v>
      </c>
      <c r="G295" s="16" t="n">
        <f aca="false">IF(C295=0,(1+Dic2023!$J$6)^(-B295),EXP(LN(INDEX(Dic2023!$K$6:$K$205,C295))+(LN(INDEX(Dic2023!$K$6:$K$205,MIN(C295+1,200)))-LN(INDEX(Dic2023!$K$6:$K$205,C295)))*(A295-6*C295)/6))</f>
        <v>0.294166565950688</v>
      </c>
      <c r="H295" s="12" t="n">
        <f aca="false">G295^(-1/B295)-1</f>
        <v>0.0517528025</v>
      </c>
      <c r="I295" s="12" t="n">
        <f aca="false">(1+H295)^(1/12)-1</f>
        <v>0.00421369509431369</v>
      </c>
      <c r="J295" s="16" t="n">
        <f aca="false">IF(C295=0,(1+Dic2023!$M$6)^(-B295),EXP(LN(INDEX(Dic2023!$N$6:$N$205,C295))+(LN(INDEX(Dic2023!$N$6:$N$205,MIN(C295+1,200)))-LN(INDEX(Dic2023!$N$6:$N$205,C295)))*(A295-6*C295)/6))</f>
        <v>0.294166565950688</v>
      </c>
      <c r="K295" s="12" t="n">
        <f aca="false">J295^(-1/B295)-1</f>
        <v>0.0517528025</v>
      </c>
      <c r="L295" s="12" t="n">
        <f aca="false">(1+K295)^(1/12)-1</f>
        <v>0.00421369509431369</v>
      </c>
    </row>
    <row r="296" customFormat="false" ht="15" hidden="false" customHeight="false" outlineLevel="0" collapsed="false">
      <c r="A296" s="4" t="n">
        <v>292</v>
      </c>
      <c r="B296" s="14" t="n">
        <f aca="false">A296/12</f>
        <v>24.3333333333333</v>
      </c>
      <c r="C296" s="15" t="n">
        <f aca="false">INT(A296/6)</f>
        <v>48</v>
      </c>
      <c r="D296" s="16" t="n">
        <f aca="false">IF(C296=0,(1+Dic2023!$G$6)^(-B296),EXP(LN(INDEX(Dic2023!$H$6:$H$205,C296))+(LN(INDEX(Dic2023!$H$6:$H$205,MIN(C296+1,200)))-LN(INDEX(Dic2023!$H$6:$H$205,C296)))*(A296-6*C296)/6))</f>
        <v>0.292932238813036</v>
      </c>
      <c r="E296" s="12" t="n">
        <f aca="false">D296^(-1/B296)-1</f>
        <v>0.0517528025</v>
      </c>
      <c r="F296" s="12" t="n">
        <f aca="false">(1+E296)^(1/12)-1</f>
        <v>0.00421369509431369</v>
      </c>
      <c r="G296" s="16" t="n">
        <f aca="false">IF(C296=0,(1+Dic2023!$J$6)^(-B296),EXP(LN(INDEX(Dic2023!$K$6:$K$205,C296))+(LN(INDEX(Dic2023!$K$6:$K$205,MIN(C296+1,200)))-LN(INDEX(Dic2023!$K$6:$K$205,C296)))*(A296-6*C296)/6))</f>
        <v>0.292932238813036</v>
      </c>
      <c r="H296" s="12" t="n">
        <f aca="false">G296^(-1/B296)-1</f>
        <v>0.0517528025</v>
      </c>
      <c r="I296" s="12" t="n">
        <f aca="false">(1+H296)^(1/12)-1</f>
        <v>0.00421369509431369</v>
      </c>
      <c r="J296" s="16" t="n">
        <f aca="false">IF(C296=0,(1+Dic2023!$M$6)^(-B296),EXP(LN(INDEX(Dic2023!$N$6:$N$205,C296))+(LN(INDEX(Dic2023!$N$6:$N$205,MIN(C296+1,200)))-LN(INDEX(Dic2023!$N$6:$N$205,C296)))*(A296-6*C296)/6))</f>
        <v>0.292932238813036</v>
      </c>
      <c r="K296" s="12" t="n">
        <f aca="false">J296^(-1/B296)-1</f>
        <v>0.0517528025</v>
      </c>
      <c r="L296" s="12" t="n">
        <f aca="false">(1+K296)^(1/12)-1</f>
        <v>0.00421369509431369</v>
      </c>
    </row>
    <row r="297" customFormat="false" ht="15" hidden="false" customHeight="false" outlineLevel="0" collapsed="false">
      <c r="A297" s="4" t="n">
        <v>293</v>
      </c>
      <c r="B297" s="14" t="n">
        <f aca="false">A297/12</f>
        <v>24.4166666666667</v>
      </c>
      <c r="C297" s="15" t="n">
        <f aca="false">INT(A297/6)</f>
        <v>48</v>
      </c>
      <c r="D297" s="16" t="n">
        <f aca="false">IF(C297=0,(1+Dic2023!$G$6)^(-B297),EXP(LN(INDEX(Dic2023!$H$6:$H$205,C297))+(LN(INDEX(Dic2023!$H$6:$H$205,MIN(C297+1,200)))-LN(INDEX(Dic2023!$H$6:$H$205,C297)))*(A297-6*C297)/6))</f>
        <v>0.291703090929788</v>
      </c>
      <c r="E297" s="12" t="n">
        <f aca="false">D297^(-1/B297)-1</f>
        <v>0.0517528025</v>
      </c>
      <c r="F297" s="12" t="n">
        <f aca="false">(1+E297)^(1/12)-1</f>
        <v>0.00421369509431369</v>
      </c>
      <c r="G297" s="16" t="n">
        <f aca="false">IF(C297=0,(1+Dic2023!$J$6)^(-B297),EXP(LN(INDEX(Dic2023!$K$6:$K$205,C297))+(LN(INDEX(Dic2023!$K$6:$K$205,MIN(C297+1,200)))-LN(INDEX(Dic2023!$K$6:$K$205,C297)))*(A297-6*C297)/6))</f>
        <v>0.291703090929788</v>
      </c>
      <c r="H297" s="12" t="n">
        <f aca="false">G297^(-1/B297)-1</f>
        <v>0.0517528025</v>
      </c>
      <c r="I297" s="12" t="n">
        <f aca="false">(1+H297)^(1/12)-1</f>
        <v>0.00421369509431369</v>
      </c>
      <c r="J297" s="16" t="n">
        <f aca="false">IF(C297=0,(1+Dic2023!$M$6)^(-B297),EXP(LN(INDEX(Dic2023!$N$6:$N$205,C297))+(LN(INDEX(Dic2023!$N$6:$N$205,MIN(C297+1,200)))-LN(INDEX(Dic2023!$N$6:$N$205,C297)))*(A297-6*C297)/6))</f>
        <v>0.291703090929788</v>
      </c>
      <c r="K297" s="12" t="n">
        <f aca="false">J297^(-1/B297)-1</f>
        <v>0.0517528025</v>
      </c>
      <c r="L297" s="12" t="n">
        <f aca="false">(1+K297)^(1/12)-1</f>
        <v>0.00421369509431369</v>
      </c>
    </row>
    <row r="298" customFormat="false" ht="15" hidden="false" customHeight="false" outlineLevel="0" collapsed="false">
      <c r="A298" s="4" t="n">
        <v>294</v>
      </c>
      <c r="B298" s="14" t="n">
        <f aca="false">A298/12</f>
        <v>24.5</v>
      </c>
      <c r="C298" s="15" t="n">
        <f aca="false">INT(A298/6)</f>
        <v>49</v>
      </c>
      <c r="D298" s="16" t="n">
        <f aca="false">IF(C298=0,(1+Dic2023!$G$6)^(-B298),EXP(LN(INDEX(Dic2023!$H$6:$H$205,C298))+(LN(INDEX(Dic2023!$H$6:$H$205,MIN(C298+1,200)))-LN(INDEX(Dic2023!$H$6:$H$205,C298)))*(A298-6*C298)/6))</f>
        <v>0.290479100568721</v>
      </c>
      <c r="E298" s="12" t="n">
        <f aca="false">D298^(-1/B298)-1</f>
        <v>0.0517528025</v>
      </c>
      <c r="F298" s="12" t="n">
        <f aca="false">(1+E298)^(1/12)-1</f>
        <v>0.00421369509431369</v>
      </c>
      <c r="G298" s="16" t="n">
        <f aca="false">IF(C298=0,(1+Dic2023!$J$6)^(-B298),EXP(LN(INDEX(Dic2023!$K$6:$K$205,C298))+(LN(INDEX(Dic2023!$K$6:$K$205,MIN(C298+1,200)))-LN(INDEX(Dic2023!$K$6:$K$205,C298)))*(A298-6*C298)/6))</f>
        <v>0.290479100568721</v>
      </c>
      <c r="H298" s="12" t="n">
        <f aca="false">G298^(-1/B298)-1</f>
        <v>0.0517528025</v>
      </c>
      <c r="I298" s="12" t="n">
        <f aca="false">(1+H298)^(1/12)-1</f>
        <v>0.00421369509431369</v>
      </c>
      <c r="J298" s="16" t="n">
        <f aca="false">IF(C298=0,(1+Dic2023!$M$6)^(-B298),EXP(LN(INDEX(Dic2023!$N$6:$N$205,C298))+(LN(INDEX(Dic2023!$N$6:$N$205,MIN(C298+1,200)))-LN(INDEX(Dic2023!$N$6:$N$205,C298)))*(A298-6*C298)/6))</f>
        <v>0.290479100568721</v>
      </c>
      <c r="K298" s="12" t="n">
        <f aca="false">J298^(-1/B298)-1</f>
        <v>0.0517528025</v>
      </c>
      <c r="L298" s="12" t="n">
        <f aca="false">(1+K298)^(1/12)-1</f>
        <v>0.00421369509431369</v>
      </c>
    </row>
    <row r="299" customFormat="false" ht="15" hidden="false" customHeight="false" outlineLevel="0" collapsed="false">
      <c r="A299" s="4" t="n">
        <v>295</v>
      </c>
      <c r="B299" s="14" t="n">
        <f aca="false">A299/12</f>
        <v>24.5833333333333</v>
      </c>
      <c r="C299" s="15" t="n">
        <f aca="false">INT(A299/6)</f>
        <v>49</v>
      </c>
      <c r="D299" s="16" t="n">
        <f aca="false">IF(C299=0,(1+Dic2023!$G$6)^(-B299),EXP(LN(INDEX(Dic2023!$H$6:$H$205,C299))+(LN(INDEX(Dic2023!$H$6:$H$205,MIN(C299+1,200)))-LN(INDEX(Dic2023!$H$6:$H$205,C299)))*(A299-6*C299)/6))</f>
        <v>0.289260246088797</v>
      </c>
      <c r="E299" s="12" t="n">
        <f aca="false">D299^(-1/B299)-1</f>
        <v>0.0517528025</v>
      </c>
      <c r="F299" s="12" t="n">
        <f aca="false">(1+E299)^(1/12)-1</f>
        <v>0.00421369509431369</v>
      </c>
      <c r="G299" s="16" t="n">
        <f aca="false">IF(C299=0,(1+Dic2023!$J$6)^(-B299),EXP(LN(INDEX(Dic2023!$K$6:$K$205,C299))+(LN(INDEX(Dic2023!$K$6:$K$205,MIN(C299+1,200)))-LN(INDEX(Dic2023!$K$6:$K$205,C299)))*(A299-6*C299)/6))</f>
        <v>0.289260246088797</v>
      </c>
      <c r="H299" s="12" t="n">
        <f aca="false">G299^(-1/B299)-1</f>
        <v>0.0517528025</v>
      </c>
      <c r="I299" s="12" t="n">
        <f aca="false">(1+H299)^(1/12)-1</f>
        <v>0.00421369509431369</v>
      </c>
      <c r="J299" s="16" t="n">
        <f aca="false">IF(C299=0,(1+Dic2023!$M$6)^(-B299),EXP(LN(INDEX(Dic2023!$N$6:$N$205,C299))+(LN(INDEX(Dic2023!$N$6:$N$205,MIN(C299+1,200)))-LN(INDEX(Dic2023!$N$6:$N$205,C299)))*(A299-6*C299)/6))</f>
        <v>0.289260246088797</v>
      </c>
      <c r="K299" s="12" t="n">
        <f aca="false">J299^(-1/B299)-1</f>
        <v>0.0517528025</v>
      </c>
      <c r="L299" s="12" t="n">
        <f aca="false">(1+K299)^(1/12)-1</f>
        <v>0.00421369509431369</v>
      </c>
    </row>
    <row r="300" customFormat="false" ht="15" hidden="false" customHeight="false" outlineLevel="0" collapsed="false">
      <c r="A300" s="4" t="n">
        <v>296</v>
      </c>
      <c r="B300" s="14" t="n">
        <f aca="false">A300/12</f>
        <v>24.6666666666667</v>
      </c>
      <c r="C300" s="15" t="n">
        <f aca="false">INT(A300/6)</f>
        <v>49</v>
      </c>
      <c r="D300" s="16" t="n">
        <f aca="false">IF(C300=0,(1+Dic2023!$G$6)^(-B300),EXP(LN(INDEX(Dic2023!$H$6:$H$205,C300))+(LN(INDEX(Dic2023!$H$6:$H$205,MIN(C300+1,200)))-LN(INDEX(Dic2023!$H$6:$H$205,C300)))*(A300-6*C300)/6))</f>
        <v>0.288046505939784</v>
      </c>
      <c r="E300" s="12" t="n">
        <f aca="false">D300^(-1/B300)-1</f>
        <v>0.0517528025</v>
      </c>
      <c r="F300" s="12" t="n">
        <f aca="false">(1+E300)^(1/12)-1</f>
        <v>0.00421369509431369</v>
      </c>
      <c r="G300" s="16" t="n">
        <f aca="false">IF(C300=0,(1+Dic2023!$J$6)^(-B300),EXP(LN(INDEX(Dic2023!$K$6:$K$205,C300))+(LN(INDEX(Dic2023!$K$6:$K$205,MIN(C300+1,200)))-LN(INDEX(Dic2023!$K$6:$K$205,C300)))*(A300-6*C300)/6))</f>
        <v>0.288046505939784</v>
      </c>
      <c r="H300" s="12" t="n">
        <f aca="false">G300^(-1/B300)-1</f>
        <v>0.0517528025</v>
      </c>
      <c r="I300" s="12" t="n">
        <f aca="false">(1+H300)^(1/12)-1</f>
        <v>0.00421369509431369</v>
      </c>
      <c r="J300" s="16" t="n">
        <f aca="false">IF(C300=0,(1+Dic2023!$M$6)^(-B300),EXP(LN(INDEX(Dic2023!$N$6:$N$205,C300))+(LN(INDEX(Dic2023!$N$6:$N$205,MIN(C300+1,200)))-LN(INDEX(Dic2023!$N$6:$N$205,C300)))*(A300-6*C300)/6))</f>
        <v>0.288046505939784</v>
      </c>
      <c r="K300" s="12" t="n">
        <f aca="false">J300^(-1/B300)-1</f>
        <v>0.0517528025</v>
      </c>
      <c r="L300" s="12" t="n">
        <f aca="false">(1+K300)^(1/12)-1</f>
        <v>0.00421369509431369</v>
      </c>
    </row>
    <row r="301" customFormat="false" ht="15" hidden="false" customHeight="false" outlineLevel="0" collapsed="false">
      <c r="A301" s="4" t="n">
        <v>297</v>
      </c>
      <c r="B301" s="14" t="n">
        <f aca="false">A301/12</f>
        <v>24.75</v>
      </c>
      <c r="C301" s="15" t="n">
        <f aca="false">INT(A301/6)</f>
        <v>49</v>
      </c>
      <c r="D301" s="16" t="n">
        <f aca="false">IF(C301=0,(1+Dic2023!$G$6)^(-B301),EXP(LN(INDEX(Dic2023!$H$6:$H$205,C301))+(LN(INDEX(Dic2023!$H$6:$H$205,MIN(C301+1,200)))-LN(INDEX(Dic2023!$H$6:$H$205,C301)))*(A301-6*C301)/6))</f>
        <v>0.286837858661877</v>
      </c>
      <c r="E301" s="12" t="n">
        <f aca="false">D301^(-1/B301)-1</f>
        <v>0.0517528025</v>
      </c>
      <c r="F301" s="12" t="n">
        <f aca="false">(1+E301)^(1/12)-1</f>
        <v>0.00421369509431369</v>
      </c>
      <c r="G301" s="16" t="n">
        <f aca="false">IF(C301=0,(1+Dic2023!$J$6)^(-B301),EXP(LN(INDEX(Dic2023!$K$6:$K$205,C301))+(LN(INDEX(Dic2023!$K$6:$K$205,MIN(C301+1,200)))-LN(INDEX(Dic2023!$K$6:$K$205,C301)))*(A301-6*C301)/6))</f>
        <v>0.286837858661877</v>
      </c>
      <c r="H301" s="12" t="n">
        <f aca="false">G301^(-1/B301)-1</f>
        <v>0.0517528025</v>
      </c>
      <c r="I301" s="12" t="n">
        <f aca="false">(1+H301)^(1/12)-1</f>
        <v>0.00421369509431369</v>
      </c>
      <c r="J301" s="16" t="n">
        <f aca="false">IF(C301=0,(1+Dic2023!$M$6)^(-B301),EXP(LN(INDEX(Dic2023!$N$6:$N$205,C301))+(LN(INDEX(Dic2023!$N$6:$N$205,MIN(C301+1,200)))-LN(INDEX(Dic2023!$N$6:$N$205,C301)))*(A301-6*C301)/6))</f>
        <v>0.286837858661877</v>
      </c>
      <c r="K301" s="12" t="n">
        <f aca="false">J301^(-1/B301)-1</f>
        <v>0.0517528025</v>
      </c>
      <c r="L301" s="12" t="n">
        <f aca="false">(1+K301)^(1/12)-1</f>
        <v>0.00421369509431369</v>
      </c>
    </row>
    <row r="302" customFormat="false" ht="15" hidden="false" customHeight="false" outlineLevel="0" collapsed="false">
      <c r="A302" s="4" t="n">
        <v>298</v>
      </c>
      <c r="B302" s="14" t="n">
        <f aca="false">A302/12</f>
        <v>24.8333333333333</v>
      </c>
      <c r="C302" s="15" t="n">
        <f aca="false">INT(A302/6)</f>
        <v>49</v>
      </c>
      <c r="D302" s="16" t="n">
        <f aca="false">IF(C302=0,(1+Dic2023!$G$6)^(-B302),EXP(LN(INDEX(Dic2023!$H$6:$H$205,C302))+(LN(INDEX(Dic2023!$H$6:$H$205,MIN(C302+1,200)))-LN(INDEX(Dic2023!$H$6:$H$205,C302)))*(A302-6*C302)/6))</f>
        <v>0.285634282885316</v>
      </c>
      <c r="E302" s="12" t="n">
        <f aca="false">D302^(-1/B302)-1</f>
        <v>0.0517528025</v>
      </c>
      <c r="F302" s="12" t="n">
        <f aca="false">(1+E302)^(1/12)-1</f>
        <v>0.00421369509431369</v>
      </c>
      <c r="G302" s="16" t="n">
        <f aca="false">IF(C302=0,(1+Dic2023!$J$6)^(-B302),EXP(LN(INDEX(Dic2023!$K$6:$K$205,C302))+(LN(INDEX(Dic2023!$K$6:$K$205,MIN(C302+1,200)))-LN(INDEX(Dic2023!$K$6:$K$205,C302)))*(A302-6*C302)/6))</f>
        <v>0.285634282885316</v>
      </c>
      <c r="H302" s="12" t="n">
        <f aca="false">G302^(-1/B302)-1</f>
        <v>0.0517528025</v>
      </c>
      <c r="I302" s="12" t="n">
        <f aca="false">(1+H302)^(1/12)-1</f>
        <v>0.00421369509431369</v>
      </c>
      <c r="J302" s="16" t="n">
        <f aca="false">IF(C302=0,(1+Dic2023!$M$6)^(-B302),EXP(LN(INDEX(Dic2023!$N$6:$N$205,C302))+(LN(INDEX(Dic2023!$N$6:$N$205,MIN(C302+1,200)))-LN(INDEX(Dic2023!$N$6:$N$205,C302)))*(A302-6*C302)/6))</f>
        <v>0.285634282885316</v>
      </c>
      <c r="K302" s="12" t="n">
        <f aca="false">J302^(-1/B302)-1</f>
        <v>0.0517528025</v>
      </c>
      <c r="L302" s="12" t="n">
        <f aca="false">(1+K302)^(1/12)-1</f>
        <v>0.00421369509431369</v>
      </c>
    </row>
    <row r="303" customFormat="false" ht="15" hidden="false" customHeight="false" outlineLevel="0" collapsed="false">
      <c r="A303" s="4" t="n">
        <v>299</v>
      </c>
      <c r="B303" s="14" t="n">
        <f aca="false">A303/12</f>
        <v>24.9166666666667</v>
      </c>
      <c r="C303" s="15" t="n">
        <f aca="false">INT(A303/6)</f>
        <v>49</v>
      </c>
      <c r="D303" s="16" t="n">
        <f aca="false">IF(C303=0,(1+Dic2023!$G$6)^(-B303),EXP(LN(INDEX(Dic2023!$H$6:$H$205,C303))+(LN(INDEX(Dic2023!$H$6:$H$205,MIN(C303+1,200)))-LN(INDEX(Dic2023!$H$6:$H$205,C303)))*(A303-6*C303)/6))</f>
        <v>0.284435757330007</v>
      </c>
      <c r="E303" s="12" t="n">
        <f aca="false">D303^(-1/B303)-1</f>
        <v>0.0517528025</v>
      </c>
      <c r="F303" s="12" t="n">
        <f aca="false">(1+E303)^(1/12)-1</f>
        <v>0.00421369509431369</v>
      </c>
      <c r="G303" s="16" t="n">
        <f aca="false">IF(C303=0,(1+Dic2023!$J$6)^(-B303),EXP(LN(INDEX(Dic2023!$K$6:$K$205,C303))+(LN(INDEX(Dic2023!$K$6:$K$205,MIN(C303+1,200)))-LN(INDEX(Dic2023!$K$6:$K$205,C303)))*(A303-6*C303)/6))</f>
        <v>0.284435757330007</v>
      </c>
      <c r="H303" s="12" t="n">
        <f aca="false">G303^(-1/B303)-1</f>
        <v>0.0517528025</v>
      </c>
      <c r="I303" s="12" t="n">
        <f aca="false">(1+H303)^(1/12)-1</f>
        <v>0.00421369509431369</v>
      </c>
      <c r="J303" s="16" t="n">
        <f aca="false">IF(C303=0,(1+Dic2023!$M$6)^(-B303),EXP(LN(INDEX(Dic2023!$N$6:$N$205,C303))+(LN(INDEX(Dic2023!$N$6:$N$205,MIN(C303+1,200)))-LN(INDEX(Dic2023!$N$6:$N$205,C303)))*(A303-6*C303)/6))</f>
        <v>0.284435757330007</v>
      </c>
      <c r="K303" s="12" t="n">
        <f aca="false">J303^(-1/B303)-1</f>
        <v>0.0517528025</v>
      </c>
      <c r="L303" s="12" t="n">
        <f aca="false">(1+K303)^(1/12)-1</f>
        <v>0.00421369509431369</v>
      </c>
    </row>
    <row r="304" customFormat="false" ht="15" hidden="false" customHeight="false" outlineLevel="0" collapsed="false">
      <c r="A304" s="4" t="n">
        <v>300</v>
      </c>
      <c r="B304" s="14" t="n">
        <f aca="false">A304/12</f>
        <v>25</v>
      </c>
      <c r="C304" s="15" t="n">
        <f aca="false">INT(A304/6)</f>
        <v>50</v>
      </c>
      <c r="D304" s="16" t="n">
        <f aca="false">IF(C304=0,(1+Dic2023!$G$6)^(-B304),EXP(LN(INDEX(Dic2023!$H$6:$H$205,C304))+(LN(INDEX(Dic2023!$H$6:$H$205,MIN(C304+1,200)))-LN(INDEX(Dic2023!$H$6:$H$205,C304)))*(A304-6*C304)/6))</f>
        <v>0.28324226080515</v>
      </c>
      <c r="E304" s="12" t="n">
        <f aca="false">D304^(-1/B304)-1</f>
        <v>0.0517528025</v>
      </c>
      <c r="F304" s="12" t="n">
        <f aca="false">(1+E304)^(1/12)-1</f>
        <v>0.00421369509431369</v>
      </c>
      <c r="G304" s="16" t="n">
        <f aca="false">IF(C304=0,(1+Dic2023!$J$6)^(-B304),EXP(LN(INDEX(Dic2023!$K$6:$K$205,C304))+(LN(INDEX(Dic2023!$K$6:$K$205,MIN(C304+1,200)))-LN(INDEX(Dic2023!$K$6:$K$205,C304)))*(A304-6*C304)/6))</f>
        <v>0.28324226080515</v>
      </c>
      <c r="H304" s="12" t="n">
        <f aca="false">G304^(-1/B304)-1</f>
        <v>0.0517528025</v>
      </c>
      <c r="I304" s="12" t="n">
        <f aca="false">(1+H304)^(1/12)-1</f>
        <v>0.00421369509431369</v>
      </c>
      <c r="J304" s="16" t="n">
        <f aca="false">IF(C304=0,(1+Dic2023!$M$6)^(-B304),EXP(LN(INDEX(Dic2023!$N$6:$N$205,C304))+(LN(INDEX(Dic2023!$N$6:$N$205,MIN(C304+1,200)))-LN(INDEX(Dic2023!$N$6:$N$205,C304)))*(A304-6*C304)/6))</f>
        <v>0.28324226080515</v>
      </c>
      <c r="K304" s="12" t="n">
        <f aca="false">J304^(-1/B304)-1</f>
        <v>0.0517528025</v>
      </c>
      <c r="L304" s="12" t="n">
        <f aca="false">(1+K304)^(1/12)-1</f>
        <v>0.00421369509431369</v>
      </c>
    </row>
    <row r="305" customFormat="false" ht="15" hidden="false" customHeight="false" outlineLevel="0" collapsed="false">
      <c r="A305" s="4" t="n">
        <v>301</v>
      </c>
      <c r="B305" s="14" t="n">
        <f aca="false">A305/12</f>
        <v>25.0833333333333</v>
      </c>
      <c r="C305" s="15" t="n">
        <f aca="false">INT(A305/6)</f>
        <v>50</v>
      </c>
      <c r="D305" s="16" t="n">
        <f aca="false">IF(C305=0,(1+Dic2023!$G$6)^(-B305),EXP(LN(INDEX(Dic2023!$H$6:$H$205,C305))+(LN(INDEX(Dic2023!$H$6:$H$205,MIN(C305+1,200)))-LN(INDEX(Dic2023!$H$6:$H$205,C305)))*(A305-6*C305)/6))</f>
        <v>0.282170685687918</v>
      </c>
      <c r="E305" s="12" t="n">
        <f aca="false">D305^(-1/B305)-1</f>
        <v>0.0517354257913745</v>
      </c>
      <c r="F305" s="12" t="n">
        <f aca="false">(1+E305)^(1/12)-1</f>
        <v>0.00421231247689669</v>
      </c>
      <c r="G305" s="16" t="n">
        <f aca="false">IF(C305=0,(1+Dic2023!$J$6)^(-B305),EXP(LN(INDEX(Dic2023!$K$6:$K$205,C305))+(LN(INDEX(Dic2023!$K$6:$K$205,MIN(C305+1,200)))-LN(INDEX(Dic2023!$K$6:$K$205,C305)))*(A305-6*C305)/6))</f>
        <v>0.282170685687918</v>
      </c>
      <c r="H305" s="12" t="n">
        <f aca="false">G305^(-1/B305)-1</f>
        <v>0.0517354257913745</v>
      </c>
      <c r="I305" s="12" t="n">
        <f aca="false">(1+H305)^(1/12)-1</f>
        <v>0.00421231247689669</v>
      </c>
      <c r="J305" s="16" t="n">
        <f aca="false">IF(C305=0,(1+Dic2023!$M$6)^(-B305),EXP(LN(INDEX(Dic2023!$N$6:$N$205,C305))+(LN(INDEX(Dic2023!$N$6:$N$205,MIN(C305+1,200)))-LN(INDEX(Dic2023!$N$6:$N$205,C305)))*(A305-6*C305)/6))</f>
        <v>0.282170685687918</v>
      </c>
      <c r="K305" s="12" t="n">
        <f aca="false">J305^(-1/B305)-1</f>
        <v>0.0517354257913745</v>
      </c>
      <c r="L305" s="12" t="n">
        <f aca="false">(1+K305)^(1/12)-1</f>
        <v>0.00421231247689669</v>
      </c>
    </row>
    <row r="306" customFormat="false" ht="15" hidden="false" customHeight="false" outlineLevel="0" collapsed="false">
      <c r="A306" s="4" t="n">
        <v>302</v>
      </c>
      <c r="B306" s="14" t="n">
        <f aca="false">A306/12</f>
        <v>25.1666666666667</v>
      </c>
      <c r="C306" s="15" t="n">
        <f aca="false">INT(A306/6)</f>
        <v>50</v>
      </c>
      <c r="D306" s="16" t="n">
        <f aca="false">IF(C306=0,(1+Dic2023!$G$6)^(-B306),EXP(LN(INDEX(Dic2023!$H$6:$H$205,C306))+(LN(INDEX(Dic2023!$H$6:$H$205,MIN(C306+1,200)))-LN(INDEX(Dic2023!$H$6:$H$205,C306)))*(A306-6*C306)/6))</f>
        <v>0.281103164602838</v>
      </c>
      <c r="E306" s="12" t="n">
        <f aca="false">D306^(-1/B306)-1</f>
        <v>0.0517181644445361</v>
      </c>
      <c r="F306" s="12" t="n">
        <f aca="false">(1+E306)^(1/12)-1</f>
        <v>0.00421093901777114</v>
      </c>
      <c r="G306" s="16" t="n">
        <f aca="false">IF(C306=0,(1+Dic2023!$J$6)^(-B306),EXP(LN(INDEX(Dic2023!$K$6:$K$205,C306))+(LN(INDEX(Dic2023!$K$6:$K$205,MIN(C306+1,200)))-LN(INDEX(Dic2023!$K$6:$K$205,C306)))*(A306-6*C306)/6))</f>
        <v>0.281103164602838</v>
      </c>
      <c r="H306" s="12" t="n">
        <f aca="false">G306^(-1/B306)-1</f>
        <v>0.0517181644445361</v>
      </c>
      <c r="I306" s="12" t="n">
        <f aca="false">(1+H306)^(1/12)-1</f>
        <v>0.00421093901777114</v>
      </c>
      <c r="J306" s="16" t="n">
        <f aca="false">IF(C306=0,(1+Dic2023!$M$6)^(-B306),EXP(LN(INDEX(Dic2023!$N$6:$N$205,C306))+(LN(INDEX(Dic2023!$N$6:$N$205,MIN(C306+1,200)))-LN(INDEX(Dic2023!$N$6:$N$205,C306)))*(A306-6*C306)/6))</f>
        <v>0.281103164602838</v>
      </c>
      <c r="K306" s="12" t="n">
        <f aca="false">J306^(-1/B306)-1</f>
        <v>0.0517181644445361</v>
      </c>
      <c r="L306" s="12" t="n">
        <f aca="false">(1+K306)^(1/12)-1</f>
        <v>0.00421093901777114</v>
      </c>
    </row>
    <row r="307" customFormat="false" ht="15" hidden="false" customHeight="false" outlineLevel="0" collapsed="false">
      <c r="A307" s="4" t="n">
        <v>303</v>
      </c>
      <c r="B307" s="14" t="n">
        <f aca="false">A307/12</f>
        <v>25.25</v>
      </c>
      <c r="C307" s="15" t="n">
        <f aca="false">INT(A307/6)</f>
        <v>50</v>
      </c>
      <c r="D307" s="16" t="n">
        <f aca="false">IF(C307=0,(1+Dic2023!$G$6)^(-B307),EXP(LN(INDEX(Dic2023!$H$6:$H$205,C307))+(LN(INDEX(Dic2023!$H$6:$H$205,MIN(C307+1,200)))-LN(INDEX(Dic2023!$H$6:$H$205,C307)))*(A307-6*C307)/6))</f>
        <v>0.280039682212508</v>
      </c>
      <c r="E307" s="12" t="n">
        <f aca="false">D307^(-1/B307)-1</f>
        <v>0.0517010173144794</v>
      </c>
      <c r="F307" s="12" t="n">
        <f aca="false">(1+E307)^(1/12)-1</f>
        <v>0.0042095746262425</v>
      </c>
      <c r="G307" s="16" t="n">
        <f aca="false">IF(C307=0,(1+Dic2023!$J$6)^(-B307),EXP(LN(INDEX(Dic2023!$K$6:$K$205,C307))+(LN(INDEX(Dic2023!$K$6:$K$205,MIN(C307+1,200)))-LN(INDEX(Dic2023!$K$6:$K$205,C307)))*(A307-6*C307)/6))</f>
        <v>0.280039682212508</v>
      </c>
      <c r="H307" s="12" t="n">
        <f aca="false">G307^(-1/B307)-1</f>
        <v>0.0517010173144794</v>
      </c>
      <c r="I307" s="12" t="n">
        <f aca="false">(1+H307)^(1/12)-1</f>
        <v>0.0042095746262425</v>
      </c>
      <c r="J307" s="16" t="n">
        <f aca="false">IF(C307=0,(1+Dic2023!$M$6)^(-B307),EXP(LN(INDEX(Dic2023!$N$6:$N$205,C307))+(LN(INDEX(Dic2023!$N$6:$N$205,MIN(C307+1,200)))-LN(INDEX(Dic2023!$N$6:$N$205,C307)))*(A307-6*C307)/6))</f>
        <v>0.280039682212508</v>
      </c>
      <c r="K307" s="12" t="n">
        <f aca="false">J307^(-1/B307)-1</f>
        <v>0.0517010173144794</v>
      </c>
      <c r="L307" s="12" t="n">
        <f aca="false">(1+K307)^(1/12)-1</f>
        <v>0.0042095746262425</v>
      </c>
    </row>
    <row r="308" customFormat="false" ht="15" hidden="false" customHeight="false" outlineLevel="0" collapsed="false">
      <c r="A308" s="4" t="n">
        <v>304</v>
      </c>
      <c r="B308" s="14" t="n">
        <f aca="false">A308/12</f>
        <v>25.3333333333333</v>
      </c>
      <c r="C308" s="15" t="n">
        <f aca="false">INT(A308/6)</f>
        <v>50</v>
      </c>
      <c r="D308" s="16" t="n">
        <f aca="false">IF(C308=0,(1+Dic2023!$G$6)^(-B308),EXP(LN(INDEX(Dic2023!$H$6:$H$205,C308))+(LN(INDEX(Dic2023!$H$6:$H$205,MIN(C308+1,200)))-LN(INDEX(Dic2023!$H$6:$H$205,C308)))*(A308-6*C308)/6))</f>
        <v>0.278980223237554</v>
      </c>
      <c r="E308" s="12" t="n">
        <f aca="false">D308^(-1/B308)-1</f>
        <v>0.0516839832713014</v>
      </c>
      <c r="F308" s="12" t="n">
        <f aca="false">(1+E308)^(1/12)-1</f>
        <v>0.00420821921280923</v>
      </c>
      <c r="G308" s="16" t="n">
        <f aca="false">IF(C308=0,(1+Dic2023!$J$6)^(-B308),EXP(LN(INDEX(Dic2023!$K$6:$K$205,C308))+(LN(INDEX(Dic2023!$K$6:$K$205,MIN(C308+1,200)))-LN(INDEX(Dic2023!$K$6:$K$205,C308)))*(A308-6*C308)/6))</f>
        <v>0.278980223237554</v>
      </c>
      <c r="H308" s="12" t="n">
        <f aca="false">G308^(-1/B308)-1</f>
        <v>0.0516839832713014</v>
      </c>
      <c r="I308" s="12" t="n">
        <f aca="false">(1+H308)^(1/12)-1</f>
        <v>0.00420821921280923</v>
      </c>
      <c r="J308" s="16" t="n">
        <f aca="false">IF(C308=0,(1+Dic2023!$M$6)^(-B308),EXP(LN(INDEX(Dic2023!$N$6:$N$205,C308))+(LN(INDEX(Dic2023!$N$6:$N$205,MIN(C308+1,200)))-LN(INDEX(Dic2023!$N$6:$N$205,C308)))*(A308-6*C308)/6))</f>
        <v>0.278980223237554</v>
      </c>
      <c r="K308" s="12" t="n">
        <f aca="false">J308^(-1/B308)-1</f>
        <v>0.0516839832713014</v>
      </c>
      <c r="L308" s="12" t="n">
        <f aca="false">(1+K308)^(1/12)-1</f>
        <v>0.00420821921280923</v>
      </c>
    </row>
    <row r="309" customFormat="false" ht="15" hidden="false" customHeight="false" outlineLevel="0" collapsed="false">
      <c r="A309" s="4" t="n">
        <v>305</v>
      </c>
      <c r="B309" s="14" t="n">
        <f aca="false">A309/12</f>
        <v>25.4166666666667</v>
      </c>
      <c r="C309" s="15" t="n">
        <f aca="false">INT(A309/6)</f>
        <v>50</v>
      </c>
      <c r="D309" s="16" t="n">
        <f aca="false">IF(C309=0,(1+Dic2023!$G$6)^(-B309),EXP(LN(INDEX(Dic2023!$H$6:$H$205,C309))+(LN(INDEX(Dic2023!$H$6:$H$205,MIN(C309+1,200)))-LN(INDEX(Dic2023!$H$6:$H$205,C309)))*(A309-6*C309)/6))</f>
        <v>0.277924772456406</v>
      </c>
      <c r="E309" s="12" t="n">
        <f aca="false">D309^(-1/B309)-1</f>
        <v>0.0516670611999539</v>
      </c>
      <c r="F309" s="12" t="n">
        <f aca="false">(1+E309)^(1/12)-1</f>
        <v>0.00420687268914444</v>
      </c>
      <c r="G309" s="16" t="n">
        <f aca="false">IF(C309=0,(1+Dic2023!$J$6)^(-B309),EXP(LN(INDEX(Dic2023!$K$6:$K$205,C309))+(LN(INDEX(Dic2023!$K$6:$K$205,MIN(C309+1,200)))-LN(INDEX(Dic2023!$K$6:$K$205,C309)))*(A309-6*C309)/6))</f>
        <v>0.277924772456406</v>
      </c>
      <c r="H309" s="12" t="n">
        <f aca="false">G309^(-1/B309)-1</f>
        <v>0.0516670611999539</v>
      </c>
      <c r="I309" s="12" t="n">
        <f aca="false">(1+H309)^(1/12)-1</f>
        <v>0.00420687268914444</v>
      </c>
      <c r="J309" s="16" t="n">
        <f aca="false">IF(C309=0,(1+Dic2023!$M$6)^(-B309),EXP(LN(INDEX(Dic2023!$N$6:$N$205,C309))+(LN(INDEX(Dic2023!$N$6:$N$205,MIN(C309+1,200)))-LN(INDEX(Dic2023!$N$6:$N$205,C309)))*(A309-6*C309)/6))</f>
        <v>0.277924772456406</v>
      </c>
      <c r="K309" s="12" t="n">
        <f aca="false">J309^(-1/B309)-1</f>
        <v>0.0516670611999539</v>
      </c>
      <c r="L309" s="12" t="n">
        <f aca="false">(1+K309)^(1/12)-1</f>
        <v>0.00420687268914444</v>
      </c>
    </row>
    <row r="310" customFormat="false" ht="15" hidden="false" customHeight="false" outlineLevel="0" collapsed="false">
      <c r="A310" s="4" t="n">
        <v>306</v>
      </c>
      <c r="B310" s="14" t="n">
        <f aca="false">A310/12</f>
        <v>25.5</v>
      </c>
      <c r="C310" s="15" t="n">
        <f aca="false">INT(A310/6)</f>
        <v>51</v>
      </c>
      <c r="D310" s="16" t="n">
        <f aca="false">IF(C310=0,(1+Dic2023!$G$6)^(-B310),EXP(LN(INDEX(Dic2023!$H$6:$H$205,C310))+(LN(INDEX(Dic2023!$H$6:$H$205,MIN(C310+1,200)))-LN(INDEX(Dic2023!$H$6:$H$205,C310)))*(A310-6*C310)/6))</f>
        <v>0.27687331470508</v>
      </c>
      <c r="E310" s="12" t="n">
        <f aca="false">D310^(-1/B310)-1</f>
        <v>0.0516502500000002</v>
      </c>
      <c r="F310" s="12" t="n">
        <f aca="false">(1+E310)^(1/12)-1</f>
        <v>0.00420553496807585</v>
      </c>
      <c r="G310" s="16" t="n">
        <f aca="false">IF(C310=0,(1+Dic2023!$J$6)^(-B310),EXP(LN(INDEX(Dic2023!$K$6:$K$205,C310))+(LN(INDEX(Dic2023!$K$6:$K$205,MIN(C310+1,200)))-LN(INDEX(Dic2023!$K$6:$K$205,C310)))*(A310-6*C310)/6))</f>
        <v>0.27687331470508</v>
      </c>
      <c r="H310" s="12" t="n">
        <f aca="false">G310^(-1/B310)-1</f>
        <v>0.0516502500000002</v>
      </c>
      <c r="I310" s="12" t="n">
        <f aca="false">(1+H310)^(1/12)-1</f>
        <v>0.00420553496807585</v>
      </c>
      <c r="J310" s="16" t="n">
        <f aca="false">IF(C310=0,(1+Dic2023!$M$6)^(-B310),EXP(LN(INDEX(Dic2023!$N$6:$N$205,C310))+(LN(INDEX(Dic2023!$N$6:$N$205,MIN(C310+1,200)))-LN(INDEX(Dic2023!$N$6:$N$205,C310)))*(A310-6*C310)/6))</f>
        <v>0.27687331470508</v>
      </c>
      <c r="K310" s="12" t="n">
        <f aca="false">J310^(-1/B310)-1</f>
        <v>0.0516502500000002</v>
      </c>
      <c r="L310" s="12" t="n">
        <f aca="false">(1+K310)^(1/12)-1</f>
        <v>0.00420553496807585</v>
      </c>
    </row>
    <row r="311" customFormat="false" ht="15" hidden="false" customHeight="false" outlineLevel="0" collapsed="false">
      <c r="A311" s="4" t="n">
        <v>307</v>
      </c>
      <c r="B311" s="14" t="n">
        <f aca="false">A311/12</f>
        <v>25.5833333333333</v>
      </c>
      <c r="C311" s="15" t="n">
        <f aca="false">INT(A311/6)</f>
        <v>51</v>
      </c>
      <c r="D311" s="16" t="n">
        <f aca="false">IF(C311=0,(1+Dic2023!$G$6)^(-B311),EXP(LN(INDEX(Dic2023!$H$6:$H$205,C311))+(LN(INDEX(Dic2023!$H$6:$H$205,MIN(C311+1,200)))-LN(INDEX(Dic2023!$H$6:$H$205,C311)))*(A311-6*C311)/6))</f>
        <v>0.275713790717039</v>
      </c>
      <c r="E311" s="12" t="n">
        <f aca="false">D311^(-1/B311)-1</f>
        <v>0.0516502500000002</v>
      </c>
      <c r="F311" s="12" t="n">
        <f aca="false">(1+E311)^(1/12)-1</f>
        <v>0.00420553496807585</v>
      </c>
      <c r="G311" s="16" t="n">
        <f aca="false">IF(C311=0,(1+Dic2023!$J$6)^(-B311),EXP(LN(INDEX(Dic2023!$K$6:$K$205,C311))+(LN(INDEX(Dic2023!$K$6:$K$205,MIN(C311+1,200)))-LN(INDEX(Dic2023!$K$6:$K$205,C311)))*(A311-6*C311)/6))</f>
        <v>0.275713790717039</v>
      </c>
      <c r="H311" s="12" t="n">
        <f aca="false">G311^(-1/B311)-1</f>
        <v>0.0516502500000002</v>
      </c>
      <c r="I311" s="12" t="n">
        <f aca="false">(1+H311)^(1/12)-1</f>
        <v>0.00420553496807585</v>
      </c>
      <c r="J311" s="16" t="n">
        <f aca="false">IF(C311=0,(1+Dic2023!$M$6)^(-B311),EXP(LN(INDEX(Dic2023!$N$6:$N$205,C311))+(LN(INDEX(Dic2023!$N$6:$N$205,MIN(C311+1,200)))-LN(INDEX(Dic2023!$N$6:$N$205,C311)))*(A311-6*C311)/6))</f>
        <v>0.275713790717039</v>
      </c>
      <c r="K311" s="12" t="n">
        <f aca="false">J311^(-1/B311)-1</f>
        <v>0.0516502500000002</v>
      </c>
      <c r="L311" s="12" t="n">
        <f aca="false">(1+K311)^(1/12)-1</f>
        <v>0.00420553496807585</v>
      </c>
    </row>
    <row r="312" customFormat="false" ht="15" hidden="false" customHeight="false" outlineLevel="0" collapsed="false">
      <c r="A312" s="4" t="n">
        <v>308</v>
      </c>
      <c r="B312" s="14" t="n">
        <f aca="false">A312/12</f>
        <v>25.6666666666667</v>
      </c>
      <c r="C312" s="15" t="n">
        <f aca="false">INT(A312/6)</f>
        <v>51</v>
      </c>
      <c r="D312" s="16" t="n">
        <f aca="false">IF(C312=0,(1+Dic2023!$G$6)^(-B312),EXP(LN(INDEX(Dic2023!$H$6:$H$205,C312))+(LN(INDEX(Dic2023!$H$6:$H$205,MIN(C312+1,200)))-LN(INDEX(Dic2023!$H$6:$H$205,C312)))*(A312-6*C312)/6))</f>
        <v>0.274559122725612</v>
      </c>
      <c r="E312" s="12" t="n">
        <f aca="false">D312^(-1/B312)-1</f>
        <v>0.0516502500000002</v>
      </c>
      <c r="F312" s="12" t="n">
        <f aca="false">(1+E312)^(1/12)-1</f>
        <v>0.00420553496807585</v>
      </c>
      <c r="G312" s="16" t="n">
        <f aca="false">IF(C312=0,(1+Dic2023!$J$6)^(-B312),EXP(LN(INDEX(Dic2023!$K$6:$K$205,C312))+(LN(INDEX(Dic2023!$K$6:$K$205,MIN(C312+1,200)))-LN(INDEX(Dic2023!$K$6:$K$205,C312)))*(A312-6*C312)/6))</f>
        <v>0.274559122725612</v>
      </c>
      <c r="H312" s="12" t="n">
        <f aca="false">G312^(-1/B312)-1</f>
        <v>0.0516502500000002</v>
      </c>
      <c r="I312" s="12" t="n">
        <f aca="false">(1+H312)^(1/12)-1</f>
        <v>0.00420553496807585</v>
      </c>
      <c r="J312" s="16" t="n">
        <f aca="false">IF(C312=0,(1+Dic2023!$M$6)^(-B312),EXP(LN(INDEX(Dic2023!$N$6:$N$205,C312))+(LN(INDEX(Dic2023!$N$6:$N$205,MIN(C312+1,200)))-LN(INDEX(Dic2023!$N$6:$N$205,C312)))*(A312-6*C312)/6))</f>
        <v>0.274559122725612</v>
      </c>
      <c r="K312" s="12" t="n">
        <f aca="false">J312^(-1/B312)-1</f>
        <v>0.0516502500000002</v>
      </c>
      <c r="L312" s="12" t="n">
        <f aca="false">(1+K312)^(1/12)-1</f>
        <v>0.00420553496807585</v>
      </c>
    </row>
    <row r="313" customFormat="false" ht="15" hidden="false" customHeight="false" outlineLevel="0" collapsed="false">
      <c r="A313" s="4" t="n">
        <v>309</v>
      </c>
      <c r="B313" s="14" t="n">
        <f aca="false">A313/12</f>
        <v>25.75</v>
      </c>
      <c r="C313" s="15" t="n">
        <f aca="false">INT(A313/6)</f>
        <v>51</v>
      </c>
      <c r="D313" s="16" t="n">
        <f aca="false">IF(C313=0,(1+Dic2023!$G$6)^(-B313),EXP(LN(INDEX(Dic2023!$H$6:$H$205,C313))+(LN(INDEX(Dic2023!$H$6:$H$205,MIN(C313+1,200)))-LN(INDEX(Dic2023!$H$6:$H$205,C313)))*(A313-6*C313)/6))</f>
        <v>0.273409290394262</v>
      </c>
      <c r="E313" s="12" t="n">
        <f aca="false">D313^(-1/B313)-1</f>
        <v>0.0516502500000002</v>
      </c>
      <c r="F313" s="12" t="n">
        <f aca="false">(1+E313)^(1/12)-1</f>
        <v>0.00420553496807585</v>
      </c>
      <c r="G313" s="16" t="n">
        <f aca="false">IF(C313=0,(1+Dic2023!$J$6)^(-B313),EXP(LN(INDEX(Dic2023!$K$6:$K$205,C313))+(LN(INDEX(Dic2023!$K$6:$K$205,MIN(C313+1,200)))-LN(INDEX(Dic2023!$K$6:$K$205,C313)))*(A313-6*C313)/6))</f>
        <v>0.273409290394262</v>
      </c>
      <c r="H313" s="12" t="n">
        <f aca="false">G313^(-1/B313)-1</f>
        <v>0.0516502500000002</v>
      </c>
      <c r="I313" s="12" t="n">
        <f aca="false">(1+H313)^(1/12)-1</f>
        <v>0.00420553496807585</v>
      </c>
      <c r="J313" s="16" t="n">
        <f aca="false">IF(C313=0,(1+Dic2023!$M$6)^(-B313),EXP(LN(INDEX(Dic2023!$N$6:$N$205,C313))+(LN(INDEX(Dic2023!$N$6:$N$205,MIN(C313+1,200)))-LN(INDEX(Dic2023!$N$6:$N$205,C313)))*(A313-6*C313)/6))</f>
        <v>0.273409290394262</v>
      </c>
      <c r="K313" s="12" t="n">
        <f aca="false">J313^(-1/B313)-1</f>
        <v>0.0516502500000002</v>
      </c>
      <c r="L313" s="12" t="n">
        <f aca="false">(1+K313)^(1/12)-1</f>
        <v>0.00420553496807585</v>
      </c>
    </row>
    <row r="314" customFormat="false" ht="15" hidden="false" customHeight="false" outlineLevel="0" collapsed="false">
      <c r="A314" s="4" t="n">
        <v>310</v>
      </c>
      <c r="B314" s="14" t="n">
        <f aca="false">A314/12</f>
        <v>25.8333333333333</v>
      </c>
      <c r="C314" s="15" t="n">
        <f aca="false">INT(A314/6)</f>
        <v>51</v>
      </c>
      <c r="D314" s="16" t="n">
        <f aca="false">IF(C314=0,(1+Dic2023!$G$6)^(-B314),EXP(LN(INDEX(Dic2023!$H$6:$H$205,C314))+(LN(INDEX(Dic2023!$H$6:$H$205,MIN(C314+1,200)))-LN(INDEX(Dic2023!$H$6:$H$205,C314)))*(A314-6*C314)/6))</f>
        <v>0.27226427347162</v>
      </c>
      <c r="E314" s="12" t="n">
        <f aca="false">D314^(-1/B314)-1</f>
        <v>0.0516502500000002</v>
      </c>
      <c r="F314" s="12" t="n">
        <f aca="false">(1+E314)^(1/12)-1</f>
        <v>0.00420553496807585</v>
      </c>
      <c r="G314" s="16" t="n">
        <f aca="false">IF(C314=0,(1+Dic2023!$J$6)^(-B314),EXP(LN(INDEX(Dic2023!$K$6:$K$205,C314))+(LN(INDEX(Dic2023!$K$6:$K$205,MIN(C314+1,200)))-LN(INDEX(Dic2023!$K$6:$K$205,C314)))*(A314-6*C314)/6))</f>
        <v>0.27226427347162</v>
      </c>
      <c r="H314" s="12" t="n">
        <f aca="false">G314^(-1/B314)-1</f>
        <v>0.0516502500000002</v>
      </c>
      <c r="I314" s="12" t="n">
        <f aca="false">(1+H314)^(1/12)-1</f>
        <v>0.00420553496807585</v>
      </c>
      <c r="J314" s="16" t="n">
        <f aca="false">IF(C314=0,(1+Dic2023!$M$6)^(-B314),EXP(LN(INDEX(Dic2023!$N$6:$N$205,C314))+(LN(INDEX(Dic2023!$N$6:$N$205,MIN(C314+1,200)))-LN(INDEX(Dic2023!$N$6:$N$205,C314)))*(A314-6*C314)/6))</f>
        <v>0.27226427347162</v>
      </c>
      <c r="K314" s="12" t="n">
        <f aca="false">J314^(-1/B314)-1</f>
        <v>0.0516502500000002</v>
      </c>
      <c r="L314" s="12" t="n">
        <f aca="false">(1+K314)^(1/12)-1</f>
        <v>0.00420553496807585</v>
      </c>
    </row>
    <row r="315" customFormat="false" ht="15" hidden="false" customHeight="false" outlineLevel="0" collapsed="false">
      <c r="A315" s="4" t="n">
        <v>311</v>
      </c>
      <c r="B315" s="14" t="n">
        <f aca="false">A315/12</f>
        <v>25.9166666666667</v>
      </c>
      <c r="C315" s="15" t="n">
        <f aca="false">INT(A315/6)</f>
        <v>51</v>
      </c>
      <c r="D315" s="16" t="n">
        <f aca="false">IF(C315=0,(1+Dic2023!$G$6)^(-B315),EXP(LN(INDEX(Dic2023!$H$6:$H$205,C315))+(LN(INDEX(Dic2023!$H$6:$H$205,MIN(C315+1,200)))-LN(INDEX(Dic2023!$H$6:$H$205,C315)))*(A315-6*C315)/6))</f>
        <v>0.271124051791126</v>
      </c>
      <c r="E315" s="12" t="n">
        <f aca="false">D315^(-1/B315)-1</f>
        <v>0.0516502500000002</v>
      </c>
      <c r="F315" s="12" t="n">
        <f aca="false">(1+E315)^(1/12)-1</f>
        <v>0.00420553496807585</v>
      </c>
      <c r="G315" s="16" t="n">
        <f aca="false">IF(C315=0,(1+Dic2023!$J$6)^(-B315),EXP(LN(INDEX(Dic2023!$K$6:$K$205,C315))+(LN(INDEX(Dic2023!$K$6:$K$205,MIN(C315+1,200)))-LN(INDEX(Dic2023!$K$6:$K$205,C315)))*(A315-6*C315)/6))</f>
        <v>0.271124051791126</v>
      </c>
      <c r="H315" s="12" t="n">
        <f aca="false">G315^(-1/B315)-1</f>
        <v>0.0516502500000002</v>
      </c>
      <c r="I315" s="12" t="n">
        <f aca="false">(1+H315)^(1/12)-1</f>
        <v>0.00420553496807585</v>
      </c>
      <c r="J315" s="16" t="n">
        <f aca="false">IF(C315=0,(1+Dic2023!$M$6)^(-B315),EXP(LN(INDEX(Dic2023!$N$6:$N$205,C315))+(LN(INDEX(Dic2023!$N$6:$N$205,MIN(C315+1,200)))-LN(INDEX(Dic2023!$N$6:$N$205,C315)))*(A315-6*C315)/6))</f>
        <v>0.271124051791126</v>
      </c>
      <c r="K315" s="12" t="n">
        <f aca="false">J315^(-1/B315)-1</f>
        <v>0.0516502500000002</v>
      </c>
      <c r="L315" s="12" t="n">
        <f aca="false">(1+K315)^(1/12)-1</f>
        <v>0.00420553496807585</v>
      </c>
    </row>
    <row r="316" customFormat="false" ht="15" hidden="false" customHeight="false" outlineLevel="0" collapsed="false">
      <c r="A316" s="4" t="n">
        <v>312</v>
      </c>
      <c r="B316" s="14" t="n">
        <f aca="false">A316/12</f>
        <v>26</v>
      </c>
      <c r="C316" s="15" t="n">
        <f aca="false">INT(A316/6)</f>
        <v>52</v>
      </c>
      <c r="D316" s="16" t="n">
        <f aca="false">IF(C316=0,(1+Dic2023!$G$6)^(-B316),EXP(LN(INDEX(Dic2023!$H$6:$H$205,C316))+(LN(INDEX(Dic2023!$H$6:$H$205,MIN(C316+1,200)))-LN(INDEX(Dic2023!$H$6:$H$205,C316)))*(A316-6*C316)/6))</f>
        <v>0.269988605270678</v>
      </c>
      <c r="E316" s="12" t="n">
        <f aca="false">D316^(-1/B316)-1</f>
        <v>0.0516502500000002</v>
      </c>
      <c r="F316" s="12" t="n">
        <f aca="false">(1+E316)^(1/12)-1</f>
        <v>0.00420553496807585</v>
      </c>
      <c r="G316" s="16" t="n">
        <f aca="false">IF(C316=0,(1+Dic2023!$J$6)^(-B316),EXP(LN(INDEX(Dic2023!$K$6:$K$205,C316))+(LN(INDEX(Dic2023!$K$6:$K$205,MIN(C316+1,200)))-LN(INDEX(Dic2023!$K$6:$K$205,C316)))*(A316-6*C316)/6))</f>
        <v>0.269988605270678</v>
      </c>
      <c r="H316" s="12" t="n">
        <f aca="false">G316^(-1/B316)-1</f>
        <v>0.0516502500000002</v>
      </c>
      <c r="I316" s="12" t="n">
        <f aca="false">(1+H316)^(1/12)-1</f>
        <v>0.00420553496807585</v>
      </c>
      <c r="J316" s="16" t="n">
        <f aca="false">IF(C316=0,(1+Dic2023!$M$6)^(-B316),EXP(LN(INDEX(Dic2023!$N$6:$N$205,C316))+(LN(INDEX(Dic2023!$N$6:$N$205,MIN(C316+1,200)))-LN(INDEX(Dic2023!$N$6:$N$205,C316)))*(A316-6*C316)/6))</f>
        <v>0.269988605270678</v>
      </c>
      <c r="K316" s="12" t="n">
        <f aca="false">J316^(-1/B316)-1</f>
        <v>0.0516502500000002</v>
      </c>
      <c r="L316" s="12" t="n">
        <f aca="false">(1+K316)^(1/12)-1</f>
        <v>0.00420553496807585</v>
      </c>
    </row>
    <row r="317" customFormat="false" ht="15" hidden="false" customHeight="false" outlineLevel="0" collapsed="false">
      <c r="A317" s="4" t="n">
        <v>313</v>
      </c>
      <c r="B317" s="14" t="n">
        <f aca="false">A317/12</f>
        <v>26.0833333333333</v>
      </c>
      <c r="C317" s="15" t="n">
        <f aca="false">INT(A317/6)</f>
        <v>52</v>
      </c>
      <c r="D317" s="16" t="n">
        <f aca="false">IF(C317=0,(1+Dic2023!$G$6)^(-B317),EXP(LN(INDEX(Dic2023!$H$6:$H$205,C317))+(LN(INDEX(Dic2023!$H$6:$H$205,MIN(C317+1,200)))-LN(INDEX(Dic2023!$H$6:$H$205,C317)))*(A317-6*C317)/6))</f>
        <v>0.268857913912276</v>
      </c>
      <c r="E317" s="12" t="n">
        <f aca="false">D317^(-1/B317)-1</f>
        <v>0.0516502500000002</v>
      </c>
      <c r="F317" s="12" t="n">
        <f aca="false">(1+E317)^(1/12)-1</f>
        <v>0.00420553496807585</v>
      </c>
      <c r="G317" s="16" t="n">
        <f aca="false">IF(C317=0,(1+Dic2023!$J$6)^(-B317),EXP(LN(INDEX(Dic2023!$K$6:$K$205,C317))+(LN(INDEX(Dic2023!$K$6:$K$205,MIN(C317+1,200)))-LN(INDEX(Dic2023!$K$6:$K$205,C317)))*(A317-6*C317)/6))</f>
        <v>0.268857913912276</v>
      </c>
      <c r="H317" s="12" t="n">
        <f aca="false">G317^(-1/B317)-1</f>
        <v>0.0516502500000002</v>
      </c>
      <c r="I317" s="12" t="n">
        <f aca="false">(1+H317)^(1/12)-1</f>
        <v>0.00420553496807585</v>
      </c>
      <c r="J317" s="16" t="n">
        <f aca="false">IF(C317=0,(1+Dic2023!$M$6)^(-B317),EXP(LN(INDEX(Dic2023!$N$6:$N$205,C317))+(LN(INDEX(Dic2023!$N$6:$N$205,MIN(C317+1,200)))-LN(INDEX(Dic2023!$N$6:$N$205,C317)))*(A317-6*C317)/6))</f>
        <v>0.268857913912276</v>
      </c>
      <c r="K317" s="12" t="n">
        <f aca="false">J317^(-1/B317)-1</f>
        <v>0.0516502500000002</v>
      </c>
      <c r="L317" s="12" t="n">
        <f aca="false">(1+K317)^(1/12)-1</f>
        <v>0.00420553496807585</v>
      </c>
    </row>
    <row r="318" customFormat="false" ht="15" hidden="false" customHeight="false" outlineLevel="0" collapsed="false">
      <c r="A318" s="4" t="n">
        <v>314</v>
      </c>
      <c r="B318" s="14" t="n">
        <f aca="false">A318/12</f>
        <v>26.1666666666667</v>
      </c>
      <c r="C318" s="15" t="n">
        <f aca="false">INT(A318/6)</f>
        <v>52</v>
      </c>
      <c r="D318" s="16" t="n">
        <f aca="false">IF(C318=0,(1+Dic2023!$G$6)^(-B318),EXP(LN(INDEX(Dic2023!$H$6:$H$205,C318))+(LN(INDEX(Dic2023!$H$6:$H$205,MIN(C318+1,200)))-LN(INDEX(Dic2023!$H$6:$H$205,C318)))*(A318-6*C318)/6))</f>
        <v>0.26773195780167</v>
      </c>
      <c r="E318" s="12" t="n">
        <f aca="false">D318^(-1/B318)-1</f>
        <v>0.0516502500000002</v>
      </c>
      <c r="F318" s="12" t="n">
        <f aca="false">(1+E318)^(1/12)-1</f>
        <v>0.00420553496807585</v>
      </c>
      <c r="G318" s="16" t="n">
        <f aca="false">IF(C318=0,(1+Dic2023!$J$6)^(-B318),EXP(LN(INDEX(Dic2023!$K$6:$K$205,C318))+(LN(INDEX(Dic2023!$K$6:$K$205,MIN(C318+1,200)))-LN(INDEX(Dic2023!$K$6:$K$205,C318)))*(A318-6*C318)/6))</f>
        <v>0.26773195780167</v>
      </c>
      <c r="H318" s="12" t="n">
        <f aca="false">G318^(-1/B318)-1</f>
        <v>0.0516502500000002</v>
      </c>
      <c r="I318" s="12" t="n">
        <f aca="false">(1+H318)^(1/12)-1</f>
        <v>0.00420553496807585</v>
      </c>
      <c r="J318" s="16" t="n">
        <f aca="false">IF(C318=0,(1+Dic2023!$M$6)^(-B318),EXP(LN(INDEX(Dic2023!$N$6:$N$205,C318))+(LN(INDEX(Dic2023!$N$6:$N$205,MIN(C318+1,200)))-LN(INDEX(Dic2023!$N$6:$N$205,C318)))*(A318-6*C318)/6))</f>
        <v>0.26773195780167</v>
      </c>
      <c r="K318" s="12" t="n">
        <f aca="false">J318^(-1/B318)-1</f>
        <v>0.0516502500000002</v>
      </c>
      <c r="L318" s="12" t="n">
        <f aca="false">(1+K318)^(1/12)-1</f>
        <v>0.00420553496807585</v>
      </c>
    </row>
    <row r="319" customFormat="false" ht="15" hidden="false" customHeight="false" outlineLevel="0" collapsed="false">
      <c r="A319" s="4" t="n">
        <v>315</v>
      </c>
      <c r="B319" s="14" t="n">
        <f aca="false">A319/12</f>
        <v>26.25</v>
      </c>
      <c r="C319" s="15" t="n">
        <f aca="false">INT(A319/6)</f>
        <v>52</v>
      </c>
      <c r="D319" s="16" t="n">
        <f aca="false">IF(C319=0,(1+Dic2023!$G$6)^(-B319),EXP(LN(INDEX(Dic2023!$H$6:$H$205,C319))+(LN(INDEX(Dic2023!$H$6:$H$205,MIN(C319+1,200)))-LN(INDEX(Dic2023!$H$6:$H$205,C319)))*(A319-6*C319)/6))</f>
        <v>0.266610717108008</v>
      </c>
      <c r="E319" s="12" t="n">
        <f aca="false">D319^(-1/B319)-1</f>
        <v>0.0516502500000002</v>
      </c>
      <c r="F319" s="12" t="n">
        <f aca="false">(1+E319)^(1/12)-1</f>
        <v>0.00420553496807585</v>
      </c>
      <c r="G319" s="16" t="n">
        <f aca="false">IF(C319=0,(1+Dic2023!$J$6)^(-B319),EXP(LN(INDEX(Dic2023!$K$6:$K$205,C319))+(LN(INDEX(Dic2023!$K$6:$K$205,MIN(C319+1,200)))-LN(INDEX(Dic2023!$K$6:$K$205,C319)))*(A319-6*C319)/6))</f>
        <v>0.266610717108008</v>
      </c>
      <c r="H319" s="12" t="n">
        <f aca="false">G319^(-1/B319)-1</f>
        <v>0.0516502500000002</v>
      </c>
      <c r="I319" s="12" t="n">
        <f aca="false">(1+H319)^(1/12)-1</f>
        <v>0.00420553496807585</v>
      </c>
      <c r="J319" s="16" t="n">
        <f aca="false">IF(C319=0,(1+Dic2023!$M$6)^(-B319),EXP(LN(INDEX(Dic2023!$N$6:$N$205,C319))+(LN(INDEX(Dic2023!$N$6:$N$205,MIN(C319+1,200)))-LN(INDEX(Dic2023!$N$6:$N$205,C319)))*(A319-6*C319)/6))</f>
        <v>0.266610717108008</v>
      </c>
      <c r="K319" s="12" t="n">
        <f aca="false">J319^(-1/B319)-1</f>
        <v>0.0516502500000002</v>
      </c>
      <c r="L319" s="12" t="n">
        <f aca="false">(1+K319)^(1/12)-1</f>
        <v>0.00420553496807585</v>
      </c>
    </row>
    <row r="320" customFormat="false" ht="15" hidden="false" customHeight="false" outlineLevel="0" collapsed="false">
      <c r="A320" s="4" t="n">
        <v>316</v>
      </c>
      <c r="B320" s="14" t="n">
        <f aca="false">A320/12</f>
        <v>26.3333333333333</v>
      </c>
      <c r="C320" s="15" t="n">
        <f aca="false">INT(A320/6)</f>
        <v>52</v>
      </c>
      <c r="D320" s="16" t="n">
        <f aca="false">IF(C320=0,(1+Dic2023!$G$6)^(-B320),EXP(LN(INDEX(Dic2023!$H$6:$H$205,C320))+(LN(INDEX(Dic2023!$H$6:$H$205,MIN(C320+1,200)))-LN(INDEX(Dic2023!$H$6:$H$205,C320)))*(A320-6*C320)/6))</f>
        <v>0.265494172083491</v>
      </c>
      <c r="E320" s="12" t="n">
        <f aca="false">D320^(-1/B320)-1</f>
        <v>0.0516502500000002</v>
      </c>
      <c r="F320" s="12" t="n">
        <f aca="false">(1+E320)^(1/12)-1</f>
        <v>0.00420553496807585</v>
      </c>
      <c r="G320" s="16" t="n">
        <f aca="false">IF(C320=0,(1+Dic2023!$J$6)^(-B320),EXP(LN(INDEX(Dic2023!$K$6:$K$205,C320))+(LN(INDEX(Dic2023!$K$6:$K$205,MIN(C320+1,200)))-LN(INDEX(Dic2023!$K$6:$K$205,C320)))*(A320-6*C320)/6))</f>
        <v>0.265494172083491</v>
      </c>
      <c r="H320" s="12" t="n">
        <f aca="false">G320^(-1/B320)-1</f>
        <v>0.0516502500000002</v>
      </c>
      <c r="I320" s="12" t="n">
        <f aca="false">(1+H320)^(1/12)-1</f>
        <v>0.00420553496807585</v>
      </c>
      <c r="J320" s="16" t="n">
        <f aca="false">IF(C320=0,(1+Dic2023!$M$6)^(-B320),EXP(LN(INDEX(Dic2023!$N$6:$N$205,C320))+(LN(INDEX(Dic2023!$N$6:$N$205,MIN(C320+1,200)))-LN(INDEX(Dic2023!$N$6:$N$205,C320)))*(A320-6*C320)/6))</f>
        <v>0.265494172083491</v>
      </c>
      <c r="K320" s="12" t="n">
        <f aca="false">J320^(-1/B320)-1</f>
        <v>0.0516502500000002</v>
      </c>
      <c r="L320" s="12" t="n">
        <f aca="false">(1+K320)^(1/12)-1</f>
        <v>0.00420553496807585</v>
      </c>
    </row>
    <row r="321" customFormat="false" ht="15" hidden="false" customHeight="false" outlineLevel="0" collapsed="false">
      <c r="A321" s="4" t="n">
        <v>317</v>
      </c>
      <c r="B321" s="14" t="n">
        <f aca="false">A321/12</f>
        <v>26.4166666666667</v>
      </c>
      <c r="C321" s="15" t="n">
        <f aca="false">INT(A321/6)</f>
        <v>52</v>
      </c>
      <c r="D321" s="16" t="n">
        <f aca="false">IF(C321=0,(1+Dic2023!$G$6)^(-B321),EXP(LN(INDEX(Dic2023!$H$6:$H$205,C321))+(LN(INDEX(Dic2023!$H$6:$H$205,MIN(C321+1,200)))-LN(INDEX(Dic2023!$H$6:$H$205,C321)))*(A321-6*C321)/6))</f>
        <v>0.264382303063019</v>
      </c>
      <c r="E321" s="12" t="n">
        <f aca="false">D321^(-1/B321)-1</f>
        <v>0.0516502500000002</v>
      </c>
      <c r="F321" s="12" t="n">
        <f aca="false">(1+E321)^(1/12)-1</f>
        <v>0.00420553496807585</v>
      </c>
      <c r="G321" s="16" t="n">
        <f aca="false">IF(C321=0,(1+Dic2023!$J$6)^(-B321),EXP(LN(INDEX(Dic2023!$K$6:$K$205,C321))+(LN(INDEX(Dic2023!$K$6:$K$205,MIN(C321+1,200)))-LN(INDEX(Dic2023!$K$6:$K$205,C321)))*(A321-6*C321)/6))</f>
        <v>0.264382303063019</v>
      </c>
      <c r="H321" s="12" t="n">
        <f aca="false">G321^(-1/B321)-1</f>
        <v>0.0516502500000002</v>
      </c>
      <c r="I321" s="12" t="n">
        <f aca="false">(1+H321)^(1/12)-1</f>
        <v>0.00420553496807585</v>
      </c>
      <c r="J321" s="16" t="n">
        <f aca="false">IF(C321=0,(1+Dic2023!$M$6)^(-B321),EXP(LN(INDEX(Dic2023!$N$6:$N$205,C321))+(LN(INDEX(Dic2023!$N$6:$N$205,MIN(C321+1,200)))-LN(INDEX(Dic2023!$N$6:$N$205,C321)))*(A321-6*C321)/6))</f>
        <v>0.264382303063019</v>
      </c>
      <c r="K321" s="12" t="n">
        <f aca="false">J321^(-1/B321)-1</f>
        <v>0.0516502500000002</v>
      </c>
      <c r="L321" s="12" t="n">
        <f aca="false">(1+K321)^(1/12)-1</f>
        <v>0.00420553496807585</v>
      </c>
    </row>
    <row r="322" customFormat="false" ht="15" hidden="false" customHeight="false" outlineLevel="0" collapsed="false">
      <c r="A322" s="4" t="n">
        <v>318</v>
      </c>
      <c r="B322" s="14" t="n">
        <f aca="false">A322/12</f>
        <v>26.5</v>
      </c>
      <c r="C322" s="15" t="n">
        <f aca="false">INT(A322/6)</f>
        <v>53</v>
      </c>
      <c r="D322" s="16" t="n">
        <f aca="false">IF(C322=0,(1+Dic2023!$G$6)^(-B322),EXP(LN(INDEX(Dic2023!$H$6:$H$205,C322))+(LN(INDEX(Dic2023!$H$6:$H$205,MIN(C322+1,200)))-LN(INDEX(Dic2023!$H$6:$H$205,C322)))*(A322-6*C322)/6))</f>
        <v>0.26327509046385</v>
      </c>
      <c r="E322" s="12" t="n">
        <f aca="false">D322^(-1/B322)-1</f>
        <v>0.0516502500000002</v>
      </c>
      <c r="F322" s="12" t="n">
        <f aca="false">(1+E322)^(1/12)-1</f>
        <v>0.00420553496807585</v>
      </c>
      <c r="G322" s="16" t="n">
        <f aca="false">IF(C322=0,(1+Dic2023!$J$6)^(-B322),EXP(LN(INDEX(Dic2023!$K$6:$K$205,C322))+(LN(INDEX(Dic2023!$K$6:$K$205,MIN(C322+1,200)))-LN(INDEX(Dic2023!$K$6:$K$205,C322)))*(A322-6*C322)/6))</f>
        <v>0.26327509046385</v>
      </c>
      <c r="H322" s="12" t="n">
        <f aca="false">G322^(-1/B322)-1</f>
        <v>0.0516502500000002</v>
      </c>
      <c r="I322" s="12" t="n">
        <f aca="false">(1+H322)^(1/12)-1</f>
        <v>0.00420553496807585</v>
      </c>
      <c r="J322" s="16" t="n">
        <f aca="false">IF(C322=0,(1+Dic2023!$M$6)^(-B322),EXP(LN(INDEX(Dic2023!$N$6:$N$205,C322))+(LN(INDEX(Dic2023!$N$6:$N$205,MIN(C322+1,200)))-LN(INDEX(Dic2023!$N$6:$N$205,C322)))*(A322-6*C322)/6))</f>
        <v>0.26327509046385</v>
      </c>
      <c r="K322" s="12" t="n">
        <f aca="false">J322^(-1/B322)-1</f>
        <v>0.0516502500000002</v>
      </c>
      <c r="L322" s="12" t="n">
        <f aca="false">(1+K322)^(1/12)-1</f>
        <v>0.00420553496807585</v>
      </c>
    </row>
    <row r="323" customFormat="false" ht="15" hidden="false" customHeight="false" outlineLevel="0" collapsed="false">
      <c r="A323" s="4" t="n">
        <v>319</v>
      </c>
      <c r="B323" s="14" t="n">
        <f aca="false">A323/12</f>
        <v>26.5833333333333</v>
      </c>
      <c r="C323" s="15" t="n">
        <f aca="false">INT(A323/6)</f>
        <v>53</v>
      </c>
      <c r="D323" s="16" t="n">
        <f aca="false">IF(C323=0,(1+Dic2023!$G$6)^(-B323),EXP(LN(INDEX(Dic2023!$H$6:$H$205,C323))+(LN(INDEX(Dic2023!$H$6:$H$205,MIN(C323+1,200)))-LN(INDEX(Dic2023!$H$6:$H$205,C323)))*(A323-6*C323)/6))</f>
        <v>0.262172514785252</v>
      </c>
      <c r="E323" s="12" t="n">
        <f aca="false">D323^(-1/B323)-1</f>
        <v>0.0516502500000002</v>
      </c>
      <c r="F323" s="12" t="n">
        <f aca="false">(1+E323)^(1/12)-1</f>
        <v>0.00420553496807585</v>
      </c>
      <c r="G323" s="16" t="n">
        <f aca="false">IF(C323=0,(1+Dic2023!$J$6)^(-B323),EXP(LN(INDEX(Dic2023!$K$6:$K$205,C323))+(LN(INDEX(Dic2023!$K$6:$K$205,MIN(C323+1,200)))-LN(INDEX(Dic2023!$K$6:$K$205,C323)))*(A323-6*C323)/6))</f>
        <v>0.262172514785252</v>
      </c>
      <c r="H323" s="12" t="n">
        <f aca="false">G323^(-1/B323)-1</f>
        <v>0.0516502500000002</v>
      </c>
      <c r="I323" s="12" t="n">
        <f aca="false">(1+H323)^(1/12)-1</f>
        <v>0.00420553496807585</v>
      </c>
      <c r="J323" s="16" t="n">
        <f aca="false">IF(C323=0,(1+Dic2023!$M$6)^(-B323),EXP(LN(INDEX(Dic2023!$N$6:$N$205,C323))+(LN(INDEX(Dic2023!$N$6:$N$205,MIN(C323+1,200)))-LN(INDEX(Dic2023!$N$6:$N$205,C323)))*(A323-6*C323)/6))</f>
        <v>0.262172514785252</v>
      </c>
      <c r="K323" s="12" t="n">
        <f aca="false">J323^(-1/B323)-1</f>
        <v>0.0516502500000002</v>
      </c>
      <c r="L323" s="12" t="n">
        <f aca="false">(1+K323)^(1/12)-1</f>
        <v>0.00420553496807585</v>
      </c>
    </row>
    <row r="324" customFormat="false" ht="15" hidden="false" customHeight="false" outlineLevel="0" collapsed="false">
      <c r="A324" s="4" t="n">
        <v>320</v>
      </c>
      <c r="B324" s="14" t="n">
        <f aca="false">A324/12</f>
        <v>26.6666666666667</v>
      </c>
      <c r="C324" s="15" t="n">
        <f aca="false">INT(A324/6)</f>
        <v>53</v>
      </c>
      <c r="D324" s="16" t="n">
        <f aca="false">IF(C324=0,(1+Dic2023!$G$6)^(-B324),EXP(LN(INDEX(Dic2023!$H$6:$H$205,C324))+(LN(INDEX(Dic2023!$H$6:$H$205,MIN(C324+1,200)))-LN(INDEX(Dic2023!$H$6:$H$205,C324)))*(A324-6*C324)/6))</f>
        <v>0.261074556608161</v>
      </c>
      <c r="E324" s="12" t="n">
        <f aca="false">D324^(-1/B324)-1</f>
        <v>0.0516502500000002</v>
      </c>
      <c r="F324" s="12" t="n">
        <f aca="false">(1+E324)^(1/12)-1</f>
        <v>0.00420553496807585</v>
      </c>
      <c r="G324" s="16" t="n">
        <f aca="false">IF(C324=0,(1+Dic2023!$J$6)^(-B324),EXP(LN(INDEX(Dic2023!$K$6:$K$205,C324))+(LN(INDEX(Dic2023!$K$6:$K$205,MIN(C324+1,200)))-LN(INDEX(Dic2023!$K$6:$K$205,C324)))*(A324-6*C324)/6))</f>
        <v>0.261074556608161</v>
      </c>
      <c r="H324" s="12" t="n">
        <f aca="false">G324^(-1/B324)-1</f>
        <v>0.0516502500000002</v>
      </c>
      <c r="I324" s="12" t="n">
        <f aca="false">(1+H324)^(1/12)-1</f>
        <v>0.00420553496807585</v>
      </c>
      <c r="J324" s="16" t="n">
        <f aca="false">IF(C324=0,(1+Dic2023!$M$6)^(-B324),EXP(LN(INDEX(Dic2023!$N$6:$N$205,C324))+(LN(INDEX(Dic2023!$N$6:$N$205,MIN(C324+1,200)))-LN(INDEX(Dic2023!$N$6:$N$205,C324)))*(A324-6*C324)/6))</f>
        <v>0.261074556608161</v>
      </c>
      <c r="K324" s="12" t="n">
        <f aca="false">J324^(-1/B324)-1</f>
        <v>0.0516502500000002</v>
      </c>
      <c r="L324" s="12" t="n">
        <f aca="false">(1+K324)^(1/12)-1</f>
        <v>0.00420553496807585</v>
      </c>
    </row>
    <row r="325" customFormat="false" ht="15" hidden="false" customHeight="false" outlineLevel="0" collapsed="false">
      <c r="A325" s="4" t="n">
        <v>321</v>
      </c>
      <c r="B325" s="14" t="n">
        <f aca="false">A325/12</f>
        <v>26.75</v>
      </c>
      <c r="C325" s="15" t="n">
        <f aca="false">INT(A325/6)</f>
        <v>53</v>
      </c>
      <c r="D325" s="16" t="n">
        <f aca="false">IF(C325=0,(1+Dic2023!$G$6)^(-B325),EXP(LN(INDEX(Dic2023!$H$6:$H$205,C325))+(LN(INDEX(Dic2023!$H$6:$H$205,MIN(C325+1,200)))-LN(INDEX(Dic2023!$H$6:$H$205,C325)))*(A325-6*C325)/6))</f>
        <v>0.25998119659484</v>
      </c>
      <c r="E325" s="12" t="n">
        <f aca="false">D325^(-1/B325)-1</f>
        <v>0.0516502500000002</v>
      </c>
      <c r="F325" s="12" t="n">
        <f aca="false">(1+E325)^(1/12)-1</f>
        <v>0.00420553496807585</v>
      </c>
      <c r="G325" s="16" t="n">
        <f aca="false">IF(C325=0,(1+Dic2023!$J$6)^(-B325),EXP(LN(INDEX(Dic2023!$K$6:$K$205,C325))+(LN(INDEX(Dic2023!$K$6:$K$205,MIN(C325+1,200)))-LN(INDEX(Dic2023!$K$6:$K$205,C325)))*(A325-6*C325)/6))</f>
        <v>0.25998119659484</v>
      </c>
      <c r="H325" s="12" t="n">
        <f aca="false">G325^(-1/B325)-1</f>
        <v>0.0516502500000002</v>
      </c>
      <c r="I325" s="12" t="n">
        <f aca="false">(1+H325)^(1/12)-1</f>
        <v>0.00420553496807585</v>
      </c>
      <c r="J325" s="16" t="n">
        <f aca="false">IF(C325=0,(1+Dic2023!$M$6)^(-B325),EXP(LN(INDEX(Dic2023!$N$6:$N$205,C325))+(LN(INDEX(Dic2023!$N$6:$N$205,MIN(C325+1,200)))-LN(INDEX(Dic2023!$N$6:$N$205,C325)))*(A325-6*C325)/6))</f>
        <v>0.25998119659484</v>
      </c>
      <c r="K325" s="12" t="n">
        <f aca="false">J325^(-1/B325)-1</f>
        <v>0.0516502500000002</v>
      </c>
      <c r="L325" s="12" t="n">
        <f aca="false">(1+K325)^(1/12)-1</f>
        <v>0.00420553496807585</v>
      </c>
    </row>
    <row r="326" customFormat="false" ht="15" hidden="false" customHeight="false" outlineLevel="0" collapsed="false">
      <c r="A326" s="4" t="n">
        <v>322</v>
      </c>
      <c r="B326" s="14" t="n">
        <f aca="false">A326/12</f>
        <v>26.8333333333333</v>
      </c>
      <c r="C326" s="15" t="n">
        <f aca="false">INT(A326/6)</f>
        <v>53</v>
      </c>
      <c r="D326" s="16" t="n">
        <f aca="false">IF(C326=0,(1+Dic2023!$G$6)^(-B326),EXP(LN(INDEX(Dic2023!$H$6:$H$205,C326))+(LN(INDEX(Dic2023!$H$6:$H$205,MIN(C326+1,200)))-LN(INDEX(Dic2023!$H$6:$H$205,C326)))*(A326-6*C326)/6))</f>
        <v>0.258892415488533</v>
      </c>
      <c r="E326" s="12" t="n">
        <f aca="false">D326^(-1/B326)-1</f>
        <v>0.0516502500000002</v>
      </c>
      <c r="F326" s="12" t="n">
        <f aca="false">(1+E326)^(1/12)-1</f>
        <v>0.00420553496807585</v>
      </c>
      <c r="G326" s="16" t="n">
        <f aca="false">IF(C326=0,(1+Dic2023!$J$6)^(-B326),EXP(LN(INDEX(Dic2023!$K$6:$K$205,C326))+(LN(INDEX(Dic2023!$K$6:$K$205,MIN(C326+1,200)))-LN(INDEX(Dic2023!$K$6:$K$205,C326)))*(A326-6*C326)/6))</f>
        <v>0.258892415488533</v>
      </c>
      <c r="H326" s="12" t="n">
        <f aca="false">G326^(-1/B326)-1</f>
        <v>0.0516502500000002</v>
      </c>
      <c r="I326" s="12" t="n">
        <f aca="false">(1+H326)^(1/12)-1</f>
        <v>0.00420553496807585</v>
      </c>
      <c r="J326" s="16" t="n">
        <f aca="false">IF(C326=0,(1+Dic2023!$M$6)^(-B326),EXP(LN(INDEX(Dic2023!$N$6:$N$205,C326))+(LN(INDEX(Dic2023!$N$6:$N$205,MIN(C326+1,200)))-LN(INDEX(Dic2023!$N$6:$N$205,C326)))*(A326-6*C326)/6))</f>
        <v>0.258892415488533</v>
      </c>
      <c r="K326" s="12" t="n">
        <f aca="false">J326^(-1/B326)-1</f>
        <v>0.0516502500000002</v>
      </c>
      <c r="L326" s="12" t="n">
        <f aca="false">(1+K326)^(1/12)-1</f>
        <v>0.00420553496807585</v>
      </c>
    </row>
    <row r="327" customFormat="false" ht="15" hidden="false" customHeight="false" outlineLevel="0" collapsed="false">
      <c r="A327" s="4" t="n">
        <v>323</v>
      </c>
      <c r="B327" s="14" t="n">
        <f aca="false">A327/12</f>
        <v>26.9166666666667</v>
      </c>
      <c r="C327" s="15" t="n">
        <f aca="false">INT(A327/6)</f>
        <v>53</v>
      </c>
      <c r="D327" s="16" t="n">
        <f aca="false">IF(C327=0,(1+Dic2023!$G$6)^(-B327),EXP(LN(INDEX(Dic2023!$H$6:$H$205,C327))+(LN(INDEX(Dic2023!$H$6:$H$205,MIN(C327+1,200)))-LN(INDEX(Dic2023!$H$6:$H$205,C327)))*(A327-6*C327)/6))</f>
        <v>0.257808194113134</v>
      </c>
      <c r="E327" s="12" t="n">
        <f aca="false">D327^(-1/B327)-1</f>
        <v>0.0516502500000002</v>
      </c>
      <c r="F327" s="12" t="n">
        <f aca="false">(1+E327)^(1/12)-1</f>
        <v>0.00420553496807585</v>
      </c>
      <c r="G327" s="16" t="n">
        <f aca="false">IF(C327=0,(1+Dic2023!$J$6)^(-B327),EXP(LN(INDEX(Dic2023!$K$6:$K$205,C327))+(LN(INDEX(Dic2023!$K$6:$K$205,MIN(C327+1,200)))-LN(INDEX(Dic2023!$K$6:$K$205,C327)))*(A327-6*C327)/6))</f>
        <v>0.257808194113134</v>
      </c>
      <c r="H327" s="12" t="n">
        <f aca="false">G327^(-1/B327)-1</f>
        <v>0.0516502500000002</v>
      </c>
      <c r="I327" s="12" t="n">
        <f aca="false">(1+H327)^(1/12)-1</f>
        <v>0.00420553496807585</v>
      </c>
      <c r="J327" s="16" t="n">
        <f aca="false">IF(C327=0,(1+Dic2023!$M$6)^(-B327),EXP(LN(INDEX(Dic2023!$N$6:$N$205,C327))+(LN(INDEX(Dic2023!$N$6:$N$205,MIN(C327+1,200)))-LN(INDEX(Dic2023!$N$6:$N$205,C327)))*(A327-6*C327)/6))</f>
        <v>0.257808194113134</v>
      </c>
      <c r="K327" s="12" t="n">
        <f aca="false">J327^(-1/B327)-1</f>
        <v>0.0516502500000002</v>
      </c>
      <c r="L327" s="12" t="n">
        <f aca="false">(1+K327)^(1/12)-1</f>
        <v>0.00420553496807585</v>
      </c>
    </row>
    <row r="328" customFormat="false" ht="15" hidden="false" customHeight="false" outlineLevel="0" collapsed="false">
      <c r="A328" s="4" t="n">
        <v>324</v>
      </c>
      <c r="B328" s="14" t="n">
        <f aca="false">A328/12</f>
        <v>27</v>
      </c>
      <c r="C328" s="15" t="n">
        <f aca="false">INT(A328/6)</f>
        <v>54</v>
      </c>
      <c r="D328" s="16" t="n">
        <f aca="false">IF(C328=0,(1+Dic2023!$G$6)^(-B328),EXP(LN(INDEX(Dic2023!$H$6:$H$205,C328))+(LN(INDEX(Dic2023!$H$6:$H$205,MIN(C328+1,200)))-LN(INDEX(Dic2023!$H$6:$H$205,C328)))*(A328-6*C328)/6))</f>
        <v>0.256728513372842</v>
      </c>
      <c r="E328" s="12" t="n">
        <f aca="false">D328^(-1/B328)-1</f>
        <v>0.0516502500000002</v>
      </c>
      <c r="F328" s="12" t="n">
        <f aca="false">(1+E328)^(1/12)-1</f>
        <v>0.00420553496807585</v>
      </c>
      <c r="G328" s="16" t="n">
        <f aca="false">IF(C328=0,(1+Dic2023!$J$6)^(-B328),EXP(LN(INDEX(Dic2023!$K$6:$K$205,C328))+(LN(INDEX(Dic2023!$K$6:$K$205,MIN(C328+1,200)))-LN(INDEX(Dic2023!$K$6:$K$205,C328)))*(A328-6*C328)/6))</f>
        <v>0.256728513372842</v>
      </c>
      <c r="H328" s="12" t="n">
        <f aca="false">G328^(-1/B328)-1</f>
        <v>0.0516502500000002</v>
      </c>
      <c r="I328" s="12" t="n">
        <f aca="false">(1+H328)^(1/12)-1</f>
        <v>0.00420553496807585</v>
      </c>
      <c r="J328" s="16" t="n">
        <f aca="false">IF(C328=0,(1+Dic2023!$M$6)^(-B328),EXP(LN(INDEX(Dic2023!$N$6:$N$205,C328))+(LN(INDEX(Dic2023!$N$6:$N$205,MIN(C328+1,200)))-LN(INDEX(Dic2023!$N$6:$N$205,C328)))*(A328-6*C328)/6))</f>
        <v>0.256728513372842</v>
      </c>
      <c r="K328" s="12" t="n">
        <f aca="false">J328^(-1/B328)-1</f>
        <v>0.0516502500000002</v>
      </c>
      <c r="L328" s="12" t="n">
        <f aca="false">(1+K328)^(1/12)-1</f>
        <v>0.00420553496807585</v>
      </c>
    </row>
    <row r="329" customFormat="false" ht="15" hidden="false" customHeight="false" outlineLevel="0" collapsed="false">
      <c r="A329" s="4" t="n">
        <v>325</v>
      </c>
      <c r="B329" s="14" t="n">
        <f aca="false">A329/12</f>
        <v>27.0833333333333</v>
      </c>
      <c r="C329" s="15" t="n">
        <f aca="false">INT(A329/6)</f>
        <v>54</v>
      </c>
      <c r="D329" s="16" t="n">
        <f aca="false">IF(C329=0,(1+Dic2023!$G$6)^(-B329),EXP(LN(INDEX(Dic2023!$H$6:$H$205,C329))+(LN(INDEX(Dic2023!$H$6:$H$205,MIN(C329+1,200)))-LN(INDEX(Dic2023!$H$6:$H$205,C329)))*(A329-6*C329)/6))</f>
        <v>0.25565335425183</v>
      </c>
      <c r="E329" s="12" t="n">
        <f aca="false">D329^(-1/B329)-1</f>
        <v>0.0516502500000002</v>
      </c>
      <c r="F329" s="12" t="n">
        <f aca="false">(1+E329)^(1/12)-1</f>
        <v>0.00420553496807585</v>
      </c>
      <c r="G329" s="16" t="n">
        <f aca="false">IF(C329=0,(1+Dic2023!$J$6)^(-B329),EXP(LN(INDEX(Dic2023!$K$6:$K$205,C329))+(LN(INDEX(Dic2023!$K$6:$K$205,MIN(C329+1,200)))-LN(INDEX(Dic2023!$K$6:$K$205,C329)))*(A329-6*C329)/6))</f>
        <v>0.25565335425183</v>
      </c>
      <c r="H329" s="12" t="n">
        <f aca="false">G329^(-1/B329)-1</f>
        <v>0.0516502500000002</v>
      </c>
      <c r="I329" s="12" t="n">
        <f aca="false">(1+H329)^(1/12)-1</f>
        <v>0.00420553496807585</v>
      </c>
      <c r="J329" s="16" t="n">
        <f aca="false">IF(C329=0,(1+Dic2023!$M$6)^(-B329),EXP(LN(INDEX(Dic2023!$N$6:$N$205,C329))+(LN(INDEX(Dic2023!$N$6:$N$205,MIN(C329+1,200)))-LN(INDEX(Dic2023!$N$6:$N$205,C329)))*(A329-6*C329)/6))</f>
        <v>0.25565335425183</v>
      </c>
      <c r="K329" s="12" t="n">
        <f aca="false">J329^(-1/B329)-1</f>
        <v>0.0516502500000002</v>
      </c>
      <c r="L329" s="12" t="n">
        <f aca="false">(1+K329)^(1/12)-1</f>
        <v>0.00420553496807585</v>
      </c>
    </row>
    <row r="330" customFormat="false" ht="15" hidden="false" customHeight="false" outlineLevel="0" collapsed="false">
      <c r="A330" s="4" t="n">
        <v>326</v>
      </c>
      <c r="B330" s="14" t="n">
        <f aca="false">A330/12</f>
        <v>27.1666666666667</v>
      </c>
      <c r="C330" s="15" t="n">
        <f aca="false">INT(A330/6)</f>
        <v>54</v>
      </c>
      <c r="D330" s="16" t="n">
        <f aca="false">IF(C330=0,(1+Dic2023!$G$6)^(-B330),EXP(LN(INDEX(Dic2023!$H$6:$H$205,C330))+(LN(INDEX(Dic2023!$H$6:$H$205,MIN(C330+1,200)))-LN(INDEX(Dic2023!$H$6:$H$205,C330)))*(A330-6*C330)/6))</f>
        <v>0.254582697813907</v>
      </c>
      <c r="E330" s="12" t="n">
        <f aca="false">D330^(-1/B330)-1</f>
        <v>0.0516502500000002</v>
      </c>
      <c r="F330" s="12" t="n">
        <f aca="false">(1+E330)^(1/12)-1</f>
        <v>0.00420553496807585</v>
      </c>
      <c r="G330" s="16" t="n">
        <f aca="false">IF(C330=0,(1+Dic2023!$J$6)^(-B330),EXP(LN(INDEX(Dic2023!$K$6:$K$205,C330))+(LN(INDEX(Dic2023!$K$6:$K$205,MIN(C330+1,200)))-LN(INDEX(Dic2023!$K$6:$K$205,C330)))*(A330-6*C330)/6))</f>
        <v>0.254582697813907</v>
      </c>
      <c r="H330" s="12" t="n">
        <f aca="false">G330^(-1/B330)-1</f>
        <v>0.0516502500000002</v>
      </c>
      <c r="I330" s="12" t="n">
        <f aca="false">(1+H330)^(1/12)-1</f>
        <v>0.00420553496807585</v>
      </c>
      <c r="J330" s="16" t="n">
        <f aca="false">IF(C330=0,(1+Dic2023!$M$6)^(-B330),EXP(LN(INDEX(Dic2023!$N$6:$N$205,C330))+(LN(INDEX(Dic2023!$N$6:$N$205,MIN(C330+1,200)))-LN(INDEX(Dic2023!$N$6:$N$205,C330)))*(A330-6*C330)/6))</f>
        <v>0.254582697813907</v>
      </c>
      <c r="K330" s="12" t="n">
        <f aca="false">J330^(-1/B330)-1</f>
        <v>0.0516502500000002</v>
      </c>
      <c r="L330" s="12" t="n">
        <f aca="false">(1+K330)^(1/12)-1</f>
        <v>0.00420553496807585</v>
      </c>
    </row>
    <row r="331" customFormat="false" ht="15" hidden="false" customHeight="false" outlineLevel="0" collapsed="false">
      <c r="A331" s="4" t="n">
        <v>327</v>
      </c>
      <c r="B331" s="14" t="n">
        <f aca="false">A331/12</f>
        <v>27.25</v>
      </c>
      <c r="C331" s="15" t="n">
        <f aca="false">INT(A331/6)</f>
        <v>54</v>
      </c>
      <c r="D331" s="16" t="n">
        <f aca="false">IF(C331=0,(1+Dic2023!$G$6)^(-B331),EXP(LN(INDEX(Dic2023!$H$6:$H$205,C331))+(LN(INDEX(Dic2023!$H$6:$H$205,MIN(C331+1,200)))-LN(INDEX(Dic2023!$H$6:$H$205,C331)))*(A331-6*C331)/6))</f>
        <v>0.253516525202184</v>
      </c>
      <c r="E331" s="12" t="n">
        <f aca="false">D331^(-1/B331)-1</f>
        <v>0.0516502500000002</v>
      </c>
      <c r="F331" s="12" t="n">
        <f aca="false">(1+E331)^(1/12)-1</f>
        <v>0.00420553496807585</v>
      </c>
      <c r="G331" s="16" t="n">
        <f aca="false">IF(C331=0,(1+Dic2023!$J$6)^(-B331),EXP(LN(INDEX(Dic2023!$K$6:$K$205,C331))+(LN(INDEX(Dic2023!$K$6:$K$205,MIN(C331+1,200)))-LN(INDEX(Dic2023!$K$6:$K$205,C331)))*(A331-6*C331)/6))</f>
        <v>0.253516525202184</v>
      </c>
      <c r="H331" s="12" t="n">
        <f aca="false">G331^(-1/B331)-1</f>
        <v>0.0516502500000002</v>
      </c>
      <c r="I331" s="12" t="n">
        <f aca="false">(1+H331)^(1/12)-1</f>
        <v>0.00420553496807585</v>
      </c>
      <c r="J331" s="16" t="n">
        <f aca="false">IF(C331=0,(1+Dic2023!$M$6)^(-B331),EXP(LN(INDEX(Dic2023!$N$6:$N$205,C331))+(LN(INDEX(Dic2023!$N$6:$N$205,MIN(C331+1,200)))-LN(INDEX(Dic2023!$N$6:$N$205,C331)))*(A331-6*C331)/6))</f>
        <v>0.253516525202184</v>
      </c>
      <c r="K331" s="12" t="n">
        <f aca="false">J331^(-1/B331)-1</f>
        <v>0.0516502500000002</v>
      </c>
      <c r="L331" s="12" t="n">
        <f aca="false">(1+K331)^(1/12)-1</f>
        <v>0.00420553496807585</v>
      </c>
    </row>
    <row r="332" customFormat="false" ht="15" hidden="false" customHeight="false" outlineLevel="0" collapsed="false">
      <c r="A332" s="4" t="n">
        <v>328</v>
      </c>
      <c r="B332" s="14" t="n">
        <f aca="false">A332/12</f>
        <v>27.3333333333333</v>
      </c>
      <c r="C332" s="15" t="n">
        <f aca="false">INT(A332/6)</f>
        <v>54</v>
      </c>
      <c r="D332" s="16" t="n">
        <f aca="false">IF(C332=0,(1+Dic2023!$G$6)^(-B332),EXP(LN(INDEX(Dic2023!$H$6:$H$205,C332))+(LN(INDEX(Dic2023!$H$6:$H$205,MIN(C332+1,200)))-LN(INDEX(Dic2023!$H$6:$H$205,C332)))*(A332-6*C332)/6))</f>
        <v>0.252454817638745</v>
      </c>
      <c r="E332" s="12" t="n">
        <f aca="false">D332^(-1/B332)-1</f>
        <v>0.0516502500000002</v>
      </c>
      <c r="F332" s="12" t="n">
        <f aca="false">(1+E332)^(1/12)-1</f>
        <v>0.00420553496807585</v>
      </c>
      <c r="G332" s="16" t="n">
        <f aca="false">IF(C332=0,(1+Dic2023!$J$6)^(-B332),EXP(LN(INDEX(Dic2023!$K$6:$K$205,C332))+(LN(INDEX(Dic2023!$K$6:$K$205,MIN(C332+1,200)))-LN(INDEX(Dic2023!$K$6:$K$205,C332)))*(A332-6*C332)/6))</f>
        <v>0.252454817638745</v>
      </c>
      <c r="H332" s="12" t="n">
        <f aca="false">G332^(-1/B332)-1</f>
        <v>0.0516502500000002</v>
      </c>
      <c r="I332" s="12" t="n">
        <f aca="false">(1+H332)^(1/12)-1</f>
        <v>0.00420553496807585</v>
      </c>
      <c r="J332" s="16" t="n">
        <f aca="false">IF(C332=0,(1+Dic2023!$M$6)^(-B332),EXP(LN(INDEX(Dic2023!$N$6:$N$205,C332))+(LN(INDEX(Dic2023!$N$6:$N$205,MIN(C332+1,200)))-LN(INDEX(Dic2023!$N$6:$N$205,C332)))*(A332-6*C332)/6))</f>
        <v>0.252454817638745</v>
      </c>
      <c r="K332" s="12" t="n">
        <f aca="false">J332^(-1/B332)-1</f>
        <v>0.0516502500000002</v>
      </c>
      <c r="L332" s="12" t="n">
        <f aca="false">(1+K332)^(1/12)-1</f>
        <v>0.00420553496807585</v>
      </c>
    </row>
    <row r="333" customFormat="false" ht="15" hidden="false" customHeight="false" outlineLevel="0" collapsed="false">
      <c r="A333" s="4" t="n">
        <v>329</v>
      </c>
      <c r="B333" s="14" t="n">
        <f aca="false">A333/12</f>
        <v>27.4166666666667</v>
      </c>
      <c r="C333" s="15" t="n">
        <f aca="false">INT(A333/6)</f>
        <v>54</v>
      </c>
      <c r="D333" s="16" t="n">
        <f aca="false">IF(C333=0,(1+Dic2023!$G$6)^(-B333),EXP(LN(INDEX(Dic2023!$H$6:$H$205,C333))+(LN(INDEX(Dic2023!$H$6:$H$205,MIN(C333+1,200)))-LN(INDEX(Dic2023!$H$6:$H$205,C333)))*(A333-6*C333)/6))</f>
        <v>0.251397556424314</v>
      </c>
      <c r="E333" s="12" t="n">
        <f aca="false">D333^(-1/B333)-1</f>
        <v>0.0516502500000002</v>
      </c>
      <c r="F333" s="12" t="n">
        <f aca="false">(1+E333)^(1/12)-1</f>
        <v>0.00420553496807585</v>
      </c>
      <c r="G333" s="16" t="n">
        <f aca="false">IF(C333=0,(1+Dic2023!$J$6)^(-B333),EXP(LN(INDEX(Dic2023!$K$6:$K$205,C333))+(LN(INDEX(Dic2023!$K$6:$K$205,MIN(C333+1,200)))-LN(INDEX(Dic2023!$K$6:$K$205,C333)))*(A333-6*C333)/6))</f>
        <v>0.251397556424314</v>
      </c>
      <c r="H333" s="12" t="n">
        <f aca="false">G333^(-1/B333)-1</f>
        <v>0.0516502500000002</v>
      </c>
      <c r="I333" s="12" t="n">
        <f aca="false">(1+H333)^(1/12)-1</f>
        <v>0.00420553496807585</v>
      </c>
      <c r="J333" s="16" t="n">
        <f aca="false">IF(C333=0,(1+Dic2023!$M$6)^(-B333),EXP(LN(INDEX(Dic2023!$N$6:$N$205,C333))+(LN(INDEX(Dic2023!$N$6:$N$205,MIN(C333+1,200)))-LN(INDEX(Dic2023!$N$6:$N$205,C333)))*(A333-6*C333)/6))</f>
        <v>0.251397556424314</v>
      </c>
      <c r="K333" s="12" t="n">
        <f aca="false">J333^(-1/B333)-1</f>
        <v>0.0516502500000002</v>
      </c>
      <c r="L333" s="12" t="n">
        <f aca="false">(1+K333)^(1/12)-1</f>
        <v>0.00420553496807585</v>
      </c>
    </row>
    <row r="334" customFormat="false" ht="15" hidden="false" customHeight="false" outlineLevel="0" collapsed="false">
      <c r="A334" s="4" t="n">
        <v>330</v>
      </c>
      <c r="B334" s="14" t="n">
        <f aca="false">A334/12</f>
        <v>27.5</v>
      </c>
      <c r="C334" s="15" t="n">
        <f aca="false">INT(A334/6)</f>
        <v>55</v>
      </c>
      <c r="D334" s="16" t="n">
        <f aca="false">IF(C334=0,(1+Dic2023!$G$6)^(-B334),EXP(LN(INDEX(Dic2023!$H$6:$H$205,C334))+(LN(INDEX(Dic2023!$H$6:$H$205,MIN(C334+1,200)))-LN(INDEX(Dic2023!$H$6:$H$205,C334)))*(A334-6*C334)/6))</f>
        <v>0.250344722937925</v>
      </c>
      <c r="E334" s="12" t="n">
        <f aca="false">D334^(-1/B334)-1</f>
        <v>0.0516502500000002</v>
      </c>
      <c r="F334" s="12" t="n">
        <f aca="false">(1+E334)^(1/12)-1</f>
        <v>0.00420553496807585</v>
      </c>
      <c r="G334" s="16" t="n">
        <f aca="false">IF(C334=0,(1+Dic2023!$J$6)^(-B334),EXP(LN(INDEX(Dic2023!$K$6:$K$205,C334))+(LN(INDEX(Dic2023!$K$6:$K$205,MIN(C334+1,200)))-LN(INDEX(Dic2023!$K$6:$K$205,C334)))*(A334-6*C334)/6))</f>
        <v>0.250344722937925</v>
      </c>
      <c r="H334" s="12" t="n">
        <f aca="false">G334^(-1/B334)-1</f>
        <v>0.0516502500000002</v>
      </c>
      <c r="I334" s="12" t="n">
        <f aca="false">(1+H334)^(1/12)-1</f>
        <v>0.00420553496807585</v>
      </c>
      <c r="J334" s="16" t="n">
        <f aca="false">IF(C334=0,(1+Dic2023!$M$6)^(-B334),EXP(LN(INDEX(Dic2023!$N$6:$N$205,C334))+(LN(INDEX(Dic2023!$N$6:$N$205,MIN(C334+1,200)))-LN(INDEX(Dic2023!$N$6:$N$205,C334)))*(A334-6*C334)/6))</f>
        <v>0.250344722937925</v>
      </c>
      <c r="K334" s="12" t="n">
        <f aca="false">J334^(-1/B334)-1</f>
        <v>0.0516502500000002</v>
      </c>
      <c r="L334" s="12" t="n">
        <f aca="false">(1+K334)^(1/12)-1</f>
        <v>0.00420553496807585</v>
      </c>
    </row>
    <row r="335" customFormat="false" ht="15" hidden="false" customHeight="false" outlineLevel="0" collapsed="false">
      <c r="A335" s="4" t="n">
        <v>331</v>
      </c>
      <c r="B335" s="14" t="n">
        <f aca="false">A335/12</f>
        <v>27.5833333333333</v>
      </c>
      <c r="C335" s="15" t="n">
        <f aca="false">INT(A335/6)</f>
        <v>55</v>
      </c>
      <c r="D335" s="16" t="n">
        <f aca="false">IF(C335=0,(1+Dic2023!$G$6)^(-B335),EXP(LN(INDEX(Dic2023!$H$6:$H$205,C335))+(LN(INDEX(Dic2023!$H$6:$H$205,MIN(C335+1,200)))-LN(INDEX(Dic2023!$H$6:$H$205,C335)))*(A335-6*C335)/6))</f>
        <v>0.249296298636597</v>
      </c>
      <c r="E335" s="12" t="n">
        <f aca="false">D335^(-1/B335)-1</f>
        <v>0.0516502500000002</v>
      </c>
      <c r="F335" s="12" t="n">
        <f aca="false">(1+E335)^(1/12)-1</f>
        <v>0.00420553496807585</v>
      </c>
      <c r="G335" s="16" t="n">
        <f aca="false">IF(C335=0,(1+Dic2023!$J$6)^(-B335),EXP(LN(INDEX(Dic2023!$K$6:$K$205,C335))+(LN(INDEX(Dic2023!$K$6:$K$205,MIN(C335+1,200)))-LN(INDEX(Dic2023!$K$6:$K$205,C335)))*(A335-6*C335)/6))</f>
        <v>0.249296298636597</v>
      </c>
      <c r="H335" s="12" t="n">
        <f aca="false">G335^(-1/B335)-1</f>
        <v>0.0516502500000002</v>
      </c>
      <c r="I335" s="12" t="n">
        <f aca="false">(1+H335)^(1/12)-1</f>
        <v>0.00420553496807585</v>
      </c>
      <c r="J335" s="16" t="n">
        <f aca="false">IF(C335=0,(1+Dic2023!$M$6)^(-B335),EXP(LN(INDEX(Dic2023!$N$6:$N$205,C335))+(LN(INDEX(Dic2023!$N$6:$N$205,MIN(C335+1,200)))-LN(INDEX(Dic2023!$N$6:$N$205,C335)))*(A335-6*C335)/6))</f>
        <v>0.249296298636597</v>
      </c>
      <c r="K335" s="12" t="n">
        <f aca="false">J335^(-1/B335)-1</f>
        <v>0.0516502500000002</v>
      </c>
      <c r="L335" s="12" t="n">
        <f aca="false">(1+K335)^(1/12)-1</f>
        <v>0.00420553496807585</v>
      </c>
    </row>
    <row r="336" customFormat="false" ht="15" hidden="false" customHeight="false" outlineLevel="0" collapsed="false">
      <c r="A336" s="4" t="n">
        <v>332</v>
      </c>
      <c r="B336" s="14" t="n">
        <f aca="false">A336/12</f>
        <v>27.6666666666667</v>
      </c>
      <c r="C336" s="15" t="n">
        <f aca="false">INT(A336/6)</f>
        <v>55</v>
      </c>
      <c r="D336" s="16" t="n">
        <f aca="false">IF(C336=0,(1+Dic2023!$G$6)^(-B336),EXP(LN(INDEX(Dic2023!$H$6:$H$205,C336))+(LN(INDEX(Dic2023!$H$6:$H$205,MIN(C336+1,200)))-LN(INDEX(Dic2023!$H$6:$H$205,C336)))*(A336-6*C336)/6))</f>
        <v>0.248252265055004</v>
      </c>
      <c r="E336" s="12" t="n">
        <f aca="false">D336^(-1/B336)-1</f>
        <v>0.0516502500000002</v>
      </c>
      <c r="F336" s="12" t="n">
        <f aca="false">(1+E336)^(1/12)-1</f>
        <v>0.00420553496807585</v>
      </c>
      <c r="G336" s="16" t="n">
        <f aca="false">IF(C336=0,(1+Dic2023!$J$6)^(-B336),EXP(LN(INDEX(Dic2023!$K$6:$K$205,C336))+(LN(INDEX(Dic2023!$K$6:$K$205,MIN(C336+1,200)))-LN(INDEX(Dic2023!$K$6:$K$205,C336)))*(A336-6*C336)/6))</f>
        <v>0.248252265055004</v>
      </c>
      <c r="H336" s="12" t="n">
        <f aca="false">G336^(-1/B336)-1</f>
        <v>0.0516502500000002</v>
      </c>
      <c r="I336" s="12" t="n">
        <f aca="false">(1+H336)^(1/12)-1</f>
        <v>0.00420553496807585</v>
      </c>
      <c r="J336" s="16" t="n">
        <f aca="false">IF(C336=0,(1+Dic2023!$M$6)^(-B336),EXP(LN(INDEX(Dic2023!$N$6:$N$205,C336))+(LN(INDEX(Dic2023!$N$6:$N$205,MIN(C336+1,200)))-LN(INDEX(Dic2023!$N$6:$N$205,C336)))*(A336-6*C336)/6))</f>
        <v>0.248252265055004</v>
      </c>
      <c r="K336" s="12" t="n">
        <f aca="false">J336^(-1/B336)-1</f>
        <v>0.0516502500000002</v>
      </c>
      <c r="L336" s="12" t="n">
        <f aca="false">(1+K336)^(1/12)-1</f>
        <v>0.00420553496807585</v>
      </c>
    </row>
    <row r="337" customFormat="false" ht="15" hidden="false" customHeight="false" outlineLevel="0" collapsed="false">
      <c r="A337" s="4" t="n">
        <v>333</v>
      </c>
      <c r="B337" s="14" t="n">
        <f aca="false">A337/12</f>
        <v>27.75</v>
      </c>
      <c r="C337" s="15" t="n">
        <f aca="false">INT(A337/6)</f>
        <v>55</v>
      </c>
      <c r="D337" s="16" t="n">
        <f aca="false">IF(C337=0,(1+Dic2023!$G$6)^(-B337),EXP(LN(INDEX(Dic2023!$H$6:$H$205,C337))+(LN(INDEX(Dic2023!$H$6:$H$205,MIN(C337+1,200)))-LN(INDEX(Dic2023!$H$6:$H$205,C337)))*(A337-6*C337)/6))</f>
        <v>0.247212603805152</v>
      </c>
      <c r="E337" s="12" t="n">
        <f aca="false">D337^(-1/B337)-1</f>
        <v>0.0516502500000002</v>
      </c>
      <c r="F337" s="12" t="n">
        <f aca="false">(1+E337)^(1/12)-1</f>
        <v>0.00420553496807585</v>
      </c>
      <c r="G337" s="16" t="n">
        <f aca="false">IF(C337=0,(1+Dic2023!$J$6)^(-B337),EXP(LN(INDEX(Dic2023!$K$6:$K$205,C337))+(LN(INDEX(Dic2023!$K$6:$K$205,MIN(C337+1,200)))-LN(INDEX(Dic2023!$K$6:$K$205,C337)))*(A337-6*C337)/6))</f>
        <v>0.247212603805152</v>
      </c>
      <c r="H337" s="12" t="n">
        <f aca="false">G337^(-1/B337)-1</f>
        <v>0.0516502500000002</v>
      </c>
      <c r="I337" s="12" t="n">
        <f aca="false">(1+H337)^(1/12)-1</f>
        <v>0.00420553496807585</v>
      </c>
      <c r="J337" s="16" t="n">
        <f aca="false">IF(C337=0,(1+Dic2023!$M$6)^(-B337),EXP(LN(INDEX(Dic2023!$N$6:$N$205,C337))+(LN(INDEX(Dic2023!$N$6:$N$205,MIN(C337+1,200)))-LN(INDEX(Dic2023!$N$6:$N$205,C337)))*(A337-6*C337)/6))</f>
        <v>0.247212603805152</v>
      </c>
      <c r="K337" s="12" t="n">
        <f aca="false">J337^(-1/B337)-1</f>
        <v>0.0516502500000002</v>
      </c>
      <c r="L337" s="12" t="n">
        <f aca="false">(1+K337)^(1/12)-1</f>
        <v>0.00420553496807585</v>
      </c>
    </row>
    <row r="338" customFormat="false" ht="15" hidden="false" customHeight="false" outlineLevel="0" collapsed="false">
      <c r="A338" s="4" t="n">
        <v>334</v>
      </c>
      <c r="B338" s="14" t="n">
        <f aca="false">A338/12</f>
        <v>27.8333333333333</v>
      </c>
      <c r="C338" s="15" t="n">
        <f aca="false">INT(A338/6)</f>
        <v>55</v>
      </c>
      <c r="D338" s="16" t="n">
        <f aca="false">IF(C338=0,(1+Dic2023!$G$6)^(-B338),EXP(LN(INDEX(Dic2023!$H$6:$H$205,C338))+(LN(INDEX(Dic2023!$H$6:$H$205,MIN(C338+1,200)))-LN(INDEX(Dic2023!$H$6:$H$205,C338)))*(A338-6*C338)/6))</f>
        <v>0.246177296576055</v>
      </c>
      <c r="E338" s="12" t="n">
        <f aca="false">D338^(-1/B338)-1</f>
        <v>0.0516502500000002</v>
      </c>
      <c r="F338" s="12" t="n">
        <f aca="false">(1+E338)^(1/12)-1</f>
        <v>0.00420553496807585</v>
      </c>
      <c r="G338" s="16" t="n">
        <f aca="false">IF(C338=0,(1+Dic2023!$J$6)^(-B338),EXP(LN(INDEX(Dic2023!$K$6:$K$205,C338))+(LN(INDEX(Dic2023!$K$6:$K$205,MIN(C338+1,200)))-LN(INDEX(Dic2023!$K$6:$K$205,C338)))*(A338-6*C338)/6))</f>
        <v>0.246177296576055</v>
      </c>
      <c r="H338" s="12" t="n">
        <f aca="false">G338^(-1/B338)-1</f>
        <v>0.0516502500000002</v>
      </c>
      <c r="I338" s="12" t="n">
        <f aca="false">(1+H338)^(1/12)-1</f>
        <v>0.00420553496807585</v>
      </c>
      <c r="J338" s="16" t="n">
        <f aca="false">IF(C338=0,(1+Dic2023!$M$6)^(-B338),EXP(LN(INDEX(Dic2023!$N$6:$N$205,C338))+(LN(INDEX(Dic2023!$N$6:$N$205,MIN(C338+1,200)))-LN(INDEX(Dic2023!$N$6:$N$205,C338)))*(A338-6*C338)/6))</f>
        <v>0.246177296576055</v>
      </c>
      <c r="K338" s="12" t="n">
        <f aca="false">J338^(-1/B338)-1</f>
        <v>0.0516502500000002</v>
      </c>
      <c r="L338" s="12" t="n">
        <f aca="false">(1+K338)^(1/12)-1</f>
        <v>0.00420553496807585</v>
      </c>
    </row>
    <row r="339" customFormat="false" ht="15" hidden="false" customHeight="false" outlineLevel="0" collapsed="false">
      <c r="A339" s="4" t="n">
        <v>335</v>
      </c>
      <c r="B339" s="14" t="n">
        <f aca="false">A339/12</f>
        <v>27.9166666666667</v>
      </c>
      <c r="C339" s="15" t="n">
        <f aca="false">INT(A339/6)</f>
        <v>55</v>
      </c>
      <c r="D339" s="16" t="n">
        <f aca="false">IF(C339=0,(1+Dic2023!$G$6)^(-B339),EXP(LN(INDEX(Dic2023!$H$6:$H$205,C339))+(LN(INDEX(Dic2023!$H$6:$H$205,MIN(C339+1,200)))-LN(INDEX(Dic2023!$H$6:$H$205,C339)))*(A339-6*C339)/6))</f>
        <v>0.245146325133412</v>
      </c>
      <c r="E339" s="12" t="n">
        <f aca="false">D339^(-1/B339)-1</f>
        <v>0.0516502500000002</v>
      </c>
      <c r="F339" s="12" t="n">
        <f aca="false">(1+E339)^(1/12)-1</f>
        <v>0.00420553496807585</v>
      </c>
      <c r="G339" s="16" t="n">
        <f aca="false">IF(C339=0,(1+Dic2023!$J$6)^(-B339),EXP(LN(INDEX(Dic2023!$K$6:$K$205,C339))+(LN(INDEX(Dic2023!$K$6:$K$205,MIN(C339+1,200)))-LN(INDEX(Dic2023!$K$6:$K$205,C339)))*(A339-6*C339)/6))</f>
        <v>0.245146325133412</v>
      </c>
      <c r="H339" s="12" t="n">
        <f aca="false">G339^(-1/B339)-1</f>
        <v>0.0516502500000002</v>
      </c>
      <c r="I339" s="12" t="n">
        <f aca="false">(1+H339)^(1/12)-1</f>
        <v>0.00420553496807585</v>
      </c>
      <c r="J339" s="16" t="n">
        <f aca="false">IF(C339=0,(1+Dic2023!$M$6)^(-B339),EXP(LN(INDEX(Dic2023!$N$6:$N$205,C339))+(LN(INDEX(Dic2023!$N$6:$N$205,MIN(C339+1,200)))-LN(INDEX(Dic2023!$N$6:$N$205,C339)))*(A339-6*C339)/6))</f>
        <v>0.245146325133412</v>
      </c>
      <c r="K339" s="12" t="n">
        <f aca="false">J339^(-1/B339)-1</f>
        <v>0.0516502500000002</v>
      </c>
      <c r="L339" s="12" t="n">
        <f aca="false">(1+K339)^(1/12)-1</f>
        <v>0.00420553496807585</v>
      </c>
    </row>
    <row r="340" customFormat="false" ht="15" hidden="false" customHeight="false" outlineLevel="0" collapsed="false">
      <c r="A340" s="4" t="n">
        <v>336</v>
      </c>
      <c r="B340" s="14" t="n">
        <f aca="false">A340/12</f>
        <v>28</v>
      </c>
      <c r="C340" s="15" t="n">
        <f aca="false">INT(A340/6)</f>
        <v>56</v>
      </c>
      <c r="D340" s="16" t="n">
        <f aca="false">IF(C340=0,(1+Dic2023!$G$6)^(-B340),EXP(LN(INDEX(Dic2023!$H$6:$H$205,C340))+(LN(INDEX(Dic2023!$H$6:$H$205,MIN(C340+1,200)))-LN(INDEX(Dic2023!$H$6:$H$205,C340)))*(A340-6*C340)/6))</f>
        <v>0.244119671319283</v>
      </c>
      <c r="E340" s="12" t="n">
        <f aca="false">D340^(-1/B340)-1</f>
        <v>0.0516502500000002</v>
      </c>
      <c r="F340" s="12" t="n">
        <f aca="false">(1+E340)^(1/12)-1</f>
        <v>0.00420553496807585</v>
      </c>
      <c r="G340" s="16" t="n">
        <f aca="false">IF(C340=0,(1+Dic2023!$J$6)^(-B340),EXP(LN(INDEX(Dic2023!$K$6:$K$205,C340))+(LN(INDEX(Dic2023!$K$6:$K$205,MIN(C340+1,200)))-LN(INDEX(Dic2023!$K$6:$K$205,C340)))*(A340-6*C340)/6))</f>
        <v>0.244119671319283</v>
      </c>
      <c r="H340" s="12" t="n">
        <f aca="false">G340^(-1/B340)-1</f>
        <v>0.0516502500000002</v>
      </c>
      <c r="I340" s="12" t="n">
        <f aca="false">(1+H340)^(1/12)-1</f>
        <v>0.00420553496807585</v>
      </c>
      <c r="J340" s="16" t="n">
        <f aca="false">IF(C340=0,(1+Dic2023!$M$6)^(-B340),EXP(LN(INDEX(Dic2023!$N$6:$N$205,C340))+(LN(INDEX(Dic2023!$N$6:$N$205,MIN(C340+1,200)))-LN(INDEX(Dic2023!$N$6:$N$205,C340)))*(A340-6*C340)/6))</f>
        <v>0.244119671319283</v>
      </c>
      <c r="K340" s="12" t="n">
        <f aca="false">J340^(-1/B340)-1</f>
        <v>0.0516502500000002</v>
      </c>
      <c r="L340" s="12" t="n">
        <f aca="false">(1+K340)^(1/12)-1</f>
        <v>0.00420553496807585</v>
      </c>
    </row>
    <row r="341" customFormat="false" ht="15" hidden="false" customHeight="false" outlineLevel="0" collapsed="false">
      <c r="A341" s="4" t="n">
        <v>337</v>
      </c>
      <c r="B341" s="14" t="n">
        <f aca="false">A341/12</f>
        <v>28.0833333333333</v>
      </c>
      <c r="C341" s="15" t="n">
        <f aca="false">INT(A341/6)</f>
        <v>56</v>
      </c>
      <c r="D341" s="16" t="n">
        <f aca="false">IF(C341=0,(1+Dic2023!$G$6)^(-B341),EXP(LN(INDEX(Dic2023!$H$6:$H$205,C341))+(LN(INDEX(Dic2023!$H$6:$H$205,MIN(C341+1,200)))-LN(INDEX(Dic2023!$H$6:$H$205,C341)))*(A341-6*C341)/6))</f>
        <v>0.243097317051777</v>
      </c>
      <c r="E341" s="12" t="n">
        <f aca="false">D341^(-1/B341)-1</f>
        <v>0.0516502500000002</v>
      </c>
      <c r="F341" s="12" t="n">
        <f aca="false">(1+E341)^(1/12)-1</f>
        <v>0.00420553496807585</v>
      </c>
      <c r="G341" s="16" t="n">
        <f aca="false">IF(C341=0,(1+Dic2023!$J$6)^(-B341),EXP(LN(INDEX(Dic2023!$K$6:$K$205,C341))+(LN(INDEX(Dic2023!$K$6:$K$205,MIN(C341+1,200)))-LN(INDEX(Dic2023!$K$6:$K$205,C341)))*(A341-6*C341)/6))</f>
        <v>0.243097317051777</v>
      </c>
      <c r="H341" s="12" t="n">
        <f aca="false">G341^(-1/B341)-1</f>
        <v>0.0516502500000002</v>
      </c>
      <c r="I341" s="12" t="n">
        <f aca="false">(1+H341)^(1/12)-1</f>
        <v>0.00420553496807585</v>
      </c>
      <c r="J341" s="16" t="n">
        <f aca="false">IF(C341=0,(1+Dic2023!$M$6)^(-B341),EXP(LN(INDEX(Dic2023!$N$6:$N$205,C341))+(LN(INDEX(Dic2023!$N$6:$N$205,MIN(C341+1,200)))-LN(INDEX(Dic2023!$N$6:$N$205,C341)))*(A341-6*C341)/6))</f>
        <v>0.243097317051777</v>
      </c>
      <c r="K341" s="12" t="n">
        <f aca="false">J341^(-1/B341)-1</f>
        <v>0.0516502500000002</v>
      </c>
      <c r="L341" s="12" t="n">
        <f aca="false">(1+K341)^(1/12)-1</f>
        <v>0.00420553496807585</v>
      </c>
    </row>
    <row r="342" customFormat="false" ht="15" hidden="false" customHeight="false" outlineLevel="0" collapsed="false">
      <c r="A342" s="4" t="n">
        <v>338</v>
      </c>
      <c r="B342" s="14" t="n">
        <f aca="false">A342/12</f>
        <v>28.1666666666667</v>
      </c>
      <c r="C342" s="15" t="n">
        <f aca="false">INT(A342/6)</f>
        <v>56</v>
      </c>
      <c r="D342" s="16" t="n">
        <f aca="false">IF(C342=0,(1+Dic2023!$G$6)^(-B342),EXP(LN(INDEX(Dic2023!$H$6:$H$205,C342))+(LN(INDEX(Dic2023!$H$6:$H$205,MIN(C342+1,200)))-LN(INDEX(Dic2023!$H$6:$H$205,C342)))*(A342-6*C342)/6))</f>
        <v>0.242079244324724</v>
      </c>
      <c r="E342" s="12" t="n">
        <f aca="false">D342^(-1/B342)-1</f>
        <v>0.0516502500000002</v>
      </c>
      <c r="F342" s="12" t="n">
        <f aca="false">(1+E342)^(1/12)-1</f>
        <v>0.00420553496807585</v>
      </c>
      <c r="G342" s="16" t="n">
        <f aca="false">IF(C342=0,(1+Dic2023!$J$6)^(-B342),EXP(LN(INDEX(Dic2023!$K$6:$K$205,C342))+(LN(INDEX(Dic2023!$K$6:$K$205,MIN(C342+1,200)))-LN(INDEX(Dic2023!$K$6:$K$205,C342)))*(A342-6*C342)/6))</f>
        <v>0.242079244324724</v>
      </c>
      <c r="H342" s="12" t="n">
        <f aca="false">G342^(-1/B342)-1</f>
        <v>0.0516502500000002</v>
      </c>
      <c r="I342" s="12" t="n">
        <f aca="false">(1+H342)^(1/12)-1</f>
        <v>0.00420553496807585</v>
      </c>
      <c r="J342" s="16" t="n">
        <f aca="false">IF(C342=0,(1+Dic2023!$M$6)^(-B342),EXP(LN(INDEX(Dic2023!$N$6:$N$205,C342))+(LN(INDEX(Dic2023!$N$6:$N$205,MIN(C342+1,200)))-LN(INDEX(Dic2023!$N$6:$N$205,C342)))*(A342-6*C342)/6))</f>
        <v>0.242079244324724</v>
      </c>
      <c r="K342" s="12" t="n">
        <f aca="false">J342^(-1/B342)-1</f>
        <v>0.0516502500000002</v>
      </c>
      <c r="L342" s="12" t="n">
        <f aca="false">(1+K342)^(1/12)-1</f>
        <v>0.00420553496807585</v>
      </c>
    </row>
    <row r="343" customFormat="false" ht="15" hidden="false" customHeight="false" outlineLevel="0" collapsed="false">
      <c r="A343" s="4" t="n">
        <v>339</v>
      </c>
      <c r="B343" s="14" t="n">
        <f aca="false">A343/12</f>
        <v>28.25</v>
      </c>
      <c r="C343" s="15" t="n">
        <f aca="false">INT(A343/6)</f>
        <v>56</v>
      </c>
      <c r="D343" s="16" t="n">
        <f aca="false">IF(C343=0,(1+Dic2023!$G$6)^(-B343),EXP(LN(INDEX(Dic2023!$H$6:$H$205,C343))+(LN(INDEX(Dic2023!$H$6:$H$205,MIN(C343+1,200)))-LN(INDEX(Dic2023!$H$6:$H$205,C343)))*(A343-6*C343)/6))</f>
        <v>0.241065435207365</v>
      </c>
      <c r="E343" s="12" t="n">
        <f aca="false">D343^(-1/B343)-1</f>
        <v>0.0516502500000002</v>
      </c>
      <c r="F343" s="12" t="n">
        <f aca="false">(1+E343)^(1/12)-1</f>
        <v>0.00420553496807585</v>
      </c>
      <c r="G343" s="16" t="n">
        <f aca="false">IF(C343=0,(1+Dic2023!$J$6)^(-B343),EXP(LN(INDEX(Dic2023!$K$6:$K$205,C343))+(LN(INDEX(Dic2023!$K$6:$K$205,MIN(C343+1,200)))-LN(INDEX(Dic2023!$K$6:$K$205,C343)))*(A343-6*C343)/6))</f>
        <v>0.241065435207365</v>
      </c>
      <c r="H343" s="12" t="n">
        <f aca="false">G343^(-1/B343)-1</f>
        <v>0.0516502500000002</v>
      </c>
      <c r="I343" s="12" t="n">
        <f aca="false">(1+H343)^(1/12)-1</f>
        <v>0.00420553496807585</v>
      </c>
      <c r="J343" s="16" t="n">
        <f aca="false">IF(C343=0,(1+Dic2023!$M$6)^(-B343),EXP(LN(INDEX(Dic2023!$N$6:$N$205,C343))+(LN(INDEX(Dic2023!$N$6:$N$205,MIN(C343+1,200)))-LN(INDEX(Dic2023!$N$6:$N$205,C343)))*(A343-6*C343)/6))</f>
        <v>0.241065435207365</v>
      </c>
      <c r="K343" s="12" t="n">
        <f aca="false">J343^(-1/B343)-1</f>
        <v>0.0516502500000002</v>
      </c>
      <c r="L343" s="12" t="n">
        <f aca="false">(1+K343)^(1/12)-1</f>
        <v>0.00420553496807585</v>
      </c>
    </row>
    <row r="344" customFormat="false" ht="15" hidden="false" customHeight="false" outlineLevel="0" collapsed="false">
      <c r="A344" s="4" t="n">
        <v>340</v>
      </c>
      <c r="B344" s="14" t="n">
        <f aca="false">A344/12</f>
        <v>28.3333333333333</v>
      </c>
      <c r="C344" s="15" t="n">
        <f aca="false">INT(A344/6)</f>
        <v>56</v>
      </c>
      <c r="D344" s="16" t="n">
        <f aca="false">IF(C344=0,(1+Dic2023!$G$6)^(-B344),EXP(LN(INDEX(Dic2023!$H$6:$H$205,C344))+(LN(INDEX(Dic2023!$H$6:$H$205,MIN(C344+1,200)))-LN(INDEX(Dic2023!$H$6:$H$205,C344)))*(A344-6*C344)/6))</f>
        <v>0.240055871844033</v>
      </c>
      <c r="E344" s="12" t="n">
        <f aca="false">D344^(-1/B344)-1</f>
        <v>0.0516502500000002</v>
      </c>
      <c r="F344" s="12" t="n">
        <f aca="false">(1+E344)^(1/12)-1</f>
        <v>0.00420553496807585</v>
      </c>
      <c r="G344" s="16" t="n">
        <f aca="false">IF(C344=0,(1+Dic2023!$J$6)^(-B344),EXP(LN(INDEX(Dic2023!$K$6:$K$205,C344))+(LN(INDEX(Dic2023!$K$6:$K$205,MIN(C344+1,200)))-LN(INDEX(Dic2023!$K$6:$K$205,C344)))*(A344-6*C344)/6))</f>
        <v>0.240055871844033</v>
      </c>
      <c r="H344" s="12" t="n">
        <f aca="false">G344^(-1/B344)-1</f>
        <v>0.0516502500000002</v>
      </c>
      <c r="I344" s="12" t="n">
        <f aca="false">(1+H344)^(1/12)-1</f>
        <v>0.00420553496807585</v>
      </c>
      <c r="J344" s="16" t="n">
        <f aca="false">IF(C344=0,(1+Dic2023!$M$6)^(-B344),EXP(LN(INDEX(Dic2023!$N$6:$N$205,C344))+(LN(INDEX(Dic2023!$N$6:$N$205,MIN(C344+1,200)))-LN(INDEX(Dic2023!$N$6:$N$205,C344)))*(A344-6*C344)/6))</f>
        <v>0.240055871844033</v>
      </c>
      <c r="K344" s="12" t="n">
        <f aca="false">J344^(-1/B344)-1</f>
        <v>0.0516502500000002</v>
      </c>
      <c r="L344" s="12" t="n">
        <f aca="false">(1+K344)^(1/12)-1</f>
        <v>0.00420553496807585</v>
      </c>
    </row>
    <row r="345" customFormat="false" ht="15" hidden="false" customHeight="false" outlineLevel="0" collapsed="false">
      <c r="A345" s="4" t="n">
        <v>341</v>
      </c>
      <c r="B345" s="14" t="n">
        <f aca="false">A345/12</f>
        <v>28.4166666666667</v>
      </c>
      <c r="C345" s="15" t="n">
        <f aca="false">INT(A345/6)</f>
        <v>56</v>
      </c>
      <c r="D345" s="16" t="n">
        <f aca="false">IF(C345=0,(1+Dic2023!$G$6)^(-B345),EXP(LN(INDEX(Dic2023!$H$6:$H$205,C345))+(LN(INDEX(Dic2023!$H$6:$H$205,MIN(C345+1,200)))-LN(INDEX(Dic2023!$H$6:$H$205,C345)))*(A345-6*C345)/6))</f>
        <v>0.239050536453839</v>
      </c>
      <c r="E345" s="12" t="n">
        <f aca="false">D345^(-1/B345)-1</f>
        <v>0.0516502500000002</v>
      </c>
      <c r="F345" s="12" t="n">
        <f aca="false">(1+E345)^(1/12)-1</f>
        <v>0.00420553496807585</v>
      </c>
      <c r="G345" s="16" t="n">
        <f aca="false">IF(C345=0,(1+Dic2023!$J$6)^(-B345),EXP(LN(INDEX(Dic2023!$K$6:$K$205,C345))+(LN(INDEX(Dic2023!$K$6:$K$205,MIN(C345+1,200)))-LN(INDEX(Dic2023!$K$6:$K$205,C345)))*(A345-6*C345)/6))</f>
        <v>0.239050536453839</v>
      </c>
      <c r="H345" s="12" t="n">
        <f aca="false">G345^(-1/B345)-1</f>
        <v>0.0516502500000002</v>
      </c>
      <c r="I345" s="12" t="n">
        <f aca="false">(1+H345)^(1/12)-1</f>
        <v>0.00420553496807585</v>
      </c>
      <c r="J345" s="16" t="n">
        <f aca="false">IF(C345=0,(1+Dic2023!$M$6)^(-B345),EXP(LN(INDEX(Dic2023!$N$6:$N$205,C345))+(LN(INDEX(Dic2023!$N$6:$N$205,MIN(C345+1,200)))-LN(INDEX(Dic2023!$N$6:$N$205,C345)))*(A345-6*C345)/6))</f>
        <v>0.239050536453839</v>
      </c>
      <c r="K345" s="12" t="n">
        <f aca="false">J345^(-1/B345)-1</f>
        <v>0.0516502500000002</v>
      </c>
      <c r="L345" s="12" t="n">
        <f aca="false">(1+K345)^(1/12)-1</f>
        <v>0.00420553496807585</v>
      </c>
    </row>
    <row r="346" customFormat="false" ht="15" hidden="false" customHeight="false" outlineLevel="0" collapsed="false">
      <c r="A346" s="4" t="n">
        <v>342</v>
      </c>
      <c r="B346" s="14" t="n">
        <f aca="false">A346/12</f>
        <v>28.5</v>
      </c>
      <c r="C346" s="15" t="n">
        <f aca="false">INT(A346/6)</f>
        <v>57</v>
      </c>
      <c r="D346" s="16" t="n">
        <f aca="false">IF(C346=0,(1+Dic2023!$G$6)^(-B346),EXP(LN(INDEX(Dic2023!$H$6:$H$205,C346))+(LN(INDEX(Dic2023!$H$6:$H$205,MIN(C346+1,200)))-LN(INDEX(Dic2023!$H$6:$H$205,C346)))*(A346-6*C346)/6))</f>
        <v>0.238049411330359</v>
      </c>
      <c r="E346" s="12" t="n">
        <f aca="false">D346^(-1/B346)-1</f>
        <v>0.0516502500000002</v>
      </c>
      <c r="F346" s="12" t="n">
        <f aca="false">(1+E346)^(1/12)-1</f>
        <v>0.00420553496807585</v>
      </c>
      <c r="G346" s="16" t="n">
        <f aca="false">IF(C346=0,(1+Dic2023!$J$6)^(-B346),EXP(LN(INDEX(Dic2023!$K$6:$K$205,C346))+(LN(INDEX(Dic2023!$K$6:$K$205,MIN(C346+1,200)))-LN(INDEX(Dic2023!$K$6:$K$205,C346)))*(A346-6*C346)/6))</f>
        <v>0.238049411330359</v>
      </c>
      <c r="H346" s="12" t="n">
        <f aca="false">G346^(-1/B346)-1</f>
        <v>0.0516502500000002</v>
      </c>
      <c r="I346" s="12" t="n">
        <f aca="false">(1+H346)^(1/12)-1</f>
        <v>0.00420553496807585</v>
      </c>
      <c r="J346" s="16" t="n">
        <f aca="false">IF(C346=0,(1+Dic2023!$M$6)^(-B346),EXP(LN(INDEX(Dic2023!$N$6:$N$205,C346))+(LN(INDEX(Dic2023!$N$6:$N$205,MIN(C346+1,200)))-LN(INDEX(Dic2023!$N$6:$N$205,C346)))*(A346-6*C346)/6))</f>
        <v>0.238049411330359</v>
      </c>
      <c r="K346" s="12" t="n">
        <f aca="false">J346^(-1/B346)-1</f>
        <v>0.0516502500000002</v>
      </c>
      <c r="L346" s="12" t="n">
        <f aca="false">(1+K346)^(1/12)-1</f>
        <v>0.00420553496807585</v>
      </c>
    </row>
    <row r="347" customFormat="false" ht="15" hidden="false" customHeight="false" outlineLevel="0" collapsed="false">
      <c r="A347" s="4" t="n">
        <v>343</v>
      </c>
      <c r="B347" s="14" t="n">
        <f aca="false">A347/12</f>
        <v>28.5833333333333</v>
      </c>
      <c r="C347" s="15" t="n">
        <f aca="false">INT(A347/6)</f>
        <v>57</v>
      </c>
      <c r="D347" s="16" t="n">
        <f aca="false">IF(C347=0,(1+Dic2023!$G$6)^(-B347),EXP(LN(INDEX(Dic2023!$H$6:$H$205,C347))+(LN(INDEX(Dic2023!$H$6:$H$205,MIN(C347+1,200)))-LN(INDEX(Dic2023!$H$6:$H$205,C347)))*(A347-6*C347)/6))</f>
        <v>0.237052478841323</v>
      </c>
      <c r="E347" s="12" t="n">
        <f aca="false">D347^(-1/B347)-1</f>
        <v>0.0516502500000002</v>
      </c>
      <c r="F347" s="12" t="n">
        <f aca="false">(1+E347)^(1/12)-1</f>
        <v>0.00420553496807585</v>
      </c>
      <c r="G347" s="16" t="n">
        <f aca="false">IF(C347=0,(1+Dic2023!$J$6)^(-B347),EXP(LN(INDEX(Dic2023!$K$6:$K$205,C347))+(LN(INDEX(Dic2023!$K$6:$K$205,MIN(C347+1,200)))-LN(INDEX(Dic2023!$K$6:$K$205,C347)))*(A347-6*C347)/6))</f>
        <v>0.237052478841323</v>
      </c>
      <c r="H347" s="12" t="n">
        <f aca="false">G347^(-1/B347)-1</f>
        <v>0.0516502500000002</v>
      </c>
      <c r="I347" s="12" t="n">
        <f aca="false">(1+H347)^(1/12)-1</f>
        <v>0.00420553496807585</v>
      </c>
      <c r="J347" s="16" t="n">
        <f aca="false">IF(C347=0,(1+Dic2023!$M$6)^(-B347),EXP(LN(INDEX(Dic2023!$N$6:$N$205,C347))+(LN(INDEX(Dic2023!$N$6:$N$205,MIN(C347+1,200)))-LN(INDEX(Dic2023!$N$6:$N$205,C347)))*(A347-6*C347)/6))</f>
        <v>0.237052478841323</v>
      </c>
      <c r="K347" s="12" t="n">
        <f aca="false">J347^(-1/B347)-1</f>
        <v>0.0516502500000002</v>
      </c>
      <c r="L347" s="12" t="n">
        <f aca="false">(1+K347)^(1/12)-1</f>
        <v>0.00420553496807585</v>
      </c>
    </row>
    <row r="348" customFormat="false" ht="15" hidden="false" customHeight="false" outlineLevel="0" collapsed="false">
      <c r="A348" s="4" t="n">
        <v>344</v>
      </c>
      <c r="B348" s="14" t="n">
        <f aca="false">A348/12</f>
        <v>28.6666666666667</v>
      </c>
      <c r="C348" s="15" t="n">
        <f aca="false">INT(A348/6)</f>
        <v>57</v>
      </c>
      <c r="D348" s="16" t="n">
        <f aca="false">IF(C348=0,(1+Dic2023!$G$6)^(-B348),EXP(LN(INDEX(Dic2023!$H$6:$H$205,C348))+(LN(INDEX(Dic2023!$H$6:$H$205,MIN(C348+1,200)))-LN(INDEX(Dic2023!$H$6:$H$205,C348)))*(A348-6*C348)/6))</f>
        <v>0.236059721428302</v>
      </c>
      <c r="E348" s="12" t="n">
        <f aca="false">D348^(-1/B348)-1</f>
        <v>0.0516502500000002</v>
      </c>
      <c r="F348" s="12" t="n">
        <f aca="false">(1+E348)^(1/12)-1</f>
        <v>0.00420553496807585</v>
      </c>
      <c r="G348" s="16" t="n">
        <f aca="false">IF(C348=0,(1+Dic2023!$J$6)^(-B348),EXP(LN(INDEX(Dic2023!$K$6:$K$205,C348))+(LN(INDEX(Dic2023!$K$6:$K$205,MIN(C348+1,200)))-LN(INDEX(Dic2023!$K$6:$K$205,C348)))*(A348-6*C348)/6))</f>
        <v>0.236059721428302</v>
      </c>
      <c r="H348" s="12" t="n">
        <f aca="false">G348^(-1/B348)-1</f>
        <v>0.0516502500000002</v>
      </c>
      <c r="I348" s="12" t="n">
        <f aca="false">(1+H348)^(1/12)-1</f>
        <v>0.00420553496807585</v>
      </c>
      <c r="J348" s="16" t="n">
        <f aca="false">IF(C348=0,(1+Dic2023!$M$6)^(-B348),EXP(LN(INDEX(Dic2023!$N$6:$N$205,C348))+(LN(INDEX(Dic2023!$N$6:$N$205,MIN(C348+1,200)))-LN(INDEX(Dic2023!$N$6:$N$205,C348)))*(A348-6*C348)/6))</f>
        <v>0.236059721428302</v>
      </c>
      <c r="K348" s="12" t="n">
        <f aca="false">J348^(-1/B348)-1</f>
        <v>0.0516502500000002</v>
      </c>
      <c r="L348" s="12" t="n">
        <f aca="false">(1+K348)^(1/12)-1</f>
        <v>0.00420553496807585</v>
      </c>
    </row>
    <row r="349" customFormat="false" ht="15" hidden="false" customHeight="false" outlineLevel="0" collapsed="false">
      <c r="A349" s="4" t="n">
        <v>345</v>
      </c>
      <c r="B349" s="14" t="n">
        <f aca="false">A349/12</f>
        <v>28.75</v>
      </c>
      <c r="C349" s="15" t="n">
        <f aca="false">INT(A349/6)</f>
        <v>57</v>
      </c>
      <c r="D349" s="16" t="n">
        <f aca="false">IF(C349=0,(1+Dic2023!$G$6)^(-B349),EXP(LN(INDEX(Dic2023!$H$6:$H$205,C349))+(LN(INDEX(Dic2023!$H$6:$H$205,MIN(C349+1,200)))-LN(INDEX(Dic2023!$H$6:$H$205,C349)))*(A349-6*C349)/6))</f>
        <v>0.235071121606401</v>
      </c>
      <c r="E349" s="12" t="n">
        <f aca="false">D349^(-1/B349)-1</f>
        <v>0.0516502500000002</v>
      </c>
      <c r="F349" s="12" t="n">
        <f aca="false">(1+E349)^(1/12)-1</f>
        <v>0.00420553496807585</v>
      </c>
      <c r="G349" s="16" t="n">
        <f aca="false">IF(C349=0,(1+Dic2023!$J$6)^(-B349),EXP(LN(INDEX(Dic2023!$K$6:$K$205,C349))+(LN(INDEX(Dic2023!$K$6:$K$205,MIN(C349+1,200)))-LN(INDEX(Dic2023!$K$6:$K$205,C349)))*(A349-6*C349)/6))</f>
        <v>0.235071121606401</v>
      </c>
      <c r="H349" s="12" t="n">
        <f aca="false">G349^(-1/B349)-1</f>
        <v>0.0516502500000002</v>
      </c>
      <c r="I349" s="12" t="n">
        <f aca="false">(1+H349)^(1/12)-1</f>
        <v>0.00420553496807585</v>
      </c>
      <c r="J349" s="16" t="n">
        <f aca="false">IF(C349=0,(1+Dic2023!$M$6)^(-B349),EXP(LN(INDEX(Dic2023!$N$6:$N$205,C349))+(LN(INDEX(Dic2023!$N$6:$N$205,MIN(C349+1,200)))-LN(INDEX(Dic2023!$N$6:$N$205,C349)))*(A349-6*C349)/6))</f>
        <v>0.235071121606401</v>
      </c>
      <c r="K349" s="12" t="n">
        <f aca="false">J349^(-1/B349)-1</f>
        <v>0.0516502500000002</v>
      </c>
      <c r="L349" s="12" t="n">
        <f aca="false">(1+K349)^(1/12)-1</f>
        <v>0.00420553496807585</v>
      </c>
    </row>
    <row r="350" customFormat="false" ht="15" hidden="false" customHeight="false" outlineLevel="0" collapsed="false">
      <c r="A350" s="4" t="n">
        <v>346</v>
      </c>
      <c r="B350" s="14" t="n">
        <f aca="false">A350/12</f>
        <v>28.8333333333333</v>
      </c>
      <c r="C350" s="15" t="n">
        <f aca="false">INT(A350/6)</f>
        <v>57</v>
      </c>
      <c r="D350" s="16" t="n">
        <f aca="false">IF(C350=0,(1+Dic2023!$G$6)^(-B350),EXP(LN(INDEX(Dic2023!$H$6:$H$205,C350))+(LN(INDEX(Dic2023!$H$6:$H$205,MIN(C350+1,200)))-LN(INDEX(Dic2023!$H$6:$H$205,C350)))*(A350-6*C350)/6))</f>
        <v>0.234086661963952</v>
      </c>
      <c r="E350" s="12" t="n">
        <f aca="false">D350^(-1/B350)-1</f>
        <v>0.0516502500000002</v>
      </c>
      <c r="F350" s="12" t="n">
        <f aca="false">(1+E350)^(1/12)-1</f>
        <v>0.00420553496807585</v>
      </c>
      <c r="G350" s="16" t="n">
        <f aca="false">IF(C350=0,(1+Dic2023!$J$6)^(-B350),EXP(LN(INDEX(Dic2023!$K$6:$K$205,C350))+(LN(INDEX(Dic2023!$K$6:$K$205,MIN(C350+1,200)))-LN(INDEX(Dic2023!$K$6:$K$205,C350)))*(A350-6*C350)/6))</f>
        <v>0.234086661963952</v>
      </c>
      <c r="H350" s="12" t="n">
        <f aca="false">G350^(-1/B350)-1</f>
        <v>0.0516502500000002</v>
      </c>
      <c r="I350" s="12" t="n">
        <f aca="false">(1+H350)^(1/12)-1</f>
        <v>0.00420553496807585</v>
      </c>
      <c r="J350" s="16" t="n">
        <f aca="false">IF(C350=0,(1+Dic2023!$M$6)^(-B350),EXP(LN(INDEX(Dic2023!$N$6:$N$205,C350))+(LN(INDEX(Dic2023!$N$6:$N$205,MIN(C350+1,200)))-LN(INDEX(Dic2023!$N$6:$N$205,C350)))*(A350-6*C350)/6))</f>
        <v>0.234086661963952</v>
      </c>
      <c r="K350" s="12" t="n">
        <f aca="false">J350^(-1/B350)-1</f>
        <v>0.0516502500000002</v>
      </c>
      <c r="L350" s="12" t="n">
        <f aca="false">(1+K350)^(1/12)-1</f>
        <v>0.00420553496807585</v>
      </c>
    </row>
    <row r="351" customFormat="false" ht="15" hidden="false" customHeight="false" outlineLevel="0" collapsed="false">
      <c r="A351" s="4" t="n">
        <v>347</v>
      </c>
      <c r="B351" s="14" t="n">
        <f aca="false">A351/12</f>
        <v>28.9166666666667</v>
      </c>
      <c r="C351" s="15" t="n">
        <f aca="false">INT(A351/6)</f>
        <v>57</v>
      </c>
      <c r="D351" s="16" t="n">
        <f aca="false">IF(C351=0,(1+Dic2023!$G$6)^(-B351),EXP(LN(INDEX(Dic2023!$H$6:$H$205,C351))+(LN(INDEX(Dic2023!$H$6:$H$205,MIN(C351+1,200)))-LN(INDEX(Dic2023!$H$6:$H$205,C351)))*(A351-6*C351)/6))</f>
        <v>0.233106325162203</v>
      </c>
      <c r="E351" s="12" t="n">
        <f aca="false">D351^(-1/B351)-1</f>
        <v>0.0516502500000002</v>
      </c>
      <c r="F351" s="12" t="n">
        <f aca="false">(1+E351)^(1/12)-1</f>
        <v>0.00420553496807585</v>
      </c>
      <c r="G351" s="16" t="n">
        <f aca="false">IF(C351=0,(1+Dic2023!$J$6)^(-B351),EXP(LN(INDEX(Dic2023!$K$6:$K$205,C351))+(LN(INDEX(Dic2023!$K$6:$K$205,MIN(C351+1,200)))-LN(INDEX(Dic2023!$K$6:$K$205,C351)))*(A351-6*C351)/6))</f>
        <v>0.233106325162203</v>
      </c>
      <c r="H351" s="12" t="n">
        <f aca="false">G351^(-1/B351)-1</f>
        <v>0.0516502500000002</v>
      </c>
      <c r="I351" s="12" t="n">
        <f aca="false">(1+H351)^(1/12)-1</f>
        <v>0.00420553496807585</v>
      </c>
      <c r="J351" s="16" t="n">
        <f aca="false">IF(C351=0,(1+Dic2023!$M$6)^(-B351),EXP(LN(INDEX(Dic2023!$N$6:$N$205,C351))+(LN(INDEX(Dic2023!$N$6:$N$205,MIN(C351+1,200)))-LN(INDEX(Dic2023!$N$6:$N$205,C351)))*(A351-6*C351)/6))</f>
        <v>0.233106325162203</v>
      </c>
      <c r="K351" s="12" t="n">
        <f aca="false">J351^(-1/B351)-1</f>
        <v>0.0516502500000002</v>
      </c>
      <c r="L351" s="12" t="n">
        <f aca="false">(1+K351)^(1/12)-1</f>
        <v>0.00420553496807585</v>
      </c>
    </row>
    <row r="352" customFormat="false" ht="15" hidden="false" customHeight="false" outlineLevel="0" collapsed="false">
      <c r="A352" s="4" t="n">
        <v>348</v>
      </c>
      <c r="B352" s="14" t="n">
        <f aca="false">A352/12</f>
        <v>29</v>
      </c>
      <c r="C352" s="15" t="n">
        <f aca="false">INT(A352/6)</f>
        <v>58</v>
      </c>
      <c r="D352" s="16" t="n">
        <f aca="false">IF(C352=0,(1+Dic2023!$G$6)^(-B352),EXP(LN(INDEX(Dic2023!$H$6:$H$205,C352))+(LN(INDEX(Dic2023!$H$6:$H$205,MIN(C352+1,200)))-LN(INDEX(Dic2023!$H$6:$H$205,C352)))*(A352-6*C352)/6))</f>
        <v>0.232130093935016</v>
      </c>
      <c r="E352" s="12" t="n">
        <f aca="false">D352^(-1/B352)-1</f>
        <v>0.0516502500000002</v>
      </c>
      <c r="F352" s="12" t="n">
        <f aca="false">(1+E352)^(1/12)-1</f>
        <v>0.00420553496807585</v>
      </c>
      <c r="G352" s="16" t="n">
        <f aca="false">IF(C352=0,(1+Dic2023!$J$6)^(-B352),EXP(LN(INDEX(Dic2023!$K$6:$K$205,C352))+(LN(INDEX(Dic2023!$K$6:$K$205,MIN(C352+1,200)))-LN(INDEX(Dic2023!$K$6:$K$205,C352)))*(A352-6*C352)/6))</f>
        <v>0.232130093935016</v>
      </c>
      <c r="H352" s="12" t="n">
        <f aca="false">G352^(-1/B352)-1</f>
        <v>0.0516502500000002</v>
      </c>
      <c r="I352" s="12" t="n">
        <f aca="false">(1+H352)^(1/12)-1</f>
        <v>0.00420553496807585</v>
      </c>
      <c r="J352" s="16" t="n">
        <f aca="false">IF(C352=0,(1+Dic2023!$M$6)^(-B352),EXP(LN(INDEX(Dic2023!$N$6:$N$205,C352))+(LN(INDEX(Dic2023!$N$6:$N$205,MIN(C352+1,200)))-LN(INDEX(Dic2023!$N$6:$N$205,C352)))*(A352-6*C352)/6))</f>
        <v>0.232130093935016</v>
      </c>
      <c r="K352" s="12" t="n">
        <f aca="false">J352^(-1/B352)-1</f>
        <v>0.0516502500000002</v>
      </c>
      <c r="L352" s="12" t="n">
        <f aca="false">(1+K352)^(1/12)-1</f>
        <v>0.00420553496807585</v>
      </c>
    </row>
    <row r="353" customFormat="false" ht="15" hidden="false" customHeight="false" outlineLevel="0" collapsed="false">
      <c r="A353" s="4" t="n">
        <v>349</v>
      </c>
      <c r="B353" s="14" t="n">
        <f aca="false">A353/12</f>
        <v>29.0833333333333</v>
      </c>
      <c r="C353" s="15" t="n">
        <f aca="false">INT(A353/6)</f>
        <v>58</v>
      </c>
      <c r="D353" s="16" t="n">
        <f aca="false">IF(C353=0,(1+Dic2023!$G$6)^(-B353),EXP(LN(INDEX(Dic2023!$H$6:$H$205,C353))+(LN(INDEX(Dic2023!$H$6:$H$205,MIN(C353+1,200)))-LN(INDEX(Dic2023!$H$6:$H$205,C353)))*(A353-6*C353)/6))</f>
        <v>0.231157951088564</v>
      </c>
      <c r="E353" s="12" t="n">
        <f aca="false">D353^(-1/B353)-1</f>
        <v>0.0516502500000002</v>
      </c>
      <c r="F353" s="12" t="n">
        <f aca="false">(1+E353)^(1/12)-1</f>
        <v>0.00420553496807585</v>
      </c>
      <c r="G353" s="16" t="n">
        <f aca="false">IF(C353=0,(1+Dic2023!$J$6)^(-B353),EXP(LN(INDEX(Dic2023!$K$6:$K$205,C353))+(LN(INDEX(Dic2023!$K$6:$K$205,MIN(C353+1,200)))-LN(INDEX(Dic2023!$K$6:$K$205,C353)))*(A353-6*C353)/6))</f>
        <v>0.231157951088564</v>
      </c>
      <c r="H353" s="12" t="n">
        <f aca="false">G353^(-1/B353)-1</f>
        <v>0.0516502500000002</v>
      </c>
      <c r="I353" s="12" t="n">
        <f aca="false">(1+H353)^(1/12)-1</f>
        <v>0.00420553496807585</v>
      </c>
      <c r="J353" s="16" t="n">
        <f aca="false">IF(C353=0,(1+Dic2023!$M$6)^(-B353),EXP(LN(INDEX(Dic2023!$N$6:$N$205,C353))+(LN(INDEX(Dic2023!$N$6:$N$205,MIN(C353+1,200)))-LN(INDEX(Dic2023!$N$6:$N$205,C353)))*(A353-6*C353)/6))</f>
        <v>0.231157951088564</v>
      </c>
      <c r="K353" s="12" t="n">
        <f aca="false">J353^(-1/B353)-1</f>
        <v>0.0516502500000002</v>
      </c>
      <c r="L353" s="12" t="n">
        <f aca="false">(1+K353)^(1/12)-1</f>
        <v>0.00420553496807585</v>
      </c>
    </row>
    <row r="354" customFormat="false" ht="15" hidden="false" customHeight="false" outlineLevel="0" collapsed="false">
      <c r="A354" s="4" t="n">
        <v>350</v>
      </c>
      <c r="B354" s="14" t="n">
        <f aca="false">A354/12</f>
        <v>29.1666666666667</v>
      </c>
      <c r="C354" s="15" t="n">
        <f aca="false">INT(A354/6)</f>
        <v>58</v>
      </c>
      <c r="D354" s="16" t="n">
        <f aca="false">IF(C354=0,(1+Dic2023!$G$6)^(-B354),EXP(LN(INDEX(Dic2023!$H$6:$H$205,C354))+(LN(INDEX(Dic2023!$H$6:$H$205,MIN(C354+1,200)))-LN(INDEX(Dic2023!$H$6:$H$205,C354)))*(A354-6*C354)/6))</f>
        <v>0.230189879501026</v>
      </c>
      <c r="E354" s="12" t="n">
        <f aca="false">D354^(-1/B354)-1</f>
        <v>0.0516502500000002</v>
      </c>
      <c r="F354" s="12" t="n">
        <f aca="false">(1+E354)^(1/12)-1</f>
        <v>0.00420553496807585</v>
      </c>
      <c r="G354" s="16" t="n">
        <f aca="false">IF(C354=0,(1+Dic2023!$J$6)^(-B354),EXP(LN(INDEX(Dic2023!$K$6:$K$205,C354))+(LN(INDEX(Dic2023!$K$6:$K$205,MIN(C354+1,200)))-LN(INDEX(Dic2023!$K$6:$K$205,C354)))*(A354-6*C354)/6))</f>
        <v>0.230189879501026</v>
      </c>
      <c r="H354" s="12" t="n">
        <f aca="false">G354^(-1/B354)-1</f>
        <v>0.0516502500000002</v>
      </c>
      <c r="I354" s="12" t="n">
        <f aca="false">(1+H354)^(1/12)-1</f>
        <v>0.00420553496807585</v>
      </c>
      <c r="J354" s="16" t="n">
        <f aca="false">IF(C354=0,(1+Dic2023!$M$6)^(-B354),EXP(LN(INDEX(Dic2023!$N$6:$N$205,C354))+(LN(INDEX(Dic2023!$N$6:$N$205,MIN(C354+1,200)))-LN(INDEX(Dic2023!$N$6:$N$205,C354)))*(A354-6*C354)/6))</f>
        <v>0.230189879501026</v>
      </c>
      <c r="K354" s="12" t="n">
        <f aca="false">J354^(-1/B354)-1</f>
        <v>0.0516502500000002</v>
      </c>
      <c r="L354" s="12" t="n">
        <f aca="false">(1+K354)^(1/12)-1</f>
        <v>0.00420553496807585</v>
      </c>
    </row>
    <row r="355" customFormat="false" ht="15" hidden="false" customHeight="false" outlineLevel="0" collapsed="false">
      <c r="A355" s="4" t="n">
        <v>351</v>
      </c>
      <c r="B355" s="14" t="n">
        <f aca="false">A355/12</f>
        <v>29.25</v>
      </c>
      <c r="C355" s="15" t="n">
        <f aca="false">INT(A355/6)</f>
        <v>58</v>
      </c>
      <c r="D355" s="16" t="n">
        <f aca="false">IF(C355=0,(1+Dic2023!$G$6)^(-B355),EXP(LN(INDEX(Dic2023!$H$6:$H$205,C355))+(LN(INDEX(Dic2023!$H$6:$H$205,MIN(C355+1,200)))-LN(INDEX(Dic2023!$H$6:$H$205,C355)))*(A355-6*C355)/6))</f>
        <v>0.229225862122283</v>
      </c>
      <c r="E355" s="12" t="n">
        <f aca="false">D355^(-1/B355)-1</f>
        <v>0.0516502500000002</v>
      </c>
      <c r="F355" s="12" t="n">
        <f aca="false">(1+E355)^(1/12)-1</f>
        <v>0.00420553496807585</v>
      </c>
      <c r="G355" s="16" t="n">
        <f aca="false">IF(C355=0,(1+Dic2023!$J$6)^(-B355),EXP(LN(INDEX(Dic2023!$K$6:$K$205,C355))+(LN(INDEX(Dic2023!$K$6:$K$205,MIN(C355+1,200)))-LN(INDEX(Dic2023!$K$6:$K$205,C355)))*(A355-6*C355)/6))</f>
        <v>0.229225862122283</v>
      </c>
      <c r="H355" s="12" t="n">
        <f aca="false">G355^(-1/B355)-1</f>
        <v>0.0516502500000002</v>
      </c>
      <c r="I355" s="12" t="n">
        <f aca="false">(1+H355)^(1/12)-1</f>
        <v>0.00420553496807585</v>
      </c>
      <c r="J355" s="16" t="n">
        <f aca="false">IF(C355=0,(1+Dic2023!$M$6)^(-B355),EXP(LN(INDEX(Dic2023!$N$6:$N$205,C355))+(LN(INDEX(Dic2023!$N$6:$N$205,MIN(C355+1,200)))-LN(INDEX(Dic2023!$N$6:$N$205,C355)))*(A355-6*C355)/6))</f>
        <v>0.229225862122283</v>
      </c>
      <c r="K355" s="12" t="n">
        <f aca="false">J355^(-1/B355)-1</f>
        <v>0.0516502500000002</v>
      </c>
      <c r="L355" s="12" t="n">
        <f aca="false">(1+K355)^(1/12)-1</f>
        <v>0.00420553496807585</v>
      </c>
    </row>
    <row r="356" customFormat="false" ht="15" hidden="false" customHeight="false" outlineLevel="0" collapsed="false">
      <c r="A356" s="4" t="n">
        <v>352</v>
      </c>
      <c r="B356" s="14" t="n">
        <f aca="false">A356/12</f>
        <v>29.3333333333333</v>
      </c>
      <c r="C356" s="15" t="n">
        <f aca="false">INT(A356/6)</f>
        <v>58</v>
      </c>
      <c r="D356" s="16" t="n">
        <f aca="false">IF(C356=0,(1+Dic2023!$G$6)^(-B356),EXP(LN(INDEX(Dic2023!$H$6:$H$205,C356))+(LN(INDEX(Dic2023!$H$6:$H$205,MIN(C356+1,200)))-LN(INDEX(Dic2023!$H$6:$H$205,C356)))*(A356-6*C356)/6))</f>
        <v>0.228265881973624</v>
      </c>
      <c r="E356" s="12" t="n">
        <f aca="false">D356^(-1/B356)-1</f>
        <v>0.0516502500000002</v>
      </c>
      <c r="F356" s="12" t="n">
        <f aca="false">(1+E356)^(1/12)-1</f>
        <v>0.00420553496807585</v>
      </c>
      <c r="G356" s="16" t="n">
        <f aca="false">IF(C356=0,(1+Dic2023!$J$6)^(-B356),EXP(LN(INDEX(Dic2023!$K$6:$K$205,C356))+(LN(INDEX(Dic2023!$K$6:$K$205,MIN(C356+1,200)))-LN(INDEX(Dic2023!$K$6:$K$205,C356)))*(A356-6*C356)/6))</f>
        <v>0.228265881973624</v>
      </c>
      <c r="H356" s="12" t="n">
        <f aca="false">G356^(-1/B356)-1</f>
        <v>0.0516502500000002</v>
      </c>
      <c r="I356" s="12" t="n">
        <f aca="false">(1+H356)^(1/12)-1</f>
        <v>0.00420553496807585</v>
      </c>
      <c r="J356" s="16" t="n">
        <f aca="false">IF(C356=0,(1+Dic2023!$M$6)^(-B356),EXP(LN(INDEX(Dic2023!$N$6:$N$205,C356))+(LN(INDEX(Dic2023!$N$6:$N$205,MIN(C356+1,200)))-LN(INDEX(Dic2023!$N$6:$N$205,C356)))*(A356-6*C356)/6))</f>
        <v>0.228265881973624</v>
      </c>
      <c r="K356" s="12" t="n">
        <f aca="false">J356^(-1/B356)-1</f>
        <v>0.0516502500000002</v>
      </c>
      <c r="L356" s="12" t="n">
        <f aca="false">(1+K356)^(1/12)-1</f>
        <v>0.00420553496807585</v>
      </c>
    </row>
    <row r="357" customFormat="false" ht="15" hidden="false" customHeight="false" outlineLevel="0" collapsed="false">
      <c r="A357" s="4" t="n">
        <v>353</v>
      </c>
      <c r="B357" s="14" t="n">
        <f aca="false">A357/12</f>
        <v>29.4166666666667</v>
      </c>
      <c r="C357" s="15" t="n">
        <f aca="false">INT(A357/6)</f>
        <v>58</v>
      </c>
      <c r="D357" s="16" t="n">
        <f aca="false">IF(C357=0,(1+Dic2023!$G$6)^(-B357),EXP(LN(INDEX(Dic2023!$H$6:$H$205,C357))+(LN(INDEX(Dic2023!$H$6:$H$205,MIN(C357+1,200)))-LN(INDEX(Dic2023!$H$6:$H$205,C357)))*(A357-6*C357)/6))</f>
        <v>0.227309922147443</v>
      </c>
      <c r="E357" s="12" t="n">
        <f aca="false">D357^(-1/B357)-1</f>
        <v>0.0516502500000002</v>
      </c>
      <c r="F357" s="12" t="n">
        <f aca="false">(1+E357)^(1/12)-1</f>
        <v>0.00420553496807585</v>
      </c>
      <c r="G357" s="16" t="n">
        <f aca="false">IF(C357=0,(1+Dic2023!$J$6)^(-B357),EXP(LN(INDEX(Dic2023!$K$6:$K$205,C357))+(LN(INDEX(Dic2023!$K$6:$K$205,MIN(C357+1,200)))-LN(INDEX(Dic2023!$K$6:$K$205,C357)))*(A357-6*C357)/6))</f>
        <v>0.227309922147443</v>
      </c>
      <c r="H357" s="12" t="n">
        <f aca="false">G357^(-1/B357)-1</f>
        <v>0.0516502500000002</v>
      </c>
      <c r="I357" s="12" t="n">
        <f aca="false">(1+H357)^(1/12)-1</f>
        <v>0.00420553496807585</v>
      </c>
      <c r="J357" s="16" t="n">
        <f aca="false">IF(C357=0,(1+Dic2023!$M$6)^(-B357),EXP(LN(INDEX(Dic2023!$N$6:$N$205,C357))+(LN(INDEX(Dic2023!$N$6:$N$205,MIN(C357+1,200)))-LN(INDEX(Dic2023!$N$6:$N$205,C357)))*(A357-6*C357)/6))</f>
        <v>0.227309922147443</v>
      </c>
      <c r="K357" s="12" t="n">
        <f aca="false">J357^(-1/B357)-1</f>
        <v>0.0516502500000002</v>
      </c>
      <c r="L357" s="12" t="n">
        <f aca="false">(1+K357)^(1/12)-1</f>
        <v>0.00420553496807585</v>
      </c>
    </row>
    <row r="358" customFormat="false" ht="15" hidden="false" customHeight="false" outlineLevel="0" collapsed="false">
      <c r="A358" s="4" t="n">
        <v>354</v>
      </c>
      <c r="B358" s="14" t="n">
        <f aca="false">A358/12</f>
        <v>29.5</v>
      </c>
      <c r="C358" s="15" t="n">
        <f aca="false">INT(A358/6)</f>
        <v>59</v>
      </c>
      <c r="D358" s="16" t="n">
        <f aca="false">IF(C358=0,(1+Dic2023!$G$6)^(-B358),EXP(LN(INDEX(Dic2023!$H$6:$H$205,C358))+(LN(INDEX(Dic2023!$H$6:$H$205,MIN(C358+1,200)))-LN(INDEX(Dic2023!$H$6:$H$205,C358)))*(A358-6*C358)/6))</f>
        <v>0.226357965806939</v>
      </c>
      <c r="E358" s="12" t="n">
        <f aca="false">D358^(-1/B358)-1</f>
        <v>0.0516502500000002</v>
      </c>
      <c r="F358" s="12" t="n">
        <f aca="false">(1+E358)^(1/12)-1</f>
        <v>0.00420553496807585</v>
      </c>
      <c r="G358" s="16" t="n">
        <f aca="false">IF(C358=0,(1+Dic2023!$J$6)^(-B358),EXP(LN(INDEX(Dic2023!$K$6:$K$205,C358))+(LN(INDEX(Dic2023!$K$6:$K$205,MIN(C358+1,200)))-LN(INDEX(Dic2023!$K$6:$K$205,C358)))*(A358-6*C358)/6))</f>
        <v>0.226357965806939</v>
      </c>
      <c r="H358" s="12" t="n">
        <f aca="false">G358^(-1/B358)-1</f>
        <v>0.0516502500000002</v>
      </c>
      <c r="I358" s="12" t="n">
        <f aca="false">(1+H358)^(1/12)-1</f>
        <v>0.00420553496807585</v>
      </c>
      <c r="J358" s="16" t="n">
        <f aca="false">IF(C358=0,(1+Dic2023!$M$6)^(-B358),EXP(LN(INDEX(Dic2023!$N$6:$N$205,C358))+(LN(INDEX(Dic2023!$N$6:$N$205,MIN(C358+1,200)))-LN(INDEX(Dic2023!$N$6:$N$205,C358)))*(A358-6*C358)/6))</f>
        <v>0.226357965806939</v>
      </c>
      <c r="K358" s="12" t="n">
        <f aca="false">J358^(-1/B358)-1</f>
        <v>0.0516502500000002</v>
      </c>
      <c r="L358" s="12" t="n">
        <f aca="false">(1+K358)^(1/12)-1</f>
        <v>0.00420553496807585</v>
      </c>
    </row>
    <row r="359" customFormat="false" ht="15" hidden="false" customHeight="false" outlineLevel="0" collapsed="false">
      <c r="A359" s="4" t="n">
        <v>355</v>
      </c>
      <c r="B359" s="14" t="n">
        <f aca="false">A359/12</f>
        <v>29.5833333333333</v>
      </c>
      <c r="C359" s="15" t="n">
        <f aca="false">INT(A359/6)</f>
        <v>59</v>
      </c>
      <c r="D359" s="16" t="n">
        <f aca="false">IF(C359=0,(1+Dic2023!$G$6)^(-B359),EXP(LN(INDEX(Dic2023!$H$6:$H$205,C359))+(LN(INDEX(Dic2023!$H$6:$H$205,MIN(C359+1,200)))-LN(INDEX(Dic2023!$H$6:$H$205,C359)))*(A359-6*C359)/6))</f>
        <v>0.225409996185826</v>
      </c>
      <c r="E359" s="12" t="n">
        <f aca="false">D359^(-1/B359)-1</f>
        <v>0.0516502500000002</v>
      </c>
      <c r="F359" s="12" t="n">
        <f aca="false">(1+E359)^(1/12)-1</f>
        <v>0.00420553496807585</v>
      </c>
      <c r="G359" s="16" t="n">
        <f aca="false">IF(C359=0,(1+Dic2023!$J$6)^(-B359),EXP(LN(INDEX(Dic2023!$K$6:$K$205,C359))+(LN(INDEX(Dic2023!$K$6:$K$205,MIN(C359+1,200)))-LN(INDEX(Dic2023!$K$6:$K$205,C359)))*(A359-6*C359)/6))</f>
        <v>0.225409996185826</v>
      </c>
      <c r="H359" s="12" t="n">
        <f aca="false">G359^(-1/B359)-1</f>
        <v>0.0516502500000002</v>
      </c>
      <c r="I359" s="12" t="n">
        <f aca="false">(1+H359)^(1/12)-1</f>
        <v>0.00420553496807585</v>
      </c>
      <c r="J359" s="16" t="n">
        <f aca="false">IF(C359=0,(1+Dic2023!$M$6)^(-B359),EXP(LN(INDEX(Dic2023!$N$6:$N$205,C359))+(LN(INDEX(Dic2023!$N$6:$N$205,MIN(C359+1,200)))-LN(INDEX(Dic2023!$N$6:$N$205,C359)))*(A359-6*C359)/6))</f>
        <v>0.225409996185826</v>
      </c>
      <c r="K359" s="12" t="n">
        <f aca="false">J359^(-1/B359)-1</f>
        <v>0.0516502500000002</v>
      </c>
      <c r="L359" s="12" t="n">
        <f aca="false">(1+K359)^(1/12)-1</f>
        <v>0.00420553496807585</v>
      </c>
    </row>
    <row r="360" customFormat="false" ht="15" hidden="false" customHeight="false" outlineLevel="0" collapsed="false">
      <c r="A360" s="4" t="n">
        <v>356</v>
      </c>
      <c r="B360" s="14" t="n">
        <f aca="false">A360/12</f>
        <v>29.6666666666667</v>
      </c>
      <c r="C360" s="15" t="n">
        <f aca="false">INT(A360/6)</f>
        <v>59</v>
      </c>
      <c r="D360" s="16" t="n">
        <f aca="false">IF(C360=0,(1+Dic2023!$G$6)^(-B360),EXP(LN(INDEX(Dic2023!$H$6:$H$205,C360))+(LN(INDEX(Dic2023!$H$6:$H$205,MIN(C360+1,200)))-LN(INDEX(Dic2023!$H$6:$H$205,C360)))*(A360-6*C360)/6))</f>
        <v>0.224465996588031</v>
      </c>
      <c r="E360" s="12" t="n">
        <f aca="false">D360^(-1/B360)-1</f>
        <v>0.0516502500000002</v>
      </c>
      <c r="F360" s="12" t="n">
        <f aca="false">(1+E360)^(1/12)-1</f>
        <v>0.00420553496807585</v>
      </c>
      <c r="G360" s="16" t="n">
        <f aca="false">IF(C360=0,(1+Dic2023!$J$6)^(-B360),EXP(LN(INDEX(Dic2023!$K$6:$K$205,C360))+(LN(INDEX(Dic2023!$K$6:$K$205,MIN(C360+1,200)))-LN(INDEX(Dic2023!$K$6:$K$205,C360)))*(A360-6*C360)/6))</f>
        <v>0.224465996588031</v>
      </c>
      <c r="H360" s="12" t="n">
        <f aca="false">G360^(-1/B360)-1</f>
        <v>0.0516502500000002</v>
      </c>
      <c r="I360" s="12" t="n">
        <f aca="false">(1+H360)^(1/12)-1</f>
        <v>0.00420553496807585</v>
      </c>
      <c r="J360" s="16" t="n">
        <f aca="false">IF(C360=0,(1+Dic2023!$M$6)^(-B360),EXP(LN(INDEX(Dic2023!$N$6:$N$205,C360))+(LN(INDEX(Dic2023!$N$6:$N$205,MIN(C360+1,200)))-LN(INDEX(Dic2023!$N$6:$N$205,C360)))*(A360-6*C360)/6))</f>
        <v>0.224465996588031</v>
      </c>
      <c r="K360" s="12" t="n">
        <f aca="false">J360^(-1/B360)-1</f>
        <v>0.0516502500000002</v>
      </c>
      <c r="L360" s="12" t="n">
        <f aca="false">(1+K360)^(1/12)-1</f>
        <v>0.00420553496807585</v>
      </c>
    </row>
    <row r="361" customFormat="false" ht="15" hidden="false" customHeight="false" outlineLevel="0" collapsed="false">
      <c r="A361" s="4" t="n">
        <v>357</v>
      </c>
      <c r="B361" s="14" t="n">
        <f aca="false">A361/12</f>
        <v>29.75</v>
      </c>
      <c r="C361" s="15" t="n">
        <f aca="false">INT(A361/6)</f>
        <v>59</v>
      </c>
      <c r="D361" s="16" t="n">
        <f aca="false">IF(C361=0,(1+Dic2023!$G$6)^(-B361),EXP(LN(INDEX(Dic2023!$H$6:$H$205,C361))+(LN(INDEX(Dic2023!$H$6:$H$205,MIN(C361+1,200)))-LN(INDEX(Dic2023!$H$6:$H$205,C361)))*(A361-6*C361)/6))</f>
        <v>0.223525950387404</v>
      </c>
      <c r="E361" s="12" t="n">
        <f aca="false">D361^(-1/B361)-1</f>
        <v>0.0516502500000002</v>
      </c>
      <c r="F361" s="12" t="n">
        <f aca="false">(1+E361)^(1/12)-1</f>
        <v>0.00420553496807585</v>
      </c>
      <c r="G361" s="16" t="n">
        <f aca="false">IF(C361=0,(1+Dic2023!$J$6)^(-B361),EXP(LN(INDEX(Dic2023!$K$6:$K$205,C361))+(LN(INDEX(Dic2023!$K$6:$K$205,MIN(C361+1,200)))-LN(INDEX(Dic2023!$K$6:$K$205,C361)))*(A361-6*C361)/6))</f>
        <v>0.223525950387404</v>
      </c>
      <c r="H361" s="12" t="n">
        <f aca="false">G361^(-1/B361)-1</f>
        <v>0.0516502500000002</v>
      </c>
      <c r="I361" s="12" t="n">
        <f aca="false">(1+H361)^(1/12)-1</f>
        <v>0.00420553496807585</v>
      </c>
      <c r="J361" s="16" t="n">
        <f aca="false">IF(C361=0,(1+Dic2023!$M$6)^(-B361),EXP(LN(INDEX(Dic2023!$N$6:$N$205,C361))+(LN(INDEX(Dic2023!$N$6:$N$205,MIN(C361+1,200)))-LN(INDEX(Dic2023!$N$6:$N$205,C361)))*(A361-6*C361)/6))</f>
        <v>0.223525950387404</v>
      </c>
      <c r="K361" s="12" t="n">
        <f aca="false">J361^(-1/B361)-1</f>
        <v>0.0516502500000002</v>
      </c>
      <c r="L361" s="12" t="n">
        <f aca="false">(1+K361)^(1/12)-1</f>
        <v>0.00420553496807585</v>
      </c>
    </row>
    <row r="362" customFormat="false" ht="15" hidden="false" customHeight="false" outlineLevel="0" collapsed="false">
      <c r="A362" s="4" t="n">
        <v>358</v>
      </c>
      <c r="B362" s="14" t="n">
        <f aca="false">A362/12</f>
        <v>29.8333333333333</v>
      </c>
      <c r="C362" s="15" t="n">
        <f aca="false">INT(A362/6)</f>
        <v>59</v>
      </c>
      <c r="D362" s="16" t="n">
        <f aca="false">IF(C362=0,(1+Dic2023!$G$6)^(-B362),EXP(LN(INDEX(Dic2023!$H$6:$H$205,C362))+(LN(INDEX(Dic2023!$H$6:$H$205,MIN(C362+1,200)))-LN(INDEX(Dic2023!$H$6:$H$205,C362)))*(A362-6*C362)/6))</f>
        <v>0.222589841027425</v>
      </c>
      <c r="E362" s="12" t="n">
        <f aca="false">D362^(-1/B362)-1</f>
        <v>0.0516502500000002</v>
      </c>
      <c r="F362" s="12" t="n">
        <f aca="false">(1+E362)^(1/12)-1</f>
        <v>0.00420553496807585</v>
      </c>
      <c r="G362" s="16" t="n">
        <f aca="false">IF(C362=0,(1+Dic2023!$J$6)^(-B362),EXP(LN(INDEX(Dic2023!$K$6:$K$205,C362))+(LN(INDEX(Dic2023!$K$6:$K$205,MIN(C362+1,200)))-LN(INDEX(Dic2023!$K$6:$K$205,C362)))*(A362-6*C362)/6))</f>
        <v>0.222589841027425</v>
      </c>
      <c r="H362" s="12" t="n">
        <f aca="false">G362^(-1/B362)-1</f>
        <v>0.0516502500000002</v>
      </c>
      <c r="I362" s="12" t="n">
        <f aca="false">(1+H362)^(1/12)-1</f>
        <v>0.00420553496807585</v>
      </c>
      <c r="J362" s="16" t="n">
        <f aca="false">IF(C362=0,(1+Dic2023!$M$6)^(-B362),EXP(LN(INDEX(Dic2023!$N$6:$N$205,C362))+(LN(INDEX(Dic2023!$N$6:$N$205,MIN(C362+1,200)))-LN(INDEX(Dic2023!$N$6:$N$205,C362)))*(A362-6*C362)/6))</f>
        <v>0.222589841027425</v>
      </c>
      <c r="K362" s="12" t="n">
        <f aca="false">J362^(-1/B362)-1</f>
        <v>0.0516502500000002</v>
      </c>
      <c r="L362" s="12" t="n">
        <f aca="false">(1+K362)^(1/12)-1</f>
        <v>0.00420553496807585</v>
      </c>
    </row>
    <row r="363" customFormat="false" ht="15" hidden="false" customHeight="false" outlineLevel="0" collapsed="false">
      <c r="A363" s="4" t="n">
        <v>359</v>
      </c>
      <c r="B363" s="14" t="n">
        <f aca="false">A363/12</f>
        <v>29.9166666666667</v>
      </c>
      <c r="C363" s="15" t="n">
        <f aca="false">INT(A363/6)</f>
        <v>59</v>
      </c>
      <c r="D363" s="16" t="n">
        <f aca="false">IF(C363=0,(1+Dic2023!$G$6)^(-B363),EXP(LN(INDEX(Dic2023!$H$6:$H$205,C363))+(LN(INDEX(Dic2023!$H$6:$H$205,MIN(C363+1,200)))-LN(INDEX(Dic2023!$H$6:$H$205,C363)))*(A363-6*C363)/6))</f>
        <v>0.22165765202091</v>
      </c>
      <c r="E363" s="12" t="n">
        <f aca="false">D363^(-1/B363)-1</f>
        <v>0.0516502500000002</v>
      </c>
      <c r="F363" s="12" t="n">
        <f aca="false">(1+E363)^(1/12)-1</f>
        <v>0.00420553496807585</v>
      </c>
      <c r="G363" s="16" t="n">
        <f aca="false">IF(C363=0,(1+Dic2023!$J$6)^(-B363),EXP(LN(INDEX(Dic2023!$K$6:$K$205,C363))+(LN(INDEX(Dic2023!$K$6:$K$205,MIN(C363+1,200)))-LN(INDEX(Dic2023!$K$6:$K$205,C363)))*(A363-6*C363)/6))</f>
        <v>0.22165765202091</v>
      </c>
      <c r="H363" s="12" t="n">
        <f aca="false">G363^(-1/B363)-1</f>
        <v>0.0516502500000002</v>
      </c>
      <c r="I363" s="12" t="n">
        <f aca="false">(1+H363)^(1/12)-1</f>
        <v>0.00420553496807585</v>
      </c>
      <c r="J363" s="16" t="n">
        <f aca="false">IF(C363=0,(1+Dic2023!$M$6)^(-B363),EXP(LN(INDEX(Dic2023!$N$6:$N$205,C363))+(LN(INDEX(Dic2023!$N$6:$N$205,MIN(C363+1,200)))-LN(INDEX(Dic2023!$N$6:$N$205,C363)))*(A363-6*C363)/6))</f>
        <v>0.22165765202091</v>
      </c>
      <c r="K363" s="12" t="n">
        <f aca="false">J363^(-1/B363)-1</f>
        <v>0.0516502500000002</v>
      </c>
      <c r="L363" s="12" t="n">
        <f aca="false">(1+K363)^(1/12)-1</f>
        <v>0.00420553496807585</v>
      </c>
    </row>
    <row r="364" customFormat="false" ht="15" hidden="false" customHeight="false" outlineLevel="0" collapsed="false">
      <c r="A364" s="4" t="n">
        <v>360</v>
      </c>
      <c r="B364" s="14" t="n">
        <f aca="false">A364/12</f>
        <v>30</v>
      </c>
      <c r="C364" s="15" t="n">
        <f aca="false">INT(A364/6)</f>
        <v>60</v>
      </c>
      <c r="D364" s="16" t="n">
        <f aca="false">IF(C364=0,(1+Dic2023!$G$6)^(-B364),EXP(LN(INDEX(Dic2023!$H$6:$H$205,C364))+(LN(INDEX(Dic2023!$H$6:$H$205,MIN(C364+1,200)))-LN(INDEX(Dic2023!$H$6:$H$205,C364)))*(A364-6*C364)/6))</f>
        <v>0.220729366949721</v>
      </c>
      <c r="E364" s="12" t="n">
        <f aca="false">D364^(-1/B364)-1</f>
        <v>0.0516502500000002</v>
      </c>
      <c r="F364" s="12" t="n">
        <f aca="false">(1+E364)^(1/12)-1</f>
        <v>0.00420553496807585</v>
      </c>
      <c r="G364" s="16" t="n">
        <f aca="false">IF(C364=0,(1+Dic2023!$J$6)^(-B364),EXP(LN(INDEX(Dic2023!$K$6:$K$205,C364))+(LN(INDEX(Dic2023!$K$6:$K$205,MIN(C364+1,200)))-LN(INDEX(Dic2023!$K$6:$K$205,C364)))*(A364-6*C364)/6))</f>
        <v>0.220729366949721</v>
      </c>
      <c r="H364" s="12" t="n">
        <f aca="false">G364^(-1/B364)-1</f>
        <v>0.0516502500000002</v>
      </c>
      <c r="I364" s="12" t="n">
        <f aca="false">(1+H364)^(1/12)-1</f>
        <v>0.00420553496807585</v>
      </c>
      <c r="J364" s="16" t="n">
        <f aca="false">IF(C364=0,(1+Dic2023!$M$6)^(-B364),EXP(LN(INDEX(Dic2023!$N$6:$N$205,C364))+(LN(INDEX(Dic2023!$N$6:$N$205,MIN(C364+1,200)))-LN(INDEX(Dic2023!$N$6:$N$205,C364)))*(A364-6*C364)/6))</f>
        <v>0.220729366949721</v>
      </c>
      <c r="K364" s="12" t="n">
        <f aca="false">J364^(-1/B364)-1</f>
        <v>0.0516502500000002</v>
      </c>
      <c r="L364" s="12" t="n">
        <f aca="false">(1+K364)^(1/12)-1</f>
        <v>0.00420553496807585</v>
      </c>
    </row>
    <row r="365" customFormat="false" ht="15" hidden="false" customHeight="false" outlineLevel="0" collapsed="false">
      <c r="A365" s="4" t="n">
        <v>361</v>
      </c>
      <c r="B365" s="14" t="n">
        <f aca="false">A365/12</f>
        <v>30.0833333333333</v>
      </c>
      <c r="C365" s="15" t="n">
        <f aca="false">INT(A365/6)</f>
        <v>60</v>
      </c>
      <c r="D365" s="16" t="n">
        <f aca="false">IF(C365=0,(1+Dic2023!$G$6)^(-B365),EXP(LN(INDEX(Dic2023!$H$6:$H$205,C365))+(LN(INDEX(Dic2023!$H$6:$H$205,MIN(C365+1,200)))-LN(INDEX(Dic2023!$H$6:$H$205,C365)))*(A365-6*C365)/6))</f>
        <v>0.219804969464482</v>
      </c>
      <c r="E365" s="12" t="n">
        <f aca="false">D365^(-1/B365)-1</f>
        <v>0.0516502500000002</v>
      </c>
      <c r="F365" s="12" t="n">
        <f aca="false">(1+E365)^(1/12)-1</f>
        <v>0.00420553496807585</v>
      </c>
      <c r="G365" s="16" t="n">
        <f aca="false">IF(C365=0,(1+Dic2023!$J$6)^(-B365),EXP(LN(INDEX(Dic2023!$K$6:$K$205,C365))+(LN(INDEX(Dic2023!$K$6:$K$205,MIN(C365+1,200)))-LN(INDEX(Dic2023!$K$6:$K$205,C365)))*(A365-6*C365)/6))</f>
        <v>0.219804969464482</v>
      </c>
      <c r="H365" s="12" t="n">
        <f aca="false">G365^(-1/B365)-1</f>
        <v>0.0516502500000002</v>
      </c>
      <c r="I365" s="12" t="n">
        <f aca="false">(1+H365)^(1/12)-1</f>
        <v>0.00420553496807585</v>
      </c>
      <c r="J365" s="16" t="n">
        <f aca="false">IF(C365=0,(1+Dic2023!$M$6)^(-B365),EXP(LN(INDEX(Dic2023!$N$6:$N$205,C365))+(LN(INDEX(Dic2023!$N$6:$N$205,MIN(C365+1,200)))-LN(INDEX(Dic2023!$N$6:$N$205,C365)))*(A365-6*C365)/6))</f>
        <v>0.219804969464482</v>
      </c>
      <c r="K365" s="12" t="n">
        <f aca="false">J365^(-1/B365)-1</f>
        <v>0.0516502500000002</v>
      </c>
      <c r="L365" s="12" t="n">
        <f aca="false">(1+K365)^(1/12)-1</f>
        <v>0.00420553496807585</v>
      </c>
    </row>
    <row r="366" customFormat="false" ht="15" hidden="false" customHeight="false" outlineLevel="0" collapsed="false">
      <c r="A366" s="4" t="n">
        <v>362</v>
      </c>
      <c r="B366" s="14" t="n">
        <f aca="false">A366/12</f>
        <v>30.1666666666667</v>
      </c>
      <c r="C366" s="15" t="n">
        <f aca="false">INT(A366/6)</f>
        <v>60</v>
      </c>
      <c r="D366" s="16" t="n">
        <f aca="false">IF(C366=0,(1+Dic2023!$G$6)^(-B366),EXP(LN(INDEX(Dic2023!$H$6:$H$205,C366))+(LN(INDEX(Dic2023!$H$6:$H$205,MIN(C366+1,200)))-LN(INDEX(Dic2023!$H$6:$H$205,C366)))*(A366-6*C366)/6))</f>
        <v>0.218884443284282</v>
      </c>
      <c r="E366" s="12" t="n">
        <f aca="false">D366^(-1/B366)-1</f>
        <v>0.0516502500000002</v>
      </c>
      <c r="F366" s="12" t="n">
        <f aca="false">(1+E366)^(1/12)-1</f>
        <v>0.00420553496807585</v>
      </c>
      <c r="G366" s="16" t="n">
        <f aca="false">IF(C366=0,(1+Dic2023!$J$6)^(-B366),EXP(LN(INDEX(Dic2023!$K$6:$K$205,C366))+(LN(INDEX(Dic2023!$K$6:$K$205,MIN(C366+1,200)))-LN(INDEX(Dic2023!$K$6:$K$205,C366)))*(A366-6*C366)/6))</f>
        <v>0.218884443284282</v>
      </c>
      <c r="H366" s="12" t="n">
        <f aca="false">G366^(-1/B366)-1</f>
        <v>0.0516502500000002</v>
      </c>
      <c r="I366" s="12" t="n">
        <f aca="false">(1+H366)^(1/12)-1</f>
        <v>0.00420553496807585</v>
      </c>
      <c r="J366" s="16" t="n">
        <f aca="false">IF(C366=0,(1+Dic2023!$M$6)^(-B366),EXP(LN(INDEX(Dic2023!$N$6:$N$205,C366))+(LN(INDEX(Dic2023!$N$6:$N$205,MIN(C366+1,200)))-LN(INDEX(Dic2023!$N$6:$N$205,C366)))*(A366-6*C366)/6))</f>
        <v>0.218884443284282</v>
      </c>
      <c r="K366" s="12" t="n">
        <f aca="false">J366^(-1/B366)-1</f>
        <v>0.0516502500000002</v>
      </c>
      <c r="L366" s="12" t="n">
        <f aca="false">(1+K366)^(1/12)-1</f>
        <v>0.00420553496807585</v>
      </c>
    </row>
    <row r="367" customFormat="false" ht="15" hidden="false" customHeight="false" outlineLevel="0" collapsed="false">
      <c r="A367" s="4" t="n">
        <v>363</v>
      </c>
      <c r="B367" s="14" t="n">
        <f aca="false">A367/12</f>
        <v>30.25</v>
      </c>
      <c r="C367" s="15" t="n">
        <f aca="false">INT(A367/6)</f>
        <v>60</v>
      </c>
      <c r="D367" s="16" t="n">
        <f aca="false">IF(C367=0,(1+Dic2023!$G$6)^(-B367),EXP(LN(INDEX(Dic2023!$H$6:$H$205,C367))+(LN(INDEX(Dic2023!$H$6:$H$205,MIN(C367+1,200)))-LN(INDEX(Dic2023!$H$6:$H$205,C367)))*(A367-6*C367)/6))</f>
        <v>0.217967772196396</v>
      </c>
      <c r="E367" s="12" t="n">
        <f aca="false">D367^(-1/B367)-1</f>
        <v>0.0516502500000002</v>
      </c>
      <c r="F367" s="12" t="n">
        <f aca="false">(1+E367)^(1/12)-1</f>
        <v>0.00420553496807585</v>
      </c>
      <c r="G367" s="16" t="n">
        <f aca="false">IF(C367=0,(1+Dic2023!$J$6)^(-B367),EXP(LN(INDEX(Dic2023!$K$6:$K$205,C367))+(LN(INDEX(Dic2023!$K$6:$K$205,MIN(C367+1,200)))-LN(INDEX(Dic2023!$K$6:$K$205,C367)))*(A367-6*C367)/6))</f>
        <v>0.217967772196396</v>
      </c>
      <c r="H367" s="12" t="n">
        <f aca="false">G367^(-1/B367)-1</f>
        <v>0.0516502500000002</v>
      </c>
      <c r="I367" s="12" t="n">
        <f aca="false">(1+H367)^(1/12)-1</f>
        <v>0.00420553496807585</v>
      </c>
      <c r="J367" s="16" t="n">
        <f aca="false">IF(C367=0,(1+Dic2023!$M$6)^(-B367),EXP(LN(INDEX(Dic2023!$N$6:$N$205,C367))+(LN(INDEX(Dic2023!$N$6:$N$205,MIN(C367+1,200)))-LN(INDEX(Dic2023!$N$6:$N$205,C367)))*(A367-6*C367)/6))</f>
        <v>0.217967772196396</v>
      </c>
      <c r="K367" s="12" t="n">
        <f aca="false">J367^(-1/B367)-1</f>
        <v>0.0516502500000002</v>
      </c>
      <c r="L367" s="12" t="n">
        <f aca="false">(1+K367)^(1/12)-1</f>
        <v>0.00420553496807585</v>
      </c>
    </row>
    <row r="368" customFormat="false" ht="15" hidden="false" customHeight="false" outlineLevel="0" collapsed="false">
      <c r="A368" s="4" t="n">
        <v>364</v>
      </c>
      <c r="B368" s="14" t="n">
        <f aca="false">A368/12</f>
        <v>30.3333333333333</v>
      </c>
      <c r="C368" s="15" t="n">
        <f aca="false">INT(A368/6)</f>
        <v>60</v>
      </c>
      <c r="D368" s="16" t="n">
        <f aca="false">IF(C368=0,(1+Dic2023!$G$6)^(-B368),EXP(LN(INDEX(Dic2023!$H$6:$H$205,C368))+(LN(INDEX(Dic2023!$H$6:$H$205,MIN(C368+1,200)))-LN(INDEX(Dic2023!$H$6:$H$205,C368)))*(A368-6*C368)/6))</f>
        <v>0.217054940055997</v>
      </c>
      <c r="E368" s="12" t="n">
        <f aca="false">D368^(-1/B368)-1</f>
        <v>0.0516502500000002</v>
      </c>
      <c r="F368" s="12" t="n">
        <f aca="false">(1+E368)^(1/12)-1</f>
        <v>0.00420553496807585</v>
      </c>
      <c r="G368" s="16" t="n">
        <f aca="false">IF(C368=0,(1+Dic2023!$J$6)^(-B368),EXP(LN(INDEX(Dic2023!$K$6:$K$205,C368))+(LN(INDEX(Dic2023!$K$6:$K$205,MIN(C368+1,200)))-LN(INDEX(Dic2023!$K$6:$K$205,C368)))*(A368-6*C368)/6))</f>
        <v>0.217054940055997</v>
      </c>
      <c r="H368" s="12" t="n">
        <f aca="false">G368^(-1/B368)-1</f>
        <v>0.0516502500000002</v>
      </c>
      <c r="I368" s="12" t="n">
        <f aca="false">(1+H368)^(1/12)-1</f>
        <v>0.00420553496807585</v>
      </c>
      <c r="J368" s="16" t="n">
        <f aca="false">IF(C368=0,(1+Dic2023!$M$6)^(-B368),EXP(LN(INDEX(Dic2023!$N$6:$N$205,C368))+(LN(INDEX(Dic2023!$N$6:$N$205,MIN(C368+1,200)))-LN(INDEX(Dic2023!$N$6:$N$205,C368)))*(A368-6*C368)/6))</f>
        <v>0.217054940055997</v>
      </c>
      <c r="K368" s="12" t="n">
        <f aca="false">J368^(-1/B368)-1</f>
        <v>0.0516502500000002</v>
      </c>
      <c r="L368" s="12" t="n">
        <f aca="false">(1+K368)^(1/12)-1</f>
        <v>0.00420553496807585</v>
      </c>
    </row>
    <row r="369" customFormat="false" ht="15" hidden="false" customHeight="false" outlineLevel="0" collapsed="false">
      <c r="A369" s="4" t="n">
        <v>365</v>
      </c>
      <c r="B369" s="14" t="n">
        <f aca="false">A369/12</f>
        <v>30.4166666666667</v>
      </c>
      <c r="C369" s="15" t="n">
        <f aca="false">INT(A369/6)</f>
        <v>60</v>
      </c>
      <c r="D369" s="16" t="n">
        <f aca="false">IF(C369=0,(1+Dic2023!$G$6)^(-B369),EXP(LN(INDEX(Dic2023!$H$6:$H$205,C369))+(LN(INDEX(Dic2023!$H$6:$H$205,MIN(C369+1,200)))-LN(INDEX(Dic2023!$H$6:$H$205,C369)))*(A369-6*C369)/6))</f>
        <v>0.21614593078587</v>
      </c>
      <c r="E369" s="12" t="n">
        <f aca="false">D369^(-1/B369)-1</f>
        <v>0.0516502500000002</v>
      </c>
      <c r="F369" s="12" t="n">
        <f aca="false">(1+E369)^(1/12)-1</f>
        <v>0.00420553496807585</v>
      </c>
      <c r="G369" s="16" t="n">
        <f aca="false">IF(C369=0,(1+Dic2023!$J$6)^(-B369),EXP(LN(INDEX(Dic2023!$K$6:$K$205,C369))+(LN(INDEX(Dic2023!$K$6:$K$205,MIN(C369+1,200)))-LN(INDEX(Dic2023!$K$6:$K$205,C369)))*(A369-6*C369)/6))</f>
        <v>0.21614593078587</v>
      </c>
      <c r="H369" s="12" t="n">
        <f aca="false">G369^(-1/B369)-1</f>
        <v>0.0516502500000002</v>
      </c>
      <c r="I369" s="12" t="n">
        <f aca="false">(1+H369)^(1/12)-1</f>
        <v>0.00420553496807585</v>
      </c>
      <c r="J369" s="16" t="n">
        <f aca="false">IF(C369=0,(1+Dic2023!$M$6)^(-B369),EXP(LN(INDEX(Dic2023!$N$6:$N$205,C369))+(LN(INDEX(Dic2023!$N$6:$N$205,MIN(C369+1,200)))-LN(INDEX(Dic2023!$N$6:$N$205,C369)))*(A369-6*C369)/6))</f>
        <v>0.21614593078587</v>
      </c>
      <c r="K369" s="12" t="n">
        <f aca="false">J369^(-1/B369)-1</f>
        <v>0.0516502500000002</v>
      </c>
      <c r="L369" s="12" t="n">
        <f aca="false">(1+K369)^(1/12)-1</f>
        <v>0.00420553496807585</v>
      </c>
    </row>
    <row r="370" customFormat="false" ht="15" hidden="false" customHeight="false" outlineLevel="0" collapsed="false">
      <c r="A370" s="4" t="n">
        <v>366</v>
      </c>
      <c r="B370" s="14" t="n">
        <f aca="false">A370/12</f>
        <v>30.5</v>
      </c>
      <c r="C370" s="15" t="n">
        <f aca="false">INT(A370/6)</f>
        <v>61</v>
      </c>
      <c r="D370" s="16" t="n">
        <f aca="false">IF(C370=0,(1+Dic2023!$G$6)^(-B370),EXP(LN(INDEX(Dic2023!$H$6:$H$205,C370))+(LN(INDEX(Dic2023!$H$6:$H$205,MIN(C370+1,200)))-LN(INDEX(Dic2023!$H$6:$H$205,C370)))*(A370-6*C370)/6))</f>
        <v>0.21524072837613</v>
      </c>
      <c r="E370" s="12" t="n">
        <f aca="false">D370^(-1/B370)-1</f>
        <v>0.0516502500000002</v>
      </c>
      <c r="F370" s="12" t="n">
        <f aca="false">(1+E370)^(1/12)-1</f>
        <v>0.00420553496807585</v>
      </c>
      <c r="G370" s="16" t="n">
        <f aca="false">IF(C370=0,(1+Dic2023!$J$6)^(-B370),EXP(LN(INDEX(Dic2023!$K$6:$K$205,C370))+(LN(INDEX(Dic2023!$K$6:$K$205,MIN(C370+1,200)))-LN(INDEX(Dic2023!$K$6:$K$205,C370)))*(A370-6*C370)/6))</f>
        <v>0.21524072837613</v>
      </c>
      <c r="H370" s="12" t="n">
        <f aca="false">G370^(-1/B370)-1</f>
        <v>0.0516502500000002</v>
      </c>
      <c r="I370" s="12" t="n">
        <f aca="false">(1+H370)^(1/12)-1</f>
        <v>0.00420553496807585</v>
      </c>
      <c r="J370" s="16" t="n">
        <f aca="false">IF(C370=0,(1+Dic2023!$M$6)^(-B370),EXP(LN(INDEX(Dic2023!$N$6:$N$205,C370))+(LN(INDEX(Dic2023!$N$6:$N$205,MIN(C370+1,200)))-LN(INDEX(Dic2023!$N$6:$N$205,C370)))*(A370-6*C370)/6))</f>
        <v>0.21524072837613</v>
      </c>
      <c r="K370" s="12" t="n">
        <f aca="false">J370^(-1/B370)-1</f>
        <v>0.0516502500000002</v>
      </c>
      <c r="L370" s="12" t="n">
        <f aca="false">(1+K370)^(1/12)-1</f>
        <v>0.00420553496807585</v>
      </c>
    </row>
    <row r="371" customFormat="false" ht="15" hidden="false" customHeight="false" outlineLevel="0" collapsed="false">
      <c r="A371" s="4" t="n">
        <v>367</v>
      </c>
      <c r="B371" s="14" t="n">
        <f aca="false">A371/12</f>
        <v>30.5833333333333</v>
      </c>
      <c r="C371" s="15" t="n">
        <f aca="false">INT(A371/6)</f>
        <v>61</v>
      </c>
      <c r="D371" s="16" t="n">
        <f aca="false">IF(C371=0,(1+Dic2023!$G$6)^(-B371),EXP(LN(INDEX(Dic2023!$H$6:$H$205,C371))+(LN(INDEX(Dic2023!$H$6:$H$205,MIN(C371+1,200)))-LN(INDEX(Dic2023!$H$6:$H$205,C371)))*(A371-6*C371)/6))</f>
        <v>0.214339316883941</v>
      </c>
      <c r="E371" s="12" t="n">
        <f aca="false">D371^(-1/B371)-1</f>
        <v>0.0516502500000002</v>
      </c>
      <c r="F371" s="12" t="n">
        <f aca="false">(1+E371)^(1/12)-1</f>
        <v>0.00420553496807585</v>
      </c>
      <c r="G371" s="16" t="n">
        <f aca="false">IF(C371=0,(1+Dic2023!$J$6)^(-B371),EXP(LN(INDEX(Dic2023!$K$6:$K$205,C371))+(LN(INDEX(Dic2023!$K$6:$K$205,MIN(C371+1,200)))-LN(INDEX(Dic2023!$K$6:$K$205,C371)))*(A371-6*C371)/6))</f>
        <v>0.214339316883941</v>
      </c>
      <c r="H371" s="12" t="n">
        <f aca="false">G371^(-1/B371)-1</f>
        <v>0.0516502500000002</v>
      </c>
      <c r="I371" s="12" t="n">
        <f aca="false">(1+H371)^(1/12)-1</f>
        <v>0.00420553496807585</v>
      </c>
      <c r="J371" s="16" t="n">
        <f aca="false">IF(C371=0,(1+Dic2023!$M$6)^(-B371),EXP(LN(INDEX(Dic2023!$N$6:$N$205,C371))+(LN(INDEX(Dic2023!$N$6:$N$205,MIN(C371+1,200)))-LN(INDEX(Dic2023!$N$6:$N$205,C371)))*(A371-6*C371)/6))</f>
        <v>0.214339316883941</v>
      </c>
      <c r="K371" s="12" t="n">
        <f aca="false">J371^(-1/B371)-1</f>
        <v>0.0516502500000002</v>
      </c>
      <c r="L371" s="12" t="n">
        <f aca="false">(1+K371)^(1/12)-1</f>
        <v>0.00420553496807585</v>
      </c>
    </row>
    <row r="372" customFormat="false" ht="15" hidden="false" customHeight="false" outlineLevel="0" collapsed="false">
      <c r="A372" s="4" t="n">
        <v>368</v>
      </c>
      <c r="B372" s="14" t="n">
        <f aca="false">A372/12</f>
        <v>30.6666666666667</v>
      </c>
      <c r="C372" s="15" t="n">
        <f aca="false">INT(A372/6)</f>
        <v>61</v>
      </c>
      <c r="D372" s="16" t="n">
        <f aca="false">IF(C372=0,(1+Dic2023!$G$6)^(-B372),EXP(LN(INDEX(Dic2023!$H$6:$H$205,C372))+(LN(INDEX(Dic2023!$H$6:$H$205,MIN(C372+1,200)))-LN(INDEX(Dic2023!$H$6:$H$205,C372)))*(A372-6*C372)/6))</f>
        <v>0.213441680433234</v>
      </c>
      <c r="E372" s="12" t="n">
        <f aca="false">D372^(-1/B372)-1</f>
        <v>0.0516502500000002</v>
      </c>
      <c r="F372" s="12" t="n">
        <f aca="false">(1+E372)^(1/12)-1</f>
        <v>0.00420553496807585</v>
      </c>
      <c r="G372" s="16" t="n">
        <f aca="false">IF(C372=0,(1+Dic2023!$J$6)^(-B372),EXP(LN(INDEX(Dic2023!$K$6:$K$205,C372))+(LN(INDEX(Dic2023!$K$6:$K$205,MIN(C372+1,200)))-LN(INDEX(Dic2023!$K$6:$K$205,C372)))*(A372-6*C372)/6))</f>
        <v>0.213441680433234</v>
      </c>
      <c r="H372" s="12" t="n">
        <f aca="false">G372^(-1/B372)-1</f>
        <v>0.0516502500000002</v>
      </c>
      <c r="I372" s="12" t="n">
        <f aca="false">(1+H372)^(1/12)-1</f>
        <v>0.00420553496807585</v>
      </c>
      <c r="J372" s="16" t="n">
        <f aca="false">IF(C372=0,(1+Dic2023!$M$6)^(-B372),EXP(LN(INDEX(Dic2023!$N$6:$N$205,C372))+(LN(INDEX(Dic2023!$N$6:$N$205,MIN(C372+1,200)))-LN(INDEX(Dic2023!$N$6:$N$205,C372)))*(A372-6*C372)/6))</f>
        <v>0.213441680433234</v>
      </c>
      <c r="K372" s="12" t="n">
        <f aca="false">J372^(-1/B372)-1</f>
        <v>0.0516502500000002</v>
      </c>
      <c r="L372" s="12" t="n">
        <f aca="false">(1+K372)^(1/12)-1</f>
        <v>0.00420553496807585</v>
      </c>
    </row>
    <row r="373" customFormat="false" ht="15" hidden="false" customHeight="false" outlineLevel="0" collapsed="false">
      <c r="A373" s="4" t="n">
        <v>369</v>
      </c>
      <c r="B373" s="14" t="n">
        <f aca="false">A373/12</f>
        <v>30.75</v>
      </c>
      <c r="C373" s="15" t="n">
        <f aca="false">INT(A373/6)</f>
        <v>61</v>
      </c>
      <c r="D373" s="16" t="n">
        <f aca="false">IF(C373=0,(1+Dic2023!$G$6)^(-B373),EXP(LN(INDEX(Dic2023!$H$6:$H$205,C373))+(LN(INDEX(Dic2023!$H$6:$H$205,MIN(C373+1,200)))-LN(INDEX(Dic2023!$H$6:$H$205,C373)))*(A373-6*C373)/6))</f>
        <v>0.212547803214428</v>
      </c>
      <c r="E373" s="12" t="n">
        <f aca="false">D373^(-1/B373)-1</f>
        <v>0.0516502500000002</v>
      </c>
      <c r="F373" s="12" t="n">
        <f aca="false">(1+E373)^(1/12)-1</f>
        <v>0.00420553496807585</v>
      </c>
      <c r="G373" s="16" t="n">
        <f aca="false">IF(C373=0,(1+Dic2023!$J$6)^(-B373),EXP(LN(INDEX(Dic2023!$K$6:$K$205,C373))+(LN(INDEX(Dic2023!$K$6:$K$205,MIN(C373+1,200)))-LN(INDEX(Dic2023!$K$6:$K$205,C373)))*(A373-6*C373)/6))</f>
        <v>0.212547803214428</v>
      </c>
      <c r="H373" s="12" t="n">
        <f aca="false">G373^(-1/B373)-1</f>
        <v>0.0516502500000002</v>
      </c>
      <c r="I373" s="12" t="n">
        <f aca="false">(1+H373)^(1/12)-1</f>
        <v>0.00420553496807585</v>
      </c>
      <c r="J373" s="16" t="n">
        <f aca="false">IF(C373=0,(1+Dic2023!$M$6)^(-B373),EXP(LN(INDEX(Dic2023!$N$6:$N$205,C373))+(LN(INDEX(Dic2023!$N$6:$N$205,MIN(C373+1,200)))-LN(INDEX(Dic2023!$N$6:$N$205,C373)))*(A373-6*C373)/6))</f>
        <v>0.212547803214428</v>
      </c>
      <c r="K373" s="12" t="n">
        <f aca="false">J373^(-1/B373)-1</f>
        <v>0.0516502500000002</v>
      </c>
      <c r="L373" s="12" t="n">
        <f aca="false">(1+K373)^(1/12)-1</f>
        <v>0.00420553496807585</v>
      </c>
    </row>
    <row r="374" customFormat="false" ht="15" hidden="false" customHeight="false" outlineLevel="0" collapsed="false">
      <c r="A374" s="4" t="n">
        <v>370</v>
      </c>
      <c r="B374" s="14" t="n">
        <f aca="false">A374/12</f>
        <v>30.8333333333333</v>
      </c>
      <c r="C374" s="15" t="n">
        <f aca="false">INT(A374/6)</f>
        <v>61</v>
      </c>
      <c r="D374" s="16" t="n">
        <f aca="false">IF(C374=0,(1+Dic2023!$G$6)^(-B374),EXP(LN(INDEX(Dic2023!$H$6:$H$205,C374))+(LN(INDEX(Dic2023!$H$6:$H$205,MIN(C374+1,200)))-LN(INDEX(Dic2023!$H$6:$H$205,C374)))*(A374-6*C374)/6))</f>
        <v>0.211657669484151</v>
      </c>
      <c r="E374" s="12" t="n">
        <f aca="false">D374^(-1/B374)-1</f>
        <v>0.0516502500000002</v>
      </c>
      <c r="F374" s="12" t="n">
        <f aca="false">(1+E374)^(1/12)-1</f>
        <v>0.00420553496807585</v>
      </c>
      <c r="G374" s="16" t="n">
        <f aca="false">IF(C374=0,(1+Dic2023!$J$6)^(-B374),EXP(LN(INDEX(Dic2023!$K$6:$K$205,C374))+(LN(INDEX(Dic2023!$K$6:$K$205,MIN(C374+1,200)))-LN(INDEX(Dic2023!$K$6:$K$205,C374)))*(A374-6*C374)/6))</f>
        <v>0.211657669484151</v>
      </c>
      <c r="H374" s="12" t="n">
        <f aca="false">G374^(-1/B374)-1</f>
        <v>0.0516502500000002</v>
      </c>
      <c r="I374" s="12" t="n">
        <f aca="false">(1+H374)^(1/12)-1</f>
        <v>0.00420553496807585</v>
      </c>
      <c r="J374" s="16" t="n">
        <f aca="false">IF(C374=0,(1+Dic2023!$M$6)^(-B374),EXP(LN(INDEX(Dic2023!$N$6:$N$205,C374))+(LN(INDEX(Dic2023!$N$6:$N$205,MIN(C374+1,200)))-LN(INDEX(Dic2023!$N$6:$N$205,C374)))*(A374-6*C374)/6))</f>
        <v>0.211657669484151</v>
      </c>
      <c r="K374" s="12" t="n">
        <f aca="false">J374^(-1/B374)-1</f>
        <v>0.0516502500000002</v>
      </c>
      <c r="L374" s="12" t="n">
        <f aca="false">(1+K374)^(1/12)-1</f>
        <v>0.00420553496807585</v>
      </c>
    </row>
    <row r="375" customFormat="false" ht="15" hidden="false" customHeight="false" outlineLevel="0" collapsed="false">
      <c r="A375" s="4" t="n">
        <v>371</v>
      </c>
      <c r="B375" s="14" t="n">
        <f aca="false">A375/12</f>
        <v>30.9166666666667</v>
      </c>
      <c r="C375" s="15" t="n">
        <f aca="false">INT(A375/6)</f>
        <v>61</v>
      </c>
      <c r="D375" s="16" t="n">
        <f aca="false">IF(C375=0,(1+Dic2023!$G$6)^(-B375),EXP(LN(INDEX(Dic2023!$H$6:$H$205,C375))+(LN(INDEX(Dic2023!$H$6:$H$205,MIN(C375+1,200)))-LN(INDEX(Dic2023!$H$6:$H$205,C375)))*(A375-6*C375)/6))</f>
        <v>0.210771263564963</v>
      </c>
      <c r="E375" s="12" t="n">
        <f aca="false">D375^(-1/B375)-1</f>
        <v>0.0516502500000002</v>
      </c>
      <c r="F375" s="12" t="n">
        <f aca="false">(1+E375)^(1/12)-1</f>
        <v>0.00420553496807585</v>
      </c>
      <c r="G375" s="16" t="n">
        <f aca="false">IF(C375=0,(1+Dic2023!$J$6)^(-B375),EXP(LN(INDEX(Dic2023!$K$6:$K$205,C375))+(LN(INDEX(Dic2023!$K$6:$K$205,MIN(C375+1,200)))-LN(INDEX(Dic2023!$K$6:$K$205,C375)))*(A375-6*C375)/6))</f>
        <v>0.210771263564963</v>
      </c>
      <c r="H375" s="12" t="n">
        <f aca="false">G375^(-1/B375)-1</f>
        <v>0.0516502500000002</v>
      </c>
      <c r="I375" s="12" t="n">
        <f aca="false">(1+H375)^(1/12)-1</f>
        <v>0.00420553496807585</v>
      </c>
      <c r="J375" s="16" t="n">
        <f aca="false">IF(C375=0,(1+Dic2023!$M$6)^(-B375),EXP(LN(INDEX(Dic2023!$N$6:$N$205,C375))+(LN(INDEX(Dic2023!$N$6:$N$205,MIN(C375+1,200)))-LN(INDEX(Dic2023!$N$6:$N$205,C375)))*(A375-6*C375)/6))</f>
        <v>0.210771263564963</v>
      </c>
      <c r="K375" s="12" t="n">
        <f aca="false">J375^(-1/B375)-1</f>
        <v>0.0516502500000002</v>
      </c>
      <c r="L375" s="12" t="n">
        <f aca="false">(1+K375)^(1/12)-1</f>
        <v>0.00420553496807585</v>
      </c>
    </row>
    <row r="376" customFormat="false" ht="15" hidden="false" customHeight="false" outlineLevel="0" collapsed="false">
      <c r="A376" s="4" t="n">
        <v>372</v>
      </c>
      <c r="B376" s="14" t="n">
        <f aca="false">A376/12</f>
        <v>31</v>
      </c>
      <c r="C376" s="15" t="n">
        <f aca="false">INT(A376/6)</f>
        <v>62</v>
      </c>
      <c r="D376" s="16" t="n">
        <f aca="false">IF(C376=0,(1+Dic2023!$G$6)^(-B376),EXP(LN(INDEX(Dic2023!$H$6:$H$205,C376))+(LN(INDEX(Dic2023!$H$6:$H$205,MIN(C376+1,200)))-LN(INDEX(Dic2023!$H$6:$H$205,C376)))*(A376-6*C376)/6))</f>
        <v>0.20988856984508</v>
      </c>
      <c r="E376" s="12" t="n">
        <f aca="false">D376^(-1/B376)-1</f>
        <v>0.0516502500000002</v>
      </c>
      <c r="F376" s="12" t="n">
        <f aca="false">(1+E376)^(1/12)-1</f>
        <v>0.00420553496807585</v>
      </c>
      <c r="G376" s="16" t="n">
        <f aca="false">IF(C376=0,(1+Dic2023!$J$6)^(-B376),EXP(LN(INDEX(Dic2023!$K$6:$K$205,C376))+(LN(INDEX(Dic2023!$K$6:$K$205,MIN(C376+1,200)))-LN(INDEX(Dic2023!$K$6:$K$205,C376)))*(A376-6*C376)/6))</f>
        <v>0.20988856984508</v>
      </c>
      <c r="H376" s="12" t="n">
        <f aca="false">G376^(-1/B376)-1</f>
        <v>0.0516502500000002</v>
      </c>
      <c r="I376" s="12" t="n">
        <f aca="false">(1+H376)^(1/12)-1</f>
        <v>0.00420553496807585</v>
      </c>
      <c r="J376" s="16" t="n">
        <f aca="false">IF(C376=0,(1+Dic2023!$M$6)^(-B376),EXP(LN(INDEX(Dic2023!$N$6:$N$205,C376))+(LN(INDEX(Dic2023!$N$6:$N$205,MIN(C376+1,200)))-LN(INDEX(Dic2023!$N$6:$N$205,C376)))*(A376-6*C376)/6))</f>
        <v>0.20988856984508</v>
      </c>
      <c r="K376" s="12" t="n">
        <f aca="false">J376^(-1/B376)-1</f>
        <v>0.0516502500000002</v>
      </c>
      <c r="L376" s="12" t="n">
        <f aca="false">(1+K376)^(1/12)-1</f>
        <v>0.00420553496807585</v>
      </c>
    </row>
    <row r="377" customFormat="false" ht="15" hidden="false" customHeight="false" outlineLevel="0" collapsed="false">
      <c r="A377" s="4" t="n">
        <v>373</v>
      </c>
      <c r="B377" s="14" t="n">
        <f aca="false">A377/12</f>
        <v>31.0833333333333</v>
      </c>
      <c r="C377" s="15" t="n">
        <f aca="false">INT(A377/6)</f>
        <v>62</v>
      </c>
      <c r="D377" s="16" t="n">
        <f aca="false">IF(C377=0,(1+Dic2023!$G$6)^(-B377),EXP(LN(INDEX(Dic2023!$H$6:$H$205,C377))+(LN(INDEX(Dic2023!$H$6:$H$205,MIN(C377+1,200)))-LN(INDEX(Dic2023!$H$6:$H$205,C377)))*(A377-6*C377)/6))</f>
        <v>0.209009572778099</v>
      </c>
      <c r="E377" s="12" t="n">
        <f aca="false">D377^(-1/B377)-1</f>
        <v>0.0516502500000002</v>
      </c>
      <c r="F377" s="12" t="n">
        <f aca="false">(1+E377)^(1/12)-1</f>
        <v>0.00420553496807585</v>
      </c>
      <c r="G377" s="16" t="n">
        <f aca="false">IF(C377=0,(1+Dic2023!$J$6)^(-B377),EXP(LN(INDEX(Dic2023!$K$6:$K$205,C377))+(LN(INDEX(Dic2023!$K$6:$K$205,MIN(C377+1,200)))-LN(INDEX(Dic2023!$K$6:$K$205,C377)))*(A377-6*C377)/6))</f>
        <v>0.209009572778099</v>
      </c>
      <c r="H377" s="12" t="n">
        <f aca="false">G377^(-1/B377)-1</f>
        <v>0.0516502500000002</v>
      </c>
      <c r="I377" s="12" t="n">
        <f aca="false">(1+H377)^(1/12)-1</f>
        <v>0.00420553496807585</v>
      </c>
      <c r="J377" s="16" t="n">
        <f aca="false">IF(C377=0,(1+Dic2023!$M$6)^(-B377),EXP(LN(INDEX(Dic2023!$N$6:$N$205,C377))+(LN(INDEX(Dic2023!$N$6:$N$205,MIN(C377+1,200)))-LN(INDEX(Dic2023!$N$6:$N$205,C377)))*(A377-6*C377)/6))</f>
        <v>0.209009572778099</v>
      </c>
      <c r="K377" s="12" t="n">
        <f aca="false">J377^(-1/B377)-1</f>
        <v>0.0516502500000002</v>
      </c>
      <c r="L377" s="12" t="n">
        <f aca="false">(1+K377)^(1/12)-1</f>
        <v>0.00420553496807585</v>
      </c>
    </row>
    <row r="378" customFormat="false" ht="15" hidden="false" customHeight="false" outlineLevel="0" collapsed="false">
      <c r="A378" s="4" t="n">
        <v>374</v>
      </c>
      <c r="B378" s="14" t="n">
        <f aca="false">A378/12</f>
        <v>31.1666666666667</v>
      </c>
      <c r="C378" s="15" t="n">
        <f aca="false">INT(A378/6)</f>
        <v>62</v>
      </c>
      <c r="D378" s="16" t="n">
        <f aca="false">IF(C378=0,(1+Dic2023!$G$6)^(-B378),EXP(LN(INDEX(Dic2023!$H$6:$H$205,C378))+(LN(INDEX(Dic2023!$H$6:$H$205,MIN(C378+1,200)))-LN(INDEX(Dic2023!$H$6:$H$205,C378)))*(A378-6*C378)/6))</f>
        <v>0.208134256882725</v>
      </c>
      <c r="E378" s="12" t="n">
        <f aca="false">D378^(-1/B378)-1</f>
        <v>0.0516502500000002</v>
      </c>
      <c r="F378" s="12" t="n">
        <f aca="false">(1+E378)^(1/12)-1</f>
        <v>0.00420553496807585</v>
      </c>
      <c r="G378" s="16" t="n">
        <f aca="false">IF(C378=0,(1+Dic2023!$J$6)^(-B378),EXP(LN(INDEX(Dic2023!$K$6:$K$205,C378))+(LN(INDEX(Dic2023!$K$6:$K$205,MIN(C378+1,200)))-LN(INDEX(Dic2023!$K$6:$K$205,C378)))*(A378-6*C378)/6))</f>
        <v>0.208134256882725</v>
      </c>
      <c r="H378" s="12" t="n">
        <f aca="false">G378^(-1/B378)-1</f>
        <v>0.0516502500000002</v>
      </c>
      <c r="I378" s="12" t="n">
        <f aca="false">(1+H378)^(1/12)-1</f>
        <v>0.00420553496807585</v>
      </c>
      <c r="J378" s="16" t="n">
        <f aca="false">IF(C378=0,(1+Dic2023!$M$6)^(-B378),EXP(LN(INDEX(Dic2023!$N$6:$N$205,C378))+(LN(INDEX(Dic2023!$N$6:$N$205,MIN(C378+1,200)))-LN(INDEX(Dic2023!$N$6:$N$205,C378)))*(A378-6*C378)/6))</f>
        <v>0.208134256882725</v>
      </c>
      <c r="K378" s="12" t="n">
        <f aca="false">J378^(-1/B378)-1</f>
        <v>0.0516502500000002</v>
      </c>
      <c r="L378" s="12" t="n">
        <f aca="false">(1+K378)^(1/12)-1</f>
        <v>0.00420553496807585</v>
      </c>
    </row>
    <row r="379" customFormat="false" ht="15" hidden="false" customHeight="false" outlineLevel="0" collapsed="false">
      <c r="A379" s="4" t="n">
        <v>375</v>
      </c>
      <c r="B379" s="14" t="n">
        <f aca="false">A379/12</f>
        <v>31.25</v>
      </c>
      <c r="C379" s="15" t="n">
        <f aca="false">INT(A379/6)</f>
        <v>62</v>
      </c>
      <c r="D379" s="16" t="n">
        <f aca="false">IF(C379=0,(1+Dic2023!$G$6)^(-B379),EXP(LN(INDEX(Dic2023!$H$6:$H$205,C379))+(LN(INDEX(Dic2023!$H$6:$H$205,MIN(C379+1,200)))-LN(INDEX(Dic2023!$H$6:$H$205,C379)))*(A379-6*C379)/6))</f>
        <v>0.207262606742495</v>
      </c>
      <c r="E379" s="12" t="n">
        <f aca="false">D379^(-1/B379)-1</f>
        <v>0.0516502500000002</v>
      </c>
      <c r="F379" s="12" t="n">
        <f aca="false">(1+E379)^(1/12)-1</f>
        <v>0.00420553496807585</v>
      </c>
      <c r="G379" s="16" t="n">
        <f aca="false">IF(C379=0,(1+Dic2023!$J$6)^(-B379),EXP(LN(INDEX(Dic2023!$K$6:$K$205,C379))+(LN(INDEX(Dic2023!$K$6:$K$205,MIN(C379+1,200)))-LN(INDEX(Dic2023!$K$6:$K$205,C379)))*(A379-6*C379)/6))</f>
        <v>0.207262606742495</v>
      </c>
      <c r="H379" s="12" t="n">
        <f aca="false">G379^(-1/B379)-1</f>
        <v>0.0516502500000002</v>
      </c>
      <c r="I379" s="12" t="n">
        <f aca="false">(1+H379)^(1/12)-1</f>
        <v>0.00420553496807585</v>
      </c>
      <c r="J379" s="16" t="n">
        <f aca="false">IF(C379=0,(1+Dic2023!$M$6)^(-B379),EXP(LN(INDEX(Dic2023!$N$6:$N$205,C379))+(LN(INDEX(Dic2023!$N$6:$N$205,MIN(C379+1,200)))-LN(INDEX(Dic2023!$N$6:$N$205,C379)))*(A379-6*C379)/6))</f>
        <v>0.207262606742495</v>
      </c>
      <c r="K379" s="12" t="n">
        <f aca="false">J379^(-1/B379)-1</f>
        <v>0.0516502500000002</v>
      </c>
      <c r="L379" s="12" t="n">
        <f aca="false">(1+K379)^(1/12)-1</f>
        <v>0.00420553496807585</v>
      </c>
    </row>
    <row r="380" customFormat="false" ht="15" hidden="false" customHeight="false" outlineLevel="0" collapsed="false">
      <c r="A380" s="4" t="n">
        <v>376</v>
      </c>
      <c r="B380" s="14" t="n">
        <f aca="false">A380/12</f>
        <v>31.3333333333333</v>
      </c>
      <c r="C380" s="15" t="n">
        <f aca="false">INT(A380/6)</f>
        <v>62</v>
      </c>
      <c r="D380" s="16" t="n">
        <f aca="false">IF(C380=0,(1+Dic2023!$G$6)^(-B380),EXP(LN(INDEX(Dic2023!$H$6:$H$205,C380))+(LN(INDEX(Dic2023!$H$6:$H$205,MIN(C380+1,200)))-LN(INDEX(Dic2023!$H$6:$H$205,C380)))*(A380-6*C380)/6))</f>
        <v>0.206394607005511</v>
      </c>
      <c r="E380" s="12" t="n">
        <f aca="false">D380^(-1/B380)-1</f>
        <v>0.0516502500000002</v>
      </c>
      <c r="F380" s="12" t="n">
        <f aca="false">(1+E380)^(1/12)-1</f>
        <v>0.00420553496807585</v>
      </c>
      <c r="G380" s="16" t="n">
        <f aca="false">IF(C380=0,(1+Dic2023!$J$6)^(-B380),EXP(LN(INDEX(Dic2023!$K$6:$K$205,C380))+(LN(INDEX(Dic2023!$K$6:$K$205,MIN(C380+1,200)))-LN(INDEX(Dic2023!$K$6:$K$205,C380)))*(A380-6*C380)/6))</f>
        <v>0.206394607005511</v>
      </c>
      <c r="H380" s="12" t="n">
        <f aca="false">G380^(-1/B380)-1</f>
        <v>0.0516502500000002</v>
      </c>
      <c r="I380" s="12" t="n">
        <f aca="false">(1+H380)^(1/12)-1</f>
        <v>0.00420553496807585</v>
      </c>
      <c r="J380" s="16" t="n">
        <f aca="false">IF(C380=0,(1+Dic2023!$M$6)^(-B380),EXP(LN(INDEX(Dic2023!$N$6:$N$205,C380))+(LN(INDEX(Dic2023!$N$6:$N$205,MIN(C380+1,200)))-LN(INDEX(Dic2023!$N$6:$N$205,C380)))*(A380-6*C380)/6))</f>
        <v>0.206394607005511</v>
      </c>
      <c r="K380" s="12" t="n">
        <f aca="false">J380^(-1/B380)-1</f>
        <v>0.0516502500000002</v>
      </c>
      <c r="L380" s="12" t="n">
        <f aca="false">(1+K380)^(1/12)-1</f>
        <v>0.00420553496807585</v>
      </c>
    </row>
    <row r="381" customFormat="false" ht="15" hidden="false" customHeight="false" outlineLevel="0" collapsed="false">
      <c r="A381" s="4" t="n">
        <v>377</v>
      </c>
      <c r="B381" s="14" t="n">
        <f aca="false">A381/12</f>
        <v>31.4166666666667</v>
      </c>
      <c r="C381" s="15" t="n">
        <f aca="false">INT(A381/6)</f>
        <v>62</v>
      </c>
      <c r="D381" s="16" t="n">
        <f aca="false">IF(C381=0,(1+Dic2023!$G$6)^(-B381),EXP(LN(INDEX(Dic2023!$H$6:$H$205,C381))+(LN(INDEX(Dic2023!$H$6:$H$205,MIN(C381+1,200)))-LN(INDEX(Dic2023!$H$6:$H$205,C381)))*(A381-6*C381)/6))</f>
        <v>0.205530242384167</v>
      </c>
      <c r="E381" s="12" t="n">
        <f aca="false">D381^(-1/B381)-1</f>
        <v>0.0516502500000002</v>
      </c>
      <c r="F381" s="12" t="n">
        <f aca="false">(1+E381)^(1/12)-1</f>
        <v>0.00420553496807585</v>
      </c>
      <c r="G381" s="16" t="n">
        <f aca="false">IF(C381=0,(1+Dic2023!$J$6)^(-B381),EXP(LN(INDEX(Dic2023!$K$6:$K$205,C381))+(LN(INDEX(Dic2023!$K$6:$K$205,MIN(C381+1,200)))-LN(INDEX(Dic2023!$K$6:$K$205,C381)))*(A381-6*C381)/6))</f>
        <v>0.205530242384167</v>
      </c>
      <c r="H381" s="12" t="n">
        <f aca="false">G381^(-1/B381)-1</f>
        <v>0.0516502500000002</v>
      </c>
      <c r="I381" s="12" t="n">
        <f aca="false">(1+H381)^(1/12)-1</f>
        <v>0.00420553496807585</v>
      </c>
      <c r="J381" s="16" t="n">
        <f aca="false">IF(C381=0,(1+Dic2023!$M$6)^(-B381),EXP(LN(INDEX(Dic2023!$N$6:$N$205,C381))+(LN(INDEX(Dic2023!$N$6:$N$205,MIN(C381+1,200)))-LN(INDEX(Dic2023!$N$6:$N$205,C381)))*(A381-6*C381)/6))</f>
        <v>0.205530242384167</v>
      </c>
      <c r="K381" s="12" t="n">
        <f aca="false">J381^(-1/B381)-1</f>
        <v>0.0516502500000002</v>
      </c>
      <c r="L381" s="12" t="n">
        <f aca="false">(1+K381)^(1/12)-1</f>
        <v>0.00420553496807585</v>
      </c>
    </row>
    <row r="382" customFormat="false" ht="15" hidden="false" customHeight="false" outlineLevel="0" collapsed="false">
      <c r="A382" s="4" t="n">
        <v>378</v>
      </c>
      <c r="B382" s="14" t="n">
        <f aca="false">A382/12</f>
        <v>31.5</v>
      </c>
      <c r="C382" s="15" t="n">
        <f aca="false">INT(A382/6)</f>
        <v>63</v>
      </c>
      <c r="D382" s="16" t="n">
        <f aca="false">IF(C382=0,(1+Dic2023!$G$6)^(-B382),EXP(LN(INDEX(Dic2023!$H$6:$H$205,C382))+(LN(INDEX(Dic2023!$H$6:$H$205,MIN(C382+1,200)))-LN(INDEX(Dic2023!$H$6:$H$205,C382)))*(A382-6*C382)/6))</f>
        <v>0.204669497654881</v>
      </c>
      <c r="E382" s="12" t="n">
        <f aca="false">D382^(-1/B382)-1</f>
        <v>0.0516502500000002</v>
      </c>
      <c r="F382" s="12" t="n">
        <f aca="false">(1+E382)^(1/12)-1</f>
        <v>0.00420553496807585</v>
      </c>
      <c r="G382" s="16" t="n">
        <f aca="false">IF(C382=0,(1+Dic2023!$J$6)^(-B382),EXP(LN(INDEX(Dic2023!$K$6:$K$205,C382))+(LN(INDEX(Dic2023!$K$6:$K$205,MIN(C382+1,200)))-LN(INDEX(Dic2023!$K$6:$K$205,C382)))*(A382-6*C382)/6))</f>
        <v>0.204669497654881</v>
      </c>
      <c r="H382" s="12" t="n">
        <f aca="false">G382^(-1/B382)-1</f>
        <v>0.0516502500000002</v>
      </c>
      <c r="I382" s="12" t="n">
        <f aca="false">(1+H382)^(1/12)-1</f>
        <v>0.00420553496807585</v>
      </c>
      <c r="J382" s="16" t="n">
        <f aca="false">IF(C382=0,(1+Dic2023!$M$6)^(-B382),EXP(LN(INDEX(Dic2023!$N$6:$N$205,C382))+(LN(INDEX(Dic2023!$N$6:$N$205,MIN(C382+1,200)))-LN(INDEX(Dic2023!$N$6:$N$205,C382)))*(A382-6*C382)/6))</f>
        <v>0.204669497654881</v>
      </c>
      <c r="K382" s="12" t="n">
        <f aca="false">J382^(-1/B382)-1</f>
        <v>0.0516502500000002</v>
      </c>
      <c r="L382" s="12" t="n">
        <f aca="false">(1+K382)^(1/12)-1</f>
        <v>0.00420553496807585</v>
      </c>
    </row>
    <row r="383" customFormat="false" ht="15" hidden="false" customHeight="false" outlineLevel="0" collapsed="false">
      <c r="A383" s="4" t="n">
        <v>379</v>
      </c>
      <c r="B383" s="14" t="n">
        <f aca="false">A383/12</f>
        <v>31.5833333333333</v>
      </c>
      <c r="C383" s="15" t="n">
        <f aca="false">INT(A383/6)</f>
        <v>63</v>
      </c>
      <c r="D383" s="16" t="n">
        <f aca="false">IF(C383=0,(1+Dic2023!$G$6)^(-B383),EXP(LN(INDEX(Dic2023!$H$6:$H$205,C383))+(LN(INDEX(Dic2023!$H$6:$H$205,MIN(C383+1,200)))-LN(INDEX(Dic2023!$H$6:$H$205,C383)))*(A383-6*C383)/6))</f>
        <v>0.203812357657825</v>
      </c>
      <c r="E383" s="12" t="n">
        <f aca="false">D383^(-1/B383)-1</f>
        <v>0.0516502500000002</v>
      </c>
      <c r="F383" s="12" t="n">
        <f aca="false">(1+E383)^(1/12)-1</f>
        <v>0.00420553496807585</v>
      </c>
      <c r="G383" s="16" t="n">
        <f aca="false">IF(C383=0,(1+Dic2023!$J$6)^(-B383),EXP(LN(INDEX(Dic2023!$K$6:$K$205,C383))+(LN(INDEX(Dic2023!$K$6:$K$205,MIN(C383+1,200)))-LN(INDEX(Dic2023!$K$6:$K$205,C383)))*(A383-6*C383)/6))</f>
        <v>0.203812357657825</v>
      </c>
      <c r="H383" s="12" t="n">
        <f aca="false">G383^(-1/B383)-1</f>
        <v>0.0516502500000002</v>
      </c>
      <c r="I383" s="12" t="n">
        <f aca="false">(1+H383)^(1/12)-1</f>
        <v>0.00420553496807585</v>
      </c>
      <c r="J383" s="16" t="n">
        <f aca="false">IF(C383=0,(1+Dic2023!$M$6)^(-B383),EXP(LN(INDEX(Dic2023!$N$6:$N$205,C383))+(LN(INDEX(Dic2023!$N$6:$N$205,MIN(C383+1,200)))-LN(INDEX(Dic2023!$N$6:$N$205,C383)))*(A383-6*C383)/6))</f>
        <v>0.203812357657825</v>
      </c>
      <c r="K383" s="12" t="n">
        <f aca="false">J383^(-1/B383)-1</f>
        <v>0.0516502500000002</v>
      </c>
      <c r="L383" s="12" t="n">
        <f aca="false">(1+K383)^(1/12)-1</f>
        <v>0.00420553496807585</v>
      </c>
    </row>
    <row r="384" customFormat="false" ht="15" hidden="false" customHeight="false" outlineLevel="0" collapsed="false">
      <c r="A384" s="4" t="n">
        <v>380</v>
      </c>
      <c r="B384" s="14" t="n">
        <f aca="false">A384/12</f>
        <v>31.6666666666667</v>
      </c>
      <c r="C384" s="15" t="n">
        <f aca="false">INT(A384/6)</f>
        <v>63</v>
      </c>
      <c r="D384" s="16" t="n">
        <f aca="false">IF(C384=0,(1+Dic2023!$G$6)^(-B384),EXP(LN(INDEX(Dic2023!$H$6:$H$205,C384))+(LN(INDEX(Dic2023!$H$6:$H$205,MIN(C384+1,200)))-LN(INDEX(Dic2023!$H$6:$H$205,C384)))*(A384-6*C384)/6))</f>
        <v>0.20295880729666</v>
      </c>
      <c r="E384" s="12" t="n">
        <f aca="false">D384^(-1/B384)-1</f>
        <v>0.0516502500000002</v>
      </c>
      <c r="F384" s="12" t="n">
        <f aca="false">(1+E384)^(1/12)-1</f>
        <v>0.00420553496807585</v>
      </c>
      <c r="G384" s="16" t="n">
        <f aca="false">IF(C384=0,(1+Dic2023!$J$6)^(-B384),EXP(LN(INDEX(Dic2023!$K$6:$K$205,C384))+(LN(INDEX(Dic2023!$K$6:$K$205,MIN(C384+1,200)))-LN(INDEX(Dic2023!$K$6:$K$205,C384)))*(A384-6*C384)/6))</f>
        <v>0.20295880729666</v>
      </c>
      <c r="H384" s="12" t="n">
        <f aca="false">G384^(-1/B384)-1</f>
        <v>0.0516502500000002</v>
      </c>
      <c r="I384" s="12" t="n">
        <f aca="false">(1+H384)^(1/12)-1</f>
        <v>0.00420553496807585</v>
      </c>
      <c r="J384" s="16" t="n">
        <f aca="false">IF(C384=0,(1+Dic2023!$M$6)^(-B384),EXP(LN(INDEX(Dic2023!$N$6:$N$205,C384))+(LN(INDEX(Dic2023!$N$6:$N$205,MIN(C384+1,200)))-LN(INDEX(Dic2023!$N$6:$N$205,C384)))*(A384-6*C384)/6))</f>
        <v>0.20295880729666</v>
      </c>
      <c r="K384" s="12" t="n">
        <f aca="false">J384^(-1/B384)-1</f>
        <v>0.0516502500000002</v>
      </c>
      <c r="L384" s="12" t="n">
        <f aca="false">(1+K384)^(1/12)-1</f>
        <v>0.00420553496807585</v>
      </c>
    </row>
    <row r="385" customFormat="false" ht="15" hidden="false" customHeight="false" outlineLevel="0" collapsed="false">
      <c r="A385" s="4" t="n">
        <v>381</v>
      </c>
      <c r="B385" s="14" t="n">
        <f aca="false">A385/12</f>
        <v>31.75</v>
      </c>
      <c r="C385" s="15" t="n">
        <f aca="false">INT(A385/6)</f>
        <v>63</v>
      </c>
      <c r="D385" s="16" t="n">
        <f aca="false">IF(C385=0,(1+Dic2023!$G$6)^(-B385),EXP(LN(INDEX(Dic2023!$H$6:$H$205,C385))+(LN(INDEX(Dic2023!$H$6:$H$205,MIN(C385+1,200)))-LN(INDEX(Dic2023!$H$6:$H$205,C385)))*(A385-6*C385)/6))</f>
        <v>0.202108831538269</v>
      </c>
      <c r="E385" s="12" t="n">
        <f aca="false">D385^(-1/B385)-1</f>
        <v>0.0516502500000002</v>
      </c>
      <c r="F385" s="12" t="n">
        <f aca="false">(1+E385)^(1/12)-1</f>
        <v>0.00420553496807585</v>
      </c>
      <c r="G385" s="16" t="n">
        <f aca="false">IF(C385=0,(1+Dic2023!$J$6)^(-B385),EXP(LN(INDEX(Dic2023!$K$6:$K$205,C385))+(LN(INDEX(Dic2023!$K$6:$K$205,MIN(C385+1,200)))-LN(INDEX(Dic2023!$K$6:$K$205,C385)))*(A385-6*C385)/6))</f>
        <v>0.202108831538269</v>
      </c>
      <c r="H385" s="12" t="n">
        <f aca="false">G385^(-1/B385)-1</f>
        <v>0.0516502500000002</v>
      </c>
      <c r="I385" s="12" t="n">
        <f aca="false">(1+H385)^(1/12)-1</f>
        <v>0.00420553496807585</v>
      </c>
      <c r="J385" s="16" t="n">
        <f aca="false">IF(C385=0,(1+Dic2023!$M$6)^(-B385),EXP(LN(INDEX(Dic2023!$N$6:$N$205,C385))+(LN(INDEX(Dic2023!$N$6:$N$205,MIN(C385+1,200)))-LN(INDEX(Dic2023!$N$6:$N$205,C385)))*(A385-6*C385)/6))</f>
        <v>0.202108831538269</v>
      </c>
      <c r="K385" s="12" t="n">
        <f aca="false">J385^(-1/B385)-1</f>
        <v>0.0516502500000002</v>
      </c>
      <c r="L385" s="12" t="n">
        <f aca="false">(1+K385)^(1/12)-1</f>
        <v>0.00420553496807585</v>
      </c>
    </row>
    <row r="386" customFormat="false" ht="15" hidden="false" customHeight="false" outlineLevel="0" collapsed="false">
      <c r="A386" s="4" t="n">
        <v>382</v>
      </c>
      <c r="B386" s="14" t="n">
        <f aca="false">A386/12</f>
        <v>31.8333333333333</v>
      </c>
      <c r="C386" s="15" t="n">
        <f aca="false">INT(A386/6)</f>
        <v>63</v>
      </c>
      <c r="D386" s="16" t="n">
        <f aca="false">IF(C386=0,(1+Dic2023!$G$6)^(-B386),EXP(LN(INDEX(Dic2023!$H$6:$H$205,C386))+(LN(INDEX(Dic2023!$H$6:$H$205,MIN(C386+1,200)))-LN(INDEX(Dic2023!$H$6:$H$205,C386)))*(A386-6*C386)/6))</f>
        <v>0.201262415412492</v>
      </c>
      <c r="E386" s="12" t="n">
        <f aca="false">D386^(-1/B386)-1</f>
        <v>0.0516502500000002</v>
      </c>
      <c r="F386" s="12" t="n">
        <f aca="false">(1+E386)^(1/12)-1</f>
        <v>0.00420553496807585</v>
      </c>
      <c r="G386" s="16" t="n">
        <f aca="false">IF(C386=0,(1+Dic2023!$J$6)^(-B386),EXP(LN(INDEX(Dic2023!$K$6:$K$205,C386))+(LN(INDEX(Dic2023!$K$6:$K$205,MIN(C386+1,200)))-LN(INDEX(Dic2023!$K$6:$K$205,C386)))*(A386-6*C386)/6))</f>
        <v>0.201262415412492</v>
      </c>
      <c r="H386" s="12" t="n">
        <f aca="false">G386^(-1/B386)-1</f>
        <v>0.0516502500000002</v>
      </c>
      <c r="I386" s="12" t="n">
        <f aca="false">(1+H386)^(1/12)-1</f>
        <v>0.00420553496807585</v>
      </c>
      <c r="J386" s="16" t="n">
        <f aca="false">IF(C386=0,(1+Dic2023!$M$6)^(-B386),EXP(LN(INDEX(Dic2023!$N$6:$N$205,C386))+(LN(INDEX(Dic2023!$N$6:$N$205,MIN(C386+1,200)))-LN(INDEX(Dic2023!$N$6:$N$205,C386)))*(A386-6*C386)/6))</f>
        <v>0.201262415412492</v>
      </c>
      <c r="K386" s="12" t="n">
        <f aca="false">J386^(-1/B386)-1</f>
        <v>0.0516502500000002</v>
      </c>
      <c r="L386" s="12" t="n">
        <f aca="false">(1+K386)^(1/12)-1</f>
        <v>0.00420553496807585</v>
      </c>
    </row>
    <row r="387" customFormat="false" ht="15" hidden="false" customHeight="false" outlineLevel="0" collapsed="false">
      <c r="A387" s="4" t="n">
        <v>383</v>
      </c>
      <c r="B387" s="14" t="n">
        <f aca="false">A387/12</f>
        <v>31.9166666666667</v>
      </c>
      <c r="C387" s="15" t="n">
        <f aca="false">INT(A387/6)</f>
        <v>63</v>
      </c>
      <c r="D387" s="16" t="n">
        <f aca="false">IF(C387=0,(1+Dic2023!$G$6)^(-B387),EXP(LN(INDEX(Dic2023!$H$6:$H$205,C387))+(LN(INDEX(Dic2023!$H$6:$H$205,MIN(C387+1,200)))-LN(INDEX(Dic2023!$H$6:$H$205,C387)))*(A387-6*C387)/6))</f>
        <v>0.200419544011864</v>
      </c>
      <c r="E387" s="12" t="n">
        <f aca="false">D387^(-1/B387)-1</f>
        <v>0.0516502500000002</v>
      </c>
      <c r="F387" s="12" t="n">
        <f aca="false">(1+E387)^(1/12)-1</f>
        <v>0.00420553496807585</v>
      </c>
      <c r="G387" s="16" t="n">
        <f aca="false">IF(C387=0,(1+Dic2023!$J$6)^(-B387),EXP(LN(INDEX(Dic2023!$K$6:$K$205,C387))+(LN(INDEX(Dic2023!$K$6:$K$205,MIN(C387+1,200)))-LN(INDEX(Dic2023!$K$6:$K$205,C387)))*(A387-6*C387)/6))</f>
        <v>0.200419544011864</v>
      </c>
      <c r="H387" s="12" t="n">
        <f aca="false">G387^(-1/B387)-1</f>
        <v>0.0516502500000002</v>
      </c>
      <c r="I387" s="12" t="n">
        <f aca="false">(1+H387)^(1/12)-1</f>
        <v>0.00420553496807585</v>
      </c>
      <c r="J387" s="16" t="n">
        <f aca="false">IF(C387=0,(1+Dic2023!$M$6)^(-B387),EXP(LN(INDEX(Dic2023!$N$6:$N$205,C387))+(LN(INDEX(Dic2023!$N$6:$N$205,MIN(C387+1,200)))-LN(INDEX(Dic2023!$N$6:$N$205,C387)))*(A387-6*C387)/6))</f>
        <v>0.200419544011864</v>
      </c>
      <c r="K387" s="12" t="n">
        <f aca="false">J387^(-1/B387)-1</f>
        <v>0.0516502500000002</v>
      </c>
      <c r="L387" s="12" t="n">
        <f aca="false">(1+K387)^(1/12)-1</f>
        <v>0.00420553496807585</v>
      </c>
    </row>
    <row r="388" customFormat="false" ht="15" hidden="false" customHeight="false" outlineLevel="0" collapsed="false">
      <c r="A388" s="4" t="n">
        <v>384</v>
      </c>
      <c r="B388" s="14" t="n">
        <f aca="false">A388/12</f>
        <v>32</v>
      </c>
      <c r="C388" s="15" t="n">
        <f aca="false">INT(A388/6)</f>
        <v>64</v>
      </c>
      <c r="D388" s="16" t="n">
        <f aca="false">IF(C388=0,(1+Dic2023!$G$6)^(-B388),EXP(LN(INDEX(Dic2023!$H$6:$H$205,C388))+(LN(INDEX(Dic2023!$H$6:$H$205,MIN(C388+1,200)))-LN(INDEX(Dic2023!$H$6:$H$205,C388)))*(A388-6*C388)/6))</f>
        <v>0.199580202491351</v>
      </c>
      <c r="E388" s="12" t="n">
        <f aca="false">D388^(-1/B388)-1</f>
        <v>0.0516502500000002</v>
      </c>
      <c r="F388" s="12" t="n">
        <f aca="false">(1+E388)^(1/12)-1</f>
        <v>0.00420553496807585</v>
      </c>
      <c r="G388" s="16" t="n">
        <f aca="false">IF(C388=0,(1+Dic2023!$J$6)^(-B388),EXP(LN(INDEX(Dic2023!$K$6:$K$205,C388))+(LN(INDEX(Dic2023!$K$6:$K$205,MIN(C388+1,200)))-LN(INDEX(Dic2023!$K$6:$K$205,C388)))*(A388-6*C388)/6))</f>
        <v>0.199580202491351</v>
      </c>
      <c r="H388" s="12" t="n">
        <f aca="false">G388^(-1/B388)-1</f>
        <v>0.0516502500000002</v>
      </c>
      <c r="I388" s="12" t="n">
        <f aca="false">(1+H388)^(1/12)-1</f>
        <v>0.00420553496807585</v>
      </c>
      <c r="J388" s="16" t="n">
        <f aca="false">IF(C388=0,(1+Dic2023!$M$6)^(-B388),EXP(LN(INDEX(Dic2023!$N$6:$N$205,C388))+(LN(INDEX(Dic2023!$N$6:$N$205,MIN(C388+1,200)))-LN(INDEX(Dic2023!$N$6:$N$205,C388)))*(A388-6*C388)/6))</f>
        <v>0.199580202491351</v>
      </c>
      <c r="K388" s="12" t="n">
        <f aca="false">J388^(-1/B388)-1</f>
        <v>0.0516502500000002</v>
      </c>
      <c r="L388" s="12" t="n">
        <f aca="false">(1+K388)^(1/12)-1</f>
        <v>0.00420553496807585</v>
      </c>
    </row>
    <row r="389" customFormat="false" ht="15" hidden="false" customHeight="false" outlineLevel="0" collapsed="false">
      <c r="A389" s="4" t="n">
        <v>385</v>
      </c>
      <c r="B389" s="14" t="n">
        <f aca="false">A389/12</f>
        <v>32.0833333333333</v>
      </c>
      <c r="C389" s="15" t="n">
        <f aca="false">INT(A389/6)</f>
        <v>64</v>
      </c>
      <c r="D389" s="16" t="n">
        <f aca="false">IF(C389=0,(1+Dic2023!$G$6)^(-B389),EXP(LN(INDEX(Dic2023!$H$6:$H$205,C389))+(LN(INDEX(Dic2023!$H$6:$H$205,MIN(C389+1,200)))-LN(INDEX(Dic2023!$H$6:$H$205,C389)))*(A389-6*C389)/6))</f>
        <v>0.198744376068089</v>
      </c>
      <c r="E389" s="12" t="n">
        <f aca="false">D389^(-1/B389)-1</f>
        <v>0.0516502500000002</v>
      </c>
      <c r="F389" s="12" t="n">
        <f aca="false">(1+E389)^(1/12)-1</f>
        <v>0.00420553496807585</v>
      </c>
      <c r="G389" s="16" t="n">
        <f aca="false">IF(C389=0,(1+Dic2023!$J$6)^(-B389),EXP(LN(INDEX(Dic2023!$K$6:$K$205,C389))+(LN(INDEX(Dic2023!$K$6:$K$205,MIN(C389+1,200)))-LN(INDEX(Dic2023!$K$6:$K$205,C389)))*(A389-6*C389)/6))</f>
        <v>0.198744376068089</v>
      </c>
      <c r="H389" s="12" t="n">
        <f aca="false">G389^(-1/B389)-1</f>
        <v>0.0516502500000002</v>
      </c>
      <c r="I389" s="12" t="n">
        <f aca="false">(1+H389)^(1/12)-1</f>
        <v>0.00420553496807585</v>
      </c>
      <c r="J389" s="16" t="n">
        <f aca="false">IF(C389=0,(1+Dic2023!$M$6)^(-B389),EXP(LN(INDEX(Dic2023!$N$6:$N$205,C389))+(LN(INDEX(Dic2023!$N$6:$N$205,MIN(C389+1,200)))-LN(INDEX(Dic2023!$N$6:$N$205,C389)))*(A389-6*C389)/6))</f>
        <v>0.198744376068089</v>
      </c>
      <c r="K389" s="12" t="n">
        <f aca="false">J389^(-1/B389)-1</f>
        <v>0.0516502500000002</v>
      </c>
      <c r="L389" s="12" t="n">
        <f aca="false">(1+K389)^(1/12)-1</f>
        <v>0.00420553496807585</v>
      </c>
    </row>
    <row r="390" customFormat="false" ht="15" hidden="false" customHeight="false" outlineLevel="0" collapsed="false">
      <c r="A390" s="4" t="n">
        <v>386</v>
      </c>
      <c r="B390" s="14" t="n">
        <f aca="false">A390/12</f>
        <v>32.1666666666667</v>
      </c>
      <c r="C390" s="15" t="n">
        <f aca="false">INT(A390/6)</f>
        <v>64</v>
      </c>
      <c r="D390" s="16" t="n">
        <f aca="false">IF(C390=0,(1+Dic2023!$G$6)^(-B390),EXP(LN(INDEX(Dic2023!$H$6:$H$205,C390))+(LN(INDEX(Dic2023!$H$6:$H$205,MIN(C390+1,200)))-LN(INDEX(Dic2023!$H$6:$H$205,C390)))*(A390-6*C390)/6))</f>
        <v>0.197912050021121</v>
      </c>
      <c r="E390" s="12" t="n">
        <f aca="false">D390^(-1/B390)-1</f>
        <v>0.0516502500000002</v>
      </c>
      <c r="F390" s="12" t="n">
        <f aca="false">(1+E390)^(1/12)-1</f>
        <v>0.00420553496807585</v>
      </c>
      <c r="G390" s="16" t="n">
        <f aca="false">IF(C390=0,(1+Dic2023!$J$6)^(-B390),EXP(LN(INDEX(Dic2023!$K$6:$K$205,C390))+(LN(INDEX(Dic2023!$K$6:$K$205,MIN(C390+1,200)))-LN(INDEX(Dic2023!$K$6:$K$205,C390)))*(A390-6*C390)/6))</f>
        <v>0.197912050021121</v>
      </c>
      <c r="H390" s="12" t="n">
        <f aca="false">G390^(-1/B390)-1</f>
        <v>0.0516502500000002</v>
      </c>
      <c r="I390" s="12" t="n">
        <f aca="false">(1+H390)^(1/12)-1</f>
        <v>0.00420553496807585</v>
      </c>
      <c r="J390" s="16" t="n">
        <f aca="false">IF(C390=0,(1+Dic2023!$M$6)^(-B390),EXP(LN(INDEX(Dic2023!$N$6:$N$205,C390))+(LN(INDEX(Dic2023!$N$6:$N$205,MIN(C390+1,200)))-LN(INDEX(Dic2023!$N$6:$N$205,C390)))*(A390-6*C390)/6))</f>
        <v>0.197912050021121</v>
      </c>
      <c r="K390" s="12" t="n">
        <f aca="false">J390^(-1/B390)-1</f>
        <v>0.0516502500000002</v>
      </c>
      <c r="L390" s="12" t="n">
        <f aca="false">(1+K390)^(1/12)-1</f>
        <v>0.00420553496807585</v>
      </c>
    </row>
    <row r="391" customFormat="false" ht="15" hidden="false" customHeight="false" outlineLevel="0" collapsed="false">
      <c r="A391" s="4" t="n">
        <v>387</v>
      </c>
      <c r="B391" s="14" t="n">
        <f aca="false">A391/12</f>
        <v>32.25</v>
      </c>
      <c r="C391" s="15" t="n">
        <f aca="false">INT(A391/6)</f>
        <v>64</v>
      </c>
      <c r="D391" s="16" t="n">
        <f aca="false">IF(C391=0,(1+Dic2023!$G$6)^(-B391),EXP(LN(INDEX(Dic2023!$H$6:$H$205,C391))+(LN(INDEX(Dic2023!$H$6:$H$205,MIN(C391+1,200)))-LN(INDEX(Dic2023!$H$6:$H$205,C391)))*(A391-6*C391)/6))</f>
        <v>0.197083209691145</v>
      </c>
      <c r="E391" s="12" t="n">
        <f aca="false">D391^(-1/B391)-1</f>
        <v>0.0516502500000002</v>
      </c>
      <c r="F391" s="12" t="n">
        <f aca="false">(1+E391)^(1/12)-1</f>
        <v>0.00420553496807585</v>
      </c>
      <c r="G391" s="16" t="n">
        <f aca="false">IF(C391=0,(1+Dic2023!$J$6)^(-B391),EXP(LN(INDEX(Dic2023!$K$6:$K$205,C391))+(LN(INDEX(Dic2023!$K$6:$K$205,MIN(C391+1,200)))-LN(INDEX(Dic2023!$K$6:$K$205,C391)))*(A391-6*C391)/6))</f>
        <v>0.197083209691145</v>
      </c>
      <c r="H391" s="12" t="n">
        <f aca="false">G391^(-1/B391)-1</f>
        <v>0.0516502500000002</v>
      </c>
      <c r="I391" s="12" t="n">
        <f aca="false">(1+H391)^(1/12)-1</f>
        <v>0.00420553496807585</v>
      </c>
      <c r="J391" s="16" t="n">
        <f aca="false">IF(C391=0,(1+Dic2023!$M$6)^(-B391),EXP(LN(INDEX(Dic2023!$N$6:$N$205,C391))+(LN(INDEX(Dic2023!$N$6:$N$205,MIN(C391+1,200)))-LN(INDEX(Dic2023!$N$6:$N$205,C391)))*(A391-6*C391)/6))</f>
        <v>0.197083209691145</v>
      </c>
      <c r="K391" s="12" t="n">
        <f aca="false">J391^(-1/B391)-1</f>
        <v>0.0516502500000002</v>
      </c>
      <c r="L391" s="12" t="n">
        <f aca="false">(1+K391)^(1/12)-1</f>
        <v>0.00420553496807585</v>
      </c>
    </row>
    <row r="392" customFormat="false" ht="15" hidden="false" customHeight="false" outlineLevel="0" collapsed="false">
      <c r="A392" s="4" t="n">
        <v>388</v>
      </c>
      <c r="B392" s="14" t="n">
        <f aca="false">A392/12</f>
        <v>32.3333333333333</v>
      </c>
      <c r="C392" s="15" t="n">
        <f aca="false">INT(A392/6)</f>
        <v>64</v>
      </c>
      <c r="D392" s="16" t="n">
        <f aca="false">IF(C392=0,(1+Dic2023!$G$6)^(-B392),EXP(LN(INDEX(Dic2023!$H$6:$H$205,C392))+(LN(INDEX(Dic2023!$H$6:$H$205,MIN(C392+1,200)))-LN(INDEX(Dic2023!$H$6:$H$205,C392)))*(A392-6*C392)/6))</f>
        <v>0.196257840480246</v>
      </c>
      <c r="E392" s="12" t="n">
        <f aca="false">D392^(-1/B392)-1</f>
        <v>0.0516502500000002</v>
      </c>
      <c r="F392" s="12" t="n">
        <f aca="false">(1+E392)^(1/12)-1</f>
        <v>0.00420553496807585</v>
      </c>
      <c r="G392" s="16" t="n">
        <f aca="false">IF(C392=0,(1+Dic2023!$J$6)^(-B392),EXP(LN(INDEX(Dic2023!$K$6:$K$205,C392))+(LN(INDEX(Dic2023!$K$6:$K$205,MIN(C392+1,200)))-LN(INDEX(Dic2023!$K$6:$K$205,C392)))*(A392-6*C392)/6))</f>
        <v>0.196257840480246</v>
      </c>
      <c r="H392" s="12" t="n">
        <f aca="false">G392^(-1/B392)-1</f>
        <v>0.0516502500000002</v>
      </c>
      <c r="I392" s="12" t="n">
        <f aca="false">(1+H392)^(1/12)-1</f>
        <v>0.00420553496807585</v>
      </c>
      <c r="J392" s="16" t="n">
        <f aca="false">IF(C392=0,(1+Dic2023!$M$6)^(-B392),EXP(LN(INDEX(Dic2023!$N$6:$N$205,C392))+(LN(INDEX(Dic2023!$N$6:$N$205,MIN(C392+1,200)))-LN(INDEX(Dic2023!$N$6:$N$205,C392)))*(A392-6*C392)/6))</f>
        <v>0.196257840480246</v>
      </c>
      <c r="K392" s="12" t="n">
        <f aca="false">J392^(-1/B392)-1</f>
        <v>0.0516502500000002</v>
      </c>
      <c r="L392" s="12" t="n">
        <f aca="false">(1+K392)^(1/12)-1</f>
        <v>0.00420553496807585</v>
      </c>
    </row>
    <row r="393" customFormat="false" ht="15" hidden="false" customHeight="false" outlineLevel="0" collapsed="false">
      <c r="A393" s="4" t="n">
        <v>389</v>
      </c>
      <c r="B393" s="14" t="n">
        <f aca="false">A393/12</f>
        <v>32.4166666666667</v>
      </c>
      <c r="C393" s="15" t="n">
        <f aca="false">INT(A393/6)</f>
        <v>64</v>
      </c>
      <c r="D393" s="16" t="n">
        <f aca="false">IF(C393=0,(1+Dic2023!$G$6)^(-B393),EXP(LN(INDEX(Dic2023!$H$6:$H$205,C393))+(LN(INDEX(Dic2023!$H$6:$H$205,MIN(C393+1,200)))-LN(INDEX(Dic2023!$H$6:$H$205,C393)))*(A393-6*C393)/6))</f>
        <v>0.195435927851647</v>
      </c>
      <c r="E393" s="12" t="n">
        <f aca="false">D393^(-1/B393)-1</f>
        <v>0.0516502500000002</v>
      </c>
      <c r="F393" s="12" t="n">
        <f aca="false">(1+E393)^(1/12)-1</f>
        <v>0.00420553496807585</v>
      </c>
      <c r="G393" s="16" t="n">
        <f aca="false">IF(C393=0,(1+Dic2023!$J$6)^(-B393),EXP(LN(INDEX(Dic2023!$K$6:$K$205,C393))+(LN(INDEX(Dic2023!$K$6:$K$205,MIN(C393+1,200)))-LN(INDEX(Dic2023!$K$6:$K$205,C393)))*(A393-6*C393)/6))</f>
        <v>0.195435927851647</v>
      </c>
      <c r="H393" s="12" t="n">
        <f aca="false">G393^(-1/B393)-1</f>
        <v>0.0516502500000002</v>
      </c>
      <c r="I393" s="12" t="n">
        <f aca="false">(1+H393)^(1/12)-1</f>
        <v>0.00420553496807585</v>
      </c>
      <c r="J393" s="16" t="n">
        <f aca="false">IF(C393=0,(1+Dic2023!$M$6)^(-B393),EXP(LN(INDEX(Dic2023!$N$6:$N$205,C393))+(LN(INDEX(Dic2023!$N$6:$N$205,MIN(C393+1,200)))-LN(INDEX(Dic2023!$N$6:$N$205,C393)))*(A393-6*C393)/6))</f>
        <v>0.195435927851647</v>
      </c>
      <c r="K393" s="12" t="n">
        <f aca="false">J393^(-1/B393)-1</f>
        <v>0.0516502500000002</v>
      </c>
      <c r="L393" s="12" t="n">
        <f aca="false">(1+K393)^(1/12)-1</f>
        <v>0.00420553496807585</v>
      </c>
    </row>
    <row r="394" customFormat="false" ht="15" hidden="false" customHeight="false" outlineLevel="0" collapsed="false">
      <c r="A394" s="4" t="n">
        <v>390</v>
      </c>
      <c r="B394" s="14" t="n">
        <f aca="false">A394/12</f>
        <v>32.5</v>
      </c>
      <c r="C394" s="15" t="n">
        <f aca="false">INT(A394/6)</f>
        <v>65</v>
      </c>
      <c r="D394" s="16" t="n">
        <f aca="false">IF(C394=0,(1+Dic2023!$G$6)^(-B394),EXP(LN(INDEX(Dic2023!$H$6:$H$205,C394))+(LN(INDEX(Dic2023!$H$6:$H$205,MIN(C394+1,200)))-LN(INDEX(Dic2023!$H$6:$H$205,C394)))*(A394-6*C394)/6))</f>
        <v>0.19461745732945</v>
      </c>
      <c r="E394" s="12" t="n">
        <f aca="false">D394^(-1/B394)-1</f>
        <v>0.0516502500000002</v>
      </c>
      <c r="F394" s="12" t="n">
        <f aca="false">(1+E394)^(1/12)-1</f>
        <v>0.00420553496807585</v>
      </c>
      <c r="G394" s="16" t="n">
        <f aca="false">IF(C394=0,(1+Dic2023!$J$6)^(-B394),EXP(LN(INDEX(Dic2023!$K$6:$K$205,C394))+(LN(INDEX(Dic2023!$K$6:$K$205,MIN(C394+1,200)))-LN(INDEX(Dic2023!$K$6:$K$205,C394)))*(A394-6*C394)/6))</f>
        <v>0.19461745732945</v>
      </c>
      <c r="H394" s="12" t="n">
        <f aca="false">G394^(-1/B394)-1</f>
        <v>0.0516502500000002</v>
      </c>
      <c r="I394" s="12" t="n">
        <f aca="false">(1+H394)^(1/12)-1</f>
        <v>0.00420553496807585</v>
      </c>
      <c r="J394" s="16" t="n">
        <f aca="false">IF(C394=0,(1+Dic2023!$M$6)^(-B394),EXP(LN(INDEX(Dic2023!$N$6:$N$205,C394))+(LN(INDEX(Dic2023!$N$6:$N$205,MIN(C394+1,200)))-LN(INDEX(Dic2023!$N$6:$N$205,C394)))*(A394-6*C394)/6))</f>
        <v>0.19461745732945</v>
      </c>
      <c r="K394" s="12" t="n">
        <f aca="false">J394^(-1/B394)-1</f>
        <v>0.0516502500000002</v>
      </c>
      <c r="L394" s="12" t="n">
        <f aca="false">(1+K394)^(1/12)-1</f>
        <v>0.00420553496807585</v>
      </c>
    </row>
    <row r="395" customFormat="false" ht="15" hidden="false" customHeight="false" outlineLevel="0" collapsed="false">
      <c r="A395" s="4" t="n">
        <v>391</v>
      </c>
      <c r="B395" s="14" t="n">
        <f aca="false">A395/12</f>
        <v>32.5833333333333</v>
      </c>
      <c r="C395" s="15" t="n">
        <f aca="false">INT(A395/6)</f>
        <v>65</v>
      </c>
      <c r="D395" s="16" t="n">
        <f aca="false">IF(C395=0,(1+Dic2023!$G$6)^(-B395),EXP(LN(INDEX(Dic2023!$H$6:$H$205,C395))+(LN(INDEX(Dic2023!$H$6:$H$205,MIN(C395+1,200)))-LN(INDEX(Dic2023!$H$6:$H$205,C395)))*(A395-6*C395)/6))</f>
        <v>0.19380241449838</v>
      </c>
      <c r="E395" s="12" t="n">
        <f aca="false">D395^(-1/B395)-1</f>
        <v>0.0516502500000002</v>
      </c>
      <c r="F395" s="12" t="n">
        <f aca="false">(1+E395)^(1/12)-1</f>
        <v>0.00420553496807585</v>
      </c>
      <c r="G395" s="16" t="n">
        <f aca="false">IF(C395=0,(1+Dic2023!$J$6)^(-B395),EXP(LN(INDEX(Dic2023!$K$6:$K$205,C395))+(LN(INDEX(Dic2023!$K$6:$K$205,MIN(C395+1,200)))-LN(INDEX(Dic2023!$K$6:$K$205,C395)))*(A395-6*C395)/6))</f>
        <v>0.19380241449838</v>
      </c>
      <c r="H395" s="12" t="n">
        <f aca="false">G395^(-1/B395)-1</f>
        <v>0.0516502500000002</v>
      </c>
      <c r="I395" s="12" t="n">
        <f aca="false">(1+H395)^(1/12)-1</f>
        <v>0.00420553496807585</v>
      </c>
      <c r="J395" s="16" t="n">
        <f aca="false">IF(C395=0,(1+Dic2023!$M$6)^(-B395),EXP(LN(INDEX(Dic2023!$N$6:$N$205,C395))+(LN(INDEX(Dic2023!$N$6:$N$205,MIN(C395+1,200)))-LN(INDEX(Dic2023!$N$6:$N$205,C395)))*(A395-6*C395)/6))</f>
        <v>0.19380241449838</v>
      </c>
      <c r="K395" s="12" t="n">
        <f aca="false">J395^(-1/B395)-1</f>
        <v>0.0516502500000002</v>
      </c>
      <c r="L395" s="12" t="n">
        <f aca="false">(1+K395)^(1/12)-1</f>
        <v>0.00420553496807585</v>
      </c>
    </row>
    <row r="396" customFormat="false" ht="15" hidden="false" customHeight="false" outlineLevel="0" collapsed="false">
      <c r="A396" s="4" t="n">
        <v>392</v>
      </c>
      <c r="B396" s="14" t="n">
        <f aca="false">A396/12</f>
        <v>32.6666666666667</v>
      </c>
      <c r="C396" s="15" t="n">
        <f aca="false">INT(A396/6)</f>
        <v>65</v>
      </c>
      <c r="D396" s="16" t="n">
        <f aca="false">IF(C396=0,(1+Dic2023!$G$6)^(-B396),EXP(LN(INDEX(Dic2023!$H$6:$H$205,C396))+(LN(INDEX(Dic2023!$H$6:$H$205,MIN(C396+1,200)))-LN(INDEX(Dic2023!$H$6:$H$205,C396)))*(A396-6*C396)/6))</f>
        <v>0.192990785003531</v>
      </c>
      <c r="E396" s="12" t="n">
        <f aca="false">D396^(-1/B396)-1</f>
        <v>0.0516502500000002</v>
      </c>
      <c r="F396" s="12" t="n">
        <f aca="false">(1+E396)^(1/12)-1</f>
        <v>0.00420553496807585</v>
      </c>
      <c r="G396" s="16" t="n">
        <f aca="false">IF(C396=0,(1+Dic2023!$J$6)^(-B396),EXP(LN(INDEX(Dic2023!$K$6:$K$205,C396))+(LN(INDEX(Dic2023!$K$6:$K$205,MIN(C396+1,200)))-LN(INDEX(Dic2023!$K$6:$K$205,C396)))*(A396-6*C396)/6))</f>
        <v>0.192990785003531</v>
      </c>
      <c r="H396" s="12" t="n">
        <f aca="false">G396^(-1/B396)-1</f>
        <v>0.0516502500000002</v>
      </c>
      <c r="I396" s="12" t="n">
        <f aca="false">(1+H396)^(1/12)-1</f>
        <v>0.00420553496807585</v>
      </c>
      <c r="J396" s="16" t="n">
        <f aca="false">IF(C396=0,(1+Dic2023!$M$6)^(-B396),EXP(LN(INDEX(Dic2023!$N$6:$N$205,C396))+(LN(INDEX(Dic2023!$N$6:$N$205,MIN(C396+1,200)))-LN(INDEX(Dic2023!$N$6:$N$205,C396)))*(A396-6*C396)/6))</f>
        <v>0.192990785003531</v>
      </c>
      <c r="K396" s="12" t="n">
        <f aca="false">J396^(-1/B396)-1</f>
        <v>0.0516502500000002</v>
      </c>
      <c r="L396" s="12" t="n">
        <f aca="false">(1+K396)^(1/12)-1</f>
        <v>0.00420553496807585</v>
      </c>
    </row>
    <row r="397" customFormat="false" ht="15" hidden="false" customHeight="false" outlineLevel="0" collapsed="false">
      <c r="A397" s="4" t="n">
        <v>393</v>
      </c>
      <c r="B397" s="14" t="n">
        <f aca="false">A397/12</f>
        <v>32.75</v>
      </c>
      <c r="C397" s="15" t="n">
        <f aca="false">INT(A397/6)</f>
        <v>65</v>
      </c>
      <c r="D397" s="16" t="n">
        <f aca="false">IF(C397=0,(1+Dic2023!$G$6)^(-B397),EXP(LN(INDEX(Dic2023!$H$6:$H$205,C397))+(LN(INDEX(Dic2023!$H$6:$H$205,MIN(C397+1,200)))-LN(INDEX(Dic2023!$H$6:$H$205,C397)))*(A397-6*C397)/6))</f>
        <v>0.192182554550116</v>
      </c>
      <c r="E397" s="12" t="n">
        <f aca="false">D397^(-1/B397)-1</f>
        <v>0.0516502500000002</v>
      </c>
      <c r="F397" s="12" t="n">
        <f aca="false">(1+E397)^(1/12)-1</f>
        <v>0.00420553496807585</v>
      </c>
      <c r="G397" s="16" t="n">
        <f aca="false">IF(C397=0,(1+Dic2023!$J$6)^(-B397),EXP(LN(INDEX(Dic2023!$K$6:$K$205,C397))+(LN(INDEX(Dic2023!$K$6:$K$205,MIN(C397+1,200)))-LN(INDEX(Dic2023!$K$6:$K$205,C397)))*(A397-6*C397)/6))</f>
        <v>0.192182554550116</v>
      </c>
      <c r="H397" s="12" t="n">
        <f aca="false">G397^(-1/B397)-1</f>
        <v>0.0516502500000002</v>
      </c>
      <c r="I397" s="12" t="n">
        <f aca="false">(1+H397)^(1/12)-1</f>
        <v>0.00420553496807585</v>
      </c>
      <c r="J397" s="16" t="n">
        <f aca="false">IF(C397=0,(1+Dic2023!$M$6)^(-B397),EXP(LN(INDEX(Dic2023!$N$6:$N$205,C397))+(LN(INDEX(Dic2023!$N$6:$N$205,MIN(C397+1,200)))-LN(INDEX(Dic2023!$N$6:$N$205,C397)))*(A397-6*C397)/6))</f>
        <v>0.192182554550116</v>
      </c>
      <c r="K397" s="12" t="n">
        <f aca="false">J397^(-1/B397)-1</f>
        <v>0.0516502500000002</v>
      </c>
      <c r="L397" s="12" t="n">
        <f aca="false">(1+K397)^(1/12)-1</f>
        <v>0.00420553496807585</v>
      </c>
    </row>
    <row r="398" customFormat="false" ht="15" hidden="false" customHeight="false" outlineLevel="0" collapsed="false">
      <c r="A398" s="4" t="n">
        <v>394</v>
      </c>
      <c r="B398" s="14" t="n">
        <f aca="false">A398/12</f>
        <v>32.8333333333333</v>
      </c>
      <c r="C398" s="15" t="n">
        <f aca="false">INT(A398/6)</f>
        <v>65</v>
      </c>
      <c r="D398" s="16" t="n">
        <f aca="false">IF(C398=0,(1+Dic2023!$G$6)^(-B398),EXP(LN(INDEX(Dic2023!$H$6:$H$205,C398))+(LN(INDEX(Dic2023!$H$6:$H$205,MIN(C398+1,200)))-LN(INDEX(Dic2023!$H$6:$H$205,C398)))*(A398-6*C398)/6))</f>
        <v>0.191377708903214</v>
      </c>
      <c r="E398" s="12" t="n">
        <f aca="false">D398^(-1/B398)-1</f>
        <v>0.0516502500000002</v>
      </c>
      <c r="F398" s="12" t="n">
        <f aca="false">(1+E398)^(1/12)-1</f>
        <v>0.00420553496807585</v>
      </c>
      <c r="G398" s="16" t="n">
        <f aca="false">IF(C398=0,(1+Dic2023!$J$6)^(-B398),EXP(LN(INDEX(Dic2023!$K$6:$K$205,C398))+(LN(INDEX(Dic2023!$K$6:$K$205,MIN(C398+1,200)))-LN(INDEX(Dic2023!$K$6:$K$205,C398)))*(A398-6*C398)/6))</f>
        <v>0.191377708903214</v>
      </c>
      <c r="H398" s="12" t="n">
        <f aca="false">G398^(-1/B398)-1</f>
        <v>0.0516502500000002</v>
      </c>
      <c r="I398" s="12" t="n">
        <f aca="false">(1+H398)^(1/12)-1</f>
        <v>0.00420553496807585</v>
      </c>
      <c r="J398" s="16" t="n">
        <f aca="false">IF(C398=0,(1+Dic2023!$M$6)^(-B398),EXP(LN(INDEX(Dic2023!$N$6:$N$205,C398))+(LN(INDEX(Dic2023!$N$6:$N$205,MIN(C398+1,200)))-LN(INDEX(Dic2023!$N$6:$N$205,C398)))*(A398-6*C398)/6))</f>
        <v>0.191377708903214</v>
      </c>
      <c r="K398" s="12" t="n">
        <f aca="false">J398^(-1/B398)-1</f>
        <v>0.0516502500000002</v>
      </c>
      <c r="L398" s="12" t="n">
        <f aca="false">(1+K398)^(1/12)-1</f>
        <v>0.00420553496807585</v>
      </c>
    </row>
    <row r="399" customFormat="false" ht="15" hidden="false" customHeight="false" outlineLevel="0" collapsed="false">
      <c r="A399" s="4" t="n">
        <v>395</v>
      </c>
      <c r="B399" s="14" t="n">
        <f aca="false">A399/12</f>
        <v>32.9166666666667</v>
      </c>
      <c r="C399" s="15" t="n">
        <f aca="false">INT(A399/6)</f>
        <v>65</v>
      </c>
      <c r="D399" s="16" t="n">
        <f aca="false">IF(C399=0,(1+Dic2023!$G$6)^(-B399),EXP(LN(INDEX(Dic2023!$H$6:$H$205,C399))+(LN(INDEX(Dic2023!$H$6:$H$205,MIN(C399+1,200)))-LN(INDEX(Dic2023!$H$6:$H$205,C399)))*(A399-6*C399)/6))</f>
        <v>0.190576233887516</v>
      </c>
      <c r="E399" s="12" t="n">
        <f aca="false">D399^(-1/B399)-1</f>
        <v>0.0516502500000002</v>
      </c>
      <c r="F399" s="12" t="n">
        <f aca="false">(1+E399)^(1/12)-1</f>
        <v>0.00420553496807585</v>
      </c>
      <c r="G399" s="16" t="n">
        <f aca="false">IF(C399=0,(1+Dic2023!$J$6)^(-B399),EXP(LN(INDEX(Dic2023!$K$6:$K$205,C399))+(LN(INDEX(Dic2023!$K$6:$K$205,MIN(C399+1,200)))-LN(INDEX(Dic2023!$K$6:$K$205,C399)))*(A399-6*C399)/6))</f>
        <v>0.190576233887516</v>
      </c>
      <c r="H399" s="12" t="n">
        <f aca="false">G399^(-1/B399)-1</f>
        <v>0.0516502500000002</v>
      </c>
      <c r="I399" s="12" t="n">
        <f aca="false">(1+H399)^(1/12)-1</f>
        <v>0.00420553496807585</v>
      </c>
      <c r="J399" s="16" t="n">
        <f aca="false">IF(C399=0,(1+Dic2023!$M$6)^(-B399),EXP(LN(INDEX(Dic2023!$N$6:$N$205,C399))+(LN(INDEX(Dic2023!$N$6:$N$205,MIN(C399+1,200)))-LN(INDEX(Dic2023!$N$6:$N$205,C399)))*(A399-6*C399)/6))</f>
        <v>0.190576233887516</v>
      </c>
      <c r="K399" s="12" t="n">
        <f aca="false">J399^(-1/B399)-1</f>
        <v>0.0516502500000002</v>
      </c>
      <c r="L399" s="12" t="n">
        <f aca="false">(1+K399)^(1/12)-1</f>
        <v>0.00420553496807585</v>
      </c>
    </row>
    <row r="400" customFormat="false" ht="15" hidden="false" customHeight="false" outlineLevel="0" collapsed="false">
      <c r="A400" s="4" t="n">
        <v>396</v>
      </c>
      <c r="B400" s="14" t="n">
        <f aca="false">A400/12</f>
        <v>33</v>
      </c>
      <c r="C400" s="15" t="n">
        <f aca="false">INT(A400/6)</f>
        <v>66</v>
      </c>
      <c r="D400" s="16" t="n">
        <f aca="false">IF(C400=0,(1+Dic2023!$G$6)^(-B400),EXP(LN(INDEX(Dic2023!$H$6:$H$205,C400))+(LN(INDEX(Dic2023!$H$6:$H$205,MIN(C400+1,200)))-LN(INDEX(Dic2023!$H$6:$H$205,C400)))*(A400-6*C400)/6))</f>
        <v>0.18977811538708</v>
      </c>
      <c r="E400" s="12" t="n">
        <f aca="false">D400^(-1/B400)-1</f>
        <v>0.0516502500000002</v>
      </c>
      <c r="F400" s="12" t="n">
        <f aca="false">(1+E400)^(1/12)-1</f>
        <v>0.00420553496807585</v>
      </c>
      <c r="G400" s="16" t="n">
        <f aca="false">IF(C400=0,(1+Dic2023!$J$6)^(-B400),EXP(LN(INDEX(Dic2023!$K$6:$K$205,C400))+(LN(INDEX(Dic2023!$K$6:$K$205,MIN(C400+1,200)))-LN(INDEX(Dic2023!$K$6:$K$205,C400)))*(A400-6*C400)/6))</f>
        <v>0.18977811538708</v>
      </c>
      <c r="H400" s="12" t="n">
        <f aca="false">G400^(-1/B400)-1</f>
        <v>0.0516502500000002</v>
      </c>
      <c r="I400" s="12" t="n">
        <f aca="false">(1+H400)^(1/12)-1</f>
        <v>0.00420553496807585</v>
      </c>
      <c r="J400" s="16" t="n">
        <f aca="false">IF(C400=0,(1+Dic2023!$M$6)^(-B400),EXP(LN(INDEX(Dic2023!$N$6:$N$205,C400))+(LN(INDEX(Dic2023!$N$6:$N$205,MIN(C400+1,200)))-LN(INDEX(Dic2023!$N$6:$N$205,C400)))*(A400-6*C400)/6))</f>
        <v>0.18977811538708</v>
      </c>
      <c r="K400" s="12" t="n">
        <f aca="false">J400^(-1/B400)-1</f>
        <v>0.0516502500000002</v>
      </c>
      <c r="L400" s="12" t="n">
        <f aca="false">(1+K400)^(1/12)-1</f>
        <v>0.00420553496807585</v>
      </c>
    </row>
    <row r="401" customFormat="false" ht="15" hidden="false" customHeight="false" outlineLevel="0" collapsed="false">
      <c r="A401" s="4" t="n">
        <v>397</v>
      </c>
      <c r="B401" s="14" t="n">
        <f aca="false">A401/12</f>
        <v>33.0833333333333</v>
      </c>
      <c r="C401" s="15" t="n">
        <f aca="false">INT(A401/6)</f>
        <v>66</v>
      </c>
      <c r="D401" s="16" t="n">
        <f aca="false">IF(C401=0,(1+Dic2023!$G$6)^(-B401),EXP(LN(INDEX(Dic2023!$H$6:$H$205,C401))+(LN(INDEX(Dic2023!$H$6:$H$205,MIN(C401+1,200)))-LN(INDEX(Dic2023!$H$6:$H$205,C401)))*(A401-6*C401)/6))</f>
        <v>0.18898333934508</v>
      </c>
      <c r="E401" s="12" t="n">
        <f aca="false">D401^(-1/B401)-1</f>
        <v>0.0516502500000002</v>
      </c>
      <c r="F401" s="12" t="n">
        <f aca="false">(1+E401)^(1/12)-1</f>
        <v>0.00420553496807585</v>
      </c>
      <c r="G401" s="16" t="n">
        <f aca="false">IF(C401=0,(1+Dic2023!$J$6)^(-B401),EXP(LN(INDEX(Dic2023!$K$6:$K$205,C401))+(LN(INDEX(Dic2023!$K$6:$K$205,MIN(C401+1,200)))-LN(INDEX(Dic2023!$K$6:$K$205,C401)))*(A401-6*C401)/6))</f>
        <v>0.18898333934508</v>
      </c>
      <c r="H401" s="12" t="n">
        <f aca="false">G401^(-1/B401)-1</f>
        <v>0.0516502500000002</v>
      </c>
      <c r="I401" s="12" t="n">
        <f aca="false">(1+H401)^(1/12)-1</f>
        <v>0.00420553496807585</v>
      </c>
      <c r="J401" s="16" t="n">
        <f aca="false">IF(C401=0,(1+Dic2023!$M$6)^(-B401),EXP(LN(INDEX(Dic2023!$N$6:$N$205,C401))+(LN(INDEX(Dic2023!$N$6:$N$205,MIN(C401+1,200)))-LN(INDEX(Dic2023!$N$6:$N$205,C401)))*(A401-6*C401)/6))</f>
        <v>0.18898333934508</v>
      </c>
      <c r="K401" s="12" t="n">
        <f aca="false">J401^(-1/B401)-1</f>
        <v>0.0516502500000002</v>
      </c>
      <c r="L401" s="12" t="n">
        <f aca="false">(1+K401)^(1/12)-1</f>
        <v>0.00420553496807585</v>
      </c>
    </row>
    <row r="402" customFormat="false" ht="15" hidden="false" customHeight="false" outlineLevel="0" collapsed="false">
      <c r="A402" s="4" t="n">
        <v>398</v>
      </c>
      <c r="B402" s="14" t="n">
        <f aca="false">A402/12</f>
        <v>33.1666666666667</v>
      </c>
      <c r="C402" s="15" t="n">
        <f aca="false">INT(A402/6)</f>
        <v>66</v>
      </c>
      <c r="D402" s="16" t="n">
        <f aca="false">IF(C402=0,(1+Dic2023!$G$6)^(-B402),EXP(LN(INDEX(Dic2023!$H$6:$H$205,C402))+(LN(INDEX(Dic2023!$H$6:$H$205,MIN(C402+1,200)))-LN(INDEX(Dic2023!$H$6:$H$205,C402)))*(A402-6*C402)/6))</f>
        <v>0.18819189176356</v>
      </c>
      <c r="E402" s="12" t="n">
        <f aca="false">D402^(-1/B402)-1</f>
        <v>0.0516502500000002</v>
      </c>
      <c r="F402" s="12" t="n">
        <f aca="false">(1+E402)^(1/12)-1</f>
        <v>0.00420553496807585</v>
      </c>
      <c r="G402" s="16" t="n">
        <f aca="false">IF(C402=0,(1+Dic2023!$J$6)^(-B402),EXP(LN(INDEX(Dic2023!$K$6:$K$205,C402))+(LN(INDEX(Dic2023!$K$6:$K$205,MIN(C402+1,200)))-LN(INDEX(Dic2023!$K$6:$K$205,C402)))*(A402-6*C402)/6))</f>
        <v>0.18819189176356</v>
      </c>
      <c r="H402" s="12" t="n">
        <f aca="false">G402^(-1/B402)-1</f>
        <v>0.0516502500000002</v>
      </c>
      <c r="I402" s="12" t="n">
        <f aca="false">(1+H402)^(1/12)-1</f>
        <v>0.00420553496807585</v>
      </c>
      <c r="J402" s="16" t="n">
        <f aca="false">IF(C402=0,(1+Dic2023!$M$6)^(-B402),EXP(LN(INDEX(Dic2023!$N$6:$N$205,C402))+(LN(INDEX(Dic2023!$N$6:$N$205,MIN(C402+1,200)))-LN(INDEX(Dic2023!$N$6:$N$205,C402)))*(A402-6*C402)/6))</f>
        <v>0.18819189176356</v>
      </c>
      <c r="K402" s="12" t="n">
        <f aca="false">J402^(-1/B402)-1</f>
        <v>0.0516502500000002</v>
      </c>
      <c r="L402" s="12" t="n">
        <f aca="false">(1+K402)^(1/12)-1</f>
        <v>0.00420553496807585</v>
      </c>
    </row>
    <row r="403" customFormat="false" ht="15" hidden="false" customHeight="false" outlineLevel="0" collapsed="false">
      <c r="A403" s="4" t="n">
        <v>399</v>
      </c>
      <c r="B403" s="14" t="n">
        <f aca="false">A403/12</f>
        <v>33.25</v>
      </c>
      <c r="C403" s="15" t="n">
        <f aca="false">INT(A403/6)</f>
        <v>66</v>
      </c>
      <c r="D403" s="16" t="n">
        <f aca="false">IF(C403=0,(1+Dic2023!$G$6)^(-B403),EXP(LN(INDEX(Dic2023!$H$6:$H$205,C403))+(LN(INDEX(Dic2023!$H$6:$H$205,MIN(C403+1,200)))-LN(INDEX(Dic2023!$H$6:$H$205,C403)))*(A403-6*C403)/6))</f>
        <v>0.187403758703185</v>
      </c>
      <c r="E403" s="12" t="n">
        <f aca="false">D403^(-1/B403)-1</f>
        <v>0.0516502500000002</v>
      </c>
      <c r="F403" s="12" t="n">
        <f aca="false">(1+E403)^(1/12)-1</f>
        <v>0.00420553496807585</v>
      </c>
      <c r="G403" s="16" t="n">
        <f aca="false">IF(C403=0,(1+Dic2023!$J$6)^(-B403),EXP(LN(INDEX(Dic2023!$K$6:$K$205,C403))+(LN(INDEX(Dic2023!$K$6:$K$205,MIN(C403+1,200)))-LN(INDEX(Dic2023!$K$6:$K$205,C403)))*(A403-6*C403)/6))</f>
        <v>0.187403758703185</v>
      </c>
      <c r="H403" s="12" t="n">
        <f aca="false">G403^(-1/B403)-1</f>
        <v>0.0516502500000002</v>
      </c>
      <c r="I403" s="12" t="n">
        <f aca="false">(1+H403)^(1/12)-1</f>
        <v>0.00420553496807585</v>
      </c>
      <c r="J403" s="16" t="n">
        <f aca="false">IF(C403=0,(1+Dic2023!$M$6)^(-B403),EXP(LN(INDEX(Dic2023!$N$6:$N$205,C403))+(LN(INDEX(Dic2023!$N$6:$N$205,MIN(C403+1,200)))-LN(INDEX(Dic2023!$N$6:$N$205,C403)))*(A403-6*C403)/6))</f>
        <v>0.187403758703185</v>
      </c>
      <c r="K403" s="12" t="n">
        <f aca="false">J403^(-1/B403)-1</f>
        <v>0.0516502500000002</v>
      </c>
      <c r="L403" s="12" t="n">
        <f aca="false">(1+K403)^(1/12)-1</f>
        <v>0.00420553496807585</v>
      </c>
    </row>
    <row r="404" customFormat="false" ht="15" hidden="false" customHeight="false" outlineLevel="0" collapsed="false">
      <c r="A404" s="4" t="n">
        <v>400</v>
      </c>
      <c r="B404" s="14" t="n">
        <f aca="false">A404/12</f>
        <v>33.3333333333333</v>
      </c>
      <c r="C404" s="15" t="n">
        <f aca="false">INT(A404/6)</f>
        <v>66</v>
      </c>
      <c r="D404" s="16" t="n">
        <f aca="false">IF(C404=0,(1+Dic2023!$G$6)^(-B404),EXP(LN(INDEX(Dic2023!$H$6:$H$205,C404))+(LN(INDEX(Dic2023!$H$6:$H$205,MIN(C404+1,200)))-LN(INDEX(Dic2023!$H$6:$H$205,C404)))*(A404-6*C404)/6))</f>
        <v>0.186618926282997</v>
      </c>
      <c r="E404" s="12" t="n">
        <f aca="false">D404^(-1/B404)-1</f>
        <v>0.0516502500000002</v>
      </c>
      <c r="F404" s="12" t="n">
        <f aca="false">(1+E404)^(1/12)-1</f>
        <v>0.00420553496807585</v>
      </c>
      <c r="G404" s="16" t="n">
        <f aca="false">IF(C404=0,(1+Dic2023!$J$6)^(-B404),EXP(LN(INDEX(Dic2023!$K$6:$K$205,C404))+(LN(INDEX(Dic2023!$K$6:$K$205,MIN(C404+1,200)))-LN(INDEX(Dic2023!$K$6:$K$205,C404)))*(A404-6*C404)/6))</f>
        <v>0.186618926282997</v>
      </c>
      <c r="H404" s="12" t="n">
        <f aca="false">G404^(-1/B404)-1</f>
        <v>0.0516502500000002</v>
      </c>
      <c r="I404" s="12" t="n">
        <f aca="false">(1+H404)^(1/12)-1</f>
        <v>0.00420553496807585</v>
      </c>
      <c r="J404" s="16" t="n">
        <f aca="false">IF(C404=0,(1+Dic2023!$M$6)^(-B404),EXP(LN(INDEX(Dic2023!$N$6:$N$205,C404))+(LN(INDEX(Dic2023!$N$6:$N$205,MIN(C404+1,200)))-LN(INDEX(Dic2023!$N$6:$N$205,C404)))*(A404-6*C404)/6))</f>
        <v>0.186618926282997</v>
      </c>
      <c r="K404" s="12" t="n">
        <f aca="false">J404^(-1/B404)-1</f>
        <v>0.0516502500000002</v>
      </c>
      <c r="L404" s="12" t="n">
        <f aca="false">(1+K404)^(1/12)-1</f>
        <v>0.00420553496807585</v>
      </c>
    </row>
    <row r="405" customFormat="false" ht="15" hidden="false" customHeight="false" outlineLevel="0" collapsed="false">
      <c r="A405" s="4" t="n">
        <v>401</v>
      </c>
      <c r="B405" s="14" t="n">
        <f aca="false">A405/12</f>
        <v>33.4166666666667</v>
      </c>
      <c r="C405" s="15" t="n">
        <f aca="false">INT(A405/6)</f>
        <v>66</v>
      </c>
      <c r="D405" s="16" t="n">
        <f aca="false">IF(C405=0,(1+Dic2023!$G$6)^(-B405),EXP(LN(INDEX(Dic2023!$H$6:$H$205,C405))+(LN(INDEX(Dic2023!$H$6:$H$205,MIN(C405+1,200)))-LN(INDEX(Dic2023!$H$6:$H$205,C405)))*(A405-6*C405)/6))</f>
        <v>0.185837380680171</v>
      </c>
      <c r="E405" s="12" t="n">
        <f aca="false">D405^(-1/B405)-1</f>
        <v>0.0516502500000002</v>
      </c>
      <c r="F405" s="12" t="n">
        <f aca="false">(1+E405)^(1/12)-1</f>
        <v>0.00420553496807585</v>
      </c>
      <c r="G405" s="16" t="n">
        <f aca="false">IF(C405=0,(1+Dic2023!$J$6)^(-B405),EXP(LN(INDEX(Dic2023!$K$6:$K$205,C405))+(LN(INDEX(Dic2023!$K$6:$K$205,MIN(C405+1,200)))-LN(INDEX(Dic2023!$K$6:$K$205,C405)))*(A405-6*C405)/6))</f>
        <v>0.185837380680171</v>
      </c>
      <c r="H405" s="12" t="n">
        <f aca="false">G405^(-1/B405)-1</f>
        <v>0.0516502500000002</v>
      </c>
      <c r="I405" s="12" t="n">
        <f aca="false">(1+H405)^(1/12)-1</f>
        <v>0.00420553496807585</v>
      </c>
      <c r="J405" s="16" t="n">
        <f aca="false">IF(C405=0,(1+Dic2023!$M$6)^(-B405),EXP(LN(INDEX(Dic2023!$N$6:$N$205,C405))+(LN(INDEX(Dic2023!$N$6:$N$205,MIN(C405+1,200)))-LN(INDEX(Dic2023!$N$6:$N$205,C405)))*(A405-6*C405)/6))</f>
        <v>0.185837380680171</v>
      </c>
      <c r="K405" s="12" t="n">
        <f aca="false">J405^(-1/B405)-1</f>
        <v>0.0516502500000002</v>
      </c>
      <c r="L405" s="12" t="n">
        <f aca="false">(1+K405)^(1/12)-1</f>
        <v>0.00420553496807585</v>
      </c>
    </row>
    <row r="406" customFormat="false" ht="15" hidden="false" customHeight="false" outlineLevel="0" collapsed="false">
      <c r="A406" s="4" t="n">
        <v>402</v>
      </c>
      <c r="B406" s="14" t="n">
        <f aca="false">A406/12</f>
        <v>33.5</v>
      </c>
      <c r="C406" s="15" t="n">
        <f aca="false">INT(A406/6)</f>
        <v>67</v>
      </c>
      <c r="D406" s="16" t="n">
        <f aca="false">IF(C406=0,(1+Dic2023!$G$6)^(-B406),EXP(LN(INDEX(Dic2023!$H$6:$H$205,C406))+(LN(INDEX(Dic2023!$H$6:$H$205,MIN(C406+1,200)))-LN(INDEX(Dic2023!$H$6:$H$205,C406)))*(A406-6*C406)/6))</f>
        <v>0.185059108129771</v>
      </c>
      <c r="E406" s="12" t="n">
        <f aca="false">D406^(-1/B406)-1</f>
        <v>0.0516502500000002</v>
      </c>
      <c r="F406" s="12" t="n">
        <f aca="false">(1+E406)^(1/12)-1</f>
        <v>0.00420553496807585</v>
      </c>
      <c r="G406" s="16" t="n">
        <f aca="false">IF(C406=0,(1+Dic2023!$J$6)^(-B406),EXP(LN(INDEX(Dic2023!$K$6:$K$205,C406))+(LN(INDEX(Dic2023!$K$6:$K$205,MIN(C406+1,200)))-LN(INDEX(Dic2023!$K$6:$K$205,C406)))*(A406-6*C406)/6))</f>
        <v>0.185059108129771</v>
      </c>
      <c r="H406" s="12" t="n">
        <f aca="false">G406^(-1/B406)-1</f>
        <v>0.0516502500000002</v>
      </c>
      <c r="I406" s="12" t="n">
        <f aca="false">(1+H406)^(1/12)-1</f>
        <v>0.00420553496807585</v>
      </c>
      <c r="J406" s="16" t="n">
        <f aca="false">IF(C406=0,(1+Dic2023!$M$6)^(-B406),EXP(LN(INDEX(Dic2023!$N$6:$N$205,C406))+(LN(INDEX(Dic2023!$N$6:$N$205,MIN(C406+1,200)))-LN(INDEX(Dic2023!$N$6:$N$205,C406)))*(A406-6*C406)/6))</f>
        <v>0.185059108129771</v>
      </c>
      <c r="K406" s="12" t="n">
        <f aca="false">J406^(-1/B406)-1</f>
        <v>0.0516502500000002</v>
      </c>
      <c r="L406" s="12" t="n">
        <f aca="false">(1+K406)^(1/12)-1</f>
        <v>0.00420553496807585</v>
      </c>
    </row>
    <row r="407" customFormat="false" ht="15" hidden="false" customHeight="false" outlineLevel="0" collapsed="false">
      <c r="A407" s="4" t="n">
        <v>403</v>
      </c>
      <c r="B407" s="14" t="n">
        <f aca="false">A407/12</f>
        <v>33.5833333333333</v>
      </c>
      <c r="C407" s="15" t="n">
        <f aca="false">INT(A407/6)</f>
        <v>67</v>
      </c>
      <c r="D407" s="16" t="n">
        <f aca="false">IF(C407=0,(1+Dic2023!$G$6)^(-B407),EXP(LN(INDEX(Dic2023!$H$6:$H$205,C407))+(LN(INDEX(Dic2023!$H$6:$H$205,MIN(C407+1,200)))-LN(INDEX(Dic2023!$H$6:$H$205,C407)))*(A407-6*C407)/6))</f>
        <v>0.184284094924505</v>
      </c>
      <c r="E407" s="12" t="n">
        <f aca="false">D407^(-1/B407)-1</f>
        <v>0.0516502500000002</v>
      </c>
      <c r="F407" s="12" t="n">
        <f aca="false">(1+E407)^(1/12)-1</f>
        <v>0.00420553496807585</v>
      </c>
      <c r="G407" s="16" t="n">
        <f aca="false">IF(C407=0,(1+Dic2023!$J$6)^(-B407),EXP(LN(INDEX(Dic2023!$K$6:$K$205,C407))+(LN(INDEX(Dic2023!$K$6:$K$205,MIN(C407+1,200)))-LN(INDEX(Dic2023!$K$6:$K$205,C407)))*(A407-6*C407)/6))</f>
        <v>0.184284094924505</v>
      </c>
      <c r="H407" s="12" t="n">
        <f aca="false">G407^(-1/B407)-1</f>
        <v>0.0516502500000002</v>
      </c>
      <c r="I407" s="12" t="n">
        <f aca="false">(1+H407)^(1/12)-1</f>
        <v>0.00420553496807585</v>
      </c>
      <c r="J407" s="16" t="n">
        <f aca="false">IF(C407=0,(1+Dic2023!$M$6)^(-B407),EXP(LN(INDEX(Dic2023!$N$6:$N$205,C407))+(LN(INDEX(Dic2023!$N$6:$N$205,MIN(C407+1,200)))-LN(INDEX(Dic2023!$N$6:$N$205,C407)))*(A407-6*C407)/6))</f>
        <v>0.184284094924505</v>
      </c>
      <c r="K407" s="12" t="n">
        <f aca="false">J407^(-1/B407)-1</f>
        <v>0.0516502500000002</v>
      </c>
      <c r="L407" s="12" t="n">
        <f aca="false">(1+K407)^(1/12)-1</f>
        <v>0.00420553496807585</v>
      </c>
    </row>
    <row r="408" customFormat="false" ht="15" hidden="false" customHeight="false" outlineLevel="0" collapsed="false">
      <c r="A408" s="4" t="n">
        <v>404</v>
      </c>
      <c r="B408" s="14" t="n">
        <f aca="false">A408/12</f>
        <v>33.6666666666667</v>
      </c>
      <c r="C408" s="15" t="n">
        <f aca="false">INT(A408/6)</f>
        <v>67</v>
      </c>
      <c r="D408" s="16" t="n">
        <f aca="false">IF(C408=0,(1+Dic2023!$G$6)^(-B408),EXP(LN(INDEX(Dic2023!$H$6:$H$205,C408))+(LN(INDEX(Dic2023!$H$6:$H$205,MIN(C408+1,200)))-LN(INDEX(Dic2023!$H$6:$H$205,C408)))*(A408-6*C408)/6))</f>
        <v>0.183512327414491</v>
      </c>
      <c r="E408" s="12" t="n">
        <f aca="false">D408^(-1/B408)-1</f>
        <v>0.0516502500000002</v>
      </c>
      <c r="F408" s="12" t="n">
        <f aca="false">(1+E408)^(1/12)-1</f>
        <v>0.00420553496807585</v>
      </c>
      <c r="G408" s="16" t="n">
        <f aca="false">IF(C408=0,(1+Dic2023!$J$6)^(-B408),EXP(LN(INDEX(Dic2023!$K$6:$K$205,C408))+(LN(INDEX(Dic2023!$K$6:$K$205,MIN(C408+1,200)))-LN(INDEX(Dic2023!$K$6:$K$205,C408)))*(A408-6*C408)/6))</f>
        <v>0.183512327414491</v>
      </c>
      <c r="H408" s="12" t="n">
        <f aca="false">G408^(-1/B408)-1</f>
        <v>0.0516502500000002</v>
      </c>
      <c r="I408" s="12" t="n">
        <f aca="false">(1+H408)^(1/12)-1</f>
        <v>0.00420553496807585</v>
      </c>
      <c r="J408" s="16" t="n">
        <f aca="false">IF(C408=0,(1+Dic2023!$M$6)^(-B408),EXP(LN(INDEX(Dic2023!$N$6:$N$205,C408))+(LN(INDEX(Dic2023!$N$6:$N$205,MIN(C408+1,200)))-LN(INDEX(Dic2023!$N$6:$N$205,C408)))*(A408-6*C408)/6))</f>
        <v>0.183512327414491</v>
      </c>
      <c r="K408" s="12" t="n">
        <f aca="false">J408^(-1/B408)-1</f>
        <v>0.0516502500000002</v>
      </c>
      <c r="L408" s="12" t="n">
        <f aca="false">(1+K408)^(1/12)-1</f>
        <v>0.00420553496807585</v>
      </c>
    </row>
    <row r="409" customFormat="false" ht="15" hidden="false" customHeight="false" outlineLevel="0" collapsed="false">
      <c r="A409" s="4" t="n">
        <v>405</v>
      </c>
      <c r="B409" s="14" t="n">
        <f aca="false">A409/12</f>
        <v>33.75</v>
      </c>
      <c r="C409" s="15" t="n">
        <f aca="false">INT(A409/6)</f>
        <v>67</v>
      </c>
      <c r="D409" s="16" t="n">
        <f aca="false">IF(C409=0,(1+Dic2023!$G$6)^(-B409),EXP(LN(INDEX(Dic2023!$H$6:$H$205,C409))+(LN(INDEX(Dic2023!$H$6:$H$205,MIN(C409+1,200)))-LN(INDEX(Dic2023!$H$6:$H$205,C409)))*(A409-6*C409)/6))</f>
        <v>0.182743792007007</v>
      </c>
      <c r="E409" s="12" t="n">
        <f aca="false">D409^(-1/B409)-1</f>
        <v>0.0516502500000002</v>
      </c>
      <c r="F409" s="12" t="n">
        <f aca="false">(1+E409)^(1/12)-1</f>
        <v>0.00420553496807585</v>
      </c>
      <c r="G409" s="16" t="n">
        <f aca="false">IF(C409=0,(1+Dic2023!$J$6)^(-B409),EXP(LN(INDEX(Dic2023!$K$6:$K$205,C409))+(LN(INDEX(Dic2023!$K$6:$K$205,MIN(C409+1,200)))-LN(INDEX(Dic2023!$K$6:$K$205,C409)))*(A409-6*C409)/6))</f>
        <v>0.182743792007007</v>
      </c>
      <c r="H409" s="12" t="n">
        <f aca="false">G409^(-1/B409)-1</f>
        <v>0.0516502500000002</v>
      </c>
      <c r="I409" s="12" t="n">
        <f aca="false">(1+H409)^(1/12)-1</f>
        <v>0.00420553496807585</v>
      </c>
      <c r="J409" s="16" t="n">
        <f aca="false">IF(C409=0,(1+Dic2023!$M$6)^(-B409),EXP(LN(INDEX(Dic2023!$N$6:$N$205,C409))+(LN(INDEX(Dic2023!$N$6:$N$205,MIN(C409+1,200)))-LN(INDEX(Dic2023!$N$6:$N$205,C409)))*(A409-6*C409)/6))</f>
        <v>0.182743792007007</v>
      </c>
      <c r="K409" s="12" t="n">
        <f aca="false">J409^(-1/B409)-1</f>
        <v>0.0516502500000002</v>
      </c>
      <c r="L409" s="12" t="n">
        <f aca="false">(1+K409)^(1/12)-1</f>
        <v>0.00420553496807585</v>
      </c>
    </row>
    <row r="410" customFormat="false" ht="15" hidden="false" customHeight="false" outlineLevel="0" collapsed="false">
      <c r="A410" s="4" t="n">
        <v>406</v>
      </c>
      <c r="B410" s="14" t="n">
        <f aca="false">A410/12</f>
        <v>33.8333333333333</v>
      </c>
      <c r="C410" s="15" t="n">
        <f aca="false">INT(A410/6)</f>
        <v>67</v>
      </c>
      <c r="D410" s="16" t="n">
        <f aca="false">IF(C410=0,(1+Dic2023!$G$6)^(-B410),EXP(LN(INDEX(Dic2023!$H$6:$H$205,C410))+(LN(INDEX(Dic2023!$H$6:$H$205,MIN(C410+1,200)))-LN(INDEX(Dic2023!$H$6:$H$205,C410)))*(A410-6*C410)/6))</f>
        <v>0.181978475166258</v>
      </c>
      <c r="E410" s="12" t="n">
        <f aca="false">D410^(-1/B410)-1</f>
        <v>0.0516502500000002</v>
      </c>
      <c r="F410" s="12" t="n">
        <f aca="false">(1+E410)^(1/12)-1</f>
        <v>0.00420553496807585</v>
      </c>
      <c r="G410" s="16" t="n">
        <f aca="false">IF(C410=0,(1+Dic2023!$J$6)^(-B410),EXP(LN(INDEX(Dic2023!$K$6:$K$205,C410))+(LN(INDEX(Dic2023!$K$6:$K$205,MIN(C410+1,200)))-LN(INDEX(Dic2023!$K$6:$K$205,C410)))*(A410-6*C410)/6))</f>
        <v>0.181978475166258</v>
      </c>
      <c r="H410" s="12" t="n">
        <f aca="false">G410^(-1/B410)-1</f>
        <v>0.0516502500000002</v>
      </c>
      <c r="I410" s="12" t="n">
        <f aca="false">(1+H410)^(1/12)-1</f>
        <v>0.00420553496807585</v>
      </c>
      <c r="J410" s="16" t="n">
        <f aca="false">IF(C410=0,(1+Dic2023!$M$6)^(-B410),EXP(LN(INDEX(Dic2023!$N$6:$N$205,C410))+(LN(INDEX(Dic2023!$N$6:$N$205,MIN(C410+1,200)))-LN(INDEX(Dic2023!$N$6:$N$205,C410)))*(A410-6*C410)/6))</f>
        <v>0.181978475166258</v>
      </c>
      <c r="K410" s="12" t="n">
        <f aca="false">J410^(-1/B410)-1</f>
        <v>0.0516502500000002</v>
      </c>
      <c r="L410" s="12" t="n">
        <f aca="false">(1+K410)^(1/12)-1</f>
        <v>0.00420553496807585</v>
      </c>
    </row>
    <row r="411" customFormat="false" ht="15" hidden="false" customHeight="false" outlineLevel="0" collapsed="false">
      <c r="A411" s="4" t="n">
        <v>407</v>
      </c>
      <c r="B411" s="14" t="n">
        <f aca="false">A411/12</f>
        <v>33.9166666666667</v>
      </c>
      <c r="C411" s="15" t="n">
        <f aca="false">INT(A411/6)</f>
        <v>67</v>
      </c>
      <c r="D411" s="16" t="n">
        <f aca="false">IF(C411=0,(1+Dic2023!$G$6)^(-B411),EXP(LN(INDEX(Dic2023!$H$6:$H$205,C411))+(LN(INDEX(Dic2023!$H$6:$H$205,MIN(C411+1,200)))-LN(INDEX(Dic2023!$H$6:$H$205,C411)))*(A411-6*C411)/6))</f>
        <v>0.181216363413136</v>
      </c>
      <c r="E411" s="12" t="n">
        <f aca="false">D411^(-1/B411)-1</f>
        <v>0.0516502500000002</v>
      </c>
      <c r="F411" s="12" t="n">
        <f aca="false">(1+E411)^(1/12)-1</f>
        <v>0.00420553496807585</v>
      </c>
      <c r="G411" s="16" t="n">
        <f aca="false">IF(C411=0,(1+Dic2023!$J$6)^(-B411),EXP(LN(INDEX(Dic2023!$K$6:$K$205,C411))+(LN(INDEX(Dic2023!$K$6:$K$205,MIN(C411+1,200)))-LN(INDEX(Dic2023!$K$6:$K$205,C411)))*(A411-6*C411)/6))</f>
        <v>0.181216363413136</v>
      </c>
      <c r="H411" s="12" t="n">
        <f aca="false">G411^(-1/B411)-1</f>
        <v>0.0516502500000002</v>
      </c>
      <c r="I411" s="12" t="n">
        <f aca="false">(1+H411)^(1/12)-1</f>
        <v>0.00420553496807585</v>
      </c>
      <c r="J411" s="16" t="n">
        <f aca="false">IF(C411=0,(1+Dic2023!$M$6)^(-B411),EXP(LN(INDEX(Dic2023!$N$6:$N$205,C411))+(LN(INDEX(Dic2023!$N$6:$N$205,MIN(C411+1,200)))-LN(INDEX(Dic2023!$N$6:$N$205,C411)))*(A411-6*C411)/6))</f>
        <v>0.181216363413136</v>
      </c>
      <c r="K411" s="12" t="n">
        <f aca="false">J411^(-1/B411)-1</f>
        <v>0.0516502500000002</v>
      </c>
      <c r="L411" s="12" t="n">
        <f aca="false">(1+K411)^(1/12)-1</f>
        <v>0.00420553496807585</v>
      </c>
    </row>
    <row r="412" customFormat="false" ht="15" hidden="false" customHeight="false" outlineLevel="0" collapsed="false">
      <c r="A412" s="4" t="n">
        <v>408</v>
      </c>
      <c r="B412" s="14" t="n">
        <f aca="false">A412/12</f>
        <v>34</v>
      </c>
      <c r="C412" s="15" t="n">
        <f aca="false">INT(A412/6)</f>
        <v>68</v>
      </c>
      <c r="D412" s="16" t="n">
        <f aca="false">IF(C412=0,(1+Dic2023!$G$6)^(-B412),EXP(LN(INDEX(Dic2023!$H$6:$H$205,C412))+(LN(INDEX(Dic2023!$H$6:$H$205,MIN(C412+1,200)))-LN(INDEX(Dic2023!$H$6:$H$205,C412)))*(A412-6*C412)/6))</f>
        <v>0.180457443324984</v>
      </c>
      <c r="E412" s="12" t="n">
        <f aca="false">D412^(-1/B412)-1</f>
        <v>0.0516502500000002</v>
      </c>
      <c r="F412" s="12" t="n">
        <f aca="false">(1+E412)^(1/12)-1</f>
        <v>0.00420553496807585</v>
      </c>
      <c r="G412" s="16" t="n">
        <f aca="false">IF(C412=0,(1+Dic2023!$J$6)^(-B412),EXP(LN(INDEX(Dic2023!$K$6:$K$205,C412))+(LN(INDEX(Dic2023!$K$6:$K$205,MIN(C412+1,200)))-LN(INDEX(Dic2023!$K$6:$K$205,C412)))*(A412-6*C412)/6))</f>
        <v>0.180457443324984</v>
      </c>
      <c r="H412" s="12" t="n">
        <f aca="false">G412^(-1/B412)-1</f>
        <v>0.0516502500000002</v>
      </c>
      <c r="I412" s="12" t="n">
        <f aca="false">(1+H412)^(1/12)-1</f>
        <v>0.00420553496807585</v>
      </c>
      <c r="J412" s="16" t="n">
        <f aca="false">IF(C412=0,(1+Dic2023!$M$6)^(-B412),EXP(LN(INDEX(Dic2023!$N$6:$N$205,C412))+(LN(INDEX(Dic2023!$N$6:$N$205,MIN(C412+1,200)))-LN(INDEX(Dic2023!$N$6:$N$205,C412)))*(A412-6*C412)/6))</f>
        <v>0.180457443324984</v>
      </c>
      <c r="K412" s="12" t="n">
        <f aca="false">J412^(-1/B412)-1</f>
        <v>0.0516502500000002</v>
      </c>
      <c r="L412" s="12" t="n">
        <f aca="false">(1+K412)^(1/12)-1</f>
        <v>0.00420553496807585</v>
      </c>
    </row>
    <row r="413" customFormat="false" ht="15" hidden="false" customHeight="false" outlineLevel="0" collapsed="false">
      <c r="A413" s="4" t="n">
        <v>409</v>
      </c>
      <c r="B413" s="14" t="n">
        <f aca="false">A413/12</f>
        <v>34.0833333333333</v>
      </c>
      <c r="C413" s="15" t="n">
        <f aca="false">INT(A413/6)</f>
        <v>68</v>
      </c>
      <c r="D413" s="16" t="n">
        <f aca="false">IF(C413=0,(1+Dic2023!$G$6)^(-B413),EXP(LN(INDEX(Dic2023!$H$6:$H$205,C413))+(LN(INDEX(Dic2023!$H$6:$H$205,MIN(C413+1,200)))-LN(INDEX(Dic2023!$H$6:$H$205,C413)))*(A413-6*C413)/6))</f>
        <v>0.179701701535354</v>
      </c>
      <c r="E413" s="12" t="n">
        <f aca="false">D413^(-1/B413)-1</f>
        <v>0.0516502500000002</v>
      </c>
      <c r="F413" s="12" t="n">
        <f aca="false">(1+E413)^(1/12)-1</f>
        <v>0.00420553496807585</v>
      </c>
      <c r="G413" s="16" t="n">
        <f aca="false">IF(C413=0,(1+Dic2023!$J$6)^(-B413),EXP(LN(INDEX(Dic2023!$K$6:$K$205,C413))+(LN(INDEX(Dic2023!$K$6:$K$205,MIN(C413+1,200)))-LN(INDEX(Dic2023!$K$6:$K$205,C413)))*(A413-6*C413)/6))</f>
        <v>0.179701701535354</v>
      </c>
      <c r="H413" s="12" t="n">
        <f aca="false">G413^(-1/B413)-1</f>
        <v>0.0516502500000002</v>
      </c>
      <c r="I413" s="12" t="n">
        <f aca="false">(1+H413)^(1/12)-1</f>
        <v>0.00420553496807585</v>
      </c>
      <c r="J413" s="16" t="n">
        <f aca="false">IF(C413=0,(1+Dic2023!$M$6)^(-B413),EXP(LN(INDEX(Dic2023!$N$6:$N$205,C413))+(LN(INDEX(Dic2023!$N$6:$N$205,MIN(C413+1,200)))-LN(INDEX(Dic2023!$N$6:$N$205,C413)))*(A413-6*C413)/6))</f>
        <v>0.179701701535354</v>
      </c>
      <c r="K413" s="12" t="n">
        <f aca="false">J413^(-1/B413)-1</f>
        <v>0.0516502500000002</v>
      </c>
      <c r="L413" s="12" t="n">
        <f aca="false">(1+K413)^(1/12)-1</f>
        <v>0.00420553496807585</v>
      </c>
    </row>
    <row r="414" customFormat="false" ht="15" hidden="false" customHeight="false" outlineLevel="0" collapsed="false">
      <c r="A414" s="4" t="n">
        <v>410</v>
      </c>
      <c r="B414" s="14" t="n">
        <f aca="false">A414/12</f>
        <v>34.1666666666667</v>
      </c>
      <c r="C414" s="15" t="n">
        <f aca="false">INT(A414/6)</f>
        <v>68</v>
      </c>
      <c r="D414" s="16" t="n">
        <f aca="false">IF(C414=0,(1+Dic2023!$G$6)^(-B414),EXP(LN(INDEX(Dic2023!$H$6:$H$205,C414))+(LN(INDEX(Dic2023!$H$6:$H$205,MIN(C414+1,200)))-LN(INDEX(Dic2023!$H$6:$H$205,C414)))*(A414-6*C414)/6))</f>
        <v>0.178949124733779</v>
      </c>
      <c r="E414" s="12" t="n">
        <f aca="false">D414^(-1/B414)-1</f>
        <v>0.0516502500000002</v>
      </c>
      <c r="F414" s="12" t="n">
        <f aca="false">(1+E414)^(1/12)-1</f>
        <v>0.00420553496807585</v>
      </c>
      <c r="G414" s="16" t="n">
        <f aca="false">IF(C414=0,(1+Dic2023!$J$6)^(-B414),EXP(LN(INDEX(Dic2023!$K$6:$K$205,C414))+(LN(INDEX(Dic2023!$K$6:$K$205,MIN(C414+1,200)))-LN(INDEX(Dic2023!$K$6:$K$205,C414)))*(A414-6*C414)/6))</f>
        <v>0.178949124733779</v>
      </c>
      <c r="H414" s="12" t="n">
        <f aca="false">G414^(-1/B414)-1</f>
        <v>0.0516502500000002</v>
      </c>
      <c r="I414" s="12" t="n">
        <f aca="false">(1+H414)^(1/12)-1</f>
        <v>0.00420553496807585</v>
      </c>
      <c r="J414" s="16" t="n">
        <f aca="false">IF(C414=0,(1+Dic2023!$M$6)^(-B414),EXP(LN(INDEX(Dic2023!$N$6:$N$205,C414))+(LN(INDEX(Dic2023!$N$6:$N$205,MIN(C414+1,200)))-LN(INDEX(Dic2023!$N$6:$N$205,C414)))*(A414-6*C414)/6))</f>
        <v>0.178949124733779</v>
      </c>
      <c r="K414" s="12" t="n">
        <f aca="false">J414^(-1/B414)-1</f>
        <v>0.0516502500000002</v>
      </c>
      <c r="L414" s="12" t="n">
        <f aca="false">(1+K414)^(1/12)-1</f>
        <v>0.00420553496807585</v>
      </c>
    </row>
    <row r="415" customFormat="false" ht="15" hidden="false" customHeight="false" outlineLevel="0" collapsed="false">
      <c r="A415" s="4" t="n">
        <v>411</v>
      </c>
      <c r="B415" s="14" t="n">
        <f aca="false">A415/12</f>
        <v>34.25</v>
      </c>
      <c r="C415" s="15" t="n">
        <f aca="false">INT(A415/6)</f>
        <v>68</v>
      </c>
      <c r="D415" s="16" t="n">
        <f aca="false">IF(C415=0,(1+Dic2023!$G$6)^(-B415),EXP(LN(INDEX(Dic2023!$H$6:$H$205,C415))+(LN(INDEX(Dic2023!$H$6:$H$205,MIN(C415+1,200)))-LN(INDEX(Dic2023!$H$6:$H$205,C415)))*(A415-6*C415)/6))</f>
        <v>0.178199699665535</v>
      </c>
      <c r="E415" s="12" t="n">
        <f aca="false">D415^(-1/B415)-1</f>
        <v>0.0516502500000002</v>
      </c>
      <c r="F415" s="12" t="n">
        <f aca="false">(1+E415)^(1/12)-1</f>
        <v>0.00420553496807585</v>
      </c>
      <c r="G415" s="16" t="n">
        <f aca="false">IF(C415=0,(1+Dic2023!$J$6)^(-B415),EXP(LN(INDEX(Dic2023!$K$6:$K$205,C415))+(LN(INDEX(Dic2023!$K$6:$K$205,MIN(C415+1,200)))-LN(INDEX(Dic2023!$K$6:$K$205,C415)))*(A415-6*C415)/6))</f>
        <v>0.178199699665535</v>
      </c>
      <c r="H415" s="12" t="n">
        <f aca="false">G415^(-1/B415)-1</f>
        <v>0.0516502500000002</v>
      </c>
      <c r="I415" s="12" t="n">
        <f aca="false">(1+H415)^(1/12)-1</f>
        <v>0.00420553496807585</v>
      </c>
      <c r="J415" s="16" t="n">
        <f aca="false">IF(C415=0,(1+Dic2023!$M$6)^(-B415),EXP(LN(INDEX(Dic2023!$N$6:$N$205,C415))+(LN(INDEX(Dic2023!$N$6:$N$205,MIN(C415+1,200)))-LN(INDEX(Dic2023!$N$6:$N$205,C415)))*(A415-6*C415)/6))</f>
        <v>0.178199699665535</v>
      </c>
      <c r="K415" s="12" t="n">
        <f aca="false">J415^(-1/B415)-1</f>
        <v>0.0516502500000002</v>
      </c>
      <c r="L415" s="12" t="n">
        <f aca="false">(1+K415)^(1/12)-1</f>
        <v>0.00420553496807585</v>
      </c>
    </row>
    <row r="416" customFormat="false" ht="15" hidden="false" customHeight="false" outlineLevel="0" collapsed="false">
      <c r="A416" s="4" t="n">
        <v>412</v>
      </c>
      <c r="B416" s="14" t="n">
        <f aca="false">A416/12</f>
        <v>34.3333333333333</v>
      </c>
      <c r="C416" s="15" t="n">
        <f aca="false">INT(A416/6)</f>
        <v>68</v>
      </c>
      <c r="D416" s="16" t="n">
        <f aca="false">IF(C416=0,(1+Dic2023!$G$6)^(-B416),EXP(LN(INDEX(Dic2023!$H$6:$H$205,C416))+(LN(INDEX(Dic2023!$H$6:$H$205,MIN(C416+1,200)))-LN(INDEX(Dic2023!$H$6:$H$205,C416)))*(A416-6*C416)/6))</f>
        <v>0.177453413131407</v>
      </c>
      <c r="E416" s="12" t="n">
        <f aca="false">D416^(-1/B416)-1</f>
        <v>0.0516502500000002</v>
      </c>
      <c r="F416" s="12" t="n">
        <f aca="false">(1+E416)^(1/12)-1</f>
        <v>0.00420553496807585</v>
      </c>
      <c r="G416" s="16" t="n">
        <f aca="false">IF(C416=0,(1+Dic2023!$J$6)^(-B416),EXP(LN(INDEX(Dic2023!$K$6:$K$205,C416))+(LN(INDEX(Dic2023!$K$6:$K$205,MIN(C416+1,200)))-LN(INDEX(Dic2023!$K$6:$K$205,C416)))*(A416-6*C416)/6))</f>
        <v>0.177453413131407</v>
      </c>
      <c r="H416" s="12" t="n">
        <f aca="false">G416^(-1/B416)-1</f>
        <v>0.0516502500000002</v>
      </c>
      <c r="I416" s="12" t="n">
        <f aca="false">(1+H416)^(1/12)-1</f>
        <v>0.00420553496807585</v>
      </c>
      <c r="J416" s="16" t="n">
        <f aca="false">IF(C416=0,(1+Dic2023!$M$6)^(-B416),EXP(LN(INDEX(Dic2023!$N$6:$N$205,C416))+(LN(INDEX(Dic2023!$N$6:$N$205,MIN(C416+1,200)))-LN(INDEX(Dic2023!$N$6:$N$205,C416)))*(A416-6*C416)/6))</f>
        <v>0.177453413131407</v>
      </c>
      <c r="K416" s="12" t="n">
        <f aca="false">J416^(-1/B416)-1</f>
        <v>0.0516502500000002</v>
      </c>
      <c r="L416" s="12" t="n">
        <f aca="false">(1+K416)^(1/12)-1</f>
        <v>0.00420553496807585</v>
      </c>
    </row>
    <row r="417" customFormat="false" ht="15" hidden="false" customHeight="false" outlineLevel="0" collapsed="false">
      <c r="A417" s="4" t="n">
        <v>413</v>
      </c>
      <c r="B417" s="14" t="n">
        <f aca="false">A417/12</f>
        <v>34.4166666666667</v>
      </c>
      <c r="C417" s="15" t="n">
        <f aca="false">INT(A417/6)</f>
        <v>68</v>
      </c>
      <c r="D417" s="16" t="n">
        <f aca="false">IF(C417=0,(1+Dic2023!$G$6)^(-B417),EXP(LN(INDEX(Dic2023!$H$6:$H$205,C417))+(LN(INDEX(Dic2023!$H$6:$H$205,MIN(C417+1,200)))-LN(INDEX(Dic2023!$H$6:$H$205,C417)))*(A417-6*C417)/6))</f>
        <v>0.176710251987456</v>
      </c>
      <c r="E417" s="12" t="n">
        <f aca="false">D417^(-1/B417)-1</f>
        <v>0.0516502500000002</v>
      </c>
      <c r="F417" s="12" t="n">
        <f aca="false">(1+E417)^(1/12)-1</f>
        <v>0.00420553496807585</v>
      </c>
      <c r="G417" s="16" t="n">
        <f aca="false">IF(C417=0,(1+Dic2023!$J$6)^(-B417),EXP(LN(INDEX(Dic2023!$K$6:$K$205,C417))+(LN(INDEX(Dic2023!$K$6:$K$205,MIN(C417+1,200)))-LN(INDEX(Dic2023!$K$6:$K$205,C417)))*(A417-6*C417)/6))</f>
        <v>0.176710251987456</v>
      </c>
      <c r="H417" s="12" t="n">
        <f aca="false">G417^(-1/B417)-1</f>
        <v>0.0516502500000002</v>
      </c>
      <c r="I417" s="12" t="n">
        <f aca="false">(1+H417)^(1/12)-1</f>
        <v>0.00420553496807585</v>
      </c>
      <c r="J417" s="16" t="n">
        <f aca="false">IF(C417=0,(1+Dic2023!$M$6)^(-B417),EXP(LN(INDEX(Dic2023!$N$6:$N$205,C417))+(LN(INDEX(Dic2023!$N$6:$N$205,MIN(C417+1,200)))-LN(INDEX(Dic2023!$N$6:$N$205,C417)))*(A417-6*C417)/6))</f>
        <v>0.176710251987456</v>
      </c>
      <c r="K417" s="12" t="n">
        <f aca="false">J417^(-1/B417)-1</f>
        <v>0.0516502500000002</v>
      </c>
      <c r="L417" s="12" t="n">
        <f aca="false">(1+K417)^(1/12)-1</f>
        <v>0.00420553496807585</v>
      </c>
    </row>
    <row r="418" customFormat="false" ht="15" hidden="false" customHeight="false" outlineLevel="0" collapsed="false">
      <c r="A418" s="4" t="n">
        <v>414</v>
      </c>
      <c r="B418" s="14" t="n">
        <f aca="false">A418/12</f>
        <v>34.5</v>
      </c>
      <c r="C418" s="15" t="n">
        <f aca="false">INT(A418/6)</f>
        <v>69</v>
      </c>
      <c r="D418" s="16" t="n">
        <f aca="false">IF(C418=0,(1+Dic2023!$G$6)^(-B418),EXP(LN(INDEX(Dic2023!$H$6:$H$205,C418))+(LN(INDEX(Dic2023!$H$6:$H$205,MIN(C418+1,200)))-LN(INDEX(Dic2023!$H$6:$H$205,C418)))*(A418-6*C418)/6))</f>
        <v>0.175970203144791</v>
      </c>
      <c r="E418" s="12" t="n">
        <f aca="false">D418^(-1/B418)-1</f>
        <v>0.0516502500000002</v>
      </c>
      <c r="F418" s="12" t="n">
        <f aca="false">(1+E418)^(1/12)-1</f>
        <v>0.00420553496807585</v>
      </c>
      <c r="G418" s="16" t="n">
        <f aca="false">IF(C418=0,(1+Dic2023!$J$6)^(-B418),EXP(LN(INDEX(Dic2023!$K$6:$K$205,C418))+(LN(INDEX(Dic2023!$K$6:$K$205,MIN(C418+1,200)))-LN(INDEX(Dic2023!$K$6:$K$205,C418)))*(A418-6*C418)/6))</f>
        <v>0.175970203144791</v>
      </c>
      <c r="H418" s="12" t="n">
        <f aca="false">G418^(-1/B418)-1</f>
        <v>0.0516502500000002</v>
      </c>
      <c r="I418" s="12" t="n">
        <f aca="false">(1+H418)^(1/12)-1</f>
        <v>0.00420553496807585</v>
      </c>
      <c r="J418" s="16" t="n">
        <f aca="false">IF(C418=0,(1+Dic2023!$M$6)^(-B418),EXP(LN(INDEX(Dic2023!$N$6:$N$205,C418))+(LN(INDEX(Dic2023!$N$6:$N$205,MIN(C418+1,200)))-LN(INDEX(Dic2023!$N$6:$N$205,C418)))*(A418-6*C418)/6))</f>
        <v>0.175970203144791</v>
      </c>
      <c r="K418" s="12" t="n">
        <f aca="false">J418^(-1/B418)-1</f>
        <v>0.0516502500000002</v>
      </c>
      <c r="L418" s="12" t="n">
        <f aca="false">(1+K418)^(1/12)-1</f>
        <v>0.00420553496807585</v>
      </c>
    </row>
    <row r="419" customFormat="false" ht="15" hidden="false" customHeight="false" outlineLevel="0" collapsed="false">
      <c r="A419" s="4" t="n">
        <v>415</v>
      </c>
      <c r="B419" s="14" t="n">
        <f aca="false">A419/12</f>
        <v>34.5833333333333</v>
      </c>
      <c r="C419" s="15" t="n">
        <f aca="false">INT(A419/6)</f>
        <v>69</v>
      </c>
      <c r="D419" s="16" t="n">
        <f aca="false">IF(C419=0,(1+Dic2023!$G$6)^(-B419),EXP(LN(INDEX(Dic2023!$H$6:$H$205,C419))+(LN(INDEX(Dic2023!$H$6:$H$205,MIN(C419+1,200)))-LN(INDEX(Dic2023!$H$6:$H$205,C419)))*(A419-6*C419)/6))</f>
        <v>0.175233253569336</v>
      </c>
      <c r="E419" s="12" t="n">
        <f aca="false">D419^(-1/B419)-1</f>
        <v>0.0516502500000002</v>
      </c>
      <c r="F419" s="12" t="n">
        <f aca="false">(1+E419)^(1/12)-1</f>
        <v>0.00420553496807585</v>
      </c>
      <c r="G419" s="16" t="n">
        <f aca="false">IF(C419=0,(1+Dic2023!$J$6)^(-B419),EXP(LN(INDEX(Dic2023!$K$6:$K$205,C419))+(LN(INDEX(Dic2023!$K$6:$K$205,MIN(C419+1,200)))-LN(INDEX(Dic2023!$K$6:$K$205,C419)))*(A419-6*C419)/6))</f>
        <v>0.175233253569336</v>
      </c>
      <c r="H419" s="12" t="n">
        <f aca="false">G419^(-1/B419)-1</f>
        <v>0.0516502500000002</v>
      </c>
      <c r="I419" s="12" t="n">
        <f aca="false">(1+H419)^(1/12)-1</f>
        <v>0.00420553496807585</v>
      </c>
      <c r="J419" s="16" t="n">
        <f aca="false">IF(C419=0,(1+Dic2023!$M$6)^(-B419),EXP(LN(INDEX(Dic2023!$N$6:$N$205,C419))+(LN(INDEX(Dic2023!$N$6:$N$205,MIN(C419+1,200)))-LN(INDEX(Dic2023!$N$6:$N$205,C419)))*(A419-6*C419)/6))</f>
        <v>0.175233253569336</v>
      </c>
      <c r="K419" s="12" t="n">
        <f aca="false">J419^(-1/B419)-1</f>
        <v>0.0516502500000002</v>
      </c>
      <c r="L419" s="12" t="n">
        <f aca="false">(1+K419)^(1/12)-1</f>
        <v>0.00420553496807585</v>
      </c>
    </row>
    <row r="420" customFormat="false" ht="15" hidden="false" customHeight="false" outlineLevel="0" collapsed="false">
      <c r="A420" s="4" t="n">
        <v>416</v>
      </c>
      <c r="B420" s="14" t="n">
        <f aca="false">A420/12</f>
        <v>34.6666666666667</v>
      </c>
      <c r="C420" s="15" t="n">
        <f aca="false">INT(A420/6)</f>
        <v>69</v>
      </c>
      <c r="D420" s="16" t="n">
        <f aca="false">IF(C420=0,(1+Dic2023!$G$6)^(-B420),EXP(LN(INDEX(Dic2023!$H$6:$H$205,C420))+(LN(INDEX(Dic2023!$H$6:$H$205,MIN(C420+1,200)))-LN(INDEX(Dic2023!$H$6:$H$205,C420)))*(A420-6*C420)/6))</f>
        <v>0.174499390281599</v>
      </c>
      <c r="E420" s="12" t="n">
        <f aca="false">D420^(-1/B420)-1</f>
        <v>0.0516502500000002</v>
      </c>
      <c r="F420" s="12" t="n">
        <f aca="false">(1+E420)^(1/12)-1</f>
        <v>0.00420553496807585</v>
      </c>
      <c r="G420" s="16" t="n">
        <f aca="false">IF(C420=0,(1+Dic2023!$J$6)^(-B420),EXP(LN(INDEX(Dic2023!$K$6:$K$205,C420))+(LN(INDEX(Dic2023!$K$6:$K$205,MIN(C420+1,200)))-LN(INDEX(Dic2023!$K$6:$K$205,C420)))*(A420-6*C420)/6))</f>
        <v>0.174499390281599</v>
      </c>
      <c r="H420" s="12" t="n">
        <f aca="false">G420^(-1/B420)-1</f>
        <v>0.0516502500000002</v>
      </c>
      <c r="I420" s="12" t="n">
        <f aca="false">(1+H420)^(1/12)-1</f>
        <v>0.00420553496807585</v>
      </c>
      <c r="J420" s="16" t="n">
        <f aca="false">IF(C420=0,(1+Dic2023!$M$6)^(-B420),EXP(LN(INDEX(Dic2023!$N$6:$N$205,C420))+(LN(INDEX(Dic2023!$N$6:$N$205,MIN(C420+1,200)))-LN(INDEX(Dic2023!$N$6:$N$205,C420)))*(A420-6*C420)/6))</f>
        <v>0.174499390281599</v>
      </c>
      <c r="K420" s="12" t="n">
        <f aca="false">J420^(-1/B420)-1</f>
        <v>0.0516502500000002</v>
      </c>
      <c r="L420" s="12" t="n">
        <f aca="false">(1+K420)^(1/12)-1</f>
        <v>0.00420553496807585</v>
      </c>
    </row>
    <row r="421" customFormat="false" ht="15" hidden="false" customHeight="false" outlineLevel="0" collapsed="false">
      <c r="A421" s="4" t="n">
        <v>417</v>
      </c>
      <c r="B421" s="14" t="n">
        <f aca="false">A421/12</f>
        <v>34.75</v>
      </c>
      <c r="C421" s="15" t="n">
        <f aca="false">INT(A421/6)</f>
        <v>69</v>
      </c>
      <c r="D421" s="16" t="n">
        <f aca="false">IF(C421=0,(1+Dic2023!$G$6)^(-B421),EXP(LN(INDEX(Dic2023!$H$6:$H$205,C421))+(LN(INDEX(Dic2023!$H$6:$H$205,MIN(C421+1,200)))-LN(INDEX(Dic2023!$H$6:$H$205,C421)))*(A421-6*C421)/6))</f>
        <v>0.173768600356446</v>
      </c>
      <c r="E421" s="12" t="n">
        <f aca="false">D421^(-1/B421)-1</f>
        <v>0.0516502500000002</v>
      </c>
      <c r="F421" s="12" t="n">
        <f aca="false">(1+E421)^(1/12)-1</f>
        <v>0.00420553496807585</v>
      </c>
      <c r="G421" s="16" t="n">
        <f aca="false">IF(C421=0,(1+Dic2023!$J$6)^(-B421),EXP(LN(INDEX(Dic2023!$K$6:$K$205,C421))+(LN(INDEX(Dic2023!$K$6:$K$205,MIN(C421+1,200)))-LN(INDEX(Dic2023!$K$6:$K$205,C421)))*(A421-6*C421)/6))</f>
        <v>0.173768600356446</v>
      </c>
      <c r="H421" s="12" t="n">
        <f aca="false">G421^(-1/B421)-1</f>
        <v>0.0516502500000002</v>
      </c>
      <c r="I421" s="12" t="n">
        <f aca="false">(1+H421)^(1/12)-1</f>
        <v>0.00420553496807585</v>
      </c>
      <c r="J421" s="16" t="n">
        <f aca="false">IF(C421=0,(1+Dic2023!$M$6)^(-B421),EXP(LN(INDEX(Dic2023!$N$6:$N$205,C421))+(LN(INDEX(Dic2023!$N$6:$N$205,MIN(C421+1,200)))-LN(INDEX(Dic2023!$N$6:$N$205,C421)))*(A421-6*C421)/6))</f>
        <v>0.173768600356446</v>
      </c>
      <c r="K421" s="12" t="n">
        <f aca="false">J421^(-1/B421)-1</f>
        <v>0.0516502500000002</v>
      </c>
      <c r="L421" s="12" t="n">
        <f aca="false">(1+K421)^(1/12)-1</f>
        <v>0.00420553496807585</v>
      </c>
    </row>
    <row r="422" customFormat="false" ht="15" hidden="false" customHeight="false" outlineLevel="0" collapsed="false">
      <c r="A422" s="4" t="n">
        <v>418</v>
      </c>
      <c r="B422" s="14" t="n">
        <f aca="false">A422/12</f>
        <v>34.8333333333333</v>
      </c>
      <c r="C422" s="15" t="n">
        <f aca="false">INT(A422/6)</f>
        <v>69</v>
      </c>
      <c r="D422" s="16" t="n">
        <f aca="false">IF(C422=0,(1+Dic2023!$G$6)^(-B422),EXP(LN(INDEX(Dic2023!$H$6:$H$205,C422))+(LN(INDEX(Dic2023!$H$6:$H$205,MIN(C422+1,200)))-LN(INDEX(Dic2023!$H$6:$H$205,C422)))*(A422-6*C422)/6))</f>
        <v>0.173040870922874</v>
      </c>
      <c r="E422" s="12" t="n">
        <f aca="false">D422^(-1/B422)-1</f>
        <v>0.0516502500000002</v>
      </c>
      <c r="F422" s="12" t="n">
        <f aca="false">(1+E422)^(1/12)-1</f>
        <v>0.00420553496807585</v>
      </c>
      <c r="G422" s="16" t="n">
        <f aca="false">IF(C422=0,(1+Dic2023!$J$6)^(-B422),EXP(LN(INDEX(Dic2023!$K$6:$K$205,C422))+(LN(INDEX(Dic2023!$K$6:$K$205,MIN(C422+1,200)))-LN(INDEX(Dic2023!$K$6:$K$205,C422)))*(A422-6*C422)/6))</f>
        <v>0.173040870922874</v>
      </c>
      <c r="H422" s="12" t="n">
        <f aca="false">G422^(-1/B422)-1</f>
        <v>0.0516502500000002</v>
      </c>
      <c r="I422" s="12" t="n">
        <f aca="false">(1+H422)^(1/12)-1</f>
        <v>0.00420553496807585</v>
      </c>
      <c r="J422" s="16" t="n">
        <f aca="false">IF(C422=0,(1+Dic2023!$M$6)^(-B422),EXP(LN(INDEX(Dic2023!$N$6:$N$205,C422))+(LN(INDEX(Dic2023!$N$6:$N$205,MIN(C422+1,200)))-LN(INDEX(Dic2023!$N$6:$N$205,C422)))*(A422-6*C422)/6))</f>
        <v>0.173040870922874</v>
      </c>
      <c r="K422" s="12" t="n">
        <f aca="false">J422^(-1/B422)-1</f>
        <v>0.0516502500000002</v>
      </c>
      <c r="L422" s="12" t="n">
        <f aca="false">(1+K422)^(1/12)-1</f>
        <v>0.00420553496807585</v>
      </c>
    </row>
    <row r="423" customFormat="false" ht="15" hidden="false" customHeight="false" outlineLevel="0" collapsed="false">
      <c r="A423" s="4" t="n">
        <v>419</v>
      </c>
      <c r="B423" s="14" t="n">
        <f aca="false">A423/12</f>
        <v>34.9166666666667</v>
      </c>
      <c r="C423" s="15" t="n">
        <f aca="false">INT(A423/6)</f>
        <v>69</v>
      </c>
      <c r="D423" s="16" t="n">
        <f aca="false">IF(C423=0,(1+Dic2023!$G$6)^(-B423),EXP(LN(INDEX(Dic2023!$H$6:$H$205,C423))+(LN(INDEX(Dic2023!$H$6:$H$205,MIN(C423+1,200)))-LN(INDEX(Dic2023!$H$6:$H$205,C423)))*(A423-6*C423)/6))</f>
        <v>0.17231618916378</v>
      </c>
      <c r="E423" s="12" t="n">
        <f aca="false">D423^(-1/B423)-1</f>
        <v>0.0516502500000002</v>
      </c>
      <c r="F423" s="12" t="n">
        <f aca="false">(1+E423)^(1/12)-1</f>
        <v>0.00420553496807585</v>
      </c>
      <c r="G423" s="16" t="n">
        <f aca="false">IF(C423=0,(1+Dic2023!$J$6)^(-B423),EXP(LN(INDEX(Dic2023!$K$6:$K$205,C423))+(LN(INDEX(Dic2023!$K$6:$K$205,MIN(C423+1,200)))-LN(INDEX(Dic2023!$K$6:$K$205,C423)))*(A423-6*C423)/6))</f>
        <v>0.17231618916378</v>
      </c>
      <c r="H423" s="12" t="n">
        <f aca="false">G423^(-1/B423)-1</f>
        <v>0.0516502500000002</v>
      </c>
      <c r="I423" s="12" t="n">
        <f aca="false">(1+H423)^(1/12)-1</f>
        <v>0.00420553496807585</v>
      </c>
      <c r="J423" s="16" t="n">
        <f aca="false">IF(C423=0,(1+Dic2023!$M$6)^(-B423),EXP(LN(INDEX(Dic2023!$N$6:$N$205,C423))+(LN(INDEX(Dic2023!$N$6:$N$205,MIN(C423+1,200)))-LN(INDEX(Dic2023!$N$6:$N$205,C423)))*(A423-6*C423)/6))</f>
        <v>0.17231618916378</v>
      </c>
      <c r="K423" s="12" t="n">
        <f aca="false">J423^(-1/B423)-1</f>
        <v>0.0516502500000002</v>
      </c>
      <c r="L423" s="12" t="n">
        <f aca="false">(1+K423)^(1/12)-1</f>
        <v>0.00420553496807585</v>
      </c>
    </row>
    <row r="424" customFormat="false" ht="15" hidden="false" customHeight="false" outlineLevel="0" collapsed="false">
      <c r="A424" s="4" t="n">
        <v>420</v>
      </c>
      <c r="B424" s="14" t="n">
        <f aca="false">A424/12</f>
        <v>35</v>
      </c>
      <c r="C424" s="15" t="n">
        <f aca="false">INT(A424/6)</f>
        <v>70</v>
      </c>
      <c r="D424" s="16" t="n">
        <f aca="false">IF(C424=0,(1+Dic2023!$G$6)^(-B424),EXP(LN(INDEX(Dic2023!$H$6:$H$205,C424))+(LN(INDEX(Dic2023!$H$6:$H$205,MIN(C424+1,200)))-LN(INDEX(Dic2023!$H$6:$H$205,C424)))*(A424-6*C424)/6))</f>
        <v>0.17159454231574</v>
      </c>
      <c r="E424" s="12" t="n">
        <f aca="false">D424^(-1/B424)-1</f>
        <v>0.0516502500000002</v>
      </c>
      <c r="F424" s="12" t="n">
        <f aca="false">(1+E424)^(1/12)-1</f>
        <v>0.00420553496807585</v>
      </c>
      <c r="G424" s="16" t="n">
        <f aca="false">IF(C424=0,(1+Dic2023!$J$6)^(-B424),EXP(LN(INDEX(Dic2023!$K$6:$K$205,C424))+(LN(INDEX(Dic2023!$K$6:$K$205,MIN(C424+1,200)))-LN(INDEX(Dic2023!$K$6:$K$205,C424)))*(A424-6*C424)/6))</f>
        <v>0.17159454231574</v>
      </c>
      <c r="H424" s="12" t="n">
        <f aca="false">G424^(-1/B424)-1</f>
        <v>0.0516502500000002</v>
      </c>
      <c r="I424" s="12" t="n">
        <f aca="false">(1+H424)^(1/12)-1</f>
        <v>0.00420553496807585</v>
      </c>
      <c r="J424" s="16" t="n">
        <f aca="false">IF(C424=0,(1+Dic2023!$M$6)^(-B424),EXP(LN(INDEX(Dic2023!$N$6:$N$205,C424))+(LN(INDEX(Dic2023!$N$6:$N$205,MIN(C424+1,200)))-LN(INDEX(Dic2023!$N$6:$N$205,C424)))*(A424-6*C424)/6))</f>
        <v>0.17159454231574</v>
      </c>
      <c r="K424" s="12" t="n">
        <f aca="false">J424^(-1/B424)-1</f>
        <v>0.0516502500000002</v>
      </c>
      <c r="L424" s="12" t="n">
        <f aca="false">(1+K424)^(1/12)-1</f>
        <v>0.00420553496807585</v>
      </c>
    </row>
    <row r="425" customFormat="false" ht="15" hidden="false" customHeight="false" outlineLevel="0" collapsed="false">
      <c r="A425" s="4" t="n">
        <v>421</v>
      </c>
      <c r="B425" s="14" t="n">
        <f aca="false">A425/12</f>
        <v>35.0833333333333</v>
      </c>
      <c r="C425" s="15" t="n">
        <f aca="false">INT(A425/6)</f>
        <v>70</v>
      </c>
      <c r="D425" s="16" t="n">
        <f aca="false">IF(C425=0,(1+Dic2023!$G$6)^(-B425),EXP(LN(INDEX(Dic2023!$H$6:$H$205,C425))+(LN(INDEX(Dic2023!$H$6:$H$205,MIN(C425+1,200)))-LN(INDEX(Dic2023!$H$6:$H$205,C425)))*(A425-6*C425)/6))</f>
        <v>0.170875917668782</v>
      </c>
      <c r="E425" s="12" t="n">
        <f aca="false">D425^(-1/B425)-1</f>
        <v>0.0516502500000002</v>
      </c>
      <c r="F425" s="12" t="n">
        <f aca="false">(1+E425)^(1/12)-1</f>
        <v>0.00420553496807585</v>
      </c>
      <c r="G425" s="16" t="n">
        <f aca="false">IF(C425=0,(1+Dic2023!$J$6)^(-B425),EXP(LN(INDEX(Dic2023!$K$6:$K$205,C425))+(LN(INDEX(Dic2023!$K$6:$K$205,MIN(C425+1,200)))-LN(INDEX(Dic2023!$K$6:$K$205,C425)))*(A425-6*C425)/6))</f>
        <v>0.170875917668782</v>
      </c>
      <c r="H425" s="12" t="n">
        <f aca="false">G425^(-1/B425)-1</f>
        <v>0.0516502500000002</v>
      </c>
      <c r="I425" s="12" t="n">
        <f aca="false">(1+H425)^(1/12)-1</f>
        <v>0.00420553496807585</v>
      </c>
      <c r="J425" s="16" t="n">
        <f aca="false">IF(C425=0,(1+Dic2023!$M$6)^(-B425),EXP(LN(INDEX(Dic2023!$N$6:$N$205,C425))+(LN(INDEX(Dic2023!$N$6:$N$205,MIN(C425+1,200)))-LN(INDEX(Dic2023!$N$6:$N$205,C425)))*(A425-6*C425)/6))</f>
        <v>0.170875917668782</v>
      </c>
      <c r="K425" s="12" t="n">
        <f aca="false">J425^(-1/B425)-1</f>
        <v>0.0516502500000002</v>
      </c>
      <c r="L425" s="12" t="n">
        <f aca="false">(1+K425)^(1/12)-1</f>
        <v>0.00420553496807585</v>
      </c>
    </row>
    <row r="426" customFormat="false" ht="15" hidden="false" customHeight="false" outlineLevel="0" collapsed="false">
      <c r="A426" s="4" t="n">
        <v>422</v>
      </c>
      <c r="B426" s="14" t="n">
        <f aca="false">A426/12</f>
        <v>35.1666666666667</v>
      </c>
      <c r="C426" s="15" t="n">
        <f aca="false">INT(A426/6)</f>
        <v>70</v>
      </c>
      <c r="D426" s="16" t="n">
        <f aca="false">IF(C426=0,(1+Dic2023!$G$6)^(-B426),EXP(LN(INDEX(Dic2023!$H$6:$H$205,C426))+(LN(INDEX(Dic2023!$H$6:$H$205,MIN(C426+1,200)))-LN(INDEX(Dic2023!$H$6:$H$205,C426)))*(A426-6*C426)/6))</f>
        <v>0.170160302566162</v>
      </c>
      <c r="E426" s="12" t="n">
        <f aca="false">D426^(-1/B426)-1</f>
        <v>0.0516502500000002</v>
      </c>
      <c r="F426" s="12" t="n">
        <f aca="false">(1+E426)^(1/12)-1</f>
        <v>0.00420553496807585</v>
      </c>
      <c r="G426" s="16" t="n">
        <f aca="false">IF(C426=0,(1+Dic2023!$J$6)^(-B426),EXP(LN(INDEX(Dic2023!$K$6:$K$205,C426))+(LN(INDEX(Dic2023!$K$6:$K$205,MIN(C426+1,200)))-LN(INDEX(Dic2023!$K$6:$K$205,C426)))*(A426-6*C426)/6))</f>
        <v>0.170160302566162</v>
      </c>
      <c r="H426" s="12" t="n">
        <f aca="false">G426^(-1/B426)-1</f>
        <v>0.0516502500000002</v>
      </c>
      <c r="I426" s="12" t="n">
        <f aca="false">(1+H426)^(1/12)-1</f>
        <v>0.00420553496807585</v>
      </c>
      <c r="J426" s="16" t="n">
        <f aca="false">IF(C426=0,(1+Dic2023!$M$6)^(-B426),EXP(LN(INDEX(Dic2023!$N$6:$N$205,C426))+(LN(INDEX(Dic2023!$N$6:$N$205,MIN(C426+1,200)))-LN(INDEX(Dic2023!$N$6:$N$205,C426)))*(A426-6*C426)/6))</f>
        <v>0.170160302566162</v>
      </c>
      <c r="K426" s="12" t="n">
        <f aca="false">J426^(-1/B426)-1</f>
        <v>0.0516502500000002</v>
      </c>
      <c r="L426" s="12" t="n">
        <f aca="false">(1+K426)^(1/12)-1</f>
        <v>0.00420553496807585</v>
      </c>
    </row>
    <row r="427" customFormat="false" ht="15" hidden="false" customHeight="false" outlineLevel="0" collapsed="false">
      <c r="A427" s="4" t="n">
        <v>423</v>
      </c>
      <c r="B427" s="14" t="n">
        <f aca="false">A427/12</f>
        <v>35.25</v>
      </c>
      <c r="C427" s="15" t="n">
        <f aca="false">INT(A427/6)</f>
        <v>70</v>
      </c>
      <c r="D427" s="16" t="n">
        <f aca="false">IF(C427=0,(1+Dic2023!$G$6)^(-B427),EXP(LN(INDEX(Dic2023!$H$6:$H$205,C427))+(LN(INDEX(Dic2023!$H$6:$H$205,MIN(C427+1,200)))-LN(INDEX(Dic2023!$H$6:$H$205,C427)))*(A427-6*C427)/6))</f>
        <v>0.16944768440414</v>
      </c>
      <c r="E427" s="12" t="n">
        <f aca="false">D427^(-1/B427)-1</f>
        <v>0.0516502500000002</v>
      </c>
      <c r="F427" s="12" t="n">
        <f aca="false">(1+E427)^(1/12)-1</f>
        <v>0.00420553496807585</v>
      </c>
      <c r="G427" s="16" t="n">
        <f aca="false">IF(C427=0,(1+Dic2023!$J$6)^(-B427),EXP(LN(INDEX(Dic2023!$K$6:$K$205,C427))+(LN(INDEX(Dic2023!$K$6:$K$205,MIN(C427+1,200)))-LN(INDEX(Dic2023!$K$6:$K$205,C427)))*(A427-6*C427)/6))</f>
        <v>0.16944768440414</v>
      </c>
      <c r="H427" s="12" t="n">
        <f aca="false">G427^(-1/B427)-1</f>
        <v>0.0516502500000002</v>
      </c>
      <c r="I427" s="12" t="n">
        <f aca="false">(1+H427)^(1/12)-1</f>
        <v>0.00420553496807585</v>
      </c>
      <c r="J427" s="16" t="n">
        <f aca="false">IF(C427=0,(1+Dic2023!$M$6)^(-B427),EXP(LN(INDEX(Dic2023!$N$6:$N$205,C427))+(LN(INDEX(Dic2023!$N$6:$N$205,MIN(C427+1,200)))-LN(INDEX(Dic2023!$N$6:$N$205,C427)))*(A427-6*C427)/6))</f>
        <v>0.16944768440414</v>
      </c>
      <c r="K427" s="12" t="n">
        <f aca="false">J427^(-1/B427)-1</f>
        <v>0.0516502500000002</v>
      </c>
      <c r="L427" s="12" t="n">
        <f aca="false">(1+K427)^(1/12)-1</f>
        <v>0.00420553496807585</v>
      </c>
    </row>
    <row r="428" customFormat="false" ht="15" hidden="false" customHeight="false" outlineLevel="0" collapsed="false">
      <c r="A428" s="4" t="n">
        <v>424</v>
      </c>
      <c r="B428" s="14" t="n">
        <f aca="false">A428/12</f>
        <v>35.3333333333333</v>
      </c>
      <c r="C428" s="15" t="n">
        <f aca="false">INT(A428/6)</f>
        <v>70</v>
      </c>
      <c r="D428" s="16" t="n">
        <f aca="false">IF(C428=0,(1+Dic2023!$G$6)^(-B428),EXP(LN(INDEX(Dic2023!$H$6:$H$205,C428))+(LN(INDEX(Dic2023!$H$6:$H$205,MIN(C428+1,200)))-LN(INDEX(Dic2023!$H$6:$H$205,C428)))*(A428-6*C428)/6))</f>
        <v>0.168738050631764</v>
      </c>
      <c r="E428" s="12" t="n">
        <f aca="false">D428^(-1/B428)-1</f>
        <v>0.0516502500000002</v>
      </c>
      <c r="F428" s="12" t="n">
        <f aca="false">(1+E428)^(1/12)-1</f>
        <v>0.00420553496807585</v>
      </c>
      <c r="G428" s="16" t="n">
        <f aca="false">IF(C428=0,(1+Dic2023!$J$6)^(-B428),EXP(LN(INDEX(Dic2023!$K$6:$K$205,C428))+(LN(INDEX(Dic2023!$K$6:$K$205,MIN(C428+1,200)))-LN(INDEX(Dic2023!$K$6:$K$205,C428)))*(A428-6*C428)/6))</f>
        <v>0.168738050631764</v>
      </c>
      <c r="H428" s="12" t="n">
        <f aca="false">G428^(-1/B428)-1</f>
        <v>0.0516502500000002</v>
      </c>
      <c r="I428" s="12" t="n">
        <f aca="false">(1+H428)^(1/12)-1</f>
        <v>0.00420553496807585</v>
      </c>
      <c r="J428" s="16" t="n">
        <f aca="false">IF(C428=0,(1+Dic2023!$M$6)^(-B428),EXP(LN(INDEX(Dic2023!$N$6:$N$205,C428))+(LN(INDEX(Dic2023!$N$6:$N$205,MIN(C428+1,200)))-LN(INDEX(Dic2023!$N$6:$N$205,C428)))*(A428-6*C428)/6))</f>
        <v>0.168738050631764</v>
      </c>
      <c r="K428" s="12" t="n">
        <f aca="false">J428^(-1/B428)-1</f>
        <v>0.0516502500000002</v>
      </c>
      <c r="L428" s="12" t="n">
        <f aca="false">(1+K428)^(1/12)-1</f>
        <v>0.00420553496807585</v>
      </c>
    </row>
    <row r="429" customFormat="false" ht="15" hidden="false" customHeight="false" outlineLevel="0" collapsed="false">
      <c r="A429" s="4" t="n">
        <v>425</v>
      </c>
      <c r="B429" s="14" t="n">
        <f aca="false">A429/12</f>
        <v>35.4166666666667</v>
      </c>
      <c r="C429" s="15" t="n">
        <f aca="false">INT(A429/6)</f>
        <v>70</v>
      </c>
      <c r="D429" s="16" t="n">
        <f aca="false">IF(C429=0,(1+Dic2023!$G$6)^(-B429),EXP(LN(INDEX(Dic2023!$H$6:$H$205,C429))+(LN(INDEX(Dic2023!$H$6:$H$205,MIN(C429+1,200)))-LN(INDEX(Dic2023!$H$6:$H$205,C429)))*(A429-6*C429)/6))</f>
        <v>0.168031388750638</v>
      </c>
      <c r="E429" s="12" t="n">
        <f aca="false">D429^(-1/B429)-1</f>
        <v>0.0516502500000002</v>
      </c>
      <c r="F429" s="12" t="n">
        <f aca="false">(1+E429)^(1/12)-1</f>
        <v>0.00420553496807585</v>
      </c>
      <c r="G429" s="16" t="n">
        <f aca="false">IF(C429=0,(1+Dic2023!$J$6)^(-B429),EXP(LN(INDEX(Dic2023!$K$6:$K$205,C429))+(LN(INDEX(Dic2023!$K$6:$K$205,MIN(C429+1,200)))-LN(INDEX(Dic2023!$K$6:$K$205,C429)))*(A429-6*C429)/6))</f>
        <v>0.168031388750638</v>
      </c>
      <c r="H429" s="12" t="n">
        <f aca="false">G429^(-1/B429)-1</f>
        <v>0.0516502500000002</v>
      </c>
      <c r="I429" s="12" t="n">
        <f aca="false">(1+H429)^(1/12)-1</f>
        <v>0.00420553496807585</v>
      </c>
      <c r="J429" s="16" t="n">
        <f aca="false">IF(C429=0,(1+Dic2023!$M$6)^(-B429),EXP(LN(INDEX(Dic2023!$N$6:$N$205,C429))+(LN(INDEX(Dic2023!$N$6:$N$205,MIN(C429+1,200)))-LN(INDEX(Dic2023!$N$6:$N$205,C429)))*(A429-6*C429)/6))</f>
        <v>0.168031388750638</v>
      </c>
      <c r="K429" s="12" t="n">
        <f aca="false">J429^(-1/B429)-1</f>
        <v>0.0516502500000002</v>
      </c>
      <c r="L429" s="12" t="n">
        <f aca="false">(1+K429)^(1/12)-1</f>
        <v>0.00420553496807585</v>
      </c>
    </row>
    <row r="430" customFormat="false" ht="15" hidden="false" customHeight="false" outlineLevel="0" collapsed="false">
      <c r="A430" s="4" t="n">
        <v>426</v>
      </c>
      <c r="B430" s="14" t="n">
        <f aca="false">A430/12</f>
        <v>35.5</v>
      </c>
      <c r="C430" s="15" t="n">
        <f aca="false">INT(A430/6)</f>
        <v>71</v>
      </c>
      <c r="D430" s="16" t="n">
        <f aca="false">IF(C430=0,(1+Dic2023!$G$6)^(-B430),EXP(LN(INDEX(Dic2023!$H$6:$H$205,C430))+(LN(INDEX(Dic2023!$H$6:$H$205,MIN(C430+1,200)))-LN(INDEX(Dic2023!$H$6:$H$205,C430)))*(A430-6*C430)/6))</f>
        <v>0.167327686314715</v>
      </c>
      <c r="E430" s="12" t="n">
        <f aca="false">D430^(-1/B430)-1</f>
        <v>0.0516502500000002</v>
      </c>
      <c r="F430" s="12" t="n">
        <f aca="false">(1+E430)^(1/12)-1</f>
        <v>0.00420553496807585</v>
      </c>
      <c r="G430" s="16" t="n">
        <f aca="false">IF(C430=0,(1+Dic2023!$J$6)^(-B430),EXP(LN(INDEX(Dic2023!$K$6:$K$205,C430))+(LN(INDEX(Dic2023!$K$6:$K$205,MIN(C430+1,200)))-LN(INDEX(Dic2023!$K$6:$K$205,C430)))*(A430-6*C430)/6))</f>
        <v>0.167327686314715</v>
      </c>
      <c r="H430" s="12" t="n">
        <f aca="false">G430^(-1/B430)-1</f>
        <v>0.0516502500000002</v>
      </c>
      <c r="I430" s="12" t="n">
        <f aca="false">(1+H430)^(1/12)-1</f>
        <v>0.00420553496807585</v>
      </c>
      <c r="J430" s="16" t="n">
        <f aca="false">IF(C430=0,(1+Dic2023!$M$6)^(-B430),EXP(LN(INDEX(Dic2023!$N$6:$N$205,C430))+(LN(INDEX(Dic2023!$N$6:$N$205,MIN(C430+1,200)))-LN(INDEX(Dic2023!$N$6:$N$205,C430)))*(A430-6*C430)/6))</f>
        <v>0.167327686314715</v>
      </c>
      <c r="K430" s="12" t="n">
        <f aca="false">J430^(-1/B430)-1</f>
        <v>0.0516502500000002</v>
      </c>
      <c r="L430" s="12" t="n">
        <f aca="false">(1+K430)^(1/12)-1</f>
        <v>0.00420553496807585</v>
      </c>
    </row>
    <row r="431" customFormat="false" ht="15" hidden="false" customHeight="false" outlineLevel="0" collapsed="false">
      <c r="A431" s="4" t="n">
        <v>427</v>
      </c>
      <c r="B431" s="14" t="n">
        <f aca="false">A431/12</f>
        <v>35.5833333333333</v>
      </c>
      <c r="C431" s="15" t="n">
        <f aca="false">INT(A431/6)</f>
        <v>71</v>
      </c>
      <c r="D431" s="16" t="n">
        <f aca="false">IF(C431=0,(1+Dic2023!$G$6)^(-B431),EXP(LN(INDEX(Dic2023!$H$6:$H$205,C431))+(LN(INDEX(Dic2023!$H$6:$H$205,MIN(C431+1,200)))-LN(INDEX(Dic2023!$H$6:$H$205,C431)))*(A431-6*C431)/6))</f>
        <v>0.166626930930065</v>
      </c>
      <c r="E431" s="12" t="n">
        <f aca="false">D431^(-1/B431)-1</f>
        <v>0.0516502500000002</v>
      </c>
      <c r="F431" s="12" t="n">
        <f aca="false">(1+E431)^(1/12)-1</f>
        <v>0.00420553496807585</v>
      </c>
      <c r="G431" s="16" t="n">
        <f aca="false">IF(C431=0,(1+Dic2023!$J$6)^(-B431),EXP(LN(INDEX(Dic2023!$K$6:$K$205,C431))+(LN(INDEX(Dic2023!$K$6:$K$205,MIN(C431+1,200)))-LN(INDEX(Dic2023!$K$6:$K$205,C431)))*(A431-6*C431)/6))</f>
        <v>0.166626930930065</v>
      </c>
      <c r="H431" s="12" t="n">
        <f aca="false">G431^(-1/B431)-1</f>
        <v>0.0516502500000002</v>
      </c>
      <c r="I431" s="12" t="n">
        <f aca="false">(1+H431)^(1/12)-1</f>
        <v>0.00420553496807585</v>
      </c>
      <c r="J431" s="16" t="n">
        <f aca="false">IF(C431=0,(1+Dic2023!$M$6)^(-B431),EXP(LN(INDEX(Dic2023!$N$6:$N$205,C431))+(LN(INDEX(Dic2023!$N$6:$N$205,MIN(C431+1,200)))-LN(INDEX(Dic2023!$N$6:$N$205,C431)))*(A431-6*C431)/6))</f>
        <v>0.166626930930065</v>
      </c>
      <c r="K431" s="12" t="n">
        <f aca="false">J431^(-1/B431)-1</f>
        <v>0.0516502500000002</v>
      </c>
      <c r="L431" s="12" t="n">
        <f aca="false">(1+K431)^(1/12)-1</f>
        <v>0.00420553496807585</v>
      </c>
    </row>
    <row r="432" customFormat="false" ht="15" hidden="false" customHeight="false" outlineLevel="0" collapsed="false">
      <c r="A432" s="4" t="n">
        <v>428</v>
      </c>
      <c r="B432" s="14" t="n">
        <f aca="false">A432/12</f>
        <v>35.6666666666667</v>
      </c>
      <c r="C432" s="15" t="n">
        <f aca="false">INT(A432/6)</f>
        <v>71</v>
      </c>
      <c r="D432" s="16" t="n">
        <f aca="false">IF(C432=0,(1+Dic2023!$G$6)^(-B432),EXP(LN(INDEX(Dic2023!$H$6:$H$205,C432))+(LN(INDEX(Dic2023!$H$6:$H$205,MIN(C432+1,200)))-LN(INDEX(Dic2023!$H$6:$H$205,C432)))*(A432-6*C432)/6))</f>
        <v>0.165929110254667</v>
      </c>
      <c r="E432" s="12" t="n">
        <f aca="false">D432^(-1/B432)-1</f>
        <v>0.0516502500000002</v>
      </c>
      <c r="F432" s="12" t="n">
        <f aca="false">(1+E432)^(1/12)-1</f>
        <v>0.00420553496807585</v>
      </c>
      <c r="G432" s="16" t="n">
        <f aca="false">IF(C432=0,(1+Dic2023!$J$6)^(-B432),EXP(LN(INDEX(Dic2023!$K$6:$K$205,C432))+(LN(INDEX(Dic2023!$K$6:$K$205,MIN(C432+1,200)))-LN(INDEX(Dic2023!$K$6:$K$205,C432)))*(A432-6*C432)/6))</f>
        <v>0.165929110254667</v>
      </c>
      <c r="H432" s="12" t="n">
        <f aca="false">G432^(-1/B432)-1</f>
        <v>0.0516502500000002</v>
      </c>
      <c r="I432" s="12" t="n">
        <f aca="false">(1+H432)^(1/12)-1</f>
        <v>0.00420553496807585</v>
      </c>
      <c r="J432" s="16" t="n">
        <f aca="false">IF(C432=0,(1+Dic2023!$M$6)^(-B432),EXP(LN(INDEX(Dic2023!$N$6:$N$205,C432))+(LN(INDEX(Dic2023!$N$6:$N$205,MIN(C432+1,200)))-LN(INDEX(Dic2023!$N$6:$N$205,C432)))*(A432-6*C432)/6))</f>
        <v>0.165929110254667</v>
      </c>
      <c r="K432" s="12" t="n">
        <f aca="false">J432^(-1/B432)-1</f>
        <v>0.0516502500000002</v>
      </c>
      <c r="L432" s="12" t="n">
        <f aca="false">(1+K432)^(1/12)-1</f>
        <v>0.00420553496807585</v>
      </c>
    </row>
    <row r="433" customFormat="false" ht="15" hidden="false" customHeight="false" outlineLevel="0" collapsed="false">
      <c r="A433" s="4" t="n">
        <v>429</v>
      </c>
      <c r="B433" s="14" t="n">
        <f aca="false">A433/12</f>
        <v>35.75</v>
      </c>
      <c r="C433" s="15" t="n">
        <f aca="false">INT(A433/6)</f>
        <v>71</v>
      </c>
      <c r="D433" s="16" t="n">
        <f aca="false">IF(C433=0,(1+Dic2023!$G$6)^(-B433),EXP(LN(INDEX(Dic2023!$H$6:$H$205,C433))+(LN(INDEX(Dic2023!$H$6:$H$205,MIN(C433+1,200)))-LN(INDEX(Dic2023!$H$6:$H$205,C433)))*(A433-6*C433)/6))</f>
        <v>0.165234211998187</v>
      </c>
      <c r="E433" s="12" t="n">
        <f aca="false">D433^(-1/B433)-1</f>
        <v>0.0516502500000002</v>
      </c>
      <c r="F433" s="12" t="n">
        <f aca="false">(1+E433)^(1/12)-1</f>
        <v>0.00420553496807585</v>
      </c>
      <c r="G433" s="16" t="n">
        <f aca="false">IF(C433=0,(1+Dic2023!$J$6)^(-B433),EXP(LN(INDEX(Dic2023!$K$6:$K$205,C433))+(LN(INDEX(Dic2023!$K$6:$K$205,MIN(C433+1,200)))-LN(INDEX(Dic2023!$K$6:$K$205,C433)))*(A433-6*C433)/6))</f>
        <v>0.165234211998187</v>
      </c>
      <c r="H433" s="12" t="n">
        <f aca="false">G433^(-1/B433)-1</f>
        <v>0.0516502500000002</v>
      </c>
      <c r="I433" s="12" t="n">
        <f aca="false">(1+H433)^(1/12)-1</f>
        <v>0.00420553496807585</v>
      </c>
      <c r="J433" s="16" t="n">
        <f aca="false">IF(C433=0,(1+Dic2023!$M$6)^(-B433),EXP(LN(INDEX(Dic2023!$N$6:$N$205,C433))+(LN(INDEX(Dic2023!$N$6:$N$205,MIN(C433+1,200)))-LN(INDEX(Dic2023!$N$6:$N$205,C433)))*(A433-6*C433)/6))</f>
        <v>0.165234211998187</v>
      </c>
      <c r="K433" s="12" t="n">
        <f aca="false">J433^(-1/B433)-1</f>
        <v>0.0516502500000002</v>
      </c>
      <c r="L433" s="12" t="n">
        <f aca="false">(1+K433)^(1/12)-1</f>
        <v>0.00420553496807585</v>
      </c>
    </row>
    <row r="434" customFormat="false" ht="15" hidden="false" customHeight="false" outlineLevel="0" collapsed="false">
      <c r="A434" s="4" t="n">
        <v>430</v>
      </c>
      <c r="B434" s="14" t="n">
        <f aca="false">A434/12</f>
        <v>35.8333333333333</v>
      </c>
      <c r="C434" s="15" t="n">
        <f aca="false">INT(A434/6)</f>
        <v>71</v>
      </c>
      <c r="D434" s="16" t="n">
        <f aca="false">IF(C434=0,(1+Dic2023!$G$6)^(-B434),EXP(LN(INDEX(Dic2023!$H$6:$H$205,C434))+(LN(INDEX(Dic2023!$H$6:$H$205,MIN(C434+1,200)))-LN(INDEX(Dic2023!$H$6:$H$205,C434)))*(A434-6*C434)/6))</f>
        <v>0.164542223921759</v>
      </c>
      <c r="E434" s="12" t="n">
        <f aca="false">D434^(-1/B434)-1</f>
        <v>0.0516502500000002</v>
      </c>
      <c r="F434" s="12" t="n">
        <f aca="false">(1+E434)^(1/12)-1</f>
        <v>0.00420553496807585</v>
      </c>
      <c r="G434" s="16" t="n">
        <f aca="false">IF(C434=0,(1+Dic2023!$J$6)^(-B434),EXP(LN(INDEX(Dic2023!$K$6:$K$205,C434))+(LN(INDEX(Dic2023!$K$6:$K$205,MIN(C434+1,200)))-LN(INDEX(Dic2023!$K$6:$K$205,C434)))*(A434-6*C434)/6))</f>
        <v>0.164542223921759</v>
      </c>
      <c r="H434" s="12" t="n">
        <f aca="false">G434^(-1/B434)-1</f>
        <v>0.0516502500000002</v>
      </c>
      <c r="I434" s="12" t="n">
        <f aca="false">(1+H434)^(1/12)-1</f>
        <v>0.00420553496807585</v>
      </c>
      <c r="J434" s="16" t="n">
        <f aca="false">IF(C434=0,(1+Dic2023!$M$6)^(-B434),EXP(LN(INDEX(Dic2023!$N$6:$N$205,C434))+(LN(INDEX(Dic2023!$N$6:$N$205,MIN(C434+1,200)))-LN(INDEX(Dic2023!$N$6:$N$205,C434)))*(A434-6*C434)/6))</f>
        <v>0.164542223921759</v>
      </c>
      <c r="K434" s="12" t="n">
        <f aca="false">J434^(-1/B434)-1</f>
        <v>0.0516502500000002</v>
      </c>
      <c r="L434" s="12" t="n">
        <f aca="false">(1+K434)^(1/12)-1</f>
        <v>0.00420553496807585</v>
      </c>
    </row>
    <row r="435" customFormat="false" ht="15" hidden="false" customHeight="false" outlineLevel="0" collapsed="false">
      <c r="A435" s="4" t="n">
        <v>431</v>
      </c>
      <c r="B435" s="14" t="n">
        <f aca="false">A435/12</f>
        <v>35.9166666666667</v>
      </c>
      <c r="C435" s="15" t="n">
        <f aca="false">INT(A435/6)</f>
        <v>71</v>
      </c>
      <c r="D435" s="16" t="n">
        <f aca="false">IF(C435=0,(1+Dic2023!$G$6)^(-B435),EXP(LN(INDEX(Dic2023!$H$6:$H$205,C435))+(LN(INDEX(Dic2023!$H$6:$H$205,MIN(C435+1,200)))-LN(INDEX(Dic2023!$H$6:$H$205,C435)))*(A435-6*C435)/6))</f>
        <v>0.163853133837775</v>
      </c>
      <c r="E435" s="12" t="n">
        <f aca="false">D435^(-1/B435)-1</f>
        <v>0.0516502500000002</v>
      </c>
      <c r="F435" s="12" t="n">
        <f aca="false">(1+E435)^(1/12)-1</f>
        <v>0.00420553496807585</v>
      </c>
      <c r="G435" s="16" t="n">
        <f aca="false">IF(C435=0,(1+Dic2023!$J$6)^(-B435),EXP(LN(INDEX(Dic2023!$K$6:$K$205,C435))+(LN(INDEX(Dic2023!$K$6:$K$205,MIN(C435+1,200)))-LN(INDEX(Dic2023!$K$6:$K$205,C435)))*(A435-6*C435)/6))</f>
        <v>0.163853133837775</v>
      </c>
      <c r="H435" s="12" t="n">
        <f aca="false">G435^(-1/B435)-1</f>
        <v>0.0516502500000002</v>
      </c>
      <c r="I435" s="12" t="n">
        <f aca="false">(1+H435)^(1/12)-1</f>
        <v>0.00420553496807585</v>
      </c>
      <c r="J435" s="16" t="n">
        <f aca="false">IF(C435=0,(1+Dic2023!$M$6)^(-B435),EXP(LN(INDEX(Dic2023!$N$6:$N$205,C435))+(LN(INDEX(Dic2023!$N$6:$N$205,MIN(C435+1,200)))-LN(INDEX(Dic2023!$N$6:$N$205,C435)))*(A435-6*C435)/6))</f>
        <v>0.163853133837775</v>
      </c>
      <c r="K435" s="12" t="n">
        <f aca="false">J435^(-1/B435)-1</f>
        <v>0.0516502500000002</v>
      </c>
      <c r="L435" s="12" t="n">
        <f aca="false">(1+K435)^(1/12)-1</f>
        <v>0.00420553496807585</v>
      </c>
    </row>
    <row r="436" customFormat="false" ht="15" hidden="false" customHeight="false" outlineLevel="0" collapsed="false">
      <c r="A436" s="4" t="n">
        <v>432</v>
      </c>
      <c r="B436" s="14" t="n">
        <f aca="false">A436/12</f>
        <v>36</v>
      </c>
      <c r="C436" s="15" t="n">
        <f aca="false">INT(A436/6)</f>
        <v>72</v>
      </c>
      <c r="D436" s="16" t="n">
        <f aca="false">IF(C436=0,(1+Dic2023!$G$6)^(-B436),EXP(LN(INDEX(Dic2023!$H$6:$H$205,C436))+(LN(INDEX(Dic2023!$H$6:$H$205,MIN(C436+1,200)))-LN(INDEX(Dic2023!$H$6:$H$205,C436)))*(A436-6*C436)/6))</f>
        <v>0.163166929609668</v>
      </c>
      <c r="E436" s="12" t="n">
        <f aca="false">D436^(-1/B436)-1</f>
        <v>0.0516502500000002</v>
      </c>
      <c r="F436" s="12" t="n">
        <f aca="false">(1+E436)^(1/12)-1</f>
        <v>0.00420553496807585</v>
      </c>
      <c r="G436" s="16" t="n">
        <f aca="false">IF(C436=0,(1+Dic2023!$J$6)^(-B436),EXP(LN(INDEX(Dic2023!$K$6:$K$205,C436))+(LN(INDEX(Dic2023!$K$6:$K$205,MIN(C436+1,200)))-LN(INDEX(Dic2023!$K$6:$K$205,C436)))*(A436-6*C436)/6))</f>
        <v>0.163166929609668</v>
      </c>
      <c r="H436" s="12" t="n">
        <f aca="false">G436^(-1/B436)-1</f>
        <v>0.0516502500000002</v>
      </c>
      <c r="I436" s="12" t="n">
        <f aca="false">(1+H436)^(1/12)-1</f>
        <v>0.00420553496807585</v>
      </c>
      <c r="J436" s="16" t="n">
        <f aca="false">IF(C436=0,(1+Dic2023!$M$6)^(-B436),EXP(LN(INDEX(Dic2023!$N$6:$N$205,C436))+(LN(INDEX(Dic2023!$N$6:$N$205,MIN(C436+1,200)))-LN(INDEX(Dic2023!$N$6:$N$205,C436)))*(A436-6*C436)/6))</f>
        <v>0.163166929609668</v>
      </c>
      <c r="K436" s="12" t="n">
        <f aca="false">J436^(-1/B436)-1</f>
        <v>0.0516502500000002</v>
      </c>
      <c r="L436" s="12" t="n">
        <f aca="false">(1+K436)^(1/12)-1</f>
        <v>0.00420553496807585</v>
      </c>
    </row>
    <row r="437" customFormat="false" ht="15" hidden="false" customHeight="false" outlineLevel="0" collapsed="false">
      <c r="A437" s="4" t="n">
        <v>433</v>
      </c>
      <c r="B437" s="14" t="n">
        <f aca="false">A437/12</f>
        <v>36.0833333333333</v>
      </c>
      <c r="C437" s="15" t="n">
        <f aca="false">INT(A437/6)</f>
        <v>72</v>
      </c>
      <c r="D437" s="16" t="n">
        <f aca="false">IF(C437=0,(1+Dic2023!$G$6)^(-B437),EXP(LN(INDEX(Dic2023!$H$6:$H$205,C437))+(LN(INDEX(Dic2023!$H$6:$H$205,MIN(C437+1,200)))-LN(INDEX(Dic2023!$H$6:$H$205,C437)))*(A437-6*C437)/6))</f>
        <v>0.162483599151697</v>
      </c>
      <c r="E437" s="12" t="n">
        <f aca="false">D437^(-1/B437)-1</f>
        <v>0.0516502500000002</v>
      </c>
      <c r="F437" s="12" t="n">
        <f aca="false">(1+E437)^(1/12)-1</f>
        <v>0.00420553496807585</v>
      </c>
      <c r="G437" s="16" t="n">
        <f aca="false">IF(C437=0,(1+Dic2023!$J$6)^(-B437),EXP(LN(INDEX(Dic2023!$K$6:$K$205,C437))+(LN(INDEX(Dic2023!$K$6:$K$205,MIN(C437+1,200)))-LN(INDEX(Dic2023!$K$6:$K$205,C437)))*(A437-6*C437)/6))</f>
        <v>0.162483599151697</v>
      </c>
      <c r="H437" s="12" t="n">
        <f aca="false">G437^(-1/B437)-1</f>
        <v>0.0516502500000002</v>
      </c>
      <c r="I437" s="12" t="n">
        <f aca="false">(1+H437)^(1/12)-1</f>
        <v>0.00420553496807585</v>
      </c>
      <c r="J437" s="16" t="n">
        <f aca="false">IF(C437=0,(1+Dic2023!$M$6)^(-B437),EXP(LN(INDEX(Dic2023!$N$6:$N$205,C437))+(LN(INDEX(Dic2023!$N$6:$N$205,MIN(C437+1,200)))-LN(INDEX(Dic2023!$N$6:$N$205,C437)))*(A437-6*C437)/6))</f>
        <v>0.162483599151697</v>
      </c>
      <c r="K437" s="12" t="n">
        <f aca="false">J437^(-1/B437)-1</f>
        <v>0.0516502500000002</v>
      </c>
      <c r="L437" s="12" t="n">
        <f aca="false">(1+K437)^(1/12)-1</f>
        <v>0.00420553496807585</v>
      </c>
    </row>
    <row r="438" customFormat="false" ht="15" hidden="false" customHeight="false" outlineLevel="0" collapsed="false">
      <c r="A438" s="4" t="n">
        <v>434</v>
      </c>
      <c r="B438" s="14" t="n">
        <f aca="false">A438/12</f>
        <v>36.1666666666667</v>
      </c>
      <c r="C438" s="15" t="n">
        <f aca="false">INT(A438/6)</f>
        <v>72</v>
      </c>
      <c r="D438" s="16" t="n">
        <f aca="false">IF(C438=0,(1+Dic2023!$G$6)^(-B438),EXP(LN(INDEX(Dic2023!$H$6:$H$205,C438))+(LN(INDEX(Dic2023!$H$6:$H$205,MIN(C438+1,200)))-LN(INDEX(Dic2023!$H$6:$H$205,C438)))*(A438-6*C438)/6))</f>
        <v>0.161803130428735</v>
      </c>
      <c r="E438" s="12" t="n">
        <f aca="false">D438^(-1/B438)-1</f>
        <v>0.0516502500000002</v>
      </c>
      <c r="F438" s="12" t="n">
        <f aca="false">(1+E438)^(1/12)-1</f>
        <v>0.00420553496807585</v>
      </c>
      <c r="G438" s="16" t="n">
        <f aca="false">IF(C438=0,(1+Dic2023!$J$6)^(-B438),EXP(LN(INDEX(Dic2023!$K$6:$K$205,C438))+(LN(INDEX(Dic2023!$K$6:$K$205,MIN(C438+1,200)))-LN(INDEX(Dic2023!$K$6:$K$205,C438)))*(A438-6*C438)/6))</f>
        <v>0.161803130428735</v>
      </c>
      <c r="H438" s="12" t="n">
        <f aca="false">G438^(-1/B438)-1</f>
        <v>0.0516502500000002</v>
      </c>
      <c r="I438" s="12" t="n">
        <f aca="false">(1+H438)^(1/12)-1</f>
        <v>0.00420553496807585</v>
      </c>
      <c r="J438" s="16" t="n">
        <f aca="false">IF(C438=0,(1+Dic2023!$M$6)^(-B438),EXP(LN(INDEX(Dic2023!$N$6:$N$205,C438))+(LN(INDEX(Dic2023!$N$6:$N$205,MIN(C438+1,200)))-LN(INDEX(Dic2023!$N$6:$N$205,C438)))*(A438-6*C438)/6))</f>
        <v>0.161803130428735</v>
      </c>
      <c r="K438" s="12" t="n">
        <f aca="false">J438^(-1/B438)-1</f>
        <v>0.0516502500000002</v>
      </c>
      <c r="L438" s="12" t="n">
        <f aca="false">(1+K438)^(1/12)-1</f>
        <v>0.00420553496807585</v>
      </c>
    </row>
    <row r="439" customFormat="false" ht="15" hidden="false" customHeight="false" outlineLevel="0" collapsed="false">
      <c r="A439" s="4" t="n">
        <v>435</v>
      </c>
      <c r="B439" s="14" t="n">
        <f aca="false">A439/12</f>
        <v>36.25</v>
      </c>
      <c r="C439" s="15" t="n">
        <f aca="false">INT(A439/6)</f>
        <v>72</v>
      </c>
      <c r="D439" s="16" t="n">
        <f aca="false">IF(C439=0,(1+Dic2023!$G$6)^(-B439),EXP(LN(INDEX(Dic2023!$H$6:$H$205,C439))+(LN(INDEX(Dic2023!$H$6:$H$205,MIN(C439+1,200)))-LN(INDEX(Dic2023!$H$6:$H$205,C439)))*(A439-6*C439)/6))</f>
        <v>0.161125511456057</v>
      </c>
      <c r="E439" s="12" t="n">
        <f aca="false">D439^(-1/B439)-1</f>
        <v>0.0516502500000002</v>
      </c>
      <c r="F439" s="12" t="n">
        <f aca="false">(1+E439)^(1/12)-1</f>
        <v>0.00420553496807585</v>
      </c>
      <c r="G439" s="16" t="n">
        <f aca="false">IF(C439=0,(1+Dic2023!$J$6)^(-B439),EXP(LN(INDEX(Dic2023!$K$6:$K$205,C439))+(LN(INDEX(Dic2023!$K$6:$K$205,MIN(C439+1,200)))-LN(INDEX(Dic2023!$K$6:$K$205,C439)))*(A439-6*C439)/6))</f>
        <v>0.161125511456057</v>
      </c>
      <c r="H439" s="12" t="n">
        <f aca="false">G439^(-1/B439)-1</f>
        <v>0.0516502500000002</v>
      </c>
      <c r="I439" s="12" t="n">
        <f aca="false">(1+H439)^(1/12)-1</f>
        <v>0.00420553496807585</v>
      </c>
      <c r="J439" s="16" t="n">
        <f aca="false">IF(C439=0,(1+Dic2023!$M$6)^(-B439),EXP(LN(INDEX(Dic2023!$N$6:$N$205,C439))+(LN(INDEX(Dic2023!$N$6:$N$205,MIN(C439+1,200)))-LN(INDEX(Dic2023!$N$6:$N$205,C439)))*(A439-6*C439)/6))</f>
        <v>0.161125511456057</v>
      </c>
      <c r="K439" s="12" t="n">
        <f aca="false">J439^(-1/B439)-1</f>
        <v>0.0516502500000002</v>
      </c>
      <c r="L439" s="12" t="n">
        <f aca="false">(1+K439)^(1/12)-1</f>
        <v>0.00420553496807585</v>
      </c>
    </row>
    <row r="440" customFormat="false" ht="15" hidden="false" customHeight="false" outlineLevel="0" collapsed="false">
      <c r="A440" s="4" t="n">
        <v>436</v>
      </c>
      <c r="B440" s="14" t="n">
        <f aca="false">A440/12</f>
        <v>36.3333333333333</v>
      </c>
      <c r="C440" s="15" t="n">
        <f aca="false">INT(A440/6)</f>
        <v>72</v>
      </c>
      <c r="D440" s="16" t="n">
        <f aca="false">IF(C440=0,(1+Dic2023!$G$6)^(-B440),EXP(LN(INDEX(Dic2023!$H$6:$H$205,C440))+(LN(INDEX(Dic2023!$H$6:$H$205,MIN(C440+1,200)))-LN(INDEX(Dic2023!$H$6:$H$205,C440)))*(A440-6*C440)/6))</f>
        <v>0.160450730299131</v>
      </c>
      <c r="E440" s="12" t="n">
        <f aca="false">D440^(-1/B440)-1</f>
        <v>0.0516502500000002</v>
      </c>
      <c r="F440" s="12" t="n">
        <f aca="false">(1+E440)^(1/12)-1</f>
        <v>0.00420553496807585</v>
      </c>
      <c r="G440" s="16" t="n">
        <f aca="false">IF(C440=0,(1+Dic2023!$J$6)^(-B440),EXP(LN(INDEX(Dic2023!$K$6:$K$205,C440))+(LN(INDEX(Dic2023!$K$6:$K$205,MIN(C440+1,200)))-LN(INDEX(Dic2023!$K$6:$K$205,C440)))*(A440-6*C440)/6))</f>
        <v>0.160450730299131</v>
      </c>
      <c r="H440" s="12" t="n">
        <f aca="false">G440^(-1/B440)-1</f>
        <v>0.0516502500000002</v>
      </c>
      <c r="I440" s="12" t="n">
        <f aca="false">(1+H440)^(1/12)-1</f>
        <v>0.00420553496807585</v>
      </c>
      <c r="J440" s="16" t="n">
        <f aca="false">IF(C440=0,(1+Dic2023!$M$6)^(-B440),EXP(LN(INDEX(Dic2023!$N$6:$N$205,C440))+(LN(INDEX(Dic2023!$N$6:$N$205,MIN(C440+1,200)))-LN(INDEX(Dic2023!$N$6:$N$205,C440)))*(A440-6*C440)/6))</f>
        <v>0.160450730299131</v>
      </c>
      <c r="K440" s="12" t="n">
        <f aca="false">J440^(-1/B440)-1</f>
        <v>0.0516502500000002</v>
      </c>
      <c r="L440" s="12" t="n">
        <f aca="false">(1+K440)^(1/12)-1</f>
        <v>0.00420553496807585</v>
      </c>
    </row>
    <row r="441" customFormat="false" ht="15" hidden="false" customHeight="false" outlineLevel="0" collapsed="false">
      <c r="A441" s="4" t="n">
        <v>437</v>
      </c>
      <c r="B441" s="14" t="n">
        <f aca="false">A441/12</f>
        <v>36.4166666666667</v>
      </c>
      <c r="C441" s="15" t="n">
        <f aca="false">INT(A441/6)</f>
        <v>72</v>
      </c>
      <c r="D441" s="16" t="n">
        <f aca="false">IF(C441=0,(1+Dic2023!$G$6)^(-B441),EXP(LN(INDEX(Dic2023!$H$6:$H$205,C441))+(LN(INDEX(Dic2023!$H$6:$H$205,MIN(C441+1,200)))-LN(INDEX(Dic2023!$H$6:$H$205,C441)))*(A441-6*C441)/6))</f>
        <v>0.159778775073403</v>
      </c>
      <c r="E441" s="12" t="n">
        <f aca="false">D441^(-1/B441)-1</f>
        <v>0.0516502500000002</v>
      </c>
      <c r="F441" s="12" t="n">
        <f aca="false">(1+E441)^(1/12)-1</f>
        <v>0.00420553496807585</v>
      </c>
      <c r="G441" s="16" t="n">
        <f aca="false">IF(C441=0,(1+Dic2023!$J$6)^(-B441),EXP(LN(INDEX(Dic2023!$K$6:$K$205,C441))+(LN(INDEX(Dic2023!$K$6:$K$205,MIN(C441+1,200)))-LN(INDEX(Dic2023!$K$6:$K$205,C441)))*(A441-6*C441)/6))</f>
        <v>0.159778775073403</v>
      </c>
      <c r="H441" s="12" t="n">
        <f aca="false">G441^(-1/B441)-1</f>
        <v>0.0516502500000002</v>
      </c>
      <c r="I441" s="12" t="n">
        <f aca="false">(1+H441)^(1/12)-1</f>
        <v>0.00420553496807585</v>
      </c>
      <c r="J441" s="16" t="n">
        <f aca="false">IF(C441=0,(1+Dic2023!$M$6)^(-B441),EXP(LN(INDEX(Dic2023!$N$6:$N$205,C441))+(LN(INDEX(Dic2023!$N$6:$N$205,MIN(C441+1,200)))-LN(INDEX(Dic2023!$N$6:$N$205,C441)))*(A441-6*C441)/6))</f>
        <v>0.159778775073403</v>
      </c>
      <c r="K441" s="12" t="n">
        <f aca="false">J441^(-1/B441)-1</f>
        <v>0.0516502500000002</v>
      </c>
      <c r="L441" s="12" t="n">
        <f aca="false">(1+K441)^(1/12)-1</f>
        <v>0.00420553496807585</v>
      </c>
    </row>
    <row r="442" customFormat="false" ht="15" hidden="false" customHeight="false" outlineLevel="0" collapsed="false">
      <c r="A442" s="4" t="n">
        <v>438</v>
      </c>
      <c r="B442" s="14" t="n">
        <f aca="false">A442/12</f>
        <v>36.5</v>
      </c>
      <c r="C442" s="15" t="n">
        <f aca="false">INT(A442/6)</f>
        <v>73</v>
      </c>
      <c r="D442" s="16" t="n">
        <f aca="false">IF(C442=0,(1+Dic2023!$G$6)^(-B442),EXP(LN(INDEX(Dic2023!$H$6:$H$205,C442))+(LN(INDEX(Dic2023!$H$6:$H$205,MIN(C442+1,200)))-LN(INDEX(Dic2023!$H$6:$H$205,C442)))*(A442-6*C442)/6))</f>
        <v>0.159109633944094</v>
      </c>
      <c r="E442" s="12" t="n">
        <f aca="false">D442^(-1/B442)-1</f>
        <v>0.0516502500000002</v>
      </c>
      <c r="F442" s="12" t="n">
        <f aca="false">(1+E442)^(1/12)-1</f>
        <v>0.00420553496807585</v>
      </c>
      <c r="G442" s="16" t="n">
        <f aca="false">IF(C442=0,(1+Dic2023!$J$6)^(-B442),EXP(LN(INDEX(Dic2023!$K$6:$K$205,C442))+(LN(INDEX(Dic2023!$K$6:$K$205,MIN(C442+1,200)))-LN(INDEX(Dic2023!$K$6:$K$205,C442)))*(A442-6*C442)/6))</f>
        <v>0.159109633944094</v>
      </c>
      <c r="H442" s="12" t="n">
        <f aca="false">G442^(-1/B442)-1</f>
        <v>0.0516502500000002</v>
      </c>
      <c r="I442" s="12" t="n">
        <f aca="false">(1+H442)^(1/12)-1</f>
        <v>0.00420553496807585</v>
      </c>
      <c r="J442" s="16" t="n">
        <f aca="false">IF(C442=0,(1+Dic2023!$M$6)^(-B442),EXP(LN(INDEX(Dic2023!$N$6:$N$205,C442))+(LN(INDEX(Dic2023!$N$6:$N$205,MIN(C442+1,200)))-LN(INDEX(Dic2023!$N$6:$N$205,C442)))*(A442-6*C442)/6))</f>
        <v>0.159109633944094</v>
      </c>
      <c r="K442" s="12" t="n">
        <f aca="false">J442^(-1/B442)-1</f>
        <v>0.0516502500000002</v>
      </c>
      <c r="L442" s="12" t="n">
        <f aca="false">(1+K442)^(1/12)-1</f>
        <v>0.00420553496807585</v>
      </c>
    </row>
    <row r="443" customFormat="false" ht="15" hidden="false" customHeight="false" outlineLevel="0" collapsed="false">
      <c r="A443" s="4" t="n">
        <v>439</v>
      </c>
      <c r="B443" s="14" t="n">
        <f aca="false">A443/12</f>
        <v>36.5833333333333</v>
      </c>
      <c r="C443" s="15" t="n">
        <f aca="false">INT(A443/6)</f>
        <v>73</v>
      </c>
      <c r="D443" s="16" t="n">
        <f aca="false">IF(C443=0,(1+Dic2023!$G$6)^(-B443),EXP(LN(INDEX(Dic2023!$H$6:$H$205,C443))+(LN(INDEX(Dic2023!$H$6:$H$205,MIN(C443+1,200)))-LN(INDEX(Dic2023!$H$6:$H$205,C443)))*(A443-6*C443)/6))</f>
        <v>0.158443295125984</v>
      </c>
      <c r="E443" s="12" t="n">
        <f aca="false">D443^(-1/B443)-1</f>
        <v>0.0516502500000002</v>
      </c>
      <c r="F443" s="12" t="n">
        <f aca="false">(1+E443)^(1/12)-1</f>
        <v>0.00420553496807585</v>
      </c>
      <c r="G443" s="16" t="n">
        <f aca="false">IF(C443=0,(1+Dic2023!$J$6)^(-B443),EXP(LN(INDEX(Dic2023!$K$6:$K$205,C443))+(LN(INDEX(Dic2023!$K$6:$K$205,MIN(C443+1,200)))-LN(INDEX(Dic2023!$K$6:$K$205,C443)))*(A443-6*C443)/6))</f>
        <v>0.158443295125984</v>
      </c>
      <c r="H443" s="12" t="n">
        <f aca="false">G443^(-1/B443)-1</f>
        <v>0.0516502500000002</v>
      </c>
      <c r="I443" s="12" t="n">
        <f aca="false">(1+H443)^(1/12)-1</f>
        <v>0.00420553496807585</v>
      </c>
      <c r="J443" s="16" t="n">
        <f aca="false">IF(C443=0,(1+Dic2023!$M$6)^(-B443),EXP(LN(INDEX(Dic2023!$N$6:$N$205,C443))+(LN(INDEX(Dic2023!$N$6:$N$205,MIN(C443+1,200)))-LN(INDEX(Dic2023!$N$6:$N$205,C443)))*(A443-6*C443)/6))</f>
        <v>0.158443295125984</v>
      </c>
      <c r="K443" s="12" t="n">
        <f aca="false">J443^(-1/B443)-1</f>
        <v>0.0516502500000002</v>
      </c>
      <c r="L443" s="12" t="n">
        <f aca="false">(1+K443)^(1/12)-1</f>
        <v>0.00420553496807585</v>
      </c>
    </row>
    <row r="444" customFormat="false" ht="15" hidden="false" customHeight="false" outlineLevel="0" collapsed="false">
      <c r="A444" s="4" t="n">
        <v>440</v>
      </c>
      <c r="B444" s="14" t="n">
        <f aca="false">A444/12</f>
        <v>36.6666666666667</v>
      </c>
      <c r="C444" s="15" t="n">
        <f aca="false">INT(A444/6)</f>
        <v>73</v>
      </c>
      <c r="D444" s="16" t="n">
        <f aca="false">IF(C444=0,(1+Dic2023!$G$6)^(-B444),EXP(LN(INDEX(Dic2023!$H$6:$H$205,C444))+(LN(INDEX(Dic2023!$H$6:$H$205,MIN(C444+1,200)))-LN(INDEX(Dic2023!$H$6:$H$205,C444)))*(A444-6*C444)/6))</f>
        <v>0.157779746883213</v>
      </c>
      <c r="E444" s="12" t="n">
        <f aca="false">D444^(-1/B444)-1</f>
        <v>0.0516502500000002</v>
      </c>
      <c r="F444" s="12" t="n">
        <f aca="false">(1+E444)^(1/12)-1</f>
        <v>0.00420553496807585</v>
      </c>
      <c r="G444" s="16" t="n">
        <f aca="false">IF(C444=0,(1+Dic2023!$J$6)^(-B444),EXP(LN(INDEX(Dic2023!$K$6:$K$205,C444))+(LN(INDEX(Dic2023!$K$6:$K$205,MIN(C444+1,200)))-LN(INDEX(Dic2023!$K$6:$K$205,C444)))*(A444-6*C444)/6))</f>
        <v>0.157779746883213</v>
      </c>
      <c r="H444" s="12" t="n">
        <f aca="false">G444^(-1/B444)-1</f>
        <v>0.0516502500000002</v>
      </c>
      <c r="I444" s="12" t="n">
        <f aca="false">(1+H444)^(1/12)-1</f>
        <v>0.00420553496807585</v>
      </c>
      <c r="J444" s="16" t="n">
        <f aca="false">IF(C444=0,(1+Dic2023!$M$6)^(-B444),EXP(LN(INDEX(Dic2023!$N$6:$N$205,C444))+(LN(INDEX(Dic2023!$N$6:$N$205,MIN(C444+1,200)))-LN(INDEX(Dic2023!$N$6:$N$205,C444)))*(A444-6*C444)/6))</f>
        <v>0.157779746883213</v>
      </c>
      <c r="K444" s="12" t="n">
        <f aca="false">J444^(-1/B444)-1</f>
        <v>0.0516502500000002</v>
      </c>
      <c r="L444" s="12" t="n">
        <f aca="false">(1+K444)^(1/12)-1</f>
        <v>0.00420553496807585</v>
      </c>
    </row>
    <row r="445" customFormat="false" ht="15" hidden="false" customHeight="false" outlineLevel="0" collapsed="false">
      <c r="A445" s="4" t="n">
        <v>441</v>
      </c>
      <c r="B445" s="14" t="n">
        <f aca="false">A445/12</f>
        <v>36.75</v>
      </c>
      <c r="C445" s="15" t="n">
        <f aca="false">INT(A445/6)</f>
        <v>73</v>
      </c>
      <c r="D445" s="16" t="n">
        <f aca="false">IF(C445=0,(1+Dic2023!$G$6)^(-B445),EXP(LN(INDEX(Dic2023!$H$6:$H$205,C445))+(LN(INDEX(Dic2023!$H$6:$H$205,MIN(C445+1,200)))-LN(INDEX(Dic2023!$H$6:$H$205,C445)))*(A445-6*C445)/6))</f>
        <v>0.157118977529066</v>
      </c>
      <c r="E445" s="12" t="n">
        <f aca="false">D445^(-1/B445)-1</f>
        <v>0.0516502500000002</v>
      </c>
      <c r="F445" s="12" t="n">
        <f aca="false">(1+E445)^(1/12)-1</f>
        <v>0.00420553496807585</v>
      </c>
      <c r="G445" s="16" t="n">
        <f aca="false">IF(C445=0,(1+Dic2023!$J$6)^(-B445),EXP(LN(INDEX(Dic2023!$K$6:$K$205,C445))+(LN(INDEX(Dic2023!$K$6:$K$205,MIN(C445+1,200)))-LN(INDEX(Dic2023!$K$6:$K$205,C445)))*(A445-6*C445)/6))</f>
        <v>0.157118977529066</v>
      </c>
      <c r="H445" s="12" t="n">
        <f aca="false">G445^(-1/B445)-1</f>
        <v>0.0516502500000002</v>
      </c>
      <c r="I445" s="12" t="n">
        <f aca="false">(1+H445)^(1/12)-1</f>
        <v>0.00420553496807585</v>
      </c>
      <c r="J445" s="16" t="n">
        <f aca="false">IF(C445=0,(1+Dic2023!$M$6)^(-B445),EXP(LN(INDEX(Dic2023!$N$6:$N$205,C445))+(LN(INDEX(Dic2023!$N$6:$N$205,MIN(C445+1,200)))-LN(INDEX(Dic2023!$N$6:$N$205,C445)))*(A445-6*C445)/6))</f>
        <v>0.157118977529066</v>
      </c>
      <c r="K445" s="12" t="n">
        <f aca="false">J445^(-1/B445)-1</f>
        <v>0.0516502500000002</v>
      </c>
      <c r="L445" s="12" t="n">
        <f aca="false">(1+K445)^(1/12)-1</f>
        <v>0.00420553496807585</v>
      </c>
    </row>
    <row r="446" customFormat="false" ht="15" hidden="false" customHeight="false" outlineLevel="0" collapsed="false">
      <c r="A446" s="4" t="n">
        <v>442</v>
      </c>
      <c r="B446" s="14" t="n">
        <f aca="false">A446/12</f>
        <v>36.8333333333333</v>
      </c>
      <c r="C446" s="15" t="n">
        <f aca="false">INT(A446/6)</f>
        <v>73</v>
      </c>
      <c r="D446" s="16" t="n">
        <f aca="false">IF(C446=0,(1+Dic2023!$G$6)^(-B446),EXP(LN(INDEX(Dic2023!$H$6:$H$205,C446))+(LN(INDEX(Dic2023!$H$6:$H$205,MIN(C446+1,200)))-LN(INDEX(Dic2023!$H$6:$H$205,C446)))*(A446-6*C446)/6))</f>
        <v>0.156460975425774</v>
      </c>
      <c r="E446" s="12" t="n">
        <f aca="false">D446^(-1/B446)-1</f>
        <v>0.0516502500000002</v>
      </c>
      <c r="F446" s="12" t="n">
        <f aca="false">(1+E446)^(1/12)-1</f>
        <v>0.00420553496807585</v>
      </c>
      <c r="G446" s="16" t="n">
        <f aca="false">IF(C446=0,(1+Dic2023!$J$6)^(-B446),EXP(LN(INDEX(Dic2023!$K$6:$K$205,C446))+(LN(INDEX(Dic2023!$K$6:$K$205,MIN(C446+1,200)))-LN(INDEX(Dic2023!$K$6:$K$205,C446)))*(A446-6*C446)/6))</f>
        <v>0.156460975425774</v>
      </c>
      <c r="H446" s="12" t="n">
        <f aca="false">G446^(-1/B446)-1</f>
        <v>0.0516502500000002</v>
      </c>
      <c r="I446" s="12" t="n">
        <f aca="false">(1+H446)^(1/12)-1</f>
        <v>0.00420553496807585</v>
      </c>
      <c r="J446" s="16" t="n">
        <f aca="false">IF(C446=0,(1+Dic2023!$M$6)^(-B446),EXP(LN(INDEX(Dic2023!$N$6:$N$205,C446))+(LN(INDEX(Dic2023!$N$6:$N$205,MIN(C446+1,200)))-LN(INDEX(Dic2023!$N$6:$N$205,C446)))*(A446-6*C446)/6))</f>
        <v>0.156460975425774</v>
      </c>
      <c r="K446" s="12" t="n">
        <f aca="false">J446^(-1/B446)-1</f>
        <v>0.0516502500000002</v>
      </c>
      <c r="L446" s="12" t="n">
        <f aca="false">(1+K446)^(1/12)-1</f>
        <v>0.00420553496807585</v>
      </c>
    </row>
    <row r="447" customFormat="false" ht="15" hidden="false" customHeight="false" outlineLevel="0" collapsed="false">
      <c r="A447" s="4" t="n">
        <v>443</v>
      </c>
      <c r="B447" s="14" t="n">
        <f aca="false">A447/12</f>
        <v>36.9166666666667</v>
      </c>
      <c r="C447" s="15" t="n">
        <f aca="false">INT(A447/6)</f>
        <v>73</v>
      </c>
      <c r="D447" s="16" t="n">
        <f aca="false">IF(C447=0,(1+Dic2023!$G$6)^(-B447),EXP(LN(INDEX(Dic2023!$H$6:$H$205,C447))+(LN(INDEX(Dic2023!$H$6:$H$205,MIN(C447+1,200)))-LN(INDEX(Dic2023!$H$6:$H$205,C447)))*(A447-6*C447)/6))</f>
        <v>0.155805728984304</v>
      </c>
      <c r="E447" s="12" t="n">
        <f aca="false">D447^(-1/B447)-1</f>
        <v>0.0516502500000002</v>
      </c>
      <c r="F447" s="12" t="n">
        <f aca="false">(1+E447)^(1/12)-1</f>
        <v>0.00420553496807585</v>
      </c>
      <c r="G447" s="16" t="n">
        <f aca="false">IF(C447=0,(1+Dic2023!$J$6)^(-B447),EXP(LN(INDEX(Dic2023!$K$6:$K$205,C447))+(LN(INDEX(Dic2023!$K$6:$K$205,MIN(C447+1,200)))-LN(INDEX(Dic2023!$K$6:$K$205,C447)))*(A447-6*C447)/6))</f>
        <v>0.155805728984304</v>
      </c>
      <c r="H447" s="12" t="n">
        <f aca="false">G447^(-1/B447)-1</f>
        <v>0.0516502500000002</v>
      </c>
      <c r="I447" s="12" t="n">
        <f aca="false">(1+H447)^(1/12)-1</f>
        <v>0.00420553496807585</v>
      </c>
      <c r="J447" s="16" t="n">
        <f aca="false">IF(C447=0,(1+Dic2023!$M$6)^(-B447),EXP(LN(INDEX(Dic2023!$N$6:$N$205,C447))+(LN(INDEX(Dic2023!$N$6:$N$205,MIN(C447+1,200)))-LN(INDEX(Dic2023!$N$6:$N$205,C447)))*(A447-6*C447)/6))</f>
        <v>0.155805728984304</v>
      </c>
      <c r="K447" s="12" t="n">
        <f aca="false">J447^(-1/B447)-1</f>
        <v>0.0516502500000002</v>
      </c>
      <c r="L447" s="12" t="n">
        <f aca="false">(1+K447)^(1/12)-1</f>
        <v>0.00420553496807585</v>
      </c>
    </row>
    <row r="448" customFormat="false" ht="15" hidden="false" customHeight="false" outlineLevel="0" collapsed="false">
      <c r="A448" s="4" t="n">
        <v>444</v>
      </c>
      <c r="B448" s="14" t="n">
        <f aca="false">A448/12</f>
        <v>37</v>
      </c>
      <c r="C448" s="15" t="n">
        <f aca="false">INT(A448/6)</f>
        <v>74</v>
      </c>
      <c r="D448" s="16" t="n">
        <f aca="false">IF(C448=0,(1+Dic2023!$G$6)^(-B448),EXP(LN(INDEX(Dic2023!$H$6:$H$205,C448))+(LN(INDEX(Dic2023!$H$6:$H$205,MIN(C448+1,200)))-LN(INDEX(Dic2023!$H$6:$H$205,C448)))*(A448-6*C448)/6))</f>
        <v>0.155153226664158</v>
      </c>
      <c r="E448" s="12" t="n">
        <f aca="false">D448^(-1/B448)-1</f>
        <v>0.0516502500000002</v>
      </c>
      <c r="F448" s="12" t="n">
        <f aca="false">(1+E448)^(1/12)-1</f>
        <v>0.00420553496807585</v>
      </c>
      <c r="G448" s="16" t="n">
        <f aca="false">IF(C448=0,(1+Dic2023!$J$6)^(-B448),EXP(LN(INDEX(Dic2023!$K$6:$K$205,C448))+(LN(INDEX(Dic2023!$K$6:$K$205,MIN(C448+1,200)))-LN(INDEX(Dic2023!$K$6:$K$205,C448)))*(A448-6*C448)/6))</f>
        <v>0.155153226664158</v>
      </c>
      <c r="H448" s="12" t="n">
        <f aca="false">G448^(-1/B448)-1</f>
        <v>0.0516502500000002</v>
      </c>
      <c r="I448" s="12" t="n">
        <f aca="false">(1+H448)^(1/12)-1</f>
        <v>0.00420553496807585</v>
      </c>
      <c r="J448" s="16" t="n">
        <f aca="false">IF(C448=0,(1+Dic2023!$M$6)^(-B448),EXP(LN(INDEX(Dic2023!$N$6:$N$205,C448))+(LN(INDEX(Dic2023!$N$6:$N$205,MIN(C448+1,200)))-LN(INDEX(Dic2023!$N$6:$N$205,C448)))*(A448-6*C448)/6))</f>
        <v>0.155153226664158</v>
      </c>
      <c r="K448" s="12" t="n">
        <f aca="false">J448^(-1/B448)-1</f>
        <v>0.0516502500000002</v>
      </c>
      <c r="L448" s="12" t="n">
        <f aca="false">(1+K448)^(1/12)-1</f>
        <v>0.00420553496807585</v>
      </c>
    </row>
    <row r="449" customFormat="false" ht="15" hidden="false" customHeight="false" outlineLevel="0" collapsed="false">
      <c r="A449" s="4" t="n">
        <v>445</v>
      </c>
      <c r="B449" s="14" t="n">
        <f aca="false">A449/12</f>
        <v>37.0833333333333</v>
      </c>
      <c r="C449" s="15" t="n">
        <f aca="false">INT(A449/6)</f>
        <v>74</v>
      </c>
      <c r="D449" s="16" t="n">
        <f aca="false">IF(C449=0,(1+Dic2023!$G$6)^(-B449),EXP(LN(INDEX(Dic2023!$H$6:$H$205,C449))+(LN(INDEX(Dic2023!$H$6:$H$205,MIN(C449+1,200)))-LN(INDEX(Dic2023!$H$6:$H$205,C449)))*(A449-6*C449)/6))</f>
        <v>0.154503456973168</v>
      </c>
      <c r="E449" s="12" t="n">
        <f aca="false">D449^(-1/B449)-1</f>
        <v>0.0516502500000002</v>
      </c>
      <c r="F449" s="12" t="n">
        <f aca="false">(1+E449)^(1/12)-1</f>
        <v>0.00420553496807585</v>
      </c>
      <c r="G449" s="16" t="n">
        <f aca="false">IF(C449=0,(1+Dic2023!$J$6)^(-B449),EXP(LN(INDEX(Dic2023!$K$6:$K$205,C449))+(LN(INDEX(Dic2023!$K$6:$K$205,MIN(C449+1,200)))-LN(INDEX(Dic2023!$K$6:$K$205,C449)))*(A449-6*C449)/6))</f>
        <v>0.154503456973168</v>
      </c>
      <c r="H449" s="12" t="n">
        <f aca="false">G449^(-1/B449)-1</f>
        <v>0.0516502500000002</v>
      </c>
      <c r="I449" s="12" t="n">
        <f aca="false">(1+H449)^(1/12)-1</f>
        <v>0.00420553496807585</v>
      </c>
      <c r="J449" s="16" t="n">
        <f aca="false">IF(C449=0,(1+Dic2023!$M$6)^(-B449),EXP(LN(INDEX(Dic2023!$N$6:$N$205,C449))+(LN(INDEX(Dic2023!$N$6:$N$205,MIN(C449+1,200)))-LN(INDEX(Dic2023!$N$6:$N$205,C449)))*(A449-6*C449)/6))</f>
        <v>0.154503456973168</v>
      </c>
      <c r="K449" s="12" t="n">
        <f aca="false">J449^(-1/B449)-1</f>
        <v>0.0516502500000002</v>
      </c>
      <c r="L449" s="12" t="n">
        <f aca="false">(1+K449)^(1/12)-1</f>
        <v>0.00420553496807585</v>
      </c>
    </row>
    <row r="450" customFormat="false" ht="15" hidden="false" customHeight="false" outlineLevel="0" collapsed="false">
      <c r="A450" s="4" t="n">
        <v>446</v>
      </c>
      <c r="B450" s="14" t="n">
        <f aca="false">A450/12</f>
        <v>37.1666666666667</v>
      </c>
      <c r="C450" s="15" t="n">
        <f aca="false">INT(A450/6)</f>
        <v>74</v>
      </c>
      <c r="D450" s="16" t="n">
        <f aca="false">IF(C450=0,(1+Dic2023!$G$6)^(-B450),EXP(LN(INDEX(Dic2023!$H$6:$H$205,C450))+(LN(INDEX(Dic2023!$H$6:$H$205,MIN(C450+1,200)))-LN(INDEX(Dic2023!$H$6:$H$205,C450)))*(A450-6*C450)/6))</f>
        <v>0.153856408467297</v>
      </c>
      <c r="E450" s="12" t="n">
        <f aca="false">D450^(-1/B450)-1</f>
        <v>0.0516502500000002</v>
      </c>
      <c r="F450" s="12" t="n">
        <f aca="false">(1+E450)^(1/12)-1</f>
        <v>0.00420553496807585</v>
      </c>
      <c r="G450" s="16" t="n">
        <f aca="false">IF(C450=0,(1+Dic2023!$J$6)^(-B450),EXP(LN(INDEX(Dic2023!$K$6:$K$205,C450))+(LN(INDEX(Dic2023!$K$6:$K$205,MIN(C450+1,200)))-LN(INDEX(Dic2023!$K$6:$K$205,C450)))*(A450-6*C450)/6))</f>
        <v>0.153856408467297</v>
      </c>
      <c r="H450" s="12" t="n">
        <f aca="false">G450^(-1/B450)-1</f>
        <v>0.0516502500000002</v>
      </c>
      <c r="I450" s="12" t="n">
        <f aca="false">(1+H450)^(1/12)-1</f>
        <v>0.00420553496807585</v>
      </c>
      <c r="J450" s="16" t="n">
        <f aca="false">IF(C450=0,(1+Dic2023!$M$6)^(-B450),EXP(LN(INDEX(Dic2023!$N$6:$N$205,C450))+(LN(INDEX(Dic2023!$N$6:$N$205,MIN(C450+1,200)))-LN(INDEX(Dic2023!$N$6:$N$205,C450)))*(A450-6*C450)/6))</f>
        <v>0.153856408467297</v>
      </c>
      <c r="K450" s="12" t="n">
        <f aca="false">J450^(-1/B450)-1</f>
        <v>0.0516502500000002</v>
      </c>
      <c r="L450" s="12" t="n">
        <f aca="false">(1+K450)^(1/12)-1</f>
        <v>0.00420553496807585</v>
      </c>
    </row>
    <row r="451" customFormat="false" ht="15" hidden="false" customHeight="false" outlineLevel="0" collapsed="false">
      <c r="A451" s="4" t="n">
        <v>447</v>
      </c>
      <c r="B451" s="14" t="n">
        <f aca="false">A451/12</f>
        <v>37.25</v>
      </c>
      <c r="C451" s="15" t="n">
        <f aca="false">INT(A451/6)</f>
        <v>74</v>
      </c>
      <c r="D451" s="16" t="n">
        <f aca="false">IF(C451=0,(1+Dic2023!$G$6)^(-B451),EXP(LN(INDEX(Dic2023!$H$6:$H$205,C451))+(LN(INDEX(Dic2023!$H$6:$H$205,MIN(C451+1,200)))-LN(INDEX(Dic2023!$H$6:$H$205,C451)))*(A451-6*C451)/6))</f>
        <v>0.15321206975043</v>
      </c>
      <c r="E451" s="12" t="n">
        <f aca="false">D451^(-1/B451)-1</f>
        <v>0.0516502500000002</v>
      </c>
      <c r="F451" s="12" t="n">
        <f aca="false">(1+E451)^(1/12)-1</f>
        <v>0.00420553496807585</v>
      </c>
      <c r="G451" s="16" t="n">
        <f aca="false">IF(C451=0,(1+Dic2023!$J$6)^(-B451),EXP(LN(INDEX(Dic2023!$K$6:$K$205,C451))+(LN(INDEX(Dic2023!$K$6:$K$205,MIN(C451+1,200)))-LN(INDEX(Dic2023!$K$6:$K$205,C451)))*(A451-6*C451)/6))</f>
        <v>0.15321206975043</v>
      </c>
      <c r="H451" s="12" t="n">
        <f aca="false">G451^(-1/B451)-1</f>
        <v>0.0516502500000002</v>
      </c>
      <c r="I451" s="12" t="n">
        <f aca="false">(1+H451)^(1/12)-1</f>
        <v>0.00420553496807585</v>
      </c>
      <c r="J451" s="16" t="n">
        <f aca="false">IF(C451=0,(1+Dic2023!$M$6)^(-B451),EXP(LN(INDEX(Dic2023!$N$6:$N$205,C451))+(LN(INDEX(Dic2023!$N$6:$N$205,MIN(C451+1,200)))-LN(INDEX(Dic2023!$N$6:$N$205,C451)))*(A451-6*C451)/6))</f>
        <v>0.15321206975043</v>
      </c>
      <c r="K451" s="12" t="n">
        <f aca="false">J451^(-1/B451)-1</f>
        <v>0.0516502500000002</v>
      </c>
      <c r="L451" s="12" t="n">
        <f aca="false">(1+K451)^(1/12)-1</f>
        <v>0.00420553496807585</v>
      </c>
    </row>
    <row r="452" customFormat="false" ht="15" hidden="false" customHeight="false" outlineLevel="0" collapsed="false">
      <c r="A452" s="4" t="n">
        <v>448</v>
      </c>
      <c r="B452" s="14" t="n">
        <f aca="false">A452/12</f>
        <v>37.3333333333333</v>
      </c>
      <c r="C452" s="15" t="n">
        <f aca="false">INT(A452/6)</f>
        <v>74</v>
      </c>
      <c r="D452" s="16" t="n">
        <f aca="false">IF(C452=0,(1+Dic2023!$G$6)^(-B452),EXP(LN(INDEX(Dic2023!$H$6:$H$205,C452))+(LN(INDEX(Dic2023!$H$6:$H$205,MIN(C452+1,200)))-LN(INDEX(Dic2023!$H$6:$H$205,C452)))*(A452-6*C452)/6))</f>
        <v>0.152570429474182</v>
      </c>
      <c r="E452" s="12" t="n">
        <f aca="false">D452^(-1/B452)-1</f>
        <v>0.0516502500000002</v>
      </c>
      <c r="F452" s="12" t="n">
        <f aca="false">(1+E452)^(1/12)-1</f>
        <v>0.00420553496807585</v>
      </c>
      <c r="G452" s="16" t="n">
        <f aca="false">IF(C452=0,(1+Dic2023!$J$6)^(-B452),EXP(LN(INDEX(Dic2023!$K$6:$K$205,C452))+(LN(INDEX(Dic2023!$K$6:$K$205,MIN(C452+1,200)))-LN(INDEX(Dic2023!$K$6:$K$205,C452)))*(A452-6*C452)/6))</f>
        <v>0.152570429474182</v>
      </c>
      <c r="H452" s="12" t="n">
        <f aca="false">G452^(-1/B452)-1</f>
        <v>0.0516502500000002</v>
      </c>
      <c r="I452" s="12" t="n">
        <f aca="false">(1+H452)^(1/12)-1</f>
        <v>0.00420553496807585</v>
      </c>
      <c r="J452" s="16" t="n">
        <f aca="false">IF(C452=0,(1+Dic2023!$M$6)^(-B452),EXP(LN(INDEX(Dic2023!$N$6:$N$205,C452))+(LN(INDEX(Dic2023!$N$6:$N$205,MIN(C452+1,200)))-LN(INDEX(Dic2023!$N$6:$N$205,C452)))*(A452-6*C452)/6))</f>
        <v>0.152570429474182</v>
      </c>
      <c r="K452" s="12" t="n">
        <f aca="false">J452^(-1/B452)-1</f>
        <v>0.0516502500000002</v>
      </c>
      <c r="L452" s="12" t="n">
        <f aca="false">(1+K452)^(1/12)-1</f>
        <v>0.00420553496807585</v>
      </c>
    </row>
    <row r="453" customFormat="false" ht="15" hidden="false" customHeight="false" outlineLevel="0" collapsed="false">
      <c r="A453" s="4" t="n">
        <v>449</v>
      </c>
      <c r="B453" s="14" t="n">
        <f aca="false">A453/12</f>
        <v>37.4166666666667</v>
      </c>
      <c r="C453" s="15" t="n">
        <f aca="false">INT(A453/6)</f>
        <v>74</v>
      </c>
      <c r="D453" s="16" t="n">
        <f aca="false">IF(C453=0,(1+Dic2023!$G$6)^(-B453),EXP(LN(INDEX(Dic2023!$H$6:$H$205,C453))+(LN(INDEX(Dic2023!$H$6:$H$205,MIN(C453+1,200)))-LN(INDEX(Dic2023!$H$6:$H$205,C453)))*(A453-6*C453)/6))</f>
        <v>0.151931476337692</v>
      </c>
      <c r="E453" s="12" t="n">
        <f aca="false">D453^(-1/B453)-1</f>
        <v>0.0516502500000002</v>
      </c>
      <c r="F453" s="12" t="n">
        <f aca="false">(1+E453)^(1/12)-1</f>
        <v>0.00420553496807585</v>
      </c>
      <c r="G453" s="16" t="n">
        <f aca="false">IF(C453=0,(1+Dic2023!$J$6)^(-B453),EXP(LN(INDEX(Dic2023!$K$6:$K$205,C453))+(LN(INDEX(Dic2023!$K$6:$K$205,MIN(C453+1,200)))-LN(INDEX(Dic2023!$K$6:$K$205,C453)))*(A453-6*C453)/6))</f>
        <v>0.151931476337692</v>
      </c>
      <c r="H453" s="12" t="n">
        <f aca="false">G453^(-1/B453)-1</f>
        <v>0.0516502500000002</v>
      </c>
      <c r="I453" s="12" t="n">
        <f aca="false">(1+H453)^(1/12)-1</f>
        <v>0.00420553496807585</v>
      </c>
      <c r="J453" s="16" t="n">
        <f aca="false">IF(C453=0,(1+Dic2023!$M$6)^(-B453),EXP(LN(INDEX(Dic2023!$N$6:$N$205,C453))+(LN(INDEX(Dic2023!$N$6:$N$205,MIN(C453+1,200)))-LN(INDEX(Dic2023!$N$6:$N$205,C453)))*(A453-6*C453)/6))</f>
        <v>0.151931476337692</v>
      </c>
      <c r="K453" s="12" t="n">
        <f aca="false">J453^(-1/B453)-1</f>
        <v>0.0516502500000002</v>
      </c>
      <c r="L453" s="12" t="n">
        <f aca="false">(1+K453)^(1/12)-1</f>
        <v>0.00420553496807585</v>
      </c>
    </row>
    <row r="454" customFormat="false" ht="15" hidden="false" customHeight="false" outlineLevel="0" collapsed="false">
      <c r="A454" s="4" t="n">
        <v>450</v>
      </c>
      <c r="B454" s="14" t="n">
        <f aca="false">A454/12</f>
        <v>37.5</v>
      </c>
      <c r="C454" s="15" t="n">
        <f aca="false">INT(A454/6)</f>
        <v>75</v>
      </c>
      <c r="D454" s="16" t="n">
        <f aca="false">IF(C454=0,(1+Dic2023!$G$6)^(-B454),EXP(LN(INDEX(Dic2023!$H$6:$H$205,C454))+(LN(INDEX(Dic2023!$H$6:$H$205,MIN(C454+1,200)))-LN(INDEX(Dic2023!$H$6:$H$205,C454)))*(A454-6*C454)/6))</f>
        <v>0.151295199087428</v>
      </c>
      <c r="E454" s="12" t="n">
        <f aca="false">D454^(-1/B454)-1</f>
        <v>0.0516502500000002</v>
      </c>
      <c r="F454" s="12" t="n">
        <f aca="false">(1+E454)^(1/12)-1</f>
        <v>0.00420553496807585</v>
      </c>
      <c r="G454" s="16" t="n">
        <f aca="false">IF(C454=0,(1+Dic2023!$J$6)^(-B454),EXP(LN(INDEX(Dic2023!$K$6:$K$205,C454))+(LN(INDEX(Dic2023!$K$6:$K$205,MIN(C454+1,200)))-LN(INDEX(Dic2023!$K$6:$K$205,C454)))*(A454-6*C454)/6))</f>
        <v>0.151295199087428</v>
      </c>
      <c r="H454" s="12" t="n">
        <f aca="false">G454^(-1/B454)-1</f>
        <v>0.0516502500000002</v>
      </c>
      <c r="I454" s="12" t="n">
        <f aca="false">(1+H454)^(1/12)-1</f>
        <v>0.00420553496807585</v>
      </c>
      <c r="J454" s="16" t="n">
        <f aca="false">IF(C454=0,(1+Dic2023!$M$6)^(-B454),EXP(LN(INDEX(Dic2023!$N$6:$N$205,C454))+(LN(INDEX(Dic2023!$N$6:$N$205,MIN(C454+1,200)))-LN(INDEX(Dic2023!$N$6:$N$205,C454)))*(A454-6*C454)/6))</f>
        <v>0.151295199087428</v>
      </c>
      <c r="K454" s="12" t="n">
        <f aca="false">J454^(-1/B454)-1</f>
        <v>0.0516502500000002</v>
      </c>
      <c r="L454" s="12" t="n">
        <f aca="false">(1+K454)^(1/12)-1</f>
        <v>0.00420553496807585</v>
      </c>
    </row>
    <row r="455" customFormat="false" ht="15" hidden="false" customHeight="false" outlineLevel="0" collapsed="false">
      <c r="A455" s="4" t="n">
        <v>451</v>
      </c>
      <c r="B455" s="14" t="n">
        <f aca="false">A455/12</f>
        <v>37.5833333333333</v>
      </c>
      <c r="C455" s="15" t="n">
        <f aca="false">INT(A455/6)</f>
        <v>75</v>
      </c>
      <c r="D455" s="16" t="n">
        <f aca="false">IF(C455=0,(1+Dic2023!$G$6)^(-B455),EXP(LN(INDEX(Dic2023!$H$6:$H$205,C455))+(LN(INDEX(Dic2023!$H$6:$H$205,MIN(C455+1,200)))-LN(INDEX(Dic2023!$H$6:$H$205,C455)))*(A455-6*C455)/6))</f>
        <v>0.150661586516985</v>
      </c>
      <c r="E455" s="12" t="n">
        <f aca="false">D455^(-1/B455)-1</f>
        <v>0.0516502500000002</v>
      </c>
      <c r="F455" s="12" t="n">
        <f aca="false">(1+E455)^(1/12)-1</f>
        <v>0.00420553496807585</v>
      </c>
      <c r="G455" s="16" t="n">
        <f aca="false">IF(C455=0,(1+Dic2023!$J$6)^(-B455),EXP(LN(INDEX(Dic2023!$K$6:$K$205,C455))+(LN(INDEX(Dic2023!$K$6:$K$205,MIN(C455+1,200)))-LN(INDEX(Dic2023!$K$6:$K$205,C455)))*(A455-6*C455)/6))</f>
        <v>0.150661586516985</v>
      </c>
      <c r="H455" s="12" t="n">
        <f aca="false">G455^(-1/B455)-1</f>
        <v>0.0516502500000002</v>
      </c>
      <c r="I455" s="12" t="n">
        <f aca="false">(1+H455)^(1/12)-1</f>
        <v>0.00420553496807585</v>
      </c>
      <c r="J455" s="16" t="n">
        <f aca="false">IF(C455=0,(1+Dic2023!$M$6)^(-B455),EXP(LN(INDEX(Dic2023!$N$6:$N$205,C455))+(LN(INDEX(Dic2023!$N$6:$N$205,MIN(C455+1,200)))-LN(INDEX(Dic2023!$N$6:$N$205,C455)))*(A455-6*C455)/6))</f>
        <v>0.150661586516985</v>
      </c>
      <c r="K455" s="12" t="n">
        <f aca="false">J455^(-1/B455)-1</f>
        <v>0.0516502500000002</v>
      </c>
      <c r="L455" s="12" t="n">
        <f aca="false">(1+K455)^(1/12)-1</f>
        <v>0.00420553496807585</v>
      </c>
    </row>
    <row r="456" customFormat="false" ht="15" hidden="false" customHeight="false" outlineLevel="0" collapsed="false">
      <c r="A456" s="4" t="n">
        <v>452</v>
      </c>
      <c r="B456" s="14" t="n">
        <f aca="false">A456/12</f>
        <v>37.6666666666667</v>
      </c>
      <c r="C456" s="15" t="n">
        <f aca="false">INT(A456/6)</f>
        <v>75</v>
      </c>
      <c r="D456" s="16" t="n">
        <f aca="false">IF(C456=0,(1+Dic2023!$G$6)^(-B456),EXP(LN(INDEX(Dic2023!$H$6:$H$205,C456))+(LN(INDEX(Dic2023!$H$6:$H$205,MIN(C456+1,200)))-LN(INDEX(Dic2023!$H$6:$H$205,C456)))*(A456-6*C456)/6))</f>
        <v>0.150030627466891</v>
      </c>
      <c r="E456" s="12" t="n">
        <f aca="false">D456^(-1/B456)-1</f>
        <v>0.0516502500000002</v>
      </c>
      <c r="F456" s="12" t="n">
        <f aca="false">(1+E456)^(1/12)-1</f>
        <v>0.00420553496807585</v>
      </c>
      <c r="G456" s="16" t="n">
        <f aca="false">IF(C456=0,(1+Dic2023!$J$6)^(-B456),EXP(LN(INDEX(Dic2023!$K$6:$K$205,C456))+(LN(INDEX(Dic2023!$K$6:$K$205,MIN(C456+1,200)))-LN(INDEX(Dic2023!$K$6:$K$205,C456)))*(A456-6*C456)/6))</f>
        <v>0.150030627466891</v>
      </c>
      <c r="H456" s="12" t="n">
        <f aca="false">G456^(-1/B456)-1</f>
        <v>0.0516502500000002</v>
      </c>
      <c r="I456" s="12" t="n">
        <f aca="false">(1+H456)^(1/12)-1</f>
        <v>0.00420553496807585</v>
      </c>
      <c r="J456" s="16" t="n">
        <f aca="false">IF(C456=0,(1+Dic2023!$M$6)^(-B456),EXP(LN(INDEX(Dic2023!$N$6:$N$205,C456))+(LN(INDEX(Dic2023!$N$6:$N$205,MIN(C456+1,200)))-LN(INDEX(Dic2023!$N$6:$N$205,C456)))*(A456-6*C456)/6))</f>
        <v>0.150030627466891</v>
      </c>
      <c r="K456" s="12" t="n">
        <f aca="false">J456^(-1/B456)-1</f>
        <v>0.0516502500000002</v>
      </c>
      <c r="L456" s="12" t="n">
        <f aca="false">(1+K456)^(1/12)-1</f>
        <v>0.00420553496807585</v>
      </c>
    </row>
    <row r="457" customFormat="false" ht="15" hidden="false" customHeight="false" outlineLevel="0" collapsed="false">
      <c r="A457" s="4" t="n">
        <v>453</v>
      </c>
      <c r="B457" s="14" t="n">
        <f aca="false">A457/12</f>
        <v>37.75</v>
      </c>
      <c r="C457" s="15" t="n">
        <f aca="false">INT(A457/6)</f>
        <v>75</v>
      </c>
      <c r="D457" s="16" t="n">
        <f aca="false">IF(C457=0,(1+Dic2023!$G$6)^(-B457),EXP(LN(INDEX(Dic2023!$H$6:$H$205,C457))+(LN(INDEX(Dic2023!$H$6:$H$205,MIN(C457+1,200)))-LN(INDEX(Dic2023!$H$6:$H$205,C457)))*(A457-6*C457)/6))</f>
        <v>0.149402310824408</v>
      </c>
      <c r="E457" s="12" t="n">
        <f aca="false">D457^(-1/B457)-1</f>
        <v>0.0516502500000002</v>
      </c>
      <c r="F457" s="12" t="n">
        <f aca="false">(1+E457)^(1/12)-1</f>
        <v>0.00420553496807585</v>
      </c>
      <c r="G457" s="16" t="n">
        <f aca="false">IF(C457=0,(1+Dic2023!$J$6)^(-B457),EXP(LN(INDEX(Dic2023!$K$6:$K$205,C457))+(LN(INDEX(Dic2023!$K$6:$K$205,MIN(C457+1,200)))-LN(INDEX(Dic2023!$K$6:$K$205,C457)))*(A457-6*C457)/6))</f>
        <v>0.149402310824408</v>
      </c>
      <c r="H457" s="12" t="n">
        <f aca="false">G457^(-1/B457)-1</f>
        <v>0.0516502500000002</v>
      </c>
      <c r="I457" s="12" t="n">
        <f aca="false">(1+H457)^(1/12)-1</f>
        <v>0.00420553496807585</v>
      </c>
      <c r="J457" s="16" t="n">
        <f aca="false">IF(C457=0,(1+Dic2023!$M$6)^(-B457),EXP(LN(INDEX(Dic2023!$N$6:$N$205,C457))+(LN(INDEX(Dic2023!$N$6:$N$205,MIN(C457+1,200)))-LN(INDEX(Dic2023!$N$6:$N$205,C457)))*(A457-6*C457)/6))</f>
        <v>0.149402310824408</v>
      </c>
      <c r="K457" s="12" t="n">
        <f aca="false">J457^(-1/B457)-1</f>
        <v>0.0516502500000002</v>
      </c>
      <c r="L457" s="12" t="n">
        <f aca="false">(1+K457)^(1/12)-1</f>
        <v>0.00420553496807585</v>
      </c>
    </row>
    <row r="458" customFormat="false" ht="15" hidden="false" customHeight="false" outlineLevel="0" collapsed="false">
      <c r="A458" s="4" t="n">
        <v>454</v>
      </c>
      <c r="B458" s="14" t="n">
        <f aca="false">A458/12</f>
        <v>37.8333333333333</v>
      </c>
      <c r="C458" s="15" t="n">
        <f aca="false">INT(A458/6)</f>
        <v>75</v>
      </c>
      <c r="D458" s="16" t="n">
        <f aca="false">IF(C458=0,(1+Dic2023!$G$6)^(-B458),EXP(LN(INDEX(Dic2023!$H$6:$H$205,C458))+(LN(INDEX(Dic2023!$H$6:$H$205,MIN(C458+1,200)))-LN(INDEX(Dic2023!$H$6:$H$205,C458)))*(A458-6*C458)/6))</f>
        <v>0.148776625523337</v>
      </c>
      <c r="E458" s="12" t="n">
        <f aca="false">D458^(-1/B458)-1</f>
        <v>0.0516502500000002</v>
      </c>
      <c r="F458" s="12" t="n">
        <f aca="false">(1+E458)^(1/12)-1</f>
        <v>0.00420553496807585</v>
      </c>
      <c r="G458" s="16" t="n">
        <f aca="false">IF(C458=0,(1+Dic2023!$J$6)^(-B458),EXP(LN(INDEX(Dic2023!$K$6:$K$205,C458))+(LN(INDEX(Dic2023!$K$6:$K$205,MIN(C458+1,200)))-LN(INDEX(Dic2023!$K$6:$K$205,C458)))*(A458-6*C458)/6))</f>
        <v>0.148776625523337</v>
      </c>
      <c r="H458" s="12" t="n">
        <f aca="false">G458^(-1/B458)-1</f>
        <v>0.0516502500000002</v>
      </c>
      <c r="I458" s="12" t="n">
        <f aca="false">(1+H458)^(1/12)-1</f>
        <v>0.00420553496807585</v>
      </c>
      <c r="J458" s="16" t="n">
        <f aca="false">IF(C458=0,(1+Dic2023!$M$6)^(-B458),EXP(LN(INDEX(Dic2023!$N$6:$N$205,C458))+(LN(INDEX(Dic2023!$N$6:$N$205,MIN(C458+1,200)))-LN(INDEX(Dic2023!$N$6:$N$205,C458)))*(A458-6*C458)/6))</f>
        <v>0.148776625523337</v>
      </c>
      <c r="K458" s="12" t="n">
        <f aca="false">J458^(-1/B458)-1</f>
        <v>0.0516502500000002</v>
      </c>
      <c r="L458" s="12" t="n">
        <f aca="false">(1+K458)^(1/12)-1</f>
        <v>0.00420553496807585</v>
      </c>
    </row>
    <row r="459" customFormat="false" ht="15" hidden="false" customHeight="false" outlineLevel="0" collapsed="false">
      <c r="A459" s="4" t="n">
        <v>455</v>
      </c>
      <c r="B459" s="14" t="n">
        <f aca="false">A459/12</f>
        <v>37.9166666666667</v>
      </c>
      <c r="C459" s="15" t="n">
        <f aca="false">INT(A459/6)</f>
        <v>75</v>
      </c>
      <c r="D459" s="16" t="n">
        <f aca="false">IF(C459=0,(1+Dic2023!$G$6)^(-B459),EXP(LN(INDEX(Dic2023!$H$6:$H$205,C459))+(LN(INDEX(Dic2023!$H$6:$H$205,MIN(C459+1,200)))-LN(INDEX(Dic2023!$H$6:$H$205,C459)))*(A459-6*C459)/6))</f>
        <v>0.148153560543825</v>
      </c>
      <c r="E459" s="12" t="n">
        <f aca="false">D459^(-1/B459)-1</f>
        <v>0.0516502500000002</v>
      </c>
      <c r="F459" s="12" t="n">
        <f aca="false">(1+E459)^(1/12)-1</f>
        <v>0.00420553496807585</v>
      </c>
      <c r="G459" s="16" t="n">
        <f aca="false">IF(C459=0,(1+Dic2023!$J$6)^(-B459),EXP(LN(INDEX(Dic2023!$K$6:$K$205,C459))+(LN(INDEX(Dic2023!$K$6:$K$205,MIN(C459+1,200)))-LN(INDEX(Dic2023!$K$6:$K$205,C459)))*(A459-6*C459)/6))</f>
        <v>0.148153560543825</v>
      </c>
      <c r="H459" s="12" t="n">
        <f aca="false">G459^(-1/B459)-1</f>
        <v>0.0516502500000002</v>
      </c>
      <c r="I459" s="12" t="n">
        <f aca="false">(1+H459)^(1/12)-1</f>
        <v>0.00420553496807585</v>
      </c>
      <c r="J459" s="16" t="n">
        <f aca="false">IF(C459=0,(1+Dic2023!$M$6)^(-B459),EXP(LN(INDEX(Dic2023!$N$6:$N$205,C459))+(LN(INDEX(Dic2023!$N$6:$N$205,MIN(C459+1,200)))-LN(INDEX(Dic2023!$N$6:$N$205,C459)))*(A459-6*C459)/6))</f>
        <v>0.148153560543825</v>
      </c>
      <c r="K459" s="12" t="n">
        <f aca="false">J459^(-1/B459)-1</f>
        <v>0.0516502500000002</v>
      </c>
      <c r="L459" s="12" t="n">
        <f aca="false">(1+K459)^(1/12)-1</f>
        <v>0.00420553496807585</v>
      </c>
    </row>
    <row r="460" customFormat="false" ht="15" hidden="false" customHeight="false" outlineLevel="0" collapsed="false">
      <c r="A460" s="4" t="n">
        <v>456</v>
      </c>
      <c r="B460" s="14" t="n">
        <f aca="false">A460/12</f>
        <v>38</v>
      </c>
      <c r="C460" s="15" t="n">
        <f aca="false">INT(A460/6)</f>
        <v>76</v>
      </c>
      <c r="D460" s="16" t="n">
        <f aca="false">IF(C460=0,(1+Dic2023!$G$6)^(-B460),EXP(LN(INDEX(Dic2023!$H$6:$H$205,C460))+(LN(INDEX(Dic2023!$H$6:$H$205,MIN(C460+1,200)))-LN(INDEX(Dic2023!$H$6:$H$205,C460)))*(A460-6*C460)/6))</f>
        <v>0.147533104912168</v>
      </c>
      <c r="E460" s="12" t="n">
        <f aca="false">D460^(-1/B460)-1</f>
        <v>0.0516502500000002</v>
      </c>
      <c r="F460" s="12" t="n">
        <f aca="false">(1+E460)^(1/12)-1</f>
        <v>0.00420553496807585</v>
      </c>
      <c r="G460" s="16" t="n">
        <f aca="false">IF(C460=0,(1+Dic2023!$J$6)^(-B460),EXP(LN(INDEX(Dic2023!$K$6:$K$205,C460))+(LN(INDEX(Dic2023!$K$6:$K$205,MIN(C460+1,200)))-LN(INDEX(Dic2023!$K$6:$K$205,C460)))*(A460-6*C460)/6))</f>
        <v>0.147533104912168</v>
      </c>
      <c r="H460" s="12" t="n">
        <f aca="false">G460^(-1/B460)-1</f>
        <v>0.0516502500000002</v>
      </c>
      <c r="I460" s="12" t="n">
        <f aca="false">(1+H460)^(1/12)-1</f>
        <v>0.00420553496807585</v>
      </c>
      <c r="J460" s="16" t="n">
        <f aca="false">IF(C460=0,(1+Dic2023!$M$6)^(-B460),EXP(LN(INDEX(Dic2023!$N$6:$N$205,C460))+(LN(INDEX(Dic2023!$N$6:$N$205,MIN(C460+1,200)))-LN(INDEX(Dic2023!$N$6:$N$205,C460)))*(A460-6*C460)/6))</f>
        <v>0.147533104912168</v>
      </c>
      <c r="K460" s="12" t="n">
        <f aca="false">J460^(-1/B460)-1</f>
        <v>0.0516502500000002</v>
      </c>
      <c r="L460" s="12" t="n">
        <f aca="false">(1+K460)^(1/12)-1</f>
        <v>0.00420553496807585</v>
      </c>
    </row>
    <row r="461" customFormat="false" ht="15" hidden="false" customHeight="false" outlineLevel="0" collapsed="false">
      <c r="A461" s="4" t="n">
        <v>457</v>
      </c>
      <c r="B461" s="14" t="n">
        <f aca="false">A461/12</f>
        <v>38.0833333333333</v>
      </c>
      <c r="C461" s="15" t="n">
        <f aca="false">INT(A461/6)</f>
        <v>76</v>
      </c>
      <c r="D461" s="16" t="n">
        <f aca="false">IF(C461=0,(1+Dic2023!$G$6)^(-B461),EXP(LN(INDEX(Dic2023!$H$6:$H$205,C461))+(LN(INDEX(Dic2023!$H$6:$H$205,MIN(C461+1,200)))-LN(INDEX(Dic2023!$H$6:$H$205,C461)))*(A461-6*C461)/6))</f>
        <v>0.14691524770062</v>
      </c>
      <c r="E461" s="12" t="n">
        <f aca="false">D461^(-1/B461)-1</f>
        <v>0.0516502500000002</v>
      </c>
      <c r="F461" s="12" t="n">
        <f aca="false">(1+E461)^(1/12)-1</f>
        <v>0.00420553496807585</v>
      </c>
      <c r="G461" s="16" t="n">
        <f aca="false">IF(C461=0,(1+Dic2023!$J$6)^(-B461),EXP(LN(INDEX(Dic2023!$K$6:$K$205,C461))+(LN(INDEX(Dic2023!$K$6:$K$205,MIN(C461+1,200)))-LN(INDEX(Dic2023!$K$6:$K$205,C461)))*(A461-6*C461)/6))</f>
        <v>0.14691524770062</v>
      </c>
      <c r="H461" s="12" t="n">
        <f aca="false">G461^(-1/B461)-1</f>
        <v>0.0516502500000002</v>
      </c>
      <c r="I461" s="12" t="n">
        <f aca="false">(1+H461)^(1/12)-1</f>
        <v>0.00420553496807585</v>
      </c>
      <c r="J461" s="16" t="n">
        <f aca="false">IF(C461=0,(1+Dic2023!$M$6)^(-B461),EXP(LN(INDEX(Dic2023!$N$6:$N$205,C461))+(LN(INDEX(Dic2023!$N$6:$N$205,MIN(C461+1,200)))-LN(INDEX(Dic2023!$N$6:$N$205,C461)))*(A461-6*C461)/6))</f>
        <v>0.14691524770062</v>
      </c>
      <c r="K461" s="12" t="n">
        <f aca="false">J461^(-1/B461)-1</f>
        <v>0.0516502500000002</v>
      </c>
      <c r="L461" s="12" t="n">
        <f aca="false">(1+K461)^(1/12)-1</f>
        <v>0.00420553496807585</v>
      </c>
    </row>
    <row r="462" customFormat="false" ht="15" hidden="false" customHeight="false" outlineLevel="0" collapsed="false">
      <c r="A462" s="4" t="n">
        <v>458</v>
      </c>
      <c r="B462" s="14" t="n">
        <f aca="false">A462/12</f>
        <v>38.1666666666667</v>
      </c>
      <c r="C462" s="15" t="n">
        <f aca="false">INT(A462/6)</f>
        <v>76</v>
      </c>
      <c r="D462" s="16" t="n">
        <f aca="false">IF(C462=0,(1+Dic2023!$G$6)^(-B462),EXP(LN(INDEX(Dic2023!$H$6:$H$205,C462))+(LN(INDEX(Dic2023!$H$6:$H$205,MIN(C462+1,200)))-LN(INDEX(Dic2023!$H$6:$H$205,C462)))*(A462-6*C462)/6))</f>
        <v>0.146299978027197</v>
      </c>
      <c r="E462" s="12" t="n">
        <f aca="false">D462^(-1/B462)-1</f>
        <v>0.0516502500000002</v>
      </c>
      <c r="F462" s="12" t="n">
        <f aca="false">(1+E462)^(1/12)-1</f>
        <v>0.00420553496807585</v>
      </c>
      <c r="G462" s="16" t="n">
        <f aca="false">IF(C462=0,(1+Dic2023!$J$6)^(-B462),EXP(LN(INDEX(Dic2023!$K$6:$K$205,C462))+(LN(INDEX(Dic2023!$K$6:$K$205,MIN(C462+1,200)))-LN(INDEX(Dic2023!$K$6:$K$205,C462)))*(A462-6*C462)/6))</f>
        <v>0.146299978027197</v>
      </c>
      <c r="H462" s="12" t="n">
        <f aca="false">G462^(-1/B462)-1</f>
        <v>0.0516502500000002</v>
      </c>
      <c r="I462" s="12" t="n">
        <f aca="false">(1+H462)^(1/12)-1</f>
        <v>0.00420553496807585</v>
      </c>
      <c r="J462" s="16" t="n">
        <f aca="false">IF(C462=0,(1+Dic2023!$M$6)^(-B462),EXP(LN(INDEX(Dic2023!$N$6:$N$205,C462))+(LN(INDEX(Dic2023!$N$6:$N$205,MIN(C462+1,200)))-LN(INDEX(Dic2023!$N$6:$N$205,C462)))*(A462-6*C462)/6))</f>
        <v>0.146299978027197</v>
      </c>
      <c r="K462" s="12" t="n">
        <f aca="false">J462^(-1/B462)-1</f>
        <v>0.0516502500000002</v>
      </c>
      <c r="L462" s="12" t="n">
        <f aca="false">(1+K462)^(1/12)-1</f>
        <v>0.00420553496807585</v>
      </c>
    </row>
    <row r="463" customFormat="false" ht="15" hidden="false" customHeight="false" outlineLevel="0" collapsed="false">
      <c r="A463" s="4" t="n">
        <v>459</v>
      </c>
      <c r="B463" s="14" t="n">
        <f aca="false">A463/12</f>
        <v>38.25</v>
      </c>
      <c r="C463" s="15" t="n">
        <f aca="false">INT(A463/6)</f>
        <v>76</v>
      </c>
      <c r="D463" s="16" t="n">
        <f aca="false">IF(C463=0,(1+Dic2023!$G$6)^(-B463),EXP(LN(INDEX(Dic2023!$H$6:$H$205,C463))+(LN(INDEX(Dic2023!$H$6:$H$205,MIN(C463+1,200)))-LN(INDEX(Dic2023!$H$6:$H$205,C463)))*(A463-6*C463)/6))</f>
        <v>0.145687285055492</v>
      </c>
      <c r="E463" s="12" t="n">
        <f aca="false">D463^(-1/B463)-1</f>
        <v>0.0516502500000002</v>
      </c>
      <c r="F463" s="12" t="n">
        <f aca="false">(1+E463)^(1/12)-1</f>
        <v>0.00420553496807585</v>
      </c>
      <c r="G463" s="16" t="n">
        <f aca="false">IF(C463=0,(1+Dic2023!$J$6)^(-B463),EXP(LN(INDEX(Dic2023!$K$6:$K$205,C463))+(LN(INDEX(Dic2023!$K$6:$K$205,MIN(C463+1,200)))-LN(INDEX(Dic2023!$K$6:$K$205,C463)))*(A463-6*C463)/6))</f>
        <v>0.145687285055492</v>
      </c>
      <c r="H463" s="12" t="n">
        <f aca="false">G463^(-1/B463)-1</f>
        <v>0.0516502500000002</v>
      </c>
      <c r="I463" s="12" t="n">
        <f aca="false">(1+H463)^(1/12)-1</f>
        <v>0.00420553496807585</v>
      </c>
      <c r="J463" s="16" t="n">
        <f aca="false">IF(C463=0,(1+Dic2023!$M$6)^(-B463),EXP(LN(INDEX(Dic2023!$N$6:$N$205,C463))+(LN(INDEX(Dic2023!$N$6:$N$205,MIN(C463+1,200)))-LN(INDEX(Dic2023!$N$6:$N$205,C463)))*(A463-6*C463)/6))</f>
        <v>0.145687285055492</v>
      </c>
      <c r="K463" s="12" t="n">
        <f aca="false">J463^(-1/B463)-1</f>
        <v>0.0516502500000002</v>
      </c>
      <c r="L463" s="12" t="n">
        <f aca="false">(1+K463)^(1/12)-1</f>
        <v>0.00420553496807585</v>
      </c>
    </row>
    <row r="464" customFormat="false" ht="15" hidden="false" customHeight="false" outlineLevel="0" collapsed="false">
      <c r="A464" s="4" t="n">
        <v>460</v>
      </c>
      <c r="B464" s="14" t="n">
        <f aca="false">A464/12</f>
        <v>38.3333333333333</v>
      </c>
      <c r="C464" s="15" t="n">
        <f aca="false">INT(A464/6)</f>
        <v>76</v>
      </c>
      <c r="D464" s="16" t="n">
        <f aca="false">IF(C464=0,(1+Dic2023!$G$6)^(-B464),EXP(LN(INDEX(Dic2023!$H$6:$H$205,C464))+(LN(INDEX(Dic2023!$H$6:$H$205,MIN(C464+1,200)))-LN(INDEX(Dic2023!$H$6:$H$205,C464)))*(A464-6*C464)/6))</f>
        <v>0.145077157994478</v>
      </c>
      <c r="E464" s="12" t="n">
        <f aca="false">D464^(-1/B464)-1</f>
        <v>0.0516502500000002</v>
      </c>
      <c r="F464" s="12" t="n">
        <f aca="false">(1+E464)^(1/12)-1</f>
        <v>0.00420553496807585</v>
      </c>
      <c r="G464" s="16" t="n">
        <f aca="false">IF(C464=0,(1+Dic2023!$J$6)^(-B464),EXP(LN(INDEX(Dic2023!$K$6:$K$205,C464))+(LN(INDEX(Dic2023!$K$6:$K$205,MIN(C464+1,200)))-LN(INDEX(Dic2023!$K$6:$K$205,C464)))*(A464-6*C464)/6))</f>
        <v>0.145077157994478</v>
      </c>
      <c r="H464" s="12" t="n">
        <f aca="false">G464^(-1/B464)-1</f>
        <v>0.0516502500000002</v>
      </c>
      <c r="I464" s="12" t="n">
        <f aca="false">(1+H464)^(1/12)-1</f>
        <v>0.00420553496807585</v>
      </c>
      <c r="J464" s="16" t="n">
        <f aca="false">IF(C464=0,(1+Dic2023!$M$6)^(-B464),EXP(LN(INDEX(Dic2023!$N$6:$N$205,C464))+(LN(INDEX(Dic2023!$N$6:$N$205,MIN(C464+1,200)))-LN(INDEX(Dic2023!$N$6:$N$205,C464)))*(A464-6*C464)/6))</f>
        <v>0.145077157994478</v>
      </c>
      <c r="K464" s="12" t="n">
        <f aca="false">J464^(-1/B464)-1</f>
        <v>0.0516502500000002</v>
      </c>
      <c r="L464" s="12" t="n">
        <f aca="false">(1+K464)^(1/12)-1</f>
        <v>0.00420553496807585</v>
      </c>
    </row>
    <row r="465" customFormat="false" ht="15" hidden="false" customHeight="false" outlineLevel="0" collapsed="false">
      <c r="A465" s="4" t="n">
        <v>461</v>
      </c>
      <c r="B465" s="14" t="n">
        <f aca="false">A465/12</f>
        <v>38.4166666666667</v>
      </c>
      <c r="C465" s="15" t="n">
        <f aca="false">INT(A465/6)</f>
        <v>76</v>
      </c>
      <c r="D465" s="16" t="n">
        <f aca="false">IF(C465=0,(1+Dic2023!$G$6)^(-B465),EXP(LN(INDEX(Dic2023!$H$6:$H$205,C465))+(LN(INDEX(Dic2023!$H$6:$H$205,MIN(C465+1,200)))-LN(INDEX(Dic2023!$H$6:$H$205,C465)))*(A465-6*C465)/6))</f>
        <v>0.144469586098318</v>
      </c>
      <c r="E465" s="12" t="n">
        <f aca="false">D465^(-1/B465)-1</f>
        <v>0.0516502500000002</v>
      </c>
      <c r="F465" s="12" t="n">
        <f aca="false">(1+E465)^(1/12)-1</f>
        <v>0.00420553496807585</v>
      </c>
      <c r="G465" s="16" t="n">
        <f aca="false">IF(C465=0,(1+Dic2023!$J$6)^(-B465),EXP(LN(INDEX(Dic2023!$K$6:$K$205,C465))+(LN(INDEX(Dic2023!$K$6:$K$205,MIN(C465+1,200)))-LN(INDEX(Dic2023!$K$6:$K$205,C465)))*(A465-6*C465)/6))</f>
        <v>0.144469586098318</v>
      </c>
      <c r="H465" s="12" t="n">
        <f aca="false">G465^(-1/B465)-1</f>
        <v>0.0516502500000002</v>
      </c>
      <c r="I465" s="12" t="n">
        <f aca="false">(1+H465)^(1/12)-1</f>
        <v>0.00420553496807585</v>
      </c>
      <c r="J465" s="16" t="n">
        <f aca="false">IF(C465=0,(1+Dic2023!$M$6)^(-B465),EXP(LN(INDEX(Dic2023!$N$6:$N$205,C465))+(LN(INDEX(Dic2023!$N$6:$N$205,MIN(C465+1,200)))-LN(INDEX(Dic2023!$N$6:$N$205,C465)))*(A465-6*C465)/6))</f>
        <v>0.144469586098318</v>
      </c>
      <c r="K465" s="12" t="n">
        <f aca="false">J465^(-1/B465)-1</f>
        <v>0.0516502500000002</v>
      </c>
      <c r="L465" s="12" t="n">
        <f aca="false">(1+K465)^(1/12)-1</f>
        <v>0.00420553496807585</v>
      </c>
    </row>
    <row r="466" customFormat="false" ht="15" hidden="false" customHeight="false" outlineLevel="0" collapsed="false">
      <c r="A466" s="4" t="n">
        <v>462</v>
      </c>
      <c r="B466" s="14" t="n">
        <f aca="false">A466/12</f>
        <v>38.5</v>
      </c>
      <c r="C466" s="15" t="n">
        <f aca="false">INT(A466/6)</f>
        <v>77</v>
      </c>
      <c r="D466" s="16" t="n">
        <f aca="false">IF(C466=0,(1+Dic2023!$G$6)^(-B466),EXP(LN(INDEX(Dic2023!$H$6:$H$205,C466))+(LN(INDEX(Dic2023!$H$6:$H$205,MIN(C466+1,200)))-LN(INDEX(Dic2023!$H$6:$H$205,C466)))*(A466-6*C466)/6))</f>
        <v>0.14386455866618</v>
      </c>
      <c r="E466" s="12" t="n">
        <f aca="false">D466^(-1/B466)-1</f>
        <v>0.0516502500000002</v>
      </c>
      <c r="F466" s="12" t="n">
        <f aca="false">(1+E466)^(1/12)-1</f>
        <v>0.00420553496807585</v>
      </c>
      <c r="G466" s="16" t="n">
        <f aca="false">IF(C466=0,(1+Dic2023!$J$6)^(-B466),EXP(LN(INDEX(Dic2023!$K$6:$K$205,C466))+(LN(INDEX(Dic2023!$K$6:$K$205,MIN(C466+1,200)))-LN(INDEX(Dic2023!$K$6:$K$205,C466)))*(A466-6*C466)/6))</f>
        <v>0.14386455866618</v>
      </c>
      <c r="H466" s="12" t="n">
        <f aca="false">G466^(-1/B466)-1</f>
        <v>0.0516502500000002</v>
      </c>
      <c r="I466" s="12" t="n">
        <f aca="false">(1+H466)^(1/12)-1</f>
        <v>0.00420553496807585</v>
      </c>
      <c r="J466" s="16" t="n">
        <f aca="false">IF(C466=0,(1+Dic2023!$M$6)^(-B466),EXP(LN(INDEX(Dic2023!$N$6:$N$205,C466))+(LN(INDEX(Dic2023!$N$6:$N$205,MIN(C466+1,200)))-LN(INDEX(Dic2023!$N$6:$N$205,C466)))*(A466-6*C466)/6))</f>
        <v>0.14386455866618</v>
      </c>
      <c r="K466" s="12" t="n">
        <f aca="false">J466^(-1/B466)-1</f>
        <v>0.0516502500000002</v>
      </c>
      <c r="L466" s="12" t="n">
        <f aca="false">(1+K466)^(1/12)-1</f>
        <v>0.00420553496807585</v>
      </c>
    </row>
    <row r="467" customFormat="false" ht="15" hidden="false" customHeight="false" outlineLevel="0" collapsed="false">
      <c r="A467" s="4" t="n">
        <v>463</v>
      </c>
      <c r="B467" s="14" t="n">
        <f aca="false">A467/12</f>
        <v>38.5833333333333</v>
      </c>
      <c r="C467" s="15" t="n">
        <f aca="false">INT(A467/6)</f>
        <v>77</v>
      </c>
      <c r="D467" s="16" t="n">
        <f aca="false">IF(C467=0,(1+Dic2023!$G$6)^(-B467),EXP(LN(INDEX(Dic2023!$H$6:$H$205,C467))+(LN(INDEX(Dic2023!$H$6:$H$205,MIN(C467+1,200)))-LN(INDEX(Dic2023!$H$6:$H$205,C467)))*(A467-6*C467)/6))</f>
        <v>0.143262065042047</v>
      </c>
      <c r="E467" s="12" t="n">
        <f aca="false">D467^(-1/B467)-1</f>
        <v>0.0516502500000002</v>
      </c>
      <c r="F467" s="12" t="n">
        <f aca="false">(1+E467)^(1/12)-1</f>
        <v>0.00420553496807585</v>
      </c>
      <c r="G467" s="16" t="n">
        <f aca="false">IF(C467=0,(1+Dic2023!$J$6)^(-B467),EXP(LN(INDEX(Dic2023!$K$6:$K$205,C467))+(LN(INDEX(Dic2023!$K$6:$K$205,MIN(C467+1,200)))-LN(INDEX(Dic2023!$K$6:$K$205,C467)))*(A467-6*C467)/6))</f>
        <v>0.143262065042047</v>
      </c>
      <c r="H467" s="12" t="n">
        <f aca="false">G467^(-1/B467)-1</f>
        <v>0.0516502500000002</v>
      </c>
      <c r="I467" s="12" t="n">
        <f aca="false">(1+H467)^(1/12)-1</f>
        <v>0.00420553496807585</v>
      </c>
      <c r="J467" s="16" t="n">
        <f aca="false">IF(C467=0,(1+Dic2023!$M$6)^(-B467),EXP(LN(INDEX(Dic2023!$N$6:$N$205,C467))+(LN(INDEX(Dic2023!$N$6:$N$205,MIN(C467+1,200)))-LN(INDEX(Dic2023!$N$6:$N$205,C467)))*(A467-6*C467)/6))</f>
        <v>0.143262065042047</v>
      </c>
      <c r="K467" s="12" t="n">
        <f aca="false">J467^(-1/B467)-1</f>
        <v>0.0516502500000002</v>
      </c>
      <c r="L467" s="12" t="n">
        <f aca="false">(1+K467)^(1/12)-1</f>
        <v>0.00420553496807585</v>
      </c>
    </row>
    <row r="468" customFormat="false" ht="15" hidden="false" customHeight="false" outlineLevel="0" collapsed="false">
      <c r="A468" s="4" t="n">
        <v>464</v>
      </c>
      <c r="B468" s="14" t="n">
        <f aca="false">A468/12</f>
        <v>38.6666666666667</v>
      </c>
      <c r="C468" s="15" t="n">
        <f aca="false">INT(A468/6)</f>
        <v>77</v>
      </c>
      <c r="D468" s="16" t="n">
        <f aca="false">IF(C468=0,(1+Dic2023!$G$6)^(-B468),EXP(LN(INDEX(Dic2023!$H$6:$H$205,C468))+(LN(INDEX(Dic2023!$H$6:$H$205,MIN(C468+1,200)))-LN(INDEX(Dic2023!$H$6:$H$205,C468)))*(A468-6*C468)/6))</f>
        <v>0.142662094614527</v>
      </c>
      <c r="E468" s="12" t="n">
        <f aca="false">D468^(-1/B468)-1</f>
        <v>0.0516502500000002</v>
      </c>
      <c r="F468" s="12" t="n">
        <f aca="false">(1+E468)^(1/12)-1</f>
        <v>0.00420553496807585</v>
      </c>
      <c r="G468" s="16" t="n">
        <f aca="false">IF(C468=0,(1+Dic2023!$J$6)^(-B468),EXP(LN(INDEX(Dic2023!$K$6:$K$205,C468))+(LN(INDEX(Dic2023!$K$6:$K$205,MIN(C468+1,200)))-LN(INDEX(Dic2023!$K$6:$K$205,C468)))*(A468-6*C468)/6))</f>
        <v>0.142662094614527</v>
      </c>
      <c r="H468" s="12" t="n">
        <f aca="false">G468^(-1/B468)-1</f>
        <v>0.0516502500000002</v>
      </c>
      <c r="I468" s="12" t="n">
        <f aca="false">(1+H468)^(1/12)-1</f>
        <v>0.00420553496807585</v>
      </c>
      <c r="J468" s="16" t="n">
        <f aca="false">IF(C468=0,(1+Dic2023!$M$6)^(-B468),EXP(LN(INDEX(Dic2023!$N$6:$N$205,C468))+(LN(INDEX(Dic2023!$N$6:$N$205,MIN(C468+1,200)))-LN(INDEX(Dic2023!$N$6:$N$205,C468)))*(A468-6*C468)/6))</f>
        <v>0.142662094614527</v>
      </c>
      <c r="K468" s="12" t="n">
        <f aca="false">J468^(-1/B468)-1</f>
        <v>0.0516502500000002</v>
      </c>
      <c r="L468" s="12" t="n">
        <f aca="false">(1+K468)^(1/12)-1</f>
        <v>0.00420553496807585</v>
      </c>
    </row>
    <row r="469" customFormat="false" ht="15" hidden="false" customHeight="false" outlineLevel="0" collapsed="false">
      <c r="A469" s="4" t="n">
        <v>465</v>
      </c>
      <c r="B469" s="14" t="n">
        <f aca="false">A469/12</f>
        <v>38.75</v>
      </c>
      <c r="C469" s="15" t="n">
        <f aca="false">INT(A469/6)</f>
        <v>77</v>
      </c>
      <c r="D469" s="16" t="n">
        <f aca="false">IF(C469=0,(1+Dic2023!$G$6)^(-B469),EXP(LN(INDEX(Dic2023!$H$6:$H$205,C469))+(LN(INDEX(Dic2023!$H$6:$H$205,MIN(C469+1,200)))-LN(INDEX(Dic2023!$H$6:$H$205,C469)))*(A469-6*C469)/6))</f>
        <v>0.142064636816667</v>
      </c>
      <c r="E469" s="12" t="n">
        <f aca="false">D469^(-1/B469)-1</f>
        <v>0.0516502500000002</v>
      </c>
      <c r="F469" s="12" t="n">
        <f aca="false">(1+E469)^(1/12)-1</f>
        <v>0.00420553496807585</v>
      </c>
      <c r="G469" s="16" t="n">
        <f aca="false">IF(C469=0,(1+Dic2023!$J$6)^(-B469),EXP(LN(INDEX(Dic2023!$K$6:$K$205,C469))+(LN(INDEX(Dic2023!$K$6:$K$205,MIN(C469+1,200)))-LN(INDEX(Dic2023!$K$6:$K$205,C469)))*(A469-6*C469)/6))</f>
        <v>0.142064636816667</v>
      </c>
      <c r="H469" s="12" t="n">
        <f aca="false">G469^(-1/B469)-1</f>
        <v>0.0516502500000002</v>
      </c>
      <c r="I469" s="12" t="n">
        <f aca="false">(1+H469)^(1/12)-1</f>
        <v>0.00420553496807585</v>
      </c>
      <c r="J469" s="16" t="n">
        <f aca="false">IF(C469=0,(1+Dic2023!$M$6)^(-B469),EXP(LN(INDEX(Dic2023!$N$6:$N$205,C469))+(LN(INDEX(Dic2023!$N$6:$N$205,MIN(C469+1,200)))-LN(INDEX(Dic2023!$N$6:$N$205,C469)))*(A469-6*C469)/6))</f>
        <v>0.142064636816667</v>
      </c>
      <c r="K469" s="12" t="n">
        <f aca="false">J469^(-1/B469)-1</f>
        <v>0.0516502500000002</v>
      </c>
      <c r="L469" s="12" t="n">
        <f aca="false">(1+K469)^(1/12)-1</f>
        <v>0.00420553496807585</v>
      </c>
    </row>
    <row r="470" customFormat="false" ht="15" hidden="false" customHeight="false" outlineLevel="0" collapsed="false">
      <c r="A470" s="4" t="n">
        <v>466</v>
      </c>
      <c r="B470" s="14" t="n">
        <f aca="false">A470/12</f>
        <v>38.8333333333333</v>
      </c>
      <c r="C470" s="15" t="n">
        <f aca="false">INT(A470/6)</f>
        <v>77</v>
      </c>
      <c r="D470" s="16" t="n">
        <f aca="false">IF(C470=0,(1+Dic2023!$G$6)^(-B470),EXP(LN(INDEX(Dic2023!$H$6:$H$205,C470))+(LN(INDEX(Dic2023!$H$6:$H$205,MIN(C470+1,200)))-LN(INDEX(Dic2023!$H$6:$H$205,C470)))*(A470-6*C470)/6))</f>
        <v>0.141469681125771</v>
      </c>
      <c r="E470" s="12" t="n">
        <f aca="false">D470^(-1/B470)-1</f>
        <v>0.0516502500000002</v>
      </c>
      <c r="F470" s="12" t="n">
        <f aca="false">(1+E470)^(1/12)-1</f>
        <v>0.00420553496807585</v>
      </c>
      <c r="G470" s="16" t="n">
        <f aca="false">IF(C470=0,(1+Dic2023!$J$6)^(-B470),EXP(LN(INDEX(Dic2023!$K$6:$K$205,C470))+(LN(INDEX(Dic2023!$K$6:$K$205,MIN(C470+1,200)))-LN(INDEX(Dic2023!$K$6:$K$205,C470)))*(A470-6*C470)/6))</f>
        <v>0.141469681125771</v>
      </c>
      <c r="H470" s="12" t="n">
        <f aca="false">G470^(-1/B470)-1</f>
        <v>0.0516502500000002</v>
      </c>
      <c r="I470" s="12" t="n">
        <f aca="false">(1+H470)^(1/12)-1</f>
        <v>0.00420553496807585</v>
      </c>
      <c r="J470" s="16" t="n">
        <f aca="false">IF(C470=0,(1+Dic2023!$M$6)^(-B470),EXP(LN(INDEX(Dic2023!$N$6:$N$205,C470))+(LN(INDEX(Dic2023!$N$6:$N$205,MIN(C470+1,200)))-LN(INDEX(Dic2023!$N$6:$N$205,C470)))*(A470-6*C470)/6))</f>
        <v>0.141469681125771</v>
      </c>
      <c r="K470" s="12" t="n">
        <f aca="false">J470^(-1/B470)-1</f>
        <v>0.0516502500000002</v>
      </c>
      <c r="L470" s="12" t="n">
        <f aca="false">(1+K470)^(1/12)-1</f>
        <v>0.00420553496807585</v>
      </c>
    </row>
    <row r="471" customFormat="false" ht="15" hidden="false" customHeight="false" outlineLevel="0" collapsed="false">
      <c r="A471" s="4" t="n">
        <v>467</v>
      </c>
      <c r="B471" s="14" t="n">
        <f aca="false">A471/12</f>
        <v>38.9166666666667</v>
      </c>
      <c r="C471" s="15" t="n">
        <f aca="false">INT(A471/6)</f>
        <v>77</v>
      </c>
      <c r="D471" s="16" t="n">
        <f aca="false">IF(C471=0,(1+Dic2023!$G$6)^(-B471),EXP(LN(INDEX(Dic2023!$H$6:$H$205,C471))+(LN(INDEX(Dic2023!$H$6:$H$205,MIN(C471+1,200)))-LN(INDEX(Dic2023!$H$6:$H$205,C471)))*(A471-6*C471)/6))</f>
        <v>0.140877217063206</v>
      </c>
      <c r="E471" s="12" t="n">
        <f aca="false">D471^(-1/B471)-1</f>
        <v>0.0516502500000002</v>
      </c>
      <c r="F471" s="12" t="n">
        <f aca="false">(1+E471)^(1/12)-1</f>
        <v>0.00420553496807585</v>
      </c>
      <c r="G471" s="16" t="n">
        <f aca="false">IF(C471=0,(1+Dic2023!$J$6)^(-B471),EXP(LN(INDEX(Dic2023!$K$6:$K$205,C471))+(LN(INDEX(Dic2023!$K$6:$K$205,MIN(C471+1,200)))-LN(INDEX(Dic2023!$K$6:$K$205,C471)))*(A471-6*C471)/6))</f>
        <v>0.140877217063206</v>
      </c>
      <c r="H471" s="12" t="n">
        <f aca="false">G471^(-1/B471)-1</f>
        <v>0.0516502500000002</v>
      </c>
      <c r="I471" s="12" t="n">
        <f aca="false">(1+H471)^(1/12)-1</f>
        <v>0.00420553496807585</v>
      </c>
      <c r="J471" s="16" t="n">
        <f aca="false">IF(C471=0,(1+Dic2023!$M$6)^(-B471),EXP(LN(INDEX(Dic2023!$N$6:$N$205,C471))+(LN(INDEX(Dic2023!$N$6:$N$205,MIN(C471+1,200)))-LN(INDEX(Dic2023!$N$6:$N$205,C471)))*(A471-6*C471)/6))</f>
        <v>0.140877217063206</v>
      </c>
      <c r="K471" s="12" t="n">
        <f aca="false">J471^(-1/B471)-1</f>
        <v>0.0516502500000002</v>
      </c>
      <c r="L471" s="12" t="n">
        <f aca="false">(1+K471)^(1/12)-1</f>
        <v>0.00420553496807585</v>
      </c>
    </row>
    <row r="472" customFormat="false" ht="15" hidden="false" customHeight="false" outlineLevel="0" collapsed="false">
      <c r="A472" s="4" t="n">
        <v>468</v>
      </c>
      <c r="B472" s="14" t="n">
        <f aca="false">A472/12</f>
        <v>39</v>
      </c>
      <c r="C472" s="15" t="n">
        <f aca="false">INT(A472/6)</f>
        <v>78</v>
      </c>
      <c r="D472" s="16" t="n">
        <f aca="false">IF(C472=0,(1+Dic2023!$G$6)^(-B472),EXP(LN(INDEX(Dic2023!$H$6:$H$205,C472))+(LN(INDEX(Dic2023!$H$6:$H$205,MIN(C472+1,200)))-LN(INDEX(Dic2023!$H$6:$H$205,C472)))*(A472-6*C472)/6))</f>
        <v>0.140287234194228</v>
      </c>
      <c r="E472" s="12" t="n">
        <f aca="false">D472^(-1/B472)-1</f>
        <v>0.0516502500000002</v>
      </c>
      <c r="F472" s="12" t="n">
        <f aca="false">(1+E472)^(1/12)-1</f>
        <v>0.00420553496807585</v>
      </c>
      <c r="G472" s="16" t="n">
        <f aca="false">IF(C472=0,(1+Dic2023!$J$6)^(-B472),EXP(LN(INDEX(Dic2023!$K$6:$K$205,C472))+(LN(INDEX(Dic2023!$K$6:$K$205,MIN(C472+1,200)))-LN(INDEX(Dic2023!$K$6:$K$205,C472)))*(A472-6*C472)/6))</f>
        <v>0.140287234194228</v>
      </c>
      <c r="H472" s="12" t="n">
        <f aca="false">G472^(-1/B472)-1</f>
        <v>0.0516502500000002</v>
      </c>
      <c r="I472" s="12" t="n">
        <f aca="false">(1+H472)^(1/12)-1</f>
        <v>0.00420553496807585</v>
      </c>
      <c r="J472" s="16" t="n">
        <f aca="false">IF(C472=0,(1+Dic2023!$M$6)^(-B472),EXP(LN(INDEX(Dic2023!$N$6:$N$205,C472))+(LN(INDEX(Dic2023!$N$6:$N$205,MIN(C472+1,200)))-LN(INDEX(Dic2023!$N$6:$N$205,C472)))*(A472-6*C472)/6))</f>
        <v>0.140287234194228</v>
      </c>
      <c r="K472" s="12" t="n">
        <f aca="false">J472^(-1/B472)-1</f>
        <v>0.0516502500000002</v>
      </c>
      <c r="L472" s="12" t="n">
        <f aca="false">(1+K472)^(1/12)-1</f>
        <v>0.00420553496807585</v>
      </c>
    </row>
    <row r="473" customFormat="false" ht="15" hidden="false" customHeight="false" outlineLevel="0" collapsed="false">
      <c r="A473" s="4" t="n">
        <v>469</v>
      </c>
      <c r="B473" s="14" t="n">
        <f aca="false">A473/12</f>
        <v>39.0833333333333</v>
      </c>
      <c r="C473" s="15" t="n">
        <f aca="false">INT(A473/6)</f>
        <v>78</v>
      </c>
      <c r="D473" s="16" t="n">
        <f aca="false">IF(C473=0,(1+Dic2023!$G$6)^(-B473),EXP(LN(INDEX(Dic2023!$H$6:$H$205,C473))+(LN(INDEX(Dic2023!$H$6:$H$205,MIN(C473+1,200)))-LN(INDEX(Dic2023!$H$6:$H$205,C473)))*(A473-6*C473)/6))</f>
        <v>0.139699722127789</v>
      </c>
      <c r="E473" s="12" t="n">
        <f aca="false">D473^(-1/B473)-1</f>
        <v>0.0516502500000002</v>
      </c>
      <c r="F473" s="12" t="n">
        <f aca="false">(1+E473)^(1/12)-1</f>
        <v>0.00420553496807585</v>
      </c>
      <c r="G473" s="16" t="n">
        <f aca="false">IF(C473=0,(1+Dic2023!$J$6)^(-B473),EXP(LN(INDEX(Dic2023!$K$6:$K$205,C473))+(LN(INDEX(Dic2023!$K$6:$K$205,MIN(C473+1,200)))-LN(INDEX(Dic2023!$K$6:$K$205,C473)))*(A473-6*C473)/6))</f>
        <v>0.139699722127789</v>
      </c>
      <c r="H473" s="12" t="n">
        <f aca="false">G473^(-1/B473)-1</f>
        <v>0.0516502500000002</v>
      </c>
      <c r="I473" s="12" t="n">
        <f aca="false">(1+H473)^(1/12)-1</f>
        <v>0.00420553496807585</v>
      </c>
      <c r="J473" s="16" t="n">
        <f aca="false">IF(C473=0,(1+Dic2023!$M$6)^(-B473),EXP(LN(INDEX(Dic2023!$N$6:$N$205,C473))+(LN(INDEX(Dic2023!$N$6:$N$205,MIN(C473+1,200)))-LN(INDEX(Dic2023!$N$6:$N$205,C473)))*(A473-6*C473)/6))</f>
        <v>0.139699722127789</v>
      </c>
      <c r="K473" s="12" t="n">
        <f aca="false">J473^(-1/B473)-1</f>
        <v>0.0516502500000002</v>
      </c>
      <c r="L473" s="12" t="n">
        <f aca="false">(1+K473)^(1/12)-1</f>
        <v>0.00420553496807585</v>
      </c>
    </row>
    <row r="474" customFormat="false" ht="15" hidden="false" customHeight="false" outlineLevel="0" collapsed="false">
      <c r="A474" s="4" t="n">
        <v>470</v>
      </c>
      <c r="B474" s="14" t="n">
        <f aca="false">A474/12</f>
        <v>39.1666666666667</v>
      </c>
      <c r="C474" s="15" t="n">
        <f aca="false">INT(A474/6)</f>
        <v>78</v>
      </c>
      <c r="D474" s="16" t="n">
        <f aca="false">IF(C474=0,(1+Dic2023!$G$6)^(-B474),EXP(LN(INDEX(Dic2023!$H$6:$H$205,C474))+(LN(INDEX(Dic2023!$H$6:$H$205,MIN(C474+1,200)))-LN(INDEX(Dic2023!$H$6:$H$205,C474)))*(A474-6*C474)/6))</f>
        <v>0.13911467051636</v>
      </c>
      <c r="E474" s="12" t="n">
        <f aca="false">D474^(-1/B474)-1</f>
        <v>0.0516502500000002</v>
      </c>
      <c r="F474" s="12" t="n">
        <f aca="false">(1+E474)^(1/12)-1</f>
        <v>0.00420553496807585</v>
      </c>
      <c r="G474" s="16" t="n">
        <f aca="false">IF(C474=0,(1+Dic2023!$J$6)^(-B474),EXP(LN(INDEX(Dic2023!$K$6:$K$205,C474))+(LN(INDEX(Dic2023!$K$6:$K$205,MIN(C474+1,200)))-LN(INDEX(Dic2023!$K$6:$K$205,C474)))*(A474-6*C474)/6))</f>
        <v>0.13911467051636</v>
      </c>
      <c r="H474" s="12" t="n">
        <f aca="false">G474^(-1/B474)-1</f>
        <v>0.0516502500000002</v>
      </c>
      <c r="I474" s="12" t="n">
        <f aca="false">(1+H474)^(1/12)-1</f>
        <v>0.00420553496807585</v>
      </c>
      <c r="J474" s="16" t="n">
        <f aca="false">IF(C474=0,(1+Dic2023!$M$6)^(-B474),EXP(LN(INDEX(Dic2023!$N$6:$N$205,C474))+(LN(INDEX(Dic2023!$N$6:$N$205,MIN(C474+1,200)))-LN(INDEX(Dic2023!$N$6:$N$205,C474)))*(A474-6*C474)/6))</f>
        <v>0.13911467051636</v>
      </c>
      <c r="K474" s="12" t="n">
        <f aca="false">J474^(-1/B474)-1</f>
        <v>0.0516502500000002</v>
      </c>
      <c r="L474" s="12" t="n">
        <f aca="false">(1+K474)^(1/12)-1</f>
        <v>0.00420553496807585</v>
      </c>
    </row>
    <row r="475" customFormat="false" ht="15" hidden="false" customHeight="false" outlineLevel="0" collapsed="false">
      <c r="A475" s="4" t="n">
        <v>471</v>
      </c>
      <c r="B475" s="14" t="n">
        <f aca="false">A475/12</f>
        <v>39.25</v>
      </c>
      <c r="C475" s="15" t="n">
        <f aca="false">INT(A475/6)</f>
        <v>78</v>
      </c>
      <c r="D475" s="16" t="n">
        <f aca="false">IF(C475=0,(1+Dic2023!$G$6)^(-B475),EXP(LN(INDEX(Dic2023!$H$6:$H$205,C475))+(LN(INDEX(Dic2023!$H$6:$H$205,MIN(C475+1,200)))-LN(INDEX(Dic2023!$H$6:$H$205,C475)))*(A475-6*C475)/6))</f>
        <v>0.138532069055746</v>
      </c>
      <c r="E475" s="12" t="n">
        <f aca="false">D475^(-1/B475)-1</f>
        <v>0.0516502500000002</v>
      </c>
      <c r="F475" s="12" t="n">
        <f aca="false">(1+E475)^(1/12)-1</f>
        <v>0.00420553496807585</v>
      </c>
      <c r="G475" s="16" t="n">
        <f aca="false">IF(C475=0,(1+Dic2023!$J$6)^(-B475),EXP(LN(INDEX(Dic2023!$K$6:$K$205,C475))+(LN(INDEX(Dic2023!$K$6:$K$205,MIN(C475+1,200)))-LN(INDEX(Dic2023!$K$6:$K$205,C475)))*(A475-6*C475)/6))</f>
        <v>0.138532069055746</v>
      </c>
      <c r="H475" s="12" t="n">
        <f aca="false">G475^(-1/B475)-1</f>
        <v>0.0516502500000002</v>
      </c>
      <c r="I475" s="12" t="n">
        <f aca="false">(1+H475)^(1/12)-1</f>
        <v>0.00420553496807585</v>
      </c>
      <c r="J475" s="16" t="n">
        <f aca="false">IF(C475=0,(1+Dic2023!$M$6)^(-B475),EXP(LN(INDEX(Dic2023!$N$6:$N$205,C475))+(LN(INDEX(Dic2023!$N$6:$N$205,MIN(C475+1,200)))-LN(INDEX(Dic2023!$N$6:$N$205,C475)))*(A475-6*C475)/6))</f>
        <v>0.138532069055746</v>
      </c>
      <c r="K475" s="12" t="n">
        <f aca="false">J475^(-1/B475)-1</f>
        <v>0.0516502500000002</v>
      </c>
      <c r="L475" s="12" t="n">
        <f aca="false">(1+K475)^(1/12)-1</f>
        <v>0.00420553496807585</v>
      </c>
    </row>
    <row r="476" customFormat="false" ht="15" hidden="false" customHeight="false" outlineLevel="0" collapsed="false">
      <c r="A476" s="4" t="n">
        <v>472</v>
      </c>
      <c r="B476" s="14" t="n">
        <f aca="false">A476/12</f>
        <v>39.3333333333333</v>
      </c>
      <c r="C476" s="15" t="n">
        <f aca="false">INT(A476/6)</f>
        <v>78</v>
      </c>
      <c r="D476" s="16" t="n">
        <f aca="false">IF(C476=0,(1+Dic2023!$G$6)^(-B476),EXP(LN(INDEX(Dic2023!$H$6:$H$205,C476))+(LN(INDEX(Dic2023!$H$6:$H$205,MIN(C476+1,200)))-LN(INDEX(Dic2023!$H$6:$H$205,C476)))*(A476-6*C476)/6))</f>
        <v>0.137951907484905</v>
      </c>
      <c r="E476" s="12" t="n">
        <f aca="false">D476^(-1/B476)-1</f>
        <v>0.0516502500000002</v>
      </c>
      <c r="F476" s="12" t="n">
        <f aca="false">(1+E476)^(1/12)-1</f>
        <v>0.00420553496807585</v>
      </c>
      <c r="G476" s="16" t="n">
        <f aca="false">IF(C476=0,(1+Dic2023!$J$6)^(-B476),EXP(LN(INDEX(Dic2023!$K$6:$K$205,C476))+(LN(INDEX(Dic2023!$K$6:$K$205,MIN(C476+1,200)))-LN(INDEX(Dic2023!$K$6:$K$205,C476)))*(A476-6*C476)/6))</f>
        <v>0.137951907484905</v>
      </c>
      <c r="H476" s="12" t="n">
        <f aca="false">G476^(-1/B476)-1</f>
        <v>0.0516502500000002</v>
      </c>
      <c r="I476" s="12" t="n">
        <f aca="false">(1+H476)^(1/12)-1</f>
        <v>0.00420553496807585</v>
      </c>
      <c r="J476" s="16" t="n">
        <f aca="false">IF(C476=0,(1+Dic2023!$M$6)^(-B476),EXP(LN(INDEX(Dic2023!$N$6:$N$205,C476))+(LN(INDEX(Dic2023!$N$6:$N$205,MIN(C476+1,200)))-LN(INDEX(Dic2023!$N$6:$N$205,C476)))*(A476-6*C476)/6))</f>
        <v>0.137951907484905</v>
      </c>
      <c r="K476" s="12" t="n">
        <f aca="false">J476^(-1/B476)-1</f>
        <v>0.0516502500000002</v>
      </c>
      <c r="L476" s="12" t="n">
        <f aca="false">(1+K476)^(1/12)-1</f>
        <v>0.00420553496807585</v>
      </c>
    </row>
    <row r="477" customFormat="false" ht="15" hidden="false" customHeight="false" outlineLevel="0" collapsed="false">
      <c r="A477" s="4" t="n">
        <v>473</v>
      </c>
      <c r="B477" s="14" t="n">
        <f aca="false">A477/12</f>
        <v>39.4166666666667</v>
      </c>
      <c r="C477" s="15" t="n">
        <f aca="false">INT(A477/6)</f>
        <v>78</v>
      </c>
      <c r="D477" s="16" t="n">
        <f aca="false">IF(C477=0,(1+Dic2023!$G$6)^(-B477),EXP(LN(INDEX(Dic2023!$H$6:$H$205,C477))+(LN(INDEX(Dic2023!$H$6:$H$205,MIN(C477+1,200)))-LN(INDEX(Dic2023!$H$6:$H$205,C477)))*(A477-6*C477)/6))</f>
        <v>0.137374175585769</v>
      </c>
      <c r="E477" s="12" t="n">
        <f aca="false">D477^(-1/B477)-1</f>
        <v>0.0516502500000002</v>
      </c>
      <c r="F477" s="12" t="n">
        <f aca="false">(1+E477)^(1/12)-1</f>
        <v>0.00420553496807585</v>
      </c>
      <c r="G477" s="16" t="n">
        <f aca="false">IF(C477=0,(1+Dic2023!$J$6)^(-B477),EXP(LN(INDEX(Dic2023!$K$6:$K$205,C477))+(LN(INDEX(Dic2023!$K$6:$K$205,MIN(C477+1,200)))-LN(INDEX(Dic2023!$K$6:$K$205,C477)))*(A477-6*C477)/6))</f>
        <v>0.137374175585769</v>
      </c>
      <c r="H477" s="12" t="n">
        <f aca="false">G477^(-1/B477)-1</f>
        <v>0.0516502500000002</v>
      </c>
      <c r="I477" s="12" t="n">
        <f aca="false">(1+H477)^(1/12)-1</f>
        <v>0.00420553496807585</v>
      </c>
      <c r="J477" s="16" t="n">
        <f aca="false">IF(C477=0,(1+Dic2023!$M$6)^(-B477),EXP(LN(INDEX(Dic2023!$N$6:$N$205,C477))+(LN(INDEX(Dic2023!$N$6:$N$205,MIN(C477+1,200)))-LN(INDEX(Dic2023!$N$6:$N$205,C477)))*(A477-6*C477)/6))</f>
        <v>0.137374175585769</v>
      </c>
      <c r="K477" s="12" t="n">
        <f aca="false">J477^(-1/B477)-1</f>
        <v>0.0516502500000002</v>
      </c>
      <c r="L477" s="12" t="n">
        <f aca="false">(1+K477)^(1/12)-1</f>
        <v>0.00420553496807585</v>
      </c>
    </row>
    <row r="478" customFormat="false" ht="15" hidden="false" customHeight="false" outlineLevel="0" collapsed="false">
      <c r="A478" s="4" t="n">
        <v>474</v>
      </c>
      <c r="B478" s="14" t="n">
        <f aca="false">A478/12</f>
        <v>39.5</v>
      </c>
      <c r="C478" s="15" t="n">
        <f aca="false">INT(A478/6)</f>
        <v>79</v>
      </c>
      <c r="D478" s="16" t="n">
        <f aca="false">IF(C478=0,(1+Dic2023!$G$6)^(-B478),EXP(LN(INDEX(Dic2023!$H$6:$H$205,C478))+(LN(INDEX(Dic2023!$H$6:$H$205,MIN(C478+1,200)))-LN(INDEX(Dic2023!$H$6:$H$205,C478)))*(A478-6*C478)/6))</f>
        <v>0.136798863183059</v>
      </c>
      <c r="E478" s="12" t="n">
        <f aca="false">D478^(-1/B478)-1</f>
        <v>0.0516502500000002</v>
      </c>
      <c r="F478" s="12" t="n">
        <f aca="false">(1+E478)^(1/12)-1</f>
        <v>0.00420553496807585</v>
      </c>
      <c r="G478" s="16" t="n">
        <f aca="false">IF(C478=0,(1+Dic2023!$J$6)^(-B478),EXP(LN(INDEX(Dic2023!$K$6:$K$205,C478))+(LN(INDEX(Dic2023!$K$6:$K$205,MIN(C478+1,200)))-LN(INDEX(Dic2023!$K$6:$K$205,C478)))*(A478-6*C478)/6))</f>
        <v>0.136798863183059</v>
      </c>
      <c r="H478" s="12" t="n">
        <f aca="false">G478^(-1/B478)-1</f>
        <v>0.0516502500000002</v>
      </c>
      <c r="I478" s="12" t="n">
        <f aca="false">(1+H478)^(1/12)-1</f>
        <v>0.00420553496807585</v>
      </c>
      <c r="J478" s="16" t="n">
        <f aca="false">IF(C478=0,(1+Dic2023!$M$6)^(-B478),EXP(LN(INDEX(Dic2023!$N$6:$N$205,C478))+(LN(INDEX(Dic2023!$N$6:$N$205,MIN(C478+1,200)))-LN(INDEX(Dic2023!$N$6:$N$205,C478)))*(A478-6*C478)/6))</f>
        <v>0.136798863183059</v>
      </c>
      <c r="K478" s="12" t="n">
        <f aca="false">J478^(-1/B478)-1</f>
        <v>0.0516502500000002</v>
      </c>
      <c r="L478" s="12" t="n">
        <f aca="false">(1+K478)^(1/12)-1</f>
        <v>0.00420553496807585</v>
      </c>
    </row>
    <row r="479" customFormat="false" ht="15" hidden="false" customHeight="false" outlineLevel="0" collapsed="false">
      <c r="A479" s="4" t="n">
        <v>475</v>
      </c>
      <c r="B479" s="14" t="n">
        <f aca="false">A479/12</f>
        <v>39.5833333333333</v>
      </c>
      <c r="C479" s="15" t="n">
        <f aca="false">INT(A479/6)</f>
        <v>79</v>
      </c>
      <c r="D479" s="16" t="n">
        <f aca="false">IF(C479=0,(1+Dic2023!$G$6)^(-B479),EXP(LN(INDEX(Dic2023!$H$6:$H$205,C479))+(LN(INDEX(Dic2023!$H$6:$H$205,MIN(C479+1,200)))-LN(INDEX(Dic2023!$H$6:$H$205,C479)))*(A479-6*C479)/6))</f>
        <v>0.136225960144114</v>
      </c>
      <c r="E479" s="12" t="n">
        <f aca="false">D479^(-1/B479)-1</f>
        <v>0.0516502500000002</v>
      </c>
      <c r="F479" s="12" t="n">
        <f aca="false">(1+E479)^(1/12)-1</f>
        <v>0.00420553496807585</v>
      </c>
      <c r="G479" s="16" t="n">
        <f aca="false">IF(C479=0,(1+Dic2023!$J$6)^(-B479),EXP(LN(INDEX(Dic2023!$K$6:$K$205,C479))+(LN(INDEX(Dic2023!$K$6:$K$205,MIN(C479+1,200)))-LN(INDEX(Dic2023!$K$6:$K$205,C479)))*(A479-6*C479)/6))</f>
        <v>0.136225960144114</v>
      </c>
      <c r="H479" s="12" t="n">
        <f aca="false">G479^(-1/B479)-1</f>
        <v>0.0516502500000002</v>
      </c>
      <c r="I479" s="12" t="n">
        <f aca="false">(1+H479)^(1/12)-1</f>
        <v>0.00420553496807585</v>
      </c>
      <c r="J479" s="16" t="n">
        <f aca="false">IF(C479=0,(1+Dic2023!$M$6)^(-B479),EXP(LN(INDEX(Dic2023!$N$6:$N$205,C479))+(LN(INDEX(Dic2023!$N$6:$N$205,MIN(C479+1,200)))-LN(INDEX(Dic2023!$N$6:$N$205,C479)))*(A479-6*C479)/6))</f>
        <v>0.136225960144114</v>
      </c>
      <c r="K479" s="12" t="n">
        <f aca="false">J479^(-1/B479)-1</f>
        <v>0.0516502500000002</v>
      </c>
      <c r="L479" s="12" t="n">
        <f aca="false">(1+K479)^(1/12)-1</f>
        <v>0.00420553496807585</v>
      </c>
    </row>
    <row r="480" customFormat="false" ht="15" hidden="false" customHeight="false" outlineLevel="0" collapsed="false">
      <c r="A480" s="4" t="n">
        <v>476</v>
      </c>
      <c r="B480" s="14" t="n">
        <f aca="false">A480/12</f>
        <v>39.6666666666667</v>
      </c>
      <c r="C480" s="15" t="n">
        <f aca="false">INT(A480/6)</f>
        <v>79</v>
      </c>
      <c r="D480" s="16" t="n">
        <f aca="false">IF(C480=0,(1+Dic2023!$G$6)^(-B480),EXP(LN(INDEX(Dic2023!$H$6:$H$205,C480))+(LN(INDEX(Dic2023!$H$6:$H$205,MIN(C480+1,200)))-LN(INDEX(Dic2023!$H$6:$H$205,C480)))*(A480-6*C480)/6))</f>
        <v>0.135655456378703</v>
      </c>
      <c r="E480" s="12" t="n">
        <f aca="false">D480^(-1/B480)-1</f>
        <v>0.0516502500000002</v>
      </c>
      <c r="F480" s="12" t="n">
        <f aca="false">(1+E480)^(1/12)-1</f>
        <v>0.00420553496807585</v>
      </c>
      <c r="G480" s="16" t="n">
        <f aca="false">IF(C480=0,(1+Dic2023!$J$6)^(-B480),EXP(LN(INDEX(Dic2023!$K$6:$K$205,C480))+(LN(INDEX(Dic2023!$K$6:$K$205,MIN(C480+1,200)))-LN(INDEX(Dic2023!$K$6:$K$205,C480)))*(A480-6*C480)/6))</f>
        <v>0.135655456378703</v>
      </c>
      <c r="H480" s="12" t="n">
        <f aca="false">G480^(-1/B480)-1</f>
        <v>0.0516502500000002</v>
      </c>
      <c r="I480" s="12" t="n">
        <f aca="false">(1+H480)^(1/12)-1</f>
        <v>0.00420553496807585</v>
      </c>
      <c r="J480" s="16" t="n">
        <f aca="false">IF(C480=0,(1+Dic2023!$M$6)^(-B480),EXP(LN(INDEX(Dic2023!$N$6:$N$205,C480))+(LN(INDEX(Dic2023!$N$6:$N$205,MIN(C480+1,200)))-LN(INDEX(Dic2023!$N$6:$N$205,C480)))*(A480-6*C480)/6))</f>
        <v>0.135655456378703</v>
      </c>
      <c r="K480" s="12" t="n">
        <f aca="false">J480^(-1/B480)-1</f>
        <v>0.0516502500000002</v>
      </c>
      <c r="L480" s="12" t="n">
        <f aca="false">(1+K480)^(1/12)-1</f>
        <v>0.00420553496807585</v>
      </c>
    </row>
    <row r="481" customFormat="false" ht="15" hidden="false" customHeight="false" outlineLevel="0" collapsed="false">
      <c r="A481" s="4" t="n">
        <v>477</v>
      </c>
      <c r="B481" s="14" t="n">
        <f aca="false">A481/12</f>
        <v>39.75</v>
      </c>
      <c r="C481" s="15" t="n">
        <f aca="false">INT(A481/6)</f>
        <v>79</v>
      </c>
      <c r="D481" s="16" t="n">
        <f aca="false">IF(C481=0,(1+Dic2023!$G$6)^(-B481),EXP(LN(INDEX(Dic2023!$H$6:$H$205,C481))+(LN(INDEX(Dic2023!$H$6:$H$205,MIN(C481+1,200)))-LN(INDEX(Dic2023!$H$6:$H$205,C481)))*(A481-6*C481)/6))</f>
        <v>0.135087341838855</v>
      </c>
      <c r="E481" s="12" t="n">
        <f aca="false">D481^(-1/B481)-1</f>
        <v>0.0516502500000002</v>
      </c>
      <c r="F481" s="12" t="n">
        <f aca="false">(1+E481)^(1/12)-1</f>
        <v>0.00420553496807585</v>
      </c>
      <c r="G481" s="16" t="n">
        <f aca="false">IF(C481=0,(1+Dic2023!$J$6)^(-B481),EXP(LN(INDEX(Dic2023!$K$6:$K$205,C481))+(LN(INDEX(Dic2023!$K$6:$K$205,MIN(C481+1,200)))-LN(INDEX(Dic2023!$K$6:$K$205,C481)))*(A481-6*C481)/6))</f>
        <v>0.135087341838855</v>
      </c>
      <c r="H481" s="12" t="n">
        <f aca="false">G481^(-1/B481)-1</f>
        <v>0.0516502500000002</v>
      </c>
      <c r="I481" s="12" t="n">
        <f aca="false">(1+H481)^(1/12)-1</f>
        <v>0.00420553496807585</v>
      </c>
      <c r="J481" s="16" t="n">
        <f aca="false">IF(C481=0,(1+Dic2023!$M$6)^(-B481),EXP(LN(INDEX(Dic2023!$N$6:$N$205,C481))+(LN(INDEX(Dic2023!$N$6:$N$205,MIN(C481+1,200)))-LN(INDEX(Dic2023!$N$6:$N$205,C481)))*(A481-6*C481)/6))</f>
        <v>0.135087341838855</v>
      </c>
      <c r="K481" s="12" t="n">
        <f aca="false">J481^(-1/B481)-1</f>
        <v>0.0516502500000002</v>
      </c>
      <c r="L481" s="12" t="n">
        <f aca="false">(1+K481)^(1/12)-1</f>
        <v>0.00420553496807585</v>
      </c>
    </row>
    <row r="482" customFormat="false" ht="15" hidden="false" customHeight="false" outlineLevel="0" collapsed="false">
      <c r="A482" s="4" t="n">
        <v>478</v>
      </c>
      <c r="B482" s="14" t="n">
        <f aca="false">A482/12</f>
        <v>39.8333333333333</v>
      </c>
      <c r="C482" s="15" t="n">
        <f aca="false">INT(A482/6)</f>
        <v>79</v>
      </c>
      <c r="D482" s="16" t="n">
        <f aca="false">IF(C482=0,(1+Dic2023!$G$6)^(-B482),EXP(LN(INDEX(Dic2023!$H$6:$H$205,C482))+(LN(INDEX(Dic2023!$H$6:$H$205,MIN(C482+1,200)))-LN(INDEX(Dic2023!$H$6:$H$205,C482)))*(A482-6*C482)/6))</f>
        <v>0.134521606518679</v>
      </c>
      <c r="E482" s="12" t="n">
        <f aca="false">D482^(-1/B482)-1</f>
        <v>0.0516502500000002</v>
      </c>
      <c r="F482" s="12" t="n">
        <f aca="false">(1+E482)^(1/12)-1</f>
        <v>0.00420553496807585</v>
      </c>
      <c r="G482" s="16" t="n">
        <f aca="false">IF(C482=0,(1+Dic2023!$J$6)^(-B482),EXP(LN(INDEX(Dic2023!$K$6:$K$205,C482))+(LN(INDEX(Dic2023!$K$6:$K$205,MIN(C482+1,200)))-LN(INDEX(Dic2023!$K$6:$K$205,C482)))*(A482-6*C482)/6))</f>
        <v>0.134521606518679</v>
      </c>
      <c r="H482" s="12" t="n">
        <f aca="false">G482^(-1/B482)-1</f>
        <v>0.0516502500000002</v>
      </c>
      <c r="I482" s="12" t="n">
        <f aca="false">(1+H482)^(1/12)-1</f>
        <v>0.00420553496807585</v>
      </c>
      <c r="J482" s="16" t="n">
        <f aca="false">IF(C482=0,(1+Dic2023!$M$6)^(-B482),EXP(LN(INDEX(Dic2023!$N$6:$N$205,C482))+(LN(INDEX(Dic2023!$N$6:$N$205,MIN(C482+1,200)))-LN(INDEX(Dic2023!$N$6:$N$205,C482)))*(A482-6*C482)/6))</f>
        <v>0.134521606518679</v>
      </c>
      <c r="K482" s="12" t="n">
        <f aca="false">J482^(-1/B482)-1</f>
        <v>0.0516502500000002</v>
      </c>
      <c r="L482" s="12" t="n">
        <f aca="false">(1+K482)^(1/12)-1</f>
        <v>0.00420553496807585</v>
      </c>
    </row>
    <row r="483" customFormat="false" ht="15" hidden="false" customHeight="false" outlineLevel="0" collapsed="false">
      <c r="A483" s="4" t="n">
        <v>479</v>
      </c>
      <c r="B483" s="14" t="n">
        <f aca="false">A483/12</f>
        <v>39.9166666666667</v>
      </c>
      <c r="C483" s="15" t="n">
        <f aca="false">INT(A483/6)</f>
        <v>79</v>
      </c>
      <c r="D483" s="16" t="n">
        <f aca="false">IF(C483=0,(1+Dic2023!$G$6)^(-B483),EXP(LN(INDEX(Dic2023!$H$6:$H$205,C483))+(LN(INDEX(Dic2023!$H$6:$H$205,MIN(C483+1,200)))-LN(INDEX(Dic2023!$H$6:$H$205,C483)))*(A483-6*C483)/6))</f>
        <v>0.133958240454187</v>
      </c>
      <c r="E483" s="12" t="n">
        <f aca="false">D483^(-1/B483)-1</f>
        <v>0.0516502500000002</v>
      </c>
      <c r="F483" s="12" t="n">
        <f aca="false">(1+E483)^(1/12)-1</f>
        <v>0.00420553496807585</v>
      </c>
      <c r="G483" s="16" t="n">
        <f aca="false">IF(C483=0,(1+Dic2023!$J$6)^(-B483),EXP(LN(INDEX(Dic2023!$K$6:$K$205,C483))+(LN(INDEX(Dic2023!$K$6:$K$205,MIN(C483+1,200)))-LN(INDEX(Dic2023!$K$6:$K$205,C483)))*(A483-6*C483)/6))</f>
        <v>0.133958240454187</v>
      </c>
      <c r="H483" s="12" t="n">
        <f aca="false">G483^(-1/B483)-1</f>
        <v>0.0516502500000002</v>
      </c>
      <c r="I483" s="12" t="n">
        <f aca="false">(1+H483)^(1/12)-1</f>
        <v>0.00420553496807585</v>
      </c>
      <c r="J483" s="16" t="n">
        <f aca="false">IF(C483=0,(1+Dic2023!$M$6)^(-B483),EXP(LN(INDEX(Dic2023!$N$6:$N$205,C483))+(LN(INDEX(Dic2023!$N$6:$N$205,MIN(C483+1,200)))-LN(INDEX(Dic2023!$N$6:$N$205,C483)))*(A483-6*C483)/6))</f>
        <v>0.133958240454187</v>
      </c>
      <c r="K483" s="12" t="n">
        <f aca="false">J483^(-1/B483)-1</f>
        <v>0.0516502500000002</v>
      </c>
      <c r="L483" s="12" t="n">
        <f aca="false">(1+K483)^(1/12)-1</f>
        <v>0.00420553496807585</v>
      </c>
    </row>
    <row r="484" customFormat="false" ht="15" hidden="false" customHeight="false" outlineLevel="0" collapsed="false">
      <c r="A484" s="4" t="n">
        <v>480</v>
      </c>
      <c r="B484" s="14" t="n">
        <f aca="false">A484/12</f>
        <v>40</v>
      </c>
      <c r="C484" s="15" t="n">
        <f aca="false">INT(A484/6)</f>
        <v>80</v>
      </c>
      <c r="D484" s="16" t="n">
        <f aca="false">IF(C484=0,(1+Dic2023!$G$6)^(-B484),EXP(LN(INDEX(Dic2023!$H$6:$H$205,C484))+(LN(INDEX(Dic2023!$H$6:$H$205,MIN(C484+1,200)))-LN(INDEX(Dic2023!$H$6:$H$205,C484)))*(A484-6*C484)/6))</f>
        <v>0.13339723372312</v>
      </c>
      <c r="E484" s="12" t="n">
        <f aca="false">D484^(-1/B484)-1</f>
        <v>0.0516502500000002</v>
      </c>
      <c r="F484" s="12" t="n">
        <f aca="false">(1+E484)^(1/12)-1</f>
        <v>0.00420553496807585</v>
      </c>
      <c r="G484" s="16" t="n">
        <f aca="false">IF(C484=0,(1+Dic2023!$J$6)^(-B484),EXP(LN(INDEX(Dic2023!$K$6:$K$205,C484))+(LN(INDEX(Dic2023!$K$6:$K$205,MIN(C484+1,200)))-LN(INDEX(Dic2023!$K$6:$K$205,C484)))*(A484-6*C484)/6))</f>
        <v>0.13339723372312</v>
      </c>
      <c r="H484" s="12" t="n">
        <f aca="false">G484^(-1/B484)-1</f>
        <v>0.0516502500000002</v>
      </c>
      <c r="I484" s="12" t="n">
        <f aca="false">(1+H484)^(1/12)-1</f>
        <v>0.00420553496807585</v>
      </c>
      <c r="J484" s="16" t="n">
        <f aca="false">IF(C484=0,(1+Dic2023!$M$6)^(-B484),EXP(LN(INDEX(Dic2023!$N$6:$N$205,C484))+(LN(INDEX(Dic2023!$N$6:$N$205,MIN(C484+1,200)))-LN(INDEX(Dic2023!$N$6:$N$205,C484)))*(A484-6*C484)/6))</f>
        <v>0.13339723372312</v>
      </c>
      <c r="K484" s="12" t="n">
        <f aca="false">J484^(-1/B484)-1</f>
        <v>0.0516502500000002</v>
      </c>
      <c r="L484" s="12" t="n">
        <f aca="false">(1+K484)^(1/12)-1</f>
        <v>0.00420553496807585</v>
      </c>
    </row>
    <row r="485" customFormat="false" ht="15" hidden="false" customHeight="false" outlineLevel="0" collapsed="false">
      <c r="A485" s="4" t="n">
        <v>481</v>
      </c>
      <c r="B485" s="14" t="n">
        <f aca="false">A485/12</f>
        <v>40.0833333333333</v>
      </c>
      <c r="C485" s="15" t="n">
        <f aca="false">INT(A485/6)</f>
        <v>80</v>
      </c>
      <c r="D485" s="16" t="n">
        <f aca="false">IF(C485=0,(1+Dic2023!$G$6)^(-B485),EXP(LN(INDEX(Dic2023!$H$6:$H$205,C485))+(LN(INDEX(Dic2023!$H$6:$H$205,MIN(C485+1,200)))-LN(INDEX(Dic2023!$H$6:$H$205,C485)))*(A485-6*C485)/6))</f>
        <v>0.132838576444772</v>
      </c>
      <c r="E485" s="12" t="n">
        <f aca="false">D485^(-1/B485)-1</f>
        <v>0.0516502500000002</v>
      </c>
      <c r="F485" s="12" t="n">
        <f aca="false">(1+E485)^(1/12)-1</f>
        <v>0.00420553496807585</v>
      </c>
      <c r="G485" s="16" t="n">
        <f aca="false">IF(C485=0,(1+Dic2023!$J$6)^(-B485),EXP(LN(INDEX(Dic2023!$K$6:$K$205,C485))+(LN(INDEX(Dic2023!$K$6:$K$205,MIN(C485+1,200)))-LN(INDEX(Dic2023!$K$6:$K$205,C485)))*(A485-6*C485)/6))</f>
        <v>0.132838576444772</v>
      </c>
      <c r="H485" s="12" t="n">
        <f aca="false">G485^(-1/B485)-1</f>
        <v>0.0516502500000002</v>
      </c>
      <c r="I485" s="12" t="n">
        <f aca="false">(1+H485)^(1/12)-1</f>
        <v>0.00420553496807585</v>
      </c>
      <c r="J485" s="16" t="n">
        <f aca="false">IF(C485=0,(1+Dic2023!$M$6)^(-B485),EXP(LN(INDEX(Dic2023!$N$6:$N$205,C485))+(LN(INDEX(Dic2023!$N$6:$N$205,MIN(C485+1,200)))-LN(INDEX(Dic2023!$N$6:$N$205,C485)))*(A485-6*C485)/6))</f>
        <v>0.132838576444772</v>
      </c>
      <c r="K485" s="12" t="n">
        <f aca="false">J485^(-1/B485)-1</f>
        <v>0.0516502500000002</v>
      </c>
      <c r="L485" s="12" t="n">
        <f aca="false">(1+K485)^(1/12)-1</f>
        <v>0.00420553496807585</v>
      </c>
    </row>
    <row r="486" customFormat="false" ht="15" hidden="false" customHeight="false" outlineLevel="0" collapsed="false">
      <c r="A486" s="4" t="n">
        <v>482</v>
      </c>
      <c r="B486" s="14" t="n">
        <f aca="false">A486/12</f>
        <v>40.1666666666667</v>
      </c>
      <c r="C486" s="15" t="n">
        <f aca="false">INT(A486/6)</f>
        <v>80</v>
      </c>
      <c r="D486" s="16" t="n">
        <f aca="false">IF(C486=0,(1+Dic2023!$G$6)^(-B486),EXP(LN(INDEX(Dic2023!$H$6:$H$205,C486))+(LN(INDEX(Dic2023!$H$6:$H$205,MIN(C486+1,200)))-LN(INDEX(Dic2023!$H$6:$H$205,C486)))*(A486-6*C486)/6))</f>
        <v>0.132282258779817</v>
      </c>
      <c r="E486" s="12" t="n">
        <f aca="false">D486^(-1/B486)-1</f>
        <v>0.0516502500000002</v>
      </c>
      <c r="F486" s="12" t="n">
        <f aca="false">(1+E486)^(1/12)-1</f>
        <v>0.00420553496807585</v>
      </c>
      <c r="G486" s="16" t="n">
        <f aca="false">IF(C486=0,(1+Dic2023!$J$6)^(-B486),EXP(LN(INDEX(Dic2023!$K$6:$K$205,C486))+(LN(INDEX(Dic2023!$K$6:$K$205,MIN(C486+1,200)))-LN(INDEX(Dic2023!$K$6:$K$205,C486)))*(A486-6*C486)/6))</f>
        <v>0.132282258779817</v>
      </c>
      <c r="H486" s="12" t="n">
        <f aca="false">G486^(-1/B486)-1</f>
        <v>0.0516502500000002</v>
      </c>
      <c r="I486" s="12" t="n">
        <f aca="false">(1+H486)^(1/12)-1</f>
        <v>0.00420553496807585</v>
      </c>
      <c r="J486" s="16" t="n">
        <f aca="false">IF(C486=0,(1+Dic2023!$M$6)^(-B486),EXP(LN(INDEX(Dic2023!$N$6:$N$205,C486))+(LN(INDEX(Dic2023!$N$6:$N$205,MIN(C486+1,200)))-LN(INDEX(Dic2023!$N$6:$N$205,C486)))*(A486-6*C486)/6))</f>
        <v>0.132282258779817</v>
      </c>
      <c r="K486" s="12" t="n">
        <f aca="false">J486^(-1/B486)-1</f>
        <v>0.0516502500000002</v>
      </c>
      <c r="L486" s="12" t="n">
        <f aca="false">(1+K486)^(1/12)-1</f>
        <v>0.00420553496807585</v>
      </c>
    </row>
    <row r="487" customFormat="false" ht="15" hidden="false" customHeight="false" outlineLevel="0" collapsed="false">
      <c r="A487" s="4" t="n">
        <v>483</v>
      </c>
      <c r="B487" s="14" t="n">
        <f aca="false">A487/12</f>
        <v>40.25</v>
      </c>
      <c r="C487" s="15" t="n">
        <f aca="false">INT(A487/6)</f>
        <v>80</v>
      </c>
      <c r="D487" s="16" t="n">
        <f aca="false">IF(C487=0,(1+Dic2023!$G$6)^(-B487),EXP(LN(INDEX(Dic2023!$H$6:$H$205,C487))+(LN(INDEX(Dic2023!$H$6:$H$205,MIN(C487+1,200)))-LN(INDEX(Dic2023!$H$6:$H$205,C487)))*(A487-6*C487)/6))</f>
        <v>0.131728270930137</v>
      </c>
      <c r="E487" s="12" t="n">
        <f aca="false">D487^(-1/B487)-1</f>
        <v>0.0516502500000002</v>
      </c>
      <c r="F487" s="12" t="n">
        <f aca="false">(1+E487)^(1/12)-1</f>
        <v>0.00420553496807585</v>
      </c>
      <c r="G487" s="16" t="n">
        <f aca="false">IF(C487=0,(1+Dic2023!$J$6)^(-B487),EXP(LN(INDEX(Dic2023!$K$6:$K$205,C487))+(LN(INDEX(Dic2023!$K$6:$K$205,MIN(C487+1,200)))-LN(INDEX(Dic2023!$K$6:$K$205,C487)))*(A487-6*C487)/6))</f>
        <v>0.131728270930137</v>
      </c>
      <c r="H487" s="12" t="n">
        <f aca="false">G487^(-1/B487)-1</f>
        <v>0.0516502500000002</v>
      </c>
      <c r="I487" s="12" t="n">
        <f aca="false">(1+H487)^(1/12)-1</f>
        <v>0.00420553496807585</v>
      </c>
      <c r="J487" s="16" t="n">
        <f aca="false">IF(C487=0,(1+Dic2023!$M$6)^(-B487),EXP(LN(INDEX(Dic2023!$N$6:$N$205,C487))+(LN(INDEX(Dic2023!$N$6:$N$205,MIN(C487+1,200)))-LN(INDEX(Dic2023!$N$6:$N$205,C487)))*(A487-6*C487)/6))</f>
        <v>0.131728270930137</v>
      </c>
      <c r="K487" s="12" t="n">
        <f aca="false">J487^(-1/B487)-1</f>
        <v>0.0516502500000002</v>
      </c>
      <c r="L487" s="12" t="n">
        <f aca="false">(1+K487)^(1/12)-1</f>
        <v>0.00420553496807585</v>
      </c>
    </row>
    <row r="488" customFormat="false" ht="15" hidden="false" customHeight="false" outlineLevel="0" collapsed="false">
      <c r="A488" s="4" t="n">
        <v>484</v>
      </c>
      <c r="B488" s="14" t="n">
        <f aca="false">A488/12</f>
        <v>40.3333333333333</v>
      </c>
      <c r="C488" s="15" t="n">
        <f aca="false">INT(A488/6)</f>
        <v>80</v>
      </c>
      <c r="D488" s="16" t="n">
        <f aca="false">IF(C488=0,(1+Dic2023!$G$6)^(-B488),EXP(LN(INDEX(Dic2023!$H$6:$H$205,C488))+(LN(INDEX(Dic2023!$H$6:$H$205,MIN(C488+1,200)))-LN(INDEX(Dic2023!$H$6:$H$205,C488)))*(A488-6*C488)/6))</f>
        <v>0.131176603138644</v>
      </c>
      <c r="E488" s="12" t="n">
        <f aca="false">D488^(-1/B488)-1</f>
        <v>0.0516502500000002</v>
      </c>
      <c r="F488" s="12" t="n">
        <f aca="false">(1+E488)^(1/12)-1</f>
        <v>0.00420553496807585</v>
      </c>
      <c r="G488" s="16" t="n">
        <f aca="false">IF(C488=0,(1+Dic2023!$J$6)^(-B488),EXP(LN(INDEX(Dic2023!$K$6:$K$205,C488))+(LN(INDEX(Dic2023!$K$6:$K$205,MIN(C488+1,200)))-LN(INDEX(Dic2023!$K$6:$K$205,C488)))*(A488-6*C488)/6))</f>
        <v>0.131176603138644</v>
      </c>
      <c r="H488" s="12" t="n">
        <f aca="false">G488^(-1/B488)-1</f>
        <v>0.0516502500000002</v>
      </c>
      <c r="I488" s="12" t="n">
        <f aca="false">(1+H488)^(1/12)-1</f>
        <v>0.00420553496807585</v>
      </c>
      <c r="J488" s="16" t="n">
        <f aca="false">IF(C488=0,(1+Dic2023!$M$6)^(-B488),EXP(LN(INDEX(Dic2023!$N$6:$N$205,C488))+(LN(INDEX(Dic2023!$N$6:$N$205,MIN(C488+1,200)))-LN(INDEX(Dic2023!$N$6:$N$205,C488)))*(A488-6*C488)/6))</f>
        <v>0.131176603138644</v>
      </c>
      <c r="K488" s="12" t="n">
        <f aca="false">J488^(-1/B488)-1</f>
        <v>0.0516502500000002</v>
      </c>
      <c r="L488" s="12" t="n">
        <f aca="false">(1+K488)^(1/12)-1</f>
        <v>0.00420553496807585</v>
      </c>
    </row>
    <row r="489" customFormat="false" ht="15" hidden="false" customHeight="false" outlineLevel="0" collapsed="false">
      <c r="A489" s="4" t="n">
        <v>485</v>
      </c>
      <c r="B489" s="14" t="n">
        <f aca="false">A489/12</f>
        <v>40.4166666666667</v>
      </c>
      <c r="C489" s="15" t="n">
        <f aca="false">INT(A489/6)</f>
        <v>80</v>
      </c>
      <c r="D489" s="16" t="n">
        <f aca="false">IF(C489=0,(1+Dic2023!$G$6)^(-B489),EXP(LN(INDEX(Dic2023!$H$6:$H$205,C489))+(LN(INDEX(Dic2023!$H$6:$H$205,MIN(C489+1,200)))-LN(INDEX(Dic2023!$H$6:$H$205,C489)))*(A489-6*C489)/6))</f>
        <v>0.130627245689115</v>
      </c>
      <c r="E489" s="12" t="n">
        <f aca="false">D489^(-1/B489)-1</f>
        <v>0.0516502500000002</v>
      </c>
      <c r="F489" s="12" t="n">
        <f aca="false">(1+E489)^(1/12)-1</f>
        <v>0.00420553496807585</v>
      </c>
      <c r="G489" s="16" t="n">
        <f aca="false">IF(C489=0,(1+Dic2023!$J$6)^(-B489),EXP(LN(INDEX(Dic2023!$K$6:$K$205,C489))+(LN(INDEX(Dic2023!$K$6:$K$205,MIN(C489+1,200)))-LN(INDEX(Dic2023!$K$6:$K$205,C489)))*(A489-6*C489)/6))</f>
        <v>0.130627245689115</v>
      </c>
      <c r="H489" s="12" t="n">
        <f aca="false">G489^(-1/B489)-1</f>
        <v>0.0516502500000002</v>
      </c>
      <c r="I489" s="12" t="n">
        <f aca="false">(1+H489)^(1/12)-1</f>
        <v>0.00420553496807585</v>
      </c>
      <c r="J489" s="16" t="n">
        <f aca="false">IF(C489=0,(1+Dic2023!$M$6)^(-B489),EXP(LN(INDEX(Dic2023!$N$6:$N$205,C489))+(LN(INDEX(Dic2023!$N$6:$N$205,MIN(C489+1,200)))-LN(INDEX(Dic2023!$N$6:$N$205,C489)))*(A489-6*C489)/6))</f>
        <v>0.130627245689115</v>
      </c>
      <c r="K489" s="12" t="n">
        <f aca="false">J489^(-1/B489)-1</f>
        <v>0.0516502500000002</v>
      </c>
      <c r="L489" s="12" t="n">
        <f aca="false">(1+K489)^(1/12)-1</f>
        <v>0.00420553496807585</v>
      </c>
    </row>
    <row r="490" customFormat="false" ht="15" hidden="false" customHeight="false" outlineLevel="0" collapsed="false">
      <c r="A490" s="4" t="n">
        <v>486</v>
      </c>
      <c r="B490" s="14" t="n">
        <f aca="false">A490/12</f>
        <v>40.5</v>
      </c>
      <c r="C490" s="15" t="n">
        <f aca="false">INT(A490/6)</f>
        <v>81</v>
      </c>
      <c r="D490" s="16" t="n">
        <f aca="false">IF(C490=0,(1+Dic2023!$G$6)^(-B490),EXP(LN(INDEX(Dic2023!$H$6:$H$205,C490))+(LN(INDEX(Dic2023!$H$6:$H$205,MIN(C490+1,200)))-LN(INDEX(Dic2023!$H$6:$H$205,C490)))*(A490-6*C490)/6))</f>
        <v>0.130080188906017</v>
      </c>
      <c r="E490" s="12" t="n">
        <f aca="false">D490^(-1/B490)-1</f>
        <v>0.0516502500000002</v>
      </c>
      <c r="F490" s="12" t="n">
        <f aca="false">(1+E490)^(1/12)-1</f>
        <v>0.00420553496807585</v>
      </c>
      <c r="G490" s="16" t="n">
        <f aca="false">IF(C490=0,(1+Dic2023!$J$6)^(-B490),EXP(LN(INDEX(Dic2023!$K$6:$K$205,C490))+(LN(INDEX(Dic2023!$K$6:$K$205,MIN(C490+1,200)))-LN(INDEX(Dic2023!$K$6:$K$205,C490)))*(A490-6*C490)/6))</f>
        <v>0.130080188906017</v>
      </c>
      <c r="H490" s="12" t="n">
        <f aca="false">G490^(-1/B490)-1</f>
        <v>0.0516502500000002</v>
      </c>
      <c r="I490" s="12" t="n">
        <f aca="false">(1+H490)^(1/12)-1</f>
        <v>0.00420553496807585</v>
      </c>
      <c r="J490" s="16" t="n">
        <f aca="false">IF(C490=0,(1+Dic2023!$M$6)^(-B490),EXP(LN(INDEX(Dic2023!$N$6:$N$205,C490))+(LN(INDEX(Dic2023!$N$6:$N$205,MIN(C490+1,200)))-LN(INDEX(Dic2023!$N$6:$N$205,C490)))*(A490-6*C490)/6))</f>
        <v>0.130080188906017</v>
      </c>
      <c r="K490" s="12" t="n">
        <f aca="false">J490^(-1/B490)-1</f>
        <v>0.0516502500000002</v>
      </c>
      <c r="L490" s="12" t="n">
        <f aca="false">(1+K490)^(1/12)-1</f>
        <v>0.00420553496807585</v>
      </c>
    </row>
    <row r="491" customFormat="false" ht="15" hidden="false" customHeight="false" outlineLevel="0" collapsed="false">
      <c r="A491" s="4" t="n">
        <v>487</v>
      </c>
      <c r="B491" s="14" t="n">
        <f aca="false">A491/12</f>
        <v>40.5833333333333</v>
      </c>
      <c r="C491" s="15" t="n">
        <f aca="false">INT(A491/6)</f>
        <v>81</v>
      </c>
      <c r="D491" s="16" t="n">
        <f aca="false">IF(C491=0,(1+Dic2023!$G$6)^(-B491),EXP(LN(INDEX(Dic2023!$H$6:$H$205,C491))+(LN(INDEX(Dic2023!$H$6:$H$205,MIN(C491+1,200)))-LN(INDEX(Dic2023!$H$6:$H$205,C491)))*(A491-6*C491)/6))</f>
        <v>0.129535423154336</v>
      </c>
      <c r="E491" s="12" t="n">
        <f aca="false">D491^(-1/B491)-1</f>
        <v>0.0516502500000002</v>
      </c>
      <c r="F491" s="12" t="n">
        <f aca="false">(1+E491)^(1/12)-1</f>
        <v>0.00420553496807585</v>
      </c>
      <c r="G491" s="16" t="n">
        <f aca="false">IF(C491=0,(1+Dic2023!$J$6)^(-B491),EXP(LN(INDEX(Dic2023!$K$6:$K$205,C491))+(LN(INDEX(Dic2023!$K$6:$K$205,MIN(C491+1,200)))-LN(INDEX(Dic2023!$K$6:$K$205,C491)))*(A491-6*C491)/6))</f>
        <v>0.129535423154336</v>
      </c>
      <c r="H491" s="12" t="n">
        <f aca="false">G491^(-1/B491)-1</f>
        <v>0.0516502500000002</v>
      </c>
      <c r="I491" s="12" t="n">
        <f aca="false">(1+H491)^(1/12)-1</f>
        <v>0.00420553496807585</v>
      </c>
      <c r="J491" s="16" t="n">
        <f aca="false">IF(C491=0,(1+Dic2023!$M$6)^(-B491),EXP(LN(INDEX(Dic2023!$N$6:$N$205,C491))+(LN(INDEX(Dic2023!$N$6:$N$205,MIN(C491+1,200)))-LN(INDEX(Dic2023!$N$6:$N$205,C491)))*(A491-6*C491)/6))</f>
        <v>0.129535423154336</v>
      </c>
      <c r="K491" s="12" t="n">
        <f aca="false">J491^(-1/B491)-1</f>
        <v>0.0516502500000002</v>
      </c>
      <c r="L491" s="12" t="n">
        <f aca="false">(1+K491)^(1/12)-1</f>
        <v>0.00420553496807585</v>
      </c>
    </row>
    <row r="492" customFormat="false" ht="15" hidden="false" customHeight="false" outlineLevel="0" collapsed="false">
      <c r="A492" s="4" t="n">
        <v>488</v>
      </c>
      <c r="B492" s="14" t="n">
        <f aca="false">A492/12</f>
        <v>40.6666666666667</v>
      </c>
      <c r="C492" s="15" t="n">
        <f aca="false">INT(A492/6)</f>
        <v>81</v>
      </c>
      <c r="D492" s="16" t="n">
        <f aca="false">IF(C492=0,(1+Dic2023!$G$6)^(-B492),EXP(LN(INDEX(Dic2023!$H$6:$H$205,C492))+(LN(INDEX(Dic2023!$H$6:$H$205,MIN(C492+1,200)))-LN(INDEX(Dic2023!$H$6:$H$205,C492)))*(A492-6*C492)/6))</f>
        <v>0.128992938839412</v>
      </c>
      <c r="E492" s="12" t="n">
        <f aca="false">D492^(-1/B492)-1</f>
        <v>0.0516502500000002</v>
      </c>
      <c r="F492" s="12" t="n">
        <f aca="false">(1+E492)^(1/12)-1</f>
        <v>0.00420553496807585</v>
      </c>
      <c r="G492" s="16" t="n">
        <f aca="false">IF(C492=0,(1+Dic2023!$J$6)^(-B492),EXP(LN(INDEX(Dic2023!$K$6:$K$205,C492))+(LN(INDEX(Dic2023!$K$6:$K$205,MIN(C492+1,200)))-LN(INDEX(Dic2023!$K$6:$K$205,C492)))*(A492-6*C492)/6))</f>
        <v>0.128992938839412</v>
      </c>
      <c r="H492" s="12" t="n">
        <f aca="false">G492^(-1/B492)-1</f>
        <v>0.0516502500000002</v>
      </c>
      <c r="I492" s="12" t="n">
        <f aca="false">(1+H492)^(1/12)-1</f>
        <v>0.00420553496807585</v>
      </c>
      <c r="J492" s="16" t="n">
        <f aca="false">IF(C492=0,(1+Dic2023!$M$6)^(-B492),EXP(LN(INDEX(Dic2023!$N$6:$N$205,C492))+(LN(INDEX(Dic2023!$N$6:$N$205,MIN(C492+1,200)))-LN(INDEX(Dic2023!$N$6:$N$205,C492)))*(A492-6*C492)/6))</f>
        <v>0.128992938839412</v>
      </c>
      <c r="K492" s="12" t="n">
        <f aca="false">J492^(-1/B492)-1</f>
        <v>0.0516502500000002</v>
      </c>
      <c r="L492" s="12" t="n">
        <f aca="false">(1+K492)^(1/12)-1</f>
        <v>0.00420553496807585</v>
      </c>
    </row>
    <row r="493" customFormat="false" ht="15" hidden="false" customHeight="false" outlineLevel="0" collapsed="false">
      <c r="A493" s="4" t="n">
        <v>489</v>
      </c>
      <c r="B493" s="14" t="n">
        <f aca="false">A493/12</f>
        <v>40.75</v>
      </c>
      <c r="C493" s="15" t="n">
        <f aca="false">INT(A493/6)</f>
        <v>81</v>
      </c>
      <c r="D493" s="16" t="n">
        <f aca="false">IF(C493=0,(1+Dic2023!$G$6)^(-B493),EXP(LN(INDEX(Dic2023!$H$6:$H$205,C493))+(LN(INDEX(Dic2023!$H$6:$H$205,MIN(C493+1,200)))-LN(INDEX(Dic2023!$H$6:$H$205,C493)))*(A493-6*C493)/6))</f>
        <v>0.128452726406764</v>
      </c>
      <c r="E493" s="12" t="n">
        <f aca="false">D493^(-1/B493)-1</f>
        <v>0.0516502500000002</v>
      </c>
      <c r="F493" s="12" t="n">
        <f aca="false">(1+E493)^(1/12)-1</f>
        <v>0.00420553496807585</v>
      </c>
      <c r="G493" s="16" t="n">
        <f aca="false">IF(C493=0,(1+Dic2023!$J$6)^(-B493),EXP(LN(INDEX(Dic2023!$K$6:$K$205,C493))+(LN(INDEX(Dic2023!$K$6:$K$205,MIN(C493+1,200)))-LN(INDEX(Dic2023!$K$6:$K$205,C493)))*(A493-6*C493)/6))</f>
        <v>0.128452726406764</v>
      </c>
      <c r="H493" s="12" t="n">
        <f aca="false">G493^(-1/B493)-1</f>
        <v>0.0516502500000002</v>
      </c>
      <c r="I493" s="12" t="n">
        <f aca="false">(1+H493)^(1/12)-1</f>
        <v>0.00420553496807585</v>
      </c>
      <c r="J493" s="16" t="n">
        <f aca="false">IF(C493=0,(1+Dic2023!$M$6)^(-B493),EXP(LN(INDEX(Dic2023!$N$6:$N$205,C493))+(LN(INDEX(Dic2023!$N$6:$N$205,MIN(C493+1,200)))-LN(INDEX(Dic2023!$N$6:$N$205,C493)))*(A493-6*C493)/6))</f>
        <v>0.128452726406764</v>
      </c>
      <c r="K493" s="12" t="n">
        <f aca="false">J493^(-1/B493)-1</f>
        <v>0.0516502500000002</v>
      </c>
      <c r="L493" s="12" t="n">
        <f aca="false">(1+K493)^(1/12)-1</f>
        <v>0.00420553496807585</v>
      </c>
    </row>
    <row r="494" customFormat="false" ht="15" hidden="false" customHeight="false" outlineLevel="0" collapsed="false">
      <c r="A494" s="4" t="n">
        <v>490</v>
      </c>
      <c r="B494" s="14" t="n">
        <f aca="false">A494/12</f>
        <v>40.8333333333333</v>
      </c>
      <c r="C494" s="15" t="n">
        <f aca="false">INT(A494/6)</f>
        <v>81</v>
      </c>
      <c r="D494" s="16" t="n">
        <f aca="false">IF(C494=0,(1+Dic2023!$G$6)^(-B494),EXP(LN(INDEX(Dic2023!$H$6:$H$205,C494))+(LN(INDEX(Dic2023!$H$6:$H$205,MIN(C494+1,200)))-LN(INDEX(Dic2023!$H$6:$H$205,C494)))*(A494-6*C494)/6))</f>
        <v>0.127914776341925</v>
      </c>
      <c r="E494" s="12" t="n">
        <f aca="false">D494^(-1/B494)-1</f>
        <v>0.0516502500000002</v>
      </c>
      <c r="F494" s="12" t="n">
        <f aca="false">(1+E494)^(1/12)-1</f>
        <v>0.00420553496807585</v>
      </c>
      <c r="G494" s="16" t="n">
        <f aca="false">IF(C494=0,(1+Dic2023!$J$6)^(-B494),EXP(LN(INDEX(Dic2023!$K$6:$K$205,C494))+(LN(INDEX(Dic2023!$K$6:$K$205,MIN(C494+1,200)))-LN(INDEX(Dic2023!$K$6:$K$205,C494)))*(A494-6*C494)/6))</f>
        <v>0.127914776341925</v>
      </c>
      <c r="H494" s="12" t="n">
        <f aca="false">G494^(-1/B494)-1</f>
        <v>0.0516502500000002</v>
      </c>
      <c r="I494" s="12" t="n">
        <f aca="false">(1+H494)^(1/12)-1</f>
        <v>0.00420553496807585</v>
      </c>
      <c r="J494" s="16" t="n">
        <f aca="false">IF(C494=0,(1+Dic2023!$M$6)^(-B494),EXP(LN(INDEX(Dic2023!$N$6:$N$205,C494))+(LN(INDEX(Dic2023!$N$6:$N$205,MIN(C494+1,200)))-LN(INDEX(Dic2023!$N$6:$N$205,C494)))*(A494-6*C494)/6))</f>
        <v>0.127914776341925</v>
      </c>
      <c r="K494" s="12" t="n">
        <f aca="false">J494^(-1/B494)-1</f>
        <v>0.0516502500000002</v>
      </c>
      <c r="L494" s="12" t="n">
        <f aca="false">(1+K494)^(1/12)-1</f>
        <v>0.00420553496807585</v>
      </c>
    </row>
    <row r="495" customFormat="false" ht="15" hidden="false" customHeight="false" outlineLevel="0" collapsed="false">
      <c r="A495" s="4" t="n">
        <v>491</v>
      </c>
      <c r="B495" s="14" t="n">
        <f aca="false">A495/12</f>
        <v>40.9166666666667</v>
      </c>
      <c r="C495" s="15" t="n">
        <f aca="false">INT(A495/6)</f>
        <v>81</v>
      </c>
      <c r="D495" s="16" t="n">
        <f aca="false">IF(C495=0,(1+Dic2023!$G$6)^(-B495),EXP(LN(INDEX(Dic2023!$H$6:$H$205,C495))+(LN(INDEX(Dic2023!$H$6:$H$205,MIN(C495+1,200)))-LN(INDEX(Dic2023!$H$6:$H$205,C495)))*(A495-6*C495)/6))</f>
        <v>0.127379079170273</v>
      </c>
      <c r="E495" s="12" t="n">
        <f aca="false">D495^(-1/B495)-1</f>
        <v>0.0516502500000002</v>
      </c>
      <c r="F495" s="12" t="n">
        <f aca="false">(1+E495)^(1/12)-1</f>
        <v>0.00420553496807585</v>
      </c>
      <c r="G495" s="16" t="n">
        <f aca="false">IF(C495=0,(1+Dic2023!$J$6)^(-B495),EXP(LN(INDEX(Dic2023!$K$6:$K$205,C495))+(LN(INDEX(Dic2023!$K$6:$K$205,MIN(C495+1,200)))-LN(INDEX(Dic2023!$K$6:$K$205,C495)))*(A495-6*C495)/6))</f>
        <v>0.127379079170273</v>
      </c>
      <c r="H495" s="12" t="n">
        <f aca="false">G495^(-1/B495)-1</f>
        <v>0.0516502500000002</v>
      </c>
      <c r="I495" s="12" t="n">
        <f aca="false">(1+H495)^(1/12)-1</f>
        <v>0.00420553496807585</v>
      </c>
      <c r="J495" s="16" t="n">
        <f aca="false">IF(C495=0,(1+Dic2023!$M$6)^(-B495),EXP(LN(INDEX(Dic2023!$N$6:$N$205,C495))+(LN(INDEX(Dic2023!$N$6:$N$205,MIN(C495+1,200)))-LN(INDEX(Dic2023!$N$6:$N$205,C495)))*(A495-6*C495)/6))</f>
        <v>0.127379079170273</v>
      </c>
      <c r="K495" s="12" t="n">
        <f aca="false">J495^(-1/B495)-1</f>
        <v>0.0516502500000002</v>
      </c>
      <c r="L495" s="12" t="n">
        <f aca="false">(1+K495)^(1/12)-1</f>
        <v>0.00420553496807585</v>
      </c>
    </row>
    <row r="496" customFormat="false" ht="15" hidden="false" customHeight="false" outlineLevel="0" collapsed="false">
      <c r="A496" s="4" t="n">
        <v>492</v>
      </c>
      <c r="B496" s="14" t="n">
        <f aca="false">A496/12</f>
        <v>41</v>
      </c>
      <c r="C496" s="15" t="n">
        <f aca="false">INT(A496/6)</f>
        <v>82</v>
      </c>
      <c r="D496" s="16" t="n">
        <f aca="false">IF(C496=0,(1+Dic2023!$G$6)^(-B496),EXP(LN(INDEX(Dic2023!$H$6:$H$205,C496))+(LN(INDEX(Dic2023!$H$6:$H$205,MIN(C496+1,200)))-LN(INDEX(Dic2023!$H$6:$H$205,C496)))*(A496-6*C496)/6))</f>
        <v>0.126845625456866</v>
      </c>
      <c r="E496" s="12" t="n">
        <f aca="false">D496^(-1/B496)-1</f>
        <v>0.0516502500000002</v>
      </c>
      <c r="F496" s="12" t="n">
        <f aca="false">(1+E496)^(1/12)-1</f>
        <v>0.00420553496807585</v>
      </c>
      <c r="G496" s="16" t="n">
        <f aca="false">IF(C496=0,(1+Dic2023!$J$6)^(-B496),EXP(LN(INDEX(Dic2023!$K$6:$K$205,C496))+(LN(INDEX(Dic2023!$K$6:$K$205,MIN(C496+1,200)))-LN(INDEX(Dic2023!$K$6:$K$205,C496)))*(A496-6*C496)/6))</f>
        <v>0.126845625456866</v>
      </c>
      <c r="H496" s="12" t="n">
        <f aca="false">G496^(-1/B496)-1</f>
        <v>0.0516502500000002</v>
      </c>
      <c r="I496" s="12" t="n">
        <f aca="false">(1+H496)^(1/12)-1</f>
        <v>0.00420553496807585</v>
      </c>
      <c r="J496" s="16" t="n">
        <f aca="false">IF(C496=0,(1+Dic2023!$M$6)^(-B496),EXP(LN(INDEX(Dic2023!$N$6:$N$205,C496))+(LN(INDEX(Dic2023!$N$6:$N$205,MIN(C496+1,200)))-LN(INDEX(Dic2023!$N$6:$N$205,C496)))*(A496-6*C496)/6))</f>
        <v>0.126845625456866</v>
      </c>
      <c r="K496" s="12" t="n">
        <f aca="false">J496^(-1/B496)-1</f>
        <v>0.0516502500000002</v>
      </c>
      <c r="L496" s="12" t="n">
        <f aca="false">(1+K496)^(1/12)-1</f>
        <v>0.00420553496807585</v>
      </c>
    </row>
    <row r="497" customFormat="false" ht="15" hidden="false" customHeight="false" outlineLevel="0" collapsed="false">
      <c r="A497" s="4" t="n">
        <v>493</v>
      </c>
      <c r="B497" s="14" t="n">
        <f aca="false">A497/12</f>
        <v>41.0833333333333</v>
      </c>
      <c r="C497" s="15" t="n">
        <f aca="false">INT(A497/6)</f>
        <v>82</v>
      </c>
      <c r="D497" s="16" t="n">
        <f aca="false">IF(C497=0,(1+Dic2023!$G$6)^(-B497),EXP(LN(INDEX(Dic2023!$H$6:$H$205,C497))+(LN(INDEX(Dic2023!$H$6:$H$205,MIN(C497+1,200)))-LN(INDEX(Dic2023!$H$6:$H$205,C497)))*(A497-6*C497)/6))</f>
        <v>0.126314405806276</v>
      </c>
      <c r="E497" s="12" t="n">
        <f aca="false">D497^(-1/B497)-1</f>
        <v>0.0516502500000002</v>
      </c>
      <c r="F497" s="12" t="n">
        <f aca="false">(1+E497)^(1/12)-1</f>
        <v>0.00420553496807585</v>
      </c>
      <c r="G497" s="16" t="n">
        <f aca="false">IF(C497=0,(1+Dic2023!$J$6)^(-B497),EXP(LN(INDEX(Dic2023!$K$6:$K$205,C497))+(LN(INDEX(Dic2023!$K$6:$K$205,MIN(C497+1,200)))-LN(INDEX(Dic2023!$K$6:$K$205,C497)))*(A497-6*C497)/6))</f>
        <v>0.126314405806276</v>
      </c>
      <c r="H497" s="12" t="n">
        <f aca="false">G497^(-1/B497)-1</f>
        <v>0.0516502500000002</v>
      </c>
      <c r="I497" s="12" t="n">
        <f aca="false">(1+H497)^(1/12)-1</f>
        <v>0.00420553496807585</v>
      </c>
      <c r="J497" s="16" t="n">
        <f aca="false">IF(C497=0,(1+Dic2023!$M$6)^(-B497),EXP(LN(INDEX(Dic2023!$N$6:$N$205,C497))+(LN(INDEX(Dic2023!$N$6:$N$205,MIN(C497+1,200)))-LN(INDEX(Dic2023!$N$6:$N$205,C497)))*(A497-6*C497)/6))</f>
        <v>0.126314405806276</v>
      </c>
      <c r="K497" s="12" t="n">
        <f aca="false">J497^(-1/B497)-1</f>
        <v>0.0516502500000002</v>
      </c>
      <c r="L497" s="12" t="n">
        <f aca="false">(1+K497)^(1/12)-1</f>
        <v>0.00420553496807585</v>
      </c>
    </row>
    <row r="498" customFormat="false" ht="15" hidden="false" customHeight="false" outlineLevel="0" collapsed="false">
      <c r="A498" s="4" t="n">
        <v>494</v>
      </c>
      <c r="B498" s="14" t="n">
        <f aca="false">A498/12</f>
        <v>41.1666666666667</v>
      </c>
      <c r="C498" s="15" t="n">
        <f aca="false">INT(A498/6)</f>
        <v>82</v>
      </c>
      <c r="D498" s="16" t="n">
        <f aca="false">IF(C498=0,(1+Dic2023!$G$6)^(-B498),EXP(LN(INDEX(Dic2023!$H$6:$H$205,C498))+(LN(INDEX(Dic2023!$H$6:$H$205,MIN(C498+1,200)))-LN(INDEX(Dic2023!$H$6:$H$205,C498)))*(A498-6*C498)/6))</f>
        <v>0.125785410862421</v>
      </c>
      <c r="E498" s="12" t="n">
        <f aca="false">D498^(-1/B498)-1</f>
        <v>0.0516502500000002</v>
      </c>
      <c r="F498" s="12" t="n">
        <f aca="false">(1+E498)^(1/12)-1</f>
        <v>0.00420553496807585</v>
      </c>
      <c r="G498" s="16" t="n">
        <f aca="false">IF(C498=0,(1+Dic2023!$J$6)^(-B498),EXP(LN(INDEX(Dic2023!$K$6:$K$205,C498))+(LN(INDEX(Dic2023!$K$6:$K$205,MIN(C498+1,200)))-LN(INDEX(Dic2023!$K$6:$K$205,C498)))*(A498-6*C498)/6))</f>
        <v>0.125785410862421</v>
      </c>
      <c r="H498" s="12" t="n">
        <f aca="false">G498^(-1/B498)-1</f>
        <v>0.0516502500000002</v>
      </c>
      <c r="I498" s="12" t="n">
        <f aca="false">(1+H498)^(1/12)-1</f>
        <v>0.00420553496807585</v>
      </c>
      <c r="J498" s="16" t="n">
        <f aca="false">IF(C498=0,(1+Dic2023!$M$6)^(-B498),EXP(LN(INDEX(Dic2023!$N$6:$N$205,C498))+(LN(INDEX(Dic2023!$N$6:$N$205,MIN(C498+1,200)))-LN(INDEX(Dic2023!$N$6:$N$205,C498)))*(A498-6*C498)/6))</f>
        <v>0.125785410862421</v>
      </c>
      <c r="K498" s="12" t="n">
        <f aca="false">J498^(-1/B498)-1</f>
        <v>0.0516502500000002</v>
      </c>
      <c r="L498" s="12" t="n">
        <f aca="false">(1+K498)^(1/12)-1</f>
        <v>0.00420553496807585</v>
      </c>
    </row>
    <row r="499" customFormat="false" ht="15" hidden="false" customHeight="false" outlineLevel="0" collapsed="false">
      <c r="A499" s="4" t="n">
        <v>495</v>
      </c>
      <c r="B499" s="14" t="n">
        <f aca="false">A499/12</f>
        <v>41.25</v>
      </c>
      <c r="C499" s="15" t="n">
        <f aca="false">INT(A499/6)</f>
        <v>82</v>
      </c>
      <c r="D499" s="16" t="n">
        <f aca="false">IF(C499=0,(1+Dic2023!$G$6)^(-B499),EXP(LN(INDEX(Dic2023!$H$6:$H$205,C499))+(LN(INDEX(Dic2023!$H$6:$H$205,MIN(C499+1,200)))-LN(INDEX(Dic2023!$H$6:$H$205,C499)))*(A499-6*C499)/6))</f>
        <v>0.1252586313084</v>
      </c>
      <c r="E499" s="12" t="n">
        <f aca="false">D499^(-1/B499)-1</f>
        <v>0.0516502500000002</v>
      </c>
      <c r="F499" s="12" t="n">
        <f aca="false">(1+E499)^(1/12)-1</f>
        <v>0.00420553496807585</v>
      </c>
      <c r="G499" s="16" t="n">
        <f aca="false">IF(C499=0,(1+Dic2023!$J$6)^(-B499),EXP(LN(INDEX(Dic2023!$K$6:$K$205,C499))+(LN(INDEX(Dic2023!$K$6:$K$205,MIN(C499+1,200)))-LN(INDEX(Dic2023!$K$6:$K$205,C499)))*(A499-6*C499)/6))</f>
        <v>0.1252586313084</v>
      </c>
      <c r="H499" s="12" t="n">
        <f aca="false">G499^(-1/B499)-1</f>
        <v>0.0516502500000002</v>
      </c>
      <c r="I499" s="12" t="n">
        <f aca="false">(1+H499)^(1/12)-1</f>
        <v>0.00420553496807585</v>
      </c>
      <c r="J499" s="16" t="n">
        <f aca="false">IF(C499=0,(1+Dic2023!$M$6)^(-B499),EXP(LN(INDEX(Dic2023!$N$6:$N$205,C499))+(LN(INDEX(Dic2023!$N$6:$N$205,MIN(C499+1,200)))-LN(INDEX(Dic2023!$N$6:$N$205,C499)))*(A499-6*C499)/6))</f>
        <v>0.1252586313084</v>
      </c>
      <c r="K499" s="12" t="n">
        <f aca="false">J499^(-1/B499)-1</f>
        <v>0.0516502500000002</v>
      </c>
      <c r="L499" s="12" t="n">
        <f aca="false">(1+K499)^(1/12)-1</f>
        <v>0.00420553496807585</v>
      </c>
    </row>
    <row r="500" customFormat="false" ht="15" hidden="false" customHeight="false" outlineLevel="0" collapsed="false">
      <c r="A500" s="4" t="n">
        <v>496</v>
      </c>
      <c r="B500" s="14" t="n">
        <f aca="false">A500/12</f>
        <v>41.3333333333333</v>
      </c>
      <c r="C500" s="15" t="n">
        <f aca="false">INT(A500/6)</f>
        <v>82</v>
      </c>
      <c r="D500" s="16" t="n">
        <f aca="false">IF(C500=0,(1+Dic2023!$G$6)^(-B500),EXP(LN(INDEX(Dic2023!$H$6:$H$205,C500))+(LN(INDEX(Dic2023!$H$6:$H$205,MIN(C500+1,200)))-LN(INDEX(Dic2023!$H$6:$H$205,C500)))*(A500-6*C500)/6))</f>
        <v>0.124734057866333</v>
      </c>
      <c r="E500" s="12" t="n">
        <f aca="false">D500^(-1/B500)-1</f>
        <v>0.0516502500000002</v>
      </c>
      <c r="F500" s="12" t="n">
        <f aca="false">(1+E500)^(1/12)-1</f>
        <v>0.00420553496807585</v>
      </c>
      <c r="G500" s="16" t="n">
        <f aca="false">IF(C500=0,(1+Dic2023!$J$6)^(-B500),EXP(LN(INDEX(Dic2023!$K$6:$K$205,C500))+(LN(INDEX(Dic2023!$K$6:$K$205,MIN(C500+1,200)))-LN(INDEX(Dic2023!$K$6:$K$205,C500)))*(A500-6*C500)/6))</f>
        <v>0.124734057866333</v>
      </c>
      <c r="H500" s="12" t="n">
        <f aca="false">G500^(-1/B500)-1</f>
        <v>0.0516502500000002</v>
      </c>
      <c r="I500" s="12" t="n">
        <f aca="false">(1+H500)^(1/12)-1</f>
        <v>0.00420553496807585</v>
      </c>
      <c r="J500" s="16" t="n">
        <f aca="false">IF(C500=0,(1+Dic2023!$M$6)^(-B500),EXP(LN(INDEX(Dic2023!$N$6:$N$205,C500))+(LN(INDEX(Dic2023!$N$6:$N$205,MIN(C500+1,200)))-LN(INDEX(Dic2023!$N$6:$N$205,C500)))*(A500-6*C500)/6))</f>
        <v>0.124734057866333</v>
      </c>
      <c r="K500" s="12" t="n">
        <f aca="false">J500^(-1/B500)-1</f>
        <v>0.0516502500000002</v>
      </c>
      <c r="L500" s="12" t="n">
        <f aca="false">(1+K500)^(1/12)-1</f>
        <v>0.00420553496807585</v>
      </c>
    </row>
    <row r="501" customFormat="false" ht="15" hidden="false" customHeight="false" outlineLevel="0" collapsed="false">
      <c r="A501" s="4" t="n">
        <v>497</v>
      </c>
      <c r="B501" s="14" t="n">
        <f aca="false">A501/12</f>
        <v>41.4166666666667</v>
      </c>
      <c r="C501" s="15" t="n">
        <f aca="false">INT(A501/6)</f>
        <v>82</v>
      </c>
      <c r="D501" s="16" t="n">
        <f aca="false">IF(C501=0,(1+Dic2023!$G$6)^(-B501),EXP(LN(INDEX(Dic2023!$H$6:$H$205,C501))+(LN(INDEX(Dic2023!$H$6:$H$205,MIN(C501+1,200)))-LN(INDEX(Dic2023!$H$6:$H$205,C501)))*(A501-6*C501)/6))</f>
        <v>0.124211681297194</v>
      </c>
      <c r="E501" s="12" t="n">
        <f aca="false">D501^(-1/B501)-1</f>
        <v>0.0516502500000002</v>
      </c>
      <c r="F501" s="12" t="n">
        <f aca="false">(1+E501)^(1/12)-1</f>
        <v>0.00420553496807585</v>
      </c>
      <c r="G501" s="16" t="n">
        <f aca="false">IF(C501=0,(1+Dic2023!$J$6)^(-B501),EXP(LN(INDEX(Dic2023!$K$6:$K$205,C501))+(LN(INDEX(Dic2023!$K$6:$K$205,MIN(C501+1,200)))-LN(INDEX(Dic2023!$K$6:$K$205,C501)))*(A501-6*C501)/6))</f>
        <v>0.124211681297194</v>
      </c>
      <c r="H501" s="12" t="n">
        <f aca="false">G501^(-1/B501)-1</f>
        <v>0.0516502500000002</v>
      </c>
      <c r="I501" s="12" t="n">
        <f aca="false">(1+H501)^(1/12)-1</f>
        <v>0.00420553496807585</v>
      </c>
      <c r="J501" s="16" t="n">
        <f aca="false">IF(C501=0,(1+Dic2023!$M$6)^(-B501),EXP(LN(INDEX(Dic2023!$N$6:$N$205,C501))+(LN(INDEX(Dic2023!$N$6:$N$205,MIN(C501+1,200)))-LN(INDEX(Dic2023!$N$6:$N$205,C501)))*(A501-6*C501)/6))</f>
        <v>0.124211681297194</v>
      </c>
      <c r="K501" s="12" t="n">
        <f aca="false">J501^(-1/B501)-1</f>
        <v>0.0516502500000002</v>
      </c>
      <c r="L501" s="12" t="n">
        <f aca="false">(1+K501)^(1/12)-1</f>
        <v>0.00420553496807585</v>
      </c>
    </row>
    <row r="502" customFormat="false" ht="15" hidden="false" customHeight="false" outlineLevel="0" collapsed="false">
      <c r="A502" s="4" t="n">
        <v>498</v>
      </c>
      <c r="B502" s="14" t="n">
        <f aca="false">A502/12</f>
        <v>41.5</v>
      </c>
      <c r="C502" s="15" t="n">
        <f aca="false">INT(A502/6)</f>
        <v>83</v>
      </c>
      <c r="D502" s="16" t="n">
        <f aca="false">IF(C502=0,(1+Dic2023!$G$6)^(-B502),EXP(LN(INDEX(Dic2023!$H$6:$H$205,C502))+(LN(INDEX(Dic2023!$H$6:$H$205,MIN(C502+1,200)))-LN(INDEX(Dic2023!$H$6:$H$205,C502)))*(A502-6*C502)/6))</f>
        <v>0.12369149240065</v>
      </c>
      <c r="E502" s="12" t="n">
        <f aca="false">D502^(-1/B502)-1</f>
        <v>0.0516502500000002</v>
      </c>
      <c r="F502" s="12" t="n">
        <f aca="false">(1+E502)^(1/12)-1</f>
        <v>0.00420553496807585</v>
      </c>
      <c r="G502" s="16" t="n">
        <f aca="false">IF(C502=0,(1+Dic2023!$J$6)^(-B502),EXP(LN(INDEX(Dic2023!$K$6:$K$205,C502))+(LN(INDEX(Dic2023!$K$6:$K$205,MIN(C502+1,200)))-LN(INDEX(Dic2023!$K$6:$K$205,C502)))*(A502-6*C502)/6))</f>
        <v>0.12369149240065</v>
      </c>
      <c r="H502" s="12" t="n">
        <f aca="false">G502^(-1/B502)-1</f>
        <v>0.0516502500000002</v>
      </c>
      <c r="I502" s="12" t="n">
        <f aca="false">(1+H502)^(1/12)-1</f>
        <v>0.00420553496807585</v>
      </c>
      <c r="J502" s="16" t="n">
        <f aca="false">IF(C502=0,(1+Dic2023!$M$6)^(-B502),EXP(LN(INDEX(Dic2023!$N$6:$N$205,C502))+(LN(INDEX(Dic2023!$N$6:$N$205,MIN(C502+1,200)))-LN(INDEX(Dic2023!$N$6:$N$205,C502)))*(A502-6*C502)/6))</f>
        <v>0.12369149240065</v>
      </c>
      <c r="K502" s="12" t="n">
        <f aca="false">J502^(-1/B502)-1</f>
        <v>0.0516502500000002</v>
      </c>
      <c r="L502" s="12" t="n">
        <f aca="false">(1+K502)^(1/12)-1</f>
        <v>0.00420553496807585</v>
      </c>
    </row>
    <row r="503" customFormat="false" ht="15" hidden="false" customHeight="false" outlineLevel="0" collapsed="false">
      <c r="A503" s="4" t="n">
        <v>499</v>
      </c>
      <c r="B503" s="14" t="n">
        <f aca="false">A503/12</f>
        <v>41.5833333333333</v>
      </c>
      <c r="C503" s="15" t="n">
        <f aca="false">INT(A503/6)</f>
        <v>83</v>
      </c>
      <c r="D503" s="16" t="n">
        <f aca="false">IF(C503=0,(1+Dic2023!$G$6)^(-B503),EXP(LN(INDEX(Dic2023!$H$6:$H$205,C503))+(LN(INDEX(Dic2023!$H$6:$H$205,MIN(C503+1,200)))-LN(INDEX(Dic2023!$H$6:$H$205,C503)))*(A503-6*C503)/6))</f>
        <v>0.123173482014896</v>
      </c>
      <c r="E503" s="12" t="n">
        <f aca="false">D503^(-1/B503)-1</f>
        <v>0.0516502500000002</v>
      </c>
      <c r="F503" s="12" t="n">
        <f aca="false">(1+E503)^(1/12)-1</f>
        <v>0.00420553496807585</v>
      </c>
      <c r="G503" s="16" t="n">
        <f aca="false">IF(C503=0,(1+Dic2023!$J$6)^(-B503),EXP(LN(INDEX(Dic2023!$K$6:$K$205,C503))+(LN(INDEX(Dic2023!$K$6:$K$205,MIN(C503+1,200)))-LN(INDEX(Dic2023!$K$6:$K$205,C503)))*(A503-6*C503)/6))</f>
        <v>0.123173482014896</v>
      </c>
      <c r="H503" s="12" t="n">
        <f aca="false">G503^(-1/B503)-1</f>
        <v>0.0516502500000002</v>
      </c>
      <c r="I503" s="12" t="n">
        <f aca="false">(1+H503)^(1/12)-1</f>
        <v>0.00420553496807585</v>
      </c>
      <c r="J503" s="16" t="n">
        <f aca="false">IF(C503=0,(1+Dic2023!$M$6)^(-B503),EXP(LN(INDEX(Dic2023!$N$6:$N$205,C503))+(LN(INDEX(Dic2023!$N$6:$N$205,MIN(C503+1,200)))-LN(INDEX(Dic2023!$N$6:$N$205,C503)))*(A503-6*C503)/6))</f>
        <v>0.123173482014896</v>
      </c>
      <c r="K503" s="12" t="n">
        <f aca="false">J503^(-1/B503)-1</f>
        <v>0.0516502500000002</v>
      </c>
      <c r="L503" s="12" t="n">
        <f aca="false">(1+K503)^(1/12)-1</f>
        <v>0.00420553496807585</v>
      </c>
    </row>
    <row r="504" customFormat="false" ht="15" hidden="false" customHeight="false" outlineLevel="0" collapsed="false">
      <c r="A504" s="4" t="n">
        <v>500</v>
      </c>
      <c r="B504" s="14" t="n">
        <f aca="false">A504/12</f>
        <v>41.6666666666667</v>
      </c>
      <c r="C504" s="15" t="n">
        <f aca="false">INT(A504/6)</f>
        <v>83</v>
      </c>
      <c r="D504" s="16" t="n">
        <f aca="false">IF(C504=0,(1+Dic2023!$G$6)^(-B504),EXP(LN(INDEX(Dic2023!$H$6:$H$205,C504))+(LN(INDEX(Dic2023!$H$6:$H$205,MIN(C504+1,200)))-LN(INDEX(Dic2023!$H$6:$H$205,C504)))*(A504-6*C504)/6))</f>
        <v>0.1226576410165</v>
      </c>
      <c r="E504" s="12" t="n">
        <f aca="false">D504^(-1/B504)-1</f>
        <v>0.0516502500000002</v>
      </c>
      <c r="F504" s="12" t="n">
        <f aca="false">(1+E504)^(1/12)-1</f>
        <v>0.00420553496807585</v>
      </c>
      <c r="G504" s="16" t="n">
        <f aca="false">IF(C504=0,(1+Dic2023!$J$6)^(-B504),EXP(LN(INDEX(Dic2023!$K$6:$K$205,C504))+(LN(INDEX(Dic2023!$K$6:$K$205,MIN(C504+1,200)))-LN(INDEX(Dic2023!$K$6:$K$205,C504)))*(A504-6*C504)/6))</f>
        <v>0.1226576410165</v>
      </c>
      <c r="H504" s="12" t="n">
        <f aca="false">G504^(-1/B504)-1</f>
        <v>0.0516502500000002</v>
      </c>
      <c r="I504" s="12" t="n">
        <f aca="false">(1+H504)^(1/12)-1</f>
        <v>0.00420553496807585</v>
      </c>
      <c r="J504" s="16" t="n">
        <f aca="false">IF(C504=0,(1+Dic2023!$M$6)^(-B504),EXP(LN(INDEX(Dic2023!$N$6:$N$205,C504))+(LN(INDEX(Dic2023!$N$6:$N$205,MIN(C504+1,200)))-LN(INDEX(Dic2023!$N$6:$N$205,C504)))*(A504-6*C504)/6))</f>
        <v>0.1226576410165</v>
      </c>
      <c r="K504" s="12" t="n">
        <f aca="false">J504^(-1/B504)-1</f>
        <v>0.0516502500000002</v>
      </c>
      <c r="L504" s="12" t="n">
        <f aca="false">(1+K504)^(1/12)-1</f>
        <v>0.00420553496807585</v>
      </c>
    </row>
    <row r="505" customFormat="false" ht="15" hidden="false" customHeight="false" outlineLevel="0" collapsed="false">
      <c r="A505" s="4" t="n">
        <v>501</v>
      </c>
      <c r="B505" s="14" t="n">
        <f aca="false">A505/12</f>
        <v>41.75</v>
      </c>
      <c r="C505" s="15" t="n">
        <f aca="false">INT(A505/6)</f>
        <v>83</v>
      </c>
      <c r="D505" s="16" t="n">
        <f aca="false">IF(C505=0,(1+Dic2023!$G$6)^(-B505),EXP(LN(INDEX(Dic2023!$H$6:$H$205,C505))+(LN(INDEX(Dic2023!$H$6:$H$205,MIN(C505+1,200)))-LN(INDEX(Dic2023!$H$6:$H$205,C505)))*(A505-6*C505)/6))</f>
        <v>0.122143960320234</v>
      </c>
      <c r="E505" s="12" t="n">
        <f aca="false">D505^(-1/B505)-1</f>
        <v>0.0516502500000002</v>
      </c>
      <c r="F505" s="12" t="n">
        <f aca="false">(1+E505)^(1/12)-1</f>
        <v>0.00420553496807585</v>
      </c>
      <c r="G505" s="16" t="n">
        <f aca="false">IF(C505=0,(1+Dic2023!$J$6)^(-B505),EXP(LN(INDEX(Dic2023!$K$6:$K$205,C505))+(LN(INDEX(Dic2023!$K$6:$K$205,MIN(C505+1,200)))-LN(INDEX(Dic2023!$K$6:$K$205,C505)))*(A505-6*C505)/6))</f>
        <v>0.122143960320234</v>
      </c>
      <c r="H505" s="12" t="n">
        <f aca="false">G505^(-1/B505)-1</f>
        <v>0.0516502500000002</v>
      </c>
      <c r="I505" s="12" t="n">
        <f aca="false">(1+H505)^(1/12)-1</f>
        <v>0.00420553496807585</v>
      </c>
      <c r="J505" s="16" t="n">
        <f aca="false">IF(C505=0,(1+Dic2023!$M$6)^(-B505),EXP(LN(INDEX(Dic2023!$N$6:$N$205,C505))+(LN(INDEX(Dic2023!$N$6:$N$205,MIN(C505+1,200)))-LN(INDEX(Dic2023!$N$6:$N$205,C505)))*(A505-6*C505)/6))</f>
        <v>0.122143960320234</v>
      </c>
      <c r="K505" s="12" t="n">
        <f aca="false">J505^(-1/B505)-1</f>
        <v>0.0516502500000002</v>
      </c>
      <c r="L505" s="12" t="n">
        <f aca="false">(1+K505)^(1/12)-1</f>
        <v>0.00420553496807585</v>
      </c>
    </row>
    <row r="506" customFormat="false" ht="15" hidden="false" customHeight="false" outlineLevel="0" collapsed="false">
      <c r="A506" s="4" t="n">
        <v>502</v>
      </c>
      <c r="B506" s="14" t="n">
        <f aca="false">A506/12</f>
        <v>41.8333333333333</v>
      </c>
      <c r="C506" s="15" t="n">
        <f aca="false">INT(A506/6)</f>
        <v>83</v>
      </c>
      <c r="D506" s="16" t="n">
        <f aca="false">IF(C506=0,(1+Dic2023!$G$6)^(-B506),EXP(LN(INDEX(Dic2023!$H$6:$H$205,C506))+(LN(INDEX(Dic2023!$H$6:$H$205,MIN(C506+1,200)))-LN(INDEX(Dic2023!$H$6:$H$205,C506)))*(A506-6*C506)/6))</f>
        <v>0.121632430878921</v>
      </c>
      <c r="E506" s="12" t="n">
        <f aca="false">D506^(-1/B506)-1</f>
        <v>0.0516502500000002</v>
      </c>
      <c r="F506" s="12" t="n">
        <f aca="false">(1+E506)^(1/12)-1</f>
        <v>0.00420553496807585</v>
      </c>
      <c r="G506" s="16" t="n">
        <f aca="false">IF(C506=0,(1+Dic2023!$J$6)^(-B506),EXP(LN(INDEX(Dic2023!$K$6:$K$205,C506))+(LN(INDEX(Dic2023!$K$6:$K$205,MIN(C506+1,200)))-LN(INDEX(Dic2023!$K$6:$K$205,C506)))*(A506-6*C506)/6))</f>
        <v>0.121632430878921</v>
      </c>
      <c r="H506" s="12" t="n">
        <f aca="false">G506^(-1/B506)-1</f>
        <v>0.0516502500000002</v>
      </c>
      <c r="I506" s="12" t="n">
        <f aca="false">(1+H506)^(1/12)-1</f>
        <v>0.00420553496807585</v>
      </c>
      <c r="J506" s="16" t="n">
        <f aca="false">IF(C506=0,(1+Dic2023!$M$6)^(-B506),EXP(LN(INDEX(Dic2023!$N$6:$N$205,C506))+(LN(INDEX(Dic2023!$N$6:$N$205,MIN(C506+1,200)))-LN(INDEX(Dic2023!$N$6:$N$205,C506)))*(A506-6*C506)/6))</f>
        <v>0.121632430878921</v>
      </c>
      <c r="K506" s="12" t="n">
        <f aca="false">J506^(-1/B506)-1</f>
        <v>0.0516502500000002</v>
      </c>
      <c r="L506" s="12" t="n">
        <f aca="false">(1+K506)^(1/12)-1</f>
        <v>0.00420553496807585</v>
      </c>
    </row>
    <row r="507" customFormat="false" ht="15" hidden="false" customHeight="false" outlineLevel="0" collapsed="false">
      <c r="A507" s="4" t="n">
        <v>503</v>
      </c>
      <c r="B507" s="14" t="n">
        <f aca="false">A507/12</f>
        <v>41.9166666666667</v>
      </c>
      <c r="C507" s="15" t="n">
        <f aca="false">INT(A507/6)</f>
        <v>83</v>
      </c>
      <c r="D507" s="16" t="n">
        <f aca="false">IF(C507=0,(1+Dic2023!$G$6)^(-B507),EXP(LN(INDEX(Dic2023!$H$6:$H$205,C507))+(LN(INDEX(Dic2023!$H$6:$H$205,MIN(C507+1,200)))-LN(INDEX(Dic2023!$H$6:$H$205,C507)))*(A507-6*C507)/6))</f>
        <v>0.121123043683271</v>
      </c>
      <c r="E507" s="12" t="n">
        <f aca="false">D507^(-1/B507)-1</f>
        <v>0.0516502500000002</v>
      </c>
      <c r="F507" s="12" t="n">
        <f aca="false">(1+E507)^(1/12)-1</f>
        <v>0.00420553496807585</v>
      </c>
      <c r="G507" s="16" t="n">
        <f aca="false">IF(C507=0,(1+Dic2023!$J$6)^(-B507),EXP(LN(INDEX(Dic2023!$K$6:$K$205,C507))+(LN(INDEX(Dic2023!$K$6:$K$205,MIN(C507+1,200)))-LN(INDEX(Dic2023!$K$6:$K$205,C507)))*(A507-6*C507)/6))</f>
        <v>0.121123043683271</v>
      </c>
      <c r="H507" s="12" t="n">
        <f aca="false">G507^(-1/B507)-1</f>
        <v>0.0516502500000002</v>
      </c>
      <c r="I507" s="12" t="n">
        <f aca="false">(1+H507)^(1/12)-1</f>
        <v>0.00420553496807585</v>
      </c>
      <c r="J507" s="16" t="n">
        <f aca="false">IF(C507=0,(1+Dic2023!$M$6)^(-B507),EXP(LN(INDEX(Dic2023!$N$6:$N$205,C507))+(LN(INDEX(Dic2023!$N$6:$N$205,MIN(C507+1,200)))-LN(INDEX(Dic2023!$N$6:$N$205,C507)))*(A507-6*C507)/6))</f>
        <v>0.121123043683271</v>
      </c>
      <c r="K507" s="12" t="n">
        <f aca="false">J507^(-1/B507)-1</f>
        <v>0.0516502500000002</v>
      </c>
      <c r="L507" s="12" t="n">
        <f aca="false">(1+K507)^(1/12)-1</f>
        <v>0.00420553496807585</v>
      </c>
    </row>
    <row r="508" customFormat="false" ht="15" hidden="false" customHeight="false" outlineLevel="0" collapsed="false">
      <c r="A508" s="4" t="n">
        <v>504</v>
      </c>
      <c r="B508" s="14" t="n">
        <f aca="false">A508/12</f>
        <v>42</v>
      </c>
      <c r="C508" s="15" t="n">
        <f aca="false">INT(A508/6)</f>
        <v>84</v>
      </c>
      <c r="D508" s="16" t="n">
        <f aca="false">IF(C508=0,(1+Dic2023!$G$6)^(-B508),EXP(LN(INDEX(Dic2023!$H$6:$H$205,C508))+(LN(INDEX(Dic2023!$H$6:$H$205,MIN(C508+1,200)))-LN(INDEX(Dic2023!$H$6:$H$205,C508)))*(A508-6*C508)/6))</f>
        <v>0.120615789761726</v>
      </c>
      <c r="E508" s="12" t="n">
        <f aca="false">D508^(-1/B508)-1</f>
        <v>0.0516502500000002</v>
      </c>
      <c r="F508" s="12" t="n">
        <f aca="false">(1+E508)^(1/12)-1</f>
        <v>0.00420553496807585</v>
      </c>
      <c r="G508" s="16" t="n">
        <f aca="false">IF(C508=0,(1+Dic2023!$J$6)^(-B508),EXP(LN(INDEX(Dic2023!$K$6:$K$205,C508))+(LN(INDEX(Dic2023!$K$6:$K$205,MIN(C508+1,200)))-LN(INDEX(Dic2023!$K$6:$K$205,C508)))*(A508-6*C508)/6))</f>
        <v>0.120615789761726</v>
      </c>
      <c r="H508" s="12" t="n">
        <f aca="false">G508^(-1/B508)-1</f>
        <v>0.0516502500000002</v>
      </c>
      <c r="I508" s="12" t="n">
        <f aca="false">(1+H508)^(1/12)-1</f>
        <v>0.00420553496807585</v>
      </c>
      <c r="J508" s="16" t="n">
        <f aca="false">IF(C508=0,(1+Dic2023!$M$6)^(-B508),EXP(LN(INDEX(Dic2023!$N$6:$N$205,C508))+(LN(INDEX(Dic2023!$N$6:$N$205,MIN(C508+1,200)))-LN(INDEX(Dic2023!$N$6:$N$205,C508)))*(A508-6*C508)/6))</f>
        <v>0.120615789761726</v>
      </c>
      <c r="K508" s="12" t="n">
        <f aca="false">J508^(-1/B508)-1</f>
        <v>0.0516502500000002</v>
      </c>
      <c r="L508" s="12" t="n">
        <f aca="false">(1+K508)^(1/12)-1</f>
        <v>0.00420553496807585</v>
      </c>
    </row>
    <row r="509" customFormat="false" ht="15" hidden="false" customHeight="false" outlineLevel="0" collapsed="false">
      <c r="A509" s="4" t="n">
        <v>505</v>
      </c>
      <c r="B509" s="14" t="n">
        <f aca="false">A509/12</f>
        <v>42.0833333333333</v>
      </c>
      <c r="C509" s="15" t="n">
        <f aca="false">INT(A509/6)</f>
        <v>84</v>
      </c>
      <c r="D509" s="16" t="n">
        <f aca="false">IF(C509=0,(1+Dic2023!$G$6)^(-B509),EXP(LN(INDEX(Dic2023!$H$6:$H$205,C509))+(LN(INDEX(Dic2023!$H$6:$H$205,MIN(C509+1,200)))-LN(INDEX(Dic2023!$H$6:$H$205,C509)))*(A509-6*C509)/6))</f>
        <v>0.120110660180299</v>
      </c>
      <c r="E509" s="12" t="n">
        <f aca="false">D509^(-1/B509)-1</f>
        <v>0.0516502500000002</v>
      </c>
      <c r="F509" s="12" t="n">
        <f aca="false">(1+E509)^(1/12)-1</f>
        <v>0.00420553496807585</v>
      </c>
      <c r="G509" s="16" t="n">
        <f aca="false">IF(C509=0,(1+Dic2023!$J$6)^(-B509),EXP(LN(INDEX(Dic2023!$K$6:$K$205,C509))+(LN(INDEX(Dic2023!$K$6:$K$205,MIN(C509+1,200)))-LN(INDEX(Dic2023!$K$6:$K$205,C509)))*(A509-6*C509)/6))</f>
        <v>0.120110660180299</v>
      </c>
      <c r="H509" s="12" t="n">
        <f aca="false">G509^(-1/B509)-1</f>
        <v>0.0516502500000002</v>
      </c>
      <c r="I509" s="12" t="n">
        <f aca="false">(1+H509)^(1/12)-1</f>
        <v>0.00420553496807585</v>
      </c>
      <c r="J509" s="16" t="n">
        <f aca="false">IF(C509=0,(1+Dic2023!$M$6)^(-B509),EXP(LN(INDEX(Dic2023!$N$6:$N$205,C509))+(LN(INDEX(Dic2023!$N$6:$N$205,MIN(C509+1,200)))-LN(INDEX(Dic2023!$N$6:$N$205,C509)))*(A509-6*C509)/6))</f>
        <v>0.120110660180299</v>
      </c>
      <c r="K509" s="12" t="n">
        <f aca="false">J509^(-1/B509)-1</f>
        <v>0.0516502500000002</v>
      </c>
      <c r="L509" s="12" t="n">
        <f aca="false">(1+K509)^(1/12)-1</f>
        <v>0.00420553496807585</v>
      </c>
    </row>
    <row r="510" customFormat="false" ht="15" hidden="false" customHeight="false" outlineLevel="0" collapsed="false">
      <c r="A510" s="4" t="n">
        <v>506</v>
      </c>
      <c r="B510" s="14" t="n">
        <f aca="false">A510/12</f>
        <v>42.1666666666667</v>
      </c>
      <c r="C510" s="15" t="n">
        <f aca="false">INT(A510/6)</f>
        <v>84</v>
      </c>
      <c r="D510" s="16" t="n">
        <f aca="false">IF(C510=0,(1+Dic2023!$G$6)^(-B510),EXP(LN(INDEX(Dic2023!$H$6:$H$205,C510))+(LN(INDEX(Dic2023!$H$6:$H$205,MIN(C510+1,200)))-LN(INDEX(Dic2023!$H$6:$H$205,C510)))*(A510-6*C510)/6))</f>
        <v>0.119607646042418</v>
      </c>
      <c r="E510" s="12" t="n">
        <f aca="false">D510^(-1/B510)-1</f>
        <v>0.0516502500000002</v>
      </c>
      <c r="F510" s="12" t="n">
        <f aca="false">(1+E510)^(1/12)-1</f>
        <v>0.00420553496807585</v>
      </c>
      <c r="G510" s="16" t="n">
        <f aca="false">IF(C510=0,(1+Dic2023!$J$6)^(-B510),EXP(LN(INDEX(Dic2023!$K$6:$K$205,C510))+(LN(INDEX(Dic2023!$K$6:$K$205,MIN(C510+1,200)))-LN(INDEX(Dic2023!$K$6:$K$205,C510)))*(A510-6*C510)/6))</f>
        <v>0.119607646042418</v>
      </c>
      <c r="H510" s="12" t="n">
        <f aca="false">G510^(-1/B510)-1</f>
        <v>0.0516502500000002</v>
      </c>
      <c r="I510" s="12" t="n">
        <f aca="false">(1+H510)^(1/12)-1</f>
        <v>0.00420553496807585</v>
      </c>
      <c r="J510" s="16" t="n">
        <f aca="false">IF(C510=0,(1+Dic2023!$M$6)^(-B510),EXP(LN(INDEX(Dic2023!$N$6:$N$205,C510))+(LN(INDEX(Dic2023!$N$6:$N$205,MIN(C510+1,200)))-LN(INDEX(Dic2023!$N$6:$N$205,C510)))*(A510-6*C510)/6))</f>
        <v>0.119607646042418</v>
      </c>
      <c r="K510" s="12" t="n">
        <f aca="false">J510^(-1/B510)-1</f>
        <v>0.0516502500000002</v>
      </c>
      <c r="L510" s="12" t="n">
        <f aca="false">(1+K510)^(1/12)-1</f>
        <v>0.00420553496807585</v>
      </c>
    </row>
    <row r="511" customFormat="false" ht="15" hidden="false" customHeight="false" outlineLevel="0" collapsed="false">
      <c r="A511" s="4" t="n">
        <v>507</v>
      </c>
      <c r="B511" s="14" t="n">
        <f aca="false">A511/12</f>
        <v>42.25</v>
      </c>
      <c r="C511" s="15" t="n">
        <f aca="false">INT(A511/6)</f>
        <v>84</v>
      </c>
      <c r="D511" s="16" t="n">
        <f aca="false">IF(C511=0,(1+Dic2023!$G$6)^(-B511),EXP(LN(INDEX(Dic2023!$H$6:$H$205,C511))+(LN(INDEX(Dic2023!$H$6:$H$205,MIN(C511+1,200)))-LN(INDEX(Dic2023!$H$6:$H$205,C511)))*(A511-6*C511)/6))</f>
        <v>0.11910673848877</v>
      </c>
      <c r="E511" s="12" t="n">
        <f aca="false">D511^(-1/B511)-1</f>
        <v>0.0516502500000002</v>
      </c>
      <c r="F511" s="12" t="n">
        <f aca="false">(1+E511)^(1/12)-1</f>
        <v>0.00420553496807585</v>
      </c>
      <c r="G511" s="16" t="n">
        <f aca="false">IF(C511=0,(1+Dic2023!$J$6)^(-B511),EXP(LN(INDEX(Dic2023!$K$6:$K$205,C511))+(LN(INDEX(Dic2023!$K$6:$K$205,MIN(C511+1,200)))-LN(INDEX(Dic2023!$K$6:$K$205,C511)))*(A511-6*C511)/6))</f>
        <v>0.11910673848877</v>
      </c>
      <c r="H511" s="12" t="n">
        <f aca="false">G511^(-1/B511)-1</f>
        <v>0.0516502500000002</v>
      </c>
      <c r="I511" s="12" t="n">
        <f aca="false">(1+H511)^(1/12)-1</f>
        <v>0.00420553496807585</v>
      </c>
      <c r="J511" s="16" t="n">
        <f aca="false">IF(C511=0,(1+Dic2023!$M$6)^(-B511),EXP(LN(INDEX(Dic2023!$N$6:$N$205,C511))+(LN(INDEX(Dic2023!$N$6:$N$205,MIN(C511+1,200)))-LN(INDEX(Dic2023!$N$6:$N$205,C511)))*(A511-6*C511)/6))</f>
        <v>0.11910673848877</v>
      </c>
      <c r="K511" s="12" t="n">
        <f aca="false">J511^(-1/B511)-1</f>
        <v>0.0516502500000002</v>
      </c>
      <c r="L511" s="12" t="n">
        <f aca="false">(1+K511)^(1/12)-1</f>
        <v>0.00420553496807585</v>
      </c>
    </row>
    <row r="512" customFormat="false" ht="15" hidden="false" customHeight="false" outlineLevel="0" collapsed="false">
      <c r="A512" s="4" t="n">
        <v>508</v>
      </c>
      <c r="B512" s="14" t="n">
        <f aca="false">A512/12</f>
        <v>42.3333333333333</v>
      </c>
      <c r="C512" s="15" t="n">
        <f aca="false">INT(A512/6)</f>
        <v>84</v>
      </c>
      <c r="D512" s="16" t="n">
        <f aca="false">IF(C512=0,(1+Dic2023!$G$6)^(-B512),EXP(LN(INDEX(Dic2023!$H$6:$H$205,C512))+(LN(INDEX(Dic2023!$H$6:$H$205,MIN(C512+1,200)))-LN(INDEX(Dic2023!$H$6:$H$205,C512)))*(A512-6*C512)/6))</f>
        <v>0.118607928697143</v>
      </c>
      <c r="E512" s="12" t="n">
        <f aca="false">D512^(-1/B512)-1</f>
        <v>0.0516502500000002</v>
      </c>
      <c r="F512" s="12" t="n">
        <f aca="false">(1+E512)^(1/12)-1</f>
        <v>0.00420553496807585</v>
      </c>
      <c r="G512" s="16" t="n">
        <f aca="false">IF(C512=0,(1+Dic2023!$J$6)^(-B512),EXP(LN(INDEX(Dic2023!$K$6:$K$205,C512))+(LN(INDEX(Dic2023!$K$6:$K$205,MIN(C512+1,200)))-LN(INDEX(Dic2023!$K$6:$K$205,C512)))*(A512-6*C512)/6))</f>
        <v>0.118607928697143</v>
      </c>
      <c r="H512" s="12" t="n">
        <f aca="false">G512^(-1/B512)-1</f>
        <v>0.0516502500000002</v>
      </c>
      <c r="I512" s="12" t="n">
        <f aca="false">(1+H512)^(1/12)-1</f>
        <v>0.00420553496807585</v>
      </c>
      <c r="J512" s="16" t="n">
        <f aca="false">IF(C512=0,(1+Dic2023!$M$6)^(-B512),EXP(LN(INDEX(Dic2023!$N$6:$N$205,C512))+(LN(INDEX(Dic2023!$N$6:$N$205,MIN(C512+1,200)))-LN(INDEX(Dic2023!$N$6:$N$205,C512)))*(A512-6*C512)/6))</f>
        <v>0.118607928697143</v>
      </c>
      <c r="K512" s="12" t="n">
        <f aca="false">J512^(-1/B512)-1</f>
        <v>0.0516502500000002</v>
      </c>
      <c r="L512" s="12" t="n">
        <f aca="false">(1+K512)^(1/12)-1</f>
        <v>0.00420553496807585</v>
      </c>
    </row>
    <row r="513" customFormat="false" ht="15" hidden="false" customHeight="false" outlineLevel="0" collapsed="false">
      <c r="A513" s="4" t="n">
        <v>509</v>
      </c>
      <c r="B513" s="14" t="n">
        <f aca="false">A513/12</f>
        <v>42.4166666666667</v>
      </c>
      <c r="C513" s="15" t="n">
        <f aca="false">INT(A513/6)</f>
        <v>84</v>
      </c>
      <c r="D513" s="16" t="n">
        <f aca="false">IF(C513=0,(1+Dic2023!$G$6)^(-B513),EXP(LN(INDEX(Dic2023!$H$6:$H$205,C513))+(LN(INDEX(Dic2023!$H$6:$H$205,MIN(C513+1,200)))-LN(INDEX(Dic2023!$H$6:$H$205,C513)))*(A513-6*C513)/6))</f>
        <v>0.118111207882273</v>
      </c>
      <c r="E513" s="12" t="n">
        <f aca="false">D513^(-1/B513)-1</f>
        <v>0.0516502500000002</v>
      </c>
      <c r="F513" s="12" t="n">
        <f aca="false">(1+E513)^(1/12)-1</f>
        <v>0.00420553496807585</v>
      </c>
      <c r="G513" s="16" t="n">
        <f aca="false">IF(C513=0,(1+Dic2023!$J$6)^(-B513),EXP(LN(INDEX(Dic2023!$K$6:$K$205,C513))+(LN(INDEX(Dic2023!$K$6:$K$205,MIN(C513+1,200)))-LN(INDEX(Dic2023!$K$6:$K$205,C513)))*(A513-6*C513)/6))</f>
        <v>0.118111207882273</v>
      </c>
      <c r="H513" s="12" t="n">
        <f aca="false">G513^(-1/B513)-1</f>
        <v>0.0516502500000002</v>
      </c>
      <c r="I513" s="12" t="n">
        <f aca="false">(1+H513)^(1/12)-1</f>
        <v>0.00420553496807585</v>
      </c>
      <c r="J513" s="16" t="n">
        <f aca="false">IF(C513=0,(1+Dic2023!$M$6)^(-B513),EXP(LN(INDEX(Dic2023!$N$6:$N$205,C513))+(LN(INDEX(Dic2023!$N$6:$N$205,MIN(C513+1,200)))-LN(INDEX(Dic2023!$N$6:$N$205,C513)))*(A513-6*C513)/6))</f>
        <v>0.118111207882273</v>
      </c>
      <c r="K513" s="12" t="n">
        <f aca="false">J513^(-1/B513)-1</f>
        <v>0.0516502500000002</v>
      </c>
      <c r="L513" s="12" t="n">
        <f aca="false">(1+K513)^(1/12)-1</f>
        <v>0.00420553496807585</v>
      </c>
    </row>
    <row r="514" customFormat="false" ht="15" hidden="false" customHeight="false" outlineLevel="0" collapsed="false">
      <c r="A514" s="4" t="n">
        <v>510</v>
      </c>
      <c r="B514" s="14" t="n">
        <f aca="false">A514/12</f>
        <v>42.5</v>
      </c>
      <c r="C514" s="15" t="n">
        <f aca="false">INT(A514/6)</f>
        <v>85</v>
      </c>
      <c r="D514" s="16" t="n">
        <f aca="false">IF(C514=0,(1+Dic2023!$G$6)^(-B514),EXP(LN(INDEX(Dic2023!$H$6:$H$205,C514))+(LN(INDEX(Dic2023!$H$6:$H$205,MIN(C514+1,200)))-LN(INDEX(Dic2023!$H$6:$H$205,C514)))*(A514-6*C514)/6))</f>
        <v>0.117616567295686</v>
      </c>
      <c r="E514" s="12" t="n">
        <f aca="false">D514^(-1/B514)-1</f>
        <v>0.0516502500000002</v>
      </c>
      <c r="F514" s="12" t="n">
        <f aca="false">(1+E514)^(1/12)-1</f>
        <v>0.00420553496807585</v>
      </c>
      <c r="G514" s="16" t="n">
        <f aca="false">IF(C514=0,(1+Dic2023!$J$6)^(-B514),EXP(LN(INDEX(Dic2023!$K$6:$K$205,C514))+(LN(INDEX(Dic2023!$K$6:$K$205,MIN(C514+1,200)))-LN(INDEX(Dic2023!$K$6:$K$205,C514)))*(A514-6*C514)/6))</f>
        <v>0.117616567295686</v>
      </c>
      <c r="H514" s="12" t="n">
        <f aca="false">G514^(-1/B514)-1</f>
        <v>0.0516502500000002</v>
      </c>
      <c r="I514" s="12" t="n">
        <f aca="false">(1+H514)^(1/12)-1</f>
        <v>0.00420553496807585</v>
      </c>
      <c r="J514" s="16" t="n">
        <f aca="false">IF(C514=0,(1+Dic2023!$M$6)^(-B514),EXP(LN(INDEX(Dic2023!$N$6:$N$205,C514))+(LN(INDEX(Dic2023!$N$6:$N$205,MIN(C514+1,200)))-LN(INDEX(Dic2023!$N$6:$N$205,C514)))*(A514-6*C514)/6))</f>
        <v>0.117616567295686</v>
      </c>
      <c r="K514" s="12" t="n">
        <f aca="false">J514^(-1/B514)-1</f>
        <v>0.0516502500000002</v>
      </c>
      <c r="L514" s="12" t="n">
        <f aca="false">(1+K514)^(1/12)-1</f>
        <v>0.00420553496807585</v>
      </c>
    </row>
    <row r="515" customFormat="false" ht="15" hidden="false" customHeight="false" outlineLevel="0" collapsed="false">
      <c r="A515" s="4" t="n">
        <v>511</v>
      </c>
      <c r="B515" s="14" t="n">
        <f aca="false">A515/12</f>
        <v>42.5833333333333</v>
      </c>
      <c r="C515" s="15" t="n">
        <f aca="false">INT(A515/6)</f>
        <v>85</v>
      </c>
      <c r="D515" s="16" t="n">
        <f aca="false">IF(C515=0,(1+Dic2023!$G$6)^(-B515),EXP(LN(INDEX(Dic2023!$H$6:$H$205,C515))+(LN(INDEX(Dic2023!$H$6:$H$205,MIN(C515+1,200)))-LN(INDEX(Dic2023!$H$6:$H$205,C515)))*(A515-6*C515)/6))</f>
        <v>0.117123998225547</v>
      </c>
      <c r="E515" s="12" t="n">
        <f aca="false">D515^(-1/B515)-1</f>
        <v>0.0516502500000002</v>
      </c>
      <c r="F515" s="12" t="n">
        <f aca="false">(1+E515)^(1/12)-1</f>
        <v>0.00420553496807585</v>
      </c>
      <c r="G515" s="16" t="n">
        <f aca="false">IF(C515=0,(1+Dic2023!$J$6)^(-B515),EXP(LN(INDEX(Dic2023!$K$6:$K$205,C515))+(LN(INDEX(Dic2023!$K$6:$K$205,MIN(C515+1,200)))-LN(INDEX(Dic2023!$K$6:$K$205,C515)))*(A515-6*C515)/6))</f>
        <v>0.117123998225547</v>
      </c>
      <c r="H515" s="12" t="n">
        <f aca="false">G515^(-1/B515)-1</f>
        <v>0.0516502500000002</v>
      </c>
      <c r="I515" s="12" t="n">
        <f aca="false">(1+H515)^(1/12)-1</f>
        <v>0.00420553496807585</v>
      </c>
      <c r="J515" s="16" t="n">
        <f aca="false">IF(C515=0,(1+Dic2023!$M$6)^(-B515),EXP(LN(INDEX(Dic2023!$N$6:$N$205,C515))+(LN(INDEX(Dic2023!$N$6:$N$205,MIN(C515+1,200)))-LN(INDEX(Dic2023!$N$6:$N$205,C515)))*(A515-6*C515)/6))</f>
        <v>0.117123998225547</v>
      </c>
      <c r="K515" s="12" t="n">
        <f aca="false">J515^(-1/B515)-1</f>
        <v>0.0516502500000002</v>
      </c>
      <c r="L515" s="12" t="n">
        <f aca="false">(1+K515)^(1/12)-1</f>
        <v>0.00420553496807585</v>
      </c>
    </row>
    <row r="516" customFormat="false" ht="15" hidden="false" customHeight="false" outlineLevel="0" collapsed="false">
      <c r="A516" s="4" t="n">
        <v>512</v>
      </c>
      <c r="B516" s="14" t="n">
        <f aca="false">A516/12</f>
        <v>42.6666666666667</v>
      </c>
      <c r="C516" s="15" t="n">
        <f aca="false">INT(A516/6)</f>
        <v>85</v>
      </c>
      <c r="D516" s="16" t="n">
        <f aca="false">IF(C516=0,(1+Dic2023!$G$6)^(-B516),EXP(LN(INDEX(Dic2023!$H$6:$H$205,C516))+(LN(INDEX(Dic2023!$H$6:$H$205,MIN(C516+1,200)))-LN(INDEX(Dic2023!$H$6:$H$205,C516)))*(A516-6*C516)/6))</f>
        <v>0.116633491996507</v>
      </c>
      <c r="E516" s="12" t="n">
        <f aca="false">D516^(-1/B516)-1</f>
        <v>0.0516502500000002</v>
      </c>
      <c r="F516" s="12" t="n">
        <f aca="false">(1+E516)^(1/12)-1</f>
        <v>0.00420553496807585</v>
      </c>
      <c r="G516" s="16" t="n">
        <f aca="false">IF(C516=0,(1+Dic2023!$J$6)^(-B516),EXP(LN(INDEX(Dic2023!$K$6:$K$205,C516))+(LN(INDEX(Dic2023!$K$6:$K$205,MIN(C516+1,200)))-LN(INDEX(Dic2023!$K$6:$K$205,C516)))*(A516-6*C516)/6))</f>
        <v>0.116633491996507</v>
      </c>
      <c r="H516" s="12" t="n">
        <f aca="false">G516^(-1/B516)-1</f>
        <v>0.0516502500000002</v>
      </c>
      <c r="I516" s="12" t="n">
        <f aca="false">(1+H516)^(1/12)-1</f>
        <v>0.00420553496807585</v>
      </c>
      <c r="J516" s="16" t="n">
        <f aca="false">IF(C516=0,(1+Dic2023!$M$6)^(-B516),EXP(LN(INDEX(Dic2023!$N$6:$N$205,C516))+(LN(INDEX(Dic2023!$N$6:$N$205,MIN(C516+1,200)))-LN(INDEX(Dic2023!$N$6:$N$205,C516)))*(A516-6*C516)/6))</f>
        <v>0.116633491996507</v>
      </c>
      <c r="K516" s="12" t="n">
        <f aca="false">J516^(-1/B516)-1</f>
        <v>0.0516502500000002</v>
      </c>
      <c r="L516" s="12" t="n">
        <f aca="false">(1+K516)^(1/12)-1</f>
        <v>0.00420553496807585</v>
      </c>
    </row>
    <row r="517" customFormat="false" ht="15" hidden="false" customHeight="false" outlineLevel="0" collapsed="false">
      <c r="A517" s="4" t="n">
        <v>513</v>
      </c>
      <c r="B517" s="14" t="n">
        <f aca="false">A517/12</f>
        <v>42.75</v>
      </c>
      <c r="C517" s="15" t="n">
        <f aca="false">INT(A517/6)</f>
        <v>85</v>
      </c>
      <c r="D517" s="16" t="n">
        <f aca="false">IF(C517=0,(1+Dic2023!$G$6)^(-B517),EXP(LN(INDEX(Dic2023!$H$6:$H$205,C517))+(LN(INDEX(Dic2023!$H$6:$H$205,MIN(C517+1,200)))-LN(INDEX(Dic2023!$H$6:$H$205,C517)))*(A517-6*C517)/6))</f>
        <v>0.116145039969547</v>
      </c>
      <c r="E517" s="12" t="n">
        <f aca="false">D517^(-1/B517)-1</f>
        <v>0.0516502500000002</v>
      </c>
      <c r="F517" s="12" t="n">
        <f aca="false">(1+E517)^(1/12)-1</f>
        <v>0.00420553496807585</v>
      </c>
      <c r="G517" s="16" t="n">
        <f aca="false">IF(C517=0,(1+Dic2023!$J$6)^(-B517),EXP(LN(INDEX(Dic2023!$K$6:$K$205,C517))+(LN(INDEX(Dic2023!$K$6:$K$205,MIN(C517+1,200)))-LN(INDEX(Dic2023!$K$6:$K$205,C517)))*(A517-6*C517)/6))</f>
        <v>0.116145039969547</v>
      </c>
      <c r="H517" s="12" t="n">
        <f aca="false">G517^(-1/B517)-1</f>
        <v>0.0516502500000002</v>
      </c>
      <c r="I517" s="12" t="n">
        <f aca="false">(1+H517)^(1/12)-1</f>
        <v>0.00420553496807585</v>
      </c>
      <c r="J517" s="16" t="n">
        <f aca="false">IF(C517=0,(1+Dic2023!$M$6)^(-B517),EXP(LN(INDEX(Dic2023!$N$6:$N$205,C517))+(LN(INDEX(Dic2023!$N$6:$N$205,MIN(C517+1,200)))-LN(INDEX(Dic2023!$N$6:$N$205,C517)))*(A517-6*C517)/6))</f>
        <v>0.116145039969547</v>
      </c>
      <c r="K517" s="12" t="n">
        <f aca="false">J517^(-1/B517)-1</f>
        <v>0.0516502500000002</v>
      </c>
      <c r="L517" s="12" t="n">
        <f aca="false">(1+K517)^(1/12)-1</f>
        <v>0.00420553496807585</v>
      </c>
    </row>
    <row r="518" customFormat="false" ht="15" hidden="false" customHeight="false" outlineLevel="0" collapsed="false">
      <c r="A518" s="4" t="n">
        <v>514</v>
      </c>
      <c r="B518" s="14" t="n">
        <f aca="false">A518/12</f>
        <v>42.8333333333333</v>
      </c>
      <c r="C518" s="15" t="n">
        <f aca="false">INT(A518/6)</f>
        <v>85</v>
      </c>
      <c r="D518" s="16" t="n">
        <f aca="false">IF(C518=0,(1+Dic2023!$G$6)^(-B518),EXP(LN(INDEX(Dic2023!$H$6:$H$205,C518))+(LN(INDEX(Dic2023!$H$6:$H$205,MIN(C518+1,200)))-LN(INDEX(Dic2023!$H$6:$H$205,C518)))*(A518-6*C518)/6))</f>
        <v>0.115658633541827</v>
      </c>
      <c r="E518" s="12" t="n">
        <f aca="false">D518^(-1/B518)-1</f>
        <v>0.0516502500000002</v>
      </c>
      <c r="F518" s="12" t="n">
        <f aca="false">(1+E518)^(1/12)-1</f>
        <v>0.00420553496807585</v>
      </c>
      <c r="G518" s="16" t="n">
        <f aca="false">IF(C518=0,(1+Dic2023!$J$6)^(-B518),EXP(LN(INDEX(Dic2023!$K$6:$K$205,C518))+(LN(INDEX(Dic2023!$K$6:$K$205,MIN(C518+1,200)))-LN(INDEX(Dic2023!$K$6:$K$205,C518)))*(A518-6*C518)/6))</f>
        <v>0.115658633541827</v>
      </c>
      <c r="H518" s="12" t="n">
        <f aca="false">G518^(-1/B518)-1</f>
        <v>0.0516502500000002</v>
      </c>
      <c r="I518" s="12" t="n">
        <f aca="false">(1+H518)^(1/12)-1</f>
        <v>0.00420553496807585</v>
      </c>
      <c r="J518" s="16" t="n">
        <f aca="false">IF(C518=0,(1+Dic2023!$M$6)^(-B518),EXP(LN(INDEX(Dic2023!$N$6:$N$205,C518))+(LN(INDEX(Dic2023!$N$6:$N$205,MIN(C518+1,200)))-LN(INDEX(Dic2023!$N$6:$N$205,C518)))*(A518-6*C518)/6))</f>
        <v>0.115658633541827</v>
      </c>
      <c r="K518" s="12" t="n">
        <f aca="false">J518^(-1/B518)-1</f>
        <v>0.0516502500000002</v>
      </c>
      <c r="L518" s="12" t="n">
        <f aca="false">(1+K518)^(1/12)-1</f>
        <v>0.00420553496807585</v>
      </c>
    </row>
    <row r="519" customFormat="false" ht="15" hidden="false" customHeight="false" outlineLevel="0" collapsed="false">
      <c r="A519" s="4" t="n">
        <v>515</v>
      </c>
      <c r="B519" s="14" t="n">
        <f aca="false">A519/12</f>
        <v>42.9166666666667</v>
      </c>
      <c r="C519" s="15" t="n">
        <f aca="false">INT(A519/6)</f>
        <v>85</v>
      </c>
      <c r="D519" s="16" t="n">
        <f aca="false">IF(C519=0,(1+Dic2023!$G$6)^(-B519),EXP(LN(INDEX(Dic2023!$H$6:$H$205,C519))+(LN(INDEX(Dic2023!$H$6:$H$205,MIN(C519+1,200)))-LN(INDEX(Dic2023!$H$6:$H$205,C519)))*(A519-6*C519)/6))</f>
        <v>0.115174264146536</v>
      </c>
      <c r="E519" s="12" t="n">
        <f aca="false">D519^(-1/B519)-1</f>
        <v>0.0516502500000002</v>
      </c>
      <c r="F519" s="12" t="n">
        <f aca="false">(1+E519)^(1/12)-1</f>
        <v>0.00420553496807585</v>
      </c>
      <c r="G519" s="16" t="n">
        <f aca="false">IF(C519=0,(1+Dic2023!$J$6)^(-B519),EXP(LN(INDEX(Dic2023!$K$6:$K$205,C519))+(LN(INDEX(Dic2023!$K$6:$K$205,MIN(C519+1,200)))-LN(INDEX(Dic2023!$K$6:$K$205,C519)))*(A519-6*C519)/6))</f>
        <v>0.115174264146536</v>
      </c>
      <c r="H519" s="12" t="n">
        <f aca="false">G519^(-1/B519)-1</f>
        <v>0.0516502500000002</v>
      </c>
      <c r="I519" s="12" t="n">
        <f aca="false">(1+H519)^(1/12)-1</f>
        <v>0.00420553496807585</v>
      </c>
      <c r="J519" s="16" t="n">
        <f aca="false">IF(C519=0,(1+Dic2023!$M$6)^(-B519),EXP(LN(INDEX(Dic2023!$N$6:$N$205,C519))+(LN(INDEX(Dic2023!$N$6:$N$205,MIN(C519+1,200)))-LN(INDEX(Dic2023!$N$6:$N$205,C519)))*(A519-6*C519)/6))</f>
        <v>0.115174264146536</v>
      </c>
      <c r="K519" s="12" t="n">
        <f aca="false">J519^(-1/B519)-1</f>
        <v>0.0516502500000002</v>
      </c>
      <c r="L519" s="12" t="n">
        <f aca="false">(1+K519)^(1/12)-1</f>
        <v>0.00420553496807585</v>
      </c>
    </row>
    <row r="520" customFormat="false" ht="15" hidden="false" customHeight="false" outlineLevel="0" collapsed="false">
      <c r="A520" s="4" t="n">
        <v>516</v>
      </c>
      <c r="B520" s="14" t="n">
        <f aca="false">A520/12</f>
        <v>43</v>
      </c>
      <c r="C520" s="15" t="n">
        <f aca="false">INT(A520/6)</f>
        <v>86</v>
      </c>
      <c r="D520" s="16" t="n">
        <f aca="false">IF(C520=0,(1+Dic2023!$G$6)^(-B520),EXP(LN(INDEX(Dic2023!$H$6:$H$205,C520))+(LN(INDEX(Dic2023!$H$6:$H$205,MIN(C520+1,200)))-LN(INDEX(Dic2023!$H$6:$H$205,C520)))*(A520-6*C520)/6))</f>
        <v>0.114691923252741</v>
      </c>
      <c r="E520" s="12" t="n">
        <f aca="false">D520^(-1/B520)-1</f>
        <v>0.0516502500000002</v>
      </c>
      <c r="F520" s="12" t="n">
        <f aca="false">(1+E520)^(1/12)-1</f>
        <v>0.00420553496807585</v>
      </c>
      <c r="G520" s="16" t="n">
        <f aca="false">IF(C520=0,(1+Dic2023!$J$6)^(-B520),EXP(LN(INDEX(Dic2023!$K$6:$K$205,C520))+(LN(INDEX(Dic2023!$K$6:$K$205,MIN(C520+1,200)))-LN(INDEX(Dic2023!$K$6:$K$205,C520)))*(A520-6*C520)/6))</f>
        <v>0.114691923252741</v>
      </c>
      <c r="H520" s="12" t="n">
        <f aca="false">G520^(-1/B520)-1</f>
        <v>0.0516502500000002</v>
      </c>
      <c r="I520" s="12" t="n">
        <f aca="false">(1+H520)^(1/12)-1</f>
        <v>0.00420553496807585</v>
      </c>
      <c r="J520" s="16" t="n">
        <f aca="false">IF(C520=0,(1+Dic2023!$M$6)^(-B520),EXP(LN(INDEX(Dic2023!$N$6:$N$205,C520))+(LN(INDEX(Dic2023!$N$6:$N$205,MIN(C520+1,200)))-LN(INDEX(Dic2023!$N$6:$N$205,C520)))*(A520-6*C520)/6))</f>
        <v>0.114691923252741</v>
      </c>
      <c r="K520" s="12" t="n">
        <f aca="false">J520^(-1/B520)-1</f>
        <v>0.0516502500000002</v>
      </c>
      <c r="L520" s="12" t="n">
        <f aca="false">(1+K520)^(1/12)-1</f>
        <v>0.00420553496807585</v>
      </c>
    </row>
    <row r="521" customFormat="false" ht="15" hidden="false" customHeight="false" outlineLevel="0" collapsed="false">
      <c r="A521" s="4" t="n">
        <v>517</v>
      </c>
      <c r="B521" s="14" t="n">
        <f aca="false">A521/12</f>
        <v>43.0833333333333</v>
      </c>
      <c r="C521" s="15" t="n">
        <f aca="false">INT(A521/6)</f>
        <v>86</v>
      </c>
      <c r="D521" s="16" t="n">
        <f aca="false">IF(C521=0,(1+Dic2023!$G$6)^(-B521),EXP(LN(INDEX(Dic2023!$H$6:$H$205,C521))+(LN(INDEX(Dic2023!$H$6:$H$205,MIN(C521+1,200)))-LN(INDEX(Dic2023!$H$6:$H$205,C521)))*(A521-6*C521)/6))</f>
        <v>0.114211602365234</v>
      </c>
      <c r="E521" s="12" t="n">
        <f aca="false">D521^(-1/B521)-1</f>
        <v>0.0516502500000002</v>
      </c>
      <c r="F521" s="12" t="n">
        <f aca="false">(1+E521)^(1/12)-1</f>
        <v>0.00420553496807585</v>
      </c>
      <c r="G521" s="16" t="n">
        <f aca="false">IF(C521=0,(1+Dic2023!$J$6)^(-B521),EXP(LN(INDEX(Dic2023!$K$6:$K$205,C521))+(LN(INDEX(Dic2023!$K$6:$K$205,MIN(C521+1,200)))-LN(INDEX(Dic2023!$K$6:$K$205,C521)))*(A521-6*C521)/6))</f>
        <v>0.114211602365234</v>
      </c>
      <c r="H521" s="12" t="n">
        <f aca="false">G521^(-1/B521)-1</f>
        <v>0.0516502500000002</v>
      </c>
      <c r="I521" s="12" t="n">
        <f aca="false">(1+H521)^(1/12)-1</f>
        <v>0.00420553496807585</v>
      </c>
      <c r="J521" s="16" t="n">
        <f aca="false">IF(C521=0,(1+Dic2023!$M$6)^(-B521),EXP(LN(INDEX(Dic2023!$N$6:$N$205,C521))+(LN(INDEX(Dic2023!$N$6:$N$205,MIN(C521+1,200)))-LN(INDEX(Dic2023!$N$6:$N$205,C521)))*(A521-6*C521)/6))</f>
        <v>0.114211602365234</v>
      </c>
      <c r="K521" s="12" t="n">
        <f aca="false">J521^(-1/B521)-1</f>
        <v>0.0516502500000002</v>
      </c>
      <c r="L521" s="12" t="n">
        <f aca="false">(1+K521)^(1/12)-1</f>
        <v>0.00420553496807585</v>
      </c>
    </row>
    <row r="522" customFormat="false" ht="15" hidden="false" customHeight="false" outlineLevel="0" collapsed="false">
      <c r="A522" s="4" t="n">
        <v>518</v>
      </c>
      <c r="B522" s="14" t="n">
        <f aca="false">A522/12</f>
        <v>43.1666666666667</v>
      </c>
      <c r="C522" s="15" t="n">
        <f aca="false">INT(A522/6)</f>
        <v>86</v>
      </c>
      <c r="D522" s="16" t="n">
        <f aca="false">IF(C522=0,(1+Dic2023!$G$6)^(-B522),EXP(LN(INDEX(Dic2023!$H$6:$H$205,C522))+(LN(INDEX(Dic2023!$H$6:$H$205,MIN(C522+1,200)))-LN(INDEX(Dic2023!$H$6:$H$205,C522)))*(A522-6*C522)/6))</f>
        <v>0.113733293024385</v>
      </c>
      <c r="E522" s="12" t="n">
        <f aca="false">D522^(-1/B522)-1</f>
        <v>0.0516502500000002</v>
      </c>
      <c r="F522" s="12" t="n">
        <f aca="false">(1+E522)^(1/12)-1</f>
        <v>0.00420553496807585</v>
      </c>
      <c r="G522" s="16" t="n">
        <f aca="false">IF(C522=0,(1+Dic2023!$J$6)^(-B522),EXP(LN(INDEX(Dic2023!$K$6:$K$205,C522))+(LN(INDEX(Dic2023!$K$6:$K$205,MIN(C522+1,200)))-LN(INDEX(Dic2023!$K$6:$K$205,C522)))*(A522-6*C522)/6))</f>
        <v>0.113733293024385</v>
      </c>
      <c r="H522" s="12" t="n">
        <f aca="false">G522^(-1/B522)-1</f>
        <v>0.0516502500000002</v>
      </c>
      <c r="I522" s="12" t="n">
        <f aca="false">(1+H522)^(1/12)-1</f>
        <v>0.00420553496807585</v>
      </c>
      <c r="J522" s="16" t="n">
        <f aca="false">IF(C522=0,(1+Dic2023!$M$6)^(-B522),EXP(LN(INDEX(Dic2023!$N$6:$N$205,C522))+(LN(INDEX(Dic2023!$N$6:$N$205,MIN(C522+1,200)))-LN(INDEX(Dic2023!$N$6:$N$205,C522)))*(A522-6*C522)/6))</f>
        <v>0.113733293024385</v>
      </c>
      <c r="K522" s="12" t="n">
        <f aca="false">J522^(-1/B522)-1</f>
        <v>0.0516502500000002</v>
      </c>
      <c r="L522" s="12" t="n">
        <f aca="false">(1+K522)^(1/12)-1</f>
        <v>0.00420553496807585</v>
      </c>
    </row>
    <row r="523" customFormat="false" ht="15" hidden="false" customHeight="false" outlineLevel="0" collapsed="false">
      <c r="A523" s="4" t="n">
        <v>519</v>
      </c>
      <c r="B523" s="14" t="n">
        <f aca="false">A523/12</f>
        <v>43.25</v>
      </c>
      <c r="C523" s="15" t="n">
        <f aca="false">INT(A523/6)</f>
        <v>86</v>
      </c>
      <c r="D523" s="16" t="n">
        <f aca="false">IF(C523=0,(1+Dic2023!$G$6)^(-B523),EXP(LN(INDEX(Dic2023!$H$6:$H$205,C523))+(LN(INDEX(Dic2023!$H$6:$H$205,MIN(C523+1,200)))-LN(INDEX(Dic2023!$H$6:$H$205,C523)))*(A523-6*C523)/6))</f>
        <v>0.113256986805994</v>
      </c>
      <c r="E523" s="12" t="n">
        <f aca="false">D523^(-1/B523)-1</f>
        <v>0.0516502500000002</v>
      </c>
      <c r="F523" s="12" t="n">
        <f aca="false">(1+E523)^(1/12)-1</f>
        <v>0.00420553496807585</v>
      </c>
      <c r="G523" s="16" t="n">
        <f aca="false">IF(C523=0,(1+Dic2023!$J$6)^(-B523),EXP(LN(INDEX(Dic2023!$K$6:$K$205,C523))+(LN(INDEX(Dic2023!$K$6:$K$205,MIN(C523+1,200)))-LN(INDEX(Dic2023!$K$6:$K$205,C523)))*(A523-6*C523)/6))</f>
        <v>0.113256986805994</v>
      </c>
      <c r="H523" s="12" t="n">
        <f aca="false">G523^(-1/B523)-1</f>
        <v>0.0516502500000002</v>
      </c>
      <c r="I523" s="12" t="n">
        <f aca="false">(1+H523)^(1/12)-1</f>
        <v>0.00420553496807585</v>
      </c>
      <c r="J523" s="16" t="n">
        <f aca="false">IF(C523=0,(1+Dic2023!$M$6)^(-B523),EXP(LN(INDEX(Dic2023!$N$6:$N$205,C523))+(LN(INDEX(Dic2023!$N$6:$N$205,MIN(C523+1,200)))-LN(INDEX(Dic2023!$N$6:$N$205,C523)))*(A523-6*C523)/6))</f>
        <v>0.113256986805994</v>
      </c>
      <c r="K523" s="12" t="n">
        <f aca="false">J523^(-1/B523)-1</f>
        <v>0.0516502500000002</v>
      </c>
      <c r="L523" s="12" t="n">
        <f aca="false">(1+K523)^(1/12)-1</f>
        <v>0.00420553496807585</v>
      </c>
    </row>
    <row r="524" customFormat="false" ht="15" hidden="false" customHeight="false" outlineLevel="0" collapsed="false">
      <c r="A524" s="4" t="n">
        <v>520</v>
      </c>
      <c r="B524" s="14" t="n">
        <f aca="false">A524/12</f>
        <v>43.3333333333333</v>
      </c>
      <c r="C524" s="15" t="n">
        <f aca="false">INT(A524/6)</f>
        <v>86</v>
      </c>
      <c r="D524" s="16" t="n">
        <f aca="false">IF(C524=0,(1+Dic2023!$G$6)^(-B524),EXP(LN(INDEX(Dic2023!$H$6:$H$205,C524))+(LN(INDEX(Dic2023!$H$6:$H$205,MIN(C524+1,200)))-LN(INDEX(Dic2023!$H$6:$H$205,C524)))*(A524-6*C524)/6))</f>
        <v>0.112782675321138</v>
      </c>
      <c r="E524" s="12" t="n">
        <f aca="false">D524^(-1/B524)-1</f>
        <v>0.0516502500000002</v>
      </c>
      <c r="F524" s="12" t="n">
        <f aca="false">(1+E524)^(1/12)-1</f>
        <v>0.00420553496807585</v>
      </c>
      <c r="G524" s="16" t="n">
        <f aca="false">IF(C524=0,(1+Dic2023!$J$6)^(-B524),EXP(LN(INDEX(Dic2023!$K$6:$K$205,C524))+(LN(INDEX(Dic2023!$K$6:$K$205,MIN(C524+1,200)))-LN(INDEX(Dic2023!$K$6:$K$205,C524)))*(A524-6*C524)/6))</f>
        <v>0.112782675321138</v>
      </c>
      <c r="H524" s="12" t="n">
        <f aca="false">G524^(-1/B524)-1</f>
        <v>0.0516502500000002</v>
      </c>
      <c r="I524" s="12" t="n">
        <f aca="false">(1+H524)^(1/12)-1</f>
        <v>0.00420553496807585</v>
      </c>
      <c r="J524" s="16" t="n">
        <f aca="false">IF(C524=0,(1+Dic2023!$M$6)^(-B524),EXP(LN(INDEX(Dic2023!$N$6:$N$205,C524))+(LN(INDEX(Dic2023!$N$6:$N$205,MIN(C524+1,200)))-LN(INDEX(Dic2023!$N$6:$N$205,C524)))*(A524-6*C524)/6))</f>
        <v>0.112782675321138</v>
      </c>
      <c r="K524" s="12" t="n">
        <f aca="false">J524^(-1/B524)-1</f>
        <v>0.0516502500000002</v>
      </c>
      <c r="L524" s="12" t="n">
        <f aca="false">(1+K524)^(1/12)-1</f>
        <v>0.00420553496807585</v>
      </c>
    </row>
    <row r="525" customFormat="false" ht="15" hidden="false" customHeight="false" outlineLevel="0" collapsed="false">
      <c r="A525" s="4" t="n">
        <v>521</v>
      </c>
      <c r="B525" s="14" t="n">
        <f aca="false">A525/12</f>
        <v>43.4166666666667</v>
      </c>
      <c r="C525" s="15" t="n">
        <f aca="false">INT(A525/6)</f>
        <v>86</v>
      </c>
      <c r="D525" s="16" t="n">
        <f aca="false">IF(C525=0,(1+Dic2023!$G$6)^(-B525),EXP(LN(INDEX(Dic2023!$H$6:$H$205,C525))+(LN(INDEX(Dic2023!$H$6:$H$205,MIN(C525+1,200)))-LN(INDEX(Dic2023!$H$6:$H$205,C525)))*(A525-6*C525)/6))</f>
        <v>0.112310350216027</v>
      </c>
      <c r="E525" s="12" t="n">
        <f aca="false">D525^(-1/B525)-1</f>
        <v>0.0516502500000002</v>
      </c>
      <c r="F525" s="12" t="n">
        <f aca="false">(1+E525)^(1/12)-1</f>
        <v>0.00420553496807585</v>
      </c>
      <c r="G525" s="16" t="n">
        <f aca="false">IF(C525=0,(1+Dic2023!$J$6)^(-B525),EXP(LN(INDEX(Dic2023!$K$6:$K$205,C525))+(LN(INDEX(Dic2023!$K$6:$K$205,MIN(C525+1,200)))-LN(INDEX(Dic2023!$K$6:$K$205,C525)))*(A525-6*C525)/6))</f>
        <v>0.112310350216027</v>
      </c>
      <c r="H525" s="12" t="n">
        <f aca="false">G525^(-1/B525)-1</f>
        <v>0.0516502500000002</v>
      </c>
      <c r="I525" s="12" t="n">
        <f aca="false">(1+H525)^(1/12)-1</f>
        <v>0.00420553496807585</v>
      </c>
      <c r="J525" s="16" t="n">
        <f aca="false">IF(C525=0,(1+Dic2023!$M$6)^(-B525),EXP(LN(INDEX(Dic2023!$N$6:$N$205,C525))+(LN(INDEX(Dic2023!$N$6:$N$205,MIN(C525+1,200)))-LN(INDEX(Dic2023!$N$6:$N$205,C525)))*(A525-6*C525)/6))</f>
        <v>0.112310350216027</v>
      </c>
      <c r="K525" s="12" t="n">
        <f aca="false">J525^(-1/B525)-1</f>
        <v>0.0516502500000002</v>
      </c>
      <c r="L525" s="12" t="n">
        <f aca="false">(1+K525)^(1/12)-1</f>
        <v>0.00420553496807585</v>
      </c>
    </row>
    <row r="526" customFormat="false" ht="15" hidden="false" customHeight="false" outlineLevel="0" collapsed="false">
      <c r="A526" s="4" t="n">
        <v>522</v>
      </c>
      <c r="B526" s="14" t="n">
        <f aca="false">A526/12</f>
        <v>43.5</v>
      </c>
      <c r="C526" s="15" t="n">
        <f aca="false">INT(A526/6)</f>
        <v>87</v>
      </c>
      <c r="D526" s="16" t="n">
        <f aca="false">IF(C526=0,(1+Dic2023!$G$6)^(-B526),EXP(LN(INDEX(Dic2023!$H$6:$H$205,C526))+(LN(INDEX(Dic2023!$H$6:$H$205,MIN(C526+1,200)))-LN(INDEX(Dic2023!$H$6:$H$205,C526)))*(A526-6*C526)/6))</f>
        <v>0.111840003171858</v>
      </c>
      <c r="E526" s="12" t="n">
        <f aca="false">D526^(-1/B526)-1</f>
        <v>0.0516502500000002</v>
      </c>
      <c r="F526" s="12" t="n">
        <f aca="false">(1+E526)^(1/12)-1</f>
        <v>0.00420553496807585</v>
      </c>
      <c r="G526" s="16" t="n">
        <f aca="false">IF(C526=0,(1+Dic2023!$J$6)^(-B526),EXP(LN(INDEX(Dic2023!$K$6:$K$205,C526))+(LN(INDEX(Dic2023!$K$6:$K$205,MIN(C526+1,200)))-LN(INDEX(Dic2023!$K$6:$K$205,C526)))*(A526-6*C526)/6))</f>
        <v>0.111840003171858</v>
      </c>
      <c r="H526" s="12" t="n">
        <f aca="false">G526^(-1/B526)-1</f>
        <v>0.0516502500000002</v>
      </c>
      <c r="I526" s="12" t="n">
        <f aca="false">(1+H526)^(1/12)-1</f>
        <v>0.00420553496807585</v>
      </c>
      <c r="J526" s="16" t="n">
        <f aca="false">IF(C526=0,(1+Dic2023!$M$6)^(-B526),EXP(LN(INDEX(Dic2023!$N$6:$N$205,C526))+(LN(INDEX(Dic2023!$N$6:$N$205,MIN(C526+1,200)))-LN(INDEX(Dic2023!$N$6:$N$205,C526)))*(A526-6*C526)/6))</f>
        <v>0.111840003171858</v>
      </c>
      <c r="K526" s="12" t="n">
        <f aca="false">J526^(-1/B526)-1</f>
        <v>0.0516502500000002</v>
      </c>
      <c r="L526" s="12" t="n">
        <f aca="false">(1+K526)^(1/12)-1</f>
        <v>0.00420553496807585</v>
      </c>
    </row>
    <row r="527" customFormat="false" ht="15" hidden="false" customHeight="false" outlineLevel="0" collapsed="false">
      <c r="A527" s="4" t="n">
        <v>523</v>
      </c>
      <c r="B527" s="14" t="n">
        <f aca="false">A527/12</f>
        <v>43.5833333333333</v>
      </c>
      <c r="C527" s="15" t="n">
        <f aca="false">INT(A527/6)</f>
        <v>87</v>
      </c>
      <c r="D527" s="16" t="n">
        <f aca="false">IF(C527=0,(1+Dic2023!$G$6)^(-B527),EXP(LN(INDEX(Dic2023!$H$6:$H$205,C527))+(LN(INDEX(Dic2023!$H$6:$H$205,MIN(C527+1,200)))-LN(INDEX(Dic2023!$H$6:$H$205,C527)))*(A527-6*C527)/6))</f>
        <v>0.111371625904665</v>
      </c>
      <c r="E527" s="12" t="n">
        <f aca="false">D527^(-1/B527)-1</f>
        <v>0.0516502500000002</v>
      </c>
      <c r="F527" s="12" t="n">
        <f aca="false">(1+E527)^(1/12)-1</f>
        <v>0.00420553496807585</v>
      </c>
      <c r="G527" s="16" t="n">
        <f aca="false">IF(C527=0,(1+Dic2023!$J$6)^(-B527),EXP(LN(INDEX(Dic2023!$K$6:$K$205,C527))+(LN(INDEX(Dic2023!$K$6:$K$205,MIN(C527+1,200)))-LN(INDEX(Dic2023!$K$6:$K$205,C527)))*(A527-6*C527)/6))</f>
        <v>0.111371625904665</v>
      </c>
      <c r="H527" s="12" t="n">
        <f aca="false">G527^(-1/B527)-1</f>
        <v>0.0516502500000002</v>
      </c>
      <c r="I527" s="12" t="n">
        <f aca="false">(1+H527)^(1/12)-1</f>
        <v>0.00420553496807585</v>
      </c>
      <c r="J527" s="16" t="n">
        <f aca="false">IF(C527=0,(1+Dic2023!$M$6)^(-B527),EXP(LN(INDEX(Dic2023!$N$6:$N$205,C527))+(LN(INDEX(Dic2023!$N$6:$N$205,MIN(C527+1,200)))-LN(INDEX(Dic2023!$N$6:$N$205,C527)))*(A527-6*C527)/6))</f>
        <v>0.111371625904665</v>
      </c>
      <c r="K527" s="12" t="n">
        <f aca="false">J527^(-1/B527)-1</f>
        <v>0.0516502500000002</v>
      </c>
      <c r="L527" s="12" t="n">
        <f aca="false">(1+K527)^(1/12)-1</f>
        <v>0.00420553496807585</v>
      </c>
    </row>
    <row r="528" customFormat="false" ht="15" hidden="false" customHeight="false" outlineLevel="0" collapsed="false">
      <c r="A528" s="4" t="n">
        <v>524</v>
      </c>
      <c r="B528" s="14" t="n">
        <f aca="false">A528/12</f>
        <v>43.6666666666667</v>
      </c>
      <c r="C528" s="15" t="n">
        <f aca="false">INT(A528/6)</f>
        <v>87</v>
      </c>
      <c r="D528" s="16" t="n">
        <f aca="false">IF(C528=0,(1+Dic2023!$G$6)^(-B528),EXP(LN(INDEX(Dic2023!$H$6:$H$205,C528))+(LN(INDEX(Dic2023!$H$6:$H$205,MIN(C528+1,200)))-LN(INDEX(Dic2023!$H$6:$H$205,C528)))*(A528-6*C528)/6))</f>
        <v>0.110905210165173</v>
      </c>
      <c r="E528" s="12" t="n">
        <f aca="false">D528^(-1/B528)-1</f>
        <v>0.0516502500000002</v>
      </c>
      <c r="F528" s="12" t="n">
        <f aca="false">(1+E528)^(1/12)-1</f>
        <v>0.00420553496807585</v>
      </c>
      <c r="G528" s="16" t="n">
        <f aca="false">IF(C528=0,(1+Dic2023!$J$6)^(-B528),EXP(LN(INDEX(Dic2023!$K$6:$K$205,C528))+(LN(INDEX(Dic2023!$K$6:$K$205,MIN(C528+1,200)))-LN(INDEX(Dic2023!$K$6:$K$205,C528)))*(A528-6*C528)/6))</f>
        <v>0.110905210165173</v>
      </c>
      <c r="H528" s="12" t="n">
        <f aca="false">G528^(-1/B528)-1</f>
        <v>0.0516502500000002</v>
      </c>
      <c r="I528" s="12" t="n">
        <f aca="false">(1+H528)^(1/12)-1</f>
        <v>0.00420553496807585</v>
      </c>
      <c r="J528" s="16" t="n">
        <f aca="false">IF(C528=0,(1+Dic2023!$M$6)^(-B528),EXP(LN(INDEX(Dic2023!$N$6:$N$205,C528))+(LN(INDEX(Dic2023!$N$6:$N$205,MIN(C528+1,200)))-LN(INDEX(Dic2023!$N$6:$N$205,C528)))*(A528-6*C528)/6))</f>
        <v>0.110905210165173</v>
      </c>
      <c r="K528" s="12" t="n">
        <f aca="false">J528^(-1/B528)-1</f>
        <v>0.0516502500000002</v>
      </c>
      <c r="L528" s="12" t="n">
        <f aca="false">(1+K528)^(1/12)-1</f>
        <v>0.00420553496807585</v>
      </c>
    </row>
    <row r="529" customFormat="false" ht="15" hidden="false" customHeight="false" outlineLevel="0" collapsed="false">
      <c r="A529" s="4" t="n">
        <v>525</v>
      </c>
      <c r="B529" s="14" t="n">
        <f aca="false">A529/12</f>
        <v>43.75</v>
      </c>
      <c r="C529" s="15" t="n">
        <f aca="false">INT(A529/6)</f>
        <v>87</v>
      </c>
      <c r="D529" s="16" t="n">
        <f aca="false">IF(C529=0,(1+Dic2023!$G$6)^(-B529),EXP(LN(INDEX(Dic2023!$H$6:$H$205,C529))+(LN(INDEX(Dic2023!$H$6:$H$205,MIN(C529+1,200)))-LN(INDEX(Dic2023!$H$6:$H$205,C529)))*(A529-6*C529)/6))</f>
        <v>0.110440747738658</v>
      </c>
      <c r="E529" s="12" t="n">
        <f aca="false">D529^(-1/B529)-1</f>
        <v>0.0516502500000002</v>
      </c>
      <c r="F529" s="12" t="n">
        <f aca="false">(1+E529)^(1/12)-1</f>
        <v>0.00420553496807585</v>
      </c>
      <c r="G529" s="16" t="n">
        <f aca="false">IF(C529=0,(1+Dic2023!$J$6)^(-B529),EXP(LN(INDEX(Dic2023!$K$6:$K$205,C529))+(LN(INDEX(Dic2023!$K$6:$K$205,MIN(C529+1,200)))-LN(INDEX(Dic2023!$K$6:$K$205,C529)))*(A529-6*C529)/6))</f>
        <v>0.110440747738658</v>
      </c>
      <c r="H529" s="12" t="n">
        <f aca="false">G529^(-1/B529)-1</f>
        <v>0.0516502500000002</v>
      </c>
      <c r="I529" s="12" t="n">
        <f aca="false">(1+H529)^(1/12)-1</f>
        <v>0.00420553496807585</v>
      </c>
      <c r="J529" s="16" t="n">
        <f aca="false">IF(C529=0,(1+Dic2023!$M$6)^(-B529),EXP(LN(INDEX(Dic2023!$N$6:$N$205,C529))+(LN(INDEX(Dic2023!$N$6:$N$205,MIN(C529+1,200)))-LN(INDEX(Dic2023!$N$6:$N$205,C529)))*(A529-6*C529)/6))</f>
        <v>0.110440747738658</v>
      </c>
      <c r="K529" s="12" t="n">
        <f aca="false">J529^(-1/B529)-1</f>
        <v>0.0516502500000002</v>
      </c>
      <c r="L529" s="12" t="n">
        <f aca="false">(1+K529)^(1/12)-1</f>
        <v>0.00420553496807585</v>
      </c>
    </row>
    <row r="530" customFormat="false" ht="15" hidden="false" customHeight="false" outlineLevel="0" collapsed="false">
      <c r="A530" s="4" t="n">
        <v>526</v>
      </c>
      <c r="B530" s="14" t="n">
        <f aca="false">A530/12</f>
        <v>43.8333333333333</v>
      </c>
      <c r="C530" s="15" t="n">
        <f aca="false">INT(A530/6)</f>
        <v>87</v>
      </c>
      <c r="D530" s="16" t="n">
        <f aca="false">IF(C530=0,(1+Dic2023!$G$6)^(-B530),EXP(LN(INDEX(Dic2023!$H$6:$H$205,C530))+(LN(INDEX(Dic2023!$H$6:$H$205,MIN(C530+1,200)))-LN(INDEX(Dic2023!$H$6:$H$205,C530)))*(A530-6*C530)/6))</f>
        <v>0.109978230444795</v>
      </c>
      <c r="E530" s="12" t="n">
        <f aca="false">D530^(-1/B530)-1</f>
        <v>0.0516502500000002</v>
      </c>
      <c r="F530" s="12" t="n">
        <f aca="false">(1+E530)^(1/12)-1</f>
        <v>0.00420553496807585</v>
      </c>
      <c r="G530" s="16" t="n">
        <f aca="false">IF(C530=0,(1+Dic2023!$J$6)^(-B530),EXP(LN(INDEX(Dic2023!$K$6:$K$205,C530))+(LN(INDEX(Dic2023!$K$6:$K$205,MIN(C530+1,200)))-LN(INDEX(Dic2023!$K$6:$K$205,C530)))*(A530-6*C530)/6))</f>
        <v>0.109978230444795</v>
      </c>
      <c r="H530" s="12" t="n">
        <f aca="false">G530^(-1/B530)-1</f>
        <v>0.0516502500000002</v>
      </c>
      <c r="I530" s="12" t="n">
        <f aca="false">(1+H530)^(1/12)-1</f>
        <v>0.00420553496807585</v>
      </c>
      <c r="J530" s="16" t="n">
        <f aca="false">IF(C530=0,(1+Dic2023!$M$6)^(-B530),EXP(LN(INDEX(Dic2023!$N$6:$N$205,C530))+(LN(INDEX(Dic2023!$N$6:$N$205,MIN(C530+1,200)))-LN(INDEX(Dic2023!$N$6:$N$205,C530)))*(A530-6*C530)/6))</f>
        <v>0.109978230444795</v>
      </c>
      <c r="K530" s="12" t="n">
        <f aca="false">J530^(-1/B530)-1</f>
        <v>0.0516502500000002</v>
      </c>
      <c r="L530" s="12" t="n">
        <f aca="false">(1+K530)^(1/12)-1</f>
        <v>0.00420553496807585</v>
      </c>
    </row>
    <row r="531" customFormat="false" ht="15" hidden="false" customHeight="false" outlineLevel="0" collapsed="false">
      <c r="A531" s="4" t="n">
        <v>527</v>
      </c>
      <c r="B531" s="14" t="n">
        <f aca="false">A531/12</f>
        <v>43.9166666666667</v>
      </c>
      <c r="C531" s="15" t="n">
        <f aca="false">INT(A531/6)</f>
        <v>87</v>
      </c>
      <c r="D531" s="16" t="n">
        <f aca="false">IF(C531=0,(1+Dic2023!$G$6)^(-B531),EXP(LN(INDEX(Dic2023!$H$6:$H$205,C531))+(LN(INDEX(Dic2023!$H$6:$H$205,MIN(C531+1,200)))-LN(INDEX(Dic2023!$H$6:$H$205,C531)))*(A531-6*C531)/6))</f>
        <v>0.109517650137521</v>
      </c>
      <c r="E531" s="12" t="n">
        <f aca="false">D531^(-1/B531)-1</f>
        <v>0.0516502500000002</v>
      </c>
      <c r="F531" s="12" t="n">
        <f aca="false">(1+E531)^(1/12)-1</f>
        <v>0.00420553496807585</v>
      </c>
      <c r="G531" s="16" t="n">
        <f aca="false">IF(C531=0,(1+Dic2023!$J$6)^(-B531),EXP(LN(INDEX(Dic2023!$K$6:$K$205,C531))+(LN(INDEX(Dic2023!$K$6:$K$205,MIN(C531+1,200)))-LN(INDEX(Dic2023!$K$6:$K$205,C531)))*(A531-6*C531)/6))</f>
        <v>0.109517650137521</v>
      </c>
      <c r="H531" s="12" t="n">
        <f aca="false">G531^(-1/B531)-1</f>
        <v>0.0516502500000002</v>
      </c>
      <c r="I531" s="12" t="n">
        <f aca="false">(1+H531)^(1/12)-1</f>
        <v>0.00420553496807585</v>
      </c>
      <c r="J531" s="16" t="n">
        <f aca="false">IF(C531=0,(1+Dic2023!$M$6)^(-B531),EXP(LN(INDEX(Dic2023!$N$6:$N$205,C531))+(LN(INDEX(Dic2023!$N$6:$N$205,MIN(C531+1,200)))-LN(INDEX(Dic2023!$N$6:$N$205,C531)))*(A531-6*C531)/6))</f>
        <v>0.109517650137521</v>
      </c>
      <c r="K531" s="12" t="n">
        <f aca="false">J531^(-1/B531)-1</f>
        <v>0.0516502500000002</v>
      </c>
      <c r="L531" s="12" t="n">
        <f aca="false">(1+K531)^(1/12)-1</f>
        <v>0.00420553496807585</v>
      </c>
    </row>
    <row r="532" customFormat="false" ht="15" hidden="false" customHeight="false" outlineLevel="0" collapsed="false">
      <c r="A532" s="4" t="n">
        <v>528</v>
      </c>
      <c r="B532" s="14" t="n">
        <f aca="false">A532/12</f>
        <v>44</v>
      </c>
      <c r="C532" s="15" t="n">
        <f aca="false">INT(A532/6)</f>
        <v>88</v>
      </c>
      <c r="D532" s="16" t="n">
        <f aca="false">IF(C532=0,(1+Dic2023!$G$6)^(-B532),EXP(LN(INDEX(Dic2023!$H$6:$H$205,C532))+(LN(INDEX(Dic2023!$H$6:$H$205,MIN(C532+1,200)))-LN(INDEX(Dic2023!$H$6:$H$205,C532)))*(A532-6*C532)/6))</f>
        <v>0.109058998704884</v>
      </c>
      <c r="E532" s="12" t="n">
        <f aca="false">D532^(-1/B532)-1</f>
        <v>0.0516502500000002</v>
      </c>
      <c r="F532" s="12" t="n">
        <f aca="false">(1+E532)^(1/12)-1</f>
        <v>0.00420553496807585</v>
      </c>
      <c r="G532" s="16" t="n">
        <f aca="false">IF(C532=0,(1+Dic2023!$J$6)^(-B532),EXP(LN(INDEX(Dic2023!$K$6:$K$205,C532))+(LN(INDEX(Dic2023!$K$6:$K$205,MIN(C532+1,200)))-LN(INDEX(Dic2023!$K$6:$K$205,C532)))*(A532-6*C532)/6))</f>
        <v>0.109058998704884</v>
      </c>
      <c r="H532" s="12" t="n">
        <f aca="false">G532^(-1/B532)-1</f>
        <v>0.0516502500000002</v>
      </c>
      <c r="I532" s="12" t="n">
        <f aca="false">(1+H532)^(1/12)-1</f>
        <v>0.00420553496807585</v>
      </c>
      <c r="J532" s="16" t="n">
        <f aca="false">IF(C532=0,(1+Dic2023!$M$6)^(-B532),EXP(LN(INDEX(Dic2023!$N$6:$N$205,C532))+(LN(INDEX(Dic2023!$N$6:$N$205,MIN(C532+1,200)))-LN(INDEX(Dic2023!$N$6:$N$205,C532)))*(A532-6*C532)/6))</f>
        <v>0.109058998704884</v>
      </c>
      <c r="K532" s="12" t="n">
        <f aca="false">J532^(-1/B532)-1</f>
        <v>0.0516502500000002</v>
      </c>
      <c r="L532" s="12" t="n">
        <f aca="false">(1+K532)^(1/12)-1</f>
        <v>0.00420553496807585</v>
      </c>
    </row>
    <row r="533" customFormat="false" ht="15" hidden="false" customHeight="false" outlineLevel="0" collapsed="false">
      <c r="A533" s="4" t="n">
        <v>529</v>
      </c>
      <c r="B533" s="14" t="n">
        <f aca="false">A533/12</f>
        <v>44.0833333333333</v>
      </c>
      <c r="C533" s="15" t="n">
        <f aca="false">INT(A533/6)</f>
        <v>88</v>
      </c>
      <c r="D533" s="16" t="n">
        <f aca="false">IF(C533=0,(1+Dic2023!$G$6)^(-B533),EXP(LN(INDEX(Dic2023!$H$6:$H$205,C533))+(LN(INDEX(Dic2023!$H$6:$H$205,MIN(C533+1,200)))-LN(INDEX(Dic2023!$H$6:$H$205,C533)))*(A533-6*C533)/6))</f>
        <v>0.108602268068908</v>
      </c>
      <c r="E533" s="12" t="n">
        <f aca="false">D533^(-1/B533)-1</f>
        <v>0.0516502500000002</v>
      </c>
      <c r="F533" s="12" t="n">
        <f aca="false">(1+E533)^(1/12)-1</f>
        <v>0.00420553496807585</v>
      </c>
      <c r="G533" s="16" t="n">
        <f aca="false">IF(C533=0,(1+Dic2023!$J$6)^(-B533),EXP(LN(INDEX(Dic2023!$K$6:$K$205,C533))+(LN(INDEX(Dic2023!$K$6:$K$205,MIN(C533+1,200)))-LN(INDEX(Dic2023!$K$6:$K$205,C533)))*(A533-6*C533)/6))</f>
        <v>0.108602268068908</v>
      </c>
      <c r="H533" s="12" t="n">
        <f aca="false">G533^(-1/B533)-1</f>
        <v>0.0516502500000002</v>
      </c>
      <c r="I533" s="12" t="n">
        <f aca="false">(1+H533)^(1/12)-1</f>
        <v>0.00420553496807585</v>
      </c>
      <c r="J533" s="16" t="n">
        <f aca="false">IF(C533=0,(1+Dic2023!$M$6)^(-B533),EXP(LN(INDEX(Dic2023!$N$6:$N$205,C533))+(LN(INDEX(Dic2023!$N$6:$N$205,MIN(C533+1,200)))-LN(INDEX(Dic2023!$N$6:$N$205,C533)))*(A533-6*C533)/6))</f>
        <v>0.108602268068908</v>
      </c>
      <c r="K533" s="12" t="n">
        <f aca="false">J533^(-1/B533)-1</f>
        <v>0.0516502500000002</v>
      </c>
      <c r="L533" s="12" t="n">
        <f aca="false">(1+K533)^(1/12)-1</f>
        <v>0.00420553496807585</v>
      </c>
    </row>
    <row r="534" customFormat="false" ht="15" hidden="false" customHeight="false" outlineLevel="0" collapsed="false">
      <c r="A534" s="4" t="n">
        <v>530</v>
      </c>
      <c r="B534" s="14" t="n">
        <f aca="false">A534/12</f>
        <v>44.1666666666667</v>
      </c>
      <c r="C534" s="15" t="n">
        <f aca="false">INT(A534/6)</f>
        <v>88</v>
      </c>
      <c r="D534" s="16" t="n">
        <f aca="false">IF(C534=0,(1+Dic2023!$G$6)^(-B534),EXP(LN(INDEX(Dic2023!$H$6:$H$205,C534))+(LN(INDEX(Dic2023!$H$6:$H$205,MIN(C534+1,200)))-LN(INDEX(Dic2023!$H$6:$H$205,C534)))*(A534-6*C534)/6))</f>
        <v>0.108147450185445</v>
      </c>
      <c r="E534" s="12" t="n">
        <f aca="false">D534^(-1/B534)-1</f>
        <v>0.0516502500000002</v>
      </c>
      <c r="F534" s="12" t="n">
        <f aca="false">(1+E534)^(1/12)-1</f>
        <v>0.00420553496807585</v>
      </c>
      <c r="G534" s="16" t="n">
        <f aca="false">IF(C534=0,(1+Dic2023!$J$6)^(-B534),EXP(LN(INDEX(Dic2023!$K$6:$K$205,C534))+(LN(INDEX(Dic2023!$K$6:$K$205,MIN(C534+1,200)))-LN(INDEX(Dic2023!$K$6:$K$205,C534)))*(A534-6*C534)/6))</f>
        <v>0.108147450185445</v>
      </c>
      <c r="H534" s="12" t="n">
        <f aca="false">G534^(-1/B534)-1</f>
        <v>0.0516502500000002</v>
      </c>
      <c r="I534" s="12" t="n">
        <f aca="false">(1+H534)^(1/12)-1</f>
        <v>0.00420553496807585</v>
      </c>
      <c r="J534" s="16" t="n">
        <f aca="false">IF(C534=0,(1+Dic2023!$M$6)^(-B534),EXP(LN(INDEX(Dic2023!$N$6:$N$205,C534))+(LN(INDEX(Dic2023!$N$6:$N$205,MIN(C534+1,200)))-LN(INDEX(Dic2023!$N$6:$N$205,C534)))*(A534-6*C534)/6))</f>
        <v>0.108147450185445</v>
      </c>
      <c r="K534" s="12" t="n">
        <f aca="false">J534^(-1/B534)-1</f>
        <v>0.0516502500000002</v>
      </c>
      <c r="L534" s="12" t="n">
        <f aca="false">(1+K534)^(1/12)-1</f>
        <v>0.00420553496807585</v>
      </c>
    </row>
    <row r="535" customFormat="false" ht="15" hidden="false" customHeight="false" outlineLevel="0" collapsed="false">
      <c r="A535" s="4" t="n">
        <v>531</v>
      </c>
      <c r="B535" s="14" t="n">
        <f aca="false">A535/12</f>
        <v>44.25</v>
      </c>
      <c r="C535" s="15" t="n">
        <f aca="false">INT(A535/6)</f>
        <v>88</v>
      </c>
      <c r="D535" s="16" t="n">
        <f aca="false">IF(C535=0,(1+Dic2023!$G$6)^(-B535),EXP(LN(INDEX(Dic2023!$H$6:$H$205,C535))+(LN(INDEX(Dic2023!$H$6:$H$205,MIN(C535+1,200)))-LN(INDEX(Dic2023!$H$6:$H$205,C535)))*(A535-6*C535)/6))</f>
        <v>0.107694537044035</v>
      </c>
      <c r="E535" s="12" t="n">
        <f aca="false">D535^(-1/B535)-1</f>
        <v>0.0516502500000002</v>
      </c>
      <c r="F535" s="12" t="n">
        <f aca="false">(1+E535)^(1/12)-1</f>
        <v>0.00420553496807585</v>
      </c>
      <c r="G535" s="16" t="n">
        <f aca="false">IF(C535=0,(1+Dic2023!$J$6)^(-B535),EXP(LN(INDEX(Dic2023!$K$6:$K$205,C535))+(LN(INDEX(Dic2023!$K$6:$K$205,MIN(C535+1,200)))-LN(INDEX(Dic2023!$K$6:$K$205,C535)))*(A535-6*C535)/6))</f>
        <v>0.107694537044035</v>
      </c>
      <c r="H535" s="12" t="n">
        <f aca="false">G535^(-1/B535)-1</f>
        <v>0.0516502500000002</v>
      </c>
      <c r="I535" s="12" t="n">
        <f aca="false">(1+H535)^(1/12)-1</f>
        <v>0.00420553496807585</v>
      </c>
      <c r="J535" s="16" t="n">
        <f aca="false">IF(C535=0,(1+Dic2023!$M$6)^(-B535),EXP(LN(INDEX(Dic2023!$N$6:$N$205,C535))+(LN(INDEX(Dic2023!$N$6:$N$205,MIN(C535+1,200)))-LN(INDEX(Dic2023!$N$6:$N$205,C535)))*(A535-6*C535)/6))</f>
        <v>0.107694537044035</v>
      </c>
      <c r="K535" s="12" t="n">
        <f aca="false">J535^(-1/B535)-1</f>
        <v>0.0516502500000002</v>
      </c>
      <c r="L535" s="12" t="n">
        <f aca="false">(1+K535)^(1/12)-1</f>
        <v>0.00420553496807585</v>
      </c>
    </row>
    <row r="536" customFormat="false" ht="15" hidden="false" customHeight="false" outlineLevel="0" collapsed="false">
      <c r="A536" s="4" t="n">
        <v>532</v>
      </c>
      <c r="B536" s="14" t="n">
        <f aca="false">A536/12</f>
        <v>44.3333333333333</v>
      </c>
      <c r="C536" s="15" t="n">
        <f aca="false">INT(A536/6)</f>
        <v>88</v>
      </c>
      <c r="D536" s="16" t="n">
        <f aca="false">IF(C536=0,(1+Dic2023!$G$6)^(-B536),EXP(LN(INDEX(Dic2023!$H$6:$H$205,C536))+(LN(INDEX(Dic2023!$H$6:$H$205,MIN(C536+1,200)))-LN(INDEX(Dic2023!$H$6:$H$205,C536)))*(A536-6*C536)/6))</f>
        <v>0.107243520667767</v>
      </c>
      <c r="E536" s="12" t="n">
        <f aca="false">D536^(-1/B536)-1</f>
        <v>0.0516502500000002</v>
      </c>
      <c r="F536" s="12" t="n">
        <f aca="false">(1+E536)^(1/12)-1</f>
        <v>0.00420553496807585</v>
      </c>
      <c r="G536" s="16" t="n">
        <f aca="false">IF(C536=0,(1+Dic2023!$J$6)^(-B536),EXP(LN(INDEX(Dic2023!$K$6:$K$205,C536))+(LN(INDEX(Dic2023!$K$6:$K$205,MIN(C536+1,200)))-LN(INDEX(Dic2023!$K$6:$K$205,C536)))*(A536-6*C536)/6))</f>
        <v>0.107243520667767</v>
      </c>
      <c r="H536" s="12" t="n">
        <f aca="false">G536^(-1/B536)-1</f>
        <v>0.0516502500000002</v>
      </c>
      <c r="I536" s="12" t="n">
        <f aca="false">(1+H536)^(1/12)-1</f>
        <v>0.00420553496807585</v>
      </c>
      <c r="J536" s="16" t="n">
        <f aca="false">IF(C536=0,(1+Dic2023!$M$6)^(-B536),EXP(LN(INDEX(Dic2023!$N$6:$N$205,C536))+(LN(INDEX(Dic2023!$N$6:$N$205,MIN(C536+1,200)))-LN(INDEX(Dic2023!$N$6:$N$205,C536)))*(A536-6*C536)/6))</f>
        <v>0.107243520667767</v>
      </c>
      <c r="K536" s="12" t="n">
        <f aca="false">J536^(-1/B536)-1</f>
        <v>0.0516502500000002</v>
      </c>
      <c r="L536" s="12" t="n">
        <f aca="false">(1+K536)^(1/12)-1</f>
        <v>0.00420553496807585</v>
      </c>
    </row>
    <row r="537" customFormat="false" ht="15" hidden="false" customHeight="false" outlineLevel="0" collapsed="false">
      <c r="A537" s="4" t="n">
        <v>533</v>
      </c>
      <c r="B537" s="14" t="n">
        <f aca="false">A537/12</f>
        <v>44.4166666666667</v>
      </c>
      <c r="C537" s="15" t="n">
        <f aca="false">INT(A537/6)</f>
        <v>88</v>
      </c>
      <c r="D537" s="16" t="n">
        <f aca="false">IF(C537=0,(1+Dic2023!$G$6)^(-B537),EXP(LN(INDEX(Dic2023!$H$6:$H$205,C537))+(LN(INDEX(Dic2023!$H$6:$H$205,MIN(C537+1,200)))-LN(INDEX(Dic2023!$H$6:$H$205,C537)))*(A537-6*C537)/6))</f>
        <v>0.106794393113136</v>
      </c>
      <c r="E537" s="12" t="n">
        <f aca="false">D537^(-1/B537)-1</f>
        <v>0.0516502500000002</v>
      </c>
      <c r="F537" s="12" t="n">
        <f aca="false">(1+E537)^(1/12)-1</f>
        <v>0.00420553496807585</v>
      </c>
      <c r="G537" s="16" t="n">
        <f aca="false">IF(C537=0,(1+Dic2023!$J$6)^(-B537),EXP(LN(INDEX(Dic2023!$K$6:$K$205,C537))+(LN(INDEX(Dic2023!$K$6:$K$205,MIN(C537+1,200)))-LN(INDEX(Dic2023!$K$6:$K$205,C537)))*(A537-6*C537)/6))</f>
        <v>0.106794393113136</v>
      </c>
      <c r="H537" s="12" t="n">
        <f aca="false">G537^(-1/B537)-1</f>
        <v>0.0516502500000002</v>
      </c>
      <c r="I537" s="12" t="n">
        <f aca="false">(1+H537)^(1/12)-1</f>
        <v>0.00420553496807585</v>
      </c>
      <c r="J537" s="16" t="n">
        <f aca="false">IF(C537=0,(1+Dic2023!$M$6)^(-B537),EXP(LN(INDEX(Dic2023!$N$6:$N$205,C537))+(LN(INDEX(Dic2023!$N$6:$N$205,MIN(C537+1,200)))-LN(INDEX(Dic2023!$N$6:$N$205,C537)))*(A537-6*C537)/6))</f>
        <v>0.106794393113136</v>
      </c>
      <c r="K537" s="12" t="n">
        <f aca="false">J537^(-1/B537)-1</f>
        <v>0.0516502500000002</v>
      </c>
      <c r="L537" s="12" t="n">
        <f aca="false">(1+K537)^(1/12)-1</f>
        <v>0.00420553496807585</v>
      </c>
    </row>
    <row r="538" customFormat="false" ht="15" hidden="false" customHeight="false" outlineLevel="0" collapsed="false">
      <c r="A538" s="4" t="n">
        <v>534</v>
      </c>
      <c r="B538" s="14" t="n">
        <f aca="false">A538/12</f>
        <v>44.5</v>
      </c>
      <c r="C538" s="15" t="n">
        <f aca="false">INT(A538/6)</f>
        <v>89</v>
      </c>
      <c r="D538" s="16" t="n">
        <f aca="false">IF(C538=0,(1+Dic2023!$G$6)^(-B538),EXP(LN(INDEX(Dic2023!$H$6:$H$205,C538))+(LN(INDEX(Dic2023!$H$6:$H$205,MIN(C538+1,200)))-LN(INDEX(Dic2023!$H$6:$H$205,C538)))*(A538-6*C538)/6))</f>
        <v>0.106347146469901</v>
      </c>
      <c r="E538" s="12" t="n">
        <f aca="false">D538^(-1/B538)-1</f>
        <v>0.0516502500000002</v>
      </c>
      <c r="F538" s="12" t="n">
        <f aca="false">(1+E538)^(1/12)-1</f>
        <v>0.00420553496807585</v>
      </c>
      <c r="G538" s="16" t="n">
        <f aca="false">IF(C538=0,(1+Dic2023!$J$6)^(-B538),EXP(LN(INDEX(Dic2023!$K$6:$K$205,C538))+(LN(INDEX(Dic2023!$K$6:$K$205,MIN(C538+1,200)))-LN(INDEX(Dic2023!$K$6:$K$205,C538)))*(A538-6*C538)/6))</f>
        <v>0.106347146469901</v>
      </c>
      <c r="H538" s="12" t="n">
        <f aca="false">G538^(-1/B538)-1</f>
        <v>0.0516502500000002</v>
      </c>
      <c r="I538" s="12" t="n">
        <f aca="false">(1+H538)^(1/12)-1</f>
        <v>0.00420553496807585</v>
      </c>
      <c r="J538" s="16" t="n">
        <f aca="false">IF(C538=0,(1+Dic2023!$M$6)^(-B538),EXP(LN(INDEX(Dic2023!$N$6:$N$205,C538))+(LN(INDEX(Dic2023!$N$6:$N$205,MIN(C538+1,200)))-LN(INDEX(Dic2023!$N$6:$N$205,C538)))*(A538-6*C538)/6))</f>
        <v>0.106347146469901</v>
      </c>
      <c r="K538" s="12" t="n">
        <f aca="false">J538^(-1/B538)-1</f>
        <v>0.0516502500000002</v>
      </c>
      <c r="L538" s="12" t="n">
        <f aca="false">(1+K538)^(1/12)-1</f>
        <v>0.00420553496807585</v>
      </c>
    </row>
    <row r="539" customFormat="false" ht="15" hidden="false" customHeight="false" outlineLevel="0" collapsed="false">
      <c r="A539" s="4" t="n">
        <v>535</v>
      </c>
      <c r="B539" s="14" t="n">
        <f aca="false">A539/12</f>
        <v>44.5833333333333</v>
      </c>
      <c r="C539" s="15" t="n">
        <f aca="false">INT(A539/6)</f>
        <v>89</v>
      </c>
      <c r="D539" s="16" t="n">
        <f aca="false">IF(C539=0,(1+Dic2023!$G$6)^(-B539),EXP(LN(INDEX(Dic2023!$H$6:$H$205,C539))+(LN(INDEX(Dic2023!$H$6:$H$205,MIN(C539+1,200)))-LN(INDEX(Dic2023!$H$6:$H$205,C539)))*(A539-6*C539)/6))</f>
        <v>0.105901772860953</v>
      </c>
      <c r="E539" s="12" t="n">
        <f aca="false">D539^(-1/B539)-1</f>
        <v>0.0516502500000002</v>
      </c>
      <c r="F539" s="12" t="n">
        <f aca="false">(1+E539)^(1/12)-1</f>
        <v>0.00420553496807585</v>
      </c>
      <c r="G539" s="16" t="n">
        <f aca="false">IF(C539=0,(1+Dic2023!$J$6)^(-B539),EXP(LN(INDEX(Dic2023!$K$6:$K$205,C539))+(LN(INDEX(Dic2023!$K$6:$K$205,MIN(C539+1,200)))-LN(INDEX(Dic2023!$K$6:$K$205,C539)))*(A539-6*C539)/6))</f>
        <v>0.105901772860953</v>
      </c>
      <c r="H539" s="12" t="n">
        <f aca="false">G539^(-1/B539)-1</f>
        <v>0.0516502500000002</v>
      </c>
      <c r="I539" s="12" t="n">
        <f aca="false">(1+H539)^(1/12)-1</f>
        <v>0.00420553496807585</v>
      </c>
      <c r="J539" s="16" t="n">
        <f aca="false">IF(C539=0,(1+Dic2023!$M$6)^(-B539),EXP(LN(INDEX(Dic2023!$N$6:$N$205,C539))+(LN(INDEX(Dic2023!$N$6:$N$205,MIN(C539+1,200)))-LN(INDEX(Dic2023!$N$6:$N$205,C539)))*(A539-6*C539)/6))</f>
        <v>0.105901772860953</v>
      </c>
      <c r="K539" s="12" t="n">
        <f aca="false">J539^(-1/B539)-1</f>
        <v>0.0516502500000002</v>
      </c>
      <c r="L539" s="12" t="n">
        <f aca="false">(1+K539)^(1/12)-1</f>
        <v>0.00420553496807585</v>
      </c>
    </row>
    <row r="540" customFormat="false" ht="15" hidden="false" customHeight="false" outlineLevel="0" collapsed="false">
      <c r="A540" s="4" t="n">
        <v>536</v>
      </c>
      <c r="B540" s="14" t="n">
        <f aca="false">A540/12</f>
        <v>44.6666666666667</v>
      </c>
      <c r="C540" s="15" t="n">
        <f aca="false">INT(A540/6)</f>
        <v>89</v>
      </c>
      <c r="D540" s="16" t="n">
        <f aca="false">IF(C540=0,(1+Dic2023!$G$6)^(-B540),EXP(LN(INDEX(Dic2023!$H$6:$H$205,C540))+(LN(INDEX(Dic2023!$H$6:$H$205,MIN(C540+1,200)))-LN(INDEX(Dic2023!$H$6:$H$205,C540)))*(A540-6*C540)/6))</f>
        <v>0.105458264442169</v>
      </c>
      <c r="E540" s="12" t="n">
        <f aca="false">D540^(-1/B540)-1</f>
        <v>0.0516502500000002</v>
      </c>
      <c r="F540" s="12" t="n">
        <f aca="false">(1+E540)^(1/12)-1</f>
        <v>0.00420553496807585</v>
      </c>
      <c r="G540" s="16" t="n">
        <f aca="false">IF(C540=0,(1+Dic2023!$J$6)^(-B540),EXP(LN(INDEX(Dic2023!$K$6:$K$205,C540))+(LN(INDEX(Dic2023!$K$6:$K$205,MIN(C540+1,200)))-LN(INDEX(Dic2023!$K$6:$K$205,C540)))*(A540-6*C540)/6))</f>
        <v>0.105458264442169</v>
      </c>
      <c r="H540" s="12" t="n">
        <f aca="false">G540^(-1/B540)-1</f>
        <v>0.0516502500000002</v>
      </c>
      <c r="I540" s="12" t="n">
        <f aca="false">(1+H540)^(1/12)-1</f>
        <v>0.00420553496807585</v>
      </c>
      <c r="J540" s="16" t="n">
        <f aca="false">IF(C540=0,(1+Dic2023!$M$6)^(-B540),EXP(LN(INDEX(Dic2023!$N$6:$N$205,C540))+(LN(INDEX(Dic2023!$N$6:$N$205,MIN(C540+1,200)))-LN(INDEX(Dic2023!$N$6:$N$205,C540)))*(A540-6*C540)/6))</f>
        <v>0.105458264442169</v>
      </c>
      <c r="K540" s="12" t="n">
        <f aca="false">J540^(-1/B540)-1</f>
        <v>0.0516502500000002</v>
      </c>
      <c r="L540" s="12" t="n">
        <f aca="false">(1+K540)^(1/12)-1</f>
        <v>0.00420553496807585</v>
      </c>
    </row>
    <row r="541" customFormat="false" ht="15" hidden="false" customHeight="false" outlineLevel="0" collapsed="false">
      <c r="A541" s="4" t="n">
        <v>537</v>
      </c>
      <c r="B541" s="14" t="n">
        <f aca="false">A541/12</f>
        <v>44.75</v>
      </c>
      <c r="C541" s="15" t="n">
        <f aca="false">INT(A541/6)</f>
        <v>89</v>
      </c>
      <c r="D541" s="16" t="n">
        <f aca="false">IF(C541=0,(1+Dic2023!$G$6)^(-B541),EXP(LN(INDEX(Dic2023!$H$6:$H$205,C541))+(LN(INDEX(Dic2023!$H$6:$H$205,MIN(C541+1,200)))-LN(INDEX(Dic2023!$H$6:$H$205,C541)))*(A541-6*C541)/6))</f>
        <v>0.105016613402277</v>
      </c>
      <c r="E541" s="12" t="n">
        <f aca="false">D541^(-1/B541)-1</f>
        <v>0.0516502500000002</v>
      </c>
      <c r="F541" s="12" t="n">
        <f aca="false">(1+E541)^(1/12)-1</f>
        <v>0.00420553496807585</v>
      </c>
      <c r="G541" s="16" t="n">
        <f aca="false">IF(C541=0,(1+Dic2023!$J$6)^(-B541),EXP(LN(INDEX(Dic2023!$K$6:$K$205,C541))+(LN(INDEX(Dic2023!$K$6:$K$205,MIN(C541+1,200)))-LN(INDEX(Dic2023!$K$6:$K$205,C541)))*(A541-6*C541)/6))</f>
        <v>0.105016613402277</v>
      </c>
      <c r="H541" s="12" t="n">
        <f aca="false">G541^(-1/B541)-1</f>
        <v>0.0516502500000002</v>
      </c>
      <c r="I541" s="12" t="n">
        <f aca="false">(1+H541)^(1/12)-1</f>
        <v>0.00420553496807585</v>
      </c>
      <c r="J541" s="16" t="n">
        <f aca="false">IF(C541=0,(1+Dic2023!$M$6)^(-B541),EXP(LN(INDEX(Dic2023!$N$6:$N$205,C541))+(LN(INDEX(Dic2023!$N$6:$N$205,MIN(C541+1,200)))-LN(INDEX(Dic2023!$N$6:$N$205,C541)))*(A541-6*C541)/6))</f>
        <v>0.105016613402277</v>
      </c>
      <c r="K541" s="12" t="n">
        <f aca="false">J541^(-1/B541)-1</f>
        <v>0.0516502500000002</v>
      </c>
      <c r="L541" s="12" t="n">
        <f aca="false">(1+K541)^(1/12)-1</f>
        <v>0.00420553496807585</v>
      </c>
    </row>
    <row r="542" customFormat="false" ht="15" hidden="false" customHeight="false" outlineLevel="0" collapsed="false">
      <c r="A542" s="4" t="n">
        <v>538</v>
      </c>
      <c r="B542" s="14" t="n">
        <f aca="false">A542/12</f>
        <v>44.8333333333333</v>
      </c>
      <c r="C542" s="15" t="n">
        <f aca="false">INT(A542/6)</f>
        <v>89</v>
      </c>
      <c r="D542" s="16" t="n">
        <f aca="false">IF(C542=0,(1+Dic2023!$G$6)^(-B542),EXP(LN(INDEX(Dic2023!$H$6:$H$205,C542))+(LN(INDEX(Dic2023!$H$6:$H$205,MIN(C542+1,200)))-LN(INDEX(Dic2023!$H$6:$H$205,C542)))*(A542-6*C542)/6))</f>
        <v>0.104576811962718</v>
      </c>
      <c r="E542" s="12" t="n">
        <f aca="false">D542^(-1/B542)-1</f>
        <v>0.0516502500000002</v>
      </c>
      <c r="F542" s="12" t="n">
        <f aca="false">(1+E542)^(1/12)-1</f>
        <v>0.00420553496807585</v>
      </c>
      <c r="G542" s="16" t="n">
        <f aca="false">IF(C542=0,(1+Dic2023!$J$6)^(-B542),EXP(LN(INDEX(Dic2023!$K$6:$K$205,C542))+(LN(INDEX(Dic2023!$K$6:$K$205,MIN(C542+1,200)))-LN(INDEX(Dic2023!$K$6:$K$205,C542)))*(A542-6*C542)/6))</f>
        <v>0.104576811962718</v>
      </c>
      <c r="H542" s="12" t="n">
        <f aca="false">G542^(-1/B542)-1</f>
        <v>0.0516502500000002</v>
      </c>
      <c r="I542" s="12" t="n">
        <f aca="false">(1+H542)^(1/12)-1</f>
        <v>0.00420553496807585</v>
      </c>
      <c r="J542" s="16" t="n">
        <f aca="false">IF(C542=0,(1+Dic2023!$M$6)^(-B542),EXP(LN(INDEX(Dic2023!$N$6:$N$205,C542))+(LN(INDEX(Dic2023!$N$6:$N$205,MIN(C542+1,200)))-LN(INDEX(Dic2023!$N$6:$N$205,C542)))*(A542-6*C542)/6))</f>
        <v>0.104576811962718</v>
      </c>
      <c r="K542" s="12" t="n">
        <f aca="false">J542^(-1/B542)-1</f>
        <v>0.0516502500000002</v>
      </c>
      <c r="L542" s="12" t="n">
        <f aca="false">(1+K542)^(1/12)-1</f>
        <v>0.00420553496807585</v>
      </c>
    </row>
    <row r="543" customFormat="false" ht="15" hidden="false" customHeight="false" outlineLevel="0" collapsed="false">
      <c r="A543" s="4" t="n">
        <v>539</v>
      </c>
      <c r="B543" s="14" t="n">
        <f aca="false">A543/12</f>
        <v>44.9166666666667</v>
      </c>
      <c r="C543" s="15" t="n">
        <f aca="false">INT(A543/6)</f>
        <v>89</v>
      </c>
      <c r="D543" s="16" t="n">
        <f aca="false">IF(C543=0,(1+Dic2023!$G$6)^(-B543),EXP(LN(INDEX(Dic2023!$H$6:$H$205,C543))+(LN(INDEX(Dic2023!$H$6:$H$205,MIN(C543+1,200)))-LN(INDEX(Dic2023!$H$6:$H$205,C543)))*(A543-6*C543)/6))</f>
        <v>0.104138852377509</v>
      </c>
      <c r="E543" s="12" t="n">
        <f aca="false">D543^(-1/B543)-1</f>
        <v>0.0516502500000002</v>
      </c>
      <c r="F543" s="12" t="n">
        <f aca="false">(1+E543)^(1/12)-1</f>
        <v>0.00420553496807585</v>
      </c>
      <c r="G543" s="16" t="n">
        <f aca="false">IF(C543=0,(1+Dic2023!$J$6)^(-B543),EXP(LN(INDEX(Dic2023!$K$6:$K$205,C543))+(LN(INDEX(Dic2023!$K$6:$K$205,MIN(C543+1,200)))-LN(INDEX(Dic2023!$K$6:$K$205,C543)))*(A543-6*C543)/6))</f>
        <v>0.104138852377509</v>
      </c>
      <c r="H543" s="12" t="n">
        <f aca="false">G543^(-1/B543)-1</f>
        <v>0.0516502500000002</v>
      </c>
      <c r="I543" s="12" t="n">
        <f aca="false">(1+H543)^(1/12)-1</f>
        <v>0.00420553496807585</v>
      </c>
      <c r="J543" s="16" t="n">
        <f aca="false">IF(C543=0,(1+Dic2023!$M$6)^(-B543),EXP(LN(INDEX(Dic2023!$N$6:$N$205,C543))+(LN(INDEX(Dic2023!$N$6:$N$205,MIN(C543+1,200)))-LN(INDEX(Dic2023!$N$6:$N$205,C543)))*(A543-6*C543)/6))</f>
        <v>0.104138852377509</v>
      </c>
      <c r="K543" s="12" t="n">
        <f aca="false">J543^(-1/B543)-1</f>
        <v>0.0516502500000002</v>
      </c>
      <c r="L543" s="12" t="n">
        <f aca="false">(1+K543)^(1/12)-1</f>
        <v>0.00420553496807585</v>
      </c>
    </row>
    <row r="544" customFormat="false" ht="15" hidden="false" customHeight="false" outlineLevel="0" collapsed="false">
      <c r="A544" s="4" t="n">
        <v>540</v>
      </c>
      <c r="B544" s="14" t="n">
        <f aca="false">A544/12</f>
        <v>45</v>
      </c>
      <c r="C544" s="15" t="n">
        <f aca="false">INT(A544/6)</f>
        <v>90</v>
      </c>
      <c r="D544" s="16" t="n">
        <f aca="false">IF(C544=0,(1+Dic2023!$G$6)^(-B544),EXP(LN(INDEX(Dic2023!$H$6:$H$205,C544))+(LN(INDEX(Dic2023!$H$6:$H$205,MIN(C544+1,200)))-LN(INDEX(Dic2023!$H$6:$H$205,C544)))*(A544-6*C544)/6))</f>
        <v>0.103702726933107</v>
      </c>
      <c r="E544" s="12" t="n">
        <f aca="false">D544^(-1/B544)-1</f>
        <v>0.0516502500000002</v>
      </c>
      <c r="F544" s="12" t="n">
        <f aca="false">(1+E544)^(1/12)-1</f>
        <v>0.00420553496807585</v>
      </c>
      <c r="G544" s="16" t="n">
        <f aca="false">IF(C544=0,(1+Dic2023!$J$6)^(-B544),EXP(LN(INDEX(Dic2023!$K$6:$K$205,C544))+(LN(INDEX(Dic2023!$K$6:$K$205,MIN(C544+1,200)))-LN(INDEX(Dic2023!$K$6:$K$205,C544)))*(A544-6*C544)/6))</f>
        <v>0.103702726933107</v>
      </c>
      <c r="H544" s="12" t="n">
        <f aca="false">G544^(-1/B544)-1</f>
        <v>0.0516502500000002</v>
      </c>
      <c r="I544" s="12" t="n">
        <f aca="false">(1+H544)^(1/12)-1</f>
        <v>0.00420553496807585</v>
      </c>
      <c r="J544" s="16" t="n">
        <f aca="false">IF(C544=0,(1+Dic2023!$M$6)^(-B544),EXP(LN(INDEX(Dic2023!$N$6:$N$205,C544))+(LN(INDEX(Dic2023!$N$6:$N$205,MIN(C544+1,200)))-LN(INDEX(Dic2023!$N$6:$N$205,C544)))*(A544-6*C544)/6))</f>
        <v>0.103702726933107</v>
      </c>
      <c r="K544" s="12" t="n">
        <f aca="false">J544^(-1/B544)-1</f>
        <v>0.0516502500000002</v>
      </c>
      <c r="L544" s="12" t="n">
        <f aca="false">(1+K544)^(1/12)-1</f>
        <v>0.00420553496807585</v>
      </c>
    </row>
    <row r="545" customFormat="false" ht="15" hidden="false" customHeight="false" outlineLevel="0" collapsed="false">
      <c r="A545" s="4" t="n">
        <v>541</v>
      </c>
      <c r="B545" s="14" t="n">
        <f aca="false">A545/12</f>
        <v>45.0833333333333</v>
      </c>
      <c r="C545" s="15" t="n">
        <f aca="false">INT(A545/6)</f>
        <v>90</v>
      </c>
      <c r="D545" s="16" t="n">
        <f aca="false">IF(C545=0,(1+Dic2023!$G$6)^(-B545),EXP(LN(INDEX(Dic2023!$H$6:$H$205,C545))+(LN(INDEX(Dic2023!$H$6:$H$205,MIN(C545+1,200)))-LN(INDEX(Dic2023!$H$6:$H$205,C545)))*(A545-6*C545)/6))</f>
        <v>0.103268427948273</v>
      </c>
      <c r="E545" s="12" t="n">
        <f aca="false">D545^(-1/B545)-1</f>
        <v>0.0516502500000002</v>
      </c>
      <c r="F545" s="12" t="n">
        <f aca="false">(1+E545)^(1/12)-1</f>
        <v>0.00420553496807585</v>
      </c>
      <c r="G545" s="16" t="n">
        <f aca="false">IF(C545=0,(1+Dic2023!$J$6)^(-B545),EXP(LN(INDEX(Dic2023!$K$6:$K$205,C545))+(LN(INDEX(Dic2023!$K$6:$K$205,MIN(C545+1,200)))-LN(INDEX(Dic2023!$K$6:$K$205,C545)))*(A545-6*C545)/6))</f>
        <v>0.103268427948273</v>
      </c>
      <c r="H545" s="12" t="n">
        <f aca="false">G545^(-1/B545)-1</f>
        <v>0.0516502500000002</v>
      </c>
      <c r="I545" s="12" t="n">
        <f aca="false">(1+H545)^(1/12)-1</f>
        <v>0.00420553496807585</v>
      </c>
      <c r="J545" s="16" t="n">
        <f aca="false">IF(C545=0,(1+Dic2023!$M$6)^(-B545),EXP(LN(INDEX(Dic2023!$N$6:$N$205,C545))+(LN(INDEX(Dic2023!$N$6:$N$205,MIN(C545+1,200)))-LN(INDEX(Dic2023!$N$6:$N$205,C545)))*(A545-6*C545)/6))</f>
        <v>0.103268427948273</v>
      </c>
      <c r="K545" s="12" t="n">
        <f aca="false">J545^(-1/B545)-1</f>
        <v>0.0516502500000002</v>
      </c>
      <c r="L545" s="12" t="n">
        <f aca="false">(1+K545)^(1/12)-1</f>
        <v>0.00420553496807585</v>
      </c>
    </row>
    <row r="546" customFormat="false" ht="15" hidden="false" customHeight="false" outlineLevel="0" collapsed="false">
      <c r="A546" s="4" t="n">
        <v>542</v>
      </c>
      <c r="B546" s="14" t="n">
        <f aca="false">A546/12</f>
        <v>45.1666666666667</v>
      </c>
      <c r="C546" s="15" t="n">
        <f aca="false">INT(A546/6)</f>
        <v>90</v>
      </c>
      <c r="D546" s="16" t="n">
        <f aca="false">IF(C546=0,(1+Dic2023!$G$6)^(-B546),EXP(LN(INDEX(Dic2023!$H$6:$H$205,C546))+(LN(INDEX(Dic2023!$H$6:$H$205,MIN(C546+1,200)))-LN(INDEX(Dic2023!$H$6:$H$205,C546)))*(A546-6*C546)/6))</f>
        <v>0.102835947773934</v>
      </c>
      <c r="E546" s="12" t="n">
        <f aca="false">D546^(-1/B546)-1</f>
        <v>0.0516502500000002</v>
      </c>
      <c r="F546" s="12" t="n">
        <f aca="false">(1+E546)^(1/12)-1</f>
        <v>0.00420553496807585</v>
      </c>
      <c r="G546" s="16" t="n">
        <f aca="false">IF(C546=0,(1+Dic2023!$J$6)^(-B546),EXP(LN(INDEX(Dic2023!$K$6:$K$205,C546))+(LN(INDEX(Dic2023!$K$6:$K$205,MIN(C546+1,200)))-LN(INDEX(Dic2023!$K$6:$K$205,C546)))*(A546-6*C546)/6))</f>
        <v>0.102835947773934</v>
      </c>
      <c r="H546" s="12" t="n">
        <f aca="false">G546^(-1/B546)-1</f>
        <v>0.0516502500000002</v>
      </c>
      <c r="I546" s="12" t="n">
        <f aca="false">(1+H546)^(1/12)-1</f>
        <v>0.00420553496807585</v>
      </c>
      <c r="J546" s="16" t="n">
        <f aca="false">IF(C546=0,(1+Dic2023!$M$6)^(-B546),EXP(LN(INDEX(Dic2023!$N$6:$N$205,C546))+(LN(INDEX(Dic2023!$N$6:$N$205,MIN(C546+1,200)))-LN(INDEX(Dic2023!$N$6:$N$205,C546)))*(A546-6*C546)/6))</f>
        <v>0.102835947773934</v>
      </c>
      <c r="K546" s="12" t="n">
        <f aca="false">J546^(-1/B546)-1</f>
        <v>0.0516502500000002</v>
      </c>
      <c r="L546" s="12" t="n">
        <f aca="false">(1+K546)^(1/12)-1</f>
        <v>0.00420553496807585</v>
      </c>
    </row>
    <row r="547" customFormat="false" ht="15" hidden="false" customHeight="false" outlineLevel="0" collapsed="false">
      <c r="A547" s="4" t="n">
        <v>543</v>
      </c>
      <c r="B547" s="14" t="n">
        <f aca="false">A547/12</f>
        <v>45.25</v>
      </c>
      <c r="C547" s="15" t="n">
        <f aca="false">INT(A547/6)</f>
        <v>90</v>
      </c>
      <c r="D547" s="16" t="n">
        <f aca="false">IF(C547=0,(1+Dic2023!$G$6)^(-B547),EXP(LN(INDEX(Dic2023!$H$6:$H$205,C547))+(LN(INDEX(Dic2023!$H$6:$H$205,MIN(C547+1,200)))-LN(INDEX(Dic2023!$H$6:$H$205,C547)))*(A547-6*C547)/6))</f>
        <v>0.102405278793054</v>
      </c>
      <c r="E547" s="12" t="n">
        <f aca="false">D547^(-1/B547)-1</f>
        <v>0.0516502500000002</v>
      </c>
      <c r="F547" s="12" t="n">
        <f aca="false">(1+E547)^(1/12)-1</f>
        <v>0.00420553496807585</v>
      </c>
      <c r="G547" s="16" t="n">
        <f aca="false">IF(C547=0,(1+Dic2023!$J$6)^(-B547),EXP(LN(INDEX(Dic2023!$K$6:$K$205,C547))+(LN(INDEX(Dic2023!$K$6:$K$205,MIN(C547+1,200)))-LN(INDEX(Dic2023!$K$6:$K$205,C547)))*(A547-6*C547)/6))</f>
        <v>0.102405278793054</v>
      </c>
      <c r="H547" s="12" t="n">
        <f aca="false">G547^(-1/B547)-1</f>
        <v>0.0516502500000002</v>
      </c>
      <c r="I547" s="12" t="n">
        <f aca="false">(1+H547)^(1/12)-1</f>
        <v>0.00420553496807585</v>
      </c>
      <c r="J547" s="16" t="n">
        <f aca="false">IF(C547=0,(1+Dic2023!$M$6)^(-B547),EXP(LN(INDEX(Dic2023!$N$6:$N$205,C547))+(LN(INDEX(Dic2023!$N$6:$N$205,MIN(C547+1,200)))-LN(INDEX(Dic2023!$N$6:$N$205,C547)))*(A547-6*C547)/6))</f>
        <v>0.102405278793054</v>
      </c>
      <c r="K547" s="12" t="n">
        <f aca="false">J547^(-1/B547)-1</f>
        <v>0.0516502500000002</v>
      </c>
      <c r="L547" s="12" t="n">
        <f aca="false">(1+K547)^(1/12)-1</f>
        <v>0.00420553496807585</v>
      </c>
    </row>
    <row r="548" customFormat="false" ht="15" hidden="false" customHeight="false" outlineLevel="0" collapsed="false">
      <c r="A548" s="4" t="n">
        <v>544</v>
      </c>
      <c r="B548" s="14" t="n">
        <f aca="false">A548/12</f>
        <v>45.3333333333333</v>
      </c>
      <c r="C548" s="15" t="n">
        <f aca="false">INT(A548/6)</f>
        <v>90</v>
      </c>
      <c r="D548" s="16" t="n">
        <f aca="false">IF(C548=0,(1+Dic2023!$G$6)^(-B548),EXP(LN(INDEX(Dic2023!$H$6:$H$205,C548))+(LN(INDEX(Dic2023!$H$6:$H$205,MIN(C548+1,200)))-LN(INDEX(Dic2023!$H$6:$H$205,C548)))*(A548-6*C548)/6))</f>
        <v>0.101976413420495</v>
      </c>
      <c r="E548" s="12" t="n">
        <f aca="false">D548^(-1/B548)-1</f>
        <v>0.0516502500000002</v>
      </c>
      <c r="F548" s="12" t="n">
        <f aca="false">(1+E548)^(1/12)-1</f>
        <v>0.00420553496807585</v>
      </c>
      <c r="G548" s="16" t="n">
        <f aca="false">IF(C548=0,(1+Dic2023!$J$6)^(-B548),EXP(LN(INDEX(Dic2023!$K$6:$K$205,C548))+(LN(INDEX(Dic2023!$K$6:$K$205,MIN(C548+1,200)))-LN(INDEX(Dic2023!$K$6:$K$205,C548)))*(A548-6*C548)/6))</f>
        <v>0.101976413420495</v>
      </c>
      <c r="H548" s="12" t="n">
        <f aca="false">G548^(-1/B548)-1</f>
        <v>0.0516502500000002</v>
      </c>
      <c r="I548" s="12" t="n">
        <f aca="false">(1+H548)^(1/12)-1</f>
        <v>0.00420553496807585</v>
      </c>
      <c r="J548" s="16" t="n">
        <f aca="false">IF(C548=0,(1+Dic2023!$M$6)^(-B548),EXP(LN(INDEX(Dic2023!$N$6:$N$205,C548))+(LN(INDEX(Dic2023!$N$6:$N$205,MIN(C548+1,200)))-LN(INDEX(Dic2023!$N$6:$N$205,C548)))*(A548-6*C548)/6))</f>
        <v>0.101976413420495</v>
      </c>
      <c r="K548" s="12" t="n">
        <f aca="false">J548^(-1/B548)-1</f>
        <v>0.0516502500000002</v>
      </c>
      <c r="L548" s="12" t="n">
        <f aca="false">(1+K548)^(1/12)-1</f>
        <v>0.00420553496807585</v>
      </c>
    </row>
    <row r="549" customFormat="false" ht="15" hidden="false" customHeight="false" outlineLevel="0" collapsed="false">
      <c r="A549" s="4" t="n">
        <v>545</v>
      </c>
      <c r="B549" s="14" t="n">
        <f aca="false">A549/12</f>
        <v>45.4166666666667</v>
      </c>
      <c r="C549" s="15" t="n">
        <f aca="false">INT(A549/6)</f>
        <v>90</v>
      </c>
      <c r="D549" s="16" t="n">
        <f aca="false">IF(C549=0,(1+Dic2023!$G$6)^(-B549),EXP(LN(INDEX(Dic2023!$H$6:$H$205,C549))+(LN(INDEX(Dic2023!$H$6:$H$205,MIN(C549+1,200)))-LN(INDEX(Dic2023!$H$6:$H$205,C549)))*(A549-6*C549)/6))</f>
        <v>0.101549344102886</v>
      </c>
      <c r="E549" s="12" t="n">
        <f aca="false">D549^(-1/B549)-1</f>
        <v>0.0516502500000002</v>
      </c>
      <c r="F549" s="12" t="n">
        <f aca="false">(1+E549)^(1/12)-1</f>
        <v>0.00420553496807585</v>
      </c>
      <c r="G549" s="16" t="n">
        <f aca="false">IF(C549=0,(1+Dic2023!$J$6)^(-B549),EXP(LN(INDEX(Dic2023!$K$6:$K$205,C549))+(LN(INDEX(Dic2023!$K$6:$K$205,MIN(C549+1,200)))-LN(INDEX(Dic2023!$K$6:$K$205,C549)))*(A549-6*C549)/6))</f>
        <v>0.101549344102886</v>
      </c>
      <c r="H549" s="12" t="n">
        <f aca="false">G549^(-1/B549)-1</f>
        <v>0.0516502500000002</v>
      </c>
      <c r="I549" s="12" t="n">
        <f aca="false">(1+H549)^(1/12)-1</f>
        <v>0.00420553496807585</v>
      </c>
      <c r="J549" s="16" t="n">
        <f aca="false">IF(C549=0,(1+Dic2023!$M$6)^(-B549),EXP(LN(INDEX(Dic2023!$N$6:$N$205,C549))+(LN(INDEX(Dic2023!$N$6:$N$205,MIN(C549+1,200)))-LN(INDEX(Dic2023!$N$6:$N$205,C549)))*(A549-6*C549)/6))</f>
        <v>0.101549344102886</v>
      </c>
      <c r="K549" s="12" t="n">
        <f aca="false">J549^(-1/B549)-1</f>
        <v>0.0516502500000002</v>
      </c>
      <c r="L549" s="12" t="n">
        <f aca="false">(1+K549)^(1/12)-1</f>
        <v>0.00420553496807585</v>
      </c>
    </row>
    <row r="550" customFormat="false" ht="15" hidden="false" customHeight="false" outlineLevel="0" collapsed="false">
      <c r="A550" s="4" t="n">
        <v>546</v>
      </c>
      <c r="B550" s="14" t="n">
        <f aca="false">A550/12</f>
        <v>45.5</v>
      </c>
      <c r="C550" s="15" t="n">
        <f aca="false">INT(A550/6)</f>
        <v>91</v>
      </c>
      <c r="D550" s="16" t="n">
        <f aca="false">IF(C550=0,(1+Dic2023!$G$6)^(-B550),EXP(LN(INDEX(Dic2023!$H$6:$H$205,C550))+(LN(INDEX(Dic2023!$H$6:$H$205,MIN(C550+1,200)))-LN(INDEX(Dic2023!$H$6:$H$205,C550)))*(A550-6*C550)/6))</f>
        <v>0.101124063318486</v>
      </c>
      <c r="E550" s="12" t="n">
        <f aca="false">D550^(-1/B550)-1</f>
        <v>0.0516502500000002</v>
      </c>
      <c r="F550" s="12" t="n">
        <f aca="false">(1+E550)^(1/12)-1</f>
        <v>0.00420553496807585</v>
      </c>
      <c r="G550" s="16" t="n">
        <f aca="false">IF(C550=0,(1+Dic2023!$J$6)^(-B550),EXP(LN(INDEX(Dic2023!$K$6:$K$205,C550))+(LN(INDEX(Dic2023!$K$6:$K$205,MIN(C550+1,200)))-LN(INDEX(Dic2023!$K$6:$K$205,C550)))*(A550-6*C550)/6))</f>
        <v>0.101124063318486</v>
      </c>
      <c r="H550" s="12" t="n">
        <f aca="false">G550^(-1/B550)-1</f>
        <v>0.0516502500000002</v>
      </c>
      <c r="I550" s="12" t="n">
        <f aca="false">(1+H550)^(1/12)-1</f>
        <v>0.00420553496807585</v>
      </c>
      <c r="J550" s="16" t="n">
        <f aca="false">IF(C550=0,(1+Dic2023!$M$6)^(-B550),EXP(LN(INDEX(Dic2023!$N$6:$N$205,C550))+(LN(INDEX(Dic2023!$N$6:$N$205,MIN(C550+1,200)))-LN(INDEX(Dic2023!$N$6:$N$205,C550)))*(A550-6*C550)/6))</f>
        <v>0.101124063318486</v>
      </c>
      <c r="K550" s="12" t="n">
        <f aca="false">J550^(-1/B550)-1</f>
        <v>0.0516502500000002</v>
      </c>
      <c r="L550" s="12" t="n">
        <f aca="false">(1+K550)^(1/12)-1</f>
        <v>0.00420553496807585</v>
      </c>
    </row>
    <row r="551" customFormat="false" ht="15" hidden="false" customHeight="false" outlineLevel="0" collapsed="false">
      <c r="A551" s="4" t="n">
        <v>547</v>
      </c>
      <c r="B551" s="14" t="n">
        <f aca="false">A551/12</f>
        <v>45.5833333333333</v>
      </c>
      <c r="C551" s="15" t="n">
        <f aca="false">INT(A551/6)</f>
        <v>91</v>
      </c>
      <c r="D551" s="16" t="n">
        <f aca="false">IF(C551=0,(1+Dic2023!$G$6)^(-B551),EXP(LN(INDEX(Dic2023!$H$6:$H$205,C551))+(LN(INDEX(Dic2023!$H$6:$H$205,MIN(C551+1,200)))-LN(INDEX(Dic2023!$H$6:$H$205,C551)))*(A551-6*C551)/6))</f>
        <v>0.100700563577058</v>
      </c>
      <c r="E551" s="12" t="n">
        <f aca="false">D551^(-1/B551)-1</f>
        <v>0.0516502500000002</v>
      </c>
      <c r="F551" s="12" t="n">
        <f aca="false">(1+E551)^(1/12)-1</f>
        <v>0.00420553496807585</v>
      </c>
      <c r="G551" s="16" t="n">
        <f aca="false">IF(C551=0,(1+Dic2023!$J$6)^(-B551),EXP(LN(INDEX(Dic2023!$K$6:$K$205,C551))+(LN(INDEX(Dic2023!$K$6:$K$205,MIN(C551+1,200)))-LN(INDEX(Dic2023!$K$6:$K$205,C551)))*(A551-6*C551)/6))</f>
        <v>0.100700563577058</v>
      </c>
      <c r="H551" s="12" t="n">
        <f aca="false">G551^(-1/B551)-1</f>
        <v>0.0516502500000002</v>
      </c>
      <c r="I551" s="12" t="n">
        <f aca="false">(1+H551)^(1/12)-1</f>
        <v>0.00420553496807585</v>
      </c>
      <c r="J551" s="16" t="n">
        <f aca="false">IF(C551=0,(1+Dic2023!$M$6)^(-B551),EXP(LN(INDEX(Dic2023!$N$6:$N$205,C551))+(LN(INDEX(Dic2023!$N$6:$N$205,MIN(C551+1,200)))-LN(INDEX(Dic2023!$N$6:$N$205,C551)))*(A551-6*C551)/6))</f>
        <v>0.100700563577058</v>
      </c>
      <c r="K551" s="12" t="n">
        <f aca="false">J551^(-1/B551)-1</f>
        <v>0.0516502500000002</v>
      </c>
      <c r="L551" s="12" t="n">
        <f aca="false">(1+K551)^(1/12)-1</f>
        <v>0.00420553496807585</v>
      </c>
    </row>
    <row r="552" customFormat="false" ht="15" hidden="false" customHeight="false" outlineLevel="0" collapsed="false">
      <c r="A552" s="4" t="n">
        <v>548</v>
      </c>
      <c r="B552" s="14" t="n">
        <f aca="false">A552/12</f>
        <v>45.6666666666667</v>
      </c>
      <c r="C552" s="15" t="n">
        <f aca="false">INT(A552/6)</f>
        <v>91</v>
      </c>
      <c r="D552" s="16" t="n">
        <f aca="false">IF(C552=0,(1+Dic2023!$G$6)^(-B552),EXP(LN(INDEX(Dic2023!$H$6:$H$205,C552))+(LN(INDEX(Dic2023!$H$6:$H$205,MIN(C552+1,200)))-LN(INDEX(Dic2023!$H$6:$H$205,C552)))*(A552-6*C552)/6))</f>
        <v>0.100278837419731</v>
      </c>
      <c r="E552" s="12" t="n">
        <f aca="false">D552^(-1/B552)-1</f>
        <v>0.0516502500000002</v>
      </c>
      <c r="F552" s="12" t="n">
        <f aca="false">(1+E552)^(1/12)-1</f>
        <v>0.00420553496807585</v>
      </c>
      <c r="G552" s="16" t="n">
        <f aca="false">IF(C552=0,(1+Dic2023!$J$6)^(-B552),EXP(LN(INDEX(Dic2023!$K$6:$K$205,C552))+(LN(INDEX(Dic2023!$K$6:$K$205,MIN(C552+1,200)))-LN(INDEX(Dic2023!$K$6:$K$205,C552)))*(A552-6*C552)/6))</f>
        <v>0.100278837419731</v>
      </c>
      <c r="H552" s="12" t="n">
        <f aca="false">G552^(-1/B552)-1</f>
        <v>0.0516502500000002</v>
      </c>
      <c r="I552" s="12" t="n">
        <f aca="false">(1+H552)^(1/12)-1</f>
        <v>0.00420553496807585</v>
      </c>
      <c r="J552" s="16" t="n">
        <f aca="false">IF(C552=0,(1+Dic2023!$M$6)^(-B552),EXP(LN(INDEX(Dic2023!$N$6:$N$205,C552))+(LN(INDEX(Dic2023!$N$6:$N$205,MIN(C552+1,200)))-LN(INDEX(Dic2023!$N$6:$N$205,C552)))*(A552-6*C552)/6))</f>
        <v>0.100278837419731</v>
      </c>
      <c r="K552" s="12" t="n">
        <f aca="false">J552^(-1/B552)-1</f>
        <v>0.0516502500000002</v>
      </c>
      <c r="L552" s="12" t="n">
        <f aca="false">(1+K552)^(1/12)-1</f>
        <v>0.00420553496807585</v>
      </c>
    </row>
    <row r="553" customFormat="false" ht="15" hidden="false" customHeight="false" outlineLevel="0" collapsed="false">
      <c r="A553" s="4" t="n">
        <v>549</v>
      </c>
      <c r="B553" s="14" t="n">
        <f aca="false">A553/12</f>
        <v>45.75</v>
      </c>
      <c r="C553" s="15" t="n">
        <f aca="false">INT(A553/6)</f>
        <v>91</v>
      </c>
      <c r="D553" s="16" t="n">
        <f aca="false">IF(C553=0,(1+Dic2023!$G$6)^(-B553),EXP(LN(INDEX(Dic2023!$H$6:$H$205,C553))+(LN(INDEX(Dic2023!$H$6:$H$205,MIN(C553+1,200)))-LN(INDEX(Dic2023!$H$6:$H$205,C553)))*(A553-6*C553)/6))</f>
        <v>0.099858877418873</v>
      </c>
      <c r="E553" s="12" t="n">
        <f aca="false">D553^(-1/B553)-1</f>
        <v>0.0516502500000002</v>
      </c>
      <c r="F553" s="12" t="n">
        <f aca="false">(1+E553)^(1/12)-1</f>
        <v>0.00420553496807585</v>
      </c>
      <c r="G553" s="16" t="n">
        <f aca="false">IF(C553=0,(1+Dic2023!$J$6)^(-B553),EXP(LN(INDEX(Dic2023!$K$6:$K$205,C553))+(LN(INDEX(Dic2023!$K$6:$K$205,MIN(C553+1,200)))-LN(INDEX(Dic2023!$K$6:$K$205,C553)))*(A553-6*C553)/6))</f>
        <v>0.099858877418873</v>
      </c>
      <c r="H553" s="12" t="n">
        <f aca="false">G553^(-1/B553)-1</f>
        <v>0.0516502500000002</v>
      </c>
      <c r="I553" s="12" t="n">
        <f aca="false">(1+H553)^(1/12)-1</f>
        <v>0.00420553496807585</v>
      </c>
      <c r="J553" s="16" t="n">
        <f aca="false">IF(C553=0,(1+Dic2023!$M$6)^(-B553),EXP(LN(INDEX(Dic2023!$N$6:$N$205,C553))+(LN(INDEX(Dic2023!$N$6:$N$205,MIN(C553+1,200)))-LN(INDEX(Dic2023!$N$6:$N$205,C553)))*(A553-6*C553)/6))</f>
        <v>0.099858877418873</v>
      </c>
      <c r="K553" s="12" t="n">
        <f aca="false">J553^(-1/B553)-1</f>
        <v>0.0516502500000002</v>
      </c>
      <c r="L553" s="12" t="n">
        <f aca="false">(1+K553)^(1/12)-1</f>
        <v>0.00420553496807585</v>
      </c>
    </row>
    <row r="554" customFormat="false" ht="15" hidden="false" customHeight="false" outlineLevel="0" collapsed="false">
      <c r="A554" s="4" t="n">
        <v>550</v>
      </c>
      <c r="B554" s="14" t="n">
        <f aca="false">A554/12</f>
        <v>45.8333333333333</v>
      </c>
      <c r="C554" s="15" t="n">
        <f aca="false">INT(A554/6)</f>
        <v>91</v>
      </c>
      <c r="D554" s="16" t="n">
        <f aca="false">IF(C554=0,(1+Dic2023!$G$6)^(-B554),EXP(LN(INDEX(Dic2023!$H$6:$H$205,C554))+(LN(INDEX(Dic2023!$H$6:$H$205,MIN(C554+1,200)))-LN(INDEX(Dic2023!$H$6:$H$205,C554)))*(A554-6*C554)/6))</f>
        <v>0.0994406761779575</v>
      </c>
      <c r="E554" s="12" t="n">
        <f aca="false">D554^(-1/B554)-1</f>
        <v>0.0516502500000002</v>
      </c>
      <c r="F554" s="12" t="n">
        <f aca="false">(1+E554)^(1/12)-1</f>
        <v>0.00420553496807585</v>
      </c>
      <c r="G554" s="16" t="n">
        <f aca="false">IF(C554=0,(1+Dic2023!$J$6)^(-B554),EXP(LN(INDEX(Dic2023!$K$6:$K$205,C554))+(LN(INDEX(Dic2023!$K$6:$K$205,MIN(C554+1,200)))-LN(INDEX(Dic2023!$K$6:$K$205,C554)))*(A554-6*C554)/6))</f>
        <v>0.0994406761779575</v>
      </c>
      <c r="H554" s="12" t="n">
        <f aca="false">G554^(-1/B554)-1</f>
        <v>0.0516502500000002</v>
      </c>
      <c r="I554" s="12" t="n">
        <f aca="false">(1+H554)^(1/12)-1</f>
        <v>0.00420553496807585</v>
      </c>
      <c r="J554" s="16" t="n">
        <f aca="false">IF(C554=0,(1+Dic2023!$M$6)^(-B554),EXP(LN(INDEX(Dic2023!$N$6:$N$205,C554))+(LN(INDEX(Dic2023!$N$6:$N$205,MIN(C554+1,200)))-LN(INDEX(Dic2023!$N$6:$N$205,C554)))*(A554-6*C554)/6))</f>
        <v>0.0994406761779575</v>
      </c>
      <c r="K554" s="12" t="n">
        <f aca="false">J554^(-1/B554)-1</f>
        <v>0.0516502500000002</v>
      </c>
      <c r="L554" s="12" t="n">
        <f aca="false">(1+K554)^(1/12)-1</f>
        <v>0.00420553496807585</v>
      </c>
    </row>
    <row r="555" customFormat="false" ht="15" hidden="false" customHeight="false" outlineLevel="0" collapsed="false">
      <c r="A555" s="4" t="n">
        <v>551</v>
      </c>
      <c r="B555" s="14" t="n">
        <f aca="false">A555/12</f>
        <v>45.9166666666667</v>
      </c>
      <c r="C555" s="15" t="n">
        <f aca="false">INT(A555/6)</f>
        <v>91</v>
      </c>
      <c r="D555" s="16" t="n">
        <f aca="false">IF(C555=0,(1+Dic2023!$G$6)^(-B555),EXP(LN(INDEX(Dic2023!$H$6:$H$205,C555))+(LN(INDEX(Dic2023!$H$6:$H$205,MIN(C555+1,200)))-LN(INDEX(Dic2023!$H$6:$H$205,C555)))*(A555-6*C555)/6))</f>
        <v>0.099024226331434</v>
      </c>
      <c r="E555" s="12" t="n">
        <f aca="false">D555^(-1/B555)-1</f>
        <v>0.0516502500000002</v>
      </c>
      <c r="F555" s="12" t="n">
        <f aca="false">(1+E555)^(1/12)-1</f>
        <v>0.00420553496807585</v>
      </c>
      <c r="G555" s="16" t="n">
        <f aca="false">IF(C555=0,(1+Dic2023!$J$6)^(-B555),EXP(LN(INDEX(Dic2023!$K$6:$K$205,C555))+(LN(INDEX(Dic2023!$K$6:$K$205,MIN(C555+1,200)))-LN(INDEX(Dic2023!$K$6:$K$205,C555)))*(A555-6*C555)/6))</f>
        <v>0.099024226331434</v>
      </c>
      <c r="H555" s="12" t="n">
        <f aca="false">G555^(-1/B555)-1</f>
        <v>0.0516502500000002</v>
      </c>
      <c r="I555" s="12" t="n">
        <f aca="false">(1+H555)^(1/12)-1</f>
        <v>0.00420553496807585</v>
      </c>
      <c r="J555" s="16" t="n">
        <f aca="false">IF(C555=0,(1+Dic2023!$M$6)^(-B555),EXP(LN(INDEX(Dic2023!$N$6:$N$205,C555))+(LN(INDEX(Dic2023!$N$6:$N$205,MIN(C555+1,200)))-LN(INDEX(Dic2023!$N$6:$N$205,C555)))*(A555-6*C555)/6))</f>
        <v>0.099024226331434</v>
      </c>
      <c r="K555" s="12" t="n">
        <f aca="false">J555^(-1/B555)-1</f>
        <v>0.0516502500000002</v>
      </c>
      <c r="L555" s="12" t="n">
        <f aca="false">(1+K555)^(1/12)-1</f>
        <v>0.00420553496807585</v>
      </c>
    </row>
    <row r="556" customFormat="false" ht="15" hidden="false" customHeight="false" outlineLevel="0" collapsed="false">
      <c r="A556" s="4" t="n">
        <v>552</v>
      </c>
      <c r="B556" s="14" t="n">
        <f aca="false">A556/12</f>
        <v>46</v>
      </c>
      <c r="C556" s="15" t="n">
        <f aca="false">INT(A556/6)</f>
        <v>92</v>
      </c>
      <c r="D556" s="16" t="n">
        <f aca="false">IF(C556=0,(1+Dic2023!$G$6)^(-B556),EXP(LN(INDEX(Dic2023!$H$6:$H$205,C556))+(LN(INDEX(Dic2023!$H$6:$H$205,MIN(C556+1,200)))-LN(INDEX(Dic2023!$H$6:$H$205,C556)))*(A556-6*C556)/6))</f>
        <v>0.0986095205445985</v>
      </c>
      <c r="E556" s="12" t="n">
        <f aca="false">D556^(-1/B556)-1</f>
        <v>0.0516502500000002</v>
      </c>
      <c r="F556" s="12" t="n">
        <f aca="false">(1+E556)^(1/12)-1</f>
        <v>0.00420553496807585</v>
      </c>
      <c r="G556" s="16" t="n">
        <f aca="false">IF(C556=0,(1+Dic2023!$J$6)^(-B556),EXP(LN(INDEX(Dic2023!$K$6:$K$205,C556))+(LN(INDEX(Dic2023!$K$6:$K$205,MIN(C556+1,200)))-LN(INDEX(Dic2023!$K$6:$K$205,C556)))*(A556-6*C556)/6))</f>
        <v>0.0986095205445985</v>
      </c>
      <c r="H556" s="12" t="n">
        <f aca="false">G556^(-1/B556)-1</f>
        <v>0.0516502500000002</v>
      </c>
      <c r="I556" s="12" t="n">
        <f aca="false">(1+H556)^(1/12)-1</f>
        <v>0.00420553496807585</v>
      </c>
      <c r="J556" s="16" t="n">
        <f aca="false">IF(C556=0,(1+Dic2023!$M$6)^(-B556),EXP(LN(INDEX(Dic2023!$N$6:$N$205,C556))+(LN(INDEX(Dic2023!$N$6:$N$205,MIN(C556+1,200)))-LN(INDEX(Dic2023!$N$6:$N$205,C556)))*(A556-6*C556)/6))</f>
        <v>0.0986095205445985</v>
      </c>
      <c r="K556" s="12" t="n">
        <f aca="false">J556^(-1/B556)-1</f>
        <v>0.0516502500000002</v>
      </c>
      <c r="L556" s="12" t="n">
        <f aca="false">(1+K556)^(1/12)-1</f>
        <v>0.00420553496807585</v>
      </c>
    </row>
    <row r="557" customFormat="false" ht="15" hidden="false" customHeight="false" outlineLevel="0" collapsed="false">
      <c r="A557" s="4" t="n">
        <v>553</v>
      </c>
      <c r="B557" s="14" t="n">
        <f aca="false">A557/12</f>
        <v>46.0833333333333</v>
      </c>
      <c r="C557" s="15" t="n">
        <f aca="false">INT(A557/6)</f>
        <v>92</v>
      </c>
      <c r="D557" s="16" t="n">
        <f aca="false">IF(C557=0,(1+Dic2023!$G$6)^(-B557),EXP(LN(INDEX(Dic2023!$H$6:$H$205,C557))+(LN(INDEX(Dic2023!$H$6:$H$205,MIN(C557+1,200)))-LN(INDEX(Dic2023!$H$6:$H$205,C557)))*(A557-6*C557)/6))</f>
        <v>0.0981965515134642</v>
      </c>
      <c r="E557" s="12" t="n">
        <f aca="false">D557^(-1/B557)-1</f>
        <v>0.0516502500000002</v>
      </c>
      <c r="F557" s="12" t="n">
        <f aca="false">(1+E557)^(1/12)-1</f>
        <v>0.00420553496807585</v>
      </c>
      <c r="G557" s="16" t="n">
        <f aca="false">IF(C557=0,(1+Dic2023!$J$6)^(-B557),EXP(LN(INDEX(Dic2023!$K$6:$K$205,C557))+(LN(INDEX(Dic2023!$K$6:$K$205,MIN(C557+1,200)))-LN(INDEX(Dic2023!$K$6:$K$205,C557)))*(A557-6*C557)/6))</f>
        <v>0.0981965515134642</v>
      </c>
      <c r="H557" s="12" t="n">
        <f aca="false">G557^(-1/B557)-1</f>
        <v>0.0516502500000002</v>
      </c>
      <c r="I557" s="12" t="n">
        <f aca="false">(1+H557)^(1/12)-1</f>
        <v>0.00420553496807585</v>
      </c>
      <c r="J557" s="16" t="n">
        <f aca="false">IF(C557=0,(1+Dic2023!$M$6)^(-B557),EXP(LN(INDEX(Dic2023!$N$6:$N$205,C557))+(LN(INDEX(Dic2023!$N$6:$N$205,MIN(C557+1,200)))-LN(INDEX(Dic2023!$N$6:$N$205,C557)))*(A557-6*C557)/6))</f>
        <v>0.0981965515134642</v>
      </c>
      <c r="K557" s="12" t="n">
        <f aca="false">J557^(-1/B557)-1</f>
        <v>0.0516502500000002</v>
      </c>
      <c r="L557" s="12" t="n">
        <f aca="false">(1+K557)^(1/12)-1</f>
        <v>0.00420553496807585</v>
      </c>
    </row>
    <row r="558" customFormat="false" ht="15" hidden="false" customHeight="false" outlineLevel="0" collapsed="false">
      <c r="A558" s="4" t="n">
        <v>554</v>
      </c>
      <c r="B558" s="14" t="n">
        <f aca="false">A558/12</f>
        <v>46.1666666666667</v>
      </c>
      <c r="C558" s="15" t="n">
        <f aca="false">INT(A558/6)</f>
        <v>92</v>
      </c>
      <c r="D558" s="16" t="n">
        <f aca="false">IF(C558=0,(1+Dic2023!$G$6)^(-B558),EXP(LN(INDEX(Dic2023!$H$6:$H$205,C558))+(LN(INDEX(Dic2023!$H$6:$H$205,MIN(C558+1,200)))-LN(INDEX(Dic2023!$H$6:$H$205,C558)))*(A558-6*C558)/6))</f>
        <v>0.0977853119646327</v>
      </c>
      <c r="E558" s="12" t="n">
        <f aca="false">D558^(-1/B558)-1</f>
        <v>0.0516502500000002</v>
      </c>
      <c r="F558" s="12" t="n">
        <f aca="false">(1+E558)^(1/12)-1</f>
        <v>0.00420553496807585</v>
      </c>
      <c r="G558" s="16" t="n">
        <f aca="false">IF(C558=0,(1+Dic2023!$J$6)^(-B558),EXP(LN(INDEX(Dic2023!$K$6:$K$205,C558))+(LN(INDEX(Dic2023!$K$6:$K$205,MIN(C558+1,200)))-LN(INDEX(Dic2023!$K$6:$K$205,C558)))*(A558-6*C558)/6))</f>
        <v>0.0977853119646327</v>
      </c>
      <c r="H558" s="12" t="n">
        <f aca="false">G558^(-1/B558)-1</f>
        <v>0.0516502500000002</v>
      </c>
      <c r="I558" s="12" t="n">
        <f aca="false">(1+H558)^(1/12)-1</f>
        <v>0.00420553496807585</v>
      </c>
      <c r="J558" s="16" t="n">
        <f aca="false">IF(C558=0,(1+Dic2023!$M$6)^(-B558),EXP(LN(INDEX(Dic2023!$N$6:$N$205,C558))+(LN(INDEX(Dic2023!$N$6:$N$205,MIN(C558+1,200)))-LN(INDEX(Dic2023!$N$6:$N$205,C558)))*(A558-6*C558)/6))</f>
        <v>0.0977853119646327</v>
      </c>
      <c r="K558" s="12" t="n">
        <f aca="false">J558^(-1/B558)-1</f>
        <v>0.0516502500000002</v>
      </c>
      <c r="L558" s="12" t="n">
        <f aca="false">(1+K558)^(1/12)-1</f>
        <v>0.00420553496807585</v>
      </c>
    </row>
    <row r="559" customFormat="false" ht="15" hidden="false" customHeight="false" outlineLevel="0" collapsed="false">
      <c r="A559" s="4" t="n">
        <v>555</v>
      </c>
      <c r="B559" s="14" t="n">
        <f aca="false">A559/12</f>
        <v>46.25</v>
      </c>
      <c r="C559" s="15" t="n">
        <f aca="false">INT(A559/6)</f>
        <v>92</v>
      </c>
      <c r="D559" s="16" t="n">
        <f aca="false">IF(C559=0,(1+Dic2023!$G$6)^(-B559),EXP(LN(INDEX(Dic2023!$H$6:$H$205,C559))+(LN(INDEX(Dic2023!$H$6:$H$205,MIN(C559+1,200)))-LN(INDEX(Dic2023!$H$6:$H$205,C559)))*(A559-6*C559)/6))</f>
        <v>0.0973757946551662</v>
      </c>
      <c r="E559" s="12" t="n">
        <f aca="false">D559^(-1/B559)-1</f>
        <v>0.0516502500000002</v>
      </c>
      <c r="F559" s="12" t="n">
        <f aca="false">(1+E559)^(1/12)-1</f>
        <v>0.00420553496807585</v>
      </c>
      <c r="G559" s="16" t="n">
        <f aca="false">IF(C559=0,(1+Dic2023!$J$6)^(-B559),EXP(LN(INDEX(Dic2023!$K$6:$K$205,C559))+(LN(INDEX(Dic2023!$K$6:$K$205,MIN(C559+1,200)))-LN(INDEX(Dic2023!$K$6:$K$205,C559)))*(A559-6*C559)/6))</f>
        <v>0.0973757946551662</v>
      </c>
      <c r="H559" s="12" t="n">
        <f aca="false">G559^(-1/B559)-1</f>
        <v>0.0516502500000002</v>
      </c>
      <c r="I559" s="12" t="n">
        <f aca="false">(1+H559)^(1/12)-1</f>
        <v>0.00420553496807585</v>
      </c>
      <c r="J559" s="16" t="n">
        <f aca="false">IF(C559=0,(1+Dic2023!$M$6)^(-B559),EXP(LN(INDEX(Dic2023!$N$6:$N$205,C559))+(LN(INDEX(Dic2023!$N$6:$N$205,MIN(C559+1,200)))-LN(INDEX(Dic2023!$N$6:$N$205,C559)))*(A559-6*C559)/6))</f>
        <v>0.0973757946551662</v>
      </c>
      <c r="K559" s="12" t="n">
        <f aca="false">J559^(-1/B559)-1</f>
        <v>0.0516502500000002</v>
      </c>
      <c r="L559" s="12" t="n">
        <f aca="false">(1+K559)^(1/12)-1</f>
        <v>0.00420553496807585</v>
      </c>
    </row>
    <row r="560" customFormat="false" ht="15" hidden="false" customHeight="false" outlineLevel="0" collapsed="false">
      <c r="A560" s="4" t="n">
        <v>556</v>
      </c>
      <c r="B560" s="14" t="n">
        <f aca="false">A560/12</f>
        <v>46.3333333333333</v>
      </c>
      <c r="C560" s="15" t="n">
        <f aca="false">INT(A560/6)</f>
        <v>92</v>
      </c>
      <c r="D560" s="16" t="n">
        <f aca="false">IF(C560=0,(1+Dic2023!$G$6)^(-B560),EXP(LN(INDEX(Dic2023!$H$6:$H$205,C560))+(LN(INDEX(Dic2023!$H$6:$H$205,MIN(C560+1,200)))-LN(INDEX(Dic2023!$H$6:$H$205,C560)))*(A560-6*C560)/6))</f>
        <v>0.0969679923724598</v>
      </c>
      <c r="E560" s="12" t="n">
        <f aca="false">D560^(-1/B560)-1</f>
        <v>0.0516502500000002</v>
      </c>
      <c r="F560" s="12" t="n">
        <f aca="false">(1+E560)^(1/12)-1</f>
        <v>0.00420553496807585</v>
      </c>
      <c r="G560" s="16" t="n">
        <f aca="false">IF(C560=0,(1+Dic2023!$J$6)^(-B560),EXP(LN(INDEX(Dic2023!$K$6:$K$205,C560))+(LN(INDEX(Dic2023!$K$6:$K$205,MIN(C560+1,200)))-LN(INDEX(Dic2023!$K$6:$K$205,C560)))*(A560-6*C560)/6))</f>
        <v>0.0969679923724598</v>
      </c>
      <c r="H560" s="12" t="n">
        <f aca="false">G560^(-1/B560)-1</f>
        <v>0.0516502500000002</v>
      </c>
      <c r="I560" s="12" t="n">
        <f aca="false">(1+H560)^(1/12)-1</f>
        <v>0.00420553496807585</v>
      </c>
      <c r="J560" s="16" t="n">
        <f aca="false">IF(C560=0,(1+Dic2023!$M$6)^(-B560),EXP(LN(INDEX(Dic2023!$N$6:$N$205,C560))+(LN(INDEX(Dic2023!$N$6:$N$205,MIN(C560+1,200)))-LN(INDEX(Dic2023!$N$6:$N$205,C560)))*(A560-6*C560)/6))</f>
        <v>0.0969679923724598</v>
      </c>
      <c r="K560" s="12" t="n">
        <f aca="false">J560^(-1/B560)-1</f>
        <v>0.0516502500000002</v>
      </c>
      <c r="L560" s="12" t="n">
        <f aca="false">(1+K560)^(1/12)-1</f>
        <v>0.00420553496807585</v>
      </c>
    </row>
    <row r="561" customFormat="false" ht="15" hidden="false" customHeight="false" outlineLevel="0" collapsed="false">
      <c r="A561" s="4" t="n">
        <v>557</v>
      </c>
      <c r="B561" s="14" t="n">
        <f aca="false">A561/12</f>
        <v>46.4166666666667</v>
      </c>
      <c r="C561" s="15" t="n">
        <f aca="false">INT(A561/6)</f>
        <v>92</v>
      </c>
      <c r="D561" s="16" t="n">
        <f aca="false">IF(C561=0,(1+Dic2023!$G$6)^(-B561),EXP(LN(INDEX(Dic2023!$H$6:$H$205,C561))+(LN(INDEX(Dic2023!$H$6:$H$205,MIN(C561+1,200)))-LN(INDEX(Dic2023!$H$6:$H$205,C561)))*(A561-6*C561)/6))</f>
        <v>0.0965618979341141</v>
      </c>
      <c r="E561" s="12" t="n">
        <f aca="false">D561^(-1/B561)-1</f>
        <v>0.0516502500000002</v>
      </c>
      <c r="F561" s="12" t="n">
        <f aca="false">(1+E561)^(1/12)-1</f>
        <v>0.00420553496807585</v>
      </c>
      <c r="G561" s="16" t="n">
        <f aca="false">IF(C561=0,(1+Dic2023!$J$6)^(-B561),EXP(LN(INDEX(Dic2023!$K$6:$K$205,C561))+(LN(INDEX(Dic2023!$K$6:$K$205,MIN(C561+1,200)))-LN(INDEX(Dic2023!$K$6:$K$205,C561)))*(A561-6*C561)/6))</f>
        <v>0.0965618979341141</v>
      </c>
      <c r="H561" s="12" t="n">
        <f aca="false">G561^(-1/B561)-1</f>
        <v>0.0516502500000002</v>
      </c>
      <c r="I561" s="12" t="n">
        <f aca="false">(1+H561)^(1/12)-1</f>
        <v>0.00420553496807585</v>
      </c>
      <c r="J561" s="16" t="n">
        <f aca="false">IF(C561=0,(1+Dic2023!$M$6)^(-B561),EXP(LN(INDEX(Dic2023!$N$6:$N$205,C561))+(LN(INDEX(Dic2023!$N$6:$N$205,MIN(C561+1,200)))-LN(INDEX(Dic2023!$N$6:$N$205,C561)))*(A561-6*C561)/6))</f>
        <v>0.0965618979341141</v>
      </c>
      <c r="K561" s="12" t="n">
        <f aca="false">J561^(-1/B561)-1</f>
        <v>0.0516502500000002</v>
      </c>
      <c r="L561" s="12" t="n">
        <f aca="false">(1+K561)^(1/12)-1</f>
        <v>0.00420553496807585</v>
      </c>
    </row>
    <row r="562" customFormat="false" ht="15" hidden="false" customHeight="false" outlineLevel="0" collapsed="false">
      <c r="A562" s="4" t="n">
        <v>558</v>
      </c>
      <c r="B562" s="14" t="n">
        <f aca="false">A562/12</f>
        <v>46.5</v>
      </c>
      <c r="C562" s="15" t="n">
        <f aca="false">INT(A562/6)</f>
        <v>93</v>
      </c>
      <c r="D562" s="16" t="n">
        <f aca="false">IF(C562=0,(1+Dic2023!$G$6)^(-B562),EXP(LN(INDEX(Dic2023!$H$6:$H$205,C562))+(LN(INDEX(Dic2023!$H$6:$H$205,MIN(C562+1,200)))-LN(INDEX(Dic2023!$H$6:$H$205,C562)))*(A562-6*C562)/6))</f>
        <v>0.0961575041878093</v>
      </c>
      <c r="E562" s="12" t="n">
        <f aca="false">D562^(-1/B562)-1</f>
        <v>0.0516502500000002</v>
      </c>
      <c r="F562" s="12" t="n">
        <f aca="false">(1+E562)^(1/12)-1</f>
        <v>0.00420553496807585</v>
      </c>
      <c r="G562" s="16" t="n">
        <f aca="false">IF(C562=0,(1+Dic2023!$J$6)^(-B562),EXP(LN(INDEX(Dic2023!$K$6:$K$205,C562))+(LN(INDEX(Dic2023!$K$6:$K$205,MIN(C562+1,200)))-LN(INDEX(Dic2023!$K$6:$K$205,C562)))*(A562-6*C562)/6))</f>
        <v>0.0961575041878093</v>
      </c>
      <c r="H562" s="12" t="n">
        <f aca="false">G562^(-1/B562)-1</f>
        <v>0.0516502500000002</v>
      </c>
      <c r="I562" s="12" t="n">
        <f aca="false">(1+H562)^(1/12)-1</f>
        <v>0.00420553496807585</v>
      </c>
      <c r="J562" s="16" t="n">
        <f aca="false">IF(C562=0,(1+Dic2023!$M$6)^(-B562),EXP(LN(INDEX(Dic2023!$N$6:$N$205,C562))+(LN(INDEX(Dic2023!$N$6:$N$205,MIN(C562+1,200)))-LN(INDEX(Dic2023!$N$6:$N$205,C562)))*(A562-6*C562)/6))</f>
        <v>0.0961575041878093</v>
      </c>
      <c r="K562" s="12" t="n">
        <f aca="false">J562^(-1/B562)-1</f>
        <v>0.0516502500000002</v>
      </c>
      <c r="L562" s="12" t="n">
        <f aca="false">(1+K562)^(1/12)-1</f>
        <v>0.00420553496807585</v>
      </c>
    </row>
    <row r="563" customFormat="false" ht="15" hidden="false" customHeight="false" outlineLevel="0" collapsed="false">
      <c r="A563" s="4" t="n">
        <v>559</v>
      </c>
      <c r="B563" s="14" t="n">
        <f aca="false">A563/12</f>
        <v>46.5833333333333</v>
      </c>
      <c r="C563" s="15" t="n">
        <f aca="false">INT(A563/6)</f>
        <v>93</v>
      </c>
      <c r="D563" s="16" t="n">
        <f aca="false">IF(C563=0,(1+Dic2023!$G$6)^(-B563),EXP(LN(INDEX(Dic2023!$H$6:$H$205,C563))+(LN(INDEX(Dic2023!$H$6:$H$205,MIN(C563+1,200)))-LN(INDEX(Dic2023!$H$6:$H$205,C563)))*(A563-6*C563)/6))</f>
        <v>0.0957548040111791</v>
      </c>
      <c r="E563" s="12" t="n">
        <f aca="false">D563^(-1/B563)-1</f>
        <v>0.0516502500000002</v>
      </c>
      <c r="F563" s="12" t="n">
        <f aca="false">(1+E563)^(1/12)-1</f>
        <v>0.00420553496807585</v>
      </c>
      <c r="G563" s="16" t="n">
        <f aca="false">IF(C563=0,(1+Dic2023!$J$6)^(-B563),EXP(LN(INDEX(Dic2023!$K$6:$K$205,C563))+(LN(INDEX(Dic2023!$K$6:$K$205,MIN(C563+1,200)))-LN(INDEX(Dic2023!$K$6:$K$205,C563)))*(A563-6*C563)/6))</f>
        <v>0.0957548040111791</v>
      </c>
      <c r="H563" s="12" t="n">
        <f aca="false">G563^(-1/B563)-1</f>
        <v>0.0516502500000002</v>
      </c>
      <c r="I563" s="12" t="n">
        <f aca="false">(1+H563)^(1/12)-1</f>
        <v>0.00420553496807585</v>
      </c>
      <c r="J563" s="16" t="n">
        <f aca="false">IF(C563=0,(1+Dic2023!$M$6)^(-B563),EXP(LN(INDEX(Dic2023!$N$6:$N$205,C563))+(LN(INDEX(Dic2023!$N$6:$N$205,MIN(C563+1,200)))-LN(INDEX(Dic2023!$N$6:$N$205,C563)))*(A563-6*C563)/6))</f>
        <v>0.0957548040111791</v>
      </c>
      <c r="K563" s="12" t="n">
        <f aca="false">J563^(-1/B563)-1</f>
        <v>0.0516502500000002</v>
      </c>
      <c r="L563" s="12" t="n">
        <f aca="false">(1+K563)^(1/12)-1</f>
        <v>0.00420553496807585</v>
      </c>
    </row>
    <row r="564" customFormat="false" ht="15" hidden="false" customHeight="false" outlineLevel="0" collapsed="false">
      <c r="A564" s="4" t="n">
        <v>560</v>
      </c>
      <c r="B564" s="14" t="n">
        <f aca="false">A564/12</f>
        <v>46.6666666666667</v>
      </c>
      <c r="C564" s="15" t="n">
        <f aca="false">INT(A564/6)</f>
        <v>93</v>
      </c>
      <c r="D564" s="16" t="n">
        <f aca="false">IF(C564=0,(1+Dic2023!$G$6)^(-B564),EXP(LN(INDEX(Dic2023!$H$6:$H$205,C564))+(LN(INDEX(Dic2023!$H$6:$H$205,MIN(C564+1,200)))-LN(INDEX(Dic2023!$H$6:$H$205,C564)))*(A564-6*C564)/6))</f>
        <v>0.0953537903116847</v>
      </c>
      <c r="E564" s="12" t="n">
        <f aca="false">D564^(-1/B564)-1</f>
        <v>0.0516502500000002</v>
      </c>
      <c r="F564" s="12" t="n">
        <f aca="false">(1+E564)^(1/12)-1</f>
        <v>0.00420553496807585</v>
      </c>
      <c r="G564" s="16" t="n">
        <f aca="false">IF(C564=0,(1+Dic2023!$J$6)^(-B564),EXP(LN(INDEX(Dic2023!$K$6:$K$205,C564))+(LN(INDEX(Dic2023!$K$6:$K$205,MIN(C564+1,200)))-LN(INDEX(Dic2023!$K$6:$K$205,C564)))*(A564-6*C564)/6))</f>
        <v>0.0953537903116847</v>
      </c>
      <c r="H564" s="12" t="n">
        <f aca="false">G564^(-1/B564)-1</f>
        <v>0.0516502500000002</v>
      </c>
      <c r="I564" s="12" t="n">
        <f aca="false">(1+H564)^(1/12)-1</f>
        <v>0.00420553496807585</v>
      </c>
      <c r="J564" s="16" t="n">
        <f aca="false">IF(C564=0,(1+Dic2023!$M$6)^(-B564),EXP(LN(INDEX(Dic2023!$N$6:$N$205,C564))+(LN(INDEX(Dic2023!$N$6:$N$205,MIN(C564+1,200)))-LN(INDEX(Dic2023!$N$6:$N$205,C564)))*(A564-6*C564)/6))</f>
        <v>0.0953537903116847</v>
      </c>
      <c r="K564" s="12" t="n">
        <f aca="false">J564^(-1/B564)-1</f>
        <v>0.0516502500000002</v>
      </c>
      <c r="L564" s="12" t="n">
        <f aca="false">(1+K564)^(1/12)-1</f>
        <v>0.00420553496807585</v>
      </c>
    </row>
    <row r="565" customFormat="false" ht="15" hidden="false" customHeight="false" outlineLevel="0" collapsed="false">
      <c r="A565" s="4" t="n">
        <v>561</v>
      </c>
      <c r="B565" s="14" t="n">
        <f aca="false">A565/12</f>
        <v>46.75</v>
      </c>
      <c r="C565" s="15" t="n">
        <f aca="false">INT(A565/6)</f>
        <v>93</v>
      </c>
      <c r="D565" s="16" t="n">
        <f aca="false">IF(C565=0,(1+Dic2023!$G$6)^(-B565),EXP(LN(INDEX(Dic2023!$H$6:$H$205,C565))+(LN(INDEX(Dic2023!$H$6:$H$205,MIN(C565+1,200)))-LN(INDEX(Dic2023!$H$6:$H$205,C565)))*(A565-6*C565)/6))</f>
        <v>0.0949544560264907</v>
      </c>
      <c r="E565" s="12" t="n">
        <f aca="false">D565^(-1/B565)-1</f>
        <v>0.0516502500000002</v>
      </c>
      <c r="F565" s="12" t="n">
        <f aca="false">(1+E565)^(1/12)-1</f>
        <v>0.00420553496807585</v>
      </c>
      <c r="G565" s="16" t="n">
        <f aca="false">IF(C565=0,(1+Dic2023!$J$6)^(-B565),EXP(LN(INDEX(Dic2023!$K$6:$K$205,C565))+(LN(INDEX(Dic2023!$K$6:$K$205,MIN(C565+1,200)))-LN(INDEX(Dic2023!$K$6:$K$205,C565)))*(A565-6*C565)/6))</f>
        <v>0.0949544560264907</v>
      </c>
      <c r="H565" s="12" t="n">
        <f aca="false">G565^(-1/B565)-1</f>
        <v>0.0516502500000002</v>
      </c>
      <c r="I565" s="12" t="n">
        <f aca="false">(1+H565)^(1/12)-1</f>
        <v>0.00420553496807585</v>
      </c>
      <c r="J565" s="16" t="n">
        <f aca="false">IF(C565=0,(1+Dic2023!$M$6)^(-B565),EXP(LN(INDEX(Dic2023!$N$6:$N$205,C565))+(LN(INDEX(Dic2023!$N$6:$N$205,MIN(C565+1,200)))-LN(INDEX(Dic2023!$N$6:$N$205,C565)))*(A565-6*C565)/6))</f>
        <v>0.0949544560264907</v>
      </c>
      <c r="K565" s="12" t="n">
        <f aca="false">J565^(-1/B565)-1</f>
        <v>0.0516502500000002</v>
      </c>
      <c r="L565" s="12" t="n">
        <f aca="false">(1+K565)^(1/12)-1</f>
        <v>0.00420553496807585</v>
      </c>
    </row>
    <row r="566" customFormat="false" ht="15" hidden="false" customHeight="false" outlineLevel="0" collapsed="false">
      <c r="A566" s="4" t="n">
        <v>562</v>
      </c>
      <c r="B566" s="14" t="n">
        <f aca="false">A566/12</f>
        <v>46.8333333333333</v>
      </c>
      <c r="C566" s="15" t="n">
        <f aca="false">INT(A566/6)</f>
        <v>93</v>
      </c>
      <c r="D566" s="16" t="n">
        <f aca="false">IF(C566=0,(1+Dic2023!$G$6)^(-B566),EXP(LN(INDEX(Dic2023!$H$6:$H$205,C566))+(LN(INDEX(Dic2023!$H$6:$H$205,MIN(C566+1,200)))-LN(INDEX(Dic2023!$H$6:$H$205,C566)))*(A566-6*C566)/6))</f>
        <v>0.0945567941223401</v>
      </c>
      <c r="E566" s="12" t="n">
        <f aca="false">D566^(-1/B566)-1</f>
        <v>0.0516502500000002</v>
      </c>
      <c r="F566" s="12" t="n">
        <f aca="false">(1+E566)^(1/12)-1</f>
        <v>0.00420553496807585</v>
      </c>
      <c r="G566" s="16" t="n">
        <f aca="false">IF(C566=0,(1+Dic2023!$J$6)^(-B566),EXP(LN(INDEX(Dic2023!$K$6:$K$205,C566))+(LN(INDEX(Dic2023!$K$6:$K$205,MIN(C566+1,200)))-LN(INDEX(Dic2023!$K$6:$K$205,C566)))*(A566-6*C566)/6))</f>
        <v>0.0945567941223401</v>
      </c>
      <c r="H566" s="12" t="n">
        <f aca="false">G566^(-1/B566)-1</f>
        <v>0.0516502500000002</v>
      </c>
      <c r="I566" s="12" t="n">
        <f aca="false">(1+H566)^(1/12)-1</f>
        <v>0.00420553496807585</v>
      </c>
      <c r="J566" s="16" t="n">
        <f aca="false">IF(C566=0,(1+Dic2023!$M$6)^(-B566),EXP(LN(INDEX(Dic2023!$N$6:$N$205,C566))+(LN(INDEX(Dic2023!$N$6:$N$205,MIN(C566+1,200)))-LN(INDEX(Dic2023!$N$6:$N$205,C566)))*(A566-6*C566)/6))</f>
        <v>0.0945567941223401</v>
      </c>
      <c r="K566" s="12" t="n">
        <f aca="false">J566^(-1/B566)-1</f>
        <v>0.0516502500000002</v>
      </c>
      <c r="L566" s="12" t="n">
        <f aca="false">(1+K566)^(1/12)-1</f>
        <v>0.00420553496807585</v>
      </c>
    </row>
    <row r="567" customFormat="false" ht="15" hidden="false" customHeight="false" outlineLevel="0" collapsed="false">
      <c r="A567" s="4" t="n">
        <v>563</v>
      </c>
      <c r="B567" s="14" t="n">
        <f aca="false">A567/12</f>
        <v>46.9166666666667</v>
      </c>
      <c r="C567" s="15" t="n">
        <f aca="false">INT(A567/6)</f>
        <v>93</v>
      </c>
      <c r="D567" s="16" t="n">
        <f aca="false">IF(C567=0,(1+Dic2023!$G$6)^(-B567),EXP(LN(INDEX(Dic2023!$H$6:$H$205,C567))+(LN(INDEX(Dic2023!$H$6:$H$205,MIN(C567+1,200)))-LN(INDEX(Dic2023!$H$6:$H$205,C567)))*(A567-6*C567)/6))</f>
        <v>0.0941607975954306</v>
      </c>
      <c r="E567" s="12" t="n">
        <f aca="false">D567^(-1/B567)-1</f>
        <v>0.0516502500000002</v>
      </c>
      <c r="F567" s="12" t="n">
        <f aca="false">(1+E567)^(1/12)-1</f>
        <v>0.00420553496807585</v>
      </c>
      <c r="G567" s="16" t="n">
        <f aca="false">IF(C567=0,(1+Dic2023!$J$6)^(-B567),EXP(LN(INDEX(Dic2023!$K$6:$K$205,C567))+(LN(INDEX(Dic2023!$K$6:$K$205,MIN(C567+1,200)))-LN(INDEX(Dic2023!$K$6:$K$205,C567)))*(A567-6*C567)/6))</f>
        <v>0.0941607975954306</v>
      </c>
      <c r="H567" s="12" t="n">
        <f aca="false">G567^(-1/B567)-1</f>
        <v>0.0516502500000002</v>
      </c>
      <c r="I567" s="12" t="n">
        <f aca="false">(1+H567)^(1/12)-1</f>
        <v>0.00420553496807585</v>
      </c>
      <c r="J567" s="16" t="n">
        <f aca="false">IF(C567=0,(1+Dic2023!$M$6)^(-B567),EXP(LN(INDEX(Dic2023!$N$6:$N$205,C567))+(LN(INDEX(Dic2023!$N$6:$N$205,MIN(C567+1,200)))-LN(INDEX(Dic2023!$N$6:$N$205,C567)))*(A567-6*C567)/6))</f>
        <v>0.0941607975954306</v>
      </c>
      <c r="K567" s="12" t="n">
        <f aca="false">J567^(-1/B567)-1</f>
        <v>0.0516502500000002</v>
      </c>
      <c r="L567" s="12" t="n">
        <f aca="false">(1+K567)^(1/12)-1</f>
        <v>0.00420553496807585</v>
      </c>
    </row>
    <row r="568" customFormat="false" ht="15" hidden="false" customHeight="false" outlineLevel="0" collapsed="false">
      <c r="A568" s="4" t="n">
        <v>564</v>
      </c>
      <c r="B568" s="14" t="n">
        <f aca="false">A568/12</f>
        <v>47</v>
      </c>
      <c r="C568" s="15" t="n">
        <f aca="false">INT(A568/6)</f>
        <v>94</v>
      </c>
      <c r="D568" s="16" t="n">
        <f aca="false">IF(C568=0,(1+Dic2023!$G$6)^(-B568),EXP(LN(INDEX(Dic2023!$H$6:$H$205,C568))+(LN(INDEX(Dic2023!$H$6:$H$205,MIN(C568+1,200)))-LN(INDEX(Dic2023!$H$6:$H$205,C568)))*(A568-6*C568)/6))</f>
        <v>0.0937664594712914</v>
      </c>
      <c r="E568" s="12" t="n">
        <f aca="false">D568^(-1/B568)-1</f>
        <v>0.0516502500000002</v>
      </c>
      <c r="F568" s="12" t="n">
        <f aca="false">(1+E568)^(1/12)-1</f>
        <v>0.00420553496807585</v>
      </c>
      <c r="G568" s="16" t="n">
        <f aca="false">IF(C568=0,(1+Dic2023!$J$6)^(-B568),EXP(LN(INDEX(Dic2023!$K$6:$K$205,C568))+(LN(INDEX(Dic2023!$K$6:$K$205,MIN(C568+1,200)))-LN(INDEX(Dic2023!$K$6:$K$205,C568)))*(A568-6*C568)/6))</f>
        <v>0.0937664594712914</v>
      </c>
      <c r="H568" s="12" t="n">
        <f aca="false">G568^(-1/B568)-1</f>
        <v>0.0516502500000002</v>
      </c>
      <c r="I568" s="12" t="n">
        <f aca="false">(1+H568)^(1/12)-1</f>
        <v>0.00420553496807585</v>
      </c>
      <c r="J568" s="16" t="n">
        <f aca="false">IF(C568=0,(1+Dic2023!$M$6)^(-B568),EXP(LN(INDEX(Dic2023!$N$6:$N$205,C568))+(LN(INDEX(Dic2023!$N$6:$N$205,MIN(C568+1,200)))-LN(INDEX(Dic2023!$N$6:$N$205,C568)))*(A568-6*C568)/6))</f>
        <v>0.0937664594712914</v>
      </c>
      <c r="K568" s="12" t="n">
        <f aca="false">J568^(-1/B568)-1</f>
        <v>0.0516502500000002</v>
      </c>
      <c r="L568" s="12" t="n">
        <f aca="false">(1+K568)^(1/12)-1</f>
        <v>0.00420553496807585</v>
      </c>
    </row>
    <row r="569" customFormat="false" ht="15" hidden="false" customHeight="false" outlineLevel="0" collapsed="false">
      <c r="A569" s="4" t="n">
        <v>565</v>
      </c>
      <c r="B569" s="14" t="n">
        <f aca="false">A569/12</f>
        <v>47.0833333333333</v>
      </c>
      <c r="C569" s="15" t="n">
        <f aca="false">INT(A569/6)</f>
        <v>94</v>
      </c>
      <c r="D569" s="16" t="n">
        <f aca="false">IF(C569=0,(1+Dic2023!$G$6)^(-B569),EXP(LN(INDEX(Dic2023!$H$6:$H$205,C569))+(LN(INDEX(Dic2023!$H$6:$H$205,MIN(C569+1,200)))-LN(INDEX(Dic2023!$H$6:$H$205,C569)))*(A569-6*C569)/6))</f>
        <v>0.0933737728046603</v>
      </c>
      <c r="E569" s="12" t="n">
        <f aca="false">D569^(-1/B569)-1</f>
        <v>0.0516502500000002</v>
      </c>
      <c r="F569" s="12" t="n">
        <f aca="false">(1+E569)^(1/12)-1</f>
        <v>0.00420553496807585</v>
      </c>
      <c r="G569" s="16" t="n">
        <f aca="false">IF(C569=0,(1+Dic2023!$J$6)^(-B569),EXP(LN(INDEX(Dic2023!$K$6:$K$205,C569))+(LN(INDEX(Dic2023!$K$6:$K$205,MIN(C569+1,200)))-LN(INDEX(Dic2023!$K$6:$K$205,C569)))*(A569-6*C569)/6))</f>
        <v>0.0933737728046603</v>
      </c>
      <c r="H569" s="12" t="n">
        <f aca="false">G569^(-1/B569)-1</f>
        <v>0.0516502500000002</v>
      </c>
      <c r="I569" s="12" t="n">
        <f aca="false">(1+H569)^(1/12)-1</f>
        <v>0.00420553496807585</v>
      </c>
      <c r="J569" s="16" t="n">
        <f aca="false">IF(C569=0,(1+Dic2023!$M$6)^(-B569),EXP(LN(INDEX(Dic2023!$N$6:$N$205,C569))+(LN(INDEX(Dic2023!$N$6:$N$205,MIN(C569+1,200)))-LN(INDEX(Dic2023!$N$6:$N$205,C569)))*(A569-6*C569)/6))</f>
        <v>0.0933737728046603</v>
      </c>
      <c r="K569" s="12" t="n">
        <f aca="false">J569^(-1/B569)-1</f>
        <v>0.0516502500000002</v>
      </c>
      <c r="L569" s="12" t="n">
        <f aca="false">(1+K569)^(1/12)-1</f>
        <v>0.00420553496807585</v>
      </c>
    </row>
    <row r="570" customFormat="false" ht="15" hidden="false" customHeight="false" outlineLevel="0" collapsed="false">
      <c r="A570" s="4" t="n">
        <v>566</v>
      </c>
      <c r="B570" s="14" t="n">
        <f aca="false">A570/12</f>
        <v>47.1666666666667</v>
      </c>
      <c r="C570" s="15" t="n">
        <f aca="false">INT(A570/6)</f>
        <v>94</v>
      </c>
      <c r="D570" s="16" t="n">
        <f aca="false">IF(C570=0,(1+Dic2023!$G$6)^(-B570),EXP(LN(INDEX(Dic2023!$H$6:$H$205,C570))+(LN(INDEX(Dic2023!$H$6:$H$205,MIN(C570+1,200)))-LN(INDEX(Dic2023!$H$6:$H$205,C570)))*(A570-6*C570)/6))</f>
        <v>0.092982730679361</v>
      </c>
      <c r="E570" s="12" t="n">
        <f aca="false">D570^(-1/B570)-1</f>
        <v>0.0516502500000002</v>
      </c>
      <c r="F570" s="12" t="n">
        <f aca="false">(1+E570)^(1/12)-1</f>
        <v>0.00420553496807585</v>
      </c>
      <c r="G570" s="16" t="n">
        <f aca="false">IF(C570=0,(1+Dic2023!$J$6)^(-B570),EXP(LN(INDEX(Dic2023!$K$6:$K$205,C570))+(LN(INDEX(Dic2023!$K$6:$K$205,MIN(C570+1,200)))-LN(INDEX(Dic2023!$K$6:$K$205,C570)))*(A570-6*C570)/6))</f>
        <v>0.092982730679361</v>
      </c>
      <c r="H570" s="12" t="n">
        <f aca="false">G570^(-1/B570)-1</f>
        <v>0.0516502500000002</v>
      </c>
      <c r="I570" s="12" t="n">
        <f aca="false">(1+H570)^(1/12)-1</f>
        <v>0.00420553496807585</v>
      </c>
      <c r="J570" s="16" t="n">
        <f aca="false">IF(C570=0,(1+Dic2023!$M$6)^(-B570),EXP(LN(INDEX(Dic2023!$N$6:$N$205,C570))+(LN(INDEX(Dic2023!$N$6:$N$205,MIN(C570+1,200)))-LN(INDEX(Dic2023!$N$6:$N$205,C570)))*(A570-6*C570)/6))</f>
        <v>0.092982730679361</v>
      </c>
      <c r="K570" s="12" t="n">
        <f aca="false">J570^(-1/B570)-1</f>
        <v>0.0516502500000002</v>
      </c>
      <c r="L570" s="12" t="n">
        <f aca="false">(1+K570)^(1/12)-1</f>
        <v>0.00420553496807585</v>
      </c>
    </row>
    <row r="571" customFormat="false" ht="15" hidden="false" customHeight="false" outlineLevel="0" collapsed="false">
      <c r="A571" s="4" t="n">
        <v>567</v>
      </c>
      <c r="B571" s="14" t="n">
        <f aca="false">A571/12</f>
        <v>47.25</v>
      </c>
      <c r="C571" s="15" t="n">
        <f aca="false">INT(A571/6)</f>
        <v>94</v>
      </c>
      <c r="D571" s="16" t="n">
        <f aca="false">IF(C571=0,(1+Dic2023!$G$6)^(-B571),EXP(LN(INDEX(Dic2023!$H$6:$H$205,C571))+(LN(INDEX(Dic2023!$H$6:$H$205,MIN(C571+1,200)))-LN(INDEX(Dic2023!$H$6:$H$205,C571)))*(A571-6*C571)/6))</f>
        <v>0.0925933262081821</v>
      </c>
      <c r="E571" s="12" t="n">
        <f aca="false">D571^(-1/B571)-1</f>
        <v>0.0516502500000002</v>
      </c>
      <c r="F571" s="12" t="n">
        <f aca="false">(1+E571)^(1/12)-1</f>
        <v>0.00420553496807585</v>
      </c>
      <c r="G571" s="16" t="n">
        <f aca="false">IF(C571=0,(1+Dic2023!$J$6)^(-B571),EXP(LN(INDEX(Dic2023!$K$6:$K$205,C571))+(LN(INDEX(Dic2023!$K$6:$K$205,MIN(C571+1,200)))-LN(INDEX(Dic2023!$K$6:$K$205,C571)))*(A571-6*C571)/6))</f>
        <v>0.0925933262081821</v>
      </c>
      <c r="H571" s="12" t="n">
        <f aca="false">G571^(-1/B571)-1</f>
        <v>0.0516502500000002</v>
      </c>
      <c r="I571" s="12" t="n">
        <f aca="false">(1+H571)^(1/12)-1</f>
        <v>0.00420553496807585</v>
      </c>
      <c r="J571" s="16" t="n">
        <f aca="false">IF(C571=0,(1+Dic2023!$M$6)^(-B571),EXP(LN(INDEX(Dic2023!$N$6:$N$205,C571))+(LN(INDEX(Dic2023!$N$6:$N$205,MIN(C571+1,200)))-LN(INDEX(Dic2023!$N$6:$N$205,C571)))*(A571-6*C571)/6))</f>
        <v>0.0925933262081821</v>
      </c>
      <c r="K571" s="12" t="n">
        <f aca="false">J571^(-1/B571)-1</f>
        <v>0.0516502500000002</v>
      </c>
      <c r="L571" s="12" t="n">
        <f aca="false">(1+K571)^(1/12)-1</f>
        <v>0.00420553496807585</v>
      </c>
    </row>
    <row r="572" customFormat="false" ht="15" hidden="false" customHeight="false" outlineLevel="0" collapsed="false">
      <c r="A572" s="4" t="n">
        <v>568</v>
      </c>
      <c r="B572" s="14" t="n">
        <f aca="false">A572/12</f>
        <v>47.3333333333333</v>
      </c>
      <c r="C572" s="15" t="n">
        <f aca="false">INT(A572/6)</f>
        <v>94</v>
      </c>
      <c r="D572" s="16" t="n">
        <f aca="false">IF(C572=0,(1+Dic2023!$G$6)^(-B572),EXP(LN(INDEX(Dic2023!$H$6:$H$205,C572))+(LN(INDEX(Dic2023!$H$6:$H$205,MIN(C572+1,200)))-LN(INDEX(Dic2023!$H$6:$H$205,C572)))*(A572-6*C572)/6))</f>
        <v>0.0922055525327548</v>
      </c>
      <c r="E572" s="12" t="n">
        <f aca="false">D572^(-1/B572)-1</f>
        <v>0.0516502500000002</v>
      </c>
      <c r="F572" s="12" t="n">
        <f aca="false">(1+E572)^(1/12)-1</f>
        <v>0.00420553496807585</v>
      </c>
      <c r="G572" s="16" t="n">
        <f aca="false">IF(C572=0,(1+Dic2023!$J$6)^(-B572),EXP(LN(INDEX(Dic2023!$K$6:$K$205,C572))+(LN(INDEX(Dic2023!$K$6:$K$205,MIN(C572+1,200)))-LN(INDEX(Dic2023!$K$6:$K$205,C572)))*(A572-6*C572)/6))</f>
        <v>0.0922055525327548</v>
      </c>
      <c r="H572" s="12" t="n">
        <f aca="false">G572^(-1/B572)-1</f>
        <v>0.0516502500000002</v>
      </c>
      <c r="I572" s="12" t="n">
        <f aca="false">(1+H572)^(1/12)-1</f>
        <v>0.00420553496807585</v>
      </c>
      <c r="J572" s="16" t="n">
        <f aca="false">IF(C572=0,(1+Dic2023!$M$6)^(-B572),EXP(LN(INDEX(Dic2023!$N$6:$N$205,C572))+(LN(INDEX(Dic2023!$N$6:$N$205,MIN(C572+1,200)))-LN(INDEX(Dic2023!$N$6:$N$205,C572)))*(A572-6*C572)/6))</f>
        <v>0.0922055525327548</v>
      </c>
      <c r="K572" s="12" t="n">
        <f aca="false">J572^(-1/B572)-1</f>
        <v>0.0516502500000002</v>
      </c>
      <c r="L572" s="12" t="n">
        <f aca="false">(1+K572)^(1/12)-1</f>
        <v>0.00420553496807585</v>
      </c>
    </row>
    <row r="573" customFormat="false" ht="15" hidden="false" customHeight="false" outlineLevel="0" collapsed="false">
      <c r="A573" s="4" t="n">
        <v>569</v>
      </c>
      <c r="B573" s="14" t="n">
        <f aca="false">A573/12</f>
        <v>47.4166666666667</v>
      </c>
      <c r="C573" s="15" t="n">
        <f aca="false">INT(A573/6)</f>
        <v>94</v>
      </c>
      <c r="D573" s="16" t="n">
        <f aca="false">IF(C573=0,(1+Dic2023!$G$6)^(-B573),EXP(LN(INDEX(Dic2023!$H$6:$H$205,C573))+(LN(INDEX(Dic2023!$H$6:$H$205,MIN(C573+1,200)))-LN(INDEX(Dic2023!$H$6:$H$205,C573)))*(A573-6*C573)/6))</f>
        <v>0.091819402823433</v>
      </c>
      <c r="E573" s="12" t="n">
        <f aca="false">D573^(-1/B573)-1</f>
        <v>0.0516502500000002</v>
      </c>
      <c r="F573" s="12" t="n">
        <f aca="false">(1+E573)^(1/12)-1</f>
        <v>0.00420553496807585</v>
      </c>
      <c r="G573" s="16" t="n">
        <f aca="false">IF(C573=0,(1+Dic2023!$J$6)^(-B573),EXP(LN(INDEX(Dic2023!$K$6:$K$205,C573))+(LN(INDEX(Dic2023!$K$6:$K$205,MIN(C573+1,200)))-LN(INDEX(Dic2023!$K$6:$K$205,C573)))*(A573-6*C573)/6))</f>
        <v>0.091819402823433</v>
      </c>
      <c r="H573" s="12" t="n">
        <f aca="false">G573^(-1/B573)-1</f>
        <v>0.0516502500000002</v>
      </c>
      <c r="I573" s="12" t="n">
        <f aca="false">(1+H573)^(1/12)-1</f>
        <v>0.00420553496807585</v>
      </c>
      <c r="J573" s="16" t="n">
        <f aca="false">IF(C573=0,(1+Dic2023!$M$6)^(-B573),EXP(LN(INDEX(Dic2023!$N$6:$N$205,C573))+(LN(INDEX(Dic2023!$N$6:$N$205,MIN(C573+1,200)))-LN(INDEX(Dic2023!$N$6:$N$205,C573)))*(A573-6*C573)/6))</f>
        <v>0.091819402823433</v>
      </c>
      <c r="K573" s="12" t="n">
        <f aca="false">J573^(-1/B573)-1</f>
        <v>0.0516502500000002</v>
      </c>
      <c r="L573" s="12" t="n">
        <f aca="false">(1+K573)^(1/12)-1</f>
        <v>0.00420553496807585</v>
      </c>
    </row>
    <row r="574" customFormat="false" ht="15" hidden="false" customHeight="false" outlineLevel="0" collapsed="false">
      <c r="A574" s="4" t="n">
        <v>570</v>
      </c>
      <c r="B574" s="14" t="n">
        <f aca="false">A574/12</f>
        <v>47.5</v>
      </c>
      <c r="C574" s="15" t="n">
        <f aca="false">INT(A574/6)</f>
        <v>95</v>
      </c>
      <c r="D574" s="16" t="n">
        <f aca="false">IF(C574=0,(1+Dic2023!$G$6)^(-B574),EXP(LN(INDEX(Dic2023!$H$6:$H$205,C574))+(LN(INDEX(Dic2023!$H$6:$H$205,MIN(C574+1,200)))-LN(INDEX(Dic2023!$H$6:$H$205,C574)))*(A574-6*C574)/6))</f>
        <v>0.0914348702791725</v>
      </c>
      <c r="E574" s="12" t="n">
        <f aca="false">D574^(-1/B574)-1</f>
        <v>0.0516502500000002</v>
      </c>
      <c r="F574" s="12" t="n">
        <f aca="false">(1+E574)^(1/12)-1</f>
        <v>0.00420553496807585</v>
      </c>
      <c r="G574" s="16" t="n">
        <f aca="false">IF(C574=0,(1+Dic2023!$J$6)^(-B574),EXP(LN(INDEX(Dic2023!$K$6:$K$205,C574))+(LN(INDEX(Dic2023!$K$6:$K$205,MIN(C574+1,200)))-LN(INDEX(Dic2023!$K$6:$K$205,C574)))*(A574-6*C574)/6))</f>
        <v>0.0914348702791725</v>
      </c>
      <c r="H574" s="12" t="n">
        <f aca="false">G574^(-1/B574)-1</f>
        <v>0.0516502500000002</v>
      </c>
      <c r="I574" s="12" t="n">
        <f aca="false">(1+H574)^(1/12)-1</f>
        <v>0.00420553496807585</v>
      </c>
      <c r="J574" s="16" t="n">
        <f aca="false">IF(C574=0,(1+Dic2023!$M$6)^(-B574),EXP(LN(INDEX(Dic2023!$N$6:$N$205,C574))+(LN(INDEX(Dic2023!$N$6:$N$205,MIN(C574+1,200)))-LN(INDEX(Dic2023!$N$6:$N$205,C574)))*(A574-6*C574)/6))</f>
        <v>0.0914348702791725</v>
      </c>
      <c r="K574" s="12" t="n">
        <f aca="false">J574^(-1/B574)-1</f>
        <v>0.0516502500000002</v>
      </c>
      <c r="L574" s="12" t="n">
        <f aca="false">(1+K574)^(1/12)-1</f>
        <v>0.00420553496807585</v>
      </c>
    </row>
    <row r="575" customFormat="false" ht="15" hidden="false" customHeight="false" outlineLevel="0" collapsed="false">
      <c r="A575" s="4" t="n">
        <v>571</v>
      </c>
      <c r="B575" s="14" t="n">
        <f aca="false">A575/12</f>
        <v>47.5833333333333</v>
      </c>
      <c r="C575" s="15" t="n">
        <f aca="false">INT(A575/6)</f>
        <v>95</v>
      </c>
      <c r="D575" s="16" t="n">
        <f aca="false">IF(C575=0,(1+Dic2023!$G$6)^(-B575),EXP(LN(INDEX(Dic2023!$H$6:$H$205,C575))+(LN(INDEX(Dic2023!$H$6:$H$205,MIN(C575+1,200)))-LN(INDEX(Dic2023!$H$6:$H$205,C575)))*(A575-6*C575)/6))</f>
        <v>0.0909809472698205</v>
      </c>
      <c r="E575" s="12" t="n">
        <f aca="false">D575^(-1/B575)-1</f>
        <v>0.0516674910520227</v>
      </c>
      <c r="F575" s="12" t="n">
        <f aca="false">(1+E575)^(1/12)-1</f>
        <v>0.00420690689359438</v>
      </c>
      <c r="G575" s="16" t="n">
        <f aca="false">IF(C575=0,(1+Dic2023!$J$6)^(-B575),EXP(LN(INDEX(Dic2023!$K$6:$K$205,C575))+(LN(INDEX(Dic2023!$K$6:$K$205,MIN(C575+1,200)))-LN(INDEX(Dic2023!$K$6:$K$205,C575)))*(A575-6*C575)/6))</f>
        <v>0.0909809472698205</v>
      </c>
      <c r="H575" s="12" t="n">
        <f aca="false">G575^(-1/B575)-1</f>
        <v>0.0516674910520227</v>
      </c>
      <c r="I575" s="12" t="n">
        <f aca="false">(1+H575)^(1/12)-1</f>
        <v>0.00420690689359438</v>
      </c>
      <c r="J575" s="16" t="n">
        <f aca="false">IF(C575=0,(1+Dic2023!$M$6)^(-B575),EXP(LN(INDEX(Dic2023!$N$6:$N$205,C575))+(LN(INDEX(Dic2023!$N$6:$N$205,MIN(C575+1,200)))-LN(INDEX(Dic2023!$N$6:$N$205,C575)))*(A575-6*C575)/6))</f>
        <v>0.0909809472698205</v>
      </c>
      <c r="K575" s="12" t="n">
        <f aca="false">J575^(-1/B575)-1</f>
        <v>0.0516674910520227</v>
      </c>
      <c r="L575" s="12" t="n">
        <f aca="false">(1+K575)^(1/12)-1</f>
        <v>0.00420690689359438</v>
      </c>
    </row>
    <row r="576" customFormat="false" ht="15" hidden="false" customHeight="false" outlineLevel="0" collapsed="false">
      <c r="A576" s="4" t="n">
        <v>572</v>
      </c>
      <c r="B576" s="14" t="n">
        <f aca="false">A576/12</f>
        <v>47.6666666666667</v>
      </c>
      <c r="C576" s="15" t="n">
        <f aca="false">INT(A576/6)</f>
        <v>95</v>
      </c>
      <c r="D576" s="16" t="n">
        <f aca="false">IF(C576=0,(1+Dic2023!$G$6)^(-B576),EXP(LN(INDEX(Dic2023!$H$6:$H$205,C576))+(LN(INDEX(Dic2023!$H$6:$H$205,MIN(C576+1,200)))-LN(INDEX(Dic2023!$H$6:$H$205,C576)))*(A576-6*C576)/6))</f>
        <v>0.0905292777344199</v>
      </c>
      <c r="E576" s="12" t="n">
        <f aca="false">D576^(-1/B576)-1</f>
        <v>0.0516846721018205</v>
      </c>
      <c r="F576" s="12" t="n">
        <f aca="false">(1+E576)^(1/12)-1</f>
        <v>0.00420827402403523</v>
      </c>
      <c r="G576" s="16" t="n">
        <f aca="false">IF(C576=0,(1+Dic2023!$J$6)^(-B576),EXP(LN(INDEX(Dic2023!$K$6:$K$205,C576))+(LN(INDEX(Dic2023!$K$6:$K$205,MIN(C576+1,200)))-LN(INDEX(Dic2023!$K$6:$K$205,C576)))*(A576-6*C576)/6))</f>
        <v>0.0905292777344199</v>
      </c>
      <c r="H576" s="12" t="n">
        <f aca="false">G576^(-1/B576)-1</f>
        <v>0.0516846721018205</v>
      </c>
      <c r="I576" s="12" t="n">
        <f aca="false">(1+H576)^(1/12)-1</f>
        <v>0.00420827402403523</v>
      </c>
      <c r="J576" s="16" t="n">
        <f aca="false">IF(C576=0,(1+Dic2023!$M$6)^(-B576),EXP(LN(INDEX(Dic2023!$N$6:$N$205,C576))+(LN(INDEX(Dic2023!$N$6:$N$205,MIN(C576+1,200)))-LN(INDEX(Dic2023!$N$6:$N$205,C576)))*(A576-6*C576)/6))</f>
        <v>0.0905292777344199</v>
      </c>
      <c r="K576" s="12" t="n">
        <f aca="false">J576^(-1/B576)-1</f>
        <v>0.0516846721018205</v>
      </c>
      <c r="L576" s="12" t="n">
        <f aca="false">(1+K576)^(1/12)-1</f>
        <v>0.00420827402403523</v>
      </c>
    </row>
    <row r="577" customFormat="false" ht="15" hidden="false" customHeight="false" outlineLevel="0" collapsed="false">
      <c r="A577" s="4" t="n">
        <v>573</v>
      </c>
      <c r="B577" s="14" t="n">
        <f aca="false">A577/12</f>
        <v>47.75</v>
      </c>
      <c r="C577" s="15" t="n">
        <f aca="false">INT(A577/6)</f>
        <v>95</v>
      </c>
      <c r="D577" s="16" t="n">
        <f aca="false">IF(C577=0,(1+Dic2023!$G$6)^(-B577),EXP(LN(INDEX(Dic2023!$H$6:$H$205,C577))+(LN(INDEX(Dic2023!$H$6:$H$205,MIN(C577+1,200)))-LN(INDEX(Dic2023!$H$6:$H$205,C577)))*(A577-6*C577)/6))</f>
        <v>0.0900798504857324</v>
      </c>
      <c r="E577" s="12" t="n">
        <f aca="false">D577^(-1/B577)-1</f>
        <v>0.0517017934620763</v>
      </c>
      <c r="F577" s="12" t="n">
        <f aca="false">(1+E577)^(1/12)-1</f>
        <v>0.00420963638449345</v>
      </c>
      <c r="G577" s="16" t="n">
        <f aca="false">IF(C577=0,(1+Dic2023!$J$6)^(-B577),EXP(LN(INDEX(Dic2023!$K$6:$K$205,C577))+(LN(INDEX(Dic2023!$K$6:$K$205,MIN(C577+1,200)))-LN(INDEX(Dic2023!$K$6:$K$205,C577)))*(A577-6*C577)/6))</f>
        <v>0.0900798504857324</v>
      </c>
      <c r="H577" s="12" t="n">
        <f aca="false">G577^(-1/B577)-1</f>
        <v>0.0517017934620763</v>
      </c>
      <c r="I577" s="12" t="n">
        <f aca="false">(1+H577)^(1/12)-1</f>
        <v>0.00420963638449345</v>
      </c>
      <c r="J577" s="16" t="n">
        <f aca="false">IF(C577=0,(1+Dic2023!$M$6)^(-B577),EXP(LN(INDEX(Dic2023!$N$6:$N$205,C577))+(LN(INDEX(Dic2023!$N$6:$N$205,MIN(C577+1,200)))-LN(INDEX(Dic2023!$N$6:$N$205,C577)))*(A577-6*C577)/6))</f>
        <v>0.0900798504857324</v>
      </c>
      <c r="K577" s="12" t="n">
        <f aca="false">J577^(-1/B577)-1</f>
        <v>0.0517017934620763</v>
      </c>
      <c r="L577" s="12" t="n">
        <f aca="false">(1+K577)^(1/12)-1</f>
        <v>0.00420963638449345</v>
      </c>
    </row>
    <row r="578" customFormat="false" ht="15" hidden="false" customHeight="false" outlineLevel="0" collapsed="false">
      <c r="A578" s="4" t="n">
        <v>574</v>
      </c>
      <c r="B578" s="14" t="n">
        <f aca="false">A578/12</f>
        <v>47.8333333333333</v>
      </c>
      <c r="C578" s="15" t="n">
        <f aca="false">INT(A578/6)</f>
        <v>95</v>
      </c>
      <c r="D578" s="16" t="n">
        <f aca="false">IF(C578=0,(1+Dic2023!$G$6)^(-B578),EXP(LN(INDEX(Dic2023!$H$6:$H$205,C578))+(LN(INDEX(Dic2023!$H$6:$H$205,MIN(C578+1,200)))-LN(INDEX(Dic2023!$H$6:$H$205,C578)))*(A578-6*C578)/6))</f>
        <v>0.0896326543920581</v>
      </c>
      <c r="E578" s="12" t="n">
        <f aca="false">D578^(-1/B578)-1</f>
        <v>0.0517188554433039</v>
      </c>
      <c r="F578" s="12" t="n">
        <f aca="false">(1+E578)^(1/12)-1</f>
        <v>0.00421099399988978</v>
      </c>
      <c r="G578" s="16" t="n">
        <f aca="false">IF(C578=0,(1+Dic2023!$J$6)^(-B578),EXP(LN(INDEX(Dic2023!$K$6:$K$205,C578))+(LN(INDEX(Dic2023!$K$6:$K$205,MIN(C578+1,200)))-LN(INDEX(Dic2023!$K$6:$K$205,C578)))*(A578-6*C578)/6))</f>
        <v>0.0896326543920581</v>
      </c>
      <c r="H578" s="12" t="n">
        <f aca="false">G578^(-1/B578)-1</f>
        <v>0.0517188554433039</v>
      </c>
      <c r="I578" s="12" t="n">
        <f aca="false">(1+H578)^(1/12)-1</f>
        <v>0.00421099399988978</v>
      </c>
      <c r="J578" s="16" t="n">
        <f aca="false">IF(C578=0,(1+Dic2023!$M$6)^(-B578),EXP(LN(INDEX(Dic2023!$N$6:$N$205,C578))+(LN(INDEX(Dic2023!$N$6:$N$205,MIN(C578+1,200)))-LN(INDEX(Dic2023!$N$6:$N$205,C578)))*(A578-6*C578)/6))</f>
        <v>0.0896326543920581</v>
      </c>
      <c r="K578" s="12" t="n">
        <f aca="false">J578^(-1/B578)-1</f>
        <v>0.0517188554433039</v>
      </c>
      <c r="L578" s="12" t="n">
        <f aca="false">(1+K578)^(1/12)-1</f>
        <v>0.00421099399988978</v>
      </c>
    </row>
    <row r="579" customFormat="false" ht="15" hidden="false" customHeight="false" outlineLevel="0" collapsed="false">
      <c r="A579" s="4" t="n">
        <v>575</v>
      </c>
      <c r="B579" s="14" t="n">
        <f aca="false">A579/12</f>
        <v>47.9166666666667</v>
      </c>
      <c r="C579" s="15" t="n">
        <f aca="false">INT(A579/6)</f>
        <v>95</v>
      </c>
      <c r="D579" s="16" t="n">
        <f aca="false">IF(C579=0,(1+Dic2023!$G$6)^(-B579),EXP(LN(INDEX(Dic2023!$H$6:$H$205,C579))+(LN(INDEX(Dic2023!$H$6:$H$205,MIN(C579+1,200)))-LN(INDEX(Dic2023!$H$6:$H$205,C579)))*(A579-6*C579)/6))</f>
        <v>0.08918767837696</v>
      </c>
      <c r="E579" s="12" t="n">
        <f aca="false">D579^(-1/B579)-1</f>
        <v>0.0517358583538679</v>
      </c>
      <c r="F579" s="12" t="n">
        <f aca="false">(1+E579)^(1/12)-1</f>
        <v>0.0042123468949713</v>
      </c>
      <c r="G579" s="16" t="n">
        <f aca="false">IF(C579=0,(1+Dic2023!$J$6)^(-B579),EXP(LN(INDEX(Dic2023!$K$6:$K$205,C579))+(LN(INDEX(Dic2023!$K$6:$K$205,MIN(C579+1,200)))-LN(INDEX(Dic2023!$K$6:$K$205,C579)))*(A579-6*C579)/6))</f>
        <v>0.08918767837696</v>
      </c>
      <c r="H579" s="12" t="n">
        <f aca="false">G579^(-1/B579)-1</f>
        <v>0.0517358583538679</v>
      </c>
      <c r="I579" s="12" t="n">
        <f aca="false">(1+H579)^(1/12)-1</f>
        <v>0.0042123468949713</v>
      </c>
      <c r="J579" s="16" t="n">
        <f aca="false">IF(C579=0,(1+Dic2023!$M$6)^(-B579),EXP(LN(INDEX(Dic2023!$N$6:$N$205,C579))+(LN(INDEX(Dic2023!$N$6:$N$205,MIN(C579+1,200)))-LN(INDEX(Dic2023!$N$6:$N$205,C579)))*(A579-6*C579)/6))</f>
        <v>0.08918767837696</v>
      </c>
      <c r="K579" s="12" t="n">
        <f aca="false">J579^(-1/B579)-1</f>
        <v>0.0517358583538679</v>
      </c>
      <c r="L579" s="12" t="n">
        <f aca="false">(1+K579)^(1/12)-1</f>
        <v>0.0042123468949713</v>
      </c>
    </row>
    <row r="580" customFormat="false" ht="15" hidden="false" customHeight="false" outlineLevel="0" collapsed="false">
      <c r="A580" s="4" t="n">
        <v>576</v>
      </c>
      <c r="B580" s="14" t="n">
        <f aca="false">A580/12</f>
        <v>48</v>
      </c>
      <c r="C580" s="15" t="n">
        <f aca="false">INT(A580/6)</f>
        <v>96</v>
      </c>
      <c r="D580" s="16" t="n">
        <f aca="false">IF(C580=0,(1+Dic2023!$G$6)^(-B580),EXP(LN(INDEX(Dic2023!$H$6:$H$205,C580))+(LN(INDEX(Dic2023!$H$6:$H$205,MIN(C580+1,200)))-LN(INDEX(Dic2023!$H$6:$H$205,C580)))*(A580-6*C580)/6))</f>
        <v>0.0887449114189889</v>
      </c>
      <c r="E580" s="12" t="n">
        <f aca="false">D580^(-1/B580)-1</f>
        <v>0.0517528025</v>
      </c>
      <c r="F580" s="12" t="n">
        <f aca="false">(1+E580)^(1/12)-1</f>
        <v>0.00421369509431369</v>
      </c>
      <c r="G580" s="16" t="n">
        <f aca="false">IF(C580=0,(1+Dic2023!$J$6)^(-B580),EXP(LN(INDEX(Dic2023!$K$6:$K$205,C580))+(LN(INDEX(Dic2023!$K$6:$K$205,MIN(C580+1,200)))-LN(INDEX(Dic2023!$K$6:$K$205,C580)))*(A580-6*C580)/6))</f>
        <v>0.0887449114189889</v>
      </c>
      <c r="H580" s="12" t="n">
        <f aca="false">G580^(-1/B580)-1</f>
        <v>0.0517528025</v>
      </c>
      <c r="I580" s="12" t="n">
        <f aca="false">(1+H580)^(1/12)-1</f>
        <v>0.00421369509431369</v>
      </c>
      <c r="J580" s="16" t="n">
        <f aca="false">IF(C580=0,(1+Dic2023!$M$6)^(-B580),EXP(LN(INDEX(Dic2023!$N$6:$N$205,C580))+(LN(INDEX(Dic2023!$N$6:$N$205,MIN(C580+1,200)))-LN(INDEX(Dic2023!$N$6:$N$205,C580)))*(A580-6*C580)/6))</f>
        <v>0.0887449114189889</v>
      </c>
      <c r="K580" s="12" t="n">
        <f aca="false">J580^(-1/B580)-1</f>
        <v>0.0517528025</v>
      </c>
      <c r="L580" s="12" t="n">
        <f aca="false">(1+K580)^(1/12)-1</f>
        <v>0.00421369509431369</v>
      </c>
    </row>
    <row r="581" customFormat="false" ht="15" hidden="false" customHeight="false" outlineLevel="0" collapsed="false">
      <c r="A581" s="4" t="n">
        <v>577</v>
      </c>
      <c r="B581" s="14" t="n">
        <f aca="false">A581/12</f>
        <v>48.0833333333333</v>
      </c>
      <c r="C581" s="15" t="n">
        <f aca="false">INT(A581/6)</f>
        <v>96</v>
      </c>
      <c r="D581" s="16" t="n">
        <f aca="false">IF(C581=0,(1+Dic2023!$G$6)^(-B581),EXP(LN(INDEX(Dic2023!$H$6:$H$205,C581))+(LN(INDEX(Dic2023!$H$6:$H$205,MIN(C581+1,200)))-LN(INDEX(Dic2023!$H$6:$H$205,C581)))*(A581-6*C581)/6))</f>
        <v>0.0883725364954859</v>
      </c>
      <c r="E581" s="12" t="n">
        <f aca="false">D581^(-1/B581)-1</f>
        <v>0.0517528025</v>
      </c>
      <c r="F581" s="12" t="n">
        <f aca="false">(1+E581)^(1/12)-1</f>
        <v>0.00421369509431369</v>
      </c>
      <c r="G581" s="16" t="n">
        <f aca="false">IF(C581=0,(1+Dic2023!$J$6)^(-B581),EXP(LN(INDEX(Dic2023!$K$6:$K$205,C581))+(LN(INDEX(Dic2023!$K$6:$K$205,MIN(C581+1,200)))-LN(INDEX(Dic2023!$K$6:$K$205,C581)))*(A581-6*C581)/6))</f>
        <v>0.0883725364954859</v>
      </c>
      <c r="H581" s="12" t="n">
        <f aca="false">G581^(-1/B581)-1</f>
        <v>0.0517528025</v>
      </c>
      <c r="I581" s="12" t="n">
        <f aca="false">(1+H581)^(1/12)-1</f>
        <v>0.00421369509431369</v>
      </c>
      <c r="J581" s="16" t="n">
        <f aca="false">IF(C581=0,(1+Dic2023!$M$6)^(-B581),EXP(LN(INDEX(Dic2023!$N$6:$N$205,C581))+(LN(INDEX(Dic2023!$N$6:$N$205,MIN(C581+1,200)))-LN(INDEX(Dic2023!$N$6:$N$205,C581)))*(A581-6*C581)/6))</f>
        <v>0.0883725364954859</v>
      </c>
      <c r="K581" s="12" t="n">
        <f aca="false">J581^(-1/B581)-1</f>
        <v>0.0517528025</v>
      </c>
      <c r="L581" s="12" t="n">
        <f aca="false">(1+K581)^(1/12)-1</f>
        <v>0.00421369509431369</v>
      </c>
    </row>
    <row r="582" customFormat="false" ht="15" hidden="false" customHeight="false" outlineLevel="0" collapsed="false">
      <c r="A582" s="4" t="n">
        <v>578</v>
      </c>
      <c r="B582" s="14" t="n">
        <f aca="false">A582/12</f>
        <v>48.1666666666667</v>
      </c>
      <c r="C582" s="15" t="n">
        <f aca="false">INT(A582/6)</f>
        <v>96</v>
      </c>
      <c r="D582" s="16" t="n">
        <f aca="false">IF(C582=0,(1+Dic2023!$G$6)^(-B582),EXP(LN(INDEX(Dic2023!$H$6:$H$205,C582))+(LN(INDEX(Dic2023!$H$6:$H$205,MIN(C582+1,200)))-LN(INDEX(Dic2023!$H$6:$H$205,C582)))*(A582-6*C582)/6))</f>
        <v>0.0880017240625125</v>
      </c>
      <c r="E582" s="12" t="n">
        <f aca="false">D582^(-1/B582)-1</f>
        <v>0.0517528025</v>
      </c>
      <c r="F582" s="12" t="n">
        <f aca="false">(1+E582)^(1/12)-1</f>
        <v>0.00421369509431369</v>
      </c>
      <c r="G582" s="16" t="n">
        <f aca="false">IF(C582=0,(1+Dic2023!$J$6)^(-B582),EXP(LN(INDEX(Dic2023!$K$6:$K$205,C582))+(LN(INDEX(Dic2023!$K$6:$K$205,MIN(C582+1,200)))-LN(INDEX(Dic2023!$K$6:$K$205,C582)))*(A582-6*C582)/6))</f>
        <v>0.0880017240625125</v>
      </c>
      <c r="H582" s="12" t="n">
        <f aca="false">G582^(-1/B582)-1</f>
        <v>0.0517528025</v>
      </c>
      <c r="I582" s="12" t="n">
        <f aca="false">(1+H582)^(1/12)-1</f>
        <v>0.00421369509431369</v>
      </c>
      <c r="J582" s="16" t="n">
        <f aca="false">IF(C582=0,(1+Dic2023!$M$6)^(-B582),EXP(LN(INDEX(Dic2023!$N$6:$N$205,C582))+(LN(INDEX(Dic2023!$N$6:$N$205,MIN(C582+1,200)))-LN(INDEX(Dic2023!$N$6:$N$205,C582)))*(A582-6*C582)/6))</f>
        <v>0.0880017240625125</v>
      </c>
      <c r="K582" s="12" t="n">
        <f aca="false">J582^(-1/B582)-1</f>
        <v>0.0517528025</v>
      </c>
      <c r="L582" s="12" t="n">
        <f aca="false">(1+K582)^(1/12)-1</f>
        <v>0.00421369509431369</v>
      </c>
    </row>
    <row r="583" customFormat="false" ht="15" hidden="false" customHeight="false" outlineLevel="0" collapsed="false">
      <c r="A583" s="4" t="n">
        <v>579</v>
      </c>
      <c r="B583" s="14" t="n">
        <f aca="false">A583/12</f>
        <v>48.25</v>
      </c>
      <c r="C583" s="15" t="n">
        <f aca="false">INT(A583/6)</f>
        <v>96</v>
      </c>
      <c r="D583" s="16" t="n">
        <f aca="false">IF(C583=0,(1+Dic2023!$G$6)^(-B583),EXP(LN(INDEX(Dic2023!$H$6:$H$205,C583))+(LN(INDEX(Dic2023!$H$6:$H$205,MIN(C583+1,200)))-LN(INDEX(Dic2023!$H$6:$H$205,C583)))*(A583-6*C583)/6))</f>
        <v>0.0876324675638362</v>
      </c>
      <c r="E583" s="12" t="n">
        <f aca="false">D583^(-1/B583)-1</f>
        <v>0.0517528025</v>
      </c>
      <c r="F583" s="12" t="n">
        <f aca="false">(1+E583)^(1/12)-1</f>
        <v>0.00421369509431369</v>
      </c>
      <c r="G583" s="16" t="n">
        <f aca="false">IF(C583=0,(1+Dic2023!$J$6)^(-B583),EXP(LN(INDEX(Dic2023!$K$6:$K$205,C583))+(LN(INDEX(Dic2023!$K$6:$K$205,MIN(C583+1,200)))-LN(INDEX(Dic2023!$K$6:$K$205,C583)))*(A583-6*C583)/6))</f>
        <v>0.0876324675638362</v>
      </c>
      <c r="H583" s="12" t="n">
        <f aca="false">G583^(-1/B583)-1</f>
        <v>0.0517528025</v>
      </c>
      <c r="I583" s="12" t="n">
        <f aca="false">(1+H583)^(1/12)-1</f>
        <v>0.00421369509431369</v>
      </c>
      <c r="J583" s="16" t="n">
        <f aca="false">IF(C583=0,(1+Dic2023!$M$6)^(-B583),EXP(LN(INDEX(Dic2023!$N$6:$N$205,C583))+(LN(INDEX(Dic2023!$N$6:$N$205,MIN(C583+1,200)))-LN(INDEX(Dic2023!$N$6:$N$205,C583)))*(A583-6*C583)/6))</f>
        <v>0.0876324675638362</v>
      </c>
      <c r="K583" s="12" t="n">
        <f aca="false">J583^(-1/B583)-1</f>
        <v>0.0517528025</v>
      </c>
      <c r="L583" s="12" t="n">
        <f aca="false">(1+K583)^(1/12)-1</f>
        <v>0.00421369509431369</v>
      </c>
    </row>
    <row r="584" customFormat="false" ht="15" hidden="false" customHeight="false" outlineLevel="0" collapsed="false">
      <c r="A584" s="4" t="n">
        <v>580</v>
      </c>
      <c r="B584" s="14" t="n">
        <f aca="false">A584/12</f>
        <v>48.3333333333333</v>
      </c>
      <c r="C584" s="15" t="n">
        <f aca="false">INT(A584/6)</f>
        <v>96</v>
      </c>
      <c r="D584" s="16" t="n">
        <f aca="false">IF(C584=0,(1+Dic2023!$G$6)^(-B584),EXP(LN(INDEX(Dic2023!$H$6:$H$205,C584))+(LN(INDEX(Dic2023!$H$6:$H$205,MIN(C584+1,200)))-LN(INDEX(Dic2023!$H$6:$H$205,C584)))*(A584-6*C584)/6))</f>
        <v>0.0872647604707342</v>
      </c>
      <c r="E584" s="12" t="n">
        <f aca="false">D584^(-1/B584)-1</f>
        <v>0.0517528025</v>
      </c>
      <c r="F584" s="12" t="n">
        <f aca="false">(1+E584)^(1/12)-1</f>
        <v>0.00421369509431369</v>
      </c>
      <c r="G584" s="16" t="n">
        <f aca="false">IF(C584=0,(1+Dic2023!$J$6)^(-B584),EXP(LN(INDEX(Dic2023!$K$6:$K$205,C584))+(LN(INDEX(Dic2023!$K$6:$K$205,MIN(C584+1,200)))-LN(INDEX(Dic2023!$K$6:$K$205,C584)))*(A584-6*C584)/6))</f>
        <v>0.0872647604707342</v>
      </c>
      <c r="H584" s="12" t="n">
        <f aca="false">G584^(-1/B584)-1</f>
        <v>0.0517528025</v>
      </c>
      <c r="I584" s="12" t="n">
        <f aca="false">(1+H584)^(1/12)-1</f>
        <v>0.00421369509431369</v>
      </c>
      <c r="J584" s="16" t="n">
        <f aca="false">IF(C584=0,(1+Dic2023!$M$6)^(-B584),EXP(LN(INDEX(Dic2023!$N$6:$N$205,C584))+(LN(INDEX(Dic2023!$N$6:$N$205,MIN(C584+1,200)))-LN(INDEX(Dic2023!$N$6:$N$205,C584)))*(A584-6*C584)/6))</f>
        <v>0.0872647604707342</v>
      </c>
      <c r="K584" s="12" t="n">
        <f aca="false">J584^(-1/B584)-1</f>
        <v>0.0517528025</v>
      </c>
      <c r="L584" s="12" t="n">
        <f aca="false">(1+K584)^(1/12)-1</f>
        <v>0.00421369509431369</v>
      </c>
    </row>
    <row r="585" customFormat="false" ht="15" hidden="false" customHeight="false" outlineLevel="0" collapsed="false">
      <c r="A585" s="4" t="n">
        <v>581</v>
      </c>
      <c r="B585" s="14" t="n">
        <f aca="false">A585/12</f>
        <v>48.4166666666667</v>
      </c>
      <c r="C585" s="15" t="n">
        <f aca="false">INT(A585/6)</f>
        <v>96</v>
      </c>
      <c r="D585" s="16" t="n">
        <f aca="false">IF(C585=0,(1+Dic2023!$G$6)^(-B585),EXP(LN(INDEX(Dic2023!$H$6:$H$205,C585))+(LN(INDEX(Dic2023!$H$6:$H$205,MIN(C585+1,200)))-LN(INDEX(Dic2023!$H$6:$H$205,C585)))*(A585-6*C585)/6))</f>
        <v>0.0868985962818785</v>
      </c>
      <c r="E585" s="12" t="n">
        <f aca="false">D585^(-1/B585)-1</f>
        <v>0.0517528025</v>
      </c>
      <c r="F585" s="12" t="n">
        <f aca="false">(1+E585)^(1/12)-1</f>
        <v>0.00421369509431369</v>
      </c>
      <c r="G585" s="16" t="n">
        <f aca="false">IF(C585=0,(1+Dic2023!$J$6)^(-B585),EXP(LN(INDEX(Dic2023!$K$6:$K$205,C585))+(LN(INDEX(Dic2023!$K$6:$K$205,MIN(C585+1,200)))-LN(INDEX(Dic2023!$K$6:$K$205,C585)))*(A585-6*C585)/6))</f>
        <v>0.0868985962818785</v>
      </c>
      <c r="H585" s="12" t="n">
        <f aca="false">G585^(-1/B585)-1</f>
        <v>0.0517528025</v>
      </c>
      <c r="I585" s="12" t="n">
        <f aca="false">(1+H585)^(1/12)-1</f>
        <v>0.00421369509431369</v>
      </c>
      <c r="J585" s="16" t="n">
        <f aca="false">IF(C585=0,(1+Dic2023!$M$6)^(-B585),EXP(LN(INDEX(Dic2023!$N$6:$N$205,C585))+(LN(INDEX(Dic2023!$N$6:$N$205,MIN(C585+1,200)))-LN(INDEX(Dic2023!$N$6:$N$205,C585)))*(A585-6*C585)/6))</f>
        <v>0.0868985962818785</v>
      </c>
      <c r="K585" s="12" t="n">
        <f aca="false">J585^(-1/B585)-1</f>
        <v>0.0517528025</v>
      </c>
      <c r="L585" s="12" t="n">
        <f aca="false">(1+K585)^(1/12)-1</f>
        <v>0.00421369509431369</v>
      </c>
    </row>
    <row r="586" customFormat="false" ht="15" hidden="false" customHeight="false" outlineLevel="0" collapsed="false">
      <c r="A586" s="4" t="n">
        <v>582</v>
      </c>
      <c r="B586" s="14" t="n">
        <f aca="false">A586/12</f>
        <v>48.5</v>
      </c>
      <c r="C586" s="15" t="n">
        <f aca="false">INT(A586/6)</f>
        <v>97</v>
      </c>
      <c r="D586" s="16" t="n">
        <f aca="false">IF(C586=0,(1+Dic2023!$G$6)^(-B586),EXP(LN(INDEX(Dic2023!$H$6:$H$205,C586))+(LN(INDEX(Dic2023!$H$6:$H$205,MIN(C586+1,200)))-LN(INDEX(Dic2023!$H$6:$H$205,C586)))*(A586-6*C586)/6))</f>
        <v>0.0865339685232207</v>
      </c>
      <c r="E586" s="12" t="n">
        <f aca="false">D586^(-1/B586)-1</f>
        <v>0.0517528025</v>
      </c>
      <c r="F586" s="12" t="n">
        <f aca="false">(1+E586)^(1/12)-1</f>
        <v>0.00421369509431369</v>
      </c>
      <c r="G586" s="16" t="n">
        <f aca="false">IF(C586=0,(1+Dic2023!$J$6)^(-B586),EXP(LN(INDEX(Dic2023!$K$6:$K$205,C586))+(LN(INDEX(Dic2023!$K$6:$K$205,MIN(C586+1,200)))-LN(INDEX(Dic2023!$K$6:$K$205,C586)))*(A586-6*C586)/6))</f>
        <v>0.0865339685232207</v>
      </c>
      <c r="H586" s="12" t="n">
        <f aca="false">G586^(-1/B586)-1</f>
        <v>0.0517528025</v>
      </c>
      <c r="I586" s="12" t="n">
        <f aca="false">(1+H586)^(1/12)-1</f>
        <v>0.00421369509431369</v>
      </c>
      <c r="J586" s="16" t="n">
        <f aca="false">IF(C586=0,(1+Dic2023!$M$6)^(-B586),EXP(LN(INDEX(Dic2023!$N$6:$N$205,C586))+(LN(INDEX(Dic2023!$N$6:$N$205,MIN(C586+1,200)))-LN(INDEX(Dic2023!$N$6:$N$205,C586)))*(A586-6*C586)/6))</f>
        <v>0.0865339685232207</v>
      </c>
      <c r="K586" s="12" t="n">
        <f aca="false">J586^(-1/B586)-1</f>
        <v>0.0517528025</v>
      </c>
      <c r="L586" s="12" t="n">
        <f aca="false">(1+K586)^(1/12)-1</f>
        <v>0.00421369509431369</v>
      </c>
    </row>
    <row r="587" customFormat="false" ht="15" hidden="false" customHeight="false" outlineLevel="0" collapsed="false">
      <c r="A587" s="4" t="n">
        <v>583</v>
      </c>
      <c r="B587" s="14" t="n">
        <f aca="false">A587/12</f>
        <v>48.5833333333333</v>
      </c>
      <c r="C587" s="15" t="n">
        <f aca="false">INT(A587/6)</f>
        <v>97</v>
      </c>
      <c r="D587" s="16" t="n">
        <f aca="false">IF(C587=0,(1+Dic2023!$G$6)^(-B587),EXP(LN(INDEX(Dic2023!$H$6:$H$205,C587))+(LN(INDEX(Dic2023!$H$6:$H$205,MIN(C587+1,200)))-LN(INDEX(Dic2023!$H$6:$H$205,C587)))*(A587-6*C587)/6))</f>
        <v>0.0861708707478776</v>
      </c>
      <c r="E587" s="12" t="n">
        <f aca="false">D587^(-1/B587)-1</f>
        <v>0.0517528025</v>
      </c>
      <c r="F587" s="12" t="n">
        <f aca="false">(1+E587)^(1/12)-1</f>
        <v>0.00421369509431369</v>
      </c>
      <c r="G587" s="16" t="n">
        <f aca="false">IF(C587=0,(1+Dic2023!$J$6)^(-B587),EXP(LN(INDEX(Dic2023!$K$6:$K$205,C587))+(LN(INDEX(Dic2023!$K$6:$K$205,MIN(C587+1,200)))-LN(INDEX(Dic2023!$K$6:$K$205,C587)))*(A587-6*C587)/6))</f>
        <v>0.0861708707478776</v>
      </c>
      <c r="H587" s="12" t="n">
        <f aca="false">G587^(-1/B587)-1</f>
        <v>0.0517528025</v>
      </c>
      <c r="I587" s="12" t="n">
        <f aca="false">(1+H587)^(1/12)-1</f>
        <v>0.00421369509431369</v>
      </c>
      <c r="J587" s="16" t="n">
        <f aca="false">IF(C587=0,(1+Dic2023!$M$6)^(-B587),EXP(LN(INDEX(Dic2023!$N$6:$N$205,C587))+(LN(INDEX(Dic2023!$N$6:$N$205,MIN(C587+1,200)))-LN(INDEX(Dic2023!$N$6:$N$205,C587)))*(A587-6*C587)/6))</f>
        <v>0.0861708707478776</v>
      </c>
      <c r="K587" s="12" t="n">
        <f aca="false">J587^(-1/B587)-1</f>
        <v>0.0517528025</v>
      </c>
      <c r="L587" s="12" t="n">
        <f aca="false">(1+K587)^(1/12)-1</f>
        <v>0.00421369509431369</v>
      </c>
    </row>
    <row r="588" customFormat="false" ht="15" hidden="false" customHeight="false" outlineLevel="0" collapsed="false">
      <c r="A588" s="4" t="n">
        <v>584</v>
      </c>
      <c r="B588" s="14" t="n">
        <f aca="false">A588/12</f>
        <v>48.6666666666667</v>
      </c>
      <c r="C588" s="15" t="n">
        <f aca="false">INT(A588/6)</f>
        <v>97</v>
      </c>
      <c r="D588" s="16" t="n">
        <f aca="false">IF(C588=0,(1+Dic2023!$G$6)^(-B588),EXP(LN(INDEX(Dic2023!$H$6:$H$205,C588))+(LN(INDEX(Dic2023!$H$6:$H$205,MIN(C588+1,200)))-LN(INDEX(Dic2023!$H$6:$H$205,C588)))*(A588-6*C588)/6))</f>
        <v>0.0858092965360173</v>
      </c>
      <c r="E588" s="12" t="n">
        <f aca="false">D588^(-1/B588)-1</f>
        <v>0.0517528025</v>
      </c>
      <c r="F588" s="12" t="n">
        <f aca="false">(1+E588)^(1/12)-1</f>
        <v>0.00421369509431369</v>
      </c>
      <c r="G588" s="16" t="n">
        <f aca="false">IF(C588=0,(1+Dic2023!$J$6)^(-B588),EXP(LN(INDEX(Dic2023!$K$6:$K$205,C588))+(LN(INDEX(Dic2023!$K$6:$K$205,MIN(C588+1,200)))-LN(INDEX(Dic2023!$K$6:$K$205,C588)))*(A588-6*C588)/6))</f>
        <v>0.0858092965360173</v>
      </c>
      <c r="H588" s="12" t="n">
        <f aca="false">G588^(-1/B588)-1</f>
        <v>0.0517528025</v>
      </c>
      <c r="I588" s="12" t="n">
        <f aca="false">(1+H588)^(1/12)-1</f>
        <v>0.00421369509431369</v>
      </c>
      <c r="J588" s="16" t="n">
        <f aca="false">IF(C588=0,(1+Dic2023!$M$6)^(-B588),EXP(LN(INDEX(Dic2023!$N$6:$N$205,C588))+(LN(INDEX(Dic2023!$N$6:$N$205,MIN(C588+1,200)))-LN(INDEX(Dic2023!$N$6:$N$205,C588)))*(A588-6*C588)/6))</f>
        <v>0.0858092965360173</v>
      </c>
      <c r="K588" s="12" t="n">
        <f aca="false">J588^(-1/B588)-1</f>
        <v>0.0517528025</v>
      </c>
      <c r="L588" s="12" t="n">
        <f aca="false">(1+K588)^(1/12)-1</f>
        <v>0.00421369509431369</v>
      </c>
    </row>
    <row r="589" customFormat="false" ht="15" hidden="false" customHeight="false" outlineLevel="0" collapsed="false">
      <c r="A589" s="4" t="n">
        <v>585</v>
      </c>
      <c r="B589" s="14" t="n">
        <f aca="false">A589/12</f>
        <v>48.75</v>
      </c>
      <c r="C589" s="15" t="n">
        <f aca="false">INT(A589/6)</f>
        <v>97</v>
      </c>
      <c r="D589" s="16" t="n">
        <f aca="false">IF(C589=0,(1+Dic2023!$G$6)^(-B589),EXP(LN(INDEX(Dic2023!$H$6:$H$205,C589))+(LN(INDEX(Dic2023!$H$6:$H$205,MIN(C589+1,200)))-LN(INDEX(Dic2023!$H$6:$H$205,C589)))*(A589-6*C589)/6))</f>
        <v>0.0854492394947454</v>
      </c>
      <c r="E589" s="12" t="n">
        <f aca="false">D589^(-1/B589)-1</f>
        <v>0.0517528025</v>
      </c>
      <c r="F589" s="12" t="n">
        <f aca="false">(1+E589)^(1/12)-1</f>
        <v>0.00421369509431369</v>
      </c>
      <c r="G589" s="16" t="n">
        <f aca="false">IF(C589=0,(1+Dic2023!$J$6)^(-B589),EXP(LN(INDEX(Dic2023!$K$6:$K$205,C589))+(LN(INDEX(Dic2023!$K$6:$K$205,MIN(C589+1,200)))-LN(INDEX(Dic2023!$K$6:$K$205,C589)))*(A589-6*C589)/6))</f>
        <v>0.0854492394947454</v>
      </c>
      <c r="H589" s="12" t="n">
        <f aca="false">G589^(-1/B589)-1</f>
        <v>0.0517528025</v>
      </c>
      <c r="I589" s="12" t="n">
        <f aca="false">(1+H589)^(1/12)-1</f>
        <v>0.00421369509431369</v>
      </c>
      <c r="J589" s="16" t="n">
        <f aca="false">IF(C589=0,(1+Dic2023!$M$6)^(-B589),EXP(LN(INDEX(Dic2023!$N$6:$N$205,C589))+(LN(INDEX(Dic2023!$N$6:$N$205,MIN(C589+1,200)))-LN(INDEX(Dic2023!$N$6:$N$205,C589)))*(A589-6*C589)/6))</f>
        <v>0.0854492394947454</v>
      </c>
      <c r="K589" s="12" t="n">
        <f aca="false">J589^(-1/B589)-1</f>
        <v>0.0517528025</v>
      </c>
      <c r="L589" s="12" t="n">
        <f aca="false">(1+K589)^(1/12)-1</f>
        <v>0.00421369509431369</v>
      </c>
    </row>
    <row r="590" customFormat="false" ht="15" hidden="false" customHeight="false" outlineLevel="0" collapsed="false">
      <c r="A590" s="4" t="n">
        <v>586</v>
      </c>
      <c r="B590" s="14" t="n">
        <f aca="false">A590/12</f>
        <v>48.8333333333333</v>
      </c>
      <c r="C590" s="15" t="n">
        <f aca="false">INT(A590/6)</f>
        <v>97</v>
      </c>
      <c r="D590" s="16" t="n">
        <f aca="false">IF(C590=0,(1+Dic2023!$G$6)^(-B590),EXP(LN(INDEX(Dic2023!$H$6:$H$205,C590))+(LN(INDEX(Dic2023!$H$6:$H$205,MIN(C590+1,200)))-LN(INDEX(Dic2023!$H$6:$H$205,C590)))*(A590-6*C590)/6))</f>
        <v>0.0850906932579924</v>
      </c>
      <c r="E590" s="12" t="n">
        <f aca="false">D590^(-1/B590)-1</f>
        <v>0.0517528025</v>
      </c>
      <c r="F590" s="12" t="n">
        <f aca="false">(1+E590)^(1/12)-1</f>
        <v>0.00421369509431369</v>
      </c>
      <c r="G590" s="16" t="n">
        <f aca="false">IF(C590=0,(1+Dic2023!$J$6)^(-B590),EXP(LN(INDEX(Dic2023!$K$6:$K$205,C590))+(LN(INDEX(Dic2023!$K$6:$K$205,MIN(C590+1,200)))-LN(INDEX(Dic2023!$K$6:$K$205,C590)))*(A590-6*C590)/6))</f>
        <v>0.0850906932579924</v>
      </c>
      <c r="H590" s="12" t="n">
        <f aca="false">G590^(-1/B590)-1</f>
        <v>0.0517528025</v>
      </c>
      <c r="I590" s="12" t="n">
        <f aca="false">(1+H590)^(1/12)-1</f>
        <v>0.00421369509431369</v>
      </c>
      <c r="J590" s="16" t="n">
        <f aca="false">IF(C590=0,(1+Dic2023!$M$6)^(-B590),EXP(LN(INDEX(Dic2023!$N$6:$N$205,C590))+(LN(INDEX(Dic2023!$N$6:$N$205,MIN(C590+1,200)))-LN(INDEX(Dic2023!$N$6:$N$205,C590)))*(A590-6*C590)/6))</f>
        <v>0.0850906932579924</v>
      </c>
      <c r="K590" s="12" t="n">
        <f aca="false">J590^(-1/B590)-1</f>
        <v>0.0517528025</v>
      </c>
      <c r="L590" s="12" t="n">
        <f aca="false">(1+K590)^(1/12)-1</f>
        <v>0.00421369509431369</v>
      </c>
    </row>
    <row r="591" customFormat="false" ht="15" hidden="false" customHeight="false" outlineLevel="0" collapsed="false">
      <c r="A591" s="4" t="n">
        <v>587</v>
      </c>
      <c r="B591" s="14" t="n">
        <f aca="false">A591/12</f>
        <v>48.9166666666667</v>
      </c>
      <c r="C591" s="15" t="n">
        <f aca="false">INT(A591/6)</f>
        <v>97</v>
      </c>
      <c r="D591" s="16" t="n">
        <f aca="false">IF(C591=0,(1+Dic2023!$G$6)^(-B591),EXP(LN(INDEX(Dic2023!$H$6:$H$205,C591))+(LN(INDEX(Dic2023!$H$6:$H$205,MIN(C591+1,200)))-LN(INDEX(Dic2023!$H$6:$H$205,C591)))*(A591-6*C591)/6))</f>
        <v>0.0847336514864009</v>
      </c>
      <c r="E591" s="12" t="n">
        <f aca="false">D591^(-1/B591)-1</f>
        <v>0.0517528025</v>
      </c>
      <c r="F591" s="12" t="n">
        <f aca="false">(1+E591)^(1/12)-1</f>
        <v>0.00421369509431369</v>
      </c>
      <c r="G591" s="16" t="n">
        <f aca="false">IF(C591=0,(1+Dic2023!$J$6)^(-B591),EXP(LN(INDEX(Dic2023!$K$6:$K$205,C591))+(LN(INDEX(Dic2023!$K$6:$K$205,MIN(C591+1,200)))-LN(INDEX(Dic2023!$K$6:$K$205,C591)))*(A591-6*C591)/6))</f>
        <v>0.0847336514864009</v>
      </c>
      <c r="H591" s="12" t="n">
        <f aca="false">G591^(-1/B591)-1</f>
        <v>0.0517528025</v>
      </c>
      <c r="I591" s="12" t="n">
        <f aca="false">(1+H591)^(1/12)-1</f>
        <v>0.00421369509431369</v>
      </c>
      <c r="J591" s="16" t="n">
        <f aca="false">IF(C591=0,(1+Dic2023!$M$6)^(-B591),EXP(LN(INDEX(Dic2023!$N$6:$N$205,C591))+(LN(INDEX(Dic2023!$N$6:$N$205,MIN(C591+1,200)))-LN(INDEX(Dic2023!$N$6:$N$205,C591)))*(A591-6*C591)/6))</f>
        <v>0.0847336514864009</v>
      </c>
      <c r="K591" s="12" t="n">
        <f aca="false">J591^(-1/B591)-1</f>
        <v>0.0517528025</v>
      </c>
      <c r="L591" s="12" t="n">
        <f aca="false">(1+K591)^(1/12)-1</f>
        <v>0.00421369509431369</v>
      </c>
    </row>
    <row r="592" customFormat="false" ht="15" hidden="false" customHeight="false" outlineLevel="0" collapsed="false">
      <c r="A592" s="4" t="n">
        <v>588</v>
      </c>
      <c r="B592" s="14" t="n">
        <f aca="false">A592/12</f>
        <v>49</v>
      </c>
      <c r="C592" s="15" t="n">
        <f aca="false">INT(A592/6)</f>
        <v>98</v>
      </c>
      <c r="D592" s="16" t="n">
        <f aca="false">IF(C592=0,(1+Dic2023!$G$6)^(-B592),EXP(LN(INDEX(Dic2023!$H$6:$H$205,C592))+(LN(INDEX(Dic2023!$H$6:$H$205,MIN(C592+1,200)))-LN(INDEX(Dic2023!$H$6:$H$205,C592)))*(A592-6*C592)/6))</f>
        <v>0.0843781078672134</v>
      </c>
      <c r="E592" s="12" t="n">
        <f aca="false">D592^(-1/B592)-1</f>
        <v>0.0517528025</v>
      </c>
      <c r="F592" s="12" t="n">
        <f aca="false">(1+E592)^(1/12)-1</f>
        <v>0.00421369509431369</v>
      </c>
      <c r="G592" s="16" t="n">
        <f aca="false">IF(C592=0,(1+Dic2023!$J$6)^(-B592),EXP(LN(INDEX(Dic2023!$K$6:$K$205,C592))+(LN(INDEX(Dic2023!$K$6:$K$205,MIN(C592+1,200)))-LN(INDEX(Dic2023!$K$6:$K$205,C592)))*(A592-6*C592)/6))</f>
        <v>0.0843781078672134</v>
      </c>
      <c r="H592" s="12" t="n">
        <f aca="false">G592^(-1/B592)-1</f>
        <v>0.0517528025</v>
      </c>
      <c r="I592" s="12" t="n">
        <f aca="false">(1+H592)^(1/12)-1</f>
        <v>0.00421369509431369</v>
      </c>
      <c r="J592" s="16" t="n">
        <f aca="false">IF(C592=0,(1+Dic2023!$M$6)^(-B592),EXP(LN(INDEX(Dic2023!$N$6:$N$205,C592))+(LN(INDEX(Dic2023!$N$6:$N$205,MIN(C592+1,200)))-LN(INDEX(Dic2023!$N$6:$N$205,C592)))*(A592-6*C592)/6))</f>
        <v>0.0843781078672134</v>
      </c>
      <c r="K592" s="12" t="n">
        <f aca="false">J592^(-1/B592)-1</f>
        <v>0.0517528025</v>
      </c>
      <c r="L592" s="12" t="n">
        <f aca="false">(1+K592)^(1/12)-1</f>
        <v>0.00421369509431369</v>
      </c>
    </row>
    <row r="593" customFormat="false" ht="15" hidden="false" customHeight="false" outlineLevel="0" collapsed="false">
      <c r="A593" s="4" t="n">
        <v>589</v>
      </c>
      <c r="B593" s="14" t="n">
        <f aca="false">A593/12</f>
        <v>49.0833333333333</v>
      </c>
      <c r="C593" s="15" t="n">
        <f aca="false">INT(A593/6)</f>
        <v>98</v>
      </c>
      <c r="D593" s="16" t="n">
        <f aca="false">IF(C593=0,(1+Dic2023!$G$6)^(-B593),EXP(LN(INDEX(Dic2023!$H$6:$H$205,C593))+(LN(INDEX(Dic2023!$H$6:$H$205,MIN(C593+1,200)))-LN(INDEX(Dic2023!$H$6:$H$205,C593)))*(A593-6*C593)/6))</f>
        <v>0.0840240561141608</v>
      </c>
      <c r="E593" s="12" t="n">
        <f aca="false">D593^(-1/B593)-1</f>
        <v>0.0517528025</v>
      </c>
      <c r="F593" s="12" t="n">
        <f aca="false">(1+E593)^(1/12)-1</f>
        <v>0.00421369509431369</v>
      </c>
      <c r="G593" s="16" t="n">
        <f aca="false">IF(C593=0,(1+Dic2023!$J$6)^(-B593),EXP(LN(INDEX(Dic2023!$K$6:$K$205,C593))+(LN(INDEX(Dic2023!$K$6:$K$205,MIN(C593+1,200)))-LN(INDEX(Dic2023!$K$6:$K$205,C593)))*(A593-6*C593)/6))</f>
        <v>0.0840240561141608</v>
      </c>
      <c r="H593" s="12" t="n">
        <f aca="false">G593^(-1/B593)-1</f>
        <v>0.0517528025</v>
      </c>
      <c r="I593" s="12" t="n">
        <f aca="false">(1+H593)^(1/12)-1</f>
        <v>0.00421369509431369</v>
      </c>
      <c r="J593" s="16" t="n">
        <f aca="false">IF(C593=0,(1+Dic2023!$M$6)^(-B593),EXP(LN(INDEX(Dic2023!$N$6:$N$205,C593))+(LN(INDEX(Dic2023!$N$6:$N$205,MIN(C593+1,200)))-LN(INDEX(Dic2023!$N$6:$N$205,C593)))*(A593-6*C593)/6))</f>
        <v>0.0840240561141608</v>
      </c>
      <c r="K593" s="12" t="n">
        <f aca="false">J593^(-1/B593)-1</f>
        <v>0.0517528025</v>
      </c>
      <c r="L593" s="12" t="n">
        <f aca="false">(1+K593)^(1/12)-1</f>
        <v>0.00421369509431369</v>
      </c>
    </row>
    <row r="594" customFormat="false" ht="15" hidden="false" customHeight="false" outlineLevel="0" collapsed="false">
      <c r="A594" s="4" t="n">
        <v>590</v>
      </c>
      <c r="B594" s="14" t="n">
        <f aca="false">A594/12</f>
        <v>49.1666666666667</v>
      </c>
      <c r="C594" s="15" t="n">
        <f aca="false">INT(A594/6)</f>
        <v>98</v>
      </c>
      <c r="D594" s="16" t="n">
        <f aca="false">IF(C594=0,(1+Dic2023!$G$6)^(-B594),EXP(LN(INDEX(Dic2023!$H$6:$H$205,C594))+(LN(INDEX(Dic2023!$H$6:$H$205,MIN(C594+1,200)))-LN(INDEX(Dic2023!$H$6:$H$205,C594)))*(A594-6*C594)/6))</f>
        <v>0.0836714899673514</v>
      </c>
      <c r="E594" s="12" t="n">
        <f aca="false">D594^(-1/B594)-1</f>
        <v>0.0517528025</v>
      </c>
      <c r="F594" s="12" t="n">
        <f aca="false">(1+E594)^(1/12)-1</f>
        <v>0.00421369509431369</v>
      </c>
      <c r="G594" s="16" t="n">
        <f aca="false">IF(C594=0,(1+Dic2023!$J$6)^(-B594),EXP(LN(INDEX(Dic2023!$K$6:$K$205,C594))+(LN(INDEX(Dic2023!$K$6:$K$205,MIN(C594+1,200)))-LN(INDEX(Dic2023!$K$6:$K$205,C594)))*(A594-6*C594)/6))</f>
        <v>0.0836714899673514</v>
      </c>
      <c r="H594" s="12" t="n">
        <f aca="false">G594^(-1/B594)-1</f>
        <v>0.0517528025</v>
      </c>
      <c r="I594" s="12" t="n">
        <f aca="false">(1+H594)^(1/12)-1</f>
        <v>0.00421369509431369</v>
      </c>
      <c r="J594" s="16" t="n">
        <f aca="false">IF(C594=0,(1+Dic2023!$M$6)^(-B594),EXP(LN(INDEX(Dic2023!$N$6:$N$205,C594))+(LN(INDEX(Dic2023!$N$6:$N$205,MIN(C594+1,200)))-LN(INDEX(Dic2023!$N$6:$N$205,C594)))*(A594-6*C594)/6))</f>
        <v>0.0836714899673514</v>
      </c>
      <c r="K594" s="12" t="n">
        <f aca="false">J594^(-1/B594)-1</f>
        <v>0.0517528025</v>
      </c>
      <c r="L594" s="12" t="n">
        <f aca="false">(1+K594)^(1/12)-1</f>
        <v>0.00421369509431369</v>
      </c>
    </row>
    <row r="595" customFormat="false" ht="15" hidden="false" customHeight="false" outlineLevel="0" collapsed="false">
      <c r="A595" s="4" t="n">
        <v>591</v>
      </c>
      <c r="B595" s="14" t="n">
        <f aca="false">A595/12</f>
        <v>49.25</v>
      </c>
      <c r="C595" s="15" t="n">
        <f aca="false">INT(A595/6)</f>
        <v>98</v>
      </c>
      <c r="D595" s="16" t="n">
        <f aca="false">IF(C595=0,(1+Dic2023!$G$6)^(-B595),EXP(LN(INDEX(Dic2023!$H$6:$H$205,C595))+(LN(INDEX(Dic2023!$H$6:$H$205,MIN(C595+1,200)))-LN(INDEX(Dic2023!$H$6:$H$205,C595)))*(A595-6*C595)/6))</f>
        <v>0.0833204031931602</v>
      </c>
      <c r="E595" s="12" t="n">
        <f aca="false">D595^(-1/B595)-1</f>
        <v>0.0517528025</v>
      </c>
      <c r="F595" s="12" t="n">
        <f aca="false">(1+E595)^(1/12)-1</f>
        <v>0.00421369509431369</v>
      </c>
      <c r="G595" s="16" t="n">
        <f aca="false">IF(C595=0,(1+Dic2023!$J$6)^(-B595),EXP(LN(INDEX(Dic2023!$K$6:$K$205,C595))+(LN(INDEX(Dic2023!$K$6:$K$205,MIN(C595+1,200)))-LN(INDEX(Dic2023!$K$6:$K$205,C595)))*(A595-6*C595)/6))</f>
        <v>0.0833204031931602</v>
      </c>
      <c r="H595" s="12" t="n">
        <f aca="false">G595^(-1/B595)-1</f>
        <v>0.0517528025</v>
      </c>
      <c r="I595" s="12" t="n">
        <f aca="false">(1+H595)^(1/12)-1</f>
        <v>0.00421369509431369</v>
      </c>
      <c r="J595" s="16" t="n">
        <f aca="false">IF(C595=0,(1+Dic2023!$M$6)^(-B595),EXP(LN(INDEX(Dic2023!$N$6:$N$205,C595))+(LN(INDEX(Dic2023!$N$6:$N$205,MIN(C595+1,200)))-LN(INDEX(Dic2023!$N$6:$N$205,C595)))*(A595-6*C595)/6))</f>
        <v>0.0833204031931602</v>
      </c>
      <c r="K595" s="12" t="n">
        <f aca="false">J595^(-1/B595)-1</f>
        <v>0.0517528025</v>
      </c>
      <c r="L595" s="12" t="n">
        <f aca="false">(1+K595)^(1/12)-1</f>
        <v>0.00421369509431369</v>
      </c>
    </row>
    <row r="596" customFormat="false" ht="15" hidden="false" customHeight="false" outlineLevel="0" collapsed="false">
      <c r="A596" s="4" t="n">
        <v>592</v>
      </c>
      <c r="B596" s="14" t="n">
        <f aca="false">A596/12</f>
        <v>49.3333333333333</v>
      </c>
      <c r="C596" s="15" t="n">
        <f aca="false">INT(A596/6)</f>
        <v>98</v>
      </c>
      <c r="D596" s="16" t="n">
        <f aca="false">IF(C596=0,(1+Dic2023!$G$6)^(-B596),EXP(LN(INDEX(Dic2023!$H$6:$H$205,C596))+(LN(INDEX(Dic2023!$H$6:$H$205,MIN(C596+1,200)))-LN(INDEX(Dic2023!$H$6:$H$205,C596)))*(A596-6*C596)/6))</f>
        <v>0.0829707895841182</v>
      </c>
      <c r="E596" s="12" t="n">
        <f aca="false">D596^(-1/B596)-1</f>
        <v>0.0517528025</v>
      </c>
      <c r="F596" s="12" t="n">
        <f aca="false">(1+E596)^(1/12)-1</f>
        <v>0.00421369509431369</v>
      </c>
      <c r="G596" s="16" t="n">
        <f aca="false">IF(C596=0,(1+Dic2023!$J$6)^(-B596),EXP(LN(INDEX(Dic2023!$K$6:$K$205,C596))+(LN(INDEX(Dic2023!$K$6:$K$205,MIN(C596+1,200)))-LN(INDEX(Dic2023!$K$6:$K$205,C596)))*(A596-6*C596)/6))</f>
        <v>0.0829707895841182</v>
      </c>
      <c r="H596" s="12" t="n">
        <f aca="false">G596^(-1/B596)-1</f>
        <v>0.0517528025</v>
      </c>
      <c r="I596" s="12" t="n">
        <f aca="false">(1+H596)^(1/12)-1</f>
        <v>0.00421369509431369</v>
      </c>
      <c r="J596" s="16" t="n">
        <f aca="false">IF(C596=0,(1+Dic2023!$M$6)^(-B596),EXP(LN(INDEX(Dic2023!$N$6:$N$205,C596))+(LN(INDEX(Dic2023!$N$6:$N$205,MIN(C596+1,200)))-LN(INDEX(Dic2023!$N$6:$N$205,C596)))*(A596-6*C596)/6))</f>
        <v>0.0829707895841182</v>
      </c>
      <c r="K596" s="12" t="n">
        <f aca="false">J596^(-1/B596)-1</f>
        <v>0.0517528025</v>
      </c>
      <c r="L596" s="12" t="n">
        <f aca="false">(1+K596)^(1/12)-1</f>
        <v>0.00421369509431369</v>
      </c>
    </row>
    <row r="597" customFormat="false" ht="15" hidden="false" customHeight="false" outlineLevel="0" collapsed="false">
      <c r="A597" s="4" t="n">
        <v>593</v>
      </c>
      <c r="B597" s="14" t="n">
        <f aca="false">A597/12</f>
        <v>49.4166666666667</v>
      </c>
      <c r="C597" s="15" t="n">
        <f aca="false">INT(A597/6)</f>
        <v>98</v>
      </c>
      <c r="D597" s="16" t="n">
        <f aca="false">IF(C597=0,(1+Dic2023!$G$6)^(-B597),EXP(LN(INDEX(Dic2023!$H$6:$H$205,C597))+(LN(INDEX(Dic2023!$H$6:$H$205,MIN(C597+1,200)))-LN(INDEX(Dic2023!$H$6:$H$205,C597)))*(A597-6*C597)/6))</f>
        <v>0.0826226429588035</v>
      </c>
      <c r="E597" s="12" t="n">
        <f aca="false">D597^(-1/B597)-1</f>
        <v>0.0517528025</v>
      </c>
      <c r="F597" s="12" t="n">
        <f aca="false">(1+E597)^(1/12)-1</f>
        <v>0.00421369509431369</v>
      </c>
      <c r="G597" s="16" t="n">
        <f aca="false">IF(C597=0,(1+Dic2023!$J$6)^(-B597),EXP(LN(INDEX(Dic2023!$K$6:$K$205,C597))+(LN(INDEX(Dic2023!$K$6:$K$205,MIN(C597+1,200)))-LN(INDEX(Dic2023!$K$6:$K$205,C597)))*(A597-6*C597)/6))</f>
        <v>0.0826226429588035</v>
      </c>
      <c r="H597" s="12" t="n">
        <f aca="false">G597^(-1/B597)-1</f>
        <v>0.0517528025</v>
      </c>
      <c r="I597" s="12" t="n">
        <f aca="false">(1+H597)^(1/12)-1</f>
        <v>0.00421369509431369</v>
      </c>
      <c r="J597" s="16" t="n">
        <f aca="false">IF(C597=0,(1+Dic2023!$M$6)^(-B597),EXP(LN(INDEX(Dic2023!$N$6:$N$205,C597))+(LN(INDEX(Dic2023!$N$6:$N$205,MIN(C597+1,200)))-LN(INDEX(Dic2023!$N$6:$N$205,C597)))*(A597-6*C597)/6))</f>
        <v>0.0826226429588035</v>
      </c>
      <c r="K597" s="12" t="n">
        <f aca="false">J597^(-1/B597)-1</f>
        <v>0.0517528025</v>
      </c>
      <c r="L597" s="12" t="n">
        <f aca="false">(1+K597)^(1/12)-1</f>
        <v>0.00421369509431369</v>
      </c>
    </row>
    <row r="598" customFormat="false" ht="15" hidden="false" customHeight="false" outlineLevel="0" collapsed="false">
      <c r="A598" s="4" t="n">
        <v>594</v>
      </c>
      <c r="B598" s="14" t="n">
        <f aca="false">A598/12</f>
        <v>49.5</v>
      </c>
      <c r="C598" s="15" t="n">
        <f aca="false">INT(A598/6)</f>
        <v>99</v>
      </c>
      <c r="D598" s="16" t="n">
        <f aca="false">IF(C598=0,(1+Dic2023!$G$6)^(-B598),EXP(LN(INDEX(Dic2023!$H$6:$H$205,C598))+(LN(INDEX(Dic2023!$H$6:$H$205,MIN(C598+1,200)))-LN(INDEX(Dic2023!$H$6:$H$205,C598)))*(A598-6*C598)/6))</f>
        <v>0.0822759571617311</v>
      </c>
      <c r="E598" s="12" t="n">
        <f aca="false">D598^(-1/B598)-1</f>
        <v>0.0517528025</v>
      </c>
      <c r="F598" s="12" t="n">
        <f aca="false">(1+E598)^(1/12)-1</f>
        <v>0.00421369509431369</v>
      </c>
      <c r="G598" s="16" t="n">
        <f aca="false">IF(C598=0,(1+Dic2023!$J$6)^(-B598),EXP(LN(INDEX(Dic2023!$K$6:$K$205,C598))+(LN(INDEX(Dic2023!$K$6:$K$205,MIN(C598+1,200)))-LN(INDEX(Dic2023!$K$6:$K$205,C598)))*(A598-6*C598)/6))</f>
        <v>0.0822759571617311</v>
      </c>
      <c r="H598" s="12" t="n">
        <f aca="false">G598^(-1/B598)-1</f>
        <v>0.0517528025</v>
      </c>
      <c r="I598" s="12" t="n">
        <f aca="false">(1+H598)^(1/12)-1</f>
        <v>0.00421369509431369</v>
      </c>
      <c r="J598" s="16" t="n">
        <f aca="false">IF(C598=0,(1+Dic2023!$M$6)^(-B598),EXP(LN(INDEX(Dic2023!$N$6:$N$205,C598))+(LN(INDEX(Dic2023!$N$6:$N$205,MIN(C598+1,200)))-LN(INDEX(Dic2023!$N$6:$N$205,C598)))*(A598-6*C598)/6))</f>
        <v>0.0822759571617311</v>
      </c>
      <c r="K598" s="12" t="n">
        <f aca="false">J598^(-1/B598)-1</f>
        <v>0.0517528025</v>
      </c>
      <c r="L598" s="12" t="n">
        <f aca="false">(1+K598)^(1/12)-1</f>
        <v>0.00421369509431369</v>
      </c>
    </row>
    <row r="599" customFormat="false" ht="15" hidden="false" customHeight="false" outlineLevel="0" collapsed="false">
      <c r="A599" s="4" t="n">
        <v>595</v>
      </c>
      <c r="B599" s="14" t="n">
        <f aca="false">A599/12</f>
        <v>49.5833333333333</v>
      </c>
      <c r="C599" s="15" t="n">
        <f aca="false">INT(A599/6)</f>
        <v>99</v>
      </c>
      <c r="D599" s="16" t="n">
        <f aca="false">IF(C599=0,(1+Dic2023!$G$6)^(-B599),EXP(LN(INDEX(Dic2023!$H$6:$H$205,C599))+(LN(INDEX(Dic2023!$H$6:$H$205,MIN(C599+1,200)))-LN(INDEX(Dic2023!$H$6:$H$205,C599)))*(A599-6*C599)/6))</f>
        <v>0.0819307260632449</v>
      </c>
      <c r="E599" s="12" t="n">
        <f aca="false">D599^(-1/B599)-1</f>
        <v>0.0517528025</v>
      </c>
      <c r="F599" s="12" t="n">
        <f aca="false">(1+E599)^(1/12)-1</f>
        <v>0.00421369509431369</v>
      </c>
      <c r="G599" s="16" t="n">
        <f aca="false">IF(C599=0,(1+Dic2023!$J$6)^(-B599),EXP(LN(INDEX(Dic2023!$K$6:$K$205,C599))+(LN(INDEX(Dic2023!$K$6:$K$205,MIN(C599+1,200)))-LN(INDEX(Dic2023!$K$6:$K$205,C599)))*(A599-6*C599)/6))</f>
        <v>0.0819307260632449</v>
      </c>
      <c r="H599" s="12" t="n">
        <f aca="false">G599^(-1/B599)-1</f>
        <v>0.0517528025</v>
      </c>
      <c r="I599" s="12" t="n">
        <f aca="false">(1+H599)^(1/12)-1</f>
        <v>0.00421369509431369</v>
      </c>
      <c r="J599" s="16" t="n">
        <f aca="false">IF(C599=0,(1+Dic2023!$M$6)^(-B599),EXP(LN(INDEX(Dic2023!$N$6:$N$205,C599))+(LN(INDEX(Dic2023!$N$6:$N$205,MIN(C599+1,200)))-LN(INDEX(Dic2023!$N$6:$N$205,C599)))*(A599-6*C599)/6))</f>
        <v>0.0819307260632449</v>
      </c>
      <c r="K599" s="12" t="n">
        <f aca="false">J599^(-1/B599)-1</f>
        <v>0.0517528025</v>
      </c>
      <c r="L599" s="12" t="n">
        <f aca="false">(1+K599)^(1/12)-1</f>
        <v>0.00421369509431369</v>
      </c>
    </row>
    <row r="600" customFormat="false" ht="15" hidden="false" customHeight="false" outlineLevel="0" collapsed="false">
      <c r="A600" s="4" t="n">
        <v>596</v>
      </c>
      <c r="B600" s="14" t="n">
        <f aca="false">A600/12</f>
        <v>49.6666666666667</v>
      </c>
      <c r="C600" s="15" t="n">
        <f aca="false">INT(A600/6)</f>
        <v>99</v>
      </c>
      <c r="D600" s="16" t="n">
        <f aca="false">IF(C600=0,(1+Dic2023!$G$6)^(-B600),EXP(LN(INDEX(Dic2023!$H$6:$H$205,C600))+(LN(INDEX(Dic2023!$H$6:$H$205,MIN(C600+1,200)))-LN(INDEX(Dic2023!$H$6:$H$205,C600)))*(A600-6*C600)/6))</f>
        <v>0.0815869435594085</v>
      </c>
      <c r="E600" s="12" t="n">
        <f aca="false">D600^(-1/B600)-1</f>
        <v>0.0517528025</v>
      </c>
      <c r="F600" s="12" t="n">
        <f aca="false">(1+E600)^(1/12)-1</f>
        <v>0.00421369509431369</v>
      </c>
      <c r="G600" s="16" t="n">
        <f aca="false">IF(C600=0,(1+Dic2023!$J$6)^(-B600),EXP(LN(INDEX(Dic2023!$K$6:$K$205,C600))+(LN(INDEX(Dic2023!$K$6:$K$205,MIN(C600+1,200)))-LN(INDEX(Dic2023!$K$6:$K$205,C600)))*(A600-6*C600)/6))</f>
        <v>0.0815869435594085</v>
      </c>
      <c r="H600" s="12" t="n">
        <f aca="false">G600^(-1/B600)-1</f>
        <v>0.0517528025</v>
      </c>
      <c r="I600" s="12" t="n">
        <f aca="false">(1+H600)^(1/12)-1</f>
        <v>0.00421369509431369</v>
      </c>
      <c r="J600" s="16" t="n">
        <f aca="false">IF(C600=0,(1+Dic2023!$M$6)^(-B600),EXP(LN(INDEX(Dic2023!$N$6:$N$205,C600))+(LN(INDEX(Dic2023!$N$6:$N$205,MIN(C600+1,200)))-LN(INDEX(Dic2023!$N$6:$N$205,C600)))*(A600-6*C600)/6))</f>
        <v>0.0815869435594085</v>
      </c>
      <c r="K600" s="12" t="n">
        <f aca="false">J600^(-1/B600)-1</f>
        <v>0.0517528025</v>
      </c>
      <c r="L600" s="12" t="n">
        <f aca="false">(1+K600)^(1/12)-1</f>
        <v>0.00421369509431369</v>
      </c>
    </row>
    <row r="601" customFormat="false" ht="15" hidden="false" customHeight="false" outlineLevel="0" collapsed="false">
      <c r="A601" s="4" t="n">
        <v>597</v>
      </c>
      <c r="B601" s="14" t="n">
        <f aca="false">A601/12</f>
        <v>49.75</v>
      </c>
      <c r="C601" s="15" t="n">
        <f aca="false">INT(A601/6)</f>
        <v>99</v>
      </c>
      <c r="D601" s="16" t="n">
        <f aca="false">IF(C601=0,(1+Dic2023!$G$6)^(-B601),EXP(LN(INDEX(Dic2023!$H$6:$H$205,C601))+(LN(INDEX(Dic2023!$H$6:$H$205,MIN(C601+1,200)))-LN(INDEX(Dic2023!$H$6:$H$205,C601)))*(A601-6*C601)/6))</f>
        <v>0.0812446035718982</v>
      </c>
      <c r="E601" s="12" t="n">
        <f aca="false">D601^(-1/B601)-1</f>
        <v>0.0517528025</v>
      </c>
      <c r="F601" s="12" t="n">
        <f aca="false">(1+E601)^(1/12)-1</f>
        <v>0.00421369509431369</v>
      </c>
      <c r="G601" s="16" t="n">
        <f aca="false">IF(C601=0,(1+Dic2023!$J$6)^(-B601),EXP(LN(INDEX(Dic2023!$K$6:$K$205,C601))+(LN(INDEX(Dic2023!$K$6:$K$205,MIN(C601+1,200)))-LN(INDEX(Dic2023!$K$6:$K$205,C601)))*(A601-6*C601)/6))</f>
        <v>0.0812446035718982</v>
      </c>
      <c r="H601" s="12" t="n">
        <f aca="false">G601^(-1/B601)-1</f>
        <v>0.0517528025</v>
      </c>
      <c r="I601" s="12" t="n">
        <f aca="false">(1+H601)^(1/12)-1</f>
        <v>0.00421369509431369</v>
      </c>
      <c r="J601" s="16" t="n">
        <f aca="false">IF(C601=0,(1+Dic2023!$M$6)^(-B601),EXP(LN(INDEX(Dic2023!$N$6:$N$205,C601))+(LN(INDEX(Dic2023!$N$6:$N$205,MIN(C601+1,200)))-LN(INDEX(Dic2023!$N$6:$N$205,C601)))*(A601-6*C601)/6))</f>
        <v>0.0812446035718982</v>
      </c>
      <c r="K601" s="12" t="n">
        <f aca="false">J601^(-1/B601)-1</f>
        <v>0.0517528025</v>
      </c>
      <c r="L601" s="12" t="n">
        <f aca="false">(1+K601)^(1/12)-1</f>
        <v>0.00421369509431369</v>
      </c>
    </row>
    <row r="602" customFormat="false" ht="15" hidden="false" customHeight="false" outlineLevel="0" collapsed="false">
      <c r="A602" s="4" t="n">
        <v>598</v>
      </c>
      <c r="B602" s="14" t="n">
        <f aca="false">A602/12</f>
        <v>49.8333333333333</v>
      </c>
      <c r="C602" s="15" t="n">
        <f aca="false">INT(A602/6)</f>
        <v>99</v>
      </c>
      <c r="D602" s="16" t="n">
        <f aca="false">IF(C602=0,(1+Dic2023!$G$6)^(-B602),EXP(LN(INDEX(Dic2023!$H$6:$H$205,C602))+(LN(INDEX(Dic2023!$H$6:$H$205,MIN(C602+1,200)))-LN(INDEX(Dic2023!$H$6:$H$205,C602)))*(A602-6*C602)/6))</f>
        <v>0.0809037000478945</v>
      </c>
      <c r="E602" s="12" t="n">
        <f aca="false">D602^(-1/B602)-1</f>
        <v>0.0517528025</v>
      </c>
      <c r="F602" s="12" t="n">
        <f aca="false">(1+E602)^(1/12)-1</f>
        <v>0.00421369509431369</v>
      </c>
      <c r="G602" s="16" t="n">
        <f aca="false">IF(C602=0,(1+Dic2023!$J$6)^(-B602),EXP(LN(INDEX(Dic2023!$K$6:$K$205,C602))+(LN(INDEX(Dic2023!$K$6:$K$205,MIN(C602+1,200)))-LN(INDEX(Dic2023!$K$6:$K$205,C602)))*(A602-6*C602)/6))</f>
        <v>0.0809037000478945</v>
      </c>
      <c r="H602" s="12" t="n">
        <f aca="false">G602^(-1/B602)-1</f>
        <v>0.0517528025</v>
      </c>
      <c r="I602" s="12" t="n">
        <f aca="false">(1+H602)^(1/12)-1</f>
        <v>0.00421369509431369</v>
      </c>
      <c r="J602" s="16" t="n">
        <f aca="false">IF(C602=0,(1+Dic2023!$M$6)^(-B602),EXP(LN(INDEX(Dic2023!$N$6:$N$205,C602))+(LN(INDEX(Dic2023!$N$6:$N$205,MIN(C602+1,200)))-LN(INDEX(Dic2023!$N$6:$N$205,C602)))*(A602-6*C602)/6))</f>
        <v>0.0809037000478945</v>
      </c>
      <c r="K602" s="12" t="n">
        <f aca="false">J602^(-1/B602)-1</f>
        <v>0.0517528025</v>
      </c>
      <c r="L602" s="12" t="n">
        <f aca="false">(1+K602)^(1/12)-1</f>
        <v>0.00421369509431369</v>
      </c>
    </row>
    <row r="603" customFormat="false" ht="15" hidden="false" customHeight="false" outlineLevel="0" collapsed="false">
      <c r="A603" s="4" t="n">
        <v>599</v>
      </c>
      <c r="B603" s="14" t="n">
        <f aca="false">A603/12</f>
        <v>49.9166666666667</v>
      </c>
      <c r="C603" s="15" t="n">
        <f aca="false">INT(A603/6)</f>
        <v>99</v>
      </c>
      <c r="D603" s="16" t="n">
        <f aca="false">IF(C603=0,(1+Dic2023!$G$6)^(-B603),EXP(LN(INDEX(Dic2023!$H$6:$H$205,C603))+(LN(INDEX(Dic2023!$H$6:$H$205,MIN(C603+1,200)))-LN(INDEX(Dic2023!$H$6:$H$205,C603)))*(A603-6*C603)/6))</f>
        <v>0.0805642269599761</v>
      </c>
      <c r="E603" s="12" t="n">
        <f aca="false">D603^(-1/B603)-1</f>
        <v>0.0517528025</v>
      </c>
      <c r="F603" s="12" t="n">
        <f aca="false">(1+E603)^(1/12)-1</f>
        <v>0.00421369509431369</v>
      </c>
      <c r="G603" s="16" t="n">
        <f aca="false">IF(C603=0,(1+Dic2023!$J$6)^(-B603),EXP(LN(INDEX(Dic2023!$K$6:$K$205,C603))+(LN(INDEX(Dic2023!$K$6:$K$205,MIN(C603+1,200)))-LN(INDEX(Dic2023!$K$6:$K$205,C603)))*(A603-6*C603)/6))</f>
        <v>0.0805642269599761</v>
      </c>
      <c r="H603" s="12" t="n">
        <f aca="false">G603^(-1/B603)-1</f>
        <v>0.0517528025</v>
      </c>
      <c r="I603" s="12" t="n">
        <f aca="false">(1+H603)^(1/12)-1</f>
        <v>0.00421369509431369</v>
      </c>
      <c r="J603" s="16" t="n">
        <f aca="false">IF(C603=0,(1+Dic2023!$M$6)^(-B603),EXP(LN(INDEX(Dic2023!$N$6:$N$205,C603))+(LN(INDEX(Dic2023!$N$6:$N$205,MIN(C603+1,200)))-LN(INDEX(Dic2023!$N$6:$N$205,C603)))*(A603-6*C603)/6))</f>
        <v>0.0805642269599761</v>
      </c>
      <c r="K603" s="12" t="n">
        <f aca="false">J603^(-1/B603)-1</f>
        <v>0.0517528025</v>
      </c>
      <c r="L603" s="12" t="n">
        <f aca="false">(1+K603)^(1/12)-1</f>
        <v>0.00421369509431369</v>
      </c>
    </row>
    <row r="604" customFormat="false" ht="15" hidden="false" customHeight="false" outlineLevel="0" collapsed="false">
      <c r="A604" s="4" t="n">
        <v>600</v>
      </c>
      <c r="B604" s="14" t="n">
        <f aca="false">A604/12</f>
        <v>50</v>
      </c>
      <c r="C604" s="15" t="n">
        <f aca="false">INT(A604/6)</f>
        <v>100</v>
      </c>
      <c r="D604" s="16" t="n">
        <f aca="false">IF(C604=0,(1+Dic2023!$G$6)^(-B604),EXP(LN(INDEX(Dic2023!$H$6:$H$205,C604))+(LN(INDEX(Dic2023!$H$6:$H$205,MIN(C604+1,200)))-LN(INDEX(Dic2023!$H$6:$H$205,C604)))*(A604-6*C604)/6))</f>
        <v>0.0802261783060125</v>
      </c>
      <c r="E604" s="12" t="n">
        <f aca="false">D604^(-1/B604)-1</f>
        <v>0.0517528025</v>
      </c>
      <c r="F604" s="12" t="n">
        <f aca="false">(1+E604)^(1/12)-1</f>
        <v>0.00421369509431369</v>
      </c>
      <c r="G604" s="16" t="n">
        <f aca="false">IF(C604=0,(1+Dic2023!$J$6)^(-B604),EXP(LN(INDEX(Dic2023!$K$6:$K$205,C604))+(LN(INDEX(Dic2023!$K$6:$K$205,MIN(C604+1,200)))-LN(INDEX(Dic2023!$K$6:$K$205,C604)))*(A604-6*C604)/6))</f>
        <v>0.0802261783060125</v>
      </c>
      <c r="H604" s="12" t="n">
        <f aca="false">G604^(-1/B604)-1</f>
        <v>0.0517528025</v>
      </c>
      <c r="I604" s="12" t="n">
        <f aca="false">(1+H604)^(1/12)-1</f>
        <v>0.00421369509431369</v>
      </c>
      <c r="J604" s="16" t="n">
        <f aca="false">IF(C604=0,(1+Dic2023!$M$6)^(-B604),EXP(LN(INDEX(Dic2023!$N$6:$N$205,C604))+(LN(INDEX(Dic2023!$N$6:$N$205,MIN(C604+1,200)))-LN(INDEX(Dic2023!$N$6:$N$205,C604)))*(A604-6*C604)/6))</f>
        <v>0.0802261783060125</v>
      </c>
      <c r="K604" s="12" t="n">
        <f aca="false">J604^(-1/B604)-1</f>
        <v>0.0517528025</v>
      </c>
      <c r="L604" s="12" t="n">
        <f aca="false">(1+K604)^(1/12)-1</f>
        <v>0.00421369509431369</v>
      </c>
    </row>
    <row r="605" customFormat="false" ht="15" hidden="false" customHeight="false" outlineLevel="0" collapsed="false">
      <c r="A605" s="4" t="n">
        <v>601</v>
      </c>
      <c r="B605" s="14" t="n">
        <f aca="false">A605/12</f>
        <v>50.0833333333333</v>
      </c>
      <c r="C605" s="15" t="n">
        <f aca="false">INT(A605/6)</f>
        <v>100</v>
      </c>
      <c r="D605" s="16" t="n">
        <f aca="false">IF(C605=0,(1+Dic2023!$G$6)^(-B605),EXP(LN(INDEX(Dic2023!$H$6:$H$205,C605))+(LN(INDEX(Dic2023!$H$6:$H$205,MIN(C605+1,200)))-LN(INDEX(Dic2023!$H$6:$H$205,C605)))*(A605-6*C605)/6))</f>
        <v>0.0798895481090584</v>
      </c>
      <c r="E605" s="12" t="n">
        <f aca="false">D605^(-1/B605)-1</f>
        <v>0.0517528025</v>
      </c>
      <c r="F605" s="12" t="n">
        <f aca="false">(1+E605)^(1/12)-1</f>
        <v>0.00421369509431369</v>
      </c>
      <c r="G605" s="16" t="n">
        <f aca="false">IF(C605=0,(1+Dic2023!$J$6)^(-B605),EXP(LN(INDEX(Dic2023!$K$6:$K$205,C605))+(LN(INDEX(Dic2023!$K$6:$K$205,MIN(C605+1,200)))-LN(INDEX(Dic2023!$K$6:$K$205,C605)))*(A605-6*C605)/6))</f>
        <v>0.0798895481090584</v>
      </c>
      <c r="H605" s="12" t="n">
        <f aca="false">G605^(-1/B605)-1</f>
        <v>0.0517528025</v>
      </c>
      <c r="I605" s="12" t="n">
        <f aca="false">(1+H605)^(1/12)-1</f>
        <v>0.00421369509431369</v>
      </c>
      <c r="J605" s="16" t="n">
        <f aca="false">IF(C605=0,(1+Dic2023!$M$6)^(-B605),EXP(LN(INDEX(Dic2023!$N$6:$N$205,C605))+(LN(INDEX(Dic2023!$N$6:$N$205,MIN(C605+1,200)))-LN(INDEX(Dic2023!$N$6:$N$205,C605)))*(A605-6*C605)/6))</f>
        <v>0.0798895481090584</v>
      </c>
      <c r="K605" s="12" t="n">
        <f aca="false">J605^(-1/B605)-1</f>
        <v>0.0517528025</v>
      </c>
      <c r="L605" s="12" t="n">
        <f aca="false">(1+K605)^(1/12)-1</f>
        <v>0.00421369509431369</v>
      </c>
    </row>
    <row r="606" customFormat="false" ht="15" hidden="false" customHeight="false" outlineLevel="0" collapsed="false">
      <c r="A606" s="4" t="n">
        <v>602</v>
      </c>
      <c r="B606" s="14" t="n">
        <f aca="false">A606/12</f>
        <v>50.1666666666667</v>
      </c>
      <c r="C606" s="15" t="n">
        <f aca="false">INT(A606/6)</f>
        <v>100</v>
      </c>
      <c r="D606" s="16" t="n">
        <f aca="false">IF(C606=0,(1+Dic2023!$G$6)^(-B606),EXP(LN(INDEX(Dic2023!$H$6:$H$205,C606))+(LN(INDEX(Dic2023!$H$6:$H$205,MIN(C606+1,200)))-LN(INDEX(Dic2023!$H$6:$H$205,C606)))*(A606-6*C606)/6))</f>
        <v>0.0795543304172478</v>
      </c>
      <c r="E606" s="12" t="n">
        <f aca="false">D606^(-1/B606)-1</f>
        <v>0.0517528025</v>
      </c>
      <c r="F606" s="12" t="n">
        <f aca="false">(1+E606)^(1/12)-1</f>
        <v>0.00421369509431369</v>
      </c>
      <c r="G606" s="16" t="n">
        <f aca="false">IF(C606=0,(1+Dic2023!$J$6)^(-B606),EXP(LN(INDEX(Dic2023!$K$6:$K$205,C606))+(LN(INDEX(Dic2023!$K$6:$K$205,MIN(C606+1,200)))-LN(INDEX(Dic2023!$K$6:$K$205,C606)))*(A606-6*C606)/6))</f>
        <v>0.0795543304172478</v>
      </c>
      <c r="H606" s="12" t="n">
        <f aca="false">G606^(-1/B606)-1</f>
        <v>0.0517528025</v>
      </c>
      <c r="I606" s="12" t="n">
        <f aca="false">(1+H606)^(1/12)-1</f>
        <v>0.00421369509431369</v>
      </c>
      <c r="J606" s="16" t="n">
        <f aca="false">IF(C606=0,(1+Dic2023!$M$6)^(-B606),EXP(LN(INDEX(Dic2023!$N$6:$N$205,C606))+(LN(INDEX(Dic2023!$N$6:$N$205,MIN(C606+1,200)))-LN(INDEX(Dic2023!$N$6:$N$205,C606)))*(A606-6*C606)/6))</f>
        <v>0.0795543304172478</v>
      </c>
      <c r="K606" s="12" t="n">
        <f aca="false">J606^(-1/B606)-1</f>
        <v>0.0517528025</v>
      </c>
      <c r="L606" s="12" t="n">
        <f aca="false">(1+K606)^(1/12)-1</f>
        <v>0.00421369509431369</v>
      </c>
    </row>
    <row r="607" customFormat="false" ht="15" hidden="false" customHeight="false" outlineLevel="0" collapsed="false">
      <c r="A607" s="4" t="n">
        <v>603</v>
      </c>
      <c r="B607" s="14" t="n">
        <f aca="false">A607/12</f>
        <v>50.25</v>
      </c>
      <c r="C607" s="15" t="n">
        <f aca="false">INT(A607/6)</f>
        <v>100</v>
      </c>
      <c r="D607" s="16" t="n">
        <f aca="false">IF(C607=0,(1+Dic2023!$G$6)^(-B607),EXP(LN(INDEX(Dic2023!$H$6:$H$205,C607))+(LN(INDEX(Dic2023!$H$6:$H$205,MIN(C607+1,200)))-LN(INDEX(Dic2023!$H$6:$H$205,C607)))*(A607-6*C607)/6))</f>
        <v>0.0792205193036889</v>
      </c>
      <c r="E607" s="12" t="n">
        <f aca="false">D607^(-1/B607)-1</f>
        <v>0.0517528025</v>
      </c>
      <c r="F607" s="12" t="n">
        <f aca="false">(1+E607)^(1/12)-1</f>
        <v>0.00421369509431369</v>
      </c>
      <c r="G607" s="16" t="n">
        <f aca="false">IF(C607=0,(1+Dic2023!$J$6)^(-B607),EXP(LN(INDEX(Dic2023!$K$6:$K$205,C607))+(LN(INDEX(Dic2023!$K$6:$K$205,MIN(C607+1,200)))-LN(INDEX(Dic2023!$K$6:$K$205,C607)))*(A607-6*C607)/6))</f>
        <v>0.0792205193036889</v>
      </c>
      <c r="H607" s="12" t="n">
        <f aca="false">G607^(-1/B607)-1</f>
        <v>0.0517528025</v>
      </c>
      <c r="I607" s="12" t="n">
        <f aca="false">(1+H607)^(1/12)-1</f>
        <v>0.00421369509431369</v>
      </c>
      <c r="J607" s="16" t="n">
        <f aca="false">IF(C607=0,(1+Dic2023!$M$6)^(-B607),EXP(LN(INDEX(Dic2023!$N$6:$N$205,C607))+(LN(INDEX(Dic2023!$N$6:$N$205,MIN(C607+1,200)))-LN(INDEX(Dic2023!$N$6:$N$205,C607)))*(A607-6*C607)/6))</f>
        <v>0.0792205193036889</v>
      </c>
      <c r="K607" s="12" t="n">
        <f aca="false">J607^(-1/B607)-1</f>
        <v>0.0517528025</v>
      </c>
      <c r="L607" s="12" t="n">
        <f aca="false">(1+K607)^(1/12)-1</f>
        <v>0.00421369509431369</v>
      </c>
    </row>
    <row r="608" customFormat="false" ht="15" hidden="false" customHeight="false" outlineLevel="0" collapsed="false">
      <c r="A608" s="4" t="n">
        <v>604</v>
      </c>
      <c r="B608" s="14" t="n">
        <f aca="false">A608/12</f>
        <v>50.3333333333333</v>
      </c>
      <c r="C608" s="15" t="n">
        <f aca="false">INT(A608/6)</f>
        <v>100</v>
      </c>
      <c r="D608" s="16" t="n">
        <f aca="false">IF(C608=0,(1+Dic2023!$G$6)^(-B608),EXP(LN(INDEX(Dic2023!$H$6:$H$205,C608))+(LN(INDEX(Dic2023!$H$6:$H$205,MIN(C608+1,200)))-LN(INDEX(Dic2023!$H$6:$H$205,C608)))*(A608-6*C608)/6))</f>
        <v>0.0788881088663591</v>
      </c>
      <c r="E608" s="12" t="n">
        <f aca="false">D608^(-1/B608)-1</f>
        <v>0.0517528025</v>
      </c>
      <c r="F608" s="12" t="n">
        <f aca="false">(1+E608)^(1/12)-1</f>
        <v>0.00421369509431369</v>
      </c>
      <c r="G608" s="16" t="n">
        <f aca="false">IF(C608=0,(1+Dic2023!$J$6)^(-B608),EXP(LN(INDEX(Dic2023!$K$6:$K$205,C608))+(LN(INDEX(Dic2023!$K$6:$K$205,MIN(C608+1,200)))-LN(INDEX(Dic2023!$K$6:$K$205,C608)))*(A608-6*C608)/6))</f>
        <v>0.0788881088663591</v>
      </c>
      <c r="H608" s="12" t="n">
        <f aca="false">G608^(-1/B608)-1</f>
        <v>0.0517528025</v>
      </c>
      <c r="I608" s="12" t="n">
        <f aca="false">(1+H608)^(1/12)-1</f>
        <v>0.00421369509431369</v>
      </c>
      <c r="J608" s="16" t="n">
        <f aca="false">IF(C608=0,(1+Dic2023!$M$6)^(-B608),EXP(LN(INDEX(Dic2023!$N$6:$N$205,C608))+(LN(INDEX(Dic2023!$N$6:$N$205,MIN(C608+1,200)))-LN(INDEX(Dic2023!$N$6:$N$205,C608)))*(A608-6*C608)/6))</f>
        <v>0.0788881088663591</v>
      </c>
      <c r="K608" s="12" t="n">
        <f aca="false">J608^(-1/B608)-1</f>
        <v>0.0517528025</v>
      </c>
      <c r="L608" s="12" t="n">
        <f aca="false">(1+K608)^(1/12)-1</f>
        <v>0.00421369509431369</v>
      </c>
    </row>
    <row r="609" customFormat="false" ht="15" hidden="false" customHeight="false" outlineLevel="0" collapsed="false">
      <c r="A609" s="4" t="n">
        <v>605</v>
      </c>
      <c r="B609" s="14" t="n">
        <f aca="false">A609/12</f>
        <v>50.4166666666667</v>
      </c>
      <c r="C609" s="15" t="n">
        <f aca="false">INT(A609/6)</f>
        <v>100</v>
      </c>
      <c r="D609" s="16" t="n">
        <f aca="false">IF(C609=0,(1+Dic2023!$G$6)^(-B609),EXP(LN(INDEX(Dic2023!$H$6:$H$205,C609))+(LN(INDEX(Dic2023!$H$6:$H$205,MIN(C609+1,200)))-LN(INDEX(Dic2023!$H$6:$H$205,C609)))*(A609-6*C609)/6))</f>
        <v>0.0785570932280007</v>
      </c>
      <c r="E609" s="12" t="n">
        <f aca="false">D609^(-1/B609)-1</f>
        <v>0.0517528025</v>
      </c>
      <c r="F609" s="12" t="n">
        <f aca="false">(1+E609)^(1/12)-1</f>
        <v>0.00421369509431369</v>
      </c>
      <c r="G609" s="16" t="n">
        <f aca="false">IF(C609=0,(1+Dic2023!$J$6)^(-B609),EXP(LN(INDEX(Dic2023!$K$6:$K$205,C609))+(LN(INDEX(Dic2023!$K$6:$K$205,MIN(C609+1,200)))-LN(INDEX(Dic2023!$K$6:$K$205,C609)))*(A609-6*C609)/6))</f>
        <v>0.0785570932280007</v>
      </c>
      <c r="H609" s="12" t="n">
        <f aca="false">G609^(-1/B609)-1</f>
        <v>0.0517528025</v>
      </c>
      <c r="I609" s="12" t="n">
        <f aca="false">(1+H609)^(1/12)-1</f>
        <v>0.00421369509431369</v>
      </c>
      <c r="J609" s="16" t="n">
        <f aca="false">IF(C609=0,(1+Dic2023!$M$6)^(-B609),EXP(LN(INDEX(Dic2023!$N$6:$N$205,C609))+(LN(INDEX(Dic2023!$N$6:$N$205,MIN(C609+1,200)))-LN(INDEX(Dic2023!$N$6:$N$205,C609)))*(A609-6*C609)/6))</f>
        <v>0.0785570932280007</v>
      </c>
      <c r="K609" s="12" t="n">
        <f aca="false">J609^(-1/B609)-1</f>
        <v>0.0517528025</v>
      </c>
      <c r="L609" s="12" t="n">
        <f aca="false">(1+K609)^(1/12)-1</f>
        <v>0.00421369509431369</v>
      </c>
    </row>
    <row r="610" customFormat="false" ht="15" hidden="false" customHeight="false" outlineLevel="0" collapsed="false">
      <c r="A610" s="4" t="n">
        <v>606</v>
      </c>
      <c r="B610" s="14" t="n">
        <f aca="false">A610/12</f>
        <v>50.5</v>
      </c>
      <c r="C610" s="15" t="n">
        <f aca="false">INT(A610/6)</f>
        <v>101</v>
      </c>
      <c r="D610" s="16" t="n">
        <f aca="false">IF(C610=0,(1+Dic2023!$G$6)^(-B610),EXP(LN(INDEX(Dic2023!$H$6:$H$205,C610))+(LN(INDEX(Dic2023!$H$6:$H$205,MIN(C610+1,200)))-LN(INDEX(Dic2023!$H$6:$H$205,C610)))*(A610-6*C610)/6))</f>
        <v>0.0782274665360173</v>
      </c>
      <c r="E610" s="12" t="n">
        <f aca="false">D610^(-1/B610)-1</f>
        <v>0.0517528025</v>
      </c>
      <c r="F610" s="12" t="n">
        <f aca="false">(1+E610)^(1/12)-1</f>
        <v>0.00421369509431369</v>
      </c>
      <c r="G610" s="16" t="n">
        <f aca="false">IF(C610=0,(1+Dic2023!$J$6)^(-B610),EXP(LN(INDEX(Dic2023!$K$6:$K$205,C610))+(LN(INDEX(Dic2023!$K$6:$K$205,MIN(C610+1,200)))-LN(INDEX(Dic2023!$K$6:$K$205,C610)))*(A610-6*C610)/6))</f>
        <v>0.0782274665360173</v>
      </c>
      <c r="H610" s="12" t="n">
        <f aca="false">G610^(-1/B610)-1</f>
        <v>0.0517528025</v>
      </c>
      <c r="I610" s="12" t="n">
        <f aca="false">(1+H610)^(1/12)-1</f>
        <v>0.00421369509431369</v>
      </c>
      <c r="J610" s="16" t="n">
        <f aca="false">IF(C610=0,(1+Dic2023!$M$6)^(-B610),EXP(LN(INDEX(Dic2023!$N$6:$N$205,C610))+(LN(INDEX(Dic2023!$N$6:$N$205,MIN(C610+1,200)))-LN(INDEX(Dic2023!$N$6:$N$205,C610)))*(A610-6*C610)/6))</f>
        <v>0.0782274665360173</v>
      </c>
      <c r="K610" s="12" t="n">
        <f aca="false">J610^(-1/B610)-1</f>
        <v>0.0517528025</v>
      </c>
      <c r="L610" s="12" t="n">
        <f aca="false">(1+K610)^(1/12)-1</f>
        <v>0.00421369509431369</v>
      </c>
    </row>
    <row r="611" customFormat="false" ht="15" hidden="false" customHeight="false" outlineLevel="0" collapsed="false">
      <c r="A611" s="4" t="n">
        <v>607</v>
      </c>
      <c r="B611" s="14" t="n">
        <f aca="false">A611/12</f>
        <v>50.5833333333333</v>
      </c>
      <c r="C611" s="15" t="n">
        <f aca="false">INT(A611/6)</f>
        <v>101</v>
      </c>
      <c r="D611" s="16" t="n">
        <f aca="false">IF(C611=0,(1+Dic2023!$G$6)^(-B611),EXP(LN(INDEX(Dic2023!$H$6:$H$205,C611))+(LN(INDEX(Dic2023!$H$6:$H$205,MIN(C611+1,200)))-LN(INDEX(Dic2023!$H$6:$H$205,C611)))*(A611-6*C611)/6))</f>
        <v>0.0778992229623699</v>
      </c>
      <c r="E611" s="12" t="n">
        <f aca="false">D611^(-1/B611)-1</f>
        <v>0.0517528025</v>
      </c>
      <c r="F611" s="12" t="n">
        <f aca="false">(1+E611)^(1/12)-1</f>
        <v>0.00421369509431369</v>
      </c>
      <c r="G611" s="16" t="n">
        <f aca="false">IF(C611=0,(1+Dic2023!$J$6)^(-B611),EXP(LN(INDEX(Dic2023!$K$6:$K$205,C611))+(LN(INDEX(Dic2023!$K$6:$K$205,MIN(C611+1,200)))-LN(INDEX(Dic2023!$K$6:$K$205,C611)))*(A611-6*C611)/6))</f>
        <v>0.0778992229623699</v>
      </c>
      <c r="H611" s="12" t="n">
        <f aca="false">G611^(-1/B611)-1</f>
        <v>0.0517528025</v>
      </c>
      <c r="I611" s="12" t="n">
        <f aca="false">(1+H611)^(1/12)-1</f>
        <v>0.00421369509431369</v>
      </c>
      <c r="J611" s="16" t="n">
        <f aca="false">IF(C611=0,(1+Dic2023!$M$6)^(-B611),EXP(LN(INDEX(Dic2023!$N$6:$N$205,C611))+(LN(INDEX(Dic2023!$N$6:$N$205,MIN(C611+1,200)))-LN(INDEX(Dic2023!$N$6:$N$205,C611)))*(A611-6*C611)/6))</f>
        <v>0.0778992229623699</v>
      </c>
      <c r="K611" s="12" t="n">
        <f aca="false">J611^(-1/B611)-1</f>
        <v>0.0517528025</v>
      </c>
      <c r="L611" s="12" t="n">
        <f aca="false">(1+K611)^(1/12)-1</f>
        <v>0.00421369509431369</v>
      </c>
    </row>
    <row r="612" customFormat="false" ht="15" hidden="false" customHeight="false" outlineLevel="0" collapsed="false">
      <c r="A612" s="4" t="n">
        <v>608</v>
      </c>
      <c r="B612" s="14" t="n">
        <f aca="false">A612/12</f>
        <v>50.6666666666667</v>
      </c>
      <c r="C612" s="15" t="n">
        <f aca="false">INT(A612/6)</f>
        <v>101</v>
      </c>
      <c r="D612" s="16" t="n">
        <f aca="false">IF(C612=0,(1+Dic2023!$G$6)^(-B612),EXP(LN(INDEX(Dic2023!$H$6:$H$205,C612))+(LN(INDEX(Dic2023!$H$6:$H$205,MIN(C612+1,200)))-LN(INDEX(Dic2023!$H$6:$H$205,C612)))*(A612-6*C612)/6))</f>
        <v>0.0775723567034741</v>
      </c>
      <c r="E612" s="12" t="n">
        <f aca="false">D612^(-1/B612)-1</f>
        <v>0.0517528025</v>
      </c>
      <c r="F612" s="12" t="n">
        <f aca="false">(1+E612)^(1/12)-1</f>
        <v>0.00421369509431369</v>
      </c>
      <c r="G612" s="16" t="n">
        <f aca="false">IF(C612=0,(1+Dic2023!$J$6)^(-B612),EXP(LN(INDEX(Dic2023!$K$6:$K$205,C612))+(LN(INDEX(Dic2023!$K$6:$K$205,MIN(C612+1,200)))-LN(INDEX(Dic2023!$K$6:$K$205,C612)))*(A612-6*C612)/6))</f>
        <v>0.0775723567034741</v>
      </c>
      <c r="H612" s="12" t="n">
        <f aca="false">G612^(-1/B612)-1</f>
        <v>0.0517528025</v>
      </c>
      <c r="I612" s="12" t="n">
        <f aca="false">(1+H612)^(1/12)-1</f>
        <v>0.00421369509431369</v>
      </c>
      <c r="J612" s="16" t="n">
        <f aca="false">IF(C612=0,(1+Dic2023!$M$6)^(-B612),EXP(LN(INDEX(Dic2023!$N$6:$N$205,C612))+(LN(INDEX(Dic2023!$N$6:$N$205,MIN(C612+1,200)))-LN(INDEX(Dic2023!$N$6:$N$205,C612)))*(A612-6*C612)/6))</f>
        <v>0.0775723567034741</v>
      </c>
      <c r="K612" s="12" t="n">
        <f aca="false">J612^(-1/B612)-1</f>
        <v>0.0517528025</v>
      </c>
      <c r="L612" s="12" t="n">
        <f aca="false">(1+K612)^(1/12)-1</f>
        <v>0.00421369509431369</v>
      </c>
    </row>
    <row r="613" customFormat="false" ht="15" hidden="false" customHeight="false" outlineLevel="0" collapsed="false">
      <c r="A613" s="4" t="n">
        <v>609</v>
      </c>
      <c r="B613" s="14" t="n">
        <f aca="false">A613/12</f>
        <v>50.75</v>
      </c>
      <c r="C613" s="15" t="n">
        <f aca="false">INT(A613/6)</f>
        <v>101</v>
      </c>
      <c r="D613" s="16" t="n">
        <f aca="false">IF(C613=0,(1+Dic2023!$G$6)^(-B613),EXP(LN(INDEX(Dic2023!$H$6:$H$205,C613))+(LN(INDEX(Dic2023!$H$6:$H$205,MIN(C613+1,200)))-LN(INDEX(Dic2023!$H$6:$H$205,C613)))*(A613-6*C613)/6))</f>
        <v>0.0772468619800974</v>
      </c>
      <c r="E613" s="12" t="n">
        <f aca="false">D613^(-1/B613)-1</f>
        <v>0.0517528025</v>
      </c>
      <c r="F613" s="12" t="n">
        <f aca="false">(1+E613)^(1/12)-1</f>
        <v>0.00421369509431369</v>
      </c>
      <c r="G613" s="16" t="n">
        <f aca="false">IF(C613=0,(1+Dic2023!$J$6)^(-B613),EXP(LN(INDEX(Dic2023!$K$6:$K$205,C613))+(LN(INDEX(Dic2023!$K$6:$K$205,MIN(C613+1,200)))-LN(INDEX(Dic2023!$K$6:$K$205,C613)))*(A613-6*C613)/6))</f>
        <v>0.0772468619800974</v>
      </c>
      <c r="H613" s="12" t="n">
        <f aca="false">G613^(-1/B613)-1</f>
        <v>0.0517528025</v>
      </c>
      <c r="I613" s="12" t="n">
        <f aca="false">(1+H613)^(1/12)-1</f>
        <v>0.00421369509431369</v>
      </c>
      <c r="J613" s="16" t="n">
        <f aca="false">IF(C613=0,(1+Dic2023!$M$6)^(-B613),EXP(LN(INDEX(Dic2023!$N$6:$N$205,C613))+(LN(INDEX(Dic2023!$N$6:$N$205,MIN(C613+1,200)))-LN(INDEX(Dic2023!$N$6:$N$205,C613)))*(A613-6*C613)/6))</f>
        <v>0.0772468619800974</v>
      </c>
      <c r="K613" s="12" t="n">
        <f aca="false">J613^(-1/B613)-1</f>
        <v>0.0517528025</v>
      </c>
      <c r="L613" s="12" t="n">
        <f aca="false">(1+K613)^(1/12)-1</f>
        <v>0.00421369509431369</v>
      </c>
    </row>
    <row r="614" customFormat="false" ht="15" hidden="false" customHeight="false" outlineLevel="0" collapsed="false">
      <c r="A614" s="4" t="n">
        <v>610</v>
      </c>
      <c r="B614" s="14" t="n">
        <f aca="false">A614/12</f>
        <v>50.8333333333333</v>
      </c>
      <c r="C614" s="15" t="n">
        <f aca="false">INT(A614/6)</f>
        <v>101</v>
      </c>
      <c r="D614" s="16" t="n">
        <f aca="false">IF(C614=0,(1+Dic2023!$G$6)^(-B614),EXP(LN(INDEX(Dic2023!$H$6:$H$205,C614))+(LN(INDEX(Dic2023!$H$6:$H$205,MIN(C614+1,200)))-LN(INDEX(Dic2023!$H$6:$H$205,C614)))*(A614-6*C614)/6))</f>
        <v>0.0769227330372571</v>
      </c>
      <c r="E614" s="12" t="n">
        <f aca="false">D614^(-1/B614)-1</f>
        <v>0.0517528025</v>
      </c>
      <c r="F614" s="12" t="n">
        <f aca="false">(1+E614)^(1/12)-1</f>
        <v>0.00421369509431369</v>
      </c>
      <c r="G614" s="16" t="n">
        <f aca="false">IF(C614=0,(1+Dic2023!$J$6)^(-B614),EXP(LN(INDEX(Dic2023!$K$6:$K$205,C614))+(LN(INDEX(Dic2023!$K$6:$K$205,MIN(C614+1,200)))-LN(INDEX(Dic2023!$K$6:$K$205,C614)))*(A614-6*C614)/6))</f>
        <v>0.0769227330372571</v>
      </c>
      <c r="H614" s="12" t="n">
        <f aca="false">G614^(-1/B614)-1</f>
        <v>0.0517528025</v>
      </c>
      <c r="I614" s="12" t="n">
        <f aca="false">(1+H614)^(1/12)-1</f>
        <v>0.00421369509431369</v>
      </c>
      <c r="J614" s="16" t="n">
        <f aca="false">IF(C614=0,(1+Dic2023!$M$6)^(-B614),EXP(LN(INDEX(Dic2023!$N$6:$N$205,C614))+(LN(INDEX(Dic2023!$N$6:$N$205,MIN(C614+1,200)))-LN(INDEX(Dic2023!$N$6:$N$205,C614)))*(A614-6*C614)/6))</f>
        <v>0.0769227330372571</v>
      </c>
      <c r="K614" s="12" t="n">
        <f aca="false">J614^(-1/B614)-1</f>
        <v>0.0517528025</v>
      </c>
      <c r="L614" s="12" t="n">
        <f aca="false">(1+K614)^(1/12)-1</f>
        <v>0.00421369509431369</v>
      </c>
    </row>
    <row r="615" customFormat="false" ht="15" hidden="false" customHeight="false" outlineLevel="0" collapsed="false">
      <c r="A615" s="4" t="n">
        <v>611</v>
      </c>
      <c r="B615" s="14" t="n">
        <f aca="false">A615/12</f>
        <v>50.9166666666667</v>
      </c>
      <c r="C615" s="15" t="n">
        <f aca="false">INT(A615/6)</f>
        <v>101</v>
      </c>
      <c r="D615" s="16" t="n">
        <f aca="false">IF(C615=0,(1+Dic2023!$G$6)^(-B615),EXP(LN(INDEX(Dic2023!$H$6:$H$205,C615))+(LN(INDEX(Dic2023!$H$6:$H$205,MIN(C615+1,200)))-LN(INDEX(Dic2023!$H$6:$H$205,C615)))*(A615-6*C615)/6))</f>
        <v>0.0765999641441185</v>
      </c>
      <c r="E615" s="12" t="n">
        <f aca="false">D615^(-1/B615)-1</f>
        <v>0.0517528025</v>
      </c>
      <c r="F615" s="12" t="n">
        <f aca="false">(1+E615)^(1/12)-1</f>
        <v>0.00421369509431369</v>
      </c>
      <c r="G615" s="16" t="n">
        <f aca="false">IF(C615=0,(1+Dic2023!$J$6)^(-B615),EXP(LN(INDEX(Dic2023!$K$6:$K$205,C615))+(LN(INDEX(Dic2023!$K$6:$K$205,MIN(C615+1,200)))-LN(INDEX(Dic2023!$K$6:$K$205,C615)))*(A615-6*C615)/6))</f>
        <v>0.0765999641441185</v>
      </c>
      <c r="H615" s="12" t="n">
        <f aca="false">G615^(-1/B615)-1</f>
        <v>0.0517528025</v>
      </c>
      <c r="I615" s="12" t="n">
        <f aca="false">(1+H615)^(1/12)-1</f>
        <v>0.00421369509431369</v>
      </c>
      <c r="J615" s="16" t="n">
        <f aca="false">IF(C615=0,(1+Dic2023!$M$6)^(-B615),EXP(LN(INDEX(Dic2023!$N$6:$N$205,C615))+(LN(INDEX(Dic2023!$N$6:$N$205,MIN(C615+1,200)))-LN(INDEX(Dic2023!$N$6:$N$205,C615)))*(A615-6*C615)/6))</f>
        <v>0.0765999641441185</v>
      </c>
      <c r="K615" s="12" t="n">
        <f aca="false">J615^(-1/B615)-1</f>
        <v>0.0517528025</v>
      </c>
      <c r="L615" s="12" t="n">
        <f aca="false">(1+K615)^(1/12)-1</f>
        <v>0.00421369509431369</v>
      </c>
    </row>
    <row r="616" customFormat="false" ht="15" hidden="false" customHeight="false" outlineLevel="0" collapsed="false">
      <c r="A616" s="4" t="n">
        <v>612</v>
      </c>
      <c r="B616" s="14" t="n">
        <f aca="false">A616/12</f>
        <v>51</v>
      </c>
      <c r="C616" s="15" t="n">
        <f aca="false">INT(A616/6)</f>
        <v>102</v>
      </c>
      <c r="D616" s="16" t="n">
        <f aca="false">IF(C616=0,(1+Dic2023!$G$6)^(-B616),EXP(LN(INDEX(Dic2023!$H$6:$H$205,C616))+(LN(INDEX(Dic2023!$H$6:$H$205,MIN(C616+1,200)))-LN(INDEX(Dic2023!$H$6:$H$205,C616)))*(A616-6*C616)/6))</f>
        <v>0.0762785495938933</v>
      </c>
      <c r="E616" s="12" t="n">
        <f aca="false">D616^(-1/B616)-1</f>
        <v>0.0517528025</v>
      </c>
      <c r="F616" s="12" t="n">
        <f aca="false">(1+E616)^(1/12)-1</f>
        <v>0.00421369509431369</v>
      </c>
      <c r="G616" s="16" t="n">
        <f aca="false">IF(C616=0,(1+Dic2023!$J$6)^(-B616),EXP(LN(INDEX(Dic2023!$K$6:$K$205,C616))+(LN(INDEX(Dic2023!$K$6:$K$205,MIN(C616+1,200)))-LN(INDEX(Dic2023!$K$6:$K$205,C616)))*(A616-6*C616)/6))</f>
        <v>0.0762785495938933</v>
      </c>
      <c r="H616" s="12" t="n">
        <f aca="false">G616^(-1/B616)-1</f>
        <v>0.0517528025</v>
      </c>
      <c r="I616" s="12" t="n">
        <f aca="false">(1+H616)^(1/12)-1</f>
        <v>0.00421369509431369</v>
      </c>
      <c r="J616" s="16" t="n">
        <f aca="false">IF(C616=0,(1+Dic2023!$M$6)^(-B616),EXP(LN(INDEX(Dic2023!$N$6:$N$205,C616))+(LN(INDEX(Dic2023!$N$6:$N$205,MIN(C616+1,200)))-LN(INDEX(Dic2023!$N$6:$N$205,C616)))*(A616-6*C616)/6))</f>
        <v>0.0762785495938933</v>
      </c>
      <c r="K616" s="12" t="n">
        <f aca="false">J616^(-1/B616)-1</f>
        <v>0.0517528025</v>
      </c>
      <c r="L616" s="12" t="n">
        <f aca="false">(1+K616)^(1/12)-1</f>
        <v>0.00421369509431369</v>
      </c>
    </row>
    <row r="617" customFormat="false" ht="15" hidden="false" customHeight="false" outlineLevel="0" collapsed="false">
      <c r="A617" s="4" t="n">
        <v>613</v>
      </c>
      <c r="B617" s="14" t="n">
        <f aca="false">A617/12</f>
        <v>51.0833333333333</v>
      </c>
      <c r="C617" s="15" t="n">
        <f aca="false">INT(A617/6)</f>
        <v>102</v>
      </c>
      <c r="D617" s="16" t="n">
        <f aca="false">IF(C617=0,(1+Dic2023!$G$6)^(-B617),EXP(LN(INDEX(Dic2023!$H$6:$H$205,C617))+(LN(INDEX(Dic2023!$H$6:$H$205,MIN(C617+1,200)))-LN(INDEX(Dic2023!$H$6:$H$205,C617)))*(A617-6*C617)/6))</f>
        <v>0.0759584837037394</v>
      </c>
      <c r="E617" s="12" t="n">
        <f aca="false">D617^(-1/B617)-1</f>
        <v>0.0517528025</v>
      </c>
      <c r="F617" s="12" t="n">
        <f aca="false">(1+E617)^(1/12)-1</f>
        <v>0.00421369509431369</v>
      </c>
      <c r="G617" s="16" t="n">
        <f aca="false">IF(C617=0,(1+Dic2023!$J$6)^(-B617),EXP(LN(INDEX(Dic2023!$K$6:$K$205,C617))+(LN(INDEX(Dic2023!$K$6:$K$205,MIN(C617+1,200)))-LN(INDEX(Dic2023!$K$6:$K$205,C617)))*(A617-6*C617)/6))</f>
        <v>0.0759584837037394</v>
      </c>
      <c r="H617" s="12" t="n">
        <f aca="false">G617^(-1/B617)-1</f>
        <v>0.0517528025</v>
      </c>
      <c r="I617" s="12" t="n">
        <f aca="false">(1+H617)^(1/12)-1</f>
        <v>0.00421369509431369</v>
      </c>
      <c r="J617" s="16" t="n">
        <f aca="false">IF(C617=0,(1+Dic2023!$M$6)^(-B617),EXP(LN(INDEX(Dic2023!$N$6:$N$205,C617))+(LN(INDEX(Dic2023!$N$6:$N$205,MIN(C617+1,200)))-LN(INDEX(Dic2023!$N$6:$N$205,C617)))*(A617-6*C617)/6))</f>
        <v>0.0759584837037394</v>
      </c>
      <c r="K617" s="12" t="n">
        <f aca="false">J617^(-1/B617)-1</f>
        <v>0.0517528025</v>
      </c>
      <c r="L617" s="12" t="n">
        <f aca="false">(1+K617)^(1/12)-1</f>
        <v>0.00421369509431369</v>
      </c>
    </row>
    <row r="618" customFormat="false" ht="15" hidden="false" customHeight="false" outlineLevel="0" collapsed="false">
      <c r="A618" s="4" t="n">
        <v>614</v>
      </c>
      <c r="B618" s="14" t="n">
        <f aca="false">A618/12</f>
        <v>51.1666666666667</v>
      </c>
      <c r="C618" s="15" t="n">
        <f aca="false">INT(A618/6)</f>
        <v>102</v>
      </c>
      <c r="D618" s="16" t="n">
        <f aca="false">IF(C618=0,(1+Dic2023!$G$6)^(-B618),EXP(LN(INDEX(Dic2023!$H$6:$H$205,C618))+(LN(INDEX(Dic2023!$H$6:$H$205,MIN(C618+1,200)))-LN(INDEX(Dic2023!$H$6:$H$205,C618)))*(A618-6*C618)/6))</f>
        <v>0.0756397608146595</v>
      </c>
      <c r="E618" s="12" t="n">
        <f aca="false">D618^(-1/B618)-1</f>
        <v>0.0517528025</v>
      </c>
      <c r="F618" s="12" t="n">
        <f aca="false">(1+E618)^(1/12)-1</f>
        <v>0.00421369509431369</v>
      </c>
      <c r="G618" s="16" t="n">
        <f aca="false">IF(C618=0,(1+Dic2023!$J$6)^(-B618),EXP(LN(INDEX(Dic2023!$K$6:$K$205,C618))+(LN(INDEX(Dic2023!$K$6:$K$205,MIN(C618+1,200)))-LN(INDEX(Dic2023!$K$6:$K$205,C618)))*(A618-6*C618)/6))</f>
        <v>0.0756397608146595</v>
      </c>
      <c r="H618" s="12" t="n">
        <f aca="false">G618^(-1/B618)-1</f>
        <v>0.0517528025</v>
      </c>
      <c r="I618" s="12" t="n">
        <f aca="false">(1+H618)^(1/12)-1</f>
        <v>0.00421369509431369</v>
      </c>
      <c r="J618" s="16" t="n">
        <f aca="false">IF(C618=0,(1+Dic2023!$M$6)^(-B618),EXP(LN(INDEX(Dic2023!$N$6:$N$205,C618))+(LN(INDEX(Dic2023!$N$6:$N$205,MIN(C618+1,200)))-LN(INDEX(Dic2023!$N$6:$N$205,C618)))*(A618-6*C618)/6))</f>
        <v>0.0756397608146595</v>
      </c>
      <c r="K618" s="12" t="n">
        <f aca="false">J618^(-1/B618)-1</f>
        <v>0.0517528025</v>
      </c>
      <c r="L618" s="12" t="n">
        <f aca="false">(1+K618)^(1/12)-1</f>
        <v>0.00421369509431369</v>
      </c>
    </row>
    <row r="619" customFormat="false" ht="15" hidden="false" customHeight="false" outlineLevel="0" collapsed="false">
      <c r="A619" s="4" t="n">
        <v>615</v>
      </c>
      <c r="B619" s="14" t="n">
        <f aca="false">A619/12</f>
        <v>51.25</v>
      </c>
      <c r="C619" s="15" t="n">
        <f aca="false">INT(A619/6)</f>
        <v>102</v>
      </c>
      <c r="D619" s="16" t="n">
        <f aca="false">IF(C619=0,(1+Dic2023!$G$6)^(-B619),EXP(LN(INDEX(Dic2023!$H$6:$H$205,C619))+(LN(INDEX(Dic2023!$H$6:$H$205,MIN(C619+1,200)))-LN(INDEX(Dic2023!$H$6:$H$205,C619)))*(A619-6*C619)/6))</f>
        <v>0.0753223752914021</v>
      </c>
      <c r="E619" s="12" t="n">
        <f aca="false">D619^(-1/B619)-1</f>
        <v>0.0517528025</v>
      </c>
      <c r="F619" s="12" t="n">
        <f aca="false">(1+E619)^(1/12)-1</f>
        <v>0.00421369509431369</v>
      </c>
      <c r="G619" s="16" t="n">
        <f aca="false">IF(C619=0,(1+Dic2023!$J$6)^(-B619),EXP(LN(INDEX(Dic2023!$K$6:$K$205,C619))+(LN(INDEX(Dic2023!$K$6:$K$205,MIN(C619+1,200)))-LN(INDEX(Dic2023!$K$6:$K$205,C619)))*(A619-6*C619)/6))</f>
        <v>0.0753223752914021</v>
      </c>
      <c r="H619" s="12" t="n">
        <f aca="false">G619^(-1/B619)-1</f>
        <v>0.0517528025</v>
      </c>
      <c r="I619" s="12" t="n">
        <f aca="false">(1+H619)^(1/12)-1</f>
        <v>0.00421369509431369</v>
      </c>
      <c r="J619" s="16" t="n">
        <f aca="false">IF(C619=0,(1+Dic2023!$M$6)^(-B619),EXP(LN(INDEX(Dic2023!$N$6:$N$205,C619))+(LN(INDEX(Dic2023!$N$6:$N$205,MIN(C619+1,200)))-LN(INDEX(Dic2023!$N$6:$N$205,C619)))*(A619-6*C619)/6))</f>
        <v>0.0753223752914021</v>
      </c>
      <c r="K619" s="12" t="n">
        <f aca="false">J619^(-1/B619)-1</f>
        <v>0.0517528025</v>
      </c>
      <c r="L619" s="12" t="n">
        <f aca="false">(1+K619)^(1/12)-1</f>
        <v>0.00421369509431369</v>
      </c>
    </row>
    <row r="620" customFormat="false" ht="15" hidden="false" customHeight="false" outlineLevel="0" collapsed="false">
      <c r="A620" s="4" t="n">
        <v>616</v>
      </c>
      <c r="B620" s="14" t="n">
        <f aca="false">A620/12</f>
        <v>51.3333333333333</v>
      </c>
      <c r="C620" s="15" t="n">
        <f aca="false">INT(A620/6)</f>
        <v>102</v>
      </c>
      <c r="D620" s="16" t="n">
        <f aca="false">IF(C620=0,(1+Dic2023!$G$6)^(-B620),EXP(LN(INDEX(Dic2023!$H$6:$H$205,C620))+(LN(INDEX(Dic2023!$H$6:$H$205,MIN(C620+1,200)))-LN(INDEX(Dic2023!$H$6:$H$205,C620)))*(A620-6*C620)/6))</f>
        <v>0.0750063215223608</v>
      </c>
      <c r="E620" s="12" t="n">
        <f aca="false">D620^(-1/B620)-1</f>
        <v>0.0517528025</v>
      </c>
      <c r="F620" s="12" t="n">
        <f aca="false">(1+E620)^(1/12)-1</f>
        <v>0.00421369509431369</v>
      </c>
      <c r="G620" s="16" t="n">
        <f aca="false">IF(C620=0,(1+Dic2023!$J$6)^(-B620),EXP(LN(INDEX(Dic2023!$K$6:$K$205,C620))+(LN(INDEX(Dic2023!$K$6:$K$205,MIN(C620+1,200)))-LN(INDEX(Dic2023!$K$6:$K$205,C620)))*(A620-6*C620)/6))</f>
        <v>0.0750063215223608</v>
      </c>
      <c r="H620" s="12" t="n">
        <f aca="false">G620^(-1/B620)-1</f>
        <v>0.0517528025</v>
      </c>
      <c r="I620" s="12" t="n">
        <f aca="false">(1+H620)^(1/12)-1</f>
        <v>0.00421369509431369</v>
      </c>
      <c r="J620" s="16" t="n">
        <f aca="false">IF(C620=0,(1+Dic2023!$M$6)^(-B620),EXP(LN(INDEX(Dic2023!$N$6:$N$205,C620))+(LN(INDEX(Dic2023!$N$6:$N$205,MIN(C620+1,200)))-LN(INDEX(Dic2023!$N$6:$N$205,C620)))*(A620-6*C620)/6))</f>
        <v>0.0750063215223608</v>
      </c>
      <c r="K620" s="12" t="n">
        <f aca="false">J620^(-1/B620)-1</f>
        <v>0.0517528025</v>
      </c>
      <c r="L620" s="12" t="n">
        <f aca="false">(1+K620)^(1/12)-1</f>
        <v>0.00421369509431369</v>
      </c>
    </row>
    <row r="621" customFormat="false" ht="15" hidden="false" customHeight="false" outlineLevel="0" collapsed="false">
      <c r="A621" s="4" t="n">
        <v>617</v>
      </c>
      <c r="B621" s="14" t="n">
        <f aca="false">A621/12</f>
        <v>51.4166666666667</v>
      </c>
      <c r="C621" s="15" t="n">
        <f aca="false">INT(A621/6)</f>
        <v>102</v>
      </c>
      <c r="D621" s="16" t="n">
        <f aca="false">IF(C621=0,(1+Dic2023!$G$6)^(-B621),EXP(LN(INDEX(Dic2023!$H$6:$H$205,C621))+(LN(INDEX(Dic2023!$H$6:$H$205,MIN(C621+1,200)))-LN(INDEX(Dic2023!$H$6:$H$205,C621)))*(A621-6*C621)/6))</f>
        <v>0.0746915939194758</v>
      </c>
      <c r="E621" s="12" t="n">
        <f aca="false">D621^(-1/B621)-1</f>
        <v>0.0517528025</v>
      </c>
      <c r="F621" s="12" t="n">
        <f aca="false">(1+E621)^(1/12)-1</f>
        <v>0.00421369509431369</v>
      </c>
      <c r="G621" s="16" t="n">
        <f aca="false">IF(C621=0,(1+Dic2023!$J$6)^(-B621),EXP(LN(INDEX(Dic2023!$K$6:$K$205,C621))+(LN(INDEX(Dic2023!$K$6:$K$205,MIN(C621+1,200)))-LN(INDEX(Dic2023!$K$6:$K$205,C621)))*(A621-6*C621)/6))</f>
        <v>0.0746915939194758</v>
      </c>
      <c r="H621" s="12" t="n">
        <f aca="false">G621^(-1/B621)-1</f>
        <v>0.0517528025</v>
      </c>
      <c r="I621" s="12" t="n">
        <f aca="false">(1+H621)^(1/12)-1</f>
        <v>0.00421369509431369</v>
      </c>
      <c r="J621" s="16" t="n">
        <f aca="false">IF(C621=0,(1+Dic2023!$M$6)^(-B621),EXP(LN(INDEX(Dic2023!$N$6:$N$205,C621))+(LN(INDEX(Dic2023!$N$6:$N$205,MIN(C621+1,200)))-LN(INDEX(Dic2023!$N$6:$N$205,C621)))*(A621-6*C621)/6))</f>
        <v>0.0746915939194758</v>
      </c>
      <c r="K621" s="12" t="n">
        <f aca="false">J621^(-1/B621)-1</f>
        <v>0.0517528025</v>
      </c>
      <c r="L621" s="12" t="n">
        <f aca="false">(1+K621)^(1/12)-1</f>
        <v>0.00421369509431369</v>
      </c>
    </row>
    <row r="622" customFormat="false" ht="15" hidden="false" customHeight="false" outlineLevel="0" collapsed="false">
      <c r="A622" s="4" t="n">
        <v>618</v>
      </c>
      <c r="B622" s="14" t="n">
        <f aca="false">A622/12</f>
        <v>51.5</v>
      </c>
      <c r="C622" s="15" t="n">
        <f aca="false">INT(A622/6)</f>
        <v>103</v>
      </c>
      <c r="D622" s="16" t="n">
        <f aca="false">IF(C622=0,(1+Dic2023!$G$6)^(-B622),EXP(LN(INDEX(Dic2023!$H$6:$H$205,C622))+(LN(INDEX(Dic2023!$H$6:$H$205,MIN(C622+1,200)))-LN(INDEX(Dic2023!$H$6:$H$205,C622)))*(A622-6*C622)/6))</f>
        <v>0.074378186918135</v>
      </c>
      <c r="E622" s="12" t="n">
        <f aca="false">D622^(-1/B622)-1</f>
        <v>0.0517528025</v>
      </c>
      <c r="F622" s="12" t="n">
        <f aca="false">(1+E622)^(1/12)-1</f>
        <v>0.00421369509431369</v>
      </c>
      <c r="G622" s="16" t="n">
        <f aca="false">IF(C622=0,(1+Dic2023!$J$6)^(-B622),EXP(LN(INDEX(Dic2023!$K$6:$K$205,C622))+(LN(INDEX(Dic2023!$K$6:$K$205,MIN(C622+1,200)))-LN(INDEX(Dic2023!$K$6:$K$205,C622)))*(A622-6*C622)/6))</f>
        <v>0.074378186918135</v>
      </c>
      <c r="H622" s="12" t="n">
        <f aca="false">G622^(-1/B622)-1</f>
        <v>0.0517528025</v>
      </c>
      <c r="I622" s="12" t="n">
        <f aca="false">(1+H622)^(1/12)-1</f>
        <v>0.00421369509431369</v>
      </c>
      <c r="J622" s="16" t="n">
        <f aca="false">IF(C622=0,(1+Dic2023!$M$6)^(-B622),EXP(LN(INDEX(Dic2023!$N$6:$N$205,C622))+(LN(INDEX(Dic2023!$N$6:$N$205,MIN(C622+1,200)))-LN(INDEX(Dic2023!$N$6:$N$205,C622)))*(A622-6*C622)/6))</f>
        <v>0.074378186918135</v>
      </c>
      <c r="K622" s="12" t="n">
        <f aca="false">J622^(-1/B622)-1</f>
        <v>0.0517528025</v>
      </c>
      <c r="L622" s="12" t="n">
        <f aca="false">(1+K622)^(1/12)-1</f>
        <v>0.00421369509431369</v>
      </c>
    </row>
    <row r="623" customFormat="false" ht="15" hidden="false" customHeight="false" outlineLevel="0" collapsed="false">
      <c r="A623" s="4" t="n">
        <v>619</v>
      </c>
      <c r="B623" s="14" t="n">
        <f aca="false">A623/12</f>
        <v>51.5833333333333</v>
      </c>
      <c r="C623" s="15" t="n">
        <f aca="false">INT(A623/6)</f>
        <v>103</v>
      </c>
      <c r="D623" s="16" t="n">
        <f aca="false">IF(C623=0,(1+Dic2023!$G$6)^(-B623),EXP(LN(INDEX(Dic2023!$H$6:$H$205,C623))+(LN(INDEX(Dic2023!$H$6:$H$205,MIN(C623+1,200)))-LN(INDEX(Dic2023!$H$6:$H$205,C623)))*(A623-6*C623)/6))</f>
        <v>0.0740660949770751</v>
      </c>
      <c r="E623" s="12" t="n">
        <f aca="false">D623^(-1/B623)-1</f>
        <v>0.0517528025</v>
      </c>
      <c r="F623" s="12" t="n">
        <f aca="false">(1+E623)^(1/12)-1</f>
        <v>0.00421369509431369</v>
      </c>
      <c r="G623" s="16" t="n">
        <f aca="false">IF(C623=0,(1+Dic2023!$J$6)^(-B623),EXP(LN(INDEX(Dic2023!$K$6:$K$205,C623))+(LN(INDEX(Dic2023!$K$6:$K$205,MIN(C623+1,200)))-LN(INDEX(Dic2023!$K$6:$K$205,C623)))*(A623-6*C623)/6))</f>
        <v>0.0740660949770751</v>
      </c>
      <c r="H623" s="12" t="n">
        <f aca="false">G623^(-1/B623)-1</f>
        <v>0.0517528025</v>
      </c>
      <c r="I623" s="12" t="n">
        <f aca="false">(1+H623)^(1/12)-1</f>
        <v>0.00421369509431369</v>
      </c>
      <c r="J623" s="16" t="n">
        <f aca="false">IF(C623=0,(1+Dic2023!$M$6)^(-B623),EXP(LN(INDEX(Dic2023!$N$6:$N$205,C623))+(LN(INDEX(Dic2023!$N$6:$N$205,MIN(C623+1,200)))-LN(INDEX(Dic2023!$N$6:$N$205,C623)))*(A623-6*C623)/6))</f>
        <v>0.0740660949770751</v>
      </c>
      <c r="K623" s="12" t="n">
        <f aca="false">J623^(-1/B623)-1</f>
        <v>0.0517528025</v>
      </c>
      <c r="L623" s="12" t="n">
        <f aca="false">(1+K623)^(1/12)-1</f>
        <v>0.00421369509431369</v>
      </c>
    </row>
    <row r="624" customFormat="false" ht="15" hidden="false" customHeight="false" outlineLevel="0" collapsed="false">
      <c r="A624" s="4" t="n">
        <v>620</v>
      </c>
      <c r="B624" s="14" t="n">
        <f aca="false">A624/12</f>
        <v>51.6666666666667</v>
      </c>
      <c r="C624" s="15" t="n">
        <f aca="false">INT(A624/6)</f>
        <v>103</v>
      </c>
      <c r="D624" s="16" t="n">
        <f aca="false">IF(C624=0,(1+Dic2023!$G$6)^(-B624),EXP(LN(INDEX(Dic2023!$H$6:$H$205,C624))+(LN(INDEX(Dic2023!$H$6:$H$205,MIN(C624+1,200)))-LN(INDEX(Dic2023!$H$6:$H$205,C624)))*(A624-6*C624)/6))</f>
        <v>0.0737553125782844</v>
      </c>
      <c r="E624" s="12" t="n">
        <f aca="false">D624^(-1/B624)-1</f>
        <v>0.0517528025</v>
      </c>
      <c r="F624" s="12" t="n">
        <f aca="false">(1+E624)^(1/12)-1</f>
        <v>0.00421369509431369</v>
      </c>
      <c r="G624" s="16" t="n">
        <f aca="false">IF(C624=0,(1+Dic2023!$J$6)^(-B624),EXP(LN(INDEX(Dic2023!$K$6:$K$205,C624))+(LN(INDEX(Dic2023!$K$6:$K$205,MIN(C624+1,200)))-LN(INDEX(Dic2023!$K$6:$K$205,C624)))*(A624-6*C624)/6))</f>
        <v>0.0737553125782844</v>
      </c>
      <c r="H624" s="12" t="n">
        <f aca="false">G624^(-1/B624)-1</f>
        <v>0.0517528025</v>
      </c>
      <c r="I624" s="12" t="n">
        <f aca="false">(1+H624)^(1/12)-1</f>
        <v>0.00421369509431369</v>
      </c>
      <c r="J624" s="16" t="n">
        <f aca="false">IF(C624=0,(1+Dic2023!$M$6)^(-B624),EXP(LN(INDEX(Dic2023!$N$6:$N$205,C624))+(LN(INDEX(Dic2023!$N$6:$N$205,MIN(C624+1,200)))-LN(INDEX(Dic2023!$N$6:$N$205,C624)))*(A624-6*C624)/6))</f>
        <v>0.0737553125782844</v>
      </c>
      <c r="K624" s="12" t="n">
        <f aca="false">J624^(-1/B624)-1</f>
        <v>0.0517528025</v>
      </c>
      <c r="L624" s="12" t="n">
        <f aca="false">(1+K624)^(1/12)-1</f>
        <v>0.00421369509431369</v>
      </c>
    </row>
    <row r="625" customFormat="false" ht="15" hidden="false" customHeight="false" outlineLevel="0" collapsed="false">
      <c r="A625" s="4" t="n">
        <v>621</v>
      </c>
      <c r="B625" s="14" t="n">
        <f aca="false">A625/12</f>
        <v>51.75</v>
      </c>
      <c r="C625" s="15" t="n">
        <f aca="false">INT(A625/6)</f>
        <v>103</v>
      </c>
      <c r="D625" s="16" t="n">
        <f aca="false">IF(C625=0,(1+Dic2023!$G$6)^(-B625),EXP(LN(INDEX(Dic2023!$H$6:$H$205,C625))+(LN(INDEX(Dic2023!$H$6:$H$205,MIN(C625+1,200)))-LN(INDEX(Dic2023!$H$6:$H$205,C625)))*(A625-6*C625)/6))</f>
        <v>0.0734458342269047</v>
      </c>
      <c r="E625" s="12" t="n">
        <f aca="false">D625^(-1/B625)-1</f>
        <v>0.0517528025</v>
      </c>
      <c r="F625" s="12" t="n">
        <f aca="false">(1+E625)^(1/12)-1</f>
        <v>0.00421369509431369</v>
      </c>
      <c r="G625" s="16" t="n">
        <f aca="false">IF(C625=0,(1+Dic2023!$J$6)^(-B625),EXP(LN(INDEX(Dic2023!$K$6:$K$205,C625))+(LN(INDEX(Dic2023!$K$6:$K$205,MIN(C625+1,200)))-LN(INDEX(Dic2023!$K$6:$K$205,C625)))*(A625-6*C625)/6))</f>
        <v>0.0734458342269047</v>
      </c>
      <c r="H625" s="12" t="n">
        <f aca="false">G625^(-1/B625)-1</f>
        <v>0.0517528025</v>
      </c>
      <c r="I625" s="12" t="n">
        <f aca="false">(1+H625)^(1/12)-1</f>
        <v>0.00421369509431369</v>
      </c>
      <c r="J625" s="16" t="n">
        <f aca="false">IF(C625=0,(1+Dic2023!$M$6)^(-B625),EXP(LN(INDEX(Dic2023!$N$6:$N$205,C625))+(LN(INDEX(Dic2023!$N$6:$N$205,MIN(C625+1,200)))-LN(INDEX(Dic2023!$N$6:$N$205,C625)))*(A625-6*C625)/6))</f>
        <v>0.0734458342269047</v>
      </c>
      <c r="K625" s="12" t="n">
        <f aca="false">J625^(-1/B625)-1</f>
        <v>0.0517528025</v>
      </c>
      <c r="L625" s="12" t="n">
        <f aca="false">(1+K625)^(1/12)-1</f>
        <v>0.00421369509431369</v>
      </c>
    </row>
    <row r="626" customFormat="false" ht="15" hidden="false" customHeight="false" outlineLevel="0" collapsed="false">
      <c r="A626" s="4" t="n">
        <v>622</v>
      </c>
      <c r="B626" s="14" t="n">
        <f aca="false">A626/12</f>
        <v>51.8333333333333</v>
      </c>
      <c r="C626" s="15" t="n">
        <f aca="false">INT(A626/6)</f>
        <v>103</v>
      </c>
      <c r="D626" s="16" t="n">
        <f aca="false">IF(C626=0,(1+Dic2023!$G$6)^(-B626),EXP(LN(INDEX(Dic2023!$H$6:$H$205,C626))+(LN(INDEX(Dic2023!$H$6:$H$205,MIN(C626+1,200)))-LN(INDEX(Dic2023!$H$6:$H$205,C626)))*(A626-6*C626)/6))</f>
        <v>0.0731376544511343</v>
      </c>
      <c r="E626" s="12" t="n">
        <f aca="false">D626^(-1/B626)-1</f>
        <v>0.0517528025</v>
      </c>
      <c r="F626" s="12" t="n">
        <f aca="false">(1+E626)^(1/12)-1</f>
        <v>0.00421369509431369</v>
      </c>
      <c r="G626" s="16" t="n">
        <f aca="false">IF(C626=0,(1+Dic2023!$J$6)^(-B626),EXP(LN(INDEX(Dic2023!$K$6:$K$205,C626))+(LN(INDEX(Dic2023!$K$6:$K$205,MIN(C626+1,200)))-LN(INDEX(Dic2023!$K$6:$K$205,C626)))*(A626-6*C626)/6))</f>
        <v>0.0731376544511343</v>
      </c>
      <c r="H626" s="12" t="n">
        <f aca="false">G626^(-1/B626)-1</f>
        <v>0.0517528025</v>
      </c>
      <c r="I626" s="12" t="n">
        <f aca="false">(1+H626)^(1/12)-1</f>
        <v>0.00421369509431369</v>
      </c>
      <c r="J626" s="16" t="n">
        <f aca="false">IF(C626=0,(1+Dic2023!$M$6)^(-B626),EXP(LN(INDEX(Dic2023!$N$6:$N$205,C626))+(LN(INDEX(Dic2023!$N$6:$N$205,MIN(C626+1,200)))-LN(INDEX(Dic2023!$N$6:$N$205,C626)))*(A626-6*C626)/6))</f>
        <v>0.0731376544511343</v>
      </c>
      <c r="K626" s="12" t="n">
        <f aca="false">J626^(-1/B626)-1</f>
        <v>0.0517528025</v>
      </c>
      <c r="L626" s="12" t="n">
        <f aca="false">(1+K626)^(1/12)-1</f>
        <v>0.00421369509431369</v>
      </c>
    </row>
    <row r="627" customFormat="false" ht="15" hidden="false" customHeight="false" outlineLevel="0" collapsed="false">
      <c r="A627" s="4" t="n">
        <v>623</v>
      </c>
      <c r="B627" s="14" t="n">
        <f aca="false">A627/12</f>
        <v>51.9166666666667</v>
      </c>
      <c r="C627" s="15" t="n">
        <f aca="false">INT(A627/6)</f>
        <v>103</v>
      </c>
      <c r="D627" s="16" t="n">
        <f aca="false">IF(C627=0,(1+Dic2023!$G$6)^(-B627),EXP(LN(INDEX(Dic2023!$H$6:$H$205,C627))+(LN(INDEX(Dic2023!$H$6:$H$205,MIN(C627+1,200)))-LN(INDEX(Dic2023!$H$6:$H$205,C627)))*(A627-6*C627)/6))</f>
        <v>0.0728307678021314</v>
      </c>
      <c r="E627" s="12" t="n">
        <f aca="false">D627^(-1/B627)-1</f>
        <v>0.0517528025</v>
      </c>
      <c r="F627" s="12" t="n">
        <f aca="false">(1+E627)^(1/12)-1</f>
        <v>0.00421369509431369</v>
      </c>
      <c r="G627" s="16" t="n">
        <f aca="false">IF(C627=0,(1+Dic2023!$J$6)^(-B627),EXP(LN(INDEX(Dic2023!$K$6:$K$205,C627))+(LN(INDEX(Dic2023!$K$6:$K$205,MIN(C627+1,200)))-LN(INDEX(Dic2023!$K$6:$K$205,C627)))*(A627-6*C627)/6))</f>
        <v>0.0728307678021314</v>
      </c>
      <c r="H627" s="12" t="n">
        <f aca="false">G627^(-1/B627)-1</f>
        <v>0.0517528025</v>
      </c>
      <c r="I627" s="12" t="n">
        <f aca="false">(1+H627)^(1/12)-1</f>
        <v>0.00421369509431369</v>
      </c>
      <c r="J627" s="16" t="n">
        <f aca="false">IF(C627=0,(1+Dic2023!$M$6)^(-B627),EXP(LN(INDEX(Dic2023!$N$6:$N$205,C627))+(LN(INDEX(Dic2023!$N$6:$N$205,MIN(C627+1,200)))-LN(INDEX(Dic2023!$N$6:$N$205,C627)))*(A627-6*C627)/6))</f>
        <v>0.0728307678021314</v>
      </c>
      <c r="K627" s="12" t="n">
        <f aca="false">J627^(-1/B627)-1</f>
        <v>0.0517528025</v>
      </c>
      <c r="L627" s="12" t="n">
        <f aca="false">(1+K627)^(1/12)-1</f>
        <v>0.00421369509431369</v>
      </c>
    </row>
    <row r="628" customFormat="false" ht="15" hidden="false" customHeight="false" outlineLevel="0" collapsed="false">
      <c r="A628" s="4" t="n">
        <v>624</v>
      </c>
      <c r="B628" s="14" t="n">
        <f aca="false">A628/12</f>
        <v>52</v>
      </c>
      <c r="C628" s="15" t="n">
        <f aca="false">INT(A628/6)</f>
        <v>104</v>
      </c>
      <c r="D628" s="16" t="n">
        <f aca="false">IF(C628=0,(1+Dic2023!$G$6)^(-B628),EXP(LN(INDEX(Dic2023!$H$6:$H$205,C628))+(LN(INDEX(Dic2023!$H$6:$H$205,MIN(C628+1,200)))-LN(INDEX(Dic2023!$H$6:$H$205,C628)))*(A628-6*C628)/6))</f>
        <v>0.0725251688539174</v>
      </c>
      <c r="E628" s="12" t="n">
        <f aca="false">D628^(-1/B628)-1</f>
        <v>0.0517528025</v>
      </c>
      <c r="F628" s="12" t="n">
        <f aca="false">(1+E628)^(1/12)-1</f>
        <v>0.00421369509431369</v>
      </c>
      <c r="G628" s="16" t="n">
        <f aca="false">IF(C628=0,(1+Dic2023!$J$6)^(-B628),EXP(LN(INDEX(Dic2023!$K$6:$K$205,C628))+(LN(INDEX(Dic2023!$K$6:$K$205,MIN(C628+1,200)))-LN(INDEX(Dic2023!$K$6:$K$205,C628)))*(A628-6*C628)/6))</f>
        <v>0.0725251688539174</v>
      </c>
      <c r="H628" s="12" t="n">
        <f aca="false">G628^(-1/B628)-1</f>
        <v>0.0517528025</v>
      </c>
      <c r="I628" s="12" t="n">
        <f aca="false">(1+H628)^(1/12)-1</f>
        <v>0.00421369509431369</v>
      </c>
      <c r="J628" s="16" t="n">
        <f aca="false">IF(C628=0,(1+Dic2023!$M$6)^(-B628),EXP(LN(INDEX(Dic2023!$N$6:$N$205,C628))+(LN(INDEX(Dic2023!$N$6:$N$205,MIN(C628+1,200)))-LN(INDEX(Dic2023!$N$6:$N$205,C628)))*(A628-6*C628)/6))</f>
        <v>0.0725251688539174</v>
      </c>
      <c r="K628" s="12" t="n">
        <f aca="false">J628^(-1/B628)-1</f>
        <v>0.0517528025</v>
      </c>
      <c r="L628" s="12" t="n">
        <f aca="false">(1+K628)^(1/12)-1</f>
        <v>0.00421369509431369</v>
      </c>
    </row>
    <row r="629" customFormat="false" ht="15" hidden="false" customHeight="false" outlineLevel="0" collapsed="false">
      <c r="A629" s="4" t="n">
        <v>625</v>
      </c>
      <c r="B629" s="14" t="n">
        <f aca="false">A629/12</f>
        <v>52.0833333333333</v>
      </c>
      <c r="C629" s="15" t="n">
        <f aca="false">INT(A629/6)</f>
        <v>104</v>
      </c>
      <c r="D629" s="16" t="n">
        <f aca="false">IF(C629=0,(1+Dic2023!$G$6)^(-B629),EXP(LN(INDEX(Dic2023!$H$6:$H$205,C629))+(LN(INDEX(Dic2023!$H$6:$H$205,MIN(C629+1,200)))-LN(INDEX(Dic2023!$H$6:$H$205,C629)))*(A629-6*C629)/6))</f>
        <v>0.0722208522032812</v>
      </c>
      <c r="E629" s="12" t="n">
        <f aca="false">D629^(-1/B629)-1</f>
        <v>0.0517528025</v>
      </c>
      <c r="F629" s="12" t="n">
        <f aca="false">(1+E629)^(1/12)-1</f>
        <v>0.00421369509431369</v>
      </c>
      <c r="G629" s="16" t="n">
        <f aca="false">IF(C629=0,(1+Dic2023!$J$6)^(-B629),EXP(LN(INDEX(Dic2023!$K$6:$K$205,C629))+(LN(INDEX(Dic2023!$K$6:$K$205,MIN(C629+1,200)))-LN(INDEX(Dic2023!$K$6:$K$205,C629)))*(A629-6*C629)/6))</f>
        <v>0.0722208522032812</v>
      </c>
      <c r="H629" s="12" t="n">
        <f aca="false">G629^(-1/B629)-1</f>
        <v>0.0517528025</v>
      </c>
      <c r="I629" s="12" t="n">
        <f aca="false">(1+H629)^(1/12)-1</f>
        <v>0.00421369509431369</v>
      </c>
      <c r="J629" s="16" t="n">
        <f aca="false">IF(C629=0,(1+Dic2023!$M$6)^(-B629),EXP(LN(INDEX(Dic2023!$N$6:$N$205,C629))+(LN(INDEX(Dic2023!$N$6:$N$205,MIN(C629+1,200)))-LN(INDEX(Dic2023!$N$6:$N$205,C629)))*(A629-6*C629)/6))</f>
        <v>0.0722208522032812</v>
      </c>
      <c r="K629" s="12" t="n">
        <f aca="false">J629^(-1/B629)-1</f>
        <v>0.0517528025</v>
      </c>
      <c r="L629" s="12" t="n">
        <f aca="false">(1+K629)^(1/12)-1</f>
        <v>0.00421369509431369</v>
      </c>
    </row>
    <row r="630" customFormat="false" ht="15" hidden="false" customHeight="false" outlineLevel="0" collapsed="false">
      <c r="A630" s="4" t="n">
        <v>626</v>
      </c>
      <c r="B630" s="14" t="n">
        <f aca="false">A630/12</f>
        <v>52.1666666666667</v>
      </c>
      <c r="C630" s="15" t="n">
        <f aca="false">INT(A630/6)</f>
        <v>104</v>
      </c>
      <c r="D630" s="16" t="n">
        <f aca="false">IF(C630=0,(1+Dic2023!$G$6)^(-B630),EXP(LN(INDEX(Dic2023!$H$6:$H$205,C630))+(LN(INDEX(Dic2023!$H$6:$H$205,MIN(C630+1,200)))-LN(INDEX(Dic2023!$H$6:$H$205,C630)))*(A630-6*C630)/6))</f>
        <v>0.0719178124696839</v>
      </c>
      <c r="E630" s="12" t="n">
        <f aca="false">D630^(-1/B630)-1</f>
        <v>0.0517528025</v>
      </c>
      <c r="F630" s="12" t="n">
        <f aca="false">(1+E630)^(1/12)-1</f>
        <v>0.00421369509431369</v>
      </c>
      <c r="G630" s="16" t="n">
        <f aca="false">IF(C630=0,(1+Dic2023!$J$6)^(-B630),EXP(LN(INDEX(Dic2023!$K$6:$K$205,C630))+(LN(INDEX(Dic2023!$K$6:$K$205,MIN(C630+1,200)))-LN(INDEX(Dic2023!$K$6:$K$205,C630)))*(A630-6*C630)/6))</f>
        <v>0.0719178124696839</v>
      </c>
      <c r="H630" s="12" t="n">
        <f aca="false">G630^(-1/B630)-1</f>
        <v>0.0517528025</v>
      </c>
      <c r="I630" s="12" t="n">
        <f aca="false">(1+H630)^(1/12)-1</f>
        <v>0.00421369509431369</v>
      </c>
      <c r="J630" s="16" t="n">
        <f aca="false">IF(C630=0,(1+Dic2023!$M$6)^(-B630),EXP(LN(INDEX(Dic2023!$N$6:$N$205,C630))+(LN(INDEX(Dic2023!$N$6:$N$205,MIN(C630+1,200)))-LN(INDEX(Dic2023!$N$6:$N$205,C630)))*(A630-6*C630)/6))</f>
        <v>0.0719178124696839</v>
      </c>
      <c r="K630" s="12" t="n">
        <f aca="false">J630^(-1/B630)-1</f>
        <v>0.0517528025</v>
      </c>
      <c r="L630" s="12" t="n">
        <f aca="false">(1+K630)^(1/12)-1</f>
        <v>0.00421369509431369</v>
      </c>
    </row>
    <row r="631" customFormat="false" ht="15" hidden="false" customHeight="false" outlineLevel="0" collapsed="false">
      <c r="A631" s="4" t="n">
        <v>627</v>
      </c>
      <c r="B631" s="14" t="n">
        <f aca="false">A631/12</f>
        <v>52.25</v>
      </c>
      <c r="C631" s="15" t="n">
        <f aca="false">INT(A631/6)</f>
        <v>104</v>
      </c>
      <c r="D631" s="16" t="n">
        <f aca="false">IF(C631=0,(1+Dic2023!$G$6)^(-B631),EXP(LN(INDEX(Dic2023!$H$6:$H$205,C631))+(LN(INDEX(Dic2023!$H$6:$H$205,MIN(C631+1,200)))-LN(INDEX(Dic2023!$H$6:$H$205,C631)))*(A631-6*C631)/6))</f>
        <v>0.0716160442951633</v>
      </c>
      <c r="E631" s="12" t="n">
        <f aca="false">D631^(-1/B631)-1</f>
        <v>0.0517528025</v>
      </c>
      <c r="F631" s="12" t="n">
        <f aca="false">(1+E631)^(1/12)-1</f>
        <v>0.00421369509431369</v>
      </c>
      <c r="G631" s="16" t="n">
        <f aca="false">IF(C631=0,(1+Dic2023!$J$6)^(-B631),EXP(LN(INDEX(Dic2023!$K$6:$K$205,C631))+(LN(INDEX(Dic2023!$K$6:$K$205,MIN(C631+1,200)))-LN(INDEX(Dic2023!$K$6:$K$205,C631)))*(A631-6*C631)/6))</f>
        <v>0.0716160442951633</v>
      </c>
      <c r="H631" s="12" t="n">
        <f aca="false">G631^(-1/B631)-1</f>
        <v>0.0517528025</v>
      </c>
      <c r="I631" s="12" t="n">
        <f aca="false">(1+H631)^(1/12)-1</f>
        <v>0.00421369509431369</v>
      </c>
      <c r="J631" s="16" t="n">
        <f aca="false">IF(C631=0,(1+Dic2023!$M$6)^(-B631),EXP(LN(INDEX(Dic2023!$N$6:$N$205,C631))+(LN(INDEX(Dic2023!$N$6:$N$205,MIN(C631+1,200)))-LN(INDEX(Dic2023!$N$6:$N$205,C631)))*(A631-6*C631)/6))</f>
        <v>0.0716160442951633</v>
      </c>
      <c r="K631" s="12" t="n">
        <f aca="false">J631^(-1/B631)-1</f>
        <v>0.0517528025</v>
      </c>
      <c r="L631" s="12" t="n">
        <f aca="false">(1+K631)^(1/12)-1</f>
        <v>0.00421369509431369</v>
      </c>
    </row>
    <row r="632" customFormat="false" ht="15" hidden="false" customHeight="false" outlineLevel="0" collapsed="false">
      <c r="A632" s="4" t="n">
        <v>628</v>
      </c>
      <c r="B632" s="14" t="n">
        <f aca="false">A632/12</f>
        <v>52.3333333333333</v>
      </c>
      <c r="C632" s="15" t="n">
        <f aca="false">INT(A632/6)</f>
        <v>104</v>
      </c>
      <c r="D632" s="16" t="n">
        <f aca="false">IF(C632=0,(1+Dic2023!$G$6)^(-B632),EXP(LN(INDEX(Dic2023!$H$6:$H$205,C632))+(LN(INDEX(Dic2023!$H$6:$H$205,MIN(C632+1,200)))-LN(INDEX(Dic2023!$H$6:$H$205,C632)))*(A632-6*C632)/6))</f>
        <v>0.071315542344239</v>
      </c>
      <c r="E632" s="12" t="n">
        <f aca="false">D632^(-1/B632)-1</f>
        <v>0.0517528025</v>
      </c>
      <c r="F632" s="12" t="n">
        <f aca="false">(1+E632)^(1/12)-1</f>
        <v>0.00421369509431369</v>
      </c>
      <c r="G632" s="16" t="n">
        <f aca="false">IF(C632=0,(1+Dic2023!$J$6)^(-B632),EXP(LN(INDEX(Dic2023!$K$6:$K$205,C632))+(LN(INDEX(Dic2023!$K$6:$K$205,MIN(C632+1,200)))-LN(INDEX(Dic2023!$K$6:$K$205,C632)))*(A632-6*C632)/6))</f>
        <v>0.071315542344239</v>
      </c>
      <c r="H632" s="12" t="n">
        <f aca="false">G632^(-1/B632)-1</f>
        <v>0.0517528025</v>
      </c>
      <c r="I632" s="12" t="n">
        <f aca="false">(1+H632)^(1/12)-1</f>
        <v>0.00421369509431369</v>
      </c>
      <c r="J632" s="16" t="n">
        <f aca="false">IF(C632=0,(1+Dic2023!$M$6)^(-B632),EXP(LN(INDEX(Dic2023!$N$6:$N$205,C632))+(LN(INDEX(Dic2023!$N$6:$N$205,MIN(C632+1,200)))-LN(INDEX(Dic2023!$N$6:$N$205,C632)))*(A632-6*C632)/6))</f>
        <v>0.071315542344239</v>
      </c>
      <c r="K632" s="12" t="n">
        <f aca="false">J632^(-1/B632)-1</f>
        <v>0.0517528025</v>
      </c>
      <c r="L632" s="12" t="n">
        <f aca="false">(1+K632)^(1/12)-1</f>
        <v>0.00421369509431369</v>
      </c>
    </row>
    <row r="633" customFormat="false" ht="15" hidden="false" customHeight="false" outlineLevel="0" collapsed="false">
      <c r="A633" s="4" t="n">
        <v>629</v>
      </c>
      <c r="B633" s="14" t="n">
        <f aca="false">A633/12</f>
        <v>52.4166666666667</v>
      </c>
      <c r="C633" s="15" t="n">
        <f aca="false">INT(A633/6)</f>
        <v>104</v>
      </c>
      <c r="D633" s="16" t="n">
        <f aca="false">IF(C633=0,(1+Dic2023!$G$6)^(-B633),EXP(LN(INDEX(Dic2023!$H$6:$H$205,C633))+(LN(INDEX(Dic2023!$H$6:$H$205,MIN(C633+1,200)))-LN(INDEX(Dic2023!$H$6:$H$205,C633)))*(A633-6*C633)/6))</f>
        <v>0.0710163013038188</v>
      </c>
      <c r="E633" s="12" t="n">
        <f aca="false">D633^(-1/B633)-1</f>
        <v>0.0517528025</v>
      </c>
      <c r="F633" s="12" t="n">
        <f aca="false">(1+E633)^(1/12)-1</f>
        <v>0.00421369509431369</v>
      </c>
      <c r="G633" s="16" t="n">
        <f aca="false">IF(C633=0,(1+Dic2023!$J$6)^(-B633),EXP(LN(INDEX(Dic2023!$K$6:$K$205,C633))+(LN(INDEX(Dic2023!$K$6:$K$205,MIN(C633+1,200)))-LN(INDEX(Dic2023!$K$6:$K$205,C633)))*(A633-6*C633)/6))</f>
        <v>0.0710163013038188</v>
      </c>
      <c r="H633" s="12" t="n">
        <f aca="false">G633^(-1/B633)-1</f>
        <v>0.0517528025</v>
      </c>
      <c r="I633" s="12" t="n">
        <f aca="false">(1+H633)^(1/12)-1</f>
        <v>0.00421369509431369</v>
      </c>
      <c r="J633" s="16" t="n">
        <f aca="false">IF(C633=0,(1+Dic2023!$M$6)^(-B633),EXP(LN(INDEX(Dic2023!$N$6:$N$205,C633))+(LN(INDEX(Dic2023!$N$6:$N$205,MIN(C633+1,200)))-LN(INDEX(Dic2023!$N$6:$N$205,C633)))*(A633-6*C633)/6))</f>
        <v>0.0710163013038188</v>
      </c>
      <c r="K633" s="12" t="n">
        <f aca="false">J633^(-1/B633)-1</f>
        <v>0.0517528025</v>
      </c>
      <c r="L633" s="12" t="n">
        <f aca="false">(1+K633)^(1/12)-1</f>
        <v>0.00421369509431369</v>
      </c>
    </row>
    <row r="634" customFormat="false" ht="15" hidden="false" customHeight="false" outlineLevel="0" collapsed="false">
      <c r="A634" s="4" t="n">
        <v>630</v>
      </c>
      <c r="B634" s="14" t="n">
        <f aca="false">A634/12</f>
        <v>52.5</v>
      </c>
      <c r="C634" s="15" t="n">
        <f aca="false">INT(A634/6)</f>
        <v>105</v>
      </c>
      <c r="D634" s="16" t="n">
        <f aca="false">IF(C634=0,(1+Dic2023!$G$6)^(-B634),EXP(LN(INDEX(Dic2023!$H$6:$H$205,C634))+(LN(INDEX(Dic2023!$H$6:$H$205,MIN(C634+1,200)))-LN(INDEX(Dic2023!$H$6:$H$205,C634)))*(A634-6*C634)/6))</f>
        <v>0.0707183158831041</v>
      </c>
      <c r="E634" s="12" t="n">
        <f aca="false">D634^(-1/B634)-1</f>
        <v>0.0517528025</v>
      </c>
      <c r="F634" s="12" t="n">
        <f aca="false">(1+E634)^(1/12)-1</f>
        <v>0.00421369509431369</v>
      </c>
      <c r="G634" s="16" t="n">
        <f aca="false">IF(C634=0,(1+Dic2023!$J$6)^(-B634),EXP(LN(INDEX(Dic2023!$K$6:$K$205,C634))+(LN(INDEX(Dic2023!$K$6:$K$205,MIN(C634+1,200)))-LN(INDEX(Dic2023!$K$6:$K$205,C634)))*(A634-6*C634)/6))</f>
        <v>0.0707183158831041</v>
      </c>
      <c r="H634" s="12" t="n">
        <f aca="false">G634^(-1/B634)-1</f>
        <v>0.0517528025</v>
      </c>
      <c r="I634" s="12" t="n">
        <f aca="false">(1+H634)^(1/12)-1</f>
        <v>0.00421369509431369</v>
      </c>
      <c r="J634" s="16" t="n">
        <f aca="false">IF(C634=0,(1+Dic2023!$M$6)^(-B634),EXP(LN(INDEX(Dic2023!$N$6:$N$205,C634))+(LN(INDEX(Dic2023!$N$6:$N$205,MIN(C634+1,200)))-LN(INDEX(Dic2023!$N$6:$N$205,C634)))*(A634-6*C634)/6))</f>
        <v>0.0707183158831041</v>
      </c>
      <c r="K634" s="12" t="n">
        <f aca="false">J634^(-1/B634)-1</f>
        <v>0.0517528025</v>
      </c>
      <c r="L634" s="12" t="n">
        <f aca="false">(1+K634)^(1/12)-1</f>
        <v>0.00421369509431369</v>
      </c>
    </row>
    <row r="635" customFormat="false" ht="15" hidden="false" customHeight="false" outlineLevel="0" collapsed="false">
      <c r="A635" s="4" t="n">
        <v>631</v>
      </c>
      <c r="B635" s="14" t="n">
        <f aca="false">A635/12</f>
        <v>52.5833333333333</v>
      </c>
      <c r="C635" s="15" t="n">
        <f aca="false">INT(A635/6)</f>
        <v>105</v>
      </c>
      <c r="D635" s="16" t="n">
        <f aca="false">IF(C635=0,(1+Dic2023!$G$6)^(-B635),EXP(LN(INDEX(Dic2023!$H$6:$H$205,C635))+(LN(INDEX(Dic2023!$H$6:$H$205,MIN(C635+1,200)))-LN(INDEX(Dic2023!$H$6:$H$205,C635)))*(A635-6*C635)/6))</f>
        <v>0.0704215808134964</v>
      </c>
      <c r="E635" s="12" t="n">
        <f aca="false">D635^(-1/B635)-1</f>
        <v>0.0517528025</v>
      </c>
      <c r="F635" s="12" t="n">
        <f aca="false">(1+E635)^(1/12)-1</f>
        <v>0.00421369509431369</v>
      </c>
      <c r="G635" s="16" t="n">
        <f aca="false">IF(C635=0,(1+Dic2023!$J$6)^(-B635),EXP(LN(INDEX(Dic2023!$K$6:$K$205,C635))+(LN(INDEX(Dic2023!$K$6:$K$205,MIN(C635+1,200)))-LN(INDEX(Dic2023!$K$6:$K$205,C635)))*(A635-6*C635)/6))</f>
        <v>0.0704215808134964</v>
      </c>
      <c r="H635" s="12" t="n">
        <f aca="false">G635^(-1/B635)-1</f>
        <v>0.0517528025</v>
      </c>
      <c r="I635" s="12" t="n">
        <f aca="false">(1+H635)^(1/12)-1</f>
        <v>0.00421369509431369</v>
      </c>
      <c r="J635" s="16" t="n">
        <f aca="false">IF(C635=0,(1+Dic2023!$M$6)^(-B635),EXP(LN(INDEX(Dic2023!$N$6:$N$205,C635))+(LN(INDEX(Dic2023!$N$6:$N$205,MIN(C635+1,200)))-LN(INDEX(Dic2023!$N$6:$N$205,C635)))*(A635-6*C635)/6))</f>
        <v>0.0704215808134964</v>
      </c>
      <c r="K635" s="12" t="n">
        <f aca="false">J635^(-1/B635)-1</f>
        <v>0.0517528025</v>
      </c>
      <c r="L635" s="12" t="n">
        <f aca="false">(1+K635)^(1/12)-1</f>
        <v>0.00421369509431369</v>
      </c>
    </row>
    <row r="636" customFormat="false" ht="15" hidden="false" customHeight="false" outlineLevel="0" collapsed="false">
      <c r="A636" s="4" t="n">
        <v>632</v>
      </c>
      <c r="B636" s="14" t="n">
        <f aca="false">A636/12</f>
        <v>52.6666666666667</v>
      </c>
      <c r="C636" s="15" t="n">
        <f aca="false">INT(A636/6)</f>
        <v>105</v>
      </c>
      <c r="D636" s="16" t="n">
        <f aca="false">IF(C636=0,(1+Dic2023!$G$6)^(-B636),EXP(LN(INDEX(Dic2023!$H$6:$H$205,C636))+(LN(INDEX(Dic2023!$H$6:$H$205,MIN(C636+1,200)))-LN(INDEX(Dic2023!$H$6:$H$205,C636)))*(A636-6*C636)/6))</f>
        <v>0.0701260908485047</v>
      </c>
      <c r="E636" s="12" t="n">
        <f aca="false">D636^(-1/B636)-1</f>
        <v>0.0517528025</v>
      </c>
      <c r="F636" s="12" t="n">
        <f aca="false">(1+E636)^(1/12)-1</f>
        <v>0.00421369509431369</v>
      </c>
      <c r="G636" s="16" t="n">
        <f aca="false">IF(C636=0,(1+Dic2023!$J$6)^(-B636),EXP(LN(INDEX(Dic2023!$K$6:$K$205,C636))+(LN(INDEX(Dic2023!$K$6:$K$205,MIN(C636+1,200)))-LN(INDEX(Dic2023!$K$6:$K$205,C636)))*(A636-6*C636)/6))</f>
        <v>0.0701260908485047</v>
      </c>
      <c r="H636" s="12" t="n">
        <f aca="false">G636^(-1/B636)-1</f>
        <v>0.0517528025</v>
      </c>
      <c r="I636" s="12" t="n">
        <f aca="false">(1+H636)^(1/12)-1</f>
        <v>0.00421369509431369</v>
      </c>
      <c r="J636" s="16" t="n">
        <f aca="false">IF(C636=0,(1+Dic2023!$M$6)^(-B636),EXP(LN(INDEX(Dic2023!$N$6:$N$205,C636))+(LN(INDEX(Dic2023!$N$6:$N$205,MIN(C636+1,200)))-LN(INDEX(Dic2023!$N$6:$N$205,C636)))*(A636-6*C636)/6))</f>
        <v>0.0701260908485047</v>
      </c>
      <c r="K636" s="12" t="n">
        <f aca="false">J636^(-1/B636)-1</f>
        <v>0.0517528025</v>
      </c>
      <c r="L636" s="12" t="n">
        <f aca="false">(1+K636)^(1/12)-1</f>
        <v>0.00421369509431369</v>
      </c>
    </row>
    <row r="637" customFormat="false" ht="15" hidden="false" customHeight="false" outlineLevel="0" collapsed="false">
      <c r="A637" s="4" t="n">
        <v>633</v>
      </c>
      <c r="B637" s="14" t="n">
        <f aca="false">A637/12</f>
        <v>52.75</v>
      </c>
      <c r="C637" s="15" t="n">
        <f aca="false">INT(A637/6)</f>
        <v>105</v>
      </c>
      <c r="D637" s="16" t="n">
        <f aca="false">IF(C637=0,(1+Dic2023!$G$6)^(-B637),EXP(LN(INDEX(Dic2023!$H$6:$H$205,C637))+(LN(INDEX(Dic2023!$H$6:$H$205,MIN(C637+1,200)))-LN(INDEX(Dic2023!$H$6:$H$205,C637)))*(A637-6*C637)/6))</f>
        <v>0.069831840763652</v>
      </c>
      <c r="E637" s="12" t="n">
        <f aca="false">D637^(-1/B637)-1</f>
        <v>0.0517528025</v>
      </c>
      <c r="F637" s="12" t="n">
        <f aca="false">(1+E637)^(1/12)-1</f>
        <v>0.00421369509431369</v>
      </c>
      <c r="G637" s="16" t="n">
        <f aca="false">IF(C637=0,(1+Dic2023!$J$6)^(-B637),EXP(LN(INDEX(Dic2023!$K$6:$K$205,C637))+(LN(INDEX(Dic2023!$K$6:$K$205,MIN(C637+1,200)))-LN(INDEX(Dic2023!$K$6:$K$205,C637)))*(A637-6*C637)/6))</f>
        <v>0.069831840763652</v>
      </c>
      <c r="H637" s="12" t="n">
        <f aca="false">G637^(-1/B637)-1</f>
        <v>0.0517528025</v>
      </c>
      <c r="I637" s="12" t="n">
        <f aca="false">(1+H637)^(1/12)-1</f>
        <v>0.00421369509431369</v>
      </c>
      <c r="J637" s="16" t="n">
        <f aca="false">IF(C637=0,(1+Dic2023!$M$6)^(-B637),EXP(LN(INDEX(Dic2023!$N$6:$N$205,C637))+(LN(INDEX(Dic2023!$N$6:$N$205,MIN(C637+1,200)))-LN(INDEX(Dic2023!$N$6:$N$205,C637)))*(A637-6*C637)/6))</f>
        <v>0.069831840763652</v>
      </c>
      <c r="K637" s="12" t="n">
        <f aca="false">J637^(-1/B637)-1</f>
        <v>0.0517528025</v>
      </c>
      <c r="L637" s="12" t="n">
        <f aca="false">(1+K637)^(1/12)-1</f>
        <v>0.00421369509431369</v>
      </c>
    </row>
    <row r="638" customFormat="false" ht="15" hidden="false" customHeight="false" outlineLevel="0" collapsed="false">
      <c r="A638" s="4" t="n">
        <v>634</v>
      </c>
      <c r="B638" s="14" t="n">
        <f aca="false">A638/12</f>
        <v>52.8333333333333</v>
      </c>
      <c r="C638" s="15" t="n">
        <f aca="false">INT(A638/6)</f>
        <v>105</v>
      </c>
      <c r="D638" s="16" t="n">
        <f aca="false">IF(C638=0,(1+Dic2023!$G$6)^(-B638),EXP(LN(INDEX(Dic2023!$H$6:$H$205,C638))+(LN(INDEX(Dic2023!$H$6:$H$205,MIN(C638+1,200)))-LN(INDEX(Dic2023!$H$6:$H$205,C638)))*(A638-6*C638)/6))</f>
        <v>0.0695388253563834</v>
      </c>
      <c r="E638" s="12" t="n">
        <f aca="false">D638^(-1/B638)-1</f>
        <v>0.0517528025</v>
      </c>
      <c r="F638" s="12" t="n">
        <f aca="false">(1+E638)^(1/12)-1</f>
        <v>0.00421369509431369</v>
      </c>
      <c r="G638" s="16" t="n">
        <f aca="false">IF(C638=0,(1+Dic2023!$J$6)^(-B638),EXP(LN(INDEX(Dic2023!$K$6:$K$205,C638))+(LN(INDEX(Dic2023!$K$6:$K$205,MIN(C638+1,200)))-LN(INDEX(Dic2023!$K$6:$K$205,C638)))*(A638-6*C638)/6))</f>
        <v>0.0695388253563834</v>
      </c>
      <c r="H638" s="12" t="n">
        <f aca="false">G638^(-1/B638)-1</f>
        <v>0.0517528025</v>
      </c>
      <c r="I638" s="12" t="n">
        <f aca="false">(1+H638)^(1/12)-1</f>
        <v>0.00421369509431369</v>
      </c>
      <c r="J638" s="16" t="n">
        <f aca="false">IF(C638=0,(1+Dic2023!$M$6)^(-B638),EXP(LN(INDEX(Dic2023!$N$6:$N$205,C638))+(LN(INDEX(Dic2023!$N$6:$N$205,MIN(C638+1,200)))-LN(INDEX(Dic2023!$N$6:$N$205,C638)))*(A638-6*C638)/6))</f>
        <v>0.0695388253563834</v>
      </c>
      <c r="K638" s="12" t="n">
        <f aca="false">J638^(-1/B638)-1</f>
        <v>0.0517528025</v>
      </c>
      <c r="L638" s="12" t="n">
        <f aca="false">(1+K638)^(1/12)-1</f>
        <v>0.00421369509431369</v>
      </c>
    </row>
    <row r="639" customFormat="false" ht="15" hidden="false" customHeight="false" outlineLevel="0" collapsed="false">
      <c r="A639" s="4" t="n">
        <v>635</v>
      </c>
      <c r="B639" s="14" t="n">
        <f aca="false">A639/12</f>
        <v>52.9166666666667</v>
      </c>
      <c r="C639" s="15" t="n">
        <f aca="false">INT(A639/6)</f>
        <v>105</v>
      </c>
      <c r="D639" s="16" t="n">
        <f aca="false">IF(C639=0,(1+Dic2023!$G$6)^(-B639),EXP(LN(INDEX(Dic2023!$H$6:$H$205,C639))+(LN(INDEX(Dic2023!$H$6:$H$205,MIN(C639+1,200)))-LN(INDEX(Dic2023!$H$6:$H$205,C639)))*(A639-6*C639)/6))</f>
        <v>0.0692470394459742</v>
      </c>
      <c r="E639" s="12" t="n">
        <f aca="false">D639^(-1/B639)-1</f>
        <v>0.0517528025</v>
      </c>
      <c r="F639" s="12" t="n">
        <f aca="false">(1+E639)^(1/12)-1</f>
        <v>0.00421369509431369</v>
      </c>
      <c r="G639" s="16" t="n">
        <f aca="false">IF(C639=0,(1+Dic2023!$J$6)^(-B639),EXP(LN(INDEX(Dic2023!$K$6:$K$205,C639))+(LN(INDEX(Dic2023!$K$6:$K$205,MIN(C639+1,200)))-LN(INDEX(Dic2023!$K$6:$K$205,C639)))*(A639-6*C639)/6))</f>
        <v>0.0692470394459742</v>
      </c>
      <c r="H639" s="12" t="n">
        <f aca="false">G639^(-1/B639)-1</f>
        <v>0.0517528025</v>
      </c>
      <c r="I639" s="12" t="n">
        <f aca="false">(1+H639)^(1/12)-1</f>
        <v>0.00421369509431369</v>
      </c>
      <c r="J639" s="16" t="n">
        <f aca="false">IF(C639=0,(1+Dic2023!$M$6)^(-B639),EXP(LN(INDEX(Dic2023!$N$6:$N$205,C639))+(LN(INDEX(Dic2023!$N$6:$N$205,MIN(C639+1,200)))-LN(INDEX(Dic2023!$N$6:$N$205,C639)))*(A639-6*C639)/6))</f>
        <v>0.0692470394459742</v>
      </c>
      <c r="K639" s="12" t="n">
        <f aca="false">J639^(-1/B639)-1</f>
        <v>0.0517528025</v>
      </c>
      <c r="L639" s="12" t="n">
        <f aca="false">(1+K639)^(1/12)-1</f>
        <v>0.00421369509431369</v>
      </c>
    </row>
    <row r="640" customFormat="false" ht="15" hidden="false" customHeight="false" outlineLevel="0" collapsed="false">
      <c r="A640" s="4" t="n">
        <v>636</v>
      </c>
      <c r="B640" s="14" t="n">
        <f aca="false">A640/12</f>
        <v>53</v>
      </c>
      <c r="C640" s="15" t="n">
        <f aca="false">INT(A640/6)</f>
        <v>106</v>
      </c>
      <c r="D640" s="16" t="n">
        <f aca="false">IF(C640=0,(1+Dic2023!$G$6)^(-B640),EXP(LN(INDEX(Dic2023!$H$6:$H$205,C640))+(LN(INDEX(Dic2023!$H$6:$H$205,MIN(C640+1,200)))-LN(INDEX(Dic2023!$H$6:$H$205,C640)))*(A640-6*C640)/6))</f>
        <v>0.0689564778734377</v>
      </c>
      <c r="E640" s="12" t="n">
        <f aca="false">D640^(-1/B640)-1</f>
        <v>0.0517528025</v>
      </c>
      <c r="F640" s="12" t="n">
        <f aca="false">(1+E640)^(1/12)-1</f>
        <v>0.00421369509431369</v>
      </c>
      <c r="G640" s="16" t="n">
        <f aca="false">IF(C640=0,(1+Dic2023!$J$6)^(-B640),EXP(LN(INDEX(Dic2023!$K$6:$K$205,C640))+(LN(INDEX(Dic2023!$K$6:$K$205,MIN(C640+1,200)))-LN(INDEX(Dic2023!$K$6:$K$205,C640)))*(A640-6*C640)/6))</f>
        <v>0.0689564778734377</v>
      </c>
      <c r="H640" s="12" t="n">
        <f aca="false">G640^(-1/B640)-1</f>
        <v>0.0517528025</v>
      </c>
      <c r="I640" s="12" t="n">
        <f aca="false">(1+H640)^(1/12)-1</f>
        <v>0.00421369509431369</v>
      </c>
      <c r="J640" s="16" t="n">
        <f aca="false">IF(C640=0,(1+Dic2023!$M$6)^(-B640),EXP(LN(INDEX(Dic2023!$N$6:$N$205,C640))+(LN(INDEX(Dic2023!$N$6:$N$205,MIN(C640+1,200)))-LN(INDEX(Dic2023!$N$6:$N$205,C640)))*(A640-6*C640)/6))</f>
        <v>0.0689564778734377</v>
      </c>
      <c r="K640" s="12" t="n">
        <f aca="false">J640^(-1/B640)-1</f>
        <v>0.0517528025</v>
      </c>
      <c r="L640" s="12" t="n">
        <f aca="false">(1+K640)^(1/12)-1</f>
        <v>0.00421369509431369</v>
      </c>
    </row>
    <row r="641" customFormat="false" ht="15" hidden="false" customHeight="false" outlineLevel="0" collapsed="false">
      <c r="A641" s="4" t="n">
        <v>637</v>
      </c>
      <c r="B641" s="14" t="n">
        <f aca="false">A641/12</f>
        <v>53.0833333333333</v>
      </c>
      <c r="C641" s="15" t="n">
        <f aca="false">INT(A641/6)</f>
        <v>106</v>
      </c>
      <c r="D641" s="16" t="n">
        <f aca="false">IF(C641=0,(1+Dic2023!$G$6)^(-B641),EXP(LN(INDEX(Dic2023!$H$6:$H$205,C641))+(LN(INDEX(Dic2023!$H$6:$H$205,MIN(C641+1,200)))-LN(INDEX(Dic2023!$H$6:$H$205,C641)))*(A641-6*C641)/6))</f>
        <v>0.0686671355014347</v>
      </c>
      <c r="E641" s="12" t="n">
        <f aca="false">D641^(-1/B641)-1</f>
        <v>0.0517528025</v>
      </c>
      <c r="F641" s="12" t="n">
        <f aca="false">(1+E641)^(1/12)-1</f>
        <v>0.00421369509431369</v>
      </c>
      <c r="G641" s="16" t="n">
        <f aca="false">IF(C641=0,(1+Dic2023!$J$6)^(-B641),EXP(LN(INDEX(Dic2023!$K$6:$K$205,C641))+(LN(INDEX(Dic2023!$K$6:$K$205,MIN(C641+1,200)))-LN(INDEX(Dic2023!$K$6:$K$205,C641)))*(A641-6*C641)/6))</f>
        <v>0.0686671355014347</v>
      </c>
      <c r="H641" s="12" t="n">
        <f aca="false">G641^(-1/B641)-1</f>
        <v>0.0517528025</v>
      </c>
      <c r="I641" s="12" t="n">
        <f aca="false">(1+H641)^(1/12)-1</f>
        <v>0.00421369509431369</v>
      </c>
      <c r="J641" s="16" t="n">
        <f aca="false">IF(C641=0,(1+Dic2023!$M$6)^(-B641),EXP(LN(INDEX(Dic2023!$N$6:$N$205,C641))+(LN(INDEX(Dic2023!$N$6:$N$205,MIN(C641+1,200)))-LN(INDEX(Dic2023!$N$6:$N$205,C641)))*(A641-6*C641)/6))</f>
        <v>0.0686671355014347</v>
      </c>
      <c r="K641" s="12" t="n">
        <f aca="false">J641^(-1/B641)-1</f>
        <v>0.0517528025</v>
      </c>
      <c r="L641" s="12" t="n">
        <f aca="false">(1+K641)^(1/12)-1</f>
        <v>0.00421369509431369</v>
      </c>
    </row>
    <row r="642" customFormat="false" ht="15" hidden="false" customHeight="false" outlineLevel="0" collapsed="false">
      <c r="A642" s="4" t="n">
        <v>638</v>
      </c>
      <c r="B642" s="14" t="n">
        <f aca="false">A642/12</f>
        <v>53.1666666666667</v>
      </c>
      <c r="C642" s="15" t="n">
        <f aca="false">INT(A642/6)</f>
        <v>106</v>
      </c>
      <c r="D642" s="16" t="n">
        <f aca="false">IF(C642=0,(1+Dic2023!$G$6)^(-B642),EXP(LN(INDEX(Dic2023!$H$6:$H$205,C642))+(LN(INDEX(Dic2023!$H$6:$H$205,MIN(C642+1,200)))-LN(INDEX(Dic2023!$H$6:$H$205,C642)))*(A642-6*C642)/6))</f>
        <v>0.0683790072141823</v>
      </c>
      <c r="E642" s="12" t="n">
        <f aca="false">D642^(-1/B642)-1</f>
        <v>0.0517528025</v>
      </c>
      <c r="F642" s="12" t="n">
        <f aca="false">(1+E642)^(1/12)-1</f>
        <v>0.00421369509431369</v>
      </c>
      <c r="G642" s="16" t="n">
        <f aca="false">IF(C642=0,(1+Dic2023!$J$6)^(-B642),EXP(LN(INDEX(Dic2023!$K$6:$K$205,C642))+(LN(INDEX(Dic2023!$K$6:$K$205,MIN(C642+1,200)))-LN(INDEX(Dic2023!$K$6:$K$205,C642)))*(A642-6*C642)/6))</f>
        <v>0.0683790072141823</v>
      </c>
      <c r="H642" s="12" t="n">
        <f aca="false">G642^(-1/B642)-1</f>
        <v>0.0517528025</v>
      </c>
      <c r="I642" s="12" t="n">
        <f aca="false">(1+H642)^(1/12)-1</f>
        <v>0.00421369509431369</v>
      </c>
      <c r="J642" s="16" t="n">
        <f aca="false">IF(C642=0,(1+Dic2023!$M$6)^(-B642),EXP(LN(INDEX(Dic2023!$N$6:$N$205,C642))+(LN(INDEX(Dic2023!$N$6:$N$205,MIN(C642+1,200)))-LN(INDEX(Dic2023!$N$6:$N$205,C642)))*(A642-6*C642)/6))</f>
        <v>0.0683790072141823</v>
      </c>
      <c r="K642" s="12" t="n">
        <f aca="false">J642^(-1/B642)-1</f>
        <v>0.0517528025</v>
      </c>
      <c r="L642" s="12" t="n">
        <f aca="false">(1+K642)^(1/12)-1</f>
        <v>0.00421369509431369</v>
      </c>
    </row>
    <row r="643" customFormat="false" ht="15" hidden="false" customHeight="false" outlineLevel="0" collapsed="false">
      <c r="A643" s="4" t="n">
        <v>639</v>
      </c>
      <c r="B643" s="14" t="n">
        <f aca="false">A643/12</f>
        <v>53.25</v>
      </c>
      <c r="C643" s="15" t="n">
        <f aca="false">INT(A643/6)</f>
        <v>106</v>
      </c>
      <c r="D643" s="16" t="n">
        <f aca="false">IF(C643=0,(1+Dic2023!$G$6)^(-B643),EXP(LN(INDEX(Dic2023!$H$6:$H$205,C643))+(LN(INDEX(Dic2023!$H$6:$H$205,MIN(C643+1,200)))-LN(INDEX(Dic2023!$H$6:$H$205,C643)))*(A643-6*C643)/6))</f>
        <v>0.0680920879173633</v>
      </c>
      <c r="E643" s="12" t="n">
        <f aca="false">D643^(-1/B643)-1</f>
        <v>0.0517528025</v>
      </c>
      <c r="F643" s="12" t="n">
        <f aca="false">(1+E643)^(1/12)-1</f>
        <v>0.00421369509431369</v>
      </c>
      <c r="G643" s="16" t="n">
        <f aca="false">IF(C643=0,(1+Dic2023!$J$6)^(-B643),EXP(LN(INDEX(Dic2023!$K$6:$K$205,C643))+(LN(INDEX(Dic2023!$K$6:$K$205,MIN(C643+1,200)))-LN(INDEX(Dic2023!$K$6:$K$205,C643)))*(A643-6*C643)/6))</f>
        <v>0.0680920879173633</v>
      </c>
      <c r="H643" s="12" t="n">
        <f aca="false">G643^(-1/B643)-1</f>
        <v>0.0517528025</v>
      </c>
      <c r="I643" s="12" t="n">
        <f aca="false">(1+H643)^(1/12)-1</f>
        <v>0.00421369509431369</v>
      </c>
      <c r="J643" s="16" t="n">
        <f aca="false">IF(C643=0,(1+Dic2023!$M$6)^(-B643),EXP(LN(INDEX(Dic2023!$N$6:$N$205,C643))+(LN(INDEX(Dic2023!$N$6:$N$205,MIN(C643+1,200)))-LN(INDEX(Dic2023!$N$6:$N$205,C643)))*(A643-6*C643)/6))</f>
        <v>0.0680920879173633</v>
      </c>
      <c r="K643" s="12" t="n">
        <f aca="false">J643^(-1/B643)-1</f>
        <v>0.0517528025</v>
      </c>
      <c r="L643" s="12" t="n">
        <f aca="false">(1+K643)^(1/12)-1</f>
        <v>0.00421369509431369</v>
      </c>
    </row>
    <row r="644" customFormat="false" ht="15" hidden="false" customHeight="false" outlineLevel="0" collapsed="false">
      <c r="A644" s="4" t="n">
        <v>640</v>
      </c>
      <c r="B644" s="14" t="n">
        <f aca="false">A644/12</f>
        <v>53.3333333333333</v>
      </c>
      <c r="C644" s="15" t="n">
        <f aca="false">INT(A644/6)</f>
        <v>106</v>
      </c>
      <c r="D644" s="16" t="n">
        <f aca="false">IF(C644=0,(1+Dic2023!$G$6)^(-B644),EXP(LN(INDEX(Dic2023!$H$6:$H$205,C644))+(LN(INDEX(Dic2023!$H$6:$H$205,MIN(C644+1,200)))-LN(INDEX(Dic2023!$H$6:$H$205,C644)))*(A644-6*C644)/6))</f>
        <v>0.0678063725380366</v>
      </c>
      <c r="E644" s="12" t="n">
        <f aca="false">D644^(-1/B644)-1</f>
        <v>0.0517528025</v>
      </c>
      <c r="F644" s="12" t="n">
        <f aca="false">(1+E644)^(1/12)-1</f>
        <v>0.00421369509431369</v>
      </c>
      <c r="G644" s="16" t="n">
        <f aca="false">IF(C644=0,(1+Dic2023!$J$6)^(-B644),EXP(LN(INDEX(Dic2023!$K$6:$K$205,C644))+(LN(INDEX(Dic2023!$K$6:$K$205,MIN(C644+1,200)))-LN(INDEX(Dic2023!$K$6:$K$205,C644)))*(A644-6*C644)/6))</f>
        <v>0.0678063725380366</v>
      </c>
      <c r="H644" s="12" t="n">
        <f aca="false">G644^(-1/B644)-1</f>
        <v>0.0517528025</v>
      </c>
      <c r="I644" s="12" t="n">
        <f aca="false">(1+H644)^(1/12)-1</f>
        <v>0.00421369509431369</v>
      </c>
      <c r="J644" s="16" t="n">
        <f aca="false">IF(C644=0,(1+Dic2023!$M$6)^(-B644),EXP(LN(INDEX(Dic2023!$N$6:$N$205,C644))+(LN(INDEX(Dic2023!$N$6:$N$205,MIN(C644+1,200)))-LN(INDEX(Dic2023!$N$6:$N$205,C644)))*(A644-6*C644)/6))</f>
        <v>0.0678063725380366</v>
      </c>
      <c r="K644" s="12" t="n">
        <f aca="false">J644^(-1/B644)-1</f>
        <v>0.0517528025</v>
      </c>
      <c r="L644" s="12" t="n">
        <f aca="false">(1+K644)^(1/12)-1</f>
        <v>0.00421369509431369</v>
      </c>
    </row>
    <row r="645" customFormat="false" ht="15" hidden="false" customHeight="false" outlineLevel="0" collapsed="false">
      <c r="A645" s="4" t="n">
        <v>641</v>
      </c>
      <c r="B645" s="14" t="n">
        <f aca="false">A645/12</f>
        <v>53.4166666666667</v>
      </c>
      <c r="C645" s="15" t="n">
        <f aca="false">INT(A645/6)</f>
        <v>106</v>
      </c>
      <c r="D645" s="16" t="n">
        <f aca="false">IF(C645=0,(1+Dic2023!$G$6)^(-B645),EXP(LN(INDEX(Dic2023!$H$6:$H$205,C645))+(LN(INDEX(Dic2023!$H$6:$H$205,MIN(C645+1,200)))-LN(INDEX(Dic2023!$H$6:$H$205,C645)))*(A645-6*C645)/6))</f>
        <v>0.067521856024547</v>
      </c>
      <c r="E645" s="12" t="n">
        <f aca="false">D645^(-1/B645)-1</f>
        <v>0.0517528025</v>
      </c>
      <c r="F645" s="12" t="n">
        <f aca="false">(1+E645)^(1/12)-1</f>
        <v>0.00421369509431369</v>
      </c>
      <c r="G645" s="16" t="n">
        <f aca="false">IF(C645=0,(1+Dic2023!$J$6)^(-B645),EXP(LN(INDEX(Dic2023!$K$6:$K$205,C645))+(LN(INDEX(Dic2023!$K$6:$K$205,MIN(C645+1,200)))-LN(INDEX(Dic2023!$K$6:$K$205,C645)))*(A645-6*C645)/6))</f>
        <v>0.067521856024547</v>
      </c>
      <c r="H645" s="12" t="n">
        <f aca="false">G645^(-1/B645)-1</f>
        <v>0.0517528025</v>
      </c>
      <c r="I645" s="12" t="n">
        <f aca="false">(1+H645)^(1/12)-1</f>
        <v>0.00421369509431369</v>
      </c>
      <c r="J645" s="16" t="n">
        <f aca="false">IF(C645=0,(1+Dic2023!$M$6)^(-B645),EXP(LN(INDEX(Dic2023!$N$6:$N$205,C645))+(LN(INDEX(Dic2023!$N$6:$N$205,MIN(C645+1,200)))-LN(INDEX(Dic2023!$N$6:$N$205,C645)))*(A645-6*C645)/6))</f>
        <v>0.067521856024547</v>
      </c>
      <c r="K645" s="12" t="n">
        <f aca="false">J645^(-1/B645)-1</f>
        <v>0.0517528025</v>
      </c>
      <c r="L645" s="12" t="n">
        <f aca="false">(1+K645)^(1/12)-1</f>
        <v>0.00421369509431369</v>
      </c>
    </row>
    <row r="646" customFormat="false" ht="15" hidden="false" customHeight="false" outlineLevel="0" collapsed="false">
      <c r="A646" s="4" t="n">
        <v>642</v>
      </c>
      <c r="B646" s="14" t="n">
        <f aca="false">A646/12</f>
        <v>53.5</v>
      </c>
      <c r="C646" s="15" t="n">
        <f aca="false">INT(A646/6)</f>
        <v>107</v>
      </c>
      <c r="D646" s="16" t="n">
        <f aca="false">IF(C646=0,(1+Dic2023!$G$6)^(-B646),EXP(LN(INDEX(Dic2023!$H$6:$H$205,C646))+(LN(INDEX(Dic2023!$H$6:$H$205,MIN(C646+1,200)))-LN(INDEX(Dic2023!$H$6:$H$205,C646)))*(A646-6*C646)/6))</f>
        <v>0.0672385333464363</v>
      </c>
      <c r="E646" s="12" t="n">
        <f aca="false">D646^(-1/B646)-1</f>
        <v>0.0517528025</v>
      </c>
      <c r="F646" s="12" t="n">
        <f aca="false">(1+E646)^(1/12)-1</f>
        <v>0.00421369509431369</v>
      </c>
      <c r="G646" s="16" t="n">
        <f aca="false">IF(C646=0,(1+Dic2023!$J$6)^(-B646),EXP(LN(INDEX(Dic2023!$K$6:$K$205,C646))+(LN(INDEX(Dic2023!$K$6:$K$205,MIN(C646+1,200)))-LN(INDEX(Dic2023!$K$6:$K$205,C646)))*(A646-6*C646)/6))</f>
        <v>0.0672385333464363</v>
      </c>
      <c r="H646" s="12" t="n">
        <f aca="false">G646^(-1/B646)-1</f>
        <v>0.0517528025</v>
      </c>
      <c r="I646" s="12" t="n">
        <f aca="false">(1+H646)^(1/12)-1</f>
        <v>0.00421369509431369</v>
      </c>
      <c r="J646" s="16" t="n">
        <f aca="false">IF(C646=0,(1+Dic2023!$M$6)^(-B646),EXP(LN(INDEX(Dic2023!$N$6:$N$205,C646))+(LN(INDEX(Dic2023!$N$6:$N$205,MIN(C646+1,200)))-LN(INDEX(Dic2023!$N$6:$N$205,C646)))*(A646-6*C646)/6))</f>
        <v>0.0672385333464363</v>
      </c>
      <c r="K646" s="12" t="n">
        <f aca="false">J646^(-1/B646)-1</f>
        <v>0.0517528025</v>
      </c>
      <c r="L646" s="12" t="n">
        <f aca="false">(1+K646)^(1/12)-1</f>
        <v>0.00421369509431369</v>
      </c>
    </row>
    <row r="647" customFormat="false" ht="15" hidden="false" customHeight="false" outlineLevel="0" collapsed="false">
      <c r="A647" s="4" t="n">
        <v>643</v>
      </c>
      <c r="B647" s="14" t="n">
        <f aca="false">A647/12</f>
        <v>53.5833333333333</v>
      </c>
      <c r="C647" s="15" t="n">
        <f aca="false">INT(A647/6)</f>
        <v>107</v>
      </c>
      <c r="D647" s="16" t="n">
        <f aca="false">IF(C647=0,(1+Dic2023!$G$6)^(-B647),EXP(LN(INDEX(Dic2023!$H$6:$H$205,C647))+(LN(INDEX(Dic2023!$H$6:$H$205,MIN(C647+1,200)))-LN(INDEX(Dic2023!$H$6:$H$205,C647)))*(A647-6*C647)/6))</f>
        <v>0.066956399494354</v>
      </c>
      <c r="E647" s="12" t="n">
        <f aca="false">D647^(-1/B647)-1</f>
        <v>0.0517528025</v>
      </c>
      <c r="F647" s="12" t="n">
        <f aca="false">(1+E647)^(1/12)-1</f>
        <v>0.00421369509431369</v>
      </c>
      <c r="G647" s="16" t="n">
        <f aca="false">IF(C647=0,(1+Dic2023!$J$6)^(-B647),EXP(LN(INDEX(Dic2023!$K$6:$K$205,C647))+(LN(INDEX(Dic2023!$K$6:$K$205,MIN(C647+1,200)))-LN(INDEX(Dic2023!$K$6:$K$205,C647)))*(A647-6*C647)/6))</f>
        <v>0.066956399494354</v>
      </c>
      <c r="H647" s="12" t="n">
        <f aca="false">G647^(-1/B647)-1</f>
        <v>0.0517528025</v>
      </c>
      <c r="I647" s="12" t="n">
        <f aca="false">(1+H647)^(1/12)-1</f>
        <v>0.00421369509431369</v>
      </c>
      <c r="J647" s="16" t="n">
        <f aca="false">IF(C647=0,(1+Dic2023!$M$6)^(-B647),EXP(LN(INDEX(Dic2023!$N$6:$N$205,C647))+(LN(INDEX(Dic2023!$N$6:$N$205,MIN(C647+1,200)))-LN(INDEX(Dic2023!$N$6:$N$205,C647)))*(A647-6*C647)/6))</f>
        <v>0.066956399494354</v>
      </c>
      <c r="K647" s="12" t="n">
        <f aca="false">J647^(-1/B647)-1</f>
        <v>0.0517528025</v>
      </c>
      <c r="L647" s="12" t="n">
        <f aca="false">(1+K647)^(1/12)-1</f>
        <v>0.00421369509431369</v>
      </c>
    </row>
    <row r="648" customFormat="false" ht="15" hidden="false" customHeight="false" outlineLevel="0" collapsed="false">
      <c r="A648" s="4" t="n">
        <v>644</v>
      </c>
      <c r="B648" s="14" t="n">
        <f aca="false">A648/12</f>
        <v>53.6666666666667</v>
      </c>
      <c r="C648" s="15" t="n">
        <f aca="false">INT(A648/6)</f>
        <v>107</v>
      </c>
      <c r="D648" s="16" t="n">
        <f aca="false">IF(C648=0,(1+Dic2023!$G$6)^(-B648),EXP(LN(INDEX(Dic2023!$H$6:$H$205,C648))+(LN(INDEX(Dic2023!$H$6:$H$205,MIN(C648+1,200)))-LN(INDEX(Dic2023!$H$6:$H$205,C648)))*(A648-6*C648)/6))</f>
        <v>0.0666754494799691</v>
      </c>
      <c r="E648" s="12" t="n">
        <f aca="false">D648^(-1/B648)-1</f>
        <v>0.0517528025</v>
      </c>
      <c r="F648" s="12" t="n">
        <f aca="false">(1+E648)^(1/12)-1</f>
        <v>0.00421369509431369</v>
      </c>
      <c r="G648" s="16" t="n">
        <f aca="false">IF(C648=0,(1+Dic2023!$J$6)^(-B648),EXP(LN(INDEX(Dic2023!$K$6:$K$205,C648))+(LN(INDEX(Dic2023!$K$6:$K$205,MIN(C648+1,200)))-LN(INDEX(Dic2023!$K$6:$K$205,C648)))*(A648-6*C648)/6))</f>
        <v>0.0666754494799691</v>
      </c>
      <c r="H648" s="12" t="n">
        <f aca="false">G648^(-1/B648)-1</f>
        <v>0.0517528025</v>
      </c>
      <c r="I648" s="12" t="n">
        <f aca="false">(1+H648)^(1/12)-1</f>
        <v>0.00421369509431369</v>
      </c>
      <c r="J648" s="16" t="n">
        <f aca="false">IF(C648=0,(1+Dic2023!$M$6)^(-B648),EXP(LN(INDEX(Dic2023!$N$6:$N$205,C648))+(LN(INDEX(Dic2023!$N$6:$N$205,MIN(C648+1,200)))-LN(INDEX(Dic2023!$N$6:$N$205,C648)))*(A648-6*C648)/6))</f>
        <v>0.0666754494799691</v>
      </c>
      <c r="K648" s="12" t="n">
        <f aca="false">J648^(-1/B648)-1</f>
        <v>0.0517528025</v>
      </c>
      <c r="L648" s="12" t="n">
        <f aca="false">(1+K648)^(1/12)-1</f>
        <v>0.00421369509431369</v>
      </c>
    </row>
    <row r="649" customFormat="false" ht="15" hidden="false" customHeight="false" outlineLevel="0" collapsed="false">
      <c r="A649" s="4" t="n">
        <v>645</v>
      </c>
      <c r="B649" s="14" t="n">
        <f aca="false">A649/12</f>
        <v>53.75</v>
      </c>
      <c r="C649" s="15" t="n">
        <f aca="false">INT(A649/6)</f>
        <v>107</v>
      </c>
      <c r="D649" s="16" t="n">
        <f aca="false">IF(C649=0,(1+Dic2023!$G$6)^(-B649),EXP(LN(INDEX(Dic2023!$H$6:$H$205,C649))+(LN(INDEX(Dic2023!$H$6:$H$205,MIN(C649+1,200)))-LN(INDEX(Dic2023!$H$6:$H$205,C649)))*(A649-6*C649)/6))</f>
        <v>0.0663956783358815</v>
      </c>
      <c r="E649" s="12" t="n">
        <f aca="false">D649^(-1/B649)-1</f>
        <v>0.0517528025</v>
      </c>
      <c r="F649" s="12" t="n">
        <f aca="false">(1+E649)^(1/12)-1</f>
        <v>0.00421369509431369</v>
      </c>
      <c r="G649" s="16" t="n">
        <f aca="false">IF(C649=0,(1+Dic2023!$J$6)^(-B649),EXP(LN(INDEX(Dic2023!$K$6:$K$205,C649))+(LN(INDEX(Dic2023!$K$6:$K$205,MIN(C649+1,200)))-LN(INDEX(Dic2023!$K$6:$K$205,C649)))*(A649-6*C649)/6))</f>
        <v>0.0663956783358815</v>
      </c>
      <c r="H649" s="12" t="n">
        <f aca="false">G649^(-1/B649)-1</f>
        <v>0.0517528025</v>
      </c>
      <c r="I649" s="12" t="n">
        <f aca="false">(1+H649)^(1/12)-1</f>
        <v>0.00421369509431369</v>
      </c>
      <c r="J649" s="16" t="n">
        <f aca="false">IF(C649=0,(1+Dic2023!$M$6)^(-B649),EXP(LN(INDEX(Dic2023!$N$6:$N$205,C649))+(LN(INDEX(Dic2023!$N$6:$N$205,MIN(C649+1,200)))-LN(INDEX(Dic2023!$N$6:$N$205,C649)))*(A649-6*C649)/6))</f>
        <v>0.0663956783358815</v>
      </c>
      <c r="K649" s="12" t="n">
        <f aca="false">J649^(-1/B649)-1</f>
        <v>0.0517528025</v>
      </c>
      <c r="L649" s="12" t="n">
        <f aca="false">(1+K649)^(1/12)-1</f>
        <v>0.00421369509431369</v>
      </c>
    </row>
    <row r="650" customFormat="false" ht="15" hidden="false" customHeight="false" outlineLevel="0" collapsed="false">
      <c r="A650" s="4" t="n">
        <v>646</v>
      </c>
      <c r="B650" s="14" t="n">
        <f aca="false">A650/12</f>
        <v>53.8333333333333</v>
      </c>
      <c r="C650" s="15" t="n">
        <f aca="false">INT(A650/6)</f>
        <v>107</v>
      </c>
      <c r="D650" s="16" t="n">
        <f aca="false">IF(C650=0,(1+Dic2023!$G$6)^(-B650),EXP(LN(INDEX(Dic2023!$H$6:$H$205,C650))+(LN(INDEX(Dic2023!$H$6:$H$205,MIN(C650+1,200)))-LN(INDEX(Dic2023!$H$6:$H$205,C650)))*(A650-6*C650)/6))</f>
        <v>0.0661170811155347</v>
      </c>
      <c r="E650" s="12" t="n">
        <f aca="false">D650^(-1/B650)-1</f>
        <v>0.0517528025</v>
      </c>
      <c r="F650" s="12" t="n">
        <f aca="false">(1+E650)^(1/12)-1</f>
        <v>0.00421369509431369</v>
      </c>
      <c r="G650" s="16" t="n">
        <f aca="false">IF(C650=0,(1+Dic2023!$J$6)^(-B650),EXP(LN(INDEX(Dic2023!$K$6:$K$205,C650))+(LN(INDEX(Dic2023!$K$6:$K$205,MIN(C650+1,200)))-LN(INDEX(Dic2023!$K$6:$K$205,C650)))*(A650-6*C650)/6))</f>
        <v>0.0661170811155347</v>
      </c>
      <c r="H650" s="12" t="n">
        <f aca="false">G650^(-1/B650)-1</f>
        <v>0.0517528025</v>
      </c>
      <c r="I650" s="12" t="n">
        <f aca="false">(1+H650)^(1/12)-1</f>
        <v>0.00421369509431369</v>
      </c>
      <c r="J650" s="16" t="n">
        <f aca="false">IF(C650=0,(1+Dic2023!$M$6)^(-B650),EXP(LN(INDEX(Dic2023!$N$6:$N$205,C650))+(LN(INDEX(Dic2023!$N$6:$N$205,MIN(C650+1,200)))-LN(INDEX(Dic2023!$N$6:$N$205,C650)))*(A650-6*C650)/6))</f>
        <v>0.0661170811155347</v>
      </c>
      <c r="K650" s="12" t="n">
        <f aca="false">J650^(-1/B650)-1</f>
        <v>0.0517528025</v>
      </c>
      <c r="L650" s="12" t="n">
        <f aca="false">(1+K650)^(1/12)-1</f>
        <v>0.00421369509431369</v>
      </c>
    </row>
    <row r="651" customFormat="false" ht="15" hidden="false" customHeight="false" outlineLevel="0" collapsed="false">
      <c r="A651" s="4" t="n">
        <v>647</v>
      </c>
      <c r="B651" s="14" t="n">
        <f aca="false">A651/12</f>
        <v>53.9166666666667</v>
      </c>
      <c r="C651" s="15" t="n">
        <f aca="false">INT(A651/6)</f>
        <v>107</v>
      </c>
      <c r="D651" s="16" t="n">
        <f aca="false">IF(C651=0,(1+Dic2023!$G$6)^(-B651),EXP(LN(INDEX(Dic2023!$H$6:$H$205,C651))+(LN(INDEX(Dic2023!$H$6:$H$205,MIN(C651+1,200)))-LN(INDEX(Dic2023!$H$6:$H$205,C651)))*(A651-6*C651)/6))</f>
        <v>0.0658396528931276</v>
      </c>
      <c r="E651" s="12" t="n">
        <f aca="false">D651^(-1/B651)-1</f>
        <v>0.0517528025</v>
      </c>
      <c r="F651" s="12" t="n">
        <f aca="false">(1+E651)^(1/12)-1</f>
        <v>0.00421369509431369</v>
      </c>
      <c r="G651" s="16" t="n">
        <f aca="false">IF(C651=0,(1+Dic2023!$J$6)^(-B651),EXP(LN(INDEX(Dic2023!$K$6:$K$205,C651))+(LN(INDEX(Dic2023!$K$6:$K$205,MIN(C651+1,200)))-LN(INDEX(Dic2023!$K$6:$K$205,C651)))*(A651-6*C651)/6))</f>
        <v>0.0658396528931276</v>
      </c>
      <c r="H651" s="12" t="n">
        <f aca="false">G651^(-1/B651)-1</f>
        <v>0.0517528025</v>
      </c>
      <c r="I651" s="12" t="n">
        <f aca="false">(1+H651)^(1/12)-1</f>
        <v>0.00421369509431369</v>
      </c>
      <c r="J651" s="16" t="n">
        <f aca="false">IF(C651=0,(1+Dic2023!$M$6)^(-B651),EXP(LN(INDEX(Dic2023!$N$6:$N$205,C651))+(LN(INDEX(Dic2023!$N$6:$N$205,MIN(C651+1,200)))-LN(INDEX(Dic2023!$N$6:$N$205,C651)))*(A651-6*C651)/6))</f>
        <v>0.0658396528931276</v>
      </c>
      <c r="K651" s="12" t="n">
        <f aca="false">J651^(-1/B651)-1</f>
        <v>0.0517528025</v>
      </c>
      <c r="L651" s="12" t="n">
        <f aca="false">(1+K651)^(1/12)-1</f>
        <v>0.00421369509431369</v>
      </c>
    </row>
    <row r="652" customFormat="false" ht="15" hidden="false" customHeight="false" outlineLevel="0" collapsed="false">
      <c r="A652" s="4" t="n">
        <v>648</v>
      </c>
      <c r="B652" s="14" t="n">
        <f aca="false">A652/12</f>
        <v>54</v>
      </c>
      <c r="C652" s="15" t="n">
        <f aca="false">INT(A652/6)</f>
        <v>108</v>
      </c>
      <c r="D652" s="16" t="n">
        <f aca="false">IF(C652=0,(1+Dic2023!$G$6)^(-B652),EXP(LN(INDEX(Dic2023!$H$6:$H$205,C652))+(LN(INDEX(Dic2023!$H$6:$H$205,MIN(C652+1,200)))-LN(INDEX(Dic2023!$H$6:$H$205,C652)))*(A652-6*C652)/6))</f>
        <v>0.0655633887635281</v>
      </c>
      <c r="E652" s="12" t="n">
        <f aca="false">D652^(-1/B652)-1</f>
        <v>0.0517528025</v>
      </c>
      <c r="F652" s="12" t="n">
        <f aca="false">(1+E652)^(1/12)-1</f>
        <v>0.00421369509431369</v>
      </c>
      <c r="G652" s="16" t="n">
        <f aca="false">IF(C652=0,(1+Dic2023!$J$6)^(-B652),EXP(LN(INDEX(Dic2023!$K$6:$K$205,C652))+(LN(INDEX(Dic2023!$K$6:$K$205,MIN(C652+1,200)))-LN(INDEX(Dic2023!$K$6:$K$205,C652)))*(A652-6*C652)/6))</f>
        <v>0.0655633887635281</v>
      </c>
      <c r="H652" s="12" t="n">
        <f aca="false">G652^(-1/B652)-1</f>
        <v>0.0517528025</v>
      </c>
      <c r="I652" s="12" t="n">
        <f aca="false">(1+H652)^(1/12)-1</f>
        <v>0.00421369509431369</v>
      </c>
      <c r="J652" s="16" t="n">
        <f aca="false">IF(C652=0,(1+Dic2023!$M$6)^(-B652),EXP(LN(INDEX(Dic2023!$N$6:$N$205,C652))+(LN(INDEX(Dic2023!$N$6:$N$205,MIN(C652+1,200)))-LN(INDEX(Dic2023!$N$6:$N$205,C652)))*(A652-6*C652)/6))</f>
        <v>0.0655633887635281</v>
      </c>
      <c r="K652" s="12" t="n">
        <f aca="false">J652^(-1/B652)-1</f>
        <v>0.0517528025</v>
      </c>
      <c r="L652" s="12" t="n">
        <f aca="false">(1+K652)^(1/12)-1</f>
        <v>0.00421369509431369</v>
      </c>
    </row>
    <row r="653" customFormat="false" ht="15" hidden="false" customHeight="false" outlineLevel="0" collapsed="false">
      <c r="A653" s="4" t="n">
        <v>649</v>
      </c>
      <c r="B653" s="14" t="n">
        <f aca="false">A653/12</f>
        <v>54.0833333333333</v>
      </c>
      <c r="C653" s="15" t="n">
        <f aca="false">INT(A653/6)</f>
        <v>108</v>
      </c>
      <c r="D653" s="16" t="n">
        <f aca="false">IF(C653=0,(1+Dic2023!$G$6)^(-B653),EXP(LN(INDEX(Dic2023!$H$6:$H$205,C653))+(LN(INDEX(Dic2023!$H$6:$H$205,MIN(C653+1,200)))-LN(INDEX(Dic2023!$H$6:$H$205,C653)))*(A653-6*C653)/6))</f>
        <v>0.0652882838421862</v>
      </c>
      <c r="E653" s="12" t="n">
        <f aca="false">D653^(-1/B653)-1</f>
        <v>0.0517528025</v>
      </c>
      <c r="F653" s="12" t="n">
        <f aca="false">(1+E653)^(1/12)-1</f>
        <v>0.00421369509431369</v>
      </c>
      <c r="G653" s="16" t="n">
        <f aca="false">IF(C653=0,(1+Dic2023!$J$6)^(-B653),EXP(LN(INDEX(Dic2023!$K$6:$K$205,C653))+(LN(INDEX(Dic2023!$K$6:$K$205,MIN(C653+1,200)))-LN(INDEX(Dic2023!$K$6:$K$205,C653)))*(A653-6*C653)/6))</f>
        <v>0.0652882838421862</v>
      </c>
      <c r="H653" s="12" t="n">
        <f aca="false">G653^(-1/B653)-1</f>
        <v>0.0517528025</v>
      </c>
      <c r="I653" s="12" t="n">
        <f aca="false">(1+H653)^(1/12)-1</f>
        <v>0.00421369509431369</v>
      </c>
      <c r="J653" s="16" t="n">
        <f aca="false">IF(C653=0,(1+Dic2023!$M$6)^(-B653),EXP(LN(INDEX(Dic2023!$N$6:$N$205,C653))+(LN(INDEX(Dic2023!$N$6:$N$205,MIN(C653+1,200)))-LN(INDEX(Dic2023!$N$6:$N$205,C653)))*(A653-6*C653)/6))</f>
        <v>0.0652882838421862</v>
      </c>
      <c r="K653" s="12" t="n">
        <f aca="false">J653^(-1/B653)-1</f>
        <v>0.0517528025</v>
      </c>
      <c r="L653" s="12" t="n">
        <f aca="false">(1+K653)^(1/12)-1</f>
        <v>0.00421369509431369</v>
      </c>
    </row>
    <row r="654" customFormat="false" ht="15" hidden="false" customHeight="false" outlineLevel="0" collapsed="false">
      <c r="A654" s="4" t="n">
        <v>650</v>
      </c>
      <c r="B654" s="14" t="n">
        <f aca="false">A654/12</f>
        <v>54.1666666666667</v>
      </c>
      <c r="C654" s="15" t="n">
        <f aca="false">INT(A654/6)</f>
        <v>108</v>
      </c>
      <c r="D654" s="16" t="n">
        <f aca="false">IF(C654=0,(1+Dic2023!$G$6)^(-B654),EXP(LN(INDEX(Dic2023!$H$6:$H$205,C654))+(LN(INDEX(Dic2023!$H$6:$H$205,MIN(C654+1,200)))-LN(INDEX(Dic2023!$H$6:$H$205,C654)))*(A654-6*C654)/6))</f>
        <v>0.0650143332650471</v>
      </c>
      <c r="E654" s="12" t="n">
        <f aca="false">D654^(-1/B654)-1</f>
        <v>0.0517528025</v>
      </c>
      <c r="F654" s="12" t="n">
        <f aca="false">(1+E654)^(1/12)-1</f>
        <v>0.00421369509431369</v>
      </c>
      <c r="G654" s="16" t="n">
        <f aca="false">IF(C654=0,(1+Dic2023!$J$6)^(-B654),EXP(LN(INDEX(Dic2023!$K$6:$K$205,C654))+(LN(INDEX(Dic2023!$K$6:$K$205,MIN(C654+1,200)))-LN(INDEX(Dic2023!$K$6:$K$205,C654)))*(A654-6*C654)/6))</f>
        <v>0.0650143332650471</v>
      </c>
      <c r="H654" s="12" t="n">
        <f aca="false">G654^(-1/B654)-1</f>
        <v>0.0517528025</v>
      </c>
      <c r="I654" s="12" t="n">
        <f aca="false">(1+H654)^(1/12)-1</f>
        <v>0.00421369509431369</v>
      </c>
      <c r="J654" s="16" t="n">
        <f aca="false">IF(C654=0,(1+Dic2023!$M$6)^(-B654),EXP(LN(INDEX(Dic2023!$N$6:$N$205,C654))+(LN(INDEX(Dic2023!$N$6:$N$205,MIN(C654+1,200)))-LN(INDEX(Dic2023!$N$6:$N$205,C654)))*(A654-6*C654)/6))</f>
        <v>0.0650143332650471</v>
      </c>
      <c r="K654" s="12" t="n">
        <f aca="false">J654^(-1/B654)-1</f>
        <v>0.0517528025</v>
      </c>
      <c r="L654" s="12" t="n">
        <f aca="false">(1+K654)^(1/12)-1</f>
        <v>0.00421369509431369</v>
      </c>
    </row>
    <row r="655" customFormat="false" ht="15" hidden="false" customHeight="false" outlineLevel="0" collapsed="false">
      <c r="A655" s="4" t="n">
        <v>651</v>
      </c>
      <c r="B655" s="14" t="n">
        <f aca="false">A655/12</f>
        <v>54.25</v>
      </c>
      <c r="C655" s="15" t="n">
        <f aca="false">INT(A655/6)</f>
        <v>108</v>
      </c>
      <c r="D655" s="16" t="n">
        <f aca="false">IF(C655=0,(1+Dic2023!$G$6)^(-B655),EXP(LN(INDEX(Dic2023!$H$6:$H$205,C655))+(LN(INDEX(Dic2023!$H$6:$H$205,MIN(C655+1,200)))-LN(INDEX(Dic2023!$H$6:$H$205,C655)))*(A655-6*C655)/6))</f>
        <v>0.0647415321884662</v>
      </c>
      <c r="E655" s="12" t="n">
        <f aca="false">D655^(-1/B655)-1</f>
        <v>0.0517528025</v>
      </c>
      <c r="F655" s="12" t="n">
        <f aca="false">(1+E655)^(1/12)-1</f>
        <v>0.00421369509431369</v>
      </c>
      <c r="G655" s="16" t="n">
        <f aca="false">IF(C655=0,(1+Dic2023!$J$6)^(-B655),EXP(LN(INDEX(Dic2023!$K$6:$K$205,C655))+(LN(INDEX(Dic2023!$K$6:$K$205,MIN(C655+1,200)))-LN(INDEX(Dic2023!$K$6:$K$205,C655)))*(A655-6*C655)/6))</f>
        <v>0.0647415321884662</v>
      </c>
      <c r="H655" s="12" t="n">
        <f aca="false">G655^(-1/B655)-1</f>
        <v>0.0517528025</v>
      </c>
      <c r="I655" s="12" t="n">
        <f aca="false">(1+H655)^(1/12)-1</f>
        <v>0.00421369509431369</v>
      </c>
      <c r="J655" s="16" t="n">
        <f aca="false">IF(C655=0,(1+Dic2023!$M$6)^(-B655),EXP(LN(INDEX(Dic2023!$N$6:$N$205,C655))+(LN(INDEX(Dic2023!$N$6:$N$205,MIN(C655+1,200)))-LN(INDEX(Dic2023!$N$6:$N$205,C655)))*(A655-6*C655)/6))</f>
        <v>0.0647415321884662</v>
      </c>
      <c r="K655" s="12" t="n">
        <f aca="false">J655^(-1/B655)-1</f>
        <v>0.0517528025</v>
      </c>
      <c r="L655" s="12" t="n">
        <f aca="false">(1+K655)^(1/12)-1</f>
        <v>0.00421369509431369</v>
      </c>
    </row>
    <row r="656" customFormat="false" ht="15" hidden="false" customHeight="false" outlineLevel="0" collapsed="false">
      <c r="A656" s="4" t="n">
        <v>652</v>
      </c>
      <c r="B656" s="14" t="n">
        <f aca="false">A656/12</f>
        <v>54.3333333333333</v>
      </c>
      <c r="C656" s="15" t="n">
        <f aca="false">INT(A656/6)</f>
        <v>108</v>
      </c>
      <c r="D656" s="16" t="n">
        <f aca="false">IF(C656=0,(1+Dic2023!$G$6)^(-B656),EXP(LN(INDEX(Dic2023!$H$6:$H$205,C656))+(LN(INDEX(Dic2023!$H$6:$H$205,MIN(C656+1,200)))-LN(INDEX(Dic2023!$H$6:$H$205,C656)))*(A656-6*C656)/6))</f>
        <v>0.0644698757891226</v>
      </c>
      <c r="E656" s="12" t="n">
        <f aca="false">D656^(-1/B656)-1</f>
        <v>0.0517528025</v>
      </c>
      <c r="F656" s="12" t="n">
        <f aca="false">(1+E656)^(1/12)-1</f>
        <v>0.00421369509431369</v>
      </c>
      <c r="G656" s="16" t="n">
        <f aca="false">IF(C656=0,(1+Dic2023!$J$6)^(-B656),EXP(LN(INDEX(Dic2023!$K$6:$K$205,C656))+(LN(INDEX(Dic2023!$K$6:$K$205,MIN(C656+1,200)))-LN(INDEX(Dic2023!$K$6:$K$205,C656)))*(A656-6*C656)/6))</f>
        <v>0.0644698757891226</v>
      </c>
      <c r="H656" s="12" t="n">
        <f aca="false">G656^(-1/B656)-1</f>
        <v>0.0517528025</v>
      </c>
      <c r="I656" s="12" t="n">
        <f aca="false">(1+H656)^(1/12)-1</f>
        <v>0.00421369509431369</v>
      </c>
      <c r="J656" s="16" t="n">
        <f aca="false">IF(C656=0,(1+Dic2023!$M$6)^(-B656),EXP(LN(INDEX(Dic2023!$N$6:$N$205,C656))+(LN(INDEX(Dic2023!$N$6:$N$205,MIN(C656+1,200)))-LN(INDEX(Dic2023!$N$6:$N$205,C656)))*(A656-6*C656)/6))</f>
        <v>0.0644698757891226</v>
      </c>
      <c r="K656" s="12" t="n">
        <f aca="false">J656^(-1/B656)-1</f>
        <v>0.0517528025</v>
      </c>
      <c r="L656" s="12" t="n">
        <f aca="false">(1+K656)^(1/12)-1</f>
        <v>0.00421369509431369</v>
      </c>
    </row>
    <row r="657" customFormat="false" ht="15" hidden="false" customHeight="false" outlineLevel="0" collapsed="false">
      <c r="A657" s="4" t="n">
        <v>653</v>
      </c>
      <c r="B657" s="14" t="n">
        <f aca="false">A657/12</f>
        <v>54.4166666666667</v>
      </c>
      <c r="C657" s="15" t="n">
        <f aca="false">INT(A657/6)</f>
        <v>108</v>
      </c>
      <c r="D657" s="16" t="n">
        <f aca="false">IF(C657=0,(1+Dic2023!$G$6)^(-B657),EXP(LN(INDEX(Dic2023!$H$6:$H$205,C657))+(LN(INDEX(Dic2023!$H$6:$H$205,MIN(C657+1,200)))-LN(INDEX(Dic2023!$H$6:$H$205,C657)))*(A657-6*C657)/6))</f>
        <v>0.0641993592639341</v>
      </c>
      <c r="E657" s="12" t="n">
        <f aca="false">D657^(-1/B657)-1</f>
        <v>0.0517528025</v>
      </c>
      <c r="F657" s="12" t="n">
        <f aca="false">(1+E657)^(1/12)-1</f>
        <v>0.00421369509431369</v>
      </c>
      <c r="G657" s="16" t="n">
        <f aca="false">IF(C657=0,(1+Dic2023!$J$6)^(-B657),EXP(LN(INDEX(Dic2023!$K$6:$K$205,C657))+(LN(INDEX(Dic2023!$K$6:$K$205,MIN(C657+1,200)))-LN(INDEX(Dic2023!$K$6:$K$205,C657)))*(A657-6*C657)/6))</f>
        <v>0.0641993592639341</v>
      </c>
      <c r="H657" s="12" t="n">
        <f aca="false">G657^(-1/B657)-1</f>
        <v>0.0517528025</v>
      </c>
      <c r="I657" s="12" t="n">
        <f aca="false">(1+H657)^(1/12)-1</f>
        <v>0.00421369509431369</v>
      </c>
      <c r="J657" s="16" t="n">
        <f aca="false">IF(C657=0,(1+Dic2023!$M$6)^(-B657),EXP(LN(INDEX(Dic2023!$N$6:$N$205,C657))+(LN(INDEX(Dic2023!$N$6:$N$205,MIN(C657+1,200)))-LN(INDEX(Dic2023!$N$6:$N$205,C657)))*(A657-6*C657)/6))</f>
        <v>0.0641993592639341</v>
      </c>
      <c r="K657" s="12" t="n">
        <f aca="false">J657^(-1/B657)-1</f>
        <v>0.0517528025</v>
      </c>
      <c r="L657" s="12" t="n">
        <f aca="false">(1+K657)^(1/12)-1</f>
        <v>0.00421369509431369</v>
      </c>
    </row>
    <row r="658" customFormat="false" ht="15" hidden="false" customHeight="false" outlineLevel="0" collapsed="false">
      <c r="A658" s="4" t="n">
        <v>654</v>
      </c>
      <c r="B658" s="14" t="n">
        <f aca="false">A658/12</f>
        <v>54.5</v>
      </c>
      <c r="C658" s="15" t="n">
        <f aca="false">INT(A658/6)</f>
        <v>109</v>
      </c>
      <c r="D658" s="16" t="n">
        <f aca="false">IF(C658=0,(1+Dic2023!$G$6)^(-B658),EXP(LN(INDEX(Dic2023!$H$6:$H$205,C658))+(LN(INDEX(Dic2023!$H$6:$H$205,MIN(C658+1,200)))-LN(INDEX(Dic2023!$H$6:$H$205,C658)))*(A658-6*C658)/6))</f>
        <v>0.0639299778299723</v>
      </c>
      <c r="E658" s="12" t="n">
        <f aca="false">D658^(-1/B658)-1</f>
        <v>0.0517528025</v>
      </c>
      <c r="F658" s="12" t="n">
        <f aca="false">(1+E658)^(1/12)-1</f>
        <v>0.00421369509431369</v>
      </c>
      <c r="G658" s="16" t="n">
        <f aca="false">IF(C658=0,(1+Dic2023!$J$6)^(-B658),EXP(LN(INDEX(Dic2023!$K$6:$K$205,C658))+(LN(INDEX(Dic2023!$K$6:$K$205,MIN(C658+1,200)))-LN(INDEX(Dic2023!$K$6:$K$205,C658)))*(A658-6*C658)/6))</f>
        <v>0.0639299778299723</v>
      </c>
      <c r="H658" s="12" t="n">
        <f aca="false">G658^(-1/B658)-1</f>
        <v>0.0517528025</v>
      </c>
      <c r="I658" s="12" t="n">
        <f aca="false">(1+H658)^(1/12)-1</f>
        <v>0.00421369509431369</v>
      </c>
      <c r="J658" s="16" t="n">
        <f aca="false">IF(C658=0,(1+Dic2023!$M$6)^(-B658),EXP(LN(INDEX(Dic2023!$N$6:$N$205,C658))+(LN(INDEX(Dic2023!$N$6:$N$205,MIN(C658+1,200)))-LN(INDEX(Dic2023!$N$6:$N$205,C658)))*(A658-6*C658)/6))</f>
        <v>0.0639299778299723</v>
      </c>
      <c r="K658" s="12" t="n">
        <f aca="false">J658^(-1/B658)-1</f>
        <v>0.0517528025</v>
      </c>
      <c r="L658" s="12" t="n">
        <f aca="false">(1+K658)^(1/12)-1</f>
        <v>0.00421369509431369</v>
      </c>
    </row>
    <row r="659" customFormat="false" ht="15" hidden="false" customHeight="false" outlineLevel="0" collapsed="false">
      <c r="A659" s="4" t="n">
        <v>655</v>
      </c>
      <c r="B659" s="14" t="n">
        <f aca="false">A659/12</f>
        <v>54.5833333333333</v>
      </c>
      <c r="C659" s="15" t="n">
        <f aca="false">INT(A659/6)</f>
        <v>109</v>
      </c>
      <c r="D659" s="16" t="n">
        <f aca="false">IF(C659=0,(1+Dic2023!$G$6)^(-B659),EXP(LN(INDEX(Dic2023!$H$6:$H$205,C659))+(LN(INDEX(Dic2023!$H$6:$H$205,MIN(C659+1,200)))-LN(INDEX(Dic2023!$H$6:$H$205,C659)))*(A659-6*C659)/6))</f>
        <v>0.0636617267243783</v>
      </c>
      <c r="E659" s="12" t="n">
        <f aca="false">D659^(-1/B659)-1</f>
        <v>0.0517528025</v>
      </c>
      <c r="F659" s="12" t="n">
        <f aca="false">(1+E659)^(1/12)-1</f>
        <v>0.00421369509431369</v>
      </c>
      <c r="G659" s="16" t="n">
        <f aca="false">IF(C659=0,(1+Dic2023!$J$6)^(-B659),EXP(LN(INDEX(Dic2023!$K$6:$K$205,C659))+(LN(INDEX(Dic2023!$K$6:$K$205,MIN(C659+1,200)))-LN(INDEX(Dic2023!$K$6:$K$205,C659)))*(A659-6*C659)/6))</f>
        <v>0.0636617267243783</v>
      </c>
      <c r="H659" s="12" t="n">
        <f aca="false">G659^(-1/B659)-1</f>
        <v>0.0517528025</v>
      </c>
      <c r="I659" s="12" t="n">
        <f aca="false">(1+H659)^(1/12)-1</f>
        <v>0.00421369509431369</v>
      </c>
      <c r="J659" s="16" t="n">
        <f aca="false">IF(C659=0,(1+Dic2023!$M$6)^(-B659),EXP(LN(INDEX(Dic2023!$N$6:$N$205,C659))+(LN(INDEX(Dic2023!$N$6:$N$205,MIN(C659+1,200)))-LN(INDEX(Dic2023!$N$6:$N$205,C659)))*(A659-6*C659)/6))</f>
        <v>0.0636617267243783</v>
      </c>
      <c r="K659" s="12" t="n">
        <f aca="false">J659^(-1/B659)-1</f>
        <v>0.0517528025</v>
      </c>
      <c r="L659" s="12" t="n">
        <f aca="false">(1+K659)^(1/12)-1</f>
        <v>0.00421369509431369</v>
      </c>
    </row>
    <row r="660" customFormat="false" ht="15" hidden="false" customHeight="false" outlineLevel="0" collapsed="false">
      <c r="A660" s="4" t="n">
        <v>656</v>
      </c>
      <c r="B660" s="14" t="n">
        <f aca="false">A660/12</f>
        <v>54.6666666666667</v>
      </c>
      <c r="C660" s="15" t="n">
        <f aca="false">INT(A660/6)</f>
        <v>109</v>
      </c>
      <c r="D660" s="16" t="n">
        <f aca="false">IF(C660=0,(1+Dic2023!$G$6)^(-B660),EXP(LN(INDEX(Dic2023!$H$6:$H$205,C660))+(LN(INDEX(Dic2023!$H$6:$H$205,MIN(C660+1,200)))-LN(INDEX(Dic2023!$H$6:$H$205,C660)))*(A660-6*C660)/6))</f>
        <v>0.0633946012042778</v>
      </c>
      <c r="E660" s="12" t="n">
        <f aca="false">D660^(-1/B660)-1</f>
        <v>0.0517528025</v>
      </c>
      <c r="F660" s="12" t="n">
        <f aca="false">(1+E660)^(1/12)-1</f>
        <v>0.00421369509431369</v>
      </c>
      <c r="G660" s="16" t="n">
        <f aca="false">IF(C660=0,(1+Dic2023!$J$6)^(-B660),EXP(LN(INDEX(Dic2023!$K$6:$K$205,C660))+(LN(INDEX(Dic2023!$K$6:$K$205,MIN(C660+1,200)))-LN(INDEX(Dic2023!$K$6:$K$205,C660)))*(A660-6*C660)/6))</f>
        <v>0.0633946012042778</v>
      </c>
      <c r="H660" s="12" t="n">
        <f aca="false">G660^(-1/B660)-1</f>
        <v>0.0517528025</v>
      </c>
      <c r="I660" s="12" t="n">
        <f aca="false">(1+H660)^(1/12)-1</f>
        <v>0.00421369509431369</v>
      </c>
      <c r="J660" s="16" t="n">
        <f aca="false">IF(C660=0,(1+Dic2023!$M$6)^(-B660),EXP(LN(INDEX(Dic2023!$N$6:$N$205,C660))+(LN(INDEX(Dic2023!$N$6:$N$205,MIN(C660+1,200)))-LN(INDEX(Dic2023!$N$6:$N$205,C660)))*(A660-6*C660)/6))</f>
        <v>0.0633946012042778</v>
      </c>
      <c r="K660" s="12" t="n">
        <f aca="false">J660^(-1/B660)-1</f>
        <v>0.0517528025</v>
      </c>
      <c r="L660" s="12" t="n">
        <f aca="false">(1+K660)^(1/12)-1</f>
        <v>0.00421369509431369</v>
      </c>
    </row>
    <row r="661" customFormat="false" ht="15" hidden="false" customHeight="false" outlineLevel="0" collapsed="false">
      <c r="A661" s="4" t="n">
        <v>657</v>
      </c>
      <c r="B661" s="14" t="n">
        <f aca="false">A661/12</f>
        <v>54.75</v>
      </c>
      <c r="C661" s="15" t="n">
        <f aca="false">INT(A661/6)</f>
        <v>109</v>
      </c>
      <c r="D661" s="16" t="n">
        <f aca="false">IF(C661=0,(1+Dic2023!$G$6)^(-B661),EXP(LN(INDEX(Dic2023!$H$6:$H$205,C661))+(LN(INDEX(Dic2023!$H$6:$H$205,MIN(C661+1,200)))-LN(INDEX(Dic2023!$H$6:$H$205,C661)))*(A661-6*C661)/6))</f>
        <v>0.0631285965466981</v>
      </c>
      <c r="E661" s="12" t="n">
        <f aca="false">D661^(-1/B661)-1</f>
        <v>0.0517528025</v>
      </c>
      <c r="F661" s="12" t="n">
        <f aca="false">(1+E661)^(1/12)-1</f>
        <v>0.00421369509431369</v>
      </c>
      <c r="G661" s="16" t="n">
        <f aca="false">IF(C661=0,(1+Dic2023!$J$6)^(-B661),EXP(LN(INDEX(Dic2023!$K$6:$K$205,C661))+(LN(INDEX(Dic2023!$K$6:$K$205,MIN(C661+1,200)))-LN(INDEX(Dic2023!$K$6:$K$205,C661)))*(A661-6*C661)/6))</f>
        <v>0.0631285965466981</v>
      </c>
      <c r="H661" s="12" t="n">
        <f aca="false">G661^(-1/B661)-1</f>
        <v>0.0517528025</v>
      </c>
      <c r="I661" s="12" t="n">
        <f aca="false">(1+H661)^(1/12)-1</f>
        <v>0.00421369509431369</v>
      </c>
      <c r="J661" s="16" t="n">
        <f aca="false">IF(C661=0,(1+Dic2023!$M$6)^(-B661),EXP(LN(INDEX(Dic2023!$N$6:$N$205,C661))+(LN(INDEX(Dic2023!$N$6:$N$205,MIN(C661+1,200)))-LN(INDEX(Dic2023!$N$6:$N$205,C661)))*(A661-6*C661)/6))</f>
        <v>0.0631285965466981</v>
      </c>
      <c r="K661" s="12" t="n">
        <f aca="false">J661^(-1/B661)-1</f>
        <v>0.0517528025</v>
      </c>
      <c r="L661" s="12" t="n">
        <f aca="false">(1+K661)^(1/12)-1</f>
        <v>0.00421369509431369</v>
      </c>
    </row>
    <row r="662" customFormat="false" ht="15" hidden="false" customHeight="false" outlineLevel="0" collapsed="false">
      <c r="A662" s="4" t="n">
        <v>658</v>
      </c>
      <c r="B662" s="14" t="n">
        <f aca="false">A662/12</f>
        <v>54.8333333333333</v>
      </c>
      <c r="C662" s="15" t="n">
        <f aca="false">INT(A662/6)</f>
        <v>109</v>
      </c>
      <c r="D662" s="16" t="n">
        <f aca="false">IF(C662=0,(1+Dic2023!$G$6)^(-B662),EXP(LN(INDEX(Dic2023!$H$6:$H$205,C662))+(LN(INDEX(Dic2023!$H$6:$H$205,MIN(C662+1,200)))-LN(INDEX(Dic2023!$H$6:$H$205,C662)))*(A662-6*C662)/6))</f>
        <v>0.0628637080484839</v>
      </c>
      <c r="E662" s="12" t="n">
        <f aca="false">D662^(-1/B662)-1</f>
        <v>0.0517528025</v>
      </c>
      <c r="F662" s="12" t="n">
        <f aca="false">(1+E662)^(1/12)-1</f>
        <v>0.00421369509431369</v>
      </c>
      <c r="G662" s="16" t="n">
        <f aca="false">IF(C662=0,(1+Dic2023!$J$6)^(-B662),EXP(LN(INDEX(Dic2023!$K$6:$K$205,C662))+(LN(INDEX(Dic2023!$K$6:$K$205,MIN(C662+1,200)))-LN(INDEX(Dic2023!$K$6:$K$205,C662)))*(A662-6*C662)/6))</f>
        <v>0.0628637080484839</v>
      </c>
      <c r="H662" s="12" t="n">
        <f aca="false">G662^(-1/B662)-1</f>
        <v>0.0517528025</v>
      </c>
      <c r="I662" s="12" t="n">
        <f aca="false">(1+H662)^(1/12)-1</f>
        <v>0.00421369509431369</v>
      </c>
      <c r="J662" s="16" t="n">
        <f aca="false">IF(C662=0,(1+Dic2023!$M$6)^(-B662),EXP(LN(INDEX(Dic2023!$N$6:$N$205,C662))+(LN(INDEX(Dic2023!$N$6:$N$205,MIN(C662+1,200)))-LN(INDEX(Dic2023!$N$6:$N$205,C662)))*(A662-6*C662)/6))</f>
        <v>0.0628637080484839</v>
      </c>
      <c r="K662" s="12" t="n">
        <f aca="false">J662^(-1/B662)-1</f>
        <v>0.0517528025</v>
      </c>
      <c r="L662" s="12" t="n">
        <f aca="false">(1+K662)^(1/12)-1</f>
        <v>0.00421369509431369</v>
      </c>
    </row>
    <row r="663" customFormat="false" ht="15" hidden="false" customHeight="false" outlineLevel="0" collapsed="false">
      <c r="A663" s="4" t="n">
        <v>659</v>
      </c>
      <c r="B663" s="14" t="n">
        <f aca="false">A663/12</f>
        <v>54.9166666666667</v>
      </c>
      <c r="C663" s="15" t="n">
        <f aca="false">INT(A663/6)</f>
        <v>109</v>
      </c>
      <c r="D663" s="16" t="n">
        <f aca="false">IF(C663=0,(1+Dic2023!$G$6)^(-B663),EXP(LN(INDEX(Dic2023!$H$6:$H$205,C663))+(LN(INDEX(Dic2023!$H$6:$H$205,MIN(C663+1,200)))-LN(INDEX(Dic2023!$H$6:$H$205,C663)))*(A663-6*C663)/6))</f>
        <v>0.0625999310262143</v>
      </c>
      <c r="E663" s="12" t="n">
        <f aca="false">D663^(-1/B663)-1</f>
        <v>0.0517528025</v>
      </c>
      <c r="F663" s="12" t="n">
        <f aca="false">(1+E663)^(1/12)-1</f>
        <v>0.00421369509431369</v>
      </c>
      <c r="G663" s="16" t="n">
        <f aca="false">IF(C663=0,(1+Dic2023!$J$6)^(-B663),EXP(LN(INDEX(Dic2023!$K$6:$K$205,C663))+(LN(INDEX(Dic2023!$K$6:$K$205,MIN(C663+1,200)))-LN(INDEX(Dic2023!$K$6:$K$205,C663)))*(A663-6*C663)/6))</f>
        <v>0.0625999310262143</v>
      </c>
      <c r="H663" s="12" t="n">
        <f aca="false">G663^(-1/B663)-1</f>
        <v>0.0517528025</v>
      </c>
      <c r="I663" s="12" t="n">
        <f aca="false">(1+H663)^(1/12)-1</f>
        <v>0.00421369509431369</v>
      </c>
      <c r="J663" s="16" t="n">
        <f aca="false">IF(C663=0,(1+Dic2023!$M$6)^(-B663),EXP(LN(INDEX(Dic2023!$N$6:$N$205,C663))+(LN(INDEX(Dic2023!$N$6:$N$205,MIN(C663+1,200)))-LN(INDEX(Dic2023!$N$6:$N$205,C663)))*(A663-6*C663)/6))</f>
        <v>0.0625999310262143</v>
      </c>
      <c r="K663" s="12" t="n">
        <f aca="false">J663^(-1/B663)-1</f>
        <v>0.0517528025</v>
      </c>
      <c r="L663" s="12" t="n">
        <f aca="false">(1+K663)^(1/12)-1</f>
        <v>0.00421369509431369</v>
      </c>
    </row>
    <row r="664" customFormat="false" ht="15" hidden="false" customHeight="false" outlineLevel="0" collapsed="false">
      <c r="A664" s="4" t="n">
        <v>660</v>
      </c>
      <c r="B664" s="14" t="n">
        <f aca="false">A664/12</f>
        <v>55</v>
      </c>
      <c r="C664" s="15" t="n">
        <f aca="false">INT(A664/6)</f>
        <v>110</v>
      </c>
      <c r="D664" s="16" t="n">
        <f aca="false">IF(C664=0,(1+Dic2023!$G$6)^(-B664),EXP(LN(INDEX(Dic2023!$H$6:$H$205,C664))+(LN(INDEX(Dic2023!$H$6:$H$205,MIN(C664+1,200)))-LN(INDEX(Dic2023!$H$6:$H$205,C664)))*(A664-6*C664)/6))</f>
        <v>0.0623372608161205</v>
      </c>
      <c r="E664" s="12" t="n">
        <f aca="false">D664^(-1/B664)-1</f>
        <v>0.0517528025</v>
      </c>
      <c r="F664" s="12" t="n">
        <f aca="false">(1+E664)^(1/12)-1</f>
        <v>0.00421369509431369</v>
      </c>
      <c r="G664" s="16" t="n">
        <f aca="false">IF(C664=0,(1+Dic2023!$J$6)^(-B664),EXP(LN(INDEX(Dic2023!$K$6:$K$205,C664))+(LN(INDEX(Dic2023!$K$6:$K$205,MIN(C664+1,200)))-LN(INDEX(Dic2023!$K$6:$K$205,C664)))*(A664-6*C664)/6))</f>
        <v>0.0623372608161205</v>
      </c>
      <c r="H664" s="12" t="n">
        <f aca="false">G664^(-1/B664)-1</f>
        <v>0.0517528025</v>
      </c>
      <c r="I664" s="12" t="n">
        <f aca="false">(1+H664)^(1/12)-1</f>
        <v>0.00421369509431369</v>
      </c>
      <c r="J664" s="16" t="n">
        <f aca="false">IF(C664=0,(1+Dic2023!$M$6)^(-B664),EXP(LN(INDEX(Dic2023!$N$6:$N$205,C664))+(LN(INDEX(Dic2023!$N$6:$N$205,MIN(C664+1,200)))-LN(INDEX(Dic2023!$N$6:$N$205,C664)))*(A664-6*C664)/6))</f>
        <v>0.0623372608161205</v>
      </c>
      <c r="K664" s="12" t="n">
        <f aca="false">J664^(-1/B664)-1</f>
        <v>0.0517528025</v>
      </c>
      <c r="L664" s="12" t="n">
        <f aca="false">(1+K664)^(1/12)-1</f>
        <v>0.00421369509431369</v>
      </c>
    </row>
    <row r="665" customFormat="false" ht="15" hidden="false" customHeight="false" outlineLevel="0" collapsed="false">
      <c r="A665" s="4" t="n">
        <v>661</v>
      </c>
      <c r="B665" s="14" t="n">
        <f aca="false">A665/12</f>
        <v>55.0833333333333</v>
      </c>
      <c r="C665" s="15" t="n">
        <f aca="false">INT(A665/6)</f>
        <v>110</v>
      </c>
      <c r="D665" s="16" t="n">
        <f aca="false">IF(C665=0,(1+Dic2023!$G$6)^(-B665),EXP(LN(INDEX(Dic2023!$H$6:$H$205,C665))+(LN(INDEX(Dic2023!$H$6:$H$205,MIN(C665+1,200)))-LN(INDEX(Dic2023!$H$6:$H$205,C665)))*(A665-6*C665)/6))</f>
        <v>0.0620756927740025</v>
      </c>
      <c r="E665" s="12" t="n">
        <f aca="false">D665^(-1/B665)-1</f>
        <v>0.0517528025</v>
      </c>
      <c r="F665" s="12" t="n">
        <f aca="false">(1+E665)^(1/12)-1</f>
        <v>0.00421369509431369</v>
      </c>
      <c r="G665" s="16" t="n">
        <f aca="false">IF(C665=0,(1+Dic2023!$J$6)^(-B665),EXP(LN(INDEX(Dic2023!$K$6:$K$205,C665))+(LN(INDEX(Dic2023!$K$6:$K$205,MIN(C665+1,200)))-LN(INDEX(Dic2023!$K$6:$K$205,C665)))*(A665-6*C665)/6))</f>
        <v>0.0620756927740025</v>
      </c>
      <c r="H665" s="12" t="n">
        <f aca="false">G665^(-1/B665)-1</f>
        <v>0.0517528025</v>
      </c>
      <c r="I665" s="12" t="n">
        <f aca="false">(1+H665)^(1/12)-1</f>
        <v>0.00421369509431369</v>
      </c>
      <c r="J665" s="16" t="n">
        <f aca="false">IF(C665=0,(1+Dic2023!$M$6)^(-B665),EXP(LN(INDEX(Dic2023!$N$6:$N$205,C665))+(LN(INDEX(Dic2023!$N$6:$N$205,MIN(C665+1,200)))-LN(INDEX(Dic2023!$N$6:$N$205,C665)))*(A665-6*C665)/6))</f>
        <v>0.0620756927740025</v>
      </c>
      <c r="K665" s="12" t="n">
        <f aca="false">J665^(-1/B665)-1</f>
        <v>0.0517528025</v>
      </c>
      <c r="L665" s="12" t="n">
        <f aca="false">(1+K665)^(1/12)-1</f>
        <v>0.00421369509431369</v>
      </c>
    </row>
    <row r="666" customFormat="false" ht="15" hidden="false" customHeight="false" outlineLevel="0" collapsed="false">
      <c r="A666" s="4" t="n">
        <v>662</v>
      </c>
      <c r="B666" s="14" t="n">
        <f aca="false">A666/12</f>
        <v>55.1666666666667</v>
      </c>
      <c r="C666" s="15" t="n">
        <f aca="false">INT(A666/6)</f>
        <v>110</v>
      </c>
      <c r="D666" s="16" t="n">
        <f aca="false">IF(C666=0,(1+Dic2023!$G$6)^(-B666),EXP(LN(INDEX(Dic2023!$H$6:$H$205,C666))+(LN(INDEX(Dic2023!$H$6:$H$205,MIN(C666+1,200)))-LN(INDEX(Dic2023!$H$6:$H$205,C666)))*(A666-6*C666)/6))</f>
        <v>0.0618152222751478</v>
      </c>
      <c r="E666" s="12" t="n">
        <f aca="false">D666^(-1/B666)-1</f>
        <v>0.0517528025</v>
      </c>
      <c r="F666" s="12" t="n">
        <f aca="false">(1+E666)^(1/12)-1</f>
        <v>0.00421369509431369</v>
      </c>
      <c r="G666" s="16" t="n">
        <f aca="false">IF(C666=0,(1+Dic2023!$J$6)^(-B666),EXP(LN(INDEX(Dic2023!$K$6:$K$205,C666))+(LN(INDEX(Dic2023!$K$6:$K$205,MIN(C666+1,200)))-LN(INDEX(Dic2023!$K$6:$K$205,C666)))*(A666-6*C666)/6))</f>
        <v>0.0618152222751478</v>
      </c>
      <c r="H666" s="12" t="n">
        <f aca="false">G666^(-1/B666)-1</f>
        <v>0.0517528025</v>
      </c>
      <c r="I666" s="12" t="n">
        <f aca="false">(1+H666)^(1/12)-1</f>
        <v>0.00421369509431369</v>
      </c>
      <c r="J666" s="16" t="n">
        <f aca="false">IF(C666=0,(1+Dic2023!$M$6)^(-B666),EXP(LN(INDEX(Dic2023!$N$6:$N$205,C666))+(LN(INDEX(Dic2023!$N$6:$N$205,MIN(C666+1,200)))-LN(INDEX(Dic2023!$N$6:$N$205,C666)))*(A666-6*C666)/6))</f>
        <v>0.0618152222751478</v>
      </c>
      <c r="K666" s="12" t="n">
        <f aca="false">J666^(-1/B666)-1</f>
        <v>0.0517528025</v>
      </c>
      <c r="L666" s="12" t="n">
        <f aca="false">(1+K666)^(1/12)-1</f>
        <v>0.00421369509431369</v>
      </c>
    </row>
    <row r="667" customFormat="false" ht="15" hidden="false" customHeight="false" outlineLevel="0" collapsed="false">
      <c r="A667" s="4" t="n">
        <v>663</v>
      </c>
      <c r="B667" s="14" t="n">
        <f aca="false">A667/12</f>
        <v>55.25</v>
      </c>
      <c r="C667" s="15" t="n">
        <f aca="false">INT(A667/6)</f>
        <v>110</v>
      </c>
      <c r="D667" s="16" t="n">
        <f aca="false">IF(C667=0,(1+Dic2023!$G$6)^(-B667),EXP(LN(INDEX(Dic2023!$H$6:$H$205,C667))+(LN(INDEX(Dic2023!$H$6:$H$205,MIN(C667+1,200)))-LN(INDEX(Dic2023!$H$6:$H$205,C667)))*(A667-6*C667)/6))</f>
        <v>0.0615558447142491</v>
      </c>
      <c r="E667" s="12" t="n">
        <f aca="false">D667^(-1/B667)-1</f>
        <v>0.0517528025</v>
      </c>
      <c r="F667" s="12" t="n">
        <f aca="false">(1+E667)^(1/12)-1</f>
        <v>0.00421369509431369</v>
      </c>
      <c r="G667" s="16" t="n">
        <f aca="false">IF(C667=0,(1+Dic2023!$J$6)^(-B667),EXP(LN(INDEX(Dic2023!$K$6:$K$205,C667))+(LN(INDEX(Dic2023!$K$6:$K$205,MIN(C667+1,200)))-LN(INDEX(Dic2023!$K$6:$K$205,C667)))*(A667-6*C667)/6))</f>
        <v>0.0615558447142491</v>
      </c>
      <c r="H667" s="12" t="n">
        <f aca="false">G667^(-1/B667)-1</f>
        <v>0.0517528025</v>
      </c>
      <c r="I667" s="12" t="n">
        <f aca="false">(1+H667)^(1/12)-1</f>
        <v>0.00421369509431369</v>
      </c>
      <c r="J667" s="16" t="n">
        <f aca="false">IF(C667=0,(1+Dic2023!$M$6)^(-B667),EXP(LN(INDEX(Dic2023!$N$6:$N$205,C667))+(LN(INDEX(Dic2023!$N$6:$N$205,MIN(C667+1,200)))-LN(INDEX(Dic2023!$N$6:$N$205,C667)))*(A667-6*C667)/6))</f>
        <v>0.0615558447142491</v>
      </c>
      <c r="K667" s="12" t="n">
        <f aca="false">J667^(-1/B667)-1</f>
        <v>0.0517528025</v>
      </c>
      <c r="L667" s="12" t="n">
        <f aca="false">(1+K667)^(1/12)-1</f>
        <v>0.00421369509431369</v>
      </c>
    </row>
    <row r="668" customFormat="false" ht="15" hidden="false" customHeight="false" outlineLevel="0" collapsed="false">
      <c r="A668" s="4" t="n">
        <v>664</v>
      </c>
      <c r="B668" s="14" t="n">
        <f aca="false">A668/12</f>
        <v>55.3333333333333</v>
      </c>
      <c r="C668" s="15" t="n">
        <f aca="false">INT(A668/6)</f>
        <v>110</v>
      </c>
      <c r="D668" s="16" t="n">
        <f aca="false">IF(C668=0,(1+Dic2023!$G$6)^(-B668),EXP(LN(INDEX(Dic2023!$H$6:$H$205,C668))+(LN(INDEX(Dic2023!$H$6:$H$205,MIN(C668+1,200)))-LN(INDEX(Dic2023!$H$6:$H$205,C668)))*(A668-6*C668)/6))</f>
        <v>0.0612975555053228</v>
      </c>
      <c r="E668" s="12" t="n">
        <f aca="false">D668^(-1/B668)-1</f>
        <v>0.0517528025</v>
      </c>
      <c r="F668" s="12" t="n">
        <f aca="false">(1+E668)^(1/12)-1</f>
        <v>0.00421369509431369</v>
      </c>
      <c r="G668" s="16" t="n">
        <f aca="false">IF(C668=0,(1+Dic2023!$J$6)^(-B668),EXP(LN(INDEX(Dic2023!$K$6:$K$205,C668))+(LN(INDEX(Dic2023!$K$6:$K$205,MIN(C668+1,200)))-LN(INDEX(Dic2023!$K$6:$K$205,C668)))*(A668-6*C668)/6))</f>
        <v>0.0612975555053228</v>
      </c>
      <c r="H668" s="12" t="n">
        <f aca="false">G668^(-1/B668)-1</f>
        <v>0.0517528025</v>
      </c>
      <c r="I668" s="12" t="n">
        <f aca="false">(1+H668)^(1/12)-1</f>
        <v>0.00421369509431369</v>
      </c>
      <c r="J668" s="16" t="n">
        <f aca="false">IF(C668=0,(1+Dic2023!$M$6)^(-B668),EXP(LN(INDEX(Dic2023!$N$6:$N$205,C668))+(LN(INDEX(Dic2023!$N$6:$N$205,MIN(C668+1,200)))-LN(INDEX(Dic2023!$N$6:$N$205,C668)))*(A668-6*C668)/6))</f>
        <v>0.0612975555053228</v>
      </c>
      <c r="K668" s="12" t="n">
        <f aca="false">J668^(-1/B668)-1</f>
        <v>0.0517528025</v>
      </c>
      <c r="L668" s="12" t="n">
        <f aca="false">(1+K668)^(1/12)-1</f>
        <v>0.00421369509431369</v>
      </c>
    </row>
    <row r="669" customFormat="false" ht="15" hidden="false" customHeight="false" outlineLevel="0" collapsed="false">
      <c r="A669" s="4" t="n">
        <v>665</v>
      </c>
      <c r="B669" s="14" t="n">
        <f aca="false">A669/12</f>
        <v>55.4166666666667</v>
      </c>
      <c r="C669" s="15" t="n">
        <f aca="false">INT(A669/6)</f>
        <v>110</v>
      </c>
      <c r="D669" s="16" t="n">
        <f aca="false">IF(C669=0,(1+Dic2023!$G$6)^(-B669),EXP(LN(INDEX(Dic2023!$H$6:$H$205,C669))+(LN(INDEX(Dic2023!$H$6:$H$205,MIN(C669+1,200)))-LN(INDEX(Dic2023!$H$6:$H$205,C669)))*(A669-6*C669)/6))</f>
        <v>0.0610403500816287</v>
      </c>
      <c r="E669" s="12" t="n">
        <f aca="false">D669^(-1/B669)-1</f>
        <v>0.0517528025</v>
      </c>
      <c r="F669" s="12" t="n">
        <f aca="false">(1+E669)^(1/12)-1</f>
        <v>0.00421369509431369</v>
      </c>
      <c r="G669" s="16" t="n">
        <f aca="false">IF(C669=0,(1+Dic2023!$J$6)^(-B669),EXP(LN(INDEX(Dic2023!$K$6:$K$205,C669))+(LN(INDEX(Dic2023!$K$6:$K$205,MIN(C669+1,200)))-LN(INDEX(Dic2023!$K$6:$K$205,C669)))*(A669-6*C669)/6))</f>
        <v>0.0610403500816287</v>
      </c>
      <c r="H669" s="12" t="n">
        <f aca="false">G669^(-1/B669)-1</f>
        <v>0.0517528025</v>
      </c>
      <c r="I669" s="12" t="n">
        <f aca="false">(1+H669)^(1/12)-1</f>
        <v>0.00421369509431369</v>
      </c>
      <c r="J669" s="16" t="n">
        <f aca="false">IF(C669=0,(1+Dic2023!$M$6)^(-B669),EXP(LN(INDEX(Dic2023!$N$6:$N$205,C669))+(LN(INDEX(Dic2023!$N$6:$N$205,MIN(C669+1,200)))-LN(INDEX(Dic2023!$N$6:$N$205,C669)))*(A669-6*C669)/6))</f>
        <v>0.0610403500816287</v>
      </c>
      <c r="K669" s="12" t="n">
        <f aca="false">J669^(-1/B669)-1</f>
        <v>0.0517528025</v>
      </c>
      <c r="L669" s="12" t="n">
        <f aca="false">(1+K669)^(1/12)-1</f>
        <v>0.00421369509431369</v>
      </c>
    </row>
    <row r="670" customFormat="false" ht="15" hidden="false" customHeight="false" outlineLevel="0" collapsed="false">
      <c r="A670" s="4" t="n">
        <v>666</v>
      </c>
      <c r="B670" s="14" t="n">
        <f aca="false">A670/12</f>
        <v>55.5</v>
      </c>
      <c r="C670" s="15" t="n">
        <f aca="false">INT(A670/6)</f>
        <v>111</v>
      </c>
      <c r="D670" s="16" t="n">
        <f aca="false">IF(C670=0,(1+Dic2023!$G$6)^(-B670),EXP(LN(INDEX(Dic2023!$H$6:$H$205,C670))+(LN(INDEX(Dic2023!$H$6:$H$205,MIN(C670+1,200)))-LN(INDEX(Dic2023!$H$6:$H$205,C670)))*(A670-6*C670)/6))</f>
        <v>0.0607842238955882</v>
      </c>
      <c r="E670" s="12" t="n">
        <f aca="false">D670^(-1/B670)-1</f>
        <v>0.0517528025</v>
      </c>
      <c r="F670" s="12" t="n">
        <f aca="false">(1+E670)^(1/12)-1</f>
        <v>0.00421369509431369</v>
      </c>
      <c r="G670" s="16" t="n">
        <f aca="false">IF(C670=0,(1+Dic2023!$J$6)^(-B670),EXP(LN(INDEX(Dic2023!$K$6:$K$205,C670))+(LN(INDEX(Dic2023!$K$6:$K$205,MIN(C670+1,200)))-LN(INDEX(Dic2023!$K$6:$K$205,C670)))*(A670-6*C670)/6))</f>
        <v>0.0607842238955882</v>
      </c>
      <c r="H670" s="12" t="n">
        <f aca="false">G670^(-1/B670)-1</f>
        <v>0.0517528025</v>
      </c>
      <c r="I670" s="12" t="n">
        <f aca="false">(1+H670)^(1/12)-1</f>
        <v>0.00421369509431369</v>
      </c>
      <c r="J670" s="16" t="n">
        <f aca="false">IF(C670=0,(1+Dic2023!$M$6)^(-B670),EXP(LN(INDEX(Dic2023!$N$6:$N$205,C670))+(LN(INDEX(Dic2023!$N$6:$N$205,MIN(C670+1,200)))-LN(INDEX(Dic2023!$N$6:$N$205,C670)))*(A670-6*C670)/6))</f>
        <v>0.0607842238955882</v>
      </c>
      <c r="K670" s="12" t="n">
        <f aca="false">J670^(-1/B670)-1</f>
        <v>0.0517528025</v>
      </c>
      <c r="L670" s="12" t="n">
        <f aca="false">(1+K670)^(1/12)-1</f>
        <v>0.00421369509431369</v>
      </c>
    </row>
    <row r="671" customFormat="false" ht="15" hidden="false" customHeight="false" outlineLevel="0" collapsed="false">
      <c r="A671" s="4" t="n">
        <v>667</v>
      </c>
      <c r="B671" s="14" t="n">
        <f aca="false">A671/12</f>
        <v>55.5833333333333</v>
      </c>
      <c r="C671" s="15" t="n">
        <f aca="false">INT(A671/6)</f>
        <v>111</v>
      </c>
      <c r="D671" s="16" t="n">
        <f aca="false">IF(C671=0,(1+Dic2023!$G$6)^(-B671),EXP(LN(INDEX(Dic2023!$H$6:$H$205,C671))+(LN(INDEX(Dic2023!$H$6:$H$205,MIN(C671+1,200)))-LN(INDEX(Dic2023!$H$6:$H$205,C671)))*(A671-6*C671)/6))</f>
        <v>0.0605291724187046</v>
      </c>
      <c r="E671" s="12" t="n">
        <f aca="false">D671^(-1/B671)-1</f>
        <v>0.0517528025</v>
      </c>
      <c r="F671" s="12" t="n">
        <f aca="false">(1+E671)^(1/12)-1</f>
        <v>0.00421369509431369</v>
      </c>
      <c r="G671" s="16" t="n">
        <f aca="false">IF(C671=0,(1+Dic2023!$J$6)^(-B671),EXP(LN(INDEX(Dic2023!$K$6:$K$205,C671))+(LN(INDEX(Dic2023!$K$6:$K$205,MIN(C671+1,200)))-LN(INDEX(Dic2023!$K$6:$K$205,C671)))*(A671-6*C671)/6))</f>
        <v>0.0605291724187046</v>
      </c>
      <c r="H671" s="12" t="n">
        <f aca="false">G671^(-1/B671)-1</f>
        <v>0.0517528025</v>
      </c>
      <c r="I671" s="12" t="n">
        <f aca="false">(1+H671)^(1/12)-1</f>
        <v>0.00421369509431369</v>
      </c>
      <c r="J671" s="16" t="n">
        <f aca="false">IF(C671=0,(1+Dic2023!$M$6)^(-B671),EXP(LN(INDEX(Dic2023!$N$6:$N$205,C671))+(LN(INDEX(Dic2023!$N$6:$N$205,MIN(C671+1,200)))-LN(INDEX(Dic2023!$N$6:$N$205,C671)))*(A671-6*C671)/6))</f>
        <v>0.0605291724187046</v>
      </c>
      <c r="K671" s="12" t="n">
        <f aca="false">J671^(-1/B671)-1</f>
        <v>0.0517528025</v>
      </c>
      <c r="L671" s="12" t="n">
        <f aca="false">(1+K671)^(1/12)-1</f>
        <v>0.00421369509431369</v>
      </c>
    </row>
    <row r="672" customFormat="false" ht="15" hidden="false" customHeight="false" outlineLevel="0" collapsed="false">
      <c r="A672" s="4" t="n">
        <v>668</v>
      </c>
      <c r="B672" s="14" t="n">
        <f aca="false">A672/12</f>
        <v>55.6666666666667</v>
      </c>
      <c r="C672" s="15" t="n">
        <f aca="false">INT(A672/6)</f>
        <v>111</v>
      </c>
      <c r="D672" s="16" t="n">
        <f aca="false">IF(C672=0,(1+Dic2023!$G$6)^(-B672),EXP(LN(INDEX(Dic2023!$H$6:$H$205,C672))+(LN(INDEX(Dic2023!$H$6:$H$205,MIN(C672+1,200)))-LN(INDEX(Dic2023!$H$6:$H$205,C672)))*(A672-6*C672)/6))</f>
        <v>0.0602751911414829</v>
      </c>
      <c r="E672" s="12" t="n">
        <f aca="false">D672^(-1/B672)-1</f>
        <v>0.0517528025</v>
      </c>
      <c r="F672" s="12" t="n">
        <f aca="false">(1+E672)^(1/12)-1</f>
        <v>0.00421369509431369</v>
      </c>
      <c r="G672" s="16" t="n">
        <f aca="false">IF(C672=0,(1+Dic2023!$J$6)^(-B672),EXP(LN(INDEX(Dic2023!$K$6:$K$205,C672))+(LN(INDEX(Dic2023!$K$6:$K$205,MIN(C672+1,200)))-LN(INDEX(Dic2023!$K$6:$K$205,C672)))*(A672-6*C672)/6))</f>
        <v>0.0602751911414829</v>
      </c>
      <c r="H672" s="12" t="n">
        <f aca="false">G672^(-1/B672)-1</f>
        <v>0.0517528025</v>
      </c>
      <c r="I672" s="12" t="n">
        <f aca="false">(1+H672)^(1/12)-1</f>
        <v>0.00421369509431369</v>
      </c>
      <c r="J672" s="16" t="n">
        <f aca="false">IF(C672=0,(1+Dic2023!$M$6)^(-B672),EXP(LN(INDEX(Dic2023!$N$6:$N$205,C672))+(LN(INDEX(Dic2023!$N$6:$N$205,MIN(C672+1,200)))-LN(INDEX(Dic2023!$N$6:$N$205,C672)))*(A672-6*C672)/6))</f>
        <v>0.0602751911414829</v>
      </c>
      <c r="K672" s="12" t="n">
        <f aca="false">J672^(-1/B672)-1</f>
        <v>0.0517528025</v>
      </c>
      <c r="L672" s="12" t="n">
        <f aca="false">(1+K672)^(1/12)-1</f>
        <v>0.00421369509431369</v>
      </c>
    </row>
    <row r="673" customFormat="false" ht="15" hidden="false" customHeight="false" outlineLevel="0" collapsed="false">
      <c r="A673" s="4" t="n">
        <v>669</v>
      </c>
      <c r="B673" s="14" t="n">
        <f aca="false">A673/12</f>
        <v>55.75</v>
      </c>
      <c r="C673" s="15" t="n">
        <f aca="false">INT(A673/6)</f>
        <v>111</v>
      </c>
      <c r="D673" s="16" t="n">
        <f aca="false">IF(C673=0,(1+Dic2023!$G$6)^(-B673),EXP(LN(INDEX(Dic2023!$H$6:$H$205,C673))+(LN(INDEX(Dic2023!$H$6:$H$205,MIN(C673+1,200)))-LN(INDEX(Dic2023!$H$6:$H$205,C673)))*(A673-6*C673)/6))</f>
        <v>0.0600222755733499</v>
      </c>
      <c r="E673" s="12" t="n">
        <f aca="false">D673^(-1/B673)-1</f>
        <v>0.0517528025</v>
      </c>
      <c r="F673" s="12" t="n">
        <f aca="false">(1+E673)^(1/12)-1</f>
        <v>0.00421369509431369</v>
      </c>
      <c r="G673" s="16" t="n">
        <f aca="false">IF(C673=0,(1+Dic2023!$J$6)^(-B673),EXP(LN(INDEX(Dic2023!$K$6:$K$205,C673))+(LN(INDEX(Dic2023!$K$6:$K$205,MIN(C673+1,200)))-LN(INDEX(Dic2023!$K$6:$K$205,C673)))*(A673-6*C673)/6))</f>
        <v>0.0600222755733499</v>
      </c>
      <c r="H673" s="12" t="n">
        <f aca="false">G673^(-1/B673)-1</f>
        <v>0.0517528025</v>
      </c>
      <c r="I673" s="12" t="n">
        <f aca="false">(1+H673)^(1/12)-1</f>
        <v>0.00421369509431369</v>
      </c>
      <c r="J673" s="16" t="n">
        <f aca="false">IF(C673=0,(1+Dic2023!$M$6)^(-B673),EXP(LN(INDEX(Dic2023!$N$6:$N$205,C673))+(LN(INDEX(Dic2023!$N$6:$N$205,MIN(C673+1,200)))-LN(INDEX(Dic2023!$N$6:$N$205,C673)))*(A673-6*C673)/6))</f>
        <v>0.0600222755733499</v>
      </c>
      <c r="K673" s="12" t="n">
        <f aca="false">J673^(-1/B673)-1</f>
        <v>0.0517528025</v>
      </c>
      <c r="L673" s="12" t="n">
        <f aca="false">(1+K673)^(1/12)-1</f>
        <v>0.00421369509431369</v>
      </c>
    </row>
    <row r="674" customFormat="false" ht="15" hidden="false" customHeight="false" outlineLevel="0" collapsed="false">
      <c r="A674" s="4" t="n">
        <v>670</v>
      </c>
      <c r="B674" s="14" t="n">
        <f aca="false">A674/12</f>
        <v>55.8333333333333</v>
      </c>
      <c r="C674" s="15" t="n">
        <f aca="false">INT(A674/6)</f>
        <v>111</v>
      </c>
      <c r="D674" s="16" t="n">
        <f aca="false">IF(C674=0,(1+Dic2023!$G$6)^(-B674),EXP(LN(INDEX(Dic2023!$H$6:$H$205,C674))+(LN(INDEX(Dic2023!$H$6:$H$205,MIN(C674+1,200)))-LN(INDEX(Dic2023!$H$6:$H$205,C674)))*(A674-6*C674)/6))</f>
        <v>0.059770421242575</v>
      </c>
      <c r="E674" s="12" t="n">
        <f aca="false">D674^(-1/B674)-1</f>
        <v>0.0517528025</v>
      </c>
      <c r="F674" s="12" t="n">
        <f aca="false">(1+E674)^(1/12)-1</f>
        <v>0.00421369509431369</v>
      </c>
      <c r="G674" s="16" t="n">
        <f aca="false">IF(C674=0,(1+Dic2023!$J$6)^(-B674),EXP(LN(INDEX(Dic2023!$K$6:$K$205,C674))+(LN(INDEX(Dic2023!$K$6:$K$205,MIN(C674+1,200)))-LN(INDEX(Dic2023!$K$6:$K$205,C674)))*(A674-6*C674)/6))</f>
        <v>0.059770421242575</v>
      </c>
      <c r="H674" s="12" t="n">
        <f aca="false">G674^(-1/B674)-1</f>
        <v>0.0517528025</v>
      </c>
      <c r="I674" s="12" t="n">
        <f aca="false">(1+H674)^(1/12)-1</f>
        <v>0.00421369509431369</v>
      </c>
      <c r="J674" s="16" t="n">
        <f aca="false">IF(C674=0,(1+Dic2023!$M$6)^(-B674),EXP(LN(INDEX(Dic2023!$N$6:$N$205,C674))+(LN(INDEX(Dic2023!$N$6:$N$205,MIN(C674+1,200)))-LN(INDEX(Dic2023!$N$6:$N$205,C674)))*(A674-6*C674)/6))</f>
        <v>0.059770421242575</v>
      </c>
      <c r="K674" s="12" t="n">
        <f aca="false">J674^(-1/B674)-1</f>
        <v>0.0517528025</v>
      </c>
      <c r="L674" s="12" t="n">
        <f aca="false">(1+K674)^(1/12)-1</f>
        <v>0.00421369509431369</v>
      </c>
    </row>
    <row r="675" customFormat="false" ht="15" hidden="false" customHeight="false" outlineLevel="0" collapsed="false">
      <c r="A675" s="4" t="n">
        <v>671</v>
      </c>
      <c r="B675" s="14" t="n">
        <f aca="false">A675/12</f>
        <v>55.9166666666667</v>
      </c>
      <c r="C675" s="15" t="n">
        <f aca="false">INT(A675/6)</f>
        <v>111</v>
      </c>
      <c r="D675" s="16" t="n">
        <f aca="false">IF(C675=0,(1+Dic2023!$G$6)^(-B675),EXP(LN(INDEX(Dic2023!$H$6:$H$205,C675))+(LN(INDEX(Dic2023!$H$6:$H$205,MIN(C675+1,200)))-LN(INDEX(Dic2023!$H$6:$H$205,C675)))*(A675-6*C675)/6))</f>
        <v>0.059519623696191</v>
      </c>
      <c r="E675" s="12" t="n">
        <f aca="false">D675^(-1/B675)-1</f>
        <v>0.0517528025</v>
      </c>
      <c r="F675" s="12" t="n">
        <f aca="false">(1+E675)^(1/12)-1</f>
        <v>0.00421369509431369</v>
      </c>
      <c r="G675" s="16" t="n">
        <f aca="false">IF(C675=0,(1+Dic2023!$J$6)^(-B675),EXP(LN(INDEX(Dic2023!$K$6:$K$205,C675))+(LN(INDEX(Dic2023!$K$6:$K$205,MIN(C675+1,200)))-LN(INDEX(Dic2023!$K$6:$K$205,C675)))*(A675-6*C675)/6))</f>
        <v>0.059519623696191</v>
      </c>
      <c r="H675" s="12" t="n">
        <f aca="false">G675^(-1/B675)-1</f>
        <v>0.0517528025</v>
      </c>
      <c r="I675" s="12" t="n">
        <f aca="false">(1+H675)^(1/12)-1</f>
        <v>0.00421369509431369</v>
      </c>
      <c r="J675" s="16" t="n">
        <f aca="false">IF(C675=0,(1+Dic2023!$M$6)^(-B675),EXP(LN(INDEX(Dic2023!$N$6:$N$205,C675))+(LN(INDEX(Dic2023!$N$6:$N$205,MIN(C675+1,200)))-LN(INDEX(Dic2023!$N$6:$N$205,C675)))*(A675-6*C675)/6))</f>
        <v>0.059519623696191</v>
      </c>
      <c r="K675" s="12" t="n">
        <f aca="false">J675^(-1/B675)-1</f>
        <v>0.0517528025</v>
      </c>
      <c r="L675" s="12" t="n">
        <f aca="false">(1+K675)^(1/12)-1</f>
        <v>0.00421369509431369</v>
      </c>
    </row>
    <row r="676" customFormat="false" ht="15" hidden="false" customHeight="false" outlineLevel="0" collapsed="false">
      <c r="A676" s="4" t="n">
        <v>672</v>
      </c>
      <c r="B676" s="14" t="n">
        <f aca="false">A676/12</f>
        <v>56</v>
      </c>
      <c r="C676" s="15" t="n">
        <f aca="false">INT(A676/6)</f>
        <v>112</v>
      </c>
      <c r="D676" s="16" t="n">
        <f aca="false">IF(C676=0,(1+Dic2023!$G$6)^(-B676),EXP(LN(INDEX(Dic2023!$H$6:$H$205,C676))+(LN(INDEX(Dic2023!$H$6:$H$205,MIN(C676+1,200)))-LN(INDEX(Dic2023!$H$6:$H$205,C676)))*(A676-6*C676)/6))</f>
        <v>0.0592698784999153</v>
      </c>
      <c r="E676" s="12" t="n">
        <f aca="false">D676^(-1/B676)-1</f>
        <v>0.0517528025</v>
      </c>
      <c r="F676" s="12" t="n">
        <f aca="false">(1+E676)^(1/12)-1</f>
        <v>0.00421369509431369</v>
      </c>
      <c r="G676" s="16" t="n">
        <f aca="false">IF(C676=0,(1+Dic2023!$J$6)^(-B676),EXP(LN(INDEX(Dic2023!$K$6:$K$205,C676))+(LN(INDEX(Dic2023!$K$6:$K$205,MIN(C676+1,200)))-LN(INDEX(Dic2023!$K$6:$K$205,C676)))*(A676-6*C676)/6))</f>
        <v>0.0592698784999153</v>
      </c>
      <c r="H676" s="12" t="n">
        <f aca="false">G676^(-1/B676)-1</f>
        <v>0.0517528025</v>
      </c>
      <c r="I676" s="12" t="n">
        <f aca="false">(1+H676)^(1/12)-1</f>
        <v>0.00421369509431369</v>
      </c>
      <c r="J676" s="16" t="n">
        <f aca="false">IF(C676=0,(1+Dic2023!$M$6)^(-B676),EXP(LN(INDEX(Dic2023!$N$6:$N$205,C676))+(LN(INDEX(Dic2023!$N$6:$N$205,MIN(C676+1,200)))-LN(INDEX(Dic2023!$N$6:$N$205,C676)))*(A676-6*C676)/6))</f>
        <v>0.0592698784999153</v>
      </c>
      <c r="K676" s="12" t="n">
        <f aca="false">J676^(-1/B676)-1</f>
        <v>0.0517528025</v>
      </c>
      <c r="L676" s="12" t="n">
        <f aca="false">(1+K676)^(1/12)-1</f>
        <v>0.00421369509431369</v>
      </c>
    </row>
    <row r="677" customFormat="false" ht="15" hidden="false" customHeight="false" outlineLevel="0" collapsed="false">
      <c r="A677" s="4" t="n">
        <v>673</v>
      </c>
      <c r="B677" s="14" t="n">
        <f aca="false">A677/12</f>
        <v>56.0833333333333</v>
      </c>
      <c r="C677" s="15" t="n">
        <f aca="false">INT(A677/6)</f>
        <v>112</v>
      </c>
      <c r="D677" s="16" t="n">
        <f aca="false">IF(C677=0,(1+Dic2023!$G$6)^(-B677),EXP(LN(INDEX(Dic2023!$H$6:$H$205,C677))+(LN(INDEX(Dic2023!$H$6:$H$205,MIN(C677+1,200)))-LN(INDEX(Dic2023!$H$6:$H$205,C677)))*(A677-6*C677)/6))</f>
        <v>0.0590211812380719</v>
      </c>
      <c r="E677" s="12" t="n">
        <f aca="false">D677^(-1/B677)-1</f>
        <v>0.0517528025</v>
      </c>
      <c r="F677" s="12" t="n">
        <f aca="false">(1+E677)^(1/12)-1</f>
        <v>0.00421369509431369</v>
      </c>
      <c r="G677" s="16" t="n">
        <f aca="false">IF(C677=0,(1+Dic2023!$J$6)^(-B677),EXP(LN(INDEX(Dic2023!$K$6:$K$205,C677))+(LN(INDEX(Dic2023!$K$6:$K$205,MIN(C677+1,200)))-LN(INDEX(Dic2023!$K$6:$K$205,C677)))*(A677-6*C677)/6))</f>
        <v>0.0590211812380719</v>
      </c>
      <c r="H677" s="12" t="n">
        <f aca="false">G677^(-1/B677)-1</f>
        <v>0.0517528025</v>
      </c>
      <c r="I677" s="12" t="n">
        <f aca="false">(1+H677)^(1/12)-1</f>
        <v>0.00421369509431369</v>
      </c>
      <c r="J677" s="16" t="n">
        <f aca="false">IF(C677=0,(1+Dic2023!$M$6)^(-B677),EXP(LN(INDEX(Dic2023!$N$6:$N$205,C677))+(LN(INDEX(Dic2023!$N$6:$N$205,MIN(C677+1,200)))-LN(INDEX(Dic2023!$N$6:$N$205,C677)))*(A677-6*C677)/6))</f>
        <v>0.0590211812380719</v>
      </c>
      <c r="K677" s="12" t="n">
        <f aca="false">J677^(-1/B677)-1</f>
        <v>0.0517528025</v>
      </c>
      <c r="L677" s="12" t="n">
        <f aca="false">(1+K677)^(1/12)-1</f>
        <v>0.00421369509431369</v>
      </c>
    </row>
    <row r="678" customFormat="false" ht="15" hidden="false" customHeight="false" outlineLevel="0" collapsed="false">
      <c r="A678" s="4" t="n">
        <v>674</v>
      </c>
      <c r="B678" s="14" t="n">
        <f aca="false">A678/12</f>
        <v>56.1666666666667</v>
      </c>
      <c r="C678" s="15" t="n">
        <f aca="false">INT(A678/6)</f>
        <v>112</v>
      </c>
      <c r="D678" s="16" t="n">
        <f aca="false">IF(C678=0,(1+Dic2023!$G$6)^(-B678),EXP(LN(INDEX(Dic2023!$H$6:$H$205,C678))+(LN(INDEX(Dic2023!$H$6:$H$205,MIN(C678+1,200)))-LN(INDEX(Dic2023!$H$6:$H$205,C678)))*(A678-6*C678)/6))</f>
        <v>0.0587735275135127</v>
      </c>
      <c r="E678" s="12" t="n">
        <f aca="false">D678^(-1/B678)-1</f>
        <v>0.0517528025</v>
      </c>
      <c r="F678" s="12" t="n">
        <f aca="false">(1+E678)^(1/12)-1</f>
        <v>0.00421369509431369</v>
      </c>
      <c r="G678" s="16" t="n">
        <f aca="false">IF(C678=0,(1+Dic2023!$J$6)^(-B678),EXP(LN(INDEX(Dic2023!$K$6:$K$205,C678))+(LN(INDEX(Dic2023!$K$6:$K$205,MIN(C678+1,200)))-LN(INDEX(Dic2023!$K$6:$K$205,C678)))*(A678-6*C678)/6))</f>
        <v>0.0587735275135127</v>
      </c>
      <c r="H678" s="12" t="n">
        <f aca="false">G678^(-1/B678)-1</f>
        <v>0.0517528025</v>
      </c>
      <c r="I678" s="12" t="n">
        <f aca="false">(1+H678)^(1/12)-1</f>
        <v>0.00421369509431369</v>
      </c>
      <c r="J678" s="16" t="n">
        <f aca="false">IF(C678=0,(1+Dic2023!$M$6)^(-B678),EXP(LN(INDEX(Dic2023!$N$6:$N$205,C678))+(LN(INDEX(Dic2023!$N$6:$N$205,MIN(C678+1,200)))-LN(INDEX(Dic2023!$N$6:$N$205,C678)))*(A678-6*C678)/6))</f>
        <v>0.0587735275135127</v>
      </c>
      <c r="K678" s="12" t="n">
        <f aca="false">J678^(-1/B678)-1</f>
        <v>0.0517528025</v>
      </c>
      <c r="L678" s="12" t="n">
        <f aca="false">(1+K678)^(1/12)-1</f>
        <v>0.00421369509431369</v>
      </c>
    </row>
    <row r="679" customFormat="false" ht="15" hidden="false" customHeight="false" outlineLevel="0" collapsed="false">
      <c r="A679" s="4" t="n">
        <v>675</v>
      </c>
      <c r="B679" s="14" t="n">
        <f aca="false">A679/12</f>
        <v>56.25</v>
      </c>
      <c r="C679" s="15" t="n">
        <f aca="false">INT(A679/6)</f>
        <v>112</v>
      </c>
      <c r="D679" s="16" t="n">
        <f aca="false">IF(C679=0,(1+Dic2023!$G$6)^(-B679),EXP(LN(INDEX(Dic2023!$H$6:$H$205,C679))+(LN(INDEX(Dic2023!$H$6:$H$205,MIN(C679+1,200)))-LN(INDEX(Dic2023!$H$6:$H$205,C679)))*(A679-6*C679)/6))</f>
        <v>0.0585269129475403</v>
      </c>
      <c r="E679" s="12" t="n">
        <f aca="false">D679^(-1/B679)-1</f>
        <v>0.0517528025</v>
      </c>
      <c r="F679" s="12" t="n">
        <f aca="false">(1+E679)^(1/12)-1</f>
        <v>0.00421369509431369</v>
      </c>
      <c r="G679" s="16" t="n">
        <f aca="false">IF(C679=0,(1+Dic2023!$J$6)^(-B679),EXP(LN(INDEX(Dic2023!$K$6:$K$205,C679))+(LN(INDEX(Dic2023!$K$6:$K$205,MIN(C679+1,200)))-LN(INDEX(Dic2023!$K$6:$K$205,C679)))*(A679-6*C679)/6))</f>
        <v>0.0585269129475403</v>
      </c>
      <c r="H679" s="12" t="n">
        <f aca="false">G679^(-1/B679)-1</f>
        <v>0.0517528025</v>
      </c>
      <c r="I679" s="12" t="n">
        <f aca="false">(1+H679)^(1/12)-1</f>
        <v>0.00421369509431369</v>
      </c>
      <c r="J679" s="16" t="n">
        <f aca="false">IF(C679=0,(1+Dic2023!$M$6)^(-B679),EXP(LN(INDEX(Dic2023!$N$6:$N$205,C679))+(LN(INDEX(Dic2023!$N$6:$N$205,MIN(C679+1,200)))-LN(INDEX(Dic2023!$N$6:$N$205,C679)))*(A679-6*C679)/6))</f>
        <v>0.0585269129475403</v>
      </c>
      <c r="K679" s="12" t="n">
        <f aca="false">J679^(-1/B679)-1</f>
        <v>0.0517528025</v>
      </c>
      <c r="L679" s="12" t="n">
        <f aca="false">(1+K679)^(1/12)-1</f>
        <v>0.00421369509431369</v>
      </c>
    </row>
    <row r="680" customFormat="false" ht="15" hidden="false" customHeight="false" outlineLevel="0" collapsed="false">
      <c r="A680" s="4" t="n">
        <v>676</v>
      </c>
      <c r="B680" s="14" t="n">
        <f aca="false">A680/12</f>
        <v>56.3333333333333</v>
      </c>
      <c r="C680" s="15" t="n">
        <f aca="false">INT(A680/6)</f>
        <v>112</v>
      </c>
      <c r="D680" s="16" t="n">
        <f aca="false">IF(C680=0,(1+Dic2023!$G$6)^(-B680),EXP(LN(INDEX(Dic2023!$H$6:$H$205,C680))+(LN(INDEX(Dic2023!$H$6:$H$205,MIN(C680+1,200)))-LN(INDEX(Dic2023!$H$6:$H$205,C680)))*(A680-6*C680)/6))</f>
        <v>0.0582813331798304</v>
      </c>
      <c r="E680" s="12" t="n">
        <f aca="false">D680^(-1/B680)-1</f>
        <v>0.0517528025</v>
      </c>
      <c r="F680" s="12" t="n">
        <f aca="false">(1+E680)^(1/12)-1</f>
        <v>0.00421369509431369</v>
      </c>
      <c r="G680" s="16" t="n">
        <f aca="false">IF(C680=0,(1+Dic2023!$J$6)^(-B680),EXP(LN(INDEX(Dic2023!$K$6:$K$205,C680))+(LN(INDEX(Dic2023!$K$6:$K$205,MIN(C680+1,200)))-LN(INDEX(Dic2023!$K$6:$K$205,C680)))*(A680-6*C680)/6))</f>
        <v>0.0582813331798304</v>
      </c>
      <c r="H680" s="12" t="n">
        <f aca="false">G680^(-1/B680)-1</f>
        <v>0.0517528025</v>
      </c>
      <c r="I680" s="12" t="n">
        <f aca="false">(1+H680)^(1/12)-1</f>
        <v>0.00421369509431369</v>
      </c>
      <c r="J680" s="16" t="n">
        <f aca="false">IF(C680=0,(1+Dic2023!$M$6)^(-B680),EXP(LN(INDEX(Dic2023!$N$6:$N$205,C680))+(LN(INDEX(Dic2023!$N$6:$N$205,MIN(C680+1,200)))-LN(INDEX(Dic2023!$N$6:$N$205,C680)))*(A680-6*C680)/6))</f>
        <v>0.0582813331798304</v>
      </c>
      <c r="K680" s="12" t="n">
        <f aca="false">J680^(-1/B680)-1</f>
        <v>0.0517528025</v>
      </c>
      <c r="L680" s="12" t="n">
        <f aca="false">(1+K680)^(1/12)-1</f>
        <v>0.00421369509431369</v>
      </c>
    </row>
    <row r="681" customFormat="false" ht="15" hidden="false" customHeight="false" outlineLevel="0" collapsed="false">
      <c r="A681" s="4" t="n">
        <v>677</v>
      </c>
      <c r="B681" s="14" t="n">
        <f aca="false">A681/12</f>
        <v>56.4166666666667</v>
      </c>
      <c r="C681" s="15" t="n">
        <f aca="false">INT(A681/6)</f>
        <v>112</v>
      </c>
      <c r="D681" s="16" t="n">
        <f aca="false">IF(C681=0,(1+Dic2023!$G$6)^(-B681),EXP(LN(INDEX(Dic2023!$H$6:$H$205,C681))+(LN(INDEX(Dic2023!$H$6:$H$205,MIN(C681+1,200)))-LN(INDEX(Dic2023!$H$6:$H$205,C681)))*(A681-6*C681)/6))</f>
        <v>0.0580367838683545</v>
      </c>
      <c r="E681" s="12" t="n">
        <f aca="false">D681^(-1/B681)-1</f>
        <v>0.0517528025</v>
      </c>
      <c r="F681" s="12" t="n">
        <f aca="false">(1+E681)^(1/12)-1</f>
        <v>0.00421369509431369</v>
      </c>
      <c r="G681" s="16" t="n">
        <f aca="false">IF(C681=0,(1+Dic2023!$J$6)^(-B681),EXP(LN(INDEX(Dic2023!$K$6:$K$205,C681))+(LN(INDEX(Dic2023!$K$6:$K$205,MIN(C681+1,200)))-LN(INDEX(Dic2023!$K$6:$K$205,C681)))*(A681-6*C681)/6))</f>
        <v>0.0580367838683545</v>
      </c>
      <c r="H681" s="12" t="n">
        <f aca="false">G681^(-1/B681)-1</f>
        <v>0.0517528025</v>
      </c>
      <c r="I681" s="12" t="n">
        <f aca="false">(1+H681)^(1/12)-1</f>
        <v>0.00421369509431369</v>
      </c>
      <c r="J681" s="16" t="n">
        <f aca="false">IF(C681=0,(1+Dic2023!$M$6)^(-B681),EXP(LN(INDEX(Dic2023!$N$6:$N$205,C681))+(LN(INDEX(Dic2023!$N$6:$N$205,MIN(C681+1,200)))-LN(INDEX(Dic2023!$N$6:$N$205,C681)))*(A681-6*C681)/6))</f>
        <v>0.0580367838683545</v>
      </c>
      <c r="K681" s="12" t="n">
        <f aca="false">J681^(-1/B681)-1</f>
        <v>0.0517528025</v>
      </c>
      <c r="L681" s="12" t="n">
        <f aca="false">(1+K681)^(1/12)-1</f>
        <v>0.00421369509431369</v>
      </c>
    </row>
    <row r="682" customFormat="false" ht="15" hidden="false" customHeight="false" outlineLevel="0" collapsed="false">
      <c r="A682" s="4" t="n">
        <v>678</v>
      </c>
      <c r="B682" s="14" t="n">
        <f aca="false">A682/12</f>
        <v>56.5</v>
      </c>
      <c r="C682" s="15" t="n">
        <f aca="false">INT(A682/6)</f>
        <v>113</v>
      </c>
      <c r="D682" s="16" t="n">
        <f aca="false">IF(C682=0,(1+Dic2023!$G$6)^(-B682),EXP(LN(INDEX(Dic2023!$H$6:$H$205,C682))+(LN(INDEX(Dic2023!$H$6:$H$205,MIN(C682+1,200)))-LN(INDEX(Dic2023!$H$6:$H$205,C682)))*(A682-6*C682)/6))</f>
        <v>0.0577932606893036</v>
      </c>
      <c r="E682" s="12" t="n">
        <f aca="false">D682^(-1/B682)-1</f>
        <v>0.0517528025</v>
      </c>
      <c r="F682" s="12" t="n">
        <f aca="false">(1+E682)^(1/12)-1</f>
        <v>0.00421369509431369</v>
      </c>
      <c r="G682" s="16" t="n">
        <f aca="false">IF(C682=0,(1+Dic2023!$J$6)^(-B682),EXP(LN(INDEX(Dic2023!$K$6:$K$205,C682))+(LN(INDEX(Dic2023!$K$6:$K$205,MIN(C682+1,200)))-LN(INDEX(Dic2023!$K$6:$K$205,C682)))*(A682-6*C682)/6))</f>
        <v>0.0577932606893036</v>
      </c>
      <c r="H682" s="12" t="n">
        <f aca="false">G682^(-1/B682)-1</f>
        <v>0.0517528025</v>
      </c>
      <c r="I682" s="12" t="n">
        <f aca="false">(1+H682)^(1/12)-1</f>
        <v>0.00421369509431369</v>
      </c>
      <c r="J682" s="16" t="n">
        <f aca="false">IF(C682=0,(1+Dic2023!$M$6)^(-B682),EXP(LN(INDEX(Dic2023!$N$6:$N$205,C682))+(LN(INDEX(Dic2023!$N$6:$N$205,MIN(C682+1,200)))-LN(INDEX(Dic2023!$N$6:$N$205,C682)))*(A682-6*C682)/6))</f>
        <v>0.0577932606893036</v>
      </c>
      <c r="K682" s="12" t="n">
        <f aca="false">J682^(-1/B682)-1</f>
        <v>0.0517528025</v>
      </c>
      <c r="L682" s="12" t="n">
        <f aca="false">(1+K682)^(1/12)-1</f>
        <v>0.00421369509431369</v>
      </c>
    </row>
    <row r="683" customFormat="false" ht="15" hidden="false" customHeight="false" outlineLevel="0" collapsed="false">
      <c r="A683" s="4" t="n">
        <v>679</v>
      </c>
      <c r="B683" s="14" t="n">
        <f aca="false">A683/12</f>
        <v>56.5833333333333</v>
      </c>
      <c r="C683" s="15" t="n">
        <f aca="false">INT(A683/6)</f>
        <v>113</v>
      </c>
      <c r="D683" s="16" t="n">
        <f aca="false">IF(C683=0,(1+Dic2023!$G$6)^(-B683),EXP(LN(INDEX(Dic2023!$H$6:$H$205,C683))+(LN(INDEX(Dic2023!$H$6:$H$205,MIN(C683+1,200)))-LN(INDEX(Dic2023!$H$6:$H$205,C683)))*(A683-6*C683)/6))</f>
        <v>0.0575507593370112</v>
      </c>
      <c r="E683" s="12" t="n">
        <f aca="false">D683^(-1/B683)-1</f>
        <v>0.0517528025</v>
      </c>
      <c r="F683" s="12" t="n">
        <f aca="false">(1+E683)^(1/12)-1</f>
        <v>0.00421369509431369</v>
      </c>
      <c r="G683" s="16" t="n">
        <f aca="false">IF(C683=0,(1+Dic2023!$J$6)^(-B683),EXP(LN(INDEX(Dic2023!$K$6:$K$205,C683))+(LN(INDEX(Dic2023!$K$6:$K$205,MIN(C683+1,200)))-LN(INDEX(Dic2023!$K$6:$K$205,C683)))*(A683-6*C683)/6))</f>
        <v>0.0575507593370112</v>
      </c>
      <c r="H683" s="12" t="n">
        <f aca="false">G683^(-1/B683)-1</f>
        <v>0.0517528025</v>
      </c>
      <c r="I683" s="12" t="n">
        <f aca="false">(1+H683)^(1/12)-1</f>
        <v>0.00421369509431369</v>
      </c>
      <c r="J683" s="16" t="n">
        <f aca="false">IF(C683=0,(1+Dic2023!$M$6)^(-B683),EXP(LN(INDEX(Dic2023!$N$6:$N$205,C683))+(LN(INDEX(Dic2023!$N$6:$N$205,MIN(C683+1,200)))-LN(INDEX(Dic2023!$N$6:$N$205,C683)))*(A683-6*C683)/6))</f>
        <v>0.0575507593370112</v>
      </c>
      <c r="K683" s="12" t="n">
        <f aca="false">J683^(-1/B683)-1</f>
        <v>0.0517528025</v>
      </c>
      <c r="L683" s="12" t="n">
        <f aca="false">(1+K683)^(1/12)-1</f>
        <v>0.00421369509431369</v>
      </c>
    </row>
    <row r="684" customFormat="false" ht="15" hidden="false" customHeight="false" outlineLevel="0" collapsed="false">
      <c r="A684" s="4" t="n">
        <v>680</v>
      </c>
      <c r="B684" s="14" t="n">
        <f aca="false">A684/12</f>
        <v>56.6666666666667</v>
      </c>
      <c r="C684" s="15" t="n">
        <f aca="false">INT(A684/6)</f>
        <v>113</v>
      </c>
      <c r="D684" s="16" t="n">
        <f aca="false">IF(C684=0,(1+Dic2023!$G$6)^(-B684),EXP(LN(INDEX(Dic2023!$H$6:$H$205,C684))+(LN(INDEX(Dic2023!$H$6:$H$205,MIN(C684+1,200)))-LN(INDEX(Dic2023!$H$6:$H$205,C684)))*(A684-6*C684)/6))</f>
        <v>0.0573092755238776</v>
      </c>
      <c r="E684" s="12" t="n">
        <f aca="false">D684^(-1/B684)-1</f>
        <v>0.0517528025</v>
      </c>
      <c r="F684" s="12" t="n">
        <f aca="false">(1+E684)^(1/12)-1</f>
        <v>0.00421369509431369</v>
      </c>
      <c r="G684" s="16" t="n">
        <f aca="false">IF(C684=0,(1+Dic2023!$J$6)^(-B684),EXP(LN(INDEX(Dic2023!$K$6:$K$205,C684))+(LN(INDEX(Dic2023!$K$6:$K$205,MIN(C684+1,200)))-LN(INDEX(Dic2023!$K$6:$K$205,C684)))*(A684-6*C684)/6))</f>
        <v>0.0573092755238776</v>
      </c>
      <c r="H684" s="12" t="n">
        <f aca="false">G684^(-1/B684)-1</f>
        <v>0.0517528025</v>
      </c>
      <c r="I684" s="12" t="n">
        <f aca="false">(1+H684)^(1/12)-1</f>
        <v>0.00421369509431369</v>
      </c>
      <c r="J684" s="16" t="n">
        <f aca="false">IF(C684=0,(1+Dic2023!$M$6)^(-B684),EXP(LN(INDEX(Dic2023!$N$6:$N$205,C684))+(LN(INDEX(Dic2023!$N$6:$N$205,MIN(C684+1,200)))-LN(INDEX(Dic2023!$N$6:$N$205,C684)))*(A684-6*C684)/6))</f>
        <v>0.0573092755238776</v>
      </c>
      <c r="K684" s="12" t="n">
        <f aca="false">J684^(-1/B684)-1</f>
        <v>0.0517528025</v>
      </c>
      <c r="L684" s="12" t="n">
        <f aca="false">(1+K684)^(1/12)-1</f>
        <v>0.00421369509431369</v>
      </c>
    </row>
    <row r="685" customFormat="false" ht="15" hidden="false" customHeight="false" outlineLevel="0" collapsed="false">
      <c r="A685" s="4" t="n">
        <v>681</v>
      </c>
      <c r="B685" s="14" t="n">
        <f aca="false">A685/12</f>
        <v>56.75</v>
      </c>
      <c r="C685" s="15" t="n">
        <f aca="false">INT(A685/6)</f>
        <v>113</v>
      </c>
      <c r="D685" s="16" t="n">
        <f aca="false">IF(C685=0,(1+Dic2023!$G$6)^(-B685),EXP(LN(INDEX(Dic2023!$H$6:$H$205,C685))+(LN(INDEX(Dic2023!$H$6:$H$205,MIN(C685+1,200)))-LN(INDEX(Dic2023!$H$6:$H$205,C685)))*(A685-6*C685)/6))</f>
        <v>0.0570688049802938</v>
      </c>
      <c r="E685" s="12" t="n">
        <f aca="false">D685^(-1/B685)-1</f>
        <v>0.0517528025</v>
      </c>
      <c r="F685" s="12" t="n">
        <f aca="false">(1+E685)^(1/12)-1</f>
        <v>0.00421369509431369</v>
      </c>
      <c r="G685" s="16" t="n">
        <f aca="false">IF(C685=0,(1+Dic2023!$J$6)^(-B685),EXP(LN(INDEX(Dic2023!$K$6:$K$205,C685))+(LN(INDEX(Dic2023!$K$6:$K$205,MIN(C685+1,200)))-LN(INDEX(Dic2023!$K$6:$K$205,C685)))*(A685-6*C685)/6))</f>
        <v>0.0570688049802938</v>
      </c>
      <c r="H685" s="12" t="n">
        <f aca="false">G685^(-1/B685)-1</f>
        <v>0.0517528025</v>
      </c>
      <c r="I685" s="12" t="n">
        <f aca="false">(1+H685)^(1/12)-1</f>
        <v>0.00421369509431369</v>
      </c>
      <c r="J685" s="16" t="n">
        <f aca="false">IF(C685=0,(1+Dic2023!$M$6)^(-B685),EXP(LN(INDEX(Dic2023!$N$6:$N$205,C685))+(LN(INDEX(Dic2023!$N$6:$N$205,MIN(C685+1,200)))-LN(INDEX(Dic2023!$N$6:$N$205,C685)))*(A685-6*C685)/6))</f>
        <v>0.0570688049802938</v>
      </c>
      <c r="K685" s="12" t="n">
        <f aca="false">J685^(-1/B685)-1</f>
        <v>0.0517528025</v>
      </c>
      <c r="L685" s="12" t="n">
        <f aca="false">(1+K685)^(1/12)-1</f>
        <v>0.00421369509431369</v>
      </c>
    </row>
    <row r="686" customFormat="false" ht="15" hidden="false" customHeight="false" outlineLevel="0" collapsed="false">
      <c r="A686" s="4" t="n">
        <v>682</v>
      </c>
      <c r="B686" s="14" t="n">
        <f aca="false">A686/12</f>
        <v>56.8333333333333</v>
      </c>
      <c r="C686" s="15" t="n">
        <f aca="false">INT(A686/6)</f>
        <v>113</v>
      </c>
      <c r="D686" s="16" t="n">
        <f aca="false">IF(C686=0,(1+Dic2023!$G$6)^(-B686),EXP(LN(INDEX(Dic2023!$H$6:$H$205,C686))+(LN(INDEX(Dic2023!$H$6:$H$205,MIN(C686+1,200)))-LN(INDEX(Dic2023!$H$6:$H$205,C686)))*(A686-6*C686)/6))</f>
        <v>0.0568293434545662</v>
      </c>
      <c r="E686" s="12" t="n">
        <f aca="false">D686^(-1/B686)-1</f>
        <v>0.0517528025</v>
      </c>
      <c r="F686" s="12" t="n">
        <f aca="false">(1+E686)^(1/12)-1</f>
        <v>0.00421369509431369</v>
      </c>
      <c r="G686" s="16" t="n">
        <f aca="false">IF(C686=0,(1+Dic2023!$J$6)^(-B686),EXP(LN(INDEX(Dic2023!$K$6:$K$205,C686))+(LN(INDEX(Dic2023!$K$6:$K$205,MIN(C686+1,200)))-LN(INDEX(Dic2023!$K$6:$K$205,C686)))*(A686-6*C686)/6))</f>
        <v>0.0568293434545662</v>
      </c>
      <c r="H686" s="12" t="n">
        <f aca="false">G686^(-1/B686)-1</f>
        <v>0.0517528025</v>
      </c>
      <c r="I686" s="12" t="n">
        <f aca="false">(1+H686)^(1/12)-1</f>
        <v>0.00421369509431369</v>
      </c>
      <c r="J686" s="16" t="n">
        <f aca="false">IF(C686=0,(1+Dic2023!$M$6)^(-B686),EXP(LN(INDEX(Dic2023!$N$6:$N$205,C686))+(LN(INDEX(Dic2023!$N$6:$N$205,MIN(C686+1,200)))-LN(INDEX(Dic2023!$N$6:$N$205,C686)))*(A686-6*C686)/6))</f>
        <v>0.0568293434545662</v>
      </c>
      <c r="K686" s="12" t="n">
        <f aca="false">J686^(-1/B686)-1</f>
        <v>0.0517528025</v>
      </c>
      <c r="L686" s="12" t="n">
        <f aca="false">(1+K686)^(1/12)-1</f>
        <v>0.00421369509431369</v>
      </c>
    </row>
    <row r="687" customFormat="false" ht="15" hidden="false" customHeight="false" outlineLevel="0" collapsed="false">
      <c r="A687" s="4" t="n">
        <v>683</v>
      </c>
      <c r="B687" s="14" t="n">
        <f aca="false">A687/12</f>
        <v>56.9166666666667</v>
      </c>
      <c r="C687" s="15" t="n">
        <f aca="false">INT(A687/6)</f>
        <v>113</v>
      </c>
      <c r="D687" s="16" t="n">
        <f aca="false">IF(C687=0,(1+Dic2023!$G$6)^(-B687),EXP(LN(INDEX(Dic2023!$H$6:$H$205,C687))+(LN(INDEX(Dic2023!$H$6:$H$205,MIN(C687+1,200)))-LN(INDEX(Dic2023!$H$6:$H$205,C687)))*(A687-6*C687)/6))</f>
        <v>0.0565908867128414</v>
      </c>
      <c r="E687" s="12" t="n">
        <f aca="false">D687^(-1/B687)-1</f>
        <v>0.0517528025</v>
      </c>
      <c r="F687" s="12" t="n">
        <f aca="false">(1+E687)^(1/12)-1</f>
        <v>0.00421369509431369</v>
      </c>
      <c r="G687" s="16" t="n">
        <f aca="false">IF(C687=0,(1+Dic2023!$J$6)^(-B687),EXP(LN(INDEX(Dic2023!$K$6:$K$205,C687))+(LN(INDEX(Dic2023!$K$6:$K$205,MIN(C687+1,200)))-LN(INDEX(Dic2023!$K$6:$K$205,C687)))*(A687-6*C687)/6))</f>
        <v>0.0565908867128414</v>
      </c>
      <c r="H687" s="12" t="n">
        <f aca="false">G687^(-1/B687)-1</f>
        <v>0.0517528025</v>
      </c>
      <c r="I687" s="12" t="n">
        <f aca="false">(1+H687)^(1/12)-1</f>
        <v>0.00421369509431369</v>
      </c>
      <c r="J687" s="16" t="n">
        <f aca="false">IF(C687=0,(1+Dic2023!$M$6)^(-B687),EXP(LN(INDEX(Dic2023!$N$6:$N$205,C687))+(LN(INDEX(Dic2023!$N$6:$N$205,MIN(C687+1,200)))-LN(INDEX(Dic2023!$N$6:$N$205,C687)))*(A687-6*C687)/6))</f>
        <v>0.0565908867128414</v>
      </c>
      <c r="K687" s="12" t="n">
        <f aca="false">J687^(-1/B687)-1</f>
        <v>0.0517528025</v>
      </c>
      <c r="L687" s="12" t="n">
        <f aca="false">(1+K687)^(1/12)-1</f>
        <v>0.00421369509431369</v>
      </c>
    </row>
    <row r="688" customFormat="false" ht="15" hidden="false" customHeight="false" outlineLevel="0" collapsed="false">
      <c r="A688" s="4" t="n">
        <v>684</v>
      </c>
      <c r="B688" s="14" t="n">
        <f aca="false">A688/12</f>
        <v>57</v>
      </c>
      <c r="C688" s="15" t="n">
        <f aca="false">INT(A688/6)</f>
        <v>114</v>
      </c>
      <c r="D688" s="16" t="n">
        <f aca="false">IF(C688=0,(1+Dic2023!$G$6)^(-B688),EXP(LN(INDEX(Dic2023!$H$6:$H$205,C688))+(LN(INDEX(Dic2023!$H$6:$H$205,MIN(C688+1,200)))-LN(INDEX(Dic2023!$H$6:$H$205,C688)))*(A688-6*C688)/6))</f>
        <v>0.0563534305390314</v>
      </c>
      <c r="E688" s="12" t="n">
        <f aca="false">D688^(-1/B688)-1</f>
        <v>0.0517528025</v>
      </c>
      <c r="F688" s="12" t="n">
        <f aca="false">(1+E688)^(1/12)-1</f>
        <v>0.00421369509431369</v>
      </c>
      <c r="G688" s="16" t="n">
        <f aca="false">IF(C688=0,(1+Dic2023!$J$6)^(-B688),EXP(LN(INDEX(Dic2023!$K$6:$K$205,C688))+(LN(INDEX(Dic2023!$K$6:$K$205,MIN(C688+1,200)))-LN(INDEX(Dic2023!$K$6:$K$205,C688)))*(A688-6*C688)/6))</f>
        <v>0.0563534305390314</v>
      </c>
      <c r="H688" s="12" t="n">
        <f aca="false">G688^(-1/B688)-1</f>
        <v>0.0517528025</v>
      </c>
      <c r="I688" s="12" t="n">
        <f aca="false">(1+H688)^(1/12)-1</f>
        <v>0.00421369509431369</v>
      </c>
      <c r="J688" s="16" t="n">
        <f aca="false">IF(C688=0,(1+Dic2023!$M$6)^(-B688),EXP(LN(INDEX(Dic2023!$N$6:$N$205,C688))+(LN(INDEX(Dic2023!$N$6:$N$205,MIN(C688+1,200)))-LN(INDEX(Dic2023!$N$6:$N$205,C688)))*(A688-6*C688)/6))</f>
        <v>0.0563534305390314</v>
      </c>
      <c r="K688" s="12" t="n">
        <f aca="false">J688^(-1/B688)-1</f>
        <v>0.0517528025</v>
      </c>
      <c r="L688" s="12" t="n">
        <f aca="false">(1+K688)^(1/12)-1</f>
        <v>0.00421369509431369</v>
      </c>
    </row>
    <row r="689" customFormat="false" ht="15" hidden="false" customHeight="false" outlineLevel="0" collapsed="false">
      <c r="A689" s="4" t="n">
        <v>685</v>
      </c>
      <c r="B689" s="14" t="n">
        <f aca="false">A689/12</f>
        <v>57.0833333333333</v>
      </c>
      <c r="C689" s="15" t="n">
        <f aca="false">INT(A689/6)</f>
        <v>114</v>
      </c>
      <c r="D689" s="16" t="n">
        <f aca="false">IF(C689=0,(1+Dic2023!$G$6)^(-B689),EXP(LN(INDEX(Dic2023!$H$6:$H$205,C689))+(LN(INDEX(Dic2023!$H$6:$H$205,MIN(C689+1,200)))-LN(INDEX(Dic2023!$H$6:$H$205,C689)))*(A689-6*C689)/6))</f>
        <v>0.0561169707347387</v>
      </c>
      <c r="E689" s="12" t="n">
        <f aca="false">D689^(-1/B689)-1</f>
        <v>0.0517528025</v>
      </c>
      <c r="F689" s="12" t="n">
        <f aca="false">(1+E689)^(1/12)-1</f>
        <v>0.00421369509431369</v>
      </c>
      <c r="G689" s="16" t="n">
        <f aca="false">IF(C689=0,(1+Dic2023!$J$6)^(-B689),EXP(LN(INDEX(Dic2023!$K$6:$K$205,C689))+(LN(INDEX(Dic2023!$K$6:$K$205,MIN(C689+1,200)))-LN(INDEX(Dic2023!$K$6:$K$205,C689)))*(A689-6*C689)/6))</f>
        <v>0.0561169707347387</v>
      </c>
      <c r="H689" s="12" t="n">
        <f aca="false">G689^(-1/B689)-1</f>
        <v>0.0517528025</v>
      </c>
      <c r="I689" s="12" t="n">
        <f aca="false">(1+H689)^(1/12)-1</f>
        <v>0.00421369509431369</v>
      </c>
      <c r="J689" s="16" t="n">
        <f aca="false">IF(C689=0,(1+Dic2023!$M$6)^(-B689),EXP(LN(INDEX(Dic2023!$N$6:$N$205,C689))+(LN(INDEX(Dic2023!$N$6:$N$205,MIN(C689+1,200)))-LN(INDEX(Dic2023!$N$6:$N$205,C689)))*(A689-6*C689)/6))</f>
        <v>0.0561169707347387</v>
      </c>
      <c r="K689" s="12" t="n">
        <f aca="false">J689^(-1/B689)-1</f>
        <v>0.0517528025</v>
      </c>
      <c r="L689" s="12" t="n">
        <f aca="false">(1+K689)^(1/12)-1</f>
        <v>0.00421369509431369</v>
      </c>
    </row>
    <row r="690" customFormat="false" ht="15" hidden="false" customHeight="false" outlineLevel="0" collapsed="false">
      <c r="A690" s="4" t="n">
        <v>686</v>
      </c>
      <c r="B690" s="14" t="n">
        <f aca="false">A690/12</f>
        <v>57.1666666666667</v>
      </c>
      <c r="C690" s="15" t="n">
        <f aca="false">INT(A690/6)</f>
        <v>114</v>
      </c>
      <c r="D690" s="16" t="n">
        <f aca="false">IF(C690=0,(1+Dic2023!$G$6)^(-B690),EXP(LN(INDEX(Dic2023!$H$6:$H$205,C690))+(LN(INDEX(Dic2023!$H$6:$H$205,MIN(C690+1,200)))-LN(INDEX(Dic2023!$H$6:$H$205,C690)))*(A690-6*C690)/6))</f>
        <v>0.0558815031191825</v>
      </c>
      <c r="E690" s="12" t="n">
        <f aca="false">D690^(-1/B690)-1</f>
        <v>0.0517528025</v>
      </c>
      <c r="F690" s="12" t="n">
        <f aca="false">(1+E690)^(1/12)-1</f>
        <v>0.00421369509431369</v>
      </c>
      <c r="G690" s="16" t="n">
        <f aca="false">IF(C690=0,(1+Dic2023!$J$6)^(-B690),EXP(LN(INDEX(Dic2023!$K$6:$K$205,C690))+(LN(INDEX(Dic2023!$K$6:$K$205,MIN(C690+1,200)))-LN(INDEX(Dic2023!$K$6:$K$205,C690)))*(A690-6*C690)/6))</f>
        <v>0.0558815031191825</v>
      </c>
      <c r="H690" s="12" t="n">
        <f aca="false">G690^(-1/B690)-1</f>
        <v>0.0517528025</v>
      </c>
      <c r="I690" s="12" t="n">
        <f aca="false">(1+H690)^(1/12)-1</f>
        <v>0.00421369509431369</v>
      </c>
      <c r="J690" s="16" t="n">
        <f aca="false">IF(C690=0,(1+Dic2023!$M$6)^(-B690),EXP(LN(INDEX(Dic2023!$N$6:$N$205,C690))+(LN(INDEX(Dic2023!$N$6:$N$205,MIN(C690+1,200)))-LN(INDEX(Dic2023!$N$6:$N$205,C690)))*(A690-6*C690)/6))</f>
        <v>0.0558815031191825</v>
      </c>
      <c r="K690" s="12" t="n">
        <f aca="false">J690^(-1/B690)-1</f>
        <v>0.0517528025</v>
      </c>
      <c r="L690" s="12" t="n">
        <f aca="false">(1+K690)^(1/12)-1</f>
        <v>0.00421369509431369</v>
      </c>
    </row>
    <row r="691" customFormat="false" ht="15" hidden="false" customHeight="false" outlineLevel="0" collapsed="false">
      <c r="A691" s="4" t="n">
        <v>687</v>
      </c>
      <c r="B691" s="14" t="n">
        <f aca="false">A691/12</f>
        <v>57.25</v>
      </c>
      <c r="C691" s="15" t="n">
        <f aca="false">INT(A691/6)</f>
        <v>114</v>
      </c>
      <c r="D691" s="16" t="n">
        <f aca="false">IF(C691=0,(1+Dic2023!$G$6)^(-B691),EXP(LN(INDEX(Dic2023!$H$6:$H$205,C691))+(LN(INDEX(Dic2023!$H$6:$H$205,MIN(C691+1,200)))-LN(INDEX(Dic2023!$H$6:$H$205,C691)))*(A691-6*C691)/6))</f>
        <v>0.0556470235291246</v>
      </c>
      <c r="E691" s="12" t="n">
        <f aca="false">D691^(-1/B691)-1</f>
        <v>0.0517528025</v>
      </c>
      <c r="F691" s="12" t="n">
        <f aca="false">(1+E691)^(1/12)-1</f>
        <v>0.00421369509431369</v>
      </c>
      <c r="G691" s="16" t="n">
        <f aca="false">IF(C691=0,(1+Dic2023!$J$6)^(-B691),EXP(LN(INDEX(Dic2023!$K$6:$K$205,C691))+(LN(INDEX(Dic2023!$K$6:$K$205,MIN(C691+1,200)))-LN(INDEX(Dic2023!$K$6:$K$205,C691)))*(A691-6*C691)/6))</f>
        <v>0.0556470235291246</v>
      </c>
      <c r="H691" s="12" t="n">
        <f aca="false">G691^(-1/B691)-1</f>
        <v>0.0517528025</v>
      </c>
      <c r="I691" s="12" t="n">
        <f aca="false">(1+H691)^(1/12)-1</f>
        <v>0.00421369509431369</v>
      </c>
      <c r="J691" s="16" t="n">
        <f aca="false">IF(C691=0,(1+Dic2023!$M$6)^(-B691),EXP(LN(INDEX(Dic2023!$N$6:$N$205,C691))+(LN(INDEX(Dic2023!$N$6:$N$205,MIN(C691+1,200)))-LN(INDEX(Dic2023!$N$6:$N$205,C691)))*(A691-6*C691)/6))</f>
        <v>0.0556470235291246</v>
      </c>
      <c r="K691" s="12" t="n">
        <f aca="false">J691^(-1/B691)-1</f>
        <v>0.0517528025</v>
      </c>
      <c r="L691" s="12" t="n">
        <f aca="false">(1+K691)^(1/12)-1</f>
        <v>0.00421369509431369</v>
      </c>
    </row>
    <row r="692" customFormat="false" ht="15" hidden="false" customHeight="false" outlineLevel="0" collapsed="false">
      <c r="A692" s="4" t="n">
        <v>688</v>
      </c>
      <c r="B692" s="14" t="n">
        <f aca="false">A692/12</f>
        <v>57.3333333333333</v>
      </c>
      <c r="C692" s="15" t="n">
        <f aca="false">INT(A692/6)</f>
        <v>114</v>
      </c>
      <c r="D692" s="16" t="n">
        <f aca="false">IF(C692=0,(1+Dic2023!$G$6)^(-B692),EXP(LN(INDEX(Dic2023!$H$6:$H$205,C692))+(LN(INDEX(Dic2023!$H$6:$H$205,MIN(C692+1,200)))-LN(INDEX(Dic2023!$H$6:$H$205,C692)))*(A692-6*C692)/6))</f>
        <v>0.055413527818796</v>
      </c>
      <c r="E692" s="12" t="n">
        <f aca="false">D692^(-1/B692)-1</f>
        <v>0.0517528025</v>
      </c>
      <c r="F692" s="12" t="n">
        <f aca="false">(1+E692)^(1/12)-1</f>
        <v>0.00421369509431369</v>
      </c>
      <c r="G692" s="16" t="n">
        <f aca="false">IF(C692=0,(1+Dic2023!$J$6)^(-B692),EXP(LN(INDEX(Dic2023!$K$6:$K$205,C692))+(LN(INDEX(Dic2023!$K$6:$K$205,MIN(C692+1,200)))-LN(INDEX(Dic2023!$K$6:$K$205,C692)))*(A692-6*C692)/6))</f>
        <v>0.055413527818796</v>
      </c>
      <c r="H692" s="12" t="n">
        <f aca="false">G692^(-1/B692)-1</f>
        <v>0.0517528025</v>
      </c>
      <c r="I692" s="12" t="n">
        <f aca="false">(1+H692)^(1/12)-1</f>
        <v>0.00421369509431369</v>
      </c>
      <c r="J692" s="16" t="n">
        <f aca="false">IF(C692=0,(1+Dic2023!$M$6)^(-B692),EXP(LN(INDEX(Dic2023!$N$6:$N$205,C692))+(LN(INDEX(Dic2023!$N$6:$N$205,MIN(C692+1,200)))-LN(INDEX(Dic2023!$N$6:$N$205,C692)))*(A692-6*C692)/6))</f>
        <v>0.055413527818796</v>
      </c>
      <c r="K692" s="12" t="n">
        <f aca="false">J692^(-1/B692)-1</f>
        <v>0.0517528025</v>
      </c>
      <c r="L692" s="12" t="n">
        <f aca="false">(1+K692)^(1/12)-1</f>
        <v>0.00421369509431369</v>
      </c>
    </row>
    <row r="693" customFormat="false" ht="15" hidden="false" customHeight="false" outlineLevel="0" collapsed="false">
      <c r="A693" s="4" t="n">
        <v>689</v>
      </c>
      <c r="B693" s="14" t="n">
        <f aca="false">A693/12</f>
        <v>57.4166666666667</v>
      </c>
      <c r="C693" s="15" t="n">
        <f aca="false">INT(A693/6)</f>
        <v>114</v>
      </c>
      <c r="D693" s="16" t="n">
        <f aca="false">IF(C693=0,(1+Dic2023!$G$6)^(-B693),EXP(LN(INDEX(Dic2023!$H$6:$H$205,C693))+(LN(INDEX(Dic2023!$H$6:$H$205,MIN(C693+1,200)))-LN(INDEX(Dic2023!$H$6:$H$205,C693)))*(A693-6*C693)/6))</f>
        <v>0.055181011859823</v>
      </c>
      <c r="E693" s="12" t="n">
        <f aca="false">D693^(-1/B693)-1</f>
        <v>0.0517528025</v>
      </c>
      <c r="F693" s="12" t="n">
        <f aca="false">(1+E693)^(1/12)-1</f>
        <v>0.00421369509431369</v>
      </c>
      <c r="G693" s="16" t="n">
        <f aca="false">IF(C693=0,(1+Dic2023!$J$6)^(-B693),EXP(LN(INDEX(Dic2023!$K$6:$K$205,C693))+(LN(INDEX(Dic2023!$K$6:$K$205,MIN(C693+1,200)))-LN(INDEX(Dic2023!$K$6:$K$205,C693)))*(A693-6*C693)/6))</f>
        <v>0.055181011859823</v>
      </c>
      <c r="H693" s="12" t="n">
        <f aca="false">G693^(-1/B693)-1</f>
        <v>0.0517528025</v>
      </c>
      <c r="I693" s="12" t="n">
        <f aca="false">(1+H693)^(1/12)-1</f>
        <v>0.00421369509431369</v>
      </c>
      <c r="J693" s="16" t="n">
        <f aca="false">IF(C693=0,(1+Dic2023!$M$6)^(-B693),EXP(LN(INDEX(Dic2023!$N$6:$N$205,C693))+(LN(INDEX(Dic2023!$N$6:$N$205,MIN(C693+1,200)))-LN(INDEX(Dic2023!$N$6:$N$205,C693)))*(A693-6*C693)/6))</f>
        <v>0.055181011859823</v>
      </c>
      <c r="K693" s="12" t="n">
        <f aca="false">J693^(-1/B693)-1</f>
        <v>0.0517528025</v>
      </c>
      <c r="L693" s="12" t="n">
        <f aca="false">(1+K693)^(1/12)-1</f>
        <v>0.00421369509431369</v>
      </c>
    </row>
    <row r="694" customFormat="false" ht="15" hidden="false" customHeight="false" outlineLevel="0" collapsed="false">
      <c r="A694" s="4" t="n">
        <v>690</v>
      </c>
      <c r="B694" s="14" t="n">
        <f aca="false">A694/12</f>
        <v>57.5</v>
      </c>
      <c r="C694" s="15" t="n">
        <f aca="false">INT(A694/6)</f>
        <v>115</v>
      </c>
      <c r="D694" s="16" t="n">
        <f aca="false">IF(C694=0,(1+Dic2023!$G$6)^(-B694),EXP(LN(INDEX(Dic2023!$H$6:$H$205,C694))+(LN(INDEX(Dic2023!$H$6:$H$205,MIN(C694+1,200)))-LN(INDEX(Dic2023!$H$6:$H$205,C694)))*(A694-6*C694)/6))</f>
        <v>0.0549494715411549</v>
      </c>
      <c r="E694" s="12" t="n">
        <f aca="false">D694^(-1/B694)-1</f>
        <v>0.0517528025</v>
      </c>
      <c r="F694" s="12" t="n">
        <f aca="false">(1+E694)^(1/12)-1</f>
        <v>0.00421369509431369</v>
      </c>
      <c r="G694" s="16" t="n">
        <f aca="false">IF(C694=0,(1+Dic2023!$J$6)^(-B694),EXP(LN(INDEX(Dic2023!$K$6:$K$205,C694))+(LN(INDEX(Dic2023!$K$6:$K$205,MIN(C694+1,200)))-LN(INDEX(Dic2023!$K$6:$K$205,C694)))*(A694-6*C694)/6))</f>
        <v>0.0549494715411549</v>
      </c>
      <c r="H694" s="12" t="n">
        <f aca="false">G694^(-1/B694)-1</f>
        <v>0.0517528025</v>
      </c>
      <c r="I694" s="12" t="n">
        <f aca="false">(1+H694)^(1/12)-1</f>
        <v>0.00421369509431369</v>
      </c>
      <c r="J694" s="16" t="n">
        <f aca="false">IF(C694=0,(1+Dic2023!$M$6)^(-B694),EXP(LN(INDEX(Dic2023!$N$6:$N$205,C694))+(LN(INDEX(Dic2023!$N$6:$N$205,MIN(C694+1,200)))-LN(INDEX(Dic2023!$N$6:$N$205,C694)))*(A694-6*C694)/6))</f>
        <v>0.0549494715411549</v>
      </c>
      <c r="K694" s="12" t="n">
        <f aca="false">J694^(-1/B694)-1</f>
        <v>0.0517528025</v>
      </c>
      <c r="L694" s="12" t="n">
        <f aca="false">(1+K694)^(1/12)-1</f>
        <v>0.00421369509431369</v>
      </c>
    </row>
    <row r="695" customFormat="false" ht="15" hidden="false" customHeight="false" outlineLevel="0" collapsed="false">
      <c r="A695" s="4" t="n">
        <v>691</v>
      </c>
      <c r="B695" s="14" t="n">
        <f aca="false">A695/12</f>
        <v>57.5833333333333</v>
      </c>
      <c r="C695" s="15" t="n">
        <f aca="false">INT(A695/6)</f>
        <v>115</v>
      </c>
      <c r="D695" s="16" t="n">
        <f aca="false">IF(C695=0,(1+Dic2023!$G$6)^(-B695),EXP(LN(INDEX(Dic2023!$H$6:$H$205,C695))+(LN(INDEX(Dic2023!$H$6:$H$205,MIN(C695+1,200)))-LN(INDEX(Dic2023!$H$6:$H$205,C695)))*(A695-6*C695)/6))</f>
        <v>0.054718902768991</v>
      </c>
      <c r="E695" s="12" t="n">
        <f aca="false">D695^(-1/B695)-1</f>
        <v>0.0517528025</v>
      </c>
      <c r="F695" s="12" t="n">
        <f aca="false">(1+E695)^(1/12)-1</f>
        <v>0.00421369509431369</v>
      </c>
      <c r="G695" s="16" t="n">
        <f aca="false">IF(C695=0,(1+Dic2023!$J$6)^(-B695),EXP(LN(INDEX(Dic2023!$K$6:$K$205,C695))+(LN(INDEX(Dic2023!$K$6:$K$205,MIN(C695+1,200)))-LN(INDEX(Dic2023!$K$6:$K$205,C695)))*(A695-6*C695)/6))</f>
        <v>0.054718902768991</v>
      </c>
      <c r="H695" s="12" t="n">
        <f aca="false">G695^(-1/B695)-1</f>
        <v>0.0517528025</v>
      </c>
      <c r="I695" s="12" t="n">
        <f aca="false">(1+H695)^(1/12)-1</f>
        <v>0.00421369509431369</v>
      </c>
      <c r="J695" s="16" t="n">
        <f aca="false">IF(C695=0,(1+Dic2023!$M$6)^(-B695),EXP(LN(INDEX(Dic2023!$N$6:$N$205,C695))+(LN(INDEX(Dic2023!$N$6:$N$205,MIN(C695+1,200)))-LN(INDEX(Dic2023!$N$6:$N$205,C695)))*(A695-6*C695)/6))</f>
        <v>0.054718902768991</v>
      </c>
      <c r="K695" s="12" t="n">
        <f aca="false">J695^(-1/B695)-1</f>
        <v>0.0517528025</v>
      </c>
      <c r="L695" s="12" t="n">
        <f aca="false">(1+K695)^(1/12)-1</f>
        <v>0.00421369509431369</v>
      </c>
    </row>
    <row r="696" customFormat="false" ht="15" hidden="false" customHeight="false" outlineLevel="0" collapsed="false">
      <c r="A696" s="4" t="n">
        <v>692</v>
      </c>
      <c r="B696" s="14" t="n">
        <f aca="false">A696/12</f>
        <v>57.6666666666667</v>
      </c>
      <c r="C696" s="15" t="n">
        <f aca="false">INT(A696/6)</f>
        <v>115</v>
      </c>
      <c r="D696" s="16" t="n">
        <f aca="false">IF(C696=0,(1+Dic2023!$G$6)^(-B696),EXP(LN(INDEX(Dic2023!$H$6:$H$205,C696))+(LN(INDEX(Dic2023!$H$6:$H$205,MIN(C696+1,200)))-LN(INDEX(Dic2023!$H$6:$H$205,C696)))*(A696-6*C696)/6))</f>
        <v>0.0544893014667081</v>
      </c>
      <c r="E696" s="12" t="n">
        <f aca="false">D696^(-1/B696)-1</f>
        <v>0.0517528025</v>
      </c>
      <c r="F696" s="12" t="n">
        <f aca="false">(1+E696)^(1/12)-1</f>
        <v>0.00421369509431369</v>
      </c>
      <c r="G696" s="16" t="n">
        <f aca="false">IF(C696=0,(1+Dic2023!$J$6)^(-B696),EXP(LN(INDEX(Dic2023!$K$6:$K$205,C696))+(LN(INDEX(Dic2023!$K$6:$K$205,MIN(C696+1,200)))-LN(INDEX(Dic2023!$K$6:$K$205,C696)))*(A696-6*C696)/6))</f>
        <v>0.0544893014667081</v>
      </c>
      <c r="H696" s="12" t="n">
        <f aca="false">G696^(-1/B696)-1</f>
        <v>0.0517528025</v>
      </c>
      <c r="I696" s="12" t="n">
        <f aca="false">(1+H696)^(1/12)-1</f>
        <v>0.00421369509431369</v>
      </c>
      <c r="J696" s="16" t="n">
        <f aca="false">IF(C696=0,(1+Dic2023!$M$6)^(-B696),EXP(LN(INDEX(Dic2023!$N$6:$N$205,C696))+(LN(INDEX(Dic2023!$N$6:$N$205,MIN(C696+1,200)))-LN(INDEX(Dic2023!$N$6:$N$205,C696)))*(A696-6*C696)/6))</f>
        <v>0.0544893014667081</v>
      </c>
      <c r="K696" s="12" t="n">
        <f aca="false">J696^(-1/B696)-1</f>
        <v>0.0517528025</v>
      </c>
      <c r="L696" s="12" t="n">
        <f aca="false">(1+K696)^(1/12)-1</f>
        <v>0.00421369509431369</v>
      </c>
    </row>
    <row r="697" customFormat="false" ht="15" hidden="false" customHeight="false" outlineLevel="0" collapsed="false">
      <c r="A697" s="4" t="n">
        <v>693</v>
      </c>
      <c r="B697" s="14" t="n">
        <f aca="false">A697/12</f>
        <v>57.75</v>
      </c>
      <c r="C697" s="15" t="n">
        <f aca="false">INT(A697/6)</f>
        <v>115</v>
      </c>
      <c r="D697" s="16" t="n">
        <f aca="false">IF(C697=0,(1+Dic2023!$G$6)^(-B697),EXP(LN(INDEX(Dic2023!$H$6:$H$205,C697))+(LN(INDEX(Dic2023!$H$6:$H$205,MIN(C697+1,200)))-LN(INDEX(Dic2023!$H$6:$H$205,C697)))*(A697-6*C697)/6))</f>
        <v>0.0542606635747888</v>
      </c>
      <c r="E697" s="12" t="n">
        <f aca="false">D697^(-1/B697)-1</f>
        <v>0.0517528025</v>
      </c>
      <c r="F697" s="12" t="n">
        <f aca="false">(1+E697)^(1/12)-1</f>
        <v>0.00421369509431369</v>
      </c>
      <c r="G697" s="16" t="n">
        <f aca="false">IF(C697=0,(1+Dic2023!$J$6)^(-B697),EXP(LN(INDEX(Dic2023!$K$6:$K$205,C697))+(LN(INDEX(Dic2023!$K$6:$K$205,MIN(C697+1,200)))-LN(INDEX(Dic2023!$K$6:$K$205,C697)))*(A697-6*C697)/6))</f>
        <v>0.0542606635747888</v>
      </c>
      <c r="H697" s="12" t="n">
        <f aca="false">G697^(-1/B697)-1</f>
        <v>0.0517528025</v>
      </c>
      <c r="I697" s="12" t="n">
        <f aca="false">(1+H697)^(1/12)-1</f>
        <v>0.00421369509431369</v>
      </c>
      <c r="J697" s="16" t="n">
        <f aca="false">IF(C697=0,(1+Dic2023!$M$6)^(-B697),EXP(LN(INDEX(Dic2023!$N$6:$N$205,C697))+(LN(INDEX(Dic2023!$N$6:$N$205,MIN(C697+1,200)))-LN(INDEX(Dic2023!$N$6:$N$205,C697)))*(A697-6*C697)/6))</f>
        <v>0.0542606635747888</v>
      </c>
      <c r="K697" s="12" t="n">
        <f aca="false">J697^(-1/B697)-1</f>
        <v>0.0517528025</v>
      </c>
      <c r="L697" s="12" t="n">
        <f aca="false">(1+K697)^(1/12)-1</f>
        <v>0.00421369509431369</v>
      </c>
    </row>
    <row r="698" customFormat="false" ht="15" hidden="false" customHeight="false" outlineLevel="0" collapsed="false">
      <c r="A698" s="4" t="n">
        <v>694</v>
      </c>
      <c r="B698" s="14" t="n">
        <f aca="false">A698/12</f>
        <v>57.8333333333333</v>
      </c>
      <c r="C698" s="15" t="n">
        <f aca="false">INT(A698/6)</f>
        <v>115</v>
      </c>
      <c r="D698" s="16" t="n">
        <f aca="false">IF(C698=0,(1+Dic2023!$G$6)^(-B698),EXP(LN(INDEX(Dic2023!$H$6:$H$205,C698))+(LN(INDEX(Dic2023!$H$6:$H$205,MIN(C698+1,200)))-LN(INDEX(Dic2023!$H$6:$H$205,C698)))*(A698-6*C698)/6))</f>
        <v>0.0540329850507493</v>
      </c>
      <c r="E698" s="12" t="n">
        <f aca="false">D698^(-1/B698)-1</f>
        <v>0.0517528025</v>
      </c>
      <c r="F698" s="12" t="n">
        <f aca="false">(1+E698)^(1/12)-1</f>
        <v>0.00421369509431369</v>
      </c>
      <c r="G698" s="16" t="n">
        <f aca="false">IF(C698=0,(1+Dic2023!$J$6)^(-B698),EXP(LN(INDEX(Dic2023!$K$6:$K$205,C698))+(LN(INDEX(Dic2023!$K$6:$K$205,MIN(C698+1,200)))-LN(INDEX(Dic2023!$K$6:$K$205,C698)))*(A698-6*C698)/6))</f>
        <v>0.0540329850507493</v>
      </c>
      <c r="H698" s="12" t="n">
        <f aca="false">G698^(-1/B698)-1</f>
        <v>0.0517528025</v>
      </c>
      <c r="I698" s="12" t="n">
        <f aca="false">(1+H698)^(1/12)-1</f>
        <v>0.00421369509431369</v>
      </c>
      <c r="J698" s="16" t="n">
        <f aca="false">IF(C698=0,(1+Dic2023!$M$6)^(-B698),EXP(LN(INDEX(Dic2023!$N$6:$N$205,C698))+(LN(INDEX(Dic2023!$N$6:$N$205,MIN(C698+1,200)))-LN(INDEX(Dic2023!$N$6:$N$205,C698)))*(A698-6*C698)/6))</f>
        <v>0.0540329850507493</v>
      </c>
      <c r="K698" s="12" t="n">
        <f aca="false">J698^(-1/B698)-1</f>
        <v>0.0517528025</v>
      </c>
      <c r="L698" s="12" t="n">
        <f aca="false">(1+K698)^(1/12)-1</f>
        <v>0.00421369509431369</v>
      </c>
    </row>
    <row r="699" customFormat="false" ht="15" hidden="false" customHeight="false" outlineLevel="0" collapsed="false">
      <c r="A699" s="4" t="n">
        <v>695</v>
      </c>
      <c r="B699" s="14" t="n">
        <f aca="false">A699/12</f>
        <v>57.9166666666667</v>
      </c>
      <c r="C699" s="15" t="n">
        <f aca="false">INT(A699/6)</f>
        <v>115</v>
      </c>
      <c r="D699" s="16" t="n">
        <f aca="false">IF(C699=0,(1+Dic2023!$G$6)^(-B699),EXP(LN(INDEX(Dic2023!$H$6:$H$205,C699))+(LN(INDEX(Dic2023!$H$6:$H$205,MIN(C699+1,200)))-LN(INDEX(Dic2023!$H$6:$H$205,C699)))*(A699-6*C699)/6))</f>
        <v>0.0538062618690683</v>
      </c>
      <c r="E699" s="12" t="n">
        <f aca="false">D699^(-1/B699)-1</f>
        <v>0.0517528025</v>
      </c>
      <c r="F699" s="12" t="n">
        <f aca="false">(1+E699)^(1/12)-1</f>
        <v>0.00421369509431369</v>
      </c>
      <c r="G699" s="16" t="n">
        <f aca="false">IF(C699=0,(1+Dic2023!$J$6)^(-B699),EXP(LN(INDEX(Dic2023!$K$6:$K$205,C699))+(LN(INDEX(Dic2023!$K$6:$K$205,MIN(C699+1,200)))-LN(INDEX(Dic2023!$K$6:$K$205,C699)))*(A699-6*C699)/6))</f>
        <v>0.0538062618690683</v>
      </c>
      <c r="H699" s="12" t="n">
        <f aca="false">G699^(-1/B699)-1</f>
        <v>0.0517528025</v>
      </c>
      <c r="I699" s="12" t="n">
        <f aca="false">(1+H699)^(1/12)-1</f>
        <v>0.00421369509431369</v>
      </c>
      <c r="J699" s="16" t="n">
        <f aca="false">IF(C699=0,(1+Dic2023!$M$6)^(-B699),EXP(LN(INDEX(Dic2023!$N$6:$N$205,C699))+(LN(INDEX(Dic2023!$N$6:$N$205,MIN(C699+1,200)))-LN(INDEX(Dic2023!$N$6:$N$205,C699)))*(A699-6*C699)/6))</f>
        <v>0.0538062618690683</v>
      </c>
      <c r="K699" s="12" t="n">
        <f aca="false">J699^(-1/B699)-1</f>
        <v>0.0517528025</v>
      </c>
      <c r="L699" s="12" t="n">
        <f aca="false">(1+K699)^(1/12)-1</f>
        <v>0.00421369509431369</v>
      </c>
    </row>
    <row r="700" customFormat="false" ht="15" hidden="false" customHeight="false" outlineLevel="0" collapsed="false">
      <c r="A700" s="4" t="n">
        <v>696</v>
      </c>
      <c r="B700" s="14" t="n">
        <f aca="false">A700/12</f>
        <v>58</v>
      </c>
      <c r="C700" s="15" t="n">
        <f aca="false">INT(A700/6)</f>
        <v>116</v>
      </c>
      <c r="D700" s="16" t="n">
        <f aca="false">IF(C700=0,(1+Dic2023!$G$6)^(-B700),EXP(LN(INDEX(Dic2023!$H$6:$H$205,C700))+(LN(INDEX(Dic2023!$H$6:$H$205,MIN(C700+1,200)))-LN(INDEX(Dic2023!$H$6:$H$205,C700)))*(A700-6*C700)/6))</f>
        <v>0.0535804900211154</v>
      </c>
      <c r="E700" s="12" t="n">
        <f aca="false">D700^(-1/B700)-1</f>
        <v>0.0517528025</v>
      </c>
      <c r="F700" s="12" t="n">
        <f aca="false">(1+E700)^(1/12)-1</f>
        <v>0.00421369509431369</v>
      </c>
      <c r="G700" s="16" t="n">
        <f aca="false">IF(C700=0,(1+Dic2023!$J$6)^(-B700),EXP(LN(INDEX(Dic2023!$K$6:$K$205,C700))+(LN(INDEX(Dic2023!$K$6:$K$205,MIN(C700+1,200)))-LN(INDEX(Dic2023!$K$6:$K$205,C700)))*(A700-6*C700)/6))</f>
        <v>0.0535804900211154</v>
      </c>
      <c r="H700" s="12" t="n">
        <f aca="false">G700^(-1/B700)-1</f>
        <v>0.0517528025</v>
      </c>
      <c r="I700" s="12" t="n">
        <f aca="false">(1+H700)^(1/12)-1</f>
        <v>0.00421369509431369</v>
      </c>
      <c r="J700" s="16" t="n">
        <f aca="false">IF(C700=0,(1+Dic2023!$M$6)^(-B700),EXP(LN(INDEX(Dic2023!$N$6:$N$205,C700))+(LN(INDEX(Dic2023!$N$6:$N$205,MIN(C700+1,200)))-LN(INDEX(Dic2023!$N$6:$N$205,C700)))*(A700-6*C700)/6))</f>
        <v>0.0535804900211154</v>
      </c>
      <c r="K700" s="12" t="n">
        <f aca="false">J700^(-1/B700)-1</f>
        <v>0.0517528025</v>
      </c>
      <c r="L700" s="12" t="n">
        <f aca="false">(1+K700)^(1/12)-1</f>
        <v>0.00421369509431369</v>
      </c>
    </row>
    <row r="701" customFormat="false" ht="15" hidden="false" customHeight="false" outlineLevel="0" collapsed="false">
      <c r="A701" s="4" t="n">
        <v>697</v>
      </c>
      <c r="B701" s="14" t="n">
        <f aca="false">A701/12</f>
        <v>58.0833333333333</v>
      </c>
      <c r="C701" s="15" t="n">
        <f aca="false">INT(A701/6)</f>
        <v>116</v>
      </c>
      <c r="D701" s="16" t="n">
        <f aca="false">IF(C701=0,(1+Dic2023!$G$6)^(-B701),EXP(LN(INDEX(Dic2023!$H$6:$H$205,C701))+(LN(INDEX(Dic2023!$H$6:$H$205,MIN(C701+1,200)))-LN(INDEX(Dic2023!$H$6:$H$205,C701)))*(A701-6*C701)/6))</f>
        <v>0.0533556655150806</v>
      </c>
      <c r="E701" s="12" t="n">
        <f aca="false">D701^(-1/B701)-1</f>
        <v>0.0517528025</v>
      </c>
      <c r="F701" s="12" t="n">
        <f aca="false">(1+E701)^(1/12)-1</f>
        <v>0.00421369509431369</v>
      </c>
      <c r="G701" s="16" t="n">
        <f aca="false">IF(C701=0,(1+Dic2023!$J$6)^(-B701),EXP(LN(INDEX(Dic2023!$K$6:$K$205,C701))+(LN(INDEX(Dic2023!$K$6:$K$205,MIN(C701+1,200)))-LN(INDEX(Dic2023!$K$6:$K$205,C701)))*(A701-6*C701)/6))</f>
        <v>0.0533556655150806</v>
      </c>
      <c r="H701" s="12" t="n">
        <f aca="false">G701^(-1/B701)-1</f>
        <v>0.0517528025</v>
      </c>
      <c r="I701" s="12" t="n">
        <f aca="false">(1+H701)^(1/12)-1</f>
        <v>0.00421369509431369</v>
      </c>
      <c r="J701" s="16" t="n">
        <f aca="false">IF(C701=0,(1+Dic2023!$M$6)^(-B701),EXP(LN(INDEX(Dic2023!$N$6:$N$205,C701))+(LN(INDEX(Dic2023!$N$6:$N$205,MIN(C701+1,200)))-LN(INDEX(Dic2023!$N$6:$N$205,C701)))*(A701-6*C701)/6))</f>
        <v>0.0533556655150806</v>
      </c>
      <c r="K701" s="12" t="n">
        <f aca="false">J701^(-1/B701)-1</f>
        <v>0.0517528025</v>
      </c>
      <c r="L701" s="12" t="n">
        <f aca="false">(1+K701)^(1/12)-1</f>
        <v>0.00421369509431369</v>
      </c>
    </row>
    <row r="702" customFormat="false" ht="15" hidden="false" customHeight="false" outlineLevel="0" collapsed="false">
      <c r="A702" s="4" t="n">
        <v>698</v>
      </c>
      <c r="B702" s="14" t="n">
        <f aca="false">A702/12</f>
        <v>58.1666666666667</v>
      </c>
      <c r="C702" s="15" t="n">
        <f aca="false">INT(A702/6)</f>
        <v>116</v>
      </c>
      <c r="D702" s="16" t="n">
        <f aca="false">IF(C702=0,(1+Dic2023!$G$6)^(-B702),EXP(LN(INDEX(Dic2023!$H$6:$H$205,C702))+(LN(INDEX(Dic2023!$H$6:$H$205,MIN(C702+1,200)))-LN(INDEX(Dic2023!$H$6:$H$205,C702)))*(A702-6*C702)/6))</f>
        <v>0.0531317843759037</v>
      </c>
      <c r="E702" s="12" t="n">
        <f aca="false">D702^(-1/B702)-1</f>
        <v>0.0517528025</v>
      </c>
      <c r="F702" s="12" t="n">
        <f aca="false">(1+E702)^(1/12)-1</f>
        <v>0.00421369509431369</v>
      </c>
      <c r="G702" s="16" t="n">
        <f aca="false">IF(C702=0,(1+Dic2023!$J$6)^(-B702),EXP(LN(INDEX(Dic2023!$K$6:$K$205,C702))+(LN(INDEX(Dic2023!$K$6:$K$205,MIN(C702+1,200)))-LN(INDEX(Dic2023!$K$6:$K$205,C702)))*(A702-6*C702)/6))</f>
        <v>0.0531317843759037</v>
      </c>
      <c r="H702" s="12" t="n">
        <f aca="false">G702^(-1/B702)-1</f>
        <v>0.0517528025</v>
      </c>
      <c r="I702" s="12" t="n">
        <f aca="false">(1+H702)^(1/12)-1</f>
        <v>0.00421369509431369</v>
      </c>
      <c r="J702" s="16" t="n">
        <f aca="false">IF(C702=0,(1+Dic2023!$M$6)^(-B702),EXP(LN(INDEX(Dic2023!$N$6:$N$205,C702))+(LN(INDEX(Dic2023!$N$6:$N$205,MIN(C702+1,200)))-LN(INDEX(Dic2023!$N$6:$N$205,C702)))*(A702-6*C702)/6))</f>
        <v>0.0531317843759037</v>
      </c>
      <c r="K702" s="12" t="n">
        <f aca="false">J702^(-1/B702)-1</f>
        <v>0.0517528025</v>
      </c>
      <c r="L702" s="12" t="n">
        <f aca="false">(1+K702)^(1/12)-1</f>
        <v>0.00421369509431369</v>
      </c>
    </row>
    <row r="703" customFormat="false" ht="15" hidden="false" customHeight="false" outlineLevel="0" collapsed="false">
      <c r="A703" s="4" t="n">
        <v>699</v>
      </c>
      <c r="B703" s="14" t="n">
        <f aca="false">A703/12</f>
        <v>58.25</v>
      </c>
      <c r="C703" s="15" t="n">
        <f aca="false">INT(A703/6)</f>
        <v>116</v>
      </c>
      <c r="D703" s="16" t="n">
        <f aca="false">IF(C703=0,(1+Dic2023!$G$6)^(-B703),EXP(LN(INDEX(Dic2023!$H$6:$H$205,C703))+(LN(INDEX(Dic2023!$H$6:$H$205,MIN(C703+1,200)))-LN(INDEX(Dic2023!$H$6:$H$205,C703)))*(A703-6*C703)/6))</f>
        <v>0.0529088426452038</v>
      </c>
      <c r="E703" s="12" t="n">
        <f aca="false">D703^(-1/B703)-1</f>
        <v>0.0517528025</v>
      </c>
      <c r="F703" s="12" t="n">
        <f aca="false">(1+E703)^(1/12)-1</f>
        <v>0.00421369509431369</v>
      </c>
      <c r="G703" s="16" t="n">
        <f aca="false">IF(C703=0,(1+Dic2023!$J$6)^(-B703),EXP(LN(INDEX(Dic2023!$K$6:$K$205,C703))+(LN(INDEX(Dic2023!$K$6:$K$205,MIN(C703+1,200)))-LN(INDEX(Dic2023!$K$6:$K$205,C703)))*(A703-6*C703)/6))</f>
        <v>0.0529088426452038</v>
      </c>
      <c r="H703" s="12" t="n">
        <f aca="false">G703^(-1/B703)-1</f>
        <v>0.0517528025</v>
      </c>
      <c r="I703" s="12" t="n">
        <f aca="false">(1+H703)^(1/12)-1</f>
        <v>0.00421369509431369</v>
      </c>
      <c r="J703" s="16" t="n">
        <f aca="false">IF(C703=0,(1+Dic2023!$M$6)^(-B703),EXP(LN(INDEX(Dic2023!$N$6:$N$205,C703))+(LN(INDEX(Dic2023!$N$6:$N$205,MIN(C703+1,200)))-LN(INDEX(Dic2023!$N$6:$N$205,C703)))*(A703-6*C703)/6))</f>
        <v>0.0529088426452038</v>
      </c>
      <c r="K703" s="12" t="n">
        <f aca="false">J703^(-1/B703)-1</f>
        <v>0.0517528025</v>
      </c>
      <c r="L703" s="12" t="n">
        <f aca="false">(1+K703)^(1/12)-1</f>
        <v>0.00421369509431369</v>
      </c>
    </row>
    <row r="704" customFormat="false" ht="15" hidden="false" customHeight="false" outlineLevel="0" collapsed="false">
      <c r="A704" s="4" t="n">
        <v>700</v>
      </c>
      <c r="B704" s="14" t="n">
        <f aca="false">A704/12</f>
        <v>58.3333333333333</v>
      </c>
      <c r="C704" s="15" t="n">
        <f aca="false">INT(A704/6)</f>
        <v>116</v>
      </c>
      <c r="D704" s="16" t="n">
        <f aca="false">IF(C704=0,(1+Dic2023!$G$6)^(-B704),EXP(LN(INDEX(Dic2023!$H$6:$H$205,C704))+(LN(INDEX(Dic2023!$H$6:$H$205,MIN(C704+1,200)))-LN(INDEX(Dic2023!$H$6:$H$205,C704)))*(A704-6*C704)/6))</f>
        <v>0.0526868363812094</v>
      </c>
      <c r="E704" s="12" t="n">
        <f aca="false">D704^(-1/B704)-1</f>
        <v>0.0517528025</v>
      </c>
      <c r="F704" s="12" t="n">
        <f aca="false">(1+E704)^(1/12)-1</f>
        <v>0.00421369509431369</v>
      </c>
      <c r="G704" s="16" t="n">
        <f aca="false">IF(C704=0,(1+Dic2023!$J$6)^(-B704),EXP(LN(INDEX(Dic2023!$K$6:$K$205,C704))+(LN(INDEX(Dic2023!$K$6:$K$205,MIN(C704+1,200)))-LN(INDEX(Dic2023!$K$6:$K$205,C704)))*(A704-6*C704)/6))</f>
        <v>0.0526868363812094</v>
      </c>
      <c r="H704" s="12" t="n">
        <f aca="false">G704^(-1/B704)-1</f>
        <v>0.0517528025</v>
      </c>
      <c r="I704" s="12" t="n">
        <f aca="false">(1+H704)^(1/12)-1</f>
        <v>0.00421369509431369</v>
      </c>
      <c r="J704" s="16" t="n">
        <f aca="false">IF(C704=0,(1+Dic2023!$M$6)^(-B704),EXP(LN(INDEX(Dic2023!$N$6:$N$205,C704))+(LN(INDEX(Dic2023!$N$6:$N$205,MIN(C704+1,200)))-LN(INDEX(Dic2023!$N$6:$N$205,C704)))*(A704-6*C704)/6))</f>
        <v>0.0526868363812094</v>
      </c>
      <c r="K704" s="12" t="n">
        <f aca="false">J704^(-1/B704)-1</f>
        <v>0.0517528025</v>
      </c>
      <c r="L704" s="12" t="n">
        <f aca="false">(1+K704)^(1/12)-1</f>
        <v>0.00421369509431369</v>
      </c>
    </row>
    <row r="705" customFormat="false" ht="15" hidden="false" customHeight="false" outlineLevel="0" collapsed="false">
      <c r="A705" s="4" t="n">
        <v>701</v>
      </c>
      <c r="B705" s="14" t="n">
        <f aca="false">A705/12</f>
        <v>58.4166666666667</v>
      </c>
      <c r="C705" s="15" t="n">
        <f aca="false">INT(A705/6)</f>
        <v>116</v>
      </c>
      <c r="D705" s="16" t="n">
        <f aca="false">IF(C705=0,(1+Dic2023!$G$6)^(-B705),EXP(LN(INDEX(Dic2023!$H$6:$H$205,C705))+(LN(INDEX(Dic2023!$H$6:$H$205,MIN(C705+1,200)))-LN(INDEX(Dic2023!$H$6:$H$205,C705)))*(A705-6*C705)/6))</f>
        <v>0.0524657616586888</v>
      </c>
      <c r="E705" s="12" t="n">
        <f aca="false">D705^(-1/B705)-1</f>
        <v>0.0517528025</v>
      </c>
      <c r="F705" s="12" t="n">
        <f aca="false">(1+E705)^(1/12)-1</f>
        <v>0.00421369509431369</v>
      </c>
      <c r="G705" s="16" t="n">
        <f aca="false">IF(C705=0,(1+Dic2023!$J$6)^(-B705),EXP(LN(INDEX(Dic2023!$K$6:$K$205,C705))+(LN(INDEX(Dic2023!$K$6:$K$205,MIN(C705+1,200)))-LN(INDEX(Dic2023!$K$6:$K$205,C705)))*(A705-6*C705)/6))</f>
        <v>0.0524657616586888</v>
      </c>
      <c r="H705" s="12" t="n">
        <f aca="false">G705^(-1/B705)-1</f>
        <v>0.0517528025</v>
      </c>
      <c r="I705" s="12" t="n">
        <f aca="false">(1+H705)^(1/12)-1</f>
        <v>0.00421369509431369</v>
      </c>
      <c r="J705" s="16" t="n">
        <f aca="false">IF(C705=0,(1+Dic2023!$M$6)^(-B705),EXP(LN(INDEX(Dic2023!$N$6:$N$205,C705))+(LN(INDEX(Dic2023!$N$6:$N$205,MIN(C705+1,200)))-LN(INDEX(Dic2023!$N$6:$N$205,C705)))*(A705-6*C705)/6))</f>
        <v>0.0524657616586888</v>
      </c>
      <c r="K705" s="12" t="n">
        <f aca="false">J705^(-1/B705)-1</f>
        <v>0.0517528025</v>
      </c>
      <c r="L705" s="12" t="n">
        <f aca="false">(1+K705)^(1/12)-1</f>
        <v>0.00421369509431369</v>
      </c>
    </row>
    <row r="706" customFormat="false" ht="15" hidden="false" customHeight="false" outlineLevel="0" collapsed="false">
      <c r="A706" s="4" t="n">
        <v>702</v>
      </c>
      <c r="B706" s="14" t="n">
        <f aca="false">A706/12</f>
        <v>58.5</v>
      </c>
      <c r="C706" s="15" t="n">
        <f aca="false">INT(A706/6)</f>
        <v>117</v>
      </c>
      <c r="D706" s="16" t="n">
        <f aca="false">IF(C706=0,(1+Dic2023!$G$6)^(-B706),EXP(LN(INDEX(Dic2023!$H$6:$H$205,C706))+(LN(INDEX(Dic2023!$H$6:$H$205,MIN(C706+1,200)))-LN(INDEX(Dic2023!$H$6:$H$205,C706)))*(A706-6*C706)/6))</f>
        <v>0.0522456145688805</v>
      </c>
      <c r="E706" s="12" t="n">
        <f aca="false">D706^(-1/B706)-1</f>
        <v>0.0517528025</v>
      </c>
      <c r="F706" s="12" t="n">
        <f aca="false">(1+E706)^(1/12)-1</f>
        <v>0.00421369509431369</v>
      </c>
      <c r="G706" s="16" t="n">
        <f aca="false">IF(C706=0,(1+Dic2023!$J$6)^(-B706),EXP(LN(INDEX(Dic2023!$K$6:$K$205,C706))+(LN(INDEX(Dic2023!$K$6:$K$205,MIN(C706+1,200)))-LN(INDEX(Dic2023!$K$6:$K$205,C706)))*(A706-6*C706)/6))</f>
        <v>0.0522456145688805</v>
      </c>
      <c r="H706" s="12" t="n">
        <f aca="false">G706^(-1/B706)-1</f>
        <v>0.0517528025</v>
      </c>
      <c r="I706" s="12" t="n">
        <f aca="false">(1+H706)^(1/12)-1</f>
        <v>0.00421369509431369</v>
      </c>
      <c r="J706" s="16" t="n">
        <f aca="false">IF(C706=0,(1+Dic2023!$M$6)^(-B706),EXP(LN(INDEX(Dic2023!$N$6:$N$205,C706))+(LN(INDEX(Dic2023!$N$6:$N$205,MIN(C706+1,200)))-LN(INDEX(Dic2023!$N$6:$N$205,C706)))*(A706-6*C706)/6))</f>
        <v>0.0522456145688805</v>
      </c>
      <c r="K706" s="12" t="n">
        <f aca="false">J706^(-1/B706)-1</f>
        <v>0.0517528025</v>
      </c>
      <c r="L706" s="12" t="n">
        <f aca="false">(1+K706)^(1/12)-1</f>
        <v>0.00421369509431369</v>
      </c>
    </row>
    <row r="707" customFormat="false" ht="15" hidden="false" customHeight="false" outlineLevel="0" collapsed="false">
      <c r="A707" s="4" t="n">
        <v>703</v>
      </c>
      <c r="B707" s="14" t="n">
        <f aca="false">A707/12</f>
        <v>58.5833333333333</v>
      </c>
      <c r="C707" s="15" t="n">
        <f aca="false">INT(A707/6)</f>
        <v>117</v>
      </c>
      <c r="D707" s="16" t="n">
        <f aca="false">IF(C707=0,(1+Dic2023!$G$6)^(-B707),EXP(LN(INDEX(Dic2023!$H$6:$H$205,C707))+(LN(INDEX(Dic2023!$H$6:$H$205,MIN(C707+1,200)))-LN(INDEX(Dic2023!$H$6:$H$205,C707)))*(A707-6*C707)/6))</f>
        <v>0.0520263912194243</v>
      </c>
      <c r="E707" s="12" t="n">
        <f aca="false">D707^(-1/B707)-1</f>
        <v>0.0517528025</v>
      </c>
      <c r="F707" s="12" t="n">
        <f aca="false">(1+E707)^(1/12)-1</f>
        <v>0.00421369509431369</v>
      </c>
      <c r="G707" s="16" t="n">
        <f aca="false">IF(C707=0,(1+Dic2023!$J$6)^(-B707),EXP(LN(INDEX(Dic2023!$K$6:$K$205,C707))+(LN(INDEX(Dic2023!$K$6:$K$205,MIN(C707+1,200)))-LN(INDEX(Dic2023!$K$6:$K$205,C707)))*(A707-6*C707)/6))</f>
        <v>0.0520263912194243</v>
      </c>
      <c r="H707" s="12" t="n">
        <f aca="false">G707^(-1/B707)-1</f>
        <v>0.0517528025</v>
      </c>
      <c r="I707" s="12" t="n">
        <f aca="false">(1+H707)^(1/12)-1</f>
        <v>0.00421369509431369</v>
      </c>
      <c r="J707" s="16" t="n">
        <f aca="false">IF(C707=0,(1+Dic2023!$M$6)^(-B707),EXP(LN(INDEX(Dic2023!$N$6:$N$205,C707))+(LN(INDEX(Dic2023!$N$6:$N$205,MIN(C707+1,200)))-LN(INDEX(Dic2023!$N$6:$N$205,C707)))*(A707-6*C707)/6))</f>
        <v>0.0520263912194243</v>
      </c>
      <c r="K707" s="12" t="n">
        <f aca="false">J707^(-1/B707)-1</f>
        <v>0.0517528025</v>
      </c>
      <c r="L707" s="12" t="n">
        <f aca="false">(1+K707)^(1/12)-1</f>
        <v>0.00421369509431369</v>
      </c>
    </row>
    <row r="708" customFormat="false" ht="15" hidden="false" customHeight="false" outlineLevel="0" collapsed="false">
      <c r="A708" s="4" t="n">
        <v>704</v>
      </c>
      <c r="B708" s="14" t="n">
        <f aca="false">A708/12</f>
        <v>58.6666666666667</v>
      </c>
      <c r="C708" s="15" t="n">
        <f aca="false">INT(A708/6)</f>
        <v>117</v>
      </c>
      <c r="D708" s="16" t="n">
        <f aca="false">IF(C708=0,(1+Dic2023!$G$6)^(-B708),EXP(LN(INDEX(Dic2023!$H$6:$H$205,C708))+(LN(INDEX(Dic2023!$H$6:$H$205,MIN(C708+1,200)))-LN(INDEX(Dic2023!$H$6:$H$205,C708)))*(A708-6*C708)/6))</f>
        <v>0.0518080877342926</v>
      </c>
      <c r="E708" s="12" t="n">
        <f aca="false">D708^(-1/B708)-1</f>
        <v>0.0517528025</v>
      </c>
      <c r="F708" s="12" t="n">
        <f aca="false">(1+E708)^(1/12)-1</f>
        <v>0.00421369509431369</v>
      </c>
      <c r="G708" s="16" t="n">
        <f aca="false">IF(C708=0,(1+Dic2023!$J$6)^(-B708),EXP(LN(INDEX(Dic2023!$K$6:$K$205,C708))+(LN(INDEX(Dic2023!$K$6:$K$205,MIN(C708+1,200)))-LN(INDEX(Dic2023!$K$6:$K$205,C708)))*(A708-6*C708)/6))</f>
        <v>0.0518080877342926</v>
      </c>
      <c r="H708" s="12" t="n">
        <f aca="false">G708^(-1/B708)-1</f>
        <v>0.0517528025</v>
      </c>
      <c r="I708" s="12" t="n">
        <f aca="false">(1+H708)^(1/12)-1</f>
        <v>0.00421369509431369</v>
      </c>
      <c r="J708" s="16" t="n">
        <f aca="false">IF(C708=0,(1+Dic2023!$M$6)^(-B708),EXP(LN(INDEX(Dic2023!$N$6:$N$205,C708))+(LN(INDEX(Dic2023!$N$6:$N$205,MIN(C708+1,200)))-LN(INDEX(Dic2023!$N$6:$N$205,C708)))*(A708-6*C708)/6))</f>
        <v>0.0518080877342926</v>
      </c>
      <c r="K708" s="12" t="n">
        <f aca="false">J708^(-1/B708)-1</f>
        <v>0.0517528025</v>
      </c>
      <c r="L708" s="12" t="n">
        <f aca="false">(1+K708)^(1/12)-1</f>
        <v>0.00421369509431369</v>
      </c>
    </row>
    <row r="709" customFormat="false" ht="15" hidden="false" customHeight="false" outlineLevel="0" collapsed="false">
      <c r="A709" s="4" t="n">
        <v>705</v>
      </c>
      <c r="B709" s="14" t="n">
        <f aca="false">A709/12</f>
        <v>58.75</v>
      </c>
      <c r="C709" s="15" t="n">
        <f aca="false">INT(A709/6)</f>
        <v>117</v>
      </c>
      <c r="D709" s="16" t="n">
        <f aca="false">IF(C709=0,(1+Dic2023!$G$6)^(-B709),EXP(LN(INDEX(Dic2023!$H$6:$H$205,C709))+(LN(INDEX(Dic2023!$H$6:$H$205,MIN(C709+1,200)))-LN(INDEX(Dic2023!$H$6:$H$205,C709)))*(A709-6*C709)/6))</f>
        <v>0.0515907002537213</v>
      </c>
      <c r="E709" s="12" t="n">
        <f aca="false">D709^(-1/B709)-1</f>
        <v>0.0517528025</v>
      </c>
      <c r="F709" s="12" t="n">
        <f aca="false">(1+E709)^(1/12)-1</f>
        <v>0.00421369509431369</v>
      </c>
      <c r="G709" s="16" t="n">
        <f aca="false">IF(C709=0,(1+Dic2023!$J$6)^(-B709),EXP(LN(INDEX(Dic2023!$K$6:$K$205,C709))+(LN(INDEX(Dic2023!$K$6:$K$205,MIN(C709+1,200)))-LN(INDEX(Dic2023!$K$6:$K$205,C709)))*(A709-6*C709)/6))</f>
        <v>0.0515907002537213</v>
      </c>
      <c r="H709" s="12" t="n">
        <f aca="false">G709^(-1/B709)-1</f>
        <v>0.0517528025</v>
      </c>
      <c r="I709" s="12" t="n">
        <f aca="false">(1+H709)^(1/12)-1</f>
        <v>0.00421369509431369</v>
      </c>
      <c r="J709" s="16" t="n">
        <f aca="false">IF(C709=0,(1+Dic2023!$M$6)^(-B709),EXP(LN(INDEX(Dic2023!$N$6:$N$205,C709))+(LN(INDEX(Dic2023!$N$6:$N$205,MIN(C709+1,200)))-LN(INDEX(Dic2023!$N$6:$N$205,C709)))*(A709-6*C709)/6))</f>
        <v>0.0515907002537213</v>
      </c>
      <c r="K709" s="12" t="n">
        <f aca="false">J709^(-1/B709)-1</f>
        <v>0.0517528025</v>
      </c>
      <c r="L709" s="12" t="n">
        <f aca="false">(1+K709)^(1/12)-1</f>
        <v>0.00421369509431369</v>
      </c>
    </row>
    <row r="710" customFormat="false" ht="15" hidden="false" customHeight="false" outlineLevel="0" collapsed="false">
      <c r="A710" s="4" t="n">
        <v>706</v>
      </c>
      <c r="B710" s="14" t="n">
        <f aca="false">A710/12</f>
        <v>58.8333333333333</v>
      </c>
      <c r="C710" s="15" t="n">
        <f aca="false">INT(A710/6)</f>
        <v>117</v>
      </c>
      <c r="D710" s="16" t="n">
        <f aca="false">IF(C710=0,(1+Dic2023!$G$6)^(-B710),EXP(LN(INDEX(Dic2023!$H$6:$H$205,C710))+(LN(INDEX(Dic2023!$H$6:$H$205,MIN(C710+1,200)))-LN(INDEX(Dic2023!$H$6:$H$205,C710)))*(A710-6*C710)/6))</f>
        <v>0.0513742249341421</v>
      </c>
      <c r="E710" s="12" t="n">
        <f aca="false">D710^(-1/B710)-1</f>
        <v>0.0517528025</v>
      </c>
      <c r="F710" s="12" t="n">
        <f aca="false">(1+E710)^(1/12)-1</f>
        <v>0.00421369509431369</v>
      </c>
      <c r="G710" s="16" t="n">
        <f aca="false">IF(C710=0,(1+Dic2023!$J$6)^(-B710),EXP(LN(INDEX(Dic2023!$K$6:$K$205,C710))+(LN(INDEX(Dic2023!$K$6:$K$205,MIN(C710+1,200)))-LN(INDEX(Dic2023!$K$6:$K$205,C710)))*(A710-6*C710)/6))</f>
        <v>0.0513742249341421</v>
      </c>
      <c r="H710" s="12" t="n">
        <f aca="false">G710^(-1/B710)-1</f>
        <v>0.0517528025</v>
      </c>
      <c r="I710" s="12" t="n">
        <f aca="false">(1+H710)^(1/12)-1</f>
        <v>0.00421369509431369</v>
      </c>
      <c r="J710" s="16" t="n">
        <f aca="false">IF(C710=0,(1+Dic2023!$M$6)^(-B710),EXP(LN(INDEX(Dic2023!$N$6:$N$205,C710))+(LN(INDEX(Dic2023!$N$6:$N$205,MIN(C710+1,200)))-LN(INDEX(Dic2023!$N$6:$N$205,C710)))*(A710-6*C710)/6))</f>
        <v>0.0513742249341421</v>
      </c>
      <c r="K710" s="12" t="n">
        <f aca="false">J710^(-1/B710)-1</f>
        <v>0.0517528025</v>
      </c>
      <c r="L710" s="12" t="n">
        <f aca="false">(1+K710)^(1/12)-1</f>
        <v>0.00421369509431369</v>
      </c>
    </row>
    <row r="711" customFormat="false" ht="15" hidden="false" customHeight="false" outlineLevel="0" collapsed="false">
      <c r="A711" s="4" t="n">
        <v>707</v>
      </c>
      <c r="B711" s="14" t="n">
        <f aca="false">A711/12</f>
        <v>58.9166666666667</v>
      </c>
      <c r="C711" s="15" t="n">
        <f aca="false">INT(A711/6)</f>
        <v>117</v>
      </c>
      <c r="D711" s="16" t="n">
        <f aca="false">IF(C711=0,(1+Dic2023!$G$6)^(-B711),EXP(LN(INDEX(Dic2023!$H$6:$H$205,C711))+(LN(INDEX(Dic2023!$H$6:$H$205,MIN(C711+1,200)))-LN(INDEX(Dic2023!$H$6:$H$205,C711)))*(A711-6*C711)/6))</f>
        <v>0.0511586579481144</v>
      </c>
      <c r="E711" s="12" t="n">
        <f aca="false">D711^(-1/B711)-1</f>
        <v>0.0517528025</v>
      </c>
      <c r="F711" s="12" t="n">
        <f aca="false">(1+E711)^(1/12)-1</f>
        <v>0.00421369509431369</v>
      </c>
      <c r="G711" s="16" t="n">
        <f aca="false">IF(C711=0,(1+Dic2023!$J$6)^(-B711),EXP(LN(INDEX(Dic2023!$K$6:$K$205,C711))+(LN(INDEX(Dic2023!$K$6:$K$205,MIN(C711+1,200)))-LN(INDEX(Dic2023!$K$6:$K$205,C711)))*(A711-6*C711)/6))</f>
        <v>0.0511586579481144</v>
      </c>
      <c r="H711" s="12" t="n">
        <f aca="false">G711^(-1/B711)-1</f>
        <v>0.0517528025</v>
      </c>
      <c r="I711" s="12" t="n">
        <f aca="false">(1+H711)^(1/12)-1</f>
        <v>0.00421369509431369</v>
      </c>
      <c r="J711" s="16" t="n">
        <f aca="false">IF(C711=0,(1+Dic2023!$M$6)^(-B711),EXP(LN(INDEX(Dic2023!$N$6:$N$205,C711))+(LN(INDEX(Dic2023!$N$6:$N$205,MIN(C711+1,200)))-LN(INDEX(Dic2023!$N$6:$N$205,C711)))*(A711-6*C711)/6))</f>
        <v>0.0511586579481144</v>
      </c>
      <c r="K711" s="12" t="n">
        <f aca="false">J711^(-1/B711)-1</f>
        <v>0.0517528025</v>
      </c>
      <c r="L711" s="12" t="n">
        <f aca="false">(1+K711)^(1/12)-1</f>
        <v>0.00421369509431369</v>
      </c>
    </row>
    <row r="712" customFormat="false" ht="15" hidden="false" customHeight="false" outlineLevel="0" collapsed="false">
      <c r="A712" s="4" t="n">
        <v>708</v>
      </c>
      <c r="B712" s="14" t="n">
        <f aca="false">A712/12</f>
        <v>59</v>
      </c>
      <c r="C712" s="15" t="n">
        <f aca="false">INT(A712/6)</f>
        <v>118</v>
      </c>
      <c r="D712" s="16" t="n">
        <f aca="false">IF(C712=0,(1+Dic2023!$G$6)^(-B712),EXP(LN(INDEX(Dic2023!$H$6:$H$205,C712))+(LN(INDEX(Dic2023!$H$6:$H$205,MIN(C712+1,200)))-LN(INDEX(Dic2023!$H$6:$H$205,C712)))*(A712-6*C712)/6))</f>
        <v>0.0509439954842577</v>
      </c>
      <c r="E712" s="12" t="n">
        <f aca="false">D712^(-1/B712)-1</f>
        <v>0.0517528025</v>
      </c>
      <c r="F712" s="12" t="n">
        <f aca="false">(1+E712)^(1/12)-1</f>
        <v>0.00421369509431369</v>
      </c>
      <c r="G712" s="16" t="n">
        <f aca="false">IF(C712=0,(1+Dic2023!$J$6)^(-B712),EXP(LN(INDEX(Dic2023!$K$6:$K$205,C712))+(LN(INDEX(Dic2023!$K$6:$K$205,MIN(C712+1,200)))-LN(INDEX(Dic2023!$K$6:$K$205,C712)))*(A712-6*C712)/6))</f>
        <v>0.0509439954842577</v>
      </c>
      <c r="H712" s="12" t="n">
        <f aca="false">G712^(-1/B712)-1</f>
        <v>0.0517528025</v>
      </c>
      <c r="I712" s="12" t="n">
        <f aca="false">(1+H712)^(1/12)-1</f>
        <v>0.00421369509431369</v>
      </c>
      <c r="J712" s="16" t="n">
        <f aca="false">IF(C712=0,(1+Dic2023!$M$6)^(-B712),EXP(LN(INDEX(Dic2023!$N$6:$N$205,C712))+(LN(INDEX(Dic2023!$N$6:$N$205,MIN(C712+1,200)))-LN(INDEX(Dic2023!$N$6:$N$205,C712)))*(A712-6*C712)/6))</f>
        <v>0.0509439954842577</v>
      </c>
      <c r="K712" s="12" t="n">
        <f aca="false">J712^(-1/B712)-1</f>
        <v>0.0517528025</v>
      </c>
      <c r="L712" s="12" t="n">
        <f aca="false">(1+K712)^(1/12)-1</f>
        <v>0.00421369509431369</v>
      </c>
    </row>
    <row r="713" customFormat="false" ht="15" hidden="false" customHeight="false" outlineLevel="0" collapsed="false">
      <c r="A713" s="4" t="n">
        <v>709</v>
      </c>
      <c r="B713" s="14" t="n">
        <f aca="false">A713/12</f>
        <v>59.0833333333333</v>
      </c>
      <c r="C713" s="15" t="n">
        <f aca="false">INT(A713/6)</f>
        <v>118</v>
      </c>
      <c r="D713" s="16" t="n">
        <f aca="false">IF(C713=0,(1+Dic2023!$G$6)^(-B713),EXP(LN(INDEX(Dic2023!$H$6:$H$205,C713))+(LN(INDEX(Dic2023!$H$6:$H$205,MIN(C713+1,200)))-LN(INDEX(Dic2023!$H$6:$H$205,C713)))*(A713-6*C713)/6))</f>
        <v>0.0507302337471838</v>
      </c>
      <c r="E713" s="12" t="n">
        <f aca="false">D713^(-1/B713)-1</f>
        <v>0.0517528025</v>
      </c>
      <c r="F713" s="12" t="n">
        <f aca="false">(1+E713)^(1/12)-1</f>
        <v>0.00421369509431369</v>
      </c>
      <c r="G713" s="16" t="n">
        <f aca="false">IF(C713=0,(1+Dic2023!$J$6)^(-B713),EXP(LN(INDEX(Dic2023!$K$6:$K$205,C713))+(LN(INDEX(Dic2023!$K$6:$K$205,MIN(C713+1,200)))-LN(INDEX(Dic2023!$K$6:$K$205,C713)))*(A713-6*C713)/6))</f>
        <v>0.0507302337471838</v>
      </c>
      <c r="H713" s="12" t="n">
        <f aca="false">G713^(-1/B713)-1</f>
        <v>0.0517528025</v>
      </c>
      <c r="I713" s="12" t="n">
        <f aca="false">(1+H713)^(1/12)-1</f>
        <v>0.00421369509431369</v>
      </c>
      <c r="J713" s="16" t="n">
        <f aca="false">IF(C713=0,(1+Dic2023!$M$6)^(-B713),EXP(LN(INDEX(Dic2023!$N$6:$N$205,C713))+(LN(INDEX(Dic2023!$N$6:$N$205,MIN(C713+1,200)))-LN(INDEX(Dic2023!$N$6:$N$205,C713)))*(A713-6*C713)/6))</f>
        <v>0.0507302337471838</v>
      </c>
      <c r="K713" s="12" t="n">
        <f aca="false">J713^(-1/B713)-1</f>
        <v>0.0517528025</v>
      </c>
      <c r="L713" s="12" t="n">
        <f aca="false">(1+K713)^(1/12)-1</f>
        <v>0.00421369509431369</v>
      </c>
    </row>
    <row r="714" customFormat="false" ht="15" hidden="false" customHeight="false" outlineLevel="0" collapsed="false">
      <c r="A714" s="4" t="n">
        <v>710</v>
      </c>
      <c r="B714" s="14" t="n">
        <f aca="false">A714/12</f>
        <v>59.1666666666667</v>
      </c>
      <c r="C714" s="15" t="n">
        <f aca="false">INT(A714/6)</f>
        <v>118</v>
      </c>
      <c r="D714" s="16" t="n">
        <f aca="false">IF(C714=0,(1+Dic2023!$G$6)^(-B714),EXP(LN(INDEX(Dic2023!$H$6:$H$205,C714))+(LN(INDEX(Dic2023!$H$6:$H$205,MIN(C714+1,200)))-LN(INDEX(Dic2023!$H$6:$H$205,C714)))*(A714-6*C714)/6))</f>
        <v>0.0505173689574302</v>
      </c>
      <c r="E714" s="12" t="n">
        <f aca="false">D714^(-1/B714)-1</f>
        <v>0.0517528025</v>
      </c>
      <c r="F714" s="12" t="n">
        <f aca="false">(1+E714)^(1/12)-1</f>
        <v>0.00421369509431369</v>
      </c>
      <c r="G714" s="16" t="n">
        <f aca="false">IF(C714=0,(1+Dic2023!$J$6)^(-B714),EXP(LN(INDEX(Dic2023!$K$6:$K$205,C714))+(LN(INDEX(Dic2023!$K$6:$K$205,MIN(C714+1,200)))-LN(INDEX(Dic2023!$K$6:$K$205,C714)))*(A714-6*C714)/6))</f>
        <v>0.0505173689574302</v>
      </c>
      <c r="H714" s="12" t="n">
        <f aca="false">G714^(-1/B714)-1</f>
        <v>0.0517528025</v>
      </c>
      <c r="I714" s="12" t="n">
        <f aca="false">(1+H714)^(1/12)-1</f>
        <v>0.00421369509431369</v>
      </c>
      <c r="J714" s="16" t="n">
        <f aca="false">IF(C714=0,(1+Dic2023!$M$6)^(-B714),EXP(LN(INDEX(Dic2023!$N$6:$N$205,C714))+(LN(INDEX(Dic2023!$N$6:$N$205,MIN(C714+1,200)))-LN(INDEX(Dic2023!$N$6:$N$205,C714)))*(A714-6*C714)/6))</f>
        <v>0.0505173689574302</v>
      </c>
      <c r="K714" s="12" t="n">
        <f aca="false">J714^(-1/B714)-1</f>
        <v>0.0517528025</v>
      </c>
      <c r="L714" s="12" t="n">
        <f aca="false">(1+K714)^(1/12)-1</f>
        <v>0.00421369509431369</v>
      </c>
    </row>
    <row r="715" customFormat="false" ht="15" hidden="false" customHeight="false" outlineLevel="0" collapsed="false">
      <c r="A715" s="4" t="n">
        <v>711</v>
      </c>
      <c r="B715" s="14" t="n">
        <f aca="false">A715/12</f>
        <v>59.25</v>
      </c>
      <c r="C715" s="15" t="n">
        <f aca="false">INT(A715/6)</f>
        <v>118</v>
      </c>
      <c r="D715" s="16" t="n">
        <f aca="false">IF(C715=0,(1+Dic2023!$G$6)^(-B715),EXP(LN(INDEX(Dic2023!$H$6:$H$205,C715))+(LN(INDEX(Dic2023!$H$6:$H$205,MIN(C715+1,200)))-LN(INDEX(Dic2023!$H$6:$H$205,C715)))*(A715-6*C715)/6))</f>
        <v>0.0503053973513931</v>
      </c>
      <c r="E715" s="12" t="n">
        <f aca="false">D715^(-1/B715)-1</f>
        <v>0.0517528025</v>
      </c>
      <c r="F715" s="12" t="n">
        <f aca="false">(1+E715)^(1/12)-1</f>
        <v>0.00421369509431369</v>
      </c>
      <c r="G715" s="16" t="n">
        <f aca="false">IF(C715=0,(1+Dic2023!$J$6)^(-B715),EXP(LN(INDEX(Dic2023!$K$6:$K$205,C715))+(LN(INDEX(Dic2023!$K$6:$K$205,MIN(C715+1,200)))-LN(INDEX(Dic2023!$K$6:$K$205,C715)))*(A715-6*C715)/6))</f>
        <v>0.0503053973513931</v>
      </c>
      <c r="H715" s="12" t="n">
        <f aca="false">G715^(-1/B715)-1</f>
        <v>0.0517528025</v>
      </c>
      <c r="I715" s="12" t="n">
        <f aca="false">(1+H715)^(1/12)-1</f>
        <v>0.00421369509431369</v>
      </c>
      <c r="J715" s="16" t="n">
        <f aca="false">IF(C715=0,(1+Dic2023!$M$6)^(-B715),EXP(LN(INDEX(Dic2023!$N$6:$N$205,C715))+(LN(INDEX(Dic2023!$N$6:$N$205,MIN(C715+1,200)))-LN(INDEX(Dic2023!$N$6:$N$205,C715)))*(A715-6*C715)/6))</f>
        <v>0.0503053973513931</v>
      </c>
      <c r="K715" s="12" t="n">
        <f aca="false">J715^(-1/B715)-1</f>
        <v>0.0517528025</v>
      </c>
      <c r="L715" s="12" t="n">
        <f aca="false">(1+K715)^(1/12)-1</f>
        <v>0.00421369509431369</v>
      </c>
    </row>
    <row r="716" customFormat="false" ht="15" hidden="false" customHeight="false" outlineLevel="0" collapsed="false">
      <c r="A716" s="4" t="n">
        <v>712</v>
      </c>
      <c r="B716" s="14" t="n">
        <f aca="false">A716/12</f>
        <v>59.3333333333333</v>
      </c>
      <c r="C716" s="15" t="n">
        <f aca="false">INT(A716/6)</f>
        <v>118</v>
      </c>
      <c r="D716" s="16" t="n">
        <f aca="false">IF(C716=0,(1+Dic2023!$G$6)^(-B716),EXP(LN(INDEX(Dic2023!$H$6:$H$205,C716))+(LN(INDEX(Dic2023!$H$6:$H$205,MIN(C716+1,200)))-LN(INDEX(Dic2023!$H$6:$H$205,C716)))*(A716-6*C716)/6))</f>
        <v>0.0500943151812609</v>
      </c>
      <c r="E716" s="12" t="n">
        <f aca="false">D716^(-1/B716)-1</f>
        <v>0.0517528025</v>
      </c>
      <c r="F716" s="12" t="n">
        <f aca="false">(1+E716)^(1/12)-1</f>
        <v>0.00421369509431369</v>
      </c>
      <c r="G716" s="16" t="n">
        <f aca="false">IF(C716=0,(1+Dic2023!$J$6)^(-B716),EXP(LN(INDEX(Dic2023!$K$6:$K$205,C716))+(LN(INDEX(Dic2023!$K$6:$K$205,MIN(C716+1,200)))-LN(INDEX(Dic2023!$K$6:$K$205,C716)))*(A716-6*C716)/6))</f>
        <v>0.0500943151812609</v>
      </c>
      <c r="H716" s="12" t="n">
        <f aca="false">G716^(-1/B716)-1</f>
        <v>0.0517528025</v>
      </c>
      <c r="I716" s="12" t="n">
        <f aca="false">(1+H716)^(1/12)-1</f>
        <v>0.00421369509431369</v>
      </c>
      <c r="J716" s="16" t="n">
        <f aca="false">IF(C716=0,(1+Dic2023!$M$6)^(-B716),EXP(LN(INDEX(Dic2023!$N$6:$N$205,C716))+(LN(INDEX(Dic2023!$N$6:$N$205,MIN(C716+1,200)))-LN(INDEX(Dic2023!$N$6:$N$205,C716)))*(A716-6*C716)/6))</f>
        <v>0.0500943151812609</v>
      </c>
      <c r="K716" s="12" t="n">
        <f aca="false">J716^(-1/B716)-1</f>
        <v>0.0517528025</v>
      </c>
      <c r="L716" s="12" t="n">
        <f aca="false">(1+K716)^(1/12)-1</f>
        <v>0.00421369509431369</v>
      </c>
    </row>
    <row r="717" customFormat="false" ht="15" hidden="false" customHeight="false" outlineLevel="0" collapsed="false">
      <c r="A717" s="4" t="n">
        <v>713</v>
      </c>
      <c r="B717" s="14" t="n">
        <f aca="false">A717/12</f>
        <v>59.4166666666667</v>
      </c>
      <c r="C717" s="15" t="n">
        <f aca="false">INT(A717/6)</f>
        <v>118</v>
      </c>
      <c r="D717" s="16" t="n">
        <f aca="false">IF(C717=0,(1+Dic2023!$G$6)^(-B717),EXP(LN(INDEX(Dic2023!$H$6:$H$205,C717))+(LN(INDEX(Dic2023!$H$6:$H$205,MIN(C717+1,200)))-LN(INDEX(Dic2023!$H$6:$H$205,C717)))*(A717-6*C717)/6))</f>
        <v>0.0498841187149475</v>
      </c>
      <c r="E717" s="12" t="n">
        <f aca="false">D717^(-1/B717)-1</f>
        <v>0.0517528025</v>
      </c>
      <c r="F717" s="12" t="n">
        <f aca="false">(1+E717)^(1/12)-1</f>
        <v>0.00421369509431369</v>
      </c>
      <c r="G717" s="16" t="n">
        <f aca="false">IF(C717=0,(1+Dic2023!$J$6)^(-B717),EXP(LN(INDEX(Dic2023!$K$6:$K$205,C717))+(LN(INDEX(Dic2023!$K$6:$K$205,MIN(C717+1,200)))-LN(INDEX(Dic2023!$K$6:$K$205,C717)))*(A717-6*C717)/6))</f>
        <v>0.0498841187149475</v>
      </c>
      <c r="H717" s="12" t="n">
        <f aca="false">G717^(-1/B717)-1</f>
        <v>0.0517528025</v>
      </c>
      <c r="I717" s="12" t="n">
        <f aca="false">(1+H717)^(1/12)-1</f>
        <v>0.00421369509431369</v>
      </c>
      <c r="J717" s="16" t="n">
        <f aca="false">IF(C717=0,(1+Dic2023!$M$6)^(-B717),EXP(LN(INDEX(Dic2023!$N$6:$N$205,C717))+(LN(INDEX(Dic2023!$N$6:$N$205,MIN(C717+1,200)))-LN(INDEX(Dic2023!$N$6:$N$205,C717)))*(A717-6*C717)/6))</f>
        <v>0.0498841187149475</v>
      </c>
      <c r="K717" s="12" t="n">
        <f aca="false">J717^(-1/B717)-1</f>
        <v>0.0517528025</v>
      </c>
      <c r="L717" s="12" t="n">
        <f aca="false">(1+K717)^(1/12)-1</f>
        <v>0.00421369509431369</v>
      </c>
    </row>
    <row r="718" customFormat="false" ht="15" hidden="false" customHeight="false" outlineLevel="0" collapsed="false">
      <c r="A718" s="4" t="n">
        <v>714</v>
      </c>
      <c r="B718" s="14" t="n">
        <f aca="false">A718/12</f>
        <v>59.5</v>
      </c>
      <c r="C718" s="15" t="n">
        <f aca="false">INT(A718/6)</f>
        <v>119</v>
      </c>
      <c r="D718" s="16" t="n">
        <f aca="false">IF(C718=0,(1+Dic2023!$G$6)^(-B718),EXP(LN(INDEX(Dic2023!$H$6:$H$205,C718))+(LN(INDEX(Dic2023!$H$6:$H$205,MIN(C718+1,200)))-LN(INDEX(Dic2023!$H$6:$H$205,C718)))*(A718-6*C718)/6))</f>
        <v>0.0496748042360272</v>
      </c>
      <c r="E718" s="12" t="n">
        <f aca="false">D718^(-1/B718)-1</f>
        <v>0.0517528025</v>
      </c>
      <c r="F718" s="12" t="n">
        <f aca="false">(1+E718)^(1/12)-1</f>
        <v>0.00421369509431369</v>
      </c>
      <c r="G718" s="16" t="n">
        <f aca="false">IF(C718=0,(1+Dic2023!$J$6)^(-B718),EXP(LN(INDEX(Dic2023!$K$6:$K$205,C718))+(LN(INDEX(Dic2023!$K$6:$K$205,MIN(C718+1,200)))-LN(INDEX(Dic2023!$K$6:$K$205,C718)))*(A718-6*C718)/6))</f>
        <v>0.0496748042360272</v>
      </c>
      <c r="H718" s="12" t="n">
        <f aca="false">G718^(-1/B718)-1</f>
        <v>0.0517528025</v>
      </c>
      <c r="I718" s="12" t="n">
        <f aca="false">(1+H718)^(1/12)-1</f>
        <v>0.00421369509431369</v>
      </c>
      <c r="J718" s="16" t="n">
        <f aca="false">IF(C718=0,(1+Dic2023!$M$6)^(-B718),EXP(LN(INDEX(Dic2023!$N$6:$N$205,C718))+(LN(INDEX(Dic2023!$N$6:$N$205,MIN(C718+1,200)))-LN(INDEX(Dic2023!$N$6:$N$205,C718)))*(A718-6*C718)/6))</f>
        <v>0.0496748042360272</v>
      </c>
      <c r="K718" s="12" t="n">
        <f aca="false">J718^(-1/B718)-1</f>
        <v>0.0517528025</v>
      </c>
      <c r="L718" s="12" t="n">
        <f aca="false">(1+K718)^(1/12)-1</f>
        <v>0.00421369509431369</v>
      </c>
    </row>
    <row r="719" customFormat="false" ht="15" hidden="false" customHeight="false" outlineLevel="0" collapsed="false">
      <c r="A719" s="4" t="n">
        <v>715</v>
      </c>
      <c r="B719" s="14" t="n">
        <f aca="false">A719/12</f>
        <v>59.5833333333333</v>
      </c>
      <c r="C719" s="15" t="n">
        <f aca="false">INT(A719/6)</f>
        <v>119</v>
      </c>
      <c r="D719" s="16" t="n">
        <f aca="false">IF(C719=0,(1+Dic2023!$G$6)^(-B719),EXP(LN(INDEX(Dic2023!$H$6:$H$205,C719))+(LN(INDEX(Dic2023!$H$6:$H$205,MIN(C719+1,200)))-LN(INDEX(Dic2023!$H$6:$H$205,C719)))*(A719-6*C719)/6))</f>
        <v>0.0494663680436681</v>
      </c>
      <c r="E719" s="12" t="n">
        <f aca="false">D719^(-1/B719)-1</f>
        <v>0.0517528025</v>
      </c>
      <c r="F719" s="12" t="n">
        <f aca="false">(1+E719)^(1/12)-1</f>
        <v>0.00421369509431369</v>
      </c>
      <c r="G719" s="16" t="n">
        <f aca="false">IF(C719=0,(1+Dic2023!$J$6)^(-B719),EXP(LN(INDEX(Dic2023!$K$6:$K$205,C719))+(LN(INDEX(Dic2023!$K$6:$K$205,MIN(C719+1,200)))-LN(INDEX(Dic2023!$K$6:$K$205,C719)))*(A719-6*C719)/6))</f>
        <v>0.0494663680436681</v>
      </c>
      <c r="H719" s="12" t="n">
        <f aca="false">G719^(-1/B719)-1</f>
        <v>0.0517528025</v>
      </c>
      <c r="I719" s="12" t="n">
        <f aca="false">(1+H719)^(1/12)-1</f>
        <v>0.00421369509431369</v>
      </c>
      <c r="J719" s="16" t="n">
        <f aca="false">IF(C719=0,(1+Dic2023!$M$6)^(-B719),EXP(LN(INDEX(Dic2023!$N$6:$N$205,C719))+(LN(INDEX(Dic2023!$N$6:$N$205,MIN(C719+1,200)))-LN(INDEX(Dic2023!$N$6:$N$205,C719)))*(A719-6*C719)/6))</f>
        <v>0.0494663680436681</v>
      </c>
      <c r="K719" s="12" t="n">
        <f aca="false">J719^(-1/B719)-1</f>
        <v>0.0517528025</v>
      </c>
      <c r="L719" s="12" t="n">
        <f aca="false">(1+K719)^(1/12)-1</f>
        <v>0.00421369509431369</v>
      </c>
    </row>
    <row r="720" customFormat="false" ht="15" hidden="false" customHeight="false" outlineLevel="0" collapsed="false">
      <c r="A720" s="4" t="n">
        <v>716</v>
      </c>
      <c r="B720" s="14" t="n">
        <f aca="false">A720/12</f>
        <v>59.6666666666667</v>
      </c>
      <c r="C720" s="15" t="n">
        <f aca="false">INT(A720/6)</f>
        <v>119</v>
      </c>
      <c r="D720" s="16" t="n">
        <f aca="false">IF(C720=0,(1+Dic2023!$G$6)^(-B720),EXP(LN(INDEX(Dic2023!$H$6:$H$205,C720))+(LN(INDEX(Dic2023!$H$6:$H$205,MIN(C720+1,200)))-LN(INDEX(Dic2023!$H$6:$H$205,C720)))*(A720-6*C720)/6))</f>
        <v>0.0492588064525671</v>
      </c>
      <c r="E720" s="12" t="n">
        <f aca="false">D720^(-1/B720)-1</f>
        <v>0.0517528025</v>
      </c>
      <c r="F720" s="12" t="n">
        <f aca="false">(1+E720)^(1/12)-1</f>
        <v>0.00421369509431369</v>
      </c>
      <c r="G720" s="16" t="n">
        <f aca="false">IF(C720=0,(1+Dic2023!$J$6)^(-B720),EXP(LN(INDEX(Dic2023!$K$6:$K$205,C720))+(LN(INDEX(Dic2023!$K$6:$K$205,MIN(C720+1,200)))-LN(INDEX(Dic2023!$K$6:$K$205,C720)))*(A720-6*C720)/6))</f>
        <v>0.0492588064525671</v>
      </c>
      <c r="H720" s="12" t="n">
        <f aca="false">G720^(-1/B720)-1</f>
        <v>0.0517528025</v>
      </c>
      <c r="I720" s="12" t="n">
        <f aca="false">(1+H720)^(1/12)-1</f>
        <v>0.00421369509431369</v>
      </c>
      <c r="J720" s="16" t="n">
        <f aca="false">IF(C720=0,(1+Dic2023!$M$6)^(-B720),EXP(LN(INDEX(Dic2023!$N$6:$N$205,C720))+(LN(INDEX(Dic2023!$N$6:$N$205,MIN(C720+1,200)))-LN(INDEX(Dic2023!$N$6:$N$205,C720)))*(A720-6*C720)/6))</f>
        <v>0.0492588064525671</v>
      </c>
      <c r="K720" s="12" t="n">
        <f aca="false">J720^(-1/B720)-1</f>
        <v>0.0517528025</v>
      </c>
      <c r="L720" s="12" t="n">
        <f aca="false">(1+K720)^(1/12)-1</f>
        <v>0.00421369509431369</v>
      </c>
    </row>
    <row r="721" customFormat="false" ht="15" hidden="false" customHeight="false" outlineLevel="0" collapsed="false">
      <c r="A721" s="4" t="n">
        <v>717</v>
      </c>
      <c r="B721" s="14" t="n">
        <f aca="false">A721/12</f>
        <v>59.75</v>
      </c>
      <c r="C721" s="15" t="n">
        <f aca="false">INT(A721/6)</f>
        <v>119</v>
      </c>
      <c r="D721" s="16" t="n">
        <f aca="false">IF(C721=0,(1+Dic2023!$G$6)^(-B721),EXP(LN(INDEX(Dic2023!$H$6:$H$205,C721))+(LN(INDEX(Dic2023!$H$6:$H$205,MIN(C721+1,200)))-LN(INDEX(Dic2023!$H$6:$H$205,C721)))*(A721-6*C721)/6))</f>
        <v>0.0490521157928849</v>
      </c>
      <c r="E721" s="12" t="n">
        <f aca="false">D721^(-1/B721)-1</f>
        <v>0.0517528025</v>
      </c>
      <c r="F721" s="12" t="n">
        <f aca="false">(1+E721)^(1/12)-1</f>
        <v>0.00421369509431369</v>
      </c>
      <c r="G721" s="16" t="n">
        <f aca="false">IF(C721=0,(1+Dic2023!$J$6)^(-B721),EXP(LN(INDEX(Dic2023!$K$6:$K$205,C721))+(LN(INDEX(Dic2023!$K$6:$K$205,MIN(C721+1,200)))-LN(INDEX(Dic2023!$K$6:$K$205,C721)))*(A721-6*C721)/6))</f>
        <v>0.0490521157928849</v>
      </c>
      <c r="H721" s="12" t="n">
        <f aca="false">G721^(-1/B721)-1</f>
        <v>0.0517528025</v>
      </c>
      <c r="I721" s="12" t="n">
        <f aca="false">(1+H721)^(1/12)-1</f>
        <v>0.00421369509431369</v>
      </c>
      <c r="J721" s="16" t="n">
        <f aca="false">IF(C721=0,(1+Dic2023!$M$6)^(-B721),EXP(LN(INDEX(Dic2023!$N$6:$N$205,C721))+(LN(INDEX(Dic2023!$N$6:$N$205,MIN(C721+1,200)))-LN(INDEX(Dic2023!$N$6:$N$205,C721)))*(A721-6*C721)/6))</f>
        <v>0.0490521157928849</v>
      </c>
      <c r="K721" s="12" t="n">
        <f aca="false">J721^(-1/B721)-1</f>
        <v>0.0517528025</v>
      </c>
      <c r="L721" s="12" t="n">
        <f aca="false">(1+K721)^(1/12)-1</f>
        <v>0.00421369509431369</v>
      </c>
    </row>
    <row r="722" customFormat="false" ht="15" hidden="false" customHeight="false" outlineLevel="0" collapsed="false">
      <c r="A722" s="4" t="n">
        <v>718</v>
      </c>
      <c r="B722" s="14" t="n">
        <f aca="false">A722/12</f>
        <v>59.8333333333333</v>
      </c>
      <c r="C722" s="15" t="n">
        <f aca="false">INT(A722/6)</f>
        <v>119</v>
      </c>
      <c r="D722" s="16" t="n">
        <f aca="false">IF(C722=0,(1+Dic2023!$G$6)^(-B722),EXP(LN(INDEX(Dic2023!$H$6:$H$205,C722))+(LN(INDEX(Dic2023!$H$6:$H$205,MIN(C722+1,200)))-LN(INDEX(Dic2023!$H$6:$H$205,C722)))*(A722-6*C722)/6))</f>
        <v>0.0488462924101808</v>
      </c>
      <c r="E722" s="12" t="n">
        <f aca="false">D722^(-1/B722)-1</f>
        <v>0.0517528025</v>
      </c>
      <c r="F722" s="12" t="n">
        <f aca="false">(1+E722)^(1/12)-1</f>
        <v>0.00421369509431369</v>
      </c>
      <c r="G722" s="16" t="n">
        <f aca="false">IF(C722=0,(1+Dic2023!$J$6)^(-B722),EXP(LN(INDEX(Dic2023!$K$6:$K$205,C722))+(LN(INDEX(Dic2023!$K$6:$K$205,MIN(C722+1,200)))-LN(INDEX(Dic2023!$K$6:$K$205,C722)))*(A722-6*C722)/6))</f>
        <v>0.0488462924101808</v>
      </c>
      <c r="H722" s="12" t="n">
        <f aca="false">G722^(-1/B722)-1</f>
        <v>0.0517528025</v>
      </c>
      <c r="I722" s="12" t="n">
        <f aca="false">(1+H722)^(1/12)-1</f>
        <v>0.00421369509431369</v>
      </c>
      <c r="J722" s="16" t="n">
        <f aca="false">IF(C722=0,(1+Dic2023!$M$6)^(-B722),EXP(LN(INDEX(Dic2023!$N$6:$N$205,C722))+(LN(INDEX(Dic2023!$N$6:$N$205,MIN(C722+1,200)))-LN(INDEX(Dic2023!$N$6:$N$205,C722)))*(A722-6*C722)/6))</f>
        <v>0.0488462924101808</v>
      </c>
      <c r="K722" s="12" t="n">
        <f aca="false">J722^(-1/B722)-1</f>
        <v>0.0517528025</v>
      </c>
      <c r="L722" s="12" t="n">
        <f aca="false">(1+K722)^(1/12)-1</f>
        <v>0.00421369509431369</v>
      </c>
    </row>
    <row r="723" customFormat="false" ht="15" hidden="false" customHeight="false" outlineLevel="0" collapsed="false">
      <c r="A723" s="4" t="n">
        <v>719</v>
      </c>
      <c r="B723" s="14" t="n">
        <f aca="false">A723/12</f>
        <v>59.9166666666667</v>
      </c>
      <c r="C723" s="15" t="n">
        <f aca="false">INT(A723/6)</f>
        <v>119</v>
      </c>
      <c r="D723" s="16" t="n">
        <f aca="false">IF(C723=0,(1+Dic2023!$G$6)^(-B723),EXP(LN(INDEX(Dic2023!$H$6:$H$205,C723))+(LN(INDEX(Dic2023!$H$6:$H$205,MIN(C723+1,200)))-LN(INDEX(Dic2023!$H$6:$H$205,C723)))*(A723-6*C723)/6))</f>
        <v>0.0486413326653479</v>
      </c>
      <c r="E723" s="12" t="n">
        <f aca="false">D723^(-1/B723)-1</f>
        <v>0.0517528025</v>
      </c>
      <c r="F723" s="12" t="n">
        <f aca="false">(1+E723)^(1/12)-1</f>
        <v>0.00421369509431369</v>
      </c>
      <c r="G723" s="16" t="n">
        <f aca="false">IF(C723=0,(1+Dic2023!$J$6)^(-B723),EXP(LN(INDEX(Dic2023!$K$6:$K$205,C723))+(LN(INDEX(Dic2023!$K$6:$K$205,MIN(C723+1,200)))-LN(INDEX(Dic2023!$K$6:$K$205,C723)))*(A723-6*C723)/6))</f>
        <v>0.0486413326653479</v>
      </c>
      <c r="H723" s="12" t="n">
        <f aca="false">G723^(-1/B723)-1</f>
        <v>0.0517528025</v>
      </c>
      <c r="I723" s="12" t="n">
        <f aca="false">(1+H723)^(1/12)-1</f>
        <v>0.00421369509431369</v>
      </c>
      <c r="J723" s="16" t="n">
        <f aca="false">IF(C723=0,(1+Dic2023!$M$6)^(-B723),EXP(LN(INDEX(Dic2023!$N$6:$N$205,C723))+(LN(INDEX(Dic2023!$N$6:$N$205,MIN(C723+1,200)))-LN(INDEX(Dic2023!$N$6:$N$205,C723)))*(A723-6*C723)/6))</f>
        <v>0.0486413326653479</v>
      </c>
      <c r="K723" s="12" t="n">
        <f aca="false">J723^(-1/B723)-1</f>
        <v>0.0517528025</v>
      </c>
      <c r="L723" s="12" t="n">
        <f aca="false">(1+K723)^(1/12)-1</f>
        <v>0.00421369509431369</v>
      </c>
    </row>
    <row r="724" customFormat="false" ht="15" hidden="false" customHeight="false" outlineLevel="0" collapsed="false">
      <c r="A724" s="4" t="n">
        <v>720</v>
      </c>
      <c r="B724" s="14" t="n">
        <f aca="false">A724/12</f>
        <v>60</v>
      </c>
      <c r="C724" s="15" t="n">
        <f aca="false">INT(A724/6)</f>
        <v>120</v>
      </c>
      <c r="D724" s="16" t="n">
        <f aca="false">IF(C724=0,(1+Dic2023!$G$6)^(-B724),EXP(LN(INDEX(Dic2023!$H$6:$H$205,C724))+(LN(INDEX(Dic2023!$H$6:$H$205,MIN(C724+1,200)))-LN(INDEX(Dic2023!$H$6:$H$205,C724)))*(A724-6*C724)/6))</f>
        <v>0.0484372329345495</v>
      </c>
      <c r="E724" s="12" t="n">
        <f aca="false">D724^(-1/B724)-1</f>
        <v>0.0517528025</v>
      </c>
      <c r="F724" s="12" t="n">
        <f aca="false">(1+E724)^(1/12)-1</f>
        <v>0.00421369509431369</v>
      </c>
      <c r="G724" s="16" t="n">
        <f aca="false">IF(C724=0,(1+Dic2023!$J$6)^(-B724),EXP(LN(INDEX(Dic2023!$K$6:$K$205,C724))+(LN(INDEX(Dic2023!$K$6:$K$205,MIN(C724+1,200)))-LN(INDEX(Dic2023!$K$6:$K$205,C724)))*(A724-6*C724)/6))</f>
        <v>0.0484372329345495</v>
      </c>
      <c r="H724" s="12" t="n">
        <f aca="false">G724^(-1/B724)-1</f>
        <v>0.0517528025</v>
      </c>
      <c r="I724" s="12" t="n">
        <f aca="false">(1+H724)^(1/12)-1</f>
        <v>0.00421369509431369</v>
      </c>
      <c r="J724" s="16" t="n">
        <f aca="false">IF(C724=0,(1+Dic2023!$M$6)^(-B724),EXP(LN(INDEX(Dic2023!$N$6:$N$205,C724))+(LN(INDEX(Dic2023!$N$6:$N$205,MIN(C724+1,200)))-LN(INDEX(Dic2023!$N$6:$N$205,C724)))*(A724-6*C724)/6))</f>
        <v>0.0484372329345495</v>
      </c>
      <c r="K724" s="12" t="n">
        <f aca="false">J724^(-1/B724)-1</f>
        <v>0.0517528025</v>
      </c>
      <c r="L724" s="12" t="n">
        <f aca="false">(1+K724)^(1/12)-1</f>
        <v>0.00421369509431369</v>
      </c>
    </row>
    <row r="725" customFormat="false" ht="15" hidden="false" customHeight="false" outlineLevel="0" collapsed="false">
      <c r="A725" s="4" t="n">
        <v>721</v>
      </c>
      <c r="B725" s="14" t="n">
        <f aca="false">A725/12</f>
        <v>60.0833333333333</v>
      </c>
      <c r="C725" s="15" t="n">
        <f aca="false">INT(A725/6)</f>
        <v>120</v>
      </c>
      <c r="D725" s="16" t="n">
        <f aca="false">IF(C725=0,(1+Dic2023!$G$6)^(-B725),EXP(LN(INDEX(Dic2023!$H$6:$H$205,C725))+(LN(INDEX(Dic2023!$H$6:$H$205,MIN(C725+1,200)))-LN(INDEX(Dic2023!$H$6:$H$205,C725)))*(A725-6*C725)/6))</f>
        <v>0.0482339896091542</v>
      </c>
      <c r="E725" s="12" t="n">
        <f aca="false">D725^(-1/B725)-1</f>
        <v>0.0517528025</v>
      </c>
      <c r="F725" s="12" t="n">
        <f aca="false">(1+E725)^(1/12)-1</f>
        <v>0.00421369509431369</v>
      </c>
      <c r="G725" s="16" t="n">
        <f aca="false">IF(C725=0,(1+Dic2023!$J$6)^(-B725),EXP(LN(INDEX(Dic2023!$K$6:$K$205,C725))+(LN(INDEX(Dic2023!$K$6:$K$205,MIN(C725+1,200)))-LN(INDEX(Dic2023!$K$6:$K$205,C725)))*(A725-6*C725)/6))</f>
        <v>0.0482339896091542</v>
      </c>
      <c r="H725" s="12" t="n">
        <f aca="false">G725^(-1/B725)-1</f>
        <v>0.0517528025</v>
      </c>
      <c r="I725" s="12" t="n">
        <f aca="false">(1+H725)^(1/12)-1</f>
        <v>0.00421369509431369</v>
      </c>
      <c r="J725" s="16" t="n">
        <f aca="false">IF(C725=0,(1+Dic2023!$M$6)^(-B725),EXP(LN(INDEX(Dic2023!$N$6:$N$205,C725))+(LN(INDEX(Dic2023!$N$6:$N$205,MIN(C725+1,200)))-LN(INDEX(Dic2023!$N$6:$N$205,C725)))*(A725-6*C725)/6))</f>
        <v>0.0482339896091542</v>
      </c>
      <c r="K725" s="12" t="n">
        <f aca="false">J725^(-1/B725)-1</f>
        <v>0.0517528025</v>
      </c>
      <c r="L725" s="12" t="n">
        <f aca="false">(1+K725)^(1/12)-1</f>
        <v>0.00421369509431369</v>
      </c>
    </row>
    <row r="726" customFormat="false" ht="15" hidden="false" customHeight="false" outlineLevel="0" collapsed="false">
      <c r="A726" s="4" t="n">
        <v>722</v>
      </c>
      <c r="B726" s="14" t="n">
        <f aca="false">A726/12</f>
        <v>60.1666666666667</v>
      </c>
      <c r="C726" s="15" t="n">
        <f aca="false">INT(A726/6)</f>
        <v>120</v>
      </c>
      <c r="D726" s="16" t="n">
        <f aca="false">IF(C726=0,(1+Dic2023!$G$6)^(-B726),EXP(LN(INDEX(Dic2023!$H$6:$H$205,C726))+(LN(INDEX(Dic2023!$H$6:$H$205,MIN(C726+1,200)))-LN(INDEX(Dic2023!$H$6:$H$205,C726)))*(A726-6*C726)/6))</f>
        <v>0.0480315990956727</v>
      </c>
      <c r="E726" s="12" t="n">
        <f aca="false">D726^(-1/B726)-1</f>
        <v>0.0517528025</v>
      </c>
      <c r="F726" s="12" t="n">
        <f aca="false">(1+E726)^(1/12)-1</f>
        <v>0.00421369509431369</v>
      </c>
      <c r="G726" s="16" t="n">
        <f aca="false">IF(C726=0,(1+Dic2023!$J$6)^(-B726),EXP(LN(INDEX(Dic2023!$K$6:$K$205,C726))+(LN(INDEX(Dic2023!$K$6:$K$205,MIN(C726+1,200)))-LN(INDEX(Dic2023!$K$6:$K$205,C726)))*(A726-6*C726)/6))</f>
        <v>0.0480315990956727</v>
      </c>
      <c r="H726" s="12" t="n">
        <f aca="false">G726^(-1/B726)-1</f>
        <v>0.0517528025</v>
      </c>
      <c r="I726" s="12" t="n">
        <f aca="false">(1+H726)^(1/12)-1</f>
        <v>0.00421369509431369</v>
      </c>
      <c r="J726" s="16" t="n">
        <f aca="false">IF(C726=0,(1+Dic2023!$M$6)^(-B726),EXP(LN(INDEX(Dic2023!$N$6:$N$205,C726))+(LN(INDEX(Dic2023!$N$6:$N$205,MIN(C726+1,200)))-LN(INDEX(Dic2023!$N$6:$N$205,C726)))*(A726-6*C726)/6))</f>
        <v>0.0480315990956727</v>
      </c>
      <c r="K726" s="12" t="n">
        <f aca="false">J726^(-1/B726)-1</f>
        <v>0.0517528025</v>
      </c>
      <c r="L726" s="12" t="n">
        <f aca="false">(1+K726)^(1/12)-1</f>
        <v>0.00421369509431369</v>
      </c>
    </row>
    <row r="727" customFormat="false" ht="15" hidden="false" customHeight="false" outlineLevel="0" collapsed="false">
      <c r="A727" s="4" t="n">
        <v>723</v>
      </c>
      <c r="B727" s="14" t="n">
        <f aca="false">A727/12</f>
        <v>60.25</v>
      </c>
      <c r="C727" s="15" t="n">
        <f aca="false">INT(A727/6)</f>
        <v>120</v>
      </c>
      <c r="D727" s="16" t="n">
        <f aca="false">IF(C727=0,(1+Dic2023!$G$6)^(-B727),EXP(LN(INDEX(Dic2023!$H$6:$H$205,C727))+(LN(INDEX(Dic2023!$H$6:$H$205,MIN(C727+1,200)))-LN(INDEX(Dic2023!$H$6:$H$205,C727)))*(A727-6*C727)/6))</f>
        <v>0.047830057815694</v>
      </c>
      <c r="E727" s="12" t="n">
        <f aca="false">D727^(-1/B727)-1</f>
        <v>0.0517528025</v>
      </c>
      <c r="F727" s="12" t="n">
        <f aca="false">(1+E727)^(1/12)-1</f>
        <v>0.00421369509431369</v>
      </c>
      <c r="G727" s="16" t="n">
        <f aca="false">IF(C727=0,(1+Dic2023!$J$6)^(-B727),EXP(LN(INDEX(Dic2023!$K$6:$K$205,C727))+(LN(INDEX(Dic2023!$K$6:$K$205,MIN(C727+1,200)))-LN(INDEX(Dic2023!$K$6:$K$205,C727)))*(A727-6*C727)/6))</f>
        <v>0.047830057815694</v>
      </c>
      <c r="H727" s="12" t="n">
        <f aca="false">G727^(-1/B727)-1</f>
        <v>0.0517528025</v>
      </c>
      <c r="I727" s="12" t="n">
        <f aca="false">(1+H727)^(1/12)-1</f>
        <v>0.00421369509431369</v>
      </c>
      <c r="J727" s="16" t="n">
        <f aca="false">IF(C727=0,(1+Dic2023!$M$6)^(-B727),EXP(LN(INDEX(Dic2023!$N$6:$N$205,C727))+(LN(INDEX(Dic2023!$N$6:$N$205,MIN(C727+1,200)))-LN(INDEX(Dic2023!$N$6:$N$205,C727)))*(A727-6*C727)/6))</f>
        <v>0.047830057815694</v>
      </c>
      <c r="K727" s="12" t="n">
        <f aca="false">J727^(-1/B727)-1</f>
        <v>0.0517528025</v>
      </c>
      <c r="L727" s="12" t="n">
        <f aca="false">(1+K727)^(1/12)-1</f>
        <v>0.00421369509431369</v>
      </c>
    </row>
    <row r="728" customFormat="false" ht="15" hidden="false" customHeight="false" outlineLevel="0" collapsed="false">
      <c r="A728" s="4" t="n">
        <v>724</v>
      </c>
      <c r="B728" s="14" t="n">
        <f aca="false">A728/12</f>
        <v>60.3333333333333</v>
      </c>
      <c r="C728" s="15" t="n">
        <f aca="false">INT(A728/6)</f>
        <v>120</v>
      </c>
      <c r="D728" s="16" t="n">
        <f aca="false">IF(C728=0,(1+Dic2023!$G$6)^(-B728),EXP(LN(INDEX(Dic2023!$H$6:$H$205,C728))+(LN(INDEX(Dic2023!$H$6:$H$205,MIN(C728+1,200)))-LN(INDEX(Dic2023!$H$6:$H$205,C728)))*(A728-6*C728)/6))</f>
        <v>0.047629362205822</v>
      </c>
      <c r="E728" s="12" t="n">
        <f aca="false">D728^(-1/B728)-1</f>
        <v>0.0517528025</v>
      </c>
      <c r="F728" s="12" t="n">
        <f aca="false">(1+E728)^(1/12)-1</f>
        <v>0.00421369509431369</v>
      </c>
      <c r="G728" s="16" t="n">
        <f aca="false">IF(C728=0,(1+Dic2023!$J$6)^(-B728),EXP(LN(INDEX(Dic2023!$K$6:$K$205,C728))+(LN(INDEX(Dic2023!$K$6:$K$205,MIN(C728+1,200)))-LN(INDEX(Dic2023!$K$6:$K$205,C728)))*(A728-6*C728)/6))</f>
        <v>0.047629362205822</v>
      </c>
      <c r="H728" s="12" t="n">
        <f aca="false">G728^(-1/B728)-1</f>
        <v>0.0517528025</v>
      </c>
      <c r="I728" s="12" t="n">
        <f aca="false">(1+H728)^(1/12)-1</f>
        <v>0.00421369509431369</v>
      </c>
      <c r="J728" s="16" t="n">
        <f aca="false">IF(C728=0,(1+Dic2023!$M$6)^(-B728),EXP(LN(INDEX(Dic2023!$N$6:$N$205,C728))+(LN(INDEX(Dic2023!$N$6:$N$205,MIN(C728+1,200)))-LN(INDEX(Dic2023!$N$6:$N$205,C728)))*(A728-6*C728)/6))</f>
        <v>0.047629362205822</v>
      </c>
      <c r="K728" s="12" t="n">
        <f aca="false">J728^(-1/B728)-1</f>
        <v>0.0517528025</v>
      </c>
      <c r="L728" s="12" t="n">
        <f aca="false">(1+K728)^(1/12)-1</f>
        <v>0.00421369509431369</v>
      </c>
    </row>
    <row r="729" customFormat="false" ht="15" hidden="false" customHeight="false" outlineLevel="0" collapsed="false">
      <c r="A729" s="4" t="n">
        <v>725</v>
      </c>
      <c r="B729" s="14" t="n">
        <f aca="false">A729/12</f>
        <v>60.4166666666667</v>
      </c>
      <c r="C729" s="15" t="n">
        <f aca="false">INT(A729/6)</f>
        <v>120</v>
      </c>
      <c r="D729" s="16" t="n">
        <f aca="false">IF(C729=0,(1+Dic2023!$G$6)^(-B729),EXP(LN(INDEX(Dic2023!$H$6:$H$205,C729))+(LN(INDEX(Dic2023!$H$6:$H$205,MIN(C729+1,200)))-LN(INDEX(Dic2023!$H$6:$H$205,C729)))*(A729-6*C729)/6))</f>
        <v>0.0474295087176129</v>
      </c>
      <c r="E729" s="12" t="n">
        <f aca="false">D729^(-1/B729)-1</f>
        <v>0.0517528025</v>
      </c>
      <c r="F729" s="12" t="n">
        <f aca="false">(1+E729)^(1/12)-1</f>
        <v>0.00421369509431369</v>
      </c>
      <c r="G729" s="16" t="n">
        <f aca="false">IF(C729=0,(1+Dic2023!$J$6)^(-B729),EXP(LN(INDEX(Dic2023!$K$6:$K$205,C729))+(LN(INDEX(Dic2023!$K$6:$K$205,MIN(C729+1,200)))-LN(INDEX(Dic2023!$K$6:$K$205,C729)))*(A729-6*C729)/6))</f>
        <v>0.0474295087176129</v>
      </c>
      <c r="H729" s="12" t="n">
        <f aca="false">G729^(-1/B729)-1</f>
        <v>0.0517528025</v>
      </c>
      <c r="I729" s="12" t="n">
        <f aca="false">(1+H729)^(1/12)-1</f>
        <v>0.00421369509431369</v>
      </c>
      <c r="J729" s="16" t="n">
        <f aca="false">IF(C729=0,(1+Dic2023!$M$6)^(-B729),EXP(LN(INDEX(Dic2023!$N$6:$N$205,C729))+(LN(INDEX(Dic2023!$N$6:$N$205,MIN(C729+1,200)))-LN(INDEX(Dic2023!$N$6:$N$205,C729)))*(A729-6*C729)/6))</f>
        <v>0.0474295087176129</v>
      </c>
      <c r="K729" s="12" t="n">
        <f aca="false">J729^(-1/B729)-1</f>
        <v>0.0517528025</v>
      </c>
      <c r="L729" s="12" t="n">
        <f aca="false">(1+K729)^(1/12)-1</f>
        <v>0.00421369509431369</v>
      </c>
    </row>
    <row r="730" customFormat="false" ht="15" hidden="false" customHeight="false" outlineLevel="0" collapsed="false">
      <c r="A730" s="4" t="n">
        <v>726</v>
      </c>
      <c r="B730" s="14" t="n">
        <f aca="false">A730/12</f>
        <v>60.5</v>
      </c>
      <c r="C730" s="15" t="n">
        <f aca="false">INT(A730/6)</f>
        <v>121</v>
      </c>
      <c r="D730" s="16" t="n">
        <f aca="false">IF(C730=0,(1+Dic2023!$G$6)^(-B730),EXP(LN(INDEX(Dic2023!$H$6:$H$205,C730))+(LN(INDEX(Dic2023!$H$6:$H$205,MIN(C730+1,200)))-LN(INDEX(Dic2023!$H$6:$H$205,C730)))*(A730-6*C730)/6))</f>
        <v>0.047230493817512</v>
      </c>
      <c r="E730" s="12" t="n">
        <f aca="false">D730^(-1/B730)-1</f>
        <v>0.0517528025</v>
      </c>
      <c r="F730" s="12" t="n">
        <f aca="false">(1+E730)^(1/12)-1</f>
        <v>0.00421369509431369</v>
      </c>
      <c r="G730" s="16" t="n">
        <f aca="false">IF(C730=0,(1+Dic2023!$J$6)^(-B730),EXP(LN(INDEX(Dic2023!$K$6:$K$205,C730))+(LN(INDEX(Dic2023!$K$6:$K$205,MIN(C730+1,200)))-LN(INDEX(Dic2023!$K$6:$K$205,C730)))*(A730-6*C730)/6))</f>
        <v>0.047230493817512</v>
      </c>
      <c r="H730" s="12" t="n">
        <f aca="false">G730^(-1/B730)-1</f>
        <v>0.0517528025</v>
      </c>
      <c r="I730" s="12" t="n">
        <f aca="false">(1+H730)^(1/12)-1</f>
        <v>0.00421369509431369</v>
      </c>
      <c r="J730" s="16" t="n">
        <f aca="false">IF(C730=0,(1+Dic2023!$M$6)^(-B730),EXP(LN(INDEX(Dic2023!$N$6:$N$205,C730))+(LN(INDEX(Dic2023!$N$6:$N$205,MIN(C730+1,200)))-LN(INDEX(Dic2023!$N$6:$N$205,C730)))*(A730-6*C730)/6))</f>
        <v>0.047230493817512</v>
      </c>
      <c r="K730" s="12" t="n">
        <f aca="false">J730^(-1/B730)-1</f>
        <v>0.0517528025</v>
      </c>
      <c r="L730" s="12" t="n">
        <f aca="false">(1+K730)^(1/12)-1</f>
        <v>0.00421369509431369</v>
      </c>
    </row>
    <row r="731" customFormat="false" ht="15" hidden="false" customHeight="false" outlineLevel="0" collapsed="false">
      <c r="A731" s="4" t="n">
        <v>727</v>
      </c>
      <c r="B731" s="14" t="n">
        <f aca="false">A731/12</f>
        <v>60.5833333333333</v>
      </c>
      <c r="C731" s="15" t="n">
        <f aca="false">INT(A731/6)</f>
        <v>121</v>
      </c>
      <c r="D731" s="16" t="n">
        <f aca="false">IF(C731=0,(1+Dic2023!$G$6)^(-B731),EXP(LN(INDEX(Dic2023!$H$6:$H$205,C731))+(LN(INDEX(Dic2023!$H$6:$H$205,MIN(C731+1,200)))-LN(INDEX(Dic2023!$H$6:$H$205,C731)))*(A731-6*C731)/6))</f>
        <v>0.0470323139867917</v>
      </c>
      <c r="E731" s="12" t="n">
        <f aca="false">D731^(-1/B731)-1</f>
        <v>0.0517528025</v>
      </c>
      <c r="F731" s="12" t="n">
        <f aca="false">(1+E731)^(1/12)-1</f>
        <v>0.00421369509431369</v>
      </c>
      <c r="G731" s="16" t="n">
        <f aca="false">IF(C731=0,(1+Dic2023!$J$6)^(-B731),EXP(LN(INDEX(Dic2023!$K$6:$K$205,C731))+(LN(INDEX(Dic2023!$K$6:$K$205,MIN(C731+1,200)))-LN(INDEX(Dic2023!$K$6:$K$205,C731)))*(A731-6*C731)/6))</f>
        <v>0.0470323139867917</v>
      </c>
      <c r="H731" s="12" t="n">
        <f aca="false">G731^(-1/B731)-1</f>
        <v>0.0517528025</v>
      </c>
      <c r="I731" s="12" t="n">
        <f aca="false">(1+H731)^(1/12)-1</f>
        <v>0.00421369509431369</v>
      </c>
      <c r="J731" s="16" t="n">
        <f aca="false">IF(C731=0,(1+Dic2023!$M$6)^(-B731),EXP(LN(INDEX(Dic2023!$N$6:$N$205,C731))+(LN(INDEX(Dic2023!$N$6:$N$205,MIN(C731+1,200)))-LN(INDEX(Dic2023!$N$6:$N$205,C731)))*(A731-6*C731)/6))</f>
        <v>0.0470323139867917</v>
      </c>
      <c r="K731" s="12" t="n">
        <f aca="false">J731^(-1/B731)-1</f>
        <v>0.0517528025</v>
      </c>
      <c r="L731" s="12" t="n">
        <f aca="false">(1+K731)^(1/12)-1</f>
        <v>0.00421369509431369</v>
      </c>
    </row>
    <row r="732" customFormat="false" ht="15" hidden="false" customHeight="false" outlineLevel="0" collapsed="false">
      <c r="A732" s="4" t="n">
        <v>728</v>
      </c>
      <c r="B732" s="14" t="n">
        <f aca="false">A732/12</f>
        <v>60.6666666666667</v>
      </c>
      <c r="C732" s="15" t="n">
        <f aca="false">INT(A732/6)</f>
        <v>121</v>
      </c>
      <c r="D732" s="16" t="n">
        <f aca="false">IF(C732=0,(1+Dic2023!$G$6)^(-B732),EXP(LN(INDEX(Dic2023!$H$6:$H$205,C732))+(LN(INDEX(Dic2023!$H$6:$H$205,MIN(C732+1,200)))-LN(INDEX(Dic2023!$H$6:$H$205,C732)))*(A732-6*C732)/6))</f>
        <v>0.0468349657214886</v>
      </c>
      <c r="E732" s="12" t="n">
        <f aca="false">D732^(-1/B732)-1</f>
        <v>0.0517528025</v>
      </c>
      <c r="F732" s="12" t="n">
        <f aca="false">(1+E732)^(1/12)-1</f>
        <v>0.00421369509431369</v>
      </c>
      <c r="G732" s="16" t="n">
        <f aca="false">IF(C732=0,(1+Dic2023!$J$6)^(-B732),EXP(LN(INDEX(Dic2023!$K$6:$K$205,C732))+(LN(INDEX(Dic2023!$K$6:$K$205,MIN(C732+1,200)))-LN(INDEX(Dic2023!$K$6:$K$205,C732)))*(A732-6*C732)/6))</f>
        <v>0.0468349657214886</v>
      </c>
      <c r="H732" s="12" t="n">
        <f aca="false">G732^(-1/B732)-1</f>
        <v>0.0517528025</v>
      </c>
      <c r="I732" s="12" t="n">
        <f aca="false">(1+H732)^(1/12)-1</f>
        <v>0.00421369509431369</v>
      </c>
      <c r="J732" s="16" t="n">
        <f aca="false">IF(C732=0,(1+Dic2023!$M$6)^(-B732),EXP(LN(INDEX(Dic2023!$N$6:$N$205,C732))+(LN(INDEX(Dic2023!$N$6:$N$205,MIN(C732+1,200)))-LN(INDEX(Dic2023!$N$6:$N$205,C732)))*(A732-6*C732)/6))</f>
        <v>0.0468349657214886</v>
      </c>
      <c r="K732" s="12" t="n">
        <f aca="false">J732^(-1/B732)-1</f>
        <v>0.0517528025</v>
      </c>
      <c r="L732" s="12" t="n">
        <f aca="false">(1+K732)^(1/12)-1</f>
        <v>0.00421369509431369</v>
      </c>
    </row>
    <row r="733" customFormat="false" ht="15" hidden="false" customHeight="false" outlineLevel="0" collapsed="false">
      <c r="A733" s="4" t="n">
        <v>729</v>
      </c>
      <c r="B733" s="14" t="n">
        <f aca="false">A733/12</f>
        <v>60.75</v>
      </c>
      <c r="C733" s="15" t="n">
        <f aca="false">INT(A733/6)</f>
        <v>121</v>
      </c>
      <c r="D733" s="16" t="n">
        <f aca="false">IF(C733=0,(1+Dic2023!$G$6)^(-B733),EXP(LN(INDEX(Dic2023!$H$6:$H$205,C733))+(LN(INDEX(Dic2023!$H$6:$H$205,MIN(C733+1,200)))-LN(INDEX(Dic2023!$H$6:$H$205,C733)))*(A733-6*C733)/6))</f>
        <v>0.0466384455323426</v>
      </c>
      <c r="E733" s="12" t="n">
        <f aca="false">D733^(-1/B733)-1</f>
        <v>0.0517528025</v>
      </c>
      <c r="F733" s="12" t="n">
        <f aca="false">(1+E733)^(1/12)-1</f>
        <v>0.00421369509431369</v>
      </c>
      <c r="G733" s="16" t="n">
        <f aca="false">IF(C733=0,(1+Dic2023!$J$6)^(-B733),EXP(LN(INDEX(Dic2023!$K$6:$K$205,C733))+(LN(INDEX(Dic2023!$K$6:$K$205,MIN(C733+1,200)))-LN(INDEX(Dic2023!$K$6:$K$205,C733)))*(A733-6*C733)/6))</f>
        <v>0.0466384455323426</v>
      </c>
      <c r="H733" s="12" t="n">
        <f aca="false">G733^(-1/B733)-1</f>
        <v>0.0517528025</v>
      </c>
      <c r="I733" s="12" t="n">
        <f aca="false">(1+H733)^(1/12)-1</f>
        <v>0.00421369509431369</v>
      </c>
      <c r="J733" s="16" t="n">
        <f aca="false">IF(C733=0,(1+Dic2023!$M$6)^(-B733),EXP(LN(INDEX(Dic2023!$N$6:$N$205,C733))+(LN(INDEX(Dic2023!$N$6:$N$205,MIN(C733+1,200)))-LN(INDEX(Dic2023!$N$6:$N$205,C733)))*(A733-6*C733)/6))</f>
        <v>0.0466384455323426</v>
      </c>
      <c r="K733" s="12" t="n">
        <f aca="false">J733^(-1/B733)-1</f>
        <v>0.0517528025</v>
      </c>
      <c r="L733" s="12" t="n">
        <f aca="false">(1+K733)^(1/12)-1</f>
        <v>0.00421369509431369</v>
      </c>
    </row>
    <row r="734" customFormat="false" ht="15" hidden="false" customHeight="false" outlineLevel="0" collapsed="false">
      <c r="A734" s="4" t="n">
        <v>730</v>
      </c>
      <c r="B734" s="14" t="n">
        <f aca="false">A734/12</f>
        <v>60.8333333333333</v>
      </c>
      <c r="C734" s="15" t="n">
        <f aca="false">INT(A734/6)</f>
        <v>121</v>
      </c>
      <c r="D734" s="16" t="n">
        <f aca="false">IF(C734=0,(1+Dic2023!$G$6)^(-B734),EXP(LN(INDEX(Dic2023!$H$6:$H$205,C734))+(LN(INDEX(Dic2023!$H$6:$H$205,MIN(C734+1,200)))-LN(INDEX(Dic2023!$H$6:$H$205,C734)))*(A734-6*C734)/6))</f>
        <v>0.046442749944734</v>
      </c>
      <c r="E734" s="12" t="n">
        <f aca="false">D734^(-1/B734)-1</f>
        <v>0.0517528025</v>
      </c>
      <c r="F734" s="12" t="n">
        <f aca="false">(1+E734)^(1/12)-1</f>
        <v>0.00421369509431369</v>
      </c>
      <c r="G734" s="16" t="n">
        <f aca="false">IF(C734=0,(1+Dic2023!$J$6)^(-B734),EXP(LN(INDEX(Dic2023!$K$6:$K$205,C734))+(LN(INDEX(Dic2023!$K$6:$K$205,MIN(C734+1,200)))-LN(INDEX(Dic2023!$K$6:$K$205,C734)))*(A734-6*C734)/6))</f>
        <v>0.046442749944734</v>
      </c>
      <c r="H734" s="12" t="n">
        <f aca="false">G734^(-1/B734)-1</f>
        <v>0.0517528025</v>
      </c>
      <c r="I734" s="12" t="n">
        <f aca="false">(1+H734)^(1/12)-1</f>
        <v>0.00421369509431369</v>
      </c>
      <c r="J734" s="16" t="n">
        <f aca="false">IF(C734=0,(1+Dic2023!$M$6)^(-B734),EXP(LN(INDEX(Dic2023!$N$6:$N$205,C734))+(LN(INDEX(Dic2023!$N$6:$N$205,MIN(C734+1,200)))-LN(INDEX(Dic2023!$N$6:$N$205,C734)))*(A734-6*C734)/6))</f>
        <v>0.046442749944734</v>
      </c>
      <c r="K734" s="12" t="n">
        <f aca="false">J734^(-1/B734)-1</f>
        <v>0.0517528025</v>
      </c>
      <c r="L734" s="12" t="n">
        <f aca="false">(1+K734)^(1/12)-1</f>
        <v>0.00421369509431369</v>
      </c>
    </row>
    <row r="735" customFormat="false" ht="15" hidden="false" customHeight="false" outlineLevel="0" collapsed="false">
      <c r="A735" s="4" t="n">
        <v>731</v>
      </c>
      <c r="B735" s="14" t="n">
        <f aca="false">A735/12</f>
        <v>60.9166666666667</v>
      </c>
      <c r="C735" s="15" t="n">
        <f aca="false">INT(A735/6)</f>
        <v>121</v>
      </c>
      <c r="D735" s="16" t="n">
        <f aca="false">IF(C735=0,(1+Dic2023!$G$6)^(-B735),EXP(LN(INDEX(Dic2023!$H$6:$H$205,C735))+(LN(INDEX(Dic2023!$H$6:$H$205,MIN(C735+1,200)))-LN(INDEX(Dic2023!$H$6:$H$205,C735)))*(A735-6*C735)/6))</f>
        <v>0.0462478754986231</v>
      </c>
      <c r="E735" s="12" t="n">
        <f aca="false">D735^(-1/B735)-1</f>
        <v>0.0517528025</v>
      </c>
      <c r="F735" s="12" t="n">
        <f aca="false">(1+E735)^(1/12)-1</f>
        <v>0.00421369509431369</v>
      </c>
      <c r="G735" s="16" t="n">
        <f aca="false">IF(C735=0,(1+Dic2023!$J$6)^(-B735),EXP(LN(INDEX(Dic2023!$K$6:$K$205,C735))+(LN(INDEX(Dic2023!$K$6:$K$205,MIN(C735+1,200)))-LN(INDEX(Dic2023!$K$6:$K$205,C735)))*(A735-6*C735)/6))</f>
        <v>0.0462478754986231</v>
      </c>
      <c r="H735" s="12" t="n">
        <f aca="false">G735^(-1/B735)-1</f>
        <v>0.0517528025</v>
      </c>
      <c r="I735" s="12" t="n">
        <f aca="false">(1+H735)^(1/12)-1</f>
        <v>0.00421369509431369</v>
      </c>
      <c r="J735" s="16" t="n">
        <f aca="false">IF(C735=0,(1+Dic2023!$M$6)^(-B735),EXP(LN(INDEX(Dic2023!$N$6:$N$205,C735))+(LN(INDEX(Dic2023!$N$6:$N$205,MIN(C735+1,200)))-LN(INDEX(Dic2023!$N$6:$N$205,C735)))*(A735-6*C735)/6))</f>
        <v>0.0462478754986231</v>
      </c>
      <c r="K735" s="12" t="n">
        <f aca="false">J735^(-1/B735)-1</f>
        <v>0.0517528025</v>
      </c>
      <c r="L735" s="12" t="n">
        <f aca="false">(1+K735)^(1/12)-1</f>
        <v>0.00421369509431369</v>
      </c>
    </row>
    <row r="736" customFormat="false" ht="15" hidden="false" customHeight="false" outlineLevel="0" collapsed="false">
      <c r="A736" s="4" t="n">
        <v>732</v>
      </c>
      <c r="B736" s="14" t="n">
        <f aca="false">A736/12</f>
        <v>61</v>
      </c>
      <c r="C736" s="15" t="n">
        <f aca="false">INT(A736/6)</f>
        <v>122</v>
      </c>
      <c r="D736" s="16" t="n">
        <f aca="false">IF(C736=0,(1+Dic2023!$G$6)^(-B736),EXP(LN(INDEX(Dic2023!$H$6:$H$205,C736))+(LN(INDEX(Dic2023!$H$6:$H$205,MIN(C736+1,200)))-LN(INDEX(Dic2023!$H$6:$H$205,C736)))*(A736-6*C736)/6))</f>
        <v>0.0460538187484882</v>
      </c>
      <c r="E736" s="12" t="n">
        <f aca="false">D736^(-1/B736)-1</f>
        <v>0.0517528025</v>
      </c>
      <c r="F736" s="12" t="n">
        <f aca="false">(1+E736)^(1/12)-1</f>
        <v>0.00421369509431369</v>
      </c>
      <c r="G736" s="16" t="n">
        <f aca="false">IF(C736=0,(1+Dic2023!$J$6)^(-B736),EXP(LN(INDEX(Dic2023!$K$6:$K$205,C736))+(LN(INDEX(Dic2023!$K$6:$K$205,MIN(C736+1,200)))-LN(INDEX(Dic2023!$K$6:$K$205,C736)))*(A736-6*C736)/6))</f>
        <v>0.0460538187484882</v>
      </c>
      <c r="H736" s="12" t="n">
        <f aca="false">G736^(-1/B736)-1</f>
        <v>0.0517528025</v>
      </c>
      <c r="I736" s="12" t="n">
        <f aca="false">(1+H736)^(1/12)-1</f>
        <v>0.00421369509431369</v>
      </c>
      <c r="J736" s="16" t="n">
        <f aca="false">IF(C736=0,(1+Dic2023!$M$6)^(-B736),EXP(LN(INDEX(Dic2023!$N$6:$N$205,C736))+(LN(INDEX(Dic2023!$N$6:$N$205,MIN(C736+1,200)))-LN(INDEX(Dic2023!$N$6:$N$205,C736)))*(A736-6*C736)/6))</f>
        <v>0.0460538187484882</v>
      </c>
      <c r="K736" s="12" t="n">
        <f aca="false">J736^(-1/B736)-1</f>
        <v>0.0517528025</v>
      </c>
      <c r="L736" s="12" t="n">
        <f aca="false">(1+K736)^(1/12)-1</f>
        <v>0.00421369509431369</v>
      </c>
    </row>
    <row r="737" customFormat="false" ht="15" hidden="false" customHeight="false" outlineLevel="0" collapsed="false">
      <c r="A737" s="4" t="n">
        <v>733</v>
      </c>
      <c r="B737" s="14" t="n">
        <f aca="false">A737/12</f>
        <v>61.0833333333333</v>
      </c>
      <c r="C737" s="15" t="n">
        <f aca="false">INT(A737/6)</f>
        <v>122</v>
      </c>
      <c r="D737" s="16" t="n">
        <f aca="false">IF(C737=0,(1+Dic2023!$G$6)^(-B737),EXP(LN(INDEX(Dic2023!$H$6:$H$205,C737))+(LN(INDEX(Dic2023!$H$6:$H$205,MIN(C737+1,200)))-LN(INDEX(Dic2023!$H$6:$H$205,C737)))*(A737-6*C737)/6))</f>
        <v>0.0458605762632652</v>
      </c>
      <c r="E737" s="12" t="n">
        <f aca="false">D737^(-1/B737)-1</f>
        <v>0.0517528025</v>
      </c>
      <c r="F737" s="12" t="n">
        <f aca="false">(1+E737)^(1/12)-1</f>
        <v>0.00421369509431369</v>
      </c>
      <c r="G737" s="16" t="n">
        <f aca="false">IF(C737=0,(1+Dic2023!$J$6)^(-B737),EXP(LN(INDEX(Dic2023!$K$6:$K$205,C737))+(LN(INDEX(Dic2023!$K$6:$K$205,MIN(C737+1,200)))-LN(INDEX(Dic2023!$K$6:$K$205,C737)))*(A737-6*C737)/6))</f>
        <v>0.0458605762632652</v>
      </c>
      <c r="H737" s="12" t="n">
        <f aca="false">G737^(-1/B737)-1</f>
        <v>0.0517528025</v>
      </c>
      <c r="I737" s="12" t="n">
        <f aca="false">(1+H737)^(1/12)-1</f>
        <v>0.00421369509431369</v>
      </c>
      <c r="J737" s="16" t="n">
        <f aca="false">IF(C737=0,(1+Dic2023!$M$6)^(-B737),EXP(LN(INDEX(Dic2023!$N$6:$N$205,C737))+(LN(INDEX(Dic2023!$N$6:$N$205,MIN(C737+1,200)))-LN(INDEX(Dic2023!$N$6:$N$205,C737)))*(A737-6*C737)/6))</f>
        <v>0.0458605762632652</v>
      </c>
      <c r="K737" s="12" t="n">
        <f aca="false">J737^(-1/B737)-1</f>
        <v>0.0517528025</v>
      </c>
      <c r="L737" s="12" t="n">
        <f aca="false">(1+K737)^(1/12)-1</f>
        <v>0.00421369509431369</v>
      </c>
    </row>
    <row r="738" customFormat="false" ht="15" hidden="false" customHeight="false" outlineLevel="0" collapsed="false">
      <c r="A738" s="4" t="n">
        <v>734</v>
      </c>
      <c r="B738" s="14" t="n">
        <f aca="false">A738/12</f>
        <v>61.1666666666667</v>
      </c>
      <c r="C738" s="15" t="n">
        <f aca="false">INT(A738/6)</f>
        <v>122</v>
      </c>
      <c r="D738" s="16" t="n">
        <f aca="false">IF(C738=0,(1+Dic2023!$G$6)^(-B738),EXP(LN(INDEX(Dic2023!$H$6:$H$205,C738))+(LN(INDEX(Dic2023!$H$6:$H$205,MIN(C738+1,200)))-LN(INDEX(Dic2023!$H$6:$H$205,C738)))*(A738-6*C738)/6))</f>
        <v>0.045668144626287</v>
      </c>
      <c r="E738" s="12" t="n">
        <f aca="false">D738^(-1/B738)-1</f>
        <v>0.0517528025</v>
      </c>
      <c r="F738" s="12" t="n">
        <f aca="false">(1+E738)^(1/12)-1</f>
        <v>0.00421369509431369</v>
      </c>
      <c r="G738" s="16" t="n">
        <f aca="false">IF(C738=0,(1+Dic2023!$J$6)^(-B738),EXP(LN(INDEX(Dic2023!$K$6:$K$205,C738))+(LN(INDEX(Dic2023!$K$6:$K$205,MIN(C738+1,200)))-LN(INDEX(Dic2023!$K$6:$K$205,C738)))*(A738-6*C738)/6))</f>
        <v>0.045668144626287</v>
      </c>
      <c r="H738" s="12" t="n">
        <f aca="false">G738^(-1/B738)-1</f>
        <v>0.0517528025</v>
      </c>
      <c r="I738" s="12" t="n">
        <f aca="false">(1+H738)^(1/12)-1</f>
        <v>0.00421369509431369</v>
      </c>
      <c r="J738" s="16" t="n">
        <f aca="false">IF(C738=0,(1+Dic2023!$M$6)^(-B738),EXP(LN(INDEX(Dic2023!$N$6:$N$205,C738))+(LN(INDEX(Dic2023!$N$6:$N$205,MIN(C738+1,200)))-LN(INDEX(Dic2023!$N$6:$N$205,C738)))*(A738-6*C738)/6))</f>
        <v>0.045668144626287</v>
      </c>
      <c r="K738" s="12" t="n">
        <f aca="false">J738^(-1/B738)-1</f>
        <v>0.0517528025</v>
      </c>
      <c r="L738" s="12" t="n">
        <f aca="false">(1+K738)^(1/12)-1</f>
        <v>0.00421369509431369</v>
      </c>
    </row>
    <row r="739" customFormat="false" ht="15" hidden="false" customHeight="false" outlineLevel="0" collapsed="false">
      <c r="A739" s="4" t="n">
        <v>735</v>
      </c>
      <c r="B739" s="14" t="n">
        <f aca="false">A739/12</f>
        <v>61.25</v>
      </c>
      <c r="C739" s="15" t="n">
        <f aca="false">INT(A739/6)</f>
        <v>122</v>
      </c>
      <c r="D739" s="16" t="n">
        <f aca="false">IF(C739=0,(1+Dic2023!$G$6)^(-B739),EXP(LN(INDEX(Dic2023!$H$6:$H$205,C739))+(LN(INDEX(Dic2023!$H$6:$H$205,MIN(C739+1,200)))-LN(INDEX(Dic2023!$H$6:$H$205,C739)))*(A739-6*C739)/6))</f>
        <v>0.0454765204352227</v>
      </c>
      <c r="E739" s="12" t="n">
        <f aca="false">D739^(-1/B739)-1</f>
        <v>0.0517528025</v>
      </c>
      <c r="F739" s="12" t="n">
        <f aca="false">(1+E739)^(1/12)-1</f>
        <v>0.00421369509431369</v>
      </c>
      <c r="G739" s="16" t="n">
        <f aca="false">IF(C739=0,(1+Dic2023!$J$6)^(-B739),EXP(LN(INDEX(Dic2023!$K$6:$K$205,C739))+(LN(INDEX(Dic2023!$K$6:$K$205,MIN(C739+1,200)))-LN(INDEX(Dic2023!$K$6:$K$205,C739)))*(A739-6*C739)/6))</f>
        <v>0.0454765204352227</v>
      </c>
      <c r="H739" s="12" t="n">
        <f aca="false">G739^(-1/B739)-1</f>
        <v>0.0517528025</v>
      </c>
      <c r="I739" s="12" t="n">
        <f aca="false">(1+H739)^(1/12)-1</f>
        <v>0.00421369509431369</v>
      </c>
      <c r="J739" s="16" t="n">
        <f aca="false">IF(C739=0,(1+Dic2023!$M$6)^(-B739),EXP(LN(INDEX(Dic2023!$N$6:$N$205,C739))+(LN(INDEX(Dic2023!$N$6:$N$205,MIN(C739+1,200)))-LN(INDEX(Dic2023!$N$6:$N$205,C739)))*(A739-6*C739)/6))</f>
        <v>0.0454765204352227</v>
      </c>
      <c r="K739" s="12" t="n">
        <f aca="false">J739^(-1/B739)-1</f>
        <v>0.0517528025</v>
      </c>
      <c r="L739" s="12" t="n">
        <f aca="false">(1+K739)^(1/12)-1</f>
        <v>0.00421369509431369</v>
      </c>
    </row>
    <row r="740" customFormat="false" ht="15" hidden="false" customHeight="false" outlineLevel="0" collapsed="false">
      <c r="A740" s="4" t="n">
        <v>736</v>
      </c>
      <c r="B740" s="14" t="n">
        <f aca="false">A740/12</f>
        <v>61.3333333333333</v>
      </c>
      <c r="C740" s="15" t="n">
        <f aca="false">INT(A740/6)</f>
        <v>122</v>
      </c>
      <c r="D740" s="16" t="n">
        <f aca="false">IF(C740=0,(1+Dic2023!$G$6)^(-B740),EXP(LN(INDEX(Dic2023!$H$6:$H$205,C740))+(LN(INDEX(Dic2023!$H$6:$H$205,MIN(C740+1,200)))-LN(INDEX(Dic2023!$H$6:$H$205,C740)))*(A740-6*C740)/6))</f>
        <v>0.0452857003020175</v>
      </c>
      <c r="E740" s="12" t="n">
        <f aca="false">D740^(-1/B740)-1</f>
        <v>0.0517528025</v>
      </c>
      <c r="F740" s="12" t="n">
        <f aca="false">(1+E740)^(1/12)-1</f>
        <v>0.00421369509431369</v>
      </c>
      <c r="G740" s="16" t="n">
        <f aca="false">IF(C740=0,(1+Dic2023!$J$6)^(-B740),EXP(LN(INDEX(Dic2023!$K$6:$K$205,C740))+(LN(INDEX(Dic2023!$K$6:$K$205,MIN(C740+1,200)))-LN(INDEX(Dic2023!$K$6:$K$205,C740)))*(A740-6*C740)/6))</f>
        <v>0.0452857003020175</v>
      </c>
      <c r="H740" s="12" t="n">
        <f aca="false">G740^(-1/B740)-1</f>
        <v>0.0517528025</v>
      </c>
      <c r="I740" s="12" t="n">
        <f aca="false">(1+H740)^(1/12)-1</f>
        <v>0.00421369509431369</v>
      </c>
      <c r="J740" s="16" t="n">
        <f aca="false">IF(C740=0,(1+Dic2023!$M$6)^(-B740),EXP(LN(INDEX(Dic2023!$N$6:$N$205,C740))+(LN(INDEX(Dic2023!$N$6:$N$205,MIN(C740+1,200)))-LN(INDEX(Dic2023!$N$6:$N$205,C740)))*(A740-6*C740)/6))</f>
        <v>0.0452857003020175</v>
      </c>
      <c r="K740" s="12" t="n">
        <f aca="false">J740^(-1/B740)-1</f>
        <v>0.0517528025</v>
      </c>
      <c r="L740" s="12" t="n">
        <f aca="false">(1+K740)^(1/12)-1</f>
        <v>0.00421369509431369</v>
      </c>
    </row>
    <row r="741" customFormat="false" ht="15" hidden="false" customHeight="false" outlineLevel="0" collapsed="false">
      <c r="A741" s="4" t="n">
        <v>737</v>
      </c>
      <c r="B741" s="14" t="n">
        <f aca="false">A741/12</f>
        <v>61.4166666666667</v>
      </c>
      <c r="C741" s="15" t="n">
        <f aca="false">INT(A741/6)</f>
        <v>122</v>
      </c>
      <c r="D741" s="16" t="n">
        <f aca="false">IF(C741=0,(1+Dic2023!$G$6)^(-B741),EXP(LN(INDEX(Dic2023!$H$6:$H$205,C741))+(LN(INDEX(Dic2023!$H$6:$H$205,MIN(C741+1,200)))-LN(INDEX(Dic2023!$H$6:$H$205,C741)))*(A741-6*C741)/6))</f>
        <v>0.0450956808528332</v>
      </c>
      <c r="E741" s="12" t="n">
        <f aca="false">D741^(-1/B741)-1</f>
        <v>0.0517528025</v>
      </c>
      <c r="F741" s="12" t="n">
        <f aca="false">(1+E741)^(1/12)-1</f>
        <v>0.00421369509431369</v>
      </c>
      <c r="G741" s="16" t="n">
        <f aca="false">IF(C741=0,(1+Dic2023!$J$6)^(-B741),EXP(LN(INDEX(Dic2023!$K$6:$K$205,C741))+(LN(INDEX(Dic2023!$K$6:$K$205,MIN(C741+1,200)))-LN(INDEX(Dic2023!$K$6:$K$205,C741)))*(A741-6*C741)/6))</f>
        <v>0.0450956808528332</v>
      </c>
      <c r="H741" s="12" t="n">
        <f aca="false">G741^(-1/B741)-1</f>
        <v>0.0517528025</v>
      </c>
      <c r="I741" s="12" t="n">
        <f aca="false">(1+H741)^(1/12)-1</f>
        <v>0.00421369509431369</v>
      </c>
      <c r="J741" s="16" t="n">
        <f aca="false">IF(C741=0,(1+Dic2023!$M$6)^(-B741),EXP(LN(INDEX(Dic2023!$N$6:$N$205,C741))+(LN(INDEX(Dic2023!$N$6:$N$205,MIN(C741+1,200)))-LN(INDEX(Dic2023!$N$6:$N$205,C741)))*(A741-6*C741)/6))</f>
        <v>0.0450956808528332</v>
      </c>
      <c r="K741" s="12" t="n">
        <f aca="false">J741^(-1/B741)-1</f>
        <v>0.0517528025</v>
      </c>
      <c r="L741" s="12" t="n">
        <f aca="false">(1+K741)^(1/12)-1</f>
        <v>0.00421369509431369</v>
      </c>
    </row>
    <row r="742" customFormat="false" ht="15" hidden="false" customHeight="false" outlineLevel="0" collapsed="false">
      <c r="A742" s="4" t="n">
        <v>738</v>
      </c>
      <c r="B742" s="14" t="n">
        <f aca="false">A742/12</f>
        <v>61.5</v>
      </c>
      <c r="C742" s="15" t="n">
        <f aca="false">INT(A742/6)</f>
        <v>123</v>
      </c>
      <c r="D742" s="16" t="n">
        <f aca="false">IF(C742=0,(1+Dic2023!$G$6)^(-B742),EXP(LN(INDEX(Dic2023!$H$6:$H$205,C742))+(LN(INDEX(Dic2023!$H$6:$H$205,MIN(C742+1,200)))-LN(INDEX(Dic2023!$H$6:$H$205,C742)))*(A742-6*C742)/6))</f>
        <v>0.044906458727988</v>
      </c>
      <c r="E742" s="12" t="n">
        <f aca="false">D742^(-1/B742)-1</f>
        <v>0.0517528025</v>
      </c>
      <c r="F742" s="12" t="n">
        <f aca="false">(1+E742)^(1/12)-1</f>
        <v>0.00421369509431369</v>
      </c>
      <c r="G742" s="16" t="n">
        <f aca="false">IF(C742=0,(1+Dic2023!$J$6)^(-B742),EXP(LN(INDEX(Dic2023!$K$6:$K$205,C742))+(LN(INDEX(Dic2023!$K$6:$K$205,MIN(C742+1,200)))-LN(INDEX(Dic2023!$K$6:$K$205,C742)))*(A742-6*C742)/6))</f>
        <v>0.044906458727988</v>
      </c>
      <c r="H742" s="12" t="n">
        <f aca="false">G742^(-1/B742)-1</f>
        <v>0.0517528025</v>
      </c>
      <c r="I742" s="12" t="n">
        <f aca="false">(1+H742)^(1/12)-1</f>
        <v>0.00421369509431369</v>
      </c>
      <c r="J742" s="16" t="n">
        <f aca="false">IF(C742=0,(1+Dic2023!$M$6)^(-B742),EXP(LN(INDEX(Dic2023!$N$6:$N$205,C742))+(LN(INDEX(Dic2023!$N$6:$N$205,MIN(C742+1,200)))-LN(INDEX(Dic2023!$N$6:$N$205,C742)))*(A742-6*C742)/6))</f>
        <v>0.044906458727988</v>
      </c>
      <c r="K742" s="12" t="n">
        <f aca="false">J742^(-1/B742)-1</f>
        <v>0.0517528025</v>
      </c>
      <c r="L742" s="12" t="n">
        <f aca="false">(1+K742)^(1/12)-1</f>
        <v>0.00421369509431369</v>
      </c>
    </row>
    <row r="743" customFormat="false" ht="15" hidden="false" customHeight="false" outlineLevel="0" collapsed="false">
      <c r="A743" s="4" t="n">
        <v>739</v>
      </c>
      <c r="B743" s="14" t="n">
        <f aca="false">A743/12</f>
        <v>61.5833333333333</v>
      </c>
      <c r="C743" s="15" t="n">
        <f aca="false">INT(A743/6)</f>
        <v>123</v>
      </c>
      <c r="D743" s="16" t="n">
        <f aca="false">IF(C743=0,(1+Dic2023!$G$6)^(-B743),EXP(LN(INDEX(Dic2023!$H$6:$H$205,C743))+(LN(INDEX(Dic2023!$H$6:$H$205,MIN(C743+1,200)))-LN(INDEX(Dic2023!$H$6:$H$205,C743)))*(A743-6*C743)/6))</f>
        <v>0.0447180305818977</v>
      </c>
      <c r="E743" s="12" t="n">
        <f aca="false">D743^(-1/B743)-1</f>
        <v>0.0517528025</v>
      </c>
      <c r="F743" s="12" t="n">
        <f aca="false">(1+E743)^(1/12)-1</f>
        <v>0.00421369509431369</v>
      </c>
      <c r="G743" s="16" t="n">
        <f aca="false">IF(C743=0,(1+Dic2023!$J$6)^(-B743),EXP(LN(INDEX(Dic2023!$K$6:$K$205,C743))+(LN(INDEX(Dic2023!$K$6:$K$205,MIN(C743+1,200)))-LN(INDEX(Dic2023!$K$6:$K$205,C743)))*(A743-6*C743)/6))</f>
        <v>0.0447180305818977</v>
      </c>
      <c r="H743" s="12" t="n">
        <f aca="false">G743^(-1/B743)-1</f>
        <v>0.0517528025</v>
      </c>
      <c r="I743" s="12" t="n">
        <f aca="false">(1+H743)^(1/12)-1</f>
        <v>0.00421369509431369</v>
      </c>
      <c r="J743" s="16" t="n">
        <f aca="false">IF(C743=0,(1+Dic2023!$M$6)^(-B743),EXP(LN(INDEX(Dic2023!$N$6:$N$205,C743))+(LN(INDEX(Dic2023!$N$6:$N$205,MIN(C743+1,200)))-LN(INDEX(Dic2023!$N$6:$N$205,C743)))*(A743-6*C743)/6))</f>
        <v>0.0447180305818977</v>
      </c>
      <c r="K743" s="12" t="n">
        <f aca="false">J743^(-1/B743)-1</f>
        <v>0.0517528025</v>
      </c>
      <c r="L743" s="12" t="n">
        <f aca="false">(1+K743)^(1/12)-1</f>
        <v>0.00421369509431369</v>
      </c>
    </row>
    <row r="744" customFormat="false" ht="15" hidden="false" customHeight="false" outlineLevel="0" collapsed="false">
      <c r="A744" s="4" t="n">
        <v>740</v>
      </c>
      <c r="B744" s="14" t="n">
        <f aca="false">A744/12</f>
        <v>61.6666666666667</v>
      </c>
      <c r="C744" s="15" t="n">
        <f aca="false">INT(A744/6)</f>
        <v>123</v>
      </c>
      <c r="D744" s="16" t="n">
        <f aca="false">IF(C744=0,(1+Dic2023!$G$6)^(-B744),EXP(LN(INDEX(Dic2023!$H$6:$H$205,C744))+(LN(INDEX(Dic2023!$H$6:$H$205,MIN(C744+1,200)))-LN(INDEX(Dic2023!$H$6:$H$205,C744)))*(A744-6*C744)/6))</f>
        <v>0.044530393083016</v>
      </c>
      <c r="E744" s="12" t="n">
        <f aca="false">D744^(-1/B744)-1</f>
        <v>0.0517528025</v>
      </c>
      <c r="F744" s="12" t="n">
        <f aca="false">(1+E744)^(1/12)-1</f>
        <v>0.00421369509431369</v>
      </c>
      <c r="G744" s="16" t="n">
        <f aca="false">IF(C744=0,(1+Dic2023!$J$6)^(-B744),EXP(LN(INDEX(Dic2023!$K$6:$K$205,C744))+(LN(INDEX(Dic2023!$K$6:$K$205,MIN(C744+1,200)))-LN(INDEX(Dic2023!$K$6:$K$205,C744)))*(A744-6*C744)/6))</f>
        <v>0.044530393083016</v>
      </c>
      <c r="H744" s="12" t="n">
        <f aca="false">G744^(-1/B744)-1</f>
        <v>0.0517528025</v>
      </c>
      <c r="I744" s="12" t="n">
        <f aca="false">(1+H744)^(1/12)-1</f>
        <v>0.00421369509431369</v>
      </c>
      <c r="J744" s="16" t="n">
        <f aca="false">IF(C744=0,(1+Dic2023!$M$6)^(-B744),EXP(LN(INDEX(Dic2023!$N$6:$N$205,C744))+(LN(INDEX(Dic2023!$N$6:$N$205,MIN(C744+1,200)))-LN(INDEX(Dic2023!$N$6:$N$205,C744)))*(A744-6*C744)/6))</f>
        <v>0.044530393083016</v>
      </c>
      <c r="K744" s="12" t="n">
        <f aca="false">J744^(-1/B744)-1</f>
        <v>0.0517528025</v>
      </c>
      <c r="L744" s="12" t="n">
        <f aca="false">(1+K744)^(1/12)-1</f>
        <v>0.00421369509431369</v>
      </c>
    </row>
    <row r="745" customFormat="false" ht="15" hidden="false" customHeight="false" outlineLevel="0" collapsed="false">
      <c r="A745" s="4" t="n">
        <v>741</v>
      </c>
      <c r="B745" s="14" t="n">
        <f aca="false">A745/12</f>
        <v>61.75</v>
      </c>
      <c r="C745" s="15" t="n">
        <f aca="false">INT(A745/6)</f>
        <v>123</v>
      </c>
      <c r="D745" s="16" t="n">
        <f aca="false">IF(C745=0,(1+Dic2023!$G$6)^(-B745),EXP(LN(INDEX(Dic2023!$H$6:$H$205,C745))+(LN(INDEX(Dic2023!$H$6:$H$205,MIN(C745+1,200)))-LN(INDEX(Dic2023!$H$6:$H$205,C745)))*(A745-6*C745)/6))</f>
        <v>0.0443435429137757</v>
      </c>
      <c r="E745" s="12" t="n">
        <f aca="false">D745^(-1/B745)-1</f>
        <v>0.0517528025</v>
      </c>
      <c r="F745" s="12" t="n">
        <f aca="false">(1+E745)^(1/12)-1</f>
        <v>0.00421369509431369</v>
      </c>
      <c r="G745" s="16" t="n">
        <f aca="false">IF(C745=0,(1+Dic2023!$J$6)^(-B745),EXP(LN(INDEX(Dic2023!$K$6:$K$205,C745))+(LN(INDEX(Dic2023!$K$6:$K$205,MIN(C745+1,200)))-LN(INDEX(Dic2023!$K$6:$K$205,C745)))*(A745-6*C745)/6))</f>
        <v>0.0443435429137757</v>
      </c>
      <c r="H745" s="12" t="n">
        <f aca="false">G745^(-1/B745)-1</f>
        <v>0.0517528025</v>
      </c>
      <c r="I745" s="12" t="n">
        <f aca="false">(1+H745)^(1/12)-1</f>
        <v>0.00421369509431369</v>
      </c>
      <c r="J745" s="16" t="n">
        <f aca="false">IF(C745=0,(1+Dic2023!$M$6)^(-B745),EXP(LN(INDEX(Dic2023!$N$6:$N$205,C745))+(LN(INDEX(Dic2023!$N$6:$N$205,MIN(C745+1,200)))-LN(INDEX(Dic2023!$N$6:$N$205,C745)))*(A745-6*C745)/6))</f>
        <v>0.0443435429137757</v>
      </c>
      <c r="K745" s="12" t="n">
        <f aca="false">J745^(-1/B745)-1</f>
        <v>0.0517528025</v>
      </c>
      <c r="L745" s="12" t="n">
        <f aca="false">(1+K745)^(1/12)-1</f>
        <v>0.00421369509431369</v>
      </c>
    </row>
    <row r="746" customFormat="false" ht="15" hidden="false" customHeight="false" outlineLevel="0" collapsed="false">
      <c r="A746" s="4" t="n">
        <v>742</v>
      </c>
      <c r="B746" s="14" t="n">
        <f aca="false">A746/12</f>
        <v>61.8333333333333</v>
      </c>
      <c r="C746" s="15" t="n">
        <f aca="false">INT(A746/6)</f>
        <v>123</v>
      </c>
      <c r="D746" s="16" t="n">
        <f aca="false">IF(C746=0,(1+Dic2023!$G$6)^(-B746),EXP(LN(INDEX(Dic2023!$H$6:$H$205,C746))+(LN(INDEX(Dic2023!$H$6:$H$205,MIN(C746+1,200)))-LN(INDEX(Dic2023!$H$6:$H$205,C746)))*(A746-6*C746)/6))</f>
        <v>0.0441574767705305</v>
      </c>
      <c r="E746" s="12" t="n">
        <f aca="false">D746^(-1/B746)-1</f>
        <v>0.0517528025</v>
      </c>
      <c r="F746" s="12" t="n">
        <f aca="false">(1+E746)^(1/12)-1</f>
        <v>0.00421369509431369</v>
      </c>
      <c r="G746" s="16" t="n">
        <f aca="false">IF(C746=0,(1+Dic2023!$J$6)^(-B746),EXP(LN(INDEX(Dic2023!$K$6:$K$205,C746))+(LN(INDEX(Dic2023!$K$6:$K$205,MIN(C746+1,200)))-LN(INDEX(Dic2023!$K$6:$K$205,C746)))*(A746-6*C746)/6))</f>
        <v>0.0441574767705305</v>
      </c>
      <c r="H746" s="12" t="n">
        <f aca="false">G746^(-1/B746)-1</f>
        <v>0.0517528025</v>
      </c>
      <c r="I746" s="12" t="n">
        <f aca="false">(1+H746)^(1/12)-1</f>
        <v>0.00421369509431369</v>
      </c>
      <c r="J746" s="16" t="n">
        <f aca="false">IF(C746=0,(1+Dic2023!$M$6)^(-B746),EXP(LN(INDEX(Dic2023!$N$6:$N$205,C746))+(LN(INDEX(Dic2023!$N$6:$N$205,MIN(C746+1,200)))-LN(INDEX(Dic2023!$N$6:$N$205,C746)))*(A746-6*C746)/6))</f>
        <v>0.0441574767705305</v>
      </c>
      <c r="K746" s="12" t="n">
        <f aca="false">J746^(-1/B746)-1</f>
        <v>0.0517528025</v>
      </c>
      <c r="L746" s="12" t="n">
        <f aca="false">(1+K746)^(1/12)-1</f>
        <v>0.00421369509431369</v>
      </c>
    </row>
    <row r="747" customFormat="false" ht="15" hidden="false" customHeight="false" outlineLevel="0" collapsed="false">
      <c r="A747" s="4" t="n">
        <v>743</v>
      </c>
      <c r="B747" s="14" t="n">
        <f aca="false">A747/12</f>
        <v>61.9166666666667</v>
      </c>
      <c r="C747" s="15" t="n">
        <f aca="false">INT(A747/6)</f>
        <v>123</v>
      </c>
      <c r="D747" s="16" t="n">
        <f aca="false">IF(C747=0,(1+Dic2023!$G$6)^(-B747),EXP(LN(INDEX(Dic2023!$H$6:$H$205,C747))+(LN(INDEX(Dic2023!$H$6:$H$205,MIN(C747+1,200)))-LN(INDEX(Dic2023!$H$6:$H$205,C747)))*(A747-6*C747)/6))</f>
        <v>0.0439721913634959</v>
      </c>
      <c r="E747" s="12" t="n">
        <f aca="false">D747^(-1/B747)-1</f>
        <v>0.0517528025</v>
      </c>
      <c r="F747" s="12" t="n">
        <f aca="false">(1+E747)^(1/12)-1</f>
        <v>0.00421369509431369</v>
      </c>
      <c r="G747" s="16" t="n">
        <f aca="false">IF(C747=0,(1+Dic2023!$J$6)^(-B747),EXP(LN(INDEX(Dic2023!$K$6:$K$205,C747))+(LN(INDEX(Dic2023!$K$6:$K$205,MIN(C747+1,200)))-LN(INDEX(Dic2023!$K$6:$K$205,C747)))*(A747-6*C747)/6))</f>
        <v>0.0439721913634959</v>
      </c>
      <c r="H747" s="12" t="n">
        <f aca="false">G747^(-1/B747)-1</f>
        <v>0.0517528025</v>
      </c>
      <c r="I747" s="12" t="n">
        <f aca="false">(1+H747)^(1/12)-1</f>
        <v>0.00421369509431369</v>
      </c>
      <c r="J747" s="16" t="n">
        <f aca="false">IF(C747=0,(1+Dic2023!$M$6)^(-B747),EXP(LN(INDEX(Dic2023!$N$6:$N$205,C747))+(LN(INDEX(Dic2023!$N$6:$N$205,MIN(C747+1,200)))-LN(INDEX(Dic2023!$N$6:$N$205,C747)))*(A747-6*C747)/6))</f>
        <v>0.0439721913634959</v>
      </c>
      <c r="K747" s="12" t="n">
        <f aca="false">J747^(-1/B747)-1</f>
        <v>0.0517528025</v>
      </c>
      <c r="L747" s="12" t="n">
        <f aca="false">(1+K747)^(1/12)-1</f>
        <v>0.00421369509431369</v>
      </c>
    </row>
    <row r="748" customFormat="false" ht="15" hidden="false" customHeight="false" outlineLevel="0" collapsed="false">
      <c r="A748" s="4" t="n">
        <v>744</v>
      </c>
      <c r="B748" s="14" t="n">
        <f aca="false">A748/12</f>
        <v>62</v>
      </c>
      <c r="C748" s="15" t="n">
        <f aca="false">INT(A748/6)</f>
        <v>124</v>
      </c>
      <c r="D748" s="16" t="n">
        <f aca="false">IF(C748=0,(1+Dic2023!$G$6)^(-B748),EXP(LN(INDEX(Dic2023!$H$6:$H$205,C748))+(LN(INDEX(Dic2023!$H$6:$H$205,MIN(C748+1,200)))-LN(INDEX(Dic2023!$H$6:$H$205,C748)))*(A748-6*C748)/6))</f>
        <v>0.0437876834166916</v>
      </c>
      <c r="E748" s="12" t="n">
        <f aca="false">D748^(-1/B748)-1</f>
        <v>0.0517528025</v>
      </c>
      <c r="F748" s="12" t="n">
        <f aca="false">(1+E748)^(1/12)-1</f>
        <v>0.00421369509431369</v>
      </c>
      <c r="G748" s="16" t="n">
        <f aca="false">IF(C748=0,(1+Dic2023!$J$6)^(-B748),EXP(LN(INDEX(Dic2023!$K$6:$K$205,C748))+(LN(INDEX(Dic2023!$K$6:$K$205,MIN(C748+1,200)))-LN(INDEX(Dic2023!$K$6:$K$205,C748)))*(A748-6*C748)/6))</f>
        <v>0.0437876834166916</v>
      </c>
      <c r="H748" s="12" t="n">
        <f aca="false">G748^(-1/B748)-1</f>
        <v>0.0517528025</v>
      </c>
      <c r="I748" s="12" t="n">
        <f aca="false">(1+H748)^(1/12)-1</f>
        <v>0.00421369509431369</v>
      </c>
      <c r="J748" s="16" t="n">
        <f aca="false">IF(C748=0,(1+Dic2023!$M$6)^(-B748),EXP(LN(INDEX(Dic2023!$N$6:$N$205,C748))+(LN(INDEX(Dic2023!$N$6:$N$205,MIN(C748+1,200)))-LN(INDEX(Dic2023!$N$6:$N$205,C748)))*(A748-6*C748)/6))</f>
        <v>0.0437876834166916</v>
      </c>
      <c r="K748" s="12" t="n">
        <f aca="false">J748^(-1/B748)-1</f>
        <v>0.0517528025</v>
      </c>
      <c r="L748" s="12" t="n">
        <f aca="false">(1+K748)^(1/12)-1</f>
        <v>0.00421369509431369</v>
      </c>
    </row>
    <row r="749" customFormat="false" ht="15" hidden="false" customHeight="false" outlineLevel="0" collapsed="false">
      <c r="A749" s="4" t="n">
        <v>745</v>
      </c>
      <c r="B749" s="14" t="n">
        <f aca="false">A749/12</f>
        <v>62.0833333333333</v>
      </c>
      <c r="C749" s="15" t="n">
        <f aca="false">INT(A749/6)</f>
        <v>124</v>
      </c>
      <c r="D749" s="16" t="n">
        <f aca="false">IF(C749=0,(1+Dic2023!$G$6)^(-B749),EXP(LN(INDEX(Dic2023!$H$6:$H$205,C749))+(LN(INDEX(Dic2023!$H$6:$H$205,MIN(C749+1,200)))-LN(INDEX(Dic2023!$H$6:$H$205,C749)))*(A749-6*C749)/6))</f>
        <v>0.0436039496678833</v>
      </c>
      <c r="E749" s="12" t="n">
        <f aca="false">D749^(-1/B749)-1</f>
        <v>0.0517528025</v>
      </c>
      <c r="F749" s="12" t="n">
        <f aca="false">(1+E749)^(1/12)-1</f>
        <v>0.00421369509431369</v>
      </c>
      <c r="G749" s="16" t="n">
        <f aca="false">IF(C749=0,(1+Dic2023!$J$6)^(-B749),EXP(LN(INDEX(Dic2023!$K$6:$K$205,C749))+(LN(INDEX(Dic2023!$K$6:$K$205,MIN(C749+1,200)))-LN(INDEX(Dic2023!$K$6:$K$205,C749)))*(A749-6*C749)/6))</f>
        <v>0.0436039496678833</v>
      </c>
      <c r="H749" s="12" t="n">
        <f aca="false">G749^(-1/B749)-1</f>
        <v>0.0517528025</v>
      </c>
      <c r="I749" s="12" t="n">
        <f aca="false">(1+H749)^(1/12)-1</f>
        <v>0.00421369509431369</v>
      </c>
      <c r="J749" s="16" t="n">
        <f aca="false">IF(C749=0,(1+Dic2023!$M$6)^(-B749),EXP(LN(INDEX(Dic2023!$N$6:$N$205,C749))+(LN(INDEX(Dic2023!$N$6:$N$205,MIN(C749+1,200)))-LN(INDEX(Dic2023!$N$6:$N$205,C749)))*(A749-6*C749)/6))</f>
        <v>0.0436039496678833</v>
      </c>
      <c r="K749" s="12" t="n">
        <f aca="false">J749^(-1/B749)-1</f>
        <v>0.0517528025</v>
      </c>
      <c r="L749" s="12" t="n">
        <f aca="false">(1+K749)^(1/12)-1</f>
        <v>0.00421369509431369</v>
      </c>
    </row>
    <row r="750" customFormat="false" ht="15" hidden="false" customHeight="false" outlineLevel="0" collapsed="false">
      <c r="A750" s="4" t="n">
        <v>746</v>
      </c>
      <c r="B750" s="14" t="n">
        <f aca="false">A750/12</f>
        <v>62.1666666666667</v>
      </c>
      <c r="C750" s="15" t="n">
        <f aca="false">INT(A750/6)</f>
        <v>124</v>
      </c>
      <c r="D750" s="16" t="n">
        <f aca="false">IF(C750=0,(1+Dic2023!$G$6)^(-B750),EXP(LN(INDEX(Dic2023!$H$6:$H$205,C750))+(LN(INDEX(Dic2023!$H$6:$H$205,MIN(C750+1,200)))-LN(INDEX(Dic2023!$H$6:$H$205,C750)))*(A750-6*C750)/6))</f>
        <v>0.0434209868685252</v>
      </c>
      <c r="E750" s="12" t="n">
        <f aca="false">D750^(-1/B750)-1</f>
        <v>0.0517528025</v>
      </c>
      <c r="F750" s="12" t="n">
        <f aca="false">(1+E750)^(1/12)-1</f>
        <v>0.00421369509431369</v>
      </c>
      <c r="G750" s="16" t="n">
        <f aca="false">IF(C750=0,(1+Dic2023!$J$6)^(-B750),EXP(LN(INDEX(Dic2023!$K$6:$K$205,C750))+(LN(INDEX(Dic2023!$K$6:$K$205,MIN(C750+1,200)))-LN(INDEX(Dic2023!$K$6:$K$205,C750)))*(A750-6*C750)/6))</f>
        <v>0.0434209868685252</v>
      </c>
      <c r="H750" s="12" t="n">
        <f aca="false">G750^(-1/B750)-1</f>
        <v>0.0517528025</v>
      </c>
      <c r="I750" s="12" t="n">
        <f aca="false">(1+H750)^(1/12)-1</f>
        <v>0.00421369509431369</v>
      </c>
      <c r="J750" s="16" t="n">
        <f aca="false">IF(C750=0,(1+Dic2023!$M$6)^(-B750),EXP(LN(INDEX(Dic2023!$N$6:$N$205,C750))+(LN(INDEX(Dic2023!$N$6:$N$205,MIN(C750+1,200)))-LN(INDEX(Dic2023!$N$6:$N$205,C750)))*(A750-6*C750)/6))</f>
        <v>0.0434209868685252</v>
      </c>
      <c r="K750" s="12" t="n">
        <f aca="false">J750^(-1/B750)-1</f>
        <v>0.0517528025</v>
      </c>
      <c r="L750" s="12" t="n">
        <f aca="false">(1+K750)^(1/12)-1</f>
        <v>0.00421369509431369</v>
      </c>
    </row>
    <row r="751" customFormat="false" ht="15" hidden="false" customHeight="false" outlineLevel="0" collapsed="false">
      <c r="A751" s="4" t="n">
        <v>747</v>
      </c>
      <c r="B751" s="14" t="n">
        <f aca="false">A751/12</f>
        <v>62.25</v>
      </c>
      <c r="C751" s="15" t="n">
        <f aca="false">INT(A751/6)</f>
        <v>124</v>
      </c>
      <c r="D751" s="16" t="n">
        <f aca="false">IF(C751=0,(1+Dic2023!$G$6)^(-B751),EXP(LN(INDEX(Dic2023!$H$6:$H$205,C751))+(LN(INDEX(Dic2023!$H$6:$H$205,MIN(C751+1,200)))-LN(INDEX(Dic2023!$H$6:$H$205,C751)))*(A751-6*C751)/6))</f>
        <v>0.0432387917837021</v>
      </c>
      <c r="E751" s="12" t="n">
        <f aca="false">D751^(-1/B751)-1</f>
        <v>0.0517528025</v>
      </c>
      <c r="F751" s="12" t="n">
        <f aca="false">(1+E751)^(1/12)-1</f>
        <v>0.00421369509431369</v>
      </c>
      <c r="G751" s="16" t="n">
        <f aca="false">IF(C751=0,(1+Dic2023!$J$6)^(-B751),EXP(LN(INDEX(Dic2023!$K$6:$K$205,C751))+(LN(INDEX(Dic2023!$K$6:$K$205,MIN(C751+1,200)))-LN(INDEX(Dic2023!$K$6:$K$205,C751)))*(A751-6*C751)/6))</f>
        <v>0.0432387917837021</v>
      </c>
      <c r="H751" s="12" t="n">
        <f aca="false">G751^(-1/B751)-1</f>
        <v>0.0517528025</v>
      </c>
      <c r="I751" s="12" t="n">
        <f aca="false">(1+H751)^(1/12)-1</f>
        <v>0.00421369509431369</v>
      </c>
      <c r="J751" s="16" t="n">
        <f aca="false">IF(C751=0,(1+Dic2023!$M$6)^(-B751),EXP(LN(INDEX(Dic2023!$N$6:$N$205,C751))+(LN(INDEX(Dic2023!$N$6:$N$205,MIN(C751+1,200)))-LN(INDEX(Dic2023!$N$6:$N$205,C751)))*(A751-6*C751)/6))</f>
        <v>0.0432387917837021</v>
      </c>
      <c r="K751" s="12" t="n">
        <f aca="false">J751^(-1/B751)-1</f>
        <v>0.0517528025</v>
      </c>
      <c r="L751" s="12" t="n">
        <f aca="false">(1+K751)^(1/12)-1</f>
        <v>0.00421369509431369</v>
      </c>
    </row>
    <row r="752" customFormat="false" ht="15" hidden="false" customHeight="false" outlineLevel="0" collapsed="false">
      <c r="A752" s="4" t="n">
        <v>748</v>
      </c>
      <c r="B752" s="14" t="n">
        <f aca="false">A752/12</f>
        <v>62.3333333333333</v>
      </c>
      <c r="C752" s="15" t="n">
        <f aca="false">INT(A752/6)</f>
        <v>124</v>
      </c>
      <c r="D752" s="16" t="n">
        <f aca="false">IF(C752=0,(1+Dic2023!$G$6)^(-B752),EXP(LN(INDEX(Dic2023!$H$6:$H$205,C752))+(LN(INDEX(Dic2023!$H$6:$H$205,MIN(C752+1,200)))-LN(INDEX(Dic2023!$H$6:$H$205,C752)))*(A752-6*C752)/6))</f>
        <v>0.043057361192073</v>
      </c>
      <c r="E752" s="12" t="n">
        <f aca="false">D752^(-1/B752)-1</f>
        <v>0.0517528025</v>
      </c>
      <c r="F752" s="12" t="n">
        <f aca="false">(1+E752)^(1/12)-1</f>
        <v>0.00421369509431369</v>
      </c>
      <c r="G752" s="16" t="n">
        <f aca="false">IF(C752=0,(1+Dic2023!$J$6)^(-B752),EXP(LN(INDEX(Dic2023!$K$6:$K$205,C752))+(LN(INDEX(Dic2023!$K$6:$K$205,MIN(C752+1,200)))-LN(INDEX(Dic2023!$K$6:$K$205,C752)))*(A752-6*C752)/6))</f>
        <v>0.043057361192073</v>
      </c>
      <c r="H752" s="12" t="n">
        <f aca="false">G752^(-1/B752)-1</f>
        <v>0.0517528025</v>
      </c>
      <c r="I752" s="12" t="n">
        <f aca="false">(1+H752)^(1/12)-1</f>
        <v>0.00421369509431369</v>
      </c>
      <c r="J752" s="16" t="n">
        <f aca="false">IF(C752=0,(1+Dic2023!$M$6)^(-B752),EXP(LN(INDEX(Dic2023!$N$6:$N$205,C752))+(LN(INDEX(Dic2023!$N$6:$N$205,MIN(C752+1,200)))-LN(INDEX(Dic2023!$N$6:$N$205,C752)))*(A752-6*C752)/6))</f>
        <v>0.043057361192073</v>
      </c>
      <c r="K752" s="12" t="n">
        <f aca="false">J752^(-1/B752)-1</f>
        <v>0.0517528025</v>
      </c>
      <c r="L752" s="12" t="n">
        <f aca="false">(1+K752)^(1/12)-1</f>
        <v>0.00421369509431369</v>
      </c>
    </row>
    <row r="753" customFormat="false" ht="15" hidden="false" customHeight="false" outlineLevel="0" collapsed="false">
      <c r="A753" s="4" t="n">
        <v>749</v>
      </c>
      <c r="B753" s="14" t="n">
        <f aca="false">A753/12</f>
        <v>62.4166666666667</v>
      </c>
      <c r="C753" s="15" t="n">
        <f aca="false">INT(A753/6)</f>
        <v>124</v>
      </c>
      <c r="D753" s="16" t="n">
        <f aca="false">IF(C753=0,(1+Dic2023!$G$6)^(-B753),EXP(LN(INDEX(Dic2023!$H$6:$H$205,C753))+(LN(INDEX(Dic2023!$H$6:$H$205,MIN(C753+1,200)))-LN(INDEX(Dic2023!$H$6:$H$205,C753)))*(A753-6*C753)/6))</f>
        <v>0.0428766918858133</v>
      </c>
      <c r="E753" s="12" t="n">
        <f aca="false">D753^(-1/B753)-1</f>
        <v>0.0517528025</v>
      </c>
      <c r="F753" s="12" t="n">
        <f aca="false">(1+E753)^(1/12)-1</f>
        <v>0.00421369509431369</v>
      </c>
      <c r="G753" s="16" t="n">
        <f aca="false">IF(C753=0,(1+Dic2023!$J$6)^(-B753),EXP(LN(INDEX(Dic2023!$K$6:$K$205,C753))+(LN(INDEX(Dic2023!$K$6:$K$205,MIN(C753+1,200)))-LN(INDEX(Dic2023!$K$6:$K$205,C753)))*(A753-6*C753)/6))</f>
        <v>0.0428766918858133</v>
      </c>
      <c r="H753" s="12" t="n">
        <f aca="false">G753^(-1/B753)-1</f>
        <v>0.0517528025</v>
      </c>
      <c r="I753" s="12" t="n">
        <f aca="false">(1+H753)^(1/12)-1</f>
        <v>0.00421369509431369</v>
      </c>
      <c r="J753" s="16" t="n">
        <f aca="false">IF(C753=0,(1+Dic2023!$M$6)^(-B753),EXP(LN(INDEX(Dic2023!$N$6:$N$205,C753))+(LN(INDEX(Dic2023!$N$6:$N$205,MIN(C753+1,200)))-LN(INDEX(Dic2023!$N$6:$N$205,C753)))*(A753-6*C753)/6))</f>
        <v>0.0428766918858133</v>
      </c>
      <c r="K753" s="12" t="n">
        <f aca="false">J753^(-1/B753)-1</f>
        <v>0.0517528025</v>
      </c>
      <c r="L753" s="12" t="n">
        <f aca="false">(1+K753)^(1/12)-1</f>
        <v>0.00421369509431369</v>
      </c>
    </row>
    <row r="754" customFormat="false" ht="15" hidden="false" customHeight="false" outlineLevel="0" collapsed="false">
      <c r="A754" s="4" t="n">
        <v>750</v>
      </c>
      <c r="B754" s="14" t="n">
        <f aca="false">A754/12</f>
        <v>62.5</v>
      </c>
      <c r="C754" s="15" t="n">
        <f aca="false">INT(A754/6)</f>
        <v>125</v>
      </c>
      <c r="D754" s="16" t="n">
        <f aca="false">IF(C754=0,(1+Dic2023!$G$6)^(-B754),EXP(LN(INDEX(Dic2023!$H$6:$H$205,C754))+(LN(INDEX(Dic2023!$H$6:$H$205,MIN(C754+1,200)))-LN(INDEX(Dic2023!$H$6:$H$205,C754)))*(A754-6*C754)/6))</f>
        <v>0.0426967806705588</v>
      </c>
      <c r="E754" s="12" t="n">
        <f aca="false">D754^(-1/B754)-1</f>
        <v>0.0517528025</v>
      </c>
      <c r="F754" s="12" t="n">
        <f aca="false">(1+E754)^(1/12)-1</f>
        <v>0.00421369509431369</v>
      </c>
      <c r="G754" s="16" t="n">
        <f aca="false">IF(C754=0,(1+Dic2023!$J$6)^(-B754),EXP(LN(INDEX(Dic2023!$K$6:$K$205,C754))+(LN(INDEX(Dic2023!$K$6:$K$205,MIN(C754+1,200)))-LN(INDEX(Dic2023!$K$6:$K$205,C754)))*(A754-6*C754)/6))</f>
        <v>0.0426967806705588</v>
      </c>
      <c r="H754" s="12" t="n">
        <f aca="false">G754^(-1/B754)-1</f>
        <v>0.0517528025</v>
      </c>
      <c r="I754" s="12" t="n">
        <f aca="false">(1+H754)^(1/12)-1</f>
        <v>0.00421369509431369</v>
      </c>
      <c r="J754" s="16" t="n">
        <f aca="false">IF(C754=0,(1+Dic2023!$M$6)^(-B754),EXP(LN(INDEX(Dic2023!$N$6:$N$205,C754))+(LN(INDEX(Dic2023!$N$6:$N$205,MIN(C754+1,200)))-LN(INDEX(Dic2023!$N$6:$N$205,C754)))*(A754-6*C754)/6))</f>
        <v>0.0426967806705588</v>
      </c>
      <c r="K754" s="12" t="n">
        <f aca="false">J754^(-1/B754)-1</f>
        <v>0.0517528025</v>
      </c>
      <c r="L754" s="12" t="n">
        <f aca="false">(1+K754)^(1/12)-1</f>
        <v>0.00421369509431369</v>
      </c>
    </row>
    <row r="755" customFormat="false" ht="15" hidden="false" customHeight="false" outlineLevel="0" collapsed="false">
      <c r="A755" s="4" t="n">
        <v>751</v>
      </c>
      <c r="B755" s="14" t="n">
        <f aca="false">A755/12</f>
        <v>62.5833333333333</v>
      </c>
      <c r="C755" s="15" t="n">
        <f aca="false">INT(A755/6)</f>
        <v>125</v>
      </c>
      <c r="D755" s="16" t="n">
        <f aca="false">IF(C755=0,(1+Dic2023!$G$6)^(-B755),EXP(LN(INDEX(Dic2023!$H$6:$H$205,C755))+(LN(INDEX(Dic2023!$H$6:$H$205,MIN(C755+1,200)))-LN(INDEX(Dic2023!$H$6:$H$205,C755)))*(A755-6*C755)/6))</f>
        <v>0.0425176243653487</v>
      </c>
      <c r="E755" s="12" t="n">
        <f aca="false">D755^(-1/B755)-1</f>
        <v>0.0517528025</v>
      </c>
      <c r="F755" s="12" t="n">
        <f aca="false">(1+E755)^(1/12)-1</f>
        <v>0.00421369509431369</v>
      </c>
      <c r="G755" s="16" t="n">
        <f aca="false">IF(C755=0,(1+Dic2023!$J$6)^(-B755),EXP(LN(INDEX(Dic2023!$K$6:$K$205,C755))+(LN(INDEX(Dic2023!$K$6:$K$205,MIN(C755+1,200)))-LN(INDEX(Dic2023!$K$6:$K$205,C755)))*(A755-6*C755)/6))</f>
        <v>0.0425176243653487</v>
      </c>
      <c r="H755" s="12" t="n">
        <f aca="false">G755^(-1/B755)-1</f>
        <v>0.0517528025</v>
      </c>
      <c r="I755" s="12" t="n">
        <f aca="false">(1+H755)^(1/12)-1</f>
        <v>0.00421369509431369</v>
      </c>
      <c r="J755" s="16" t="n">
        <f aca="false">IF(C755=0,(1+Dic2023!$M$6)^(-B755),EXP(LN(INDEX(Dic2023!$N$6:$N$205,C755))+(LN(INDEX(Dic2023!$N$6:$N$205,MIN(C755+1,200)))-LN(INDEX(Dic2023!$N$6:$N$205,C755)))*(A755-6*C755)/6))</f>
        <v>0.0425176243653487</v>
      </c>
      <c r="K755" s="12" t="n">
        <f aca="false">J755^(-1/B755)-1</f>
        <v>0.0517528025</v>
      </c>
      <c r="L755" s="12" t="n">
        <f aca="false">(1+K755)^(1/12)-1</f>
        <v>0.00421369509431369</v>
      </c>
    </row>
    <row r="756" customFormat="false" ht="15" hidden="false" customHeight="false" outlineLevel="0" collapsed="false">
      <c r="A756" s="4" t="n">
        <v>752</v>
      </c>
      <c r="B756" s="14" t="n">
        <f aca="false">A756/12</f>
        <v>62.6666666666667</v>
      </c>
      <c r="C756" s="15" t="n">
        <f aca="false">INT(A756/6)</f>
        <v>125</v>
      </c>
      <c r="D756" s="16" t="n">
        <f aca="false">IF(C756=0,(1+Dic2023!$G$6)^(-B756),EXP(LN(INDEX(Dic2023!$H$6:$H$205,C756))+(LN(INDEX(Dic2023!$H$6:$H$205,MIN(C756+1,200)))-LN(INDEX(Dic2023!$H$6:$H$205,C756)))*(A756-6*C756)/6))</f>
        <v>0.0423392198025695</v>
      </c>
      <c r="E756" s="12" t="n">
        <f aca="false">D756^(-1/B756)-1</f>
        <v>0.0517528025</v>
      </c>
      <c r="F756" s="12" t="n">
        <f aca="false">(1+E756)^(1/12)-1</f>
        <v>0.00421369509431369</v>
      </c>
      <c r="G756" s="16" t="n">
        <f aca="false">IF(C756=0,(1+Dic2023!$J$6)^(-B756),EXP(LN(INDEX(Dic2023!$K$6:$K$205,C756))+(LN(INDEX(Dic2023!$K$6:$K$205,MIN(C756+1,200)))-LN(INDEX(Dic2023!$K$6:$K$205,C756)))*(A756-6*C756)/6))</f>
        <v>0.0423392198025695</v>
      </c>
      <c r="H756" s="12" t="n">
        <f aca="false">G756^(-1/B756)-1</f>
        <v>0.0517528025</v>
      </c>
      <c r="I756" s="12" t="n">
        <f aca="false">(1+H756)^(1/12)-1</f>
        <v>0.00421369509431369</v>
      </c>
      <c r="J756" s="16" t="n">
        <f aca="false">IF(C756=0,(1+Dic2023!$M$6)^(-B756),EXP(LN(INDEX(Dic2023!$N$6:$N$205,C756))+(LN(INDEX(Dic2023!$N$6:$N$205,MIN(C756+1,200)))-LN(INDEX(Dic2023!$N$6:$N$205,C756)))*(A756-6*C756)/6))</f>
        <v>0.0423392198025695</v>
      </c>
      <c r="K756" s="12" t="n">
        <f aca="false">J756^(-1/B756)-1</f>
        <v>0.0517528025</v>
      </c>
      <c r="L756" s="12" t="n">
        <f aca="false">(1+K756)^(1/12)-1</f>
        <v>0.00421369509431369</v>
      </c>
    </row>
    <row r="757" customFormat="false" ht="15" hidden="false" customHeight="false" outlineLevel="0" collapsed="false">
      <c r="A757" s="4" t="n">
        <v>753</v>
      </c>
      <c r="B757" s="14" t="n">
        <f aca="false">A757/12</f>
        <v>62.75</v>
      </c>
      <c r="C757" s="15" t="n">
        <f aca="false">INT(A757/6)</f>
        <v>125</v>
      </c>
      <c r="D757" s="16" t="n">
        <f aca="false">IF(C757=0,(1+Dic2023!$G$6)^(-B757),EXP(LN(INDEX(Dic2023!$H$6:$H$205,C757))+(LN(INDEX(Dic2023!$H$6:$H$205,MIN(C757+1,200)))-LN(INDEX(Dic2023!$H$6:$H$205,C757)))*(A757-6*C757)/6))</f>
        <v>0.0421615638278993</v>
      </c>
      <c r="E757" s="12" t="n">
        <f aca="false">D757^(-1/B757)-1</f>
        <v>0.0517528025</v>
      </c>
      <c r="F757" s="12" t="n">
        <f aca="false">(1+E757)^(1/12)-1</f>
        <v>0.00421369509431369</v>
      </c>
      <c r="G757" s="16" t="n">
        <f aca="false">IF(C757=0,(1+Dic2023!$J$6)^(-B757),EXP(LN(INDEX(Dic2023!$K$6:$K$205,C757))+(LN(INDEX(Dic2023!$K$6:$K$205,MIN(C757+1,200)))-LN(INDEX(Dic2023!$K$6:$K$205,C757)))*(A757-6*C757)/6))</f>
        <v>0.0421615638278993</v>
      </c>
      <c r="H757" s="12" t="n">
        <f aca="false">G757^(-1/B757)-1</f>
        <v>0.0517528025</v>
      </c>
      <c r="I757" s="12" t="n">
        <f aca="false">(1+H757)^(1/12)-1</f>
        <v>0.00421369509431369</v>
      </c>
      <c r="J757" s="16" t="n">
        <f aca="false">IF(C757=0,(1+Dic2023!$M$6)^(-B757),EXP(LN(INDEX(Dic2023!$N$6:$N$205,C757))+(LN(INDEX(Dic2023!$N$6:$N$205,MIN(C757+1,200)))-LN(INDEX(Dic2023!$N$6:$N$205,C757)))*(A757-6*C757)/6))</f>
        <v>0.0421615638278993</v>
      </c>
      <c r="K757" s="12" t="n">
        <f aca="false">J757^(-1/B757)-1</f>
        <v>0.0517528025</v>
      </c>
      <c r="L757" s="12" t="n">
        <f aca="false">(1+K757)^(1/12)-1</f>
        <v>0.00421369509431369</v>
      </c>
    </row>
    <row r="758" customFormat="false" ht="15" hidden="false" customHeight="false" outlineLevel="0" collapsed="false">
      <c r="A758" s="4" t="n">
        <v>754</v>
      </c>
      <c r="B758" s="14" t="n">
        <f aca="false">A758/12</f>
        <v>62.8333333333333</v>
      </c>
      <c r="C758" s="15" t="n">
        <f aca="false">INT(A758/6)</f>
        <v>125</v>
      </c>
      <c r="D758" s="16" t="n">
        <f aca="false">IF(C758=0,(1+Dic2023!$G$6)^(-B758),EXP(LN(INDEX(Dic2023!$H$6:$H$205,C758))+(LN(INDEX(Dic2023!$H$6:$H$205,MIN(C758+1,200)))-LN(INDEX(Dic2023!$H$6:$H$205,C758)))*(A758-6*C758)/6))</f>
        <v>0.0419846533002515</v>
      </c>
      <c r="E758" s="12" t="n">
        <f aca="false">D758^(-1/B758)-1</f>
        <v>0.0517528025</v>
      </c>
      <c r="F758" s="12" t="n">
        <f aca="false">(1+E758)^(1/12)-1</f>
        <v>0.00421369509431369</v>
      </c>
      <c r="G758" s="16" t="n">
        <f aca="false">IF(C758=0,(1+Dic2023!$J$6)^(-B758),EXP(LN(INDEX(Dic2023!$K$6:$K$205,C758))+(LN(INDEX(Dic2023!$K$6:$K$205,MIN(C758+1,200)))-LN(INDEX(Dic2023!$K$6:$K$205,C758)))*(A758-6*C758)/6))</f>
        <v>0.0419846533002515</v>
      </c>
      <c r="H758" s="12" t="n">
        <f aca="false">G758^(-1/B758)-1</f>
        <v>0.0517528025</v>
      </c>
      <c r="I758" s="12" t="n">
        <f aca="false">(1+H758)^(1/12)-1</f>
        <v>0.00421369509431369</v>
      </c>
      <c r="J758" s="16" t="n">
        <f aca="false">IF(C758=0,(1+Dic2023!$M$6)^(-B758),EXP(LN(INDEX(Dic2023!$N$6:$N$205,C758))+(LN(INDEX(Dic2023!$N$6:$N$205,MIN(C758+1,200)))-LN(INDEX(Dic2023!$N$6:$N$205,C758)))*(A758-6*C758)/6))</f>
        <v>0.0419846533002515</v>
      </c>
      <c r="K758" s="12" t="n">
        <f aca="false">J758^(-1/B758)-1</f>
        <v>0.0517528025</v>
      </c>
      <c r="L758" s="12" t="n">
        <f aca="false">(1+K758)^(1/12)-1</f>
        <v>0.00421369509431369</v>
      </c>
    </row>
    <row r="759" customFormat="false" ht="15" hidden="false" customHeight="false" outlineLevel="0" collapsed="false">
      <c r="A759" s="4" t="n">
        <v>755</v>
      </c>
      <c r="B759" s="14" t="n">
        <f aca="false">A759/12</f>
        <v>62.9166666666667</v>
      </c>
      <c r="C759" s="15" t="n">
        <f aca="false">INT(A759/6)</f>
        <v>125</v>
      </c>
      <c r="D759" s="16" t="n">
        <f aca="false">IF(C759=0,(1+Dic2023!$G$6)^(-B759),EXP(LN(INDEX(Dic2023!$H$6:$H$205,C759))+(LN(INDEX(Dic2023!$H$6:$H$205,MIN(C759+1,200)))-LN(INDEX(Dic2023!$H$6:$H$205,C759)))*(A759-6*C759)/6))</f>
        <v>0.0418084850917199</v>
      </c>
      <c r="E759" s="12" t="n">
        <f aca="false">D759^(-1/B759)-1</f>
        <v>0.0517528025</v>
      </c>
      <c r="F759" s="12" t="n">
        <f aca="false">(1+E759)^(1/12)-1</f>
        <v>0.00421369509431369</v>
      </c>
      <c r="G759" s="16" t="n">
        <f aca="false">IF(C759=0,(1+Dic2023!$J$6)^(-B759),EXP(LN(INDEX(Dic2023!$K$6:$K$205,C759))+(LN(INDEX(Dic2023!$K$6:$K$205,MIN(C759+1,200)))-LN(INDEX(Dic2023!$K$6:$K$205,C759)))*(A759-6*C759)/6))</f>
        <v>0.0418084850917199</v>
      </c>
      <c r="H759" s="12" t="n">
        <f aca="false">G759^(-1/B759)-1</f>
        <v>0.0517528025</v>
      </c>
      <c r="I759" s="12" t="n">
        <f aca="false">(1+H759)^(1/12)-1</f>
        <v>0.00421369509431369</v>
      </c>
      <c r="J759" s="16" t="n">
        <f aca="false">IF(C759=0,(1+Dic2023!$M$6)^(-B759),EXP(LN(INDEX(Dic2023!$N$6:$N$205,C759))+(LN(INDEX(Dic2023!$N$6:$N$205,MIN(C759+1,200)))-LN(INDEX(Dic2023!$N$6:$N$205,C759)))*(A759-6*C759)/6))</f>
        <v>0.0418084850917199</v>
      </c>
      <c r="K759" s="12" t="n">
        <f aca="false">J759^(-1/B759)-1</f>
        <v>0.0517528025</v>
      </c>
      <c r="L759" s="12" t="n">
        <f aca="false">(1+K759)^(1/12)-1</f>
        <v>0.00421369509431369</v>
      </c>
    </row>
    <row r="760" customFormat="false" ht="15" hidden="false" customHeight="false" outlineLevel="0" collapsed="false">
      <c r="A760" s="4" t="n">
        <v>756</v>
      </c>
      <c r="B760" s="14" t="n">
        <f aca="false">A760/12</f>
        <v>63</v>
      </c>
      <c r="C760" s="15" t="n">
        <f aca="false">INT(A760/6)</f>
        <v>126</v>
      </c>
      <c r="D760" s="16" t="n">
        <f aca="false">IF(C760=0,(1+Dic2023!$G$6)^(-B760),EXP(LN(INDEX(Dic2023!$H$6:$H$205,C760))+(LN(INDEX(Dic2023!$H$6:$H$205,MIN(C760+1,200)))-LN(INDEX(Dic2023!$H$6:$H$205,C760)))*(A760-6*C760)/6))</f>
        <v>0.0416330560875226</v>
      </c>
      <c r="E760" s="12" t="n">
        <f aca="false">D760^(-1/B760)-1</f>
        <v>0.0517528025</v>
      </c>
      <c r="F760" s="12" t="n">
        <f aca="false">(1+E760)^(1/12)-1</f>
        <v>0.00421369509431369</v>
      </c>
      <c r="G760" s="16" t="n">
        <f aca="false">IF(C760=0,(1+Dic2023!$J$6)^(-B760),EXP(LN(INDEX(Dic2023!$K$6:$K$205,C760))+(LN(INDEX(Dic2023!$K$6:$K$205,MIN(C760+1,200)))-LN(INDEX(Dic2023!$K$6:$K$205,C760)))*(A760-6*C760)/6))</f>
        <v>0.0416330560875226</v>
      </c>
      <c r="H760" s="12" t="n">
        <f aca="false">G760^(-1/B760)-1</f>
        <v>0.0517528025</v>
      </c>
      <c r="I760" s="12" t="n">
        <f aca="false">(1+H760)^(1/12)-1</f>
        <v>0.00421369509431369</v>
      </c>
      <c r="J760" s="16" t="n">
        <f aca="false">IF(C760=0,(1+Dic2023!$M$6)^(-B760),EXP(LN(INDEX(Dic2023!$N$6:$N$205,C760))+(LN(INDEX(Dic2023!$N$6:$N$205,MIN(C760+1,200)))-LN(INDEX(Dic2023!$N$6:$N$205,C760)))*(A760-6*C760)/6))</f>
        <v>0.0416330560875226</v>
      </c>
      <c r="K760" s="12" t="n">
        <f aca="false">J760^(-1/B760)-1</f>
        <v>0.0517528025</v>
      </c>
      <c r="L760" s="12" t="n">
        <f aca="false">(1+K760)^(1/12)-1</f>
        <v>0.00421369509431369</v>
      </c>
    </row>
    <row r="761" customFormat="false" ht="15" hidden="false" customHeight="false" outlineLevel="0" collapsed="false">
      <c r="A761" s="4" t="n">
        <v>757</v>
      </c>
      <c r="B761" s="14" t="n">
        <f aca="false">A761/12</f>
        <v>63.0833333333333</v>
      </c>
      <c r="C761" s="15" t="n">
        <f aca="false">INT(A761/6)</f>
        <v>126</v>
      </c>
      <c r="D761" s="16" t="n">
        <f aca="false">IF(C761=0,(1+Dic2023!$G$6)^(-B761),EXP(LN(INDEX(Dic2023!$H$6:$H$205,C761))+(LN(INDEX(Dic2023!$H$6:$H$205,MIN(C761+1,200)))-LN(INDEX(Dic2023!$H$6:$H$205,C761)))*(A761-6*C761)/6))</f>
        <v>0.0414583631859477</v>
      </c>
      <c r="E761" s="12" t="n">
        <f aca="false">D761^(-1/B761)-1</f>
        <v>0.0517528025</v>
      </c>
      <c r="F761" s="12" t="n">
        <f aca="false">(1+E761)^(1/12)-1</f>
        <v>0.00421369509431369</v>
      </c>
      <c r="G761" s="16" t="n">
        <f aca="false">IF(C761=0,(1+Dic2023!$J$6)^(-B761),EXP(LN(INDEX(Dic2023!$K$6:$K$205,C761))+(LN(INDEX(Dic2023!$K$6:$K$205,MIN(C761+1,200)))-LN(INDEX(Dic2023!$K$6:$K$205,C761)))*(A761-6*C761)/6))</f>
        <v>0.0414583631859477</v>
      </c>
      <c r="H761" s="12" t="n">
        <f aca="false">G761^(-1/B761)-1</f>
        <v>0.0517528025</v>
      </c>
      <c r="I761" s="12" t="n">
        <f aca="false">(1+H761)^(1/12)-1</f>
        <v>0.00421369509431369</v>
      </c>
      <c r="J761" s="16" t="n">
        <f aca="false">IF(C761=0,(1+Dic2023!$M$6)^(-B761),EXP(LN(INDEX(Dic2023!$N$6:$N$205,C761))+(LN(INDEX(Dic2023!$N$6:$N$205,MIN(C761+1,200)))-LN(INDEX(Dic2023!$N$6:$N$205,C761)))*(A761-6*C761)/6))</f>
        <v>0.0414583631859477</v>
      </c>
      <c r="K761" s="12" t="n">
        <f aca="false">J761^(-1/B761)-1</f>
        <v>0.0517528025</v>
      </c>
      <c r="L761" s="12" t="n">
        <f aca="false">(1+K761)^(1/12)-1</f>
        <v>0.00421369509431369</v>
      </c>
    </row>
    <row r="762" customFormat="false" ht="15" hidden="false" customHeight="false" outlineLevel="0" collapsed="false">
      <c r="A762" s="4" t="n">
        <v>758</v>
      </c>
      <c r="B762" s="14" t="n">
        <f aca="false">A762/12</f>
        <v>63.1666666666667</v>
      </c>
      <c r="C762" s="15" t="n">
        <f aca="false">INT(A762/6)</f>
        <v>126</v>
      </c>
      <c r="D762" s="16" t="n">
        <f aca="false">IF(C762=0,(1+Dic2023!$G$6)^(-B762),EXP(LN(INDEX(Dic2023!$H$6:$H$205,C762))+(LN(INDEX(Dic2023!$H$6:$H$205,MIN(C762+1,200)))-LN(INDEX(Dic2023!$H$6:$H$205,C762)))*(A762-6*C762)/6))</f>
        <v>0.041284403298298</v>
      </c>
      <c r="E762" s="12" t="n">
        <f aca="false">D762^(-1/B762)-1</f>
        <v>0.0517528025</v>
      </c>
      <c r="F762" s="12" t="n">
        <f aca="false">(1+E762)^(1/12)-1</f>
        <v>0.00421369509431369</v>
      </c>
      <c r="G762" s="16" t="n">
        <f aca="false">IF(C762=0,(1+Dic2023!$J$6)^(-B762),EXP(LN(INDEX(Dic2023!$K$6:$K$205,C762))+(LN(INDEX(Dic2023!$K$6:$K$205,MIN(C762+1,200)))-LN(INDEX(Dic2023!$K$6:$K$205,C762)))*(A762-6*C762)/6))</f>
        <v>0.041284403298298</v>
      </c>
      <c r="H762" s="12" t="n">
        <f aca="false">G762^(-1/B762)-1</f>
        <v>0.0517528025</v>
      </c>
      <c r="I762" s="12" t="n">
        <f aca="false">(1+H762)^(1/12)-1</f>
        <v>0.00421369509431369</v>
      </c>
      <c r="J762" s="16" t="n">
        <f aca="false">IF(C762=0,(1+Dic2023!$M$6)^(-B762),EXP(LN(INDEX(Dic2023!$N$6:$N$205,C762))+(LN(INDEX(Dic2023!$N$6:$N$205,MIN(C762+1,200)))-LN(INDEX(Dic2023!$N$6:$N$205,C762)))*(A762-6*C762)/6))</f>
        <v>0.041284403298298</v>
      </c>
      <c r="K762" s="12" t="n">
        <f aca="false">J762^(-1/B762)-1</f>
        <v>0.0517528025</v>
      </c>
      <c r="L762" s="12" t="n">
        <f aca="false">(1+K762)^(1/12)-1</f>
        <v>0.00421369509431369</v>
      </c>
    </row>
    <row r="763" customFormat="false" ht="15" hidden="false" customHeight="false" outlineLevel="0" collapsed="false">
      <c r="A763" s="4" t="n">
        <v>759</v>
      </c>
      <c r="B763" s="14" t="n">
        <f aca="false">A763/12</f>
        <v>63.25</v>
      </c>
      <c r="C763" s="15" t="n">
        <f aca="false">INT(A763/6)</f>
        <v>126</v>
      </c>
      <c r="D763" s="16" t="n">
        <f aca="false">IF(C763=0,(1+Dic2023!$G$6)^(-B763),EXP(LN(INDEX(Dic2023!$H$6:$H$205,C763))+(LN(INDEX(Dic2023!$H$6:$H$205,MIN(C763+1,200)))-LN(INDEX(Dic2023!$H$6:$H$205,C763)))*(A763-6*C763)/6))</f>
        <v>0.0411111733488365</v>
      </c>
      <c r="E763" s="12" t="n">
        <f aca="false">D763^(-1/B763)-1</f>
        <v>0.0517528025</v>
      </c>
      <c r="F763" s="12" t="n">
        <f aca="false">(1+E763)^(1/12)-1</f>
        <v>0.00421369509431369</v>
      </c>
      <c r="G763" s="16" t="n">
        <f aca="false">IF(C763=0,(1+Dic2023!$J$6)^(-B763),EXP(LN(INDEX(Dic2023!$K$6:$K$205,C763))+(LN(INDEX(Dic2023!$K$6:$K$205,MIN(C763+1,200)))-LN(INDEX(Dic2023!$K$6:$K$205,C763)))*(A763-6*C763)/6))</f>
        <v>0.0411111733488365</v>
      </c>
      <c r="H763" s="12" t="n">
        <f aca="false">G763^(-1/B763)-1</f>
        <v>0.0517528025</v>
      </c>
      <c r="I763" s="12" t="n">
        <f aca="false">(1+H763)^(1/12)-1</f>
        <v>0.00421369509431369</v>
      </c>
      <c r="J763" s="16" t="n">
        <f aca="false">IF(C763=0,(1+Dic2023!$M$6)^(-B763),EXP(LN(INDEX(Dic2023!$N$6:$N$205,C763))+(LN(INDEX(Dic2023!$N$6:$N$205,MIN(C763+1,200)))-LN(INDEX(Dic2023!$N$6:$N$205,C763)))*(A763-6*C763)/6))</f>
        <v>0.0411111733488365</v>
      </c>
      <c r="K763" s="12" t="n">
        <f aca="false">J763^(-1/B763)-1</f>
        <v>0.0517528025</v>
      </c>
      <c r="L763" s="12" t="n">
        <f aca="false">(1+K763)^(1/12)-1</f>
        <v>0.00421369509431369</v>
      </c>
    </row>
    <row r="764" customFormat="false" ht="15" hidden="false" customHeight="false" outlineLevel="0" collapsed="false">
      <c r="A764" s="4" t="n">
        <v>760</v>
      </c>
      <c r="B764" s="14" t="n">
        <f aca="false">A764/12</f>
        <v>63.3333333333333</v>
      </c>
      <c r="C764" s="15" t="n">
        <f aca="false">INT(A764/6)</f>
        <v>126</v>
      </c>
      <c r="D764" s="16" t="n">
        <f aca="false">IF(C764=0,(1+Dic2023!$G$6)^(-B764),EXP(LN(INDEX(Dic2023!$H$6:$H$205,C764))+(LN(INDEX(Dic2023!$H$6:$H$205,MIN(C764+1,200)))-LN(INDEX(Dic2023!$H$6:$H$205,C764)))*(A764-6*C764)/6))</f>
        <v>0.0409386702747321</v>
      </c>
      <c r="E764" s="12" t="n">
        <f aca="false">D764^(-1/B764)-1</f>
        <v>0.0517528025</v>
      </c>
      <c r="F764" s="12" t="n">
        <f aca="false">(1+E764)^(1/12)-1</f>
        <v>0.00421369509431369</v>
      </c>
      <c r="G764" s="16" t="n">
        <f aca="false">IF(C764=0,(1+Dic2023!$J$6)^(-B764),EXP(LN(INDEX(Dic2023!$K$6:$K$205,C764))+(LN(INDEX(Dic2023!$K$6:$K$205,MIN(C764+1,200)))-LN(INDEX(Dic2023!$K$6:$K$205,C764)))*(A764-6*C764)/6))</f>
        <v>0.0409386702747321</v>
      </c>
      <c r="H764" s="12" t="n">
        <f aca="false">G764^(-1/B764)-1</f>
        <v>0.0517528025</v>
      </c>
      <c r="I764" s="12" t="n">
        <f aca="false">(1+H764)^(1/12)-1</f>
        <v>0.00421369509431369</v>
      </c>
      <c r="J764" s="16" t="n">
        <f aca="false">IF(C764=0,(1+Dic2023!$M$6)^(-B764),EXP(LN(INDEX(Dic2023!$N$6:$N$205,C764))+(LN(INDEX(Dic2023!$N$6:$N$205,MIN(C764+1,200)))-LN(INDEX(Dic2023!$N$6:$N$205,C764)))*(A764-6*C764)/6))</f>
        <v>0.0409386702747321</v>
      </c>
      <c r="K764" s="12" t="n">
        <f aca="false">J764^(-1/B764)-1</f>
        <v>0.0517528025</v>
      </c>
      <c r="L764" s="12" t="n">
        <f aca="false">(1+K764)^(1/12)-1</f>
        <v>0.00421369509431369</v>
      </c>
    </row>
    <row r="765" customFormat="false" ht="15" hidden="false" customHeight="false" outlineLevel="0" collapsed="false">
      <c r="A765" s="4" t="n">
        <v>761</v>
      </c>
      <c r="B765" s="14" t="n">
        <f aca="false">A765/12</f>
        <v>63.4166666666667</v>
      </c>
      <c r="C765" s="15" t="n">
        <f aca="false">INT(A765/6)</f>
        <v>126</v>
      </c>
      <c r="D765" s="16" t="n">
        <f aca="false">IF(C765=0,(1+Dic2023!$G$6)^(-B765),EXP(LN(INDEX(Dic2023!$H$6:$H$205,C765))+(LN(INDEX(Dic2023!$H$6:$H$205,MIN(C765+1,200)))-LN(INDEX(Dic2023!$H$6:$H$205,C765)))*(A765-6*C765)/6))</f>
        <v>0.0407668910260054</v>
      </c>
      <c r="E765" s="12" t="n">
        <f aca="false">D765^(-1/B765)-1</f>
        <v>0.0517528025</v>
      </c>
      <c r="F765" s="12" t="n">
        <f aca="false">(1+E765)^(1/12)-1</f>
        <v>0.00421369509431369</v>
      </c>
      <c r="G765" s="16" t="n">
        <f aca="false">IF(C765=0,(1+Dic2023!$J$6)^(-B765),EXP(LN(INDEX(Dic2023!$K$6:$K$205,C765))+(LN(INDEX(Dic2023!$K$6:$K$205,MIN(C765+1,200)))-LN(INDEX(Dic2023!$K$6:$K$205,C765)))*(A765-6*C765)/6))</f>
        <v>0.0407668910260054</v>
      </c>
      <c r="H765" s="12" t="n">
        <f aca="false">G765^(-1/B765)-1</f>
        <v>0.0517528025</v>
      </c>
      <c r="I765" s="12" t="n">
        <f aca="false">(1+H765)^(1/12)-1</f>
        <v>0.00421369509431369</v>
      </c>
      <c r="J765" s="16" t="n">
        <f aca="false">IF(C765=0,(1+Dic2023!$M$6)^(-B765),EXP(LN(INDEX(Dic2023!$N$6:$N$205,C765))+(LN(INDEX(Dic2023!$N$6:$N$205,MIN(C765+1,200)))-LN(INDEX(Dic2023!$N$6:$N$205,C765)))*(A765-6*C765)/6))</f>
        <v>0.0407668910260054</v>
      </c>
      <c r="K765" s="12" t="n">
        <f aca="false">J765^(-1/B765)-1</f>
        <v>0.0517528025</v>
      </c>
      <c r="L765" s="12" t="n">
        <f aca="false">(1+K765)^(1/12)-1</f>
        <v>0.00421369509431369</v>
      </c>
    </row>
    <row r="766" customFormat="false" ht="15" hidden="false" customHeight="false" outlineLevel="0" collapsed="false">
      <c r="A766" s="4" t="n">
        <v>762</v>
      </c>
      <c r="B766" s="14" t="n">
        <f aca="false">A766/12</f>
        <v>63.5</v>
      </c>
      <c r="C766" s="15" t="n">
        <f aca="false">INT(A766/6)</f>
        <v>127</v>
      </c>
      <c r="D766" s="16" t="n">
        <f aca="false">IF(C766=0,(1+Dic2023!$G$6)^(-B766),EXP(LN(INDEX(Dic2023!$H$6:$H$205,C766))+(LN(INDEX(Dic2023!$H$6:$H$205,MIN(C766+1,200)))-LN(INDEX(Dic2023!$H$6:$H$205,C766)))*(A766-6*C766)/6))</f>
        <v>0.0405958325654747</v>
      </c>
      <c r="E766" s="12" t="n">
        <f aca="false">D766^(-1/B766)-1</f>
        <v>0.0517528025</v>
      </c>
      <c r="F766" s="12" t="n">
        <f aca="false">(1+E766)^(1/12)-1</f>
        <v>0.00421369509431369</v>
      </c>
      <c r="G766" s="16" t="n">
        <f aca="false">IF(C766=0,(1+Dic2023!$J$6)^(-B766),EXP(LN(INDEX(Dic2023!$K$6:$K$205,C766))+(LN(INDEX(Dic2023!$K$6:$K$205,MIN(C766+1,200)))-LN(INDEX(Dic2023!$K$6:$K$205,C766)))*(A766-6*C766)/6))</f>
        <v>0.0405958325654747</v>
      </c>
      <c r="H766" s="12" t="n">
        <f aca="false">G766^(-1/B766)-1</f>
        <v>0.0517528025</v>
      </c>
      <c r="I766" s="12" t="n">
        <f aca="false">(1+H766)^(1/12)-1</f>
        <v>0.00421369509431369</v>
      </c>
      <c r="J766" s="16" t="n">
        <f aca="false">IF(C766=0,(1+Dic2023!$M$6)^(-B766),EXP(LN(INDEX(Dic2023!$N$6:$N$205,C766))+(LN(INDEX(Dic2023!$N$6:$N$205,MIN(C766+1,200)))-LN(INDEX(Dic2023!$N$6:$N$205,C766)))*(A766-6*C766)/6))</f>
        <v>0.0405958325654747</v>
      </c>
      <c r="K766" s="12" t="n">
        <f aca="false">J766^(-1/B766)-1</f>
        <v>0.0517528025</v>
      </c>
      <c r="L766" s="12" t="n">
        <f aca="false">(1+K766)^(1/12)-1</f>
        <v>0.00421369509431369</v>
      </c>
    </row>
    <row r="767" customFormat="false" ht="15" hidden="false" customHeight="false" outlineLevel="0" collapsed="false">
      <c r="A767" s="4" t="n">
        <v>763</v>
      </c>
      <c r="B767" s="14" t="n">
        <f aca="false">A767/12</f>
        <v>63.5833333333333</v>
      </c>
      <c r="C767" s="15" t="n">
        <f aca="false">INT(A767/6)</f>
        <v>127</v>
      </c>
      <c r="D767" s="16" t="n">
        <f aca="false">IF(C767=0,(1+Dic2023!$G$6)^(-B767),EXP(LN(INDEX(Dic2023!$H$6:$H$205,C767))+(LN(INDEX(Dic2023!$H$6:$H$205,MIN(C767+1,200)))-LN(INDEX(Dic2023!$H$6:$H$205,C767)))*(A767-6*C767)/6))</f>
        <v>0.0404254918687023</v>
      </c>
      <c r="E767" s="12" t="n">
        <f aca="false">D767^(-1/B767)-1</f>
        <v>0.0517528025</v>
      </c>
      <c r="F767" s="12" t="n">
        <f aca="false">(1+E767)^(1/12)-1</f>
        <v>0.00421369509431369</v>
      </c>
      <c r="G767" s="16" t="n">
        <f aca="false">IF(C767=0,(1+Dic2023!$J$6)^(-B767),EXP(LN(INDEX(Dic2023!$K$6:$K$205,C767))+(LN(INDEX(Dic2023!$K$6:$K$205,MIN(C767+1,200)))-LN(INDEX(Dic2023!$K$6:$K$205,C767)))*(A767-6*C767)/6))</f>
        <v>0.0404254918687023</v>
      </c>
      <c r="H767" s="12" t="n">
        <f aca="false">G767^(-1/B767)-1</f>
        <v>0.0517528025</v>
      </c>
      <c r="I767" s="12" t="n">
        <f aca="false">(1+H767)^(1/12)-1</f>
        <v>0.00421369509431369</v>
      </c>
      <c r="J767" s="16" t="n">
        <f aca="false">IF(C767=0,(1+Dic2023!$M$6)^(-B767),EXP(LN(INDEX(Dic2023!$N$6:$N$205,C767))+(LN(INDEX(Dic2023!$N$6:$N$205,MIN(C767+1,200)))-LN(INDEX(Dic2023!$N$6:$N$205,C767)))*(A767-6*C767)/6))</f>
        <v>0.0404254918687023</v>
      </c>
      <c r="K767" s="12" t="n">
        <f aca="false">J767^(-1/B767)-1</f>
        <v>0.0517528025</v>
      </c>
      <c r="L767" s="12" t="n">
        <f aca="false">(1+K767)^(1/12)-1</f>
        <v>0.00421369509431369</v>
      </c>
    </row>
    <row r="768" customFormat="false" ht="15" hidden="false" customHeight="false" outlineLevel="0" collapsed="false">
      <c r="A768" s="4" t="n">
        <v>764</v>
      </c>
      <c r="B768" s="14" t="n">
        <f aca="false">A768/12</f>
        <v>63.6666666666667</v>
      </c>
      <c r="C768" s="15" t="n">
        <f aca="false">INT(A768/6)</f>
        <v>127</v>
      </c>
      <c r="D768" s="16" t="n">
        <f aca="false">IF(C768=0,(1+Dic2023!$G$6)^(-B768),EXP(LN(INDEX(Dic2023!$H$6:$H$205,C768))+(LN(INDEX(Dic2023!$H$6:$H$205,MIN(C768+1,200)))-LN(INDEX(Dic2023!$H$6:$H$205,C768)))*(A768-6*C768)/6))</f>
        <v>0.0402558659239413</v>
      </c>
      <c r="E768" s="12" t="n">
        <f aca="false">D768^(-1/B768)-1</f>
        <v>0.0517528025</v>
      </c>
      <c r="F768" s="12" t="n">
        <f aca="false">(1+E768)^(1/12)-1</f>
        <v>0.00421369509431369</v>
      </c>
      <c r="G768" s="16" t="n">
        <f aca="false">IF(C768=0,(1+Dic2023!$J$6)^(-B768),EXP(LN(INDEX(Dic2023!$K$6:$K$205,C768))+(LN(INDEX(Dic2023!$K$6:$K$205,MIN(C768+1,200)))-LN(INDEX(Dic2023!$K$6:$K$205,C768)))*(A768-6*C768)/6))</f>
        <v>0.0402558659239413</v>
      </c>
      <c r="H768" s="12" t="n">
        <f aca="false">G768^(-1/B768)-1</f>
        <v>0.0517528025</v>
      </c>
      <c r="I768" s="12" t="n">
        <f aca="false">(1+H768)^(1/12)-1</f>
        <v>0.00421369509431369</v>
      </c>
      <c r="J768" s="16" t="n">
        <f aca="false">IF(C768=0,(1+Dic2023!$M$6)^(-B768),EXP(LN(INDEX(Dic2023!$N$6:$N$205,C768))+(LN(INDEX(Dic2023!$N$6:$N$205,MIN(C768+1,200)))-LN(INDEX(Dic2023!$N$6:$N$205,C768)))*(A768-6*C768)/6))</f>
        <v>0.0402558659239413</v>
      </c>
      <c r="K768" s="12" t="n">
        <f aca="false">J768^(-1/B768)-1</f>
        <v>0.0517528025</v>
      </c>
      <c r="L768" s="12" t="n">
        <f aca="false">(1+K768)^(1/12)-1</f>
        <v>0.00421369509431369</v>
      </c>
    </row>
    <row r="769" customFormat="false" ht="15" hidden="false" customHeight="false" outlineLevel="0" collapsed="false">
      <c r="A769" s="4" t="n">
        <v>765</v>
      </c>
      <c r="B769" s="14" t="n">
        <f aca="false">A769/12</f>
        <v>63.75</v>
      </c>
      <c r="C769" s="15" t="n">
        <f aca="false">INT(A769/6)</f>
        <v>127</v>
      </c>
      <c r="D769" s="16" t="n">
        <f aca="false">IF(C769=0,(1+Dic2023!$G$6)^(-B769),EXP(LN(INDEX(Dic2023!$H$6:$H$205,C769))+(LN(INDEX(Dic2023!$H$6:$H$205,MIN(C769+1,200)))-LN(INDEX(Dic2023!$H$6:$H$205,C769)))*(A769-6*C769)/6))</f>
        <v>0.0400869517320818</v>
      </c>
      <c r="E769" s="12" t="n">
        <f aca="false">D769^(-1/B769)-1</f>
        <v>0.0517528025</v>
      </c>
      <c r="F769" s="12" t="n">
        <f aca="false">(1+E769)^(1/12)-1</f>
        <v>0.00421369509431369</v>
      </c>
      <c r="G769" s="16" t="n">
        <f aca="false">IF(C769=0,(1+Dic2023!$J$6)^(-B769),EXP(LN(INDEX(Dic2023!$K$6:$K$205,C769))+(LN(INDEX(Dic2023!$K$6:$K$205,MIN(C769+1,200)))-LN(INDEX(Dic2023!$K$6:$K$205,C769)))*(A769-6*C769)/6))</f>
        <v>0.0400869517320818</v>
      </c>
      <c r="H769" s="12" t="n">
        <f aca="false">G769^(-1/B769)-1</f>
        <v>0.0517528025</v>
      </c>
      <c r="I769" s="12" t="n">
        <f aca="false">(1+H769)^(1/12)-1</f>
        <v>0.00421369509431369</v>
      </c>
      <c r="J769" s="16" t="n">
        <f aca="false">IF(C769=0,(1+Dic2023!$M$6)^(-B769),EXP(LN(INDEX(Dic2023!$N$6:$N$205,C769))+(LN(INDEX(Dic2023!$N$6:$N$205,MIN(C769+1,200)))-LN(INDEX(Dic2023!$N$6:$N$205,C769)))*(A769-6*C769)/6))</f>
        <v>0.0400869517320818</v>
      </c>
      <c r="K769" s="12" t="n">
        <f aca="false">J769^(-1/B769)-1</f>
        <v>0.0517528025</v>
      </c>
      <c r="L769" s="12" t="n">
        <f aca="false">(1+K769)^(1/12)-1</f>
        <v>0.00421369509431369</v>
      </c>
    </row>
    <row r="770" customFormat="false" ht="15" hidden="false" customHeight="false" outlineLevel="0" collapsed="false">
      <c r="A770" s="4" t="n">
        <v>766</v>
      </c>
      <c r="B770" s="14" t="n">
        <f aca="false">A770/12</f>
        <v>63.8333333333333</v>
      </c>
      <c r="C770" s="15" t="n">
        <f aca="false">INT(A770/6)</f>
        <v>127</v>
      </c>
      <c r="D770" s="16" t="n">
        <f aca="false">IF(C770=0,(1+Dic2023!$G$6)^(-B770),EXP(LN(INDEX(Dic2023!$H$6:$H$205,C770))+(LN(INDEX(Dic2023!$H$6:$H$205,MIN(C770+1,200)))-LN(INDEX(Dic2023!$H$6:$H$205,C770)))*(A770-6*C770)/6))</f>
        <v>0.0399187463065985</v>
      </c>
      <c r="E770" s="12" t="n">
        <f aca="false">D770^(-1/B770)-1</f>
        <v>0.0517528025</v>
      </c>
      <c r="F770" s="12" t="n">
        <f aca="false">(1+E770)^(1/12)-1</f>
        <v>0.00421369509431369</v>
      </c>
      <c r="G770" s="16" t="n">
        <f aca="false">IF(C770=0,(1+Dic2023!$J$6)^(-B770),EXP(LN(INDEX(Dic2023!$K$6:$K$205,C770))+(LN(INDEX(Dic2023!$K$6:$K$205,MIN(C770+1,200)))-LN(INDEX(Dic2023!$K$6:$K$205,C770)))*(A770-6*C770)/6))</f>
        <v>0.0399187463065985</v>
      </c>
      <c r="H770" s="12" t="n">
        <f aca="false">G770^(-1/B770)-1</f>
        <v>0.0517528025</v>
      </c>
      <c r="I770" s="12" t="n">
        <f aca="false">(1+H770)^(1/12)-1</f>
        <v>0.00421369509431369</v>
      </c>
      <c r="J770" s="16" t="n">
        <f aca="false">IF(C770=0,(1+Dic2023!$M$6)^(-B770),EXP(LN(INDEX(Dic2023!$N$6:$N$205,C770))+(LN(INDEX(Dic2023!$N$6:$N$205,MIN(C770+1,200)))-LN(INDEX(Dic2023!$N$6:$N$205,C770)))*(A770-6*C770)/6))</f>
        <v>0.0399187463065985</v>
      </c>
      <c r="K770" s="12" t="n">
        <f aca="false">J770^(-1/B770)-1</f>
        <v>0.0517528025</v>
      </c>
      <c r="L770" s="12" t="n">
        <f aca="false">(1+K770)^(1/12)-1</f>
        <v>0.00421369509431369</v>
      </c>
    </row>
    <row r="771" customFormat="false" ht="15" hidden="false" customHeight="false" outlineLevel="0" collapsed="false">
      <c r="A771" s="4" t="n">
        <v>767</v>
      </c>
      <c r="B771" s="14" t="n">
        <f aca="false">A771/12</f>
        <v>63.9166666666667</v>
      </c>
      <c r="C771" s="15" t="n">
        <f aca="false">INT(A771/6)</f>
        <v>127</v>
      </c>
      <c r="D771" s="16" t="n">
        <f aca="false">IF(C771=0,(1+Dic2023!$G$6)^(-B771),EXP(LN(INDEX(Dic2023!$H$6:$H$205,C771))+(LN(INDEX(Dic2023!$H$6:$H$205,MIN(C771+1,200)))-LN(INDEX(Dic2023!$H$6:$H$205,C771)))*(A771-6*C771)/6))</f>
        <v>0.0397512466734976</v>
      </c>
      <c r="E771" s="12" t="n">
        <f aca="false">D771^(-1/B771)-1</f>
        <v>0.0517528025</v>
      </c>
      <c r="F771" s="12" t="n">
        <f aca="false">(1+E771)^(1/12)-1</f>
        <v>0.00421369509431369</v>
      </c>
      <c r="G771" s="16" t="n">
        <f aca="false">IF(C771=0,(1+Dic2023!$J$6)^(-B771),EXP(LN(INDEX(Dic2023!$K$6:$K$205,C771))+(LN(INDEX(Dic2023!$K$6:$K$205,MIN(C771+1,200)))-LN(INDEX(Dic2023!$K$6:$K$205,C771)))*(A771-6*C771)/6))</f>
        <v>0.0397512466734976</v>
      </c>
      <c r="H771" s="12" t="n">
        <f aca="false">G771^(-1/B771)-1</f>
        <v>0.0517528025</v>
      </c>
      <c r="I771" s="12" t="n">
        <f aca="false">(1+H771)^(1/12)-1</f>
        <v>0.00421369509431369</v>
      </c>
      <c r="J771" s="16" t="n">
        <f aca="false">IF(C771=0,(1+Dic2023!$M$6)^(-B771),EXP(LN(INDEX(Dic2023!$N$6:$N$205,C771))+(LN(INDEX(Dic2023!$N$6:$N$205,MIN(C771+1,200)))-LN(INDEX(Dic2023!$N$6:$N$205,C771)))*(A771-6*C771)/6))</f>
        <v>0.0397512466734976</v>
      </c>
      <c r="K771" s="12" t="n">
        <f aca="false">J771^(-1/B771)-1</f>
        <v>0.0517528025</v>
      </c>
      <c r="L771" s="12" t="n">
        <f aca="false">(1+K771)^(1/12)-1</f>
        <v>0.00421369509431369</v>
      </c>
    </row>
    <row r="772" customFormat="false" ht="15" hidden="false" customHeight="false" outlineLevel="0" collapsed="false">
      <c r="A772" s="4" t="n">
        <v>768</v>
      </c>
      <c r="B772" s="14" t="n">
        <f aca="false">A772/12</f>
        <v>64</v>
      </c>
      <c r="C772" s="15" t="n">
        <f aca="false">INT(A772/6)</f>
        <v>128</v>
      </c>
      <c r="D772" s="16" t="n">
        <f aca="false">IF(C772=0,(1+Dic2023!$G$6)^(-B772),EXP(LN(INDEX(Dic2023!$H$6:$H$205,C772))+(LN(INDEX(Dic2023!$H$6:$H$205,MIN(C772+1,200)))-LN(INDEX(Dic2023!$H$6:$H$205,C772)))*(A772-6*C772)/6))</f>
        <v>0.0395844498712639</v>
      </c>
      <c r="E772" s="12" t="n">
        <f aca="false">D772^(-1/B772)-1</f>
        <v>0.0517528025</v>
      </c>
      <c r="F772" s="12" t="n">
        <f aca="false">(1+E772)^(1/12)-1</f>
        <v>0.00421369509431369</v>
      </c>
      <c r="G772" s="16" t="n">
        <f aca="false">IF(C772=0,(1+Dic2023!$J$6)^(-B772),EXP(LN(INDEX(Dic2023!$K$6:$K$205,C772))+(LN(INDEX(Dic2023!$K$6:$K$205,MIN(C772+1,200)))-LN(INDEX(Dic2023!$K$6:$K$205,C772)))*(A772-6*C772)/6))</f>
        <v>0.0395844498712639</v>
      </c>
      <c r="H772" s="12" t="n">
        <f aca="false">G772^(-1/B772)-1</f>
        <v>0.0517528025</v>
      </c>
      <c r="I772" s="12" t="n">
        <f aca="false">(1+H772)^(1/12)-1</f>
        <v>0.00421369509431369</v>
      </c>
      <c r="J772" s="16" t="n">
        <f aca="false">IF(C772=0,(1+Dic2023!$M$6)^(-B772),EXP(LN(INDEX(Dic2023!$N$6:$N$205,C772))+(LN(INDEX(Dic2023!$N$6:$N$205,MIN(C772+1,200)))-LN(INDEX(Dic2023!$N$6:$N$205,C772)))*(A772-6*C772)/6))</f>
        <v>0.0395844498712639</v>
      </c>
      <c r="K772" s="12" t="n">
        <f aca="false">J772^(-1/B772)-1</f>
        <v>0.0517528025</v>
      </c>
      <c r="L772" s="12" t="n">
        <f aca="false">(1+K772)^(1/12)-1</f>
        <v>0.00421369509431369</v>
      </c>
    </row>
    <row r="773" customFormat="false" ht="15" hidden="false" customHeight="false" outlineLevel="0" collapsed="false">
      <c r="A773" s="4" t="n">
        <v>769</v>
      </c>
      <c r="B773" s="14" t="n">
        <f aca="false">A773/12</f>
        <v>64.0833333333333</v>
      </c>
      <c r="C773" s="15" t="n">
        <f aca="false">INT(A773/6)</f>
        <v>128</v>
      </c>
      <c r="D773" s="16" t="n">
        <f aca="false">IF(C773=0,(1+Dic2023!$G$6)^(-B773),EXP(LN(INDEX(Dic2023!$H$6:$H$205,C773))+(LN(INDEX(Dic2023!$H$6:$H$205,MIN(C773+1,200)))-LN(INDEX(Dic2023!$H$6:$H$205,C773)))*(A773-6*C773)/6))</f>
        <v>0.0394183529508092</v>
      </c>
      <c r="E773" s="12" t="n">
        <f aca="false">D773^(-1/B773)-1</f>
        <v>0.0517528025</v>
      </c>
      <c r="F773" s="12" t="n">
        <f aca="false">(1+E773)^(1/12)-1</f>
        <v>0.00421369509431369</v>
      </c>
      <c r="G773" s="16" t="n">
        <f aca="false">IF(C773=0,(1+Dic2023!$J$6)^(-B773),EXP(LN(INDEX(Dic2023!$K$6:$K$205,C773))+(LN(INDEX(Dic2023!$K$6:$K$205,MIN(C773+1,200)))-LN(INDEX(Dic2023!$K$6:$K$205,C773)))*(A773-6*C773)/6))</f>
        <v>0.0394183529508092</v>
      </c>
      <c r="H773" s="12" t="n">
        <f aca="false">G773^(-1/B773)-1</f>
        <v>0.0517528025</v>
      </c>
      <c r="I773" s="12" t="n">
        <f aca="false">(1+H773)^(1/12)-1</f>
        <v>0.00421369509431369</v>
      </c>
      <c r="J773" s="16" t="n">
        <f aca="false">IF(C773=0,(1+Dic2023!$M$6)^(-B773),EXP(LN(INDEX(Dic2023!$N$6:$N$205,C773))+(LN(INDEX(Dic2023!$N$6:$N$205,MIN(C773+1,200)))-LN(INDEX(Dic2023!$N$6:$N$205,C773)))*(A773-6*C773)/6))</f>
        <v>0.0394183529508092</v>
      </c>
      <c r="K773" s="12" t="n">
        <f aca="false">J773^(-1/B773)-1</f>
        <v>0.0517528025</v>
      </c>
      <c r="L773" s="12" t="n">
        <f aca="false">(1+K773)^(1/12)-1</f>
        <v>0.00421369509431369</v>
      </c>
    </row>
    <row r="774" customFormat="false" ht="15" hidden="false" customHeight="false" outlineLevel="0" collapsed="false">
      <c r="A774" s="4" t="n">
        <v>770</v>
      </c>
      <c r="B774" s="14" t="n">
        <f aca="false">A774/12</f>
        <v>64.1666666666667</v>
      </c>
      <c r="C774" s="15" t="n">
        <f aca="false">INT(A774/6)</f>
        <v>128</v>
      </c>
      <c r="D774" s="16" t="n">
        <f aca="false">IF(C774=0,(1+Dic2023!$G$6)^(-B774),EXP(LN(INDEX(Dic2023!$H$6:$H$205,C774))+(LN(INDEX(Dic2023!$H$6:$H$205,MIN(C774+1,200)))-LN(INDEX(Dic2023!$H$6:$H$205,C774)))*(A774-6*C774)/6))</f>
        <v>0.0392529529754193</v>
      </c>
      <c r="E774" s="12" t="n">
        <f aca="false">D774^(-1/B774)-1</f>
        <v>0.0517528025</v>
      </c>
      <c r="F774" s="12" t="n">
        <f aca="false">(1+E774)^(1/12)-1</f>
        <v>0.00421369509431369</v>
      </c>
      <c r="G774" s="16" t="n">
        <f aca="false">IF(C774=0,(1+Dic2023!$J$6)^(-B774),EXP(LN(INDEX(Dic2023!$K$6:$K$205,C774))+(LN(INDEX(Dic2023!$K$6:$K$205,MIN(C774+1,200)))-LN(INDEX(Dic2023!$K$6:$K$205,C774)))*(A774-6*C774)/6))</f>
        <v>0.0392529529754193</v>
      </c>
      <c r="H774" s="12" t="n">
        <f aca="false">G774^(-1/B774)-1</f>
        <v>0.0517528025</v>
      </c>
      <c r="I774" s="12" t="n">
        <f aca="false">(1+H774)^(1/12)-1</f>
        <v>0.00421369509431369</v>
      </c>
      <c r="J774" s="16" t="n">
        <f aca="false">IF(C774=0,(1+Dic2023!$M$6)^(-B774),EXP(LN(INDEX(Dic2023!$N$6:$N$205,C774))+(LN(INDEX(Dic2023!$N$6:$N$205,MIN(C774+1,200)))-LN(INDEX(Dic2023!$N$6:$N$205,C774)))*(A774-6*C774)/6))</f>
        <v>0.0392529529754193</v>
      </c>
      <c r="K774" s="12" t="n">
        <f aca="false">J774^(-1/B774)-1</f>
        <v>0.0517528025</v>
      </c>
      <c r="L774" s="12" t="n">
        <f aca="false">(1+K774)^(1/12)-1</f>
        <v>0.00421369509431369</v>
      </c>
    </row>
    <row r="775" customFormat="false" ht="15" hidden="false" customHeight="false" outlineLevel="0" collapsed="false">
      <c r="A775" s="4" t="n">
        <v>771</v>
      </c>
      <c r="B775" s="14" t="n">
        <f aca="false">A775/12</f>
        <v>64.25</v>
      </c>
      <c r="C775" s="15" t="n">
        <f aca="false">INT(A775/6)</f>
        <v>128</v>
      </c>
      <c r="D775" s="16" t="n">
        <f aca="false">IF(C775=0,(1+Dic2023!$G$6)^(-B775),EXP(LN(INDEX(Dic2023!$H$6:$H$205,C775))+(LN(INDEX(Dic2023!$H$6:$H$205,MIN(C775+1,200)))-LN(INDEX(Dic2023!$H$6:$H$205,C775)))*(A775-6*C775)/6))</f>
        <v>0.0390882470207029</v>
      </c>
      <c r="E775" s="12" t="n">
        <f aca="false">D775^(-1/B775)-1</f>
        <v>0.0517528025</v>
      </c>
      <c r="F775" s="12" t="n">
        <f aca="false">(1+E775)^(1/12)-1</f>
        <v>0.00421369509431369</v>
      </c>
      <c r="G775" s="16" t="n">
        <f aca="false">IF(C775=0,(1+Dic2023!$J$6)^(-B775),EXP(LN(INDEX(Dic2023!$K$6:$K$205,C775))+(LN(INDEX(Dic2023!$K$6:$K$205,MIN(C775+1,200)))-LN(INDEX(Dic2023!$K$6:$K$205,C775)))*(A775-6*C775)/6))</f>
        <v>0.0390882470207029</v>
      </c>
      <c r="H775" s="12" t="n">
        <f aca="false">G775^(-1/B775)-1</f>
        <v>0.0517528025</v>
      </c>
      <c r="I775" s="12" t="n">
        <f aca="false">(1+H775)^(1/12)-1</f>
        <v>0.00421369509431369</v>
      </c>
      <c r="J775" s="16" t="n">
        <f aca="false">IF(C775=0,(1+Dic2023!$M$6)^(-B775),EXP(LN(INDEX(Dic2023!$N$6:$N$205,C775))+(LN(INDEX(Dic2023!$N$6:$N$205,MIN(C775+1,200)))-LN(INDEX(Dic2023!$N$6:$N$205,C775)))*(A775-6*C775)/6))</f>
        <v>0.0390882470207029</v>
      </c>
      <c r="K775" s="12" t="n">
        <f aca="false">J775^(-1/B775)-1</f>
        <v>0.0517528025</v>
      </c>
      <c r="L775" s="12" t="n">
        <f aca="false">(1+K775)^(1/12)-1</f>
        <v>0.00421369509431369</v>
      </c>
    </row>
    <row r="776" customFormat="false" ht="15" hidden="false" customHeight="false" outlineLevel="0" collapsed="false">
      <c r="A776" s="4" t="n">
        <v>772</v>
      </c>
      <c r="B776" s="14" t="n">
        <f aca="false">A776/12</f>
        <v>64.3333333333333</v>
      </c>
      <c r="C776" s="15" t="n">
        <f aca="false">INT(A776/6)</f>
        <v>128</v>
      </c>
      <c r="D776" s="16" t="n">
        <f aca="false">IF(C776=0,(1+Dic2023!$G$6)^(-B776),EXP(LN(INDEX(Dic2023!$H$6:$H$205,C776))+(LN(INDEX(Dic2023!$H$6:$H$205,MIN(C776+1,200)))-LN(INDEX(Dic2023!$H$6:$H$205,C776)))*(A776-6*C776)/6))</f>
        <v>0.0389242321745391</v>
      </c>
      <c r="E776" s="12" t="n">
        <f aca="false">D776^(-1/B776)-1</f>
        <v>0.0517528025</v>
      </c>
      <c r="F776" s="12" t="n">
        <f aca="false">(1+E776)^(1/12)-1</f>
        <v>0.00421369509431369</v>
      </c>
      <c r="G776" s="16" t="n">
        <f aca="false">IF(C776=0,(1+Dic2023!$J$6)^(-B776),EXP(LN(INDEX(Dic2023!$K$6:$K$205,C776))+(LN(INDEX(Dic2023!$K$6:$K$205,MIN(C776+1,200)))-LN(INDEX(Dic2023!$K$6:$K$205,C776)))*(A776-6*C776)/6))</f>
        <v>0.0389242321745391</v>
      </c>
      <c r="H776" s="12" t="n">
        <f aca="false">G776^(-1/B776)-1</f>
        <v>0.0517528025</v>
      </c>
      <c r="I776" s="12" t="n">
        <f aca="false">(1+H776)^(1/12)-1</f>
        <v>0.00421369509431369</v>
      </c>
      <c r="J776" s="16" t="n">
        <f aca="false">IF(C776=0,(1+Dic2023!$M$6)^(-B776),EXP(LN(INDEX(Dic2023!$N$6:$N$205,C776))+(LN(INDEX(Dic2023!$N$6:$N$205,MIN(C776+1,200)))-LN(INDEX(Dic2023!$N$6:$N$205,C776)))*(A776-6*C776)/6))</f>
        <v>0.0389242321745391</v>
      </c>
      <c r="K776" s="12" t="n">
        <f aca="false">J776^(-1/B776)-1</f>
        <v>0.0517528025</v>
      </c>
      <c r="L776" s="12" t="n">
        <f aca="false">(1+K776)^(1/12)-1</f>
        <v>0.00421369509431369</v>
      </c>
    </row>
    <row r="777" customFormat="false" ht="15" hidden="false" customHeight="false" outlineLevel="0" collapsed="false">
      <c r="A777" s="4" t="n">
        <v>773</v>
      </c>
      <c r="B777" s="14" t="n">
        <f aca="false">A777/12</f>
        <v>64.4166666666667</v>
      </c>
      <c r="C777" s="15" t="n">
        <f aca="false">INT(A777/6)</f>
        <v>128</v>
      </c>
      <c r="D777" s="16" t="n">
        <f aca="false">IF(C777=0,(1+Dic2023!$G$6)^(-B777),EXP(LN(INDEX(Dic2023!$H$6:$H$205,C777))+(LN(INDEX(Dic2023!$H$6:$H$205,MIN(C777+1,200)))-LN(INDEX(Dic2023!$H$6:$H$205,C777)))*(A777-6*C777)/6))</f>
        <v>0.0387609055370265</v>
      </c>
      <c r="E777" s="12" t="n">
        <f aca="false">D777^(-1/B777)-1</f>
        <v>0.0517528025</v>
      </c>
      <c r="F777" s="12" t="n">
        <f aca="false">(1+E777)^(1/12)-1</f>
        <v>0.00421369509431369</v>
      </c>
      <c r="G777" s="16" t="n">
        <f aca="false">IF(C777=0,(1+Dic2023!$J$6)^(-B777),EXP(LN(INDEX(Dic2023!$K$6:$K$205,C777))+(LN(INDEX(Dic2023!$K$6:$K$205,MIN(C777+1,200)))-LN(INDEX(Dic2023!$K$6:$K$205,C777)))*(A777-6*C777)/6))</f>
        <v>0.0387609055370265</v>
      </c>
      <c r="H777" s="12" t="n">
        <f aca="false">G777^(-1/B777)-1</f>
        <v>0.0517528025</v>
      </c>
      <c r="I777" s="12" t="n">
        <f aca="false">(1+H777)^(1/12)-1</f>
        <v>0.00421369509431369</v>
      </c>
      <c r="J777" s="16" t="n">
        <f aca="false">IF(C777=0,(1+Dic2023!$M$6)^(-B777),EXP(LN(INDEX(Dic2023!$N$6:$N$205,C777))+(LN(INDEX(Dic2023!$N$6:$N$205,MIN(C777+1,200)))-LN(INDEX(Dic2023!$N$6:$N$205,C777)))*(A777-6*C777)/6))</f>
        <v>0.0387609055370265</v>
      </c>
      <c r="K777" s="12" t="n">
        <f aca="false">J777^(-1/B777)-1</f>
        <v>0.0517528025</v>
      </c>
      <c r="L777" s="12" t="n">
        <f aca="false">(1+K777)^(1/12)-1</f>
        <v>0.00421369509431369</v>
      </c>
    </row>
    <row r="778" customFormat="false" ht="15" hidden="false" customHeight="false" outlineLevel="0" collapsed="false">
      <c r="A778" s="4" t="n">
        <v>774</v>
      </c>
      <c r="B778" s="14" t="n">
        <f aca="false">A778/12</f>
        <v>64.5</v>
      </c>
      <c r="C778" s="15" t="n">
        <f aca="false">INT(A778/6)</f>
        <v>129</v>
      </c>
      <c r="D778" s="16" t="n">
        <f aca="false">IF(C778=0,(1+Dic2023!$G$6)^(-B778),EXP(LN(INDEX(Dic2023!$H$6:$H$205,C778))+(LN(INDEX(Dic2023!$H$6:$H$205,MIN(C778+1,200)))-LN(INDEX(Dic2023!$H$6:$H$205,C778)))*(A778-6*C778)/6))</f>
        <v>0.0385982642204319</v>
      </c>
      <c r="E778" s="12" t="n">
        <f aca="false">D778^(-1/B778)-1</f>
        <v>0.0517528025</v>
      </c>
      <c r="F778" s="12" t="n">
        <f aca="false">(1+E778)^(1/12)-1</f>
        <v>0.00421369509431369</v>
      </c>
      <c r="G778" s="16" t="n">
        <f aca="false">IF(C778=0,(1+Dic2023!$J$6)^(-B778),EXP(LN(INDEX(Dic2023!$K$6:$K$205,C778))+(LN(INDEX(Dic2023!$K$6:$K$205,MIN(C778+1,200)))-LN(INDEX(Dic2023!$K$6:$K$205,C778)))*(A778-6*C778)/6))</f>
        <v>0.0385982642204319</v>
      </c>
      <c r="H778" s="12" t="n">
        <f aca="false">G778^(-1/B778)-1</f>
        <v>0.0517528025</v>
      </c>
      <c r="I778" s="12" t="n">
        <f aca="false">(1+H778)^(1/12)-1</f>
        <v>0.00421369509431369</v>
      </c>
      <c r="J778" s="16" t="n">
        <f aca="false">IF(C778=0,(1+Dic2023!$M$6)^(-B778),EXP(LN(INDEX(Dic2023!$N$6:$N$205,C778))+(LN(INDEX(Dic2023!$N$6:$N$205,MIN(C778+1,200)))-LN(INDEX(Dic2023!$N$6:$N$205,C778)))*(A778-6*C778)/6))</f>
        <v>0.0385982642204319</v>
      </c>
      <c r="K778" s="12" t="n">
        <f aca="false">J778^(-1/B778)-1</f>
        <v>0.0517528025</v>
      </c>
      <c r="L778" s="12" t="n">
        <f aca="false">(1+K778)^(1/12)-1</f>
        <v>0.00421369509431369</v>
      </c>
    </row>
    <row r="779" customFormat="false" ht="15" hidden="false" customHeight="false" outlineLevel="0" collapsed="false">
      <c r="A779" s="4" t="n">
        <v>775</v>
      </c>
      <c r="B779" s="14" t="n">
        <f aca="false">A779/12</f>
        <v>64.5833333333333</v>
      </c>
      <c r="C779" s="15" t="n">
        <f aca="false">INT(A779/6)</f>
        <v>129</v>
      </c>
      <c r="D779" s="16" t="n">
        <f aca="false">IF(C779=0,(1+Dic2023!$G$6)^(-B779),EXP(LN(INDEX(Dic2023!$H$6:$H$205,C779))+(LN(INDEX(Dic2023!$H$6:$H$205,MIN(C779+1,200)))-LN(INDEX(Dic2023!$H$6:$H$205,C779)))*(A779-6*C779)/6))</f>
        <v>0.0384363053491387</v>
      </c>
      <c r="E779" s="12" t="n">
        <f aca="false">D779^(-1/B779)-1</f>
        <v>0.0517528025</v>
      </c>
      <c r="F779" s="12" t="n">
        <f aca="false">(1+E779)^(1/12)-1</f>
        <v>0.00421369509431369</v>
      </c>
      <c r="G779" s="16" t="n">
        <f aca="false">IF(C779=0,(1+Dic2023!$J$6)^(-B779),EXP(LN(INDEX(Dic2023!$K$6:$K$205,C779))+(LN(INDEX(Dic2023!$K$6:$K$205,MIN(C779+1,200)))-LN(INDEX(Dic2023!$K$6:$K$205,C779)))*(A779-6*C779)/6))</f>
        <v>0.0384363053491387</v>
      </c>
      <c r="H779" s="12" t="n">
        <f aca="false">G779^(-1/B779)-1</f>
        <v>0.0517528025</v>
      </c>
      <c r="I779" s="12" t="n">
        <f aca="false">(1+H779)^(1/12)-1</f>
        <v>0.00421369509431369</v>
      </c>
      <c r="J779" s="16" t="n">
        <f aca="false">IF(C779=0,(1+Dic2023!$M$6)^(-B779),EXP(LN(INDEX(Dic2023!$N$6:$N$205,C779))+(LN(INDEX(Dic2023!$N$6:$N$205,MIN(C779+1,200)))-LN(INDEX(Dic2023!$N$6:$N$205,C779)))*(A779-6*C779)/6))</f>
        <v>0.0384363053491387</v>
      </c>
      <c r="K779" s="12" t="n">
        <f aca="false">J779^(-1/B779)-1</f>
        <v>0.0517528025</v>
      </c>
      <c r="L779" s="12" t="n">
        <f aca="false">(1+K779)^(1/12)-1</f>
        <v>0.00421369509431369</v>
      </c>
    </row>
    <row r="780" customFormat="false" ht="15" hidden="false" customHeight="false" outlineLevel="0" collapsed="false">
      <c r="A780" s="4" t="n">
        <v>776</v>
      </c>
      <c r="B780" s="14" t="n">
        <f aca="false">A780/12</f>
        <v>64.6666666666667</v>
      </c>
      <c r="C780" s="15" t="n">
        <f aca="false">INT(A780/6)</f>
        <v>129</v>
      </c>
      <c r="D780" s="16" t="n">
        <f aca="false">IF(C780=0,(1+Dic2023!$G$6)^(-B780),EXP(LN(INDEX(Dic2023!$H$6:$H$205,C780))+(LN(INDEX(Dic2023!$H$6:$H$205,MIN(C780+1,200)))-LN(INDEX(Dic2023!$H$6:$H$205,C780)))*(A780-6*C780)/6))</f>
        <v>0.0382750260595966</v>
      </c>
      <c r="E780" s="12" t="n">
        <f aca="false">D780^(-1/B780)-1</f>
        <v>0.0517528025</v>
      </c>
      <c r="F780" s="12" t="n">
        <f aca="false">(1+E780)^(1/12)-1</f>
        <v>0.00421369509431369</v>
      </c>
      <c r="G780" s="16" t="n">
        <f aca="false">IF(C780=0,(1+Dic2023!$J$6)^(-B780),EXP(LN(INDEX(Dic2023!$K$6:$K$205,C780))+(LN(INDEX(Dic2023!$K$6:$K$205,MIN(C780+1,200)))-LN(INDEX(Dic2023!$K$6:$K$205,C780)))*(A780-6*C780)/6))</f>
        <v>0.0382750260595966</v>
      </c>
      <c r="H780" s="12" t="n">
        <f aca="false">G780^(-1/B780)-1</f>
        <v>0.0517528025</v>
      </c>
      <c r="I780" s="12" t="n">
        <f aca="false">(1+H780)^(1/12)-1</f>
        <v>0.00421369509431369</v>
      </c>
      <c r="J780" s="16" t="n">
        <f aca="false">IF(C780=0,(1+Dic2023!$M$6)^(-B780),EXP(LN(INDEX(Dic2023!$N$6:$N$205,C780))+(LN(INDEX(Dic2023!$N$6:$N$205,MIN(C780+1,200)))-LN(INDEX(Dic2023!$N$6:$N$205,C780)))*(A780-6*C780)/6))</f>
        <v>0.0382750260595966</v>
      </c>
      <c r="K780" s="12" t="n">
        <f aca="false">J780^(-1/B780)-1</f>
        <v>0.0517528025</v>
      </c>
      <c r="L780" s="12" t="n">
        <f aca="false">(1+K780)^(1/12)-1</f>
        <v>0.00421369509431369</v>
      </c>
    </row>
    <row r="781" customFormat="false" ht="15" hidden="false" customHeight="false" outlineLevel="0" collapsed="false">
      <c r="A781" s="4" t="n">
        <v>777</v>
      </c>
      <c r="B781" s="14" t="n">
        <f aca="false">A781/12</f>
        <v>64.75</v>
      </c>
      <c r="C781" s="15" t="n">
        <f aca="false">INT(A781/6)</f>
        <v>129</v>
      </c>
      <c r="D781" s="16" t="n">
        <f aca="false">IF(C781=0,(1+Dic2023!$G$6)^(-B781),EXP(LN(INDEX(Dic2023!$H$6:$H$205,C781))+(LN(INDEX(Dic2023!$H$6:$H$205,MIN(C781+1,200)))-LN(INDEX(Dic2023!$H$6:$H$205,C781)))*(A781-6*C781)/6))</f>
        <v>0.0381144235002709</v>
      </c>
      <c r="E781" s="12" t="n">
        <f aca="false">D781^(-1/B781)-1</f>
        <v>0.0517528025</v>
      </c>
      <c r="F781" s="12" t="n">
        <f aca="false">(1+E781)^(1/12)-1</f>
        <v>0.00421369509431369</v>
      </c>
      <c r="G781" s="16" t="n">
        <f aca="false">IF(C781=0,(1+Dic2023!$J$6)^(-B781),EXP(LN(INDEX(Dic2023!$K$6:$K$205,C781))+(LN(INDEX(Dic2023!$K$6:$K$205,MIN(C781+1,200)))-LN(INDEX(Dic2023!$K$6:$K$205,C781)))*(A781-6*C781)/6))</f>
        <v>0.0381144235002709</v>
      </c>
      <c r="H781" s="12" t="n">
        <f aca="false">G781^(-1/B781)-1</f>
        <v>0.0517528025</v>
      </c>
      <c r="I781" s="12" t="n">
        <f aca="false">(1+H781)^(1/12)-1</f>
        <v>0.00421369509431369</v>
      </c>
      <c r="J781" s="16" t="n">
        <f aca="false">IF(C781=0,(1+Dic2023!$M$6)^(-B781),EXP(LN(INDEX(Dic2023!$N$6:$N$205,C781))+(LN(INDEX(Dic2023!$N$6:$N$205,MIN(C781+1,200)))-LN(INDEX(Dic2023!$N$6:$N$205,C781)))*(A781-6*C781)/6))</f>
        <v>0.0381144235002709</v>
      </c>
      <c r="K781" s="12" t="n">
        <f aca="false">J781^(-1/B781)-1</f>
        <v>0.0517528025</v>
      </c>
      <c r="L781" s="12" t="n">
        <f aca="false">(1+K781)^(1/12)-1</f>
        <v>0.00421369509431369</v>
      </c>
    </row>
    <row r="782" customFormat="false" ht="15" hidden="false" customHeight="false" outlineLevel="0" collapsed="false">
      <c r="A782" s="4" t="n">
        <v>778</v>
      </c>
      <c r="B782" s="14" t="n">
        <f aca="false">A782/12</f>
        <v>64.8333333333333</v>
      </c>
      <c r="C782" s="15" t="n">
        <f aca="false">INT(A782/6)</f>
        <v>129</v>
      </c>
      <c r="D782" s="16" t="n">
        <f aca="false">IF(C782=0,(1+Dic2023!$G$6)^(-B782),EXP(LN(INDEX(Dic2023!$H$6:$H$205,C782))+(LN(INDEX(Dic2023!$H$6:$H$205,MIN(C782+1,200)))-LN(INDEX(Dic2023!$H$6:$H$205,C782)))*(A782-6*C782)/6))</f>
        <v>0.0379544948315919</v>
      </c>
      <c r="E782" s="12" t="n">
        <f aca="false">D782^(-1/B782)-1</f>
        <v>0.0517528025</v>
      </c>
      <c r="F782" s="12" t="n">
        <f aca="false">(1+E782)^(1/12)-1</f>
        <v>0.00421369509431369</v>
      </c>
      <c r="G782" s="16" t="n">
        <f aca="false">IF(C782=0,(1+Dic2023!$J$6)^(-B782),EXP(LN(INDEX(Dic2023!$K$6:$K$205,C782))+(LN(INDEX(Dic2023!$K$6:$K$205,MIN(C782+1,200)))-LN(INDEX(Dic2023!$K$6:$K$205,C782)))*(A782-6*C782)/6))</f>
        <v>0.0379544948315919</v>
      </c>
      <c r="H782" s="12" t="n">
        <f aca="false">G782^(-1/B782)-1</f>
        <v>0.0517528025</v>
      </c>
      <c r="I782" s="12" t="n">
        <f aca="false">(1+H782)^(1/12)-1</f>
        <v>0.00421369509431369</v>
      </c>
      <c r="J782" s="16" t="n">
        <f aca="false">IF(C782=0,(1+Dic2023!$M$6)^(-B782),EXP(LN(INDEX(Dic2023!$N$6:$N$205,C782))+(LN(INDEX(Dic2023!$N$6:$N$205,MIN(C782+1,200)))-LN(INDEX(Dic2023!$N$6:$N$205,C782)))*(A782-6*C782)/6))</f>
        <v>0.0379544948315919</v>
      </c>
      <c r="K782" s="12" t="n">
        <f aca="false">J782^(-1/B782)-1</f>
        <v>0.0517528025</v>
      </c>
      <c r="L782" s="12" t="n">
        <f aca="false">(1+K782)^(1/12)-1</f>
        <v>0.00421369509431369</v>
      </c>
    </row>
    <row r="783" customFormat="false" ht="15" hidden="false" customHeight="false" outlineLevel="0" collapsed="false">
      <c r="A783" s="4" t="n">
        <v>779</v>
      </c>
      <c r="B783" s="14" t="n">
        <f aca="false">A783/12</f>
        <v>64.9166666666667</v>
      </c>
      <c r="C783" s="15" t="n">
        <f aca="false">INT(A783/6)</f>
        <v>129</v>
      </c>
      <c r="D783" s="16" t="n">
        <f aca="false">IF(C783=0,(1+Dic2023!$G$6)^(-B783),EXP(LN(INDEX(Dic2023!$H$6:$H$205,C783))+(LN(INDEX(Dic2023!$H$6:$H$205,MIN(C783+1,200)))-LN(INDEX(Dic2023!$H$6:$H$205,C783)))*(A783-6*C783)/6))</f>
        <v>0.0377952372259047</v>
      </c>
      <c r="E783" s="12" t="n">
        <f aca="false">D783^(-1/B783)-1</f>
        <v>0.0517528025</v>
      </c>
      <c r="F783" s="12" t="n">
        <f aca="false">(1+E783)^(1/12)-1</f>
        <v>0.00421369509431369</v>
      </c>
      <c r="G783" s="16" t="n">
        <f aca="false">IF(C783=0,(1+Dic2023!$J$6)^(-B783),EXP(LN(INDEX(Dic2023!$K$6:$K$205,C783))+(LN(INDEX(Dic2023!$K$6:$K$205,MIN(C783+1,200)))-LN(INDEX(Dic2023!$K$6:$K$205,C783)))*(A783-6*C783)/6))</f>
        <v>0.0377952372259047</v>
      </c>
      <c r="H783" s="12" t="n">
        <f aca="false">G783^(-1/B783)-1</f>
        <v>0.0517528025</v>
      </c>
      <c r="I783" s="12" t="n">
        <f aca="false">(1+H783)^(1/12)-1</f>
        <v>0.00421369509431369</v>
      </c>
      <c r="J783" s="16" t="n">
        <f aca="false">IF(C783=0,(1+Dic2023!$M$6)^(-B783),EXP(LN(INDEX(Dic2023!$N$6:$N$205,C783))+(LN(INDEX(Dic2023!$N$6:$N$205,MIN(C783+1,200)))-LN(INDEX(Dic2023!$N$6:$N$205,C783)))*(A783-6*C783)/6))</f>
        <v>0.0377952372259047</v>
      </c>
      <c r="K783" s="12" t="n">
        <f aca="false">J783^(-1/B783)-1</f>
        <v>0.0517528025</v>
      </c>
      <c r="L783" s="12" t="n">
        <f aca="false">(1+K783)^(1/12)-1</f>
        <v>0.00421369509431369</v>
      </c>
    </row>
    <row r="784" customFormat="false" ht="15" hidden="false" customHeight="false" outlineLevel="0" collapsed="false">
      <c r="A784" s="4" t="n">
        <v>780</v>
      </c>
      <c r="B784" s="14" t="n">
        <f aca="false">A784/12</f>
        <v>65</v>
      </c>
      <c r="C784" s="15" t="n">
        <f aca="false">INT(A784/6)</f>
        <v>130</v>
      </c>
      <c r="D784" s="16" t="n">
        <f aca="false">IF(C784=0,(1+Dic2023!$G$6)^(-B784),EXP(LN(INDEX(Dic2023!$H$6:$H$205,C784))+(LN(INDEX(Dic2023!$H$6:$H$205,MIN(C784+1,200)))-LN(INDEX(Dic2023!$H$6:$H$205,C784)))*(A784-6*C784)/6))</f>
        <v>0.0376366478674193</v>
      </c>
      <c r="E784" s="12" t="n">
        <f aca="false">D784^(-1/B784)-1</f>
        <v>0.0517528025</v>
      </c>
      <c r="F784" s="12" t="n">
        <f aca="false">(1+E784)^(1/12)-1</f>
        <v>0.00421369509431369</v>
      </c>
      <c r="G784" s="16" t="n">
        <f aca="false">IF(C784=0,(1+Dic2023!$J$6)^(-B784),EXP(LN(INDEX(Dic2023!$K$6:$K$205,C784))+(LN(INDEX(Dic2023!$K$6:$K$205,MIN(C784+1,200)))-LN(INDEX(Dic2023!$K$6:$K$205,C784)))*(A784-6*C784)/6))</f>
        <v>0.0376366478674193</v>
      </c>
      <c r="H784" s="12" t="n">
        <f aca="false">G784^(-1/B784)-1</f>
        <v>0.0517528025</v>
      </c>
      <c r="I784" s="12" t="n">
        <f aca="false">(1+H784)^(1/12)-1</f>
        <v>0.00421369509431369</v>
      </c>
      <c r="J784" s="16" t="n">
        <f aca="false">IF(C784=0,(1+Dic2023!$M$6)^(-B784),EXP(LN(INDEX(Dic2023!$N$6:$N$205,C784))+(LN(INDEX(Dic2023!$N$6:$N$205,MIN(C784+1,200)))-LN(INDEX(Dic2023!$N$6:$N$205,C784)))*(A784-6*C784)/6))</f>
        <v>0.0376366478674193</v>
      </c>
      <c r="K784" s="12" t="n">
        <f aca="false">J784^(-1/B784)-1</f>
        <v>0.0517528025</v>
      </c>
      <c r="L784" s="12" t="n">
        <f aca="false">(1+K784)^(1/12)-1</f>
        <v>0.00421369509431369</v>
      </c>
    </row>
    <row r="785" customFormat="false" ht="15" hidden="false" customHeight="false" outlineLevel="0" collapsed="false">
      <c r="A785" s="4" t="n">
        <v>781</v>
      </c>
      <c r="B785" s="14" t="n">
        <f aca="false">A785/12</f>
        <v>65.0833333333333</v>
      </c>
      <c r="C785" s="15" t="n">
        <f aca="false">INT(A785/6)</f>
        <v>130</v>
      </c>
      <c r="D785" s="16" t="n">
        <f aca="false">IF(C785=0,(1+Dic2023!$G$6)^(-B785),EXP(LN(INDEX(Dic2023!$H$6:$H$205,C785))+(LN(INDEX(Dic2023!$H$6:$H$205,MIN(C785+1,200)))-LN(INDEX(Dic2023!$H$6:$H$205,C785)))*(A785-6*C785)/6))</f>
        <v>0.037478723952161</v>
      </c>
      <c r="E785" s="12" t="n">
        <f aca="false">D785^(-1/B785)-1</f>
        <v>0.0517528025</v>
      </c>
      <c r="F785" s="12" t="n">
        <f aca="false">(1+E785)^(1/12)-1</f>
        <v>0.00421369509431369</v>
      </c>
      <c r="G785" s="16" t="n">
        <f aca="false">IF(C785=0,(1+Dic2023!$J$6)^(-B785),EXP(LN(INDEX(Dic2023!$K$6:$K$205,C785))+(LN(INDEX(Dic2023!$K$6:$K$205,MIN(C785+1,200)))-LN(INDEX(Dic2023!$K$6:$K$205,C785)))*(A785-6*C785)/6))</f>
        <v>0.037478723952161</v>
      </c>
      <c r="H785" s="12" t="n">
        <f aca="false">G785^(-1/B785)-1</f>
        <v>0.0517528025</v>
      </c>
      <c r="I785" s="12" t="n">
        <f aca="false">(1+H785)^(1/12)-1</f>
        <v>0.00421369509431369</v>
      </c>
      <c r="J785" s="16" t="n">
        <f aca="false">IF(C785=0,(1+Dic2023!$M$6)^(-B785),EXP(LN(INDEX(Dic2023!$N$6:$N$205,C785))+(LN(INDEX(Dic2023!$N$6:$N$205,MIN(C785+1,200)))-LN(INDEX(Dic2023!$N$6:$N$205,C785)))*(A785-6*C785)/6))</f>
        <v>0.037478723952161</v>
      </c>
      <c r="K785" s="12" t="n">
        <f aca="false">J785^(-1/B785)-1</f>
        <v>0.0517528025</v>
      </c>
      <c r="L785" s="12" t="n">
        <f aca="false">(1+K785)^(1/12)-1</f>
        <v>0.00421369509431369</v>
      </c>
    </row>
    <row r="786" customFormat="false" ht="15" hidden="false" customHeight="false" outlineLevel="0" collapsed="false">
      <c r="A786" s="4" t="n">
        <v>782</v>
      </c>
      <c r="B786" s="14" t="n">
        <f aca="false">A786/12</f>
        <v>65.1666666666667</v>
      </c>
      <c r="C786" s="15" t="n">
        <f aca="false">INT(A786/6)</f>
        <v>130</v>
      </c>
      <c r="D786" s="16" t="n">
        <f aca="false">IF(C786=0,(1+Dic2023!$G$6)^(-B786),EXP(LN(INDEX(Dic2023!$H$6:$H$205,C786))+(LN(INDEX(Dic2023!$H$6:$H$205,MIN(C786+1,200)))-LN(INDEX(Dic2023!$H$6:$H$205,C786)))*(A786-6*C786)/6))</f>
        <v>0.0373214626879203</v>
      </c>
      <c r="E786" s="12" t="n">
        <f aca="false">D786^(-1/B786)-1</f>
        <v>0.0517528025</v>
      </c>
      <c r="F786" s="12" t="n">
        <f aca="false">(1+E786)^(1/12)-1</f>
        <v>0.00421369509431369</v>
      </c>
      <c r="G786" s="16" t="n">
        <f aca="false">IF(C786=0,(1+Dic2023!$J$6)^(-B786),EXP(LN(INDEX(Dic2023!$K$6:$K$205,C786))+(LN(INDEX(Dic2023!$K$6:$K$205,MIN(C786+1,200)))-LN(INDEX(Dic2023!$K$6:$K$205,C786)))*(A786-6*C786)/6))</f>
        <v>0.0373214626879203</v>
      </c>
      <c r="H786" s="12" t="n">
        <f aca="false">G786^(-1/B786)-1</f>
        <v>0.0517528025</v>
      </c>
      <c r="I786" s="12" t="n">
        <f aca="false">(1+H786)^(1/12)-1</f>
        <v>0.00421369509431369</v>
      </c>
      <c r="J786" s="16" t="n">
        <f aca="false">IF(C786=0,(1+Dic2023!$M$6)^(-B786),EXP(LN(INDEX(Dic2023!$N$6:$N$205,C786))+(LN(INDEX(Dic2023!$N$6:$N$205,MIN(C786+1,200)))-LN(INDEX(Dic2023!$N$6:$N$205,C786)))*(A786-6*C786)/6))</f>
        <v>0.0373214626879203</v>
      </c>
      <c r="K786" s="12" t="n">
        <f aca="false">J786^(-1/B786)-1</f>
        <v>0.0517528025</v>
      </c>
      <c r="L786" s="12" t="n">
        <f aca="false">(1+K786)^(1/12)-1</f>
        <v>0.00421369509431369</v>
      </c>
    </row>
    <row r="787" customFormat="false" ht="15" hidden="false" customHeight="false" outlineLevel="0" collapsed="false">
      <c r="A787" s="4" t="n">
        <v>783</v>
      </c>
      <c r="B787" s="14" t="n">
        <f aca="false">A787/12</f>
        <v>65.25</v>
      </c>
      <c r="C787" s="15" t="n">
        <f aca="false">INT(A787/6)</f>
        <v>130</v>
      </c>
      <c r="D787" s="16" t="n">
        <f aca="false">IF(C787=0,(1+Dic2023!$G$6)^(-B787),EXP(LN(INDEX(Dic2023!$H$6:$H$205,C787))+(LN(INDEX(Dic2023!$H$6:$H$205,MIN(C787+1,200)))-LN(INDEX(Dic2023!$H$6:$H$205,C787)))*(A787-6*C787)/6))</f>
        <v>0.037164861294204</v>
      </c>
      <c r="E787" s="12" t="n">
        <f aca="false">D787^(-1/B787)-1</f>
        <v>0.0517528025</v>
      </c>
      <c r="F787" s="12" t="n">
        <f aca="false">(1+E787)^(1/12)-1</f>
        <v>0.00421369509431369</v>
      </c>
      <c r="G787" s="16" t="n">
        <f aca="false">IF(C787=0,(1+Dic2023!$J$6)^(-B787),EXP(LN(INDEX(Dic2023!$K$6:$K$205,C787))+(LN(INDEX(Dic2023!$K$6:$K$205,MIN(C787+1,200)))-LN(INDEX(Dic2023!$K$6:$K$205,C787)))*(A787-6*C787)/6))</f>
        <v>0.037164861294204</v>
      </c>
      <c r="H787" s="12" t="n">
        <f aca="false">G787^(-1/B787)-1</f>
        <v>0.0517528025</v>
      </c>
      <c r="I787" s="12" t="n">
        <f aca="false">(1+H787)^(1/12)-1</f>
        <v>0.00421369509431369</v>
      </c>
      <c r="J787" s="16" t="n">
        <f aca="false">IF(C787=0,(1+Dic2023!$M$6)^(-B787),EXP(LN(INDEX(Dic2023!$N$6:$N$205,C787))+(LN(INDEX(Dic2023!$N$6:$N$205,MIN(C787+1,200)))-LN(INDEX(Dic2023!$N$6:$N$205,C787)))*(A787-6*C787)/6))</f>
        <v>0.037164861294204</v>
      </c>
      <c r="K787" s="12" t="n">
        <f aca="false">J787^(-1/B787)-1</f>
        <v>0.0517528025</v>
      </c>
      <c r="L787" s="12" t="n">
        <f aca="false">(1+K787)^(1/12)-1</f>
        <v>0.00421369509431369</v>
      </c>
    </row>
    <row r="788" customFormat="false" ht="15" hidden="false" customHeight="false" outlineLevel="0" collapsed="false">
      <c r="A788" s="4" t="n">
        <v>784</v>
      </c>
      <c r="B788" s="14" t="n">
        <f aca="false">A788/12</f>
        <v>65.3333333333333</v>
      </c>
      <c r="C788" s="15" t="n">
        <f aca="false">INT(A788/6)</f>
        <v>130</v>
      </c>
      <c r="D788" s="16" t="n">
        <f aca="false">IF(C788=0,(1+Dic2023!$G$6)^(-B788),EXP(LN(INDEX(Dic2023!$H$6:$H$205,C788))+(LN(INDEX(Dic2023!$H$6:$H$205,MIN(C788+1,200)))-LN(INDEX(Dic2023!$H$6:$H$205,C788)))*(A788-6*C788)/6))</f>
        <v>0.0370089170021861</v>
      </c>
      <c r="E788" s="12" t="n">
        <f aca="false">D788^(-1/B788)-1</f>
        <v>0.0517528025</v>
      </c>
      <c r="F788" s="12" t="n">
        <f aca="false">(1+E788)^(1/12)-1</f>
        <v>0.00421369509431369</v>
      </c>
      <c r="G788" s="16" t="n">
        <f aca="false">IF(C788=0,(1+Dic2023!$J$6)^(-B788),EXP(LN(INDEX(Dic2023!$K$6:$K$205,C788))+(LN(INDEX(Dic2023!$K$6:$K$205,MIN(C788+1,200)))-LN(INDEX(Dic2023!$K$6:$K$205,C788)))*(A788-6*C788)/6))</f>
        <v>0.0370089170021861</v>
      </c>
      <c r="H788" s="12" t="n">
        <f aca="false">G788^(-1/B788)-1</f>
        <v>0.0517528025</v>
      </c>
      <c r="I788" s="12" t="n">
        <f aca="false">(1+H788)^(1/12)-1</f>
        <v>0.00421369509431369</v>
      </c>
      <c r="J788" s="16" t="n">
        <f aca="false">IF(C788=0,(1+Dic2023!$M$6)^(-B788),EXP(LN(INDEX(Dic2023!$N$6:$N$205,C788))+(LN(INDEX(Dic2023!$N$6:$N$205,MIN(C788+1,200)))-LN(INDEX(Dic2023!$N$6:$N$205,C788)))*(A788-6*C788)/6))</f>
        <v>0.0370089170021861</v>
      </c>
      <c r="K788" s="12" t="n">
        <f aca="false">J788^(-1/B788)-1</f>
        <v>0.0517528025</v>
      </c>
      <c r="L788" s="12" t="n">
        <f aca="false">(1+K788)^(1/12)-1</f>
        <v>0.00421369509431369</v>
      </c>
    </row>
    <row r="789" customFormat="false" ht="15" hidden="false" customHeight="false" outlineLevel="0" collapsed="false">
      <c r="A789" s="4" t="n">
        <v>785</v>
      </c>
      <c r="B789" s="14" t="n">
        <f aca="false">A789/12</f>
        <v>65.4166666666667</v>
      </c>
      <c r="C789" s="15" t="n">
        <f aca="false">INT(A789/6)</f>
        <v>130</v>
      </c>
      <c r="D789" s="16" t="n">
        <f aca="false">IF(C789=0,(1+Dic2023!$G$6)^(-B789),EXP(LN(INDEX(Dic2023!$H$6:$H$205,C789))+(LN(INDEX(Dic2023!$H$6:$H$205,MIN(C789+1,200)))-LN(INDEX(Dic2023!$H$6:$H$205,C789)))*(A789-6*C789)/6))</f>
        <v>0.0368536270546582</v>
      </c>
      <c r="E789" s="12" t="n">
        <f aca="false">D789^(-1/B789)-1</f>
        <v>0.0517528025</v>
      </c>
      <c r="F789" s="12" t="n">
        <f aca="false">(1+E789)^(1/12)-1</f>
        <v>0.00421369509431369</v>
      </c>
      <c r="G789" s="16" t="n">
        <f aca="false">IF(C789=0,(1+Dic2023!$J$6)^(-B789),EXP(LN(INDEX(Dic2023!$K$6:$K$205,C789))+(LN(INDEX(Dic2023!$K$6:$K$205,MIN(C789+1,200)))-LN(INDEX(Dic2023!$K$6:$K$205,C789)))*(A789-6*C789)/6))</f>
        <v>0.0368536270546582</v>
      </c>
      <c r="H789" s="12" t="n">
        <f aca="false">G789^(-1/B789)-1</f>
        <v>0.0517528025</v>
      </c>
      <c r="I789" s="12" t="n">
        <f aca="false">(1+H789)^(1/12)-1</f>
        <v>0.00421369509431369</v>
      </c>
      <c r="J789" s="16" t="n">
        <f aca="false">IF(C789=0,(1+Dic2023!$M$6)^(-B789),EXP(LN(INDEX(Dic2023!$N$6:$N$205,C789))+(LN(INDEX(Dic2023!$N$6:$N$205,MIN(C789+1,200)))-LN(INDEX(Dic2023!$N$6:$N$205,C789)))*(A789-6*C789)/6))</f>
        <v>0.0368536270546582</v>
      </c>
      <c r="K789" s="12" t="n">
        <f aca="false">J789^(-1/B789)-1</f>
        <v>0.0517528025</v>
      </c>
      <c r="L789" s="12" t="n">
        <f aca="false">(1+K789)^(1/12)-1</f>
        <v>0.00421369509431369</v>
      </c>
    </row>
    <row r="790" customFormat="false" ht="15" hidden="false" customHeight="false" outlineLevel="0" collapsed="false">
      <c r="A790" s="4" t="n">
        <v>786</v>
      </c>
      <c r="B790" s="14" t="n">
        <f aca="false">A790/12</f>
        <v>65.5</v>
      </c>
      <c r="C790" s="15" t="n">
        <f aca="false">INT(A790/6)</f>
        <v>131</v>
      </c>
      <c r="D790" s="16" t="n">
        <f aca="false">IF(C790=0,(1+Dic2023!$G$6)^(-B790),EXP(LN(INDEX(Dic2023!$H$6:$H$205,C790))+(LN(INDEX(Dic2023!$H$6:$H$205,MIN(C790+1,200)))-LN(INDEX(Dic2023!$H$6:$H$205,C790)))*(A790-6*C790)/6))</f>
        <v>0.0366989887059815</v>
      </c>
      <c r="E790" s="12" t="n">
        <f aca="false">D790^(-1/B790)-1</f>
        <v>0.0517528025</v>
      </c>
      <c r="F790" s="12" t="n">
        <f aca="false">(1+E790)^(1/12)-1</f>
        <v>0.00421369509431369</v>
      </c>
      <c r="G790" s="16" t="n">
        <f aca="false">IF(C790=0,(1+Dic2023!$J$6)^(-B790),EXP(LN(INDEX(Dic2023!$K$6:$K$205,C790))+(LN(INDEX(Dic2023!$K$6:$K$205,MIN(C790+1,200)))-LN(INDEX(Dic2023!$K$6:$K$205,C790)))*(A790-6*C790)/6))</f>
        <v>0.0366989887059815</v>
      </c>
      <c r="H790" s="12" t="n">
        <f aca="false">G790^(-1/B790)-1</f>
        <v>0.0517528025</v>
      </c>
      <c r="I790" s="12" t="n">
        <f aca="false">(1+H790)^(1/12)-1</f>
        <v>0.00421369509431369</v>
      </c>
      <c r="J790" s="16" t="n">
        <f aca="false">IF(C790=0,(1+Dic2023!$M$6)^(-B790),EXP(LN(INDEX(Dic2023!$N$6:$N$205,C790))+(LN(INDEX(Dic2023!$N$6:$N$205,MIN(C790+1,200)))-LN(INDEX(Dic2023!$N$6:$N$205,C790)))*(A790-6*C790)/6))</f>
        <v>0.0366989887059815</v>
      </c>
      <c r="K790" s="12" t="n">
        <f aca="false">J790^(-1/B790)-1</f>
        <v>0.0517528025</v>
      </c>
      <c r="L790" s="12" t="n">
        <f aca="false">(1+K790)^(1/12)-1</f>
        <v>0.00421369509431369</v>
      </c>
    </row>
    <row r="791" customFormat="false" ht="15" hidden="false" customHeight="false" outlineLevel="0" collapsed="false">
      <c r="A791" s="4" t="n">
        <v>787</v>
      </c>
      <c r="B791" s="14" t="n">
        <f aca="false">A791/12</f>
        <v>65.5833333333333</v>
      </c>
      <c r="C791" s="15" t="n">
        <f aca="false">INT(A791/6)</f>
        <v>131</v>
      </c>
      <c r="D791" s="16" t="n">
        <f aca="false">IF(C791=0,(1+Dic2023!$G$6)^(-B791),EXP(LN(INDEX(Dic2023!$H$6:$H$205,C791))+(LN(INDEX(Dic2023!$H$6:$H$205,MIN(C791+1,200)))-LN(INDEX(Dic2023!$H$6:$H$205,C791)))*(A791-6*C791)/6))</f>
        <v>0.0365449992220379</v>
      </c>
      <c r="E791" s="12" t="n">
        <f aca="false">D791^(-1/B791)-1</f>
        <v>0.0517528025</v>
      </c>
      <c r="F791" s="12" t="n">
        <f aca="false">(1+E791)^(1/12)-1</f>
        <v>0.00421369509431369</v>
      </c>
      <c r="G791" s="16" t="n">
        <f aca="false">IF(C791=0,(1+Dic2023!$J$6)^(-B791),EXP(LN(INDEX(Dic2023!$K$6:$K$205,C791))+(LN(INDEX(Dic2023!$K$6:$K$205,MIN(C791+1,200)))-LN(INDEX(Dic2023!$K$6:$K$205,C791)))*(A791-6*C791)/6))</f>
        <v>0.0365449992220379</v>
      </c>
      <c r="H791" s="12" t="n">
        <f aca="false">G791^(-1/B791)-1</f>
        <v>0.0517528025</v>
      </c>
      <c r="I791" s="12" t="n">
        <f aca="false">(1+H791)^(1/12)-1</f>
        <v>0.00421369509431369</v>
      </c>
      <c r="J791" s="16" t="n">
        <f aca="false">IF(C791=0,(1+Dic2023!$M$6)^(-B791),EXP(LN(INDEX(Dic2023!$N$6:$N$205,C791))+(LN(INDEX(Dic2023!$N$6:$N$205,MIN(C791+1,200)))-LN(INDEX(Dic2023!$N$6:$N$205,C791)))*(A791-6*C791)/6))</f>
        <v>0.0365449992220379</v>
      </c>
      <c r="K791" s="12" t="n">
        <f aca="false">J791^(-1/B791)-1</f>
        <v>0.0517528025</v>
      </c>
      <c r="L791" s="12" t="n">
        <f aca="false">(1+K791)^(1/12)-1</f>
        <v>0.00421369509431369</v>
      </c>
    </row>
    <row r="792" customFormat="false" ht="15" hidden="false" customHeight="false" outlineLevel="0" collapsed="false">
      <c r="A792" s="4" t="n">
        <v>788</v>
      </c>
      <c r="B792" s="14" t="n">
        <f aca="false">A792/12</f>
        <v>65.6666666666667</v>
      </c>
      <c r="C792" s="15" t="n">
        <f aca="false">INT(A792/6)</f>
        <v>131</v>
      </c>
      <c r="D792" s="16" t="n">
        <f aca="false">IF(C792=0,(1+Dic2023!$G$6)^(-B792),EXP(LN(INDEX(Dic2023!$H$6:$H$205,C792))+(LN(INDEX(Dic2023!$H$6:$H$205,MIN(C792+1,200)))-LN(INDEX(Dic2023!$H$6:$H$205,C792)))*(A792-6*C792)/6))</f>
        <v>0.0363916558801816</v>
      </c>
      <c r="E792" s="12" t="n">
        <f aca="false">D792^(-1/B792)-1</f>
        <v>0.0517528025</v>
      </c>
      <c r="F792" s="12" t="n">
        <f aca="false">(1+E792)^(1/12)-1</f>
        <v>0.00421369509431369</v>
      </c>
      <c r="G792" s="16" t="n">
        <f aca="false">IF(C792=0,(1+Dic2023!$J$6)^(-B792),EXP(LN(INDEX(Dic2023!$K$6:$K$205,C792))+(LN(INDEX(Dic2023!$K$6:$K$205,MIN(C792+1,200)))-LN(INDEX(Dic2023!$K$6:$K$205,C792)))*(A792-6*C792)/6))</f>
        <v>0.0363916558801816</v>
      </c>
      <c r="H792" s="12" t="n">
        <f aca="false">G792^(-1/B792)-1</f>
        <v>0.0517528025</v>
      </c>
      <c r="I792" s="12" t="n">
        <f aca="false">(1+H792)^(1/12)-1</f>
        <v>0.00421369509431369</v>
      </c>
      <c r="J792" s="16" t="n">
        <f aca="false">IF(C792=0,(1+Dic2023!$M$6)^(-B792),EXP(LN(INDEX(Dic2023!$N$6:$N$205,C792))+(LN(INDEX(Dic2023!$N$6:$N$205,MIN(C792+1,200)))-LN(INDEX(Dic2023!$N$6:$N$205,C792)))*(A792-6*C792)/6))</f>
        <v>0.0363916558801816</v>
      </c>
      <c r="K792" s="12" t="n">
        <f aca="false">J792^(-1/B792)-1</f>
        <v>0.0517528025</v>
      </c>
      <c r="L792" s="12" t="n">
        <f aca="false">(1+K792)^(1/12)-1</f>
        <v>0.00421369509431369</v>
      </c>
    </row>
    <row r="793" customFormat="false" ht="15" hidden="false" customHeight="false" outlineLevel="0" collapsed="false">
      <c r="A793" s="4" t="n">
        <v>789</v>
      </c>
      <c r="B793" s="14" t="n">
        <f aca="false">A793/12</f>
        <v>65.75</v>
      </c>
      <c r="C793" s="15" t="n">
        <f aca="false">INT(A793/6)</f>
        <v>131</v>
      </c>
      <c r="D793" s="16" t="n">
        <f aca="false">IF(C793=0,(1+Dic2023!$G$6)^(-B793),EXP(LN(INDEX(Dic2023!$H$6:$H$205,C793))+(LN(INDEX(Dic2023!$H$6:$H$205,MIN(C793+1,200)))-LN(INDEX(Dic2023!$H$6:$H$205,C793)))*(A793-6*C793)/6))</f>
        <v>0.0362389559691912</v>
      </c>
      <c r="E793" s="12" t="n">
        <f aca="false">D793^(-1/B793)-1</f>
        <v>0.0517528025</v>
      </c>
      <c r="F793" s="12" t="n">
        <f aca="false">(1+E793)^(1/12)-1</f>
        <v>0.00421369509431369</v>
      </c>
      <c r="G793" s="16" t="n">
        <f aca="false">IF(C793=0,(1+Dic2023!$J$6)^(-B793),EXP(LN(INDEX(Dic2023!$K$6:$K$205,C793))+(LN(INDEX(Dic2023!$K$6:$K$205,MIN(C793+1,200)))-LN(INDEX(Dic2023!$K$6:$K$205,C793)))*(A793-6*C793)/6))</f>
        <v>0.0362389559691912</v>
      </c>
      <c r="H793" s="12" t="n">
        <f aca="false">G793^(-1/B793)-1</f>
        <v>0.0517528025</v>
      </c>
      <c r="I793" s="12" t="n">
        <f aca="false">(1+H793)^(1/12)-1</f>
        <v>0.00421369509431369</v>
      </c>
      <c r="J793" s="16" t="n">
        <f aca="false">IF(C793=0,(1+Dic2023!$M$6)^(-B793),EXP(LN(INDEX(Dic2023!$N$6:$N$205,C793))+(LN(INDEX(Dic2023!$N$6:$N$205,MIN(C793+1,200)))-LN(INDEX(Dic2023!$N$6:$N$205,C793)))*(A793-6*C793)/6))</f>
        <v>0.0362389559691912</v>
      </c>
      <c r="K793" s="12" t="n">
        <f aca="false">J793^(-1/B793)-1</f>
        <v>0.0517528025</v>
      </c>
      <c r="L793" s="12" t="n">
        <f aca="false">(1+K793)^(1/12)-1</f>
        <v>0.00421369509431369</v>
      </c>
    </row>
    <row r="794" customFormat="false" ht="15" hidden="false" customHeight="false" outlineLevel="0" collapsed="false">
      <c r="A794" s="4" t="n">
        <v>790</v>
      </c>
      <c r="B794" s="14" t="n">
        <f aca="false">A794/12</f>
        <v>65.8333333333333</v>
      </c>
      <c r="C794" s="15" t="n">
        <f aca="false">INT(A794/6)</f>
        <v>131</v>
      </c>
      <c r="D794" s="16" t="n">
        <f aca="false">IF(C794=0,(1+Dic2023!$G$6)^(-B794),EXP(LN(INDEX(Dic2023!$H$6:$H$205,C794))+(LN(INDEX(Dic2023!$H$6:$H$205,MIN(C794+1,200)))-LN(INDEX(Dic2023!$H$6:$H$205,C794)))*(A794-6*C794)/6))</f>
        <v>0.0360868967892214</v>
      </c>
      <c r="E794" s="12" t="n">
        <f aca="false">D794^(-1/B794)-1</f>
        <v>0.0517528025</v>
      </c>
      <c r="F794" s="12" t="n">
        <f aca="false">(1+E794)^(1/12)-1</f>
        <v>0.00421369509431369</v>
      </c>
      <c r="G794" s="16" t="n">
        <f aca="false">IF(C794=0,(1+Dic2023!$J$6)^(-B794),EXP(LN(INDEX(Dic2023!$K$6:$K$205,C794))+(LN(INDEX(Dic2023!$K$6:$K$205,MIN(C794+1,200)))-LN(INDEX(Dic2023!$K$6:$K$205,C794)))*(A794-6*C794)/6))</f>
        <v>0.0360868967892214</v>
      </c>
      <c r="H794" s="12" t="n">
        <f aca="false">G794^(-1/B794)-1</f>
        <v>0.0517528025</v>
      </c>
      <c r="I794" s="12" t="n">
        <f aca="false">(1+H794)^(1/12)-1</f>
        <v>0.00421369509431369</v>
      </c>
      <c r="J794" s="16" t="n">
        <f aca="false">IF(C794=0,(1+Dic2023!$M$6)^(-B794),EXP(LN(INDEX(Dic2023!$N$6:$N$205,C794))+(LN(INDEX(Dic2023!$N$6:$N$205,MIN(C794+1,200)))-LN(INDEX(Dic2023!$N$6:$N$205,C794)))*(A794-6*C794)/6))</f>
        <v>0.0360868967892214</v>
      </c>
      <c r="K794" s="12" t="n">
        <f aca="false">J794^(-1/B794)-1</f>
        <v>0.0517528025</v>
      </c>
      <c r="L794" s="12" t="n">
        <f aca="false">(1+K794)^(1/12)-1</f>
        <v>0.00421369509431369</v>
      </c>
    </row>
    <row r="795" customFormat="false" ht="15" hidden="false" customHeight="false" outlineLevel="0" collapsed="false">
      <c r="A795" s="4" t="n">
        <v>791</v>
      </c>
      <c r="B795" s="14" t="n">
        <f aca="false">A795/12</f>
        <v>65.9166666666667</v>
      </c>
      <c r="C795" s="15" t="n">
        <f aca="false">INT(A795/6)</f>
        <v>131</v>
      </c>
      <c r="D795" s="16" t="n">
        <f aca="false">IF(C795=0,(1+Dic2023!$G$6)^(-B795),EXP(LN(INDEX(Dic2023!$H$6:$H$205,C795))+(LN(INDEX(Dic2023!$H$6:$H$205,MIN(C795+1,200)))-LN(INDEX(Dic2023!$H$6:$H$205,C795)))*(A795-6*C795)/6))</f>
        <v>0.0359354756517558</v>
      </c>
      <c r="E795" s="12" t="n">
        <f aca="false">D795^(-1/B795)-1</f>
        <v>0.0517528025</v>
      </c>
      <c r="F795" s="12" t="n">
        <f aca="false">(1+E795)^(1/12)-1</f>
        <v>0.00421369509431369</v>
      </c>
      <c r="G795" s="16" t="n">
        <f aca="false">IF(C795=0,(1+Dic2023!$J$6)^(-B795),EXP(LN(INDEX(Dic2023!$K$6:$K$205,C795))+(LN(INDEX(Dic2023!$K$6:$K$205,MIN(C795+1,200)))-LN(INDEX(Dic2023!$K$6:$K$205,C795)))*(A795-6*C795)/6))</f>
        <v>0.0359354756517558</v>
      </c>
      <c r="H795" s="12" t="n">
        <f aca="false">G795^(-1/B795)-1</f>
        <v>0.0517528025</v>
      </c>
      <c r="I795" s="12" t="n">
        <f aca="false">(1+H795)^(1/12)-1</f>
        <v>0.00421369509431369</v>
      </c>
      <c r="J795" s="16" t="n">
        <f aca="false">IF(C795=0,(1+Dic2023!$M$6)^(-B795),EXP(LN(INDEX(Dic2023!$N$6:$N$205,C795))+(LN(INDEX(Dic2023!$N$6:$N$205,MIN(C795+1,200)))-LN(INDEX(Dic2023!$N$6:$N$205,C795)))*(A795-6*C795)/6))</f>
        <v>0.0359354756517558</v>
      </c>
      <c r="K795" s="12" t="n">
        <f aca="false">J795^(-1/B795)-1</f>
        <v>0.0517528025</v>
      </c>
      <c r="L795" s="12" t="n">
        <f aca="false">(1+K795)^(1/12)-1</f>
        <v>0.00421369509431369</v>
      </c>
    </row>
    <row r="796" customFormat="false" ht="15" hidden="false" customHeight="false" outlineLevel="0" collapsed="false">
      <c r="A796" s="4" t="n">
        <v>792</v>
      </c>
      <c r="B796" s="14" t="n">
        <f aca="false">A796/12</f>
        <v>66</v>
      </c>
      <c r="C796" s="15" t="n">
        <f aca="false">INT(A796/6)</f>
        <v>132</v>
      </c>
      <c r="D796" s="16" t="n">
        <f aca="false">IF(C796=0,(1+Dic2023!$G$6)^(-B796),EXP(LN(INDEX(Dic2023!$H$6:$H$205,C796))+(LN(INDEX(Dic2023!$H$6:$H$205,MIN(C796+1,200)))-LN(INDEX(Dic2023!$H$6:$H$205,C796)))*(A796-6*C796)/6))</f>
        <v>0.0357846898795588</v>
      </c>
      <c r="E796" s="12" t="n">
        <f aca="false">D796^(-1/B796)-1</f>
        <v>0.0517528025</v>
      </c>
      <c r="F796" s="12" t="n">
        <f aca="false">(1+E796)^(1/12)-1</f>
        <v>0.00421369509431369</v>
      </c>
      <c r="G796" s="16" t="n">
        <f aca="false">IF(C796=0,(1+Dic2023!$J$6)^(-B796),EXP(LN(INDEX(Dic2023!$K$6:$K$205,C796))+(LN(INDEX(Dic2023!$K$6:$K$205,MIN(C796+1,200)))-LN(INDEX(Dic2023!$K$6:$K$205,C796)))*(A796-6*C796)/6))</f>
        <v>0.0357846898795588</v>
      </c>
      <c r="H796" s="12" t="n">
        <f aca="false">G796^(-1/B796)-1</f>
        <v>0.0517528025</v>
      </c>
      <c r="I796" s="12" t="n">
        <f aca="false">(1+H796)^(1/12)-1</f>
        <v>0.00421369509431369</v>
      </c>
      <c r="J796" s="16" t="n">
        <f aca="false">IF(C796=0,(1+Dic2023!$M$6)^(-B796),EXP(LN(INDEX(Dic2023!$N$6:$N$205,C796))+(LN(INDEX(Dic2023!$N$6:$N$205,MIN(C796+1,200)))-LN(INDEX(Dic2023!$N$6:$N$205,C796)))*(A796-6*C796)/6))</f>
        <v>0.0357846898795588</v>
      </c>
      <c r="K796" s="12" t="n">
        <f aca="false">J796^(-1/B796)-1</f>
        <v>0.0517528025</v>
      </c>
      <c r="L796" s="12" t="n">
        <f aca="false">(1+K796)^(1/12)-1</f>
        <v>0.00421369509431369</v>
      </c>
    </row>
    <row r="797" customFormat="false" ht="15" hidden="false" customHeight="false" outlineLevel="0" collapsed="false">
      <c r="A797" s="4" t="n">
        <v>793</v>
      </c>
      <c r="B797" s="14" t="n">
        <f aca="false">A797/12</f>
        <v>66.0833333333333</v>
      </c>
      <c r="C797" s="15" t="n">
        <f aca="false">INT(A797/6)</f>
        <v>132</v>
      </c>
      <c r="D797" s="16" t="n">
        <f aca="false">IF(C797=0,(1+Dic2023!$G$6)^(-B797),EXP(LN(INDEX(Dic2023!$H$6:$H$205,C797))+(LN(INDEX(Dic2023!$H$6:$H$205,MIN(C797+1,200)))-LN(INDEX(Dic2023!$H$6:$H$205,C797)))*(A797-6*C797)/6))</f>
        <v>0.0356345368066285</v>
      </c>
      <c r="E797" s="12" t="n">
        <f aca="false">D797^(-1/B797)-1</f>
        <v>0.0517528025</v>
      </c>
      <c r="F797" s="12" t="n">
        <f aca="false">(1+E797)^(1/12)-1</f>
        <v>0.00421369509431369</v>
      </c>
      <c r="G797" s="16" t="n">
        <f aca="false">IF(C797=0,(1+Dic2023!$J$6)^(-B797),EXP(LN(INDEX(Dic2023!$K$6:$K$205,C797))+(LN(INDEX(Dic2023!$K$6:$K$205,MIN(C797+1,200)))-LN(INDEX(Dic2023!$K$6:$K$205,C797)))*(A797-6*C797)/6))</f>
        <v>0.0356345368066285</v>
      </c>
      <c r="H797" s="12" t="n">
        <f aca="false">G797^(-1/B797)-1</f>
        <v>0.0517528025</v>
      </c>
      <c r="I797" s="12" t="n">
        <f aca="false">(1+H797)^(1/12)-1</f>
        <v>0.00421369509431369</v>
      </c>
      <c r="J797" s="16" t="n">
        <f aca="false">IF(C797=0,(1+Dic2023!$M$6)^(-B797),EXP(LN(INDEX(Dic2023!$N$6:$N$205,C797))+(LN(INDEX(Dic2023!$N$6:$N$205,MIN(C797+1,200)))-LN(INDEX(Dic2023!$N$6:$N$205,C797)))*(A797-6*C797)/6))</f>
        <v>0.0356345368066285</v>
      </c>
      <c r="K797" s="12" t="n">
        <f aca="false">J797^(-1/B797)-1</f>
        <v>0.0517528025</v>
      </c>
      <c r="L797" s="12" t="n">
        <f aca="false">(1+K797)^(1/12)-1</f>
        <v>0.00421369509431369</v>
      </c>
    </row>
    <row r="798" customFormat="false" ht="15" hidden="false" customHeight="false" outlineLevel="0" collapsed="false">
      <c r="A798" s="4" t="n">
        <v>794</v>
      </c>
      <c r="B798" s="14" t="n">
        <f aca="false">A798/12</f>
        <v>66.1666666666667</v>
      </c>
      <c r="C798" s="15" t="n">
        <f aca="false">INT(A798/6)</f>
        <v>132</v>
      </c>
      <c r="D798" s="16" t="n">
        <f aca="false">IF(C798=0,(1+Dic2023!$G$6)^(-B798),EXP(LN(INDEX(Dic2023!$H$6:$H$205,C798))+(LN(INDEX(Dic2023!$H$6:$H$205,MIN(C798+1,200)))-LN(INDEX(Dic2023!$H$6:$H$205,C798)))*(A798-6*C798)/6))</f>
        <v>0.0354850137781499</v>
      </c>
      <c r="E798" s="12" t="n">
        <f aca="false">D798^(-1/B798)-1</f>
        <v>0.0517528025</v>
      </c>
      <c r="F798" s="12" t="n">
        <f aca="false">(1+E798)^(1/12)-1</f>
        <v>0.00421369509431369</v>
      </c>
      <c r="G798" s="16" t="n">
        <f aca="false">IF(C798=0,(1+Dic2023!$J$6)^(-B798),EXP(LN(INDEX(Dic2023!$K$6:$K$205,C798))+(LN(INDEX(Dic2023!$K$6:$K$205,MIN(C798+1,200)))-LN(INDEX(Dic2023!$K$6:$K$205,C798)))*(A798-6*C798)/6))</f>
        <v>0.0354850137781499</v>
      </c>
      <c r="H798" s="12" t="n">
        <f aca="false">G798^(-1/B798)-1</f>
        <v>0.0517528025</v>
      </c>
      <c r="I798" s="12" t="n">
        <f aca="false">(1+H798)^(1/12)-1</f>
        <v>0.00421369509431369</v>
      </c>
      <c r="J798" s="16" t="n">
        <f aca="false">IF(C798=0,(1+Dic2023!$M$6)^(-B798),EXP(LN(INDEX(Dic2023!$N$6:$N$205,C798))+(LN(INDEX(Dic2023!$N$6:$N$205,MIN(C798+1,200)))-LN(INDEX(Dic2023!$N$6:$N$205,C798)))*(A798-6*C798)/6))</f>
        <v>0.0354850137781499</v>
      </c>
      <c r="K798" s="12" t="n">
        <f aca="false">J798^(-1/B798)-1</f>
        <v>0.0517528025</v>
      </c>
      <c r="L798" s="12" t="n">
        <f aca="false">(1+K798)^(1/12)-1</f>
        <v>0.00421369509431369</v>
      </c>
    </row>
    <row r="799" customFormat="false" ht="15" hidden="false" customHeight="false" outlineLevel="0" collapsed="false">
      <c r="A799" s="4" t="n">
        <v>795</v>
      </c>
      <c r="B799" s="14" t="n">
        <f aca="false">A799/12</f>
        <v>66.25</v>
      </c>
      <c r="C799" s="15" t="n">
        <f aca="false">INT(A799/6)</f>
        <v>132</v>
      </c>
      <c r="D799" s="16" t="n">
        <f aca="false">IF(C799=0,(1+Dic2023!$G$6)^(-B799),EXP(LN(INDEX(Dic2023!$H$6:$H$205,C799))+(LN(INDEX(Dic2023!$H$6:$H$205,MIN(C799+1,200)))-LN(INDEX(Dic2023!$H$6:$H$205,C799)))*(A799-6*C799)/6))</f>
        <v>0.0353361181504472</v>
      </c>
      <c r="E799" s="12" t="n">
        <f aca="false">D799^(-1/B799)-1</f>
        <v>0.0517528025</v>
      </c>
      <c r="F799" s="12" t="n">
        <f aca="false">(1+E799)^(1/12)-1</f>
        <v>0.00421369509431369</v>
      </c>
      <c r="G799" s="16" t="n">
        <f aca="false">IF(C799=0,(1+Dic2023!$J$6)^(-B799),EXP(LN(INDEX(Dic2023!$K$6:$K$205,C799))+(LN(INDEX(Dic2023!$K$6:$K$205,MIN(C799+1,200)))-LN(INDEX(Dic2023!$K$6:$K$205,C799)))*(A799-6*C799)/6))</f>
        <v>0.0353361181504472</v>
      </c>
      <c r="H799" s="12" t="n">
        <f aca="false">G799^(-1/B799)-1</f>
        <v>0.0517528025</v>
      </c>
      <c r="I799" s="12" t="n">
        <f aca="false">(1+H799)^(1/12)-1</f>
        <v>0.00421369509431369</v>
      </c>
      <c r="J799" s="16" t="n">
        <f aca="false">IF(C799=0,(1+Dic2023!$M$6)^(-B799),EXP(LN(INDEX(Dic2023!$N$6:$N$205,C799))+(LN(INDEX(Dic2023!$N$6:$N$205,MIN(C799+1,200)))-LN(INDEX(Dic2023!$N$6:$N$205,C799)))*(A799-6*C799)/6))</f>
        <v>0.0353361181504472</v>
      </c>
      <c r="K799" s="12" t="n">
        <f aca="false">J799^(-1/B799)-1</f>
        <v>0.0517528025</v>
      </c>
      <c r="L799" s="12" t="n">
        <f aca="false">(1+K799)^(1/12)-1</f>
        <v>0.00421369509431369</v>
      </c>
    </row>
    <row r="800" customFormat="false" ht="15" hidden="false" customHeight="false" outlineLevel="0" collapsed="false">
      <c r="A800" s="4" t="n">
        <v>796</v>
      </c>
      <c r="B800" s="14" t="n">
        <f aca="false">A800/12</f>
        <v>66.3333333333333</v>
      </c>
      <c r="C800" s="15" t="n">
        <f aca="false">INT(A800/6)</f>
        <v>132</v>
      </c>
      <c r="D800" s="16" t="n">
        <f aca="false">IF(C800=0,(1+Dic2023!$G$6)^(-B800),EXP(LN(INDEX(Dic2023!$H$6:$H$205,C800))+(LN(INDEX(Dic2023!$H$6:$H$205,MIN(C800+1,200)))-LN(INDEX(Dic2023!$H$6:$H$205,C800)))*(A800-6*C800)/6))</f>
        <v>0.035187847290938</v>
      </c>
      <c r="E800" s="12" t="n">
        <f aca="false">D800^(-1/B800)-1</f>
        <v>0.0517528025</v>
      </c>
      <c r="F800" s="12" t="n">
        <f aca="false">(1+E800)^(1/12)-1</f>
        <v>0.00421369509431369</v>
      </c>
      <c r="G800" s="16" t="n">
        <f aca="false">IF(C800=0,(1+Dic2023!$J$6)^(-B800),EXP(LN(INDEX(Dic2023!$K$6:$K$205,C800))+(LN(INDEX(Dic2023!$K$6:$K$205,MIN(C800+1,200)))-LN(INDEX(Dic2023!$K$6:$K$205,C800)))*(A800-6*C800)/6))</f>
        <v>0.035187847290938</v>
      </c>
      <c r="H800" s="12" t="n">
        <f aca="false">G800^(-1/B800)-1</f>
        <v>0.0517528025</v>
      </c>
      <c r="I800" s="12" t="n">
        <f aca="false">(1+H800)^(1/12)-1</f>
        <v>0.00421369509431369</v>
      </c>
      <c r="J800" s="16" t="n">
        <f aca="false">IF(C800=0,(1+Dic2023!$M$6)^(-B800),EXP(LN(INDEX(Dic2023!$N$6:$N$205,C800))+(LN(INDEX(Dic2023!$N$6:$N$205,MIN(C800+1,200)))-LN(INDEX(Dic2023!$N$6:$N$205,C800)))*(A800-6*C800)/6))</f>
        <v>0.035187847290938</v>
      </c>
      <c r="K800" s="12" t="n">
        <f aca="false">J800^(-1/B800)-1</f>
        <v>0.0517528025</v>
      </c>
      <c r="L800" s="12" t="n">
        <f aca="false">(1+K800)^(1/12)-1</f>
        <v>0.00421369509431369</v>
      </c>
    </row>
    <row r="801" customFormat="false" ht="15" hidden="false" customHeight="false" outlineLevel="0" collapsed="false">
      <c r="A801" s="4" t="n">
        <v>797</v>
      </c>
      <c r="B801" s="14" t="n">
        <f aca="false">A801/12</f>
        <v>66.4166666666667</v>
      </c>
      <c r="C801" s="15" t="n">
        <f aca="false">INT(A801/6)</f>
        <v>132</v>
      </c>
      <c r="D801" s="16" t="n">
        <f aca="false">IF(C801=0,(1+Dic2023!$G$6)^(-B801),EXP(LN(INDEX(Dic2023!$H$6:$H$205,C801))+(LN(INDEX(Dic2023!$H$6:$H$205,MIN(C801+1,200)))-LN(INDEX(Dic2023!$H$6:$H$205,C801)))*(A801-6*C801)/6))</f>
        <v>0.0350401985780857</v>
      </c>
      <c r="E801" s="12" t="n">
        <f aca="false">D801^(-1/B801)-1</f>
        <v>0.0517528025</v>
      </c>
      <c r="F801" s="12" t="n">
        <f aca="false">(1+E801)^(1/12)-1</f>
        <v>0.00421369509431369</v>
      </c>
      <c r="G801" s="16" t="n">
        <f aca="false">IF(C801=0,(1+Dic2023!$J$6)^(-B801),EXP(LN(INDEX(Dic2023!$K$6:$K$205,C801))+(LN(INDEX(Dic2023!$K$6:$K$205,MIN(C801+1,200)))-LN(INDEX(Dic2023!$K$6:$K$205,C801)))*(A801-6*C801)/6))</f>
        <v>0.0350401985780857</v>
      </c>
      <c r="H801" s="12" t="n">
        <f aca="false">G801^(-1/B801)-1</f>
        <v>0.0517528025</v>
      </c>
      <c r="I801" s="12" t="n">
        <f aca="false">(1+H801)^(1/12)-1</f>
        <v>0.00421369509431369</v>
      </c>
      <c r="J801" s="16" t="n">
        <f aca="false">IF(C801=0,(1+Dic2023!$M$6)^(-B801),EXP(LN(INDEX(Dic2023!$N$6:$N$205,C801))+(LN(INDEX(Dic2023!$N$6:$N$205,MIN(C801+1,200)))-LN(INDEX(Dic2023!$N$6:$N$205,C801)))*(A801-6*C801)/6))</f>
        <v>0.0350401985780857</v>
      </c>
      <c r="K801" s="12" t="n">
        <f aca="false">J801^(-1/B801)-1</f>
        <v>0.0517528025</v>
      </c>
      <c r="L801" s="12" t="n">
        <f aca="false">(1+K801)^(1/12)-1</f>
        <v>0.00421369509431369</v>
      </c>
    </row>
    <row r="802" customFormat="false" ht="15" hidden="false" customHeight="false" outlineLevel="0" collapsed="false">
      <c r="A802" s="4" t="n">
        <v>798</v>
      </c>
      <c r="B802" s="14" t="n">
        <f aca="false">A802/12</f>
        <v>66.5</v>
      </c>
      <c r="C802" s="15" t="n">
        <f aca="false">INT(A802/6)</f>
        <v>133</v>
      </c>
      <c r="D802" s="16" t="n">
        <f aca="false">IF(C802=0,(1+Dic2023!$G$6)^(-B802),EXP(LN(INDEX(Dic2023!$H$6:$H$205,C802))+(LN(INDEX(Dic2023!$H$6:$H$205,MIN(C802+1,200)))-LN(INDEX(Dic2023!$H$6:$H$205,C802)))*(A802-6*C802)/6))</f>
        <v>0.0348931694013542</v>
      </c>
      <c r="E802" s="12" t="n">
        <f aca="false">D802^(-1/B802)-1</f>
        <v>0.0517528025</v>
      </c>
      <c r="F802" s="12" t="n">
        <f aca="false">(1+E802)^(1/12)-1</f>
        <v>0.00421369509431369</v>
      </c>
      <c r="G802" s="16" t="n">
        <f aca="false">IF(C802=0,(1+Dic2023!$J$6)^(-B802),EXP(LN(INDEX(Dic2023!$K$6:$K$205,C802))+(LN(INDEX(Dic2023!$K$6:$K$205,MIN(C802+1,200)))-LN(INDEX(Dic2023!$K$6:$K$205,C802)))*(A802-6*C802)/6))</f>
        <v>0.0348931694013542</v>
      </c>
      <c r="H802" s="12" t="n">
        <f aca="false">G802^(-1/B802)-1</f>
        <v>0.0517528025</v>
      </c>
      <c r="I802" s="12" t="n">
        <f aca="false">(1+H802)^(1/12)-1</f>
        <v>0.00421369509431369</v>
      </c>
      <c r="J802" s="16" t="n">
        <f aca="false">IF(C802=0,(1+Dic2023!$M$6)^(-B802),EXP(LN(INDEX(Dic2023!$N$6:$N$205,C802))+(LN(INDEX(Dic2023!$N$6:$N$205,MIN(C802+1,200)))-LN(INDEX(Dic2023!$N$6:$N$205,C802)))*(A802-6*C802)/6))</f>
        <v>0.0348931694013542</v>
      </c>
      <c r="K802" s="12" t="n">
        <f aca="false">J802^(-1/B802)-1</f>
        <v>0.0517528025</v>
      </c>
      <c r="L802" s="12" t="n">
        <f aca="false">(1+K802)^(1/12)-1</f>
        <v>0.00421369509431369</v>
      </c>
    </row>
    <row r="803" customFormat="false" ht="15" hidden="false" customHeight="false" outlineLevel="0" collapsed="false">
      <c r="A803" s="4" t="n">
        <v>799</v>
      </c>
      <c r="B803" s="14" t="n">
        <f aca="false">A803/12</f>
        <v>66.5833333333333</v>
      </c>
      <c r="C803" s="15" t="n">
        <f aca="false">INT(A803/6)</f>
        <v>133</v>
      </c>
      <c r="D803" s="16" t="n">
        <f aca="false">IF(C803=0,(1+Dic2023!$G$6)^(-B803),EXP(LN(INDEX(Dic2023!$H$6:$H$205,C803))+(LN(INDEX(Dic2023!$H$6:$H$205,MIN(C803+1,200)))-LN(INDEX(Dic2023!$H$6:$H$205,C803)))*(A803-6*C803)/6))</f>
        <v>0.0347467571611609</v>
      </c>
      <c r="E803" s="12" t="n">
        <f aca="false">D803^(-1/B803)-1</f>
        <v>0.0517528025</v>
      </c>
      <c r="F803" s="12" t="n">
        <f aca="false">(1+E803)^(1/12)-1</f>
        <v>0.00421369509431369</v>
      </c>
      <c r="G803" s="16" t="n">
        <f aca="false">IF(C803=0,(1+Dic2023!$J$6)^(-B803),EXP(LN(INDEX(Dic2023!$K$6:$K$205,C803))+(LN(INDEX(Dic2023!$K$6:$K$205,MIN(C803+1,200)))-LN(INDEX(Dic2023!$K$6:$K$205,C803)))*(A803-6*C803)/6))</f>
        <v>0.0347467571611609</v>
      </c>
      <c r="H803" s="12" t="n">
        <f aca="false">G803^(-1/B803)-1</f>
        <v>0.0517528025</v>
      </c>
      <c r="I803" s="12" t="n">
        <f aca="false">(1+H803)^(1/12)-1</f>
        <v>0.00421369509431369</v>
      </c>
      <c r="J803" s="16" t="n">
        <f aca="false">IF(C803=0,(1+Dic2023!$M$6)^(-B803),EXP(LN(INDEX(Dic2023!$N$6:$N$205,C803))+(LN(INDEX(Dic2023!$N$6:$N$205,MIN(C803+1,200)))-LN(INDEX(Dic2023!$N$6:$N$205,C803)))*(A803-6*C803)/6))</f>
        <v>0.0347467571611609</v>
      </c>
      <c r="K803" s="12" t="n">
        <f aca="false">J803^(-1/B803)-1</f>
        <v>0.0517528025</v>
      </c>
      <c r="L803" s="12" t="n">
        <f aca="false">(1+K803)^(1/12)-1</f>
        <v>0.00421369509431369</v>
      </c>
    </row>
    <row r="804" customFormat="false" ht="15" hidden="false" customHeight="false" outlineLevel="0" collapsed="false">
      <c r="A804" s="4" t="n">
        <v>800</v>
      </c>
      <c r="B804" s="14" t="n">
        <f aca="false">A804/12</f>
        <v>66.6666666666667</v>
      </c>
      <c r="C804" s="15" t="n">
        <f aca="false">INT(A804/6)</f>
        <v>133</v>
      </c>
      <c r="D804" s="16" t="n">
        <f aca="false">IF(C804=0,(1+Dic2023!$G$6)^(-B804),EXP(LN(INDEX(Dic2023!$H$6:$H$205,C804))+(LN(INDEX(Dic2023!$H$6:$H$205,MIN(C804+1,200)))-LN(INDEX(Dic2023!$H$6:$H$205,C804)))*(A804-6*C804)/6))</f>
        <v>0.0346009592688312</v>
      </c>
      <c r="E804" s="12" t="n">
        <f aca="false">D804^(-1/B804)-1</f>
        <v>0.0517528025</v>
      </c>
      <c r="F804" s="12" t="n">
        <f aca="false">(1+E804)^(1/12)-1</f>
        <v>0.00421369509431369</v>
      </c>
      <c r="G804" s="16" t="n">
        <f aca="false">IF(C804=0,(1+Dic2023!$J$6)^(-B804),EXP(LN(INDEX(Dic2023!$K$6:$K$205,C804))+(LN(INDEX(Dic2023!$K$6:$K$205,MIN(C804+1,200)))-LN(INDEX(Dic2023!$K$6:$K$205,C804)))*(A804-6*C804)/6))</f>
        <v>0.0346009592688312</v>
      </c>
      <c r="H804" s="12" t="n">
        <f aca="false">G804^(-1/B804)-1</f>
        <v>0.0517528025</v>
      </c>
      <c r="I804" s="12" t="n">
        <f aca="false">(1+H804)^(1/12)-1</f>
        <v>0.00421369509431369</v>
      </c>
      <c r="J804" s="16" t="n">
        <f aca="false">IF(C804=0,(1+Dic2023!$M$6)^(-B804),EXP(LN(INDEX(Dic2023!$N$6:$N$205,C804))+(LN(INDEX(Dic2023!$N$6:$N$205,MIN(C804+1,200)))-LN(INDEX(Dic2023!$N$6:$N$205,C804)))*(A804-6*C804)/6))</f>
        <v>0.0346009592688312</v>
      </c>
      <c r="K804" s="12" t="n">
        <f aca="false">J804^(-1/B804)-1</f>
        <v>0.0517528025</v>
      </c>
      <c r="L804" s="12" t="n">
        <f aca="false">(1+K804)^(1/12)-1</f>
        <v>0.00421369509431369</v>
      </c>
    </row>
    <row r="805" customFormat="false" ht="15" hidden="false" customHeight="false" outlineLevel="0" collapsed="false">
      <c r="A805" s="4" t="n">
        <v>801</v>
      </c>
      <c r="B805" s="14" t="n">
        <f aca="false">A805/12</f>
        <v>66.75</v>
      </c>
      <c r="C805" s="15" t="n">
        <f aca="false">INT(A805/6)</f>
        <v>133</v>
      </c>
      <c r="D805" s="16" t="n">
        <f aca="false">IF(C805=0,(1+Dic2023!$G$6)^(-B805),EXP(LN(INDEX(Dic2023!$H$6:$H$205,C805))+(LN(INDEX(Dic2023!$H$6:$H$205,MIN(C805+1,200)))-LN(INDEX(Dic2023!$H$6:$H$205,C805)))*(A805-6*C805)/6))</f>
        <v>0.0344557731465528</v>
      </c>
      <c r="E805" s="12" t="n">
        <f aca="false">D805^(-1/B805)-1</f>
        <v>0.0517528025</v>
      </c>
      <c r="F805" s="12" t="n">
        <f aca="false">(1+E805)^(1/12)-1</f>
        <v>0.00421369509431369</v>
      </c>
      <c r="G805" s="16" t="n">
        <f aca="false">IF(C805=0,(1+Dic2023!$J$6)^(-B805),EXP(LN(INDEX(Dic2023!$K$6:$K$205,C805))+(LN(INDEX(Dic2023!$K$6:$K$205,MIN(C805+1,200)))-LN(INDEX(Dic2023!$K$6:$K$205,C805)))*(A805-6*C805)/6))</f>
        <v>0.0344557731465528</v>
      </c>
      <c r="H805" s="12" t="n">
        <f aca="false">G805^(-1/B805)-1</f>
        <v>0.0517528025</v>
      </c>
      <c r="I805" s="12" t="n">
        <f aca="false">(1+H805)^(1/12)-1</f>
        <v>0.00421369509431369</v>
      </c>
      <c r="J805" s="16" t="n">
        <f aca="false">IF(C805=0,(1+Dic2023!$M$6)^(-B805),EXP(LN(INDEX(Dic2023!$N$6:$N$205,C805))+(LN(INDEX(Dic2023!$N$6:$N$205,MIN(C805+1,200)))-LN(INDEX(Dic2023!$N$6:$N$205,C805)))*(A805-6*C805)/6))</f>
        <v>0.0344557731465528</v>
      </c>
      <c r="K805" s="12" t="n">
        <f aca="false">J805^(-1/B805)-1</f>
        <v>0.0517528025</v>
      </c>
      <c r="L805" s="12" t="n">
        <f aca="false">(1+K805)^(1/12)-1</f>
        <v>0.00421369509431369</v>
      </c>
    </row>
    <row r="806" customFormat="false" ht="15" hidden="false" customHeight="false" outlineLevel="0" collapsed="false">
      <c r="A806" s="4" t="n">
        <v>802</v>
      </c>
      <c r="B806" s="14" t="n">
        <f aca="false">A806/12</f>
        <v>66.8333333333333</v>
      </c>
      <c r="C806" s="15" t="n">
        <f aca="false">INT(A806/6)</f>
        <v>133</v>
      </c>
      <c r="D806" s="16" t="n">
        <f aca="false">IF(C806=0,(1+Dic2023!$G$6)^(-B806),EXP(LN(INDEX(Dic2023!$H$6:$H$205,C806))+(LN(INDEX(Dic2023!$H$6:$H$205,MIN(C806+1,200)))-LN(INDEX(Dic2023!$H$6:$H$205,C806)))*(A806-6*C806)/6))</f>
        <v>0.0343111962273297</v>
      </c>
      <c r="E806" s="12" t="n">
        <f aca="false">D806^(-1/B806)-1</f>
        <v>0.0517528025</v>
      </c>
      <c r="F806" s="12" t="n">
        <f aca="false">(1+E806)^(1/12)-1</f>
        <v>0.00421369509431369</v>
      </c>
      <c r="G806" s="16" t="n">
        <f aca="false">IF(C806=0,(1+Dic2023!$J$6)^(-B806),EXP(LN(INDEX(Dic2023!$K$6:$K$205,C806))+(LN(INDEX(Dic2023!$K$6:$K$205,MIN(C806+1,200)))-LN(INDEX(Dic2023!$K$6:$K$205,C806)))*(A806-6*C806)/6))</f>
        <v>0.0343111962273297</v>
      </c>
      <c r="H806" s="12" t="n">
        <f aca="false">G806^(-1/B806)-1</f>
        <v>0.0517528025</v>
      </c>
      <c r="I806" s="12" t="n">
        <f aca="false">(1+H806)^(1/12)-1</f>
        <v>0.00421369509431369</v>
      </c>
      <c r="J806" s="16" t="n">
        <f aca="false">IF(C806=0,(1+Dic2023!$M$6)^(-B806),EXP(LN(INDEX(Dic2023!$N$6:$N$205,C806))+(LN(INDEX(Dic2023!$N$6:$N$205,MIN(C806+1,200)))-LN(INDEX(Dic2023!$N$6:$N$205,C806)))*(A806-6*C806)/6))</f>
        <v>0.0343111962273297</v>
      </c>
      <c r="K806" s="12" t="n">
        <f aca="false">J806^(-1/B806)-1</f>
        <v>0.0517528025</v>
      </c>
      <c r="L806" s="12" t="n">
        <f aca="false">(1+K806)^(1/12)-1</f>
        <v>0.00421369509431369</v>
      </c>
    </row>
    <row r="807" customFormat="false" ht="15" hidden="false" customHeight="false" outlineLevel="0" collapsed="false">
      <c r="A807" s="4" t="n">
        <v>803</v>
      </c>
      <c r="B807" s="14" t="n">
        <f aca="false">A807/12</f>
        <v>66.9166666666667</v>
      </c>
      <c r="C807" s="15" t="n">
        <f aca="false">INT(A807/6)</f>
        <v>133</v>
      </c>
      <c r="D807" s="16" t="n">
        <f aca="false">IF(C807=0,(1+Dic2023!$G$6)^(-B807),EXP(LN(INDEX(Dic2023!$H$6:$H$205,C807))+(LN(INDEX(Dic2023!$H$6:$H$205,MIN(C807+1,200)))-LN(INDEX(Dic2023!$H$6:$H$205,C807)))*(A807-6*C807)/6))</f>
        <v>0.0341672259549371</v>
      </c>
      <c r="E807" s="12" t="n">
        <f aca="false">D807^(-1/B807)-1</f>
        <v>0.0517528025</v>
      </c>
      <c r="F807" s="12" t="n">
        <f aca="false">(1+E807)^(1/12)-1</f>
        <v>0.00421369509431369</v>
      </c>
      <c r="G807" s="16" t="n">
        <f aca="false">IF(C807=0,(1+Dic2023!$J$6)^(-B807),EXP(LN(INDEX(Dic2023!$K$6:$K$205,C807))+(LN(INDEX(Dic2023!$K$6:$K$205,MIN(C807+1,200)))-LN(INDEX(Dic2023!$K$6:$K$205,C807)))*(A807-6*C807)/6))</f>
        <v>0.0341672259549371</v>
      </c>
      <c r="H807" s="12" t="n">
        <f aca="false">G807^(-1/B807)-1</f>
        <v>0.0517528025</v>
      </c>
      <c r="I807" s="12" t="n">
        <f aca="false">(1+H807)^(1/12)-1</f>
        <v>0.00421369509431369</v>
      </c>
      <c r="J807" s="16" t="n">
        <f aca="false">IF(C807=0,(1+Dic2023!$M$6)^(-B807),EXP(LN(INDEX(Dic2023!$N$6:$N$205,C807))+(LN(INDEX(Dic2023!$N$6:$N$205,MIN(C807+1,200)))-LN(INDEX(Dic2023!$N$6:$N$205,C807)))*(A807-6*C807)/6))</f>
        <v>0.0341672259549371</v>
      </c>
      <c r="K807" s="12" t="n">
        <f aca="false">J807^(-1/B807)-1</f>
        <v>0.0517528025</v>
      </c>
      <c r="L807" s="12" t="n">
        <f aca="false">(1+K807)^(1/12)-1</f>
        <v>0.00421369509431369</v>
      </c>
    </row>
    <row r="808" customFormat="false" ht="15" hidden="false" customHeight="false" outlineLevel="0" collapsed="false">
      <c r="A808" s="4" t="n">
        <v>804</v>
      </c>
      <c r="B808" s="14" t="n">
        <f aca="false">A808/12</f>
        <v>67</v>
      </c>
      <c r="C808" s="15" t="n">
        <f aca="false">INT(A808/6)</f>
        <v>134</v>
      </c>
      <c r="D808" s="16" t="n">
        <f aca="false">IF(C808=0,(1+Dic2023!$G$6)^(-B808),EXP(LN(INDEX(Dic2023!$H$6:$H$205,C808))+(LN(INDEX(Dic2023!$H$6:$H$205,MIN(C808+1,200)))-LN(INDEX(Dic2023!$H$6:$H$205,C808)))*(A808-6*C808)/6))</f>
        <v>0.0340238597838761</v>
      </c>
      <c r="E808" s="12" t="n">
        <f aca="false">D808^(-1/B808)-1</f>
        <v>0.0517528025</v>
      </c>
      <c r="F808" s="12" t="n">
        <f aca="false">(1+E808)^(1/12)-1</f>
        <v>0.00421369509431369</v>
      </c>
      <c r="G808" s="16" t="n">
        <f aca="false">IF(C808=0,(1+Dic2023!$J$6)^(-B808),EXP(LN(INDEX(Dic2023!$K$6:$K$205,C808))+(LN(INDEX(Dic2023!$K$6:$K$205,MIN(C808+1,200)))-LN(INDEX(Dic2023!$K$6:$K$205,C808)))*(A808-6*C808)/6))</f>
        <v>0.0340238597838761</v>
      </c>
      <c r="H808" s="12" t="n">
        <f aca="false">G808^(-1/B808)-1</f>
        <v>0.0517528025</v>
      </c>
      <c r="I808" s="12" t="n">
        <f aca="false">(1+H808)^(1/12)-1</f>
        <v>0.00421369509431369</v>
      </c>
      <c r="J808" s="16" t="n">
        <f aca="false">IF(C808=0,(1+Dic2023!$M$6)^(-B808),EXP(LN(INDEX(Dic2023!$N$6:$N$205,C808))+(LN(INDEX(Dic2023!$N$6:$N$205,MIN(C808+1,200)))-LN(INDEX(Dic2023!$N$6:$N$205,C808)))*(A808-6*C808)/6))</f>
        <v>0.0340238597838761</v>
      </c>
      <c r="K808" s="12" t="n">
        <f aca="false">J808^(-1/B808)-1</f>
        <v>0.0517528025</v>
      </c>
      <c r="L808" s="12" t="n">
        <f aca="false">(1+K808)^(1/12)-1</f>
        <v>0.00421369509431369</v>
      </c>
    </row>
    <row r="809" customFormat="false" ht="15" hidden="false" customHeight="false" outlineLevel="0" collapsed="false">
      <c r="A809" s="4" t="n">
        <v>805</v>
      </c>
      <c r="B809" s="14" t="n">
        <f aca="false">A809/12</f>
        <v>67.0833333333333</v>
      </c>
      <c r="C809" s="15" t="n">
        <f aca="false">INT(A809/6)</f>
        <v>134</v>
      </c>
      <c r="D809" s="16" t="n">
        <f aca="false">IF(C809=0,(1+Dic2023!$G$6)^(-B809),EXP(LN(INDEX(Dic2023!$H$6:$H$205,C809))+(LN(INDEX(Dic2023!$H$6:$H$205,MIN(C809+1,200)))-LN(INDEX(Dic2023!$H$6:$H$205,C809)))*(A809-6*C809)/6))</f>
        <v>0.033881095179329</v>
      </c>
      <c r="E809" s="12" t="n">
        <f aca="false">D809^(-1/B809)-1</f>
        <v>0.0517528025</v>
      </c>
      <c r="F809" s="12" t="n">
        <f aca="false">(1+E809)^(1/12)-1</f>
        <v>0.00421369509431369</v>
      </c>
      <c r="G809" s="16" t="n">
        <f aca="false">IF(C809=0,(1+Dic2023!$J$6)^(-B809),EXP(LN(INDEX(Dic2023!$K$6:$K$205,C809))+(LN(INDEX(Dic2023!$K$6:$K$205,MIN(C809+1,200)))-LN(INDEX(Dic2023!$K$6:$K$205,C809)))*(A809-6*C809)/6))</f>
        <v>0.033881095179329</v>
      </c>
      <c r="H809" s="12" t="n">
        <f aca="false">G809^(-1/B809)-1</f>
        <v>0.0517528025</v>
      </c>
      <c r="I809" s="12" t="n">
        <f aca="false">(1+H809)^(1/12)-1</f>
        <v>0.00421369509431369</v>
      </c>
      <c r="J809" s="16" t="n">
        <f aca="false">IF(C809=0,(1+Dic2023!$M$6)^(-B809),EXP(LN(INDEX(Dic2023!$N$6:$N$205,C809))+(LN(INDEX(Dic2023!$N$6:$N$205,MIN(C809+1,200)))-LN(INDEX(Dic2023!$N$6:$N$205,C809)))*(A809-6*C809)/6))</f>
        <v>0.033881095179329</v>
      </c>
      <c r="K809" s="12" t="n">
        <f aca="false">J809^(-1/B809)-1</f>
        <v>0.0517528025</v>
      </c>
      <c r="L809" s="12" t="n">
        <f aca="false">(1+K809)^(1/12)-1</f>
        <v>0.00421369509431369</v>
      </c>
    </row>
    <row r="810" customFormat="false" ht="15" hidden="false" customHeight="false" outlineLevel="0" collapsed="false">
      <c r="A810" s="4" t="n">
        <v>806</v>
      </c>
      <c r="B810" s="14" t="n">
        <f aca="false">A810/12</f>
        <v>67.1666666666667</v>
      </c>
      <c r="C810" s="15" t="n">
        <f aca="false">INT(A810/6)</f>
        <v>134</v>
      </c>
      <c r="D810" s="16" t="n">
        <f aca="false">IF(C810=0,(1+Dic2023!$G$6)^(-B810),EXP(LN(INDEX(Dic2023!$H$6:$H$205,C810))+(LN(INDEX(Dic2023!$H$6:$H$205,MIN(C810+1,200)))-LN(INDEX(Dic2023!$H$6:$H$205,C810)))*(A810-6*C810)/6))</f>
        <v>0.033738929617114</v>
      </c>
      <c r="E810" s="12" t="n">
        <f aca="false">D810^(-1/B810)-1</f>
        <v>0.0517528025</v>
      </c>
      <c r="F810" s="12" t="n">
        <f aca="false">(1+E810)^(1/12)-1</f>
        <v>0.00421369509431369</v>
      </c>
      <c r="G810" s="16" t="n">
        <f aca="false">IF(C810=0,(1+Dic2023!$J$6)^(-B810),EXP(LN(INDEX(Dic2023!$K$6:$K$205,C810))+(LN(INDEX(Dic2023!$K$6:$K$205,MIN(C810+1,200)))-LN(INDEX(Dic2023!$K$6:$K$205,C810)))*(A810-6*C810)/6))</f>
        <v>0.033738929617114</v>
      </c>
      <c r="H810" s="12" t="n">
        <f aca="false">G810^(-1/B810)-1</f>
        <v>0.0517528025</v>
      </c>
      <c r="I810" s="12" t="n">
        <f aca="false">(1+H810)^(1/12)-1</f>
        <v>0.00421369509431369</v>
      </c>
      <c r="J810" s="16" t="n">
        <f aca="false">IF(C810=0,(1+Dic2023!$M$6)^(-B810),EXP(LN(INDEX(Dic2023!$N$6:$N$205,C810))+(LN(INDEX(Dic2023!$N$6:$N$205,MIN(C810+1,200)))-LN(INDEX(Dic2023!$N$6:$N$205,C810)))*(A810-6*C810)/6))</f>
        <v>0.033738929617114</v>
      </c>
      <c r="K810" s="12" t="n">
        <f aca="false">J810^(-1/B810)-1</f>
        <v>0.0517528025</v>
      </c>
      <c r="L810" s="12" t="n">
        <f aca="false">(1+K810)^(1/12)-1</f>
        <v>0.00421369509431369</v>
      </c>
    </row>
    <row r="811" customFormat="false" ht="15" hidden="false" customHeight="false" outlineLevel="0" collapsed="false">
      <c r="A811" s="4" t="n">
        <v>807</v>
      </c>
      <c r="B811" s="14" t="n">
        <f aca="false">A811/12</f>
        <v>67.25</v>
      </c>
      <c r="C811" s="15" t="n">
        <f aca="false">INT(A811/6)</f>
        <v>134</v>
      </c>
      <c r="D811" s="16" t="n">
        <f aca="false">IF(C811=0,(1+Dic2023!$G$6)^(-B811),EXP(LN(INDEX(Dic2023!$H$6:$H$205,C811))+(LN(INDEX(Dic2023!$H$6:$H$205,MIN(C811+1,200)))-LN(INDEX(Dic2023!$H$6:$H$205,C811)))*(A811-6*C811)/6))</f>
        <v>0.0335973605836408</v>
      </c>
      <c r="E811" s="12" t="n">
        <f aca="false">D811^(-1/B811)-1</f>
        <v>0.0517528025</v>
      </c>
      <c r="F811" s="12" t="n">
        <f aca="false">(1+E811)^(1/12)-1</f>
        <v>0.00421369509431369</v>
      </c>
      <c r="G811" s="16" t="n">
        <f aca="false">IF(C811=0,(1+Dic2023!$J$6)^(-B811),EXP(LN(INDEX(Dic2023!$K$6:$K$205,C811))+(LN(INDEX(Dic2023!$K$6:$K$205,MIN(C811+1,200)))-LN(INDEX(Dic2023!$K$6:$K$205,C811)))*(A811-6*C811)/6))</f>
        <v>0.0335973605836408</v>
      </c>
      <c r="H811" s="12" t="n">
        <f aca="false">G811^(-1/B811)-1</f>
        <v>0.0517528025</v>
      </c>
      <c r="I811" s="12" t="n">
        <f aca="false">(1+H811)^(1/12)-1</f>
        <v>0.00421369509431369</v>
      </c>
      <c r="J811" s="16" t="n">
        <f aca="false">IF(C811=0,(1+Dic2023!$M$6)^(-B811),EXP(LN(INDEX(Dic2023!$N$6:$N$205,C811))+(LN(INDEX(Dic2023!$N$6:$N$205,MIN(C811+1,200)))-LN(INDEX(Dic2023!$N$6:$N$205,C811)))*(A811-6*C811)/6))</f>
        <v>0.0335973605836408</v>
      </c>
      <c r="K811" s="12" t="n">
        <f aca="false">J811^(-1/B811)-1</f>
        <v>0.0517528025</v>
      </c>
      <c r="L811" s="12" t="n">
        <f aca="false">(1+K811)^(1/12)-1</f>
        <v>0.00421369509431369</v>
      </c>
    </row>
    <row r="812" customFormat="false" ht="15" hidden="false" customHeight="false" outlineLevel="0" collapsed="false">
      <c r="A812" s="4" t="n">
        <v>808</v>
      </c>
      <c r="B812" s="14" t="n">
        <f aca="false">A812/12</f>
        <v>67.3333333333333</v>
      </c>
      <c r="C812" s="15" t="n">
        <f aca="false">INT(A812/6)</f>
        <v>134</v>
      </c>
      <c r="D812" s="16" t="n">
        <f aca="false">IF(C812=0,(1+Dic2023!$G$6)^(-B812),EXP(LN(INDEX(Dic2023!$H$6:$H$205,C812))+(LN(INDEX(Dic2023!$H$6:$H$205,MIN(C812+1,200)))-LN(INDEX(Dic2023!$H$6:$H$205,C812)))*(A812-6*C812)/6))</f>
        <v>0.0334563855758663</v>
      </c>
      <c r="E812" s="12" t="n">
        <f aca="false">D812^(-1/B812)-1</f>
        <v>0.0517528025</v>
      </c>
      <c r="F812" s="12" t="n">
        <f aca="false">(1+E812)^(1/12)-1</f>
        <v>0.00421369509431369</v>
      </c>
      <c r="G812" s="16" t="n">
        <f aca="false">IF(C812=0,(1+Dic2023!$J$6)^(-B812),EXP(LN(INDEX(Dic2023!$K$6:$K$205,C812))+(LN(INDEX(Dic2023!$K$6:$K$205,MIN(C812+1,200)))-LN(INDEX(Dic2023!$K$6:$K$205,C812)))*(A812-6*C812)/6))</f>
        <v>0.0334563855758663</v>
      </c>
      <c r="H812" s="12" t="n">
        <f aca="false">G812^(-1/B812)-1</f>
        <v>0.0517528025</v>
      </c>
      <c r="I812" s="12" t="n">
        <f aca="false">(1+H812)^(1/12)-1</f>
        <v>0.00421369509431369</v>
      </c>
      <c r="J812" s="16" t="n">
        <f aca="false">IF(C812=0,(1+Dic2023!$M$6)^(-B812),EXP(LN(INDEX(Dic2023!$N$6:$N$205,C812))+(LN(INDEX(Dic2023!$N$6:$N$205,MIN(C812+1,200)))-LN(INDEX(Dic2023!$N$6:$N$205,C812)))*(A812-6*C812)/6))</f>
        <v>0.0334563855758663</v>
      </c>
      <c r="K812" s="12" t="n">
        <f aca="false">J812^(-1/B812)-1</f>
        <v>0.0517528025</v>
      </c>
      <c r="L812" s="12" t="n">
        <f aca="false">(1+K812)^(1/12)-1</f>
        <v>0.00421369509431369</v>
      </c>
    </row>
    <row r="813" customFormat="false" ht="15" hidden="false" customHeight="false" outlineLevel="0" collapsed="false">
      <c r="A813" s="4" t="n">
        <v>809</v>
      </c>
      <c r="B813" s="14" t="n">
        <f aca="false">A813/12</f>
        <v>67.4166666666667</v>
      </c>
      <c r="C813" s="15" t="n">
        <f aca="false">INT(A813/6)</f>
        <v>134</v>
      </c>
      <c r="D813" s="16" t="n">
        <f aca="false">IF(C813=0,(1+Dic2023!$G$6)^(-B813),EXP(LN(INDEX(Dic2023!$H$6:$H$205,C813))+(LN(INDEX(Dic2023!$H$6:$H$205,MIN(C813+1,200)))-LN(INDEX(Dic2023!$H$6:$H$205,C813)))*(A813-6*C813)/6))</f>
        <v>0.0333160021012501</v>
      </c>
      <c r="E813" s="12" t="n">
        <f aca="false">D813^(-1/B813)-1</f>
        <v>0.0517528025</v>
      </c>
      <c r="F813" s="12" t="n">
        <f aca="false">(1+E813)^(1/12)-1</f>
        <v>0.00421369509431369</v>
      </c>
      <c r="G813" s="16" t="n">
        <f aca="false">IF(C813=0,(1+Dic2023!$J$6)^(-B813),EXP(LN(INDEX(Dic2023!$K$6:$K$205,C813))+(LN(INDEX(Dic2023!$K$6:$K$205,MIN(C813+1,200)))-LN(INDEX(Dic2023!$K$6:$K$205,C813)))*(A813-6*C813)/6))</f>
        <v>0.0333160021012501</v>
      </c>
      <c r="H813" s="12" t="n">
        <f aca="false">G813^(-1/B813)-1</f>
        <v>0.0517528025</v>
      </c>
      <c r="I813" s="12" t="n">
        <f aca="false">(1+H813)^(1/12)-1</f>
        <v>0.00421369509431369</v>
      </c>
      <c r="J813" s="16" t="n">
        <f aca="false">IF(C813=0,(1+Dic2023!$M$6)^(-B813),EXP(LN(INDEX(Dic2023!$N$6:$N$205,C813))+(LN(INDEX(Dic2023!$N$6:$N$205,MIN(C813+1,200)))-LN(INDEX(Dic2023!$N$6:$N$205,C813)))*(A813-6*C813)/6))</f>
        <v>0.0333160021012501</v>
      </c>
      <c r="K813" s="12" t="n">
        <f aca="false">J813^(-1/B813)-1</f>
        <v>0.0517528025</v>
      </c>
      <c r="L813" s="12" t="n">
        <f aca="false">(1+K813)^(1/12)-1</f>
        <v>0.00421369509431369</v>
      </c>
    </row>
    <row r="814" customFormat="false" ht="15" hidden="false" customHeight="false" outlineLevel="0" collapsed="false">
      <c r="A814" s="4" t="n">
        <v>810</v>
      </c>
      <c r="B814" s="14" t="n">
        <f aca="false">A814/12</f>
        <v>67.5</v>
      </c>
      <c r="C814" s="15" t="n">
        <f aca="false">INT(A814/6)</f>
        <v>135</v>
      </c>
      <c r="D814" s="16" t="n">
        <f aca="false">IF(C814=0,(1+Dic2023!$G$6)^(-B814),EXP(LN(INDEX(Dic2023!$H$6:$H$205,C814))+(LN(INDEX(Dic2023!$H$6:$H$205,MIN(C814+1,200)))-LN(INDEX(Dic2023!$H$6:$H$205,C814)))*(A814-6*C814)/6))</f>
        <v>0.0331762076777106</v>
      </c>
      <c r="E814" s="12" t="n">
        <f aca="false">D814^(-1/B814)-1</f>
        <v>0.0517528025</v>
      </c>
      <c r="F814" s="12" t="n">
        <f aca="false">(1+E814)^(1/12)-1</f>
        <v>0.00421369509431369</v>
      </c>
      <c r="G814" s="16" t="n">
        <f aca="false">IF(C814=0,(1+Dic2023!$J$6)^(-B814),EXP(LN(INDEX(Dic2023!$K$6:$K$205,C814))+(LN(INDEX(Dic2023!$K$6:$K$205,MIN(C814+1,200)))-LN(INDEX(Dic2023!$K$6:$K$205,C814)))*(A814-6*C814)/6))</f>
        <v>0.0331762076777106</v>
      </c>
      <c r="H814" s="12" t="n">
        <f aca="false">G814^(-1/B814)-1</f>
        <v>0.0517528025</v>
      </c>
      <c r="I814" s="12" t="n">
        <f aca="false">(1+H814)^(1/12)-1</f>
        <v>0.00421369509431369</v>
      </c>
      <c r="J814" s="16" t="n">
        <f aca="false">IF(C814=0,(1+Dic2023!$M$6)^(-B814),EXP(LN(INDEX(Dic2023!$N$6:$N$205,C814))+(LN(INDEX(Dic2023!$N$6:$N$205,MIN(C814+1,200)))-LN(INDEX(Dic2023!$N$6:$N$205,C814)))*(A814-6*C814)/6))</f>
        <v>0.0331762076777106</v>
      </c>
      <c r="K814" s="12" t="n">
        <f aca="false">J814^(-1/B814)-1</f>
        <v>0.0517528025</v>
      </c>
      <c r="L814" s="12" t="n">
        <f aca="false">(1+K814)^(1/12)-1</f>
        <v>0.00421369509431369</v>
      </c>
    </row>
    <row r="815" customFormat="false" ht="15" hidden="false" customHeight="false" outlineLevel="0" collapsed="false">
      <c r="A815" s="4" t="n">
        <v>811</v>
      </c>
      <c r="B815" s="14" t="n">
        <f aca="false">A815/12</f>
        <v>67.5833333333333</v>
      </c>
      <c r="C815" s="15" t="n">
        <f aca="false">INT(A815/6)</f>
        <v>135</v>
      </c>
      <c r="D815" s="16" t="n">
        <f aca="false">IF(C815=0,(1+Dic2023!$G$6)^(-B815),EXP(LN(INDEX(Dic2023!$H$6:$H$205,C815))+(LN(INDEX(Dic2023!$H$6:$H$205,MIN(C815+1,200)))-LN(INDEX(Dic2023!$H$6:$H$205,C815)))*(A815-6*C815)/6))</f>
        <v>0.033036999833581</v>
      </c>
      <c r="E815" s="12" t="n">
        <f aca="false">D815^(-1/B815)-1</f>
        <v>0.0517528025</v>
      </c>
      <c r="F815" s="12" t="n">
        <f aca="false">(1+E815)^(1/12)-1</f>
        <v>0.00421369509431369</v>
      </c>
      <c r="G815" s="16" t="n">
        <f aca="false">IF(C815=0,(1+Dic2023!$J$6)^(-B815),EXP(LN(INDEX(Dic2023!$K$6:$K$205,C815))+(LN(INDEX(Dic2023!$K$6:$K$205,MIN(C815+1,200)))-LN(INDEX(Dic2023!$K$6:$K$205,C815)))*(A815-6*C815)/6))</f>
        <v>0.033036999833581</v>
      </c>
      <c r="H815" s="12" t="n">
        <f aca="false">G815^(-1/B815)-1</f>
        <v>0.0517528025</v>
      </c>
      <c r="I815" s="12" t="n">
        <f aca="false">(1+H815)^(1/12)-1</f>
        <v>0.00421369509431369</v>
      </c>
      <c r="J815" s="16" t="n">
        <f aca="false">IF(C815=0,(1+Dic2023!$M$6)^(-B815),EXP(LN(INDEX(Dic2023!$N$6:$N$205,C815))+(LN(INDEX(Dic2023!$N$6:$N$205,MIN(C815+1,200)))-LN(INDEX(Dic2023!$N$6:$N$205,C815)))*(A815-6*C815)/6))</f>
        <v>0.033036999833581</v>
      </c>
      <c r="K815" s="12" t="n">
        <f aca="false">J815^(-1/B815)-1</f>
        <v>0.0517528025</v>
      </c>
      <c r="L815" s="12" t="n">
        <f aca="false">(1+K815)^(1/12)-1</f>
        <v>0.00421369509431369</v>
      </c>
    </row>
    <row r="816" customFormat="false" ht="15" hidden="false" customHeight="false" outlineLevel="0" collapsed="false">
      <c r="A816" s="4" t="n">
        <v>812</v>
      </c>
      <c r="B816" s="14" t="n">
        <f aca="false">A816/12</f>
        <v>67.6666666666667</v>
      </c>
      <c r="C816" s="15" t="n">
        <f aca="false">INT(A816/6)</f>
        <v>135</v>
      </c>
      <c r="D816" s="16" t="n">
        <f aca="false">IF(C816=0,(1+Dic2023!$G$6)^(-B816),EXP(LN(INDEX(Dic2023!$H$6:$H$205,C816))+(LN(INDEX(Dic2023!$H$6:$H$205,MIN(C816+1,200)))-LN(INDEX(Dic2023!$H$6:$H$205,C816)))*(A816-6*C816)/6))</f>
        <v>0.0328983761075657</v>
      </c>
      <c r="E816" s="12" t="n">
        <f aca="false">D816^(-1/B816)-1</f>
        <v>0.0517528025</v>
      </c>
      <c r="F816" s="12" t="n">
        <f aca="false">(1+E816)^(1/12)-1</f>
        <v>0.00421369509431369</v>
      </c>
      <c r="G816" s="16" t="n">
        <f aca="false">IF(C816=0,(1+Dic2023!$J$6)^(-B816),EXP(LN(INDEX(Dic2023!$K$6:$K$205,C816))+(LN(INDEX(Dic2023!$K$6:$K$205,MIN(C816+1,200)))-LN(INDEX(Dic2023!$K$6:$K$205,C816)))*(A816-6*C816)/6))</f>
        <v>0.0328983761075657</v>
      </c>
      <c r="H816" s="12" t="n">
        <f aca="false">G816^(-1/B816)-1</f>
        <v>0.0517528025</v>
      </c>
      <c r="I816" s="12" t="n">
        <f aca="false">(1+H816)^(1/12)-1</f>
        <v>0.00421369509431369</v>
      </c>
      <c r="J816" s="16" t="n">
        <f aca="false">IF(C816=0,(1+Dic2023!$M$6)^(-B816),EXP(LN(INDEX(Dic2023!$N$6:$N$205,C816))+(LN(INDEX(Dic2023!$N$6:$N$205,MIN(C816+1,200)))-LN(INDEX(Dic2023!$N$6:$N$205,C816)))*(A816-6*C816)/6))</f>
        <v>0.0328983761075657</v>
      </c>
      <c r="K816" s="12" t="n">
        <f aca="false">J816^(-1/B816)-1</f>
        <v>0.0517528025</v>
      </c>
      <c r="L816" s="12" t="n">
        <f aca="false">(1+K816)^(1/12)-1</f>
        <v>0.00421369509431369</v>
      </c>
    </row>
    <row r="817" customFormat="false" ht="15" hidden="false" customHeight="false" outlineLevel="0" collapsed="false">
      <c r="A817" s="4" t="n">
        <v>813</v>
      </c>
      <c r="B817" s="14" t="n">
        <f aca="false">A817/12</f>
        <v>67.75</v>
      </c>
      <c r="C817" s="15" t="n">
        <f aca="false">INT(A817/6)</f>
        <v>135</v>
      </c>
      <c r="D817" s="16" t="n">
        <f aca="false">IF(C817=0,(1+Dic2023!$G$6)^(-B817),EXP(LN(INDEX(Dic2023!$H$6:$H$205,C817))+(LN(INDEX(Dic2023!$H$6:$H$205,MIN(C817+1,200)))-LN(INDEX(Dic2023!$H$6:$H$205,C817)))*(A817-6*C817)/6))</f>
        <v>0.0327603340486966</v>
      </c>
      <c r="E817" s="12" t="n">
        <f aca="false">D817^(-1/B817)-1</f>
        <v>0.0517528025</v>
      </c>
      <c r="F817" s="12" t="n">
        <f aca="false">(1+E817)^(1/12)-1</f>
        <v>0.00421369509431369</v>
      </c>
      <c r="G817" s="16" t="n">
        <f aca="false">IF(C817=0,(1+Dic2023!$J$6)^(-B817),EXP(LN(INDEX(Dic2023!$K$6:$K$205,C817))+(LN(INDEX(Dic2023!$K$6:$K$205,MIN(C817+1,200)))-LN(INDEX(Dic2023!$K$6:$K$205,C817)))*(A817-6*C817)/6))</f>
        <v>0.0327603340486966</v>
      </c>
      <c r="H817" s="12" t="n">
        <f aca="false">G817^(-1/B817)-1</f>
        <v>0.0517528025</v>
      </c>
      <c r="I817" s="12" t="n">
        <f aca="false">(1+H817)^(1/12)-1</f>
        <v>0.00421369509431369</v>
      </c>
      <c r="J817" s="16" t="n">
        <f aca="false">IF(C817=0,(1+Dic2023!$M$6)^(-B817),EXP(LN(INDEX(Dic2023!$N$6:$N$205,C817))+(LN(INDEX(Dic2023!$N$6:$N$205,MIN(C817+1,200)))-LN(INDEX(Dic2023!$N$6:$N$205,C817)))*(A817-6*C817)/6))</f>
        <v>0.0327603340486966</v>
      </c>
      <c r="K817" s="12" t="n">
        <f aca="false">J817^(-1/B817)-1</f>
        <v>0.0517528025</v>
      </c>
      <c r="L817" s="12" t="n">
        <f aca="false">(1+K817)^(1/12)-1</f>
        <v>0.00421369509431369</v>
      </c>
    </row>
    <row r="818" customFormat="false" ht="15" hidden="false" customHeight="false" outlineLevel="0" collapsed="false">
      <c r="A818" s="4" t="n">
        <v>814</v>
      </c>
      <c r="B818" s="14" t="n">
        <f aca="false">A818/12</f>
        <v>67.8333333333333</v>
      </c>
      <c r="C818" s="15" t="n">
        <f aca="false">INT(A818/6)</f>
        <v>135</v>
      </c>
      <c r="D818" s="16" t="n">
        <f aca="false">IF(C818=0,(1+Dic2023!$G$6)^(-B818),EXP(LN(INDEX(Dic2023!$H$6:$H$205,C818))+(LN(INDEX(Dic2023!$H$6:$H$205,MIN(C818+1,200)))-LN(INDEX(Dic2023!$H$6:$H$205,C818)))*(A818-6*C818)/6))</f>
        <v>0.0326228712162901</v>
      </c>
      <c r="E818" s="12" t="n">
        <f aca="false">D818^(-1/B818)-1</f>
        <v>0.0517528025</v>
      </c>
      <c r="F818" s="12" t="n">
        <f aca="false">(1+E818)^(1/12)-1</f>
        <v>0.00421369509431369</v>
      </c>
      <c r="G818" s="16" t="n">
        <f aca="false">IF(C818=0,(1+Dic2023!$J$6)^(-B818),EXP(LN(INDEX(Dic2023!$K$6:$K$205,C818))+(LN(INDEX(Dic2023!$K$6:$K$205,MIN(C818+1,200)))-LN(INDEX(Dic2023!$K$6:$K$205,C818)))*(A818-6*C818)/6))</f>
        <v>0.0326228712162901</v>
      </c>
      <c r="H818" s="12" t="n">
        <f aca="false">G818^(-1/B818)-1</f>
        <v>0.0517528025</v>
      </c>
      <c r="I818" s="12" t="n">
        <f aca="false">(1+H818)^(1/12)-1</f>
        <v>0.00421369509431369</v>
      </c>
      <c r="J818" s="16" t="n">
        <f aca="false">IF(C818=0,(1+Dic2023!$M$6)^(-B818),EXP(LN(INDEX(Dic2023!$N$6:$N$205,C818))+(LN(INDEX(Dic2023!$N$6:$N$205,MIN(C818+1,200)))-LN(INDEX(Dic2023!$N$6:$N$205,C818)))*(A818-6*C818)/6))</f>
        <v>0.0326228712162901</v>
      </c>
      <c r="K818" s="12" t="n">
        <f aca="false">J818^(-1/B818)-1</f>
        <v>0.0517528025</v>
      </c>
      <c r="L818" s="12" t="n">
        <f aca="false">(1+K818)^(1/12)-1</f>
        <v>0.00421369509431369</v>
      </c>
    </row>
    <row r="819" customFormat="false" ht="15" hidden="false" customHeight="false" outlineLevel="0" collapsed="false">
      <c r="A819" s="4" t="n">
        <v>815</v>
      </c>
      <c r="B819" s="14" t="n">
        <f aca="false">A819/12</f>
        <v>67.9166666666667</v>
      </c>
      <c r="C819" s="15" t="n">
        <f aca="false">INT(A819/6)</f>
        <v>135</v>
      </c>
      <c r="D819" s="16" t="n">
        <f aca="false">IF(C819=0,(1+Dic2023!$G$6)^(-B819),EXP(LN(INDEX(Dic2023!$H$6:$H$205,C819))+(LN(INDEX(Dic2023!$H$6:$H$205,MIN(C819+1,200)))-LN(INDEX(Dic2023!$H$6:$H$205,C819)))*(A819-6*C819)/6))</f>
        <v>0.0324859851799036</v>
      </c>
      <c r="E819" s="12" t="n">
        <f aca="false">D819^(-1/B819)-1</f>
        <v>0.0517528025</v>
      </c>
      <c r="F819" s="12" t="n">
        <f aca="false">(1+E819)^(1/12)-1</f>
        <v>0.00421369509431369</v>
      </c>
      <c r="G819" s="16" t="n">
        <f aca="false">IF(C819=0,(1+Dic2023!$J$6)^(-B819),EXP(LN(INDEX(Dic2023!$K$6:$K$205,C819))+(LN(INDEX(Dic2023!$K$6:$K$205,MIN(C819+1,200)))-LN(INDEX(Dic2023!$K$6:$K$205,C819)))*(A819-6*C819)/6))</f>
        <v>0.0324859851799036</v>
      </c>
      <c r="H819" s="12" t="n">
        <f aca="false">G819^(-1/B819)-1</f>
        <v>0.0517528025</v>
      </c>
      <c r="I819" s="12" t="n">
        <f aca="false">(1+H819)^(1/12)-1</f>
        <v>0.00421369509431369</v>
      </c>
      <c r="J819" s="16" t="n">
        <f aca="false">IF(C819=0,(1+Dic2023!$M$6)^(-B819),EXP(LN(INDEX(Dic2023!$N$6:$N$205,C819))+(LN(INDEX(Dic2023!$N$6:$N$205,MIN(C819+1,200)))-LN(INDEX(Dic2023!$N$6:$N$205,C819)))*(A819-6*C819)/6))</f>
        <v>0.0324859851799036</v>
      </c>
      <c r="K819" s="12" t="n">
        <f aca="false">J819^(-1/B819)-1</f>
        <v>0.0517528025</v>
      </c>
      <c r="L819" s="12" t="n">
        <f aca="false">(1+K819)^(1/12)-1</f>
        <v>0.00421369509431369</v>
      </c>
    </row>
    <row r="820" customFormat="false" ht="15" hidden="false" customHeight="false" outlineLevel="0" collapsed="false">
      <c r="A820" s="4" t="n">
        <v>816</v>
      </c>
      <c r="B820" s="14" t="n">
        <f aca="false">A820/12</f>
        <v>68</v>
      </c>
      <c r="C820" s="15" t="n">
        <f aca="false">INT(A820/6)</f>
        <v>136</v>
      </c>
      <c r="D820" s="16" t="n">
        <f aca="false">IF(C820=0,(1+Dic2023!$G$6)^(-B820),EXP(LN(INDEX(Dic2023!$H$6:$H$205,C820))+(LN(INDEX(Dic2023!$H$6:$H$205,MIN(C820+1,200)))-LN(INDEX(Dic2023!$H$6:$H$205,C820)))*(A820-6*C820)/6))</f>
        <v>0.0323496735192927</v>
      </c>
      <c r="E820" s="12" t="n">
        <f aca="false">D820^(-1/B820)-1</f>
        <v>0.0517528025</v>
      </c>
      <c r="F820" s="12" t="n">
        <f aca="false">(1+E820)^(1/12)-1</f>
        <v>0.00421369509431369</v>
      </c>
      <c r="G820" s="16" t="n">
        <f aca="false">IF(C820=0,(1+Dic2023!$J$6)^(-B820),EXP(LN(INDEX(Dic2023!$K$6:$K$205,C820))+(LN(INDEX(Dic2023!$K$6:$K$205,MIN(C820+1,200)))-LN(INDEX(Dic2023!$K$6:$K$205,C820)))*(A820-6*C820)/6))</f>
        <v>0.0323496735192927</v>
      </c>
      <c r="H820" s="12" t="n">
        <f aca="false">G820^(-1/B820)-1</f>
        <v>0.0517528025</v>
      </c>
      <c r="I820" s="12" t="n">
        <f aca="false">(1+H820)^(1/12)-1</f>
        <v>0.00421369509431369</v>
      </c>
      <c r="J820" s="16" t="n">
        <f aca="false">IF(C820=0,(1+Dic2023!$M$6)^(-B820),EXP(LN(INDEX(Dic2023!$N$6:$N$205,C820))+(LN(INDEX(Dic2023!$N$6:$N$205,MIN(C820+1,200)))-LN(INDEX(Dic2023!$N$6:$N$205,C820)))*(A820-6*C820)/6))</f>
        <v>0.0323496735192927</v>
      </c>
      <c r="K820" s="12" t="n">
        <f aca="false">J820^(-1/B820)-1</f>
        <v>0.0517528025</v>
      </c>
      <c r="L820" s="12" t="n">
        <f aca="false">(1+K820)^(1/12)-1</f>
        <v>0.00421369509431369</v>
      </c>
    </row>
    <row r="821" customFormat="false" ht="15" hidden="false" customHeight="false" outlineLevel="0" collapsed="false">
      <c r="A821" s="4" t="n">
        <v>817</v>
      </c>
      <c r="B821" s="14" t="n">
        <f aca="false">A821/12</f>
        <v>68.0833333333333</v>
      </c>
      <c r="C821" s="15" t="n">
        <f aca="false">INT(A821/6)</f>
        <v>136</v>
      </c>
      <c r="D821" s="16" t="n">
        <f aca="false">IF(C821=0,(1+Dic2023!$G$6)^(-B821),EXP(LN(INDEX(Dic2023!$H$6:$H$205,C821))+(LN(INDEX(Dic2023!$H$6:$H$205,MIN(C821+1,200)))-LN(INDEX(Dic2023!$H$6:$H$205,C821)))*(A821-6*C821)/6))</f>
        <v>0.0322139338243684</v>
      </c>
      <c r="E821" s="12" t="n">
        <f aca="false">D821^(-1/B821)-1</f>
        <v>0.0517528025</v>
      </c>
      <c r="F821" s="12" t="n">
        <f aca="false">(1+E821)^(1/12)-1</f>
        <v>0.00421369509431369</v>
      </c>
      <c r="G821" s="16" t="n">
        <f aca="false">IF(C821=0,(1+Dic2023!$J$6)^(-B821),EXP(LN(INDEX(Dic2023!$K$6:$K$205,C821))+(LN(INDEX(Dic2023!$K$6:$K$205,MIN(C821+1,200)))-LN(INDEX(Dic2023!$K$6:$K$205,C821)))*(A821-6*C821)/6))</f>
        <v>0.0322139338243684</v>
      </c>
      <c r="H821" s="12" t="n">
        <f aca="false">G821^(-1/B821)-1</f>
        <v>0.0517528025</v>
      </c>
      <c r="I821" s="12" t="n">
        <f aca="false">(1+H821)^(1/12)-1</f>
        <v>0.00421369509431369</v>
      </c>
      <c r="J821" s="16" t="n">
        <f aca="false">IF(C821=0,(1+Dic2023!$M$6)^(-B821),EXP(LN(INDEX(Dic2023!$N$6:$N$205,C821))+(LN(INDEX(Dic2023!$N$6:$N$205,MIN(C821+1,200)))-LN(INDEX(Dic2023!$N$6:$N$205,C821)))*(A821-6*C821)/6))</f>
        <v>0.0322139338243684</v>
      </c>
      <c r="K821" s="12" t="n">
        <f aca="false">J821^(-1/B821)-1</f>
        <v>0.0517528025</v>
      </c>
      <c r="L821" s="12" t="n">
        <f aca="false">(1+K821)^(1/12)-1</f>
        <v>0.00421369509431369</v>
      </c>
    </row>
    <row r="822" customFormat="false" ht="15" hidden="false" customHeight="false" outlineLevel="0" collapsed="false">
      <c r="A822" s="4" t="n">
        <v>818</v>
      </c>
      <c r="B822" s="14" t="n">
        <f aca="false">A822/12</f>
        <v>68.1666666666667</v>
      </c>
      <c r="C822" s="15" t="n">
        <f aca="false">INT(A822/6)</f>
        <v>136</v>
      </c>
      <c r="D822" s="16" t="n">
        <f aca="false">IF(C822=0,(1+Dic2023!$G$6)^(-B822),EXP(LN(INDEX(Dic2023!$H$6:$H$205,C822))+(LN(INDEX(Dic2023!$H$6:$H$205,MIN(C822+1,200)))-LN(INDEX(Dic2023!$H$6:$H$205,C822)))*(A822-6*C822)/6))</f>
        <v>0.0320787636951545</v>
      </c>
      <c r="E822" s="12" t="n">
        <f aca="false">D822^(-1/B822)-1</f>
        <v>0.0517528025</v>
      </c>
      <c r="F822" s="12" t="n">
        <f aca="false">(1+E822)^(1/12)-1</f>
        <v>0.00421369509431369</v>
      </c>
      <c r="G822" s="16" t="n">
        <f aca="false">IF(C822=0,(1+Dic2023!$J$6)^(-B822),EXP(LN(INDEX(Dic2023!$K$6:$K$205,C822))+(LN(INDEX(Dic2023!$K$6:$K$205,MIN(C822+1,200)))-LN(INDEX(Dic2023!$K$6:$K$205,C822)))*(A822-6*C822)/6))</f>
        <v>0.0320787636951545</v>
      </c>
      <c r="H822" s="12" t="n">
        <f aca="false">G822^(-1/B822)-1</f>
        <v>0.0517528025</v>
      </c>
      <c r="I822" s="12" t="n">
        <f aca="false">(1+H822)^(1/12)-1</f>
        <v>0.00421369509431369</v>
      </c>
      <c r="J822" s="16" t="n">
        <f aca="false">IF(C822=0,(1+Dic2023!$M$6)^(-B822),EXP(LN(INDEX(Dic2023!$N$6:$N$205,C822))+(LN(INDEX(Dic2023!$N$6:$N$205,MIN(C822+1,200)))-LN(INDEX(Dic2023!$N$6:$N$205,C822)))*(A822-6*C822)/6))</f>
        <v>0.0320787636951545</v>
      </c>
      <c r="K822" s="12" t="n">
        <f aca="false">J822^(-1/B822)-1</f>
        <v>0.0517528025</v>
      </c>
      <c r="L822" s="12" t="n">
        <f aca="false">(1+K822)^(1/12)-1</f>
        <v>0.00421369509431369</v>
      </c>
    </row>
    <row r="823" customFormat="false" ht="15" hidden="false" customHeight="false" outlineLevel="0" collapsed="false">
      <c r="A823" s="4" t="n">
        <v>819</v>
      </c>
      <c r="B823" s="14" t="n">
        <f aca="false">A823/12</f>
        <v>68.25</v>
      </c>
      <c r="C823" s="15" t="n">
        <f aca="false">INT(A823/6)</f>
        <v>136</v>
      </c>
      <c r="D823" s="16" t="n">
        <f aca="false">IF(C823=0,(1+Dic2023!$G$6)^(-B823),EXP(LN(INDEX(Dic2023!$H$6:$H$205,C823))+(LN(INDEX(Dic2023!$H$6:$H$205,MIN(C823+1,200)))-LN(INDEX(Dic2023!$H$6:$H$205,C823)))*(A823-6*C823)/6))</f>
        <v>0.031944160741745</v>
      </c>
      <c r="E823" s="12" t="n">
        <f aca="false">D823^(-1/B823)-1</f>
        <v>0.0517528025</v>
      </c>
      <c r="F823" s="12" t="n">
        <f aca="false">(1+E823)^(1/12)-1</f>
        <v>0.00421369509431369</v>
      </c>
      <c r="G823" s="16" t="n">
        <f aca="false">IF(C823=0,(1+Dic2023!$J$6)^(-B823),EXP(LN(INDEX(Dic2023!$K$6:$K$205,C823))+(LN(INDEX(Dic2023!$K$6:$K$205,MIN(C823+1,200)))-LN(INDEX(Dic2023!$K$6:$K$205,C823)))*(A823-6*C823)/6))</f>
        <v>0.031944160741745</v>
      </c>
      <c r="H823" s="12" t="n">
        <f aca="false">G823^(-1/B823)-1</f>
        <v>0.0517528025</v>
      </c>
      <c r="I823" s="12" t="n">
        <f aca="false">(1+H823)^(1/12)-1</f>
        <v>0.00421369509431369</v>
      </c>
      <c r="J823" s="16" t="n">
        <f aca="false">IF(C823=0,(1+Dic2023!$M$6)^(-B823),EXP(LN(INDEX(Dic2023!$N$6:$N$205,C823))+(LN(INDEX(Dic2023!$N$6:$N$205,MIN(C823+1,200)))-LN(INDEX(Dic2023!$N$6:$N$205,C823)))*(A823-6*C823)/6))</f>
        <v>0.031944160741745</v>
      </c>
      <c r="K823" s="12" t="n">
        <f aca="false">J823^(-1/B823)-1</f>
        <v>0.0517528025</v>
      </c>
      <c r="L823" s="12" t="n">
        <f aca="false">(1+K823)^(1/12)-1</f>
        <v>0.00421369509431369</v>
      </c>
    </row>
    <row r="824" customFormat="false" ht="15" hidden="false" customHeight="false" outlineLevel="0" collapsed="false">
      <c r="A824" s="4" t="n">
        <v>820</v>
      </c>
      <c r="B824" s="14" t="n">
        <f aca="false">A824/12</f>
        <v>68.3333333333333</v>
      </c>
      <c r="C824" s="15" t="n">
        <f aca="false">INT(A824/6)</f>
        <v>136</v>
      </c>
      <c r="D824" s="16" t="n">
        <f aca="false">IF(C824=0,(1+Dic2023!$G$6)^(-B824),EXP(LN(INDEX(Dic2023!$H$6:$H$205,C824))+(LN(INDEX(Dic2023!$H$6:$H$205,MIN(C824+1,200)))-LN(INDEX(Dic2023!$H$6:$H$205,C824)))*(A824-6*C824)/6))</f>
        <v>0.0318101225842622</v>
      </c>
      <c r="E824" s="12" t="n">
        <f aca="false">D824^(-1/B824)-1</f>
        <v>0.0517528025</v>
      </c>
      <c r="F824" s="12" t="n">
        <f aca="false">(1+E824)^(1/12)-1</f>
        <v>0.00421369509431369</v>
      </c>
      <c r="G824" s="16" t="n">
        <f aca="false">IF(C824=0,(1+Dic2023!$J$6)^(-B824),EXP(LN(INDEX(Dic2023!$K$6:$K$205,C824))+(LN(INDEX(Dic2023!$K$6:$K$205,MIN(C824+1,200)))-LN(INDEX(Dic2023!$K$6:$K$205,C824)))*(A824-6*C824)/6))</f>
        <v>0.0318101225842622</v>
      </c>
      <c r="H824" s="12" t="n">
        <f aca="false">G824^(-1/B824)-1</f>
        <v>0.0517528025</v>
      </c>
      <c r="I824" s="12" t="n">
        <f aca="false">(1+H824)^(1/12)-1</f>
        <v>0.00421369509431369</v>
      </c>
      <c r="J824" s="16" t="n">
        <f aca="false">IF(C824=0,(1+Dic2023!$M$6)^(-B824),EXP(LN(INDEX(Dic2023!$N$6:$N$205,C824))+(LN(INDEX(Dic2023!$N$6:$N$205,MIN(C824+1,200)))-LN(INDEX(Dic2023!$N$6:$N$205,C824)))*(A824-6*C824)/6))</f>
        <v>0.0318101225842622</v>
      </c>
      <c r="K824" s="12" t="n">
        <f aca="false">J824^(-1/B824)-1</f>
        <v>0.0517528025</v>
      </c>
      <c r="L824" s="12" t="n">
        <f aca="false">(1+K824)^(1/12)-1</f>
        <v>0.00421369509431369</v>
      </c>
    </row>
    <row r="825" customFormat="false" ht="15" hidden="false" customHeight="false" outlineLevel="0" collapsed="false">
      <c r="A825" s="4" t="n">
        <v>821</v>
      </c>
      <c r="B825" s="14" t="n">
        <f aca="false">A825/12</f>
        <v>68.4166666666667</v>
      </c>
      <c r="C825" s="15" t="n">
        <f aca="false">INT(A825/6)</f>
        <v>136</v>
      </c>
      <c r="D825" s="16" t="n">
        <f aca="false">IF(C825=0,(1+Dic2023!$G$6)^(-B825),EXP(LN(INDEX(Dic2023!$H$6:$H$205,C825))+(LN(INDEX(Dic2023!$H$6:$H$205,MIN(C825+1,200)))-LN(INDEX(Dic2023!$H$6:$H$205,C825)))*(A825-6*C825)/6))</f>
        <v>0.0316766468528142</v>
      </c>
      <c r="E825" s="12" t="n">
        <f aca="false">D825^(-1/B825)-1</f>
        <v>0.0517528025</v>
      </c>
      <c r="F825" s="12" t="n">
        <f aca="false">(1+E825)^(1/12)-1</f>
        <v>0.00421369509431369</v>
      </c>
      <c r="G825" s="16" t="n">
        <f aca="false">IF(C825=0,(1+Dic2023!$J$6)^(-B825),EXP(LN(INDEX(Dic2023!$K$6:$K$205,C825))+(LN(INDEX(Dic2023!$K$6:$K$205,MIN(C825+1,200)))-LN(INDEX(Dic2023!$K$6:$K$205,C825)))*(A825-6*C825)/6))</f>
        <v>0.0316766468528142</v>
      </c>
      <c r="H825" s="12" t="n">
        <f aca="false">G825^(-1/B825)-1</f>
        <v>0.0517528025</v>
      </c>
      <c r="I825" s="12" t="n">
        <f aca="false">(1+H825)^(1/12)-1</f>
        <v>0.00421369509431369</v>
      </c>
      <c r="J825" s="16" t="n">
        <f aca="false">IF(C825=0,(1+Dic2023!$M$6)^(-B825),EXP(LN(INDEX(Dic2023!$N$6:$N$205,C825))+(LN(INDEX(Dic2023!$N$6:$N$205,MIN(C825+1,200)))-LN(INDEX(Dic2023!$N$6:$N$205,C825)))*(A825-6*C825)/6))</f>
        <v>0.0316766468528142</v>
      </c>
      <c r="K825" s="12" t="n">
        <f aca="false">J825^(-1/B825)-1</f>
        <v>0.0517528025</v>
      </c>
      <c r="L825" s="12" t="n">
        <f aca="false">(1+K825)^(1/12)-1</f>
        <v>0.00421369509431369</v>
      </c>
    </row>
    <row r="826" customFormat="false" ht="15" hidden="false" customHeight="false" outlineLevel="0" collapsed="false">
      <c r="A826" s="4" t="n">
        <v>822</v>
      </c>
      <c r="B826" s="14" t="n">
        <f aca="false">A826/12</f>
        <v>68.5</v>
      </c>
      <c r="C826" s="15" t="n">
        <f aca="false">INT(A826/6)</f>
        <v>137</v>
      </c>
      <c r="D826" s="16" t="n">
        <f aca="false">IF(C826=0,(1+Dic2023!$G$6)^(-B826),EXP(LN(INDEX(Dic2023!$H$6:$H$205,C826))+(LN(INDEX(Dic2023!$H$6:$H$205,MIN(C826+1,200)))-LN(INDEX(Dic2023!$H$6:$H$205,C826)))*(A826-6*C826)/6))</f>
        <v>0.0315437311874533</v>
      </c>
      <c r="E826" s="12" t="n">
        <f aca="false">D826^(-1/B826)-1</f>
        <v>0.0517528025</v>
      </c>
      <c r="F826" s="12" t="n">
        <f aca="false">(1+E826)^(1/12)-1</f>
        <v>0.00421369509431369</v>
      </c>
      <c r="G826" s="16" t="n">
        <f aca="false">IF(C826=0,(1+Dic2023!$J$6)^(-B826),EXP(LN(INDEX(Dic2023!$K$6:$K$205,C826))+(LN(INDEX(Dic2023!$K$6:$K$205,MIN(C826+1,200)))-LN(INDEX(Dic2023!$K$6:$K$205,C826)))*(A826-6*C826)/6))</f>
        <v>0.0315437311874533</v>
      </c>
      <c r="H826" s="12" t="n">
        <f aca="false">G826^(-1/B826)-1</f>
        <v>0.0517528025</v>
      </c>
      <c r="I826" s="12" t="n">
        <f aca="false">(1+H826)^(1/12)-1</f>
        <v>0.00421369509431369</v>
      </c>
      <c r="J826" s="16" t="n">
        <f aca="false">IF(C826=0,(1+Dic2023!$M$6)^(-B826),EXP(LN(INDEX(Dic2023!$N$6:$N$205,C826))+(LN(INDEX(Dic2023!$N$6:$N$205,MIN(C826+1,200)))-LN(INDEX(Dic2023!$N$6:$N$205,C826)))*(A826-6*C826)/6))</f>
        <v>0.0315437311874533</v>
      </c>
      <c r="K826" s="12" t="n">
        <f aca="false">J826^(-1/B826)-1</f>
        <v>0.0517528025</v>
      </c>
      <c r="L826" s="12" t="n">
        <f aca="false">(1+K826)^(1/12)-1</f>
        <v>0.00421369509431369</v>
      </c>
    </row>
    <row r="827" customFormat="false" ht="15" hidden="false" customHeight="false" outlineLevel="0" collapsed="false">
      <c r="A827" s="4" t="n">
        <v>823</v>
      </c>
      <c r="B827" s="14" t="n">
        <f aca="false">A827/12</f>
        <v>68.5833333333333</v>
      </c>
      <c r="C827" s="15" t="n">
        <f aca="false">INT(A827/6)</f>
        <v>137</v>
      </c>
      <c r="D827" s="16" t="n">
        <f aca="false">IF(C827=0,(1+Dic2023!$G$6)^(-B827),EXP(LN(INDEX(Dic2023!$H$6:$H$205,C827))+(LN(INDEX(Dic2023!$H$6:$H$205,MIN(C827+1,200)))-LN(INDEX(Dic2023!$H$6:$H$205,C827)))*(A827-6*C827)/6))</f>
        <v>0.0314113732381341</v>
      </c>
      <c r="E827" s="12" t="n">
        <f aca="false">D827^(-1/B827)-1</f>
        <v>0.0517528025</v>
      </c>
      <c r="F827" s="12" t="n">
        <f aca="false">(1+E827)^(1/12)-1</f>
        <v>0.00421369509431369</v>
      </c>
      <c r="G827" s="16" t="n">
        <f aca="false">IF(C827=0,(1+Dic2023!$J$6)^(-B827),EXP(LN(INDEX(Dic2023!$K$6:$K$205,C827))+(LN(INDEX(Dic2023!$K$6:$K$205,MIN(C827+1,200)))-LN(INDEX(Dic2023!$K$6:$K$205,C827)))*(A827-6*C827)/6))</f>
        <v>0.0314113732381341</v>
      </c>
      <c r="H827" s="12" t="n">
        <f aca="false">G827^(-1/B827)-1</f>
        <v>0.0517528025</v>
      </c>
      <c r="I827" s="12" t="n">
        <f aca="false">(1+H827)^(1/12)-1</f>
        <v>0.00421369509431369</v>
      </c>
      <c r="J827" s="16" t="n">
        <f aca="false">IF(C827=0,(1+Dic2023!$M$6)^(-B827),EXP(LN(INDEX(Dic2023!$N$6:$N$205,C827))+(LN(INDEX(Dic2023!$N$6:$N$205,MIN(C827+1,200)))-LN(INDEX(Dic2023!$N$6:$N$205,C827)))*(A827-6*C827)/6))</f>
        <v>0.0314113732381341</v>
      </c>
      <c r="K827" s="12" t="n">
        <f aca="false">J827^(-1/B827)-1</f>
        <v>0.0517528025</v>
      </c>
      <c r="L827" s="12" t="n">
        <f aca="false">(1+K827)^(1/12)-1</f>
        <v>0.00421369509431369</v>
      </c>
    </row>
    <row r="828" customFormat="false" ht="15" hidden="false" customHeight="false" outlineLevel="0" collapsed="false">
      <c r="A828" s="4" t="n">
        <v>824</v>
      </c>
      <c r="B828" s="14" t="n">
        <f aca="false">A828/12</f>
        <v>68.6666666666667</v>
      </c>
      <c r="C828" s="15" t="n">
        <f aca="false">INT(A828/6)</f>
        <v>137</v>
      </c>
      <c r="D828" s="16" t="n">
        <f aca="false">IF(C828=0,(1+Dic2023!$G$6)^(-B828),EXP(LN(INDEX(Dic2023!$H$6:$H$205,C828))+(LN(INDEX(Dic2023!$H$6:$H$205,MIN(C828+1,200)))-LN(INDEX(Dic2023!$H$6:$H$205,C828)))*(A828-6*C828)/6))</f>
        <v>0.0312795706646721</v>
      </c>
      <c r="E828" s="12" t="n">
        <f aca="false">D828^(-1/B828)-1</f>
        <v>0.0517528025</v>
      </c>
      <c r="F828" s="12" t="n">
        <f aca="false">(1+E828)^(1/12)-1</f>
        <v>0.00421369509431369</v>
      </c>
      <c r="G828" s="16" t="n">
        <f aca="false">IF(C828=0,(1+Dic2023!$J$6)^(-B828),EXP(LN(INDEX(Dic2023!$K$6:$K$205,C828))+(LN(INDEX(Dic2023!$K$6:$K$205,MIN(C828+1,200)))-LN(INDEX(Dic2023!$K$6:$K$205,C828)))*(A828-6*C828)/6))</f>
        <v>0.0312795706646721</v>
      </c>
      <c r="H828" s="12" t="n">
        <f aca="false">G828^(-1/B828)-1</f>
        <v>0.0517528025</v>
      </c>
      <c r="I828" s="12" t="n">
        <f aca="false">(1+H828)^(1/12)-1</f>
        <v>0.00421369509431369</v>
      </c>
      <c r="J828" s="16" t="n">
        <f aca="false">IF(C828=0,(1+Dic2023!$M$6)^(-B828),EXP(LN(INDEX(Dic2023!$N$6:$N$205,C828))+(LN(INDEX(Dic2023!$N$6:$N$205,MIN(C828+1,200)))-LN(INDEX(Dic2023!$N$6:$N$205,C828)))*(A828-6*C828)/6))</f>
        <v>0.0312795706646721</v>
      </c>
      <c r="K828" s="12" t="n">
        <f aca="false">J828^(-1/B828)-1</f>
        <v>0.0517528025</v>
      </c>
      <c r="L828" s="12" t="n">
        <f aca="false">(1+K828)^(1/12)-1</f>
        <v>0.00421369509431369</v>
      </c>
    </row>
    <row r="829" customFormat="false" ht="15" hidden="false" customHeight="false" outlineLevel="0" collapsed="false">
      <c r="A829" s="4" t="n">
        <v>825</v>
      </c>
      <c r="B829" s="14" t="n">
        <f aca="false">A829/12</f>
        <v>68.75</v>
      </c>
      <c r="C829" s="15" t="n">
        <f aca="false">INT(A829/6)</f>
        <v>137</v>
      </c>
      <c r="D829" s="16" t="n">
        <f aca="false">IF(C829=0,(1+Dic2023!$G$6)^(-B829),EXP(LN(INDEX(Dic2023!$H$6:$H$205,C829))+(LN(INDEX(Dic2023!$H$6:$H$205,MIN(C829+1,200)))-LN(INDEX(Dic2023!$H$6:$H$205,C829)))*(A829-6*C829)/6))</f>
        <v>0.0311483211367023</v>
      </c>
      <c r="E829" s="12" t="n">
        <f aca="false">D829^(-1/B829)-1</f>
        <v>0.0517528025</v>
      </c>
      <c r="F829" s="12" t="n">
        <f aca="false">(1+E829)^(1/12)-1</f>
        <v>0.00421369509431369</v>
      </c>
      <c r="G829" s="16" t="n">
        <f aca="false">IF(C829=0,(1+Dic2023!$J$6)^(-B829),EXP(LN(INDEX(Dic2023!$K$6:$K$205,C829))+(LN(INDEX(Dic2023!$K$6:$K$205,MIN(C829+1,200)))-LN(INDEX(Dic2023!$K$6:$K$205,C829)))*(A829-6*C829)/6))</f>
        <v>0.0311483211367023</v>
      </c>
      <c r="H829" s="12" t="n">
        <f aca="false">G829^(-1/B829)-1</f>
        <v>0.0517528025</v>
      </c>
      <c r="I829" s="12" t="n">
        <f aca="false">(1+H829)^(1/12)-1</f>
        <v>0.00421369509431369</v>
      </c>
      <c r="J829" s="16" t="n">
        <f aca="false">IF(C829=0,(1+Dic2023!$M$6)^(-B829),EXP(LN(INDEX(Dic2023!$N$6:$N$205,C829))+(LN(INDEX(Dic2023!$N$6:$N$205,MIN(C829+1,200)))-LN(INDEX(Dic2023!$N$6:$N$205,C829)))*(A829-6*C829)/6))</f>
        <v>0.0311483211367023</v>
      </c>
      <c r="K829" s="12" t="n">
        <f aca="false">J829^(-1/B829)-1</f>
        <v>0.0517528025</v>
      </c>
      <c r="L829" s="12" t="n">
        <f aca="false">(1+K829)^(1/12)-1</f>
        <v>0.00421369509431369</v>
      </c>
    </row>
    <row r="830" customFormat="false" ht="15" hidden="false" customHeight="false" outlineLevel="0" collapsed="false">
      <c r="A830" s="4" t="n">
        <v>826</v>
      </c>
      <c r="B830" s="14" t="n">
        <f aca="false">A830/12</f>
        <v>68.8333333333333</v>
      </c>
      <c r="C830" s="15" t="n">
        <f aca="false">INT(A830/6)</f>
        <v>137</v>
      </c>
      <c r="D830" s="16" t="n">
        <f aca="false">IF(C830=0,(1+Dic2023!$G$6)^(-B830),EXP(LN(INDEX(Dic2023!$H$6:$H$205,C830))+(LN(INDEX(Dic2023!$H$6:$H$205,MIN(C830+1,200)))-LN(INDEX(Dic2023!$H$6:$H$205,C830)))*(A830-6*C830)/6))</f>
        <v>0.0310176223336378</v>
      </c>
      <c r="E830" s="12" t="n">
        <f aca="false">D830^(-1/B830)-1</f>
        <v>0.0517528025</v>
      </c>
      <c r="F830" s="12" t="n">
        <f aca="false">(1+E830)^(1/12)-1</f>
        <v>0.00421369509431369</v>
      </c>
      <c r="G830" s="16" t="n">
        <f aca="false">IF(C830=0,(1+Dic2023!$J$6)^(-B830),EXP(LN(INDEX(Dic2023!$K$6:$K$205,C830))+(LN(INDEX(Dic2023!$K$6:$K$205,MIN(C830+1,200)))-LN(INDEX(Dic2023!$K$6:$K$205,C830)))*(A830-6*C830)/6))</f>
        <v>0.0310176223336378</v>
      </c>
      <c r="H830" s="12" t="n">
        <f aca="false">G830^(-1/B830)-1</f>
        <v>0.0517528025</v>
      </c>
      <c r="I830" s="12" t="n">
        <f aca="false">(1+H830)^(1/12)-1</f>
        <v>0.00421369509431369</v>
      </c>
      <c r="J830" s="16" t="n">
        <f aca="false">IF(C830=0,(1+Dic2023!$M$6)^(-B830),EXP(LN(INDEX(Dic2023!$N$6:$N$205,C830))+(LN(INDEX(Dic2023!$N$6:$N$205,MIN(C830+1,200)))-LN(INDEX(Dic2023!$N$6:$N$205,C830)))*(A830-6*C830)/6))</f>
        <v>0.0310176223336378</v>
      </c>
      <c r="K830" s="12" t="n">
        <f aca="false">J830^(-1/B830)-1</f>
        <v>0.0517528025</v>
      </c>
      <c r="L830" s="12" t="n">
        <f aca="false">(1+K830)^(1/12)-1</f>
        <v>0.00421369509431369</v>
      </c>
    </row>
    <row r="831" customFormat="false" ht="15" hidden="false" customHeight="false" outlineLevel="0" collapsed="false">
      <c r="A831" s="4" t="n">
        <v>827</v>
      </c>
      <c r="B831" s="14" t="n">
        <f aca="false">A831/12</f>
        <v>68.9166666666667</v>
      </c>
      <c r="C831" s="15" t="n">
        <f aca="false">INT(A831/6)</f>
        <v>137</v>
      </c>
      <c r="D831" s="16" t="n">
        <f aca="false">IF(C831=0,(1+Dic2023!$G$6)^(-B831),EXP(LN(INDEX(Dic2023!$H$6:$H$205,C831))+(LN(INDEX(Dic2023!$H$6:$H$205,MIN(C831+1,200)))-LN(INDEX(Dic2023!$H$6:$H$205,C831)))*(A831-6*C831)/6))</f>
        <v>0.0308874719446289</v>
      </c>
      <c r="E831" s="12" t="n">
        <f aca="false">D831^(-1/B831)-1</f>
        <v>0.0517528025</v>
      </c>
      <c r="F831" s="12" t="n">
        <f aca="false">(1+E831)^(1/12)-1</f>
        <v>0.00421369509431369</v>
      </c>
      <c r="G831" s="16" t="n">
        <f aca="false">IF(C831=0,(1+Dic2023!$J$6)^(-B831),EXP(LN(INDEX(Dic2023!$K$6:$K$205,C831))+(LN(INDEX(Dic2023!$K$6:$K$205,MIN(C831+1,200)))-LN(INDEX(Dic2023!$K$6:$K$205,C831)))*(A831-6*C831)/6))</f>
        <v>0.0308874719446289</v>
      </c>
      <c r="H831" s="12" t="n">
        <f aca="false">G831^(-1/B831)-1</f>
        <v>0.0517528025</v>
      </c>
      <c r="I831" s="12" t="n">
        <f aca="false">(1+H831)^(1/12)-1</f>
        <v>0.00421369509431369</v>
      </c>
      <c r="J831" s="16" t="n">
        <f aca="false">IF(C831=0,(1+Dic2023!$M$6)^(-B831),EXP(LN(INDEX(Dic2023!$N$6:$N$205,C831))+(LN(INDEX(Dic2023!$N$6:$N$205,MIN(C831+1,200)))-LN(INDEX(Dic2023!$N$6:$N$205,C831)))*(A831-6*C831)/6))</f>
        <v>0.0308874719446289</v>
      </c>
      <c r="K831" s="12" t="n">
        <f aca="false">J831^(-1/B831)-1</f>
        <v>0.0517528025</v>
      </c>
      <c r="L831" s="12" t="n">
        <f aca="false">(1+K831)^(1/12)-1</f>
        <v>0.00421369509431369</v>
      </c>
    </row>
    <row r="832" customFormat="false" ht="15" hidden="false" customHeight="false" outlineLevel="0" collapsed="false">
      <c r="A832" s="4" t="n">
        <v>828</v>
      </c>
      <c r="B832" s="14" t="n">
        <f aca="false">A832/12</f>
        <v>69</v>
      </c>
      <c r="C832" s="15" t="n">
        <f aca="false">INT(A832/6)</f>
        <v>138</v>
      </c>
      <c r="D832" s="16" t="n">
        <f aca="false">IF(C832=0,(1+Dic2023!$G$6)^(-B832),EXP(LN(INDEX(Dic2023!$H$6:$H$205,C832))+(LN(INDEX(Dic2023!$H$6:$H$205,MIN(C832+1,200)))-LN(INDEX(Dic2023!$H$6:$H$205,C832)))*(A832-6*C832)/6))</f>
        <v>0.0307578676685225</v>
      </c>
      <c r="E832" s="12" t="n">
        <f aca="false">D832^(-1/B832)-1</f>
        <v>0.0517528025</v>
      </c>
      <c r="F832" s="12" t="n">
        <f aca="false">(1+E832)^(1/12)-1</f>
        <v>0.00421369509431369</v>
      </c>
      <c r="G832" s="16" t="n">
        <f aca="false">IF(C832=0,(1+Dic2023!$J$6)^(-B832),EXP(LN(INDEX(Dic2023!$K$6:$K$205,C832))+(LN(INDEX(Dic2023!$K$6:$K$205,MIN(C832+1,200)))-LN(INDEX(Dic2023!$K$6:$K$205,C832)))*(A832-6*C832)/6))</f>
        <v>0.0307578676685225</v>
      </c>
      <c r="H832" s="12" t="n">
        <f aca="false">G832^(-1/B832)-1</f>
        <v>0.0517528025</v>
      </c>
      <c r="I832" s="12" t="n">
        <f aca="false">(1+H832)^(1/12)-1</f>
        <v>0.00421369509431369</v>
      </c>
      <c r="J832" s="16" t="n">
        <f aca="false">IF(C832=0,(1+Dic2023!$M$6)^(-B832),EXP(LN(INDEX(Dic2023!$N$6:$N$205,C832))+(LN(INDEX(Dic2023!$N$6:$N$205,MIN(C832+1,200)))-LN(INDEX(Dic2023!$N$6:$N$205,C832)))*(A832-6*C832)/6))</f>
        <v>0.0307578676685225</v>
      </c>
      <c r="K832" s="12" t="n">
        <f aca="false">J832^(-1/B832)-1</f>
        <v>0.0517528025</v>
      </c>
      <c r="L832" s="12" t="n">
        <f aca="false">(1+K832)^(1/12)-1</f>
        <v>0.00421369509431369</v>
      </c>
    </row>
    <row r="833" customFormat="false" ht="15" hidden="false" customHeight="false" outlineLevel="0" collapsed="false">
      <c r="A833" s="4" t="n">
        <v>829</v>
      </c>
      <c r="B833" s="14" t="n">
        <f aca="false">A833/12</f>
        <v>69.0833333333333</v>
      </c>
      <c r="C833" s="15" t="n">
        <f aca="false">INT(A833/6)</f>
        <v>138</v>
      </c>
      <c r="D833" s="16" t="n">
        <f aca="false">IF(C833=0,(1+Dic2023!$G$6)^(-B833),EXP(LN(INDEX(Dic2023!$H$6:$H$205,C833))+(LN(INDEX(Dic2023!$H$6:$H$205,MIN(C833+1,200)))-LN(INDEX(Dic2023!$H$6:$H$205,C833)))*(A833-6*C833)/6))</f>
        <v>0.030628807213821</v>
      </c>
      <c r="E833" s="12" t="n">
        <f aca="false">D833^(-1/B833)-1</f>
        <v>0.0517528025</v>
      </c>
      <c r="F833" s="12" t="n">
        <f aca="false">(1+E833)^(1/12)-1</f>
        <v>0.00421369509431369</v>
      </c>
      <c r="G833" s="16" t="n">
        <f aca="false">IF(C833=0,(1+Dic2023!$J$6)^(-B833),EXP(LN(INDEX(Dic2023!$K$6:$K$205,C833))+(LN(INDEX(Dic2023!$K$6:$K$205,MIN(C833+1,200)))-LN(INDEX(Dic2023!$K$6:$K$205,C833)))*(A833-6*C833)/6))</f>
        <v>0.030628807213821</v>
      </c>
      <c r="H833" s="12" t="n">
        <f aca="false">G833^(-1/B833)-1</f>
        <v>0.0517528025</v>
      </c>
      <c r="I833" s="12" t="n">
        <f aca="false">(1+H833)^(1/12)-1</f>
        <v>0.00421369509431369</v>
      </c>
      <c r="J833" s="16" t="n">
        <f aca="false">IF(C833=0,(1+Dic2023!$M$6)^(-B833),EXP(LN(INDEX(Dic2023!$N$6:$N$205,C833))+(LN(INDEX(Dic2023!$N$6:$N$205,MIN(C833+1,200)))-LN(INDEX(Dic2023!$N$6:$N$205,C833)))*(A833-6*C833)/6))</f>
        <v>0.030628807213821</v>
      </c>
      <c r="K833" s="12" t="n">
        <f aca="false">J833^(-1/B833)-1</f>
        <v>0.0517528025</v>
      </c>
      <c r="L833" s="12" t="n">
        <f aca="false">(1+K833)^(1/12)-1</f>
        <v>0.00421369509431369</v>
      </c>
    </row>
    <row r="834" customFormat="false" ht="15" hidden="false" customHeight="false" outlineLevel="0" collapsed="false">
      <c r="A834" s="4" t="n">
        <v>830</v>
      </c>
      <c r="B834" s="14" t="n">
        <f aca="false">A834/12</f>
        <v>69.1666666666667</v>
      </c>
      <c r="C834" s="15" t="n">
        <f aca="false">INT(A834/6)</f>
        <v>138</v>
      </c>
      <c r="D834" s="16" t="n">
        <f aca="false">IF(C834=0,(1+Dic2023!$G$6)^(-B834),EXP(LN(INDEX(Dic2023!$H$6:$H$205,C834))+(LN(INDEX(Dic2023!$H$6:$H$205,MIN(C834+1,200)))-LN(INDEX(Dic2023!$H$6:$H$205,C834)))*(A834-6*C834)/6))</f>
        <v>0.0305002882986418</v>
      </c>
      <c r="E834" s="12" t="n">
        <f aca="false">D834^(-1/B834)-1</f>
        <v>0.0517528025</v>
      </c>
      <c r="F834" s="12" t="n">
        <f aca="false">(1+E834)^(1/12)-1</f>
        <v>0.00421369509431369</v>
      </c>
      <c r="G834" s="16" t="n">
        <f aca="false">IF(C834=0,(1+Dic2023!$J$6)^(-B834),EXP(LN(INDEX(Dic2023!$K$6:$K$205,C834))+(LN(INDEX(Dic2023!$K$6:$K$205,MIN(C834+1,200)))-LN(INDEX(Dic2023!$K$6:$K$205,C834)))*(A834-6*C834)/6))</f>
        <v>0.0305002882986418</v>
      </c>
      <c r="H834" s="12" t="n">
        <f aca="false">G834^(-1/B834)-1</f>
        <v>0.0517528025</v>
      </c>
      <c r="I834" s="12" t="n">
        <f aca="false">(1+H834)^(1/12)-1</f>
        <v>0.00421369509431369</v>
      </c>
      <c r="J834" s="16" t="n">
        <f aca="false">IF(C834=0,(1+Dic2023!$M$6)^(-B834),EXP(LN(INDEX(Dic2023!$N$6:$N$205,C834))+(LN(INDEX(Dic2023!$N$6:$N$205,MIN(C834+1,200)))-LN(INDEX(Dic2023!$N$6:$N$205,C834)))*(A834-6*C834)/6))</f>
        <v>0.0305002882986418</v>
      </c>
      <c r="K834" s="12" t="n">
        <f aca="false">J834^(-1/B834)-1</f>
        <v>0.0517528025</v>
      </c>
      <c r="L834" s="12" t="n">
        <f aca="false">(1+K834)^(1/12)-1</f>
        <v>0.00421369509431369</v>
      </c>
    </row>
    <row r="835" customFormat="false" ht="15" hidden="false" customHeight="false" outlineLevel="0" collapsed="false">
      <c r="A835" s="4" t="n">
        <v>831</v>
      </c>
      <c r="B835" s="14" t="n">
        <f aca="false">A835/12</f>
        <v>69.25</v>
      </c>
      <c r="C835" s="15" t="n">
        <f aca="false">INT(A835/6)</f>
        <v>138</v>
      </c>
      <c r="D835" s="16" t="n">
        <f aca="false">IF(C835=0,(1+Dic2023!$G$6)^(-B835),EXP(LN(INDEX(Dic2023!$H$6:$H$205,C835))+(LN(INDEX(Dic2023!$H$6:$H$205,MIN(C835+1,200)))-LN(INDEX(Dic2023!$H$6:$H$205,C835)))*(A835-6*C835)/6))</f>
        <v>0.0303723086506775</v>
      </c>
      <c r="E835" s="12" t="n">
        <f aca="false">D835^(-1/B835)-1</f>
        <v>0.0517528025</v>
      </c>
      <c r="F835" s="12" t="n">
        <f aca="false">(1+E835)^(1/12)-1</f>
        <v>0.00421369509431369</v>
      </c>
      <c r="G835" s="16" t="n">
        <f aca="false">IF(C835=0,(1+Dic2023!$J$6)^(-B835),EXP(LN(INDEX(Dic2023!$K$6:$K$205,C835))+(LN(INDEX(Dic2023!$K$6:$K$205,MIN(C835+1,200)))-LN(INDEX(Dic2023!$K$6:$K$205,C835)))*(A835-6*C835)/6))</f>
        <v>0.0303723086506775</v>
      </c>
      <c r="H835" s="12" t="n">
        <f aca="false">G835^(-1/B835)-1</f>
        <v>0.0517528025</v>
      </c>
      <c r="I835" s="12" t="n">
        <f aca="false">(1+H835)^(1/12)-1</f>
        <v>0.00421369509431369</v>
      </c>
      <c r="J835" s="16" t="n">
        <f aca="false">IF(C835=0,(1+Dic2023!$M$6)^(-B835),EXP(LN(INDEX(Dic2023!$N$6:$N$205,C835))+(LN(INDEX(Dic2023!$N$6:$N$205,MIN(C835+1,200)))-LN(INDEX(Dic2023!$N$6:$N$205,C835)))*(A835-6*C835)/6))</f>
        <v>0.0303723086506775</v>
      </c>
      <c r="K835" s="12" t="n">
        <f aca="false">J835^(-1/B835)-1</f>
        <v>0.0517528025</v>
      </c>
      <c r="L835" s="12" t="n">
        <f aca="false">(1+K835)^(1/12)-1</f>
        <v>0.00421369509431369</v>
      </c>
    </row>
    <row r="836" customFormat="false" ht="15" hidden="false" customHeight="false" outlineLevel="0" collapsed="false">
      <c r="A836" s="4" t="n">
        <v>832</v>
      </c>
      <c r="B836" s="14" t="n">
        <f aca="false">A836/12</f>
        <v>69.3333333333333</v>
      </c>
      <c r="C836" s="15" t="n">
        <f aca="false">INT(A836/6)</f>
        <v>138</v>
      </c>
      <c r="D836" s="16" t="n">
        <f aca="false">IF(C836=0,(1+Dic2023!$G$6)^(-B836),EXP(LN(INDEX(Dic2023!$H$6:$H$205,C836))+(LN(INDEX(Dic2023!$H$6:$H$205,MIN(C836+1,200)))-LN(INDEX(Dic2023!$H$6:$H$205,C836)))*(A836-6*C836)/6))</f>
        <v>0.0302448660071549</v>
      </c>
      <c r="E836" s="12" t="n">
        <f aca="false">D836^(-1/B836)-1</f>
        <v>0.0517528025</v>
      </c>
      <c r="F836" s="12" t="n">
        <f aca="false">(1+E836)^(1/12)-1</f>
        <v>0.00421369509431369</v>
      </c>
      <c r="G836" s="16" t="n">
        <f aca="false">IF(C836=0,(1+Dic2023!$J$6)^(-B836),EXP(LN(INDEX(Dic2023!$K$6:$K$205,C836))+(LN(INDEX(Dic2023!$K$6:$K$205,MIN(C836+1,200)))-LN(INDEX(Dic2023!$K$6:$K$205,C836)))*(A836-6*C836)/6))</f>
        <v>0.0302448660071549</v>
      </c>
      <c r="H836" s="12" t="n">
        <f aca="false">G836^(-1/B836)-1</f>
        <v>0.0517528025</v>
      </c>
      <c r="I836" s="12" t="n">
        <f aca="false">(1+H836)^(1/12)-1</f>
        <v>0.00421369509431369</v>
      </c>
      <c r="J836" s="16" t="n">
        <f aca="false">IF(C836=0,(1+Dic2023!$M$6)^(-B836),EXP(LN(INDEX(Dic2023!$N$6:$N$205,C836))+(LN(INDEX(Dic2023!$N$6:$N$205,MIN(C836+1,200)))-LN(INDEX(Dic2023!$N$6:$N$205,C836)))*(A836-6*C836)/6))</f>
        <v>0.0302448660071549</v>
      </c>
      <c r="K836" s="12" t="n">
        <f aca="false">J836^(-1/B836)-1</f>
        <v>0.0517528025</v>
      </c>
      <c r="L836" s="12" t="n">
        <f aca="false">(1+K836)^(1/12)-1</f>
        <v>0.00421369509431369</v>
      </c>
    </row>
    <row r="837" customFormat="false" ht="15" hidden="false" customHeight="false" outlineLevel="0" collapsed="false">
      <c r="A837" s="4" t="n">
        <v>833</v>
      </c>
      <c r="B837" s="14" t="n">
        <f aca="false">A837/12</f>
        <v>69.4166666666667</v>
      </c>
      <c r="C837" s="15" t="n">
        <f aca="false">INT(A837/6)</f>
        <v>138</v>
      </c>
      <c r="D837" s="16" t="n">
        <f aca="false">IF(C837=0,(1+Dic2023!$G$6)^(-B837),EXP(LN(INDEX(Dic2023!$H$6:$H$205,C837))+(LN(INDEX(Dic2023!$H$6:$H$205,MIN(C837+1,200)))-LN(INDEX(Dic2023!$H$6:$H$205,C837)))*(A837-6*C837)/6))</f>
        <v>0.0301179581147959</v>
      </c>
      <c r="E837" s="12" t="n">
        <f aca="false">D837^(-1/B837)-1</f>
        <v>0.0517528025</v>
      </c>
      <c r="F837" s="12" t="n">
        <f aca="false">(1+E837)^(1/12)-1</f>
        <v>0.00421369509431369</v>
      </c>
      <c r="G837" s="16" t="n">
        <f aca="false">IF(C837=0,(1+Dic2023!$J$6)^(-B837),EXP(LN(INDEX(Dic2023!$K$6:$K$205,C837))+(LN(INDEX(Dic2023!$K$6:$K$205,MIN(C837+1,200)))-LN(INDEX(Dic2023!$K$6:$K$205,C837)))*(A837-6*C837)/6))</f>
        <v>0.0301179581147959</v>
      </c>
      <c r="H837" s="12" t="n">
        <f aca="false">G837^(-1/B837)-1</f>
        <v>0.0517528025</v>
      </c>
      <c r="I837" s="12" t="n">
        <f aca="false">(1+H837)^(1/12)-1</f>
        <v>0.00421369509431369</v>
      </c>
      <c r="J837" s="16" t="n">
        <f aca="false">IF(C837=0,(1+Dic2023!$M$6)^(-B837),EXP(LN(INDEX(Dic2023!$N$6:$N$205,C837))+(LN(INDEX(Dic2023!$N$6:$N$205,MIN(C837+1,200)))-LN(INDEX(Dic2023!$N$6:$N$205,C837)))*(A837-6*C837)/6))</f>
        <v>0.0301179581147959</v>
      </c>
      <c r="K837" s="12" t="n">
        <f aca="false">J837^(-1/B837)-1</f>
        <v>0.0517528025</v>
      </c>
      <c r="L837" s="12" t="n">
        <f aca="false">(1+K837)^(1/12)-1</f>
        <v>0.00421369509431369</v>
      </c>
    </row>
    <row r="838" customFormat="false" ht="15" hidden="false" customHeight="false" outlineLevel="0" collapsed="false">
      <c r="A838" s="4" t="n">
        <v>834</v>
      </c>
      <c r="B838" s="14" t="n">
        <f aca="false">A838/12</f>
        <v>69.5</v>
      </c>
      <c r="C838" s="15" t="n">
        <f aca="false">INT(A838/6)</f>
        <v>139</v>
      </c>
      <c r="D838" s="16" t="n">
        <f aca="false">IF(C838=0,(1+Dic2023!$G$6)^(-B838),EXP(LN(INDEX(Dic2023!$H$6:$H$205,C838))+(LN(INDEX(Dic2023!$H$6:$H$205,MIN(C838+1,200)))-LN(INDEX(Dic2023!$H$6:$H$205,C838)))*(A838-6*C838)/6))</f>
        <v>0.0299915827297767</v>
      </c>
      <c r="E838" s="12" t="n">
        <f aca="false">D838^(-1/B838)-1</f>
        <v>0.0517528025</v>
      </c>
      <c r="F838" s="12" t="n">
        <f aca="false">(1+E838)^(1/12)-1</f>
        <v>0.00421369509431369</v>
      </c>
      <c r="G838" s="16" t="n">
        <f aca="false">IF(C838=0,(1+Dic2023!$J$6)^(-B838),EXP(LN(INDEX(Dic2023!$K$6:$K$205,C838))+(LN(INDEX(Dic2023!$K$6:$K$205,MIN(C838+1,200)))-LN(INDEX(Dic2023!$K$6:$K$205,C838)))*(A838-6*C838)/6))</f>
        <v>0.0299915827297767</v>
      </c>
      <c r="H838" s="12" t="n">
        <f aca="false">G838^(-1/B838)-1</f>
        <v>0.0517528025</v>
      </c>
      <c r="I838" s="12" t="n">
        <f aca="false">(1+H838)^(1/12)-1</f>
        <v>0.00421369509431369</v>
      </c>
      <c r="J838" s="16" t="n">
        <f aca="false">IF(C838=0,(1+Dic2023!$M$6)^(-B838),EXP(LN(INDEX(Dic2023!$N$6:$N$205,C838))+(LN(INDEX(Dic2023!$N$6:$N$205,MIN(C838+1,200)))-LN(INDEX(Dic2023!$N$6:$N$205,C838)))*(A838-6*C838)/6))</f>
        <v>0.0299915827297767</v>
      </c>
      <c r="K838" s="12" t="n">
        <f aca="false">J838^(-1/B838)-1</f>
        <v>0.0517528025</v>
      </c>
      <c r="L838" s="12" t="n">
        <f aca="false">(1+K838)^(1/12)-1</f>
        <v>0.00421369509431369</v>
      </c>
    </row>
    <row r="839" customFormat="false" ht="15" hidden="false" customHeight="false" outlineLevel="0" collapsed="false">
      <c r="A839" s="4" t="n">
        <v>835</v>
      </c>
      <c r="B839" s="14" t="n">
        <f aca="false">A839/12</f>
        <v>69.5833333333333</v>
      </c>
      <c r="C839" s="15" t="n">
        <f aca="false">INT(A839/6)</f>
        <v>139</v>
      </c>
      <c r="D839" s="16" t="n">
        <f aca="false">IF(C839=0,(1+Dic2023!$G$6)^(-B839),EXP(LN(INDEX(Dic2023!$H$6:$H$205,C839))+(LN(INDEX(Dic2023!$H$6:$H$205,MIN(C839+1,200)))-LN(INDEX(Dic2023!$H$6:$H$205,C839)))*(A839-6*C839)/6))</f>
        <v>0.029865737617689</v>
      </c>
      <c r="E839" s="12" t="n">
        <f aca="false">D839^(-1/B839)-1</f>
        <v>0.0517528025</v>
      </c>
      <c r="F839" s="12" t="n">
        <f aca="false">(1+E839)^(1/12)-1</f>
        <v>0.00421369509431369</v>
      </c>
      <c r="G839" s="16" t="n">
        <f aca="false">IF(C839=0,(1+Dic2023!$J$6)^(-B839),EXP(LN(INDEX(Dic2023!$K$6:$K$205,C839))+(LN(INDEX(Dic2023!$K$6:$K$205,MIN(C839+1,200)))-LN(INDEX(Dic2023!$K$6:$K$205,C839)))*(A839-6*C839)/6))</f>
        <v>0.029865737617689</v>
      </c>
      <c r="H839" s="12" t="n">
        <f aca="false">G839^(-1/B839)-1</f>
        <v>0.0517528025</v>
      </c>
      <c r="I839" s="12" t="n">
        <f aca="false">(1+H839)^(1/12)-1</f>
        <v>0.00421369509431369</v>
      </c>
      <c r="J839" s="16" t="n">
        <f aca="false">IF(C839=0,(1+Dic2023!$M$6)^(-B839),EXP(LN(INDEX(Dic2023!$N$6:$N$205,C839))+(LN(INDEX(Dic2023!$N$6:$N$205,MIN(C839+1,200)))-LN(INDEX(Dic2023!$N$6:$N$205,C839)))*(A839-6*C839)/6))</f>
        <v>0.029865737617689</v>
      </c>
      <c r="K839" s="12" t="n">
        <f aca="false">J839^(-1/B839)-1</f>
        <v>0.0517528025</v>
      </c>
      <c r="L839" s="12" t="n">
        <f aca="false">(1+K839)^(1/12)-1</f>
        <v>0.00421369509431369</v>
      </c>
    </row>
    <row r="840" customFormat="false" ht="15" hidden="false" customHeight="false" outlineLevel="0" collapsed="false">
      <c r="A840" s="4" t="n">
        <v>836</v>
      </c>
      <c r="B840" s="14" t="n">
        <f aca="false">A840/12</f>
        <v>69.6666666666667</v>
      </c>
      <c r="C840" s="15" t="n">
        <f aca="false">INT(A840/6)</f>
        <v>139</v>
      </c>
      <c r="D840" s="16" t="n">
        <f aca="false">IF(C840=0,(1+Dic2023!$G$6)^(-B840),EXP(LN(INDEX(Dic2023!$H$6:$H$205,C840))+(LN(INDEX(Dic2023!$H$6:$H$205,MIN(C840+1,200)))-LN(INDEX(Dic2023!$H$6:$H$205,C840)))*(A840-6*C840)/6))</f>
        <v>0.0297404205534999</v>
      </c>
      <c r="E840" s="12" t="n">
        <f aca="false">D840^(-1/B840)-1</f>
        <v>0.0517528025</v>
      </c>
      <c r="F840" s="12" t="n">
        <f aca="false">(1+E840)^(1/12)-1</f>
        <v>0.00421369509431369</v>
      </c>
      <c r="G840" s="16" t="n">
        <f aca="false">IF(C840=0,(1+Dic2023!$J$6)^(-B840),EXP(LN(INDEX(Dic2023!$K$6:$K$205,C840))+(LN(INDEX(Dic2023!$K$6:$K$205,MIN(C840+1,200)))-LN(INDEX(Dic2023!$K$6:$K$205,C840)))*(A840-6*C840)/6))</f>
        <v>0.0297404205534999</v>
      </c>
      <c r="H840" s="12" t="n">
        <f aca="false">G840^(-1/B840)-1</f>
        <v>0.0517528025</v>
      </c>
      <c r="I840" s="12" t="n">
        <f aca="false">(1+H840)^(1/12)-1</f>
        <v>0.00421369509431369</v>
      </c>
      <c r="J840" s="16" t="n">
        <f aca="false">IF(C840=0,(1+Dic2023!$M$6)^(-B840),EXP(LN(INDEX(Dic2023!$N$6:$N$205,C840))+(LN(INDEX(Dic2023!$N$6:$N$205,MIN(C840+1,200)))-LN(INDEX(Dic2023!$N$6:$N$205,C840)))*(A840-6*C840)/6))</f>
        <v>0.0297404205534999</v>
      </c>
      <c r="K840" s="12" t="n">
        <f aca="false">J840^(-1/B840)-1</f>
        <v>0.0517528025</v>
      </c>
      <c r="L840" s="12" t="n">
        <f aca="false">(1+K840)^(1/12)-1</f>
        <v>0.00421369509431369</v>
      </c>
    </row>
    <row r="841" customFormat="false" ht="15" hidden="false" customHeight="false" outlineLevel="0" collapsed="false">
      <c r="A841" s="4" t="n">
        <v>837</v>
      </c>
      <c r="B841" s="14" t="n">
        <f aca="false">A841/12</f>
        <v>69.75</v>
      </c>
      <c r="C841" s="15" t="n">
        <f aca="false">INT(A841/6)</f>
        <v>139</v>
      </c>
      <c r="D841" s="16" t="n">
        <f aca="false">IF(C841=0,(1+Dic2023!$G$6)^(-B841),EXP(LN(INDEX(Dic2023!$H$6:$H$205,C841))+(LN(INDEX(Dic2023!$H$6:$H$205,MIN(C841+1,200)))-LN(INDEX(Dic2023!$H$6:$H$205,C841)))*(A841-6*C841)/6))</f>
        <v>0.0296156293215128</v>
      </c>
      <c r="E841" s="12" t="n">
        <f aca="false">D841^(-1/B841)-1</f>
        <v>0.0517528025</v>
      </c>
      <c r="F841" s="12" t="n">
        <f aca="false">(1+E841)^(1/12)-1</f>
        <v>0.00421369509431369</v>
      </c>
      <c r="G841" s="16" t="n">
        <f aca="false">IF(C841=0,(1+Dic2023!$J$6)^(-B841),EXP(LN(INDEX(Dic2023!$K$6:$K$205,C841))+(LN(INDEX(Dic2023!$K$6:$K$205,MIN(C841+1,200)))-LN(INDEX(Dic2023!$K$6:$K$205,C841)))*(A841-6*C841)/6))</f>
        <v>0.0296156293215128</v>
      </c>
      <c r="H841" s="12" t="n">
        <f aca="false">G841^(-1/B841)-1</f>
        <v>0.0517528025</v>
      </c>
      <c r="I841" s="12" t="n">
        <f aca="false">(1+H841)^(1/12)-1</f>
        <v>0.00421369509431369</v>
      </c>
      <c r="J841" s="16" t="n">
        <f aca="false">IF(C841=0,(1+Dic2023!$M$6)^(-B841),EXP(LN(INDEX(Dic2023!$N$6:$N$205,C841))+(LN(INDEX(Dic2023!$N$6:$N$205,MIN(C841+1,200)))-LN(INDEX(Dic2023!$N$6:$N$205,C841)))*(A841-6*C841)/6))</f>
        <v>0.0296156293215128</v>
      </c>
      <c r="K841" s="12" t="n">
        <f aca="false">J841^(-1/B841)-1</f>
        <v>0.0517528025</v>
      </c>
      <c r="L841" s="12" t="n">
        <f aca="false">(1+K841)^(1/12)-1</f>
        <v>0.00421369509431369</v>
      </c>
    </row>
    <row r="842" customFormat="false" ht="15" hidden="false" customHeight="false" outlineLevel="0" collapsed="false">
      <c r="A842" s="4" t="n">
        <v>838</v>
      </c>
      <c r="B842" s="14" t="n">
        <f aca="false">A842/12</f>
        <v>69.8333333333333</v>
      </c>
      <c r="C842" s="15" t="n">
        <f aca="false">INT(A842/6)</f>
        <v>139</v>
      </c>
      <c r="D842" s="16" t="n">
        <f aca="false">IF(C842=0,(1+Dic2023!$G$6)^(-B842),EXP(LN(INDEX(Dic2023!$H$6:$H$205,C842))+(LN(INDEX(Dic2023!$H$6:$H$205,MIN(C842+1,200)))-LN(INDEX(Dic2023!$H$6:$H$205,C842)))*(A842-6*C842)/6))</f>
        <v>0.0294913617153283</v>
      </c>
      <c r="E842" s="12" t="n">
        <f aca="false">D842^(-1/B842)-1</f>
        <v>0.0517528025</v>
      </c>
      <c r="F842" s="12" t="n">
        <f aca="false">(1+E842)^(1/12)-1</f>
        <v>0.00421369509431369</v>
      </c>
      <c r="G842" s="16" t="n">
        <f aca="false">IF(C842=0,(1+Dic2023!$J$6)^(-B842),EXP(LN(INDEX(Dic2023!$K$6:$K$205,C842))+(LN(INDEX(Dic2023!$K$6:$K$205,MIN(C842+1,200)))-LN(INDEX(Dic2023!$K$6:$K$205,C842)))*(A842-6*C842)/6))</f>
        <v>0.0294913617153283</v>
      </c>
      <c r="H842" s="12" t="n">
        <f aca="false">G842^(-1/B842)-1</f>
        <v>0.0517528025</v>
      </c>
      <c r="I842" s="12" t="n">
        <f aca="false">(1+H842)^(1/12)-1</f>
        <v>0.00421369509431369</v>
      </c>
      <c r="J842" s="16" t="n">
        <f aca="false">IF(C842=0,(1+Dic2023!$M$6)^(-B842),EXP(LN(INDEX(Dic2023!$N$6:$N$205,C842))+(LN(INDEX(Dic2023!$N$6:$N$205,MIN(C842+1,200)))-LN(INDEX(Dic2023!$N$6:$N$205,C842)))*(A842-6*C842)/6))</f>
        <v>0.0294913617153283</v>
      </c>
      <c r="K842" s="12" t="n">
        <f aca="false">J842^(-1/B842)-1</f>
        <v>0.0517528025</v>
      </c>
      <c r="L842" s="12" t="n">
        <f aca="false">(1+K842)^(1/12)-1</f>
        <v>0.00421369509431369</v>
      </c>
    </row>
    <row r="843" customFormat="false" ht="15" hidden="false" customHeight="false" outlineLevel="0" collapsed="false">
      <c r="A843" s="4" t="n">
        <v>839</v>
      </c>
      <c r="B843" s="14" t="n">
        <f aca="false">A843/12</f>
        <v>69.9166666666667</v>
      </c>
      <c r="C843" s="15" t="n">
        <f aca="false">INT(A843/6)</f>
        <v>139</v>
      </c>
      <c r="D843" s="16" t="n">
        <f aca="false">IF(C843=0,(1+Dic2023!$G$6)^(-B843),EXP(LN(INDEX(Dic2023!$H$6:$H$205,C843))+(LN(INDEX(Dic2023!$H$6:$H$205,MIN(C843+1,200)))-LN(INDEX(Dic2023!$H$6:$H$205,C843)))*(A843-6*C843)/6))</f>
        <v>0.029367615537805</v>
      </c>
      <c r="E843" s="12" t="n">
        <f aca="false">D843^(-1/B843)-1</f>
        <v>0.0517528025</v>
      </c>
      <c r="F843" s="12" t="n">
        <f aca="false">(1+E843)^(1/12)-1</f>
        <v>0.00421369509431369</v>
      </c>
      <c r="G843" s="16" t="n">
        <f aca="false">IF(C843=0,(1+Dic2023!$J$6)^(-B843),EXP(LN(INDEX(Dic2023!$K$6:$K$205,C843))+(LN(INDEX(Dic2023!$K$6:$K$205,MIN(C843+1,200)))-LN(INDEX(Dic2023!$K$6:$K$205,C843)))*(A843-6*C843)/6))</f>
        <v>0.029367615537805</v>
      </c>
      <c r="H843" s="12" t="n">
        <f aca="false">G843^(-1/B843)-1</f>
        <v>0.0517528025</v>
      </c>
      <c r="I843" s="12" t="n">
        <f aca="false">(1+H843)^(1/12)-1</f>
        <v>0.00421369509431369</v>
      </c>
      <c r="J843" s="16" t="n">
        <f aca="false">IF(C843=0,(1+Dic2023!$M$6)^(-B843),EXP(LN(INDEX(Dic2023!$N$6:$N$205,C843))+(LN(INDEX(Dic2023!$N$6:$N$205,MIN(C843+1,200)))-LN(INDEX(Dic2023!$N$6:$N$205,C843)))*(A843-6*C843)/6))</f>
        <v>0.029367615537805</v>
      </c>
      <c r="K843" s="12" t="n">
        <f aca="false">J843^(-1/B843)-1</f>
        <v>0.0517528025</v>
      </c>
      <c r="L843" s="12" t="n">
        <f aca="false">(1+K843)^(1/12)-1</f>
        <v>0.00421369509431369</v>
      </c>
    </row>
    <row r="844" customFormat="false" ht="15" hidden="false" customHeight="false" outlineLevel="0" collapsed="false">
      <c r="A844" s="4" t="n">
        <v>840</v>
      </c>
      <c r="B844" s="14" t="n">
        <f aca="false">A844/12</f>
        <v>70</v>
      </c>
      <c r="C844" s="15" t="n">
        <f aca="false">INT(A844/6)</f>
        <v>140</v>
      </c>
      <c r="D844" s="16" t="n">
        <f aca="false">IF(C844=0,(1+Dic2023!$G$6)^(-B844),EXP(LN(INDEX(Dic2023!$H$6:$H$205,C844))+(LN(INDEX(Dic2023!$H$6:$H$205,MIN(C844+1,200)))-LN(INDEX(Dic2023!$H$6:$H$205,C844)))*(A844-6*C844)/6))</f>
        <v>0.0292443886010206</v>
      </c>
      <c r="E844" s="12" t="n">
        <f aca="false">D844^(-1/B844)-1</f>
        <v>0.0517528025</v>
      </c>
      <c r="F844" s="12" t="n">
        <f aca="false">(1+E844)^(1/12)-1</f>
        <v>0.00421369509431369</v>
      </c>
      <c r="G844" s="16" t="n">
        <f aca="false">IF(C844=0,(1+Dic2023!$J$6)^(-B844),EXP(LN(INDEX(Dic2023!$K$6:$K$205,C844))+(LN(INDEX(Dic2023!$K$6:$K$205,MIN(C844+1,200)))-LN(INDEX(Dic2023!$K$6:$K$205,C844)))*(A844-6*C844)/6))</f>
        <v>0.0292443886010206</v>
      </c>
      <c r="H844" s="12" t="n">
        <f aca="false">G844^(-1/B844)-1</f>
        <v>0.0517528025</v>
      </c>
      <c r="I844" s="12" t="n">
        <f aca="false">(1+H844)^(1/12)-1</f>
        <v>0.00421369509431369</v>
      </c>
      <c r="J844" s="16" t="n">
        <f aca="false">IF(C844=0,(1+Dic2023!$M$6)^(-B844),EXP(LN(INDEX(Dic2023!$N$6:$N$205,C844))+(LN(INDEX(Dic2023!$N$6:$N$205,MIN(C844+1,200)))-LN(INDEX(Dic2023!$N$6:$N$205,C844)))*(A844-6*C844)/6))</f>
        <v>0.0292443886010206</v>
      </c>
      <c r="K844" s="12" t="n">
        <f aca="false">J844^(-1/B844)-1</f>
        <v>0.0517528025</v>
      </c>
      <c r="L844" s="12" t="n">
        <f aca="false">(1+K844)^(1/12)-1</f>
        <v>0.00421369509431369</v>
      </c>
    </row>
    <row r="845" customFormat="false" ht="15" hidden="false" customHeight="false" outlineLevel="0" collapsed="false">
      <c r="A845" s="4" t="n">
        <v>841</v>
      </c>
      <c r="B845" s="14" t="n">
        <f aca="false">A845/12</f>
        <v>70.0833333333333</v>
      </c>
      <c r="C845" s="15" t="n">
        <f aca="false">INT(A845/6)</f>
        <v>140</v>
      </c>
      <c r="D845" s="16" t="n">
        <f aca="false">IF(C845=0,(1+Dic2023!$G$6)^(-B845),EXP(LN(INDEX(Dic2023!$H$6:$H$205,C845))+(LN(INDEX(Dic2023!$H$6:$H$205,MIN(C845+1,200)))-LN(INDEX(Dic2023!$H$6:$H$205,C845)))*(A845-6*C845)/6))</f>
        <v>0.0291216787262337</v>
      </c>
      <c r="E845" s="12" t="n">
        <f aca="false">D845^(-1/B845)-1</f>
        <v>0.0517528025</v>
      </c>
      <c r="F845" s="12" t="n">
        <f aca="false">(1+E845)^(1/12)-1</f>
        <v>0.00421369509431369</v>
      </c>
      <c r="G845" s="16" t="n">
        <f aca="false">IF(C845=0,(1+Dic2023!$J$6)^(-B845),EXP(LN(INDEX(Dic2023!$K$6:$K$205,C845))+(LN(INDEX(Dic2023!$K$6:$K$205,MIN(C845+1,200)))-LN(INDEX(Dic2023!$K$6:$K$205,C845)))*(A845-6*C845)/6))</f>
        <v>0.0291216787262337</v>
      </c>
      <c r="H845" s="12" t="n">
        <f aca="false">G845^(-1/B845)-1</f>
        <v>0.0517528025</v>
      </c>
      <c r="I845" s="12" t="n">
        <f aca="false">(1+H845)^(1/12)-1</f>
        <v>0.00421369509431369</v>
      </c>
      <c r="J845" s="16" t="n">
        <f aca="false">IF(C845=0,(1+Dic2023!$M$6)^(-B845),EXP(LN(INDEX(Dic2023!$N$6:$N$205,C845))+(LN(INDEX(Dic2023!$N$6:$N$205,MIN(C845+1,200)))-LN(INDEX(Dic2023!$N$6:$N$205,C845)))*(A845-6*C845)/6))</f>
        <v>0.0291216787262337</v>
      </c>
      <c r="K845" s="12" t="n">
        <f aca="false">J845^(-1/B845)-1</f>
        <v>0.0517528025</v>
      </c>
      <c r="L845" s="12" t="n">
        <f aca="false">(1+K845)^(1/12)-1</f>
        <v>0.00421369509431369</v>
      </c>
    </row>
    <row r="846" customFormat="false" ht="15" hidden="false" customHeight="false" outlineLevel="0" collapsed="false">
      <c r="A846" s="4" t="n">
        <v>842</v>
      </c>
      <c r="B846" s="14" t="n">
        <f aca="false">A846/12</f>
        <v>70.1666666666667</v>
      </c>
      <c r="C846" s="15" t="n">
        <f aca="false">INT(A846/6)</f>
        <v>140</v>
      </c>
      <c r="D846" s="16" t="n">
        <f aca="false">IF(C846=0,(1+Dic2023!$G$6)^(-B846),EXP(LN(INDEX(Dic2023!$H$6:$H$205,C846))+(LN(INDEX(Dic2023!$H$6:$H$205,MIN(C846+1,200)))-LN(INDEX(Dic2023!$H$6:$H$205,C846)))*(A846-6*C846)/6))</f>
        <v>0.0289994837438447</v>
      </c>
      <c r="E846" s="12" t="n">
        <f aca="false">D846^(-1/B846)-1</f>
        <v>0.0517528025</v>
      </c>
      <c r="F846" s="12" t="n">
        <f aca="false">(1+E846)^(1/12)-1</f>
        <v>0.00421369509431369</v>
      </c>
      <c r="G846" s="16" t="n">
        <f aca="false">IF(C846=0,(1+Dic2023!$J$6)^(-B846),EXP(LN(INDEX(Dic2023!$K$6:$K$205,C846))+(LN(INDEX(Dic2023!$K$6:$K$205,MIN(C846+1,200)))-LN(INDEX(Dic2023!$K$6:$K$205,C846)))*(A846-6*C846)/6))</f>
        <v>0.0289994837438447</v>
      </c>
      <c r="H846" s="12" t="n">
        <f aca="false">G846^(-1/B846)-1</f>
        <v>0.0517528025</v>
      </c>
      <c r="I846" s="12" t="n">
        <f aca="false">(1+H846)^(1/12)-1</f>
        <v>0.00421369509431369</v>
      </c>
      <c r="J846" s="16" t="n">
        <f aca="false">IF(C846=0,(1+Dic2023!$M$6)^(-B846),EXP(LN(INDEX(Dic2023!$N$6:$N$205,C846))+(LN(INDEX(Dic2023!$N$6:$N$205,MIN(C846+1,200)))-LN(INDEX(Dic2023!$N$6:$N$205,C846)))*(A846-6*C846)/6))</f>
        <v>0.0289994837438447</v>
      </c>
      <c r="K846" s="12" t="n">
        <f aca="false">J846^(-1/B846)-1</f>
        <v>0.0517528025</v>
      </c>
      <c r="L846" s="12" t="n">
        <f aca="false">(1+K846)^(1/12)-1</f>
        <v>0.00421369509431369</v>
      </c>
    </row>
    <row r="847" customFormat="false" ht="15" hidden="false" customHeight="false" outlineLevel="0" collapsed="false">
      <c r="A847" s="4" t="n">
        <v>843</v>
      </c>
      <c r="B847" s="14" t="n">
        <f aca="false">A847/12</f>
        <v>70.25</v>
      </c>
      <c r="C847" s="15" t="n">
        <f aca="false">INT(A847/6)</f>
        <v>140</v>
      </c>
      <c r="D847" s="16" t="n">
        <f aca="false">IF(C847=0,(1+Dic2023!$G$6)^(-B847),EXP(LN(INDEX(Dic2023!$H$6:$H$205,C847))+(LN(INDEX(Dic2023!$H$6:$H$205,MIN(C847+1,200)))-LN(INDEX(Dic2023!$H$6:$H$205,C847)))*(A847-6*C847)/6))</f>
        <v>0.0288778014933575</v>
      </c>
      <c r="E847" s="12" t="n">
        <f aca="false">D847^(-1/B847)-1</f>
        <v>0.0517528025</v>
      </c>
      <c r="F847" s="12" t="n">
        <f aca="false">(1+E847)^(1/12)-1</f>
        <v>0.00421369509431369</v>
      </c>
      <c r="G847" s="16" t="n">
        <f aca="false">IF(C847=0,(1+Dic2023!$J$6)^(-B847),EXP(LN(INDEX(Dic2023!$K$6:$K$205,C847))+(LN(INDEX(Dic2023!$K$6:$K$205,MIN(C847+1,200)))-LN(INDEX(Dic2023!$K$6:$K$205,C847)))*(A847-6*C847)/6))</f>
        <v>0.0288778014933575</v>
      </c>
      <c r="H847" s="12" t="n">
        <f aca="false">G847^(-1/B847)-1</f>
        <v>0.0517528025</v>
      </c>
      <c r="I847" s="12" t="n">
        <f aca="false">(1+H847)^(1/12)-1</f>
        <v>0.00421369509431369</v>
      </c>
      <c r="J847" s="16" t="n">
        <f aca="false">IF(C847=0,(1+Dic2023!$M$6)^(-B847),EXP(LN(INDEX(Dic2023!$N$6:$N$205,C847))+(LN(INDEX(Dic2023!$N$6:$N$205,MIN(C847+1,200)))-LN(INDEX(Dic2023!$N$6:$N$205,C847)))*(A847-6*C847)/6))</f>
        <v>0.0288778014933575</v>
      </c>
      <c r="K847" s="12" t="n">
        <f aca="false">J847^(-1/B847)-1</f>
        <v>0.0517528025</v>
      </c>
      <c r="L847" s="12" t="n">
        <f aca="false">(1+K847)^(1/12)-1</f>
        <v>0.00421369509431369</v>
      </c>
    </row>
    <row r="848" customFormat="false" ht="15" hidden="false" customHeight="false" outlineLevel="0" collapsed="false">
      <c r="A848" s="4" t="n">
        <v>844</v>
      </c>
      <c r="B848" s="14" t="n">
        <f aca="false">A848/12</f>
        <v>70.3333333333333</v>
      </c>
      <c r="C848" s="15" t="n">
        <f aca="false">INT(A848/6)</f>
        <v>140</v>
      </c>
      <c r="D848" s="16" t="n">
        <f aca="false">IF(C848=0,(1+Dic2023!$G$6)^(-B848),EXP(LN(INDEX(Dic2023!$H$6:$H$205,C848))+(LN(INDEX(Dic2023!$H$6:$H$205,MIN(C848+1,200)))-LN(INDEX(Dic2023!$H$6:$H$205,C848)))*(A848-6*C848)/6))</f>
        <v>0.0287566298233419</v>
      </c>
      <c r="E848" s="12" t="n">
        <f aca="false">D848^(-1/B848)-1</f>
        <v>0.0517528025</v>
      </c>
      <c r="F848" s="12" t="n">
        <f aca="false">(1+E848)^(1/12)-1</f>
        <v>0.00421369509431369</v>
      </c>
      <c r="G848" s="16" t="n">
        <f aca="false">IF(C848=0,(1+Dic2023!$J$6)^(-B848),EXP(LN(INDEX(Dic2023!$K$6:$K$205,C848))+(LN(INDEX(Dic2023!$K$6:$K$205,MIN(C848+1,200)))-LN(INDEX(Dic2023!$K$6:$K$205,C848)))*(A848-6*C848)/6))</f>
        <v>0.0287566298233419</v>
      </c>
      <c r="H848" s="12" t="n">
        <f aca="false">G848^(-1/B848)-1</f>
        <v>0.0517528025</v>
      </c>
      <c r="I848" s="12" t="n">
        <f aca="false">(1+H848)^(1/12)-1</f>
        <v>0.00421369509431369</v>
      </c>
      <c r="J848" s="16" t="n">
        <f aca="false">IF(C848=0,(1+Dic2023!$M$6)^(-B848),EXP(LN(INDEX(Dic2023!$N$6:$N$205,C848))+(LN(INDEX(Dic2023!$N$6:$N$205,MIN(C848+1,200)))-LN(INDEX(Dic2023!$N$6:$N$205,C848)))*(A848-6*C848)/6))</f>
        <v>0.0287566298233419</v>
      </c>
      <c r="K848" s="12" t="n">
        <f aca="false">J848^(-1/B848)-1</f>
        <v>0.0517528025</v>
      </c>
      <c r="L848" s="12" t="n">
        <f aca="false">(1+K848)^(1/12)-1</f>
        <v>0.00421369509431369</v>
      </c>
    </row>
    <row r="849" customFormat="false" ht="15" hidden="false" customHeight="false" outlineLevel="0" collapsed="false">
      <c r="A849" s="4" t="n">
        <v>845</v>
      </c>
      <c r="B849" s="14" t="n">
        <f aca="false">A849/12</f>
        <v>70.4166666666667</v>
      </c>
      <c r="C849" s="15" t="n">
        <f aca="false">INT(A849/6)</f>
        <v>140</v>
      </c>
      <c r="D849" s="16" t="n">
        <f aca="false">IF(C849=0,(1+Dic2023!$G$6)^(-B849),EXP(LN(INDEX(Dic2023!$H$6:$H$205,C849))+(LN(INDEX(Dic2023!$H$6:$H$205,MIN(C849+1,200)))-LN(INDEX(Dic2023!$H$6:$H$205,C849)))*(A849-6*C849)/6))</f>
        <v>0.0286359665913948</v>
      </c>
      <c r="E849" s="12" t="n">
        <f aca="false">D849^(-1/B849)-1</f>
        <v>0.0517528025</v>
      </c>
      <c r="F849" s="12" t="n">
        <f aca="false">(1+E849)^(1/12)-1</f>
        <v>0.00421369509431369</v>
      </c>
      <c r="G849" s="16" t="n">
        <f aca="false">IF(C849=0,(1+Dic2023!$J$6)^(-B849),EXP(LN(INDEX(Dic2023!$K$6:$K$205,C849))+(LN(INDEX(Dic2023!$K$6:$K$205,MIN(C849+1,200)))-LN(INDEX(Dic2023!$K$6:$K$205,C849)))*(A849-6*C849)/6))</f>
        <v>0.0286359665913948</v>
      </c>
      <c r="H849" s="12" t="n">
        <f aca="false">G849^(-1/B849)-1</f>
        <v>0.0517528025</v>
      </c>
      <c r="I849" s="12" t="n">
        <f aca="false">(1+H849)^(1/12)-1</f>
        <v>0.00421369509431369</v>
      </c>
      <c r="J849" s="16" t="n">
        <f aca="false">IF(C849=0,(1+Dic2023!$M$6)^(-B849),EXP(LN(INDEX(Dic2023!$N$6:$N$205,C849))+(LN(INDEX(Dic2023!$N$6:$N$205,MIN(C849+1,200)))-LN(INDEX(Dic2023!$N$6:$N$205,C849)))*(A849-6*C849)/6))</f>
        <v>0.0286359665913948</v>
      </c>
      <c r="K849" s="12" t="n">
        <f aca="false">J849^(-1/B849)-1</f>
        <v>0.0517528025</v>
      </c>
      <c r="L849" s="12" t="n">
        <f aca="false">(1+K849)^(1/12)-1</f>
        <v>0.00421369509431369</v>
      </c>
    </row>
    <row r="850" customFormat="false" ht="15" hidden="false" customHeight="false" outlineLevel="0" collapsed="false">
      <c r="A850" s="4" t="n">
        <v>846</v>
      </c>
      <c r="B850" s="14" t="n">
        <f aca="false">A850/12</f>
        <v>70.5</v>
      </c>
      <c r="C850" s="15" t="n">
        <f aca="false">INT(A850/6)</f>
        <v>141</v>
      </c>
      <c r="D850" s="16" t="n">
        <f aca="false">IF(C850=0,(1+Dic2023!$G$6)^(-B850),EXP(LN(INDEX(Dic2023!$H$6:$H$205,C850))+(LN(INDEX(Dic2023!$H$6:$H$205,MIN(C850+1,200)))-LN(INDEX(Dic2023!$H$6:$H$205,C850)))*(A850-6*C850)/6))</f>
        <v>0.0285158096641028</v>
      </c>
      <c r="E850" s="12" t="n">
        <f aca="false">D850^(-1/B850)-1</f>
        <v>0.0517528025</v>
      </c>
      <c r="F850" s="12" t="n">
        <f aca="false">(1+E850)^(1/12)-1</f>
        <v>0.00421369509431369</v>
      </c>
      <c r="G850" s="16" t="n">
        <f aca="false">IF(C850=0,(1+Dic2023!$J$6)^(-B850),EXP(LN(INDEX(Dic2023!$K$6:$K$205,C850))+(LN(INDEX(Dic2023!$K$6:$K$205,MIN(C850+1,200)))-LN(INDEX(Dic2023!$K$6:$K$205,C850)))*(A850-6*C850)/6))</f>
        <v>0.0285158096641028</v>
      </c>
      <c r="H850" s="12" t="n">
        <f aca="false">G850^(-1/B850)-1</f>
        <v>0.0517528025</v>
      </c>
      <c r="I850" s="12" t="n">
        <f aca="false">(1+H850)^(1/12)-1</f>
        <v>0.00421369509431369</v>
      </c>
      <c r="J850" s="16" t="n">
        <f aca="false">IF(C850=0,(1+Dic2023!$M$6)^(-B850),EXP(LN(INDEX(Dic2023!$N$6:$N$205,C850))+(LN(INDEX(Dic2023!$N$6:$N$205,MIN(C850+1,200)))-LN(INDEX(Dic2023!$N$6:$N$205,C850)))*(A850-6*C850)/6))</f>
        <v>0.0285158096641028</v>
      </c>
      <c r="K850" s="12" t="n">
        <f aca="false">J850^(-1/B850)-1</f>
        <v>0.0517528025</v>
      </c>
      <c r="L850" s="12" t="n">
        <f aca="false">(1+K850)^(1/12)-1</f>
        <v>0.00421369509431369</v>
      </c>
    </row>
    <row r="851" customFormat="false" ht="15" hidden="false" customHeight="false" outlineLevel="0" collapsed="false">
      <c r="A851" s="4" t="n">
        <v>847</v>
      </c>
      <c r="B851" s="14" t="n">
        <f aca="false">A851/12</f>
        <v>70.5833333333333</v>
      </c>
      <c r="C851" s="15" t="n">
        <f aca="false">INT(A851/6)</f>
        <v>141</v>
      </c>
      <c r="D851" s="16" t="n">
        <f aca="false">IF(C851=0,(1+Dic2023!$G$6)^(-B851),EXP(LN(INDEX(Dic2023!$H$6:$H$205,C851))+(LN(INDEX(Dic2023!$H$6:$H$205,MIN(C851+1,200)))-LN(INDEX(Dic2023!$H$6:$H$205,C851)))*(A851-6*C851)/6))</f>
        <v>0.0283961569170043</v>
      </c>
      <c r="E851" s="12" t="n">
        <f aca="false">D851^(-1/B851)-1</f>
        <v>0.0517528025</v>
      </c>
      <c r="F851" s="12" t="n">
        <f aca="false">(1+E851)^(1/12)-1</f>
        <v>0.00421369509431369</v>
      </c>
      <c r="G851" s="16" t="n">
        <f aca="false">IF(C851=0,(1+Dic2023!$J$6)^(-B851),EXP(LN(INDEX(Dic2023!$K$6:$K$205,C851))+(LN(INDEX(Dic2023!$K$6:$K$205,MIN(C851+1,200)))-LN(INDEX(Dic2023!$K$6:$K$205,C851)))*(A851-6*C851)/6))</f>
        <v>0.0283961569170043</v>
      </c>
      <c r="H851" s="12" t="n">
        <f aca="false">G851^(-1/B851)-1</f>
        <v>0.0517528025</v>
      </c>
      <c r="I851" s="12" t="n">
        <f aca="false">(1+H851)^(1/12)-1</f>
        <v>0.00421369509431369</v>
      </c>
      <c r="J851" s="16" t="n">
        <f aca="false">IF(C851=0,(1+Dic2023!$M$6)^(-B851),EXP(LN(INDEX(Dic2023!$N$6:$N$205,C851))+(LN(INDEX(Dic2023!$N$6:$N$205,MIN(C851+1,200)))-LN(INDEX(Dic2023!$N$6:$N$205,C851)))*(A851-6*C851)/6))</f>
        <v>0.0283961569170043</v>
      </c>
      <c r="K851" s="12" t="n">
        <f aca="false">J851^(-1/B851)-1</f>
        <v>0.0517528025</v>
      </c>
      <c r="L851" s="12" t="n">
        <f aca="false">(1+K851)^(1/12)-1</f>
        <v>0.00421369509431369</v>
      </c>
    </row>
    <row r="852" customFormat="false" ht="15" hidden="false" customHeight="false" outlineLevel="0" collapsed="false">
      <c r="A852" s="4" t="n">
        <v>848</v>
      </c>
      <c r="B852" s="14" t="n">
        <f aca="false">A852/12</f>
        <v>70.6666666666667</v>
      </c>
      <c r="C852" s="15" t="n">
        <f aca="false">INT(A852/6)</f>
        <v>141</v>
      </c>
      <c r="D852" s="16" t="n">
        <f aca="false">IF(C852=0,(1+Dic2023!$G$6)^(-B852),EXP(LN(INDEX(Dic2023!$H$6:$H$205,C852))+(LN(INDEX(Dic2023!$H$6:$H$205,MIN(C852+1,200)))-LN(INDEX(Dic2023!$H$6:$H$205,C852)))*(A852-6*C852)/6))</f>
        <v>0.0282770062345519</v>
      </c>
      <c r="E852" s="12" t="n">
        <f aca="false">D852^(-1/B852)-1</f>
        <v>0.0517528025</v>
      </c>
      <c r="F852" s="12" t="n">
        <f aca="false">(1+E852)^(1/12)-1</f>
        <v>0.00421369509431369</v>
      </c>
      <c r="G852" s="16" t="n">
        <f aca="false">IF(C852=0,(1+Dic2023!$J$6)^(-B852),EXP(LN(INDEX(Dic2023!$K$6:$K$205,C852))+(LN(INDEX(Dic2023!$K$6:$K$205,MIN(C852+1,200)))-LN(INDEX(Dic2023!$K$6:$K$205,C852)))*(A852-6*C852)/6))</f>
        <v>0.0282770062345519</v>
      </c>
      <c r="H852" s="12" t="n">
        <f aca="false">G852^(-1/B852)-1</f>
        <v>0.0517528025</v>
      </c>
      <c r="I852" s="12" t="n">
        <f aca="false">(1+H852)^(1/12)-1</f>
        <v>0.00421369509431369</v>
      </c>
      <c r="J852" s="16" t="n">
        <f aca="false">IF(C852=0,(1+Dic2023!$M$6)^(-B852),EXP(LN(INDEX(Dic2023!$N$6:$N$205,C852))+(LN(INDEX(Dic2023!$N$6:$N$205,MIN(C852+1,200)))-LN(INDEX(Dic2023!$N$6:$N$205,C852)))*(A852-6*C852)/6))</f>
        <v>0.0282770062345519</v>
      </c>
      <c r="K852" s="12" t="n">
        <f aca="false">J852^(-1/B852)-1</f>
        <v>0.0517528025</v>
      </c>
      <c r="L852" s="12" t="n">
        <f aca="false">(1+K852)^(1/12)-1</f>
        <v>0.00421369509431369</v>
      </c>
    </row>
    <row r="853" customFormat="false" ht="15" hidden="false" customHeight="false" outlineLevel="0" collapsed="false">
      <c r="A853" s="4" t="n">
        <v>849</v>
      </c>
      <c r="B853" s="14" t="n">
        <f aca="false">A853/12</f>
        <v>70.75</v>
      </c>
      <c r="C853" s="15" t="n">
        <f aca="false">INT(A853/6)</f>
        <v>141</v>
      </c>
      <c r="D853" s="16" t="n">
        <f aca="false">IF(C853=0,(1+Dic2023!$G$6)^(-B853),EXP(LN(INDEX(Dic2023!$H$6:$H$205,C853))+(LN(INDEX(Dic2023!$H$6:$H$205,MIN(C853+1,200)))-LN(INDEX(Dic2023!$H$6:$H$205,C853)))*(A853-6*C853)/6))</f>
        <v>0.0281583555100751</v>
      </c>
      <c r="E853" s="12" t="n">
        <f aca="false">D853^(-1/B853)-1</f>
        <v>0.0517528025</v>
      </c>
      <c r="F853" s="12" t="n">
        <f aca="false">(1+E853)^(1/12)-1</f>
        <v>0.00421369509431369</v>
      </c>
      <c r="G853" s="16" t="n">
        <f aca="false">IF(C853=0,(1+Dic2023!$J$6)^(-B853),EXP(LN(INDEX(Dic2023!$K$6:$K$205,C853))+(LN(INDEX(Dic2023!$K$6:$K$205,MIN(C853+1,200)))-LN(INDEX(Dic2023!$K$6:$K$205,C853)))*(A853-6*C853)/6))</f>
        <v>0.0281583555100751</v>
      </c>
      <c r="H853" s="12" t="n">
        <f aca="false">G853^(-1/B853)-1</f>
        <v>0.0517528025</v>
      </c>
      <c r="I853" s="12" t="n">
        <f aca="false">(1+H853)^(1/12)-1</f>
        <v>0.00421369509431369</v>
      </c>
      <c r="J853" s="16" t="n">
        <f aca="false">IF(C853=0,(1+Dic2023!$M$6)^(-B853),EXP(LN(INDEX(Dic2023!$N$6:$N$205,C853))+(LN(INDEX(Dic2023!$N$6:$N$205,MIN(C853+1,200)))-LN(INDEX(Dic2023!$N$6:$N$205,C853)))*(A853-6*C853)/6))</f>
        <v>0.0281583555100751</v>
      </c>
      <c r="K853" s="12" t="n">
        <f aca="false">J853^(-1/B853)-1</f>
        <v>0.0517528025</v>
      </c>
      <c r="L853" s="12" t="n">
        <f aca="false">(1+K853)^(1/12)-1</f>
        <v>0.00421369509431369</v>
      </c>
    </row>
    <row r="854" customFormat="false" ht="15" hidden="false" customHeight="false" outlineLevel="0" collapsed="false">
      <c r="A854" s="4" t="n">
        <v>850</v>
      </c>
      <c r="B854" s="14" t="n">
        <f aca="false">A854/12</f>
        <v>70.8333333333333</v>
      </c>
      <c r="C854" s="15" t="n">
        <f aca="false">INT(A854/6)</f>
        <v>141</v>
      </c>
      <c r="D854" s="16" t="n">
        <f aca="false">IF(C854=0,(1+Dic2023!$G$6)^(-B854),EXP(LN(INDEX(Dic2023!$H$6:$H$205,C854))+(LN(INDEX(Dic2023!$H$6:$H$205,MIN(C854+1,200)))-LN(INDEX(Dic2023!$H$6:$H$205,C854)))*(A854-6*C854)/6))</f>
        <v>0.0280402026457432</v>
      </c>
      <c r="E854" s="12" t="n">
        <f aca="false">D854^(-1/B854)-1</f>
        <v>0.0517528025</v>
      </c>
      <c r="F854" s="12" t="n">
        <f aca="false">(1+E854)^(1/12)-1</f>
        <v>0.00421369509431369</v>
      </c>
      <c r="G854" s="16" t="n">
        <f aca="false">IF(C854=0,(1+Dic2023!$J$6)^(-B854),EXP(LN(INDEX(Dic2023!$K$6:$K$205,C854))+(LN(INDEX(Dic2023!$K$6:$K$205,MIN(C854+1,200)))-LN(INDEX(Dic2023!$K$6:$K$205,C854)))*(A854-6*C854)/6))</f>
        <v>0.0280402026457432</v>
      </c>
      <c r="H854" s="12" t="n">
        <f aca="false">G854^(-1/B854)-1</f>
        <v>0.0517528025</v>
      </c>
      <c r="I854" s="12" t="n">
        <f aca="false">(1+H854)^(1/12)-1</f>
        <v>0.00421369509431369</v>
      </c>
      <c r="J854" s="16" t="n">
        <f aca="false">IF(C854=0,(1+Dic2023!$M$6)^(-B854),EXP(LN(INDEX(Dic2023!$N$6:$N$205,C854))+(LN(INDEX(Dic2023!$N$6:$N$205,MIN(C854+1,200)))-LN(INDEX(Dic2023!$N$6:$N$205,C854)))*(A854-6*C854)/6))</f>
        <v>0.0280402026457432</v>
      </c>
      <c r="K854" s="12" t="n">
        <f aca="false">J854^(-1/B854)-1</f>
        <v>0.0517528025</v>
      </c>
      <c r="L854" s="12" t="n">
        <f aca="false">(1+K854)^(1/12)-1</f>
        <v>0.00421369509431369</v>
      </c>
    </row>
    <row r="855" customFormat="false" ht="15" hidden="false" customHeight="false" outlineLevel="0" collapsed="false">
      <c r="A855" s="4" t="n">
        <v>851</v>
      </c>
      <c r="B855" s="14" t="n">
        <f aca="false">A855/12</f>
        <v>70.9166666666667</v>
      </c>
      <c r="C855" s="15" t="n">
        <f aca="false">INT(A855/6)</f>
        <v>141</v>
      </c>
      <c r="D855" s="16" t="n">
        <f aca="false">IF(C855=0,(1+Dic2023!$G$6)^(-B855),EXP(LN(INDEX(Dic2023!$H$6:$H$205,C855))+(LN(INDEX(Dic2023!$H$6:$H$205,MIN(C855+1,200)))-LN(INDEX(Dic2023!$H$6:$H$205,C855)))*(A855-6*C855)/6))</f>
        <v>0.0279225455525277</v>
      </c>
      <c r="E855" s="12" t="n">
        <f aca="false">D855^(-1/B855)-1</f>
        <v>0.0517528025</v>
      </c>
      <c r="F855" s="12" t="n">
        <f aca="false">(1+E855)^(1/12)-1</f>
        <v>0.00421369509431369</v>
      </c>
      <c r="G855" s="16" t="n">
        <f aca="false">IF(C855=0,(1+Dic2023!$J$6)^(-B855),EXP(LN(INDEX(Dic2023!$K$6:$K$205,C855))+(LN(INDEX(Dic2023!$K$6:$K$205,MIN(C855+1,200)))-LN(INDEX(Dic2023!$K$6:$K$205,C855)))*(A855-6*C855)/6))</f>
        <v>0.0279225455525277</v>
      </c>
      <c r="H855" s="12" t="n">
        <f aca="false">G855^(-1/B855)-1</f>
        <v>0.0517528025</v>
      </c>
      <c r="I855" s="12" t="n">
        <f aca="false">(1+H855)^(1/12)-1</f>
        <v>0.00421369509431369</v>
      </c>
      <c r="J855" s="16" t="n">
        <f aca="false">IF(C855=0,(1+Dic2023!$M$6)^(-B855),EXP(LN(INDEX(Dic2023!$N$6:$N$205,C855))+(LN(INDEX(Dic2023!$N$6:$N$205,MIN(C855+1,200)))-LN(INDEX(Dic2023!$N$6:$N$205,C855)))*(A855-6*C855)/6))</f>
        <v>0.0279225455525277</v>
      </c>
      <c r="K855" s="12" t="n">
        <f aca="false">J855^(-1/B855)-1</f>
        <v>0.0517528025</v>
      </c>
      <c r="L855" s="12" t="n">
        <f aca="false">(1+K855)^(1/12)-1</f>
        <v>0.00421369509431369</v>
      </c>
    </row>
    <row r="856" customFormat="false" ht="15" hidden="false" customHeight="false" outlineLevel="0" collapsed="false">
      <c r="A856" s="4" t="n">
        <v>852</v>
      </c>
      <c r="B856" s="14" t="n">
        <f aca="false">A856/12</f>
        <v>71</v>
      </c>
      <c r="C856" s="15" t="n">
        <f aca="false">INT(A856/6)</f>
        <v>142</v>
      </c>
      <c r="D856" s="16" t="n">
        <f aca="false">IF(C856=0,(1+Dic2023!$G$6)^(-B856),EXP(LN(INDEX(Dic2023!$H$6:$H$205,C856))+(LN(INDEX(Dic2023!$H$6:$H$205,MIN(C856+1,200)))-LN(INDEX(Dic2023!$H$6:$H$205,C856)))*(A856-6*C856)/6))</f>
        <v>0.0278053821501661</v>
      </c>
      <c r="E856" s="12" t="n">
        <f aca="false">D856^(-1/B856)-1</f>
        <v>0.0517528025</v>
      </c>
      <c r="F856" s="12" t="n">
        <f aca="false">(1+E856)^(1/12)-1</f>
        <v>0.00421369509431369</v>
      </c>
      <c r="G856" s="16" t="n">
        <f aca="false">IF(C856=0,(1+Dic2023!$J$6)^(-B856),EXP(LN(INDEX(Dic2023!$K$6:$K$205,C856))+(LN(INDEX(Dic2023!$K$6:$K$205,MIN(C856+1,200)))-LN(INDEX(Dic2023!$K$6:$K$205,C856)))*(A856-6*C856)/6))</f>
        <v>0.0278053821501661</v>
      </c>
      <c r="H856" s="12" t="n">
        <f aca="false">G856^(-1/B856)-1</f>
        <v>0.0517528025</v>
      </c>
      <c r="I856" s="12" t="n">
        <f aca="false">(1+H856)^(1/12)-1</f>
        <v>0.00421369509431369</v>
      </c>
      <c r="J856" s="16" t="n">
        <f aca="false">IF(C856=0,(1+Dic2023!$M$6)^(-B856),EXP(LN(INDEX(Dic2023!$N$6:$N$205,C856))+(LN(INDEX(Dic2023!$N$6:$N$205,MIN(C856+1,200)))-LN(INDEX(Dic2023!$N$6:$N$205,C856)))*(A856-6*C856)/6))</f>
        <v>0.0278053821501661</v>
      </c>
      <c r="K856" s="12" t="n">
        <f aca="false">J856^(-1/B856)-1</f>
        <v>0.0517528025</v>
      </c>
      <c r="L856" s="12" t="n">
        <f aca="false">(1+K856)^(1/12)-1</f>
        <v>0.00421369509431369</v>
      </c>
    </row>
    <row r="857" customFormat="false" ht="15" hidden="false" customHeight="false" outlineLevel="0" collapsed="false">
      <c r="A857" s="4" t="n">
        <v>853</v>
      </c>
      <c r="B857" s="14" t="n">
        <f aca="false">A857/12</f>
        <v>71.0833333333333</v>
      </c>
      <c r="C857" s="15" t="n">
        <f aca="false">INT(A857/6)</f>
        <v>142</v>
      </c>
      <c r="D857" s="16" t="n">
        <f aca="false">IF(C857=0,(1+Dic2023!$G$6)^(-B857),EXP(LN(INDEX(Dic2023!$H$6:$H$205,C857))+(LN(INDEX(Dic2023!$H$6:$H$205,MIN(C857+1,200)))-LN(INDEX(Dic2023!$H$6:$H$205,C857)))*(A857-6*C857)/6))</f>
        <v>0.0276887103671242</v>
      </c>
      <c r="E857" s="12" t="n">
        <f aca="false">D857^(-1/B857)-1</f>
        <v>0.0517528025</v>
      </c>
      <c r="F857" s="12" t="n">
        <f aca="false">(1+E857)^(1/12)-1</f>
        <v>0.00421369509431369</v>
      </c>
      <c r="G857" s="16" t="n">
        <f aca="false">IF(C857=0,(1+Dic2023!$J$6)^(-B857),EXP(LN(INDEX(Dic2023!$K$6:$K$205,C857))+(LN(INDEX(Dic2023!$K$6:$K$205,MIN(C857+1,200)))-LN(INDEX(Dic2023!$K$6:$K$205,C857)))*(A857-6*C857)/6))</f>
        <v>0.0276887103671242</v>
      </c>
      <c r="H857" s="12" t="n">
        <f aca="false">G857^(-1/B857)-1</f>
        <v>0.0517528025</v>
      </c>
      <c r="I857" s="12" t="n">
        <f aca="false">(1+H857)^(1/12)-1</f>
        <v>0.00421369509431369</v>
      </c>
      <c r="J857" s="16" t="n">
        <f aca="false">IF(C857=0,(1+Dic2023!$M$6)^(-B857),EXP(LN(INDEX(Dic2023!$N$6:$N$205,C857))+(LN(INDEX(Dic2023!$N$6:$N$205,MIN(C857+1,200)))-LN(INDEX(Dic2023!$N$6:$N$205,C857)))*(A857-6*C857)/6))</f>
        <v>0.0276887103671242</v>
      </c>
      <c r="K857" s="12" t="n">
        <f aca="false">J857^(-1/B857)-1</f>
        <v>0.0517528025</v>
      </c>
      <c r="L857" s="12" t="n">
        <f aca="false">(1+K857)^(1/12)-1</f>
        <v>0.00421369509431369</v>
      </c>
    </row>
    <row r="858" customFormat="false" ht="15" hidden="false" customHeight="false" outlineLevel="0" collapsed="false">
      <c r="A858" s="4" t="n">
        <v>854</v>
      </c>
      <c r="B858" s="14" t="n">
        <f aca="false">A858/12</f>
        <v>71.1666666666667</v>
      </c>
      <c r="C858" s="15" t="n">
        <f aca="false">INT(A858/6)</f>
        <v>142</v>
      </c>
      <c r="D858" s="16" t="n">
        <f aca="false">IF(C858=0,(1+Dic2023!$G$6)^(-B858),EXP(LN(INDEX(Dic2023!$H$6:$H$205,C858))+(LN(INDEX(Dic2023!$H$6:$H$205,MIN(C858+1,200)))-LN(INDEX(Dic2023!$H$6:$H$205,C858)))*(A858-6*C858)/6))</f>
        <v>0.0275725281405605</v>
      </c>
      <c r="E858" s="12" t="n">
        <f aca="false">D858^(-1/B858)-1</f>
        <v>0.0517528025</v>
      </c>
      <c r="F858" s="12" t="n">
        <f aca="false">(1+E858)^(1/12)-1</f>
        <v>0.00421369509431369</v>
      </c>
      <c r="G858" s="16" t="n">
        <f aca="false">IF(C858=0,(1+Dic2023!$J$6)^(-B858),EXP(LN(INDEX(Dic2023!$K$6:$K$205,C858))+(LN(INDEX(Dic2023!$K$6:$K$205,MIN(C858+1,200)))-LN(INDEX(Dic2023!$K$6:$K$205,C858)))*(A858-6*C858)/6))</f>
        <v>0.0275725281405605</v>
      </c>
      <c r="H858" s="12" t="n">
        <f aca="false">G858^(-1/B858)-1</f>
        <v>0.0517528025</v>
      </c>
      <c r="I858" s="12" t="n">
        <f aca="false">(1+H858)^(1/12)-1</f>
        <v>0.00421369509431369</v>
      </c>
      <c r="J858" s="16" t="n">
        <f aca="false">IF(C858=0,(1+Dic2023!$M$6)^(-B858),EXP(LN(INDEX(Dic2023!$N$6:$N$205,C858))+(LN(INDEX(Dic2023!$N$6:$N$205,MIN(C858+1,200)))-LN(INDEX(Dic2023!$N$6:$N$205,C858)))*(A858-6*C858)/6))</f>
        <v>0.0275725281405605</v>
      </c>
      <c r="K858" s="12" t="n">
        <f aca="false">J858^(-1/B858)-1</f>
        <v>0.0517528025</v>
      </c>
      <c r="L858" s="12" t="n">
        <f aca="false">(1+K858)^(1/12)-1</f>
        <v>0.00421369509431369</v>
      </c>
    </row>
    <row r="859" customFormat="false" ht="15" hidden="false" customHeight="false" outlineLevel="0" collapsed="false">
      <c r="A859" s="4" t="n">
        <v>855</v>
      </c>
      <c r="B859" s="14" t="n">
        <f aca="false">A859/12</f>
        <v>71.25</v>
      </c>
      <c r="C859" s="15" t="n">
        <f aca="false">INT(A859/6)</f>
        <v>142</v>
      </c>
      <c r="D859" s="16" t="n">
        <f aca="false">IF(C859=0,(1+Dic2023!$G$6)^(-B859),EXP(LN(INDEX(Dic2023!$H$6:$H$205,C859))+(LN(INDEX(Dic2023!$H$6:$H$205,MIN(C859+1,200)))-LN(INDEX(Dic2023!$H$6:$H$205,C859)))*(A859-6*C859)/6))</f>
        <v>0.0274568334162889</v>
      </c>
      <c r="E859" s="12" t="n">
        <f aca="false">D859^(-1/B859)-1</f>
        <v>0.0517528025</v>
      </c>
      <c r="F859" s="12" t="n">
        <f aca="false">(1+E859)^(1/12)-1</f>
        <v>0.00421369509431369</v>
      </c>
      <c r="G859" s="16" t="n">
        <f aca="false">IF(C859=0,(1+Dic2023!$J$6)^(-B859),EXP(LN(INDEX(Dic2023!$K$6:$K$205,C859))+(LN(INDEX(Dic2023!$K$6:$K$205,MIN(C859+1,200)))-LN(INDEX(Dic2023!$K$6:$K$205,C859)))*(A859-6*C859)/6))</f>
        <v>0.0274568334162889</v>
      </c>
      <c r="H859" s="12" t="n">
        <f aca="false">G859^(-1/B859)-1</f>
        <v>0.0517528025</v>
      </c>
      <c r="I859" s="12" t="n">
        <f aca="false">(1+H859)^(1/12)-1</f>
        <v>0.00421369509431369</v>
      </c>
      <c r="J859" s="16" t="n">
        <f aca="false">IF(C859=0,(1+Dic2023!$M$6)^(-B859),EXP(LN(INDEX(Dic2023!$N$6:$N$205,C859))+(LN(INDEX(Dic2023!$N$6:$N$205,MIN(C859+1,200)))-LN(INDEX(Dic2023!$N$6:$N$205,C859)))*(A859-6*C859)/6))</f>
        <v>0.0274568334162889</v>
      </c>
      <c r="K859" s="12" t="n">
        <f aca="false">J859^(-1/B859)-1</f>
        <v>0.0517528025</v>
      </c>
      <c r="L859" s="12" t="n">
        <f aca="false">(1+K859)^(1/12)-1</f>
        <v>0.00421369509431369</v>
      </c>
    </row>
    <row r="860" customFormat="false" ht="15" hidden="false" customHeight="false" outlineLevel="0" collapsed="false">
      <c r="A860" s="4" t="n">
        <v>856</v>
      </c>
      <c r="B860" s="14" t="n">
        <f aca="false">A860/12</f>
        <v>71.3333333333333</v>
      </c>
      <c r="C860" s="15" t="n">
        <f aca="false">INT(A860/6)</f>
        <v>142</v>
      </c>
      <c r="D860" s="16" t="n">
        <f aca="false">IF(C860=0,(1+Dic2023!$G$6)^(-B860),EXP(LN(INDEX(Dic2023!$H$6:$H$205,C860))+(LN(INDEX(Dic2023!$H$6:$H$205,MIN(C860+1,200)))-LN(INDEX(Dic2023!$H$6:$H$205,C860)))*(A860-6*C860)/6))</f>
        <v>0.0273416241487428</v>
      </c>
      <c r="E860" s="12" t="n">
        <f aca="false">D860^(-1/B860)-1</f>
        <v>0.0517528025</v>
      </c>
      <c r="F860" s="12" t="n">
        <f aca="false">(1+E860)^(1/12)-1</f>
        <v>0.00421369509431369</v>
      </c>
      <c r="G860" s="16" t="n">
        <f aca="false">IF(C860=0,(1+Dic2023!$J$6)^(-B860),EXP(LN(INDEX(Dic2023!$K$6:$K$205,C860))+(LN(INDEX(Dic2023!$K$6:$K$205,MIN(C860+1,200)))-LN(INDEX(Dic2023!$K$6:$K$205,C860)))*(A860-6*C860)/6))</f>
        <v>0.0273416241487428</v>
      </c>
      <c r="H860" s="12" t="n">
        <f aca="false">G860^(-1/B860)-1</f>
        <v>0.0517528025</v>
      </c>
      <c r="I860" s="12" t="n">
        <f aca="false">(1+H860)^(1/12)-1</f>
        <v>0.00421369509431369</v>
      </c>
      <c r="J860" s="16" t="n">
        <f aca="false">IF(C860=0,(1+Dic2023!$M$6)^(-B860),EXP(LN(INDEX(Dic2023!$N$6:$N$205,C860))+(LN(INDEX(Dic2023!$N$6:$N$205,MIN(C860+1,200)))-LN(INDEX(Dic2023!$N$6:$N$205,C860)))*(A860-6*C860)/6))</f>
        <v>0.0273416241487428</v>
      </c>
      <c r="K860" s="12" t="n">
        <f aca="false">J860^(-1/B860)-1</f>
        <v>0.0517528025</v>
      </c>
      <c r="L860" s="12" t="n">
        <f aca="false">(1+K860)^(1/12)-1</f>
        <v>0.00421369509431369</v>
      </c>
    </row>
    <row r="861" customFormat="false" ht="15" hidden="false" customHeight="false" outlineLevel="0" collapsed="false">
      <c r="A861" s="4" t="n">
        <v>857</v>
      </c>
      <c r="B861" s="14" t="n">
        <f aca="false">A861/12</f>
        <v>71.4166666666667</v>
      </c>
      <c r="C861" s="15" t="n">
        <f aca="false">INT(A861/6)</f>
        <v>142</v>
      </c>
      <c r="D861" s="16" t="n">
        <f aca="false">IF(C861=0,(1+Dic2023!$G$6)^(-B861),EXP(LN(INDEX(Dic2023!$H$6:$H$205,C861))+(LN(INDEX(Dic2023!$H$6:$H$205,MIN(C861+1,200)))-LN(INDEX(Dic2023!$H$6:$H$205,C861)))*(A861-6*C861)/6))</f>
        <v>0.0272268983009388</v>
      </c>
      <c r="E861" s="12" t="n">
        <f aca="false">D861^(-1/B861)-1</f>
        <v>0.0517528025</v>
      </c>
      <c r="F861" s="12" t="n">
        <f aca="false">(1+E861)^(1/12)-1</f>
        <v>0.00421369509431369</v>
      </c>
      <c r="G861" s="16" t="n">
        <f aca="false">IF(C861=0,(1+Dic2023!$J$6)^(-B861),EXP(LN(INDEX(Dic2023!$K$6:$K$205,C861))+(LN(INDEX(Dic2023!$K$6:$K$205,MIN(C861+1,200)))-LN(INDEX(Dic2023!$K$6:$K$205,C861)))*(A861-6*C861)/6))</f>
        <v>0.0272268983009388</v>
      </c>
      <c r="H861" s="12" t="n">
        <f aca="false">G861^(-1/B861)-1</f>
        <v>0.0517528025</v>
      </c>
      <c r="I861" s="12" t="n">
        <f aca="false">(1+H861)^(1/12)-1</f>
        <v>0.00421369509431369</v>
      </c>
      <c r="J861" s="16" t="n">
        <f aca="false">IF(C861=0,(1+Dic2023!$M$6)^(-B861),EXP(LN(INDEX(Dic2023!$N$6:$N$205,C861))+(LN(INDEX(Dic2023!$N$6:$N$205,MIN(C861+1,200)))-LN(INDEX(Dic2023!$N$6:$N$205,C861)))*(A861-6*C861)/6))</f>
        <v>0.0272268983009388</v>
      </c>
      <c r="K861" s="12" t="n">
        <f aca="false">J861^(-1/B861)-1</f>
        <v>0.0517528025</v>
      </c>
      <c r="L861" s="12" t="n">
        <f aca="false">(1+K861)^(1/12)-1</f>
        <v>0.00421369509431369</v>
      </c>
    </row>
    <row r="862" customFormat="false" ht="15" hidden="false" customHeight="false" outlineLevel="0" collapsed="false">
      <c r="A862" s="4" t="n">
        <v>858</v>
      </c>
      <c r="B862" s="14" t="n">
        <f aca="false">A862/12</f>
        <v>71.5</v>
      </c>
      <c r="C862" s="15" t="n">
        <f aca="false">INT(A862/6)</f>
        <v>143</v>
      </c>
      <c r="D862" s="16" t="n">
        <f aca="false">IF(C862=0,(1+Dic2023!$G$6)^(-B862),EXP(LN(INDEX(Dic2023!$H$6:$H$205,C862))+(LN(INDEX(Dic2023!$H$6:$H$205,MIN(C862+1,200)))-LN(INDEX(Dic2023!$H$6:$H$205,C862)))*(A862-6*C862)/6))</f>
        <v>0.0271126538444406</v>
      </c>
      <c r="E862" s="12" t="n">
        <f aca="false">D862^(-1/B862)-1</f>
        <v>0.0517528025</v>
      </c>
      <c r="F862" s="12" t="n">
        <f aca="false">(1+E862)^(1/12)-1</f>
        <v>0.00421369509431369</v>
      </c>
      <c r="G862" s="16" t="n">
        <f aca="false">IF(C862=0,(1+Dic2023!$J$6)^(-B862),EXP(LN(INDEX(Dic2023!$K$6:$K$205,C862))+(LN(INDEX(Dic2023!$K$6:$K$205,MIN(C862+1,200)))-LN(INDEX(Dic2023!$K$6:$K$205,C862)))*(A862-6*C862)/6))</f>
        <v>0.0271126538444406</v>
      </c>
      <c r="H862" s="12" t="n">
        <f aca="false">G862^(-1/B862)-1</f>
        <v>0.0517528025</v>
      </c>
      <c r="I862" s="12" t="n">
        <f aca="false">(1+H862)^(1/12)-1</f>
        <v>0.00421369509431369</v>
      </c>
      <c r="J862" s="16" t="n">
        <f aca="false">IF(C862=0,(1+Dic2023!$M$6)^(-B862),EXP(LN(INDEX(Dic2023!$N$6:$N$205,C862))+(LN(INDEX(Dic2023!$N$6:$N$205,MIN(C862+1,200)))-LN(INDEX(Dic2023!$N$6:$N$205,C862)))*(A862-6*C862)/6))</f>
        <v>0.0271126538444406</v>
      </c>
      <c r="K862" s="12" t="n">
        <f aca="false">J862^(-1/B862)-1</f>
        <v>0.0517528025</v>
      </c>
      <c r="L862" s="12" t="n">
        <f aca="false">(1+K862)^(1/12)-1</f>
        <v>0.00421369509431369</v>
      </c>
    </row>
    <row r="863" customFormat="false" ht="15" hidden="false" customHeight="false" outlineLevel="0" collapsed="false">
      <c r="A863" s="4" t="n">
        <v>859</v>
      </c>
      <c r="B863" s="14" t="n">
        <f aca="false">A863/12</f>
        <v>71.5833333333333</v>
      </c>
      <c r="C863" s="15" t="n">
        <f aca="false">INT(A863/6)</f>
        <v>143</v>
      </c>
      <c r="D863" s="16" t="n">
        <f aca="false">IF(C863=0,(1+Dic2023!$G$6)^(-B863),EXP(LN(INDEX(Dic2023!$H$6:$H$205,C863))+(LN(INDEX(Dic2023!$H$6:$H$205,MIN(C863+1,200)))-LN(INDEX(Dic2023!$H$6:$H$205,C863)))*(A863-6*C863)/6))</f>
        <v>0.0269988887593235</v>
      </c>
      <c r="E863" s="12" t="n">
        <f aca="false">D863^(-1/B863)-1</f>
        <v>0.0517528025</v>
      </c>
      <c r="F863" s="12" t="n">
        <f aca="false">(1+E863)^(1/12)-1</f>
        <v>0.00421369509431369</v>
      </c>
      <c r="G863" s="16" t="n">
        <f aca="false">IF(C863=0,(1+Dic2023!$J$6)^(-B863),EXP(LN(INDEX(Dic2023!$K$6:$K$205,C863))+(LN(INDEX(Dic2023!$K$6:$K$205,MIN(C863+1,200)))-LN(INDEX(Dic2023!$K$6:$K$205,C863)))*(A863-6*C863)/6))</f>
        <v>0.0269988887593235</v>
      </c>
      <c r="H863" s="12" t="n">
        <f aca="false">G863^(-1/B863)-1</f>
        <v>0.0517528025</v>
      </c>
      <c r="I863" s="12" t="n">
        <f aca="false">(1+H863)^(1/12)-1</f>
        <v>0.00421369509431369</v>
      </c>
      <c r="J863" s="16" t="n">
        <f aca="false">IF(C863=0,(1+Dic2023!$M$6)^(-B863),EXP(LN(INDEX(Dic2023!$N$6:$N$205,C863))+(LN(INDEX(Dic2023!$N$6:$N$205,MIN(C863+1,200)))-LN(INDEX(Dic2023!$N$6:$N$205,C863)))*(A863-6*C863)/6))</f>
        <v>0.0269988887593235</v>
      </c>
      <c r="K863" s="12" t="n">
        <f aca="false">J863^(-1/B863)-1</f>
        <v>0.0517528025</v>
      </c>
      <c r="L863" s="12" t="n">
        <f aca="false">(1+K863)^(1/12)-1</f>
        <v>0.00421369509431369</v>
      </c>
    </row>
    <row r="864" customFormat="false" ht="15" hidden="false" customHeight="false" outlineLevel="0" collapsed="false">
      <c r="A864" s="4" t="n">
        <v>860</v>
      </c>
      <c r="B864" s="14" t="n">
        <f aca="false">A864/12</f>
        <v>71.6666666666667</v>
      </c>
      <c r="C864" s="15" t="n">
        <f aca="false">INT(A864/6)</f>
        <v>143</v>
      </c>
      <c r="D864" s="16" t="n">
        <f aca="false">IF(C864=0,(1+Dic2023!$G$6)^(-B864),EXP(LN(INDEX(Dic2023!$H$6:$H$205,C864))+(LN(INDEX(Dic2023!$H$6:$H$205,MIN(C864+1,200)))-LN(INDEX(Dic2023!$H$6:$H$205,C864)))*(A864-6*C864)/6))</f>
        <v>0.0268856010341383</v>
      </c>
      <c r="E864" s="12" t="n">
        <f aca="false">D864^(-1/B864)-1</f>
        <v>0.0517528025</v>
      </c>
      <c r="F864" s="12" t="n">
        <f aca="false">(1+E864)^(1/12)-1</f>
        <v>0.00421369509431369</v>
      </c>
      <c r="G864" s="16" t="n">
        <f aca="false">IF(C864=0,(1+Dic2023!$J$6)^(-B864),EXP(LN(INDEX(Dic2023!$K$6:$K$205,C864))+(LN(INDEX(Dic2023!$K$6:$K$205,MIN(C864+1,200)))-LN(INDEX(Dic2023!$K$6:$K$205,C864)))*(A864-6*C864)/6))</f>
        <v>0.0268856010341383</v>
      </c>
      <c r="H864" s="12" t="n">
        <f aca="false">G864^(-1/B864)-1</f>
        <v>0.0517528025</v>
      </c>
      <c r="I864" s="12" t="n">
        <f aca="false">(1+H864)^(1/12)-1</f>
        <v>0.00421369509431369</v>
      </c>
      <c r="J864" s="16" t="n">
        <f aca="false">IF(C864=0,(1+Dic2023!$M$6)^(-B864),EXP(LN(INDEX(Dic2023!$N$6:$N$205,C864))+(LN(INDEX(Dic2023!$N$6:$N$205,MIN(C864+1,200)))-LN(INDEX(Dic2023!$N$6:$N$205,C864)))*(A864-6*C864)/6))</f>
        <v>0.0268856010341383</v>
      </c>
      <c r="K864" s="12" t="n">
        <f aca="false">J864^(-1/B864)-1</f>
        <v>0.0517528025</v>
      </c>
      <c r="L864" s="12" t="n">
        <f aca="false">(1+K864)^(1/12)-1</f>
        <v>0.00421369509431369</v>
      </c>
    </row>
    <row r="865" customFormat="false" ht="15" hidden="false" customHeight="false" outlineLevel="0" collapsed="false">
      <c r="A865" s="4" t="n">
        <v>861</v>
      </c>
      <c r="B865" s="14" t="n">
        <f aca="false">A865/12</f>
        <v>71.75</v>
      </c>
      <c r="C865" s="15" t="n">
        <f aca="false">INT(A865/6)</f>
        <v>143</v>
      </c>
      <c r="D865" s="16" t="n">
        <f aca="false">IF(C865=0,(1+Dic2023!$G$6)^(-B865),EXP(LN(INDEX(Dic2023!$H$6:$H$205,C865))+(LN(INDEX(Dic2023!$H$6:$H$205,MIN(C865+1,200)))-LN(INDEX(Dic2023!$H$6:$H$205,C865)))*(A865-6*C865)/6))</f>
        <v>0.0267727886658758</v>
      </c>
      <c r="E865" s="12" t="n">
        <f aca="false">D865^(-1/B865)-1</f>
        <v>0.0517528025</v>
      </c>
      <c r="F865" s="12" t="n">
        <f aca="false">(1+E865)^(1/12)-1</f>
        <v>0.00421369509431369</v>
      </c>
      <c r="G865" s="16" t="n">
        <f aca="false">IF(C865=0,(1+Dic2023!$J$6)^(-B865),EXP(LN(INDEX(Dic2023!$K$6:$K$205,C865))+(LN(INDEX(Dic2023!$K$6:$K$205,MIN(C865+1,200)))-LN(INDEX(Dic2023!$K$6:$K$205,C865)))*(A865-6*C865)/6))</f>
        <v>0.0267727886658758</v>
      </c>
      <c r="H865" s="12" t="n">
        <f aca="false">G865^(-1/B865)-1</f>
        <v>0.0517528025</v>
      </c>
      <c r="I865" s="12" t="n">
        <f aca="false">(1+H865)^(1/12)-1</f>
        <v>0.00421369509431369</v>
      </c>
      <c r="J865" s="16" t="n">
        <f aca="false">IF(C865=0,(1+Dic2023!$M$6)^(-B865),EXP(LN(INDEX(Dic2023!$N$6:$N$205,C865))+(LN(INDEX(Dic2023!$N$6:$N$205,MIN(C865+1,200)))-LN(INDEX(Dic2023!$N$6:$N$205,C865)))*(A865-6*C865)/6))</f>
        <v>0.0267727886658758</v>
      </c>
      <c r="K865" s="12" t="n">
        <f aca="false">J865^(-1/B865)-1</f>
        <v>0.0517528025</v>
      </c>
      <c r="L865" s="12" t="n">
        <f aca="false">(1+K865)^(1/12)-1</f>
        <v>0.00421369509431369</v>
      </c>
    </row>
    <row r="866" customFormat="false" ht="15" hidden="false" customHeight="false" outlineLevel="0" collapsed="false">
      <c r="A866" s="4" t="n">
        <v>862</v>
      </c>
      <c r="B866" s="14" t="n">
        <f aca="false">A866/12</f>
        <v>71.8333333333333</v>
      </c>
      <c r="C866" s="15" t="n">
        <f aca="false">INT(A866/6)</f>
        <v>143</v>
      </c>
      <c r="D866" s="16" t="n">
        <f aca="false">IF(C866=0,(1+Dic2023!$G$6)^(-B866),EXP(LN(INDEX(Dic2023!$H$6:$H$205,C866))+(LN(INDEX(Dic2023!$H$6:$H$205,MIN(C866+1,200)))-LN(INDEX(Dic2023!$H$6:$H$205,C866)))*(A866-6*C866)/6))</f>
        <v>0.0266604496599316</v>
      </c>
      <c r="E866" s="12" t="n">
        <f aca="false">D866^(-1/B866)-1</f>
        <v>0.0517528025</v>
      </c>
      <c r="F866" s="12" t="n">
        <f aca="false">(1+E866)^(1/12)-1</f>
        <v>0.00421369509431369</v>
      </c>
      <c r="G866" s="16" t="n">
        <f aca="false">IF(C866=0,(1+Dic2023!$J$6)^(-B866),EXP(LN(INDEX(Dic2023!$K$6:$K$205,C866))+(LN(INDEX(Dic2023!$K$6:$K$205,MIN(C866+1,200)))-LN(INDEX(Dic2023!$K$6:$K$205,C866)))*(A866-6*C866)/6))</f>
        <v>0.0266604496599316</v>
      </c>
      <c r="H866" s="12" t="n">
        <f aca="false">G866^(-1/B866)-1</f>
        <v>0.0517528025</v>
      </c>
      <c r="I866" s="12" t="n">
        <f aca="false">(1+H866)^(1/12)-1</f>
        <v>0.00421369509431369</v>
      </c>
      <c r="J866" s="16" t="n">
        <f aca="false">IF(C866=0,(1+Dic2023!$M$6)^(-B866),EXP(LN(INDEX(Dic2023!$N$6:$N$205,C866))+(LN(INDEX(Dic2023!$N$6:$N$205,MIN(C866+1,200)))-LN(INDEX(Dic2023!$N$6:$N$205,C866)))*(A866-6*C866)/6))</f>
        <v>0.0266604496599316</v>
      </c>
      <c r="K866" s="12" t="n">
        <f aca="false">J866^(-1/B866)-1</f>
        <v>0.0517528025</v>
      </c>
      <c r="L866" s="12" t="n">
        <f aca="false">(1+K866)^(1/12)-1</f>
        <v>0.00421369509431369</v>
      </c>
    </row>
    <row r="867" customFormat="false" ht="15" hidden="false" customHeight="false" outlineLevel="0" collapsed="false">
      <c r="A867" s="4" t="n">
        <v>863</v>
      </c>
      <c r="B867" s="14" t="n">
        <f aca="false">A867/12</f>
        <v>71.9166666666667</v>
      </c>
      <c r="C867" s="15" t="n">
        <f aca="false">INT(A867/6)</f>
        <v>143</v>
      </c>
      <c r="D867" s="16" t="n">
        <f aca="false">IF(C867=0,(1+Dic2023!$G$6)^(-B867),EXP(LN(INDEX(Dic2023!$H$6:$H$205,C867))+(LN(INDEX(Dic2023!$H$6:$H$205,MIN(C867+1,200)))-LN(INDEX(Dic2023!$H$6:$H$205,C867)))*(A867-6*C867)/6))</f>
        <v>0.0265485820300705</v>
      </c>
      <c r="E867" s="12" t="n">
        <f aca="false">D867^(-1/B867)-1</f>
        <v>0.0517528025</v>
      </c>
      <c r="F867" s="12" t="n">
        <f aca="false">(1+E867)^(1/12)-1</f>
        <v>0.00421369509431369</v>
      </c>
      <c r="G867" s="16" t="n">
        <f aca="false">IF(C867=0,(1+Dic2023!$J$6)^(-B867),EXP(LN(INDEX(Dic2023!$K$6:$K$205,C867))+(LN(INDEX(Dic2023!$K$6:$K$205,MIN(C867+1,200)))-LN(INDEX(Dic2023!$K$6:$K$205,C867)))*(A867-6*C867)/6))</f>
        <v>0.0265485820300705</v>
      </c>
      <c r="H867" s="12" t="n">
        <f aca="false">G867^(-1/B867)-1</f>
        <v>0.0517528025</v>
      </c>
      <c r="I867" s="12" t="n">
        <f aca="false">(1+H867)^(1/12)-1</f>
        <v>0.00421369509431369</v>
      </c>
      <c r="J867" s="16" t="n">
        <f aca="false">IF(C867=0,(1+Dic2023!$M$6)^(-B867),EXP(LN(INDEX(Dic2023!$N$6:$N$205,C867))+(LN(INDEX(Dic2023!$N$6:$N$205,MIN(C867+1,200)))-LN(INDEX(Dic2023!$N$6:$N$205,C867)))*(A867-6*C867)/6))</f>
        <v>0.0265485820300705</v>
      </c>
      <c r="K867" s="12" t="n">
        <f aca="false">J867^(-1/B867)-1</f>
        <v>0.0517528025</v>
      </c>
      <c r="L867" s="12" t="n">
        <f aca="false">(1+K867)^(1/12)-1</f>
        <v>0.00421369509431369</v>
      </c>
    </row>
    <row r="868" customFormat="false" ht="15" hidden="false" customHeight="false" outlineLevel="0" collapsed="false">
      <c r="A868" s="4" t="n">
        <v>864</v>
      </c>
      <c r="B868" s="14" t="n">
        <f aca="false">A868/12</f>
        <v>72</v>
      </c>
      <c r="C868" s="15" t="n">
        <f aca="false">INT(A868/6)</f>
        <v>144</v>
      </c>
      <c r="D868" s="16" t="n">
        <f aca="false">IF(C868=0,(1+Dic2023!$G$6)^(-B868),EXP(LN(INDEX(Dic2023!$H$6:$H$205,C868))+(LN(INDEX(Dic2023!$H$6:$H$205,MIN(C868+1,200)))-LN(INDEX(Dic2023!$H$6:$H$205,C868)))*(A868-6*C868)/6))</f>
        <v>0.0264371837983917</v>
      </c>
      <c r="E868" s="12" t="n">
        <f aca="false">D868^(-1/B868)-1</f>
        <v>0.0517528025</v>
      </c>
      <c r="F868" s="12" t="n">
        <f aca="false">(1+E868)^(1/12)-1</f>
        <v>0.00421369509431369</v>
      </c>
      <c r="G868" s="16" t="n">
        <f aca="false">IF(C868=0,(1+Dic2023!$J$6)^(-B868),EXP(LN(INDEX(Dic2023!$K$6:$K$205,C868))+(LN(INDEX(Dic2023!$K$6:$K$205,MIN(C868+1,200)))-LN(INDEX(Dic2023!$K$6:$K$205,C868)))*(A868-6*C868)/6))</f>
        <v>0.0264371837983917</v>
      </c>
      <c r="H868" s="12" t="n">
        <f aca="false">G868^(-1/B868)-1</f>
        <v>0.0517528025</v>
      </c>
      <c r="I868" s="12" t="n">
        <f aca="false">(1+H868)^(1/12)-1</f>
        <v>0.00421369509431369</v>
      </c>
      <c r="J868" s="16" t="n">
        <f aca="false">IF(C868=0,(1+Dic2023!$M$6)^(-B868),EXP(LN(INDEX(Dic2023!$N$6:$N$205,C868))+(LN(INDEX(Dic2023!$N$6:$N$205,MIN(C868+1,200)))-LN(INDEX(Dic2023!$N$6:$N$205,C868)))*(A868-6*C868)/6))</f>
        <v>0.0264371837983917</v>
      </c>
      <c r="K868" s="12" t="n">
        <f aca="false">J868^(-1/B868)-1</f>
        <v>0.0517528025</v>
      </c>
      <c r="L868" s="12" t="n">
        <f aca="false">(1+K868)^(1/12)-1</f>
        <v>0.00421369509431369</v>
      </c>
    </row>
    <row r="869" customFormat="false" ht="15" hidden="false" customHeight="false" outlineLevel="0" collapsed="false">
      <c r="A869" s="4" t="n">
        <v>865</v>
      </c>
      <c r="B869" s="14" t="n">
        <f aca="false">A869/12</f>
        <v>72.0833333333333</v>
      </c>
      <c r="C869" s="15" t="n">
        <f aca="false">INT(A869/6)</f>
        <v>144</v>
      </c>
      <c r="D869" s="16" t="n">
        <f aca="false">IF(C869=0,(1+Dic2023!$G$6)^(-B869),EXP(LN(INDEX(Dic2023!$H$6:$H$205,C869))+(LN(INDEX(Dic2023!$H$6:$H$205,MIN(C869+1,200)))-LN(INDEX(Dic2023!$H$6:$H$205,C869)))*(A869-6*C869)/6))</f>
        <v>0.0263262529952938</v>
      </c>
      <c r="E869" s="12" t="n">
        <f aca="false">D869^(-1/B869)-1</f>
        <v>0.0517528025</v>
      </c>
      <c r="F869" s="12" t="n">
        <f aca="false">(1+E869)^(1/12)-1</f>
        <v>0.00421369509431369</v>
      </c>
      <c r="G869" s="16" t="n">
        <f aca="false">IF(C869=0,(1+Dic2023!$J$6)^(-B869),EXP(LN(INDEX(Dic2023!$K$6:$K$205,C869))+(LN(INDEX(Dic2023!$K$6:$K$205,MIN(C869+1,200)))-LN(INDEX(Dic2023!$K$6:$K$205,C869)))*(A869-6*C869)/6))</f>
        <v>0.0263262529952938</v>
      </c>
      <c r="H869" s="12" t="n">
        <f aca="false">G869^(-1/B869)-1</f>
        <v>0.0517528025</v>
      </c>
      <c r="I869" s="12" t="n">
        <f aca="false">(1+H869)^(1/12)-1</f>
        <v>0.00421369509431369</v>
      </c>
      <c r="J869" s="16" t="n">
        <f aca="false">IF(C869=0,(1+Dic2023!$M$6)^(-B869),EXP(LN(INDEX(Dic2023!$N$6:$N$205,C869))+(LN(INDEX(Dic2023!$N$6:$N$205,MIN(C869+1,200)))-LN(INDEX(Dic2023!$N$6:$N$205,C869)))*(A869-6*C869)/6))</f>
        <v>0.0263262529952938</v>
      </c>
      <c r="K869" s="12" t="n">
        <f aca="false">J869^(-1/B869)-1</f>
        <v>0.0517528025</v>
      </c>
      <c r="L869" s="12" t="n">
        <f aca="false">(1+K869)^(1/12)-1</f>
        <v>0.00421369509431369</v>
      </c>
    </row>
    <row r="870" customFormat="false" ht="15" hidden="false" customHeight="false" outlineLevel="0" collapsed="false">
      <c r="A870" s="4" t="n">
        <v>866</v>
      </c>
      <c r="B870" s="14" t="n">
        <f aca="false">A870/12</f>
        <v>72.1666666666667</v>
      </c>
      <c r="C870" s="15" t="n">
        <f aca="false">INT(A870/6)</f>
        <v>144</v>
      </c>
      <c r="D870" s="16" t="n">
        <f aca="false">IF(C870=0,(1+Dic2023!$G$6)^(-B870),EXP(LN(INDEX(Dic2023!$H$6:$H$205,C870))+(LN(INDEX(Dic2023!$H$6:$H$205,MIN(C870+1,200)))-LN(INDEX(Dic2023!$H$6:$H$205,C870)))*(A870-6*C870)/6))</f>
        <v>0.0262157876594396</v>
      </c>
      <c r="E870" s="12" t="n">
        <f aca="false">D870^(-1/B870)-1</f>
        <v>0.0517528025</v>
      </c>
      <c r="F870" s="12" t="n">
        <f aca="false">(1+E870)^(1/12)-1</f>
        <v>0.00421369509431369</v>
      </c>
      <c r="G870" s="16" t="n">
        <f aca="false">IF(C870=0,(1+Dic2023!$J$6)^(-B870),EXP(LN(INDEX(Dic2023!$K$6:$K$205,C870))+(LN(INDEX(Dic2023!$K$6:$K$205,MIN(C870+1,200)))-LN(INDEX(Dic2023!$K$6:$K$205,C870)))*(A870-6*C870)/6))</f>
        <v>0.0262157876594396</v>
      </c>
      <c r="H870" s="12" t="n">
        <f aca="false">G870^(-1/B870)-1</f>
        <v>0.0517528025</v>
      </c>
      <c r="I870" s="12" t="n">
        <f aca="false">(1+H870)^(1/12)-1</f>
        <v>0.00421369509431369</v>
      </c>
      <c r="J870" s="16" t="n">
        <f aca="false">IF(C870=0,(1+Dic2023!$M$6)^(-B870),EXP(LN(INDEX(Dic2023!$N$6:$N$205,C870))+(LN(INDEX(Dic2023!$N$6:$N$205,MIN(C870+1,200)))-LN(INDEX(Dic2023!$N$6:$N$205,C870)))*(A870-6*C870)/6))</f>
        <v>0.0262157876594396</v>
      </c>
      <c r="K870" s="12" t="n">
        <f aca="false">J870^(-1/B870)-1</f>
        <v>0.0517528025</v>
      </c>
      <c r="L870" s="12" t="n">
        <f aca="false">(1+K870)^(1/12)-1</f>
        <v>0.00421369509431369</v>
      </c>
    </row>
    <row r="871" customFormat="false" ht="15" hidden="false" customHeight="false" outlineLevel="0" collapsed="false">
      <c r="A871" s="4" t="n">
        <v>867</v>
      </c>
      <c r="B871" s="14" t="n">
        <f aca="false">A871/12</f>
        <v>72.25</v>
      </c>
      <c r="C871" s="15" t="n">
        <f aca="false">INT(A871/6)</f>
        <v>144</v>
      </c>
      <c r="D871" s="16" t="n">
        <f aca="false">IF(C871=0,(1+Dic2023!$G$6)^(-B871),EXP(LN(INDEX(Dic2023!$H$6:$H$205,C871))+(LN(INDEX(Dic2023!$H$6:$H$205,MIN(C871+1,200)))-LN(INDEX(Dic2023!$H$6:$H$205,C871)))*(A871-6*C871)/6))</f>
        <v>0.026105785837722</v>
      </c>
      <c r="E871" s="12" t="n">
        <f aca="false">D871^(-1/B871)-1</f>
        <v>0.0517528025</v>
      </c>
      <c r="F871" s="12" t="n">
        <f aca="false">(1+E871)^(1/12)-1</f>
        <v>0.00421369509431369</v>
      </c>
      <c r="G871" s="16" t="n">
        <f aca="false">IF(C871=0,(1+Dic2023!$J$6)^(-B871),EXP(LN(INDEX(Dic2023!$K$6:$K$205,C871))+(LN(INDEX(Dic2023!$K$6:$K$205,MIN(C871+1,200)))-LN(INDEX(Dic2023!$K$6:$K$205,C871)))*(A871-6*C871)/6))</f>
        <v>0.026105785837722</v>
      </c>
      <c r="H871" s="12" t="n">
        <f aca="false">G871^(-1/B871)-1</f>
        <v>0.0517528025</v>
      </c>
      <c r="I871" s="12" t="n">
        <f aca="false">(1+H871)^(1/12)-1</f>
        <v>0.00421369509431369</v>
      </c>
      <c r="J871" s="16" t="n">
        <f aca="false">IF(C871=0,(1+Dic2023!$M$6)^(-B871),EXP(LN(INDEX(Dic2023!$N$6:$N$205,C871))+(LN(INDEX(Dic2023!$N$6:$N$205,MIN(C871+1,200)))-LN(INDEX(Dic2023!$N$6:$N$205,C871)))*(A871-6*C871)/6))</f>
        <v>0.026105785837722</v>
      </c>
      <c r="K871" s="12" t="n">
        <f aca="false">J871^(-1/B871)-1</f>
        <v>0.0517528025</v>
      </c>
      <c r="L871" s="12" t="n">
        <f aca="false">(1+K871)^(1/12)-1</f>
        <v>0.00421369509431369</v>
      </c>
    </row>
    <row r="872" customFormat="false" ht="15" hidden="false" customHeight="false" outlineLevel="0" collapsed="false">
      <c r="A872" s="4" t="n">
        <v>868</v>
      </c>
      <c r="B872" s="14" t="n">
        <f aca="false">A872/12</f>
        <v>72.3333333333333</v>
      </c>
      <c r="C872" s="15" t="n">
        <f aca="false">INT(A872/6)</f>
        <v>144</v>
      </c>
      <c r="D872" s="16" t="n">
        <f aca="false">IF(C872=0,(1+Dic2023!$G$6)^(-B872),EXP(LN(INDEX(Dic2023!$H$6:$H$205,C872))+(LN(INDEX(Dic2023!$H$6:$H$205,MIN(C872+1,200)))-LN(INDEX(Dic2023!$H$6:$H$205,C872)))*(A872-6*C872)/6))</f>
        <v>0.025996245585229</v>
      </c>
      <c r="E872" s="12" t="n">
        <f aca="false">D872^(-1/B872)-1</f>
        <v>0.0517528025</v>
      </c>
      <c r="F872" s="12" t="n">
        <f aca="false">(1+E872)^(1/12)-1</f>
        <v>0.00421369509431369</v>
      </c>
      <c r="G872" s="16" t="n">
        <f aca="false">IF(C872=0,(1+Dic2023!$J$6)^(-B872),EXP(LN(INDEX(Dic2023!$K$6:$K$205,C872))+(LN(INDEX(Dic2023!$K$6:$K$205,MIN(C872+1,200)))-LN(INDEX(Dic2023!$K$6:$K$205,C872)))*(A872-6*C872)/6))</f>
        <v>0.025996245585229</v>
      </c>
      <c r="H872" s="12" t="n">
        <f aca="false">G872^(-1/B872)-1</f>
        <v>0.0517528025</v>
      </c>
      <c r="I872" s="12" t="n">
        <f aca="false">(1+H872)^(1/12)-1</f>
        <v>0.00421369509431369</v>
      </c>
      <c r="J872" s="16" t="n">
        <f aca="false">IF(C872=0,(1+Dic2023!$M$6)^(-B872),EXP(LN(INDEX(Dic2023!$N$6:$N$205,C872))+(LN(INDEX(Dic2023!$N$6:$N$205,MIN(C872+1,200)))-LN(INDEX(Dic2023!$N$6:$N$205,C872)))*(A872-6*C872)/6))</f>
        <v>0.025996245585229</v>
      </c>
      <c r="K872" s="12" t="n">
        <f aca="false">J872^(-1/B872)-1</f>
        <v>0.0517528025</v>
      </c>
      <c r="L872" s="12" t="n">
        <f aca="false">(1+K872)^(1/12)-1</f>
        <v>0.00421369509431369</v>
      </c>
    </row>
    <row r="873" customFormat="false" ht="15" hidden="false" customHeight="false" outlineLevel="0" collapsed="false">
      <c r="A873" s="4" t="n">
        <v>869</v>
      </c>
      <c r="B873" s="14" t="n">
        <f aca="false">A873/12</f>
        <v>72.4166666666667</v>
      </c>
      <c r="C873" s="15" t="n">
        <f aca="false">INT(A873/6)</f>
        <v>144</v>
      </c>
      <c r="D873" s="16" t="n">
        <f aca="false">IF(C873=0,(1+Dic2023!$G$6)^(-B873),EXP(LN(INDEX(Dic2023!$H$6:$H$205,C873))+(LN(INDEX(Dic2023!$H$6:$H$205,MIN(C873+1,200)))-LN(INDEX(Dic2023!$H$6:$H$205,C873)))*(A873-6*C873)/6))</f>
        <v>0.0258871649652094</v>
      </c>
      <c r="E873" s="12" t="n">
        <f aca="false">D873^(-1/B873)-1</f>
        <v>0.0517528025</v>
      </c>
      <c r="F873" s="12" t="n">
        <f aca="false">(1+E873)^(1/12)-1</f>
        <v>0.00421369509431369</v>
      </c>
      <c r="G873" s="16" t="n">
        <f aca="false">IF(C873=0,(1+Dic2023!$J$6)^(-B873),EXP(LN(INDEX(Dic2023!$K$6:$K$205,C873))+(LN(INDEX(Dic2023!$K$6:$K$205,MIN(C873+1,200)))-LN(INDEX(Dic2023!$K$6:$K$205,C873)))*(A873-6*C873)/6))</f>
        <v>0.0258871649652094</v>
      </c>
      <c r="H873" s="12" t="n">
        <f aca="false">G873^(-1/B873)-1</f>
        <v>0.0517528025</v>
      </c>
      <c r="I873" s="12" t="n">
        <f aca="false">(1+H873)^(1/12)-1</f>
        <v>0.00421369509431369</v>
      </c>
      <c r="J873" s="16" t="n">
        <f aca="false">IF(C873=0,(1+Dic2023!$M$6)^(-B873),EXP(LN(INDEX(Dic2023!$N$6:$N$205,C873))+(LN(INDEX(Dic2023!$N$6:$N$205,MIN(C873+1,200)))-LN(INDEX(Dic2023!$N$6:$N$205,C873)))*(A873-6*C873)/6))</f>
        <v>0.0258871649652094</v>
      </c>
      <c r="K873" s="12" t="n">
        <f aca="false">J873^(-1/B873)-1</f>
        <v>0.0517528025</v>
      </c>
      <c r="L873" s="12" t="n">
        <f aca="false">(1+K873)^(1/12)-1</f>
        <v>0.00421369509431369</v>
      </c>
    </row>
    <row r="874" customFormat="false" ht="15" hidden="false" customHeight="false" outlineLevel="0" collapsed="false">
      <c r="A874" s="4" t="n">
        <v>870</v>
      </c>
      <c r="B874" s="14" t="n">
        <f aca="false">A874/12</f>
        <v>72.5</v>
      </c>
      <c r="C874" s="15" t="n">
        <f aca="false">INT(A874/6)</f>
        <v>145</v>
      </c>
      <c r="D874" s="16" t="n">
        <f aca="false">IF(C874=0,(1+Dic2023!$G$6)^(-B874),EXP(LN(INDEX(Dic2023!$H$6:$H$205,C874))+(LN(INDEX(Dic2023!$H$6:$H$205,MIN(C874+1,200)))-LN(INDEX(Dic2023!$H$6:$H$205,C874)))*(A874-6*C874)/6))</f>
        <v>0.0257785420490388</v>
      </c>
      <c r="E874" s="12" t="n">
        <f aca="false">D874^(-1/B874)-1</f>
        <v>0.0517528025</v>
      </c>
      <c r="F874" s="12" t="n">
        <f aca="false">(1+E874)^(1/12)-1</f>
        <v>0.00421369509431369</v>
      </c>
      <c r="G874" s="16" t="n">
        <f aca="false">IF(C874=0,(1+Dic2023!$J$6)^(-B874),EXP(LN(INDEX(Dic2023!$K$6:$K$205,C874))+(LN(INDEX(Dic2023!$K$6:$K$205,MIN(C874+1,200)))-LN(INDEX(Dic2023!$K$6:$K$205,C874)))*(A874-6*C874)/6))</f>
        <v>0.0257785420490388</v>
      </c>
      <c r="H874" s="12" t="n">
        <f aca="false">G874^(-1/B874)-1</f>
        <v>0.0517528025</v>
      </c>
      <c r="I874" s="12" t="n">
        <f aca="false">(1+H874)^(1/12)-1</f>
        <v>0.00421369509431369</v>
      </c>
      <c r="J874" s="16" t="n">
        <f aca="false">IF(C874=0,(1+Dic2023!$M$6)^(-B874),EXP(LN(INDEX(Dic2023!$N$6:$N$205,C874))+(LN(INDEX(Dic2023!$N$6:$N$205,MIN(C874+1,200)))-LN(INDEX(Dic2023!$N$6:$N$205,C874)))*(A874-6*C874)/6))</f>
        <v>0.0257785420490388</v>
      </c>
      <c r="K874" s="12" t="n">
        <f aca="false">J874^(-1/B874)-1</f>
        <v>0.0517528025</v>
      </c>
      <c r="L874" s="12" t="n">
        <f aca="false">(1+K874)^(1/12)-1</f>
        <v>0.00421369509431369</v>
      </c>
    </row>
    <row r="875" customFormat="false" ht="15" hidden="false" customHeight="false" outlineLevel="0" collapsed="false">
      <c r="A875" s="4" t="n">
        <v>871</v>
      </c>
      <c r="B875" s="14" t="n">
        <f aca="false">A875/12</f>
        <v>72.5833333333333</v>
      </c>
      <c r="C875" s="15" t="n">
        <f aca="false">INT(A875/6)</f>
        <v>145</v>
      </c>
      <c r="D875" s="16" t="n">
        <f aca="false">IF(C875=0,(1+Dic2023!$G$6)^(-B875),EXP(LN(INDEX(Dic2023!$H$6:$H$205,C875))+(LN(INDEX(Dic2023!$H$6:$H$205,MIN(C875+1,200)))-LN(INDEX(Dic2023!$H$6:$H$205,C875)))*(A875-6*C875)/6))</f>
        <v>0.0256703749161852</v>
      </c>
      <c r="E875" s="12" t="n">
        <f aca="false">D875^(-1/B875)-1</f>
        <v>0.0517528025</v>
      </c>
      <c r="F875" s="12" t="n">
        <f aca="false">(1+E875)^(1/12)-1</f>
        <v>0.00421369509431369</v>
      </c>
      <c r="G875" s="16" t="n">
        <f aca="false">IF(C875=0,(1+Dic2023!$J$6)^(-B875),EXP(LN(INDEX(Dic2023!$K$6:$K$205,C875))+(LN(INDEX(Dic2023!$K$6:$K$205,MIN(C875+1,200)))-LN(INDEX(Dic2023!$K$6:$K$205,C875)))*(A875-6*C875)/6))</f>
        <v>0.0256703749161852</v>
      </c>
      <c r="H875" s="12" t="n">
        <f aca="false">G875^(-1/B875)-1</f>
        <v>0.0517528025</v>
      </c>
      <c r="I875" s="12" t="n">
        <f aca="false">(1+H875)^(1/12)-1</f>
        <v>0.00421369509431369</v>
      </c>
      <c r="J875" s="16" t="n">
        <f aca="false">IF(C875=0,(1+Dic2023!$M$6)^(-B875),EXP(LN(INDEX(Dic2023!$N$6:$N$205,C875))+(LN(INDEX(Dic2023!$N$6:$N$205,MIN(C875+1,200)))-LN(INDEX(Dic2023!$N$6:$N$205,C875)))*(A875-6*C875)/6))</f>
        <v>0.0256703749161852</v>
      </c>
      <c r="K875" s="12" t="n">
        <f aca="false">J875^(-1/B875)-1</f>
        <v>0.0517528025</v>
      </c>
      <c r="L875" s="12" t="n">
        <f aca="false">(1+K875)^(1/12)-1</f>
        <v>0.00421369509431369</v>
      </c>
    </row>
    <row r="876" customFormat="false" ht="15" hidden="false" customHeight="false" outlineLevel="0" collapsed="false">
      <c r="A876" s="4" t="n">
        <v>872</v>
      </c>
      <c r="B876" s="14" t="n">
        <f aca="false">A876/12</f>
        <v>72.6666666666667</v>
      </c>
      <c r="C876" s="15" t="n">
        <f aca="false">INT(A876/6)</f>
        <v>145</v>
      </c>
      <c r="D876" s="16" t="n">
        <f aca="false">IF(C876=0,(1+Dic2023!$G$6)^(-B876),EXP(LN(INDEX(Dic2023!$H$6:$H$205,C876))+(LN(INDEX(Dic2023!$H$6:$H$205,MIN(C876+1,200)))-LN(INDEX(Dic2023!$H$6:$H$205,C876)))*(A876-6*C876)/6))</f>
        <v>0.0255626616541754</v>
      </c>
      <c r="E876" s="12" t="n">
        <f aca="false">D876^(-1/B876)-1</f>
        <v>0.0517528025</v>
      </c>
      <c r="F876" s="12" t="n">
        <f aca="false">(1+E876)^(1/12)-1</f>
        <v>0.00421369509431369</v>
      </c>
      <c r="G876" s="16" t="n">
        <f aca="false">IF(C876=0,(1+Dic2023!$J$6)^(-B876),EXP(LN(INDEX(Dic2023!$K$6:$K$205,C876))+(LN(INDEX(Dic2023!$K$6:$K$205,MIN(C876+1,200)))-LN(INDEX(Dic2023!$K$6:$K$205,C876)))*(A876-6*C876)/6))</f>
        <v>0.0255626616541754</v>
      </c>
      <c r="H876" s="12" t="n">
        <f aca="false">G876^(-1/B876)-1</f>
        <v>0.0517528025</v>
      </c>
      <c r="I876" s="12" t="n">
        <f aca="false">(1+H876)^(1/12)-1</f>
        <v>0.00421369509431369</v>
      </c>
      <c r="J876" s="16" t="n">
        <f aca="false">IF(C876=0,(1+Dic2023!$M$6)^(-B876),EXP(LN(INDEX(Dic2023!$N$6:$N$205,C876))+(LN(INDEX(Dic2023!$N$6:$N$205,MIN(C876+1,200)))-LN(INDEX(Dic2023!$N$6:$N$205,C876)))*(A876-6*C876)/6))</f>
        <v>0.0255626616541754</v>
      </c>
      <c r="K876" s="12" t="n">
        <f aca="false">J876^(-1/B876)-1</f>
        <v>0.0517528025</v>
      </c>
      <c r="L876" s="12" t="n">
        <f aca="false">(1+K876)^(1/12)-1</f>
        <v>0.00421369509431369</v>
      </c>
    </row>
    <row r="877" customFormat="false" ht="15" hidden="false" customHeight="false" outlineLevel="0" collapsed="false">
      <c r="A877" s="4" t="n">
        <v>873</v>
      </c>
      <c r="B877" s="14" t="n">
        <f aca="false">A877/12</f>
        <v>72.75</v>
      </c>
      <c r="C877" s="15" t="n">
        <f aca="false">INT(A877/6)</f>
        <v>145</v>
      </c>
      <c r="D877" s="16" t="n">
        <f aca="false">IF(C877=0,(1+Dic2023!$G$6)^(-B877),EXP(LN(INDEX(Dic2023!$H$6:$H$205,C877))+(LN(INDEX(Dic2023!$H$6:$H$205,MIN(C877+1,200)))-LN(INDEX(Dic2023!$H$6:$H$205,C877)))*(A877-6*C877)/6))</f>
        <v>0.0254554003585608</v>
      </c>
      <c r="E877" s="12" t="n">
        <f aca="false">D877^(-1/B877)-1</f>
        <v>0.0517528025</v>
      </c>
      <c r="F877" s="12" t="n">
        <f aca="false">(1+E877)^(1/12)-1</f>
        <v>0.00421369509431369</v>
      </c>
      <c r="G877" s="16" t="n">
        <f aca="false">IF(C877=0,(1+Dic2023!$J$6)^(-B877),EXP(LN(INDEX(Dic2023!$K$6:$K$205,C877))+(LN(INDEX(Dic2023!$K$6:$K$205,MIN(C877+1,200)))-LN(INDEX(Dic2023!$K$6:$K$205,C877)))*(A877-6*C877)/6))</f>
        <v>0.0254554003585608</v>
      </c>
      <c r="H877" s="12" t="n">
        <f aca="false">G877^(-1/B877)-1</f>
        <v>0.0517528025</v>
      </c>
      <c r="I877" s="12" t="n">
        <f aca="false">(1+H877)^(1/12)-1</f>
        <v>0.00421369509431369</v>
      </c>
      <c r="J877" s="16" t="n">
        <f aca="false">IF(C877=0,(1+Dic2023!$M$6)^(-B877),EXP(LN(INDEX(Dic2023!$N$6:$N$205,C877))+(LN(INDEX(Dic2023!$N$6:$N$205,MIN(C877+1,200)))-LN(INDEX(Dic2023!$N$6:$N$205,C877)))*(A877-6*C877)/6))</f>
        <v>0.0254554003585608</v>
      </c>
      <c r="K877" s="12" t="n">
        <f aca="false">J877^(-1/B877)-1</f>
        <v>0.0517528025</v>
      </c>
      <c r="L877" s="12" t="n">
        <f aca="false">(1+K877)^(1/12)-1</f>
        <v>0.00421369509431369</v>
      </c>
    </row>
    <row r="878" customFormat="false" ht="15" hidden="false" customHeight="false" outlineLevel="0" collapsed="false">
      <c r="A878" s="4" t="n">
        <v>874</v>
      </c>
      <c r="B878" s="14" t="n">
        <f aca="false">A878/12</f>
        <v>72.8333333333333</v>
      </c>
      <c r="C878" s="15" t="n">
        <f aca="false">INT(A878/6)</f>
        <v>145</v>
      </c>
      <c r="D878" s="16" t="n">
        <f aca="false">IF(C878=0,(1+Dic2023!$G$6)^(-B878),EXP(LN(INDEX(Dic2023!$H$6:$H$205,C878))+(LN(INDEX(Dic2023!$H$6:$H$205,MIN(C878+1,200)))-LN(INDEX(Dic2023!$H$6:$H$205,C878)))*(A878-6*C878)/6))</f>
        <v>0.0253485891328838</v>
      </c>
      <c r="E878" s="12" t="n">
        <f aca="false">D878^(-1/B878)-1</f>
        <v>0.0517528025</v>
      </c>
      <c r="F878" s="12" t="n">
        <f aca="false">(1+E878)^(1/12)-1</f>
        <v>0.00421369509431369</v>
      </c>
      <c r="G878" s="16" t="n">
        <f aca="false">IF(C878=0,(1+Dic2023!$J$6)^(-B878),EXP(LN(INDEX(Dic2023!$K$6:$K$205,C878))+(LN(INDEX(Dic2023!$K$6:$K$205,MIN(C878+1,200)))-LN(INDEX(Dic2023!$K$6:$K$205,C878)))*(A878-6*C878)/6))</f>
        <v>0.0253485891328838</v>
      </c>
      <c r="H878" s="12" t="n">
        <f aca="false">G878^(-1/B878)-1</f>
        <v>0.0517528025</v>
      </c>
      <c r="I878" s="12" t="n">
        <f aca="false">(1+H878)^(1/12)-1</f>
        <v>0.00421369509431369</v>
      </c>
      <c r="J878" s="16" t="n">
        <f aca="false">IF(C878=0,(1+Dic2023!$M$6)^(-B878),EXP(LN(INDEX(Dic2023!$N$6:$N$205,C878))+(LN(INDEX(Dic2023!$N$6:$N$205,MIN(C878+1,200)))-LN(INDEX(Dic2023!$N$6:$N$205,C878)))*(A878-6*C878)/6))</f>
        <v>0.0253485891328838</v>
      </c>
      <c r="K878" s="12" t="n">
        <f aca="false">J878^(-1/B878)-1</f>
        <v>0.0517528025</v>
      </c>
      <c r="L878" s="12" t="n">
        <f aca="false">(1+K878)^(1/12)-1</f>
        <v>0.00421369509431369</v>
      </c>
    </row>
    <row r="879" customFormat="false" ht="15" hidden="false" customHeight="false" outlineLevel="0" collapsed="false">
      <c r="A879" s="4" t="n">
        <v>875</v>
      </c>
      <c r="B879" s="14" t="n">
        <f aca="false">A879/12</f>
        <v>72.9166666666667</v>
      </c>
      <c r="C879" s="15" t="n">
        <f aca="false">INT(A879/6)</f>
        <v>145</v>
      </c>
      <c r="D879" s="16" t="n">
        <f aca="false">IF(C879=0,(1+Dic2023!$G$6)^(-B879),EXP(LN(INDEX(Dic2023!$H$6:$H$205,C879))+(LN(INDEX(Dic2023!$H$6:$H$205,MIN(C879+1,200)))-LN(INDEX(Dic2023!$H$6:$H$205,C879)))*(A879-6*C879)/6))</f>
        <v>0.0252422260886445</v>
      </c>
      <c r="E879" s="12" t="n">
        <f aca="false">D879^(-1/B879)-1</f>
        <v>0.0517528025</v>
      </c>
      <c r="F879" s="12" t="n">
        <f aca="false">(1+E879)^(1/12)-1</f>
        <v>0.00421369509431369</v>
      </c>
      <c r="G879" s="16" t="n">
        <f aca="false">IF(C879=0,(1+Dic2023!$J$6)^(-B879),EXP(LN(INDEX(Dic2023!$K$6:$K$205,C879))+(LN(INDEX(Dic2023!$K$6:$K$205,MIN(C879+1,200)))-LN(INDEX(Dic2023!$K$6:$K$205,C879)))*(A879-6*C879)/6))</f>
        <v>0.0252422260886445</v>
      </c>
      <c r="H879" s="12" t="n">
        <f aca="false">G879^(-1/B879)-1</f>
        <v>0.0517528025</v>
      </c>
      <c r="I879" s="12" t="n">
        <f aca="false">(1+H879)^(1/12)-1</f>
        <v>0.00421369509431369</v>
      </c>
      <c r="J879" s="16" t="n">
        <f aca="false">IF(C879=0,(1+Dic2023!$M$6)^(-B879),EXP(LN(INDEX(Dic2023!$N$6:$N$205,C879))+(LN(INDEX(Dic2023!$N$6:$N$205,MIN(C879+1,200)))-LN(INDEX(Dic2023!$N$6:$N$205,C879)))*(A879-6*C879)/6))</f>
        <v>0.0252422260886445</v>
      </c>
      <c r="K879" s="12" t="n">
        <f aca="false">J879^(-1/B879)-1</f>
        <v>0.0517528025</v>
      </c>
      <c r="L879" s="12" t="n">
        <f aca="false">(1+K879)^(1/12)-1</f>
        <v>0.00421369509431369</v>
      </c>
    </row>
    <row r="880" customFormat="false" ht="15" hidden="false" customHeight="false" outlineLevel="0" collapsed="false">
      <c r="A880" s="4" t="n">
        <v>876</v>
      </c>
      <c r="B880" s="14" t="n">
        <f aca="false">A880/12</f>
        <v>73</v>
      </c>
      <c r="C880" s="15" t="n">
        <f aca="false">INT(A880/6)</f>
        <v>146</v>
      </c>
      <c r="D880" s="16" t="n">
        <f aca="false">IF(C880=0,(1+Dic2023!$G$6)^(-B880),EXP(LN(INDEX(Dic2023!$H$6:$H$205,C880))+(LN(INDEX(Dic2023!$H$6:$H$205,MIN(C880+1,200)))-LN(INDEX(Dic2023!$H$6:$H$205,C880)))*(A880-6*C880)/6))</f>
        <v>0.0251363093452672</v>
      </c>
      <c r="E880" s="12" t="n">
        <f aca="false">D880^(-1/B880)-1</f>
        <v>0.0517528025</v>
      </c>
      <c r="F880" s="12" t="n">
        <f aca="false">(1+E880)^(1/12)-1</f>
        <v>0.00421369509431369</v>
      </c>
      <c r="G880" s="16" t="n">
        <f aca="false">IF(C880=0,(1+Dic2023!$J$6)^(-B880),EXP(LN(INDEX(Dic2023!$K$6:$K$205,C880))+(LN(INDEX(Dic2023!$K$6:$K$205,MIN(C880+1,200)))-LN(INDEX(Dic2023!$K$6:$K$205,C880)))*(A880-6*C880)/6))</f>
        <v>0.0251363093452672</v>
      </c>
      <c r="H880" s="12" t="n">
        <f aca="false">G880^(-1/B880)-1</f>
        <v>0.0517528025</v>
      </c>
      <c r="I880" s="12" t="n">
        <f aca="false">(1+H880)^(1/12)-1</f>
        <v>0.00421369509431369</v>
      </c>
      <c r="J880" s="16" t="n">
        <f aca="false">IF(C880=0,(1+Dic2023!$M$6)^(-B880),EXP(LN(INDEX(Dic2023!$N$6:$N$205,C880))+(LN(INDEX(Dic2023!$N$6:$N$205,MIN(C880+1,200)))-LN(INDEX(Dic2023!$N$6:$N$205,C880)))*(A880-6*C880)/6))</f>
        <v>0.0251363093452672</v>
      </c>
      <c r="K880" s="12" t="n">
        <f aca="false">J880^(-1/B880)-1</f>
        <v>0.0517528025</v>
      </c>
      <c r="L880" s="12" t="n">
        <f aca="false">(1+K880)^(1/12)-1</f>
        <v>0.00421369509431369</v>
      </c>
    </row>
    <row r="881" customFormat="false" ht="15" hidden="false" customHeight="false" outlineLevel="0" collapsed="false">
      <c r="A881" s="4" t="n">
        <v>877</v>
      </c>
      <c r="B881" s="14" t="n">
        <f aca="false">A881/12</f>
        <v>73.0833333333333</v>
      </c>
      <c r="C881" s="15" t="n">
        <f aca="false">INT(A881/6)</f>
        <v>146</v>
      </c>
      <c r="D881" s="16" t="n">
        <f aca="false">IF(C881=0,(1+Dic2023!$G$6)^(-B881),EXP(LN(INDEX(Dic2023!$H$6:$H$205,C881))+(LN(INDEX(Dic2023!$H$6:$H$205,MIN(C881+1,200)))-LN(INDEX(Dic2023!$H$6:$H$205,C881)))*(A881-6*C881)/6))</f>
        <v>0.025030837030067</v>
      </c>
      <c r="E881" s="12" t="n">
        <f aca="false">D881^(-1/B881)-1</f>
        <v>0.0517528025</v>
      </c>
      <c r="F881" s="12" t="n">
        <f aca="false">(1+E881)^(1/12)-1</f>
        <v>0.00421369509431369</v>
      </c>
      <c r="G881" s="16" t="n">
        <f aca="false">IF(C881=0,(1+Dic2023!$J$6)^(-B881),EXP(LN(INDEX(Dic2023!$K$6:$K$205,C881))+(LN(INDEX(Dic2023!$K$6:$K$205,MIN(C881+1,200)))-LN(INDEX(Dic2023!$K$6:$K$205,C881)))*(A881-6*C881)/6))</f>
        <v>0.025030837030067</v>
      </c>
      <c r="H881" s="12" t="n">
        <f aca="false">G881^(-1/B881)-1</f>
        <v>0.0517528025</v>
      </c>
      <c r="I881" s="12" t="n">
        <f aca="false">(1+H881)^(1/12)-1</f>
        <v>0.00421369509431369</v>
      </c>
      <c r="J881" s="16" t="n">
        <f aca="false">IF(C881=0,(1+Dic2023!$M$6)^(-B881),EXP(LN(INDEX(Dic2023!$N$6:$N$205,C881))+(LN(INDEX(Dic2023!$N$6:$N$205,MIN(C881+1,200)))-LN(INDEX(Dic2023!$N$6:$N$205,C881)))*(A881-6*C881)/6))</f>
        <v>0.025030837030067</v>
      </c>
      <c r="K881" s="12" t="n">
        <f aca="false">J881^(-1/B881)-1</f>
        <v>0.0517528025</v>
      </c>
      <c r="L881" s="12" t="n">
        <f aca="false">(1+K881)^(1/12)-1</f>
        <v>0.00421369509431369</v>
      </c>
    </row>
    <row r="882" customFormat="false" ht="15" hidden="false" customHeight="false" outlineLevel="0" collapsed="false">
      <c r="A882" s="4" t="n">
        <v>878</v>
      </c>
      <c r="B882" s="14" t="n">
        <f aca="false">A882/12</f>
        <v>73.1666666666667</v>
      </c>
      <c r="C882" s="15" t="n">
        <f aca="false">INT(A882/6)</f>
        <v>146</v>
      </c>
      <c r="D882" s="16" t="n">
        <f aca="false">IF(C882=0,(1+Dic2023!$G$6)^(-B882),EXP(LN(INDEX(Dic2023!$H$6:$H$205,C882))+(LN(INDEX(Dic2023!$H$6:$H$205,MIN(C882+1,200)))-LN(INDEX(Dic2023!$H$6:$H$205,C882)))*(A882-6*C882)/6))</f>
        <v>0.024925807278217</v>
      </c>
      <c r="E882" s="12" t="n">
        <f aca="false">D882^(-1/B882)-1</f>
        <v>0.0517528025</v>
      </c>
      <c r="F882" s="12" t="n">
        <f aca="false">(1+E882)^(1/12)-1</f>
        <v>0.00421369509431369</v>
      </c>
      <c r="G882" s="16" t="n">
        <f aca="false">IF(C882=0,(1+Dic2023!$J$6)^(-B882),EXP(LN(INDEX(Dic2023!$K$6:$K$205,C882))+(LN(INDEX(Dic2023!$K$6:$K$205,MIN(C882+1,200)))-LN(INDEX(Dic2023!$K$6:$K$205,C882)))*(A882-6*C882)/6))</f>
        <v>0.024925807278217</v>
      </c>
      <c r="H882" s="12" t="n">
        <f aca="false">G882^(-1/B882)-1</f>
        <v>0.0517528025</v>
      </c>
      <c r="I882" s="12" t="n">
        <f aca="false">(1+H882)^(1/12)-1</f>
        <v>0.00421369509431369</v>
      </c>
      <c r="J882" s="16" t="n">
        <f aca="false">IF(C882=0,(1+Dic2023!$M$6)^(-B882),EXP(LN(INDEX(Dic2023!$N$6:$N$205,C882))+(LN(INDEX(Dic2023!$N$6:$N$205,MIN(C882+1,200)))-LN(INDEX(Dic2023!$N$6:$N$205,C882)))*(A882-6*C882)/6))</f>
        <v>0.024925807278217</v>
      </c>
      <c r="K882" s="12" t="n">
        <f aca="false">J882^(-1/B882)-1</f>
        <v>0.0517528025</v>
      </c>
      <c r="L882" s="12" t="n">
        <f aca="false">(1+K882)^(1/12)-1</f>
        <v>0.00421369509431369</v>
      </c>
    </row>
    <row r="883" customFormat="false" ht="15" hidden="false" customHeight="false" outlineLevel="0" collapsed="false">
      <c r="A883" s="4" t="n">
        <v>879</v>
      </c>
      <c r="B883" s="14" t="n">
        <f aca="false">A883/12</f>
        <v>73.25</v>
      </c>
      <c r="C883" s="15" t="n">
        <f aca="false">INT(A883/6)</f>
        <v>146</v>
      </c>
      <c r="D883" s="16" t="n">
        <f aca="false">IF(C883=0,(1+Dic2023!$G$6)^(-B883),EXP(LN(INDEX(Dic2023!$H$6:$H$205,C883))+(LN(INDEX(Dic2023!$H$6:$H$205,MIN(C883+1,200)))-LN(INDEX(Dic2023!$H$6:$H$205,C883)))*(A883-6*C883)/6))</f>
        <v>0.0248212182327149</v>
      </c>
      <c r="E883" s="12" t="n">
        <f aca="false">D883^(-1/B883)-1</f>
        <v>0.0517528025</v>
      </c>
      <c r="F883" s="12" t="n">
        <f aca="false">(1+E883)^(1/12)-1</f>
        <v>0.00421369509431369</v>
      </c>
      <c r="G883" s="16" t="n">
        <f aca="false">IF(C883=0,(1+Dic2023!$J$6)^(-B883),EXP(LN(INDEX(Dic2023!$K$6:$K$205,C883))+(LN(INDEX(Dic2023!$K$6:$K$205,MIN(C883+1,200)))-LN(INDEX(Dic2023!$K$6:$K$205,C883)))*(A883-6*C883)/6))</f>
        <v>0.0248212182327149</v>
      </c>
      <c r="H883" s="12" t="n">
        <f aca="false">G883^(-1/B883)-1</f>
        <v>0.0517528025</v>
      </c>
      <c r="I883" s="12" t="n">
        <f aca="false">(1+H883)^(1/12)-1</f>
        <v>0.00421369509431369</v>
      </c>
      <c r="J883" s="16" t="n">
        <f aca="false">IF(C883=0,(1+Dic2023!$M$6)^(-B883),EXP(LN(INDEX(Dic2023!$N$6:$N$205,C883))+(LN(INDEX(Dic2023!$N$6:$N$205,MIN(C883+1,200)))-LN(INDEX(Dic2023!$N$6:$N$205,C883)))*(A883-6*C883)/6))</f>
        <v>0.0248212182327149</v>
      </c>
      <c r="K883" s="12" t="n">
        <f aca="false">J883^(-1/B883)-1</f>
        <v>0.0517528025</v>
      </c>
      <c r="L883" s="12" t="n">
        <f aca="false">(1+K883)^(1/12)-1</f>
        <v>0.00421369509431369</v>
      </c>
    </row>
    <row r="884" customFormat="false" ht="15" hidden="false" customHeight="false" outlineLevel="0" collapsed="false">
      <c r="A884" s="4" t="n">
        <v>880</v>
      </c>
      <c r="B884" s="14" t="n">
        <f aca="false">A884/12</f>
        <v>73.3333333333333</v>
      </c>
      <c r="C884" s="15" t="n">
        <f aca="false">INT(A884/6)</f>
        <v>146</v>
      </c>
      <c r="D884" s="16" t="n">
        <f aca="false">IF(C884=0,(1+Dic2023!$G$6)^(-B884),EXP(LN(INDEX(Dic2023!$H$6:$H$205,C884))+(LN(INDEX(Dic2023!$H$6:$H$205,MIN(C884+1,200)))-LN(INDEX(Dic2023!$H$6:$H$205,C884)))*(A884-6*C884)/6))</f>
        <v>0.0247170680443506</v>
      </c>
      <c r="E884" s="12" t="n">
        <f aca="false">D884^(-1/B884)-1</f>
        <v>0.0517528025</v>
      </c>
      <c r="F884" s="12" t="n">
        <f aca="false">(1+E884)^(1/12)-1</f>
        <v>0.00421369509431369</v>
      </c>
      <c r="G884" s="16" t="n">
        <f aca="false">IF(C884=0,(1+Dic2023!$J$6)^(-B884),EXP(LN(INDEX(Dic2023!$K$6:$K$205,C884))+(LN(INDEX(Dic2023!$K$6:$K$205,MIN(C884+1,200)))-LN(INDEX(Dic2023!$K$6:$K$205,C884)))*(A884-6*C884)/6))</f>
        <v>0.0247170680443506</v>
      </c>
      <c r="H884" s="12" t="n">
        <f aca="false">G884^(-1/B884)-1</f>
        <v>0.0517528025</v>
      </c>
      <c r="I884" s="12" t="n">
        <f aca="false">(1+H884)^(1/12)-1</f>
        <v>0.00421369509431369</v>
      </c>
      <c r="J884" s="16" t="n">
        <f aca="false">IF(C884=0,(1+Dic2023!$M$6)^(-B884),EXP(LN(INDEX(Dic2023!$N$6:$N$205,C884))+(LN(INDEX(Dic2023!$N$6:$N$205,MIN(C884+1,200)))-LN(INDEX(Dic2023!$N$6:$N$205,C884)))*(A884-6*C884)/6))</f>
        <v>0.0247170680443506</v>
      </c>
      <c r="K884" s="12" t="n">
        <f aca="false">J884^(-1/B884)-1</f>
        <v>0.0517528025</v>
      </c>
      <c r="L884" s="12" t="n">
        <f aca="false">(1+K884)^(1/12)-1</f>
        <v>0.00421369509431369</v>
      </c>
    </row>
    <row r="885" customFormat="false" ht="15" hidden="false" customHeight="false" outlineLevel="0" collapsed="false">
      <c r="A885" s="4" t="n">
        <v>881</v>
      </c>
      <c r="B885" s="14" t="n">
        <f aca="false">A885/12</f>
        <v>73.4166666666667</v>
      </c>
      <c r="C885" s="15" t="n">
        <f aca="false">INT(A885/6)</f>
        <v>146</v>
      </c>
      <c r="D885" s="16" t="n">
        <f aca="false">IF(C885=0,(1+Dic2023!$G$6)^(-B885),EXP(LN(INDEX(Dic2023!$H$6:$H$205,C885))+(LN(INDEX(Dic2023!$H$6:$H$205,MIN(C885+1,200)))-LN(INDEX(Dic2023!$H$6:$H$205,C885)))*(A885-6*C885)/6))</f>
        <v>0.0246133548716732</v>
      </c>
      <c r="E885" s="12" t="n">
        <f aca="false">D885^(-1/B885)-1</f>
        <v>0.0517528025</v>
      </c>
      <c r="F885" s="12" t="n">
        <f aca="false">(1+E885)^(1/12)-1</f>
        <v>0.00421369509431369</v>
      </c>
      <c r="G885" s="16" t="n">
        <f aca="false">IF(C885=0,(1+Dic2023!$J$6)^(-B885),EXP(LN(INDEX(Dic2023!$K$6:$K$205,C885))+(LN(INDEX(Dic2023!$K$6:$K$205,MIN(C885+1,200)))-LN(INDEX(Dic2023!$K$6:$K$205,C885)))*(A885-6*C885)/6))</f>
        <v>0.0246133548716732</v>
      </c>
      <c r="H885" s="12" t="n">
        <f aca="false">G885^(-1/B885)-1</f>
        <v>0.0517528025</v>
      </c>
      <c r="I885" s="12" t="n">
        <f aca="false">(1+H885)^(1/12)-1</f>
        <v>0.00421369509431369</v>
      </c>
      <c r="J885" s="16" t="n">
        <f aca="false">IF(C885=0,(1+Dic2023!$M$6)^(-B885),EXP(LN(INDEX(Dic2023!$N$6:$N$205,C885))+(LN(INDEX(Dic2023!$N$6:$N$205,MIN(C885+1,200)))-LN(INDEX(Dic2023!$N$6:$N$205,C885)))*(A885-6*C885)/6))</f>
        <v>0.0246133548716732</v>
      </c>
      <c r="K885" s="12" t="n">
        <f aca="false">J885^(-1/B885)-1</f>
        <v>0.0517528025</v>
      </c>
      <c r="L885" s="12" t="n">
        <f aca="false">(1+K885)^(1/12)-1</f>
        <v>0.00421369509431369</v>
      </c>
    </row>
    <row r="886" customFormat="false" ht="15" hidden="false" customHeight="false" outlineLevel="0" collapsed="false">
      <c r="A886" s="4" t="n">
        <v>882</v>
      </c>
      <c r="B886" s="14" t="n">
        <f aca="false">A886/12</f>
        <v>73.5</v>
      </c>
      <c r="C886" s="15" t="n">
        <f aca="false">INT(A886/6)</f>
        <v>147</v>
      </c>
      <c r="D886" s="16" t="n">
        <f aca="false">IF(C886=0,(1+Dic2023!$G$6)^(-B886),EXP(LN(INDEX(Dic2023!$H$6:$H$205,C886))+(LN(INDEX(Dic2023!$H$6:$H$205,MIN(C886+1,200)))-LN(INDEX(Dic2023!$H$6:$H$205,C886)))*(A886-6*C886)/6))</f>
        <v>0.0245100768809587</v>
      </c>
      <c r="E886" s="12" t="n">
        <f aca="false">D886^(-1/B886)-1</f>
        <v>0.0517528025</v>
      </c>
      <c r="F886" s="12" t="n">
        <f aca="false">(1+E886)^(1/12)-1</f>
        <v>0.00421369509431369</v>
      </c>
      <c r="G886" s="16" t="n">
        <f aca="false">IF(C886=0,(1+Dic2023!$J$6)^(-B886),EXP(LN(INDEX(Dic2023!$K$6:$K$205,C886))+(LN(INDEX(Dic2023!$K$6:$K$205,MIN(C886+1,200)))-LN(INDEX(Dic2023!$K$6:$K$205,C886)))*(A886-6*C886)/6))</f>
        <v>0.0245100768809587</v>
      </c>
      <c r="H886" s="12" t="n">
        <f aca="false">G886^(-1/B886)-1</f>
        <v>0.0517528025</v>
      </c>
      <c r="I886" s="12" t="n">
        <f aca="false">(1+H886)^(1/12)-1</f>
        <v>0.00421369509431369</v>
      </c>
      <c r="J886" s="16" t="n">
        <f aca="false">IF(C886=0,(1+Dic2023!$M$6)^(-B886),EXP(LN(INDEX(Dic2023!$N$6:$N$205,C886))+(LN(INDEX(Dic2023!$N$6:$N$205,MIN(C886+1,200)))-LN(INDEX(Dic2023!$N$6:$N$205,C886)))*(A886-6*C886)/6))</f>
        <v>0.0245100768809587</v>
      </c>
      <c r="K886" s="12" t="n">
        <f aca="false">J886^(-1/B886)-1</f>
        <v>0.0517528025</v>
      </c>
      <c r="L886" s="12" t="n">
        <f aca="false">(1+K886)^(1/12)-1</f>
        <v>0.00421369509431369</v>
      </c>
    </row>
    <row r="887" customFormat="false" ht="15" hidden="false" customHeight="false" outlineLevel="0" collapsed="false">
      <c r="A887" s="4" t="n">
        <v>883</v>
      </c>
      <c r="B887" s="14" t="n">
        <f aca="false">A887/12</f>
        <v>73.5833333333333</v>
      </c>
      <c r="C887" s="15" t="n">
        <f aca="false">INT(A887/6)</f>
        <v>147</v>
      </c>
      <c r="D887" s="16" t="n">
        <f aca="false">IF(C887=0,(1+Dic2023!$G$6)^(-B887),EXP(LN(INDEX(Dic2023!$H$6:$H$205,C887))+(LN(INDEX(Dic2023!$H$6:$H$205,MIN(C887+1,200)))-LN(INDEX(Dic2023!$H$6:$H$205,C887)))*(A887-6*C887)/6))</f>
        <v>0.0244072322461772</v>
      </c>
      <c r="E887" s="12" t="n">
        <f aca="false">D887^(-1/B887)-1</f>
        <v>0.0517528025</v>
      </c>
      <c r="F887" s="12" t="n">
        <f aca="false">(1+E887)^(1/12)-1</f>
        <v>0.00421369509431369</v>
      </c>
      <c r="G887" s="16" t="n">
        <f aca="false">IF(C887=0,(1+Dic2023!$J$6)^(-B887),EXP(LN(INDEX(Dic2023!$K$6:$K$205,C887))+(LN(INDEX(Dic2023!$K$6:$K$205,MIN(C887+1,200)))-LN(INDEX(Dic2023!$K$6:$K$205,C887)))*(A887-6*C887)/6))</f>
        <v>0.0244072322461772</v>
      </c>
      <c r="H887" s="12" t="n">
        <f aca="false">G887^(-1/B887)-1</f>
        <v>0.0517528025</v>
      </c>
      <c r="I887" s="12" t="n">
        <f aca="false">(1+H887)^(1/12)-1</f>
        <v>0.00421369509431369</v>
      </c>
      <c r="J887" s="16" t="n">
        <f aca="false">IF(C887=0,(1+Dic2023!$M$6)^(-B887),EXP(LN(INDEX(Dic2023!$N$6:$N$205,C887))+(LN(INDEX(Dic2023!$N$6:$N$205,MIN(C887+1,200)))-LN(INDEX(Dic2023!$N$6:$N$205,C887)))*(A887-6*C887)/6))</f>
        <v>0.0244072322461772</v>
      </c>
      <c r="K887" s="12" t="n">
        <f aca="false">J887^(-1/B887)-1</f>
        <v>0.0517528025</v>
      </c>
      <c r="L887" s="12" t="n">
        <f aca="false">(1+K887)^(1/12)-1</f>
        <v>0.00421369509431369</v>
      </c>
    </row>
    <row r="888" customFormat="false" ht="15" hidden="false" customHeight="false" outlineLevel="0" collapsed="false">
      <c r="A888" s="4" t="n">
        <v>884</v>
      </c>
      <c r="B888" s="14" t="n">
        <f aca="false">A888/12</f>
        <v>73.6666666666667</v>
      </c>
      <c r="C888" s="15" t="n">
        <f aca="false">INT(A888/6)</f>
        <v>147</v>
      </c>
      <c r="D888" s="16" t="n">
        <f aca="false">IF(C888=0,(1+Dic2023!$G$6)^(-B888),EXP(LN(INDEX(Dic2023!$H$6:$H$205,C888))+(LN(INDEX(Dic2023!$H$6:$H$205,MIN(C888+1,200)))-LN(INDEX(Dic2023!$H$6:$H$205,C888)))*(A888-6*C888)/6))</f>
        <v>0.024304819148961</v>
      </c>
      <c r="E888" s="12" t="n">
        <f aca="false">D888^(-1/B888)-1</f>
        <v>0.0517528025</v>
      </c>
      <c r="F888" s="12" t="n">
        <f aca="false">(1+E888)^(1/12)-1</f>
        <v>0.00421369509431369</v>
      </c>
      <c r="G888" s="16" t="n">
        <f aca="false">IF(C888=0,(1+Dic2023!$J$6)^(-B888),EXP(LN(INDEX(Dic2023!$K$6:$K$205,C888))+(LN(INDEX(Dic2023!$K$6:$K$205,MIN(C888+1,200)))-LN(INDEX(Dic2023!$K$6:$K$205,C888)))*(A888-6*C888)/6))</f>
        <v>0.024304819148961</v>
      </c>
      <c r="H888" s="12" t="n">
        <f aca="false">G888^(-1/B888)-1</f>
        <v>0.0517528025</v>
      </c>
      <c r="I888" s="12" t="n">
        <f aca="false">(1+H888)^(1/12)-1</f>
        <v>0.00421369509431369</v>
      </c>
      <c r="J888" s="16" t="n">
        <f aca="false">IF(C888=0,(1+Dic2023!$M$6)^(-B888),EXP(LN(INDEX(Dic2023!$N$6:$N$205,C888))+(LN(INDEX(Dic2023!$N$6:$N$205,MIN(C888+1,200)))-LN(INDEX(Dic2023!$N$6:$N$205,C888)))*(A888-6*C888)/6))</f>
        <v>0.024304819148961</v>
      </c>
      <c r="K888" s="12" t="n">
        <f aca="false">J888^(-1/B888)-1</f>
        <v>0.0517528025</v>
      </c>
      <c r="L888" s="12" t="n">
        <f aca="false">(1+K888)^(1/12)-1</f>
        <v>0.00421369509431369</v>
      </c>
    </row>
    <row r="889" customFormat="false" ht="15" hidden="false" customHeight="false" outlineLevel="0" collapsed="false">
      <c r="A889" s="4" t="n">
        <v>885</v>
      </c>
      <c r="B889" s="14" t="n">
        <f aca="false">A889/12</f>
        <v>73.75</v>
      </c>
      <c r="C889" s="15" t="n">
        <f aca="false">INT(A889/6)</f>
        <v>147</v>
      </c>
      <c r="D889" s="16" t="n">
        <f aca="false">IF(C889=0,(1+Dic2023!$G$6)^(-B889),EXP(LN(INDEX(Dic2023!$H$6:$H$205,C889))+(LN(INDEX(Dic2023!$H$6:$H$205,MIN(C889+1,200)))-LN(INDEX(Dic2023!$H$6:$H$205,C889)))*(A889-6*C889)/6))</f>
        <v>0.0242028357785724</v>
      </c>
      <c r="E889" s="12" t="n">
        <f aca="false">D889^(-1/B889)-1</f>
        <v>0.0517528025</v>
      </c>
      <c r="F889" s="12" t="n">
        <f aca="false">(1+E889)^(1/12)-1</f>
        <v>0.00421369509431369</v>
      </c>
      <c r="G889" s="16" t="n">
        <f aca="false">IF(C889=0,(1+Dic2023!$J$6)^(-B889),EXP(LN(INDEX(Dic2023!$K$6:$K$205,C889))+(LN(INDEX(Dic2023!$K$6:$K$205,MIN(C889+1,200)))-LN(INDEX(Dic2023!$K$6:$K$205,C889)))*(A889-6*C889)/6))</f>
        <v>0.0242028357785724</v>
      </c>
      <c r="H889" s="12" t="n">
        <f aca="false">G889^(-1/B889)-1</f>
        <v>0.0517528025</v>
      </c>
      <c r="I889" s="12" t="n">
        <f aca="false">(1+H889)^(1/12)-1</f>
        <v>0.00421369509431369</v>
      </c>
      <c r="J889" s="16" t="n">
        <f aca="false">IF(C889=0,(1+Dic2023!$M$6)^(-B889),EXP(LN(INDEX(Dic2023!$N$6:$N$205,C889))+(LN(INDEX(Dic2023!$N$6:$N$205,MIN(C889+1,200)))-LN(INDEX(Dic2023!$N$6:$N$205,C889)))*(A889-6*C889)/6))</f>
        <v>0.0242028357785724</v>
      </c>
      <c r="K889" s="12" t="n">
        <f aca="false">J889^(-1/B889)-1</f>
        <v>0.0517528025</v>
      </c>
      <c r="L889" s="12" t="n">
        <f aca="false">(1+K889)^(1/12)-1</f>
        <v>0.00421369509431369</v>
      </c>
    </row>
    <row r="890" customFormat="false" ht="15" hidden="false" customHeight="false" outlineLevel="0" collapsed="false">
      <c r="A890" s="4" t="n">
        <v>886</v>
      </c>
      <c r="B890" s="14" t="n">
        <f aca="false">A890/12</f>
        <v>73.8333333333333</v>
      </c>
      <c r="C890" s="15" t="n">
        <f aca="false">INT(A890/6)</f>
        <v>147</v>
      </c>
      <c r="D890" s="16" t="n">
        <f aca="false">IF(C890=0,(1+Dic2023!$G$6)^(-B890),EXP(LN(INDEX(Dic2023!$H$6:$H$205,C890))+(LN(INDEX(Dic2023!$H$6:$H$205,MIN(C890+1,200)))-LN(INDEX(Dic2023!$H$6:$H$205,C890)))*(A890-6*C890)/6))</f>
        <v>0.0241012803318713</v>
      </c>
      <c r="E890" s="12" t="n">
        <f aca="false">D890^(-1/B890)-1</f>
        <v>0.0517528025</v>
      </c>
      <c r="F890" s="12" t="n">
        <f aca="false">(1+E890)^(1/12)-1</f>
        <v>0.00421369509431369</v>
      </c>
      <c r="G890" s="16" t="n">
        <f aca="false">IF(C890=0,(1+Dic2023!$J$6)^(-B890),EXP(LN(INDEX(Dic2023!$K$6:$K$205,C890))+(LN(INDEX(Dic2023!$K$6:$K$205,MIN(C890+1,200)))-LN(INDEX(Dic2023!$K$6:$K$205,C890)))*(A890-6*C890)/6))</f>
        <v>0.0241012803318713</v>
      </c>
      <c r="H890" s="12" t="n">
        <f aca="false">G890^(-1/B890)-1</f>
        <v>0.0517528025</v>
      </c>
      <c r="I890" s="12" t="n">
        <f aca="false">(1+H890)^(1/12)-1</f>
        <v>0.00421369509431369</v>
      </c>
      <c r="J890" s="16" t="n">
        <f aca="false">IF(C890=0,(1+Dic2023!$M$6)^(-B890),EXP(LN(INDEX(Dic2023!$N$6:$N$205,C890))+(LN(INDEX(Dic2023!$N$6:$N$205,MIN(C890+1,200)))-LN(INDEX(Dic2023!$N$6:$N$205,C890)))*(A890-6*C890)/6))</f>
        <v>0.0241012803318713</v>
      </c>
      <c r="K890" s="12" t="n">
        <f aca="false">J890^(-1/B890)-1</f>
        <v>0.0517528025</v>
      </c>
      <c r="L890" s="12" t="n">
        <f aca="false">(1+K890)^(1/12)-1</f>
        <v>0.00421369509431369</v>
      </c>
    </row>
    <row r="891" customFormat="false" ht="15" hidden="false" customHeight="false" outlineLevel="0" collapsed="false">
      <c r="A891" s="4" t="n">
        <v>887</v>
      </c>
      <c r="B891" s="14" t="n">
        <f aca="false">A891/12</f>
        <v>73.9166666666667</v>
      </c>
      <c r="C891" s="15" t="n">
        <f aca="false">INT(A891/6)</f>
        <v>147</v>
      </c>
      <c r="D891" s="16" t="n">
        <f aca="false">IF(C891=0,(1+Dic2023!$G$6)^(-B891),EXP(LN(INDEX(Dic2023!$H$6:$H$205,C891))+(LN(INDEX(Dic2023!$H$6:$H$205,MIN(C891+1,200)))-LN(INDEX(Dic2023!$H$6:$H$205,C891)))*(A891-6*C891)/6))</f>
        <v>0.0240001510132838</v>
      </c>
      <c r="E891" s="12" t="n">
        <f aca="false">D891^(-1/B891)-1</f>
        <v>0.0517528025</v>
      </c>
      <c r="F891" s="12" t="n">
        <f aca="false">(1+E891)^(1/12)-1</f>
        <v>0.00421369509431369</v>
      </c>
      <c r="G891" s="16" t="n">
        <f aca="false">IF(C891=0,(1+Dic2023!$J$6)^(-B891),EXP(LN(INDEX(Dic2023!$K$6:$K$205,C891))+(LN(INDEX(Dic2023!$K$6:$K$205,MIN(C891+1,200)))-LN(INDEX(Dic2023!$K$6:$K$205,C891)))*(A891-6*C891)/6))</f>
        <v>0.0240001510132838</v>
      </c>
      <c r="H891" s="12" t="n">
        <f aca="false">G891^(-1/B891)-1</f>
        <v>0.0517528025</v>
      </c>
      <c r="I891" s="12" t="n">
        <f aca="false">(1+H891)^(1/12)-1</f>
        <v>0.00421369509431369</v>
      </c>
      <c r="J891" s="16" t="n">
        <f aca="false">IF(C891=0,(1+Dic2023!$M$6)^(-B891),EXP(LN(INDEX(Dic2023!$N$6:$N$205,C891))+(LN(INDEX(Dic2023!$N$6:$N$205,MIN(C891+1,200)))-LN(INDEX(Dic2023!$N$6:$N$205,C891)))*(A891-6*C891)/6))</f>
        <v>0.0240001510132838</v>
      </c>
      <c r="K891" s="12" t="n">
        <f aca="false">J891^(-1/B891)-1</f>
        <v>0.0517528025</v>
      </c>
      <c r="L891" s="12" t="n">
        <f aca="false">(1+K891)^(1/12)-1</f>
        <v>0.00421369509431369</v>
      </c>
    </row>
    <row r="892" customFormat="false" ht="15" hidden="false" customHeight="false" outlineLevel="0" collapsed="false">
      <c r="A892" s="4" t="n">
        <v>888</v>
      </c>
      <c r="B892" s="14" t="n">
        <f aca="false">A892/12</f>
        <v>74</v>
      </c>
      <c r="C892" s="15" t="n">
        <f aca="false">INT(A892/6)</f>
        <v>148</v>
      </c>
      <c r="D892" s="16" t="n">
        <f aca="false">IF(C892=0,(1+Dic2023!$G$6)^(-B892),EXP(LN(INDEX(Dic2023!$H$6:$H$205,C892))+(LN(INDEX(Dic2023!$H$6:$H$205,MIN(C892+1,200)))-LN(INDEX(Dic2023!$H$6:$H$205,C892)))*(A892-6*C892)/6))</f>
        <v>0.0238994460347703</v>
      </c>
      <c r="E892" s="12" t="n">
        <f aca="false">D892^(-1/B892)-1</f>
        <v>0.0517528025</v>
      </c>
      <c r="F892" s="12" t="n">
        <f aca="false">(1+E892)^(1/12)-1</f>
        <v>0.00421369509431369</v>
      </c>
      <c r="G892" s="16" t="n">
        <f aca="false">IF(C892=0,(1+Dic2023!$J$6)^(-B892),EXP(LN(INDEX(Dic2023!$K$6:$K$205,C892))+(LN(INDEX(Dic2023!$K$6:$K$205,MIN(C892+1,200)))-LN(INDEX(Dic2023!$K$6:$K$205,C892)))*(A892-6*C892)/6))</f>
        <v>0.0238994460347703</v>
      </c>
      <c r="H892" s="12" t="n">
        <f aca="false">G892^(-1/B892)-1</f>
        <v>0.0517528025</v>
      </c>
      <c r="I892" s="12" t="n">
        <f aca="false">(1+H892)^(1/12)-1</f>
        <v>0.00421369509431369</v>
      </c>
      <c r="J892" s="16" t="n">
        <f aca="false">IF(C892=0,(1+Dic2023!$M$6)^(-B892),EXP(LN(INDEX(Dic2023!$N$6:$N$205,C892))+(LN(INDEX(Dic2023!$N$6:$N$205,MIN(C892+1,200)))-LN(INDEX(Dic2023!$N$6:$N$205,C892)))*(A892-6*C892)/6))</f>
        <v>0.0238994460347703</v>
      </c>
      <c r="K892" s="12" t="n">
        <f aca="false">J892^(-1/B892)-1</f>
        <v>0.0517528025</v>
      </c>
      <c r="L892" s="12" t="n">
        <f aca="false">(1+K892)^(1/12)-1</f>
        <v>0.00421369509431369</v>
      </c>
    </row>
    <row r="893" customFormat="false" ht="15" hidden="false" customHeight="false" outlineLevel="0" collapsed="false">
      <c r="A893" s="4" t="n">
        <v>889</v>
      </c>
      <c r="B893" s="14" t="n">
        <f aca="false">A893/12</f>
        <v>74.0833333333333</v>
      </c>
      <c r="C893" s="15" t="n">
        <f aca="false">INT(A893/6)</f>
        <v>148</v>
      </c>
      <c r="D893" s="16" t="n">
        <f aca="false">IF(C893=0,(1+Dic2023!$G$6)^(-B893),EXP(LN(INDEX(Dic2023!$H$6:$H$205,C893))+(LN(INDEX(Dic2023!$H$6:$H$205,MIN(C893+1,200)))-LN(INDEX(Dic2023!$H$6:$H$205,C893)))*(A893-6*C893)/6))</f>
        <v>0.0237991636157937</v>
      </c>
      <c r="E893" s="12" t="n">
        <f aca="false">D893^(-1/B893)-1</f>
        <v>0.0517528025</v>
      </c>
      <c r="F893" s="12" t="n">
        <f aca="false">(1+E893)^(1/12)-1</f>
        <v>0.00421369509431369</v>
      </c>
      <c r="G893" s="16" t="n">
        <f aca="false">IF(C893=0,(1+Dic2023!$J$6)^(-B893),EXP(LN(INDEX(Dic2023!$K$6:$K$205,C893))+(LN(INDEX(Dic2023!$K$6:$K$205,MIN(C893+1,200)))-LN(INDEX(Dic2023!$K$6:$K$205,C893)))*(A893-6*C893)/6))</f>
        <v>0.0237991636157937</v>
      </c>
      <c r="H893" s="12" t="n">
        <f aca="false">G893^(-1/B893)-1</f>
        <v>0.0517528025</v>
      </c>
      <c r="I893" s="12" t="n">
        <f aca="false">(1+H893)^(1/12)-1</f>
        <v>0.00421369509431369</v>
      </c>
      <c r="J893" s="16" t="n">
        <f aca="false">IF(C893=0,(1+Dic2023!$M$6)^(-B893),EXP(LN(INDEX(Dic2023!$N$6:$N$205,C893))+(LN(INDEX(Dic2023!$N$6:$N$205,MIN(C893+1,200)))-LN(INDEX(Dic2023!$N$6:$N$205,C893)))*(A893-6*C893)/6))</f>
        <v>0.0237991636157937</v>
      </c>
      <c r="K893" s="12" t="n">
        <f aca="false">J893^(-1/B893)-1</f>
        <v>0.0517528025</v>
      </c>
      <c r="L893" s="12" t="n">
        <f aca="false">(1+K893)^(1/12)-1</f>
        <v>0.00421369509431369</v>
      </c>
    </row>
    <row r="894" customFormat="false" ht="15" hidden="false" customHeight="false" outlineLevel="0" collapsed="false">
      <c r="A894" s="4" t="n">
        <v>890</v>
      </c>
      <c r="B894" s="14" t="n">
        <f aca="false">A894/12</f>
        <v>74.1666666666667</v>
      </c>
      <c r="C894" s="15" t="n">
        <f aca="false">INT(A894/6)</f>
        <v>148</v>
      </c>
      <c r="D894" s="16" t="n">
        <f aca="false">IF(C894=0,(1+Dic2023!$G$6)^(-B894),EXP(LN(INDEX(Dic2023!$H$6:$H$205,C894))+(LN(INDEX(Dic2023!$H$6:$H$205,MIN(C894+1,200)))-LN(INDEX(Dic2023!$H$6:$H$205,C894)))*(A894-6*C894)/6))</f>
        <v>0.023699301983288</v>
      </c>
      <c r="E894" s="12" t="n">
        <f aca="false">D894^(-1/B894)-1</f>
        <v>0.0517528025</v>
      </c>
      <c r="F894" s="12" t="n">
        <f aca="false">(1+E894)^(1/12)-1</f>
        <v>0.00421369509431369</v>
      </c>
      <c r="G894" s="16" t="n">
        <f aca="false">IF(C894=0,(1+Dic2023!$J$6)^(-B894),EXP(LN(INDEX(Dic2023!$K$6:$K$205,C894))+(LN(INDEX(Dic2023!$K$6:$K$205,MIN(C894+1,200)))-LN(INDEX(Dic2023!$K$6:$K$205,C894)))*(A894-6*C894)/6))</f>
        <v>0.023699301983288</v>
      </c>
      <c r="H894" s="12" t="n">
        <f aca="false">G894^(-1/B894)-1</f>
        <v>0.0517528025</v>
      </c>
      <c r="I894" s="12" t="n">
        <f aca="false">(1+H894)^(1/12)-1</f>
        <v>0.00421369509431369</v>
      </c>
      <c r="J894" s="16" t="n">
        <f aca="false">IF(C894=0,(1+Dic2023!$M$6)^(-B894),EXP(LN(INDEX(Dic2023!$N$6:$N$205,C894))+(LN(INDEX(Dic2023!$N$6:$N$205,MIN(C894+1,200)))-LN(INDEX(Dic2023!$N$6:$N$205,C894)))*(A894-6*C894)/6))</f>
        <v>0.023699301983288</v>
      </c>
      <c r="K894" s="12" t="n">
        <f aca="false">J894^(-1/B894)-1</f>
        <v>0.0517528025</v>
      </c>
      <c r="L894" s="12" t="n">
        <f aca="false">(1+K894)^(1/12)-1</f>
        <v>0.00421369509431369</v>
      </c>
    </row>
    <row r="895" customFormat="false" ht="15" hidden="false" customHeight="false" outlineLevel="0" collapsed="false">
      <c r="A895" s="4" t="n">
        <v>891</v>
      </c>
      <c r="B895" s="14" t="n">
        <f aca="false">A895/12</f>
        <v>74.25</v>
      </c>
      <c r="C895" s="15" t="n">
        <f aca="false">INT(A895/6)</f>
        <v>148</v>
      </c>
      <c r="D895" s="16" t="n">
        <f aca="false">IF(C895=0,(1+Dic2023!$G$6)^(-B895),EXP(LN(INDEX(Dic2023!$H$6:$H$205,C895))+(LN(INDEX(Dic2023!$H$6:$H$205,MIN(C895+1,200)))-LN(INDEX(Dic2023!$H$6:$H$205,C895)))*(A895-6*C895)/6))</f>
        <v>0.0235998593716273</v>
      </c>
      <c r="E895" s="12" t="n">
        <f aca="false">D895^(-1/B895)-1</f>
        <v>0.0517528025</v>
      </c>
      <c r="F895" s="12" t="n">
        <f aca="false">(1+E895)^(1/12)-1</f>
        <v>0.00421369509431369</v>
      </c>
      <c r="G895" s="16" t="n">
        <f aca="false">IF(C895=0,(1+Dic2023!$J$6)^(-B895),EXP(LN(INDEX(Dic2023!$K$6:$K$205,C895))+(LN(INDEX(Dic2023!$K$6:$K$205,MIN(C895+1,200)))-LN(INDEX(Dic2023!$K$6:$K$205,C895)))*(A895-6*C895)/6))</f>
        <v>0.0235998593716273</v>
      </c>
      <c r="H895" s="12" t="n">
        <f aca="false">G895^(-1/B895)-1</f>
        <v>0.0517528025</v>
      </c>
      <c r="I895" s="12" t="n">
        <f aca="false">(1+H895)^(1/12)-1</f>
        <v>0.00421369509431369</v>
      </c>
      <c r="J895" s="16" t="n">
        <f aca="false">IF(C895=0,(1+Dic2023!$M$6)^(-B895),EXP(LN(INDEX(Dic2023!$N$6:$N$205,C895))+(LN(INDEX(Dic2023!$N$6:$N$205,MIN(C895+1,200)))-LN(INDEX(Dic2023!$N$6:$N$205,C895)))*(A895-6*C895)/6))</f>
        <v>0.0235998593716273</v>
      </c>
      <c r="K895" s="12" t="n">
        <f aca="false">J895^(-1/B895)-1</f>
        <v>0.0517528025</v>
      </c>
      <c r="L895" s="12" t="n">
        <f aca="false">(1+K895)^(1/12)-1</f>
        <v>0.00421369509431369</v>
      </c>
    </row>
    <row r="896" customFormat="false" ht="15" hidden="false" customHeight="false" outlineLevel="0" collapsed="false">
      <c r="A896" s="4" t="n">
        <v>892</v>
      </c>
      <c r="B896" s="14" t="n">
        <f aca="false">A896/12</f>
        <v>74.3333333333333</v>
      </c>
      <c r="C896" s="15" t="n">
        <f aca="false">INT(A896/6)</f>
        <v>148</v>
      </c>
      <c r="D896" s="16" t="n">
        <f aca="false">IF(C896=0,(1+Dic2023!$G$6)^(-B896),EXP(LN(INDEX(Dic2023!$H$6:$H$205,C896))+(LN(INDEX(Dic2023!$H$6:$H$205,MIN(C896+1,200)))-LN(INDEX(Dic2023!$H$6:$H$205,C896)))*(A896-6*C896)/6))</f>
        <v>0.023500834022594</v>
      </c>
      <c r="E896" s="12" t="n">
        <f aca="false">D896^(-1/B896)-1</f>
        <v>0.0517528025</v>
      </c>
      <c r="F896" s="12" t="n">
        <f aca="false">(1+E896)^(1/12)-1</f>
        <v>0.00421369509431369</v>
      </c>
      <c r="G896" s="16" t="n">
        <f aca="false">IF(C896=0,(1+Dic2023!$J$6)^(-B896),EXP(LN(INDEX(Dic2023!$K$6:$K$205,C896))+(LN(INDEX(Dic2023!$K$6:$K$205,MIN(C896+1,200)))-LN(INDEX(Dic2023!$K$6:$K$205,C896)))*(A896-6*C896)/6))</f>
        <v>0.023500834022594</v>
      </c>
      <c r="H896" s="12" t="n">
        <f aca="false">G896^(-1/B896)-1</f>
        <v>0.0517528025</v>
      </c>
      <c r="I896" s="12" t="n">
        <f aca="false">(1+H896)^(1/12)-1</f>
        <v>0.00421369509431369</v>
      </c>
      <c r="J896" s="16" t="n">
        <f aca="false">IF(C896=0,(1+Dic2023!$M$6)^(-B896),EXP(LN(INDEX(Dic2023!$N$6:$N$205,C896))+(LN(INDEX(Dic2023!$N$6:$N$205,MIN(C896+1,200)))-LN(INDEX(Dic2023!$N$6:$N$205,C896)))*(A896-6*C896)/6))</f>
        <v>0.023500834022594</v>
      </c>
      <c r="K896" s="12" t="n">
        <f aca="false">J896^(-1/B896)-1</f>
        <v>0.0517528025</v>
      </c>
      <c r="L896" s="12" t="n">
        <f aca="false">(1+K896)^(1/12)-1</f>
        <v>0.00421369509431369</v>
      </c>
    </row>
    <row r="897" customFormat="false" ht="15" hidden="false" customHeight="false" outlineLevel="0" collapsed="false">
      <c r="A897" s="4" t="n">
        <v>893</v>
      </c>
      <c r="B897" s="14" t="n">
        <f aca="false">A897/12</f>
        <v>74.4166666666667</v>
      </c>
      <c r="C897" s="15" t="n">
        <f aca="false">INT(A897/6)</f>
        <v>148</v>
      </c>
      <c r="D897" s="16" t="n">
        <f aca="false">IF(C897=0,(1+Dic2023!$G$6)^(-B897),EXP(LN(INDEX(Dic2023!$H$6:$H$205,C897))+(LN(INDEX(Dic2023!$H$6:$H$205,MIN(C897+1,200)))-LN(INDEX(Dic2023!$H$6:$H$205,C897)))*(A897-6*C897)/6))</f>
        <v>0.0234022241853482</v>
      </c>
      <c r="E897" s="12" t="n">
        <f aca="false">D897^(-1/B897)-1</f>
        <v>0.0517528025</v>
      </c>
      <c r="F897" s="12" t="n">
        <f aca="false">(1+E897)^(1/12)-1</f>
        <v>0.00421369509431369</v>
      </c>
      <c r="G897" s="16" t="n">
        <f aca="false">IF(C897=0,(1+Dic2023!$J$6)^(-B897),EXP(LN(INDEX(Dic2023!$K$6:$K$205,C897))+(LN(INDEX(Dic2023!$K$6:$K$205,MIN(C897+1,200)))-LN(INDEX(Dic2023!$K$6:$K$205,C897)))*(A897-6*C897)/6))</f>
        <v>0.0234022241853482</v>
      </c>
      <c r="H897" s="12" t="n">
        <f aca="false">G897^(-1/B897)-1</f>
        <v>0.0517528025</v>
      </c>
      <c r="I897" s="12" t="n">
        <f aca="false">(1+H897)^(1/12)-1</f>
        <v>0.00421369509431369</v>
      </c>
      <c r="J897" s="16" t="n">
        <f aca="false">IF(C897=0,(1+Dic2023!$M$6)^(-B897),EXP(LN(INDEX(Dic2023!$N$6:$N$205,C897))+(LN(INDEX(Dic2023!$N$6:$N$205,MIN(C897+1,200)))-LN(INDEX(Dic2023!$N$6:$N$205,C897)))*(A897-6*C897)/6))</f>
        <v>0.0234022241853482</v>
      </c>
      <c r="K897" s="12" t="n">
        <f aca="false">J897^(-1/B897)-1</f>
        <v>0.0517528025</v>
      </c>
      <c r="L897" s="12" t="n">
        <f aca="false">(1+K897)^(1/12)-1</f>
        <v>0.00421369509431369</v>
      </c>
    </row>
    <row r="898" customFormat="false" ht="15" hidden="false" customHeight="false" outlineLevel="0" collapsed="false">
      <c r="A898" s="4" t="n">
        <v>894</v>
      </c>
      <c r="B898" s="14" t="n">
        <f aca="false">A898/12</f>
        <v>74.5</v>
      </c>
      <c r="C898" s="15" t="n">
        <f aca="false">INT(A898/6)</f>
        <v>149</v>
      </c>
      <c r="D898" s="16" t="n">
        <f aca="false">IF(C898=0,(1+Dic2023!$G$6)^(-B898),EXP(LN(INDEX(Dic2023!$H$6:$H$205,C898))+(LN(INDEX(Dic2023!$H$6:$H$205,MIN(C898+1,200)))-LN(INDEX(Dic2023!$H$6:$H$205,C898)))*(A898-6*C898)/6))</f>
        <v>0.0233040281163964</v>
      </c>
      <c r="E898" s="12" t="n">
        <f aca="false">D898^(-1/B898)-1</f>
        <v>0.0517528025</v>
      </c>
      <c r="F898" s="12" t="n">
        <f aca="false">(1+E898)^(1/12)-1</f>
        <v>0.00421369509431369</v>
      </c>
      <c r="G898" s="16" t="n">
        <f aca="false">IF(C898=0,(1+Dic2023!$J$6)^(-B898),EXP(LN(INDEX(Dic2023!$K$6:$K$205,C898))+(LN(INDEX(Dic2023!$K$6:$K$205,MIN(C898+1,200)))-LN(INDEX(Dic2023!$K$6:$K$205,C898)))*(A898-6*C898)/6))</f>
        <v>0.0233040281163964</v>
      </c>
      <c r="H898" s="12" t="n">
        <f aca="false">G898^(-1/B898)-1</f>
        <v>0.0517528025</v>
      </c>
      <c r="I898" s="12" t="n">
        <f aca="false">(1+H898)^(1/12)-1</f>
        <v>0.00421369509431369</v>
      </c>
      <c r="J898" s="16" t="n">
        <f aca="false">IF(C898=0,(1+Dic2023!$M$6)^(-B898),EXP(LN(INDEX(Dic2023!$N$6:$N$205,C898))+(LN(INDEX(Dic2023!$N$6:$N$205,MIN(C898+1,200)))-LN(INDEX(Dic2023!$N$6:$N$205,C898)))*(A898-6*C898)/6))</f>
        <v>0.0233040281163964</v>
      </c>
      <c r="K898" s="12" t="n">
        <f aca="false">J898^(-1/B898)-1</f>
        <v>0.0517528025</v>
      </c>
      <c r="L898" s="12" t="n">
        <f aca="false">(1+K898)^(1/12)-1</f>
        <v>0.00421369509431369</v>
      </c>
    </row>
    <row r="899" customFormat="false" ht="15" hidden="false" customHeight="false" outlineLevel="0" collapsed="false">
      <c r="A899" s="4" t="n">
        <v>895</v>
      </c>
      <c r="B899" s="14" t="n">
        <f aca="false">A899/12</f>
        <v>74.5833333333333</v>
      </c>
      <c r="C899" s="15" t="n">
        <f aca="false">INT(A899/6)</f>
        <v>149</v>
      </c>
      <c r="D899" s="16" t="n">
        <f aca="false">IF(C899=0,(1+Dic2023!$G$6)^(-B899),EXP(LN(INDEX(Dic2023!$H$6:$H$205,C899))+(LN(INDEX(Dic2023!$H$6:$H$205,MIN(C899+1,200)))-LN(INDEX(Dic2023!$H$6:$H$205,C899)))*(A899-6*C899)/6))</f>
        <v>0.0232062440795609</v>
      </c>
      <c r="E899" s="12" t="n">
        <f aca="false">D899^(-1/B899)-1</f>
        <v>0.0517528025</v>
      </c>
      <c r="F899" s="12" t="n">
        <f aca="false">(1+E899)^(1/12)-1</f>
        <v>0.00421369509431369</v>
      </c>
      <c r="G899" s="16" t="n">
        <f aca="false">IF(C899=0,(1+Dic2023!$J$6)^(-B899),EXP(LN(INDEX(Dic2023!$K$6:$K$205,C899))+(LN(INDEX(Dic2023!$K$6:$K$205,MIN(C899+1,200)))-LN(INDEX(Dic2023!$K$6:$K$205,C899)))*(A899-6*C899)/6))</f>
        <v>0.0232062440795609</v>
      </c>
      <c r="H899" s="12" t="n">
        <f aca="false">G899^(-1/B899)-1</f>
        <v>0.0517528025</v>
      </c>
      <c r="I899" s="12" t="n">
        <f aca="false">(1+H899)^(1/12)-1</f>
        <v>0.00421369509431369</v>
      </c>
      <c r="J899" s="16" t="n">
        <f aca="false">IF(C899=0,(1+Dic2023!$M$6)^(-B899),EXP(LN(INDEX(Dic2023!$N$6:$N$205,C899))+(LN(INDEX(Dic2023!$N$6:$N$205,MIN(C899+1,200)))-LN(INDEX(Dic2023!$N$6:$N$205,C899)))*(A899-6*C899)/6))</f>
        <v>0.0232062440795609</v>
      </c>
      <c r="K899" s="12" t="n">
        <f aca="false">J899^(-1/B899)-1</f>
        <v>0.0517528025</v>
      </c>
      <c r="L899" s="12" t="n">
        <f aca="false">(1+K899)^(1/12)-1</f>
        <v>0.00421369509431369</v>
      </c>
    </row>
    <row r="900" customFormat="false" ht="15" hidden="false" customHeight="false" outlineLevel="0" collapsed="false">
      <c r="A900" s="4" t="n">
        <v>896</v>
      </c>
      <c r="B900" s="14" t="n">
        <f aca="false">A900/12</f>
        <v>74.6666666666667</v>
      </c>
      <c r="C900" s="15" t="n">
        <f aca="false">INT(A900/6)</f>
        <v>149</v>
      </c>
      <c r="D900" s="16" t="n">
        <f aca="false">IF(C900=0,(1+Dic2023!$G$6)^(-B900),EXP(LN(INDEX(Dic2023!$H$6:$H$205,C900))+(LN(INDEX(Dic2023!$H$6:$H$205,MIN(C900+1,200)))-LN(INDEX(Dic2023!$H$6:$H$205,C900)))*(A900-6*C900)/6))</f>
        <v>0.023108870345949</v>
      </c>
      <c r="E900" s="12" t="n">
        <f aca="false">D900^(-1/B900)-1</f>
        <v>0.0517528025</v>
      </c>
      <c r="F900" s="12" t="n">
        <f aca="false">(1+E900)^(1/12)-1</f>
        <v>0.00421369509431369</v>
      </c>
      <c r="G900" s="16" t="n">
        <f aca="false">IF(C900=0,(1+Dic2023!$J$6)^(-B900),EXP(LN(INDEX(Dic2023!$K$6:$K$205,C900))+(LN(INDEX(Dic2023!$K$6:$K$205,MIN(C900+1,200)))-LN(INDEX(Dic2023!$K$6:$K$205,C900)))*(A900-6*C900)/6))</f>
        <v>0.023108870345949</v>
      </c>
      <c r="H900" s="12" t="n">
        <f aca="false">G900^(-1/B900)-1</f>
        <v>0.0517528025</v>
      </c>
      <c r="I900" s="12" t="n">
        <f aca="false">(1+H900)^(1/12)-1</f>
        <v>0.00421369509431369</v>
      </c>
      <c r="J900" s="16" t="n">
        <f aca="false">IF(C900=0,(1+Dic2023!$M$6)^(-B900),EXP(LN(INDEX(Dic2023!$N$6:$N$205,C900))+(LN(INDEX(Dic2023!$N$6:$N$205,MIN(C900+1,200)))-LN(INDEX(Dic2023!$N$6:$N$205,C900)))*(A900-6*C900)/6))</f>
        <v>0.023108870345949</v>
      </c>
      <c r="K900" s="12" t="n">
        <f aca="false">J900^(-1/B900)-1</f>
        <v>0.0517528025</v>
      </c>
      <c r="L900" s="12" t="n">
        <f aca="false">(1+K900)^(1/12)-1</f>
        <v>0.00421369509431369</v>
      </c>
    </row>
    <row r="901" customFormat="false" ht="15" hidden="false" customHeight="false" outlineLevel="0" collapsed="false">
      <c r="A901" s="4" t="n">
        <v>897</v>
      </c>
      <c r="B901" s="14" t="n">
        <f aca="false">A901/12</f>
        <v>74.75</v>
      </c>
      <c r="C901" s="15" t="n">
        <f aca="false">INT(A901/6)</f>
        <v>149</v>
      </c>
      <c r="D901" s="16" t="n">
        <f aca="false">IF(C901=0,(1+Dic2023!$G$6)^(-B901),EXP(LN(INDEX(Dic2023!$H$6:$H$205,C901))+(LN(INDEX(Dic2023!$H$6:$H$205,MIN(C901+1,200)))-LN(INDEX(Dic2023!$H$6:$H$205,C901)))*(A901-6*C901)/6))</f>
        <v>0.0230119051939226</v>
      </c>
      <c r="E901" s="12" t="n">
        <f aca="false">D901^(-1/B901)-1</f>
        <v>0.0517528025</v>
      </c>
      <c r="F901" s="12" t="n">
        <f aca="false">(1+E901)^(1/12)-1</f>
        <v>0.00421369509431369</v>
      </c>
      <c r="G901" s="16" t="n">
        <f aca="false">IF(C901=0,(1+Dic2023!$J$6)^(-B901),EXP(LN(INDEX(Dic2023!$K$6:$K$205,C901))+(LN(INDEX(Dic2023!$K$6:$K$205,MIN(C901+1,200)))-LN(INDEX(Dic2023!$K$6:$K$205,C901)))*(A901-6*C901)/6))</f>
        <v>0.0230119051939226</v>
      </c>
      <c r="H901" s="12" t="n">
        <f aca="false">G901^(-1/B901)-1</f>
        <v>0.0517528025</v>
      </c>
      <c r="I901" s="12" t="n">
        <f aca="false">(1+H901)^(1/12)-1</f>
        <v>0.00421369509431369</v>
      </c>
      <c r="J901" s="16" t="n">
        <f aca="false">IF(C901=0,(1+Dic2023!$M$6)^(-B901),EXP(LN(INDEX(Dic2023!$N$6:$N$205,C901))+(LN(INDEX(Dic2023!$N$6:$N$205,MIN(C901+1,200)))-LN(INDEX(Dic2023!$N$6:$N$205,C901)))*(A901-6*C901)/6))</f>
        <v>0.0230119051939226</v>
      </c>
      <c r="K901" s="12" t="n">
        <f aca="false">J901^(-1/B901)-1</f>
        <v>0.0517528025</v>
      </c>
      <c r="L901" s="12" t="n">
        <f aca="false">(1+K901)^(1/12)-1</f>
        <v>0.00421369509431369</v>
      </c>
    </row>
    <row r="902" customFormat="false" ht="15" hidden="false" customHeight="false" outlineLevel="0" collapsed="false">
      <c r="A902" s="4" t="n">
        <v>898</v>
      </c>
      <c r="B902" s="14" t="n">
        <f aca="false">A902/12</f>
        <v>74.8333333333333</v>
      </c>
      <c r="C902" s="15" t="n">
        <f aca="false">INT(A902/6)</f>
        <v>149</v>
      </c>
      <c r="D902" s="16" t="n">
        <f aca="false">IF(C902=0,(1+Dic2023!$G$6)^(-B902),EXP(LN(INDEX(Dic2023!$H$6:$H$205,C902))+(LN(INDEX(Dic2023!$H$6:$H$205,MIN(C902+1,200)))-LN(INDEX(Dic2023!$H$6:$H$205,C902)))*(A902-6*C902)/6))</f>
        <v>0.0229153469090674</v>
      </c>
      <c r="E902" s="12" t="n">
        <f aca="false">D902^(-1/B902)-1</f>
        <v>0.0517528025</v>
      </c>
      <c r="F902" s="12" t="n">
        <f aca="false">(1+E902)^(1/12)-1</f>
        <v>0.00421369509431369</v>
      </c>
      <c r="G902" s="16" t="n">
        <f aca="false">IF(C902=0,(1+Dic2023!$J$6)^(-B902),EXP(LN(INDEX(Dic2023!$K$6:$K$205,C902))+(LN(INDEX(Dic2023!$K$6:$K$205,MIN(C902+1,200)))-LN(INDEX(Dic2023!$K$6:$K$205,C902)))*(A902-6*C902)/6))</f>
        <v>0.0229153469090674</v>
      </c>
      <c r="H902" s="12" t="n">
        <f aca="false">G902^(-1/B902)-1</f>
        <v>0.0517528025</v>
      </c>
      <c r="I902" s="12" t="n">
        <f aca="false">(1+H902)^(1/12)-1</f>
        <v>0.00421369509431369</v>
      </c>
      <c r="J902" s="16" t="n">
        <f aca="false">IF(C902=0,(1+Dic2023!$M$6)^(-B902),EXP(LN(INDEX(Dic2023!$N$6:$N$205,C902))+(LN(INDEX(Dic2023!$N$6:$N$205,MIN(C902+1,200)))-LN(INDEX(Dic2023!$N$6:$N$205,C902)))*(A902-6*C902)/6))</f>
        <v>0.0229153469090674</v>
      </c>
      <c r="K902" s="12" t="n">
        <f aca="false">J902^(-1/B902)-1</f>
        <v>0.0517528025</v>
      </c>
      <c r="L902" s="12" t="n">
        <f aca="false">(1+K902)^(1/12)-1</f>
        <v>0.00421369509431369</v>
      </c>
    </row>
    <row r="903" customFormat="false" ht="15" hidden="false" customHeight="false" outlineLevel="0" collapsed="false">
      <c r="A903" s="4" t="n">
        <v>899</v>
      </c>
      <c r="B903" s="14" t="n">
        <f aca="false">A903/12</f>
        <v>74.9166666666667</v>
      </c>
      <c r="C903" s="15" t="n">
        <f aca="false">INT(A903/6)</f>
        <v>149</v>
      </c>
      <c r="D903" s="16" t="n">
        <f aca="false">IF(C903=0,(1+Dic2023!$G$6)^(-B903),EXP(LN(INDEX(Dic2023!$H$6:$H$205,C903))+(LN(INDEX(Dic2023!$H$6:$H$205,MIN(C903+1,200)))-LN(INDEX(Dic2023!$H$6:$H$205,C903)))*(A903-6*C903)/6))</f>
        <v>0.0228191937841628</v>
      </c>
      <c r="E903" s="12" t="n">
        <f aca="false">D903^(-1/B903)-1</f>
        <v>0.0517528025</v>
      </c>
      <c r="F903" s="12" t="n">
        <f aca="false">(1+E903)^(1/12)-1</f>
        <v>0.00421369509431369</v>
      </c>
      <c r="G903" s="16" t="n">
        <f aca="false">IF(C903=0,(1+Dic2023!$J$6)^(-B903),EXP(LN(INDEX(Dic2023!$K$6:$K$205,C903))+(LN(INDEX(Dic2023!$K$6:$K$205,MIN(C903+1,200)))-LN(INDEX(Dic2023!$K$6:$K$205,C903)))*(A903-6*C903)/6))</f>
        <v>0.0228191937841628</v>
      </c>
      <c r="H903" s="12" t="n">
        <f aca="false">G903^(-1/B903)-1</f>
        <v>0.0517528025</v>
      </c>
      <c r="I903" s="12" t="n">
        <f aca="false">(1+H903)^(1/12)-1</f>
        <v>0.00421369509431369</v>
      </c>
      <c r="J903" s="16" t="n">
        <f aca="false">IF(C903=0,(1+Dic2023!$M$6)^(-B903),EXP(LN(INDEX(Dic2023!$N$6:$N$205,C903))+(LN(INDEX(Dic2023!$N$6:$N$205,MIN(C903+1,200)))-LN(INDEX(Dic2023!$N$6:$N$205,C903)))*(A903-6*C903)/6))</f>
        <v>0.0228191937841628</v>
      </c>
      <c r="K903" s="12" t="n">
        <f aca="false">J903^(-1/B903)-1</f>
        <v>0.0517528025</v>
      </c>
      <c r="L903" s="12" t="n">
        <f aca="false">(1+K903)^(1/12)-1</f>
        <v>0.00421369509431369</v>
      </c>
    </row>
    <row r="904" customFormat="false" ht="15" hidden="false" customHeight="false" outlineLevel="0" collapsed="false">
      <c r="A904" s="4" t="n">
        <v>900</v>
      </c>
      <c r="B904" s="14" t="n">
        <f aca="false">A904/12</f>
        <v>75</v>
      </c>
      <c r="C904" s="15" t="n">
        <f aca="false">INT(A904/6)</f>
        <v>150</v>
      </c>
      <c r="D904" s="16" t="n">
        <f aca="false">IF(C904=0,(1+Dic2023!$G$6)^(-B904),EXP(LN(INDEX(Dic2023!$H$6:$H$205,C904))+(LN(INDEX(Dic2023!$H$6:$H$205,MIN(C904+1,200)))-LN(INDEX(Dic2023!$H$6:$H$205,C904)))*(A904-6*C904)/6))</f>
        <v>0.022723444119152</v>
      </c>
      <c r="E904" s="12" t="n">
        <f aca="false">D904^(-1/B904)-1</f>
        <v>0.0517528025</v>
      </c>
      <c r="F904" s="12" t="n">
        <f aca="false">(1+E904)^(1/12)-1</f>
        <v>0.00421369509431369</v>
      </c>
      <c r="G904" s="16" t="n">
        <f aca="false">IF(C904=0,(1+Dic2023!$J$6)^(-B904),EXP(LN(INDEX(Dic2023!$K$6:$K$205,C904))+(LN(INDEX(Dic2023!$K$6:$K$205,MIN(C904+1,200)))-LN(INDEX(Dic2023!$K$6:$K$205,C904)))*(A904-6*C904)/6))</f>
        <v>0.022723444119152</v>
      </c>
      <c r="H904" s="12" t="n">
        <f aca="false">G904^(-1/B904)-1</f>
        <v>0.0517528025</v>
      </c>
      <c r="I904" s="12" t="n">
        <f aca="false">(1+H904)^(1/12)-1</f>
        <v>0.00421369509431369</v>
      </c>
      <c r="J904" s="16" t="n">
        <f aca="false">IF(C904=0,(1+Dic2023!$M$6)^(-B904),EXP(LN(INDEX(Dic2023!$N$6:$N$205,C904))+(LN(INDEX(Dic2023!$N$6:$N$205,MIN(C904+1,200)))-LN(INDEX(Dic2023!$N$6:$N$205,C904)))*(A904-6*C904)/6))</f>
        <v>0.022723444119152</v>
      </c>
      <c r="K904" s="12" t="n">
        <f aca="false">J904^(-1/B904)-1</f>
        <v>0.0517528025</v>
      </c>
      <c r="L904" s="12" t="n">
        <f aca="false">(1+K904)^(1/12)-1</f>
        <v>0.00421369509431369</v>
      </c>
    </row>
    <row r="905" customFormat="false" ht="15" hidden="false" customHeight="false" outlineLevel="0" collapsed="false">
      <c r="A905" s="4" t="n">
        <v>901</v>
      </c>
      <c r="B905" s="14" t="n">
        <f aca="false">A905/12</f>
        <v>75.0833333333333</v>
      </c>
      <c r="C905" s="15" t="n">
        <f aca="false">INT(A905/6)</f>
        <v>150</v>
      </c>
      <c r="D905" s="16" t="n">
        <f aca="false">IF(C905=0,(1+Dic2023!$G$6)^(-B905),EXP(LN(INDEX(Dic2023!$H$6:$H$205,C905))+(LN(INDEX(Dic2023!$H$6:$H$205,MIN(C905+1,200)))-LN(INDEX(Dic2023!$H$6:$H$205,C905)))*(A905-6*C905)/6))</f>
        <v>0.0226280962211115</v>
      </c>
      <c r="E905" s="12" t="n">
        <f aca="false">D905^(-1/B905)-1</f>
        <v>0.0517528025</v>
      </c>
      <c r="F905" s="12" t="n">
        <f aca="false">(1+E905)^(1/12)-1</f>
        <v>0.00421369509431369</v>
      </c>
      <c r="G905" s="16" t="n">
        <f aca="false">IF(C905=0,(1+Dic2023!$J$6)^(-B905),EXP(LN(INDEX(Dic2023!$K$6:$K$205,C905))+(LN(INDEX(Dic2023!$K$6:$K$205,MIN(C905+1,200)))-LN(INDEX(Dic2023!$K$6:$K$205,C905)))*(A905-6*C905)/6))</f>
        <v>0.0226280962211115</v>
      </c>
      <c r="H905" s="12" t="n">
        <f aca="false">G905^(-1/B905)-1</f>
        <v>0.0517528025</v>
      </c>
      <c r="I905" s="12" t="n">
        <f aca="false">(1+H905)^(1/12)-1</f>
        <v>0.00421369509431369</v>
      </c>
      <c r="J905" s="16" t="n">
        <f aca="false">IF(C905=0,(1+Dic2023!$M$6)^(-B905),EXP(LN(INDEX(Dic2023!$N$6:$N$205,C905))+(LN(INDEX(Dic2023!$N$6:$N$205,MIN(C905+1,200)))-LN(INDEX(Dic2023!$N$6:$N$205,C905)))*(A905-6*C905)/6))</f>
        <v>0.0226280962211115</v>
      </c>
      <c r="K905" s="12" t="n">
        <f aca="false">J905^(-1/B905)-1</f>
        <v>0.0517528025</v>
      </c>
      <c r="L905" s="12" t="n">
        <f aca="false">(1+K905)^(1/12)-1</f>
        <v>0.00421369509431369</v>
      </c>
    </row>
    <row r="906" customFormat="false" ht="15" hidden="false" customHeight="false" outlineLevel="0" collapsed="false">
      <c r="A906" s="4" t="n">
        <v>902</v>
      </c>
      <c r="B906" s="14" t="n">
        <f aca="false">A906/12</f>
        <v>75.1666666666667</v>
      </c>
      <c r="C906" s="15" t="n">
        <f aca="false">INT(A906/6)</f>
        <v>150</v>
      </c>
      <c r="D906" s="16" t="n">
        <f aca="false">IF(C906=0,(1+Dic2023!$G$6)^(-B906),EXP(LN(INDEX(Dic2023!$H$6:$H$205,C906))+(LN(INDEX(Dic2023!$H$6:$H$205,MIN(C906+1,200)))-LN(INDEX(Dic2023!$H$6:$H$205,C906)))*(A906-6*C906)/6))</f>
        <v>0.0225331484042212</v>
      </c>
      <c r="E906" s="12" t="n">
        <f aca="false">D906^(-1/B906)-1</f>
        <v>0.0517528025</v>
      </c>
      <c r="F906" s="12" t="n">
        <f aca="false">(1+E906)^(1/12)-1</f>
        <v>0.00421369509431369</v>
      </c>
      <c r="G906" s="16" t="n">
        <f aca="false">IF(C906=0,(1+Dic2023!$J$6)^(-B906),EXP(LN(INDEX(Dic2023!$K$6:$K$205,C906))+(LN(INDEX(Dic2023!$K$6:$K$205,MIN(C906+1,200)))-LN(INDEX(Dic2023!$K$6:$K$205,C906)))*(A906-6*C906)/6))</f>
        <v>0.0225331484042212</v>
      </c>
      <c r="H906" s="12" t="n">
        <f aca="false">G906^(-1/B906)-1</f>
        <v>0.0517528025</v>
      </c>
      <c r="I906" s="12" t="n">
        <f aca="false">(1+H906)^(1/12)-1</f>
        <v>0.00421369509431369</v>
      </c>
      <c r="J906" s="16" t="n">
        <f aca="false">IF(C906=0,(1+Dic2023!$M$6)^(-B906),EXP(LN(INDEX(Dic2023!$N$6:$N$205,C906))+(LN(INDEX(Dic2023!$N$6:$N$205,MIN(C906+1,200)))-LN(INDEX(Dic2023!$N$6:$N$205,C906)))*(A906-6*C906)/6))</f>
        <v>0.0225331484042212</v>
      </c>
      <c r="K906" s="12" t="n">
        <f aca="false">J906^(-1/B906)-1</f>
        <v>0.0517528025</v>
      </c>
      <c r="L906" s="12" t="n">
        <f aca="false">(1+K906)^(1/12)-1</f>
        <v>0.00421369509431369</v>
      </c>
    </row>
    <row r="907" customFormat="false" ht="15" hidden="false" customHeight="false" outlineLevel="0" collapsed="false">
      <c r="A907" s="4" t="n">
        <v>903</v>
      </c>
      <c r="B907" s="14" t="n">
        <f aca="false">A907/12</f>
        <v>75.25</v>
      </c>
      <c r="C907" s="15" t="n">
        <f aca="false">INT(A907/6)</f>
        <v>150</v>
      </c>
      <c r="D907" s="16" t="n">
        <f aca="false">IF(C907=0,(1+Dic2023!$G$6)^(-B907),EXP(LN(INDEX(Dic2023!$H$6:$H$205,C907))+(LN(INDEX(Dic2023!$H$6:$H$205,MIN(C907+1,200)))-LN(INDEX(Dic2023!$H$6:$H$205,C907)))*(A907-6*C907)/6))</f>
        <v>0.0224385989897349</v>
      </c>
      <c r="E907" s="12" t="n">
        <f aca="false">D907^(-1/B907)-1</f>
        <v>0.0517528025</v>
      </c>
      <c r="F907" s="12" t="n">
        <f aca="false">(1+E907)^(1/12)-1</f>
        <v>0.00421369509431369</v>
      </c>
      <c r="G907" s="16" t="n">
        <f aca="false">IF(C907=0,(1+Dic2023!$J$6)^(-B907),EXP(LN(INDEX(Dic2023!$K$6:$K$205,C907))+(LN(INDEX(Dic2023!$K$6:$K$205,MIN(C907+1,200)))-LN(INDEX(Dic2023!$K$6:$K$205,C907)))*(A907-6*C907)/6))</f>
        <v>0.0224385989897349</v>
      </c>
      <c r="H907" s="12" t="n">
        <f aca="false">G907^(-1/B907)-1</f>
        <v>0.0517528025</v>
      </c>
      <c r="I907" s="12" t="n">
        <f aca="false">(1+H907)^(1/12)-1</f>
        <v>0.00421369509431369</v>
      </c>
      <c r="J907" s="16" t="n">
        <f aca="false">IF(C907=0,(1+Dic2023!$M$6)^(-B907),EXP(LN(INDEX(Dic2023!$N$6:$N$205,C907))+(LN(INDEX(Dic2023!$N$6:$N$205,MIN(C907+1,200)))-LN(INDEX(Dic2023!$N$6:$N$205,C907)))*(A907-6*C907)/6))</f>
        <v>0.0224385989897349</v>
      </c>
      <c r="K907" s="12" t="n">
        <f aca="false">J907^(-1/B907)-1</f>
        <v>0.0517528025</v>
      </c>
      <c r="L907" s="12" t="n">
        <f aca="false">(1+K907)^(1/12)-1</f>
        <v>0.00421369509431369</v>
      </c>
    </row>
    <row r="908" customFormat="false" ht="15" hidden="false" customHeight="false" outlineLevel="0" collapsed="false">
      <c r="A908" s="4" t="n">
        <v>904</v>
      </c>
      <c r="B908" s="14" t="n">
        <f aca="false">A908/12</f>
        <v>75.3333333333333</v>
      </c>
      <c r="C908" s="15" t="n">
        <f aca="false">INT(A908/6)</f>
        <v>150</v>
      </c>
      <c r="D908" s="16" t="n">
        <f aca="false">IF(C908=0,(1+Dic2023!$G$6)^(-B908),EXP(LN(INDEX(Dic2023!$H$6:$H$205,C908))+(LN(INDEX(Dic2023!$H$6:$H$205,MIN(C908+1,200)))-LN(INDEX(Dic2023!$H$6:$H$205,C908)))*(A908-6*C908)/6))</f>
        <v>0.0223444463059503</v>
      </c>
      <c r="E908" s="12" t="n">
        <f aca="false">D908^(-1/B908)-1</f>
        <v>0.0517528025</v>
      </c>
      <c r="F908" s="12" t="n">
        <f aca="false">(1+E908)^(1/12)-1</f>
        <v>0.00421369509431369</v>
      </c>
      <c r="G908" s="16" t="n">
        <f aca="false">IF(C908=0,(1+Dic2023!$J$6)^(-B908),EXP(LN(INDEX(Dic2023!$K$6:$K$205,C908))+(LN(INDEX(Dic2023!$K$6:$K$205,MIN(C908+1,200)))-LN(INDEX(Dic2023!$K$6:$K$205,C908)))*(A908-6*C908)/6))</f>
        <v>0.0223444463059503</v>
      </c>
      <c r="H908" s="12" t="n">
        <f aca="false">G908^(-1/B908)-1</f>
        <v>0.0517528025</v>
      </c>
      <c r="I908" s="12" t="n">
        <f aca="false">(1+H908)^(1/12)-1</f>
        <v>0.00421369509431369</v>
      </c>
      <c r="J908" s="16" t="n">
        <f aca="false">IF(C908=0,(1+Dic2023!$M$6)^(-B908),EXP(LN(INDEX(Dic2023!$N$6:$N$205,C908))+(LN(INDEX(Dic2023!$N$6:$N$205,MIN(C908+1,200)))-LN(INDEX(Dic2023!$N$6:$N$205,C908)))*(A908-6*C908)/6))</f>
        <v>0.0223444463059503</v>
      </c>
      <c r="K908" s="12" t="n">
        <f aca="false">J908^(-1/B908)-1</f>
        <v>0.0517528025</v>
      </c>
      <c r="L908" s="12" t="n">
        <f aca="false">(1+K908)^(1/12)-1</f>
        <v>0.00421369509431369</v>
      </c>
    </row>
    <row r="909" customFormat="false" ht="15" hidden="false" customHeight="false" outlineLevel="0" collapsed="false">
      <c r="A909" s="4" t="n">
        <v>905</v>
      </c>
      <c r="B909" s="14" t="n">
        <f aca="false">A909/12</f>
        <v>75.4166666666667</v>
      </c>
      <c r="C909" s="15" t="n">
        <f aca="false">INT(A909/6)</f>
        <v>150</v>
      </c>
      <c r="D909" s="16" t="n">
        <f aca="false">IF(C909=0,(1+Dic2023!$G$6)^(-B909),EXP(LN(INDEX(Dic2023!$H$6:$H$205,C909))+(LN(INDEX(Dic2023!$H$6:$H$205,MIN(C909+1,200)))-LN(INDEX(Dic2023!$H$6:$H$205,C909)))*(A909-6*C909)/6))</f>
        <v>0.0222506886881798</v>
      </c>
      <c r="E909" s="12" t="n">
        <f aca="false">D909^(-1/B909)-1</f>
        <v>0.0517528025</v>
      </c>
      <c r="F909" s="12" t="n">
        <f aca="false">(1+E909)^(1/12)-1</f>
        <v>0.00421369509431369</v>
      </c>
      <c r="G909" s="16" t="n">
        <f aca="false">IF(C909=0,(1+Dic2023!$J$6)^(-B909),EXP(LN(INDEX(Dic2023!$K$6:$K$205,C909))+(LN(INDEX(Dic2023!$K$6:$K$205,MIN(C909+1,200)))-LN(INDEX(Dic2023!$K$6:$K$205,C909)))*(A909-6*C909)/6))</f>
        <v>0.0222506886881798</v>
      </c>
      <c r="H909" s="12" t="n">
        <f aca="false">G909^(-1/B909)-1</f>
        <v>0.0517528025</v>
      </c>
      <c r="I909" s="12" t="n">
        <f aca="false">(1+H909)^(1/12)-1</f>
        <v>0.00421369509431369</v>
      </c>
      <c r="J909" s="16" t="n">
        <f aca="false">IF(C909=0,(1+Dic2023!$M$6)^(-B909),EXP(LN(INDEX(Dic2023!$N$6:$N$205,C909))+(LN(INDEX(Dic2023!$N$6:$N$205,MIN(C909+1,200)))-LN(INDEX(Dic2023!$N$6:$N$205,C909)))*(A909-6*C909)/6))</f>
        <v>0.0222506886881798</v>
      </c>
      <c r="K909" s="12" t="n">
        <f aca="false">J909^(-1/B909)-1</f>
        <v>0.0517528025</v>
      </c>
      <c r="L909" s="12" t="n">
        <f aca="false">(1+K909)^(1/12)-1</f>
        <v>0.00421369509431369</v>
      </c>
    </row>
    <row r="910" customFormat="false" ht="15" hidden="false" customHeight="false" outlineLevel="0" collapsed="false">
      <c r="A910" s="4" t="n">
        <v>906</v>
      </c>
      <c r="B910" s="14" t="n">
        <f aca="false">A910/12</f>
        <v>75.5</v>
      </c>
      <c r="C910" s="15" t="n">
        <f aca="false">INT(A910/6)</f>
        <v>151</v>
      </c>
      <c r="D910" s="16" t="n">
        <f aca="false">IF(C910=0,(1+Dic2023!$G$6)^(-B910),EXP(LN(INDEX(Dic2023!$H$6:$H$205,C910))+(LN(INDEX(Dic2023!$H$6:$H$205,MIN(C910+1,200)))-LN(INDEX(Dic2023!$H$6:$H$205,C910)))*(A910-6*C910)/6))</f>
        <v>0.0221573244787207</v>
      </c>
      <c r="E910" s="12" t="n">
        <f aca="false">D910^(-1/B910)-1</f>
        <v>0.0517528025</v>
      </c>
      <c r="F910" s="12" t="n">
        <f aca="false">(1+E910)^(1/12)-1</f>
        <v>0.00421369509431369</v>
      </c>
      <c r="G910" s="16" t="n">
        <f aca="false">IF(C910=0,(1+Dic2023!$J$6)^(-B910),EXP(LN(INDEX(Dic2023!$K$6:$K$205,C910))+(LN(INDEX(Dic2023!$K$6:$K$205,MIN(C910+1,200)))-LN(INDEX(Dic2023!$K$6:$K$205,C910)))*(A910-6*C910)/6))</f>
        <v>0.0221573244787207</v>
      </c>
      <c r="H910" s="12" t="n">
        <f aca="false">G910^(-1/B910)-1</f>
        <v>0.0517528025</v>
      </c>
      <c r="I910" s="12" t="n">
        <f aca="false">(1+H910)^(1/12)-1</f>
        <v>0.00421369509431369</v>
      </c>
      <c r="J910" s="16" t="n">
        <f aca="false">IF(C910=0,(1+Dic2023!$M$6)^(-B910),EXP(LN(INDEX(Dic2023!$N$6:$N$205,C910))+(LN(INDEX(Dic2023!$N$6:$N$205,MIN(C910+1,200)))-LN(INDEX(Dic2023!$N$6:$N$205,C910)))*(A910-6*C910)/6))</f>
        <v>0.0221573244787207</v>
      </c>
      <c r="K910" s="12" t="n">
        <f aca="false">J910^(-1/B910)-1</f>
        <v>0.0517528025</v>
      </c>
      <c r="L910" s="12" t="n">
        <f aca="false">(1+K910)^(1/12)-1</f>
        <v>0.00421369509431369</v>
      </c>
    </row>
    <row r="911" customFormat="false" ht="15" hidden="false" customHeight="false" outlineLevel="0" collapsed="false">
      <c r="A911" s="4" t="n">
        <v>907</v>
      </c>
      <c r="B911" s="14" t="n">
        <f aca="false">A911/12</f>
        <v>75.5833333333333</v>
      </c>
      <c r="C911" s="15" t="n">
        <f aca="false">INT(A911/6)</f>
        <v>151</v>
      </c>
      <c r="D911" s="16" t="n">
        <f aca="false">IF(C911=0,(1+Dic2023!$G$6)^(-B911),EXP(LN(INDEX(Dic2023!$H$6:$H$205,C911))+(LN(INDEX(Dic2023!$H$6:$H$205,MIN(C911+1,200)))-LN(INDEX(Dic2023!$H$6:$H$205,C911)))*(A911-6*C911)/6))</f>
        <v>0.0220643520268261</v>
      </c>
      <c r="E911" s="12" t="n">
        <f aca="false">D911^(-1/B911)-1</f>
        <v>0.0517528025</v>
      </c>
      <c r="F911" s="12" t="n">
        <f aca="false">(1+E911)^(1/12)-1</f>
        <v>0.00421369509431369</v>
      </c>
      <c r="G911" s="16" t="n">
        <f aca="false">IF(C911=0,(1+Dic2023!$J$6)^(-B911),EXP(LN(INDEX(Dic2023!$K$6:$K$205,C911))+(LN(INDEX(Dic2023!$K$6:$K$205,MIN(C911+1,200)))-LN(INDEX(Dic2023!$K$6:$K$205,C911)))*(A911-6*C911)/6))</f>
        <v>0.0220643520268261</v>
      </c>
      <c r="H911" s="12" t="n">
        <f aca="false">G911^(-1/B911)-1</f>
        <v>0.0517528025</v>
      </c>
      <c r="I911" s="12" t="n">
        <f aca="false">(1+H911)^(1/12)-1</f>
        <v>0.00421369509431369</v>
      </c>
      <c r="J911" s="16" t="n">
        <f aca="false">IF(C911=0,(1+Dic2023!$M$6)^(-B911),EXP(LN(INDEX(Dic2023!$N$6:$N$205,C911))+(LN(INDEX(Dic2023!$N$6:$N$205,MIN(C911+1,200)))-LN(INDEX(Dic2023!$N$6:$N$205,C911)))*(A911-6*C911)/6))</f>
        <v>0.0220643520268261</v>
      </c>
      <c r="K911" s="12" t="n">
        <f aca="false">J911^(-1/B911)-1</f>
        <v>0.0517528025</v>
      </c>
      <c r="L911" s="12" t="n">
        <f aca="false">(1+K911)^(1/12)-1</f>
        <v>0.00421369509431369</v>
      </c>
    </row>
    <row r="912" customFormat="false" ht="15" hidden="false" customHeight="false" outlineLevel="0" collapsed="false">
      <c r="A912" s="4" t="n">
        <v>908</v>
      </c>
      <c r="B912" s="14" t="n">
        <f aca="false">A912/12</f>
        <v>75.6666666666667</v>
      </c>
      <c r="C912" s="15" t="n">
        <f aca="false">INT(A912/6)</f>
        <v>151</v>
      </c>
      <c r="D912" s="16" t="n">
        <f aca="false">IF(C912=0,(1+Dic2023!$G$6)^(-B912),EXP(LN(INDEX(Dic2023!$H$6:$H$205,C912))+(LN(INDEX(Dic2023!$H$6:$H$205,MIN(C912+1,200)))-LN(INDEX(Dic2023!$H$6:$H$205,C912)))*(A912-6*C912)/6))</f>
        <v>0.0219717696886755</v>
      </c>
      <c r="E912" s="12" t="n">
        <f aca="false">D912^(-1/B912)-1</f>
        <v>0.0517528025</v>
      </c>
      <c r="F912" s="12" t="n">
        <f aca="false">(1+E912)^(1/12)-1</f>
        <v>0.00421369509431369</v>
      </c>
      <c r="G912" s="16" t="n">
        <f aca="false">IF(C912=0,(1+Dic2023!$J$6)^(-B912),EXP(LN(INDEX(Dic2023!$K$6:$K$205,C912))+(LN(INDEX(Dic2023!$K$6:$K$205,MIN(C912+1,200)))-LN(INDEX(Dic2023!$K$6:$K$205,C912)))*(A912-6*C912)/6))</f>
        <v>0.0219717696886755</v>
      </c>
      <c r="H912" s="12" t="n">
        <f aca="false">G912^(-1/B912)-1</f>
        <v>0.0517528025</v>
      </c>
      <c r="I912" s="12" t="n">
        <f aca="false">(1+H912)^(1/12)-1</f>
        <v>0.00421369509431369</v>
      </c>
      <c r="J912" s="16" t="n">
        <f aca="false">IF(C912=0,(1+Dic2023!$M$6)^(-B912),EXP(LN(INDEX(Dic2023!$N$6:$N$205,C912))+(LN(INDEX(Dic2023!$N$6:$N$205,MIN(C912+1,200)))-LN(INDEX(Dic2023!$N$6:$N$205,C912)))*(A912-6*C912)/6))</f>
        <v>0.0219717696886755</v>
      </c>
      <c r="K912" s="12" t="n">
        <f aca="false">J912^(-1/B912)-1</f>
        <v>0.0517528025</v>
      </c>
      <c r="L912" s="12" t="n">
        <f aca="false">(1+K912)^(1/12)-1</f>
        <v>0.00421369509431369</v>
      </c>
    </row>
    <row r="913" customFormat="false" ht="15" hidden="false" customHeight="false" outlineLevel="0" collapsed="false">
      <c r="A913" s="4" t="n">
        <v>909</v>
      </c>
      <c r="B913" s="14" t="n">
        <f aca="false">A913/12</f>
        <v>75.75</v>
      </c>
      <c r="C913" s="15" t="n">
        <f aca="false">INT(A913/6)</f>
        <v>151</v>
      </c>
      <c r="D913" s="16" t="n">
        <f aca="false">IF(C913=0,(1+Dic2023!$G$6)^(-B913),EXP(LN(INDEX(Dic2023!$H$6:$H$205,C913))+(LN(INDEX(Dic2023!$H$6:$H$205,MIN(C913+1,200)))-LN(INDEX(Dic2023!$H$6:$H$205,C913)))*(A913-6*C913)/6))</f>
        <v>0.0218795758273462</v>
      </c>
      <c r="E913" s="12" t="n">
        <f aca="false">D913^(-1/B913)-1</f>
        <v>0.0517528025</v>
      </c>
      <c r="F913" s="12" t="n">
        <f aca="false">(1+E913)^(1/12)-1</f>
        <v>0.00421369509431369</v>
      </c>
      <c r="G913" s="16" t="n">
        <f aca="false">IF(C913=0,(1+Dic2023!$J$6)^(-B913),EXP(LN(INDEX(Dic2023!$K$6:$K$205,C913))+(LN(INDEX(Dic2023!$K$6:$K$205,MIN(C913+1,200)))-LN(INDEX(Dic2023!$K$6:$K$205,C913)))*(A913-6*C913)/6))</f>
        <v>0.0218795758273462</v>
      </c>
      <c r="H913" s="12" t="n">
        <f aca="false">G913^(-1/B913)-1</f>
        <v>0.0517528025</v>
      </c>
      <c r="I913" s="12" t="n">
        <f aca="false">(1+H913)^(1/12)-1</f>
        <v>0.00421369509431369</v>
      </c>
      <c r="J913" s="16" t="n">
        <f aca="false">IF(C913=0,(1+Dic2023!$M$6)^(-B913),EXP(LN(INDEX(Dic2023!$N$6:$N$205,C913))+(LN(INDEX(Dic2023!$N$6:$N$205,MIN(C913+1,200)))-LN(INDEX(Dic2023!$N$6:$N$205,C913)))*(A913-6*C913)/6))</f>
        <v>0.0218795758273462</v>
      </c>
      <c r="K913" s="12" t="n">
        <f aca="false">J913^(-1/B913)-1</f>
        <v>0.0517528025</v>
      </c>
      <c r="L913" s="12" t="n">
        <f aca="false">(1+K913)^(1/12)-1</f>
        <v>0.00421369509431369</v>
      </c>
    </row>
    <row r="914" customFormat="false" ht="15" hidden="false" customHeight="false" outlineLevel="0" collapsed="false">
      <c r="A914" s="4" t="n">
        <v>910</v>
      </c>
      <c r="B914" s="14" t="n">
        <f aca="false">A914/12</f>
        <v>75.8333333333333</v>
      </c>
      <c r="C914" s="15" t="n">
        <f aca="false">INT(A914/6)</f>
        <v>151</v>
      </c>
      <c r="D914" s="16" t="n">
        <f aca="false">IF(C914=0,(1+Dic2023!$G$6)^(-B914),EXP(LN(INDEX(Dic2023!$H$6:$H$205,C914))+(LN(INDEX(Dic2023!$H$6:$H$205,MIN(C914+1,200)))-LN(INDEX(Dic2023!$H$6:$H$205,C914)))*(A914-6*C914)/6))</f>
        <v>0.0217877688127837</v>
      </c>
      <c r="E914" s="12" t="n">
        <f aca="false">D914^(-1/B914)-1</f>
        <v>0.0517528025</v>
      </c>
      <c r="F914" s="12" t="n">
        <f aca="false">(1+E914)^(1/12)-1</f>
        <v>0.00421369509431369</v>
      </c>
      <c r="G914" s="16" t="n">
        <f aca="false">IF(C914=0,(1+Dic2023!$J$6)^(-B914),EXP(LN(INDEX(Dic2023!$K$6:$K$205,C914))+(LN(INDEX(Dic2023!$K$6:$K$205,MIN(C914+1,200)))-LN(INDEX(Dic2023!$K$6:$K$205,C914)))*(A914-6*C914)/6))</f>
        <v>0.0217877688127837</v>
      </c>
      <c r="H914" s="12" t="n">
        <f aca="false">G914^(-1/B914)-1</f>
        <v>0.0517528025</v>
      </c>
      <c r="I914" s="12" t="n">
        <f aca="false">(1+H914)^(1/12)-1</f>
        <v>0.00421369509431369</v>
      </c>
      <c r="J914" s="16" t="n">
        <f aca="false">IF(C914=0,(1+Dic2023!$M$6)^(-B914),EXP(LN(INDEX(Dic2023!$N$6:$N$205,C914))+(LN(INDEX(Dic2023!$N$6:$N$205,MIN(C914+1,200)))-LN(INDEX(Dic2023!$N$6:$N$205,C914)))*(A914-6*C914)/6))</f>
        <v>0.0217877688127837</v>
      </c>
      <c r="K914" s="12" t="n">
        <f aca="false">J914^(-1/B914)-1</f>
        <v>0.0517528025</v>
      </c>
      <c r="L914" s="12" t="n">
        <f aca="false">(1+K914)^(1/12)-1</f>
        <v>0.00421369509431369</v>
      </c>
    </row>
    <row r="915" customFormat="false" ht="15" hidden="false" customHeight="false" outlineLevel="0" collapsed="false">
      <c r="A915" s="4" t="n">
        <v>911</v>
      </c>
      <c r="B915" s="14" t="n">
        <f aca="false">A915/12</f>
        <v>75.9166666666667</v>
      </c>
      <c r="C915" s="15" t="n">
        <f aca="false">INT(A915/6)</f>
        <v>151</v>
      </c>
      <c r="D915" s="16" t="n">
        <f aca="false">IF(C915=0,(1+Dic2023!$G$6)^(-B915),EXP(LN(INDEX(Dic2023!$H$6:$H$205,C915))+(LN(INDEX(Dic2023!$H$6:$H$205,MIN(C915+1,200)))-LN(INDEX(Dic2023!$H$6:$H$205,C915)))*(A915-6*C915)/6))</f>
        <v>0.0216963470217735</v>
      </c>
      <c r="E915" s="12" t="n">
        <f aca="false">D915^(-1/B915)-1</f>
        <v>0.0517528025</v>
      </c>
      <c r="F915" s="12" t="n">
        <f aca="false">(1+E915)^(1/12)-1</f>
        <v>0.00421369509431369</v>
      </c>
      <c r="G915" s="16" t="n">
        <f aca="false">IF(C915=0,(1+Dic2023!$J$6)^(-B915),EXP(LN(INDEX(Dic2023!$K$6:$K$205,C915))+(LN(INDEX(Dic2023!$K$6:$K$205,MIN(C915+1,200)))-LN(INDEX(Dic2023!$K$6:$K$205,C915)))*(A915-6*C915)/6))</f>
        <v>0.0216963470217735</v>
      </c>
      <c r="H915" s="12" t="n">
        <f aca="false">G915^(-1/B915)-1</f>
        <v>0.0517528025</v>
      </c>
      <c r="I915" s="12" t="n">
        <f aca="false">(1+H915)^(1/12)-1</f>
        <v>0.00421369509431369</v>
      </c>
      <c r="J915" s="16" t="n">
        <f aca="false">IF(C915=0,(1+Dic2023!$M$6)^(-B915),EXP(LN(INDEX(Dic2023!$N$6:$N$205,C915))+(LN(INDEX(Dic2023!$N$6:$N$205,MIN(C915+1,200)))-LN(INDEX(Dic2023!$N$6:$N$205,C915)))*(A915-6*C915)/6))</f>
        <v>0.0216963470217735</v>
      </c>
      <c r="K915" s="12" t="n">
        <f aca="false">J915^(-1/B915)-1</f>
        <v>0.0517528025</v>
      </c>
      <c r="L915" s="12" t="n">
        <f aca="false">(1+K915)^(1/12)-1</f>
        <v>0.00421369509431369</v>
      </c>
    </row>
    <row r="916" customFormat="false" ht="15" hidden="false" customHeight="false" outlineLevel="0" collapsed="false">
      <c r="A916" s="4" t="n">
        <v>912</v>
      </c>
      <c r="B916" s="14" t="n">
        <f aca="false">A916/12</f>
        <v>76</v>
      </c>
      <c r="C916" s="15" t="n">
        <f aca="false">INT(A916/6)</f>
        <v>152</v>
      </c>
      <c r="D916" s="16" t="n">
        <f aca="false">IF(C916=0,(1+Dic2023!$G$6)^(-B916),EXP(LN(INDEX(Dic2023!$H$6:$H$205,C916))+(LN(INDEX(Dic2023!$H$6:$H$205,MIN(C916+1,200)))-LN(INDEX(Dic2023!$H$6:$H$205,C916)))*(A916-6*C916)/6))</f>
        <v>0.0216053088379121</v>
      </c>
      <c r="E916" s="12" t="n">
        <f aca="false">D916^(-1/B916)-1</f>
        <v>0.0517528025</v>
      </c>
      <c r="F916" s="12" t="n">
        <f aca="false">(1+E916)^(1/12)-1</f>
        <v>0.00421369509431369</v>
      </c>
      <c r="G916" s="16" t="n">
        <f aca="false">IF(C916=0,(1+Dic2023!$J$6)^(-B916),EXP(LN(INDEX(Dic2023!$K$6:$K$205,C916))+(LN(INDEX(Dic2023!$K$6:$K$205,MIN(C916+1,200)))-LN(INDEX(Dic2023!$K$6:$K$205,C916)))*(A916-6*C916)/6))</f>
        <v>0.0216053088379121</v>
      </c>
      <c r="H916" s="12" t="n">
        <f aca="false">G916^(-1/B916)-1</f>
        <v>0.0517528025</v>
      </c>
      <c r="I916" s="12" t="n">
        <f aca="false">(1+H916)^(1/12)-1</f>
        <v>0.00421369509431369</v>
      </c>
      <c r="J916" s="16" t="n">
        <f aca="false">IF(C916=0,(1+Dic2023!$M$6)^(-B916),EXP(LN(INDEX(Dic2023!$N$6:$N$205,C916))+(LN(INDEX(Dic2023!$N$6:$N$205,MIN(C916+1,200)))-LN(INDEX(Dic2023!$N$6:$N$205,C916)))*(A916-6*C916)/6))</f>
        <v>0.0216053088379121</v>
      </c>
      <c r="K916" s="12" t="n">
        <f aca="false">J916^(-1/B916)-1</f>
        <v>0.0517528025</v>
      </c>
      <c r="L916" s="12" t="n">
        <f aca="false">(1+K916)^(1/12)-1</f>
        <v>0.00421369509431369</v>
      </c>
    </row>
    <row r="917" customFormat="false" ht="15" hidden="false" customHeight="false" outlineLevel="0" collapsed="false">
      <c r="A917" s="4" t="n">
        <v>913</v>
      </c>
      <c r="B917" s="14" t="n">
        <f aca="false">A917/12</f>
        <v>76.0833333333333</v>
      </c>
      <c r="C917" s="15" t="n">
        <f aca="false">INT(A917/6)</f>
        <v>152</v>
      </c>
      <c r="D917" s="16" t="n">
        <f aca="false">IF(C917=0,(1+Dic2023!$G$6)^(-B917),EXP(LN(INDEX(Dic2023!$H$6:$H$205,C917))+(LN(INDEX(Dic2023!$H$6:$H$205,MIN(C917+1,200)))-LN(INDEX(Dic2023!$H$6:$H$205,C917)))*(A917-6*C917)/6))</f>
        <v>0.0215146526515783</v>
      </c>
      <c r="E917" s="12" t="n">
        <f aca="false">D917^(-1/B917)-1</f>
        <v>0.0517528025</v>
      </c>
      <c r="F917" s="12" t="n">
        <f aca="false">(1+E917)^(1/12)-1</f>
        <v>0.00421369509431369</v>
      </c>
      <c r="G917" s="16" t="n">
        <f aca="false">IF(C917=0,(1+Dic2023!$J$6)^(-B917),EXP(LN(INDEX(Dic2023!$K$6:$K$205,C917))+(LN(INDEX(Dic2023!$K$6:$K$205,MIN(C917+1,200)))-LN(INDEX(Dic2023!$K$6:$K$205,C917)))*(A917-6*C917)/6))</f>
        <v>0.0215146526515783</v>
      </c>
      <c r="H917" s="12" t="n">
        <f aca="false">G917^(-1/B917)-1</f>
        <v>0.0517528025</v>
      </c>
      <c r="I917" s="12" t="n">
        <f aca="false">(1+H917)^(1/12)-1</f>
        <v>0.00421369509431369</v>
      </c>
      <c r="J917" s="16" t="n">
        <f aca="false">IF(C917=0,(1+Dic2023!$M$6)^(-B917),EXP(LN(INDEX(Dic2023!$N$6:$N$205,C917))+(LN(INDEX(Dic2023!$N$6:$N$205,MIN(C917+1,200)))-LN(INDEX(Dic2023!$N$6:$N$205,C917)))*(A917-6*C917)/6))</f>
        <v>0.0215146526515783</v>
      </c>
      <c r="K917" s="12" t="n">
        <f aca="false">J917^(-1/B917)-1</f>
        <v>0.0517528025</v>
      </c>
      <c r="L917" s="12" t="n">
        <f aca="false">(1+K917)^(1/12)-1</f>
        <v>0.00421369509431369</v>
      </c>
    </row>
    <row r="918" customFormat="false" ht="15" hidden="false" customHeight="false" outlineLevel="0" collapsed="false">
      <c r="A918" s="4" t="n">
        <v>914</v>
      </c>
      <c r="B918" s="14" t="n">
        <f aca="false">A918/12</f>
        <v>76.1666666666667</v>
      </c>
      <c r="C918" s="15" t="n">
        <f aca="false">INT(A918/6)</f>
        <v>152</v>
      </c>
      <c r="D918" s="16" t="n">
        <f aca="false">IF(C918=0,(1+Dic2023!$G$6)^(-B918),EXP(LN(INDEX(Dic2023!$H$6:$H$205,C918))+(LN(INDEX(Dic2023!$H$6:$H$205,MIN(C918+1,200)))-LN(INDEX(Dic2023!$H$6:$H$205,C918)))*(A918-6*C918)/6))</f>
        <v>0.0214243768599049</v>
      </c>
      <c r="E918" s="12" t="n">
        <f aca="false">D918^(-1/B918)-1</f>
        <v>0.0517528025</v>
      </c>
      <c r="F918" s="12" t="n">
        <f aca="false">(1+E918)^(1/12)-1</f>
        <v>0.00421369509431369</v>
      </c>
      <c r="G918" s="16" t="n">
        <f aca="false">IF(C918=0,(1+Dic2023!$J$6)^(-B918),EXP(LN(INDEX(Dic2023!$K$6:$K$205,C918))+(LN(INDEX(Dic2023!$K$6:$K$205,MIN(C918+1,200)))-LN(INDEX(Dic2023!$K$6:$K$205,C918)))*(A918-6*C918)/6))</f>
        <v>0.0214243768599049</v>
      </c>
      <c r="H918" s="12" t="n">
        <f aca="false">G918^(-1/B918)-1</f>
        <v>0.0517528025</v>
      </c>
      <c r="I918" s="12" t="n">
        <f aca="false">(1+H918)^(1/12)-1</f>
        <v>0.00421369509431369</v>
      </c>
      <c r="J918" s="16" t="n">
        <f aca="false">IF(C918=0,(1+Dic2023!$M$6)^(-B918),EXP(LN(INDEX(Dic2023!$N$6:$N$205,C918))+(LN(INDEX(Dic2023!$N$6:$N$205,MIN(C918+1,200)))-LN(INDEX(Dic2023!$N$6:$N$205,C918)))*(A918-6*C918)/6))</f>
        <v>0.0214243768599049</v>
      </c>
      <c r="K918" s="12" t="n">
        <f aca="false">J918^(-1/B918)-1</f>
        <v>0.0517528025</v>
      </c>
      <c r="L918" s="12" t="n">
        <f aca="false">(1+K918)^(1/12)-1</f>
        <v>0.00421369509431369</v>
      </c>
    </row>
    <row r="919" customFormat="false" ht="15" hidden="false" customHeight="false" outlineLevel="0" collapsed="false">
      <c r="A919" s="4" t="n">
        <v>915</v>
      </c>
      <c r="B919" s="14" t="n">
        <f aca="false">A919/12</f>
        <v>76.25</v>
      </c>
      <c r="C919" s="15" t="n">
        <f aca="false">INT(A919/6)</f>
        <v>152</v>
      </c>
      <c r="D919" s="16" t="n">
        <f aca="false">IF(C919=0,(1+Dic2023!$G$6)^(-B919),EXP(LN(INDEX(Dic2023!$H$6:$H$205,C919))+(LN(INDEX(Dic2023!$H$6:$H$205,MIN(C919+1,200)))-LN(INDEX(Dic2023!$H$6:$H$205,C919)))*(A919-6*C919)/6))</f>
        <v>0.0213344798667507</v>
      </c>
      <c r="E919" s="12" t="n">
        <f aca="false">D919^(-1/B919)-1</f>
        <v>0.0517528025</v>
      </c>
      <c r="F919" s="12" t="n">
        <f aca="false">(1+E919)^(1/12)-1</f>
        <v>0.00421369509431369</v>
      </c>
      <c r="G919" s="16" t="n">
        <f aca="false">IF(C919=0,(1+Dic2023!$J$6)^(-B919),EXP(LN(INDEX(Dic2023!$K$6:$K$205,C919))+(LN(INDEX(Dic2023!$K$6:$K$205,MIN(C919+1,200)))-LN(INDEX(Dic2023!$K$6:$K$205,C919)))*(A919-6*C919)/6))</f>
        <v>0.0213344798667507</v>
      </c>
      <c r="H919" s="12" t="n">
        <f aca="false">G919^(-1/B919)-1</f>
        <v>0.0517528025</v>
      </c>
      <c r="I919" s="12" t="n">
        <f aca="false">(1+H919)^(1/12)-1</f>
        <v>0.00421369509431369</v>
      </c>
      <c r="J919" s="16" t="n">
        <f aca="false">IF(C919=0,(1+Dic2023!$M$6)^(-B919),EXP(LN(INDEX(Dic2023!$N$6:$N$205,C919))+(LN(INDEX(Dic2023!$N$6:$N$205,MIN(C919+1,200)))-LN(INDEX(Dic2023!$N$6:$N$205,C919)))*(A919-6*C919)/6))</f>
        <v>0.0213344798667507</v>
      </c>
      <c r="K919" s="12" t="n">
        <f aca="false">J919^(-1/B919)-1</f>
        <v>0.0517528025</v>
      </c>
      <c r="L919" s="12" t="n">
        <f aca="false">(1+K919)^(1/12)-1</f>
        <v>0.00421369509431369</v>
      </c>
    </row>
    <row r="920" customFormat="false" ht="15" hidden="false" customHeight="false" outlineLevel="0" collapsed="false">
      <c r="A920" s="4" t="n">
        <v>916</v>
      </c>
      <c r="B920" s="14" t="n">
        <f aca="false">A920/12</f>
        <v>76.3333333333333</v>
      </c>
      <c r="C920" s="15" t="n">
        <f aca="false">INT(A920/6)</f>
        <v>152</v>
      </c>
      <c r="D920" s="16" t="n">
        <f aca="false">IF(C920=0,(1+Dic2023!$G$6)^(-B920),EXP(LN(INDEX(Dic2023!$H$6:$H$205,C920))+(LN(INDEX(Dic2023!$H$6:$H$205,MIN(C920+1,200)))-LN(INDEX(Dic2023!$H$6:$H$205,C920)))*(A920-6*C920)/6))</f>
        <v>0.0212449600826714</v>
      </c>
      <c r="E920" s="12" t="n">
        <f aca="false">D920^(-1/B920)-1</f>
        <v>0.0517528025</v>
      </c>
      <c r="F920" s="12" t="n">
        <f aca="false">(1+E920)^(1/12)-1</f>
        <v>0.00421369509431369</v>
      </c>
      <c r="G920" s="16" t="n">
        <f aca="false">IF(C920=0,(1+Dic2023!$J$6)^(-B920),EXP(LN(INDEX(Dic2023!$K$6:$K$205,C920))+(LN(INDEX(Dic2023!$K$6:$K$205,MIN(C920+1,200)))-LN(INDEX(Dic2023!$K$6:$K$205,C920)))*(A920-6*C920)/6))</f>
        <v>0.0212449600826714</v>
      </c>
      <c r="H920" s="12" t="n">
        <f aca="false">G920^(-1/B920)-1</f>
        <v>0.0517528025</v>
      </c>
      <c r="I920" s="12" t="n">
        <f aca="false">(1+H920)^(1/12)-1</f>
        <v>0.00421369509431369</v>
      </c>
      <c r="J920" s="16" t="n">
        <f aca="false">IF(C920=0,(1+Dic2023!$M$6)^(-B920),EXP(LN(INDEX(Dic2023!$N$6:$N$205,C920))+(LN(INDEX(Dic2023!$N$6:$N$205,MIN(C920+1,200)))-LN(INDEX(Dic2023!$N$6:$N$205,C920)))*(A920-6*C920)/6))</f>
        <v>0.0212449600826714</v>
      </c>
      <c r="K920" s="12" t="n">
        <f aca="false">J920^(-1/B920)-1</f>
        <v>0.0517528025</v>
      </c>
      <c r="L920" s="12" t="n">
        <f aca="false">(1+K920)^(1/12)-1</f>
        <v>0.00421369509431369</v>
      </c>
    </row>
    <row r="921" customFormat="false" ht="15" hidden="false" customHeight="false" outlineLevel="0" collapsed="false">
      <c r="A921" s="4" t="n">
        <v>917</v>
      </c>
      <c r="B921" s="14" t="n">
        <f aca="false">A921/12</f>
        <v>76.4166666666667</v>
      </c>
      <c r="C921" s="15" t="n">
        <f aca="false">INT(A921/6)</f>
        <v>152</v>
      </c>
      <c r="D921" s="16" t="n">
        <f aca="false">IF(C921=0,(1+Dic2023!$G$6)^(-B921),EXP(LN(INDEX(Dic2023!$H$6:$H$205,C921))+(LN(INDEX(Dic2023!$H$6:$H$205,MIN(C921+1,200)))-LN(INDEX(Dic2023!$H$6:$H$205,C921)))*(A921-6*C921)/6))</f>
        <v>0.0211558159248925</v>
      </c>
      <c r="E921" s="12" t="n">
        <f aca="false">D921^(-1/B921)-1</f>
        <v>0.0517528025</v>
      </c>
      <c r="F921" s="12" t="n">
        <f aca="false">(1+E921)^(1/12)-1</f>
        <v>0.00421369509431369</v>
      </c>
      <c r="G921" s="16" t="n">
        <f aca="false">IF(C921=0,(1+Dic2023!$J$6)^(-B921),EXP(LN(INDEX(Dic2023!$K$6:$K$205,C921))+(LN(INDEX(Dic2023!$K$6:$K$205,MIN(C921+1,200)))-LN(INDEX(Dic2023!$K$6:$K$205,C921)))*(A921-6*C921)/6))</f>
        <v>0.0211558159248925</v>
      </c>
      <c r="H921" s="12" t="n">
        <f aca="false">G921^(-1/B921)-1</f>
        <v>0.0517528025</v>
      </c>
      <c r="I921" s="12" t="n">
        <f aca="false">(1+H921)^(1/12)-1</f>
        <v>0.00421369509431369</v>
      </c>
      <c r="J921" s="16" t="n">
        <f aca="false">IF(C921=0,(1+Dic2023!$M$6)^(-B921),EXP(LN(INDEX(Dic2023!$N$6:$N$205,C921))+(LN(INDEX(Dic2023!$N$6:$N$205,MIN(C921+1,200)))-LN(INDEX(Dic2023!$N$6:$N$205,C921)))*(A921-6*C921)/6))</f>
        <v>0.0211558159248925</v>
      </c>
      <c r="K921" s="12" t="n">
        <f aca="false">J921^(-1/B921)-1</f>
        <v>0.0517528025</v>
      </c>
      <c r="L921" s="12" t="n">
        <f aca="false">(1+K921)^(1/12)-1</f>
        <v>0.00421369509431369</v>
      </c>
    </row>
    <row r="922" customFormat="false" ht="15" hidden="false" customHeight="false" outlineLevel="0" collapsed="false">
      <c r="A922" s="4" t="n">
        <v>918</v>
      </c>
      <c r="B922" s="14" t="n">
        <f aca="false">A922/12</f>
        <v>76.5</v>
      </c>
      <c r="C922" s="15" t="n">
        <f aca="false">INT(A922/6)</f>
        <v>153</v>
      </c>
      <c r="D922" s="16" t="n">
        <f aca="false">IF(C922=0,(1+Dic2023!$G$6)^(-B922),EXP(LN(INDEX(Dic2023!$H$6:$H$205,C922))+(LN(INDEX(Dic2023!$H$6:$H$205,MIN(C922+1,200)))-LN(INDEX(Dic2023!$H$6:$H$205,C922)))*(A922-6*C922)/6))</f>
        <v>0.0210670458172806</v>
      </c>
      <c r="E922" s="12" t="n">
        <f aca="false">D922^(-1/B922)-1</f>
        <v>0.0517528025</v>
      </c>
      <c r="F922" s="12" t="n">
        <f aca="false">(1+E922)^(1/12)-1</f>
        <v>0.00421369509431369</v>
      </c>
      <c r="G922" s="16" t="n">
        <f aca="false">IF(C922=0,(1+Dic2023!$J$6)^(-B922),EXP(LN(INDEX(Dic2023!$K$6:$K$205,C922))+(LN(INDEX(Dic2023!$K$6:$K$205,MIN(C922+1,200)))-LN(INDEX(Dic2023!$K$6:$K$205,C922)))*(A922-6*C922)/6))</f>
        <v>0.0210670458172806</v>
      </c>
      <c r="H922" s="12" t="n">
        <f aca="false">G922^(-1/B922)-1</f>
        <v>0.0517528025</v>
      </c>
      <c r="I922" s="12" t="n">
        <f aca="false">(1+H922)^(1/12)-1</f>
        <v>0.00421369509431369</v>
      </c>
      <c r="J922" s="16" t="n">
        <f aca="false">IF(C922=0,(1+Dic2023!$M$6)^(-B922),EXP(LN(INDEX(Dic2023!$N$6:$N$205,C922))+(LN(INDEX(Dic2023!$N$6:$N$205,MIN(C922+1,200)))-LN(INDEX(Dic2023!$N$6:$N$205,C922)))*(A922-6*C922)/6))</f>
        <v>0.0210670458172806</v>
      </c>
      <c r="K922" s="12" t="n">
        <f aca="false">J922^(-1/B922)-1</f>
        <v>0.0517528025</v>
      </c>
      <c r="L922" s="12" t="n">
        <f aca="false">(1+K922)^(1/12)-1</f>
        <v>0.00421369509431369</v>
      </c>
    </row>
    <row r="923" customFormat="false" ht="15" hidden="false" customHeight="false" outlineLevel="0" collapsed="false">
      <c r="A923" s="4" t="n">
        <v>919</v>
      </c>
      <c r="B923" s="14" t="n">
        <f aca="false">A923/12</f>
        <v>76.5833333333333</v>
      </c>
      <c r="C923" s="15" t="n">
        <f aca="false">INT(A923/6)</f>
        <v>153</v>
      </c>
      <c r="D923" s="16" t="n">
        <f aca="false">IF(C923=0,(1+Dic2023!$G$6)^(-B923),EXP(LN(INDEX(Dic2023!$H$6:$H$205,C923))+(LN(INDEX(Dic2023!$H$6:$H$205,MIN(C923+1,200)))-LN(INDEX(Dic2023!$H$6:$H$205,C923)))*(A923-6*C923)/6))</f>
        <v>0.0209786481903157</v>
      </c>
      <c r="E923" s="12" t="n">
        <f aca="false">D923^(-1/B923)-1</f>
        <v>0.0517528025</v>
      </c>
      <c r="F923" s="12" t="n">
        <f aca="false">(1+E923)^(1/12)-1</f>
        <v>0.00421369509431369</v>
      </c>
      <c r="G923" s="16" t="n">
        <f aca="false">IF(C923=0,(1+Dic2023!$J$6)^(-B923),EXP(LN(INDEX(Dic2023!$K$6:$K$205,C923))+(LN(INDEX(Dic2023!$K$6:$K$205,MIN(C923+1,200)))-LN(INDEX(Dic2023!$K$6:$K$205,C923)))*(A923-6*C923)/6))</f>
        <v>0.0209786481903157</v>
      </c>
      <c r="H923" s="12" t="n">
        <f aca="false">G923^(-1/B923)-1</f>
        <v>0.0517528025</v>
      </c>
      <c r="I923" s="12" t="n">
        <f aca="false">(1+H923)^(1/12)-1</f>
        <v>0.00421369509431369</v>
      </c>
      <c r="J923" s="16" t="n">
        <f aca="false">IF(C923=0,(1+Dic2023!$M$6)^(-B923),EXP(LN(INDEX(Dic2023!$N$6:$N$205,C923))+(LN(INDEX(Dic2023!$N$6:$N$205,MIN(C923+1,200)))-LN(INDEX(Dic2023!$N$6:$N$205,C923)))*(A923-6*C923)/6))</f>
        <v>0.0209786481903157</v>
      </c>
      <c r="K923" s="12" t="n">
        <f aca="false">J923^(-1/B923)-1</f>
        <v>0.0517528025</v>
      </c>
      <c r="L923" s="12" t="n">
        <f aca="false">(1+K923)^(1/12)-1</f>
        <v>0.00421369509431369</v>
      </c>
    </row>
    <row r="924" customFormat="false" ht="15" hidden="false" customHeight="false" outlineLevel="0" collapsed="false">
      <c r="A924" s="4" t="n">
        <v>920</v>
      </c>
      <c r="B924" s="14" t="n">
        <f aca="false">A924/12</f>
        <v>76.6666666666667</v>
      </c>
      <c r="C924" s="15" t="n">
        <f aca="false">INT(A924/6)</f>
        <v>153</v>
      </c>
      <c r="D924" s="16" t="n">
        <f aca="false">IF(C924=0,(1+Dic2023!$G$6)^(-B924),EXP(LN(INDEX(Dic2023!$H$6:$H$205,C924))+(LN(INDEX(Dic2023!$H$6:$H$205,MIN(C924+1,200)))-LN(INDEX(Dic2023!$H$6:$H$205,C924)))*(A924-6*C924)/6))</f>
        <v>0.0208906214810638</v>
      </c>
      <c r="E924" s="12" t="n">
        <f aca="false">D924^(-1/B924)-1</f>
        <v>0.0517528025</v>
      </c>
      <c r="F924" s="12" t="n">
        <f aca="false">(1+E924)^(1/12)-1</f>
        <v>0.00421369509431369</v>
      </c>
      <c r="G924" s="16" t="n">
        <f aca="false">IF(C924=0,(1+Dic2023!$J$6)^(-B924),EXP(LN(INDEX(Dic2023!$K$6:$K$205,C924))+(LN(INDEX(Dic2023!$K$6:$K$205,MIN(C924+1,200)))-LN(INDEX(Dic2023!$K$6:$K$205,C924)))*(A924-6*C924)/6))</f>
        <v>0.0208906214810638</v>
      </c>
      <c r="H924" s="12" t="n">
        <f aca="false">G924^(-1/B924)-1</f>
        <v>0.0517528025</v>
      </c>
      <c r="I924" s="12" t="n">
        <f aca="false">(1+H924)^(1/12)-1</f>
        <v>0.00421369509431369</v>
      </c>
      <c r="J924" s="16" t="n">
        <f aca="false">IF(C924=0,(1+Dic2023!$M$6)^(-B924),EXP(LN(INDEX(Dic2023!$N$6:$N$205,C924))+(LN(INDEX(Dic2023!$N$6:$N$205,MIN(C924+1,200)))-LN(INDEX(Dic2023!$N$6:$N$205,C924)))*(A924-6*C924)/6))</f>
        <v>0.0208906214810638</v>
      </c>
      <c r="K924" s="12" t="n">
        <f aca="false">J924^(-1/B924)-1</f>
        <v>0.0517528025</v>
      </c>
      <c r="L924" s="12" t="n">
        <f aca="false">(1+K924)^(1/12)-1</f>
        <v>0.00421369509431369</v>
      </c>
    </row>
    <row r="925" customFormat="false" ht="15" hidden="false" customHeight="false" outlineLevel="0" collapsed="false">
      <c r="A925" s="4" t="n">
        <v>921</v>
      </c>
      <c r="B925" s="14" t="n">
        <f aca="false">A925/12</f>
        <v>76.75</v>
      </c>
      <c r="C925" s="15" t="n">
        <f aca="false">INT(A925/6)</f>
        <v>153</v>
      </c>
      <c r="D925" s="16" t="n">
        <f aca="false">IF(C925=0,(1+Dic2023!$G$6)^(-B925),EXP(LN(INDEX(Dic2023!$H$6:$H$205,C925))+(LN(INDEX(Dic2023!$H$6:$H$205,MIN(C925+1,200)))-LN(INDEX(Dic2023!$H$6:$H$205,C925)))*(A925-6*C925)/6))</f>
        <v>0.0208029641331487</v>
      </c>
      <c r="E925" s="12" t="n">
        <f aca="false">D925^(-1/B925)-1</f>
        <v>0.0517528025</v>
      </c>
      <c r="F925" s="12" t="n">
        <f aca="false">(1+E925)^(1/12)-1</f>
        <v>0.00421369509431369</v>
      </c>
      <c r="G925" s="16" t="n">
        <f aca="false">IF(C925=0,(1+Dic2023!$J$6)^(-B925),EXP(LN(INDEX(Dic2023!$K$6:$K$205,C925))+(LN(INDEX(Dic2023!$K$6:$K$205,MIN(C925+1,200)))-LN(INDEX(Dic2023!$K$6:$K$205,C925)))*(A925-6*C925)/6))</f>
        <v>0.0208029641331487</v>
      </c>
      <c r="H925" s="12" t="n">
        <f aca="false">G925^(-1/B925)-1</f>
        <v>0.0517528025</v>
      </c>
      <c r="I925" s="12" t="n">
        <f aca="false">(1+H925)^(1/12)-1</f>
        <v>0.00421369509431369</v>
      </c>
      <c r="J925" s="16" t="n">
        <f aca="false">IF(C925=0,(1+Dic2023!$M$6)^(-B925),EXP(LN(INDEX(Dic2023!$N$6:$N$205,C925))+(LN(INDEX(Dic2023!$N$6:$N$205,MIN(C925+1,200)))-LN(INDEX(Dic2023!$N$6:$N$205,C925)))*(A925-6*C925)/6))</f>
        <v>0.0208029641331487</v>
      </c>
      <c r="K925" s="12" t="n">
        <f aca="false">J925^(-1/B925)-1</f>
        <v>0.0517528025</v>
      </c>
      <c r="L925" s="12" t="n">
        <f aca="false">(1+K925)^(1/12)-1</f>
        <v>0.00421369509431369</v>
      </c>
    </row>
    <row r="926" customFormat="false" ht="15" hidden="false" customHeight="false" outlineLevel="0" collapsed="false">
      <c r="A926" s="4" t="n">
        <v>922</v>
      </c>
      <c r="B926" s="14" t="n">
        <f aca="false">A926/12</f>
        <v>76.8333333333333</v>
      </c>
      <c r="C926" s="15" t="n">
        <f aca="false">INT(A926/6)</f>
        <v>153</v>
      </c>
      <c r="D926" s="16" t="n">
        <f aca="false">IF(C926=0,(1+Dic2023!$G$6)^(-B926),EXP(LN(INDEX(Dic2023!$H$6:$H$205,C926))+(LN(INDEX(Dic2023!$H$6:$H$205,MIN(C926+1,200)))-LN(INDEX(Dic2023!$H$6:$H$205,C926)))*(A926-6*C926)/6))</f>
        <v>0.0207156745967251</v>
      </c>
      <c r="E926" s="12" t="n">
        <f aca="false">D926^(-1/B926)-1</f>
        <v>0.0517528025</v>
      </c>
      <c r="F926" s="12" t="n">
        <f aca="false">(1+E926)^(1/12)-1</f>
        <v>0.00421369509431369</v>
      </c>
      <c r="G926" s="16" t="n">
        <f aca="false">IF(C926=0,(1+Dic2023!$J$6)^(-B926),EXP(LN(INDEX(Dic2023!$K$6:$K$205,C926))+(LN(INDEX(Dic2023!$K$6:$K$205,MIN(C926+1,200)))-LN(INDEX(Dic2023!$K$6:$K$205,C926)))*(A926-6*C926)/6))</f>
        <v>0.0207156745967251</v>
      </c>
      <c r="H926" s="12" t="n">
        <f aca="false">G926^(-1/B926)-1</f>
        <v>0.0517528025</v>
      </c>
      <c r="I926" s="12" t="n">
        <f aca="false">(1+H926)^(1/12)-1</f>
        <v>0.00421369509431369</v>
      </c>
      <c r="J926" s="16" t="n">
        <f aca="false">IF(C926=0,(1+Dic2023!$M$6)^(-B926),EXP(LN(INDEX(Dic2023!$N$6:$N$205,C926))+(LN(INDEX(Dic2023!$N$6:$N$205,MIN(C926+1,200)))-LN(INDEX(Dic2023!$N$6:$N$205,C926)))*(A926-6*C926)/6))</f>
        <v>0.0207156745967251</v>
      </c>
      <c r="K926" s="12" t="n">
        <f aca="false">J926^(-1/B926)-1</f>
        <v>0.0517528025</v>
      </c>
      <c r="L926" s="12" t="n">
        <f aca="false">(1+K926)^(1/12)-1</f>
        <v>0.00421369509431369</v>
      </c>
    </row>
    <row r="927" customFormat="false" ht="15" hidden="false" customHeight="false" outlineLevel="0" collapsed="false">
      <c r="A927" s="4" t="n">
        <v>923</v>
      </c>
      <c r="B927" s="14" t="n">
        <f aca="false">A927/12</f>
        <v>76.9166666666667</v>
      </c>
      <c r="C927" s="15" t="n">
        <f aca="false">INT(A927/6)</f>
        <v>153</v>
      </c>
      <c r="D927" s="16" t="n">
        <f aca="false">IF(C927=0,(1+Dic2023!$G$6)^(-B927),EXP(LN(INDEX(Dic2023!$H$6:$H$205,C927))+(LN(INDEX(Dic2023!$H$6:$H$205,MIN(C927+1,200)))-LN(INDEX(Dic2023!$H$6:$H$205,C927)))*(A927-6*C927)/6))</f>
        <v>0.0206287513284506</v>
      </c>
      <c r="E927" s="12" t="n">
        <f aca="false">D927^(-1/B927)-1</f>
        <v>0.0517528025</v>
      </c>
      <c r="F927" s="12" t="n">
        <f aca="false">(1+E927)^(1/12)-1</f>
        <v>0.00421369509431369</v>
      </c>
      <c r="G927" s="16" t="n">
        <f aca="false">IF(C927=0,(1+Dic2023!$J$6)^(-B927),EXP(LN(INDEX(Dic2023!$K$6:$K$205,C927))+(LN(INDEX(Dic2023!$K$6:$K$205,MIN(C927+1,200)))-LN(INDEX(Dic2023!$K$6:$K$205,C927)))*(A927-6*C927)/6))</f>
        <v>0.0206287513284506</v>
      </c>
      <c r="H927" s="12" t="n">
        <f aca="false">G927^(-1/B927)-1</f>
        <v>0.0517528025</v>
      </c>
      <c r="I927" s="12" t="n">
        <f aca="false">(1+H927)^(1/12)-1</f>
        <v>0.00421369509431369</v>
      </c>
      <c r="J927" s="16" t="n">
        <f aca="false">IF(C927=0,(1+Dic2023!$M$6)^(-B927),EXP(LN(INDEX(Dic2023!$N$6:$N$205,C927))+(LN(INDEX(Dic2023!$N$6:$N$205,MIN(C927+1,200)))-LN(INDEX(Dic2023!$N$6:$N$205,C927)))*(A927-6*C927)/6))</f>
        <v>0.0206287513284506</v>
      </c>
      <c r="K927" s="12" t="n">
        <f aca="false">J927^(-1/B927)-1</f>
        <v>0.0517528025</v>
      </c>
      <c r="L927" s="12" t="n">
        <f aca="false">(1+K927)^(1/12)-1</f>
        <v>0.00421369509431369</v>
      </c>
    </row>
    <row r="928" customFormat="false" ht="15" hidden="false" customHeight="false" outlineLevel="0" collapsed="false">
      <c r="A928" s="4" t="n">
        <v>924</v>
      </c>
      <c r="B928" s="14" t="n">
        <f aca="false">A928/12</f>
        <v>77</v>
      </c>
      <c r="C928" s="15" t="n">
        <f aca="false">INT(A928/6)</f>
        <v>154</v>
      </c>
      <c r="D928" s="16" t="n">
        <f aca="false">IF(C928=0,(1+Dic2023!$G$6)^(-B928),EXP(LN(INDEX(Dic2023!$H$6:$H$205,C928))+(LN(INDEX(Dic2023!$H$6:$H$205,MIN(C928+1,200)))-LN(INDEX(Dic2023!$H$6:$H$205,C928)))*(A928-6*C928)/6))</f>
        <v>0.0205421927914588</v>
      </c>
      <c r="E928" s="12" t="n">
        <f aca="false">D928^(-1/B928)-1</f>
        <v>0.0517528025</v>
      </c>
      <c r="F928" s="12" t="n">
        <f aca="false">(1+E928)^(1/12)-1</f>
        <v>0.00421369509431369</v>
      </c>
      <c r="G928" s="16" t="n">
        <f aca="false">IF(C928=0,(1+Dic2023!$J$6)^(-B928),EXP(LN(INDEX(Dic2023!$K$6:$K$205,C928))+(LN(INDEX(Dic2023!$K$6:$K$205,MIN(C928+1,200)))-LN(INDEX(Dic2023!$K$6:$K$205,C928)))*(A928-6*C928)/6))</f>
        <v>0.0205421927914588</v>
      </c>
      <c r="H928" s="12" t="n">
        <f aca="false">G928^(-1/B928)-1</f>
        <v>0.0517528025</v>
      </c>
      <c r="I928" s="12" t="n">
        <f aca="false">(1+H928)^(1/12)-1</f>
        <v>0.00421369509431369</v>
      </c>
      <c r="J928" s="16" t="n">
        <f aca="false">IF(C928=0,(1+Dic2023!$M$6)^(-B928),EXP(LN(INDEX(Dic2023!$N$6:$N$205,C928))+(LN(INDEX(Dic2023!$N$6:$N$205,MIN(C928+1,200)))-LN(INDEX(Dic2023!$N$6:$N$205,C928)))*(A928-6*C928)/6))</f>
        <v>0.0205421927914588</v>
      </c>
      <c r="K928" s="12" t="n">
        <f aca="false">J928^(-1/B928)-1</f>
        <v>0.0517528025</v>
      </c>
      <c r="L928" s="12" t="n">
        <f aca="false">(1+K928)^(1/12)-1</f>
        <v>0.00421369509431369</v>
      </c>
    </row>
    <row r="929" customFormat="false" ht="15" hidden="false" customHeight="false" outlineLevel="0" collapsed="false">
      <c r="A929" s="4" t="n">
        <v>925</v>
      </c>
      <c r="B929" s="14" t="n">
        <f aca="false">A929/12</f>
        <v>77.0833333333333</v>
      </c>
      <c r="C929" s="15" t="n">
        <f aca="false">INT(A929/6)</f>
        <v>154</v>
      </c>
      <c r="D929" s="16" t="n">
        <f aca="false">IF(C929=0,(1+Dic2023!$G$6)^(-B929),EXP(LN(INDEX(Dic2023!$H$6:$H$205,C929))+(LN(INDEX(Dic2023!$H$6:$H$205,MIN(C929+1,200)))-LN(INDEX(Dic2023!$H$6:$H$205,C929)))*(A929-6*C929)/6))</f>
        <v>0.020455997455332</v>
      </c>
      <c r="E929" s="12" t="n">
        <f aca="false">D929^(-1/B929)-1</f>
        <v>0.0517528025</v>
      </c>
      <c r="F929" s="12" t="n">
        <f aca="false">(1+E929)^(1/12)-1</f>
        <v>0.00421369509431369</v>
      </c>
      <c r="G929" s="16" t="n">
        <f aca="false">IF(C929=0,(1+Dic2023!$J$6)^(-B929),EXP(LN(INDEX(Dic2023!$K$6:$K$205,C929))+(LN(INDEX(Dic2023!$K$6:$K$205,MIN(C929+1,200)))-LN(INDEX(Dic2023!$K$6:$K$205,C929)))*(A929-6*C929)/6))</f>
        <v>0.020455997455332</v>
      </c>
      <c r="H929" s="12" t="n">
        <f aca="false">G929^(-1/B929)-1</f>
        <v>0.0517528025</v>
      </c>
      <c r="I929" s="12" t="n">
        <f aca="false">(1+H929)^(1/12)-1</f>
        <v>0.00421369509431369</v>
      </c>
      <c r="J929" s="16" t="n">
        <f aca="false">IF(C929=0,(1+Dic2023!$M$6)^(-B929),EXP(LN(INDEX(Dic2023!$N$6:$N$205,C929))+(LN(INDEX(Dic2023!$N$6:$N$205,MIN(C929+1,200)))-LN(INDEX(Dic2023!$N$6:$N$205,C929)))*(A929-6*C929)/6))</f>
        <v>0.020455997455332</v>
      </c>
      <c r="K929" s="12" t="n">
        <f aca="false">J929^(-1/B929)-1</f>
        <v>0.0517528025</v>
      </c>
      <c r="L929" s="12" t="n">
        <f aca="false">(1+K929)^(1/12)-1</f>
        <v>0.00421369509431369</v>
      </c>
    </row>
    <row r="930" customFormat="false" ht="15" hidden="false" customHeight="false" outlineLevel="0" collapsed="false">
      <c r="A930" s="4" t="n">
        <v>926</v>
      </c>
      <c r="B930" s="14" t="n">
        <f aca="false">A930/12</f>
        <v>77.1666666666667</v>
      </c>
      <c r="C930" s="15" t="n">
        <f aca="false">INT(A930/6)</f>
        <v>154</v>
      </c>
      <c r="D930" s="16" t="n">
        <f aca="false">IF(C930=0,(1+Dic2023!$G$6)^(-B930),EXP(LN(INDEX(Dic2023!$H$6:$H$205,C930))+(LN(INDEX(Dic2023!$H$6:$H$205,MIN(C930+1,200)))-LN(INDEX(Dic2023!$H$6:$H$205,C930)))*(A930-6*C930)/6))</f>
        <v>0.0203701637960741</v>
      </c>
      <c r="E930" s="12" t="n">
        <f aca="false">D930^(-1/B930)-1</f>
        <v>0.0517528025</v>
      </c>
      <c r="F930" s="12" t="n">
        <f aca="false">(1+E930)^(1/12)-1</f>
        <v>0.00421369509431369</v>
      </c>
      <c r="G930" s="16" t="n">
        <f aca="false">IF(C930=0,(1+Dic2023!$J$6)^(-B930),EXP(LN(INDEX(Dic2023!$K$6:$K$205,C930))+(LN(INDEX(Dic2023!$K$6:$K$205,MIN(C930+1,200)))-LN(INDEX(Dic2023!$K$6:$K$205,C930)))*(A930-6*C930)/6))</f>
        <v>0.0203701637960741</v>
      </c>
      <c r="H930" s="12" t="n">
        <f aca="false">G930^(-1/B930)-1</f>
        <v>0.0517528025</v>
      </c>
      <c r="I930" s="12" t="n">
        <f aca="false">(1+H930)^(1/12)-1</f>
        <v>0.00421369509431369</v>
      </c>
      <c r="J930" s="16" t="n">
        <f aca="false">IF(C930=0,(1+Dic2023!$M$6)^(-B930),EXP(LN(INDEX(Dic2023!$N$6:$N$205,C930))+(LN(INDEX(Dic2023!$N$6:$N$205,MIN(C930+1,200)))-LN(INDEX(Dic2023!$N$6:$N$205,C930)))*(A930-6*C930)/6))</f>
        <v>0.0203701637960741</v>
      </c>
      <c r="K930" s="12" t="n">
        <f aca="false">J930^(-1/B930)-1</f>
        <v>0.0517528025</v>
      </c>
      <c r="L930" s="12" t="n">
        <f aca="false">(1+K930)^(1/12)-1</f>
        <v>0.00421369509431369</v>
      </c>
    </row>
    <row r="931" customFormat="false" ht="15" hidden="false" customHeight="false" outlineLevel="0" collapsed="false">
      <c r="A931" s="4" t="n">
        <v>927</v>
      </c>
      <c r="B931" s="14" t="n">
        <f aca="false">A931/12</f>
        <v>77.25</v>
      </c>
      <c r="C931" s="15" t="n">
        <f aca="false">INT(A931/6)</f>
        <v>154</v>
      </c>
      <c r="D931" s="16" t="n">
        <f aca="false">IF(C931=0,(1+Dic2023!$G$6)^(-B931),EXP(LN(INDEX(Dic2023!$H$6:$H$205,C931))+(LN(INDEX(Dic2023!$H$6:$H$205,MIN(C931+1,200)))-LN(INDEX(Dic2023!$H$6:$H$205,C931)))*(A931-6*C931)/6))</f>
        <v>0.0202846902960838</v>
      </c>
      <c r="E931" s="12" t="n">
        <f aca="false">D931^(-1/B931)-1</f>
        <v>0.0517528025</v>
      </c>
      <c r="F931" s="12" t="n">
        <f aca="false">(1+E931)^(1/12)-1</f>
        <v>0.00421369509431369</v>
      </c>
      <c r="G931" s="16" t="n">
        <f aca="false">IF(C931=0,(1+Dic2023!$J$6)^(-B931),EXP(LN(INDEX(Dic2023!$K$6:$K$205,C931))+(LN(INDEX(Dic2023!$K$6:$K$205,MIN(C931+1,200)))-LN(INDEX(Dic2023!$K$6:$K$205,C931)))*(A931-6*C931)/6))</f>
        <v>0.0202846902960838</v>
      </c>
      <c r="H931" s="12" t="n">
        <f aca="false">G931^(-1/B931)-1</f>
        <v>0.0517528025</v>
      </c>
      <c r="I931" s="12" t="n">
        <f aca="false">(1+H931)^(1/12)-1</f>
        <v>0.00421369509431369</v>
      </c>
      <c r="J931" s="16" t="n">
        <f aca="false">IF(C931=0,(1+Dic2023!$M$6)^(-B931),EXP(LN(INDEX(Dic2023!$N$6:$N$205,C931))+(LN(INDEX(Dic2023!$N$6:$N$205,MIN(C931+1,200)))-LN(INDEX(Dic2023!$N$6:$N$205,C931)))*(A931-6*C931)/6))</f>
        <v>0.0202846902960838</v>
      </c>
      <c r="K931" s="12" t="n">
        <f aca="false">J931^(-1/B931)-1</f>
        <v>0.0517528025</v>
      </c>
      <c r="L931" s="12" t="n">
        <f aca="false">(1+K931)^(1/12)-1</f>
        <v>0.00421369509431369</v>
      </c>
    </row>
    <row r="932" customFormat="false" ht="15" hidden="false" customHeight="false" outlineLevel="0" collapsed="false">
      <c r="A932" s="4" t="n">
        <v>928</v>
      </c>
      <c r="B932" s="14" t="n">
        <f aca="false">A932/12</f>
        <v>77.3333333333333</v>
      </c>
      <c r="C932" s="15" t="n">
        <f aca="false">INT(A932/6)</f>
        <v>154</v>
      </c>
      <c r="D932" s="16" t="n">
        <f aca="false">IF(C932=0,(1+Dic2023!$G$6)^(-B932),EXP(LN(INDEX(Dic2023!$H$6:$H$205,C932))+(LN(INDEX(Dic2023!$H$6:$H$205,MIN(C932+1,200)))-LN(INDEX(Dic2023!$H$6:$H$205,C932)))*(A932-6*C932)/6))</f>
        <v>0.0201995754441277</v>
      </c>
      <c r="E932" s="12" t="n">
        <f aca="false">D932^(-1/B932)-1</f>
        <v>0.0517528025</v>
      </c>
      <c r="F932" s="12" t="n">
        <f aca="false">(1+E932)^(1/12)-1</f>
        <v>0.00421369509431369</v>
      </c>
      <c r="G932" s="16" t="n">
        <f aca="false">IF(C932=0,(1+Dic2023!$J$6)^(-B932),EXP(LN(INDEX(Dic2023!$K$6:$K$205,C932))+(LN(INDEX(Dic2023!$K$6:$K$205,MIN(C932+1,200)))-LN(INDEX(Dic2023!$K$6:$K$205,C932)))*(A932-6*C932)/6))</f>
        <v>0.0201995754441277</v>
      </c>
      <c r="H932" s="12" t="n">
        <f aca="false">G932^(-1/B932)-1</f>
        <v>0.0517528025</v>
      </c>
      <c r="I932" s="12" t="n">
        <f aca="false">(1+H932)^(1/12)-1</f>
        <v>0.00421369509431369</v>
      </c>
      <c r="J932" s="16" t="n">
        <f aca="false">IF(C932=0,(1+Dic2023!$M$6)^(-B932),EXP(LN(INDEX(Dic2023!$N$6:$N$205,C932))+(LN(INDEX(Dic2023!$N$6:$N$205,MIN(C932+1,200)))-LN(INDEX(Dic2023!$N$6:$N$205,C932)))*(A932-6*C932)/6))</f>
        <v>0.0201995754441277</v>
      </c>
      <c r="K932" s="12" t="n">
        <f aca="false">J932^(-1/B932)-1</f>
        <v>0.0517528025</v>
      </c>
      <c r="L932" s="12" t="n">
        <f aca="false">(1+K932)^(1/12)-1</f>
        <v>0.00421369509431369</v>
      </c>
    </row>
    <row r="933" customFormat="false" ht="15" hidden="false" customHeight="false" outlineLevel="0" collapsed="false">
      <c r="A933" s="4" t="n">
        <v>929</v>
      </c>
      <c r="B933" s="14" t="n">
        <f aca="false">A933/12</f>
        <v>77.4166666666667</v>
      </c>
      <c r="C933" s="15" t="n">
        <f aca="false">INT(A933/6)</f>
        <v>154</v>
      </c>
      <c r="D933" s="16" t="n">
        <f aca="false">IF(C933=0,(1+Dic2023!$G$6)^(-B933),EXP(LN(INDEX(Dic2023!$H$6:$H$205,C933))+(LN(INDEX(Dic2023!$H$6:$H$205,MIN(C933+1,200)))-LN(INDEX(Dic2023!$H$6:$H$205,C933)))*(A933-6*C933)/6))</f>
        <v>0.0201148177353134</v>
      </c>
      <c r="E933" s="12" t="n">
        <f aca="false">D933^(-1/B933)-1</f>
        <v>0.0517528025</v>
      </c>
      <c r="F933" s="12" t="n">
        <f aca="false">(1+E933)^(1/12)-1</f>
        <v>0.00421369509431369</v>
      </c>
      <c r="G933" s="16" t="n">
        <f aca="false">IF(C933=0,(1+Dic2023!$J$6)^(-B933),EXP(LN(INDEX(Dic2023!$K$6:$K$205,C933))+(LN(INDEX(Dic2023!$K$6:$K$205,MIN(C933+1,200)))-LN(INDEX(Dic2023!$K$6:$K$205,C933)))*(A933-6*C933)/6))</f>
        <v>0.0201148177353134</v>
      </c>
      <c r="H933" s="12" t="n">
        <f aca="false">G933^(-1/B933)-1</f>
        <v>0.0517528025</v>
      </c>
      <c r="I933" s="12" t="n">
        <f aca="false">(1+H933)^(1/12)-1</f>
        <v>0.00421369509431369</v>
      </c>
      <c r="J933" s="16" t="n">
        <f aca="false">IF(C933=0,(1+Dic2023!$M$6)^(-B933),EXP(LN(INDEX(Dic2023!$N$6:$N$205,C933))+(LN(INDEX(Dic2023!$N$6:$N$205,MIN(C933+1,200)))-LN(INDEX(Dic2023!$N$6:$N$205,C933)))*(A933-6*C933)/6))</f>
        <v>0.0201148177353134</v>
      </c>
      <c r="K933" s="12" t="n">
        <f aca="false">J933^(-1/B933)-1</f>
        <v>0.0517528025</v>
      </c>
      <c r="L933" s="12" t="n">
        <f aca="false">(1+K933)^(1/12)-1</f>
        <v>0.00421369509431369</v>
      </c>
    </row>
    <row r="934" customFormat="false" ht="15" hidden="false" customHeight="false" outlineLevel="0" collapsed="false">
      <c r="A934" s="4" t="n">
        <v>930</v>
      </c>
      <c r="B934" s="14" t="n">
        <f aca="false">A934/12</f>
        <v>77.5</v>
      </c>
      <c r="C934" s="15" t="n">
        <f aca="false">INT(A934/6)</f>
        <v>155</v>
      </c>
      <c r="D934" s="16" t="n">
        <f aca="false">IF(C934=0,(1+Dic2023!$G$6)^(-B934),EXP(LN(INDEX(Dic2023!$H$6:$H$205,C934))+(LN(INDEX(Dic2023!$H$6:$H$205,MIN(C934+1,200)))-LN(INDEX(Dic2023!$H$6:$H$205,C934)))*(A934-6*C934)/6))</f>
        <v>0.0200304156710631</v>
      </c>
      <c r="E934" s="12" t="n">
        <f aca="false">D934^(-1/B934)-1</f>
        <v>0.0517528025</v>
      </c>
      <c r="F934" s="12" t="n">
        <f aca="false">(1+E934)^(1/12)-1</f>
        <v>0.00421369509431369</v>
      </c>
      <c r="G934" s="16" t="n">
        <f aca="false">IF(C934=0,(1+Dic2023!$J$6)^(-B934),EXP(LN(INDEX(Dic2023!$K$6:$K$205,C934))+(LN(INDEX(Dic2023!$K$6:$K$205,MIN(C934+1,200)))-LN(INDEX(Dic2023!$K$6:$K$205,C934)))*(A934-6*C934)/6))</f>
        <v>0.0200304156710631</v>
      </c>
      <c r="H934" s="12" t="n">
        <f aca="false">G934^(-1/B934)-1</f>
        <v>0.0517528025</v>
      </c>
      <c r="I934" s="12" t="n">
        <f aca="false">(1+H934)^(1/12)-1</f>
        <v>0.00421369509431369</v>
      </c>
      <c r="J934" s="16" t="n">
        <f aca="false">IF(C934=0,(1+Dic2023!$M$6)^(-B934),EXP(LN(INDEX(Dic2023!$N$6:$N$205,C934))+(LN(INDEX(Dic2023!$N$6:$N$205,MIN(C934+1,200)))-LN(INDEX(Dic2023!$N$6:$N$205,C934)))*(A934-6*C934)/6))</f>
        <v>0.0200304156710631</v>
      </c>
      <c r="K934" s="12" t="n">
        <f aca="false">J934^(-1/B934)-1</f>
        <v>0.0517528025</v>
      </c>
      <c r="L934" s="12" t="n">
        <f aca="false">(1+K934)^(1/12)-1</f>
        <v>0.00421369509431369</v>
      </c>
    </row>
    <row r="935" customFormat="false" ht="15" hidden="false" customHeight="false" outlineLevel="0" collapsed="false">
      <c r="A935" s="4" t="n">
        <v>931</v>
      </c>
      <c r="B935" s="14" t="n">
        <f aca="false">A935/12</f>
        <v>77.5833333333333</v>
      </c>
      <c r="C935" s="15" t="n">
        <f aca="false">INT(A935/6)</f>
        <v>155</v>
      </c>
      <c r="D935" s="16" t="n">
        <f aca="false">IF(C935=0,(1+Dic2023!$G$6)^(-B935),EXP(LN(INDEX(Dic2023!$H$6:$H$205,C935))+(LN(INDEX(Dic2023!$H$6:$H$205,MIN(C935+1,200)))-LN(INDEX(Dic2023!$H$6:$H$205,C935)))*(A935-6*C935)/6))</f>
        <v>0.0199463677590873</v>
      </c>
      <c r="E935" s="12" t="n">
        <f aca="false">D935^(-1/B935)-1</f>
        <v>0.0517528025</v>
      </c>
      <c r="F935" s="12" t="n">
        <f aca="false">(1+E935)^(1/12)-1</f>
        <v>0.00421369509431369</v>
      </c>
      <c r="G935" s="16" t="n">
        <f aca="false">IF(C935=0,(1+Dic2023!$J$6)^(-B935),EXP(LN(INDEX(Dic2023!$K$6:$K$205,C935))+(LN(INDEX(Dic2023!$K$6:$K$205,MIN(C935+1,200)))-LN(INDEX(Dic2023!$K$6:$K$205,C935)))*(A935-6*C935)/6))</f>
        <v>0.0199463677590873</v>
      </c>
      <c r="H935" s="12" t="n">
        <f aca="false">G935^(-1/B935)-1</f>
        <v>0.0517528025</v>
      </c>
      <c r="I935" s="12" t="n">
        <f aca="false">(1+H935)^(1/12)-1</f>
        <v>0.00421369509431369</v>
      </c>
      <c r="J935" s="16" t="n">
        <f aca="false">IF(C935=0,(1+Dic2023!$M$6)^(-B935),EXP(LN(INDEX(Dic2023!$N$6:$N$205,C935))+(LN(INDEX(Dic2023!$N$6:$N$205,MIN(C935+1,200)))-LN(INDEX(Dic2023!$N$6:$N$205,C935)))*(A935-6*C935)/6))</f>
        <v>0.0199463677590873</v>
      </c>
      <c r="K935" s="12" t="n">
        <f aca="false">J935^(-1/B935)-1</f>
        <v>0.0517528025</v>
      </c>
      <c r="L935" s="12" t="n">
        <f aca="false">(1+K935)^(1/12)-1</f>
        <v>0.00421369509431369</v>
      </c>
    </row>
    <row r="936" customFormat="false" ht="15" hidden="false" customHeight="false" outlineLevel="0" collapsed="false">
      <c r="A936" s="4" t="n">
        <v>932</v>
      </c>
      <c r="B936" s="14" t="n">
        <f aca="false">A936/12</f>
        <v>77.6666666666667</v>
      </c>
      <c r="C936" s="15" t="n">
        <f aca="false">INT(A936/6)</f>
        <v>155</v>
      </c>
      <c r="D936" s="16" t="n">
        <f aca="false">IF(C936=0,(1+Dic2023!$G$6)^(-B936),EXP(LN(INDEX(Dic2023!$H$6:$H$205,C936))+(LN(INDEX(Dic2023!$H$6:$H$205,MIN(C936+1,200)))-LN(INDEX(Dic2023!$H$6:$H$205,C936)))*(A936-6*C936)/6))</f>
        <v>0.0198626725133578</v>
      </c>
      <c r="E936" s="12" t="n">
        <f aca="false">D936^(-1/B936)-1</f>
        <v>0.0517528025</v>
      </c>
      <c r="F936" s="12" t="n">
        <f aca="false">(1+E936)^(1/12)-1</f>
        <v>0.00421369509431369</v>
      </c>
      <c r="G936" s="16" t="n">
        <f aca="false">IF(C936=0,(1+Dic2023!$J$6)^(-B936),EXP(LN(INDEX(Dic2023!$K$6:$K$205,C936))+(LN(INDEX(Dic2023!$K$6:$K$205,MIN(C936+1,200)))-LN(INDEX(Dic2023!$K$6:$K$205,C936)))*(A936-6*C936)/6))</f>
        <v>0.0198626725133578</v>
      </c>
      <c r="H936" s="12" t="n">
        <f aca="false">G936^(-1/B936)-1</f>
        <v>0.0517528025</v>
      </c>
      <c r="I936" s="12" t="n">
        <f aca="false">(1+H936)^(1/12)-1</f>
        <v>0.00421369509431369</v>
      </c>
      <c r="J936" s="16" t="n">
        <f aca="false">IF(C936=0,(1+Dic2023!$M$6)^(-B936),EXP(LN(INDEX(Dic2023!$N$6:$N$205,C936))+(LN(INDEX(Dic2023!$N$6:$N$205,MIN(C936+1,200)))-LN(INDEX(Dic2023!$N$6:$N$205,C936)))*(A936-6*C936)/6))</f>
        <v>0.0198626725133578</v>
      </c>
      <c r="K936" s="12" t="n">
        <f aca="false">J936^(-1/B936)-1</f>
        <v>0.0517528025</v>
      </c>
      <c r="L936" s="12" t="n">
        <f aca="false">(1+K936)^(1/12)-1</f>
        <v>0.00421369509431369</v>
      </c>
    </row>
    <row r="937" customFormat="false" ht="15" hidden="false" customHeight="false" outlineLevel="0" collapsed="false">
      <c r="A937" s="4" t="n">
        <v>933</v>
      </c>
      <c r="B937" s="14" t="n">
        <f aca="false">A937/12</f>
        <v>77.75</v>
      </c>
      <c r="C937" s="15" t="n">
        <f aca="false">INT(A937/6)</f>
        <v>155</v>
      </c>
      <c r="D937" s="16" t="n">
        <f aca="false">IF(C937=0,(1+Dic2023!$G$6)^(-B937),EXP(LN(INDEX(Dic2023!$H$6:$H$205,C937))+(LN(INDEX(Dic2023!$H$6:$H$205,MIN(C937+1,200)))-LN(INDEX(Dic2023!$H$6:$H$205,C937)))*(A937-6*C937)/6))</f>
        <v>0.019779328454082</v>
      </c>
      <c r="E937" s="12" t="n">
        <f aca="false">D937^(-1/B937)-1</f>
        <v>0.0517528025</v>
      </c>
      <c r="F937" s="12" t="n">
        <f aca="false">(1+E937)^(1/12)-1</f>
        <v>0.00421369509431369</v>
      </c>
      <c r="G937" s="16" t="n">
        <f aca="false">IF(C937=0,(1+Dic2023!$J$6)^(-B937),EXP(LN(INDEX(Dic2023!$K$6:$K$205,C937))+(LN(INDEX(Dic2023!$K$6:$K$205,MIN(C937+1,200)))-LN(INDEX(Dic2023!$K$6:$K$205,C937)))*(A937-6*C937)/6))</f>
        <v>0.019779328454082</v>
      </c>
      <c r="H937" s="12" t="n">
        <f aca="false">G937^(-1/B937)-1</f>
        <v>0.0517528025</v>
      </c>
      <c r="I937" s="12" t="n">
        <f aca="false">(1+H937)^(1/12)-1</f>
        <v>0.00421369509431369</v>
      </c>
      <c r="J937" s="16" t="n">
        <f aca="false">IF(C937=0,(1+Dic2023!$M$6)^(-B937),EXP(LN(INDEX(Dic2023!$N$6:$N$205,C937))+(LN(INDEX(Dic2023!$N$6:$N$205,MIN(C937+1,200)))-LN(INDEX(Dic2023!$N$6:$N$205,C937)))*(A937-6*C937)/6))</f>
        <v>0.019779328454082</v>
      </c>
      <c r="K937" s="12" t="n">
        <f aca="false">J937^(-1/B937)-1</f>
        <v>0.0517528025</v>
      </c>
      <c r="L937" s="12" t="n">
        <f aca="false">(1+K937)^(1/12)-1</f>
        <v>0.00421369509431369</v>
      </c>
    </row>
    <row r="938" customFormat="false" ht="15" hidden="false" customHeight="false" outlineLevel="0" collapsed="false">
      <c r="A938" s="4" t="n">
        <v>934</v>
      </c>
      <c r="B938" s="14" t="n">
        <f aca="false">A938/12</f>
        <v>77.8333333333333</v>
      </c>
      <c r="C938" s="15" t="n">
        <f aca="false">INT(A938/6)</f>
        <v>155</v>
      </c>
      <c r="D938" s="16" t="n">
        <f aca="false">IF(C938=0,(1+Dic2023!$G$6)^(-B938),EXP(LN(INDEX(Dic2023!$H$6:$H$205,C938))+(LN(INDEX(Dic2023!$H$6:$H$205,MIN(C938+1,200)))-LN(INDEX(Dic2023!$H$6:$H$205,C938)))*(A938-6*C938)/6))</f>
        <v>0.0196963341076765</v>
      </c>
      <c r="E938" s="12" t="n">
        <f aca="false">D938^(-1/B938)-1</f>
        <v>0.0517528025</v>
      </c>
      <c r="F938" s="12" t="n">
        <f aca="false">(1+E938)^(1/12)-1</f>
        <v>0.00421369509431369</v>
      </c>
      <c r="G938" s="16" t="n">
        <f aca="false">IF(C938=0,(1+Dic2023!$J$6)^(-B938),EXP(LN(INDEX(Dic2023!$K$6:$K$205,C938))+(LN(INDEX(Dic2023!$K$6:$K$205,MIN(C938+1,200)))-LN(INDEX(Dic2023!$K$6:$K$205,C938)))*(A938-6*C938)/6))</f>
        <v>0.0196963341076765</v>
      </c>
      <c r="H938" s="12" t="n">
        <f aca="false">G938^(-1/B938)-1</f>
        <v>0.0517528025</v>
      </c>
      <c r="I938" s="12" t="n">
        <f aca="false">(1+H938)^(1/12)-1</f>
        <v>0.00421369509431369</v>
      </c>
      <c r="J938" s="16" t="n">
        <f aca="false">IF(C938=0,(1+Dic2023!$M$6)^(-B938),EXP(LN(INDEX(Dic2023!$N$6:$N$205,C938))+(LN(INDEX(Dic2023!$N$6:$N$205,MIN(C938+1,200)))-LN(INDEX(Dic2023!$N$6:$N$205,C938)))*(A938-6*C938)/6))</f>
        <v>0.0196963341076765</v>
      </c>
      <c r="K938" s="12" t="n">
        <f aca="false">J938^(-1/B938)-1</f>
        <v>0.0517528025</v>
      </c>
      <c r="L938" s="12" t="n">
        <f aca="false">(1+K938)^(1/12)-1</f>
        <v>0.00421369509431369</v>
      </c>
    </row>
    <row r="939" customFormat="false" ht="15" hidden="false" customHeight="false" outlineLevel="0" collapsed="false">
      <c r="A939" s="4" t="n">
        <v>935</v>
      </c>
      <c r="B939" s="14" t="n">
        <f aca="false">A939/12</f>
        <v>77.9166666666667</v>
      </c>
      <c r="C939" s="15" t="n">
        <f aca="false">INT(A939/6)</f>
        <v>155</v>
      </c>
      <c r="D939" s="16" t="n">
        <f aca="false">IF(C939=0,(1+Dic2023!$G$6)^(-B939),EXP(LN(INDEX(Dic2023!$H$6:$H$205,C939))+(LN(INDEX(Dic2023!$H$6:$H$205,MIN(C939+1,200)))-LN(INDEX(Dic2023!$H$6:$H$205,C939)))*(A939-6*C939)/6))</f>
        <v>0.0196136880067411</v>
      </c>
      <c r="E939" s="12" t="n">
        <f aca="false">D939^(-1/B939)-1</f>
        <v>0.0517528025</v>
      </c>
      <c r="F939" s="12" t="n">
        <f aca="false">(1+E939)^(1/12)-1</f>
        <v>0.00421369509431369</v>
      </c>
      <c r="G939" s="16" t="n">
        <f aca="false">IF(C939=0,(1+Dic2023!$J$6)^(-B939),EXP(LN(INDEX(Dic2023!$K$6:$K$205,C939))+(LN(INDEX(Dic2023!$K$6:$K$205,MIN(C939+1,200)))-LN(INDEX(Dic2023!$K$6:$K$205,C939)))*(A939-6*C939)/6))</f>
        <v>0.0196136880067411</v>
      </c>
      <c r="H939" s="12" t="n">
        <f aca="false">G939^(-1/B939)-1</f>
        <v>0.0517528025</v>
      </c>
      <c r="I939" s="12" t="n">
        <f aca="false">(1+H939)^(1/12)-1</f>
        <v>0.00421369509431369</v>
      </c>
      <c r="J939" s="16" t="n">
        <f aca="false">IF(C939=0,(1+Dic2023!$M$6)^(-B939),EXP(LN(INDEX(Dic2023!$N$6:$N$205,C939))+(LN(INDEX(Dic2023!$N$6:$N$205,MIN(C939+1,200)))-LN(INDEX(Dic2023!$N$6:$N$205,C939)))*(A939-6*C939)/6))</f>
        <v>0.0196136880067411</v>
      </c>
      <c r="K939" s="12" t="n">
        <f aca="false">J939^(-1/B939)-1</f>
        <v>0.0517528025</v>
      </c>
      <c r="L939" s="12" t="n">
        <f aca="false">(1+K939)^(1/12)-1</f>
        <v>0.00421369509431369</v>
      </c>
    </row>
    <row r="940" customFormat="false" ht="15" hidden="false" customHeight="false" outlineLevel="0" collapsed="false">
      <c r="A940" s="4" t="n">
        <v>936</v>
      </c>
      <c r="B940" s="14" t="n">
        <f aca="false">A940/12</f>
        <v>78</v>
      </c>
      <c r="C940" s="15" t="n">
        <f aca="false">INT(A940/6)</f>
        <v>156</v>
      </c>
      <c r="D940" s="16" t="n">
        <f aca="false">IF(C940=0,(1+Dic2023!$G$6)^(-B940),EXP(LN(INDEX(Dic2023!$H$6:$H$205,C940))+(LN(INDEX(Dic2023!$H$6:$H$205,MIN(C940+1,200)))-LN(INDEX(Dic2023!$H$6:$H$205,C940)))*(A940-6*C940)/6))</f>
        <v>0.0195313886900328</v>
      </c>
      <c r="E940" s="12" t="n">
        <f aca="false">D940^(-1/B940)-1</f>
        <v>0.0517528025</v>
      </c>
      <c r="F940" s="12" t="n">
        <f aca="false">(1+E940)^(1/12)-1</f>
        <v>0.00421369509431369</v>
      </c>
      <c r="G940" s="16" t="n">
        <f aca="false">IF(C940=0,(1+Dic2023!$J$6)^(-B940),EXP(LN(INDEX(Dic2023!$K$6:$K$205,C940))+(LN(INDEX(Dic2023!$K$6:$K$205,MIN(C940+1,200)))-LN(INDEX(Dic2023!$K$6:$K$205,C940)))*(A940-6*C940)/6))</f>
        <v>0.0195313886900328</v>
      </c>
      <c r="H940" s="12" t="n">
        <f aca="false">G940^(-1/B940)-1</f>
        <v>0.0517528025</v>
      </c>
      <c r="I940" s="12" t="n">
        <f aca="false">(1+H940)^(1/12)-1</f>
        <v>0.00421369509431369</v>
      </c>
      <c r="J940" s="16" t="n">
        <f aca="false">IF(C940=0,(1+Dic2023!$M$6)^(-B940),EXP(LN(INDEX(Dic2023!$N$6:$N$205,C940))+(LN(INDEX(Dic2023!$N$6:$N$205,MIN(C940+1,200)))-LN(INDEX(Dic2023!$N$6:$N$205,C940)))*(A940-6*C940)/6))</f>
        <v>0.0195313886900328</v>
      </c>
      <c r="K940" s="12" t="n">
        <f aca="false">J940^(-1/B940)-1</f>
        <v>0.0517528025</v>
      </c>
      <c r="L940" s="12" t="n">
        <f aca="false">(1+K940)^(1/12)-1</f>
        <v>0.00421369509431369</v>
      </c>
    </row>
    <row r="941" customFormat="false" ht="15" hidden="false" customHeight="false" outlineLevel="0" collapsed="false">
      <c r="A941" s="4" t="n">
        <v>937</v>
      </c>
      <c r="B941" s="14" t="n">
        <f aca="false">A941/12</f>
        <v>78.0833333333333</v>
      </c>
      <c r="C941" s="15" t="n">
        <f aca="false">INT(A941/6)</f>
        <v>156</v>
      </c>
      <c r="D941" s="16" t="n">
        <f aca="false">IF(C941=0,(1+Dic2023!$G$6)^(-B941),EXP(LN(INDEX(Dic2023!$H$6:$H$205,C941))+(LN(INDEX(Dic2023!$H$6:$H$205,MIN(C941+1,200)))-LN(INDEX(Dic2023!$H$6:$H$205,C941)))*(A941-6*C941)/6))</f>
        <v>0.0194494347024399</v>
      </c>
      <c r="E941" s="12" t="n">
        <f aca="false">D941^(-1/B941)-1</f>
        <v>0.0517528025</v>
      </c>
      <c r="F941" s="12" t="n">
        <f aca="false">(1+E941)^(1/12)-1</f>
        <v>0.00421369509431369</v>
      </c>
      <c r="G941" s="16" t="n">
        <f aca="false">IF(C941=0,(1+Dic2023!$J$6)^(-B941),EXP(LN(INDEX(Dic2023!$K$6:$K$205,C941))+(LN(INDEX(Dic2023!$K$6:$K$205,MIN(C941+1,200)))-LN(INDEX(Dic2023!$K$6:$K$205,C941)))*(A941-6*C941)/6))</f>
        <v>0.0194494347024399</v>
      </c>
      <c r="H941" s="12" t="n">
        <f aca="false">G941^(-1/B941)-1</f>
        <v>0.0517528025</v>
      </c>
      <c r="I941" s="12" t="n">
        <f aca="false">(1+H941)^(1/12)-1</f>
        <v>0.00421369509431369</v>
      </c>
      <c r="J941" s="16" t="n">
        <f aca="false">IF(C941=0,(1+Dic2023!$M$6)^(-B941),EXP(LN(INDEX(Dic2023!$N$6:$N$205,C941))+(LN(INDEX(Dic2023!$N$6:$N$205,MIN(C941+1,200)))-LN(INDEX(Dic2023!$N$6:$N$205,C941)))*(A941-6*C941)/6))</f>
        <v>0.0194494347024399</v>
      </c>
      <c r="K941" s="12" t="n">
        <f aca="false">J941^(-1/B941)-1</f>
        <v>0.0517528025</v>
      </c>
      <c r="L941" s="12" t="n">
        <f aca="false">(1+K941)^(1/12)-1</f>
        <v>0.00421369509431369</v>
      </c>
    </row>
    <row r="942" customFormat="false" ht="15" hidden="false" customHeight="false" outlineLevel="0" collapsed="false">
      <c r="A942" s="4" t="n">
        <v>938</v>
      </c>
      <c r="B942" s="14" t="n">
        <f aca="false">A942/12</f>
        <v>78.1666666666667</v>
      </c>
      <c r="C942" s="15" t="n">
        <f aca="false">INT(A942/6)</f>
        <v>156</v>
      </c>
      <c r="D942" s="16" t="n">
        <f aca="false">IF(C942=0,(1+Dic2023!$G$6)^(-B942),EXP(LN(INDEX(Dic2023!$H$6:$H$205,C942))+(LN(INDEX(Dic2023!$H$6:$H$205,MIN(C942+1,200)))-LN(INDEX(Dic2023!$H$6:$H$205,C942)))*(A942-6*C942)/6))</f>
        <v>0.0193678245949566</v>
      </c>
      <c r="E942" s="12" t="n">
        <f aca="false">D942^(-1/B942)-1</f>
        <v>0.0517528025</v>
      </c>
      <c r="F942" s="12" t="n">
        <f aca="false">(1+E942)^(1/12)-1</f>
        <v>0.00421369509431369</v>
      </c>
      <c r="G942" s="16" t="n">
        <f aca="false">IF(C942=0,(1+Dic2023!$J$6)^(-B942),EXP(LN(INDEX(Dic2023!$K$6:$K$205,C942))+(LN(INDEX(Dic2023!$K$6:$K$205,MIN(C942+1,200)))-LN(INDEX(Dic2023!$K$6:$K$205,C942)))*(A942-6*C942)/6))</f>
        <v>0.0193678245949566</v>
      </c>
      <c r="H942" s="12" t="n">
        <f aca="false">G942^(-1/B942)-1</f>
        <v>0.0517528025</v>
      </c>
      <c r="I942" s="12" t="n">
        <f aca="false">(1+H942)^(1/12)-1</f>
        <v>0.00421369509431369</v>
      </c>
      <c r="J942" s="16" t="n">
        <f aca="false">IF(C942=0,(1+Dic2023!$M$6)^(-B942),EXP(LN(INDEX(Dic2023!$N$6:$N$205,C942))+(LN(INDEX(Dic2023!$N$6:$N$205,MIN(C942+1,200)))-LN(INDEX(Dic2023!$N$6:$N$205,C942)))*(A942-6*C942)/6))</f>
        <v>0.0193678245949566</v>
      </c>
      <c r="K942" s="12" t="n">
        <f aca="false">J942^(-1/B942)-1</f>
        <v>0.0517528025</v>
      </c>
      <c r="L942" s="12" t="n">
        <f aca="false">(1+K942)^(1/12)-1</f>
        <v>0.00421369509431369</v>
      </c>
    </row>
    <row r="943" customFormat="false" ht="15" hidden="false" customHeight="false" outlineLevel="0" collapsed="false">
      <c r="A943" s="4" t="n">
        <v>939</v>
      </c>
      <c r="B943" s="14" t="n">
        <f aca="false">A943/12</f>
        <v>78.25</v>
      </c>
      <c r="C943" s="15" t="n">
        <f aca="false">INT(A943/6)</f>
        <v>156</v>
      </c>
      <c r="D943" s="16" t="n">
        <f aca="false">IF(C943=0,(1+Dic2023!$G$6)^(-B943),EXP(LN(INDEX(Dic2023!$H$6:$H$205,C943))+(LN(INDEX(Dic2023!$H$6:$H$205,MIN(C943+1,200)))-LN(INDEX(Dic2023!$H$6:$H$205,C943)))*(A943-6*C943)/6))</f>
        <v>0.019286556924657</v>
      </c>
      <c r="E943" s="12" t="n">
        <f aca="false">D943^(-1/B943)-1</f>
        <v>0.0517528025</v>
      </c>
      <c r="F943" s="12" t="n">
        <f aca="false">(1+E943)^(1/12)-1</f>
        <v>0.00421369509431369</v>
      </c>
      <c r="G943" s="16" t="n">
        <f aca="false">IF(C943=0,(1+Dic2023!$J$6)^(-B943),EXP(LN(INDEX(Dic2023!$K$6:$K$205,C943))+(LN(INDEX(Dic2023!$K$6:$K$205,MIN(C943+1,200)))-LN(INDEX(Dic2023!$K$6:$K$205,C943)))*(A943-6*C943)/6))</f>
        <v>0.019286556924657</v>
      </c>
      <c r="H943" s="12" t="n">
        <f aca="false">G943^(-1/B943)-1</f>
        <v>0.0517528025</v>
      </c>
      <c r="I943" s="12" t="n">
        <f aca="false">(1+H943)^(1/12)-1</f>
        <v>0.00421369509431369</v>
      </c>
      <c r="J943" s="16" t="n">
        <f aca="false">IF(C943=0,(1+Dic2023!$M$6)^(-B943),EXP(LN(INDEX(Dic2023!$N$6:$N$205,C943))+(LN(INDEX(Dic2023!$N$6:$N$205,MIN(C943+1,200)))-LN(INDEX(Dic2023!$N$6:$N$205,C943)))*(A943-6*C943)/6))</f>
        <v>0.019286556924657</v>
      </c>
      <c r="K943" s="12" t="n">
        <f aca="false">J943^(-1/B943)-1</f>
        <v>0.0517528025</v>
      </c>
      <c r="L943" s="12" t="n">
        <f aca="false">(1+K943)^(1/12)-1</f>
        <v>0.00421369509431369</v>
      </c>
    </row>
    <row r="944" customFormat="false" ht="15" hidden="false" customHeight="false" outlineLevel="0" collapsed="false">
      <c r="A944" s="4" t="n">
        <v>940</v>
      </c>
      <c r="B944" s="14" t="n">
        <f aca="false">A944/12</f>
        <v>78.3333333333333</v>
      </c>
      <c r="C944" s="15" t="n">
        <f aca="false">INT(A944/6)</f>
        <v>156</v>
      </c>
      <c r="D944" s="16" t="n">
        <f aca="false">IF(C944=0,(1+Dic2023!$G$6)^(-B944),EXP(LN(INDEX(Dic2023!$H$6:$H$205,C944))+(LN(INDEX(Dic2023!$H$6:$H$205,MIN(C944+1,200)))-LN(INDEX(Dic2023!$H$6:$H$205,C944)))*(A944-6*C944)/6))</f>
        <v>0.0192056302546697</v>
      </c>
      <c r="E944" s="12" t="n">
        <f aca="false">D944^(-1/B944)-1</f>
        <v>0.0517528025</v>
      </c>
      <c r="F944" s="12" t="n">
        <f aca="false">(1+E944)^(1/12)-1</f>
        <v>0.00421369509431369</v>
      </c>
      <c r="G944" s="16" t="n">
        <f aca="false">IF(C944=0,(1+Dic2023!$J$6)^(-B944),EXP(LN(INDEX(Dic2023!$K$6:$K$205,C944))+(LN(INDEX(Dic2023!$K$6:$K$205,MIN(C944+1,200)))-LN(INDEX(Dic2023!$K$6:$K$205,C944)))*(A944-6*C944)/6))</f>
        <v>0.0192056302546697</v>
      </c>
      <c r="H944" s="12" t="n">
        <f aca="false">G944^(-1/B944)-1</f>
        <v>0.0517528025</v>
      </c>
      <c r="I944" s="12" t="n">
        <f aca="false">(1+H944)^(1/12)-1</f>
        <v>0.00421369509431369</v>
      </c>
      <c r="J944" s="16" t="n">
        <f aca="false">IF(C944=0,(1+Dic2023!$M$6)^(-B944),EXP(LN(INDEX(Dic2023!$N$6:$N$205,C944))+(LN(INDEX(Dic2023!$N$6:$N$205,MIN(C944+1,200)))-LN(INDEX(Dic2023!$N$6:$N$205,C944)))*(A944-6*C944)/6))</f>
        <v>0.0192056302546697</v>
      </c>
      <c r="K944" s="12" t="n">
        <f aca="false">J944^(-1/B944)-1</f>
        <v>0.0517528025</v>
      </c>
      <c r="L944" s="12" t="n">
        <f aca="false">(1+K944)^(1/12)-1</f>
        <v>0.00421369509431369</v>
      </c>
    </row>
    <row r="945" customFormat="false" ht="15" hidden="false" customHeight="false" outlineLevel="0" collapsed="false">
      <c r="A945" s="4" t="n">
        <v>941</v>
      </c>
      <c r="B945" s="14" t="n">
        <f aca="false">A945/12</f>
        <v>78.4166666666667</v>
      </c>
      <c r="C945" s="15" t="n">
        <f aca="false">INT(A945/6)</f>
        <v>156</v>
      </c>
      <c r="D945" s="16" t="n">
        <f aca="false">IF(C945=0,(1+Dic2023!$G$6)^(-B945),EXP(LN(INDEX(Dic2023!$H$6:$H$205,C945))+(LN(INDEX(Dic2023!$H$6:$H$205,MIN(C945+1,200)))-LN(INDEX(Dic2023!$H$6:$H$205,C945)))*(A945-6*C945)/6))</f>
        <v>0.0191250431541525</v>
      </c>
      <c r="E945" s="12" t="n">
        <f aca="false">D945^(-1/B945)-1</f>
        <v>0.0517528025</v>
      </c>
      <c r="F945" s="12" t="n">
        <f aca="false">(1+E945)^(1/12)-1</f>
        <v>0.00421369509431369</v>
      </c>
      <c r="G945" s="16" t="n">
        <f aca="false">IF(C945=0,(1+Dic2023!$J$6)^(-B945),EXP(LN(INDEX(Dic2023!$K$6:$K$205,C945))+(LN(INDEX(Dic2023!$K$6:$K$205,MIN(C945+1,200)))-LN(INDEX(Dic2023!$K$6:$K$205,C945)))*(A945-6*C945)/6))</f>
        <v>0.0191250431541525</v>
      </c>
      <c r="H945" s="12" t="n">
        <f aca="false">G945^(-1/B945)-1</f>
        <v>0.0517528025</v>
      </c>
      <c r="I945" s="12" t="n">
        <f aca="false">(1+H945)^(1/12)-1</f>
        <v>0.00421369509431369</v>
      </c>
      <c r="J945" s="16" t="n">
        <f aca="false">IF(C945=0,(1+Dic2023!$M$6)^(-B945),EXP(LN(INDEX(Dic2023!$N$6:$N$205,C945))+(LN(INDEX(Dic2023!$N$6:$N$205,MIN(C945+1,200)))-LN(INDEX(Dic2023!$N$6:$N$205,C945)))*(A945-6*C945)/6))</f>
        <v>0.0191250431541525</v>
      </c>
      <c r="K945" s="12" t="n">
        <f aca="false">J945^(-1/B945)-1</f>
        <v>0.0517528025</v>
      </c>
      <c r="L945" s="12" t="n">
        <f aca="false">(1+K945)^(1/12)-1</f>
        <v>0.00421369509431369</v>
      </c>
    </row>
    <row r="946" customFormat="false" ht="15" hidden="false" customHeight="false" outlineLevel="0" collapsed="false">
      <c r="A946" s="4" t="n">
        <v>942</v>
      </c>
      <c r="B946" s="14" t="n">
        <f aca="false">A946/12</f>
        <v>78.5</v>
      </c>
      <c r="C946" s="15" t="n">
        <f aca="false">INT(A946/6)</f>
        <v>157</v>
      </c>
      <c r="D946" s="16" t="n">
        <f aca="false">IF(C946=0,(1+Dic2023!$G$6)^(-B946),EXP(LN(INDEX(Dic2023!$H$6:$H$205,C946))+(LN(INDEX(Dic2023!$H$6:$H$205,MIN(C946+1,200)))-LN(INDEX(Dic2023!$H$6:$H$205,C946)))*(A946-6*C946)/6))</f>
        <v>0.0190447941982671</v>
      </c>
      <c r="E946" s="12" t="n">
        <f aca="false">D946^(-1/B946)-1</f>
        <v>0.0517528025</v>
      </c>
      <c r="F946" s="12" t="n">
        <f aca="false">(1+E946)^(1/12)-1</f>
        <v>0.00421369509431369</v>
      </c>
      <c r="G946" s="16" t="n">
        <f aca="false">IF(C946=0,(1+Dic2023!$J$6)^(-B946),EXP(LN(INDEX(Dic2023!$K$6:$K$205,C946))+(LN(INDEX(Dic2023!$K$6:$K$205,MIN(C946+1,200)))-LN(INDEX(Dic2023!$K$6:$K$205,C946)))*(A946-6*C946)/6))</f>
        <v>0.0190447941982671</v>
      </c>
      <c r="H946" s="12" t="n">
        <f aca="false">G946^(-1/B946)-1</f>
        <v>0.0517528025</v>
      </c>
      <c r="I946" s="12" t="n">
        <f aca="false">(1+H946)^(1/12)-1</f>
        <v>0.00421369509431369</v>
      </c>
      <c r="J946" s="16" t="n">
        <f aca="false">IF(C946=0,(1+Dic2023!$M$6)^(-B946),EXP(LN(INDEX(Dic2023!$N$6:$N$205,C946))+(LN(INDEX(Dic2023!$N$6:$N$205,MIN(C946+1,200)))-LN(INDEX(Dic2023!$N$6:$N$205,C946)))*(A946-6*C946)/6))</f>
        <v>0.0190447941982671</v>
      </c>
      <c r="K946" s="12" t="n">
        <f aca="false">J946^(-1/B946)-1</f>
        <v>0.0517528025</v>
      </c>
      <c r="L946" s="12" t="n">
        <f aca="false">(1+K946)^(1/12)-1</f>
        <v>0.00421369509431369</v>
      </c>
    </row>
    <row r="947" customFormat="false" ht="15" hidden="false" customHeight="false" outlineLevel="0" collapsed="false">
      <c r="A947" s="4" t="n">
        <v>943</v>
      </c>
      <c r="B947" s="14" t="n">
        <f aca="false">A947/12</f>
        <v>78.5833333333333</v>
      </c>
      <c r="C947" s="15" t="n">
        <f aca="false">INT(A947/6)</f>
        <v>157</v>
      </c>
      <c r="D947" s="16" t="n">
        <f aca="false">IF(C947=0,(1+Dic2023!$G$6)^(-B947),EXP(LN(INDEX(Dic2023!$H$6:$H$205,C947))+(LN(INDEX(Dic2023!$H$6:$H$205,MIN(C947+1,200)))-LN(INDEX(Dic2023!$H$6:$H$205,C947)))*(A947-6*C947)/6))</f>
        <v>0.0189648819681536</v>
      </c>
      <c r="E947" s="12" t="n">
        <f aca="false">D947^(-1/B947)-1</f>
        <v>0.0517528025</v>
      </c>
      <c r="F947" s="12" t="n">
        <f aca="false">(1+E947)^(1/12)-1</f>
        <v>0.00421369509431369</v>
      </c>
      <c r="G947" s="16" t="n">
        <f aca="false">IF(C947=0,(1+Dic2023!$J$6)^(-B947),EXP(LN(INDEX(Dic2023!$K$6:$K$205,C947))+(LN(INDEX(Dic2023!$K$6:$K$205,MIN(C947+1,200)))-LN(INDEX(Dic2023!$K$6:$K$205,C947)))*(A947-6*C947)/6))</f>
        <v>0.0189648819681536</v>
      </c>
      <c r="H947" s="12" t="n">
        <f aca="false">G947^(-1/B947)-1</f>
        <v>0.0517528025</v>
      </c>
      <c r="I947" s="12" t="n">
        <f aca="false">(1+H947)^(1/12)-1</f>
        <v>0.00421369509431369</v>
      </c>
      <c r="J947" s="16" t="n">
        <f aca="false">IF(C947=0,(1+Dic2023!$M$6)^(-B947),EXP(LN(INDEX(Dic2023!$N$6:$N$205,C947))+(LN(INDEX(Dic2023!$N$6:$N$205,MIN(C947+1,200)))-LN(INDEX(Dic2023!$N$6:$N$205,C947)))*(A947-6*C947)/6))</f>
        <v>0.0189648819681536</v>
      </c>
      <c r="K947" s="12" t="n">
        <f aca="false">J947^(-1/B947)-1</f>
        <v>0.0517528025</v>
      </c>
      <c r="L947" s="12" t="n">
        <f aca="false">(1+K947)^(1/12)-1</f>
        <v>0.00421369509431369</v>
      </c>
    </row>
    <row r="948" customFormat="false" ht="15" hidden="false" customHeight="false" outlineLevel="0" collapsed="false">
      <c r="A948" s="4" t="n">
        <v>944</v>
      </c>
      <c r="B948" s="14" t="n">
        <f aca="false">A948/12</f>
        <v>78.6666666666667</v>
      </c>
      <c r="C948" s="15" t="n">
        <f aca="false">INT(A948/6)</f>
        <v>157</v>
      </c>
      <c r="D948" s="16" t="n">
        <f aca="false">IF(C948=0,(1+Dic2023!$G$6)^(-B948),EXP(LN(INDEX(Dic2023!$H$6:$H$205,C948))+(LN(INDEX(Dic2023!$H$6:$H$205,MIN(C948+1,200)))-LN(INDEX(Dic2023!$H$6:$H$205,C948)))*(A948-6*C948)/6))</f>
        <v>0.018885305050906</v>
      </c>
      <c r="E948" s="12" t="n">
        <f aca="false">D948^(-1/B948)-1</f>
        <v>0.0517528025</v>
      </c>
      <c r="F948" s="12" t="n">
        <f aca="false">(1+E948)^(1/12)-1</f>
        <v>0.00421369509431369</v>
      </c>
      <c r="G948" s="16" t="n">
        <f aca="false">IF(C948=0,(1+Dic2023!$J$6)^(-B948),EXP(LN(INDEX(Dic2023!$K$6:$K$205,C948))+(LN(INDEX(Dic2023!$K$6:$K$205,MIN(C948+1,200)))-LN(INDEX(Dic2023!$K$6:$K$205,C948)))*(A948-6*C948)/6))</f>
        <v>0.018885305050906</v>
      </c>
      <c r="H948" s="12" t="n">
        <f aca="false">G948^(-1/B948)-1</f>
        <v>0.0517528025</v>
      </c>
      <c r="I948" s="12" t="n">
        <f aca="false">(1+H948)^(1/12)-1</f>
        <v>0.00421369509431369</v>
      </c>
      <c r="J948" s="16" t="n">
        <f aca="false">IF(C948=0,(1+Dic2023!$M$6)^(-B948),EXP(LN(INDEX(Dic2023!$N$6:$N$205,C948))+(LN(INDEX(Dic2023!$N$6:$N$205,MIN(C948+1,200)))-LN(INDEX(Dic2023!$N$6:$N$205,C948)))*(A948-6*C948)/6))</f>
        <v>0.018885305050906</v>
      </c>
      <c r="K948" s="12" t="n">
        <f aca="false">J948^(-1/B948)-1</f>
        <v>0.0517528025</v>
      </c>
      <c r="L948" s="12" t="n">
        <f aca="false">(1+K948)^(1/12)-1</f>
        <v>0.00421369509431369</v>
      </c>
    </row>
    <row r="949" customFormat="false" ht="15" hidden="false" customHeight="false" outlineLevel="0" collapsed="false">
      <c r="A949" s="4" t="n">
        <v>945</v>
      </c>
      <c r="B949" s="14" t="n">
        <f aca="false">A949/12</f>
        <v>78.75</v>
      </c>
      <c r="C949" s="15" t="n">
        <f aca="false">INT(A949/6)</f>
        <v>157</v>
      </c>
      <c r="D949" s="16" t="n">
        <f aca="false">IF(C949=0,(1+Dic2023!$G$6)^(-B949),EXP(LN(INDEX(Dic2023!$H$6:$H$205,C949))+(LN(INDEX(Dic2023!$H$6:$H$205,MIN(C949+1,200)))-LN(INDEX(Dic2023!$H$6:$H$205,C949)))*(A949-6*C949)/6))</f>
        <v>0.0188060620395466</v>
      </c>
      <c r="E949" s="12" t="n">
        <f aca="false">D949^(-1/B949)-1</f>
        <v>0.0517528025</v>
      </c>
      <c r="F949" s="12" t="n">
        <f aca="false">(1+E949)^(1/12)-1</f>
        <v>0.00421369509431369</v>
      </c>
      <c r="G949" s="16" t="n">
        <f aca="false">IF(C949=0,(1+Dic2023!$J$6)^(-B949),EXP(LN(INDEX(Dic2023!$K$6:$K$205,C949))+(LN(INDEX(Dic2023!$K$6:$K$205,MIN(C949+1,200)))-LN(INDEX(Dic2023!$K$6:$K$205,C949)))*(A949-6*C949)/6))</f>
        <v>0.0188060620395466</v>
      </c>
      <c r="H949" s="12" t="n">
        <f aca="false">G949^(-1/B949)-1</f>
        <v>0.0517528025</v>
      </c>
      <c r="I949" s="12" t="n">
        <f aca="false">(1+H949)^(1/12)-1</f>
        <v>0.00421369509431369</v>
      </c>
      <c r="J949" s="16" t="n">
        <f aca="false">IF(C949=0,(1+Dic2023!$M$6)^(-B949),EXP(LN(INDEX(Dic2023!$N$6:$N$205,C949))+(LN(INDEX(Dic2023!$N$6:$N$205,MIN(C949+1,200)))-LN(INDEX(Dic2023!$N$6:$N$205,C949)))*(A949-6*C949)/6))</f>
        <v>0.0188060620395466</v>
      </c>
      <c r="K949" s="12" t="n">
        <f aca="false">J949^(-1/B949)-1</f>
        <v>0.0517528025</v>
      </c>
      <c r="L949" s="12" t="n">
        <f aca="false">(1+K949)^(1/12)-1</f>
        <v>0.00421369509431369</v>
      </c>
    </row>
    <row r="950" customFormat="false" ht="15" hidden="false" customHeight="false" outlineLevel="0" collapsed="false">
      <c r="A950" s="4" t="n">
        <v>946</v>
      </c>
      <c r="B950" s="14" t="n">
        <f aca="false">A950/12</f>
        <v>78.8333333333333</v>
      </c>
      <c r="C950" s="15" t="n">
        <f aca="false">INT(A950/6)</f>
        <v>157</v>
      </c>
      <c r="D950" s="16" t="n">
        <f aca="false">IF(C950=0,(1+Dic2023!$G$6)^(-B950),EXP(LN(INDEX(Dic2023!$H$6:$H$205,C950))+(LN(INDEX(Dic2023!$H$6:$H$205,MIN(C950+1,200)))-LN(INDEX(Dic2023!$H$6:$H$205,C950)))*(A950-6*C950)/6))</f>
        <v>0.0187271515330015</v>
      </c>
      <c r="E950" s="12" t="n">
        <f aca="false">D950^(-1/B950)-1</f>
        <v>0.0517528025</v>
      </c>
      <c r="F950" s="12" t="n">
        <f aca="false">(1+E950)^(1/12)-1</f>
        <v>0.00421369509431369</v>
      </c>
      <c r="G950" s="16" t="n">
        <f aca="false">IF(C950=0,(1+Dic2023!$J$6)^(-B950),EXP(LN(INDEX(Dic2023!$K$6:$K$205,C950))+(LN(INDEX(Dic2023!$K$6:$K$205,MIN(C950+1,200)))-LN(INDEX(Dic2023!$K$6:$K$205,C950)))*(A950-6*C950)/6))</f>
        <v>0.0187271515330015</v>
      </c>
      <c r="H950" s="12" t="n">
        <f aca="false">G950^(-1/B950)-1</f>
        <v>0.0517528025</v>
      </c>
      <c r="I950" s="12" t="n">
        <f aca="false">(1+H950)^(1/12)-1</f>
        <v>0.00421369509431369</v>
      </c>
      <c r="J950" s="16" t="n">
        <f aca="false">IF(C950=0,(1+Dic2023!$M$6)^(-B950),EXP(LN(INDEX(Dic2023!$N$6:$N$205,C950))+(LN(INDEX(Dic2023!$N$6:$N$205,MIN(C950+1,200)))-LN(INDEX(Dic2023!$N$6:$N$205,C950)))*(A950-6*C950)/6))</f>
        <v>0.0187271515330015</v>
      </c>
      <c r="K950" s="12" t="n">
        <f aca="false">J950^(-1/B950)-1</f>
        <v>0.0517528025</v>
      </c>
      <c r="L950" s="12" t="n">
        <f aca="false">(1+K950)^(1/12)-1</f>
        <v>0.00421369509431369</v>
      </c>
    </row>
    <row r="951" customFormat="false" ht="15" hidden="false" customHeight="false" outlineLevel="0" collapsed="false">
      <c r="A951" s="4" t="n">
        <v>947</v>
      </c>
      <c r="B951" s="14" t="n">
        <f aca="false">A951/12</f>
        <v>78.9166666666667</v>
      </c>
      <c r="C951" s="15" t="n">
        <f aca="false">INT(A951/6)</f>
        <v>157</v>
      </c>
      <c r="D951" s="16" t="n">
        <f aca="false">IF(C951=0,(1+Dic2023!$G$6)^(-B951),EXP(LN(INDEX(Dic2023!$H$6:$H$205,C951))+(LN(INDEX(Dic2023!$H$6:$H$205,MIN(C951+1,200)))-LN(INDEX(Dic2023!$H$6:$H$205,C951)))*(A951-6*C951)/6))</f>
        <v>0.0186485721360758</v>
      </c>
      <c r="E951" s="12" t="n">
        <f aca="false">D951^(-1/B951)-1</f>
        <v>0.0517528025</v>
      </c>
      <c r="F951" s="12" t="n">
        <f aca="false">(1+E951)^(1/12)-1</f>
        <v>0.00421369509431369</v>
      </c>
      <c r="G951" s="16" t="n">
        <f aca="false">IF(C951=0,(1+Dic2023!$J$6)^(-B951),EXP(LN(INDEX(Dic2023!$K$6:$K$205,C951))+(LN(INDEX(Dic2023!$K$6:$K$205,MIN(C951+1,200)))-LN(INDEX(Dic2023!$K$6:$K$205,C951)))*(A951-6*C951)/6))</f>
        <v>0.0186485721360758</v>
      </c>
      <c r="H951" s="12" t="n">
        <f aca="false">G951^(-1/B951)-1</f>
        <v>0.0517528025</v>
      </c>
      <c r="I951" s="12" t="n">
        <f aca="false">(1+H951)^(1/12)-1</f>
        <v>0.00421369509431369</v>
      </c>
      <c r="J951" s="16" t="n">
        <f aca="false">IF(C951=0,(1+Dic2023!$M$6)^(-B951),EXP(LN(INDEX(Dic2023!$N$6:$N$205,C951))+(LN(INDEX(Dic2023!$N$6:$N$205,MIN(C951+1,200)))-LN(INDEX(Dic2023!$N$6:$N$205,C951)))*(A951-6*C951)/6))</f>
        <v>0.0186485721360758</v>
      </c>
      <c r="K951" s="12" t="n">
        <f aca="false">J951^(-1/B951)-1</f>
        <v>0.0517528025</v>
      </c>
      <c r="L951" s="12" t="n">
        <f aca="false">(1+K951)^(1/12)-1</f>
        <v>0.00421369509431369</v>
      </c>
    </row>
    <row r="952" customFormat="false" ht="15" hidden="false" customHeight="false" outlineLevel="0" collapsed="false">
      <c r="A952" s="4" t="n">
        <v>948</v>
      </c>
      <c r="B952" s="14" t="n">
        <f aca="false">A952/12</f>
        <v>79</v>
      </c>
      <c r="C952" s="15" t="n">
        <f aca="false">INT(A952/6)</f>
        <v>158</v>
      </c>
      <c r="D952" s="16" t="n">
        <f aca="false">IF(C952=0,(1+Dic2023!$G$6)^(-B952),EXP(LN(INDEX(Dic2023!$H$6:$H$205,C952))+(LN(INDEX(Dic2023!$H$6:$H$205,MIN(C952+1,200)))-LN(INDEX(Dic2023!$H$6:$H$205,C952)))*(A952-6*C952)/6))</f>
        <v>0.0185703224594287</v>
      </c>
      <c r="E952" s="12" t="n">
        <f aca="false">D952^(-1/B952)-1</f>
        <v>0.0517528025</v>
      </c>
      <c r="F952" s="12" t="n">
        <f aca="false">(1+E952)^(1/12)-1</f>
        <v>0.00421369509431369</v>
      </c>
      <c r="G952" s="16" t="n">
        <f aca="false">IF(C952=0,(1+Dic2023!$J$6)^(-B952),EXP(LN(INDEX(Dic2023!$K$6:$K$205,C952))+(LN(INDEX(Dic2023!$K$6:$K$205,MIN(C952+1,200)))-LN(INDEX(Dic2023!$K$6:$K$205,C952)))*(A952-6*C952)/6))</f>
        <v>0.0185703224594287</v>
      </c>
      <c r="H952" s="12" t="n">
        <f aca="false">G952^(-1/B952)-1</f>
        <v>0.0517528025</v>
      </c>
      <c r="I952" s="12" t="n">
        <f aca="false">(1+H952)^(1/12)-1</f>
        <v>0.00421369509431369</v>
      </c>
      <c r="J952" s="16" t="n">
        <f aca="false">IF(C952=0,(1+Dic2023!$M$6)^(-B952),EXP(LN(INDEX(Dic2023!$N$6:$N$205,C952))+(LN(INDEX(Dic2023!$N$6:$N$205,MIN(C952+1,200)))-LN(INDEX(Dic2023!$N$6:$N$205,C952)))*(A952-6*C952)/6))</f>
        <v>0.0185703224594287</v>
      </c>
      <c r="K952" s="12" t="n">
        <f aca="false">J952^(-1/B952)-1</f>
        <v>0.0517528025</v>
      </c>
      <c r="L952" s="12" t="n">
        <f aca="false">(1+K952)^(1/12)-1</f>
        <v>0.00421369509431369</v>
      </c>
    </row>
    <row r="953" customFormat="false" ht="15" hidden="false" customHeight="false" outlineLevel="0" collapsed="false">
      <c r="A953" s="4" t="n">
        <v>949</v>
      </c>
      <c r="B953" s="14" t="n">
        <f aca="false">A953/12</f>
        <v>79.0833333333333</v>
      </c>
      <c r="C953" s="15" t="n">
        <f aca="false">INT(A953/6)</f>
        <v>158</v>
      </c>
      <c r="D953" s="16" t="n">
        <f aca="false">IF(C953=0,(1+Dic2023!$G$6)^(-B953),EXP(LN(INDEX(Dic2023!$H$6:$H$205,C953))+(LN(INDEX(Dic2023!$H$6:$H$205,MIN(C953+1,200)))-LN(INDEX(Dic2023!$H$6:$H$205,C953)))*(A953-6*C953)/6))</f>
        <v>0.0184924011195491</v>
      </c>
      <c r="E953" s="12" t="n">
        <f aca="false">D953^(-1/B953)-1</f>
        <v>0.0517528025</v>
      </c>
      <c r="F953" s="12" t="n">
        <f aca="false">(1+E953)^(1/12)-1</f>
        <v>0.00421369509431369</v>
      </c>
      <c r="G953" s="16" t="n">
        <f aca="false">IF(C953=0,(1+Dic2023!$J$6)^(-B953),EXP(LN(INDEX(Dic2023!$K$6:$K$205,C953))+(LN(INDEX(Dic2023!$K$6:$K$205,MIN(C953+1,200)))-LN(INDEX(Dic2023!$K$6:$K$205,C953)))*(A953-6*C953)/6))</f>
        <v>0.0184924011195491</v>
      </c>
      <c r="H953" s="12" t="n">
        <f aca="false">G953^(-1/B953)-1</f>
        <v>0.0517528025</v>
      </c>
      <c r="I953" s="12" t="n">
        <f aca="false">(1+H953)^(1/12)-1</f>
        <v>0.00421369509431369</v>
      </c>
      <c r="J953" s="16" t="n">
        <f aca="false">IF(C953=0,(1+Dic2023!$M$6)^(-B953),EXP(LN(INDEX(Dic2023!$N$6:$N$205,C953))+(LN(INDEX(Dic2023!$N$6:$N$205,MIN(C953+1,200)))-LN(INDEX(Dic2023!$N$6:$N$205,C953)))*(A953-6*C953)/6))</f>
        <v>0.0184924011195491</v>
      </c>
      <c r="K953" s="12" t="n">
        <f aca="false">J953^(-1/B953)-1</f>
        <v>0.0517528025</v>
      </c>
      <c r="L953" s="12" t="n">
        <f aca="false">(1+K953)^(1/12)-1</f>
        <v>0.00421369509431369</v>
      </c>
    </row>
    <row r="954" customFormat="false" ht="15" hidden="false" customHeight="false" outlineLevel="0" collapsed="false">
      <c r="A954" s="4" t="n">
        <v>950</v>
      </c>
      <c r="B954" s="14" t="n">
        <f aca="false">A954/12</f>
        <v>79.1666666666667</v>
      </c>
      <c r="C954" s="15" t="n">
        <f aca="false">INT(A954/6)</f>
        <v>158</v>
      </c>
      <c r="D954" s="16" t="n">
        <f aca="false">IF(C954=0,(1+Dic2023!$G$6)^(-B954),EXP(LN(INDEX(Dic2023!$H$6:$H$205,C954))+(LN(INDEX(Dic2023!$H$6:$H$205,MIN(C954+1,200)))-LN(INDEX(Dic2023!$H$6:$H$205,C954)))*(A954-6*C954)/6))</f>
        <v>0.0184148067387314</v>
      </c>
      <c r="E954" s="12" t="n">
        <f aca="false">D954^(-1/B954)-1</f>
        <v>0.0517528025</v>
      </c>
      <c r="F954" s="12" t="n">
        <f aca="false">(1+E954)^(1/12)-1</f>
        <v>0.00421369509431369</v>
      </c>
      <c r="G954" s="16" t="n">
        <f aca="false">IF(C954=0,(1+Dic2023!$J$6)^(-B954),EXP(LN(INDEX(Dic2023!$K$6:$K$205,C954))+(LN(INDEX(Dic2023!$K$6:$K$205,MIN(C954+1,200)))-LN(INDEX(Dic2023!$K$6:$K$205,C954)))*(A954-6*C954)/6))</f>
        <v>0.0184148067387314</v>
      </c>
      <c r="H954" s="12" t="n">
        <f aca="false">G954^(-1/B954)-1</f>
        <v>0.0517528025</v>
      </c>
      <c r="I954" s="12" t="n">
        <f aca="false">(1+H954)^(1/12)-1</f>
        <v>0.00421369509431369</v>
      </c>
      <c r="J954" s="16" t="n">
        <f aca="false">IF(C954=0,(1+Dic2023!$M$6)^(-B954),EXP(LN(INDEX(Dic2023!$N$6:$N$205,C954))+(LN(INDEX(Dic2023!$N$6:$N$205,MIN(C954+1,200)))-LN(INDEX(Dic2023!$N$6:$N$205,C954)))*(A954-6*C954)/6))</f>
        <v>0.0184148067387314</v>
      </c>
      <c r="K954" s="12" t="n">
        <f aca="false">J954^(-1/B954)-1</f>
        <v>0.0517528025</v>
      </c>
      <c r="L954" s="12" t="n">
        <f aca="false">(1+K954)^(1/12)-1</f>
        <v>0.00421369509431369</v>
      </c>
    </row>
    <row r="955" customFormat="false" ht="15" hidden="false" customHeight="false" outlineLevel="0" collapsed="false">
      <c r="A955" s="4" t="n">
        <v>951</v>
      </c>
      <c r="B955" s="14" t="n">
        <f aca="false">A955/12</f>
        <v>79.25</v>
      </c>
      <c r="C955" s="15" t="n">
        <f aca="false">INT(A955/6)</f>
        <v>158</v>
      </c>
      <c r="D955" s="16" t="n">
        <f aca="false">IF(C955=0,(1+Dic2023!$G$6)^(-B955),EXP(LN(INDEX(Dic2023!$H$6:$H$205,C955))+(LN(INDEX(Dic2023!$H$6:$H$205,MIN(C955+1,200)))-LN(INDEX(Dic2023!$H$6:$H$205,C955)))*(A955-6*C955)/6))</f>
        <v>0.0183375379450506</v>
      </c>
      <c r="E955" s="12" t="n">
        <f aca="false">D955^(-1/B955)-1</f>
        <v>0.0517528025</v>
      </c>
      <c r="F955" s="12" t="n">
        <f aca="false">(1+E955)^(1/12)-1</f>
        <v>0.00421369509431369</v>
      </c>
      <c r="G955" s="16" t="n">
        <f aca="false">IF(C955=0,(1+Dic2023!$J$6)^(-B955),EXP(LN(INDEX(Dic2023!$K$6:$K$205,C955))+(LN(INDEX(Dic2023!$K$6:$K$205,MIN(C955+1,200)))-LN(INDEX(Dic2023!$K$6:$K$205,C955)))*(A955-6*C955)/6))</f>
        <v>0.0183375379450506</v>
      </c>
      <c r="H955" s="12" t="n">
        <f aca="false">G955^(-1/B955)-1</f>
        <v>0.0517528025</v>
      </c>
      <c r="I955" s="12" t="n">
        <f aca="false">(1+H955)^(1/12)-1</f>
        <v>0.00421369509431369</v>
      </c>
      <c r="J955" s="16" t="n">
        <f aca="false">IF(C955=0,(1+Dic2023!$M$6)^(-B955),EXP(LN(INDEX(Dic2023!$N$6:$N$205,C955))+(LN(INDEX(Dic2023!$N$6:$N$205,MIN(C955+1,200)))-LN(INDEX(Dic2023!$N$6:$N$205,C955)))*(A955-6*C955)/6))</f>
        <v>0.0183375379450506</v>
      </c>
      <c r="K955" s="12" t="n">
        <f aca="false">J955^(-1/B955)-1</f>
        <v>0.0517528025</v>
      </c>
      <c r="L955" s="12" t="n">
        <f aca="false">(1+K955)^(1/12)-1</f>
        <v>0.00421369509431369</v>
      </c>
    </row>
    <row r="956" customFormat="false" ht="15" hidden="false" customHeight="false" outlineLevel="0" collapsed="false">
      <c r="A956" s="4" t="n">
        <v>952</v>
      </c>
      <c r="B956" s="14" t="n">
        <f aca="false">A956/12</f>
        <v>79.3333333333333</v>
      </c>
      <c r="C956" s="15" t="n">
        <f aca="false">INT(A956/6)</f>
        <v>158</v>
      </c>
      <c r="D956" s="16" t="n">
        <f aca="false">IF(C956=0,(1+Dic2023!$G$6)^(-B956),EXP(LN(INDEX(Dic2023!$H$6:$H$205,C956))+(LN(INDEX(Dic2023!$H$6:$H$205,MIN(C956+1,200)))-LN(INDEX(Dic2023!$H$6:$H$205,C956)))*(A956-6*C956)/6))</f>
        <v>0.0182605933723383</v>
      </c>
      <c r="E956" s="12" t="n">
        <f aca="false">D956^(-1/B956)-1</f>
        <v>0.0517528025</v>
      </c>
      <c r="F956" s="12" t="n">
        <f aca="false">(1+E956)^(1/12)-1</f>
        <v>0.00421369509431369</v>
      </c>
      <c r="G956" s="16" t="n">
        <f aca="false">IF(C956=0,(1+Dic2023!$J$6)^(-B956),EXP(LN(INDEX(Dic2023!$K$6:$K$205,C956))+(LN(INDEX(Dic2023!$K$6:$K$205,MIN(C956+1,200)))-LN(INDEX(Dic2023!$K$6:$K$205,C956)))*(A956-6*C956)/6))</f>
        <v>0.0182605933723383</v>
      </c>
      <c r="H956" s="12" t="n">
        <f aca="false">G956^(-1/B956)-1</f>
        <v>0.0517528025</v>
      </c>
      <c r="I956" s="12" t="n">
        <f aca="false">(1+H956)^(1/12)-1</f>
        <v>0.00421369509431369</v>
      </c>
      <c r="J956" s="16" t="n">
        <f aca="false">IF(C956=0,(1+Dic2023!$M$6)^(-B956),EXP(LN(INDEX(Dic2023!$N$6:$N$205,C956))+(LN(INDEX(Dic2023!$N$6:$N$205,MIN(C956+1,200)))-LN(INDEX(Dic2023!$N$6:$N$205,C956)))*(A956-6*C956)/6))</f>
        <v>0.0182605933723383</v>
      </c>
      <c r="K956" s="12" t="n">
        <f aca="false">J956^(-1/B956)-1</f>
        <v>0.0517528025</v>
      </c>
      <c r="L956" s="12" t="n">
        <f aca="false">(1+K956)^(1/12)-1</f>
        <v>0.00421369509431369</v>
      </c>
    </row>
    <row r="957" customFormat="false" ht="15" hidden="false" customHeight="false" outlineLevel="0" collapsed="false">
      <c r="A957" s="4" t="n">
        <v>953</v>
      </c>
      <c r="B957" s="14" t="n">
        <f aca="false">A957/12</f>
        <v>79.4166666666667</v>
      </c>
      <c r="C957" s="15" t="n">
        <f aca="false">INT(A957/6)</f>
        <v>158</v>
      </c>
      <c r="D957" s="16" t="n">
        <f aca="false">IF(C957=0,(1+Dic2023!$G$6)^(-B957),EXP(LN(INDEX(Dic2023!$H$6:$H$205,C957))+(LN(INDEX(Dic2023!$H$6:$H$205,MIN(C957+1,200)))-LN(INDEX(Dic2023!$H$6:$H$205,C957)))*(A957-6*C957)/6))</f>
        <v>0.0181839716601587</v>
      </c>
      <c r="E957" s="12" t="n">
        <f aca="false">D957^(-1/B957)-1</f>
        <v>0.0517528025</v>
      </c>
      <c r="F957" s="12" t="n">
        <f aca="false">(1+E957)^(1/12)-1</f>
        <v>0.00421369509431369</v>
      </c>
      <c r="G957" s="16" t="n">
        <f aca="false">IF(C957=0,(1+Dic2023!$J$6)^(-B957),EXP(LN(INDEX(Dic2023!$K$6:$K$205,C957))+(LN(INDEX(Dic2023!$K$6:$K$205,MIN(C957+1,200)))-LN(INDEX(Dic2023!$K$6:$K$205,C957)))*(A957-6*C957)/6))</f>
        <v>0.0181839716601587</v>
      </c>
      <c r="H957" s="12" t="n">
        <f aca="false">G957^(-1/B957)-1</f>
        <v>0.0517528025</v>
      </c>
      <c r="I957" s="12" t="n">
        <f aca="false">(1+H957)^(1/12)-1</f>
        <v>0.00421369509431369</v>
      </c>
      <c r="J957" s="16" t="n">
        <f aca="false">IF(C957=0,(1+Dic2023!$M$6)^(-B957),EXP(LN(INDEX(Dic2023!$N$6:$N$205,C957))+(LN(INDEX(Dic2023!$N$6:$N$205,MIN(C957+1,200)))-LN(INDEX(Dic2023!$N$6:$N$205,C957)))*(A957-6*C957)/6))</f>
        <v>0.0181839716601587</v>
      </c>
      <c r="K957" s="12" t="n">
        <f aca="false">J957^(-1/B957)-1</f>
        <v>0.0517528025</v>
      </c>
      <c r="L957" s="12" t="n">
        <f aca="false">(1+K957)^(1/12)-1</f>
        <v>0.00421369509431369</v>
      </c>
    </row>
    <row r="958" customFormat="false" ht="15" hidden="false" customHeight="false" outlineLevel="0" collapsed="false">
      <c r="A958" s="4" t="n">
        <v>954</v>
      </c>
      <c r="B958" s="14" t="n">
        <f aca="false">A958/12</f>
        <v>79.5</v>
      </c>
      <c r="C958" s="15" t="n">
        <f aca="false">INT(A958/6)</f>
        <v>159</v>
      </c>
      <c r="D958" s="16" t="n">
        <f aca="false">IF(C958=0,(1+Dic2023!$G$6)^(-B958),EXP(LN(INDEX(Dic2023!$H$6:$H$205,C958))+(LN(INDEX(Dic2023!$H$6:$H$205,MIN(C958+1,200)))-LN(INDEX(Dic2023!$H$6:$H$205,C958)))*(A958-6*C958)/6))</f>
        <v>0.0181076714537845</v>
      </c>
      <c r="E958" s="12" t="n">
        <f aca="false">D958^(-1/B958)-1</f>
        <v>0.0517528025</v>
      </c>
      <c r="F958" s="12" t="n">
        <f aca="false">(1+E958)^(1/12)-1</f>
        <v>0.00421369509431369</v>
      </c>
      <c r="G958" s="16" t="n">
        <f aca="false">IF(C958=0,(1+Dic2023!$J$6)^(-B958),EXP(LN(INDEX(Dic2023!$K$6:$K$205,C958))+(LN(INDEX(Dic2023!$K$6:$K$205,MIN(C958+1,200)))-LN(INDEX(Dic2023!$K$6:$K$205,C958)))*(A958-6*C958)/6))</f>
        <v>0.0181076714537845</v>
      </c>
      <c r="H958" s="12" t="n">
        <f aca="false">G958^(-1/B958)-1</f>
        <v>0.0517528025</v>
      </c>
      <c r="I958" s="12" t="n">
        <f aca="false">(1+H958)^(1/12)-1</f>
        <v>0.00421369509431369</v>
      </c>
      <c r="J958" s="16" t="n">
        <f aca="false">IF(C958=0,(1+Dic2023!$M$6)^(-B958),EXP(LN(INDEX(Dic2023!$N$6:$N$205,C958))+(LN(INDEX(Dic2023!$N$6:$N$205,MIN(C958+1,200)))-LN(INDEX(Dic2023!$N$6:$N$205,C958)))*(A958-6*C958)/6))</f>
        <v>0.0181076714537845</v>
      </c>
      <c r="K958" s="12" t="n">
        <f aca="false">J958^(-1/B958)-1</f>
        <v>0.0517528025</v>
      </c>
      <c r="L958" s="12" t="n">
        <f aca="false">(1+K958)^(1/12)-1</f>
        <v>0.00421369509431369</v>
      </c>
    </row>
    <row r="959" customFormat="false" ht="15" hidden="false" customHeight="false" outlineLevel="0" collapsed="false">
      <c r="A959" s="4" t="n">
        <v>955</v>
      </c>
      <c r="B959" s="14" t="n">
        <f aca="false">A959/12</f>
        <v>79.5833333333333</v>
      </c>
      <c r="C959" s="15" t="n">
        <f aca="false">INT(A959/6)</f>
        <v>159</v>
      </c>
      <c r="D959" s="16" t="n">
        <f aca="false">IF(C959=0,(1+Dic2023!$G$6)^(-B959),EXP(LN(INDEX(Dic2023!$H$6:$H$205,C959))+(LN(INDEX(Dic2023!$H$6:$H$205,MIN(C959+1,200)))-LN(INDEX(Dic2023!$H$6:$H$205,C959)))*(A959-6*C959)/6))</f>
        <v>0.0180316914041725</v>
      </c>
      <c r="E959" s="12" t="n">
        <f aca="false">D959^(-1/B959)-1</f>
        <v>0.0517528025</v>
      </c>
      <c r="F959" s="12" t="n">
        <f aca="false">(1+E959)^(1/12)-1</f>
        <v>0.00421369509431369</v>
      </c>
      <c r="G959" s="16" t="n">
        <f aca="false">IF(C959=0,(1+Dic2023!$J$6)^(-B959),EXP(LN(INDEX(Dic2023!$K$6:$K$205,C959))+(LN(INDEX(Dic2023!$K$6:$K$205,MIN(C959+1,200)))-LN(INDEX(Dic2023!$K$6:$K$205,C959)))*(A959-6*C959)/6))</f>
        <v>0.0180316914041725</v>
      </c>
      <c r="H959" s="12" t="n">
        <f aca="false">G959^(-1/B959)-1</f>
        <v>0.0517528025</v>
      </c>
      <c r="I959" s="12" t="n">
        <f aca="false">(1+H959)^(1/12)-1</f>
        <v>0.00421369509431369</v>
      </c>
      <c r="J959" s="16" t="n">
        <f aca="false">IF(C959=0,(1+Dic2023!$M$6)^(-B959),EXP(LN(INDEX(Dic2023!$N$6:$N$205,C959))+(LN(INDEX(Dic2023!$N$6:$N$205,MIN(C959+1,200)))-LN(INDEX(Dic2023!$N$6:$N$205,C959)))*(A959-6*C959)/6))</f>
        <v>0.0180316914041725</v>
      </c>
      <c r="K959" s="12" t="n">
        <f aca="false">J959^(-1/B959)-1</f>
        <v>0.0517528025</v>
      </c>
      <c r="L959" s="12" t="n">
        <f aca="false">(1+K959)^(1/12)-1</f>
        <v>0.00421369509431369</v>
      </c>
    </row>
    <row r="960" customFormat="false" ht="15" hidden="false" customHeight="false" outlineLevel="0" collapsed="false">
      <c r="A960" s="4" t="n">
        <v>956</v>
      </c>
      <c r="B960" s="14" t="n">
        <f aca="false">A960/12</f>
        <v>79.6666666666667</v>
      </c>
      <c r="C960" s="15" t="n">
        <f aca="false">INT(A960/6)</f>
        <v>159</v>
      </c>
      <c r="D960" s="16" t="n">
        <f aca="false">IF(C960=0,(1+Dic2023!$G$6)^(-B960),EXP(LN(INDEX(Dic2023!$H$6:$H$205,C960))+(LN(INDEX(Dic2023!$H$6:$H$205,MIN(C960+1,200)))-LN(INDEX(Dic2023!$H$6:$H$205,C960)))*(A960-6*C960)/6))</f>
        <v>0.0179560301679405</v>
      </c>
      <c r="E960" s="12" t="n">
        <f aca="false">D960^(-1/B960)-1</f>
        <v>0.0517528025</v>
      </c>
      <c r="F960" s="12" t="n">
        <f aca="false">(1+E960)^(1/12)-1</f>
        <v>0.00421369509431369</v>
      </c>
      <c r="G960" s="16" t="n">
        <f aca="false">IF(C960=0,(1+Dic2023!$J$6)^(-B960),EXP(LN(INDEX(Dic2023!$K$6:$K$205,C960))+(LN(INDEX(Dic2023!$K$6:$K$205,MIN(C960+1,200)))-LN(INDEX(Dic2023!$K$6:$K$205,C960)))*(A960-6*C960)/6))</f>
        <v>0.0179560301679405</v>
      </c>
      <c r="H960" s="12" t="n">
        <f aca="false">G960^(-1/B960)-1</f>
        <v>0.0517528025</v>
      </c>
      <c r="I960" s="12" t="n">
        <f aca="false">(1+H960)^(1/12)-1</f>
        <v>0.00421369509431369</v>
      </c>
      <c r="J960" s="16" t="n">
        <f aca="false">IF(C960=0,(1+Dic2023!$M$6)^(-B960),EXP(LN(INDEX(Dic2023!$N$6:$N$205,C960))+(LN(INDEX(Dic2023!$N$6:$N$205,MIN(C960+1,200)))-LN(INDEX(Dic2023!$N$6:$N$205,C960)))*(A960-6*C960)/6))</f>
        <v>0.0179560301679405</v>
      </c>
      <c r="K960" s="12" t="n">
        <f aca="false">J960^(-1/B960)-1</f>
        <v>0.0517528025</v>
      </c>
      <c r="L960" s="12" t="n">
        <f aca="false">(1+K960)^(1/12)-1</f>
        <v>0.00421369509431369</v>
      </c>
    </row>
    <row r="961" customFormat="false" ht="15" hidden="false" customHeight="false" outlineLevel="0" collapsed="false">
      <c r="A961" s="4" t="n">
        <v>957</v>
      </c>
      <c r="B961" s="14" t="n">
        <f aca="false">A961/12</f>
        <v>79.75</v>
      </c>
      <c r="C961" s="15" t="n">
        <f aca="false">INT(A961/6)</f>
        <v>159</v>
      </c>
      <c r="D961" s="16" t="n">
        <f aca="false">IF(C961=0,(1+Dic2023!$G$6)^(-B961),EXP(LN(INDEX(Dic2023!$H$6:$H$205,C961))+(LN(INDEX(Dic2023!$H$6:$H$205,MIN(C961+1,200)))-LN(INDEX(Dic2023!$H$6:$H$205,C961)))*(A961-6*C961)/6))</f>
        <v>0.0178806864073429</v>
      </c>
      <c r="E961" s="12" t="n">
        <f aca="false">D961^(-1/B961)-1</f>
        <v>0.0517528025</v>
      </c>
      <c r="F961" s="12" t="n">
        <f aca="false">(1+E961)^(1/12)-1</f>
        <v>0.00421369509431369</v>
      </c>
      <c r="G961" s="16" t="n">
        <f aca="false">IF(C961=0,(1+Dic2023!$J$6)^(-B961),EXP(LN(INDEX(Dic2023!$K$6:$K$205,C961))+(LN(INDEX(Dic2023!$K$6:$K$205,MIN(C961+1,200)))-LN(INDEX(Dic2023!$K$6:$K$205,C961)))*(A961-6*C961)/6))</f>
        <v>0.0178806864073429</v>
      </c>
      <c r="H961" s="12" t="n">
        <f aca="false">G961^(-1/B961)-1</f>
        <v>0.0517528025</v>
      </c>
      <c r="I961" s="12" t="n">
        <f aca="false">(1+H961)^(1/12)-1</f>
        <v>0.00421369509431369</v>
      </c>
      <c r="J961" s="16" t="n">
        <f aca="false">IF(C961=0,(1+Dic2023!$M$6)^(-B961),EXP(LN(INDEX(Dic2023!$N$6:$N$205,C961))+(LN(INDEX(Dic2023!$N$6:$N$205,MIN(C961+1,200)))-LN(INDEX(Dic2023!$N$6:$N$205,C961)))*(A961-6*C961)/6))</f>
        <v>0.0178806864073429</v>
      </c>
      <c r="K961" s="12" t="n">
        <f aca="false">J961^(-1/B961)-1</f>
        <v>0.0517528025</v>
      </c>
      <c r="L961" s="12" t="n">
        <f aca="false">(1+K961)^(1/12)-1</f>
        <v>0.00421369509431369</v>
      </c>
    </row>
    <row r="962" customFormat="false" ht="15" hidden="false" customHeight="false" outlineLevel="0" collapsed="false">
      <c r="A962" s="4" t="n">
        <v>958</v>
      </c>
      <c r="B962" s="14" t="n">
        <f aca="false">A962/12</f>
        <v>79.8333333333333</v>
      </c>
      <c r="C962" s="15" t="n">
        <f aca="false">INT(A962/6)</f>
        <v>159</v>
      </c>
      <c r="D962" s="16" t="n">
        <f aca="false">IF(C962=0,(1+Dic2023!$G$6)^(-B962),EXP(LN(INDEX(Dic2023!$H$6:$H$205,C962))+(LN(INDEX(Dic2023!$H$6:$H$205,MIN(C962+1,200)))-LN(INDEX(Dic2023!$H$6:$H$205,C962)))*(A962-6*C962)/6))</f>
        <v>0.0178056587902475</v>
      </c>
      <c r="E962" s="12" t="n">
        <f aca="false">D962^(-1/B962)-1</f>
        <v>0.0517528025</v>
      </c>
      <c r="F962" s="12" t="n">
        <f aca="false">(1+E962)^(1/12)-1</f>
        <v>0.00421369509431369</v>
      </c>
      <c r="G962" s="16" t="n">
        <f aca="false">IF(C962=0,(1+Dic2023!$J$6)^(-B962),EXP(LN(INDEX(Dic2023!$K$6:$K$205,C962))+(LN(INDEX(Dic2023!$K$6:$K$205,MIN(C962+1,200)))-LN(INDEX(Dic2023!$K$6:$K$205,C962)))*(A962-6*C962)/6))</f>
        <v>0.0178056587902475</v>
      </c>
      <c r="H962" s="12" t="n">
        <f aca="false">G962^(-1/B962)-1</f>
        <v>0.0517528025</v>
      </c>
      <c r="I962" s="12" t="n">
        <f aca="false">(1+H962)^(1/12)-1</f>
        <v>0.00421369509431369</v>
      </c>
      <c r="J962" s="16" t="n">
        <f aca="false">IF(C962=0,(1+Dic2023!$M$6)^(-B962),EXP(LN(INDEX(Dic2023!$N$6:$N$205,C962))+(LN(INDEX(Dic2023!$N$6:$N$205,MIN(C962+1,200)))-LN(INDEX(Dic2023!$N$6:$N$205,C962)))*(A962-6*C962)/6))</f>
        <v>0.0178056587902475</v>
      </c>
      <c r="K962" s="12" t="n">
        <f aca="false">J962^(-1/B962)-1</f>
        <v>0.0517528025</v>
      </c>
      <c r="L962" s="12" t="n">
        <f aca="false">(1+K962)^(1/12)-1</f>
        <v>0.00421369509431369</v>
      </c>
    </row>
    <row r="963" customFormat="false" ht="15" hidden="false" customHeight="false" outlineLevel="0" collapsed="false">
      <c r="A963" s="4" t="n">
        <v>959</v>
      </c>
      <c r="B963" s="14" t="n">
        <f aca="false">A963/12</f>
        <v>79.9166666666667</v>
      </c>
      <c r="C963" s="15" t="n">
        <f aca="false">INT(A963/6)</f>
        <v>159</v>
      </c>
      <c r="D963" s="16" t="n">
        <f aca="false">IF(C963=0,(1+Dic2023!$G$6)^(-B963),EXP(LN(INDEX(Dic2023!$H$6:$H$205,C963))+(LN(INDEX(Dic2023!$H$6:$H$205,MIN(C963+1,200)))-LN(INDEX(Dic2023!$H$6:$H$205,C963)))*(A963-6*C963)/6))</f>
        <v>0.0177309459901114</v>
      </c>
      <c r="E963" s="12" t="n">
        <f aca="false">D963^(-1/B963)-1</f>
        <v>0.0517528025</v>
      </c>
      <c r="F963" s="12" t="n">
        <f aca="false">(1+E963)^(1/12)-1</f>
        <v>0.00421369509431369</v>
      </c>
      <c r="G963" s="16" t="n">
        <f aca="false">IF(C963=0,(1+Dic2023!$J$6)^(-B963),EXP(LN(INDEX(Dic2023!$K$6:$K$205,C963))+(LN(INDEX(Dic2023!$K$6:$K$205,MIN(C963+1,200)))-LN(INDEX(Dic2023!$K$6:$K$205,C963)))*(A963-6*C963)/6))</f>
        <v>0.0177309459901114</v>
      </c>
      <c r="H963" s="12" t="n">
        <f aca="false">G963^(-1/B963)-1</f>
        <v>0.0517528025</v>
      </c>
      <c r="I963" s="12" t="n">
        <f aca="false">(1+H963)^(1/12)-1</f>
        <v>0.00421369509431369</v>
      </c>
      <c r="J963" s="16" t="n">
        <f aca="false">IF(C963=0,(1+Dic2023!$M$6)^(-B963),EXP(LN(INDEX(Dic2023!$N$6:$N$205,C963))+(LN(INDEX(Dic2023!$N$6:$N$205,MIN(C963+1,200)))-LN(INDEX(Dic2023!$N$6:$N$205,C963)))*(A963-6*C963)/6))</f>
        <v>0.0177309459901114</v>
      </c>
      <c r="K963" s="12" t="n">
        <f aca="false">J963^(-1/B963)-1</f>
        <v>0.0517528025</v>
      </c>
      <c r="L963" s="12" t="n">
        <f aca="false">(1+K963)^(1/12)-1</f>
        <v>0.00421369509431369</v>
      </c>
    </row>
    <row r="964" customFormat="false" ht="15" hidden="false" customHeight="false" outlineLevel="0" collapsed="false">
      <c r="A964" s="4" t="n">
        <v>960</v>
      </c>
      <c r="B964" s="14" t="n">
        <f aca="false">A964/12</f>
        <v>80</v>
      </c>
      <c r="C964" s="15" t="n">
        <f aca="false">INT(A964/6)</f>
        <v>160</v>
      </c>
      <c r="D964" s="16" t="n">
        <f aca="false">IF(C964=0,(1+Dic2023!$G$6)^(-B964),EXP(LN(INDEX(Dic2023!$H$6:$H$205,C964))+(LN(INDEX(Dic2023!$H$6:$H$205,MIN(C964+1,200)))-LN(INDEX(Dic2023!$H$6:$H$205,C964)))*(A964-6*C964)/6))</f>
        <v>0.0176565466859582</v>
      </c>
      <c r="E964" s="12" t="n">
        <f aca="false">D964^(-1/B964)-1</f>
        <v>0.0517528025</v>
      </c>
      <c r="F964" s="12" t="n">
        <f aca="false">(1+E964)^(1/12)-1</f>
        <v>0.00421369509431369</v>
      </c>
      <c r="G964" s="16" t="n">
        <f aca="false">IF(C964=0,(1+Dic2023!$J$6)^(-B964),EXP(LN(INDEX(Dic2023!$K$6:$K$205,C964))+(LN(INDEX(Dic2023!$K$6:$K$205,MIN(C964+1,200)))-LN(INDEX(Dic2023!$K$6:$K$205,C964)))*(A964-6*C964)/6))</f>
        <v>0.0176565466859582</v>
      </c>
      <c r="H964" s="12" t="n">
        <f aca="false">G964^(-1/B964)-1</f>
        <v>0.0517528025</v>
      </c>
      <c r="I964" s="12" t="n">
        <f aca="false">(1+H964)^(1/12)-1</f>
        <v>0.00421369509431369</v>
      </c>
      <c r="J964" s="16" t="n">
        <f aca="false">IF(C964=0,(1+Dic2023!$M$6)^(-B964),EXP(LN(INDEX(Dic2023!$N$6:$N$205,C964))+(LN(INDEX(Dic2023!$N$6:$N$205,MIN(C964+1,200)))-LN(INDEX(Dic2023!$N$6:$N$205,C964)))*(A964-6*C964)/6))</f>
        <v>0.0176565466859582</v>
      </c>
      <c r="K964" s="12" t="n">
        <f aca="false">J964^(-1/B964)-1</f>
        <v>0.0517528025</v>
      </c>
      <c r="L964" s="12" t="n">
        <f aca="false">(1+K964)^(1/12)-1</f>
        <v>0.00421369509431369</v>
      </c>
    </row>
    <row r="965" customFormat="false" ht="15" hidden="false" customHeight="false" outlineLevel="0" collapsed="false">
      <c r="A965" s="4" t="n">
        <v>961</v>
      </c>
      <c r="B965" s="14" t="n">
        <f aca="false">A965/12</f>
        <v>80.0833333333333</v>
      </c>
      <c r="C965" s="15" t="n">
        <f aca="false">INT(A965/6)</f>
        <v>160</v>
      </c>
      <c r="D965" s="16" t="n">
        <f aca="false">IF(C965=0,(1+Dic2023!$G$6)^(-B965),EXP(LN(INDEX(Dic2023!$H$6:$H$205,C965))+(LN(INDEX(Dic2023!$H$6:$H$205,MIN(C965+1,200)))-LN(INDEX(Dic2023!$H$6:$H$205,C965)))*(A965-6*C965)/6))</f>
        <v>0.0175824595623544</v>
      </c>
      <c r="E965" s="12" t="n">
        <f aca="false">D965^(-1/B965)-1</f>
        <v>0.0517528025</v>
      </c>
      <c r="F965" s="12" t="n">
        <f aca="false">(1+E965)^(1/12)-1</f>
        <v>0.00421369509431369</v>
      </c>
      <c r="G965" s="16" t="n">
        <f aca="false">IF(C965=0,(1+Dic2023!$J$6)^(-B965),EXP(LN(INDEX(Dic2023!$K$6:$K$205,C965))+(LN(INDEX(Dic2023!$K$6:$K$205,MIN(C965+1,200)))-LN(INDEX(Dic2023!$K$6:$K$205,C965)))*(A965-6*C965)/6))</f>
        <v>0.0175824595623544</v>
      </c>
      <c r="H965" s="12" t="n">
        <f aca="false">G965^(-1/B965)-1</f>
        <v>0.0517528025</v>
      </c>
      <c r="I965" s="12" t="n">
        <f aca="false">(1+H965)^(1/12)-1</f>
        <v>0.00421369509431369</v>
      </c>
      <c r="J965" s="16" t="n">
        <f aca="false">IF(C965=0,(1+Dic2023!$M$6)^(-B965),EXP(LN(INDEX(Dic2023!$N$6:$N$205,C965))+(LN(INDEX(Dic2023!$N$6:$N$205,MIN(C965+1,200)))-LN(INDEX(Dic2023!$N$6:$N$205,C965)))*(A965-6*C965)/6))</f>
        <v>0.0175824595623544</v>
      </c>
      <c r="K965" s="12" t="n">
        <f aca="false">J965^(-1/B965)-1</f>
        <v>0.0517528025</v>
      </c>
      <c r="L965" s="12" t="n">
        <f aca="false">(1+K965)^(1/12)-1</f>
        <v>0.00421369509431369</v>
      </c>
    </row>
    <row r="966" customFormat="false" ht="15" hidden="false" customHeight="false" outlineLevel="0" collapsed="false">
      <c r="A966" s="4" t="n">
        <v>962</v>
      </c>
      <c r="B966" s="14" t="n">
        <f aca="false">A966/12</f>
        <v>80.1666666666667</v>
      </c>
      <c r="C966" s="15" t="n">
        <f aca="false">INT(A966/6)</f>
        <v>160</v>
      </c>
      <c r="D966" s="16" t="n">
        <f aca="false">IF(C966=0,(1+Dic2023!$G$6)^(-B966),EXP(LN(INDEX(Dic2023!$H$6:$H$205,C966))+(LN(INDEX(Dic2023!$H$6:$H$205,MIN(C966+1,200)))-LN(INDEX(Dic2023!$H$6:$H$205,C966)))*(A966-6*C966)/6))</f>
        <v>0.0175086833093857</v>
      </c>
      <c r="E966" s="12" t="n">
        <f aca="false">D966^(-1/B966)-1</f>
        <v>0.0517528025</v>
      </c>
      <c r="F966" s="12" t="n">
        <f aca="false">(1+E966)^(1/12)-1</f>
        <v>0.00421369509431369</v>
      </c>
      <c r="G966" s="16" t="n">
        <f aca="false">IF(C966=0,(1+Dic2023!$J$6)^(-B966),EXP(LN(INDEX(Dic2023!$K$6:$K$205,C966))+(LN(INDEX(Dic2023!$K$6:$K$205,MIN(C966+1,200)))-LN(INDEX(Dic2023!$K$6:$K$205,C966)))*(A966-6*C966)/6))</f>
        <v>0.0175086833093857</v>
      </c>
      <c r="H966" s="12" t="n">
        <f aca="false">G966^(-1/B966)-1</f>
        <v>0.0517528025</v>
      </c>
      <c r="I966" s="12" t="n">
        <f aca="false">(1+H966)^(1/12)-1</f>
        <v>0.00421369509431369</v>
      </c>
      <c r="J966" s="16" t="n">
        <f aca="false">IF(C966=0,(1+Dic2023!$M$6)^(-B966),EXP(LN(INDEX(Dic2023!$N$6:$N$205,C966))+(LN(INDEX(Dic2023!$N$6:$N$205,MIN(C966+1,200)))-LN(INDEX(Dic2023!$N$6:$N$205,C966)))*(A966-6*C966)/6))</f>
        <v>0.0175086833093857</v>
      </c>
      <c r="K966" s="12" t="n">
        <f aca="false">J966^(-1/B966)-1</f>
        <v>0.0517528025</v>
      </c>
      <c r="L966" s="12" t="n">
        <f aca="false">(1+K966)^(1/12)-1</f>
        <v>0.00421369509431369</v>
      </c>
    </row>
    <row r="967" customFormat="false" ht="15" hidden="false" customHeight="false" outlineLevel="0" collapsed="false">
      <c r="A967" s="4" t="n">
        <v>963</v>
      </c>
      <c r="B967" s="14" t="n">
        <f aca="false">A967/12</f>
        <v>80.25</v>
      </c>
      <c r="C967" s="15" t="n">
        <f aca="false">INT(A967/6)</f>
        <v>160</v>
      </c>
      <c r="D967" s="16" t="n">
        <f aca="false">IF(C967=0,(1+Dic2023!$G$6)^(-B967),EXP(LN(INDEX(Dic2023!$H$6:$H$205,C967))+(LN(INDEX(Dic2023!$H$6:$H$205,MIN(C967+1,200)))-LN(INDEX(Dic2023!$H$6:$H$205,C967)))*(A967-6*C967)/6))</f>
        <v>0.0174352166226346</v>
      </c>
      <c r="E967" s="12" t="n">
        <f aca="false">D967^(-1/B967)-1</f>
        <v>0.0517528025</v>
      </c>
      <c r="F967" s="12" t="n">
        <f aca="false">(1+E967)^(1/12)-1</f>
        <v>0.00421369509431369</v>
      </c>
      <c r="G967" s="16" t="n">
        <f aca="false">IF(C967=0,(1+Dic2023!$J$6)^(-B967),EXP(LN(INDEX(Dic2023!$K$6:$K$205,C967))+(LN(INDEX(Dic2023!$K$6:$K$205,MIN(C967+1,200)))-LN(INDEX(Dic2023!$K$6:$K$205,C967)))*(A967-6*C967)/6))</f>
        <v>0.0174352166226346</v>
      </c>
      <c r="H967" s="12" t="n">
        <f aca="false">G967^(-1/B967)-1</f>
        <v>0.0517528025</v>
      </c>
      <c r="I967" s="12" t="n">
        <f aca="false">(1+H967)^(1/12)-1</f>
        <v>0.00421369509431369</v>
      </c>
      <c r="J967" s="16" t="n">
        <f aca="false">IF(C967=0,(1+Dic2023!$M$6)^(-B967),EXP(LN(INDEX(Dic2023!$N$6:$N$205,C967))+(LN(INDEX(Dic2023!$N$6:$N$205,MIN(C967+1,200)))-LN(INDEX(Dic2023!$N$6:$N$205,C967)))*(A967-6*C967)/6))</f>
        <v>0.0174352166226346</v>
      </c>
      <c r="K967" s="12" t="n">
        <f aca="false">J967^(-1/B967)-1</f>
        <v>0.0517528025</v>
      </c>
      <c r="L967" s="12" t="n">
        <f aca="false">(1+K967)^(1/12)-1</f>
        <v>0.00421369509431369</v>
      </c>
    </row>
    <row r="968" customFormat="false" ht="15" hidden="false" customHeight="false" outlineLevel="0" collapsed="false">
      <c r="A968" s="4" t="n">
        <v>964</v>
      </c>
      <c r="B968" s="14" t="n">
        <f aca="false">A968/12</f>
        <v>80.3333333333333</v>
      </c>
      <c r="C968" s="15" t="n">
        <f aca="false">INT(A968/6)</f>
        <v>160</v>
      </c>
      <c r="D968" s="16" t="n">
        <f aca="false">IF(C968=0,(1+Dic2023!$G$6)^(-B968),EXP(LN(INDEX(Dic2023!$H$6:$H$205,C968))+(LN(INDEX(Dic2023!$H$6:$H$205,MIN(C968+1,200)))-LN(INDEX(Dic2023!$H$6:$H$205,C968)))*(A968-6*C968)/6))</f>
        <v>0.0173620582031568</v>
      </c>
      <c r="E968" s="12" t="n">
        <f aca="false">D968^(-1/B968)-1</f>
        <v>0.0517528025</v>
      </c>
      <c r="F968" s="12" t="n">
        <f aca="false">(1+E968)^(1/12)-1</f>
        <v>0.00421369509431369</v>
      </c>
      <c r="G968" s="16" t="n">
        <f aca="false">IF(C968=0,(1+Dic2023!$J$6)^(-B968),EXP(LN(INDEX(Dic2023!$K$6:$K$205,C968))+(LN(INDEX(Dic2023!$K$6:$K$205,MIN(C968+1,200)))-LN(INDEX(Dic2023!$K$6:$K$205,C968)))*(A968-6*C968)/6))</f>
        <v>0.0173620582031568</v>
      </c>
      <c r="H968" s="12" t="n">
        <f aca="false">G968^(-1/B968)-1</f>
        <v>0.0517528025</v>
      </c>
      <c r="I968" s="12" t="n">
        <f aca="false">(1+H968)^(1/12)-1</f>
        <v>0.00421369509431369</v>
      </c>
      <c r="J968" s="16" t="n">
        <f aca="false">IF(C968=0,(1+Dic2023!$M$6)^(-B968),EXP(LN(INDEX(Dic2023!$N$6:$N$205,C968))+(LN(INDEX(Dic2023!$N$6:$N$205,MIN(C968+1,200)))-LN(INDEX(Dic2023!$N$6:$N$205,C968)))*(A968-6*C968)/6))</f>
        <v>0.0173620582031568</v>
      </c>
      <c r="K968" s="12" t="n">
        <f aca="false">J968^(-1/B968)-1</f>
        <v>0.0517528025</v>
      </c>
      <c r="L968" s="12" t="n">
        <f aca="false">(1+K968)^(1/12)-1</f>
        <v>0.00421369509431369</v>
      </c>
    </row>
    <row r="969" customFormat="false" ht="15" hidden="false" customHeight="false" outlineLevel="0" collapsed="false">
      <c r="A969" s="4" t="n">
        <v>965</v>
      </c>
      <c r="B969" s="14" t="n">
        <f aca="false">A969/12</f>
        <v>80.4166666666667</v>
      </c>
      <c r="C969" s="15" t="n">
        <f aca="false">INT(A969/6)</f>
        <v>160</v>
      </c>
      <c r="D969" s="16" t="n">
        <f aca="false">IF(C969=0,(1+Dic2023!$G$6)^(-B969),EXP(LN(INDEX(Dic2023!$H$6:$H$205,C969))+(LN(INDEX(Dic2023!$H$6:$H$205,MIN(C969+1,200)))-LN(INDEX(Dic2023!$H$6:$H$205,C969)))*(A969-6*C969)/6))</f>
        <v>0.0172892067574583</v>
      </c>
      <c r="E969" s="12" t="n">
        <f aca="false">D969^(-1/B969)-1</f>
        <v>0.0517528025</v>
      </c>
      <c r="F969" s="12" t="n">
        <f aca="false">(1+E969)^(1/12)-1</f>
        <v>0.00421369509431369</v>
      </c>
      <c r="G969" s="16" t="n">
        <f aca="false">IF(C969=0,(1+Dic2023!$J$6)^(-B969),EXP(LN(INDEX(Dic2023!$K$6:$K$205,C969))+(LN(INDEX(Dic2023!$K$6:$K$205,MIN(C969+1,200)))-LN(INDEX(Dic2023!$K$6:$K$205,C969)))*(A969-6*C969)/6))</f>
        <v>0.0172892067574583</v>
      </c>
      <c r="H969" s="12" t="n">
        <f aca="false">G969^(-1/B969)-1</f>
        <v>0.0517528025</v>
      </c>
      <c r="I969" s="12" t="n">
        <f aca="false">(1+H969)^(1/12)-1</f>
        <v>0.00421369509431369</v>
      </c>
      <c r="J969" s="16" t="n">
        <f aca="false">IF(C969=0,(1+Dic2023!$M$6)^(-B969),EXP(LN(INDEX(Dic2023!$N$6:$N$205,C969))+(LN(INDEX(Dic2023!$N$6:$N$205,MIN(C969+1,200)))-LN(INDEX(Dic2023!$N$6:$N$205,C969)))*(A969-6*C969)/6))</f>
        <v>0.0172892067574583</v>
      </c>
      <c r="K969" s="12" t="n">
        <f aca="false">J969^(-1/B969)-1</f>
        <v>0.0517528025</v>
      </c>
      <c r="L969" s="12" t="n">
        <f aca="false">(1+K969)^(1/12)-1</f>
        <v>0.00421369509431369</v>
      </c>
    </row>
    <row r="970" customFormat="false" ht="15" hidden="false" customHeight="false" outlineLevel="0" collapsed="false">
      <c r="A970" s="4" t="n">
        <v>966</v>
      </c>
      <c r="B970" s="14" t="n">
        <f aca="false">A970/12</f>
        <v>80.5</v>
      </c>
      <c r="C970" s="15" t="n">
        <f aca="false">INT(A970/6)</f>
        <v>161</v>
      </c>
      <c r="D970" s="16" t="n">
        <f aca="false">IF(C970=0,(1+Dic2023!$G$6)^(-B970),EXP(LN(INDEX(Dic2023!$H$6:$H$205,C970))+(LN(INDEX(Dic2023!$H$6:$H$205,MIN(C970+1,200)))-LN(INDEX(Dic2023!$H$6:$H$205,C970)))*(A970-6*C970)/6))</f>
        <v>0.0172166609974728</v>
      </c>
      <c r="E970" s="12" t="n">
        <f aca="false">D970^(-1/B970)-1</f>
        <v>0.0517528025</v>
      </c>
      <c r="F970" s="12" t="n">
        <f aca="false">(1+E970)^(1/12)-1</f>
        <v>0.00421369509431369</v>
      </c>
      <c r="G970" s="16" t="n">
        <f aca="false">IF(C970=0,(1+Dic2023!$J$6)^(-B970),EXP(LN(INDEX(Dic2023!$K$6:$K$205,C970))+(LN(INDEX(Dic2023!$K$6:$K$205,MIN(C970+1,200)))-LN(INDEX(Dic2023!$K$6:$K$205,C970)))*(A970-6*C970)/6))</f>
        <v>0.0172166609974728</v>
      </c>
      <c r="H970" s="12" t="n">
        <f aca="false">G970^(-1/B970)-1</f>
        <v>0.0517528025</v>
      </c>
      <c r="I970" s="12" t="n">
        <f aca="false">(1+H970)^(1/12)-1</f>
        <v>0.00421369509431369</v>
      </c>
      <c r="J970" s="16" t="n">
        <f aca="false">IF(C970=0,(1+Dic2023!$M$6)^(-B970),EXP(LN(INDEX(Dic2023!$N$6:$N$205,C970))+(LN(INDEX(Dic2023!$N$6:$N$205,MIN(C970+1,200)))-LN(INDEX(Dic2023!$N$6:$N$205,C970)))*(A970-6*C970)/6))</f>
        <v>0.0172166609974728</v>
      </c>
      <c r="K970" s="12" t="n">
        <f aca="false">J970^(-1/B970)-1</f>
        <v>0.0517528025</v>
      </c>
      <c r="L970" s="12" t="n">
        <f aca="false">(1+K970)^(1/12)-1</f>
        <v>0.00421369509431369</v>
      </c>
    </row>
    <row r="971" customFormat="false" ht="15" hidden="false" customHeight="false" outlineLevel="0" collapsed="false">
      <c r="A971" s="4" t="n">
        <v>967</v>
      </c>
      <c r="B971" s="14" t="n">
        <f aca="false">A971/12</f>
        <v>80.5833333333333</v>
      </c>
      <c r="C971" s="15" t="n">
        <f aca="false">INT(A971/6)</f>
        <v>161</v>
      </c>
      <c r="D971" s="16" t="n">
        <f aca="false">IF(C971=0,(1+Dic2023!$G$6)^(-B971),EXP(LN(INDEX(Dic2023!$H$6:$H$205,C971))+(LN(INDEX(Dic2023!$H$6:$H$205,MIN(C971+1,200)))-LN(INDEX(Dic2023!$H$6:$H$205,C971)))*(A971-6*C971)/6))</f>
        <v>0.0171444196405386</v>
      </c>
      <c r="E971" s="12" t="n">
        <f aca="false">D971^(-1/B971)-1</f>
        <v>0.0517528025</v>
      </c>
      <c r="F971" s="12" t="n">
        <f aca="false">(1+E971)^(1/12)-1</f>
        <v>0.00421369509431369</v>
      </c>
      <c r="G971" s="16" t="n">
        <f aca="false">IF(C971=0,(1+Dic2023!$J$6)^(-B971),EXP(LN(INDEX(Dic2023!$K$6:$K$205,C971))+(LN(INDEX(Dic2023!$K$6:$K$205,MIN(C971+1,200)))-LN(INDEX(Dic2023!$K$6:$K$205,C971)))*(A971-6*C971)/6))</f>
        <v>0.0171444196405386</v>
      </c>
      <c r="H971" s="12" t="n">
        <f aca="false">G971^(-1/B971)-1</f>
        <v>0.0517528025</v>
      </c>
      <c r="I971" s="12" t="n">
        <f aca="false">(1+H971)^(1/12)-1</f>
        <v>0.00421369509431369</v>
      </c>
      <c r="J971" s="16" t="n">
        <f aca="false">IF(C971=0,(1+Dic2023!$M$6)^(-B971),EXP(LN(INDEX(Dic2023!$N$6:$N$205,C971))+(LN(INDEX(Dic2023!$N$6:$N$205,MIN(C971+1,200)))-LN(INDEX(Dic2023!$N$6:$N$205,C971)))*(A971-6*C971)/6))</f>
        <v>0.0171444196405386</v>
      </c>
      <c r="K971" s="12" t="n">
        <f aca="false">J971^(-1/B971)-1</f>
        <v>0.0517528025</v>
      </c>
      <c r="L971" s="12" t="n">
        <f aca="false">(1+K971)^(1/12)-1</f>
        <v>0.00421369509431369</v>
      </c>
    </row>
    <row r="972" customFormat="false" ht="15" hidden="false" customHeight="false" outlineLevel="0" collapsed="false">
      <c r="A972" s="4" t="n">
        <v>968</v>
      </c>
      <c r="B972" s="14" t="n">
        <f aca="false">A972/12</f>
        <v>80.6666666666667</v>
      </c>
      <c r="C972" s="15" t="n">
        <f aca="false">INT(A972/6)</f>
        <v>161</v>
      </c>
      <c r="D972" s="16" t="n">
        <f aca="false">IF(C972=0,(1+Dic2023!$G$6)^(-B972),EXP(LN(INDEX(Dic2023!$H$6:$H$205,C972))+(LN(INDEX(Dic2023!$H$6:$H$205,MIN(C972+1,200)))-LN(INDEX(Dic2023!$H$6:$H$205,C972)))*(A972-6*C972)/6))</f>
        <v>0.0170724814093762</v>
      </c>
      <c r="E972" s="12" t="n">
        <f aca="false">D972^(-1/B972)-1</f>
        <v>0.0517528025</v>
      </c>
      <c r="F972" s="12" t="n">
        <f aca="false">(1+E972)^(1/12)-1</f>
        <v>0.00421369509431369</v>
      </c>
      <c r="G972" s="16" t="n">
        <f aca="false">IF(C972=0,(1+Dic2023!$J$6)^(-B972),EXP(LN(INDEX(Dic2023!$K$6:$K$205,C972))+(LN(INDEX(Dic2023!$K$6:$K$205,MIN(C972+1,200)))-LN(INDEX(Dic2023!$K$6:$K$205,C972)))*(A972-6*C972)/6))</f>
        <v>0.0170724814093762</v>
      </c>
      <c r="H972" s="12" t="n">
        <f aca="false">G972^(-1/B972)-1</f>
        <v>0.0517528025</v>
      </c>
      <c r="I972" s="12" t="n">
        <f aca="false">(1+H972)^(1/12)-1</f>
        <v>0.00421369509431369</v>
      </c>
      <c r="J972" s="16" t="n">
        <f aca="false">IF(C972=0,(1+Dic2023!$M$6)^(-B972),EXP(LN(INDEX(Dic2023!$N$6:$N$205,C972))+(LN(INDEX(Dic2023!$N$6:$N$205,MIN(C972+1,200)))-LN(INDEX(Dic2023!$N$6:$N$205,C972)))*(A972-6*C972)/6))</f>
        <v>0.0170724814093762</v>
      </c>
      <c r="K972" s="12" t="n">
        <f aca="false">J972^(-1/B972)-1</f>
        <v>0.0517528025</v>
      </c>
      <c r="L972" s="12" t="n">
        <f aca="false">(1+K972)^(1/12)-1</f>
        <v>0.00421369509431369</v>
      </c>
    </row>
    <row r="973" customFormat="false" ht="15" hidden="false" customHeight="false" outlineLevel="0" collapsed="false">
      <c r="A973" s="4" t="n">
        <v>969</v>
      </c>
      <c r="B973" s="14" t="n">
        <f aca="false">A973/12</f>
        <v>80.75</v>
      </c>
      <c r="C973" s="15" t="n">
        <f aca="false">INT(A973/6)</f>
        <v>161</v>
      </c>
      <c r="D973" s="16" t="n">
        <f aca="false">IF(C973=0,(1+Dic2023!$G$6)^(-B973),EXP(LN(INDEX(Dic2023!$H$6:$H$205,C973))+(LN(INDEX(Dic2023!$H$6:$H$205,MIN(C973+1,200)))-LN(INDEX(Dic2023!$H$6:$H$205,C973)))*(A973-6*C973)/6))</f>
        <v>0.0170008450320654</v>
      </c>
      <c r="E973" s="12" t="n">
        <f aca="false">D973^(-1/B973)-1</f>
        <v>0.0517528025</v>
      </c>
      <c r="F973" s="12" t="n">
        <f aca="false">(1+E973)^(1/12)-1</f>
        <v>0.00421369509431369</v>
      </c>
      <c r="G973" s="16" t="n">
        <f aca="false">IF(C973=0,(1+Dic2023!$J$6)^(-B973),EXP(LN(INDEX(Dic2023!$K$6:$K$205,C973))+(LN(INDEX(Dic2023!$K$6:$K$205,MIN(C973+1,200)))-LN(INDEX(Dic2023!$K$6:$K$205,C973)))*(A973-6*C973)/6))</f>
        <v>0.0170008450320654</v>
      </c>
      <c r="H973" s="12" t="n">
        <f aca="false">G973^(-1/B973)-1</f>
        <v>0.0517528025</v>
      </c>
      <c r="I973" s="12" t="n">
        <f aca="false">(1+H973)^(1/12)-1</f>
        <v>0.00421369509431369</v>
      </c>
      <c r="J973" s="16" t="n">
        <f aca="false">IF(C973=0,(1+Dic2023!$M$6)^(-B973),EXP(LN(INDEX(Dic2023!$N$6:$N$205,C973))+(LN(INDEX(Dic2023!$N$6:$N$205,MIN(C973+1,200)))-LN(INDEX(Dic2023!$N$6:$N$205,C973)))*(A973-6*C973)/6))</f>
        <v>0.0170008450320654</v>
      </c>
      <c r="K973" s="12" t="n">
        <f aca="false">J973^(-1/B973)-1</f>
        <v>0.0517528025</v>
      </c>
      <c r="L973" s="12" t="n">
        <f aca="false">(1+K973)^(1/12)-1</f>
        <v>0.00421369509431369</v>
      </c>
    </row>
    <row r="974" customFormat="false" ht="15" hidden="false" customHeight="false" outlineLevel="0" collapsed="false">
      <c r="A974" s="4" t="n">
        <v>970</v>
      </c>
      <c r="B974" s="14" t="n">
        <f aca="false">A974/12</f>
        <v>80.8333333333333</v>
      </c>
      <c r="C974" s="15" t="n">
        <f aca="false">INT(A974/6)</f>
        <v>161</v>
      </c>
      <c r="D974" s="16" t="n">
        <f aca="false">IF(C974=0,(1+Dic2023!$G$6)^(-B974),EXP(LN(INDEX(Dic2023!$H$6:$H$205,C974))+(LN(INDEX(Dic2023!$H$6:$H$205,MIN(C974+1,200)))-LN(INDEX(Dic2023!$H$6:$H$205,C974)))*(A974-6*C974)/6))</f>
        <v>0.0169295092420231</v>
      </c>
      <c r="E974" s="12" t="n">
        <f aca="false">D974^(-1/B974)-1</f>
        <v>0.0517528025</v>
      </c>
      <c r="F974" s="12" t="n">
        <f aca="false">(1+E974)^(1/12)-1</f>
        <v>0.00421369509431369</v>
      </c>
      <c r="G974" s="16" t="n">
        <f aca="false">IF(C974=0,(1+Dic2023!$J$6)^(-B974),EXP(LN(INDEX(Dic2023!$K$6:$K$205,C974))+(LN(INDEX(Dic2023!$K$6:$K$205,MIN(C974+1,200)))-LN(INDEX(Dic2023!$K$6:$K$205,C974)))*(A974-6*C974)/6))</f>
        <v>0.0169295092420231</v>
      </c>
      <c r="H974" s="12" t="n">
        <f aca="false">G974^(-1/B974)-1</f>
        <v>0.0517528025</v>
      </c>
      <c r="I974" s="12" t="n">
        <f aca="false">(1+H974)^(1/12)-1</f>
        <v>0.00421369509431369</v>
      </c>
      <c r="J974" s="16" t="n">
        <f aca="false">IF(C974=0,(1+Dic2023!$M$6)^(-B974),EXP(LN(INDEX(Dic2023!$N$6:$N$205,C974))+(LN(INDEX(Dic2023!$N$6:$N$205,MIN(C974+1,200)))-LN(INDEX(Dic2023!$N$6:$N$205,C974)))*(A974-6*C974)/6))</f>
        <v>0.0169295092420231</v>
      </c>
      <c r="K974" s="12" t="n">
        <f aca="false">J974^(-1/B974)-1</f>
        <v>0.0517528025</v>
      </c>
      <c r="L974" s="12" t="n">
        <f aca="false">(1+K974)^(1/12)-1</f>
        <v>0.00421369509431369</v>
      </c>
    </row>
    <row r="975" customFormat="false" ht="15" hidden="false" customHeight="false" outlineLevel="0" collapsed="false">
      <c r="A975" s="4" t="n">
        <v>971</v>
      </c>
      <c r="B975" s="14" t="n">
        <f aca="false">A975/12</f>
        <v>80.9166666666667</v>
      </c>
      <c r="C975" s="15" t="n">
        <f aca="false">INT(A975/6)</f>
        <v>161</v>
      </c>
      <c r="D975" s="16" t="n">
        <f aca="false">IF(C975=0,(1+Dic2023!$G$6)^(-B975),EXP(LN(INDEX(Dic2023!$H$6:$H$205,C975))+(LN(INDEX(Dic2023!$H$6:$H$205,MIN(C975+1,200)))-LN(INDEX(Dic2023!$H$6:$H$205,C975)))*(A975-6*C975)/6))</f>
        <v>0.0168584727779809</v>
      </c>
      <c r="E975" s="12" t="n">
        <f aca="false">D975^(-1/B975)-1</f>
        <v>0.0517528025</v>
      </c>
      <c r="F975" s="12" t="n">
        <f aca="false">(1+E975)^(1/12)-1</f>
        <v>0.00421369509431369</v>
      </c>
      <c r="G975" s="16" t="n">
        <f aca="false">IF(C975=0,(1+Dic2023!$J$6)^(-B975),EXP(LN(INDEX(Dic2023!$K$6:$K$205,C975))+(LN(INDEX(Dic2023!$K$6:$K$205,MIN(C975+1,200)))-LN(INDEX(Dic2023!$K$6:$K$205,C975)))*(A975-6*C975)/6))</f>
        <v>0.0168584727779809</v>
      </c>
      <c r="H975" s="12" t="n">
        <f aca="false">G975^(-1/B975)-1</f>
        <v>0.0517528025</v>
      </c>
      <c r="I975" s="12" t="n">
        <f aca="false">(1+H975)^(1/12)-1</f>
        <v>0.00421369509431369</v>
      </c>
      <c r="J975" s="16" t="n">
        <f aca="false">IF(C975=0,(1+Dic2023!$M$6)^(-B975),EXP(LN(INDEX(Dic2023!$N$6:$N$205,C975))+(LN(INDEX(Dic2023!$N$6:$N$205,MIN(C975+1,200)))-LN(INDEX(Dic2023!$N$6:$N$205,C975)))*(A975-6*C975)/6))</f>
        <v>0.0168584727779809</v>
      </c>
      <c r="K975" s="12" t="n">
        <f aca="false">J975^(-1/B975)-1</f>
        <v>0.0517528025</v>
      </c>
      <c r="L975" s="12" t="n">
        <f aca="false">(1+K975)^(1/12)-1</f>
        <v>0.00421369509431369</v>
      </c>
    </row>
    <row r="976" customFormat="false" ht="15" hidden="false" customHeight="false" outlineLevel="0" collapsed="false">
      <c r="A976" s="4" t="n">
        <v>972</v>
      </c>
      <c r="B976" s="14" t="n">
        <f aca="false">A976/12</f>
        <v>81</v>
      </c>
      <c r="C976" s="15" t="n">
        <f aca="false">INT(A976/6)</f>
        <v>162</v>
      </c>
      <c r="D976" s="16" t="n">
        <f aca="false">IF(C976=0,(1+Dic2023!$G$6)^(-B976),EXP(LN(INDEX(Dic2023!$H$6:$H$205,C976))+(LN(INDEX(Dic2023!$H$6:$H$205,MIN(C976+1,200)))-LN(INDEX(Dic2023!$H$6:$H$205,C976)))*(A976-6*C976)/6))</f>
        <v>0.0167877343839626</v>
      </c>
      <c r="E976" s="12" t="n">
        <f aca="false">D976^(-1/B976)-1</f>
        <v>0.0517528025</v>
      </c>
      <c r="F976" s="12" t="n">
        <f aca="false">(1+E976)^(1/12)-1</f>
        <v>0.00421369509431369</v>
      </c>
      <c r="G976" s="16" t="n">
        <f aca="false">IF(C976=0,(1+Dic2023!$J$6)^(-B976),EXP(LN(INDEX(Dic2023!$K$6:$K$205,C976))+(LN(INDEX(Dic2023!$K$6:$K$205,MIN(C976+1,200)))-LN(INDEX(Dic2023!$K$6:$K$205,C976)))*(A976-6*C976)/6))</f>
        <v>0.0167877343839626</v>
      </c>
      <c r="H976" s="12" t="n">
        <f aca="false">G976^(-1/B976)-1</f>
        <v>0.0517528025</v>
      </c>
      <c r="I976" s="12" t="n">
        <f aca="false">(1+H976)^(1/12)-1</f>
        <v>0.00421369509431369</v>
      </c>
      <c r="J976" s="16" t="n">
        <f aca="false">IF(C976=0,(1+Dic2023!$M$6)^(-B976),EXP(LN(INDEX(Dic2023!$N$6:$N$205,C976))+(LN(INDEX(Dic2023!$N$6:$N$205,MIN(C976+1,200)))-LN(INDEX(Dic2023!$N$6:$N$205,C976)))*(A976-6*C976)/6))</f>
        <v>0.0167877343839626</v>
      </c>
      <c r="K976" s="12" t="n">
        <f aca="false">J976^(-1/B976)-1</f>
        <v>0.0517528025</v>
      </c>
      <c r="L976" s="12" t="n">
        <f aca="false">(1+K976)^(1/12)-1</f>
        <v>0.00421369509431369</v>
      </c>
    </row>
    <row r="977" customFormat="false" ht="15" hidden="false" customHeight="false" outlineLevel="0" collapsed="false">
      <c r="A977" s="4" t="n">
        <v>973</v>
      </c>
      <c r="B977" s="14" t="n">
        <f aca="false">A977/12</f>
        <v>81.0833333333333</v>
      </c>
      <c r="C977" s="15" t="n">
        <f aca="false">INT(A977/6)</f>
        <v>162</v>
      </c>
      <c r="D977" s="16" t="n">
        <f aca="false">IF(C977=0,(1+Dic2023!$G$6)^(-B977),EXP(LN(INDEX(Dic2023!$H$6:$H$205,C977))+(LN(INDEX(Dic2023!$H$6:$H$205,MIN(C977+1,200)))-LN(INDEX(Dic2023!$H$6:$H$205,C977)))*(A977-6*C977)/6))</f>
        <v>0.016717292809262</v>
      </c>
      <c r="E977" s="12" t="n">
        <f aca="false">D977^(-1/B977)-1</f>
        <v>0.0517528025</v>
      </c>
      <c r="F977" s="12" t="n">
        <f aca="false">(1+E977)^(1/12)-1</f>
        <v>0.00421369509431369</v>
      </c>
      <c r="G977" s="16" t="n">
        <f aca="false">IF(C977=0,(1+Dic2023!$J$6)^(-B977),EXP(LN(INDEX(Dic2023!$K$6:$K$205,C977))+(LN(INDEX(Dic2023!$K$6:$K$205,MIN(C977+1,200)))-LN(INDEX(Dic2023!$K$6:$K$205,C977)))*(A977-6*C977)/6))</f>
        <v>0.016717292809262</v>
      </c>
      <c r="H977" s="12" t="n">
        <f aca="false">G977^(-1/B977)-1</f>
        <v>0.0517528025</v>
      </c>
      <c r="I977" s="12" t="n">
        <f aca="false">(1+H977)^(1/12)-1</f>
        <v>0.00421369509431369</v>
      </c>
      <c r="J977" s="16" t="n">
        <f aca="false">IF(C977=0,(1+Dic2023!$M$6)^(-B977),EXP(LN(INDEX(Dic2023!$N$6:$N$205,C977))+(LN(INDEX(Dic2023!$N$6:$N$205,MIN(C977+1,200)))-LN(INDEX(Dic2023!$N$6:$N$205,C977)))*(A977-6*C977)/6))</f>
        <v>0.016717292809262</v>
      </c>
      <c r="K977" s="12" t="n">
        <f aca="false">J977^(-1/B977)-1</f>
        <v>0.0517528025</v>
      </c>
      <c r="L977" s="12" t="n">
        <f aca="false">(1+K977)^(1/12)-1</f>
        <v>0.00421369509431369</v>
      </c>
    </row>
    <row r="978" customFormat="false" ht="15" hidden="false" customHeight="false" outlineLevel="0" collapsed="false">
      <c r="A978" s="4" t="n">
        <v>974</v>
      </c>
      <c r="B978" s="14" t="n">
        <f aca="false">A978/12</f>
        <v>81.1666666666667</v>
      </c>
      <c r="C978" s="15" t="n">
        <f aca="false">INT(A978/6)</f>
        <v>162</v>
      </c>
      <c r="D978" s="16" t="n">
        <f aca="false">IF(C978=0,(1+Dic2023!$G$6)^(-B978),EXP(LN(INDEX(Dic2023!$H$6:$H$205,C978))+(LN(INDEX(Dic2023!$H$6:$H$205,MIN(C978+1,200)))-LN(INDEX(Dic2023!$H$6:$H$205,C978)))*(A978-6*C978)/6))</f>
        <v>0.016647146808421</v>
      </c>
      <c r="E978" s="12" t="n">
        <f aca="false">D978^(-1/B978)-1</f>
        <v>0.0517528025</v>
      </c>
      <c r="F978" s="12" t="n">
        <f aca="false">(1+E978)^(1/12)-1</f>
        <v>0.00421369509431369</v>
      </c>
      <c r="G978" s="16" t="n">
        <f aca="false">IF(C978=0,(1+Dic2023!$J$6)^(-B978),EXP(LN(INDEX(Dic2023!$K$6:$K$205,C978))+(LN(INDEX(Dic2023!$K$6:$K$205,MIN(C978+1,200)))-LN(INDEX(Dic2023!$K$6:$K$205,C978)))*(A978-6*C978)/6))</f>
        <v>0.016647146808421</v>
      </c>
      <c r="H978" s="12" t="n">
        <f aca="false">G978^(-1/B978)-1</f>
        <v>0.0517528025</v>
      </c>
      <c r="I978" s="12" t="n">
        <f aca="false">(1+H978)^(1/12)-1</f>
        <v>0.00421369509431369</v>
      </c>
      <c r="J978" s="16" t="n">
        <f aca="false">IF(C978=0,(1+Dic2023!$M$6)^(-B978),EXP(LN(INDEX(Dic2023!$N$6:$N$205,C978))+(LN(INDEX(Dic2023!$N$6:$N$205,MIN(C978+1,200)))-LN(INDEX(Dic2023!$N$6:$N$205,C978)))*(A978-6*C978)/6))</f>
        <v>0.016647146808421</v>
      </c>
      <c r="K978" s="12" t="n">
        <f aca="false">J978^(-1/B978)-1</f>
        <v>0.0517528025</v>
      </c>
      <c r="L978" s="12" t="n">
        <f aca="false">(1+K978)^(1/12)-1</f>
        <v>0.00421369509431369</v>
      </c>
    </row>
    <row r="979" customFormat="false" ht="15" hidden="false" customHeight="false" outlineLevel="0" collapsed="false">
      <c r="A979" s="4" t="n">
        <v>975</v>
      </c>
      <c r="B979" s="14" t="n">
        <f aca="false">A979/12</f>
        <v>81.25</v>
      </c>
      <c r="C979" s="15" t="n">
        <f aca="false">INT(A979/6)</f>
        <v>162</v>
      </c>
      <c r="D979" s="16" t="n">
        <f aca="false">IF(C979=0,(1+Dic2023!$G$6)^(-B979),EXP(LN(INDEX(Dic2023!$H$6:$H$205,C979))+(LN(INDEX(Dic2023!$H$6:$H$205,MIN(C979+1,200)))-LN(INDEX(Dic2023!$H$6:$H$205,C979)))*(A979-6*C979)/6))</f>
        <v>0.0165772951412075</v>
      </c>
      <c r="E979" s="12" t="n">
        <f aca="false">D979^(-1/B979)-1</f>
        <v>0.0517528025</v>
      </c>
      <c r="F979" s="12" t="n">
        <f aca="false">(1+E979)^(1/12)-1</f>
        <v>0.00421369509431369</v>
      </c>
      <c r="G979" s="16" t="n">
        <f aca="false">IF(C979=0,(1+Dic2023!$J$6)^(-B979),EXP(LN(INDEX(Dic2023!$K$6:$K$205,C979))+(LN(INDEX(Dic2023!$K$6:$K$205,MIN(C979+1,200)))-LN(INDEX(Dic2023!$K$6:$K$205,C979)))*(A979-6*C979)/6))</f>
        <v>0.0165772951412075</v>
      </c>
      <c r="H979" s="12" t="n">
        <f aca="false">G979^(-1/B979)-1</f>
        <v>0.0517528025</v>
      </c>
      <c r="I979" s="12" t="n">
        <f aca="false">(1+H979)^(1/12)-1</f>
        <v>0.00421369509431369</v>
      </c>
      <c r="J979" s="16" t="n">
        <f aca="false">IF(C979=0,(1+Dic2023!$M$6)^(-B979),EXP(LN(INDEX(Dic2023!$N$6:$N$205,C979))+(LN(INDEX(Dic2023!$N$6:$N$205,MIN(C979+1,200)))-LN(INDEX(Dic2023!$N$6:$N$205,C979)))*(A979-6*C979)/6))</f>
        <v>0.0165772951412075</v>
      </c>
      <c r="K979" s="12" t="n">
        <f aca="false">J979^(-1/B979)-1</f>
        <v>0.0517528025</v>
      </c>
      <c r="L979" s="12" t="n">
        <f aca="false">(1+K979)^(1/12)-1</f>
        <v>0.00421369509431369</v>
      </c>
    </row>
    <row r="980" customFormat="false" ht="15" hidden="false" customHeight="false" outlineLevel="0" collapsed="false">
      <c r="A980" s="4" t="n">
        <v>976</v>
      </c>
      <c r="B980" s="14" t="n">
        <f aca="false">A980/12</f>
        <v>81.3333333333333</v>
      </c>
      <c r="C980" s="15" t="n">
        <f aca="false">INT(A980/6)</f>
        <v>162</v>
      </c>
      <c r="D980" s="16" t="n">
        <f aca="false">IF(C980=0,(1+Dic2023!$G$6)^(-B980),EXP(LN(INDEX(Dic2023!$H$6:$H$205,C980))+(LN(INDEX(Dic2023!$H$6:$H$205,MIN(C980+1,200)))-LN(INDEX(Dic2023!$H$6:$H$205,C980)))*(A980-6*C980)/6))</f>
        <v>0.0165077365725933</v>
      </c>
      <c r="E980" s="12" t="n">
        <f aca="false">D980^(-1/B980)-1</f>
        <v>0.0517528025</v>
      </c>
      <c r="F980" s="12" t="n">
        <f aca="false">(1+E980)^(1/12)-1</f>
        <v>0.00421369509431369</v>
      </c>
      <c r="G980" s="16" t="n">
        <f aca="false">IF(C980=0,(1+Dic2023!$J$6)^(-B980),EXP(LN(INDEX(Dic2023!$K$6:$K$205,C980))+(LN(INDEX(Dic2023!$K$6:$K$205,MIN(C980+1,200)))-LN(INDEX(Dic2023!$K$6:$K$205,C980)))*(A980-6*C980)/6))</f>
        <v>0.0165077365725933</v>
      </c>
      <c r="H980" s="12" t="n">
        <f aca="false">G980^(-1/B980)-1</f>
        <v>0.0517528025</v>
      </c>
      <c r="I980" s="12" t="n">
        <f aca="false">(1+H980)^(1/12)-1</f>
        <v>0.00421369509431369</v>
      </c>
      <c r="J980" s="16" t="n">
        <f aca="false">IF(C980=0,(1+Dic2023!$M$6)^(-B980),EXP(LN(INDEX(Dic2023!$N$6:$N$205,C980))+(LN(INDEX(Dic2023!$N$6:$N$205,MIN(C980+1,200)))-LN(INDEX(Dic2023!$N$6:$N$205,C980)))*(A980-6*C980)/6))</f>
        <v>0.0165077365725933</v>
      </c>
      <c r="K980" s="12" t="n">
        <f aca="false">J980^(-1/B980)-1</f>
        <v>0.0517528025</v>
      </c>
      <c r="L980" s="12" t="n">
        <f aca="false">(1+K980)^(1/12)-1</f>
        <v>0.00421369509431369</v>
      </c>
    </row>
    <row r="981" customFormat="false" ht="15" hidden="false" customHeight="false" outlineLevel="0" collapsed="false">
      <c r="A981" s="4" t="n">
        <v>977</v>
      </c>
      <c r="B981" s="14" t="n">
        <f aca="false">A981/12</f>
        <v>81.4166666666667</v>
      </c>
      <c r="C981" s="15" t="n">
        <f aca="false">INT(A981/6)</f>
        <v>162</v>
      </c>
      <c r="D981" s="16" t="n">
        <f aca="false">IF(C981=0,(1+Dic2023!$G$6)^(-B981),EXP(LN(INDEX(Dic2023!$H$6:$H$205,C981))+(LN(INDEX(Dic2023!$H$6:$H$205,MIN(C981+1,200)))-LN(INDEX(Dic2023!$H$6:$H$205,C981)))*(A981-6*C981)/6))</f>
        <v>0.0164384698727326</v>
      </c>
      <c r="E981" s="12" t="n">
        <f aca="false">D981^(-1/B981)-1</f>
        <v>0.0517528025</v>
      </c>
      <c r="F981" s="12" t="n">
        <f aca="false">(1+E981)^(1/12)-1</f>
        <v>0.00421369509431369</v>
      </c>
      <c r="G981" s="16" t="n">
        <f aca="false">IF(C981=0,(1+Dic2023!$J$6)^(-B981),EXP(LN(INDEX(Dic2023!$K$6:$K$205,C981))+(LN(INDEX(Dic2023!$K$6:$K$205,MIN(C981+1,200)))-LN(INDEX(Dic2023!$K$6:$K$205,C981)))*(A981-6*C981)/6))</f>
        <v>0.0164384698727326</v>
      </c>
      <c r="H981" s="12" t="n">
        <f aca="false">G981^(-1/B981)-1</f>
        <v>0.0517528025</v>
      </c>
      <c r="I981" s="12" t="n">
        <f aca="false">(1+H981)^(1/12)-1</f>
        <v>0.00421369509431369</v>
      </c>
      <c r="J981" s="16" t="n">
        <f aca="false">IF(C981=0,(1+Dic2023!$M$6)^(-B981),EXP(LN(INDEX(Dic2023!$N$6:$N$205,C981))+(LN(INDEX(Dic2023!$N$6:$N$205,MIN(C981+1,200)))-LN(INDEX(Dic2023!$N$6:$N$205,C981)))*(A981-6*C981)/6))</f>
        <v>0.0164384698727326</v>
      </c>
      <c r="K981" s="12" t="n">
        <f aca="false">J981^(-1/B981)-1</f>
        <v>0.0517528025</v>
      </c>
      <c r="L981" s="12" t="n">
        <f aca="false">(1+K981)^(1/12)-1</f>
        <v>0.00421369509431369</v>
      </c>
    </row>
    <row r="982" customFormat="false" ht="15" hidden="false" customHeight="false" outlineLevel="0" collapsed="false">
      <c r="A982" s="4" t="n">
        <v>978</v>
      </c>
      <c r="B982" s="14" t="n">
        <f aca="false">A982/12</f>
        <v>81.5</v>
      </c>
      <c r="C982" s="15" t="n">
        <f aca="false">INT(A982/6)</f>
        <v>163</v>
      </c>
      <c r="D982" s="16" t="n">
        <f aca="false">IF(C982=0,(1+Dic2023!$G$6)^(-B982),EXP(LN(INDEX(Dic2023!$H$6:$H$205,C982))+(LN(INDEX(Dic2023!$H$6:$H$205,MIN(C982+1,200)))-LN(INDEX(Dic2023!$H$6:$H$205,C982)))*(A982-6*C982)/6))</f>
        <v>0.0163694938169398</v>
      </c>
      <c r="E982" s="12" t="n">
        <f aca="false">D982^(-1/B982)-1</f>
        <v>0.0517528025</v>
      </c>
      <c r="F982" s="12" t="n">
        <f aca="false">(1+E982)^(1/12)-1</f>
        <v>0.00421369509431369</v>
      </c>
      <c r="G982" s="16" t="n">
        <f aca="false">IF(C982=0,(1+Dic2023!$J$6)^(-B982),EXP(LN(INDEX(Dic2023!$K$6:$K$205,C982))+(LN(INDEX(Dic2023!$K$6:$K$205,MIN(C982+1,200)))-LN(INDEX(Dic2023!$K$6:$K$205,C982)))*(A982-6*C982)/6))</f>
        <v>0.0163694938169398</v>
      </c>
      <c r="H982" s="12" t="n">
        <f aca="false">G982^(-1/B982)-1</f>
        <v>0.0517528025</v>
      </c>
      <c r="I982" s="12" t="n">
        <f aca="false">(1+H982)^(1/12)-1</f>
        <v>0.00421369509431369</v>
      </c>
      <c r="J982" s="16" t="n">
        <f aca="false">IF(C982=0,(1+Dic2023!$M$6)^(-B982),EXP(LN(INDEX(Dic2023!$N$6:$N$205,C982))+(LN(INDEX(Dic2023!$N$6:$N$205,MIN(C982+1,200)))-LN(INDEX(Dic2023!$N$6:$N$205,C982)))*(A982-6*C982)/6))</f>
        <v>0.0163694938169398</v>
      </c>
      <c r="K982" s="12" t="n">
        <f aca="false">J982^(-1/B982)-1</f>
        <v>0.0517528025</v>
      </c>
      <c r="L982" s="12" t="n">
        <f aca="false">(1+K982)^(1/12)-1</f>
        <v>0.00421369509431369</v>
      </c>
    </row>
    <row r="983" customFormat="false" ht="15" hidden="false" customHeight="false" outlineLevel="0" collapsed="false">
      <c r="A983" s="4" t="n">
        <v>979</v>
      </c>
      <c r="B983" s="14" t="n">
        <f aca="false">A983/12</f>
        <v>81.5833333333333</v>
      </c>
      <c r="C983" s="15" t="n">
        <f aca="false">INT(A983/6)</f>
        <v>163</v>
      </c>
      <c r="D983" s="16" t="n">
        <f aca="false">IF(C983=0,(1+Dic2023!$G$6)^(-B983),EXP(LN(INDEX(Dic2023!$H$6:$H$205,C983))+(LN(INDEX(Dic2023!$H$6:$H$205,MIN(C983+1,200)))-LN(INDEX(Dic2023!$H$6:$H$205,C983)))*(A983-6*C983)/6))</f>
        <v>0.0163008071856681</v>
      </c>
      <c r="E983" s="12" t="n">
        <f aca="false">D983^(-1/B983)-1</f>
        <v>0.0517528025</v>
      </c>
      <c r="F983" s="12" t="n">
        <f aca="false">(1+E983)^(1/12)-1</f>
        <v>0.00421369509431369</v>
      </c>
      <c r="G983" s="16" t="n">
        <f aca="false">IF(C983=0,(1+Dic2023!$J$6)^(-B983),EXP(LN(INDEX(Dic2023!$K$6:$K$205,C983))+(LN(INDEX(Dic2023!$K$6:$K$205,MIN(C983+1,200)))-LN(INDEX(Dic2023!$K$6:$K$205,C983)))*(A983-6*C983)/6))</f>
        <v>0.0163008071856681</v>
      </c>
      <c r="H983" s="12" t="n">
        <f aca="false">G983^(-1/B983)-1</f>
        <v>0.0517528025</v>
      </c>
      <c r="I983" s="12" t="n">
        <f aca="false">(1+H983)^(1/12)-1</f>
        <v>0.00421369509431369</v>
      </c>
      <c r="J983" s="16" t="n">
        <f aca="false">IF(C983=0,(1+Dic2023!$M$6)^(-B983),EXP(LN(INDEX(Dic2023!$N$6:$N$205,C983))+(LN(INDEX(Dic2023!$N$6:$N$205,MIN(C983+1,200)))-LN(INDEX(Dic2023!$N$6:$N$205,C983)))*(A983-6*C983)/6))</f>
        <v>0.0163008071856681</v>
      </c>
      <c r="K983" s="12" t="n">
        <f aca="false">J983^(-1/B983)-1</f>
        <v>0.0517528025</v>
      </c>
      <c r="L983" s="12" t="n">
        <f aca="false">(1+K983)^(1/12)-1</f>
        <v>0.00421369509431369</v>
      </c>
    </row>
    <row r="984" customFormat="false" ht="15" hidden="false" customHeight="false" outlineLevel="0" collapsed="false">
      <c r="A984" s="4" t="n">
        <v>980</v>
      </c>
      <c r="B984" s="14" t="n">
        <f aca="false">A984/12</f>
        <v>81.6666666666667</v>
      </c>
      <c r="C984" s="15" t="n">
        <f aca="false">INT(A984/6)</f>
        <v>163</v>
      </c>
      <c r="D984" s="16" t="n">
        <f aca="false">IF(C984=0,(1+Dic2023!$G$6)^(-B984),EXP(LN(INDEX(Dic2023!$H$6:$H$205,C984))+(LN(INDEX(Dic2023!$H$6:$H$205,MIN(C984+1,200)))-LN(INDEX(Dic2023!$H$6:$H$205,C984)))*(A984-6*C984)/6))</f>
        <v>0.0162324087644883</v>
      </c>
      <c r="E984" s="12" t="n">
        <f aca="false">D984^(-1/B984)-1</f>
        <v>0.0517528025</v>
      </c>
      <c r="F984" s="12" t="n">
        <f aca="false">(1+E984)^(1/12)-1</f>
        <v>0.00421369509431369</v>
      </c>
      <c r="G984" s="16" t="n">
        <f aca="false">IF(C984=0,(1+Dic2023!$J$6)^(-B984),EXP(LN(INDEX(Dic2023!$K$6:$K$205,C984))+(LN(INDEX(Dic2023!$K$6:$K$205,MIN(C984+1,200)))-LN(INDEX(Dic2023!$K$6:$K$205,C984)))*(A984-6*C984)/6))</f>
        <v>0.0162324087644883</v>
      </c>
      <c r="H984" s="12" t="n">
        <f aca="false">G984^(-1/B984)-1</f>
        <v>0.0517528025</v>
      </c>
      <c r="I984" s="12" t="n">
        <f aca="false">(1+H984)^(1/12)-1</f>
        <v>0.00421369509431369</v>
      </c>
      <c r="J984" s="16" t="n">
        <f aca="false">IF(C984=0,(1+Dic2023!$M$6)^(-B984),EXP(LN(INDEX(Dic2023!$N$6:$N$205,C984))+(LN(INDEX(Dic2023!$N$6:$N$205,MIN(C984+1,200)))-LN(INDEX(Dic2023!$N$6:$N$205,C984)))*(A984-6*C984)/6))</f>
        <v>0.0162324087644883</v>
      </c>
      <c r="K984" s="12" t="n">
        <f aca="false">J984^(-1/B984)-1</f>
        <v>0.0517528025</v>
      </c>
      <c r="L984" s="12" t="n">
        <f aca="false">(1+K984)^(1/12)-1</f>
        <v>0.00421369509431369</v>
      </c>
    </row>
    <row r="985" customFormat="false" ht="15" hidden="false" customHeight="false" outlineLevel="0" collapsed="false">
      <c r="A985" s="4" t="n">
        <v>981</v>
      </c>
      <c r="B985" s="14" t="n">
        <f aca="false">A985/12</f>
        <v>81.75</v>
      </c>
      <c r="C985" s="15" t="n">
        <f aca="false">INT(A985/6)</f>
        <v>163</v>
      </c>
      <c r="D985" s="16" t="n">
        <f aca="false">IF(C985=0,(1+Dic2023!$G$6)^(-B985),EXP(LN(INDEX(Dic2023!$H$6:$H$205,C985))+(LN(INDEX(Dic2023!$H$6:$H$205,MIN(C985+1,200)))-LN(INDEX(Dic2023!$H$6:$H$205,C985)))*(A985-6*C985)/6))</f>
        <v>0.0161642973440666</v>
      </c>
      <c r="E985" s="12" t="n">
        <f aca="false">D985^(-1/B985)-1</f>
        <v>0.0517528025</v>
      </c>
      <c r="F985" s="12" t="n">
        <f aca="false">(1+E985)^(1/12)-1</f>
        <v>0.00421369509431369</v>
      </c>
      <c r="G985" s="16" t="n">
        <f aca="false">IF(C985=0,(1+Dic2023!$J$6)^(-B985),EXP(LN(INDEX(Dic2023!$K$6:$K$205,C985))+(LN(INDEX(Dic2023!$K$6:$K$205,MIN(C985+1,200)))-LN(INDEX(Dic2023!$K$6:$K$205,C985)))*(A985-6*C985)/6))</f>
        <v>0.0161642973440666</v>
      </c>
      <c r="H985" s="12" t="n">
        <f aca="false">G985^(-1/B985)-1</f>
        <v>0.0517528025</v>
      </c>
      <c r="I985" s="12" t="n">
        <f aca="false">(1+H985)^(1/12)-1</f>
        <v>0.00421369509431369</v>
      </c>
      <c r="J985" s="16" t="n">
        <f aca="false">IF(C985=0,(1+Dic2023!$M$6)^(-B985),EXP(LN(INDEX(Dic2023!$N$6:$N$205,C985))+(LN(INDEX(Dic2023!$N$6:$N$205,MIN(C985+1,200)))-LN(INDEX(Dic2023!$N$6:$N$205,C985)))*(A985-6*C985)/6))</f>
        <v>0.0161642973440666</v>
      </c>
      <c r="K985" s="12" t="n">
        <f aca="false">J985^(-1/B985)-1</f>
        <v>0.0517528025</v>
      </c>
      <c r="L985" s="12" t="n">
        <f aca="false">(1+K985)^(1/12)-1</f>
        <v>0.00421369509431369</v>
      </c>
    </row>
    <row r="986" customFormat="false" ht="15" hidden="false" customHeight="false" outlineLevel="0" collapsed="false">
      <c r="A986" s="4" t="n">
        <v>982</v>
      </c>
      <c r="B986" s="14" t="n">
        <f aca="false">A986/12</f>
        <v>81.8333333333333</v>
      </c>
      <c r="C986" s="15" t="n">
        <f aca="false">INT(A986/6)</f>
        <v>163</v>
      </c>
      <c r="D986" s="16" t="n">
        <f aca="false">IF(C986=0,(1+Dic2023!$G$6)^(-B986),EXP(LN(INDEX(Dic2023!$H$6:$H$205,C986))+(LN(INDEX(Dic2023!$H$6:$H$205,MIN(C986+1,200)))-LN(INDEX(Dic2023!$H$6:$H$205,C986)))*(A986-6*C986)/6))</f>
        <v>0.0160964717201437</v>
      </c>
      <c r="E986" s="12" t="n">
        <f aca="false">D986^(-1/B986)-1</f>
        <v>0.0517528025</v>
      </c>
      <c r="F986" s="12" t="n">
        <f aca="false">(1+E986)^(1/12)-1</f>
        <v>0.00421369509431369</v>
      </c>
      <c r="G986" s="16" t="n">
        <f aca="false">IF(C986=0,(1+Dic2023!$J$6)^(-B986),EXP(LN(INDEX(Dic2023!$K$6:$K$205,C986))+(LN(INDEX(Dic2023!$K$6:$K$205,MIN(C986+1,200)))-LN(INDEX(Dic2023!$K$6:$K$205,C986)))*(A986-6*C986)/6))</f>
        <v>0.0160964717201437</v>
      </c>
      <c r="H986" s="12" t="n">
        <f aca="false">G986^(-1/B986)-1</f>
        <v>0.0517528025</v>
      </c>
      <c r="I986" s="12" t="n">
        <f aca="false">(1+H986)^(1/12)-1</f>
        <v>0.00421369509431369</v>
      </c>
      <c r="J986" s="16" t="n">
        <f aca="false">IF(C986=0,(1+Dic2023!$M$6)^(-B986),EXP(LN(INDEX(Dic2023!$N$6:$N$205,C986))+(LN(INDEX(Dic2023!$N$6:$N$205,MIN(C986+1,200)))-LN(INDEX(Dic2023!$N$6:$N$205,C986)))*(A986-6*C986)/6))</f>
        <v>0.0160964717201437</v>
      </c>
      <c r="K986" s="12" t="n">
        <f aca="false">J986^(-1/B986)-1</f>
        <v>0.0517528025</v>
      </c>
      <c r="L986" s="12" t="n">
        <f aca="false">(1+K986)^(1/12)-1</f>
        <v>0.00421369509431369</v>
      </c>
    </row>
    <row r="987" customFormat="false" ht="15" hidden="false" customHeight="false" outlineLevel="0" collapsed="false">
      <c r="A987" s="4" t="n">
        <v>983</v>
      </c>
      <c r="B987" s="14" t="n">
        <f aca="false">A987/12</f>
        <v>81.9166666666667</v>
      </c>
      <c r="C987" s="15" t="n">
        <f aca="false">INT(A987/6)</f>
        <v>163</v>
      </c>
      <c r="D987" s="16" t="n">
        <f aca="false">IF(C987=0,(1+Dic2023!$G$6)^(-B987),EXP(LN(INDEX(Dic2023!$H$6:$H$205,C987))+(LN(INDEX(Dic2023!$H$6:$H$205,MIN(C987+1,200)))-LN(INDEX(Dic2023!$H$6:$H$205,C987)))*(A987-6*C987)/6))</f>
        <v>0.0160289306935133</v>
      </c>
      <c r="E987" s="12" t="n">
        <f aca="false">D987^(-1/B987)-1</f>
        <v>0.0517528025</v>
      </c>
      <c r="F987" s="12" t="n">
        <f aca="false">(1+E987)^(1/12)-1</f>
        <v>0.00421369509431369</v>
      </c>
      <c r="G987" s="16" t="n">
        <f aca="false">IF(C987=0,(1+Dic2023!$J$6)^(-B987),EXP(LN(INDEX(Dic2023!$K$6:$K$205,C987))+(LN(INDEX(Dic2023!$K$6:$K$205,MIN(C987+1,200)))-LN(INDEX(Dic2023!$K$6:$K$205,C987)))*(A987-6*C987)/6))</f>
        <v>0.0160289306935133</v>
      </c>
      <c r="H987" s="12" t="n">
        <f aca="false">G987^(-1/B987)-1</f>
        <v>0.0517528025</v>
      </c>
      <c r="I987" s="12" t="n">
        <f aca="false">(1+H987)^(1/12)-1</f>
        <v>0.00421369509431369</v>
      </c>
      <c r="J987" s="16" t="n">
        <f aca="false">IF(C987=0,(1+Dic2023!$M$6)^(-B987),EXP(LN(INDEX(Dic2023!$N$6:$N$205,C987))+(LN(INDEX(Dic2023!$N$6:$N$205,MIN(C987+1,200)))-LN(INDEX(Dic2023!$N$6:$N$205,C987)))*(A987-6*C987)/6))</f>
        <v>0.0160289306935133</v>
      </c>
      <c r="K987" s="12" t="n">
        <f aca="false">J987^(-1/B987)-1</f>
        <v>0.0517528025</v>
      </c>
      <c r="L987" s="12" t="n">
        <f aca="false">(1+K987)^(1/12)-1</f>
        <v>0.00421369509431369</v>
      </c>
    </row>
    <row r="988" customFormat="false" ht="15" hidden="false" customHeight="false" outlineLevel="0" collapsed="false">
      <c r="A988" s="4" t="n">
        <v>984</v>
      </c>
      <c r="B988" s="14" t="n">
        <f aca="false">A988/12</f>
        <v>82</v>
      </c>
      <c r="C988" s="15" t="n">
        <f aca="false">INT(A988/6)</f>
        <v>164</v>
      </c>
      <c r="D988" s="16" t="n">
        <f aca="false">IF(C988=0,(1+Dic2023!$G$6)^(-B988),EXP(LN(INDEX(Dic2023!$H$6:$H$205,C988))+(LN(INDEX(Dic2023!$H$6:$H$205,MIN(C988+1,200)))-LN(INDEX(Dic2023!$H$6:$H$205,C988)))*(A988-6*C988)/6))</f>
        <v>0.0159616730700012</v>
      </c>
      <c r="E988" s="12" t="n">
        <f aca="false">D988^(-1/B988)-1</f>
        <v>0.0517528025</v>
      </c>
      <c r="F988" s="12" t="n">
        <f aca="false">(1+E988)^(1/12)-1</f>
        <v>0.00421369509431369</v>
      </c>
      <c r="G988" s="16" t="n">
        <f aca="false">IF(C988=0,(1+Dic2023!$J$6)^(-B988),EXP(LN(INDEX(Dic2023!$K$6:$K$205,C988))+(LN(INDEX(Dic2023!$K$6:$K$205,MIN(C988+1,200)))-LN(INDEX(Dic2023!$K$6:$K$205,C988)))*(A988-6*C988)/6))</f>
        <v>0.0159616730700012</v>
      </c>
      <c r="H988" s="12" t="n">
        <f aca="false">G988^(-1/B988)-1</f>
        <v>0.0517528025</v>
      </c>
      <c r="I988" s="12" t="n">
        <f aca="false">(1+H988)^(1/12)-1</f>
        <v>0.00421369509431369</v>
      </c>
      <c r="J988" s="16" t="n">
        <f aca="false">IF(C988=0,(1+Dic2023!$M$6)^(-B988),EXP(LN(INDEX(Dic2023!$N$6:$N$205,C988))+(LN(INDEX(Dic2023!$N$6:$N$205,MIN(C988+1,200)))-LN(INDEX(Dic2023!$N$6:$N$205,C988)))*(A988-6*C988)/6))</f>
        <v>0.0159616730700012</v>
      </c>
      <c r="K988" s="12" t="n">
        <f aca="false">J988^(-1/B988)-1</f>
        <v>0.0517528025</v>
      </c>
      <c r="L988" s="12" t="n">
        <f aca="false">(1+K988)^(1/12)-1</f>
        <v>0.00421369509431369</v>
      </c>
    </row>
    <row r="989" customFormat="false" ht="15" hidden="false" customHeight="false" outlineLevel="0" collapsed="false">
      <c r="A989" s="4" t="n">
        <v>985</v>
      </c>
      <c r="B989" s="14" t="n">
        <f aca="false">A989/12</f>
        <v>82.0833333333333</v>
      </c>
      <c r="C989" s="15" t="n">
        <f aca="false">INT(A989/6)</f>
        <v>164</v>
      </c>
      <c r="D989" s="16" t="n">
        <f aca="false">IF(C989=0,(1+Dic2023!$G$6)^(-B989),EXP(LN(INDEX(Dic2023!$H$6:$H$205,C989))+(LN(INDEX(Dic2023!$H$6:$H$205,MIN(C989+1,200)))-LN(INDEX(Dic2023!$H$6:$H$205,C989)))*(A989-6*C989)/6))</f>
        <v>0.0158946976604438</v>
      </c>
      <c r="E989" s="12" t="n">
        <f aca="false">D989^(-1/B989)-1</f>
        <v>0.0517528025</v>
      </c>
      <c r="F989" s="12" t="n">
        <f aca="false">(1+E989)^(1/12)-1</f>
        <v>0.00421369509431369</v>
      </c>
      <c r="G989" s="16" t="n">
        <f aca="false">IF(C989=0,(1+Dic2023!$J$6)^(-B989),EXP(LN(INDEX(Dic2023!$K$6:$K$205,C989))+(LN(INDEX(Dic2023!$K$6:$K$205,MIN(C989+1,200)))-LN(INDEX(Dic2023!$K$6:$K$205,C989)))*(A989-6*C989)/6))</f>
        <v>0.0158946976604438</v>
      </c>
      <c r="H989" s="12" t="n">
        <f aca="false">G989^(-1/B989)-1</f>
        <v>0.0517528025</v>
      </c>
      <c r="I989" s="12" t="n">
        <f aca="false">(1+H989)^(1/12)-1</f>
        <v>0.00421369509431369</v>
      </c>
      <c r="J989" s="16" t="n">
        <f aca="false">IF(C989=0,(1+Dic2023!$M$6)^(-B989),EXP(LN(INDEX(Dic2023!$N$6:$N$205,C989))+(LN(INDEX(Dic2023!$N$6:$N$205,MIN(C989+1,200)))-LN(INDEX(Dic2023!$N$6:$N$205,C989)))*(A989-6*C989)/6))</f>
        <v>0.0158946976604438</v>
      </c>
      <c r="K989" s="12" t="n">
        <f aca="false">J989^(-1/B989)-1</f>
        <v>0.0517528025</v>
      </c>
      <c r="L989" s="12" t="n">
        <f aca="false">(1+K989)^(1/12)-1</f>
        <v>0.00421369509431369</v>
      </c>
    </row>
    <row r="990" customFormat="false" ht="15" hidden="false" customHeight="false" outlineLevel="0" collapsed="false">
      <c r="A990" s="4" t="n">
        <v>986</v>
      </c>
      <c r="B990" s="14" t="n">
        <f aca="false">A990/12</f>
        <v>82.1666666666667</v>
      </c>
      <c r="C990" s="15" t="n">
        <f aca="false">INT(A990/6)</f>
        <v>164</v>
      </c>
      <c r="D990" s="16" t="n">
        <f aca="false">IF(C990=0,(1+Dic2023!$G$6)^(-B990),EXP(LN(INDEX(Dic2023!$H$6:$H$205,C990))+(LN(INDEX(Dic2023!$H$6:$H$205,MIN(C990+1,200)))-LN(INDEX(Dic2023!$H$6:$H$205,C990)))*(A990-6*C990)/6))</f>
        <v>0.0158280032806673</v>
      </c>
      <c r="E990" s="12" t="n">
        <f aca="false">D990^(-1/B990)-1</f>
        <v>0.0517528025</v>
      </c>
      <c r="F990" s="12" t="n">
        <f aca="false">(1+E990)^(1/12)-1</f>
        <v>0.00421369509431369</v>
      </c>
      <c r="G990" s="16" t="n">
        <f aca="false">IF(C990=0,(1+Dic2023!$J$6)^(-B990),EXP(LN(INDEX(Dic2023!$K$6:$K$205,C990))+(LN(INDEX(Dic2023!$K$6:$K$205,MIN(C990+1,200)))-LN(INDEX(Dic2023!$K$6:$K$205,C990)))*(A990-6*C990)/6))</f>
        <v>0.0158280032806673</v>
      </c>
      <c r="H990" s="12" t="n">
        <f aca="false">G990^(-1/B990)-1</f>
        <v>0.0517528025</v>
      </c>
      <c r="I990" s="12" t="n">
        <f aca="false">(1+H990)^(1/12)-1</f>
        <v>0.00421369509431369</v>
      </c>
      <c r="J990" s="16" t="n">
        <f aca="false">IF(C990=0,(1+Dic2023!$M$6)^(-B990),EXP(LN(INDEX(Dic2023!$N$6:$N$205,C990))+(LN(INDEX(Dic2023!$N$6:$N$205,MIN(C990+1,200)))-LN(INDEX(Dic2023!$N$6:$N$205,C990)))*(A990-6*C990)/6))</f>
        <v>0.0158280032806673</v>
      </c>
      <c r="K990" s="12" t="n">
        <f aca="false">J990^(-1/B990)-1</f>
        <v>0.0517528025</v>
      </c>
      <c r="L990" s="12" t="n">
        <f aca="false">(1+K990)^(1/12)-1</f>
        <v>0.00421369509431369</v>
      </c>
    </row>
    <row r="991" customFormat="false" ht="15" hidden="false" customHeight="false" outlineLevel="0" collapsed="false">
      <c r="A991" s="4" t="n">
        <v>987</v>
      </c>
      <c r="B991" s="14" t="n">
        <f aca="false">A991/12</f>
        <v>82.25</v>
      </c>
      <c r="C991" s="15" t="n">
        <f aca="false">INT(A991/6)</f>
        <v>164</v>
      </c>
      <c r="D991" s="16" t="n">
        <f aca="false">IF(C991=0,(1+Dic2023!$G$6)^(-B991),EXP(LN(INDEX(Dic2023!$H$6:$H$205,C991))+(LN(INDEX(Dic2023!$H$6:$H$205,MIN(C991+1,200)))-LN(INDEX(Dic2023!$H$6:$H$205,C991)))*(A991-6*C991)/6))</f>
        <v>0.0157615887514666</v>
      </c>
      <c r="E991" s="12" t="n">
        <f aca="false">D991^(-1/B991)-1</f>
        <v>0.0517528025</v>
      </c>
      <c r="F991" s="12" t="n">
        <f aca="false">(1+E991)^(1/12)-1</f>
        <v>0.00421369509431369</v>
      </c>
      <c r="G991" s="16" t="n">
        <f aca="false">IF(C991=0,(1+Dic2023!$J$6)^(-B991),EXP(LN(INDEX(Dic2023!$K$6:$K$205,C991))+(LN(INDEX(Dic2023!$K$6:$K$205,MIN(C991+1,200)))-LN(INDEX(Dic2023!$K$6:$K$205,C991)))*(A991-6*C991)/6))</f>
        <v>0.0157615887514666</v>
      </c>
      <c r="H991" s="12" t="n">
        <f aca="false">G991^(-1/B991)-1</f>
        <v>0.0517528025</v>
      </c>
      <c r="I991" s="12" t="n">
        <f aca="false">(1+H991)^(1/12)-1</f>
        <v>0.00421369509431369</v>
      </c>
      <c r="J991" s="16" t="n">
        <f aca="false">IF(C991=0,(1+Dic2023!$M$6)^(-B991),EXP(LN(INDEX(Dic2023!$N$6:$N$205,C991))+(LN(INDEX(Dic2023!$N$6:$N$205,MIN(C991+1,200)))-LN(INDEX(Dic2023!$N$6:$N$205,C991)))*(A991-6*C991)/6))</f>
        <v>0.0157615887514666</v>
      </c>
      <c r="K991" s="12" t="n">
        <f aca="false">J991^(-1/B991)-1</f>
        <v>0.0517528025</v>
      </c>
      <c r="L991" s="12" t="n">
        <f aca="false">(1+K991)^(1/12)-1</f>
        <v>0.00421369509431369</v>
      </c>
    </row>
    <row r="992" customFormat="false" ht="15" hidden="false" customHeight="false" outlineLevel="0" collapsed="false">
      <c r="A992" s="4" t="n">
        <v>988</v>
      </c>
      <c r="B992" s="14" t="n">
        <f aca="false">A992/12</f>
        <v>82.3333333333333</v>
      </c>
      <c r="C992" s="15" t="n">
        <f aca="false">INT(A992/6)</f>
        <v>164</v>
      </c>
      <c r="D992" s="16" t="n">
        <f aca="false">IF(C992=0,(1+Dic2023!$G$6)^(-B992),EXP(LN(INDEX(Dic2023!$H$6:$H$205,C992))+(LN(INDEX(Dic2023!$H$6:$H$205,MIN(C992+1,200)))-LN(INDEX(Dic2023!$H$6:$H$205,C992)))*(A992-6*C992)/6))</f>
        <v>0.0156954528985848</v>
      </c>
      <c r="E992" s="12" t="n">
        <f aca="false">D992^(-1/B992)-1</f>
        <v>0.0517528025</v>
      </c>
      <c r="F992" s="12" t="n">
        <f aca="false">(1+E992)^(1/12)-1</f>
        <v>0.00421369509431369</v>
      </c>
      <c r="G992" s="16" t="n">
        <f aca="false">IF(C992=0,(1+Dic2023!$J$6)^(-B992),EXP(LN(INDEX(Dic2023!$K$6:$K$205,C992))+(LN(INDEX(Dic2023!$K$6:$K$205,MIN(C992+1,200)))-LN(INDEX(Dic2023!$K$6:$K$205,C992)))*(A992-6*C992)/6))</f>
        <v>0.0156954528985848</v>
      </c>
      <c r="H992" s="12" t="n">
        <f aca="false">G992^(-1/B992)-1</f>
        <v>0.0517528025</v>
      </c>
      <c r="I992" s="12" t="n">
        <f aca="false">(1+H992)^(1/12)-1</f>
        <v>0.00421369509431369</v>
      </c>
      <c r="J992" s="16" t="n">
        <f aca="false">IF(C992=0,(1+Dic2023!$M$6)^(-B992),EXP(LN(INDEX(Dic2023!$N$6:$N$205,C992))+(LN(INDEX(Dic2023!$N$6:$N$205,MIN(C992+1,200)))-LN(INDEX(Dic2023!$N$6:$N$205,C992)))*(A992-6*C992)/6))</f>
        <v>0.0156954528985848</v>
      </c>
      <c r="K992" s="12" t="n">
        <f aca="false">J992^(-1/B992)-1</f>
        <v>0.0517528025</v>
      </c>
      <c r="L992" s="12" t="n">
        <f aca="false">(1+K992)^(1/12)-1</f>
        <v>0.00421369509431369</v>
      </c>
    </row>
    <row r="993" customFormat="false" ht="15" hidden="false" customHeight="false" outlineLevel="0" collapsed="false">
      <c r="A993" s="4" t="n">
        <v>989</v>
      </c>
      <c r="B993" s="14" t="n">
        <f aca="false">A993/12</f>
        <v>82.4166666666667</v>
      </c>
      <c r="C993" s="15" t="n">
        <f aca="false">INT(A993/6)</f>
        <v>164</v>
      </c>
      <c r="D993" s="16" t="n">
        <f aca="false">IF(C993=0,(1+Dic2023!$G$6)^(-B993),EXP(LN(INDEX(Dic2023!$H$6:$H$205,C993))+(LN(INDEX(Dic2023!$H$6:$H$205,MIN(C993+1,200)))-LN(INDEX(Dic2023!$H$6:$H$205,C993)))*(A993-6*C993)/6))</f>
        <v>0.015629594552692</v>
      </c>
      <c r="E993" s="12" t="n">
        <f aca="false">D993^(-1/B993)-1</f>
        <v>0.0517528025</v>
      </c>
      <c r="F993" s="12" t="n">
        <f aca="false">(1+E993)^(1/12)-1</f>
        <v>0.00421369509431369</v>
      </c>
      <c r="G993" s="16" t="n">
        <f aca="false">IF(C993=0,(1+Dic2023!$J$6)^(-B993),EXP(LN(INDEX(Dic2023!$K$6:$K$205,C993))+(LN(INDEX(Dic2023!$K$6:$K$205,MIN(C993+1,200)))-LN(INDEX(Dic2023!$K$6:$K$205,C993)))*(A993-6*C993)/6))</f>
        <v>0.015629594552692</v>
      </c>
      <c r="H993" s="12" t="n">
        <f aca="false">G993^(-1/B993)-1</f>
        <v>0.0517528025</v>
      </c>
      <c r="I993" s="12" t="n">
        <f aca="false">(1+H993)^(1/12)-1</f>
        <v>0.00421369509431369</v>
      </c>
      <c r="J993" s="16" t="n">
        <f aca="false">IF(C993=0,(1+Dic2023!$M$6)^(-B993),EXP(LN(INDEX(Dic2023!$N$6:$N$205,C993))+(LN(INDEX(Dic2023!$N$6:$N$205,MIN(C993+1,200)))-LN(INDEX(Dic2023!$N$6:$N$205,C993)))*(A993-6*C993)/6))</f>
        <v>0.015629594552692</v>
      </c>
      <c r="K993" s="12" t="n">
        <f aca="false">J993^(-1/B993)-1</f>
        <v>0.0517528025</v>
      </c>
      <c r="L993" s="12" t="n">
        <f aca="false">(1+K993)^(1/12)-1</f>
        <v>0.00421369509431369</v>
      </c>
    </row>
    <row r="994" customFormat="false" ht="15" hidden="false" customHeight="false" outlineLevel="0" collapsed="false">
      <c r="A994" s="4" t="n">
        <v>990</v>
      </c>
      <c r="B994" s="14" t="n">
        <f aca="false">A994/12</f>
        <v>82.5</v>
      </c>
      <c r="C994" s="15" t="n">
        <f aca="false">INT(A994/6)</f>
        <v>165</v>
      </c>
      <c r="D994" s="16" t="n">
        <f aca="false">IF(C994=0,(1+Dic2023!$G$6)^(-B994),EXP(LN(INDEX(Dic2023!$H$6:$H$205,C994))+(LN(INDEX(Dic2023!$H$6:$H$205,MIN(C994+1,200)))-LN(INDEX(Dic2023!$H$6:$H$205,C994)))*(A994-6*C994)/6))</f>
        <v>0.0155640125493649</v>
      </c>
      <c r="E994" s="12" t="n">
        <f aca="false">D994^(-1/B994)-1</f>
        <v>0.0517528025</v>
      </c>
      <c r="F994" s="12" t="n">
        <f aca="false">(1+E994)^(1/12)-1</f>
        <v>0.00421369509431369</v>
      </c>
      <c r="G994" s="16" t="n">
        <f aca="false">IF(C994=0,(1+Dic2023!$J$6)^(-B994),EXP(LN(INDEX(Dic2023!$K$6:$K$205,C994))+(LN(INDEX(Dic2023!$K$6:$K$205,MIN(C994+1,200)))-LN(INDEX(Dic2023!$K$6:$K$205,C994)))*(A994-6*C994)/6))</f>
        <v>0.0155640125493649</v>
      </c>
      <c r="H994" s="12" t="n">
        <f aca="false">G994^(-1/B994)-1</f>
        <v>0.0517528025</v>
      </c>
      <c r="I994" s="12" t="n">
        <f aca="false">(1+H994)^(1/12)-1</f>
        <v>0.00421369509431369</v>
      </c>
      <c r="J994" s="16" t="n">
        <f aca="false">IF(C994=0,(1+Dic2023!$M$6)^(-B994),EXP(LN(INDEX(Dic2023!$N$6:$N$205,C994))+(LN(INDEX(Dic2023!$N$6:$N$205,MIN(C994+1,200)))-LN(INDEX(Dic2023!$N$6:$N$205,C994)))*(A994-6*C994)/6))</f>
        <v>0.0155640125493649</v>
      </c>
      <c r="K994" s="12" t="n">
        <f aca="false">J994^(-1/B994)-1</f>
        <v>0.0517528025</v>
      </c>
      <c r="L994" s="12" t="n">
        <f aca="false">(1+K994)^(1/12)-1</f>
        <v>0.00421369509431369</v>
      </c>
    </row>
    <row r="995" customFormat="false" ht="15" hidden="false" customHeight="false" outlineLevel="0" collapsed="false">
      <c r="A995" s="4" t="n">
        <v>991</v>
      </c>
      <c r="B995" s="14" t="n">
        <f aca="false">A995/12</f>
        <v>82.5833333333333</v>
      </c>
      <c r="C995" s="15" t="n">
        <f aca="false">INT(A995/6)</f>
        <v>165</v>
      </c>
      <c r="D995" s="16" t="n">
        <f aca="false">IF(C995=0,(1+Dic2023!$G$6)^(-B995),EXP(LN(INDEX(Dic2023!$H$6:$H$205,C995))+(LN(INDEX(Dic2023!$H$6:$H$205,MIN(C995+1,200)))-LN(INDEX(Dic2023!$H$6:$H$205,C995)))*(A995-6*C995)/6))</f>
        <v>0.0154987057290662</v>
      </c>
      <c r="E995" s="12" t="n">
        <f aca="false">D995^(-1/B995)-1</f>
        <v>0.0517528025</v>
      </c>
      <c r="F995" s="12" t="n">
        <f aca="false">(1+E995)^(1/12)-1</f>
        <v>0.00421369509431369</v>
      </c>
      <c r="G995" s="16" t="n">
        <f aca="false">IF(C995=0,(1+Dic2023!$J$6)^(-B995),EXP(LN(INDEX(Dic2023!$K$6:$K$205,C995))+(LN(INDEX(Dic2023!$K$6:$K$205,MIN(C995+1,200)))-LN(INDEX(Dic2023!$K$6:$K$205,C995)))*(A995-6*C995)/6))</f>
        <v>0.0154987057290662</v>
      </c>
      <c r="H995" s="12" t="n">
        <f aca="false">G995^(-1/B995)-1</f>
        <v>0.0517528025</v>
      </c>
      <c r="I995" s="12" t="n">
        <f aca="false">(1+H995)^(1/12)-1</f>
        <v>0.00421369509431369</v>
      </c>
      <c r="J995" s="16" t="n">
        <f aca="false">IF(C995=0,(1+Dic2023!$M$6)^(-B995),EXP(LN(INDEX(Dic2023!$N$6:$N$205,C995))+(LN(INDEX(Dic2023!$N$6:$N$205,MIN(C995+1,200)))-LN(INDEX(Dic2023!$N$6:$N$205,C995)))*(A995-6*C995)/6))</f>
        <v>0.0154987057290662</v>
      </c>
      <c r="K995" s="12" t="n">
        <f aca="false">J995^(-1/B995)-1</f>
        <v>0.0517528025</v>
      </c>
      <c r="L995" s="12" t="n">
        <f aca="false">(1+K995)^(1/12)-1</f>
        <v>0.00421369509431369</v>
      </c>
    </row>
    <row r="996" customFormat="false" ht="15" hidden="false" customHeight="false" outlineLevel="0" collapsed="false">
      <c r="A996" s="4" t="n">
        <v>992</v>
      </c>
      <c r="B996" s="14" t="n">
        <f aca="false">A996/12</f>
        <v>82.6666666666667</v>
      </c>
      <c r="C996" s="15" t="n">
        <f aca="false">INT(A996/6)</f>
        <v>165</v>
      </c>
      <c r="D996" s="16" t="n">
        <f aca="false">IF(C996=0,(1+Dic2023!$G$6)^(-B996),EXP(LN(INDEX(Dic2023!$H$6:$H$205,C996))+(LN(INDEX(Dic2023!$H$6:$H$205,MIN(C996+1,200)))-LN(INDEX(Dic2023!$H$6:$H$205,C996)))*(A996-6*C996)/6))</f>
        <v>0.0154336729371238</v>
      </c>
      <c r="E996" s="12" t="n">
        <f aca="false">D996^(-1/B996)-1</f>
        <v>0.0517528025</v>
      </c>
      <c r="F996" s="12" t="n">
        <f aca="false">(1+E996)^(1/12)-1</f>
        <v>0.00421369509431369</v>
      </c>
      <c r="G996" s="16" t="n">
        <f aca="false">IF(C996=0,(1+Dic2023!$J$6)^(-B996),EXP(LN(INDEX(Dic2023!$K$6:$K$205,C996))+(LN(INDEX(Dic2023!$K$6:$K$205,MIN(C996+1,200)))-LN(INDEX(Dic2023!$K$6:$K$205,C996)))*(A996-6*C996)/6))</f>
        <v>0.0154336729371238</v>
      </c>
      <c r="H996" s="12" t="n">
        <f aca="false">G996^(-1/B996)-1</f>
        <v>0.0517528025</v>
      </c>
      <c r="I996" s="12" t="n">
        <f aca="false">(1+H996)^(1/12)-1</f>
        <v>0.00421369509431369</v>
      </c>
      <c r="J996" s="16" t="n">
        <f aca="false">IF(C996=0,(1+Dic2023!$M$6)^(-B996),EXP(LN(INDEX(Dic2023!$N$6:$N$205,C996))+(LN(INDEX(Dic2023!$N$6:$N$205,MIN(C996+1,200)))-LN(INDEX(Dic2023!$N$6:$N$205,C996)))*(A996-6*C996)/6))</f>
        <v>0.0154336729371238</v>
      </c>
      <c r="K996" s="12" t="n">
        <f aca="false">J996^(-1/B996)-1</f>
        <v>0.0517528025</v>
      </c>
      <c r="L996" s="12" t="n">
        <f aca="false">(1+K996)^(1/12)-1</f>
        <v>0.00421369509431369</v>
      </c>
    </row>
    <row r="997" customFormat="false" ht="15" hidden="false" customHeight="false" outlineLevel="0" collapsed="false">
      <c r="A997" s="4" t="n">
        <v>993</v>
      </c>
      <c r="B997" s="14" t="n">
        <f aca="false">A997/12</f>
        <v>82.75</v>
      </c>
      <c r="C997" s="15" t="n">
        <f aca="false">INT(A997/6)</f>
        <v>165</v>
      </c>
      <c r="D997" s="16" t="n">
        <f aca="false">IF(C997=0,(1+Dic2023!$G$6)^(-B997),EXP(LN(INDEX(Dic2023!$H$6:$H$205,C997))+(LN(INDEX(Dic2023!$H$6:$H$205,MIN(C997+1,200)))-LN(INDEX(Dic2023!$H$6:$H$205,C997)))*(A997-6*C997)/6))</f>
        <v>0.0153689130237108</v>
      </c>
      <c r="E997" s="12" t="n">
        <f aca="false">D997^(-1/B997)-1</f>
        <v>0.0517528025</v>
      </c>
      <c r="F997" s="12" t="n">
        <f aca="false">(1+E997)^(1/12)-1</f>
        <v>0.00421369509431369</v>
      </c>
      <c r="G997" s="16" t="n">
        <f aca="false">IF(C997=0,(1+Dic2023!$J$6)^(-B997),EXP(LN(INDEX(Dic2023!$K$6:$K$205,C997))+(LN(INDEX(Dic2023!$K$6:$K$205,MIN(C997+1,200)))-LN(INDEX(Dic2023!$K$6:$K$205,C997)))*(A997-6*C997)/6))</f>
        <v>0.0153689130237108</v>
      </c>
      <c r="H997" s="12" t="n">
        <f aca="false">G997^(-1/B997)-1</f>
        <v>0.0517528025</v>
      </c>
      <c r="I997" s="12" t="n">
        <f aca="false">(1+H997)^(1/12)-1</f>
        <v>0.00421369509431369</v>
      </c>
      <c r="J997" s="16" t="n">
        <f aca="false">IF(C997=0,(1+Dic2023!$M$6)^(-B997),EXP(LN(INDEX(Dic2023!$N$6:$N$205,C997))+(LN(INDEX(Dic2023!$N$6:$N$205,MIN(C997+1,200)))-LN(INDEX(Dic2023!$N$6:$N$205,C997)))*(A997-6*C997)/6))</f>
        <v>0.0153689130237108</v>
      </c>
      <c r="K997" s="12" t="n">
        <f aca="false">J997^(-1/B997)-1</f>
        <v>0.0517528025</v>
      </c>
      <c r="L997" s="12" t="n">
        <f aca="false">(1+K997)^(1/12)-1</f>
        <v>0.00421369509431369</v>
      </c>
    </row>
    <row r="998" customFormat="false" ht="15" hidden="false" customHeight="false" outlineLevel="0" collapsed="false">
      <c r="A998" s="4" t="n">
        <v>994</v>
      </c>
      <c r="B998" s="14" t="n">
        <f aca="false">A998/12</f>
        <v>82.8333333333333</v>
      </c>
      <c r="C998" s="15" t="n">
        <f aca="false">INT(A998/6)</f>
        <v>165</v>
      </c>
      <c r="D998" s="16" t="n">
        <f aca="false">IF(C998=0,(1+Dic2023!$G$6)^(-B998),EXP(LN(INDEX(Dic2023!$H$6:$H$205,C998))+(LN(INDEX(Dic2023!$H$6:$H$205,MIN(C998+1,200)))-LN(INDEX(Dic2023!$H$6:$H$205,C998)))*(A998-6*C998)/6))</f>
        <v>0.0153044248438251</v>
      </c>
      <c r="E998" s="12" t="n">
        <f aca="false">D998^(-1/B998)-1</f>
        <v>0.0517528025</v>
      </c>
      <c r="F998" s="12" t="n">
        <f aca="false">(1+E998)^(1/12)-1</f>
        <v>0.00421369509431369</v>
      </c>
      <c r="G998" s="16" t="n">
        <f aca="false">IF(C998=0,(1+Dic2023!$J$6)^(-B998),EXP(LN(INDEX(Dic2023!$K$6:$K$205,C998))+(LN(INDEX(Dic2023!$K$6:$K$205,MIN(C998+1,200)))-LN(INDEX(Dic2023!$K$6:$K$205,C998)))*(A998-6*C998)/6))</f>
        <v>0.0153044248438251</v>
      </c>
      <c r="H998" s="12" t="n">
        <f aca="false">G998^(-1/B998)-1</f>
        <v>0.0517528025</v>
      </c>
      <c r="I998" s="12" t="n">
        <f aca="false">(1+H998)^(1/12)-1</f>
        <v>0.00421369509431369</v>
      </c>
      <c r="J998" s="16" t="n">
        <f aca="false">IF(C998=0,(1+Dic2023!$M$6)^(-B998),EXP(LN(INDEX(Dic2023!$N$6:$N$205,C998))+(LN(INDEX(Dic2023!$N$6:$N$205,MIN(C998+1,200)))-LN(INDEX(Dic2023!$N$6:$N$205,C998)))*(A998-6*C998)/6))</f>
        <v>0.0153044248438251</v>
      </c>
      <c r="K998" s="12" t="n">
        <f aca="false">J998^(-1/B998)-1</f>
        <v>0.0517528025</v>
      </c>
      <c r="L998" s="12" t="n">
        <f aca="false">(1+K998)^(1/12)-1</f>
        <v>0.00421369509431369</v>
      </c>
    </row>
    <row r="999" customFormat="false" ht="15" hidden="false" customHeight="false" outlineLevel="0" collapsed="false">
      <c r="A999" s="4" t="n">
        <v>995</v>
      </c>
      <c r="B999" s="14" t="n">
        <f aca="false">A999/12</f>
        <v>82.9166666666667</v>
      </c>
      <c r="C999" s="15" t="n">
        <f aca="false">INT(A999/6)</f>
        <v>165</v>
      </c>
      <c r="D999" s="16" t="n">
        <f aca="false">IF(C999=0,(1+Dic2023!$G$6)^(-B999),EXP(LN(INDEX(Dic2023!$H$6:$H$205,C999))+(LN(INDEX(Dic2023!$H$6:$H$205,MIN(C999+1,200)))-LN(INDEX(Dic2023!$H$6:$H$205,C999)))*(A999-6*C999)/6))</f>
        <v>0.0152402072572688</v>
      </c>
      <c r="E999" s="12" t="n">
        <f aca="false">D999^(-1/B999)-1</f>
        <v>0.0517528025</v>
      </c>
      <c r="F999" s="12" t="n">
        <f aca="false">(1+E999)^(1/12)-1</f>
        <v>0.00421369509431369</v>
      </c>
      <c r="G999" s="16" t="n">
        <f aca="false">IF(C999=0,(1+Dic2023!$J$6)^(-B999),EXP(LN(INDEX(Dic2023!$K$6:$K$205,C999))+(LN(INDEX(Dic2023!$K$6:$K$205,MIN(C999+1,200)))-LN(INDEX(Dic2023!$K$6:$K$205,C999)))*(A999-6*C999)/6))</f>
        <v>0.0152402072572688</v>
      </c>
      <c r="H999" s="12" t="n">
        <f aca="false">G999^(-1/B999)-1</f>
        <v>0.0517528025</v>
      </c>
      <c r="I999" s="12" t="n">
        <f aca="false">(1+H999)^(1/12)-1</f>
        <v>0.00421369509431369</v>
      </c>
      <c r="J999" s="16" t="n">
        <f aca="false">IF(C999=0,(1+Dic2023!$M$6)^(-B999),EXP(LN(INDEX(Dic2023!$N$6:$N$205,C999))+(LN(INDEX(Dic2023!$N$6:$N$205,MIN(C999+1,200)))-LN(INDEX(Dic2023!$N$6:$N$205,C999)))*(A999-6*C999)/6))</f>
        <v>0.0152402072572688</v>
      </c>
      <c r="K999" s="12" t="n">
        <f aca="false">J999^(-1/B999)-1</f>
        <v>0.0517528025</v>
      </c>
      <c r="L999" s="12" t="n">
        <f aca="false">(1+K999)^(1/12)-1</f>
        <v>0.00421369509431369</v>
      </c>
    </row>
    <row r="1000" customFormat="false" ht="15" hidden="false" customHeight="false" outlineLevel="0" collapsed="false">
      <c r="A1000" s="4" t="n">
        <v>996</v>
      </c>
      <c r="B1000" s="14" t="n">
        <f aca="false">A1000/12</f>
        <v>83</v>
      </c>
      <c r="C1000" s="15" t="n">
        <f aca="false">INT(A1000/6)</f>
        <v>166</v>
      </c>
      <c r="D1000" s="16" t="n">
        <f aca="false">IF(C1000=0,(1+Dic2023!$G$6)^(-B1000),EXP(LN(INDEX(Dic2023!$H$6:$H$205,C1000))+(LN(INDEX(Dic2023!$H$6:$H$205,MIN(C1000+1,200)))-LN(INDEX(Dic2023!$H$6:$H$205,C1000)))*(A1000-6*C1000)/6))</f>
        <v>0.0151762591286285</v>
      </c>
      <c r="E1000" s="12" t="n">
        <f aca="false">D1000^(-1/B1000)-1</f>
        <v>0.0517528025</v>
      </c>
      <c r="F1000" s="12" t="n">
        <f aca="false">(1+E1000)^(1/12)-1</f>
        <v>0.00421369509431369</v>
      </c>
      <c r="G1000" s="16" t="n">
        <f aca="false">IF(C1000=0,(1+Dic2023!$J$6)^(-B1000),EXP(LN(INDEX(Dic2023!$K$6:$K$205,C1000))+(LN(INDEX(Dic2023!$K$6:$K$205,MIN(C1000+1,200)))-LN(INDEX(Dic2023!$K$6:$K$205,C1000)))*(A1000-6*C1000)/6))</f>
        <v>0.0151762591286285</v>
      </c>
      <c r="H1000" s="12" t="n">
        <f aca="false">G1000^(-1/B1000)-1</f>
        <v>0.0517528025</v>
      </c>
      <c r="I1000" s="12" t="n">
        <f aca="false">(1+H1000)^(1/12)-1</f>
        <v>0.00421369509431369</v>
      </c>
      <c r="J1000" s="16" t="n">
        <f aca="false">IF(C1000=0,(1+Dic2023!$M$6)^(-B1000),EXP(LN(INDEX(Dic2023!$N$6:$N$205,C1000))+(LN(INDEX(Dic2023!$N$6:$N$205,MIN(C1000+1,200)))-LN(INDEX(Dic2023!$N$6:$N$205,C1000)))*(A1000-6*C1000)/6))</f>
        <v>0.0151762591286285</v>
      </c>
      <c r="K1000" s="12" t="n">
        <f aca="false">J1000^(-1/B1000)-1</f>
        <v>0.0517528025</v>
      </c>
      <c r="L1000" s="12" t="n">
        <f aca="false">(1+K1000)^(1/12)-1</f>
        <v>0.00421369509431369</v>
      </c>
    </row>
    <row r="1001" customFormat="false" ht="15" hidden="false" customHeight="false" outlineLevel="0" collapsed="false">
      <c r="A1001" s="4" t="n">
        <v>997</v>
      </c>
      <c r="B1001" s="14" t="n">
        <f aca="false">A1001/12</f>
        <v>83.0833333333333</v>
      </c>
      <c r="C1001" s="15" t="n">
        <f aca="false">INT(A1001/6)</f>
        <v>166</v>
      </c>
      <c r="D1001" s="16" t="n">
        <f aca="false">IF(C1001=0,(1+Dic2023!$G$6)^(-B1001),EXP(LN(INDEX(Dic2023!$H$6:$H$205,C1001))+(LN(INDEX(Dic2023!$H$6:$H$205,MIN(C1001+1,200)))-LN(INDEX(Dic2023!$H$6:$H$205,C1001)))*(A1001-6*C1001)/6))</f>
        <v>0.0151125793272548</v>
      </c>
      <c r="E1001" s="12" t="n">
        <f aca="false">D1001^(-1/B1001)-1</f>
        <v>0.0517528025</v>
      </c>
      <c r="F1001" s="12" t="n">
        <f aca="false">(1+E1001)^(1/12)-1</f>
        <v>0.00421369509431369</v>
      </c>
      <c r="G1001" s="16" t="n">
        <f aca="false">IF(C1001=0,(1+Dic2023!$J$6)^(-B1001),EXP(LN(INDEX(Dic2023!$K$6:$K$205,C1001))+(LN(INDEX(Dic2023!$K$6:$K$205,MIN(C1001+1,200)))-LN(INDEX(Dic2023!$K$6:$K$205,C1001)))*(A1001-6*C1001)/6))</f>
        <v>0.0151125793272548</v>
      </c>
      <c r="H1001" s="12" t="n">
        <f aca="false">G1001^(-1/B1001)-1</f>
        <v>0.0517528025</v>
      </c>
      <c r="I1001" s="12" t="n">
        <f aca="false">(1+H1001)^(1/12)-1</f>
        <v>0.00421369509431369</v>
      </c>
      <c r="J1001" s="16" t="n">
        <f aca="false">IF(C1001=0,(1+Dic2023!$M$6)^(-B1001),EXP(LN(INDEX(Dic2023!$N$6:$N$205,C1001))+(LN(INDEX(Dic2023!$N$6:$N$205,MIN(C1001+1,200)))-LN(INDEX(Dic2023!$N$6:$N$205,C1001)))*(A1001-6*C1001)/6))</f>
        <v>0.0151125793272548</v>
      </c>
      <c r="K1001" s="12" t="n">
        <f aca="false">J1001^(-1/B1001)-1</f>
        <v>0.0517528025</v>
      </c>
      <c r="L1001" s="12" t="n">
        <f aca="false">(1+K1001)^(1/12)-1</f>
        <v>0.00421369509431369</v>
      </c>
    </row>
    <row r="1002" customFormat="false" ht="15" hidden="false" customHeight="false" outlineLevel="0" collapsed="false">
      <c r="A1002" s="4" t="n">
        <v>998</v>
      </c>
      <c r="B1002" s="14" t="n">
        <f aca="false">A1002/12</f>
        <v>83.1666666666667</v>
      </c>
      <c r="C1002" s="15" t="n">
        <f aca="false">INT(A1002/6)</f>
        <v>166</v>
      </c>
      <c r="D1002" s="16" t="n">
        <f aca="false">IF(C1002=0,(1+Dic2023!$G$6)^(-B1002),EXP(LN(INDEX(Dic2023!$H$6:$H$205,C1002))+(LN(INDEX(Dic2023!$H$6:$H$205,MIN(C1002+1,200)))-LN(INDEX(Dic2023!$H$6:$H$205,C1002)))*(A1002-6*C1002)/6))</f>
        <v>0.0150491667272427</v>
      </c>
      <c r="E1002" s="12" t="n">
        <f aca="false">D1002^(-1/B1002)-1</f>
        <v>0.0517528025</v>
      </c>
      <c r="F1002" s="12" t="n">
        <f aca="false">(1+E1002)^(1/12)-1</f>
        <v>0.00421369509431369</v>
      </c>
      <c r="G1002" s="16" t="n">
        <f aca="false">IF(C1002=0,(1+Dic2023!$J$6)^(-B1002),EXP(LN(INDEX(Dic2023!$K$6:$K$205,C1002))+(LN(INDEX(Dic2023!$K$6:$K$205,MIN(C1002+1,200)))-LN(INDEX(Dic2023!$K$6:$K$205,C1002)))*(A1002-6*C1002)/6))</f>
        <v>0.0150491667272427</v>
      </c>
      <c r="H1002" s="12" t="n">
        <f aca="false">G1002^(-1/B1002)-1</f>
        <v>0.0517528025</v>
      </c>
      <c r="I1002" s="12" t="n">
        <f aca="false">(1+H1002)^(1/12)-1</f>
        <v>0.00421369509431369</v>
      </c>
      <c r="J1002" s="16" t="n">
        <f aca="false">IF(C1002=0,(1+Dic2023!$M$6)^(-B1002),EXP(LN(INDEX(Dic2023!$N$6:$N$205,C1002))+(LN(INDEX(Dic2023!$N$6:$N$205,MIN(C1002+1,200)))-LN(INDEX(Dic2023!$N$6:$N$205,C1002)))*(A1002-6*C1002)/6))</f>
        <v>0.0150491667272427</v>
      </c>
      <c r="K1002" s="12" t="n">
        <f aca="false">J1002^(-1/B1002)-1</f>
        <v>0.0517528025</v>
      </c>
      <c r="L1002" s="12" t="n">
        <f aca="false">(1+K1002)^(1/12)-1</f>
        <v>0.00421369509431369</v>
      </c>
    </row>
    <row r="1003" customFormat="false" ht="15" hidden="false" customHeight="false" outlineLevel="0" collapsed="false">
      <c r="A1003" s="4" t="n">
        <v>999</v>
      </c>
      <c r="B1003" s="14" t="n">
        <f aca="false">A1003/12</f>
        <v>83.25</v>
      </c>
      <c r="C1003" s="15" t="n">
        <f aca="false">INT(A1003/6)</f>
        <v>166</v>
      </c>
      <c r="D1003" s="16" t="n">
        <f aca="false">IF(C1003=0,(1+Dic2023!$G$6)^(-B1003),EXP(LN(INDEX(Dic2023!$H$6:$H$205,C1003))+(LN(INDEX(Dic2023!$H$6:$H$205,MIN(C1003+1,200)))-LN(INDEX(Dic2023!$H$6:$H$205,C1003)))*(A1003-6*C1003)/6))</f>
        <v>0.0149860202074115</v>
      </c>
      <c r="E1003" s="12" t="n">
        <f aca="false">D1003^(-1/B1003)-1</f>
        <v>0.0517528025</v>
      </c>
      <c r="F1003" s="12" t="n">
        <f aca="false">(1+E1003)^(1/12)-1</f>
        <v>0.00421369509431369</v>
      </c>
      <c r="G1003" s="16" t="n">
        <f aca="false">IF(C1003=0,(1+Dic2023!$J$6)^(-B1003),EXP(LN(INDEX(Dic2023!$K$6:$K$205,C1003))+(LN(INDEX(Dic2023!$K$6:$K$205,MIN(C1003+1,200)))-LN(INDEX(Dic2023!$K$6:$K$205,C1003)))*(A1003-6*C1003)/6))</f>
        <v>0.0149860202074115</v>
      </c>
      <c r="H1003" s="12" t="n">
        <f aca="false">G1003^(-1/B1003)-1</f>
        <v>0.0517528025</v>
      </c>
      <c r="I1003" s="12" t="n">
        <f aca="false">(1+H1003)^(1/12)-1</f>
        <v>0.00421369509431369</v>
      </c>
      <c r="J1003" s="16" t="n">
        <f aca="false">IF(C1003=0,(1+Dic2023!$M$6)^(-B1003),EXP(LN(INDEX(Dic2023!$N$6:$N$205,C1003))+(LN(INDEX(Dic2023!$N$6:$N$205,MIN(C1003+1,200)))-LN(INDEX(Dic2023!$N$6:$N$205,C1003)))*(A1003-6*C1003)/6))</f>
        <v>0.0149860202074115</v>
      </c>
      <c r="K1003" s="12" t="n">
        <f aca="false">J1003^(-1/B1003)-1</f>
        <v>0.0517528025</v>
      </c>
      <c r="L1003" s="12" t="n">
        <f aca="false">(1+K1003)^(1/12)-1</f>
        <v>0.00421369509431369</v>
      </c>
    </row>
    <row r="1004" customFormat="false" ht="15" hidden="false" customHeight="false" outlineLevel="0" collapsed="false">
      <c r="A1004" s="4" t="n">
        <v>1000</v>
      </c>
      <c r="B1004" s="14" t="n">
        <f aca="false">A1004/12</f>
        <v>83.3333333333333</v>
      </c>
      <c r="C1004" s="15" t="n">
        <f aca="false">INT(A1004/6)</f>
        <v>166</v>
      </c>
      <c r="D1004" s="16" t="n">
        <f aca="false">IF(C1004=0,(1+Dic2023!$G$6)^(-B1004),EXP(LN(INDEX(Dic2023!$H$6:$H$205,C1004))+(LN(INDEX(Dic2023!$H$6:$H$205,MIN(C1004+1,200)))-LN(INDEX(Dic2023!$H$6:$H$205,C1004)))*(A1004-6*C1004)/6))</f>
        <v>0.0149231386512848</v>
      </c>
      <c r="E1004" s="12" t="n">
        <f aca="false">D1004^(-1/B1004)-1</f>
        <v>0.0517528025</v>
      </c>
      <c r="F1004" s="12" t="n">
        <f aca="false">(1+E1004)^(1/12)-1</f>
        <v>0.00421369509431369</v>
      </c>
      <c r="G1004" s="16" t="n">
        <f aca="false">IF(C1004=0,(1+Dic2023!$J$6)^(-B1004),EXP(LN(INDEX(Dic2023!$K$6:$K$205,C1004))+(LN(INDEX(Dic2023!$K$6:$K$205,MIN(C1004+1,200)))-LN(INDEX(Dic2023!$K$6:$K$205,C1004)))*(A1004-6*C1004)/6))</f>
        <v>0.0149231386512848</v>
      </c>
      <c r="H1004" s="12" t="n">
        <f aca="false">G1004^(-1/B1004)-1</f>
        <v>0.0517528025</v>
      </c>
      <c r="I1004" s="12" t="n">
        <f aca="false">(1+H1004)^(1/12)-1</f>
        <v>0.00421369509431369</v>
      </c>
      <c r="J1004" s="16" t="n">
        <f aca="false">IF(C1004=0,(1+Dic2023!$M$6)^(-B1004),EXP(LN(INDEX(Dic2023!$N$6:$N$205,C1004))+(LN(INDEX(Dic2023!$N$6:$N$205,MIN(C1004+1,200)))-LN(INDEX(Dic2023!$N$6:$N$205,C1004)))*(A1004-6*C1004)/6))</f>
        <v>0.0149231386512848</v>
      </c>
      <c r="K1004" s="12" t="n">
        <f aca="false">J1004^(-1/B1004)-1</f>
        <v>0.0517528025</v>
      </c>
      <c r="L1004" s="12" t="n">
        <f aca="false">(1+K1004)^(1/12)-1</f>
        <v>0.00421369509431369</v>
      </c>
    </row>
    <row r="1005" customFormat="false" ht="15" hidden="false" customHeight="false" outlineLevel="0" collapsed="false">
      <c r="A1005" s="4" t="n">
        <v>1001</v>
      </c>
      <c r="B1005" s="14" t="n">
        <f aca="false">A1005/12</f>
        <v>83.4166666666667</v>
      </c>
      <c r="C1005" s="15" t="n">
        <f aca="false">INT(A1005/6)</f>
        <v>166</v>
      </c>
      <c r="D1005" s="16" t="n">
        <f aca="false">IF(C1005=0,(1+Dic2023!$G$6)^(-B1005),EXP(LN(INDEX(Dic2023!$H$6:$H$205,C1005))+(LN(INDEX(Dic2023!$H$6:$H$205,MIN(C1005+1,200)))-LN(INDEX(Dic2023!$H$6:$H$205,C1005)))*(A1005-6*C1005)/6))</f>
        <v>0.0148605209470712</v>
      </c>
      <c r="E1005" s="12" t="n">
        <f aca="false">D1005^(-1/B1005)-1</f>
        <v>0.0517528025</v>
      </c>
      <c r="F1005" s="12" t="n">
        <f aca="false">(1+E1005)^(1/12)-1</f>
        <v>0.00421369509431369</v>
      </c>
      <c r="G1005" s="16" t="n">
        <f aca="false">IF(C1005=0,(1+Dic2023!$J$6)^(-B1005),EXP(LN(INDEX(Dic2023!$K$6:$K$205,C1005))+(LN(INDEX(Dic2023!$K$6:$K$205,MIN(C1005+1,200)))-LN(INDEX(Dic2023!$K$6:$K$205,C1005)))*(A1005-6*C1005)/6))</f>
        <v>0.0148605209470712</v>
      </c>
      <c r="H1005" s="12" t="n">
        <f aca="false">G1005^(-1/B1005)-1</f>
        <v>0.0517528025</v>
      </c>
      <c r="I1005" s="12" t="n">
        <f aca="false">(1+H1005)^(1/12)-1</f>
        <v>0.00421369509431369</v>
      </c>
      <c r="J1005" s="16" t="n">
        <f aca="false">IF(C1005=0,(1+Dic2023!$M$6)^(-B1005),EXP(LN(INDEX(Dic2023!$N$6:$N$205,C1005))+(LN(INDEX(Dic2023!$N$6:$N$205,MIN(C1005+1,200)))-LN(INDEX(Dic2023!$N$6:$N$205,C1005)))*(A1005-6*C1005)/6))</f>
        <v>0.0148605209470712</v>
      </c>
      <c r="K1005" s="12" t="n">
        <f aca="false">J1005^(-1/B1005)-1</f>
        <v>0.0517528025</v>
      </c>
      <c r="L1005" s="12" t="n">
        <f aca="false">(1+K1005)^(1/12)-1</f>
        <v>0.00421369509431369</v>
      </c>
    </row>
    <row r="1006" customFormat="false" ht="15" hidden="false" customHeight="false" outlineLevel="0" collapsed="false">
      <c r="A1006" s="4" t="n">
        <v>1002</v>
      </c>
      <c r="B1006" s="14" t="n">
        <f aca="false">A1006/12</f>
        <v>83.5</v>
      </c>
      <c r="C1006" s="15" t="n">
        <f aca="false">INT(A1006/6)</f>
        <v>167</v>
      </c>
      <c r="D1006" s="16" t="n">
        <f aca="false">IF(C1006=0,(1+Dic2023!$G$6)^(-B1006),EXP(LN(INDEX(Dic2023!$H$6:$H$205,C1006))+(LN(INDEX(Dic2023!$H$6:$H$205,MIN(C1006+1,200)))-LN(INDEX(Dic2023!$H$6:$H$205,C1006)))*(A1006-6*C1006)/6))</f>
        <v>0.0147981659876442</v>
      </c>
      <c r="E1006" s="12" t="n">
        <f aca="false">D1006^(-1/B1006)-1</f>
        <v>0.0517528025</v>
      </c>
      <c r="F1006" s="12" t="n">
        <f aca="false">(1+E1006)^(1/12)-1</f>
        <v>0.00421369509431369</v>
      </c>
      <c r="G1006" s="16" t="n">
        <f aca="false">IF(C1006=0,(1+Dic2023!$J$6)^(-B1006),EXP(LN(INDEX(Dic2023!$K$6:$K$205,C1006))+(LN(INDEX(Dic2023!$K$6:$K$205,MIN(C1006+1,200)))-LN(INDEX(Dic2023!$K$6:$K$205,C1006)))*(A1006-6*C1006)/6))</f>
        <v>0.0147981659876442</v>
      </c>
      <c r="H1006" s="12" t="n">
        <f aca="false">G1006^(-1/B1006)-1</f>
        <v>0.0517528025</v>
      </c>
      <c r="I1006" s="12" t="n">
        <f aca="false">(1+H1006)^(1/12)-1</f>
        <v>0.00421369509431369</v>
      </c>
      <c r="J1006" s="16" t="n">
        <f aca="false">IF(C1006=0,(1+Dic2023!$M$6)^(-B1006),EXP(LN(INDEX(Dic2023!$N$6:$N$205,C1006))+(LN(INDEX(Dic2023!$N$6:$N$205,MIN(C1006+1,200)))-LN(INDEX(Dic2023!$N$6:$N$205,C1006)))*(A1006-6*C1006)/6))</f>
        <v>0.0147981659876442</v>
      </c>
      <c r="K1006" s="12" t="n">
        <f aca="false">J1006^(-1/B1006)-1</f>
        <v>0.0517528025</v>
      </c>
      <c r="L1006" s="12" t="n">
        <f aca="false">(1+K1006)^(1/12)-1</f>
        <v>0.00421369509431369</v>
      </c>
    </row>
    <row r="1007" customFormat="false" ht="15" hidden="false" customHeight="false" outlineLevel="0" collapsed="false">
      <c r="A1007" s="4" t="n">
        <v>1003</v>
      </c>
      <c r="B1007" s="14" t="n">
        <f aca="false">A1007/12</f>
        <v>83.5833333333333</v>
      </c>
      <c r="C1007" s="15" t="n">
        <f aca="false">INT(A1007/6)</f>
        <v>167</v>
      </c>
      <c r="D1007" s="16" t="n">
        <f aca="false">IF(C1007=0,(1+Dic2023!$G$6)^(-B1007),EXP(LN(INDEX(Dic2023!$H$6:$H$205,C1007))+(LN(INDEX(Dic2023!$H$6:$H$205,MIN(C1007+1,200)))-LN(INDEX(Dic2023!$H$6:$H$205,C1007)))*(A1007-6*C1007)/6))</f>
        <v>0.0147360726705229</v>
      </c>
      <c r="E1007" s="12" t="n">
        <f aca="false">D1007^(-1/B1007)-1</f>
        <v>0.0517528025</v>
      </c>
      <c r="F1007" s="12" t="n">
        <f aca="false">(1+E1007)^(1/12)-1</f>
        <v>0.00421369509431369</v>
      </c>
      <c r="G1007" s="16" t="n">
        <f aca="false">IF(C1007=0,(1+Dic2023!$J$6)^(-B1007),EXP(LN(INDEX(Dic2023!$K$6:$K$205,C1007))+(LN(INDEX(Dic2023!$K$6:$K$205,MIN(C1007+1,200)))-LN(INDEX(Dic2023!$K$6:$K$205,C1007)))*(A1007-6*C1007)/6))</f>
        <v>0.0147360726705229</v>
      </c>
      <c r="H1007" s="12" t="n">
        <f aca="false">G1007^(-1/B1007)-1</f>
        <v>0.0517528025</v>
      </c>
      <c r="I1007" s="12" t="n">
        <f aca="false">(1+H1007)^(1/12)-1</f>
        <v>0.00421369509431369</v>
      </c>
      <c r="J1007" s="16" t="n">
        <f aca="false">IF(C1007=0,(1+Dic2023!$M$6)^(-B1007),EXP(LN(INDEX(Dic2023!$N$6:$N$205,C1007))+(LN(INDEX(Dic2023!$N$6:$N$205,MIN(C1007+1,200)))-LN(INDEX(Dic2023!$N$6:$N$205,C1007)))*(A1007-6*C1007)/6))</f>
        <v>0.0147360726705229</v>
      </c>
      <c r="K1007" s="12" t="n">
        <f aca="false">J1007^(-1/B1007)-1</f>
        <v>0.0517528025</v>
      </c>
      <c r="L1007" s="12" t="n">
        <f aca="false">(1+K1007)^(1/12)-1</f>
        <v>0.00421369509431369</v>
      </c>
    </row>
    <row r="1008" customFormat="false" ht="15" hidden="false" customHeight="false" outlineLevel="0" collapsed="false">
      <c r="A1008" s="4" t="n">
        <v>1004</v>
      </c>
      <c r="B1008" s="14" t="n">
        <f aca="false">A1008/12</f>
        <v>83.6666666666667</v>
      </c>
      <c r="C1008" s="15" t="n">
        <f aca="false">INT(A1008/6)</f>
        <v>167</v>
      </c>
      <c r="D1008" s="16" t="n">
        <f aca="false">IF(C1008=0,(1+Dic2023!$G$6)^(-B1008),EXP(LN(INDEX(Dic2023!$H$6:$H$205,C1008))+(LN(INDEX(Dic2023!$H$6:$H$205,MIN(C1008+1,200)))-LN(INDEX(Dic2023!$H$6:$H$205,C1008)))*(A1008-6*C1008)/6))</f>
        <v>0.0146742398978526</v>
      </c>
      <c r="E1008" s="12" t="n">
        <f aca="false">D1008^(-1/B1008)-1</f>
        <v>0.0517528025</v>
      </c>
      <c r="F1008" s="12" t="n">
        <f aca="false">(1+E1008)^(1/12)-1</f>
        <v>0.00421369509431369</v>
      </c>
      <c r="G1008" s="16" t="n">
        <f aca="false">IF(C1008=0,(1+Dic2023!$J$6)^(-B1008),EXP(LN(INDEX(Dic2023!$K$6:$K$205,C1008))+(LN(INDEX(Dic2023!$K$6:$K$205,MIN(C1008+1,200)))-LN(INDEX(Dic2023!$K$6:$K$205,C1008)))*(A1008-6*C1008)/6))</f>
        <v>0.0146742398978526</v>
      </c>
      <c r="H1008" s="12" t="n">
        <f aca="false">G1008^(-1/B1008)-1</f>
        <v>0.0517528025</v>
      </c>
      <c r="I1008" s="12" t="n">
        <f aca="false">(1+H1008)^(1/12)-1</f>
        <v>0.00421369509431369</v>
      </c>
      <c r="J1008" s="16" t="n">
        <f aca="false">IF(C1008=0,(1+Dic2023!$M$6)^(-B1008),EXP(LN(INDEX(Dic2023!$N$6:$N$205,C1008))+(LN(INDEX(Dic2023!$N$6:$N$205,MIN(C1008+1,200)))-LN(INDEX(Dic2023!$N$6:$N$205,C1008)))*(A1008-6*C1008)/6))</f>
        <v>0.0146742398978526</v>
      </c>
      <c r="K1008" s="12" t="n">
        <f aca="false">J1008^(-1/B1008)-1</f>
        <v>0.0517528025</v>
      </c>
      <c r="L1008" s="12" t="n">
        <f aca="false">(1+K1008)^(1/12)-1</f>
        <v>0.00421369509431369</v>
      </c>
    </row>
    <row r="1009" customFormat="false" ht="15" hidden="false" customHeight="false" outlineLevel="0" collapsed="false">
      <c r="A1009" s="4" t="n">
        <v>1005</v>
      </c>
      <c r="B1009" s="14" t="n">
        <f aca="false">A1009/12</f>
        <v>83.75</v>
      </c>
      <c r="C1009" s="15" t="n">
        <f aca="false">INT(A1009/6)</f>
        <v>167</v>
      </c>
      <c r="D1009" s="16" t="n">
        <f aca="false">IF(C1009=0,(1+Dic2023!$G$6)^(-B1009),EXP(LN(INDEX(Dic2023!$H$6:$H$205,C1009))+(LN(INDEX(Dic2023!$H$6:$H$205,MIN(C1009+1,200)))-LN(INDEX(Dic2023!$H$6:$H$205,C1009)))*(A1009-6*C1009)/6))</f>
        <v>0.0146126665763848</v>
      </c>
      <c r="E1009" s="12" t="n">
        <f aca="false">D1009^(-1/B1009)-1</f>
        <v>0.0517528025</v>
      </c>
      <c r="F1009" s="12" t="n">
        <f aca="false">(1+E1009)^(1/12)-1</f>
        <v>0.00421369509431369</v>
      </c>
      <c r="G1009" s="16" t="n">
        <f aca="false">IF(C1009=0,(1+Dic2023!$J$6)^(-B1009),EXP(LN(INDEX(Dic2023!$K$6:$K$205,C1009))+(LN(INDEX(Dic2023!$K$6:$K$205,MIN(C1009+1,200)))-LN(INDEX(Dic2023!$K$6:$K$205,C1009)))*(A1009-6*C1009)/6))</f>
        <v>0.0146126665763848</v>
      </c>
      <c r="H1009" s="12" t="n">
        <f aca="false">G1009^(-1/B1009)-1</f>
        <v>0.0517528025</v>
      </c>
      <c r="I1009" s="12" t="n">
        <f aca="false">(1+H1009)^(1/12)-1</f>
        <v>0.00421369509431369</v>
      </c>
      <c r="J1009" s="16" t="n">
        <f aca="false">IF(C1009=0,(1+Dic2023!$M$6)^(-B1009),EXP(LN(INDEX(Dic2023!$N$6:$N$205,C1009))+(LN(INDEX(Dic2023!$N$6:$N$205,MIN(C1009+1,200)))-LN(INDEX(Dic2023!$N$6:$N$205,C1009)))*(A1009-6*C1009)/6))</f>
        <v>0.0146126665763848</v>
      </c>
      <c r="K1009" s="12" t="n">
        <f aca="false">J1009^(-1/B1009)-1</f>
        <v>0.0517528025</v>
      </c>
      <c r="L1009" s="12" t="n">
        <f aca="false">(1+K1009)^(1/12)-1</f>
        <v>0.00421369509431369</v>
      </c>
    </row>
    <row r="1010" customFormat="false" ht="15" hidden="false" customHeight="false" outlineLevel="0" collapsed="false">
      <c r="A1010" s="4" t="n">
        <v>1006</v>
      </c>
      <c r="B1010" s="14" t="n">
        <f aca="false">A1010/12</f>
        <v>83.8333333333333</v>
      </c>
      <c r="C1010" s="15" t="n">
        <f aca="false">INT(A1010/6)</f>
        <v>167</v>
      </c>
      <c r="D1010" s="16" t="n">
        <f aca="false">IF(C1010=0,(1+Dic2023!$G$6)^(-B1010),EXP(LN(INDEX(Dic2023!$H$6:$H$205,C1010))+(LN(INDEX(Dic2023!$H$6:$H$205,MIN(C1010+1,200)))-LN(INDEX(Dic2023!$H$6:$H$205,C1010)))*(A1010-6*C1010)/6))</f>
        <v>0.0145513516174587</v>
      </c>
      <c r="E1010" s="12" t="n">
        <f aca="false">D1010^(-1/B1010)-1</f>
        <v>0.0517528025</v>
      </c>
      <c r="F1010" s="12" t="n">
        <f aca="false">(1+E1010)^(1/12)-1</f>
        <v>0.00421369509431369</v>
      </c>
      <c r="G1010" s="16" t="n">
        <f aca="false">IF(C1010=0,(1+Dic2023!$J$6)^(-B1010),EXP(LN(INDEX(Dic2023!$K$6:$K$205,C1010))+(LN(INDEX(Dic2023!$K$6:$K$205,MIN(C1010+1,200)))-LN(INDEX(Dic2023!$K$6:$K$205,C1010)))*(A1010-6*C1010)/6))</f>
        <v>0.0145513516174587</v>
      </c>
      <c r="H1010" s="12" t="n">
        <f aca="false">G1010^(-1/B1010)-1</f>
        <v>0.0517528025</v>
      </c>
      <c r="I1010" s="12" t="n">
        <f aca="false">(1+H1010)^(1/12)-1</f>
        <v>0.00421369509431369</v>
      </c>
      <c r="J1010" s="16" t="n">
        <f aca="false">IF(C1010=0,(1+Dic2023!$M$6)^(-B1010),EXP(LN(INDEX(Dic2023!$N$6:$N$205,C1010))+(LN(INDEX(Dic2023!$N$6:$N$205,MIN(C1010+1,200)))-LN(INDEX(Dic2023!$N$6:$N$205,C1010)))*(A1010-6*C1010)/6))</f>
        <v>0.0145513516174587</v>
      </c>
      <c r="K1010" s="12" t="n">
        <f aca="false">J1010^(-1/B1010)-1</f>
        <v>0.0517528025</v>
      </c>
      <c r="L1010" s="12" t="n">
        <f aca="false">(1+K1010)^(1/12)-1</f>
        <v>0.00421369509431369</v>
      </c>
    </row>
    <row r="1011" customFormat="false" ht="15" hidden="false" customHeight="false" outlineLevel="0" collapsed="false">
      <c r="A1011" s="4" t="n">
        <v>1007</v>
      </c>
      <c r="B1011" s="14" t="n">
        <f aca="false">A1011/12</f>
        <v>83.9166666666667</v>
      </c>
      <c r="C1011" s="15" t="n">
        <f aca="false">INT(A1011/6)</f>
        <v>167</v>
      </c>
      <c r="D1011" s="16" t="n">
        <f aca="false">IF(C1011=0,(1+Dic2023!$G$6)^(-B1011),EXP(LN(INDEX(Dic2023!$H$6:$H$205,C1011))+(LN(INDEX(Dic2023!$H$6:$H$205,MIN(C1011+1,200)))-LN(INDEX(Dic2023!$H$6:$H$205,C1011)))*(A1011-6*C1011)/6))</f>
        <v>0.0144902939369813</v>
      </c>
      <c r="E1011" s="12" t="n">
        <f aca="false">D1011^(-1/B1011)-1</f>
        <v>0.0517528025</v>
      </c>
      <c r="F1011" s="12" t="n">
        <f aca="false">(1+E1011)^(1/12)-1</f>
        <v>0.00421369509431369</v>
      </c>
      <c r="G1011" s="16" t="n">
        <f aca="false">IF(C1011=0,(1+Dic2023!$J$6)^(-B1011),EXP(LN(INDEX(Dic2023!$K$6:$K$205,C1011))+(LN(INDEX(Dic2023!$K$6:$K$205,MIN(C1011+1,200)))-LN(INDEX(Dic2023!$K$6:$K$205,C1011)))*(A1011-6*C1011)/6))</f>
        <v>0.0144902939369813</v>
      </c>
      <c r="H1011" s="12" t="n">
        <f aca="false">G1011^(-1/B1011)-1</f>
        <v>0.0517528025</v>
      </c>
      <c r="I1011" s="12" t="n">
        <f aca="false">(1+H1011)^(1/12)-1</f>
        <v>0.00421369509431369</v>
      </c>
      <c r="J1011" s="16" t="n">
        <f aca="false">IF(C1011=0,(1+Dic2023!$M$6)^(-B1011),EXP(LN(INDEX(Dic2023!$N$6:$N$205,C1011))+(LN(INDEX(Dic2023!$N$6:$N$205,MIN(C1011+1,200)))-LN(INDEX(Dic2023!$N$6:$N$205,C1011)))*(A1011-6*C1011)/6))</f>
        <v>0.0144902939369813</v>
      </c>
      <c r="K1011" s="12" t="n">
        <f aca="false">J1011^(-1/B1011)-1</f>
        <v>0.0517528025</v>
      </c>
      <c r="L1011" s="12" t="n">
        <f aca="false">(1+K1011)^(1/12)-1</f>
        <v>0.00421369509431369</v>
      </c>
    </row>
    <row r="1012" customFormat="false" ht="15" hidden="false" customHeight="false" outlineLevel="0" collapsed="false">
      <c r="A1012" s="4" t="n">
        <v>1008</v>
      </c>
      <c r="B1012" s="14" t="n">
        <f aca="false">A1012/12</f>
        <v>84</v>
      </c>
      <c r="C1012" s="15" t="n">
        <f aca="false">INT(A1012/6)</f>
        <v>168</v>
      </c>
      <c r="D1012" s="16" t="n">
        <f aca="false">IF(C1012=0,(1+Dic2023!$G$6)^(-B1012),EXP(LN(INDEX(Dic2023!$H$6:$H$205,C1012))+(LN(INDEX(Dic2023!$H$6:$H$205,MIN(C1012+1,200)))-LN(INDEX(Dic2023!$H$6:$H$205,C1012)))*(A1012-6*C1012)/6))</f>
        <v>0.0144294924554085</v>
      </c>
      <c r="E1012" s="12" t="n">
        <f aca="false">D1012^(-1/B1012)-1</f>
        <v>0.0517528025</v>
      </c>
      <c r="F1012" s="12" t="n">
        <f aca="false">(1+E1012)^(1/12)-1</f>
        <v>0.00421369509431369</v>
      </c>
      <c r="G1012" s="16" t="n">
        <f aca="false">IF(C1012=0,(1+Dic2023!$J$6)^(-B1012),EXP(LN(INDEX(Dic2023!$K$6:$K$205,C1012))+(LN(INDEX(Dic2023!$K$6:$K$205,MIN(C1012+1,200)))-LN(INDEX(Dic2023!$K$6:$K$205,C1012)))*(A1012-6*C1012)/6))</f>
        <v>0.0144294924554085</v>
      </c>
      <c r="H1012" s="12" t="n">
        <f aca="false">G1012^(-1/B1012)-1</f>
        <v>0.0517528025</v>
      </c>
      <c r="I1012" s="12" t="n">
        <f aca="false">(1+H1012)^(1/12)-1</f>
        <v>0.00421369509431369</v>
      </c>
      <c r="J1012" s="16" t="n">
        <f aca="false">IF(C1012=0,(1+Dic2023!$M$6)^(-B1012),EXP(LN(INDEX(Dic2023!$N$6:$N$205,C1012))+(LN(INDEX(Dic2023!$N$6:$N$205,MIN(C1012+1,200)))-LN(INDEX(Dic2023!$N$6:$N$205,C1012)))*(A1012-6*C1012)/6))</f>
        <v>0.0144294924554085</v>
      </c>
      <c r="K1012" s="12" t="n">
        <f aca="false">J1012^(-1/B1012)-1</f>
        <v>0.0517528025</v>
      </c>
      <c r="L1012" s="12" t="n">
        <f aca="false">(1+K1012)^(1/12)-1</f>
        <v>0.00421369509431369</v>
      </c>
    </row>
    <row r="1013" customFormat="false" ht="15" hidden="false" customHeight="false" outlineLevel="0" collapsed="false">
      <c r="A1013" s="4" t="n">
        <v>1009</v>
      </c>
      <c r="B1013" s="14" t="n">
        <f aca="false">A1013/12</f>
        <v>84.0833333333333</v>
      </c>
      <c r="C1013" s="15" t="n">
        <f aca="false">INT(A1013/6)</f>
        <v>168</v>
      </c>
      <c r="D1013" s="16" t="n">
        <f aca="false">IF(C1013=0,(1+Dic2023!$G$6)^(-B1013),EXP(LN(INDEX(Dic2023!$H$6:$H$205,C1013))+(LN(INDEX(Dic2023!$H$6:$H$205,MIN(C1013+1,200)))-LN(INDEX(Dic2023!$H$6:$H$205,C1013)))*(A1013-6*C1013)/6))</f>
        <v>0.014368946097726</v>
      </c>
      <c r="E1013" s="12" t="n">
        <f aca="false">D1013^(-1/B1013)-1</f>
        <v>0.0517528025</v>
      </c>
      <c r="F1013" s="12" t="n">
        <f aca="false">(1+E1013)^(1/12)-1</f>
        <v>0.00421369509431369</v>
      </c>
      <c r="G1013" s="16" t="n">
        <f aca="false">IF(C1013=0,(1+Dic2023!$J$6)^(-B1013),EXP(LN(INDEX(Dic2023!$K$6:$K$205,C1013))+(LN(INDEX(Dic2023!$K$6:$K$205,MIN(C1013+1,200)))-LN(INDEX(Dic2023!$K$6:$K$205,C1013)))*(A1013-6*C1013)/6))</f>
        <v>0.014368946097726</v>
      </c>
      <c r="H1013" s="12" t="n">
        <f aca="false">G1013^(-1/B1013)-1</f>
        <v>0.0517528025</v>
      </c>
      <c r="I1013" s="12" t="n">
        <f aca="false">(1+H1013)^(1/12)-1</f>
        <v>0.00421369509431369</v>
      </c>
      <c r="J1013" s="16" t="n">
        <f aca="false">IF(C1013=0,(1+Dic2023!$M$6)^(-B1013),EXP(LN(INDEX(Dic2023!$N$6:$N$205,C1013))+(LN(INDEX(Dic2023!$N$6:$N$205,MIN(C1013+1,200)))-LN(INDEX(Dic2023!$N$6:$N$205,C1013)))*(A1013-6*C1013)/6))</f>
        <v>0.014368946097726</v>
      </c>
      <c r="K1013" s="12" t="n">
        <f aca="false">J1013^(-1/B1013)-1</f>
        <v>0.0517528025</v>
      </c>
      <c r="L1013" s="12" t="n">
        <f aca="false">(1+K1013)^(1/12)-1</f>
        <v>0.00421369509431369</v>
      </c>
    </row>
    <row r="1014" customFormat="false" ht="15" hidden="false" customHeight="false" outlineLevel="0" collapsed="false">
      <c r="A1014" s="4" t="n">
        <v>1010</v>
      </c>
      <c r="B1014" s="14" t="n">
        <f aca="false">A1014/12</f>
        <v>84.1666666666667</v>
      </c>
      <c r="C1014" s="15" t="n">
        <f aca="false">INT(A1014/6)</f>
        <v>168</v>
      </c>
      <c r="D1014" s="16" t="n">
        <f aca="false">IF(C1014=0,(1+Dic2023!$G$6)^(-B1014),EXP(LN(INDEX(Dic2023!$H$6:$H$205,C1014))+(LN(INDEX(Dic2023!$H$6:$H$205,MIN(C1014+1,200)))-LN(INDEX(Dic2023!$H$6:$H$205,C1014)))*(A1014-6*C1014)/6))</f>
        <v>0.0143086537934304</v>
      </c>
      <c r="E1014" s="12" t="n">
        <f aca="false">D1014^(-1/B1014)-1</f>
        <v>0.0517528025</v>
      </c>
      <c r="F1014" s="12" t="n">
        <f aca="false">(1+E1014)^(1/12)-1</f>
        <v>0.00421369509431369</v>
      </c>
      <c r="G1014" s="16" t="n">
        <f aca="false">IF(C1014=0,(1+Dic2023!$J$6)^(-B1014),EXP(LN(INDEX(Dic2023!$K$6:$K$205,C1014))+(LN(INDEX(Dic2023!$K$6:$K$205,MIN(C1014+1,200)))-LN(INDEX(Dic2023!$K$6:$K$205,C1014)))*(A1014-6*C1014)/6))</f>
        <v>0.0143086537934304</v>
      </c>
      <c r="H1014" s="12" t="n">
        <f aca="false">G1014^(-1/B1014)-1</f>
        <v>0.0517528025</v>
      </c>
      <c r="I1014" s="12" t="n">
        <f aca="false">(1+H1014)^(1/12)-1</f>
        <v>0.00421369509431369</v>
      </c>
      <c r="J1014" s="16" t="n">
        <f aca="false">IF(C1014=0,(1+Dic2023!$M$6)^(-B1014),EXP(LN(INDEX(Dic2023!$N$6:$N$205,C1014))+(LN(INDEX(Dic2023!$N$6:$N$205,MIN(C1014+1,200)))-LN(INDEX(Dic2023!$N$6:$N$205,C1014)))*(A1014-6*C1014)/6))</f>
        <v>0.0143086537934304</v>
      </c>
      <c r="K1014" s="12" t="n">
        <f aca="false">J1014^(-1/B1014)-1</f>
        <v>0.0517528025</v>
      </c>
      <c r="L1014" s="12" t="n">
        <f aca="false">(1+K1014)^(1/12)-1</f>
        <v>0.00421369509431369</v>
      </c>
    </row>
    <row r="1015" customFormat="false" ht="15" hidden="false" customHeight="false" outlineLevel="0" collapsed="false">
      <c r="A1015" s="4" t="n">
        <v>1011</v>
      </c>
      <c r="B1015" s="14" t="n">
        <f aca="false">A1015/12</f>
        <v>84.25</v>
      </c>
      <c r="C1015" s="15" t="n">
        <f aca="false">INT(A1015/6)</f>
        <v>168</v>
      </c>
      <c r="D1015" s="16" t="n">
        <f aca="false">IF(C1015=0,(1+Dic2023!$G$6)^(-B1015),EXP(LN(INDEX(Dic2023!$H$6:$H$205,C1015))+(LN(INDEX(Dic2023!$H$6:$H$205,MIN(C1015+1,200)))-LN(INDEX(Dic2023!$H$6:$H$205,C1015)))*(A1015-6*C1015)/6))</f>
        <v>0.01424861447651</v>
      </c>
      <c r="E1015" s="12" t="n">
        <f aca="false">D1015^(-1/B1015)-1</f>
        <v>0.0517528025</v>
      </c>
      <c r="F1015" s="12" t="n">
        <f aca="false">(1+E1015)^(1/12)-1</f>
        <v>0.00421369509431369</v>
      </c>
      <c r="G1015" s="16" t="n">
        <f aca="false">IF(C1015=0,(1+Dic2023!$J$6)^(-B1015),EXP(LN(INDEX(Dic2023!$K$6:$K$205,C1015))+(LN(INDEX(Dic2023!$K$6:$K$205,MIN(C1015+1,200)))-LN(INDEX(Dic2023!$K$6:$K$205,C1015)))*(A1015-6*C1015)/6))</f>
        <v>0.01424861447651</v>
      </c>
      <c r="H1015" s="12" t="n">
        <f aca="false">G1015^(-1/B1015)-1</f>
        <v>0.0517528025</v>
      </c>
      <c r="I1015" s="12" t="n">
        <f aca="false">(1+H1015)^(1/12)-1</f>
        <v>0.00421369509431369</v>
      </c>
      <c r="J1015" s="16" t="n">
        <f aca="false">IF(C1015=0,(1+Dic2023!$M$6)^(-B1015),EXP(LN(INDEX(Dic2023!$N$6:$N$205,C1015))+(LN(INDEX(Dic2023!$N$6:$N$205,MIN(C1015+1,200)))-LN(INDEX(Dic2023!$N$6:$N$205,C1015)))*(A1015-6*C1015)/6))</f>
        <v>0.01424861447651</v>
      </c>
      <c r="K1015" s="12" t="n">
        <f aca="false">J1015^(-1/B1015)-1</f>
        <v>0.0517528025</v>
      </c>
      <c r="L1015" s="12" t="n">
        <f aca="false">(1+K1015)^(1/12)-1</f>
        <v>0.00421369509431369</v>
      </c>
    </row>
    <row r="1016" customFormat="false" ht="15" hidden="false" customHeight="false" outlineLevel="0" collapsed="false">
      <c r="A1016" s="4" t="n">
        <v>1012</v>
      </c>
      <c r="B1016" s="14" t="n">
        <f aca="false">A1016/12</f>
        <v>84.3333333333333</v>
      </c>
      <c r="C1016" s="15" t="n">
        <f aca="false">INT(A1016/6)</f>
        <v>168</v>
      </c>
      <c r="D1016" s="16" t="n">
        <f aca="false">IF(C1016=0,(1+Dic2023!$G$6)^(-B1016),EXP(LN(INDEX(Dic2023!$H$6:$H$205,C1016))+(LN(INDEX(Dic2023!$H$6:$H$205,MIN(C1016+1,200)))-LN(INDEX(Dic2023!$H$6:$H$205,C1016)))*(A1016-6*C1016)/6))</f>
        <v>0.0141888270854261</v>
      </c>
      <c r="E1016" s="12" t="n">
        <f aca="false">D1016^(-1/B1016)-1</f>
        <v>0.0517528025</v>
      </c>
      <c r="F1016" s="12" t="n">
        <f aca="false">(1+E1016)^(1/12)-1</f>
        <v>0.00421369509431369</v>
      </c>
      <c r="G1016" s="16" t="n">
        <f aca="false">IF(C1016=0,(1+Dic2023!$J$6)^(-B1016),EXP(LN(INDEX(Dic2023!$K$6:$K$205,C1016))+(LN(INDEX(Dic2023!$K$6:$K$205,MIN(C1016+1,200)))-LN(INDEX(Dic2023!$K$6:$K$205,C1016)))*(A1016-6*C1016)/6))</f>
        <v>0.0141888270854261</v>
      </c>
      <c r="H1016" s="12" t="n">
        <f aca="false">G1016^(-1/B1016)-1</f>
        <v>0.0517528025</v>
      </c>
      <c r="I1016" s="12" t="n">
        <f aca="false">(1+H1016)^(1/12)-1</f>
        <v>0.00421369509431369</v>
      </c>
      <c r="J1016" s="16" t="n">
        <f aca="false">IF(C1016=0,(1+Dic2023!$M$6)^(-B1016),EXP(LN(INDEX(Dic2023!$N$6:$N$205,C1016))+(LN(INDEX(Dic2023!$N$6:$N$205,MIN(C1016+1,200)))-LN(INDEX(Dic2023!$N$6:$N$205,C1016)))*(A1016-6*C1016)/6))</f>
        <v>0.0141888270854261</v>
      </c>
      <c r="K1016" s="12" t="n">
        <f aca="false">J1016^(-1/B1016)-1</f>
        <v>0.0517528025</v>
      </c>
      <c r="L1016" s="12" t="n">
        <f aca="false">(1+K1016)^(1/12)-1</f>
        <v>0.00421369509431369</v>
      </c>
    </row>
    <row r="1017" customFormat="false" ht="15" hidden="false" customHeight="false" outlineLevel="0" collapsed="false">
      <c r="A1017" s="4" t="n">
        <v>1013</v>
      </c>
      <c r="B1017" s="14" t="n">
        <f aca="false">A1017/12</f>
        <v>84.4166666666667</v>
      </c>
      <c r="C1017" s="15" t="n">
        <f aca="false">INT(A1017/6)</f>
        <v>168</v>
      </c>
      <c r="D1017" s="16" t="n">
        <f aca="false">IF(C1017=0,(1+Dic2023!$G$6)^(-B1017),EXP(LN(INDEX(Dic2023!$H$6:$H$205,C1017))+(LN(INDEX(Dic2023!$H$6:$H$205,MIN(C1017+1,200)))-LN(INDEX(Dic2023!$H$6:$H$205,C1017)))*(A1017-6*C1017)/6))</f>
        <v>0.0141292905630942</v>
      </c>
      <c r="E1017" s="12" t="n">
        <f aca="false">D1017^(-1/B1017)-1</f>
        <v>0.0517528025</v>
      </c>
      <c r="F1017" s="12" t="n">
        <f aca="false">(1+E1017)^(1/12)-1</f>
        <v>0.00421369509431369</v>
      </c>
      <c r="G1017" s="16" t="n">
        <f aca="false">IF(C1017=0,(1+Dic2023!$J$6)^(-B1017),EXP(LN(INDEX(Dic2023!$K$6:$K$205,C1017))+(LN(INDEX(Dic2023!$K$6:$K$205,MIN(C1017+1,200)))-LN(INDEX(Dic2023!$K$6:$K$205,C1017)))*(A1017-6*C1017)/6))</f>
        <v>0.0141292905630942</v>
      </c>
      <c r="H1017" s="12" t="n">
        <f aca="false">G1017^(-1/B1017)-1</f>
        <v>0.0517528025</v>
      </c>
      <c r="I1017" s="12" t="n">
        <f aca="false">(1+H1017)^(1/12)-1</f>
        <v>0.00421369509431369</v>
      </c>
      <c r="J1017" s="16" t="n">
        <f aca="false">IF(C1017=0,(1+Dic2023!$M$6)^(-B1017),EXP(LN(INDEX(Dic2023!$N$6:$N$205,C1017))+(LN(INDEX(Dic2023!$N$6:$N$205,MIN(C1017+1,200)))-LN(INDEX(Dic2023!$N$6:$N$205,C1017)))*(A1017-6*C1017)/6))</f>
        <v>0.0141292905630942</v>
      </c>
      <c r="K1017" s="12" t="n">
        <f aca="false">J1017^(-1/B1017)-1</f>
        <v>0.0517528025</v>
      </c>
      <c r="L1017" s="12" t="n">
        <f aca="false">(1+K1017)^(1/12)-1</f>
        <v>0.00421369509431369</v>
      </c>
    </row>
    <row r="1018" customFormat="false" ht="15" hidden="false" customHeight="false" outlineLevel="0" collapsed="false">
      <c r="A1018" s="4" t="n">
        <v>1014</v>
      </c>
      <c r="B1018" s="14" t="n">
        <f aca="false">A1018/12</f>
        <v>84.5</v>
      </c>
      <c r="C1018" s="15" t="n">
        <f aca="false">INT(A1018/6)</f>
        <v>169</v>
      </c>
      <c r="D1018" s="16" t="n">
        <f aca="false">IF(C1018=0,(1+Dic2023!$G$6)^(-B1018),EXP(LN(INDEX(Dic2023!$H$6:$H$205,C1018))+(LN(INDEX(Dic2023!$H$6:$H$205,MIN(C1018+1,200)))-LN(INDEX(Dic2023!$H$6:$H$205,C1018)))*(A1018-6*C1018)/6))</f>
        <v>0.0140700038568656</v>
      </c>
      <c r="E1018" s="12" t="n">
        <f aca="false">D1018^(-1/B1018)-1</f>
        <v>0.0517528025</v>
      </c>
      <c r="F1018" s="12" t="n">
        <f aca="false">(1+E1018)^(1/12)-1</f>
        <v>0.00421369509431369</v>
      </c>
      <c r="G1018" s="16" t="n">
        <f aca="false">IF(C1018=0,(1+Dic2023!$J$6)^(-B1018),EXP(LN(INDEX(Dic2023!$K$6:$K$205,C1018))+(LN(INDEX(Dic2023!$K$6:$K$205,MIN(C1018+1,200)))-LN(INDEX(Dic2023!$K$6:$K$205,C1018)))*(A1018-6*C1018)/6))</f>
        <v>0.0140700038568656</v>
      </c>
      <c r="H1018" s="12" t="n">
        <f aca="false">G1018^(-1/B1018)-1</f>
        <v>0.0517528025</v>
      </c>
      <c r="I1018" s="12" t="n">
        <f aca="false">(1+H1018)^(1/12)-1</f>
        <v>0.00421369509431369</v>
      </c>
      <c r="J1018" s="16" t="n">
        <f aca="false">IF(C1018=0,(1+Dic2023!$M$6)^(-B1018),EXP(LN(INDEX(Dic2023!$N$6:$N$205,C1018))+(LN(INDEX(Dic2023!$N$6:$N$205,MIN(C1018+1,200)))-LN(INDEX(Dic2023!$N$6:$N$205,C1018)))*(A1018-6*C1018)/6))</f>
        <v>0.0140700038568656</v>
      </c>
      <c r="K1018" s="12" t="n">
        <f aca="false">J1018^(-1/B1018)-1</f>
        <v>0.0517528025</v>
      </c>
      <c r="L1018" s="12" t="n">
        <f aca="false">(1+K1018)^(1/12)-1</f>
        <v>0.00421369509431369</v>
      </c>
    </row>
    <row r="1019" customFormat="false" ht="15" hidden="false" customHeight="false" outlineLevel="0" collapsed="false">
      <c r="A1019" s="4" t="n">
        <v>1015</v>
      </c>
      <c r="B1019" s="14" t="n">
        <f aca="false">A1019/12</f>
        <v>84.5833333333333</v>
      </c>
      <c r="C1019" s="15" t="n">
        <f aca="false">INT(A1019/6)</f>
        <v>169</v>
      </c>
      <c r="D1019" s="16" t="n">
        <f aca="false">IF(C1019=0,(1+Dic2023!$G$6)^(-B1019),EXP(LN(INDEX(Dic2023!$H$6:$H$205,C1019))+(LN(INDEX(Dic2023!$H$6:$H$205,MIN(C1019+1,200)))-LN(INDEX(Dic2023!$H$6:$H$205,C1019)))*(A1019-6*C1019)/6))</f>
        <v>0.0140109659185082</v>
      </c>
      <c r="E1019" s="12" t="n">
        <f aca="false">D1019^(-1/B1019)-1</f>
        <v>0.0517528025</v>
      </c>
      <c r="F1019" s="12" t="n">
        <f aca="false">(1+E1019)^(1/12)-1</f>
        <v>0.00421369509431369</v>
      </c>
      <c r="G1019" s="16" t="n">
        <f aca="false">IF(C1019=0,(1+Dic2023!$J$6)^(-B1019),EXP(LN(INDEX(Dic2023!$K$6:$K$205,C1019))+(LN(INDEX(Dic2023!$K$6:$K$205,MIN(C1019+1,200)))-LN(INDEX(Dic2023!$K$6:$K$205,C1019)))*(A1019-6*C1019)/6))</f>
        <v>0.0140109659185082</v>
      </c>
      <c r="H1019" s="12" t="n">
        <f aca="false">G1019^(-1/B1019)-1</f>
        <v>0.0517528025</v>
      </c>
      <c r="I1019" s="12" t="n">
        <f aca="false">(1+H1019)^(1/12)-1</f>
        <v>0.00421369509431369</v>
      </c>
      <c r="J1019" s="16" t="n">
        <f aca="false">IF(C1019=0,(1+Dic2023!$M$6)^(-B1019),EXP(LN(INDEX(Dic2023!$N$6:$N$205,C1019))+(LN(INDEX(Dic2023!$N$6:$N$205,MIN(C1019+1,200)))-LN(INDEX(Dic2023!$N$6:$N$205,C1019)))*(A1019-6*C1019)/6))</f>
        <v>0.0140109659185082</v>
      </c>
      <c r="K1019" s="12" t="n">
        <f aca="false">J1019^(-1/B1019)-1</f>
        <v>0.0517528025</v>
      </c>
      <c r="L1019" s="12" t="n">
        <f aca="false">(1+K1019)^(1/12)-1</f>
        <v>0.00421369509431369</v>
      </c>
    </row>
    <row r="1020" customFormat="false" ht="15" hidden="false" customHeight="false" outlineLevel="0" collapsed="false">
      <c r="A1020" s="4" t="n">
        <v>1016</v>
      </c>
      <c r="B1020" s="14" t="n">
        <f aca="false">A1020/12</f>
        <v>84.6666666666667</v>
      </c>
      <c r="C1020" s="15" t="n">
        <f aca="false">INT(A1020/6)</f>
        <v>169</v>
      </c>
      <c r="D1020" s="16" t="n">
        <f aca="false">IF(C1020=0,(1+Dic2023!$G$6)^(-B1020),EXP(LN(INDEX(Dic2023!$H$6:$H$205,C1020))+(LN(INDEX(Dic2023!$H$6:$H$205,MIN(C1020+1,200)))-LN(INDEX(Dic2023!$H$6:$H$205,C1020)))*(A1020-6*C1020)/6))</f>
        <v>0.0139521757041884</v>
      </c>
      <c r="E1020" s="12" t="n">
        <f aca="false">D1020^(-1/B1020)-1</f>
        <v>0.0517528025</v>
      </c>
      <c r="F1020" s="12" t="n">
        <f aca="false">(1+E1020)^(1/12)-1</f>
        <v>0.00421369509431369</v>
      </c>
      <c r="G1020" s="16" t="n">
        <f aca="false">IF(C1020=0,(1+Dic2023!$J$6)^(-B1020),EXP(LN(INDEX(Dic2023!$K$6:$K$205,C1020))+(LN(INDEX(Dic2023!$K$6:$K$205,MIN(C1020+1,200)))-LN(INDEX(Dic2023!$K$6:$K$205,C1020)))*(A1020-6*C1020)/6))</f>
        <v>0.0139521757041884</v>
      </c>
      <c r="H1020" s="12" t="n">
        <f aca="false">G1020^(-1/B1020)-1</f>
        <v>0.0517528025</v>
      </c>
      <c r="I1020" s="12" t="n">
        <f aca="false">(1+H1020)^(1/12)-1</f>
        <v>0.00421369509431369</v>
      </c>
      <c r="J1020" s="16" t="n">
        <f aca="false">IF(C1020=0,(1+Dic2023!$M$6)^(-B1020),EXP(LN(INDEX(Dic2023!$N$6:$N$205,C1020))+(LN(INDEX(Dic2023!$N$6:$N$205,MIN(C1020+1,200)))-LN(INDEX(Dic2023!$N$6:$N$205,C1020)))*(A1020-6*C1020)/6))</f>
        <v>0.0139521757041884</v>
      </c>
      <c r="K1020" s="12" t="n">
        <f aca="false">J1020^(-1/B1020)-1</f>
        <v>0.0517528025</v>
      </c>
      <c r="L1020" s="12" t="n">
        <f aca="false">(1+K1020)^(1/12)-1</f>
        <v>0.00421369509431369</v>
      </c>
    </row>
    <row r="1021" customFormat="false" ht="15" hidden="false" customHeight="false" outlineLevel="0" collapsed="false">
      <c r="A1021" s="4" t="n">
        <v>1017</v>
      </c>
      <c r="B1021" s="14" t="n">
        <f aca="false">A1021/12</f>
        <v>84.75</v>
      </c>
      <c r="C1021" s="15" t="n">
        <f aca="false">INT(A1021/6)</f>
        <v>169</v>
      </c>
      <c r="D1021" s="16" t="n">
        <f aca="false">IF(C1021=0,(1+Dic2023!$G$6)^(-B1021),EXP(LN(INDEX(Dic2023!$H$6:$H$205,C1021))+(LN(INDEX(Dic2023!$H$6:$H$205,MIN(C1021+1,200)))-LN(INDEX(Dic2023!$H$6:$H$205,C1021)))*(A1021-6*C1021)/6))</f>
        <v>0.0138936321744527</v>
      </c>
      <c r="E1021" s="12" t="n">
        <f aca="false">D1021^(-1/B1021)-1</f>
        <v>0.0517528025</v>
      </c>
      <c r="F1021" s="12" t="n">
        <f aca="false">(1+E1021)^(1/12)-1</f>
        <v>0.00421369509431369</v>
      </c>
      <c r="G1021" s="16" t="n">
        <f aca="false">IF(C1021=0,(1+Dic2023!$J$6)^(-B1021),EXP(LN(INDEX(Dic2023!$K$6:$K$205,C1021))+(LN(INDEX(Dic2023!$K$6:$K$205,MIN(C1021+1,200)))-LN(INDEX(Dic2023!$K$6:$K$205,C1021)))*(A1021-6*C1021)/6))</f>
        <v>0.0138936321744527</v>
      </c>
      <c r="H1021" s="12" t="n">
        <f aca="false">G1021^(-1/B1021)-1</f>
        <v>0.0517528025</v>
      </c>
      <c r="I1021" s="12" t="n">
        <f aca="false">(1+H1021)^(1/12)-1</f>
        <v>0.00421369509431369</v>
      </c>
      <c r="J1021" s="16" t="n">
        <f aca="false">IF(C1021=0,(1+Dic2023!$M$6)^(-B1021),EXP(LN(INDEX(Dic2023!$N$6:$N$205,C1021))+(LN(INDEX(Dic2023!$N$6:$N$205,MIN(C1021+1,200)))-LN(INDEX(Dic2023!$N$6:$N$205,C1021)))*(A1021-6*C1021)/6))</f>
        <v>0.0138936321744527</v>
      </c>
      <c r="K1021" s="12" t="n">
        <f aca="false">J1021^(-1/B1021)-1</f>
        <v>0.0517528025</v>
      </c>
      <c r="L1021" s="12" t="n">
        <f aca="false">(1+K1021)^(1/12)-1</f>
        <v>0.00421369509431369</v>
      </c>
    </row>
    <row r="1022" customFormat="false" ht="15" hidden="false" customHeight="false" outlineLevel="0" collapsed="false">
      <c r="A1022" s="4" t="n">
        <v>1018</v>
      </c>
      <c r="B1022" s="14" t="n">
        <f aca="false">A1022/12</f>
        <v>84.8333333333333</v>
      </c>
      <c r="C1022" s="15" t="n">
        <f aca="false">INT(A1022/6)</f>
        <v>169</v>
      </c>
      <c r="D1022" s="16" t="n">
        <f aca="false">IF(C1022=0,(1+Dic2023!$G$6)^(-B1022),EXP(LN(INDEX(Dic2023!$H$6:$H$205,C1022))+(LN(INDEX(Dic2023!$H$6:$H$205,MIN(C1022+1,200)))-LN(INDEX(Dic2023!$H$6:$H$205,C1022)))*(A1022-6*C1022)/6))</f>
        <v>0.013835334294209</v>
      </c>
      <c r="E1022" s="12" t="n">
        <f aca="false">D1022^(-1/B1022)-1</f>
        <v>0.0517528025</v>
      </c>
      <c r="F1022" s="12" t="n">
        <f aca="false">(1+E1022)^(1/12)-1</f>
        <v>0.00421369509431369</v>
      </c>
      <c r="G1022" s="16" t="n">
        <f aca="false">IF(C1022=0,(1+Dic2023!$J$6)^(-B1022),EXP(LN(INDEX(Dic2023!$K$6:$K$205,C1022))+(LN(INDEX(Dic2023!$K$6:$K$205,MIN(C1022+1,200)))-LN(INDEX(Dic2023!$K$6:$K$205,C1022)))*(A1022-6*C1022)/6))</f>
        <v>0.013835334294209</v>
      </c>
      <c r="H1022" s="12" t="n">
        <f aca="false">G1022^(-1/B1022)-1</f>
        <v>0.0517528025</v>
      </c>
      <c r="I1022" s="12" t="n">
        <f aca="false">(1+H1022)^(1/12)-1</f>
        <v>0.00421369509431369</v>
      </c>
      <c r="J1022" s="16" t="n">
        <f aca="false">IF(C1022=0,(1+Dic2023!$M$6)^(-B1022),EXP(LN(INDEX(Dic2023!$N$6:$N$205,C1022))+(LN(INDEX(Dic2023!$N$6:$N$205,MIN(C1022+1,200)))-LN(INDEX(Dic2023!$N$6:$N$205,C1022)))*(A1022-6*C1022)/6))</f>
        <v>0.013835334294209</v>
      </c>
      <c r="K1022" s="12" t="n">
        <f aca="false">J1022^(-1/B1022)-1</f>
        <v>0.0517528025</v>
      </c>
      <c r="L1022" s="12" t="n">
        <f aca="false">(1+K1022)^(1/12)-1</f>
        <v>0.00421369509431369</v>
      </c>
    </row>
    <row r="1023" customFormat="false" ht="15" hidden="false" customHeight="false" outlineLevel="0" collapsed="false">
      <c r="A1023" s="4" t="n">
        <v>1019</v>
      </c>
      <c r="B1023" s="14" t="n">
        <f aca="false">A1023/12</f>
        <v>84.9166666666667</v>
      </c>
      <c r="C1023" s="15" t="n">
        <f aca="false">INT(A1023/6)</f>
        <v>169</v>
      </c>
      <c r="D1023" s="16" t="n">
        <f aca="false">IF(C1023=0,(1+Dic2023!$G$6)^(-B1023),EXP(LN(INDEX(Dic2023!$H$6:$H$205,C1023))+(LN(INDEX(Dic2023!$H$6:$H$205,MIN(C1023+1,200)))-LN(INDEX(Dic2023!$H$6:$H$205,C1023)))*(A1023-6*C1023)/6))</f>
        <v>0.0137772810327085</v>
      </c>
      <c r="E1023" s="12" t="n">
        <f aca="false">D1023^(-1/B1023)-1</f>
        <v>0.0517528025</v>
      </c>
      <c r="F1023" s="12" t="n">
        <f aca="false">(1+E1023)^(1/12)-1</f>
        <v>0.00421369509431369</v>
      </c>
      <c r="G1023" s="16" t="n">
        <f aca="false">IF(C1023=0,(1+Dic2023!$J$6)^(-B1023),EXP(LN(INDEX(Dic2023!$K$6:$K$205,C1023))+(LN(INDEX(Dic2023!$K$6:$K$205,MIN(C1023+1,200)))-LN(INDEX(Dic2023!$K$6:$K$205,C1023)))*(A1023-6*C1023)/6))</f>
        <v>0.0137772810327085</v>
      </c>
      <c r="H1023" s="12" t="n">
        <f aca="false">G1023^(-1/B1023)-1</f>
        <v>0.0517528025</v>
      </c>
      <c r="I1023" s="12" t="n">
        <f aca="false">(1+H1023)^(1/12)-1</f>
        <v>0.00421369509431369</v>
      </c>
      <c r="J1023" s="16" t="n">
        <f aca="false">IF(C1023=0,(1+Dic2023!$M$6)^(-B1023),EXP(LN(INDEX(Dic2023!$N$6:$N$205,C1023))+(LN(INDEX(Dic2023!$N$6:$N$205,MIN(C1023+1,200)))-LN(INDEX(Dic2023!$N$6:$N$205,C1023)))*(A1023-6*C1023)/6))</f>
        <v>0.0137772810327085</v>
      </c>
      <c r="K1023" s="12" t="n">
        <f aca="false">J1023^(-1/B1023)-1</f>
        <v>0.0517528025</v>
      </c>
      <c r="L1023" s="12" t="n">
        <f aca="false">(1+K1023)^(1/12)-1</f>
        <v>0.00421369509431369</v>
      </c>
    </row>
    <row r="1024" customFormat="false" ht="15" hidden="false" customHeight="false" outlineLevel="0" collapsed="false">
      <c r="A1024" s="4" t="n">
        <v>1020</v>
      </c>
      <c r="B1024" s="14" t="n">
        <f aca="false">A1024/12</f>
        <v>85</v>
      </c>
      <c r="C1024" s="15" t="n">
        <f aca="false">INT(A1024/6)</f>
        <v>170</v>
      </c>
      <c r="D1024" s="16" t="n">
        <f aca="false">IF(C1024=0,(1+Dic2023!$G$6)^(-B1024),EXP(LN(INDEX(Dic2023!$H$6:$H$205,C1024))+(LN(INDEX(Dic2023!$H$6:$H$205,MIN(C1024+1,200)))-LN(INDEX(Dic2023!$H$6:$H$205,C1024)))*(A1024-6*C1024)/6))</f>
        <v>0.0137194713635275</v>
      </c>
      <c r="E1024" s="12" t="n">
        <f aca="false">D1024^(-1/B1024)-1</f>
        <v>0.0517528025</v>
      </c>
      <c r="F1024" s="12" t="n">
        <f aca="false">(1+E1024)^(1/12)-1</f>
        <v>0.00421369509431369</v>
      </c>
      <c r="G1024" s="16" t="n">
        <f aca="false">IF(C1024=0,(1+Dic2023!$J$6)^(-B1024),EXP(LN(INDEX(Dic2023!$K$6:$K$205,C1024))+(LN(INDEX(Dic2023!$K$6:$K$205,MIN(C1024+1,200)))-LN(INDEX(Dic2023!$K$6:$K$205,C1024)))*(A1024-6*C1024)/6))</f>
        <v>0.0137194713635275</v>
      </c>
      <c r="H1024" s="12" t="n">
        <f aca="false">G1024^(-1/B1024)-1</f>
        <v>0.0517528025</v>
      </c>
      <c r="I1024" s="12" t="n">
        <f aca="false">(1+H1024)^(1/12)-1</f>
        <v>0.00421369509431369</v>
      </c>
      <c r="J1024" s="16" t="n">
        <f aca="false">IF(C1024=0,(1+Dic2023!$M$6)^(-B1024),EXP(LN(INDEX(Dic2023!$N$6:$N$205,C1024))+(LN(INDEX(Dic2023!$N$6:$N$205,MIN(C1024+1,200)))-LN(INDEX(Dic2023!$N$6:$N$205,C1024)))*(A1024-6*C1024)/6))</f>
        <v>0.0137194713635275</v>
      </c>
      <c r="K1024" s="12" t="n">
        <f aca="false">J1024^(-1/B1024)-1</f>
        <v>0.0517528025</v>
      </c>
      <c r="L1024" s="12" t="n">
        <f aca="false">(1+K1024)^(1/12)-1</f>
        <v>0.00421369509431369</v>
      </c>
    </row>
    <row r="1025" customFormat="false" ht="15" hidden="false" customHeight="false" outlineLevel="0" collapsed="false">
      <c r="A1025" s="4" t="n">
        <v>1021</v>
      </c>
      <c r="B1025" s="14" t="n">
        <f aca="false">A1025/12</f>
        <v>85.0833333333333</v>
      </c>
      <c r="C1025" s="15" t="n">
        <f aca="false">INT(A1025/6)</f>
        <v>170</v>
      </c>
      <c r="D1025" s="16" t="n">
        <f aca="false">IF(C1025=0,(1+Dic2023!$G$6)^(-B1025),EXP(LN(INDEX(Dic2023!$H$6:$H$205,C1025))+(LN(INDEX(Dic2023!$H$6:$H$205,MIN(C1025+1,200)))-LN(INDEX(Dic2023!$H$6:$H$205,C1025)))*(A1025-6*C1025)/6))</f>
        <v>0.0136619042645489</v>
      </c>
      <c r="E1025" s="12" t="n">
        <f aca="false">D1025^(-1/B1025)-1</f>
        <v>0.0517528025</v>
      </c>
      <c r="F1025" s="12" t="n">
        <f aca="false">(1+E1025)^(1/12)-1</f>
        <v>0.00421369509431369</v>
      </c>
      <c r="G1025" s="16" t="n">
        <f aca="false">IF(C1025=0,(1+Dic2023!$J$6)^(-B1025),EXP(LN(INDEX(Dic2023!$K$6:$K$205,C1025))+(LN(INDEX(Dic2023!$K$6:$K$205,MIN(C1025+1,200)))-LN(INDEX(Dic2023!$K$6:$K$205,C1025)))*(A1025-6*C1025)/6))</f>
        <v>0.0136619042645489</v>
      </c>
      <c r="H1025" s="12" t="n">
        <f aca="false">G1025^(-1/B1025)-1</f>
        <v>0.0517528025</v>
      </c>
      <c r="I1025" s="12" t="n">
        <f aca="false">(1+H1025)^(1/12)-1</f>
        <v>0.00421369509431369</v>
      </c>
      <c r="J1025" s="16" t="n">
        <f aca="false">IF(C1025=0,(1+Dic2023!$M$6)^(-B1025),EXP(LN(INDEX(Dic2023!$N$6:$N$205,C1025))+(LN(INDEX(Dic2023!$N$6:$N$205,MIN(C1025+1,200)))-LN(INDEX(Dic2023!$N$6:$N$205,C1025)))*(A1025-6*C1025)/6))</f>
        <v>0.0136619042645489</v>
      </c>
      <c r="K1025" s="12" t="n">
        <f aca="false">J1025^(-1/B1025)-1</f>
        <v>0.0517528025</v>
      </c>
      <c r="L1025" s="12" t="n">
        <f aca="false">(1+K1025)^(1/12)-1</f>
        <v>0.00421369509431369</v>
      </c>
    </row>
    <row r="1026" customFormat="false" ht="15" hidden="false" customHeight="false" outlineLevel="0" collapsed="false">
      <c r="A1026" s="4" t="n">
        <v>1022</v>
      </c>
      <c r="B1026" s="14" t="n">
        <f aca="false">A1026/12</f>
        <v>85.1666666666667</v>
      </c>
      <c r="C1026" s="15" t="n">
        <f aca="false">INT(A1026/6)</f>
        <v>170</v>
      </c>
      <c r="D1026" s="16" t="n">
        <f aca="false">IF(C1026=0,(1+Dic2023!$G$6)^(-B1026),EXP(LN(INDEX(Dic2023!$H$6:$H$205,C1026))+(LN(INDEX(Dic2023!$H$6:$H$205,MIN(C1026+1,200)))-LN(INDEX(Dic2023!$H$6:$H$205,C1026)))*(A1026-6*C1026)/6))</f>
        <v>0.0136045787179449</v>
      </c>
      <c r="E1026" s="12" t="n">
        <f aca="false">D1026^(-1/B1026)-1</f>
        <v>0.0517528025</v>
      </c>
      <c r="F1026" s="12" t="n">
        <f aca="false">(1+E1026)^(1/12)-1</f>
        <v>0.00421369509431369</v>
      </c>
      <c r="G1026" s="16" t="n">
        <f aca="false">IF(C1026=0,(1+Dic2023!$J$6)^(-B1026),EXP(LN(INDEX(Dic2023!$K$6:$K$205,C1026))+(LN(INDEX(Dic2023!$K$6:$K$205,MIN(C1026+1,200)))-LN(INDEX(Dic2023!$K$6:$K$205,C1026)))*(A1026-6*C1026)/6))</f>
        <v>0.0136045787179449</v>
      </c>
      <c r="H1026" s="12" t="n">
        <f aca="false">G1026^(-1/B1026)-1</f>
        <v>0.0517528025</v>
      </c>
      <c r="I1026" s="12" t="n">
        <f aca="false">(1+H1026)^(1/12)-1</f>
        <v>0.00421369509431369</v>
      </c>
      <c r="J1026" s="16" t="n">
        <f aca="false">IF(C1026=0,(1+Dic2023!$M$6)^(-B1026),EXP(LN(INDEX(Dic2023!$N$6:$N$205,C1026))+(LN(INDEX(Dic2023!$N$6:$N$205,MIN(C1026+1,200)))-LN(INDEX(Dic2023!$N$6:$N$205,C1026)))*(A1026-6*C1026)/6))</f>
        <v>0.0136045787179449</v>
      </c>
      <c r="K1026" s="12" t="n">
        <f aca="false">J1026^(-1/B1026)-1</f>
        <v>0.0517528025</v>
      </c>
      <c r="L1026" s="12" t="n">
        <f aca="false">(1+K1026)^(1/12)-1</f>
        <v>0.00421369509431369</v>
      </c>
    </row>
    <row r="1027" customFormat="false" ht="15" hidden="false" customHeight="false" outlineLevel="0" collapsed="false">
      <c r="A1027" s="4" t="n">
        <v>1023</v>
      </c>
      <c r="B1027" s="14" t="n">
        <f aca="false">A1027/12</f>
        <v>85.25</v>
      </c>
      <c r="C1027" s="15" t="n">
        <f aca="false">INT(A1027/6)</f>
        <v>170</v>
      </c>
      <c r="D1027" s="16" t="n">
        <f aca="false">IF(C1027=0,(1+Dic2023!$G$6)^(-B1027),EXP(LN(INDEX(Dic2023!$H$6:$H$205,C1027))+(LN(INDEX(Dic2023!$H$6:$H$205,MIN(C1027+1,200)))-LN(INDEX(Dic2023!$H$6:$H$205,C1027)))*(A1027-6*C1027)/6))</f>
        <v>0.0135474937101582</v>
      </c>
      <c r="E1027" s="12" t="n">
        <f aca="false">D1027^(-1/B1027)-1</f>
        <v>0.0517528025</v>
      </c>
      <c r="F1027" s="12" t="n">
        <f aca="false">(1+E1027)^(1/12)-1</f>
        <v>0.00421369509431369</v>
      </c>
      <c r="G1027" s="16" t="n">
        <f aca="false">IF(C1027=0,(1+Dic2023!$J$6)^(-B1027),EXP(LN(INDEX(Dic2023!$K$6:$K$205,C1027))+(LN(INDEX(Dic2023!$K$6:$K$205,MIN(C1027+1,200)))-LN(INDEX(Dic2023!$K$6:$K$205,C1027)))*(A1027-6*C1027)/6))</f>
        <v>0.0135474937101582</v>
      </c>
      <c r="H1027" s="12" t="n">
        <f aca="false">G1027^(-1/B1027)-1</f>
        <v>0.0517528025</v>
      </c>
      <c r="I1027" s="12" t="n">
        <f aca="false">(1+H1027)^(1/12)-1</f>
        <v>0.00421369509431369</v>
      </c>
      <c r="J1027" s="16" t="n">
        <f aca="false">IF(C1027=0,(1+Dic2023!$M$6)^(-B1027),EXP(LN(INDEX(Dic2023!$N$6:$N$205,C1027))+(LN(INDEX(Dic2023!$N$6:$N$205,MIN(C1027+1,200)))-LN(INDEX(Dic2023!$N$6:$N$205,C1027)))*(A1027-6*C1027)/6))</f>
        <v>0.0135474937101582</v>
      </c>
      <c r="K1027" s="12" t="n">
        <f aca="false">J1027^(-1/B1027)-1</f>
        <v>0.0517528025</v>
      </c>
      <c r="L1027" s="12" t="n">
        <f aca="false">(1+K1027)^(1/12)-1</f>
        <v>0.00421369509431369</v>
      </c>
    </row>
    <row r="1028" customFormat="false" ht="15" hidden="false" customHeight="false" outlineLevel="0" collapsed="false">
      <c r="A1028" s="4" t="n">
        <v>1024</v>
      </c>
      <c r="B1028" s="14" t="n">
        <f aca="false">A1028/12</f>
        <v>85.3333333333333</v>
      </c>
      <c r="C1028" s="15" t="n">
        <f aca="false">INT(A1028/6)</f>
        <v>170</v>
      </c>
      <c r="D1028" s="16" t="n">
        <f aca="false">IF(C1028=0,(1+Dic2023!$G$6)^(-B1028),EXP(LN(INDEX(Dic2023!$H$6:$H$205,C1028))+(LN(INDEX(Dic2023!$H$6:$H$205,MIN(C1028+1,200)))-LN(INDEX(Dic2023!$H$6:$H$205,C1028)))*(A1028-6*C1028)/6))</f>
        <v>0.0134906482318844</v>
      </c>
      <c r="E1028" s="12" t="n">
        <f aca="false">D1028^(-1/B1028)-1</f>
        <v>0.0517528025</v>
      </c>
      <c r="F1028" s="12" t="n">
        <f aca="false">(1+E1028)^(1/12)-1</f>
        <v>0.00421369509431369</v>
      </c>
      <c r="G1028" s="16" t="n">
        <f aca="false">IF(C1028=0,(1+Dic2023!$J$6)^(-B1028),EXP(LN(INDEX(Dic2023!$K$6:$K$205,C1028))+(LN(INDEX(Dic2023!$K$6:$K$205,MIN(C1028+1,200)))-LN(INDEX(Dic2023!$K$6:$K$205,C1028)))*(A1028-6*C1028)/6))</f>
        <v>0.0134906482318844</v>
      </c>
      <c r="H1028" s="12" t="n">
        <f aca="false">G1028^(-1/B1028)-1</f>
        <v>0.0517528025</v>
      </c>
      <c r="I1028" s="12" t="n">
        <f aca="false">(1+H1028)^(1/12)-1</f>
        <v>0.00421369509431369</v>
      </c>
      <c r="J1028" s="16" t="n">
        <f aca="false">IF(C1028=0,(1+Dic2023!$M$6)^(-B1028),EXP(LN(INDEX(Dic2023!$N$6:$N$205,C1028))+(LN(INDEX(Dic2023!$N$6:$N$205,MIN(C1028+1,200)))-LN(INDEX(Dic2023!$N$6:$N$205,C1028)))*(A1028-6*C1028)/6))</f>
        <v>0.0134906482318844</v>
      </c>
      <c r="K1028" s="12" t="n">
        <f aca="false">J1028^(-1/B1028)-1</f>
        <v>0.0517528025</v>
      </c>
      <c r="L1028" s="12" t="n">
        <f aca="false">(1+K1028)^(1/12)-1</f>
        <v>0.00421369509431369</v>
      </c>
    </row>
    <row r="1029" customFormat="false" ht="15" hidden="false" customHeight="false" outlineLevel="0" collapsed="false">
      <c r="A1029" s="4" t="n">
        <v>1025</v>
      </c>
      <c r="B1029" s="14" t="n">
        <f aca="false">A1029/12</f>
        <v>85.4166666666667</v>
      </c>
      <c r="C1029" s="15" t="n">
        <f aca="false">INT(A1029/6)</f>
        <v>170</v>
      </c>
      <c r="D1029" s="16" t="n">
        <f aca="false">IF(C1029=0,(1+Dic2023!$G$6)^(-B1029),EXP(LN(INDEX(Dic2023!$H$6:$H$205,C1029))+(LN(INDEX(Dic2023!$H$6:$H$205,MIN(C1029+1,200)))-LN(INDEX(Dic2023!$H$6:$H$205,C1029)))*(A1029-6*C1029)/6))</f>
        <v>0.0134340412780542</v>
      </c>
      <c r="E1029" s="12" t="n">
        <f aca="false">D1029^(-1/B1029)-1</f>
        <v>0.0517528025</v>
      </c>
      <c r="F1029" s="12" t="n">
        <f aca="false">(1+E1029)^(1/12)-1</f>
        <v>0.00421369509431369</v>
      </c>
      <c r="G1029" s="16" t="n">
        <f aca="false">IF(C1029=0,(1+Dic2023!$J$6)^(-B1029),EXP(LN(INDEX(Dic2023!$K$6:$K$205,C1029))+(LN(INDEX(Dic2023!$K$6:$K$205,MIN(C1029+1,200)))-LN(INDEX(Dic2023!$K$6:$K$205,C1029)))*(A1029-6*C1029)/6))</f>
        <v>0.0134340412780542</v>
      </c>
      <c r="H1029" s="12" t="n">
        <f aca="false">G1029^(-1/B1029)-1</f>
        <v>0.0517528025</v>
      </c>
      <c r="I1029" s="12" t="n">
        <f aca="false">(1+H1029)^(1/12)-1</f>
        <v>0.00421369509431369</v>
      </c>
      <c r="J1029" s="16" t="n">
        <f aca="false">IF(C1029=0,(1+Dic2023!$M$6)^(-B1029),EXP(LN(INDEX(Dic2023!$N$6:$N$205,C1029))+(LN(INDEX(Dic2023!$N$6:$N$205,MIN(C1029+1,200)))-LN(INDEX(Dic2023!$N$6:$N$205,C1029)))*(A1029-6*C1029)/6))</f>
        <v>0.0134340412780542</v>
      </c>
      <c r="K1029" s="12" t="n">
        <f aca="false">J1029^(-1/B1029)-1</f>
        <v>0.0517528025</v>
      </c>
      <c r="L1029" s="12" t="n">
        <f aca="false">(1+K1029)^(1/12)-1</f>
        <v>0.00421369509431369</v>
      </c>
    </row>
    <row r="1030" customFormat="false" ht="15" hidden="false" customHeight="false" outlineLevel="0" collapsed="false">
      <c r="A1030" s="4" t="n">
        <v>1026</v>
      </c>
      <c r="B1030" s="14" t="n">
        <f aca="false">A1030/12</f>
        <v>85.5</v>
      </c>
      <c r="C1030" s="15" t="n">
        <f aca="false">INT(A1030/6)</f>
        <v>171</v>
      </c>
      <c r="D1030" s="16" t="n">
        <f aca="false">IF(C1030=0,(1+Dic2023!$G$6)^(-B1030),EXP(LN(INDEX(Dic2023!$H$6:$H$205,C1030))+(LN(INDEX(Dic2023!$H$6:$H$205,MIN(C1030+1,200)))-LN(INDEX(Dic2023!$H$6:$H$205,C1030)))*(A1030-6*C1030)/6))</f>
        <v>0.0133776718478157</v>
      </c>
      <c r="E1030" s="12" t="n">
        <f aca="false">D1030^(-1/B1030)-1</f>
        <v>0.0517528025</v>
      </c>
      <c r="F1030" s="12" t="n">
        <f aca="false">(1+E1030)^(1/12)-1</f>
        <v>0.00421369509431369</v>
      </c>
      <c r="G1030" s="16" t="n">
        <f aca="false">IF(C1030=0,(1+Dic2023!$J$6)^(-B1030),EXP(LN(INDEX(Dic2023!$K$6:$K$205,C1030))+(LN(INDEX(Dic2023!$K$6:$K$205,MIN(C1030+1,200)))-LN(INDEX(Dic2023!$K$6:$K$205,C1030)))*(A1030-6*C1030)/6))</f>
        <v>0.0133776718478157</v>
      </c>
      <c r="H1030" s="12" t="n">
        <f aca="false">G1030^(-1/B1030)-1</f>
        <v>0.0517528025</v>
      </c>
      <c r="I1030" s="12" t="n">
        <f aca="false">(1+H1030)^(1/12)-1</f>
        <v>0.00421369509431369</v>
      </c>
      <c r="J1030" s="16" t="n">
        <f aca="false">IF(C1030=0,(1+Dic2023!$M$6)^(-B1030),EXP(LN(INDEX(Dic2023!$N$6:$N$205,C1030))+(LN(INDEX(Dic2023!$N$6:$N$205,MIN(C1030+1,200)))-LN(INDEX(Dic2023!$N$6:$N$205,C1030)))*(A1030-6*C1030)/6))</f>
        <v>0.0133776718478157</v>
      </c>
      <c r="K1030" s="12" t="n">
        <f aca="false">J1030^(-1/B1030)-1</f>
        <v>0.0517528025</v>
      </c>
      <c r="L1030" s="12" t="n">
        <f aca="false">(1+K1030)^(1/12)-1</f>
        <v>0.00421369509431369</v>
      </c>
    </row>
    <row r="1031" customFormat="false" ht="15" hidden="false" customHeight="false" outlineLevel="0" collapsed="false">
      <c r="A1031" s="4" t="n">
        <v>1027</v>
      </c>
      <c r="B1031" s="14" t="n">
        <f aca="false">A1031/12</f>
        <v>85.5833333333333</v>
      </c>
      <c r="C1031" s="15" t="n">
        <f aca="false">INT(A1031/6)</f>
        <v>171</v>
      </c>
      <c r="D1031" s="16" t="n">
        <f aca="false">IF(C1031=0,(1+Dic2023!$G$6)^(-B1031),EXP(LN(INDEX(Dic2023!$H$6:$H$205,C1031))+(LN(INDEX(Dic2023!$H$6:$H$205,MIN(C1031+1,200)))-LN(INDEX(Dic2023!$H$6:$H$205,C1031)))*(A1031-6*C1031)/6))</f>
        <v>0.0133215389445165</v>
      </c>
      <c r="E1031" s="12" t="n">
        <f aca="false">D1031^(-1/B1031)-1</f>
        <v>0.0517528025</v>
      </c>
      <c r="F1031" s="12" t="n">
        <f aca="false">(1+E1031)^(1/12)-1</f>
        <v>0.00421369509431369</v>
      </c>
      <c r="G1031" s="16" t="n">
        <f aca="false">IF(C1031=0,(1+Dic2023!$J$6)^(-B1031),EXP(LN(INDEX(Dic2023!$K$6:$K$205,C1031))+(LN(INDEX(Dic2023!$K$6:$K$205,MIN(C1031+1,200)))-LN(INDEX(Dic2023!$K$6:$K$205,C1031)))*(A1031-6*C1031)/6))</f>
        <v>0.0133215389445165</v>
      </c>
      <c r="H1031" s="12" t="n">
        <f aca="false">G1031^(-1/B1031)-1</f>
        <v>0.0517528025</v>
      </c>
      <c r="I1031" s="12" t="n">
        <f aca="false">(1+H1031)^(1/12)-1</f>
        <v>0.00421369509431369</v>
      </c>
      <c r="J1031" s="16" t="n">
        <f aca="false">IF(C1031=0,(1+Dic2023!$M$6)^(-B1031),EXP(LN(INDEX(Dic2023!$N$6:$N$205,C1031))+(LN(INDEX(Dic2023!$N$6:$N$205,MIN(C1031+1,200)))-LN(INDEX(Dic2023!$N$6:$N$205,C1031)))*(A1031-6*C1031)/6))</f>
        <v>0.0133215389445165</v>
      </c>
      <c r="K1031" s="12" t="n">
        <f aca="false">J1031^(-1/B1031)-1</f>
        <v>0.0517528025</v>
      </c>
      <c r="L1031" s="12" t="n">
        <f aca="false">(1+K1031)^(1/12)-1</f>
        <v>0.00421369509431369</v>
      </c>
    </row>
    <row r="1032" customFormat="false" ht="15" hidden="false" customHeight="false" outlineLevel="0" collapsed="false">
      <c r="A1032" s="4" t="n">
        <v>1028</v>
      </c>
      <c r="B1032" s="14" t="n">
        <f aca="false">A1032/12</f>
        <v>85.6666666666667</v>
      </c>
      <c r="C1032" s="15" t="n">
        <f aca="false">INT(A1032/6)</f>
        <v>171</v>
      </c>
      <c r="D1032" s="16" t="n">
        <f aca="false">IF(C1032=0,(1+Dic2023!$G$6)^(-B1032),EXP(LN(INDEX(Dic2023!$H$6:$H$205,C1032))+(LN(INDEX(Dic2023!$H$6:$H$205,MIN(C1032+1,200)))-LN(INDEX(Dic2023!$H$6:$H$205,C1032)))*(A1032-6*C1032)/6))</f>
        <v>0.0132656415756861</v>
      </c>
      <c r="E1032" s="12" t="n">
        <f aca="false">D1032^(-1/B1032)-1</f>
        <v>0.0517528025</v>
      </c>
      <c r="F1032" s="12" t="n">
        <f aca="false">(1+E1032)^(1/12)-1</f>
        <v>0.00421369509431369</v>
      </c>
      <c r="G1032" s="16" t="n">
        <f aca="false">IF(C1032=0,(1+Dic2023!$J$6)^(-B1032),EXP(LN(INDEX(Dic2023!$K$6:$K$205,C1032))+(LN(INDEX(Dic2023!$K$6:$K$205,MIN(C1032+1,200)))-LN(INDEX(Dic2023!$K$6:$K$205,C1032)))*(A1032-6*C1032)/6))</f>
        <v>0.0132656415756861</v>
      </c>
      <c r="H1032" s="12" t="n">
        <f aca="false">G1032^(-1/B1032)-1</f>
        <v>0.0517528025</v>
      </c>
      <c r="I1032" s="12" t="n">
        <f aca="false">(1+H1032)^(1/12)-1</f>
        <v>0.00421369509431369</v>
      </c>
      <c r="J1032" s="16" t="n">
        <f aca="false">IF(C1032=0,(1+Dic2023!$M$6)^(-B1032),EXP(LN(INDEX(Dic2023!$N$6:$N$205,C1032))+(LN(INDEX(Dic2023!$N$6:$N$205,MIN(C1032+1,200)))-LN(INDEX(Dic2023!$N$6:$N$205,C1032)))*(A1032-6*C1032)/6))</f>
        <v>0.0132656415756861</v>
      </c>
      <c r="K1032" s="12" t="n">
        <f aca="false">J1032^(-1/B1032)-1</f>
        <v>0.0517528025</v>
      </c>
      <c r="L1032" s="12" t="n">
        <f aca="false">(1+K1032)^(1/12)-1</f>
        <v>0.00421369509431369</v>
      </c>
    </row>
    <row r="1033" customFormat="false" ht="15" hidden="false" customHeight="false" outlineLevel="0" collapsed="false">
      <c r="A1033" s="4" t="n">
        <v>1029</v>
      </c>
      <c r="B1033" s="14" t="n">
        <f aca="false">A1033/12</f>
        <v>85.75</v>
      </c>
      <c r="C1033" s="15" t="n">
        <f aca="false">INT(A1033/6)</f>
        <v>171</v>
      </c>
      <c r="D1033" s="16" t="n">
        <f aca="false">IF(C1033=0,(1+Dic2023!$G$6)^(-B1033),EXP(LN(INDEX(Dic2023!$H$6:$H$205,C1033))+(LN(INDEX(Dic2023!$H$6:$H$205,MIN(C1033+1,200)))-LN(INDEX(Dic2023!$H$6:$H$205,C1033)))*(A1033-6*C1033)/6))</f>
        <v>0.0132099787530186</v>
      </c>
      <c r="E1033" s="12" t="n">
        <f aca="false">D1033^(-1/B1033)-1</f>
        <v>0.0517528025</v>
      </c>
      <c r="F1033" s="12" t="n">
        <f aca="false">(1+E1033)^(1/12)-1</f>
        <v>0.00421369509431369</v>
      </c>
      <c r="G1033" s="16" t="n">
        <f aca="false">IF(C1033=0,(1+Dic2023!$J$6)^(-B1033),EXP(LN(INDEX(Dic2023!$K$6:$K$205,C1033))+(LN(INDEX(Dic2023!$K$6:$K$205,MIN(C1033+1,200)))-LN(INDEX(Dic2023!$K$6:$K$205,C1033)))*(A1033-6*C1033)/6))</f>
        <v>0.0132099787530186</v>
      </c>
      <c r="H1033" s="12" t="n">
        <f aca="false">G1033^(-1/B1033)-1</f>
        <v>0.0517528025</v>
      </c>
      <c r="I1033" s="12" t="n">
        <f aca="false">(1+H1033)^(1/12)-1</f>
        <v>0.00421369509431369</v>
      </c>
      <c r="J1033" s="16" t="n">
        <f aca="false">IF(C1033=0,(1+Dic2023!$M$6)^(-B1033),EXP(LN(INDEX(Dic2023!$N$6:$N$205,C1033))+(LN(INDEX(Dic2023!$N$6:$N$205,MIN(C1033+1,200)))-LN(INDEX(Dic2023!$N$6:$N$205,C1033)))*(A1033-6*C1033)/6))</f>
        <v>0.0132099787530186</v>
      </c>
      <c r="K1033" s="12" t="n">
        <f aca="false">J1033^(-1/B1033)-1</f>
        <v>0.0517528025</v>
      </c>
      <c r="L1033" s="12" t="n">
        <f aca="false">(1+K1033)^(1/12)-1</f>
        <v>0.00421369509431369</v>
      </c>
    </row>
    <row r="1034" customFormat="false" ht="15" hidden="false" customHeight="false" outlineLevel="0" collapsed="false">
      <c r="A1034" s="4" t="n">
        <v>1030</v>
      </c>
      <c r="B1034" s="14" t="n">
        <f aca="false">A1034/12</f>
        <v>85.8333333333333</v>
      </c>
      <c r="C1034" s="15" t="n">
        <f aca="false">INT(A1034/6)</f>
        <v>171</v>
      </c>
      <c r="D1034" s="16" t="n">
        <f aca="false">IF(C1034=0,(1+Dic2023!$G$6)^(-B1034),EXP(LN(INDEX(Dic2023!$H$6:$H$205,C1034))+(LN(INDEX(Dic2023!$H$6:$H$205,MIN(C1034+1,200)))-LN(INDEX(Dic2023!$H$6:$H$205,C1034)))*(A1034-6*C1034)/6))</f>
        <v>0.0131545494923547</v>
      </c>
      <c r="E1034" s="12" t="n">
        <f aca="false">D1034^(-1/B1034)-1</f>
        <v>0.0517528025</v>
      </c>
      <c r="F1034" s="12" t="n">
        <f aca="false">(1+E1034)^(1/12)-1</f>
        <v>0.00421369509431369</v>
      </c>
      <c r="G1034" s="16" t="n">
        <f aca="false">IF(C1034=0,(1+Dic2023!$J$6)^(-B1034),EXP(LN(INDEX(Dic2023!$K$6:$K$205,C1034))+(LN(INDEX(Dic2023!$K$6:$K$205,MIN(C1034+1,200)))-LN(INDEX(Dic2023!$K$6:$K$205,C1034)))*(A1034-6*C1034)/6))</f>
        <v>0.0131545494923547</v>
      </c>
      <c r="H1034" s="12" t="n">
        <f aca="false">G1034^(-1/B1034)-1</f>
        <v>0.0517528025</v>
      </c>
      <c r="I1034" s="12" t="n">
        <f aca="false">(1+H1034)^(1/12)-1</f>
        <v>0.00421369509431369</v>
      </c>
      <c r="J1034" s="16" t="n">
        <f aca="false">IF(C1034=0,(1+Dic2023!$M$6)^(-B1034),EXP(LN(INDEX(Dic2023!$N$6:$N$205,C1034))+(LN(INDEX(Dic2023!$N$6:$N$205,MIN(C1034+1,200)))-LN(INDEX(Dic2023!$N$6:$N$205,C1034)))*(A1034-6*C1034)/6))</f>
        <v>0.0131545494923547</v>
      </c>
      <c r="K1034" s="12" t="n">
        <f aca="false">J1034^(-1/B1034)-1</f>
        <v>0.0517528025</v>
      </c>
      <c r="L1034" s="12" t="n">
        <f aca="false">(1+K1034)^(1/12)-1</f>
        <v>0.00421369509431369</v>
      </c>
    </row>
    <row r="1035" customFormat="false" ht="15" hidden="false" customHeight="false" outlineLevel="0" collapsed="false">
      <c r="A1035" s="4" t="n">
        <v>1031</v>
      </c>
      <c r="B1035" s="14" t="n">
        <f aca="false">A1035/12</f>
        <v>85.9166666666667</v>
      </c>
      <c r="C1035" s="15" t="n">
        <f aca="false">INT(A1035/6)</f>
        <v>171</v>
      </c>
      <c r="D1035" s="16" t="n">
        <f aca="false">IF(C1035=0,(1+Dic2023!$G$6)^(-B1035),EXP(LN(INDEX(Dic2023!$H$6:$H$205,C1035))+(LN(INDEX(Dic2023!$H$6:$H$205,MIN(C1035+1,200)))-LN(INDEX(Dic2023!$H$6:$H$205,C1035)))*(A1035-6*C1035)/6))</f>
        <v>0.0130993528136651</v>
      </c>
      <c r="E1035" s="12" t="n">
        <f aca="false">D1035^(-1/B1035)-1</f>
        <v>0.0517528025</v>
      </c>
      <c r="F1035" s="12" t="n">
        <f aca="false">(1+E1035)^(1/12)-1</f>
        <v>0.00421369509431369</v>
      </c>
      <c r="G1035" s="16" t="n">
        <f aca="false">IF(C1035=0,(1+Dic2023!$J$6)^(-B1035),EXP(LN(INDEX(Dic2023!$K$6:$K$205,C1035))+(LN(INDEX(Dic2023!$K$6:$K$205,MIN(C1035+1,200)))-LN(INDEX(Dic2023!$K$6:$K$205,C1035)))*(A1035-6*C1035)/6))</f>
        <v>0.0130993528136651</v>
      </c>
      <c r="H1035" s="12" t="n">
        <f aca="false">G1035^(-1/B1035)-1</f>
        <v>0.0517528025</v>
      </c>
      <c r="I1035" s="12" t="n">
        <f aca="false">(1+H1035)^(1/12)-1</f>
        <v>0.00421369509431369</v>
      </c>
      <c r="J1035" s="16" t="n">
        <f aca="false">IF(C1035=0,(1+Dic2023!$M$6)^(-B1035),EXP(LN(INDEX(Dic2023!$N$6:$N$205,C1035))+(LN(INDEX(Dic2023!$N$6:$N$205,MIN(C1035+1,200)))-LN(INDEX(Dic2023!$N$6:$N$205,C1035)))*(A1035-6*C1035)/6))</f>
        <v>0.0130993528136651</v>
      </c>
      <c r="K1035" s="12" t="n">
        <f aca="false">J1035^(-1/B1035)-1</f>
        <v>0.0517528025</v>
      </c>
      <c r="L1035" s="12" t="n">
        <f aca="false">(1+K1035)^(1/12)-1</f>
        <v>0.00421369509431369</v>
      </c>
    </row>
    <row r="1036" customFormat="false" ht="15" hidden="false" customHeight="false" outlineLevel="0" collapsed="false">
      <c r="A1036" s="4" t="n">
        <v>1032</v>
      </c>
      <c r="B1036" s="14" t="n">
        <f aca="false">A1036/12</f>
        <v>86</v>
      </c>
      <c r="C1036" s="15" t="n">
        <f aca="false">INT(A1036/6)</f>
        <v>172</v>
      </c>
      <c r="D1036" s="16" t="n">
        <f aca="false">IF(C1036=0,(1+Dic2023!$G$6)^(-B1036),EXP(LN(INDEX(Dic2023!$H$6:$H$205,C1036))+(LN(INDEX(Dic2023!$H$6:$H$205,MIN(C1036+1,200)))-LN(INDEX(Dic2023!$H$6:$H$205,C1036)))*(A1036-6*C1036)/6))</f>
        <v>0.0130443877410324</v>
      </c>
      <c r="E1036" s="12" t="n">
        <f aca="false">D1036^(-1/B1036)-1</f>
        <v>0.0517528025</v>
      </c>
      <c r="F1036" s="12" t="n">
        <f aca="false">(1+E1036)^(1/12)-1</f>
        <v>0.00421369509431369</v>
      </c>
      <c r="G1036" s="16" t="n">
        <f aca="false">IF(C1036=0,(1+Dic2023!$J$6)^(-B1036),EXP(LN(INDEX(Dic2023!$K$6:$K$205,C1036))+(LN(INDEX(Dic2023!$K$6:$K$205,MIN(C1036+1,200)))-LN(INDEX(Dic2023!$K$6:$K$205,C1036)))*(A1036-6*C1036)/6))</f>
        <v>0.0130443877410324</v>
      </c>
      <c r="H1036" s="12" t="n">
        <f aca="false">G1036^(-1/B1036)-1</f>
        <v>0.0517528025</v>
      </c>
      <c r="I1036" s="12" t="n">
        <f aca="false">(1+H1036)^(1/12)-1</f>
        <v>0.00421369509431369</v>
      </c>
      <c r="J1036" s="16" t="n">
        <f aca="false">IF(C1036=0,(1+Dic2023!$M$6)^(-B1036),EXP(LN(INDEX(Dic2023!$N$6:$N$205,C1036))+(LN(INDEX(Dic2023!$N$6:$N$205,MIN(C1036+1,200)))-LN(INDEX(Dic2023!$N$6:$N$205,C1036)))*(A1036-6*C1036)/6))</f>
        <v>0.0130443877410324</v>
      </c>
      <c r="K1036" s="12" t="n">
        <f aca="false">J1036^(-1/B1036)-1</f>
        <v>0.0517528025</v>
      </c>
      <c r="L1036" s="12" t="n">
        <f aca="false">(1+K1036)^(1/12)-1</f>
        <v>0.00421369509431369</v>
      </c>
    </row>
    <row r="1037" customFormat="false" ht="15" hidden="false" customHeight="false" outlineLevel="0" collapsed="false">
      <c r="A1037" s="4" t="n">
        <v>1033</v>
      </c>
      <c r="B1037" s="14" t="n">
        <f aca="false">A1037/12</f>
        <v>86.0833333333333</v>
      </c>
      <c r="C1037" s="15" t="n">
        <f aca="false">INT(A1037/6)</f>
        <v>172</v>
      </c>
      <c r="D1037" s="16" t="n">
        <f aca="false">IF(C1037=0,(1+Dic2023!$G$6)^(-B1037),EXP(LN(INDEX(Dic2023!$H$6:$H$205,C1037))+(LN(INDEX(Dic2023!$H$6:$H$205,MIN(C1037+1,200)))-LN(INDEX(Dic2023!$H$6:$H$205,C1037)))*(A1037-6*C1037)/6))</f>
        <v>0.0129896533026342</v>
      </c>
      <c r="E1037" s="12" t="n">
        <f aca="false">D1037^(-1/B1037)-1</f>
        <v>0.0517528025</v>
      </c>
      <c r="F1037" s="12" t="n">
        <f aca="false">(1+E1037)^(1/12)-1</f>
        <v>0.00421369509431369</v>
      </c>
      <c r="G1037" s="16" t="n">
        <f aca="false">IF(C1037=0,(1+Dic2023!$J$6)^(-B1037),EXP(LN(INDEX(Dic2023!$K$6:$K$205,C1037))+(LN(INDEX(Dic2023!$K$6:$K$205,MIN(C1037+1,200)))-LN(INDEX(Dic2023!$K$6:$K$205,C1037)))*(A1037-6*C1037)/6))</f>
        <v>0.0129896533026342</v>
      </c>
      <c r="H1037" s="12" t="n">
        <f aca="false">G1037^(-1/B1037)-1</f>
        <v>0.0517528025</v>
      </c>
      <c r="I1037" s="12" t="n">
        <f aca="false">(1+H1037)^(1/12)-1</f>
        <v>0.00421369509431369</v>
      </c>
      <c r="J1037" s="16" t="n">
        <f aca="false">IF(C1037=0,(1+Dic2023!$M$6)^(-B1037),EXP(LN(INDEX(Dic2023!$N$6:$N$205,C1037))+(LN(INDEX(Dic2023!$N$6:$N$205,MIN(C1037+1,200)))-LN(INDEX(Dic2023!$N$6:$N$205,C1037)))*(A1037-6*C1037)/6))</f>
        <v>0.0129896533026342</v>
      </c>
      <c r="K1037" s="12" t="n">
        <f aca="false">J1037^(-1/B1037)-1</f>
        <v>0.0517528025</v>
      </c>
      <c r="L1037" s="12" t="n">
        <f aca="false">(1+K1037)^(1/12)-1</f>
        <v>0.00421369509431369</v>
      </c>
    </row>
    <row r="1038" customFormat="false" ht="15" hidden="false" customHeight="false" outlineLevel="0" collapsed="false">
      <c r="A1038" s="4" t="n">
        <v>1034</v>
      </c>
      <c r="B1038" s="14" t="n">
        <f aca="false">A1038/12</f>
        <v>86.1666666666667</v>
      </c>
      <c r="C1038" s="15" t="n">
        <f aca="false">INT(A1038/6)</f>
        <v>172</v>
      </c>
      <c r="D1038" s="16" t="n">
        <f aca="false">IF(C1038=0,(1+Dic2023!$G$6)^(-B1038),EXP(LN(INDEX(Dic2023!$H$6:$H$205,C1038))+(LN(INDEX(Dic2023!$H$6:$H$205,MIN(C1038+1,200)))-LN(INDEX(Dic2023!$H$6:$H$205,C1038)))*(A1038-6*C1038)/6))</f>
        <v>0.0129351485307261</v>
      </c>
      <c r="E1038" s="12" t="n">
        <f aca="false">D1038^(-1/B1038)-1</f>
        <v>0.0517528025</v>
      </c>
      <c r="F1038" s="12" t="n">
        <f aca="false">(1+E1038)^(1/12)-1</f>
        <v>0.00421369509431369</v>
      </c>
      <c r="G1038" s="16" t="n">
        <f aca="false">IF(C1038=0,(1+Dic2023!$J$6)^(-B1038),EXP(LN(INDEX(Dic2023!$K$6:$K$205,C1038))+(LN(INDEX(Dic2023!$K$6:$K$205,MIN(C1038+1,200)))-LN(INDEX(Dic2023!$K$6:$K$205,C1038)))*(A1038-6*C1038)/6))</f>
        <v>0.0129351485307261</v>
      </c>
      <c r="H1038" s="12" t="n">
        <f aca="false">G1038^(-1/B1038)-1</f>
        <v>0.0517528025</v>
      </c>
      <c r="I1038" s="12" t="n">
        <f aca="false">(1+H1038)^(1/12)-1</f>
        <v>0.00421369509431369</v>
      </c>
      <c r="J1038" s="16" t="n">
        <f aca="false">IF(C1038=0,(1+Dic2023!$M$6)^(-B1038),EXP(LN(INDEX(Dic2023!$N$6:$N$205,C1038))+(LN(INDEX(Dic2023!$N$6:$N$205,MIN(C1038+1,200)))-LN(INDEX(Dic2023!$N$6:$N$205,C1038)))*(A1038-6*C1038)/6))</f>
        <v>0.0129351485307261</v>
      </c>
      <c r="K1038" s="12" t="n">
        <f aca="false">J1038^(-1/B1038)-1</f>
        <v>0.0517528025</v>
      </c>
      <c r="L1038" s="12" t="n">
        <f aca="false">(1+K1038)^(1/12)-1</f>
        <v>0.00421369509431369</v>
      </c>
    </row>
    <row r="1039" customFormat="false" ht="15" hidden="false" customHeight="false" outlineLevel="0" collapsed="false">
      <c r="A1039" s="4" t="n">
        <v>1035</v>
      </c>
      <c r="B1039" s="14" t="n">
        <f aca="false">A1039/12</f>
        <v>86.25</v>
      </c>
      <c r="C1039" s="15" t="n">
        <f aca="false">INT(A1039/6)</f>
        <v>172</v>
      </c>
      <c r="D1039" s="16" t="n">
        <f aca="false">IF(C1039=0,(1+Dic2023!$G$6)^(-B1039),EXP(LN(INDEX(Dic2023!$H$6:$H$205,C1039))+(LN(INDEX(Dic2023!$H$6:$H$205,MIN(C1039+1,200)))-LN(INDEX(Dic2023!$H$6:$H$205,C1039)))*(A1039-6*C1039)/6))</f>
        <v>0.0128808724616241</v>
      </c>
      <c r="E1039" s="12" t="n">
        <f aca="false">D1039^(-1/B1039)-1</f>
        <v>0.0517528025</v>
      </c>
      <c r="F1039" s="12" t="n">
        <f aca="false">(1+E1039)^(1/12)-1</f>
        <v>0.00421369509431369</v>
      </c>
      <c r="G1039" s="16" t="n">
        <f aca="false">IF(C1039=0,(1+Dic2023!$J$6)^(-B1039),EXP(LN(INDEX(Dic2023!$K$6:$K$205,C1039))+(LN(INDEX(Dic2023!$K$6:$K$205,MIN(C1039+1,200)))-LN(INDEX(Dic2023!$K$6:$K$205,C1039)))*(A1039-6*C1039)/6))</f>
        <v>0.0128808724616241</v>
      </c>
      <c r="H1039" s="12" t="n">
        <f aca="false">G1039^(-1/B1039)-1</f>
        <v>0.0517528025</v>
      </c>
      <c r="I1039" s="12" t="n">
        <f aca="false">(1+H1039)^(1/12)-1</f>
        <v>0.00421369509431369</v>
      </c>
      <c r="J1039" s="16" t="n">
        <f aca="false">IF(C1039=0,(1+Dic2023!$M$6)^(-B1039),EXP(LN(INDEX(Dic2023!$N$6:$N$205,C1039))+(LN(INDEX(Dic2023!$N$6:$N$205,MIN(C1039+1,200)))-LN(INDEX(Dic2023!$N$6:$N$205,C1039)))*(A1039-6*C1039)/6))</f>
        <v>0.0128808724616241</v>
      </c>
      <c r="K1039" s="12" t="n">
        <f aca="false">J1039^(-1/B1039)-1</f>
        <v>0.0517528025</v>
      </c>
      <c r="L1039" s="12" t="n">
        <f aca="false">(1+K1039)^(1/12)-1</f>
        <v>0.00421369509431369</v>
      </c>
    </row>
    <row r="1040" customFormat="false" ht="15" hidden="false" customHeight="false" outlineLevel="0" collapsed="false">
      <c r="A1040" s="4" t="n">
        <v>1036</v>
      </c>
      <c r="B1040" s="14" t="n">
        <f aca="false">A1040/12</f>
        <v>86.3333333333333</v>
      </c>
      <c r="C1040" s="15" t="n">
        <f aca="false">INT(A1040/6)</f>
        <v>172</v>
      </c>
      <c r="D1040" s="16" t="n">
        <f aca="false">IF(C1040=0,(1+Dic2023!$G$6)^(-B1040),EXP(LN(INDEX(Dic2023!$H$6:$H$205,C1040))+(LN(INDEX(Dic2023!$H$6:$H$205,MIN(C1040+1,200)))-LN(INDEX(Dic2023!$H$6:$H$205,C1040)))*(A1040-6*C1040)/6))</f>
        <v>0.0128268241356879</v>
      </c>
      <c r="E1040" s="12" t="n">
        <f aca="false">D1040^(-1/B1040)-1</f>
        <v>0.0517528025</v>
      </c>
      <c r="F1040" s="12" t="n">
        <f aca="false">(1+E1040)^(1/12)-1</f>
        <v>0.00421369509431369</v>
      </c>
      <c r="G1040" s="16" t="n">
        <f aca="false">IF(C1040=0,(1+Dic2023!$J$6)^(-B1040),EXP(LN(INDEX(Dic2023!$K$6:$K$205,C1040))+(LN(INDEX(Dic2023!$K$6:$K$205,MIN(C1040+1,200)))-LN(INDEX(Dic2023!$K$6:$K$205,C1040)))*(A1040-6*C1040)/6))</f>
        <v>0.0128268241356879</v>
      </c>
      <c r="H1040" s="12" t="n">
        <f aca="false">G1040^(-1/B1040)-1</f>
        <v>0.0517528025</v>
      </c>
      <c r="I1040" s="12" t="n">
        <f aca="false">(1+H1040)^(1/12)-1</f>
        <v>0.00421369509431369</v>
      </c>
      <c r="J1040" s="16" t="n">
        <f aca="false">IF(C1040=0,(1+Dic2023!$M$6)^(-B1040),EXP(LN(INDEX(Dic2023!$N$6:$N$205,C1040))+(LN(INDEX(Dic2023!$N$6:$N$205,MIN(C1040+1,200)))-LN(INDEX(Dic2023!$N$6:$N$205,C1040)))*(A1040-6*C1040)/6))</f>
        <v>0.0128268241356879</v>
      </c>
      <c r="K1040" s="12" t="n">
        <f aca="false">J1040^(-1/B1040)-1</f>
        <v>0.0517528025</v>
      </c>
      <c r="L1040" s="12" t="n">
        <f aca="false">(1+K1040)^(1/12)-1</f>
        <v>0.00421369509431369</v>
      </c>
    </row>
    <row r="1041" customFormat="false" ht="15" hidden="false" customHeight="false" outlineLevel="0" collapsed="false">
      <c r="A1041" s="4" t="n">
        <v>1037</v>
      </c>
      <c r="B1041" s="14" t="n">
        <f aca="false">A1041/12</f>
        <v>86.4166666666667</v>
      </c>
      <c r="C1041" s="15" t="n">
        <f aca="false">INT(A1041/6)</f>
        <v>172</v>
      </c>
      <c r="D1041" s="16" t="n">
        <f aca="false">IF(C1041=0,(1+Dic2023!$G$6)^(-B1041),EXP(LN(INDEX(Dic2023!$H$6:$H$205,C1041))+(LN(INDEX(Dic2023!$H$6:$H$205,MIN(C1041+1,200)))-LN(INDEX(Dic2023!$H$6:$H$205,C1041)))*(A1041-6*C1041)/6))</f>
        <v>0.012773002597304</v>
      </c>
      <c r="E1041" s="12" t="n">
        <f aca="false">D1041^(-1/B1041)-1</f>
        <v>0.0517528025</v>
      </c>
      <c r="F1041" s="12" t="n">
        <f aca="false">(1+E1041)^(1/12)-1</f>
        <v>0.00421369509431369</v>
      </c>
      <c r="G1041" s="16" t="n">
        <f aca="false">IF(C1041=0,(1+Dic2023!$J$6)^(-B1041),EXP(LN(INDEX(Dic2023!$K$6:$K$205,C1041))+(LN(INDEX(Dic2023!$K$6:$K$205,MIN(C1041+1,200)))-LN(INDEX(Dic2023!$K$6:$K$205,C1041)))*(A1041-6*C1041)/6))</f>
        <v>0.012773002597304</v>
      </c>
      <c r="H1041" s="12" t="n">
        <f aca="false">G1041^(-1/B1041)-1</f>
        <v>0.0517528025</v>
      </c>
      <c r="I1041" s="12" t="n">
        <f aca="false">(1+H1041)^(1/12)-1</f>
        <v>0.00421369509431369</v>
      </c>
      <c r="J1041" s="16" t="n">
        <f aca="false">IF(C1041=0,(1+Dic2023!$M$6)^(-B1041),EXP(LN(INDEX(Dic2023!$N$6:$N$205,C1041))+(LN(INDEX(Dic2023!$N$6:$N$205,MIN(C1041+1,200)))-LN(INDEX(Dic2023!$N$6:$N$205,C1041)))*(A1041-6*C1041)/6))</f>
        <v>0.012773002597304</v>
      </c>
      <c r="K1041" s="12" t="n">
        <f aca="false">J1041^(-1/B1041)-1</f>
        <v>0.0517528025</v>
      </c>
      <c r="L1041" s="12" t="n">
        <f aca="false">(1+K1041)^(1/12)-1</f>
        <v>0.00421369509431369</v>
      </c>
    </row>
    <row r="1042" customFormat="false" ht="15" hidden="false" customHeight="false" outlineLevel="0" collapsed="false">
      <c r="A1042" s="4" t="n">
        <v>1038</v>
      </c>
      <c r="B1042" s="14" t="n">
        <f aca="false">A1042/12</f>
        <v>86.5</v>
      </c>
      <c r="C1042" s="15" t="n">
        <f aca="false">INT(A1042/6)</f>
        <v>173</v>
      </c>
      <c r="D1042" s="16" t="n">
        <f aca="false">IF(C1042=0,(1+Dic2023!$G$6)^(-B1042),EXP(LN(INDEX(Dic2023!$H$6:$H$205,C1042))+(LN(INDEX(Dic2023!$H$6:$H$205,MIN(C1042+1,200)))-LN(INDEX(Dic2023!$H$6:$H$205,C1042)))*(A1042-6*C1042)/6))</f>
        <v>0.0127194068948685</v>
      </c>
      <c r="E1042" s="12" t="n">
        <f aca="false">D1042^(-1/B1042)-1</f>
        <v>0.0517528025</v>
      </c>
      <c r="F1042" s="12" t="n">
        <f aca="false">(1+E1042)^(1/12)-1</f>
        <v>0.00421369509431369</v>
      </c>
      <c r="G1042" s="16" t="n">
        <f aca="false">IF(C1042=0,(1+Dic2023!$J$6)^(-B1042),EXP(LN(INDEX(Dic2023!$K$6:$K$205,C1042))+(LN(INDEX(Dic2023!$K$6:$K$205,MIN(C1042+1,200)))-LN(INDEX(Dic2023!$K$6:$K$205,C1042)))*(A1042-6*C1042)/6))</f>
        <v>0.0127194068948685</v>
      </c>
      <c r="H1042" s="12" t="n">
        <f aca="false">G1042^(-1/B1042)-1</f>
        <v>0.0517528025</v>
      </c>
      <c r="I1042" s="12" t="n">
        <f aca="false">(1+H1042)^(1/12)-1</f>
        <v>0.00421369509431369</v>
      </c>
      <c r="J1042" s="16" t="n">
        <f aca="false">IF(C1042=0,(1+Dic2023!$M$6)^(-B1042),EXP(LN(INDEX(Dic2023!$N$6:$N$205,C1042))+(LN(INDEX(Dic2023!$N$6:$N$205,MIN(C1042+1,200)))-LN(INDEX(Dic2023!$N$6:$N$205,C1042)))*(A1042-6*C1042)/6))</f>
        <v>0.0127194068948685</v>
      </c>
      <c r="K1042" s="12" t="n">
        <f aca="false">J1042^(-1/B1042)-1</f>
        <v>0.0517528025</v>
      </c>
      <c r="L1042" s="12" t="n">
        <f aca="false">(1+K1042)^(1/12)-1</f>
        <v>0.00421369509431369</v>
      </c>
    </row>
    <row r="1043" customFormat="false" ht="15" hidden="false" customHeight="false" outlineLevel="0" collapsed="false">
      <c r="A1043" s="4" t="n">
        <v>1039</v>
      </c>
      <c r="B1043" s="14" t="n">
        <f aca="false">A1043/12</f>
        <v>86.5833333333333</v>
      </c>
      <c r="C1043" s="15" t="n">
        <f aca="false">INT(A1043/6)</f>
        <v>173</v>
      </c>
      <c r="D1043" s="16" t="n">
        <f aca="false">IF(C1043=0,(1+Dic2023!$G$6)^(-B1043),EXP(LN(INDEX(Dic2023!$H$6:$H$205,C1043))+(LN(INDEX(Dic2023!$H$6:$H$205,MIN(C1043+1,200)))-LN(INDEX(Dic2023!$H$6:$H$205,C1043)))*(A1043-6*C1043)/6))</f>
        <v>0.0126660360807705</v>
      </c>
      <c r="E1043" s="12" t="n">
        <f aca="false">D1043^(-1/B1043)-1</f>
        <v>0.0517528025</v>
      </c>
      <c r="F1043" s="12" t="n">
        <f aca="false">(1+E1043)^(1/12)-1</f>
        <v>0.00421369509431369</v>
      </c>
      <c r="G1043" s="16" t="n">
        <f aca="false">IF(C1043=0,(1+Dic2023!$J$6)^(-B1043),EXP(LN(INDEX(Dic2023!$K$6:$K$205,C1043))+(LN(INDEX(Dic2023!$K$6:$K$205,MIN(C1043+1,200)))-LN(INDEX(Dic2023!$K$6:$K$205,C1043)))*(A1043-6*C1043)/6))</f>
        <v>0.0126660360807705</v>
      </c>
      <c r="H1043" s="12" t="n">
        <f aca="false">G1043^(-1/B1043)-1</f>
        <v>0.0517528025</v>
      </c>
      <c r="I1043" s="12" t="n">
        <f aca="false">(1+H1043)^(1/12)-1</f>
        <v>0.00421369509431369</v>
      </c>
      <c r="J1043" s="16" t="n">
        <f aca="false">IF(C1043=0,(1+Dic2023!$M$6)^(-B1043),EXP(LN(INDEX(Dic2023!$N$6:$N$205,C1043))+(LN(INDEX(Dic2023!$N$6:$N$205,MIN(C1043+1,200)))-LN(INDEX(Dic2023!$N$6:$N$205,C1043)))*(A1043-6*C1043)/6))</f>
        <v>0.0126660360807705</v>
      </c>
      <c r="K1043" s="12" t="n">
        <f aca="false">J1043^(-1/B1043)-1</f>
        <v>0.0517528025</v>
      </c>
      <c r="L1043" s="12" t="n">
        <f aca="false">(1+K1043)^(1/12)-1</f>
        <v>0.00421369509431369</v>
      </c>
    </row>
    <row r="1044" customFormat="false" ht="15" hidden="false" customHeight="false" outlineLevel="0" collapsed="false">
      <c r="A1044" s="4" t="n">
        <v>1040</v>
      </c>
      <c r="B1044" s="14" t="n">
        <f aca="false">A1044/12</f>
        <v>86.6666666666667</v>
      </c>
      <c r="C1044" s="15" t="n">
        <f aca="false">INT(A1044/6)</f>
        <v>173</v>
      </c>
      <c r="D1044" s="16" t="n">
        <f aca="false">IF(C1044=0,(1+Dic2023!$G$6)^(-B1044),EXP(LN(INDEX(Dic2023!$H$6:$H$205,C1044))+(LN(INDEX(Dic2023!$H$6:$H$205,MIN(C1044+1,200)))-LN(INDEX(Dic2023!$H$6:$H$205,C1044)))*(A1044-6*C1044)/6))</f>
        <v>0.0126128892113755</v>
      </c>
      <c r="E1044" s="12" t="n">
        <f aca="false">D1044^(-1/B1044)-1</f>
        <v>0.0517528025</v>
      </c>
      <c r="F1044" s="12" t="n">
        <f aca="false">(1+E1044)^(1/12)-1</f>
        <v>0.00421369509431369</v>
      </c>
      <c r="G1044" s="16" t="n">
        <f aca="false">IF(C1044=0,(1+Dic2023!$J$6)^(-B1044),EXP(LN(INDEX(Dic2023!$K$6:$K$205,C1044))+(LN(INDEX(Dic2023!$K$6:$K$205,MIN(C1044+1,200)))-LN(INDEX(Dic2023!$K$6:$K$205,C1044)))*(A1044-6*C1044)/6))</f>
        <v>0.0126128892113755</v>
      </c>
      <c r="H1044" s="12" t="n">
        <f aca="false">G1044^(-1/B1044)-1</f>
        <v>0.0517528025</v>
      </c>
      <c r="I1044" s="12" t="n">
        <f aca="false">(1+H1044)^(1/12)-1</f>
        <v>0.00421369509431369</v>
      </c>
      <c r="J1044" s="16" t="n">
        <f aca="false">IF(C1044=0,(1+Dic2023!$M$6)^(-B1044),EXP(LN(INDEX(Dic2023!$N$6:$N$205,C1044))+(LN(INDEX(Dic2023!$N$6:$N$205,MIN(C1044+1,200)))-LN(INDEX(Dic2023!$N$6:$N$205,C1044)))*(A1044-6*C1044)/6))</f>
        <v>0.0126128892113755</v>
      </c>
      <c r="K1044" s="12" t="n">
        <f aca="false">J1044^(-1/B1044)-1</f>
        <v>0.0517528025</v>
      </c>
      <c r="L1044" s="12" t="n">
        <f aca="false">(1+K1044)^(1/12)-1</f>
        <v>0.00421369509431369</v>
      </c>
    </row>
    <row r="1045" customFormat="false" ht="15" hidden="false" customHeight="false" outlineLevel="0" collapsed="false">
      <c r="A1045" s="4" t="n">
        <v>1041</v>
      </c>
      <c r="B1045" s="14" t="n">
        <f aca="false">A1045/12</f>
        <v>86.75</v>
      </c>
      <c r="C1045" s="15" t="n">
        <f aca="false">INT(A1045/6)</f>
        <v>173</v>
      </c>
      <c r="D1045" s="16" t="n">
        <f aca="false">IF(C1045=0,(1+Dic2023!$G$6)^(-B1045),EXP(LN(INDEX(Dic2023!$H$6:$H$205,C1045))+(LN(INDEX(Dic2023!$H$6:$H$205,MIN(C1045+1,200)))-LN(INDEX(Dic2023!$H$6:$H$205,C1045)))*(A1045-6*C1045)/6))</f>
        <v>0.012559965347008</v>
      </c>
      <c r="E1045" s="12" t="n">
        <f aca="false">D1045^(-1/B1045)-1</f>
        <v>0.0517528025</v>
      </c>
      <c r="F1045" s="12" t="n">
        <f aca="false">(1+E1045)^(1/12)-1</f>
        <v>0.00421369509431369</v>
      </c>
      <c r="G1045" s="16" t="n">
        <f aca="false">IF(C1045=0,(1+Dic2023!$J$6)^(-B1045),EXP(LN(INDEX(Dic2023!$K$6:$K$205,C1045))+(LN(INDEX(Dic2023!$K$6:$K$205,MIN(C1045+1,200)))-LN(INDEX(Dic2023!$K$6:$K$205,C1045)))*(A1045-6*C1045)/6))</f>
        <v>0.012559965347008</v>
      </c>
      <c r="H1045" s="12" t="n">
        <f aca="false">G1045^(-1/B1045)-1</f>
        <v>0.0517528025</v>
      </c>
      <c r="I1045" s="12" t="n">
        <f aca="false">(1+H1045)^(1/12)-1</f>
        <v>0.00421369509431369</v>
      </c>
      <c r="J1045" s="16" t="n">
        <f aca="false">IF(C1045=0,(1+Dic2023!$M$6)^(-B1045),EXP(LN(INDEX(Dic2023!$N$6:$N$205,C1045))+(LN(INDEX(Dic2023!$N$6:$N$205,MIN(C1045+1,200)))-LN(INDEX(Dic2023!$N$6:$N$205,C1045)))*(A1045-6*C1045)/6))</f>
        <v>0.012559965347008</v>
      </c>
      <c r="K1045" s="12" t="n">
        <f aca="false">J1045^(-1/B1045)-1</f>
        <v>0.0517528025</v>
      </c>
      <c r="L1045" s="12" t="n">
        <f aca="false">(1+K1045)^(1/12)-1</f>
        <v>0.00421369509431369</v>
      </c>
    </row>
    <row r="1046" customFormat="false" ht="15" hidden="false" customHeight="false" outlineLevel="0" collapsed="false">
      <c r="A1046" s="4" t="n">
        <v>1042</v>
      </c>
      <c r="B1046" s="14" t="n">
        <f aca="false">A1046/12</f>
        <v>86.8333333333333</v>
      </c>
      <c r="C1046" s="15" t="n">
        <f aca="false">INT(A1046/6)</f>
        <v>173</v>
      </c>
      <c r="D1046" s="16" t="n">
        <f aca="false">IF(C1046=0,(1+Dic2023!$G$6)^(-B1046),EXP(LN(INDEX(Dic2023!$H$6:$H$205,C1046))+(LN(INDEX(Dic2023!$H$6:$H$205,MIN(C1046+1,200)))-LN(INDEX(Dic2023!$H$6:$H$205,C1046)))*(A1046-6*C1046)/6))</f>
        <v>0.0125072635519359</v>
      </c>
      <c r="E1046" s="12" t="n">
        <f aca="false">D1046^(-1/B1046)-1</f>
        <v>0.0517528025</v>
      </c>
      <c r="F1046" s="12" t="n">
        <f aca="false">(1+E1046)^(1/12)-1</f>
        <v>0.00421369509431369</v>
      </c>
      <c r="G1046" s="16" t="n">
        <f aca="false">IF(C1046=0,(1+Dic2023!$J$6)^(-B1046),EXP(LN(INDEX(Dic2023!$K$6:$K$205,C1046))+(LN(INDEX(Dic2023!$K$6:$K$205,MIN(C1046+1,200)))-LN(INDEX(Dic2023!$K$6:$K$205,C1046)))*(A1046-6*C1046)/6))</f>
        <v>0.0125072635519359</v>
      </c>
      <c r="H1046" s="12" t="n">
        <f aca="false">G1046^(-1/B1046)-1</f>
        <v>0.0517528025</v>
      </c>
      <c r="I1046" s="12" t="n">
        <f aca="false">(1+H1046)^(1/12)-1</f>
        <v>0.00421369509431369</v>
      </c>
      <c r="J1046" s="16" t="n">
        <f aca="false">IF(C1046=0,(1+Dic2023!$M$6)^(-B1046),EXP(LN(INDEX(Dic2023!$N$6:$N$205,C1046))+(LN(INDEX(Dic2023!$N$6:$N$205,MIN(C1046+1,200)))-LN(INDEX(Dic2023!$N$6:$N$205,C1046)))*(A1046-6*C1046)/6))</f>
        <v>0.0125072635519359</v>
      </c>
      <c r="K1046" s="12" t="n">
        <f aca="false">J1046^(-1/B1046)-1</f>
        <v>0.0517528025</v>
      </c>
      <c r="L1046" s="12" t="n">
        <f aca="false">(1+K1046)^(1/12)-1</f>
        <v>0.00421369509431369</v>
      </c>
    </row>
    <row r="1047" customFormat="false" ht="15" hidden="false" customHeight="false" outlineLevel="0" collapsed="false">
      <c r="A1047" s="4" t="n">
        <v>1043</v>
      </c>
      <c r="B1047" s="14" t="n">
        <f aca="false">A1047/12</f>
        <v>86.9166666666667</v>
      </c>
      <c r="C1047" s="15" t="n">
        <f aca="false">INT(A1047/6)</f>
        <v>173</v>
      </c>
      <c r="D1047" s="16" t="n">
        <f aca="false">IF(C1047=0,(1+Dic2023!$G$6)^(-B1047),EXP(LN(INDEX(Dic2023!$H$6:$H$205,C1047))+(LN(INDEX(Dic2023!$H$6:$H$205,MIN(C1047+1,200)))-LN(INDEX(Dic2023!$H$6:$H$205,C1047)))*(A1047-6*C1047)/6))</f>
        <v>0.0124547828943533</v>
      </c>
      <c r="E1047" s="12" t="n">
        <f aca="false">D1047^(-1/B1047)-1</f>
        <v>0.0517528025</v>
      </c>
      <c r="F1047" s="12" t="n">
        <f aca="false">(1+E1047)^(1/12)-1</f>
        <v>0.00421369509431369</v>
      </c>
      <c r="G1047" s="16" t="n">
        <f aca="false">IF(C1047=0,(1+Dic2023!$J$6)^(-B1047),EXP(LN(INDEX(Dic2023!$K$6:$K$205,C1047))+(LN(INDEX(Dic2023!$K$6:$K$205,MIN(C1047+1,200)))-LN(INDEX(Dic2023!$K$6:$K$205,C1047)))*(A1047-6*C1047)/6))</f>
        <v>0.0124547828943533</v>
      </c>
      <c r="H1047" s="12" t="n">
        <f aca="false">G1047^(-1/B1047)-1</f>
        <v>0.0517528025</v>
      </c>
      <c r="I1047" s="12" t="n">
        <f aca="false">(1+H1047)^(1/12)-1</f>
        <v>0.00421369509431369</v>
      </c>
      <c r="J1047" s="16" t="n">
        <f aca="false">IF(C1047=0,(1+Dic2023!$M$6)^(-B1047),EXP(LN(INDEX(Dic2023!$N$6:$N$205,C1047))+(LN(INDEX(Dic2023!$N$6:$N$205,MIN(C1047+1,200)))-LN(INDEX(Dic2023!$N$6:$N$205,C1047)))*(A1047-6*C1047)/6))</f>
        <v>0.0124547828943533</v>
      </c>
      <c r="K1047" s="12" t="n">
        <f aca="false">J1047^(-1/B1047)-1</f>
        <v>0.0517528025</v>
      </c>
      <c r="L1047" s="12" t="n">
        <f aca="false">(1+K1047)^(1/12)-1</f>
        <v>0.00421369509431369</v>
      </c>
    </row>
    <row r="1048" customFormat="false" ht="15" hidden="false" customHeight="false" outlineLevel="0" collapsed="false">
      <c r="A1048" s="4" t="n">
        <v>1044</v>
      </c>
      <c r="B1048" s="14" t="n">
        <f aca="false">A1048/12</f>
        <v>87</v>
      </c>
      <c r="C1048" s="15" t="n">
        <f aca="false">INT(A1048/6)</f>
        <v>174</v>
      </c>
      <c r="D1048" s="16" t="n">
        <f aca="false">IF(C1048=0,(1+Dic2023!$G$6)^(-B1048),EXP(LN(INDEX(Dic2023!$H$6:$H$205,C1048))+(LN(INDEX(Dic2023!$H$6:$H$205,MIN(C1048+1,200)))-LN(INDEX(Dic2023!$H$6:$H$205,C1048)))*(A1048-6*C1048)/6))</f>
        <v>0.0124025224463639</v>
      </c>
      <c r="E1048" s="12" t="n">
        <f aca="false">D1048^(-1/B1048)-1</f>
        <v>0.0517528025</v>
      </c>
      <c r="F1048" s="12" t="n">
        <f aca="false">(1+E1048)^(1/12)-1</f>
        <v>0.00421369509431369</v>
      </c>
      <c r="G1048" s="16" t="n">
        <f aca="false">IF(C1048=0,(1+Dic2023!$J$6)^(-B1048),EXP(LN(INDEX(Dic2023!$K$6:$K$205,C1048))+(LN(INDEX(Dic2023!$K$6:$K$205,MIN(C1048+1,200)))-LN(INDEX(Dic2023!$K$6:$K$205,C1048)))*(A1048-6*C1048)/6))</f>
        <v>0.0124025224463639</v>
      </c>
      <c r="H1048" s="12" t="n">
        <f aca="false">G1048^(-1/B1048)-1</f>
        <v>0.0517528025</v>
      </c>
      <c r="I1048" s="12" t="n">
        <f aca="false">(1+H1048)^(1/12)-1</f>
        <v>0.00421369509431369</v>
      </c>
      <c r="J1048" s="16" t="n">
        <f aca="false">IF(C1048=0,(1+Dic2023!$M$6)^(-B1048),EXP(LN(INDEX(Dic2023!$N$6:$N$205,C1048))+(LN(INDEX(Dic2023!$N$6:$N$205,MIN(C1048+1,200)))-LN(INDEX(Dic2023!$N$6:$N$205,C1048)))*(A1048-6*C1048)/6))</f>
        <v>0.0124025224463639</v>
      </c>
      <c r="K1048" s="12" t="n">
        <f aca="false">J1048^(-1/B1048)-1</f>
        <v>0.0517528025</v>
      </c>
      <c r="L1048" s="12" t="n">
        <f aca="false">(1+K1048)^(1/12)-1</f>
        <v>0.00421369509431369</v>
      </c>
    </row>
    <row r="1049" customFormat="false" ht="15" hidden="false" customHeight="false" outlineLevel="0" collapsed="false">
      <c r="A1049" s="4" t="n">
        <v>1045</v>
      </c>
      <c r="B1049" s="14" t="n">
        <f aca="false">A1049/12</f>
        <v>87.0833333333333</v>
      </c>
      <c r="C1049" s="15" t="n">
        <f aca="false">INT(A1049/6)</f>
        <v>174</v>
      </c>
      <c r="D1049" s="16" t="n">
        <f aca="false">IF(C1049=0,(1+Dic2023!$G$6)^(-B1049),EXP(LN(INDEX(Dic2023!$H$6:$H$205,C1049))+(LN(INDEX(Dic2023!$H$6:$H$205,MIN(C1049+1,200)))-LN(INDEX(Dic2023!$H$6:$H$205,C1049)))*(A1049-6*C1049)/6))</f>
        <v>0.0123504812839652</v>
      </c>
      <c r="E1049" s="12" t="n">
        <f aca="false">D1049^(-1/B1049)-1</f>
        <v>0.0517528025</v>
      </c>
      <c r="F1049" s="12" t="n">
        <f aca="false">(1+E1049)^(1/12)-1</f>
        <v>0.00421369509431369</v>
      </c>
      <c r="G1049" s="16" t="n">
        <f aca="false">IF(C1049=0,(1+Dic2023!$J$6)^(-B1049),EXP(LN(INDEX(Dic2023!$K$6:$K$205,C1049))+(LN(INDEX(Dic2023!$K$6:$K$205,MIN(C1049+1,200)))-LN(INDEX(Dic2023!$K$6:$K$205,C1049)))*(A1049-6*C1049)/6))</f>
        <v>0.0123504812839652</v>
      </c>
      <c r="H1049" s="12" t="n">
        <f aca="false">G1049^(-1/B1049)-1</f>
        <v>0.0517528025</v>
      </c>
      <c r="I1049" s="12" t="n">
        <f aca="false">(1+H1049)^(1/12)-1</f>
        <v>0.00421369509431369</v>
      </c>
      <c r="J1049" s="16" t="n">
        <f aca="false">IF(C1049=0,(1+Dic2023!$M$6)^(-B1049),EXP(LN(INDEX(Dic2023!$N$6:$N$205,C1049))+(LN(INDEX(Dic2023!$N$6:$N$205,MIN(C1049+1,200)))-LN(INDEX(Dic2023!$N$6:$N$205,C1049)))*(A1049-6*C1049)/6))</f>
        <v>0.0123504812839652</v>
      </c>
      <c r="K1049" s="12" t="n">
        <f aca="false">J1049^(-1/B1049)-1</f>
        <v>0.0517528025</v>
      </c>
      <c r="L1049" s="12" t="n">
        <f aca="false">(1+K1049)^(1/12)-1</f>
        <v>0.00421369509431369</v>
      </c>
    </row>
    <row r="1050" customFormat="false" ht="15" hidden="false" customHeight="false" outlineLevel="0" collapsed="false">
      <c r="A1050" s="4" t="n">
        <v>1046</v>
      </c>
      <c r="B1050" s="14" t="n">
        <f aca="false">A1050/12</f>
        <v>87.1666666666667</v>
      </c>
      <c r="C1050" s="15" t="n">
        <f aca="false">INT(A1050/6)</f>
        <v>174</v>
      </c>
      <c r="D1050" s="16" t="n">
        <f aca="false">IF(C1050=0,(1+Dic2023!$G$6)^(-B1050),EXP(LN(INDEX(Dic2023!$H$6:$H$205,C1050))+(LN(INDEX(Dic2023!$H$6:$H$205,MIN(C1050+1,200)))-LN(INDEX(Dic2023!$H$6:$H$205,C1050)))*(A1050-6*C1050)/6))</f>
        <v>0.0122986584870318</v>
      </c>
      <c r="E1050" s="12" t="n">
        <f aca="false">D1050^(-1/B1050)-1</f>
        <v>0.0517528025</v>
      </c>
      <c r="F1050" s="12" t="n">
        <f aca="false">(1+E1050)^(1/12)-1</f>
        <v>0.00421369509431369</v>
      </c>
      <c r="G1050" s="16" t="n">
        <f aca="false">IF(C1050=0,(1+Dic2023!$J$6)^(-B1050),EXP(LN(INDEX(Dic2023!$K$6:$K$205,C1050))+(LN(INDEX(Dic2023!$K$6:$K$205,MIN(C1050+1,200)))-LN(INDEX(Dic2023!$K$6:$K$205,C1050)))*(A1050-6*C1050)/6))</f>
        <v>0.0122986584870318</v>
      </c>
      <c r="H1050" s="12" t="n">
        <f aca="false">G1050^(-1/B1050)-1</f>
        <v>0.0517528025</v>
      </c>
      <c r="I1050" s="12" t="n">
        <f aca="false">(1+H1050)^(1/12)-1</f>
        <v>0.00421369509431369</v>
      </c>
      <c r="J1050" s="16" t="n">
        <f aca="false">IF(C1050=0,(1+Dic2023!$M$6)^(-B1050),EXP(LN(INDEX(Dic2023!$N$6:$N$205,C1050))+(LN(INDEX(Dic2023!$N$6:$N$205,MIN(C1050+1,200)))-LN(INDEX(Dic2023!$N$6:$N$205,C1050)))*(A1050-6*C1050)/6))</f>
        <v>0.0122986584870318</v>
      </c>
      <c r="K1050" s="12" t="n">
        <f aca="false">J1050^(-1/B1050)-1</f>
        <v>0.0517528025</v>
      </c>
      <c r="L1050" s="12" t="n">
        <f aca="false">(1+K1050)^(1/12)-1</f>
        <v>0.00421369509431369</v>
      </c>
    </row>
    <row r="1051" customFormat="false" ht="15" hidden="false" customHeight="false" outlineLevel="0" collapsed="false">
      <c r="A1051" s="4" t="n">
        <v>1047</v>
      </c>
      <c r="B1051" s="14" t="n">
        <f aca="false">A1051/12</f>
        <v>87.25</v>
      </c>
      <c r="C1051" s="15" t="n">
        <f aca="false">INT(A1051/6)</f>
        <v>174</v>
      </c>
      <c r="D1051" s="16" t="n">
        <f aca="false">IF(C1051=0,(1+Dic2023!$G$6)^(-B1051),EXP(LN(INDEX(Dic2023!$H$6:$H$205,C1051))+(LN(INDEX(Dic2023!$H$6:$H$205,MIN(C1051+1,200)))-LN(INDEX(Dic2023!$H$6:$H$205,C1051)))*(A1051-6*C1051)/6))</f>
        <v>0.0122470531392989</v>
      </c>
      <c r="E1051" s="12" t="n">
        <f aca="false">D1051^(-1/B1051)-1</f>
        <v>0.0517528025</v>
      </c>
      <c r="F1051" s="12" t="n">
        <f aca="false">(1+E1051)^(1/12)-1</f>
        <v>0.00421369509431369</v>
      </c>
      <c r="G1051" s="16" t="n">
        <f aca="false">IF(C1051=0,(1+Dic2023!$J$6)^(-B1051),EXP(LN(INDEX(Dic2023!$K$6:$K$205,C1051))+(LN(INDEX(Dic2023!$K$6:$K$205,MIN(C1051+1,200)))-LN(INDEX(Dic2023!$K$6:$K$205,C1051)))*(A1051-6*C1051)/6))</f>
        <v>0.0122470531392989</v>
      </c>
      <c r="H1051" s="12" t="n">
        <f aca="false">G1051^(-1/B1051)-1</f>
        <v>0.0517528025</v>
      </c>
      <c r="I1051" s="12" t="n">
        <f aca="false">(1+H1051)^(1/12)-1</f>
        <v>0.00421369509431369</v>
      </c>
      <c r="J1051" s="16" t="n">
        <f aca="false">IF(C1051=0,(1+Dic2023!$M$6)^(-B1051),EXP(LN(INDEX(Dic2023!$N$6:$N$205,C1051))+(LN(INDEX(Dic2023!$N$6:$N$205,MIN(C1051+1,200)))-LN(INDEX(Dic2023!$N$6:$N$205,C1051)))*(A1051-6*C1051)/6))</f>
        <v>0.0122470531392989</v>
      </c>
      <c r="K1051" s="12" t="n">
        <f aca="false">J1051^(-1/B1051)-1</f>
        <v>0.0517528025</v>
      </c>
      <c r="L1051" s="12" t="n">
        <f aca="false">(1+K1051)^(1/12)-1</f>
        <v>0.00421369509431369</v>
      </c>
    </row>
    <row r="1052" customFormat="false" ht="15" hidden="false" customHeight="false" outlineLevel="0" collapsed="false">
      <c r="A1052" s="4" t="n">
        <v>1048</v>
      </c>
      <c r="B1052" s="14" t="n">
        <f aca="false">A1052/12</f>
        <v>87.3333333333333</v>
      </c>
      <c r="C1052" s="15" t="n">
        <f aca="false">INT(A1052/6)</f>
        <v>174</v>
      </c>
      <c r="D1052" s="16" t="n">
        <f aca="false">IF(C1052=0,(1+Dic2023!$G$6)^(-B1052),EXP(LN(INDEX(Dic2023!$H$6:$H$205,C1052))+(LN(INDEX(Dic2023!$H$6:$H$205,MIN(C1052+1,200)))-LN(INDEX(Dic2023!$H$6:$H$205,C1052)))*(A1052-6*C1052)/6))</f>
        <v>0.0121956643283467</v>
      </c>
      <c r="E1052" s="12" t="n">
        <f aca="false">D1052^(-1/B1052)-1</f>
        <v>0.0517528025</v>
      </c>
      <c r="F1052" s="12" t="n">
        <f aca="false">(1+E1052)^(1/12)-1</f>
        <v>0.00421369509431369</v>
      </c>
      <c r="G1052" s="16" t="n">
        <f aca="false">IF(C1052=0,(1+Dic2023!$J$6)^(-B1052),EXP(LN(INDEX(Dic2023!$K$6:$K$205,C1052))+(LN(INDEX(Dic2023!$K$6:$K$205,MIN(C1052+1,200)))-LN(INDEX(Dic2023!$K$6:$K$205,C1052)))*(A1052-6*C1052)/6))</f>
        <v>0.0121956643283467</v>
      </c>
      <c r="H1052" s="12" t="n">
        <f aca="false">G1052^(-1/B1052)-1</f>
        <v>0.0517528025</v>
      </c>
      <c r="I1052" s="12" t="n">
        <f aca="false">(1+H1052)^(1/12)-1</f>
        <v>0.00421369509431369</v>
      </c>
      <c r="J1052" s="16" t="n">
        <f aca="false">IF(C1052=0,(1+Dic2023!$M$6)^(-B1052),EXP(LN(INDEX(Dic2023!$N$6:$N$205,C1052))+(LN(INDEX(Dic2023!$N$6:$N$205,MIN(C1052+1,200)))-LN(INDEX(Dic2023!$N$6:$N$205,C1052)))*(A1052-6*C1052)/6))</f>
        <v>0.0121956643283467</v>
      </c>
      <c r="K1052" s="12" t="n">
        <f aca="false">J1052^(-1/B1052)-1</f>
        <v>0.0517528025</v>
      </c>
      <c r="L1052" s="12" t="n">
        <f aca="false">(1+K1052)^(1/12)-1</f>
        <v>0.00421369509431369</v>
      </c>
    </row>
    <row r="1053" customFormat="false" ht="15" hidden="false" customHeight="false" outlineLevel="0" collapsed="false">
      <c r="A1053" s="4" t="n">
        <v>1049</v>
      </c>
      <c r="B1053" s="14" t="n">
        <f aca="false">A1053/12</f>
        <v>87.4166666666667</v>
      </c>
      <c r="C1053" s="15" t="n">
        <f aca="false">INT(A1053/6)</f>
        <v>174</v>
      </c>
      <c r="D1053" s="16" t="n">
        <f aca="false">IF(C1053=0,(1+Dic2023!$G$6)^(-B1053),EXP(LN(INDEX(Dic2023!$H$6:$H$205,C1053))+(LN(INDEX(Dic2023!$H$6:$H$205,MIN(C1053+1,200)))-LN(INDEX(Dic2023!$H$6:$H$205,C1053)))*(A1053-6*C1053)/6))</f>
        <v>0.0121444911455836</v>
      </c>
      <c r="E1053" s="12" t="n">
        <f aca="false">D1053^(-1/B1053)-1</f>
        <v>0.0517528025</v>
      </c>
      <c r="F1053" s="12" t="n">
        <f aca="false">(1+E1053)^(1/12)-1</f>
        <v>0.00421369509431369</v>
      </c>
      <c r="G1053" s="16" t="n">
        <f aca="false">IF(C1053=0,(1+Dic2023!$J$6)^(-B1053),EXP(LN(INDEX(Dic2023!$K$6:$K$205,C1053))+(LN(INDEX(Dic2023!$K$6:$K$205,MIN(C1053+1,200)))-LN(INDEX(Dic2023!$K$6:$K$205,C1053)))*(A1053-6*C1053)/6))</f>
        <v>0.0121444911455836</v>
      </c>
      <c r="H1053" s="12" t="n">
        <f aca="false">G1053^(-1/B1053)-1</f>
        <v>0.0517528025</v>
      </c>
      <c r="I1053" s="12" t="n">
        <f aca="false">(1+H1053)^(1/12)-1</f>
        <v>0.00421369509431369</v>
      </c>
      <c r="J1053" s="16" t="n">
        <f aca="false">IF(C1053=0,(1+Dic2023!$M$6)^(-B1053),EXP(LN(INDEX(Dic2023!$N$6:$N$205,C1053))+(LN(INDEX(Dic2023!$N$6:$N$205,MIN(C1053+1,200)))-LN(INDEX(Dic2023!$N$6:$N$205,C1053)))*(A1053-6*C1053)/6))</f>
        <v>0.0121444911455836</v>
      </c>
      <c r="K1053" s="12" t="n">
        <f aca="false">J1053^(-1/B1053)-1</f>
        <v>0.0517528025</v>
      </c>
      <c r="L1053" s="12" t="n">
        <f aca="false">(1+K1053)^(1/12)-1</f>
        <v>0.00421369509431369</v>
      </c>
    </row>
    <row r="1054" customFormat="false" ht="15" hidden="false" customHeight="false" outlineLevel="0" collapsed="false">
      <c r="A1054" s="4" t="n">
        <v>1050</v>
      </c>
      <c r="B1054" s="14" t="n">
        <f aca="false">A1054/12</f>
        <v>87.5</v>
      </c>
      <c r="C1054" s="15" t="n">
        <f aca="false">INT(A1054/6)</f>
        <v>175</v>
      </c>
      <c r="D1054" s="16" t="n">
        <f aca="false">IF(C1054=0,(1+Dic2023!$G$6)^(-B1054),EXP(LN(INDEX(Dic2023!$H$6:$H$205,C1054))+(LN(INDEX(Dic2023!$H$6:$H$205,MIN(C1054+1,200)))-LN(INDEX(Dic2023!$H$6:$H$205,C1054)))*(A1054-6*C1054)/6))</f>
        <v>0.0120935326862307</v>
      </c>
      <c r="E1054" s="12" t="n">
        <f aca="false">D1054^(-1/B1054)-1</f>
        <v>0.0517528025</v>
      </c>
      <c r="F1054" s="12" t="n">
        <f aca="false">(1+E1054)^(1/12)-1</f>
        <v>0.00421369509431369</v>
      </c>
      <c r="G1054" s="16" t="n">
        <f aca="false">IF(C1054=0,(1+Dic2023!$J$6)^(-B1054),EXP(LN(INDEX(Dic2023!$K$6:$K$205,C1054))+(LN(INDEX(Dic2023!$K$6:$K$205,MIN(C1054+1,200)))-LN(INDEX(Dic2023!$K$6:$K$205,C1054)))*(A1054-6*C1054)/6))</f>
        <v>0.0120935326862307</v>
      </c>
      <c r="H1054" s="12" t="n">
        <f aca="false">G1054^(-1/B1054)-1</f>
        <v>0.0517528025</v>
      </c>
      <c r="I1054" s="12" t="n">
        <f aca="false">(1+H1054)^(1/12)-1</f>
        <v>0.00421369509431369</v>
      </c>
      <c r="J1054" s="16" t="n">
        <f aca="false">IF(C1054=0,(1+Dic2023!$M$6)^(-B1054),EXP(LN(INDEX(Dic2023!$N$6:$N$205,C1054))+(LN(INDEX(Dic2023!$N$6:$N$205,MIN(C1054+1,200)))-LN(INDEX(Dic2023!$N$6:$N$205,C1054)))*(A1054-6*C1054)/6))</f>
        <v>0.0120935326862307</v>
      </c>
      <c r="K1054" s="12" t="n">
        <f aca="false">J1054^(-1/B1054)-1</f>
        <v>0.0517528025</v>
      </c>
      <c r="L1054" s="12" t="n">
        <f aca="false">(1+K1054)^(1/12)-1</f>
        <v>0.00421369509431369</v>
      </c>
    </row>
    <row r="1055" customFormat="false" ht="15" hidden="false" customHeight="false" outlineLevel="0" collapsed="false">
      <c r="A1055" s="4" t="n">
        <v>1051</v>
      </c>
      <c r="B1055" s="14" t="n">
        <f aca="false">A1055/12</f>
        <v>87.5833333333333</v>
      </c>
      <c r="C1055" s="15" t="n">
        <f aca="false">INT(A1055/6)</f>
        <v>175</v>
      </c>
      <c r="D1055" s="16" t="n">
        <f aca="false">IF(C1055=0,(1+Dic2023!$G$6)^(-B1055),EXP(LN(INDEX(Dic2023!$H$6:$H$205,C1055))+(LN(INDEX(Dic2023!$H$6:$H$205,MIN(C1055+1,200)))-LN(INDEX(Dic2023!$H$6:$H$205,C1055)))*(A1055-6*C1055)/6))</f>
        <v>0.0120427880493055</v>
      </c>
      <c r="E1055" s="12" t="n">
        <f aca="false">D1055^(-1/B1055)-1</f>
        <v>0.0517528025</v>
      </c>
      <c r="F1055" s="12" t="n">
        <f aca="false">(1+E1055)^(1/12)-1</f>
        <v>0.00421369509431369</v>
      </c>
      <c r="G1055" s="16" t="n">
        <f aca="false">IF(C1055=0,(1+Dic2023!$J$6)^(-B1055),EXP(LN(INDEX(Dic2023!$K$6:$K$205,C1055))+(LN(INDEX(Dic2023!$K$6:$K$205,MIN(C1055+1,200)))-LN(INDEX(Dic2023!$K$6:$K$205,C1055)))*(A1055-6*C1055)/6))</f>
        <v>0.0120427880493055</v>
      </c>
      <c r="H1055" s="12" t="n">
        <f aca="false">G1055^(-1/B1055)-1</f>
        <v>0.0517528025</v>
      </c>
      <c r="I1055" s="12" t="n">
        <f aca="false">(1+H1055)^(1/12)-1</f>
        <v>0.00421369509431369</v>
      </c>
      <c r="J1055" s="16" t="n">
        <f aca="false">IF(C1055=0,(1+Dic2023!$M$6)^(-B1055),EXP(LN(INDEX(Dic2023!$N$6:$N$205,C1055))+(LN(INDEX(Dic2023!$N$6:$N$205,MIN(C1055+1,200)))-LN(INDEX(Dic2023!$N$6:$N$205,C1055)))*(A1055-6*C1055)/6))</f>
        <v>0.0120427880493055</v>
      </c>
      <c r="K1055" s="12" t="n">
        <f aca="false">J1055^(-1/B1055)-1</f>
        <v>0.0517528025</v>
      </c>
      <c r="L1055" s="12" t="n">
        <f aca="false">(1+K1055)^(1/12)-1</f>
        <v>0.00421369509431369</v>
      </c>
    </row>
    <row r="1056" customFormat="false" ht="15" hidden="false" customHeight="false" outlineLevel="0" collapsed="false">
      <c r="A1056" s="4" t="n">
        <v>1052</v>
      </c>
      <c r="B1056" s="14" t="n">
        <f aca="false">A1056/12</f>
        <v>87.6666666666667</v>
      </c>
      <c r="C1056" s="15" t="n">
        <f aca="false">INT(A1056/6)</f>
        <v>175</v>
      </c>
      <c r="D1056" s="16" t="n">
        <f aca="false">IF(C1056=0,(1+Dic2023!$G$6)^(-B1056),EXP(LN(INDEX(Dic2023!$H$6:$H$205,C1056))+(LN(INDEX(Dic2023!$H$6:$H$205,MIN(C1056+1,200)))-LN(INDEX(Dic2023!$H$6:$H$205,C1056)))*(A1056-6*C1056)/6))</f>
        <v>0.011992256337606</v>
      </c>
      <c r="E1056" s="12" t="n">
        <f aca="false">D1056^(-1/B1056)-1</f>
        <v>0.0517528025</v>
      </c>
      <c r="F1056" s="12" t="n">
        <f aca="false">(1+E1056)^(1/12)-1</f>
        <v>0.00421369509431369</v>
      </c>
      <c r="G1056" s="16" t="n">
        <f aca="false">IF(C1056=0,(1+Dic2023!$J$6)^(-B1056),EXP(LN(INDEX(Dic2023!$K$6:$K$205,C1056))+(LN(INDEX(Dic2023!$K$6:$K$205,MIN(C1056+1,200)))-LN(INDEX(Dic2023!$K$6:$K$205,C1056)))*(A1056-6*C1056)/6))</f>
        <v>0.011992256337606</v>
      </c>
      <c r="H1056" s="12" t="n">
        <f aca="false">G1056^(-1/B1056)-1</f>
        <v>0.0517528025</v>
      </c>
      <c r="I1056" s="12" t="n">
        <f aca="false">(1+H1056)^(1/12)-1</f>
        <v>0.00421369509431369</v>
      </c>
      <c r="J1056" s="16" t="n">
        <f aca="false">IF(C1056=0,(1+Dic2023!$M$6)^(-B1056),EXP(LN(INDEX(Dic2023!$N$6:$N$205,C1056))+(LN(INDEX(Dic2023!$N$6:$N$205,MIN(C1056+1,200)))-LN(INDEX(Dic2023!$N$6:$N$205,C1056)))*(A1056-6*C1056)/6))</f>
        <v>0.011992256337606</v>
      </c>
      <c r="K1056" s="12" t="n">
        <f aca="false">J1056^(-1/B1056)-1</f>
        <v>0.0517528025</v>
      </c>
      <c r="L1056" s="12" t="n">
        <f aca="false">(1+K1056)^(1/12)-1</f>
        <v>0.00421369509431369</v>
      </c>
    </row>
    <row r="1057" customFormat="false" ht="15" hidden="false" customHeight="false" outlineLevel="0" collapsed="false">
      <c r="A1057" s="4" t="n">
        <v>1053</v>
      </c>
      <c r="B1057" s="14" t="n">
        <f aca="false">A1057/12</f>
        <v>87.75</v>
      </c>
      <c r="C1057" s="15" t="n">
        <f aca="false">INT(A1057/6)</f>
        <v>175</v>
      </c>
      <c r="D1057" s="16" t="n">
        <f aca="false">IF(C1057=0,(1+Dic2023!$G$6)^(-B1057),EXP(LN(INDEX(Dic2023!$H$6:$H$205,C1057))+(LN(INDEX(Dic2023!$H$6:$H$205,MIN(C1057+1,200)))-LN(INDEX(Dic2023!$H$6:$H$205,C1057)))*(A1057-6*C1057)/6))</f>
        <v>0.0119419366576948</v>
      </c>
      <c r="E1057" s="12" t="n">
        <f aca="false">D1057^(-1/B1057)-1</f>
        <v>0.0517528025</v>
      </c>
      <c r="F1057" s="12" t="n">
        <f aca="false">(1+E1057)^(1/12)-1</f>
        <v>0.00421369509431369</v>
      </c>
      <c r="G1057" s="16" t="n">
        <f aca="false">IF(C1057=0,(1+Dic2023!$J$6)^(-B1057),EXP(LN(INDEX(Dic2023!$K$6:$K$205,C1057))+(LN(INDEX(Dic2023!$K$6:$K$205,MIN(C1057+1,200)))-LN(INDEX(Dic2023!$K$6:$K$205,C1057)))*(A1057-6*C1057)/6))</f>
        <v>0.0119419366576948</v>
      </c>
      <c r="H1057" s="12" t="n">
        <f aca="false">G1057^(-1/B1057)-1</f>
        <v>0.0517528025</v>
      </c>
      <c r="I1057" s="12" t="n">
        <f aca="false">(1+H1057)^(1/12)-1</f>
        <v>0.00421369509431369</v>
      </c>
      <c r="J1057" s="16" t="n">
        <f aca="false">IF(C1057=0,(1+Dic2023!$M$6)^(-B1057),EXP(LN(INDEX(Dic2023!$N$6:$N$205,C1057))+(LN(INDEX(Dic2023!$N$6:$N$205,MIN(C1057+1,200)))-LN(INDEX(Dic2023!$N$6:$N$205,C1057)))*(A1057-6*C1057)/6))</f>
        <v>0.0119419366576948</v>
      </c>
      <c r="K1057" s="12" t="n">
        <f aca="false">J1057^(-1/B1057)-1</f>
        <v>0.0517528025</v>
      </c>
      <c r="L1057" s="12" t="n">
        <f aca="false">(1+K1057)^(1/12)-1</f>
        <v>0.00421369509431369</v>
      </c>
    </row>
    <row r="1058" customFormat="false" ht="15" hidden="false" customHeight="false" outlineLevel="0" collapsed="false">
      <c r="A1058" s="4" t="n">
        <v>1054</v>
      </c>
      <c r="B1058" s="14" t="n">
        <f aca="false">A1058/12</f>
        <v>87.8333333333333</v>
      </c>
      <c r="C1058" s="15" t="n">
        <f aca="false">INT(A1058/6)</f>
        <v>175</v>
      </c>
      <c r="D1058" s="16" t="n">
        <f aca="false">IF(C1058=0,(1+Dic2023!$G$6)^(-B1058),EXP(LN(INDEX(Dic2023!$H$6:$H$205,C1058))+(LN(INDEX(Dic2023!$H$6:$H$205,MIN(C1058+1,200)))-LN(INDEX(Dic2023!$H$6:$H$205,C1058)))*(A1058-6*C1058)/6))</f>
        <v>0.0118918281198836</v>
      </c>
      <c r="E1058" s="12" t="n">
        <f aca="false">D1058^(-1/B1058)-1</f>
        <v>0.0517528025</v>
      </c>
      <c r="F1058" s="12" t="n">
        <f aca="false">(1+E1058)^(1/12)-1</f>
        <v>0.00421369509431369</v>
      </c>
      <c r="G1058" s="16" t="n">
        <f aca="false">IF(C1058=0,(1+Dic2023!$J$6)^(-B1058),EXP(LN(INDEX(Dic2023!$K$6:$K$205,C1058))+(LN(INDEX(Dic2023!$K$6:$K$205,MIN(C1058+1,200)))-LN(INDEX(Dic2023!$K$6:$K$205,C1058)))*(A1058-6*C1058)/6))</f>
        <v>0.0118918281198836</v>
      </c>
      <c r="H1058" s="12" t="n">
        <f aca="false">G1058^(-1/B1058)-1</f>
        <v>0.0517528025</v>
      </c>
      <c r="I1058" s="12" t="n">
        <f aca="false">(1+H1058)^(1/12)-1</f>
        <v>0.00421369509431369</v>
      </c>
      <c r="J1058" s="16" t="n">
        <f aca="false">IF(C1058=0,(1+Dic2023!$M$6)^(-B1058),EXP(LN(INDEX(Dic2023!$N$6:$N$205,C1058))+(LN(INDEX(Dic2023!$N$6:$N$205,MIN(C1058+1,200)))-LN(INDEX(Dic2023!$N$6:$N$205,C1058)))*(A1058-6*C1058)/6))</f>
        <v>0.0118918281198836</v>
      </c>
      <c r="K1058" s="12" t="n">
        <f aca="false">J1058^(-1/B1058)-1</f>
        <v>0.0517528025</v>
      </c>
      <c r="L1058" s="12" t="n">
        <f aca="false">(1+K1058)^(1/12)-1</f>
        <v>0.00421369509431369</v>
      </c>
    </row>
    <row r="1059" customFormat="false" ht="15" hidden="false" customHeight="false" outlineLevel="0" collapsed="false">
      <c r="A1059" s="4" t="n">
        <v>1055</v>
      </c>
      <c r="B1059" s="14" t="n">
        <f aca="false">A1059/12</f>
        <v>87.9166666666667</v>
      </c>
      <c r="C1059" s="15" t="n">
        <f aca="false">INT(A1059/6)</f>
        <v>175</v>
      </c>
      <c r="D1059" s="16" t="n">
        <f aca="false">IF(C1059=0,(1+Dic2023!$G$6)^(-B1059),EXP(LN(INDEX(Dic2023!$H$6:$H$205,C1059))+(LN(INDEX(Dic2023!$H$6:$H$205,MIN(C1059+1,200)))-LN(INDEX(Dic2023!$H$6:$H$205,C1059)))*(A1059-6*C1059)/6))</f>
        <v>0.0118419298382171</v>
      </c>
      <c r="E1059" s="12" t="n">
        <f aca="false">D1059^(-1/B1059)-1</f>
        <v>0.0517528025</v>
      </c>
      <c r="F1059" s="12" t="n">
        <f aca="false">(1+E1059)^(1/12)-1</f>
        <v>0.00421369509431369</v>
      </c>
      <c r="G1059" s="16" t="n">
        <f aca="false">IF(C1059=0,(1+Dic2023!$J$6)^(-B1059),EXP(LN(INDEX(Dic2023!$K$6:$K$205,C1059))+(LN(INDEX(Dic2023!$K$6:$K$205,MIN(C1059+1,200)))-LN(INDEX(Dic2023!$K$6:$K$205,C1059)))*(A1059-6*C1059)/6))</f>
        <v>0.0118419298382171</v>
      </c>
      <c r="H1059" s="12" t="n">
        <f aca="false">G1059^(-1/B1059)-1</f>
        <v>0.0517528025</v>
      </c>
      <c r="I1059" s="12" t="n">
        <f aca="false">(1+H1059)^(1/12)-1</f>
        <v>0.00421369509431369</v>
      </c>
      <c r="J1059" s="16" t="n">
        <f aca="false">IF(C1059=0,(1+Dic2023!$M$6)^(-B1059),EXP(LN(INDEX(Dic2023!$N$6:$N$205,C1059))+(LN(INDEX(Dic2023!$N$6:$N$205,MIN(C1059+1,200)))-LN(INDEX(Dic2023!$N$6:$N$205,C1059)))*(A1059-6*C1059)/6))</f>
        <v>0.0118419298382171</v>
      </c>
      <c r="K1059" s="12" t="n">
        <f aca="false">J1059^(-1/B1059)-1</f>
        <v>0.0517528025</v>
      </c>
      <c r="L1059" s="12" t="n">
        <f aca="false">(1+K1059)^(1/12)-1</f>
        <v>0.00421369509431369</v>
      </c>
    </row>
    <row r="1060" customFormat="false" ht="15" hidden="false" customHeight="false" outlineLevel="0" collapsed="false">
      <c r="A1060" s="4" t="n">
        <v>1056</v>
      </c>
      <c r="B1060" s="14" t="n">
        <f aca="false">A1060/12</f>
        <v>88</v>
      </c>
      <c r="C1060" s="15" t="n">
        <f aca="false">INT(A1060/6)</f>
        <v>176</v>
      </c>
      <c r="D1060" s="16" t="n">
        <f aca="false">IF(C1060=0,(1+Dic2023!$G$6)^(-B1060),EXP(LN(INDEX(Dic2023!$H$6:$H$205,C1060))+(LN(INDEX(Dic2023!$H$6:$H$205,MIN(C1060+1,200)))-LN(INDEX(Dic2023!$H$6:$H$205,C1060)))*(A1060-6*C1060)/6))</f>
        <v>0.0117922409304575</v>
      </c>
      <c r="E1060" s="12" t="n">
        <f aca="false">D1060^(-1/B1060)-1</f>
        <v>0.0517528025</v>
      </c>
      <c r="F1060" s="12" t="n">
        <f aca="false">(1+E1060)^(1/12)-1</f>
        <v>0.00421369509431369</v>
      </c>
      <c r="G1060" s="16" t="n">
        <f aca="false">IF(C1060=0,(1+Dic2023!$J$6)^(-B1060),EXP(LN(INDEX(Dic2023!$K$6:$K$205,C1060))+(LN(INDEX(Dic2023!$K$6:$K$205,MIN(C1060+1,200)))-LN(INDEX(Dic2023!$K$6:$K$205,C1060)))*(A1060-6*C1060)/6))</f>
        <v>0.0117922409304575</v>
      </c>
      <c r="H1060" s="12" t="n">
        <f aca="false">G1060^(-1/B1060)-1</f>
        <v>0.0517528025</v>
      </c>
      <c r="I1060" s="12" t="n">
        <f aca="false">(1+H1060)^(1/12)-1</f>
        <v>0.00421369509431369</v>
      </c>
      <c r="J1060" s="16" t="n">
        <f aca="false">IF(C1060=0,(1+Dic2023!$M$6)^(-B1060),EXP(LN(INDEX(Dic2023!$N$6:$N$205,C1060))+(LN(INDEX(Dic2023!$N$6:$N$205,MIN(C1060+1,200)))-LN(INDEX(Dic2023!$N$6:$N$205,C1060)))*(A1060-6*C1060)/6))</f>
        <v>0.0117922409304575</v>
      </c>
      <c r="K1060" s="12" t="n">
        <f aca="false">J1060^(-1/B1060)-1</f>
        <v>0.0517528025</v>
      </c>
      <c r="L1060" s="12" t="n">
        <f aca="false">(1+K1060)^(1/12)-1</f>
        <v>0.00421369509431369</v>
      </c>
    </row>
    <row r="1061" customFormat="false" ht="15" hidden="false" customHeight="false" outlineLevel="0" collapsed="false">
      <c r="A1061" s="4" t="n">
        <v>1057</v>
      </c>
      <c r="B1061" s="14" t="n">
        <f aca="false">A1061/12</f>
        <v>88.0833333333333</v>
      </c>
      <c r="C1061" s="15" t="n">
        <f aca="false">INT(A1061/6)</f>
        <v>176</v>
      </c>
      <c r="D1061" s="16" t="n">
        <f aca="false">IF(C1061=0,(1+Dic2023!$G$6)^(-B1061),EXP(LN(INDEX(Dic2023!$H$6:$H$205,C1061))+(LN(INDEX(Dic2023!$H$6:$H$205,MIN(C1061+1,200)))-LN(INDEX(Dic2023!$H$6:$H$205,C1061)))*(A1061-6*C1061)/6))</f>
        <v>0.0117427605180688</v>
      </c>
      <c r="E1061" s="12" t="n">
        <f aca="false">D1061^(-1/B1061)-1</f>
        <v>0.0517528025</v>
      </c>
      <c r="F1061" s="12" t="n">
        <f aca="false">(1+E1061)^(1/12)-1</f>
        <v>0.00421369509431369</v>
      </c>
      <c r="G1061" s="16" t="n">
        <f aca="false">IF(C1061=0,(1+Dic2023!$J$6)^(-B1061),EXP(LN(INDEX(Dic2023!$K$6:$K$205,C1061))+(LN(INDEX(Dic2023!$K$6:$K$205,MIN(C1061+1,200)))-LN(INDEX(Dic2023!$K$6:$K$205,C1061)))*(A1061-6*C1061)/6))</f>
        <v>0.0117427605180688</v>
      </c>
      <c r="H1061" s="12" t="n">
        <f aca="false">G1061^(-1/B1061)-1</f>
        <v>0.0517528025</v>
      </c>
      <c r="I1061" s="12" t="n">
        <f aca="false">(1+H1061)^(1/12)-1</f>
        <v>0.00421369509431369</v>
      </c>
      <c r="J1061" s="16" t="n">
        <f aca="false">IF(C1061=0,(1+Dic2023!$M$6)^(-B1061),EXP(LN(INDEX(Dic2023!$N$6:$N$205,C1061))+(LN(INDEX(Dic2023!$N$6:$N$205,MIN(C1061+1,200)))-LN(INDEX(Dic2023!$N$6:$N$205,C1061)))*(A1061-6*C1061)/6))</f>
        <v>0.0117427605180688</v>
      </c>
      <c r="K1061" s="12" t="n">
        <f aca="false">J1061^(-1/B1061)-1</f>
        <v>0.0517528025</v>
      </c>
      <c r="L1061" s="12" t="n">
        <f aca="false">(1+K1061)^(1/12)-1</f>
        <v>0.00421369509431369</v>
      </c>
    </row>
    <row r="1062" customFormat="false" ht="15" hidden="false" customHeight="false" outlineLevel="0" collapsed="false">
      <c r="A1062" s="4" t="n">
        <v>1058</v>
      </c>
      <c r="B1062" s="14" t="n">
        <f aca="false">A1062/12</f>
        <v>88.1666666666667</v>
      </c>
      <c r="C1062" s="15" t="n">
        <f aca="false">INT(A1062/6)</f>
        <v>176</v>
      </c>
      <c r="D1062" s="16" t="n">
        <f aca="false">IF(C1062=0,(1+Dic2023!$G$6)^(-B1062),EXP(LN(INDEX(Dic2023!$H$6:$H$205,C1062))+(LN(INDEX(Dic2023!$H$6:$H$205,MIN(C1062+1,200)))-LN(INDEX(Dic2023!$H$6:$H$205,C1062)))*(A1062-6*C1062)/6))</f>
        <v>0.0116934877262015</v>
      </c>
      <c r="E1062" s="12" t="n">
        <f aca="false">D1062^(-1/B1062)-1</f>
        <v>0.0517528025</v>
      </c>
      <c r="F1062" s="12" t="n">
        <f aca="false">(1+E1062)^(1/12)-1</f>
        <v>0.00421369509431369</v>
      </c>
      <c r="G1062" s="16" t="n">
        <f aca="false">IF(C1062=0,(1+Dic2023!$J$6)^(-B1062),EXP(LN(INDEX(Dic2023!$K$6:$K$205,C1062))+(LN(INDEX(Dic2023!$K$6:$K$205,MIN(C1062+1,200)))-LN(INDEX(Dic2023!$K$6:$K$205,C1062)))*(A1062-6*C1062)/6))</f>
        <v>0.0116934877262015</v>
      </c>
      <c r="H1062" s="12" t="n">
        <f aca="false">G1062^(-1/B1062)-1</f>
        <v>0.0517528025</v>
      </c>
      <c r="I1062" s="12" t="n">
        <f aca="false">(1+H1062)^(1/12)-1</f>
        <v>0.00421369509431369</v>
      </c>
      <c r="J1062" s="16" t="n">
        <f aca="false">IF(C1062=0,(1+Dic2023!$M$6)^(-B1062),EXP(LN(INDEX(Dic2023!$N$6:$N$205,C1062))+(LN(INDEX(Dic2023!$N$6:$N$205,MIN(C1062+1,200)))-LN(INDEX(Dic2023!$N$6:$N$205,C1062)))*(A1062-6*C1062)/6))</f>
        <v>0.0116934877262015</v>
      </c>
      <c r="K1062" s="12" t="n">
        <f aca="false">J1062^(-1/B1062)-1</f>
        <v>0.0517528025</v>
      </c>
      <c r="L1062" s="12" t="n">
        <f aca="false">(1+K1062)^(1/12)-1</f>
        <v>0.00421369509431369</v>
      </c>
    </row>
    <row r="1063" customFormat="false" ht="15" hidden="false" customHeight="false" outlineLevel="0" collapsed="false">
      <c r="A1063" s="4" t="n">
        <v>1059</v>
      </c>
      <c r="B1063" s="14" t="n">
        <f aca="false">A1063/12</f>
        <v>88.25</v>
      </c>
      <c r="C1063" s="15" t="n">
        <f aca="false">INT(A1063/6)</f>
        <v>176</v>
      </c>
      <c r="D1063" s="16" t="n">
        <f aca="false">IF(C1063=0,(1+Dic2023!$G$6)^(-B1063),EXP(LN(INDEX(Dic2023!$H$6:$H$205,C1063))+(LN(INDEX(Dic2023!$H$6:$H$205,MIN(C1063+1,200)))-LN(INDEX(Dic2023!$H$6:$H$205,C1063)))*(A1063-6*C1063)/6))</f>
        <v>0.0116444216836769</v>
      </c>
      <c r="E1063" s="12" t="n">
        <f aca="false">D1063^(-1/B1063)-1</f>
        <v>0.0517528025</v>
      </c>
      <c r="F1063" s="12" t="n">
        <f aca="false">(1+E1063)^(1/12)-1</f>
        <v>0.00421369509431369</v>
      </c>
      <c r="G1063" s="16" t="n">
        <f aca="false">IF(C1063=0,(1+Dic2023!$J$6)^(-B1063),EXP(LN(INDEX(Dic2023!$K$6:$K$205,C1063))+(LN(INDEX(Dic2023!$K$6:$K$205,MIN(C1063+1,200)))-LN(INDEX(Dic2023!$K$6:$K$205,C1063)))*(A1063-6*C1063)/6))</f>
        <v>0.0116444216836769</v>
      </c>
      <c r="H1063" s="12" t="n">
        <f aca="false">G1063^(-1/B1063)-1</f>
        <v>0.0517528025</v>
      </c>
      <c r="I1063" s="12" t="n">
        <f aca="false">(1+H1063)^(1/12)-1</f>
        <v>0.00421369509431369</v>
      </c>
      <c r="J1063" s="16" t="n">
        <f aca="false">IF(C1063=0,(1+Dic2023!$M$6)^(-B1063),EXP(LN(INDEX(Dic2023!$N$6:$N$205,C1063))+(LN(INDEX(Dic2023!$N$6:$N$205,MIN(C1063+1,200)))-LN(INDEX(Dic2023!$N$6:$N$205,C1063)))*(A1063-6*C1063)/6))</f>
        <v>0.0116444216836769</v>
      </c>
      <c r="K1063" s="12" t="n">
        <f aca="false">J1063^(-1/B1063)-1</f>
        <v>0.0517528025</v>
      </c>
      <c r="L1063" s="12" t="n">
        <f aca="false">(1+K1063)^(1/12)-1</f>
        <v>0.00421369509431369</v>
      </c>
    </row>
    <row r="1064" customFormat="false" ht="15" hidden="false" customHeight="false" outlineLevel="0" collapsed="false">
      <c r="A1064" s="4" t="n">
        <v>1060</v>
      </c>
      <c r="B1064" s="14" t="n">
        <f aca="false">A1064/12</f>
        <v>88.3333333333333</v>
      </c>
      <c r="C1064" s="15" t="n">
        <f aca="false">INT(A1064/6)</f>
        <v>176</v>
      </c>
      <c r="D1064" s="16" t="n">
        <f aca="false">IF(C1064=0,(1+Dic2023!$G$6)^(-B1064),EXP(LN(INDEX(Dic2023!$H$6:$H$205,C1064))+(LN(INDEX(Dic2023!$H$6:$H$205,MIN(C1064+1,200)))-LN(INDEX(Dic2023!$H$6:$H$205,C1064)))*(A1064-6*C1064)/6))</f>
        <v>0.0115955615229717</v>
      </c>
      <c r="E1064" s="12" t="n">
        <f aca="false">D1064^(-1/B1064)-1</f>
        <v>0.0517528025</v>
      </c>
      <c r="F1064" s="12" t="n">
        <f aca="false">(1+E1064)^(1/12)-1</f>
        <v>0.00421369509431369</v>
      </c>
      <c r="G1064" s="16" t="n">
        <f aca="false">IF(C1064=0,(1+Dic2023!$J$6)^(-B1064),EXP(LN(INDEX(Dic2023!$K$6:$K$205,C1064))+(LN(INDEX(Dic2023!$K$6:$K$205,MIN(C1064+1,200)))-LN(INDEX(Dic2023!$K$6:$K$205,C1064)))*(A1064-6*C1064)/6))</f>
        <v>0.0115955615229717</v>
      </c>
      <c r="H1064" s="12" t="n">
        <f aca="false">G1064^(-1/B1064)-1</f>
        <v>0.0517528025</v>
      </c>
      <c r="I1064" s="12" t="n">
        <f aca="false">(1+H1064)^(1/12)-1</f>
        <v>0.00421369509431369</v>
      </c>
      <c r="J1064" s="16" t="n">
        <f aca="false">IF(C1064=0,(1+Dic2023!$M$6)^(-B1064),EXP(LN(INDEX(Dic2023!$N$6:$N$205,C1064))+(LN(INDEX(Dic2023!$N$6:$N$205,MIN(C1064+1,200)))-LN(INDEX(Dic2023!$N$6:$N$205,C1064)))*(A1064-6*C1064)/6))</f>
        <v>0.0115955615229717</v>
      </c>
      <c r="K1064" s="12" t="n">
        <f aca="false">J1064^(-1/B1064)-1</f>
        <v>0.0517528025</v>
      </c>
      <c r="L1064" s="12" t="n">
        <f aca="false">(1+K1064)^(1/12)-1</f>
        <v>0.00421369509431369</v>
      </c>
    </row>
    <row r="1065" customFormat="false" ht="15" hidden="false" customHeight="false" outlineLevel="0" collapsed="false">
      <c r="A1065" s="4" t="n">
        <v>1061</v>
      </c>
      <c r="B1065" s="14" t="n">
        <f aca="false">A1065/12</f>
        <v>88.4166666666667</v>
      </c>
      <c r="C1065" s="15" t="n">
        <f aca="false">INT(A1065/6)</f>
        <v>176</v>
      </c>
      <c r="D1065" s="16" t="n">
        <f aca="false">IF(C1065=0,(1+Dic2023!$G$6)^(-B1065),EXP(LN(INDEX(Dic2023!$H$6:$H$205,C1065))+(LN(INDEX(Dic2023!$H$6:$H$205,MIN(C1065+1,200)))-LN(INDEX(Dic2023!$H$6:$H$205,C1065)))*(A1065-6*C1065)/6))</f>
        <v>0.011546906380203</v>
      </c>
      <c r="E1065" s="12" t="n">
        <f aca="false">D1065^(-1/B1065)-1</f>
        <v>0.0517528025</v>
      </c>
      <c r="F1065" s="12" t="n">
        <f aca="false">(1+E1065)^(1/12)-1</f>
        <v>0.00421369509431369</v>
      </c>
      <c r="G1065" s="16" t="n">
        <f aca="false">IF(C1065=0,(1+Dic2023!$J$6)^(-B1065),EXP(LN(INDEX(Dic2023!$K$6:$K$205,C1065))+(LN(INDEX(Dic2023!$K$6:$K$205,MIN(C1065+1,200)))-LN(INDEX(Dic2023!$K$6:$K$205,C1065)))*(A1065-6*C1065)/6))</f>
        <v>0.011546906380203</v>
      </c>
      <c r="H1065" s="12" t="n">
        <f aca="false">G1065^(-1/B1065)-1</f>
        <v>0.0517528025</v>
      </c>
      <c r="I1065" s="12" t="n">
        <f aca="false">(1+H1065)^(1/12)-1</f>
        <v>0.00421369509431369</v>
      </c>
      <c r="J1065" s="16" t="n">
        <f aca="false">IF(C1065=0,(1+Dic2023!$M$6)^(-B1065),EXP(LN(INDEX(Dic2023!$N$6:$N$205,C1065))+(LN(INDEX(Dic2023!$N$6:$N$205,MIN(C1065+1,200)))-LN(INDEX(Dic2023!$N$6:$N$205,C1065)))*(A1065-6*C1065)/6))</f>
        <v>0.011546906380203</v>
      </c>
      <c r="K1065" s="12" t="n">
        <f aca="false">J1065^(-1/B1065)-1</f>
        <v>0.0517528025</v>
      </c>
      <c r="L1065" s="12" t="n">
        <f aca="false">(1+K1065)^(1/12)-1</f>
        <v>0.00421369509431369</v>
      </c>
    </row>
    <row r="1066" customFormat="false" ht="15" hidden="false" customHeight="false" outlineLevel="0" collapsed="false">
      <c r="A1066" s="4" t="n">
        <v>1062</v>
      </c>
      <c r="B1066" s="14" t="n">
        <f aca="false">A1066/12</f>
        <v>88.5</v>
      </c>
      <c r="C1066" s="15" t="n">
        <f aca="false">INT(A1066/6)</f>
        <v>177</v>
      </c>
      <c r="D1066" s="16" t="n">
        <f aca="false">IF(C1066=0,(1+Dic2023!$G$6)^(-B1066),EXP(LN(INDEX(Dic2023!$H$6:$H$205,C1066))+(LN(INDEX(Dic2023!$H$6:$H$205,MIN(C1066+1,200)))-LN(INDEX(Dic2023!$H$6:$H$205,C1066)))*(A1066-6*C1066)/6))</f>
        <v>0.0114984553951124</v>
      </c>
      <c r="E1066" s="12" t="n">
        <f aca="false">D1066^(-1/B1066)-1</f>
        <v>0.0517528025</v>
      </c>
      <c r="F1066" s="12" t="n">
        <f aca="false">(1+E1066)^(1/12)-1</f>
        <v>0.00421369509431369</v>
      </c>
      <c r="G1066" s="16" t="n">
        <f aca="false">IF(C1066=0,(1+Dic2023!$J$6)^(-B1066),EXP(LN(INDEX(Dic2023!$K$6:$K$205,C1066))+(LN(INDEX(Dic2023!$K$6:$K$205,MIN(C1066+1,200)))-LN(INDEX(Dic2023!$K$6:$K$205,C1066)))*(A1066-6*C1066)/6))</f>
        <v>0.0114984553951124</v>
      </c>
      <c r="H1066" s="12" t="n">
        <f aca="false">G1066^(-1/B1066)-1</f>
        <v>0.0517528025</v>
      </c>
      <c r="I1066" s="12" t="n">
        <f aca="false">(1+H1066)^(1/12)-1</f>
        <v>0.00421369509431369</v>
      </c>
      <c r="J1066" s="16" t="n">
        <f aca="false">IF(C1066=0,(1+Dic2023!$M$6)^(-B1066),EXP(LN(INDEX(Dic2023!$N$6:$N$205,C1066))+(LN(INDEX(Dic2023!$N$6:$N$205,MIN(C1066+1,200)))-LN(INDEX(Dic2023!$N$6:$N$205,C1066)))*(A1066-6*C1066)/6))</f>
        <v>0.0114984553951124</v>
      </c>
      <c r="K1066" s="12" t="n">
        <f aca="false">J1066^(-1/B1066)-1</f>
        <v>0.0517528025</v>
      </c>
      <c r="L1066" s="12" t="n">
        <f aca="false">(1+K1066)^(1/12)-1</f>
        <v>0.00421369509431369</v>
      </c>
    </row>
    <row r="1067" customFormat="false" ht="15" hidden="false" customHeight="false" outlineLevel="0" collapsed="false">
      <c r="A1067" s="4" t="n">
        <v>1063</v>
      </c>
      <c r="B1067" s="14" t="n">
        <f aca="false">A1067/12</f>
        <v>88.5833333333333</v>
      </c>
      <c r="C1067" s="15" t="n">
        <f aca="false">INT(A1067/6)</f>
        <v>177</v>
      </c>
      <c r="D1067" s="16" t="n">
        <f aca="false">IF(C1067=0,(1+Dic2023!$G$6)^(-B1067),EXP(LN(INDEX(Dic2023!$H$6:$H$205,C1067))+(LN(INDEX(Dic2023!$H$6:$H$205,MIN(C1067+1,200)))-LN(INDEX(Dic2023!$H$6:$H$205,C1067)))*(A1067-6*C1067)/6))</f>
        <v>0.0114502077110515</v>
      </c>
      <c r="E1067" s="12" t="n">
        <f aca="false">D1067^(-1/B1067)-1</f>
        <v>0.0517528025</v>
      </c>
      <c r="F1067" s="12" t="n">
        <f aca="false">(1+E1067)^(1/12)-1</f>
        <v>0.00421369509431369</v>
      </c>
      <c r="G1067" s="16" t="n">
        <f aca="false">IF(C1067=0,(1+Dic2023!$J$6)^(-B1067),EXP(LN(INDEX(Dic2023!$K$6:$K$205,C1067))+(LN(INDEX(Dic2023!$K$6:$K$205,MIN(C1067+1,200)))-LN(INDEX(Dic2023!$K$6:$K$205,C1067)))*(A1067-6*C1067)/6))</f>
        <v>0.0114502077110515</v>
      </c>
      <c r="H1067" s="12" t="n">
        <f aca="false">G1067^(-1/B1067)-1</f>
        <v>0.0517528025</v>
      </c>
      <c r="I1067" s="12" t="n">
        <f aca="false">(1+H1067)^(1/12)-1</f>
        <v>0.00421369509431369</v>
      </c>
      <c r="J1067" s="16" t="n">
        <f aca="false">IF(C1067=0,(1+Dic2023!$M$6)^(-B1067),EXP(LN(INDEX(Dic2023!$N$6:$N$205,C1067))+(LN(INDEX(Dic2023!$N$6:$N$205,MIN(C1067+1,200)))-LN(INDEX(Dic2023!$N$6:$N$205,C1067)))*(A1067-6*C1067)/6))</f>
        <v>0.0114502077110515</v>
      </c>
      <c r="K1067" s="12" t="n">
        <f aca="false">J1067^(-1/B1067)-1</f>
        <v>0.0517528025</v>
      </c>
      <c r="L1067" s="12" t="n">
        <f aca="false">(1+K1067)^(1/12)-1</f>
        <v>0.00421369509431369</v>
      </c>
    </row>
    <row r="1068" customFormat="false" ht="15" hidden="false" customHeight="false" outlineLevel="0" collapsed="false">
      <c r="A1068" s="4" t="n">
        <v>1064</v>
      </c>
      <c r="B1068" s="14" t="n">
        <f aca="false">A1068/12</f>
        <v>88.6666666666667</v>
      </c>
      <c r="C1068" s="15" t="n">
        <f aca="false">INT(A1068/6)</f>
        <v>177</v>
      </c>
      <c r="D1068" s="16" t="n">
        <f aca="false">IF(C1068=0,(1+Dic2023!$G$6)^(-B1068),EXP(LN(INDEX(Dic2023!$H$6:$H$205,C1068))+(LN(INDEX(Dic2023!$H$6:$H$205,MIN(C1068+1,200)))-LN(INDEX(Dic2023!$H$6:$H$205,C1068)))*(A1068-6*C1068)/6))</f>
        <v>0.0114021624749661</v>
      </c>
      <c r="E1068" s="12" t="n">
        <f aca="false">D1068^(-1/B1068)-1</f>
        <v>0.0517528025</v>
      </c>
      <c r="F1068" s="12" t="n">
        <f aca="false">(1+E1068)^(1/12)-1</f>
        <v>0.00421369509431369</v>
      </c>
      <c r="G1068" s="16" t="n">
        <f aca="false">IF(C1068=0,(1+Dic2023!$J$6)^(-B1068),EXP(LN(INDEX(Dic2023!$K$6:$K$205,C1068))+(LN(INDEX(Dic2023!$K$6:$K$205,MIN(C1068+1,200)))-LN(INDEX(Dic2023!$K$6:$K$205,C1068)))*(A1068-6*C1068)/6))</f>
        <v>0.0114021624749661</v>
      </c>
      <c r="H1068" s="12" t="n">
        <f aca="false">G1068^(-1/B1068)-1</f>
        <v>0.0517528025</v>
      </c>
      <c r="I1068" s="12" t="n">
        <f aca="false">(1+H1068)^(1/12)-1</f>
        <v>0.00421369509431369</v>
      </c>
      <c r="J1068" s="16" t="n">
        <f aca="false">IF(C1068=0,(1+Dic2023!$M$6)^(-B1068),EXP(LN(INDEX(Dic2023!$N$6:$N$205,C1068))+(LN(INDEX(Dic2023!$N$6:$N$205,MIN(C1068+1,200)))-LN(INDEX(Dic2023!$N$6:$N$205,C1068)))*(A1068-6*C1068)/6))</f>
        <v>0.0114021624749661</v>
      </c>
      <c r="K1068" s="12" t="n">
        <f aca="false">J1068^(-1/B1068)-1</f>
        <v>0.0517528025</v>
      </c>
      <c r="L1068" s="12" t="n">
        <f aca="false">(1+K1068)^(1/12)-1</f>
        <v>0.00421369509431369</v>
      </c>
    </row>
    <row r="1069" customFormat="false" ht="15" hidden="false" customHeight="false" outlineLevel="0" collapsed="false">
      <c r="A1069" s="4" t="n">
        <v>1065</v>
      </c>
      <c r="B1069" s="14" t="n">
        <f aca="false">A1069/12</f>
        <v>88.75</v>
      </c>
      <c r="C1069" s="15" t="n">
        <f aca="false">INT(A1069/6)</f>
        <v>177</v>
      </c>
      <c r="D1069" s="16" t="n">
        <f aca="false">IF(C1069=0,(1+Dic2023!$G$6)^(-B1069),EXP(LN(INDEX(Dic2023!$H$6:$H$205,C1069))+(LN(INDEX(Dic2023!$H$6:$H$205,MIN(C1069+1,200)))-LN(INDEX(Dic2023!$H$6:$H$205,C1069)))*(A1069-6*C1069)/6))</f>
        <v>0.0113543188373818</v>
      </c>
      <c r="E1069" s="12" t="n">
        <f aca="false">D1069^(-1/B1069)-1</f>
        <v>0.0517528025</v>
      </c>
      <c r="F1069" s="12" t="n">
        <f aca="false">(1+E1069)^(1/12)-1</f>
        <v>0.00421369509431369</v>
      </c>
      <c r="G1069" s="16" t="n">
        <f aca="false">IF(C1069=0,(1+Dic2023!$J$6)^(-B1069),EXP(LN(INDEX(Dic2023!$K$6:$K$205,C1069))+(LN(INDEX(Dic2023!$K$6:$K$205,MIN(C1069+1,200)))-LN(INDEX(Dic2023!$K$6:$K$205,C1069)))*(A1069-6*C1069)/6))</f>
        <v>0.0113543188373818</v>
      </c>
      <c r="H1069" s="12" t="n">
        <f aca="false">G1069^(-1/B1069)-1</f>
        <v>0.0517528025</v>
      </c>
      <c r="I1069" s="12" t="n">
        <f aca="false">(1+H1069)^(1/12)-1</f>
        <v>0.00421369509431369</v>
      </c>
      <c r="J1069" s="16" t="n">
        <f aca="false">IF(C1069=0,(1+Dic2023!$M$6)^(-B1069),EXP(LN(INDEX(Dic2023!$N$6:$N$205,C1069))+(LN(INDEX(Dic2023!$N$6:$N$205,MIN(C1069+1,200)))-LN(INDEX(Dic2023!$N$6:$N$205,C1069)))*(A1069-6*C1069)/6))</f>
        <v>0.0113543188373818</v>
      </c>
      <c r="K1069" s="12" t="n">
        <f aca="false">J1069^(-1/B1069)-1</f>
        <v>0.0517528025</v>
      </c>
      <c r="L1069" s="12" t="n">
        <f aca="false">(1+K1069)^(1/12)-1</f>
        <v>0.00421369509431369</v>
      </c>
    </row>
    <row r="1070" customFormat="false" ht="15" hidden="false" customHeight="false" outlineLevel="0" collapsed="false">
      <c r="A1070" s="4" t="n">
        <v>1066</v>
      </c>
      <c r="B1070" s="14" t="n">
        <f aca="false">A1070/12</f>
        <v>88.8333333333333</v>
      </c>
      <c r="C1070" s="15" t="n">
        <f aca="false">INT(A1070/6)</f>
        <v>177</v>
      </c>
      <c r="D1070" s="16" t="n">
        <f aca="false">IF(C1070=0,(1+Dic2023!$G$6)^(-B1070),EXP(LN(INDEX(Dic2023!$H$6:$H$205,C1070))+(LN(INDEX(Dic2023!$H$6:$H$205,MIN(C1070+1,200)))-LN(INDEX(Dic2023!$H$6:$H$205,C1070)))*(A1070-6*C1070)/6))</f>
        <v>0.0113066759523882</v>
      </c>
      <c r="E1070" s="12" t="n">
        <f aca="false">D1070^(-1/B1070)-1</f>
        <v>0.0517528025</v>
      </c>
      <c r="F1070" s="12" t="n">
        <f aca="false">(1+E1070)^(1/12)-1</f>
        <v>0.00421369509431369</v>
      </c>
      <c r="G1070" s="16" t="n">
        <f aca="false">IF(C1070=0,(1+Dic2023!$J$6)^(-B1070),EXP(LN(INDEX(Dic2023!$K$6:$K$205,C1070))+(LN(INDEX(Dic2023!$K$6:$K$205,MIN(C1070+1,200)))-LN(INDEX(Dic2023!$K$6:$K$205,C1070)))*(A1070-6*C1070)/6))</f>
        <v>0.0113066759523882</v>
      </c>
      <c r="H1070" s="12" t="n">
        <f aca="false">G1070^(-1/B1070)-1</f>
        <v>0.0517528025</v>
      </c>
      <c r="I1070" s="12" t="n">
        <f aca="false">(1+H1070)^(1/12)-1</f>
        <v>0.00421369509431369</v>
      </c>
      <c r="J1070" s="16" t="n">
        <f aca="false">IF(C1070=0,(1+Dic2023!$M$6)^(-B1070),EXP(LN(INDEX(Dic2023!$N$6:$N$205,C1070))+(LN(INDEX(Dic2023!$N$6:$N$205,MIN(C1070+1,200)))-LN(INDEX(Dic2023!$N$6:$N$205,C1070)))*(A1070-6*C1070)/6))</f>
        <v>0.0113066759523882</v>
      </c>
      <c r="K1070" s="12" t="n">
        <f aca="false">J1070^(-1/B1070)-1</f>
        <v>0.0517528025</v>
      </c>
      <c r="L1070" s="12" t="n">
        <f aca="false">(1+K1070)^(1/12)-1</f>
        <v>0.00421369509431369</v>
      </c>
    </row>
    <row r="1071" customFormat="false" ht="15" hidden="false" customHeight="false" outlineLevel="0" collapsed="false">
      <c r="A1071" s="4" t="n">
        <v>1067</v>
      </c>
      <c r="B1071" s="14" t="n">
        <f aca="false">A1071/12</f>
        <v>88.9166666666667</v>
      </c>
      <c r="C1071" s="15" t="n">
        <f aca="false">INT(A1071/6)</f>
        <v>177</v>
      </c>
      <c r="D1071" s="16" t="n">
        <f aca="false">IF(C1071=0,(1+Dic2023!$G$6)^(-B1071),EXP(LN(INDEX(Dic2023!$H$6:$H$205,C1071))+(LN(INDEX(Dic2023!$H$6:$H$205,MIN(C1071+1,200)))-LN(INDEX(Dic2023!$H$6:$H$205,C1071)))*(A1071-6*C1071)/6))</f>
        <v>0.0112592329776247</v>
      </c>
      <c r="E1071" s="12" t="n">
        <f aca="false">D1071^(-1/B1071)-1</f>
        <v>0.0517528025</v>
      </c>
      <c r="F1071" s="12" t="n">
        <f aca="false">(1+E1071)^(1/12)-1</f>
        <v>0.00421369509431369</v>
      </c>
      <c r="G1071" s="16" t="n">
        <f aca="false">IF(C1071=0,(1+Dic2023!$J$6)^(-B1071),EXP(LN(INDEX(Dic2023!$K$6:$K$205,C1071))+(LN(INDEX(Dic2023!$K$6:$K$205,MIN(C1071+1,200)))-LN(INDEX(Dic2023!$K$6:$K$205,C1071)))*(A1071-6*C1071)/6))</f>
        <v>0.0112592329776247</v>
      </c>
      <c r="H1071" s="12" t="n">
        <f aca="false">G1071^(-1/B1071)-1</f>
        <v>0.0517528025</v>
      </c>
      <c r="I1071" s="12" t="n">
        <f aca="false">(1+H1071)^(1/12)-1</f>
        <v>0.00421369509431369</v>
      </c>
      <c r="J1071" s="16" t="n">
        <f aca="false">IF(C1071=0,(1+Dic2023!$M$6)^(-B1071),EXP(LN(INDEX(Dic2023!$N$6:$N$205,C1071))+(LN(INDEX(Dic2023!$N$6:$N$205,MIN(C1071+1,200)))-LN(INDEX(Dic2023!$N$6:$N$205,C1071)))*(A1071-6*C1071)/6))</f>
        <v>0.0112592329776247</v>
      </c>
      <c r="K1071" s="12" t="n">
        <f aca="false">J1071^(-1/B1071)-1</f>
        <v>0.0517528025</v>
      </c>
      <c r="L1071" s="12" t="n">
        <f aca="false">(1+K1071)^(1/12)-1</f>
        <v>0.00421369509431369</v>
      </c>
    </row>
    <row r="1072" customFormat="false" ht="15" hidden="false" customHeight="false" outlineLevel="0" collapsed="false">
      <c r="A1072" s="4" t="n">
        <v>1068</v>
      </c>
      <c r="B1072" s="14" t="n">
        <f aca="false">A1072/12</f>
        <v>89</v>
      </c>
      <c r="C1072" s="15" t="n">
        <f aca="false">INT(A1072/6)</f>
        <v>178</v>
      </c>
      <c r="D1072" s="16" t="n">
        <f aca="false">IF(C1072=0,(1+Dic2023!$G$6)^(-B1072),EXP(LN(INDEX(Dic2023!$H$6:$H$205,C1072))+(LN(INDEX(Dic2023!$H$6:$H$205,MIN(C1072+1,200)))-LN(INDEX(Dic2023!$H$6:$H$205,C1072)))*(A1072-6*C1072)/6))</f>
        <v>0.0112119890742649</v>
      </c>
      <c r="E1072" s="12" t="n">
        <f aca="false">D1072^(-1/B1072)-1</f>
        <v>0.0517528025</v>
      </c>
      <c r="F1072" s="12" t="n">
        <f aca="false">(1+E1072)^(1/12)-1</f>
        <v>0.00421369509431369</v>
      </c>
      <c r="G1072" s="16" t="n">
        <f aca="false">IF(C1072=0,(1+Dic2023!$J$6)^(-B1072),EXP(LN(INDEX(Dic2023!$K$6:$K$205,C1072))+(LN(INDEX(Dic2023!$K$6:$K$205,MIN(C1072+1,200)))-LN(INDEX(Dic2023!$K$6:$K$205,C1072)))*(A1072-6*C1072)/6))</f>
        <v>0.0112119890742649</v>
      </c>
      <c r="H1072" s="12" t="n">
        <f aca="false">G1072^(-1/B1072)-1</f>
        <v>0.0517528025</v>
      </c>
      <c r="I1072" s="12" t="n">
        <f aca="false">(1+H1072)^(1/12)-1</f>
        <v>0.00421369509431369</v>
      </c>
      <c r="J1072" s="16" t="n">
        <f aca="false">IF(C1072=0,(1+Dic2023!$M$6)^(-B1072),EXP(LN(INDEX(Dic2023!$N$6:$N$205,C1072))+(LN(INDEX(Dic2023!$N$6:$N$205,MIN(C1072+1,200)))-LN(INDEX(Dic2023!$N$6:$N$205,C1072)))*(A1072-6*C1072)/6))</f>
        <v>0.0112119890742649</v>
      </c>
      <c r="K1072" s="12" t="n">
        <f aca="false">J1072^(-1/B1072)-1</f>
        <v>0.0517528025</v>
      </c>
      <c r="L1072" s="12" t="n">
        <f aca="false">(1+K1072)^(1/12)-1</f>
        <v>0.00421369509431369</v>
      </c>
    </row>
    <row r="1073" customFormat="false" ht="15" hidden="false" customHeight="false" outlineLevel="0" collapsed="false">
      <c r="A1073" s="4" t="n">
        <v>1069</v>
      </c>
      <c r="B1073" s="14" t="n">
        <f aca="false">A1073/12</f>
        <v>89.0833333333333</v>
      </c>
      <c r="C1073" s="15" t="n">
        <f aca="false">INT(A1073/6)</f>
        <v>178</v>
      </c>
      <c r="D1073" s="16" t="n">
        <f aca="false">IF(C1073=0,(1+Dic2023!$G$6)^(-B1073),EXP(LN(INDEX(Dic2023!$H$6:$H$205,C1073))+(LN(INDEX(Dic2023!$H$6:$H$205,MIN(C1073+1,200)))-LN(INDEX(Dic2023!$H$6:$H$205,C1073)))*(A1073-6*C1073)/6))</f>
        <v>0.0111649434070025</v>
      </c>
      <c r="E1073" s="12" t="n">
        <f aca="false">D1073^(-1/B1073)-1</f>
        <v>0.0517528025</v>
      </c>
      <c r="F1073" s="12" t="n">
        <f aca="false">(1+E1073)^(1/12)-1</f>
        <v>0.00421369509431369</v>
      </c>
      <c r="G1073" s="16" t="n">
        <f aca="false">IF(C1073=0,(1+Dic2023!$J$6)^(-B1073),EXP(LN(INDEX(Dic2023!$K$6:$K$205,C1073))+(LN(INDEX(Dic2023!$K$6:$K$205,MIN(C1073+1,200)))-LN(INDEX(Dic2023!$K$6:$K$205,C1073)))*(A1073-6*C1073)/6))</f>
        <v>0.0111649434070025</v>
      </c>
      <c r="H1073" s="12" t="n">
        <f aca="false">G1073^(-1/B1073)-1</f>
        <v>0.0517528025</v>
      </c>
      <c r="I1073" s="12" t="n">
        <f aca="false">(1+H1073)^(1/12)-1</f>
        <v>0.00421369509431369</v>
      </c>
      <c r="J1073" s="16" t="n">
        <f aca="false">IF(C1073=0,(1+Dic2023!$M$6)^(-B1073),EXP(LN(INDEX(Dic2023!$N$6:$N$205,C1073))+(LN(INDEX(Dic2023!$N$6:$N$205,MIN(C1073+1,200)))-LN(INDEX(Dic2023!$N$6:$N$205,C1073)))*(A1073-6*C1073)/6))</f>
        <v>0.0111649434070025</v>
      </c>
      <c r="K1073" s="12" t="n">
        <f aca="false">J1073^(-1/B1073)-1</f>
        <v>0.0517528025</v>
      </c>
      <c r="L1073" s="12" t="n">
        <f aca="false">(1+K1073)^(1/12)-1</f>
        <v>0.00421369509431369</v>
      </c>
    </row>
    <row r="1074" customFormat="false" ht="15" hidden="false" customHeight="false" outlineLevel="0" collapsed="false">
      <c r="A1074" s="4" t="n">
        <v>1070</v>
      </c>
      <c r="B1074" s="14" t="n">
        <f aca="false">A1074/12</f>
        <v>89.1666666666667</v>
      </c>
      <c r="C1074" s="15" t="n">
        <f aca="false">INT(A1074/6)</f>
        <v>178</v>
      </c>
      <c r="D1074" s="16" t="n">
        <f aca="false">IF(C1074=0,(1+Dic2023!$G$6)^(-B1074),EXP(LN(INDEX(Dic2023!$H$6:$H$205,C1074))+(LN(INDEX(Dic2023!$H$6:$H$205,MIN(C1074+1,200)))-LN(INDEX(Dic2023!$H$6:$H$205,C1074)))*(A1074-6*C1074)/6))</f>
        <v>0.011118095144036</v>
      </c>
      <c r="E1074" s="12" t="n">
        <f aca="false">D1074^(-1/B1074)-1</f>
        <v>0.0517528025</v>
      </c>
      <c r="F1074" s="12" t="n">
        <f aca="false">(1+E1074)^(1/12)-1</f>
        <v>0.00421369509431369</v>
      </c>
      <c r="G1074" s="16" t="n">
        <f aca="false">IF(C1074=0,(1+Dic2023!$J$6)^(-B1074),EXP(LN(INDEX(Dic2023!$K$6:$K$205,C1074))+(LN(INDEX(Dic2023!$K$6:$K$205,MIN(C1074+1,200)))-LN(INDEX(Dic2023!$K$6:$K$205,C1074)))*(A1074-6*C1074)/6))</f>
        <v>0.011118095144036</v>
      </c>
      <c r="H1074" s="12" t="n">
        <f aca="false">G1074^(-1/B1074)-1</f>
        <v>0.0517528025</v>
      </c>
      <c r="I1074" s="12" t="n">
        <f aca="false">(1+H1074)^(1/12)-1</f>
        <v>0.00421369509431369</v>
      </c>
      <c r="J1074" s="16" t="n">
        <f aca="false">IF(C1074=0,(1+Dic2023!$M$6)^(-B1074),EXP(LN(INDEX(Dic2023!$N$6:$N$205,C1074))+(LN(INDEX(Dic2023!$N$6:$N$205,MIN(C1074+1,200)))-LN(INDEX(Dic2023!$N$6:$N$205,C1074)))*(A1074-6*C1074)/6))</f>
        <v>0.011118095144036</v>
      </c>
      <c r="K1074" s="12" t="n">
        <f aca="false">J1074^(-1/B1074)-1</f>
        <v>0.0517528025</v>
      </c>
      <c r="L1074" s="12" t="n">
        <f aca="false">(1+K1074)^(1/12)-1</f>
        <v>0.00421369509431369</v>
      </c>
    </row>
    <row r="1075" customFormat="false" ht="15" hidden="false" customHeight="false" outlineLevel="0" collapsed="false">
      <c r="A1075" s="4" t="n">
        <v>1071</v>
      </c>
      <c r="B1075" s="14" t="n">
        <f aca="false">A1075/12</f>
        <v>89.25</v>
      </c>
      <c r="C1075" s="15" t="n">
        <f aca="false">INT(A1075/6)</f>
        <v>178</v>
      </c>
      <c r="D1075" s="16" t="n">
        <f aca="false">IF(C1075=0,(1+Dic2023!$G$6)^(-B1075),EXP(LN(INDEX(Dic2023!$H$6:$H$205,C1075))+(LN(INDEX(Dic2023!$H$6:$H$205,MIN(C1075+1,200)))-LN(INDEX(Dic2023!$H$6:$H$205,C1075)))*(A1075-6*C1075)/6))</f>
        <v>0.011071443457054</v>
      </c>
      <c r="E1075" s="12" t="n">
        <f aca="false">D1075^(-1/B1075)-1</f>
        <v>0.0517528025</v>
      </c>
      <c r="F1075" s="12" t="n">
        <f aca="false">(1+E1075)^(1/12)-1</f>
        <v>0.00421369509431369</v>
      </c>
      <c r="G1075" s="16" t="n">
        <f aca="false">IF(C1075=0,(1+Dic2023!$J$6)^(-B1075),EXP(LN(INDEX(Dic2023!$K$6:$K$205,C1075))+(LN(INDEX(Dic2023!$K$6:$K$205,MIN(C1075+1,200)))-LN(INDEX(Dic2023!$K$6:$K$205,C1075)))*(A1075-6*C1075)/6))</f>
        <v>0.011071443457054</v>
      </c>
      <c r="H1075" s="12" t="n">
        <f aca="false">G1075^(-1/B1075)-1</f>
        <v>0.0517528025</v>
      </c>
      <c r="I1075" s="12" t="n">
        <f aca="false">(1+H1075)^(1/12)-1</f>
        <v>0.00421369509431369</v>
      </c>
      <c r="J1075" s="16" t="n">
        <f aca="false">IF(C1075=0,(1+Dic2023!$M$6)^(-B1075),EXP(LN(INDEX(Dic2023!$N$6:$N$205,C1075))+(LN(INDEX(Dic2023!$N$6:$N$205,MIN(C1075+1,200)))-LN(INDEX(Dic2023!$N$6:$N$205,C1075)))*(A1075-6*C1075)/6))</f>
        <v>0.011071443457054</v>
      </c>
      <c r="K1075" s="12" t="n">
        <f aca="false">J1075^(-1/B1075)-1</f>
        <v>0.0517528025</v>
      </c>
      <c r="L1075" s="12" t="n">
        <f aca="false">(1+K1075)^(1/12)-1</f>
        <v>0.00421369509431369</v>
      </c>
    </row>
    <row r="1076" customFormat="false" ht="15" hidden="false" customHeight="false" outlineLevel="0" collapsed="false">
      <c r="A1076" s="4" t="n">
        <v>1072</v>
      </c>
      <c r="B1076" s="14" t="n">
        <f aca="false">A1076/12</f>
        <v>89.3333333333333</v>
      </c>
      <c r="C1076" s="15" t="n">
        <f aca="false">INT(A1076/6)</f>
        <v>178</v>
      </c>
      <c r="D1076" s="16" t="n">
        <f aca="false">IF(C1076=0,(1+Dic2023!$G$6)^(-B1076),EXP(LN(INDEX(Dic2023!$H$6:$H$205,C1076))+(LN(INDEX(Dic2023!$H$6:$H$205,MIN(C1076+1,200)))-LN(INDEX(Dic2023!$H$6:$H$205,C1076)))*(A1076-6*C1076)/6))</f>
        <v>0.011024987521221</v>
      </c>
      <c r="E1076" s="12" t="n">
        <f aca="false">D1076^(-1/B1076)-1</f>
        <v>0.0517528025</v>
      </c>
      <c r="F1076" s="12" t="n">
        <f aca="false">(1+E1076)^(1/12)-1</f>
        <v>0.00421369509431369</v>
      </c>
      <c r="G1076" s="16" t="n">
        <f aca="false">IF(C1076=0,(1+Dic2023!$J$6)^(-B1076),EXP(LN(INDEX(Dic2023!$K$6:$K$205,C1076))+(LN(INDEX(Dic2023!$K$6:$K$205,MIN(C1076+1,200)))-LN(INDEX(Dic2023!$K$6:$K$205,C1076)))*(A1076-6*C1076)/6))</f>
        <v>0.011024987521221</v>
      </c>
      <c r="H1076" s="12" t="n">
        <f aca="false">G1076^(-1/B1076)-1</f>
        <v>0.0517528025</v>
      </c>
      <c r="I1076" s="12" t="n">
        <f aca="false">(1+H1076)^(1/12)-1</f>
        <v>0.00421369509431369</v>
      </c>
      <c r="J1076" s="16" t="n">
        <f aca="false">IF(C1076=0,(1+Dic2023!$M$6)^(-B1076),EXP(LN(INDEX(Dic2023!$N$6:$N$205,C1076))+(LN(INDEX(Dic2023!$N$6:$N$205,MIN(C1076+1,200)))-LN(INDEX(Dic2023!$N$6:$N$205,C1076)))*(A1076-6*C1076)/6))</f>
        <v>0.011024987521221</v>
      </c>
      <c r="K1076" s="12" t="n">
        <f aca="false">J1076^(-1/B1076)-1</f>
        <v>0.0517528025</v>
      </c>
      <c r="L1076" s="12" t="n">
        <f aca="false">(1+K1076)^(1/12)-1</f>
        <v>0.00421369509431369</v>
      </c>
    </row>
    <row r="1077" customFormat="false" ht="15" hidden="false" customHeight="false" outlineLevel="0" collapsed="false">
      <c r="A1077" s="4" t="n">
        <v>1073</v>
      </c>
      <c r="B1077" s="14" t="n">
        <f aca="false">A1077/12</f>
        <v>89.4166666666667</v>
      </c>
      <c r="C1077" s="15" t="n">
        <f aca="false">INT(A1077/6)</f>
        <v>178</v>
      </c>
      <c r="D1077" s="16" t="n">
        <f aca="false">IF(C1077=0,(1+Dic2023!$G$6)^(-B1077),EXP(LN(INDEX(Dic2023!$H$6:$H$205,C1077))+(LN(INDEX(Dic2023!$H$6:$H$205,MIN(C1077+1,200)))-LN(INDEX(Dic2023!$H$6:$H$205,C1077)))*(A1077-6*C1077)/6))</f>
        <v>0.0109787265151622</v>
      </c>
      <c r="E1077" s="12" t="n">
        <f aca="false">D1077^(-1/B1077)-1</f>
        <v>0.0517528025</v>
      </c>
      <c r="F1077" s="12" t="n">
        <f aca="false">(1+E1077)^(1/12)-1</f>
        <v>0.00421369509431369</v>
      </c>
      <c r="G1077" s="16" t="n">
        <f aca="false">IF(C1077=0,(1+Dic2023!$J$6)^(-B1077),EXP(LN(INDEX(Dic2023!$K$6:$K$205,C1077))+(LN(INDEX(Dic2023!$K$6:$K$205,MIN(C1077+1,200)))-LN(INDEX(Dic2023!$K$6:$K$205,C1077)))*(A1077-6*C1077)/6))</f>
        <v>0.0109787265151622</v>
      </c>
      <c r="H1077" s="12" t="n">
        <f aca="false">G1077^(-1/B1077)-1</f>
        <v>0.0517528025</v>
      </c>
      <c r="I1077" s="12" t="n">
        <f aca="false">(1+H1077)^(1/12)-1</f>
        <v>0.00421369509431369</v>
      </c>
      <c r="J1077" s="16" t="n">
        <f aca="false">IF(C1077=0,(1+Dic2023!$M$6)^(-B1077),EXP(LN(INDEX(Dic2023!$N$6:$N$205,C1077))+(LN(INDEX(Dic2023!$N$6:$N$205,MIN(C1077+1,200)))-LN(INDEX(Dic2023!$N$6:$N$205,C1077)))*(A1077-6*C1077)/6))</f>
        <v>0.0109787265151622</v>
      </c>
      <c r="K1077" s="12" t="n">
        <f aca="false">J1077^(-1/B1077)-1</f>
        <v>0.0517528025</v>
      </c>
      <c r="L1077" s="12" t="n">
        <f aca="false">(1+K1077)^(1/12)-1</f>
        <v>0.00421369509431369</v>
      </c>
    </row>
    <row r="1078" customFormat="false" ht="15" hidden="false" customHeight="false" outlineLevel="0" collapsed="false">
      <c r="A1078" s="4" t="n">
        <v>1074</v>
      </c>
      <c r="B1078" s="14" t="n">
        <f aca="false">A1078/12</f>
        <v>89.5</v>
      </c>
      <c r="C1078" s="15" t="n">
        <f aca="false">INT(A1078/6)</f>
        <v>179</v>
      </c>
      <c r="D1078" s="16" t="n">
        <f aca="false">IF(C1078=0,(1+Dic2023!$G$6)^(-B1078),EXP(LN(INDEX(Dic2023!$H$6:$H$205,C1078))+(LN(INDEX(Dic2023!$H$6:$H$205,MIN(C1078+1,200)))-LN(INDEX(Dic2023!$H$6:$H$205,C1078)))*(A1078-6*C1078)/6))</f>
        <v>0.0109326596209496</v>
      </c>
      <c r="E1078" s="12" t="n">
        <f aca="false">D1078^(-1/B1078)-1</f>
        <v>0.0517528025</v>
      </c>
      <c r="F1078" s="12" t="n">
        <f aca="false">(1+E1078)^(1/12)-1</f>
        <v>0.00421369509431369</v>
      </c>
      <c r="G1078" s="16" t="n">
        <f aca="false">IF(C1078=0,(1+Dic2023!$J$6)^(-B1078),EXP(LN(INDEX(Dic2023!$K$6:$K$205,C1078))+(LN(INDEX(Dic2023!$K$6:$K$205,MIN(C1078+1,200)))-LN(INDEX(Dic2023!$K$6:$K$205,C1078)))*(A1078-6*C1078)/6))</f>
        <v>0.0109326596209496</v>
      </c>
      <c r="H1078" s="12" t="n">
        <f aca="false">G1078^(-1/B1078)-1</f>
        <v>0.0517528025</v>
      </c>
      <c r="I1078" s="12" t="n">
        <f aca="false">(1+H1078)^(1/12)-1</f>
        <v>0.00421369509431369</v>
      </c>
      <c r="J1078" s="16" t="n">
        <f aca="false">IF(C1078=0,(1+Dic2023!$M$6)^(-B1078),EXP(LN(INDEX(Dic2023!$N$6:$N$205,C1078))+(LN(INDEX(Dic2023!$N$6:$N$205,MIN(C1078+1,200)))-LN(INDEX(Dic2023!$N$6:$N$205,C1078)))*(A1078-6*C1078)/6))</f>
        <v>0.0109326596209496</v>
      </c>
      <c r="K1078" s="12" t="n">
        <f aca="false">J1078^(-1/B1078)-1</f>
        <v>0.0517528025</v>
      </c>
      <c r="L1078" s="12" t="n">
        <f aca="false">(1+K1078)^(1/12)-1</f>
        <v>0.00421369509431369</v>
      </c>
    </row>
    <row r="1079" customFormat="false" ht="15" hidden="false" customHeight="false" outlineLevel="0" collapsed="false">
      <c r="A1079" s="4" t="n">
        <v>1075</v>
      </c>
      <c r="B1079" s="14" t="n">
        <f aca="false">A1079/12</f>
        <v>89.5833333333333</v>
      </c>
      <c r="C1079" s="15" t="n">
        <f aca="false">INT(A1079/6)</f>
        <v>179</v>
      </c>
      <c r="D1079" s="16" t="n">
        <f aca="false">IF(C1079=0,(1+Dic2023!$G$6)^(-B1079),EXP(LN(INDEX(Dic2023!$H$6:$H$205,C1079))+(LN(INDEX(Dic2023!$H$6:$H$205,MIN(C1079+1,200)))-LN(INDEX(Dic2023!$H$6:$H$205,C1079)))*(A1079-6*C1079)/6))</f>
        <v>0.0108867860240871</v>
      </c>
      <c r="E1079" s="12" t="n">
        <f aca="false">D1079^(-1/B1079)-1</f>
        <v>0.0517528025</v>
      </c>
      <c r="F1079" s="12" t="n">
        <f aca="false">(1+E1079)^(1/12)-1</f>
        <v>0.00421369509431369</v>
      </c>
      <c r="G1079" s="16" t="n">
        <f aca="false">IF(C1079=0,(1+Dic2023!$J$6)^(-B1079),EXP(LN(INDEX(Dic2023!$K$6:$K$205,C1079))+(LN(INDEX(Dic2023!$K$6:$K$205,MIN(C1079+1,200)))-LN(INDEX(Dic2023!$K$6:$K$205,C1079)))*(A1079-6*C1079)/6))</f>
        <v>0.0108867860240871</v>
      </c>
      <c r="H1079" s="12" t="n">
        <f aca="false">G1079^(-1/B1079)-1</f>
        <v>0.0517528025</v>
      </c>
      <c r="I1079" s="12" t="n">
        <f aca="false">(1+H1079)^(1/12)-1</f>
        <v>0.00421369509431369</v>
      </c>
      <c r="J1079" s="16" t="n">
        <f aca="false">IF(C1079=0,(1+Dic2023!$M$6)^(-B1079),EXP(LN(INDEX(Dic2023!$N$6:$N$205,C1079))+(LN(INDEX(Dic2023!$N$6:$N$205,MIN(C1079+1,200)))-LN(INDEX(Dic2023!$N$6:$N$205,C1079)))*(A1079-6*C1079)/6))</f>
        <v>0.0108867860240871</v>
      </c>
      <c r="K1079" s="12" t="n">
        <f aca="false">J1079^(-1/B1079)-1</f>
        <v>0.0517528025</v>
      </c>
      <c r="L1079" s="12" t="n">
        <f aca="false">(1+K1079)^(1/12)-1</f>
        <v>0.00421369509431369</v>
      </c>
    </row>
    <row r="1080" customFormat="false" ht="15" hidden="false" customHeight="false" outlineLevel="0" collapsed="false">
      <c r="A1080" s="4" t="n">
        <v>1076</v>
      </c>
      <c r="B1080" s="14" t="n">
        <f aca="false">A1080/12</f>
        <v>89.6666666666667</v>
      </c>
      <c r="C1080" s="15" t="n">
        <f aca="false">INT(A1080/6)</f>
        <v>179</v>
      </c>
      <c r="D1080" s="16" t="n">
        <f aca="false">IF(C1080=0,(1+Dic2023!$G$6)^(-B1080),EXP(LN(INDEX(Dic2023!$H$6:$H$205,C1080))+(LN(INDEX(Dic2023!$H$6:$H$205,MIN(C1080+1,200)))-LN(INDEX(Dic2023!$H$6:$H$205,C1080)))*(A1080-6*C1080)/6))</f>
        <v>0.0108411049134962</v>
      </c>
      <c r="E1080" s="12" t="n">
        <f aca="false">D1080^(-1/B1080)-1</f>
        <v>0.0517528025</v>
      </c>
      <c r="F1080" s="12" t="n">
        <f aca="false">(1+E1080)^(1/12)-1</f>
        <v>0.00421369509431369</v>
      </c>
      <c r="G1080" s="16" t="n">
        <f aca="false">IF(C1080=0,(1+Dic2023!$J$6)^(-B1080),EXP(LN(INDEX(Dic2023!$K$6:$K$205,C1080))+(LN(INDEX(Dic2023!$K$6:$K$205,MIN(C1080+1,200)))-LN(INDEX(Dic2023!$K$6:$K$205,C1080)))*(A1080-6*C1080)/6))</f>
        <v>0.0108411049134962</v>
      </c>
      <c r="H1080" s="12" t="n">
        <f aca="false">G1080^(-1/B1080)-1</f>
        <v>0.0517528025</v>
      </c>
      <c r="I1080" s="12" t="n">
        <f aca="false">(1+H1080)^(1/12)-1</f>
        <v>0.00421369509431369</v>
      </c>
      <c r="J1080" s="16" t="n">
        <f aca="false">IF(C1080=0,(1+Dic2023!$M$6)^(-B1080),EXP(LN(INDEX(Dic2023!$N$6:$N$205,C1080))+(LN(INDEX(Dic2023!$N$6:$N$205,MIN(C1080+1,200)))-LN(INDEX(Dic2023!$N$6:$N$205,C1080)))*(A1080-6*C1080)/6))</f>
        <v>0.0108411049134962</v>
      </c>
      <c r="K1080" s="12" t="n">
        <f aca="false">J1080^(-1/B1080)-1</f>
        <v>0.0517528025</v>
      </c>
      <c r="L1080" s="12" t="n">
        <f aca="false">(1+K1080)^(1/12)-1</f>
        <v>0.00421369509431369</v>
      </c>
    </row>
    <row r="1081" customFormat="false" ht="15" hidden="false" customHeight="false" outlineLevel="0" collapsed="false">
      <c r="A1081" s="4" t="n">
        <v>1077</v>
      </c>
      <c r="B1081" s="14" t="n">
        <f aca="false">A1081/12</f>
        <v>89.75</v>
      </c>
      <c r="C1081" s="15" t="n">
        <f aca="false">INT(A1081/6)</f>
        <v>179</v>
      </c>
      <c r="D1081" s="16" t="n">
        <f aca="false">IF(C1081=0,(1+Dic2023!$G$6)^(-B1081),EXP(LN(INDEX(Dic2023!$H$6:$H$205,C1081))+(LN(INDEX(Dic2023!$H$6:$H$205,MIN(C1081+1,200)))-LN(INDEX(Dic2023!$H$6:$H$205,C1081)))*(A1081-6*C1081)/6))</f>
        <v>0.0107956154815017</v>
      </c>
      <c r="E1081" s="12" t="n">
        <f aca="false">D1081^(-1/B1081)-1</f>
        <v>0.0517528025</v>
      </c>
      <c r="F1081" s="12" t="n">
        <f aca="false">(1+E1081)^(1/12)-1</f>
        <v>0.00421369509431369</v>
      </c>
      <c r="G1081" s="16" t="n">
        <f aca="false">IF(C1081=0,(1+Dic2023!$J$6)^(-B1081),EXP(LN(INDEX(Dic2023!$K$6:$K$205,C1081))+(LN(INDEX(Dic2023!$K$6:$K$205,MIN(C1081+1,200)))-LN(INDEX(Dic2023!$K$6:$K$205,C1081)))*(A1081-6*C1081)/6))</f>
        <v>0.0107956154815017</v>
      </c>
      <c r="H1081" s="12" t="n">
        <f aca="false">G1081^(-1/B1081)-1</f>
        <v>0.0517528025</v>
      </c>
      <c r="I1081" s="12" t="n">
        <f aca="false">(1+H1081)^(1/12)-1</f>
        <v>0.00421369509431369</v>
      </c>
      <c r="J1081" s="16" t="n">
        <f aca="false">IF(C1081=0,(1+Dic2023!$M$6)^(-B1081),EXP(LN(INDEX(Dic2023!$N$6:$N$205,C1081))+(LN(INDEX(Dic2023!$N$6:$N$205,MIN(C1081+1,200)))-LN(INDEX(Dic2023!$N$6:$N$205,C1081)))*(A1081-6*C1081)/6))</f>
        <v>0.0107956154815017</v>
      </c>
      <c r="K1081" s="12" t="n">
        <f aca="false">J1081^(-1/B1081)-1</f>
        <v>0.0517528025</v>
      </c>
      <c r="L1081" s="12" t="n">
        <f aca="false">(1+K1081)^(1/12)-1</f>
        <v>0.00421369509431369</v>
      </c>
    </row>
    <row r="1082" customFormat="false" ht="15" hidden="false" customHeight="false" outlineLevel="0" collapsed="false">
      <c r="A1082" s="4" t="n">
        <v>1078</v>
      </c>
      <c r="B1082" s="14" t="n">
        <f aca="false">A1082/12</f>
        <v>89.8333333333333</v>
      </c>
      <c r="C1082" s="15" t="n">
        <f aca="false">INT(A1082/6)</f>
        <v>179</v>
      </c>
      <c r="D1082" s="16" t="n">
        <f aca="false">IF(C1082=0,(1+Dic2023!$G$6)^(-B1082),EXP(LN(INDEX(Dic2023!$H$6:$H$205,C1082))+(LN(INDEX(Dic2023!$H$6:$H$205,MIN(C1082+1,200)))-LN(INDEX(Dic2023!$H$6:$H$205,C1082)))*(A1082-6*C1082)/6))</f>
        <v>0.0107503169238175</v>
      </c>
      <c r="E1082" s="12" t="n">
        <f aca="false">D1082^(-1/B1082)-1</f>
        <v>0.0517528025</v>
      </c>
      <c r="F1082" s="12" t="n">
        <f aca="false">(1+E1082)^(1/12)-1</f>
        <v>0.00421369509431369</v>
      </c>
      <c r="G1082" s="16" t="n">
        <f aca="false">IF(C1082=0,(1+Dic2023!$J$6)^(-B1082),EXP(LN(INDEX(Dic2023!$K$6:$K$205,C1082))+(LN(INDEX(Dic2023!$K$6:$K$205,MIN(C1082+1,200)))-LN(INDEX(Dic2023!$K$6:$K$205,C1082)))*(A1082-6*C1082)/6))</f>
        <v>0.0107503169238175</v>
      </c>
      <c r="H1082" s="12" t="n">
        <f aca="false">G1082^(-1/B1082)-1</f>
        <v>0.0517528025</v>
      </c>
      <c r="I1082" s="12" t="n">
        <f aca="false">(1+H1082)^(1/12)-1</f>
        <v>0.00421369509431369</v>
      </c>
      <c r="J1082" s="16" t="n">
        <f aca="false">IF(C1082=0,(1+Dic2023!$M$6)^(-B1082),EXP(LN(INDEX(Dic2023!$N$6:$N$205,C1082))+(LN(INDEX(Dic2023!$N$6:$N$205,MIN(C1082+1,200)))-LN(INDEX(Dic2023!$N$6:$N$205,C1082)))*(A1082-6*C1082)/6))</f>
        <v>0.0107503169238175</v>
      </c>
      <c r="K1082" s="12" t="n">
        <f aca="false">J1082^(-1/B1082)-1</f>
        <v>0.0517528025</v>
      </c>
      <c r="L1082" s="12" t="n">
        <f aca="false">(1+K1082)^(1/12)-1</f>
        <v>0.00421369509431369</v>
      </c>
    </row>
    <row r="1083" customFormat="false" ht="15" hidden="false" customHeight="false" outlineLevel="0" collapsed="false">
      <c r="A1083" s="4" t="n">
        <v>1079</v>
      </c>
      <c r="B1083" s="14" t="n">
        <f aca="false">A1083/12</f>
        <v>89.9166666666667</v>
      </c>
      <c r="C1083" s="15" t="n">
        <f aca="false">INT(A1083/6)</f>
        <v>179</v>
      </c>
      <c r="D1083" s="16" t="n">
        <f aca="false">IF(C1083=0,(1+Dic2023!$G$6)^(-B1083),EXP(LN(INDEX(Dic2023!$H$6:$H$205,C1083))+(LN(INDEX(Dic2023!$H$6:$H$205,MIN(C1083+1,200)))-LN(INDEX(Dic2023!$H$6:$H$205,C1083)))*(A1083-6*C1083)/6))</f>
        <v>0.0107052084395322</v>
      </c>
      <c r="E1083" s="12" t="n">
        <f aca="false">D1083^(-1/B1083)-1</f>
        <v>0.0517528025</v>
      </c>
      <c r="F1083" s="12" t="n">
        <f aca="false">(1+E1083)^(1/12)-1</f>
        <v>0.00421369509431369</v>
      </c>
      <c r="G1083" s="16" t="n">
        <f aca="false">IF(C1083=0,(1+Dic2023!$J$6)^(-B1083),EXP(LN(INDEX(Dic2023!$K$6:$K$205,C1083))+(LN(INDEX(Dic2023!$K$6:$K$205,MIN(C1083+1,200)))-LN(INDEX(Dic2023!$K$6:$K$205,C1083)))*(A1083-6*C1083)/6))</f>
        <v>0.0107052084395322</v>
      </c>
      <c r="H1083" s="12" t="n">
        <f aca="false">G1083^(-1/B1083)-1</f>
        <v>0.0517528025</v>
      </c>
      <c r="I1083" s="12" t="n">
        <f aca="false">(1+H1083)^(1/12)-1</f>
        <v>0.00421369509431369</v>
      </c>
      <c r="J1083" s="16" t="n">
        <f aca="false">IF(C1083=0,(1+Dic2023!$M$6)^(-B1083),EXP(LN(INDEX(Dic2023!$N$6:$N$205,C1083))+(LN(INDEX(Dic2023!$N$6:$N$205,MIN(C1083+1,200)))-LN(INDEX(Dic2023!$N$6:$N$205,C1083)))*(A1083-6*C1083)/6))</f>
        <v>0.0107052084395322</v>
      </c>
      <c r="K1083" s="12" t="n">
        <f aca="false">J1083^(-1/B1083)-1</f>
        <v>0.0517528025</v>
      </c>
      <c r="L1083" s="12" t="n">
        <f aca="false">(1+K1083)^(1/12)-1</f>
        <v>0.00421369509431369</v>
      </c>
    </row>
    <row r="1084" customFormat="false" ht="15" hidden="false" customHeight="false" outlineLevel="0" collapsed="false">
      <c r="A1084" s="4" t="n">
        <v>1080</v>
      </c>
      <c r="B1084" s="14" t="n">
        <f aca="false">A1084/12</f>
        <v>90</v>
      </c>
      <c r="C1084" s="15" t="n">
        <f aca="false">INT(A1084/6)</f>
        <v>180</v>
      </c>
      <c r="D1084" s="16" t="n">
        <f aca="false">IF(C1084=0,(1+Dic2023!$G$6)^(-B1084),EXP(LN(INDEX(Dic2023!$H$6:$H$205,C1084))+(LN(INDEX(Dic2023!$H$6:$H$205,MIN(C1084+1,200)))-LN(INDEX(Dic2023!$H$6:$H$205,C1084)))*(A1084-6*C1084)/6))</f>
        <v>0.0106602892310952</v>
      </c>
      <c r="E1084" s="12" t="n">
        <f aca="false">D1084^(-1/B1084)-1</f>
        <v>0.0517528025</v>
      </c>
      <c r="F1084" s="12" t="n">
        <f aca="false">(1+E1084)^(1/12)-1</f>
        <v>0.00421369509431369</v>
      </c>
      <c r="G1084" s="16" t="n">
        <f aca="false">IF(C1084=0,(1+Dic2023!$J$6)^(-B1084),EXP(LN(INDEX(Dic2023!$K$6:$K$205,C1084))+(LN(INDEX(Dic2023!$K$6:$K$205,MIN(C1084+1,200)))-LN(INDEX(Dic2023!$K$6:$K$205,C1084)))*(A1084-6*C1084)/6))</f>
        <v>0.0106602892310952</v>
      </c>
      <c r="H1084" s="12" t="n">
        <f aca="false">G1084^(-1/B1084)-1</f>
        <v>0.0517528025</v>
      </c>
      <c r="I1084" s="12" t="n">
        <f aca="false">(1+H1084)^(1/12)-1</f>
        <v>0.00421369509431369</v>
      </c>
      <c r="J1084" s="16" t="n">
        <f aca="false">IF(C1084=0,(1+Dic2023!$M$6)^(-B1084),EXP(LN(INDEX(Dic2023!$N$6:$N$205,C1084))+(LN(INDEX(Dic2023!$N$6:$N$205,MIN(C1084+1,200)))-LN(INDEX(Dic2023!$N$6:$N$205,C1084)))*(A1084-6*C1084)/6))</f>
        <v>0.0106602892310952</v>
      </c>
      <c r="K1084" s="12" t="n">
        <f aca="false">J1084^(-1/B1084)-1</f>
        <v>0.0517528025</v>
      </c>
      <c r="L1084" s="12" t="n">
        <f aca="false">(1+K1084)^(1/12)-1</f>
        <v>0.00421369509431369</v>
      </c>
    </row>
    <row r="1085" customFormat="false" ht="15" hidden="false" customHeight="false" outlineLevel="0" collapsed="false">
      <c r="A1085" s="4" t="n">
        <v>1081</v>
      </c>
      <c r="B1085" s="14" t="n">
        <f aca="false">A1085/12</f>
        <v>90.0833333333333</v>
      </c>
      <c r="C1085" s="15" t="n">
        <f aca="false">INT(A1085/6)</f>
        <v>180</v>
      </c>
      <c r="D1085" s="16" t="n">
        <f aca="false">IF(C1085=0,(1+Dic2023!$G$6)^(-B1085),EXP(LN(INDEX(Dic2023!$H$6:$H$205,C1085))+(LN(INDEX(Dic2023!$H$6:$H$205,MIN(C1085+1,200)))-LN(INDEX(Dic2023!$H$6:$H$205,C1085)))*(A1085-6*C1085)/6))</f>
        <v>0.0106155585043022</v>
      </c>
      <c r="E1085" s="12" t="n">
        <f aca="false">D1085^(-1/B1085)-1</f>
        <v>0.0517528025</v>
      </c>
      <c r="F1085" s="12" t="n">
        <f aca="false">(1+E1085)^(1/12)-1</f>
        <v>0.00421369509431369</v>
      </c>
      <c r="G1085" s="16" t="n">
        <f aca="false">IF(C1085=0,(1+Dic2023!$J$6)^(-B1085),EXP(LN(INDEX(Dic2023!$K$6:$K$205,C1085))+(LN(INDEX(Dic2023!$K$6:$K$205,MIN(C1085+1,200)))-LN(INDEX(Dic2023!$K$6:$K$205,C1085)))*(A1085-6*C1085)/6))</f>
        <v>0.0106155585043022</v>
      </c>
      <c r="H1085" s="12" t="n">
        <f aca="false">G1085^(-1/B1085)-1</f>
        <v>0.0517528025</v>
      </c>
      <c r="I1085" s="12" t="n">
        <f aca="false">(1+H1085)^(1/12)-1</f>
        <v>0.00421369509431369</v>
      </c>
      <c r="J1085" s="16" t="n">
        <f aca="false">IF(C1085=0,(1+Dic2023!$M$6)^(-B1085),EXP(LN(INDEX(Dic2023!$N$6:$N$205,C1085))+(LN(INDEX(Dic2023!$N$6:$N$205,MIN(C1085+1,200)))-LN(INDEX(Dic2023!$N$6:$N$205,C1085)))*(A1085-6*C1085)/6))</f>
        <v>0.0106155585043022</v>
      </c>
      <c r="K1085" s="12" t="n">
        <f aca="false">J1085^(-1/B1085)-1</f>
        <v>0.0517528025</v>
      </c>
      <c r="L1085" s="12" t="n">
        <f aca="false">(1+K1085)^(1/12)-1</f>
        <v>0.00421369509431369</v>
      </c>
    </row>
    <row r="1086" customFormat="false" ht="15" hidden="false" customHeight="false" outlineLevel="0" collapsed="false">
      <c r="A1086" s="4" t="n">
        <v>1082</v>
      </c>
      <c r="B1086" s="14" t="n">
        <f aca="false">A1086/12</f>
        <v>90.1666666666667</v>
      </c>
      <c r="C1086" s="15" t="n">
        <f aca="false">INT(A1086/6)</f>
        <v>180</v>
      </c>
      <c r="D1086" s="16" t="n">
        <f aca="false">IF(C1086=0,(1+Dic2023!$G$6)^(-B1086),EXP(LN(INDEX(Dic2023!$H$6:$H$205,C1086))+(LN(INDEX(Dic2023!$H$6:$H$205,MIN(C1086+1,200)))-LN(INDEX(Dic2023!$H$6:$H$205,C1086)))*(A1086-6*C1086)/6))</f>
        <v>0.0105710154682816</v>
      </c>
      <c r="E1086" s="12" t="n">
        <f aca="false">D1086^(-1/B1086)-1</f>
        <v>0.0517528025</v>
      </c>
      <c r="F1086" s="12" t="n">
        <f aca="false">(1+E1086)^(1/12)-1</f>
        <v>0.00421369509431369</v>
      </c>
      <c r="G1086" s="16" t="n">
        <f aca="false">IF(C1086=0,(1+Dic2023!$J$6)^(-B1086),EXP(LN(INDEX(Dic2023!$K$6:$K$205,C1086))+(LN(INDEX(Dic2023!$K$6:$K$205,MIN(C1086+1,200)))-LN(INDEX(Dic2023!$K$6:$K$205,C1086)))*(A1086-6*C1086)/6))</f>
        <v>0.0105710154682816</v>
      </c>
      <c r="H1086" s="12" t="n">
        <f aca="false">G1086^(-1/B1086)-1</f>
        <v>0.0517528025</v>
      </c>
      <c r="I1086" s="12" t="n">
        <f aca="false">(1+H1086)^(1/12)-1</f>
        <v>0.00421369509431369</v>
      </c>
      <c r="J1086" s="16" t="n">
        <f aca="false">IF(C1086=0,(1+Dic2023!$M$6)^(-B1086),EXP(LN(INDEX(Dic2023!$N$6:$N$205,C1086))+(LN(INDEX(Dic2023!$N$6:$N$205,MIN(C1086+1,200)))-LN(INDEX(Dic2023!$N$6:$N$205,C1086)))*(A1086-6*C1086)/6))</f>
        <v>0.0105710154682816</v>
      </c>
      <c r="K1086" s="12" t="n">
        <f aca="false">J1086^(-1/B1086)-1</f>
        <v>0.0517528025</v>
      </c>
      <c r="L1086" s="12" t="n">
        <f aca="false">(1+K1086)^(1/12)-1</f>
        <v>0.00421369509431369</v>
      </c>
    </row>
    <row r="1087" customFormat="false" ht="15" hidden="false" customHeight="false" outlineLevel="0" collapsed="false">
      <c r="A1087" s="4" t="n">
        <v>1083</v>
      </c>
      <c r="B1087" s="14" t="n">
        <f aca="false">A1087/12</f>
        <v>90.25</v>
      </c>
      <c r="C1087" s="15" t="n">
        <f aca="false">INT(A1087/6)</f>
        <v>180</v>
      </c>
      <c r="D1087" s="16" t="n">
        <f aca="false">IF(C1087=0,(1+Dic2023!$G$6)^(-B1087),EXP(LN(INDEX(Dic2023!$H$6:$H$205,C1087))+(LN(INDEX(Dic2023!$H$6:$H$205,MIN(C1087+1,200)))-LN(INDEX(Dic2023!$H$6:$H$205,C1087)))*(A1087-6*C1087)/6))</f>
        <v>0.0105266593354802</v>
      </c>
      <c r="E1087" s="12" t="n">
        <f aca="false">D1087^(-1/B1087)-1</f>
        <v>0.0517528025</v>
      </c>
      <c r="F1087" s="12" t="n">
        <f aca="false">(1+E1087)^(1/12)-1</f>
        <v>0.00421369509431369</v>
      </c>
      <c r="G1087" s="16" t="n">
        <f aca="false">IF(C1087=0,(1+Dic2023!$J$6)^(-B1087),EXP(LN(INDEX(Dic2023!$K$6:$K$205,C1087))+(LN(INDEX(Dic2023!$K$6:$K$205,MIN(C1087+1,200)))-LN(INDEX(Dic2023!$K$6:$K$205,C1087)))*(A1087-6*C1087)/6))</f>
        <v>0.0105266593354802</v>
      </c>
      <c r="H1087" s="12" t="n">
        <f aca="false">G1087^(-1/B1087)-1</f>
        <v>0.0517528025</v>
      </c>
      <c r="I1087" s="12" t="n">
        <f aca="false">(1+H1087)^(1/12)-1</f>
        <v>0.00421369509431369</v>
      </c>
      <c r="J1087" s="16" t="n">
        <f aca="false">IF(C1087=0,(1+Dic2023!$M$6)^(-B1087),EXP(LN(INDEX(Dic2023!$N$6:$N$205,C1087))+(LN(INDEX(Dic2023!$N$6:$N$205,MIN(C1087+1,200)))-LN(INDEX(Dic2023!$N$6:$N$205,C1087)))*(A1087-6*C1087)/6))</f>
        <v>0.0105266593354802</v>
      </c>
      <c r="K1087" s="12" t="n">
        <f aca="false">J1087^(-1/B1087)-1</f>
        <v>0.0517528025</v>
      </c>
      <c r="L1087" s="12" t="n">
        <f aca="false">(1+K1087)^(1/12)-1</f>
        <v>0.00421369509431369</v>
      </c>
    </row>
    <row r="1088" customFormat="false" ht="15" hidden="false" customHeight="false" outlineLevel="0" collapsed="false">
      <c r="A1088" s="4" t="n">
        <v>1084</v>
      </c>
      <c r="B1088" s="14" t="n">
        <f aca="false">A1088/12</f>
        <v>90.3333333333333</v>
      </c>
      <c r="C1088" s="15" t="n">
        <f aca="false">INT(A1088/6)</f>
        <v>180</v>
      </c>
      <c r="D1088" s="16" t="n">
        <f aca="false">IF(C1088=0,(1+Dic2023!$G$6)^(-B1088),EXP(LN(INDEX(Dic2023!$H$6:$H$205,C1088))+(LN(INDEX(Dic2023!$H$6:$H$205,MIN(C1088+1,200)))-LN(INDEX(Dic2023!$H$6:$H$205,C1088)))*(A1088-6*C1088)/6))</f>
        <v>0.0104824893216493</v>
      </c>
      <c r="E1088" s="12" t="n">
        <f aca="false">D1088^(-1/B1088)-1</f>
        <v>0.0517528025</v>
      </c>
      <c r="F1088" s="12" t="n">
        <f aca="false">(1+E1088)^(1/12)-1</f>
        <v>0.00421369509431369</v>
      </c>
      <c r="G1088" s="16" t="n">
        <f aca="false">IF(C1088=0,(1+Dic2023!$J$6)^(-B1088),EXP(LN(INDEX(Dic2023!$K$6:$K$205,C1088))+(LN(INDEX(Dic2023!$K$6:$K$205,MIN(C1088+1,200)))-LN(INDEX(Dic2023!$K$6:$K$205,C1088)))*(A1088-6*C1088)/6))</f>
        <v>0.0104824893216493</v>
      </c>
      <c r="H1088" s="12" t="n">
        <f aca="false">G1088^(-1/B1088)-1</f>
        <v>0.0517528025</v>
      </c>
      <c r="I1088" s="12" t="n">
        <f aca="false">(1+H1088)^(1/12)-1</f>
        <v>0.00421369509431369</v>
      </c>
      <c r="J1088" s="16" t="n">
        <f aca="false">IF(C1088=0,(1+Dic2023!$M$6)^(-B1088),EXP(LN(INDEX(Dic2023!$N$6:$N$205,C1088))+(LN(INDEX(Dic2023!$N$6:$N$205,MIN(C1088+1,200)))-LN(INDEX(Dic2023!$N$6:$N$205,C1088)))*(A1088-6*C1088)/6))</f>
        <v>0.0104824893216493</v>
      </c>
      <c r="K1088" s="12" t="n">
        <f aca="false">J1088^(-1/B1088)-1</f>
        <v>0.0517528025</v>
      </c>
      <c r="L1088" s="12" t="n">
        <f aca="false">(1+K1088)^(1/12)-1</f>
        <v>0.00421369509431369</v>
      </c>
    </row>
    <row r="1089" customFormat="false" ht="15" hidden="false" customHeight="false" outlineLevel="0" collapsed="false">
      <c r="A1089" s="4" t="n">
        <v>1085</v>
      </c>
      <c r="B1089" s="14" t="n">
        <f aca="false">A1089/12</f>
        <v>90.4166666666667</v>
      </c>
      <c r="C1089" s="15" t="n">
        <f aca="false">INT(A1089/6)</f>
        <v>180</v>
      </c>
      <c r="D1089" s="16" t="n">
        <f aca="false">IF(C1089=0,(1+Dic2023!$G$6)^(-B1089),EXP(LN(INDEX(Dic2023!$H$6:$H$205,C1089))+(LN(INDEX(Dic2023!$H$6:$H$205,MIN(C1089+1,200)))-LN(INDEX(Dic2023!$H$6:$H$205,C1089)))*(A1089-6*C1089)/6))</f>
        <v>0.0104385046458312</v>
      </c>
      <c r="E1089" s="12" t="n">
        <f aca="false">D1089^(-1/B1089)-1</f>
        <v>0.0517528025</v>
      </c>
      <c r="F1089" s="12" t="n">
        <f aca="false">(1+E1089)^(1/12)-1</f>
        <v>0.00421369509431369</v>
      </c>
      <c r="G1089" s="16" t="n">
        <f aca="false">IF(C1089=0,(1+Dic2023!$J$6)^(-B1089),EXP(LN(INDEX(Dic2023!$K$6:$K$205,C1089))+(LN(INDEX(Dic2023!$K$6:$K$205,MIN(C1089+1,200)))-LN(INDEX(Dic2023!$K$6:$K$205,C1089)))*(A1089-6*C1089)/6))</f>
        <v>0.0104385046458312</v>
      </c>
      <c r="H1089" s="12" t="n">
        <f aca="false">G1089^(-1/B1089)-1</f>
        <v>0.0517528025</v>
      </c>
      <c r="I1089" s="12" t="n">
        <f aca="false">(1+H1089)^(1/12)-1</f>
        <v>0.00421369509431369</v>
      </c>
      <c r="J1089" s="16" t="n">
        <f aca="false">IF(C1089=0,(1+Dic2023!$M$6)^(-B1089),EXP(LN(INDEX(Dic2023!$N$6:$N$205,C1089))+(LN(INDEX(Dic2023!$N$6:$N$205,MIN(C1089+1,200)))-LN(INDEX(Dic2023!$N$6:$N$205,C1089)))*(A1089-6*C1089)/6))</f>
        <v>0.0104385046458312</v>
      </c>
      <c r="K1089" s="12" t="n">
        <f aca="false">J1089^(-1/B1089)-1</f>
        <v>0.0517528025</v>
      </c>
      <c r="L1089" s="12" t="n">
        <f aca="false">(1+K1089)^(1/12)-1</f>
        <v>0.00421369509431369</v>
      </c>
    </row>
    <row r="1090" customFormat="false" ht="15" hidden="false" customHeight="false" outlineLevel="0" collapsed="false">
      <c r="A1090" s="4" t="n">
        <v>1086</v>
      </c>
      <c r="B1090" s="14" t="n">
        <f aca="false">A1090/12</f>
        <v>90.5</v>
      </c>
      <c r="C1090" s="15" t="n">
        <f aca="false">INT(A1090/6)</f>
        <v>181</v>
      </c>
      <c r="D1090" s="16" t="n">
        <f aca="false">IF(C1090=0,(1+Dic2023!$G$6)^(-B1090),EXP(LN(INDEX(Dic2023!$H$6:$H$205,C1090))+(LN(INDEX(Dic2023!$H$6:$H$205,MIN(C1090+1,200)))-LN(INDEX(Dic2023!$H$6:$H$205,C1090)))*(A1090-6*C1090)/6))</f>
        <v>0.0103947045303449</v>
      </c>
      <c r="E1090" s="12" t="n">
        <f aca="false">D1090^(-1/B1090)-1</f>
        <v>0.0517528025</v>
      </c>
      <c r="F1090" s="12" t="n">
        <f aca="false">(1+E1090)^(1/12)-1</f>
        <v>0.00421369509431369</v>
      </c>
      <c r="G1090" s="16" t="n">
        <f aca="false">IF(C1090=0,(1+Dic2023!$J$6)^(-B1090),EXP(LN(INDEX(Dic2023!$K$6:$K$205,C1090))+(LN(INDEX(Dic2023!$K$6:$K$205,MIN(C1090+1,200)))-LN(INDEX(Dic2023!$K$6:$K$205,C1090)))*(A1090-6*C1090)/6))</f>
        <v>0.0103947045303449</v>
      </c>
      <c r="H1090" s="12" t="n">
        <f aca="false">G1090^(-1/B1090)-1</f>
        <v>0.0517528025</v>
      </c>
      <c r="I1090" s="12" t="n">
        <f aca="false">(1+H1090)^(1/12)-1</f>
        <v>0.00421369509431369</v>
      </c>
      <c r="J1090" s="16" t="n">
        <f aca="false">IF(C1090=0,(1+Dic2023!$M$6)^(-B1090),EXP(LN(INDEX(Dic2023!$N$6:$N$205,C1090))+(LN(INDEX(Dic2023!$N$6:$N$205,MIN(C1090+1,200)))-LN(INDEX(Dic2023!$N$6:$N$205,C1090)))*(A1090-6*C1090)/6))</f>
        <v>0.0103947045303449</v>
      </c>
      <c r="K1090" s="12" t="n">
        <f aca="false">J1090^(-1/B1090)-1</f>
        <v>0.0517528025</v>
      </c>
      <c r="L1090" s="12" t="n">
        <f aca="false">(1+K1090)^(1/12)-1</f>
        <v>0.00421369509431369</v>
      </c>
    </row>
    <row r="1091" customFormat="false" ht="15" hidden="false" customHeight="false" outlineLevel="0" collapsed="false">
      <c r="A1091" s="4" t="n">
        <v>1087</v>
      </c>
      <c r="B1091" s="14" t="n">
        <f aca="false">A1091/12</f>
        <v>90.5833333333333</v>
      </c>
      <c r="C1091" s="15" t="n">
        <f aca="false">INT(A1091/6)</f>
        <v>181</v>
      </c>
      <c r="D1091" s="16" t="n">
        <f aca="false">IF(C1091=0,(1+Dic2023!$G$6)^(-B1091),EXP(LN(INDEX(Dic2023!$H$6:$H$205,C1091))+(LN(INDEX(Dic2023!$H$6:$H$205,MIN(C1091+1,200)))-LN(INDEX(Dic2023!$H$6:$H$205,C1091)))*(A1091-6*C1091)/6))</f>
        <v>0.0103510882007725</v>
      </c>
      <c r="E1091" s="12" t="n">
        <f aca="false">D1091^(-1/B1091)-1</f>
        <v>0.0517528025</v>
      </c>
      <c r="F1091" s="12" t="n">
        <f aca="false">(1+E1091)^(1/12)-1</f>
        <v>0.00421369509431369</v>
      </c>
      <c r="G1091" s="16" t="n">
        <f aca="false">IF(C1091=0,(1+Dic2023!$J$6)^(-B1091),EXP(LN(INDEX(Dic2023!$K$6:$K$205,C1091))+(LN(INDEX(Dic2023!$K$6:$K$205,MIN(C1091+1,200)))-LN(INDEX(Dic2023!$K$6:$K$205,C1091)))*(A1091-6*C1091)/6))</f>
        <v>0.0103510882007725</v>
      </c>
      <c r="H1091" s="12" t="n">
        <f aca="false">G1091^(-1/B1091)-1</f>
        <v>0.0517528025</v>
      </c>
      <c r="I1091" s="12" t="n">
        <f aca="false">(1+H1091)^(1/12)-1</f>
        <v>0.00421369509431369</v>
      </c>
      <c r="J1091" s="16" t="n">
        <f aca="false">IF(C1091=0,(1+Dic2023!$M$6)^(-B1091),EXP(LN(INDEX(Dic2023!$N$6:$N$205,C1091))+(LN(INDEX(Dic2023!$N$6:$N$205,MIN(C1091+1,200)))-LN(INDEX(Dic2023!$N$6:$N$205,C1091)))*(A1091-6*C1091)/6))</f>
        <v>0.0103510882007725</v>
      </c>
      <c r="K1091" s="12" t="n">
        <f aca="false">J1091^(-1/B1091)-1</f>
        <v>0.0517528025</v>
      </c>
      <c r="L1091" s="12" t="n">
        <f aca="false">(1+K1091)^(1/12)-1</f>
        <v>0.00421369509431369</v>
      </c>
    </row>
    <row r="1092" customFormat="false" ht="15" hidden="false" customHeight="false" outlineLevel="0" collapsed="false">
      <c r="A1092" s="4" t="n">
        <v>1088</v>
      </c>
      <c r="B1092" s="14" t="n">
        <f aca="false">A1092/12</f>
        <v>90.6666666666667</v>
      </c>
      <c r="C1092" s="15" t="n">
        <f aca="false">INT(A1092/6)</f>
        <v>181</v>
      </c>
      <c r="D1092" s="16" t="n">
        <f aca="false">IF(C1092=0,(1+Dic2023!$G$6)^(-B1092),EXP(LN(INDEX(Dic2023!$H$6:$H$205,C1092))+(LN(INDEX(Dic2023!$H$6:$H$205,MIN(C1092+1,200)))-LN(INDEX(Dic2023!$H$6:$H$205,C1092)))*(A1092-6*C1092)/6))</f>
        <v>0.0103076548859457</v>
      </c>
      <c r="E1092" s="12" t="n">
        <f aca="false">D1092^(-1/B1092)-1</f>
        <v>0.0517528025</v>
      </c>
      <c r="F1092" s="12" t="n">
        <f aca="false">(1+E1092)^(1/12)-1</f>
        <v>0.00421369509431369</v>
      </c>
      <c r="G1092" s="16" t="n">
        <f aca="false">IF(C1092=0,(1+Dic2023!$J$6)^(-B1092),EXP(LN(INDEX(Dic2023!$K$6:$K$205,C1092))+(LN(INDEX(Dic2023!$K$6:$K$205,MIN(C1092+1,200)))-LN(INDEX(Dic2023!$K$6:$K$205,C1092)))*(A1092-6*C1092)/6))</f>
        <v>0.0103076548859457</v>
      </c>
      <c r="H1092" s="12" t="n">
        <f aca="false">G1092^(-1/B1092)-1</f>
        <v>0.0517528025</v>
      </c>
      <c r="I1092" s="12" t="n">
        <f aca="false">(1+H1092)^(1/12)-1</f>
        <v>0.00421369509431369</v>
      </c>
      <c r="J1092" s="16" t="n">
        <f aca="false">IF(C1092=0,(1+Dic2023!$M$6)^(-B1092),EXP(LN(INDEX(Dic2023!$N$6:$N$205,C1092))+(LN(INDEX(Dic2023!$N$6:$N$205,MIN(C1092+1,200)))-LN(INDEX(Dic2023!$N$6:$N$205,C1092)))*(A1092-6*C1092)/6))</f>
        <v>0.0103076548859457</v>
      </c>
      <c r="K1092" s="12" t="n">
        <f aca="false">J1092^(-1/B1092)-1</f>
        <v>0.0517528025</v>
      </c>
      <c r="L1092" s="12" t="n">
        <f aca="false">(1+K1092)^(1/12)-1</f>
        <v>0.00421369509431369</v>
      </c>
    </row>
    <row r="1093" customFormat="false" ht="15" hidden="false" customHeight="false" outlineLevel="0" collapsed="false">
      <c r="A1093" s="4" t="n">
        <v>1089</v>
      </c>
      <c r="B1093" s="14" t="n">
        <f aca="false">A1093/12</f>
        <v>90.75</v>
      </c>
      <c r="C1093" s="15" t="n">
        <f aca="false">INT(A1093/6)</f>
        <v>181</v>
      </c>
      <c r="D1093" s="16" t="n">
        <f aca="false">IF(C1093=0,(1+Dic2023!$G$6)^(-B1093),EXP(LN(INDEX(Dic2023!$H$6:$H$205,C1093))+(LN(INDEX(Dic2023!$H$6:$H$205,MIN(C1093+1,200)))-LN(INDEX(Dic2023!$H$6:$H$205,C1093)))*(A1093-6*C1093)/6))</f>
        <v>0.010264403817932</v>
      </c>
      <c r="E1093" s="12" t="n">
        <f aca="false">D1093^(-1/B1093)-1</f>
        <v>0.0517528025</v>
      </c>
      <c r="F1093" s="12" t="n">
        <f aca="false">(1+E1093)^(1/12)-1</f>
        <v>0.00421369509431369</v>
      </c>
      <c r="G1093" s="16" t="n">
        <f aca="false">IF(C1093=0,(1+Dic2023!$J$6)^(-B1093),EXP(LN(INDEX(Dic2023!$K$6:$K$205,C1093))+(LN(INDEX(Dic2023!$K$6:$K$205,MIN(C1093+1,200)))-LN(INDEX(Dic2023!$K$6:$K$205,C1093)))*(A1093-6*C1093)/6))</f>
        <v>0.010264403817932</v>
      </c>
      <c r="H1093" s="12" t="n">
        <f aca="false">G1093^(-1/B1093)-1</f>
        <v>0.0517528025</v>
      </c>
      <c r="I1093" s="12" t="n">
        <f aca="false">(1+H1093)^(1/12)-1</f>
        <v>0.00421369509431369</v>
      </c>
      <c r="J1093" s="16" t="n">
        <f aca="false">IF(C1093=0,(1+Dic2023!$M$6)^(-B1093),EXP(LN(INDEX(Dic2023!$N$6:$N$205,C1093))+(LN(INDEX(Dic2023!$N$6:$N$205,MIN(C1093+1,200)))-LN(INDEX(Dic2023!$N$6:$N$205,C1093)))*(A1093-6*C1093)/6))</f>
        <v>0.010264403817932</v>
      </c>
      <c r="K1093" s="12" t="n">
        <f aca="false">J1093^(-1/B1093)-1</f>
        <v>0.0517528025</v>
      </c>
      <c r="L1093" s="12" t="n">
        <f aca="false">(1+K1093)^(1/12)-1</f>
        <v>0.00421369509431369</v>
      </c>
    </row>
    <row r="1094" customFormat="false" ht="15" hidden="false" customHeight="false" outlineLevel="0" collapsed="false">
      <c r="A1094" s="4" t="n">
        <v>1090</v>
      </c>
      <c r="B1094" s="14" t="n">
        <f aca="false">A1094/12</f>
        <v>90.8333333333333</v>
      </c>
      <c r="C1094" s="15" t="n">
        <f aca="false">INT(A1094/6)</f>
        <v>181</v>
      </c>
      <c r="D1094" s="16" t="n">
        <f aca="false">IF(C1094=0,(1+Dic2023!$G$6)^(-B1094),EXP(LN(INDEX(Dic2023!$H$6:$H$205,C1094))+(LN(INDEX(Dic2023!$H$6:$H$205,MIN(C1094+1,200)))-LN(INDEX(Dic2023!$H$6:$H$205,C1094)))*(A1094-6*C1094)/6))</f>
        <v>0.0102213342320212</v>
      </c>
      <c r="E1094" s="12" t="n">
        <f aca="false">D1094^(-1/B1094)-1</f>
        <v>0.0517528025</v>
      </c>
      <c r="F1094" s="12" t="n">
        <f aca="false">(1+E1094)^(1/12)-1</f>
        <v>0.00421369509431369</v>
      </c>
      <c r="G1094" s="16" t="n">
        <f aca="false">IF(C1094=0,(1+Dic2023!$J$6)^(-B1094),EXP(LN(INDEX(Dic2023!$K$6:$K$205,C1094))+(LN(INDEX(Dic2023!$K$6:$K$205,MIN(C1094+1,200)))-LN(INDEX(Dic2023!$K$6:$K$205,C1094)))*(A1094-6*C1094)/6))</f>
        <v>0.0102213342320212</v>
      </c>
      <c r="H1094" s="12" t="n">
        <f aca="false">G1094^(-1/B1094)-1</f>
        <v>0.0517528025</v>
      </c>
      <c r="I1094" s="12" t="n">
        <f aca="false">(1+H1094)^(1/12)-1</f>
        <v>0.00421369509431369</v>
      </c>
      <c r="J1094" s="16" t="n">
        <f aca="false">IF(C1094=0,(1+Dic2023!$M$6)^(-B1094),EXP(LN(INDEX(Dic2023!$N$6:$N$205,C1094))+(LN(INDEX(Dic2023!$N$6:$N$205,MIN(C1094+1,200)))-LN(INDEX(Dic2023!$N$6:$N$205,C1094)))*(A1094-6*C1094)/6))</f>
        <v>0.0102213342320212</v>
      </c>
      <c r="K1094" s="12" t="n">
        <f aca="false">J1094^(-1/B1094)-1</f>
        <v>0.0517528025</v>
      </c>
      <c r="L1094" s="12" t="n">
        <f aca="false">(1+K1094)^(1/12)-1</f>
        <v>0.00421369509431369</v>
      </c>
    </row>
    <row r="1095" customFormat="false" ht="15" hidden="false" customHeight="false" outlineLevel="0" collapsed="false">
      <c r="A1095" s="4" t="n">
        <v>1091</v>
      </c>
      <c r="B1095" s="14" t="n">
        <f aca="false">A1095/12</f>
        <v>90.9166666666667</v>
      </c>
      <c r="C1095" s="15" t="n">
        <f aca="false">INT(A1095/6)</f>
        <v>181</v>
      </c>
      <c r="D1095" s="16" t="n">
        <f aca="false">IF(C1095=0,(1+Dic2023!$G$6)^(-B1095),EXP(LN(INDEX(Dic2023!$H$6:$H$205,C1095))+(LN(INDEX(Dic2023!$H$6:$H$205,MIN(C1095+1,200)))-LN(INDEX(Dic2023!$H$6:$H$205,C1095)))*(A1095-6*C1095)/6))</f>
        <v>0.0101784453667117</v>
      </c>
      <c r="E1095" s="12" t="n">
        <f aca="false">D1095^(-1/B1095)-1</f>
        <v>0.0517528025</v>
      </c>
      <c r="F1095" s="12" t="n">
        <f aca="false">(1+E1095)^(1/12)-1</f>
        <v>0.00421369509431369</v>
      </c>
      <c r="G1095" s="16" t="n">
        <f aca="false">IF(C1095=0,(1+Dic2023!$J$6)^(-B1095),EXP(LN(INDEX(Dic2023!$K$6:$K$205,C1095))+(LN(INDEX(Dic2023!$K$6:$K$205,MIN(C1095+1,200)))-LN(INDEX(Dic2023!$K$6:$K$205,C1095)))*(A1095-6*C1095)/6))</f>
        <v>0.0101784453667117</v>
      </c>
      <c r="H1095" s="12" t="n">
        <f aca="false">G1095^(-1/B1095)-1</f>
        <v>0.0517528025</v>
      </c>
      <c r="I1095" s="12" t="n">
        <f aca="false">(1+H1095)^(1/12)-1</f>
        <v>0.00421369509431369</v>
      </c>
      <c r="J1095" s="16" t="n">
        <f aca="false">IF(C1095=0,(1+Dic2023!$M$6)^(-B1095),EXP(LN(INDEX(Dic2023!$N$6:$N$205,C1095))+(LN(INDEX(Dic2023!$N$6:$N$205,MIN(C1095+1,200)))-LN(INDEX(Dic2023!$N$6:$N$205,C1095)))*(A1095-6*C1095)/6))</f>
        <v>0.0101784453667117</v>
      </c>
      <c r="K1095" s="12" t="n">
        <f aca="false">J1095^(-1/B1095)-1</f>
        <v>0.0517528025</v>
      </c>
      <c r="L1095" s="12" t="n">
        <f aca="false">(1+K1095)^(1/12)-1</f>
        <v>0.00421369509431369</v>
      </c>
    </row>
    <row r="1096" customFormat="false" ht="15" hidden="false" customHeight="false" outlineLevel="0" collapsed="false">
      <c r="A1096" s="4" t="n">
        <v>1092</v>
      </c>
      <c r="B1096" s="14" t="n">
        <f aca="false">A1096/12</f>
        <v>91</v>
      </c>
      <c r="C1096" s="15" t="n">
        <f aca="false">INT(A1096/6)</f>
        <v>182</v>
      </c>
      <c r="D1096" s="16" t="n">
        <f aca="false">IF(C1096=0,(1+Dic2023!$G$6)^(-B1096),EXP(LN(INDEX(Dic2023!$H$6:$H$205,C1096))+(LN(INDEX(Dic2023!$H$6:$H$205,MIN(C1096+1,200)))-LN(INDEX(Dic2023!$H$6:$H$205,C1096)))*(A1096-6*C1096)/6))</f>
        <v>0.0101357364636974</v>
      </c>
      <c r="E1096" s="12" t="n">
        <f aca="false">D1096^(-1/B1096)-1</f>
        <v>0.0517528025</v>
      </c>
      <c r="F1096" s="12" t="n">
        <f aca="false">(1+E1096)^(1/12)-1</f>
        <v>0.00421369509431369</v>
      </c>
      <c r="G1096" s="16" t="n">
        <f aca="false">IF(C1096=0,(1+Dic2023!$J$6)^(-B1096),EXP(LN(INDEX(Dic2023!$K$6:$K$205,C1096))+(LN(INDEX(Dic2023!$K$6:$K$205,MIN(C1096+1,200)))-LN(INDEX(Dic2023!$K$6:$K$205,C1096)))*(A1096-6*C1096)/6))</f>
        <v>0.0101357364636974</v>
      </c>
      <c r="H1096" s="12" t="n">
        <f aca="false">G1096^(-1/B1096)-1</f>
        <v>0.0517528025</v>
      </c>
      <c r="I1096" s="12" t="n">
        <f aca="false">(1+H1096)^(1/12)-1</f>
        <v>0.00421369509431369</v>
      </c>
      <c r="J1096" s="16" t="n">
        <f aca="false">IF(C1096=0,(1+Dic2023!$M$6)^(-B1096),EXP(LN(INDEX(Dic2023!$N$6:$N$205,C1096))+(LN(INDEX(Dic2023!$N$6:$N$205,MIN(C1096+1,200)))-LN(INDEX(Dic2023!$N$6:$N$205,C1096)))*(A1096-6*C1096)/6))</f>
        <v>0.0101357364636974</v>
      </c>
      <c r="K1096" s="12" t="n">
        <f aca="false">J1096^(-1/B1096)-1</f>
        <v>0.0517528025</v>
      </c>
      <c r="L1096" s="12" t="n">
        <f aca="false">(1+K1096)^(1/12)-1</f>
        <v>0.00421369509431369</v>
      </c>
    </row>
    <row r="1097" customFormat="false" ht="15" hidden="false" customHeight="false" outlineLevel="0" collapsed="false">
      <c r="A1097" s="4" t="n">
        <v>1093</v>
      </c>
      <c r="B1097" s="14" t="n">
        <f aca="false">A1097/12</f>
        <v>91.0833333333333</v>
      </c>
      <c r="C1097" s="15" t="n">
        <f aca="false">INT(A1097/6)</f>
        <v>182</v>
      </c>
      <c r="D1097" s="16" t="n">
        <f aca="false">IF(C1097=0,(1+Dic2023!$G$6)^(-B1097),EXP(LN(INDEX(Dic2023!$H$6:$H$205,C1097))+(LN(INDEX(Dic2023!$H$6:$H$205,MIN(C1097+1,200)))-LN(INDEX(Dic2023!$H$6:$H$205,C1097)))*(A1097-6*C1097)/6))</f>
        <v>0.0100932067678538</v>
      </c>
      <c r="E1097" s="12" t="n">
        <f aca="false">D1097^(-1/B1097)-1</f>
        <v>0.0517528025</v>
      </c>
      <c r="F1097" s="12" t="n">
        <f aca="false">(1+E1097)^(1/12)-1</f>
        <v>0.00421369509431369</v>
      </c>
      <c r="G1097" s="16" t="n">
        <f aca="false">IF(C1097=0,(1+Dic2023!$J$6)^(-B1097),EXP(LN(INDEX(Dic2023!$K$6:$K$205,C1097))+(LN(INDEX(Dic2023!$K$6:$K$205,MIN(C1097+1,200)))-LN(INDEX(Dic2023!$K$6:$K$205,C1097)))*(A1097-6*C1097)/6))</f>
        <v>0.0100932067678538</v>
      </c>
      <c r="H1097" s="12" t="n">
        <f aca="false">G1097^(-1/B1097)-1</f>
        <v>0.0517528025</v>
      </c>
      <c r="I1097" s="12" t="n">
        <f aca="false">(1+H1097)^(1/12)-1</f>
        <v>0.00421369509431369</v>
      </c>
      <c r="J1097" s="16" t="n">
        <f aca="false">IF(C1097=0,(1+Dic2023!$M$6)^(-B1097),EXP(LN(INDEX(Dic2023!$N$6:$N$205,C1097))+(LN(INDEX(Dic2023!$N$6:$N$205,MIN(C1097+1,200)))-LN(INDEX(Dic2023!$N$6:$N$205,C1097)))*(A1097-6*C1097)/6))</f>
        <v>0.0100932067678538</v>
      </c>
      <c r="K1097" s="12" t="n">
        <f aca="false">J1097^(-1/B1097)-1</f>
        <v>0.0517528025</v>
      </c>
      <c r="L1097" s="12" t="n">
        <f aca="false">(1+K1097)^(1/12)-1</f>
        <v>0.00421369509431369</v>
      </c>
    </row>
    <row r="1098" customFormat="false" ht="15" hidden="false" customHeight="false" outlineLevel="0" collapsed="false">
      <c r="A1098" s="4" t="n">
        <v>1094</v>
      </c>
      <c r="B1098" s="14" t="n">
        <f aca="false">A1098/12</f>
        <v>91.1666666666667</v>
      </c>
      <c r="C1098" s="15" t="n">
        <f aca="false">INT(A1098/6)</f>
        <v>182</v>
      </c>
      <c r="D1098" s="16" t="n">
        <f aca="false">IF(C1098=0,(1+Dic2023!$G$6)^(-B1098),EXP(LN(INDEX(Dic2023!$H$6:$H$205,C1098))+(LN(INDEX(Dic2023!$H$6:$H$205,MIN(C1098+1,200)))-LN(INDEX(Dic2023!$H$6:$H$205,C1098)))*(A1098-6*C1098)/6))</f>
        <v>0.0100508555272251</v>
      </c>
      <c r="E1098" s="12" t="n">
        <f aca="false">D1098^(-1/B1098)-1</f>
        <v>0.0517528025</v>
      </c>
      <c r="F1098" s="12" t="n">
        <f aca="false">(1+E1098)^(1/12)-1</f>
        <v>0.00421369509431369</v>
      </c>
      <c r="G1098" s="16" t="n">
        <f aca="false">IF(C1098=0,(1+Dic2023!$J$6)^(-B1098),EXP(LN(INDEX(Dic2023!$K$6:$K$205,C1098))+(LN(INDEX(Dic2023!$K$6:$K$205,MIN(C1098+1,200)))-LN(INDEX(Dic2023!$K$6:$K$205,C1098)))*(A1098-6*C1098)/6))</f>
        <v>0.0100508555272251</v>
      </c>
      <c r="H1098" s="12" t="n">
        <f aca="false">G1098^(-1/B1098)-1</f>
        <v>0.0517528025</v>
      </c>
      <c r="I1098" s="12" t="n">
        <f aca="false">(1+H1098)^(1/12)-1</f>
        <v>0.00421369509431369</v>
      </c>
      <c r="J1098" s="16" t="n">
        <f aca="false">IF(C1098=0,(1+Dic2023!$M$6)^(-B1098),EXP(LN(INDEX(Dic2023!$N$6:$N$205,C1098))+(LN(INDEX(Dic2023!$N$6:$N$205,MIN(C1098+1,200)))-LN(INDEX(Dic2023!$N$6:$N$205,C1098)))*(A1098-6*C1098)/6))</f>
        <v>0.0100508555272251</v>
      </c>
      <c r="K1098" s="12" t="n">
        <f aca="false">J1098^(-1/B1098)-1</f>
        <v>0.0517528025</v>
      </c>
      <c r="L1098" s="12" t="n">
        <f aca="false">(1+K1098)^(1/12)-1</f>
        <v>0.00421369509431369</v>
      </c>
    </row>
    <row r="1099" customFormat="false" ht="15" hidden="false" customHeight="false" outlineLevel="0" collapsed="false">
      <c r="A1099" s="4" t="n">
        <v>1095</v>
      </c>
      <c r="B1099" s="14" t="n">
        <f aca="false">A1099/12</f>
        <v>91.25</v>
      </c>
      <c r="C1099" s="15" t="n">
        <f aca="false">INT(A1099/6)</f>
        <v>182</v>
      </c>
      <c r="D1099" s="16" t="n">
        <f aca="false">IF(C1099=0,(1+Dic2023!$G$6)^(-B1099),EXP(LN(INDEX(Dic2023!$H$6:$H$205,C1099))+(LN(INDEX(Dic2023!$H$6:$H$205,MIN(C1099+1,200)))-LN(INDEX(Dic2023!$H$6:$H$205,C1099)))*(A1099-6*C1099)/6))</f>
        <v>0.0100086819930106</v>
      </c>
      <c r="E1099" s="12" t="n">
        <f aca="false">D1099^(-1/B1099)-1</f>
        <v>0.0517528025</v>
      </c>
      <c r="F1099" s="12" t="n">
        <f aca="false">(1+E1099)^(1/12)-1</f>
        <v>0.00421369509431369</v>
      </c>
      <c r="G1099" s="16" t="n">
        <f aca="false">IF(C1099=0,(1+Dic2023!$J$6)^(-B1099),EXP(LN(INDEX(Dic2023!$K$6:$K$205,C1099))+(LN(INDEX(Dic2023!$K$6:$K$205,MIN(C1099+1,200)))-LN(INDEX(Dic2023!$K$6:$K$205,C1099)))*(A1099-6*C1099)/6))</f>
        <v>0.0100086819930106</v>
      </c>
      <c r="H1099" s="12" t="n">
        <f aca="false">G1099^(-1/B1099)-1</f>
        <v>0.0517528025</v>
      </c>
      <c r="I1099" s="12" t="n">
        <f aca="false">(1+H1099)^(1/12)-1</f>
        <v>0.00421369509431369</v>
      </c>
      <c r="J1099" s="16" t="n">
        <f aca="false">IF(C1099=0,(1+Dic2023!$M$6)^(-B1099),EXP(LN(INDEX(Dic2023!$N$6:$N$205,C1099))+(LN(INDEX(Dic2023!$N$6:$N$205,MIN(C1099+1,200)))-LN(INDEX(Dic2023!$N$6:$N$205,C1099)))*(A1099-6*C1099)/6))</f>
        <v>0.0100086819930106</v>
      </c>
      <c r="K1099" s="12" t="n">
        <f aca="false">J1099^(-1/B1099)-1</f>
        <v>0.0517528025</v>
      </c>
      <c r="L1099" s="12" t="n">
        <f aca="false">(1+K1099)^(1/12)-1</f>
        <v>0.00421369509431369</v>
      </c>
    </row>
    <row r="1100" customFormat="false" ht="15" hidden="false" customHeight="false" outlineLevel="0" collapsed="false">
      <c r="A1100" s="4" t="n">
        <v>1096</v>
      </c>
      <c r="B1100" s="14" t="n">
        <f aca="false">A1100/12</f>
        <v>91.3333333333333</v>
      </c>
      <c r="C1100" s="15" t="n">
        <f aca="false">INT(A1100/6)</f>
        <v>182</v>
      </c>
      <c r="D1100" s="16" t="n">
        <f aca="false">IF(C1100=0,(1+Dic2023!$G$6)^(-B1100),EXP(LN(INDEX(Dic2023!$H$6:$H$205,C1100))+(LN(INDEX(Dic2023!$H$6:$H$205,MIN(C1100+1,200)))-LN(INDEX(Dic2023!$H$6:$H$205,C1100)))*(A1100-6*C1100)/6))</f>
        <v>0.00996668541955163</v>
      </c>
      <c r="E1100" s="12" t="n">
        <f aca="false">D1100^(-1/B1100)-1</f>
        <v>0.0517528025</v>
      </c>
      <c r="F1100" s="12" t="n">
        <f aca="false">(1+E1100)^(1/12)-1</f>
        <v>0.00421369509431369</v>
      </c>
      <c r="G1100" s="16" t="n">
        <f aca="false">IF(C1100=0,(1+Dic2023!$J$6)^(-B1100),EXP(LN(INDEX(Dic2023!$K$6:$K$205,C1100))+(LN(INDEX(Dic2023!$K$6:$K$205,MIN(C1100+1,200)))-LN(INDEX(Dic2023!$K$6:$K$205,C1100)))*(A1100-6*C1100)/6))</f>
        <v>0.00996668541955163</v>
      </c>
      <c r="H1100" s="12" t="n">
        <f aca="false">G1100^(-1/B1100)-1</f>
        <v>0.0517528025</v>
      </c>
      <c r="I1100" s="12" t="n">
        <f aca="false">(1+H1100)^(1/12)-1</f>
        <v>0.00421369509431369</v>
      </c>
      <c r="J1100" s="16" t="n">
        <f aca="false">IF(C1100=0,(1+Dic2023!$M$6)^(-B1100),EXP(LN(INDEX(Dic2023!$N$6:$N$205,C1100))+(LN(INDEX(Dic2023!$N$6:$N$205,MIN(C1100+1,200)))-LN(INDEX(Dic2023!$N$6:$N$205,C1100)))*(A1100-6*C1100)/6))</f>
        <v>0.00996668541955163</v>
      </c>
      <c r="K1100" s="12" t="n">
        <f aca="false">J1100^(-1/B1100)-1</f>
        <v>0.0517528025</v>
      </c>
      <c r="L1100" s="12" t="n">
        <f aca="false">(1+K1100)^(1/12)-1</f>
        <v>0.00421369509431369</v>
      </c>
    </row>
    <row r="1101" customFormat="false" ht="15" hidden="false" customHeight="false" outlineLevel="0" collapsed="false">
      <c r="A1101" s="4" t="n">
        <v>1097</v>
      </c>
      <c r="B1101" s="14" t="n">
        <f aca="false">A1101/12</f>
        <v>91.4166666666667</v>
      </c>
      <c r="C1101" s="15" t="n">
        <f aca="false">INT(A1101/6)</f>
        <v>182</v>
      </c>
      <c r="D1101" s="16" t="n">
        <f aca="false">IF(C1101=0,(1+Dic2023!$G$6)^(-B1101),EXP(LN(INDEX(Dic2023!$H$6:$H$205,C1101))+(LN(INDEX(Dic2023!$H$6:$H$205,MIN(C1101+1,200)))-LN(INDEX(Dic2023!$H$6:$H$205,C1101)))*(A1101-6*C1101)/6))</f>
        <v>0.0099248650643184</v>
      </c>
      <c r="E1101" s="12" t="n">
        <f aca="false">D1101^(-1/B1101)-1</f>
        <v>0.0517528025</v>
      </c>
      <c r="F1101" s="12" t="n">
        <f aca="false">(1+E1101)^(1/12)-1</f>
        <v>0.00421369509431369</v>
      </c>
      <c r="G1101" s="16" t="n">
        <f aca="false">IF(C1101=0,(1+Dic2023!$J$6)^(-B1101),EXP(LN(INDEX(Dic2023!$K$6:$K$205,C1101))+(LN(INDEX(Dic2023!$K$6:$K$205,MIN(C1101+1,200)))-LN(INDEX(Dic2023!$K$6:$K$205,C1101)))*(A1101-6*C1101)/6))</f>
        <v>0.0099248650643184</v>
      </c>
      <c r="H1101" s="12" t="n">
        <f aca="false">G1101^(-1/B1101)-1</f>
        <v>0.0517528025</v>
      </c>
      <c r="I1101" s="12" t="n">
        <f aca="false">(1+H1101)^(1/12)-1</f>
        <v>0.00421369509431369</v>
      </c>
      <c r="J1101" s="16" t="n">
        <f aca="false">IF(C1101=0,(1+Dic2023!$M$6)^(-B1101),EXP(LN(INDEX(Dic2023!$N$6:$N$205,C1101))+(LN(INDEX(Dic2023!$N$6:$N$205,MIN(C1101+1,200)))-LN(INDEX(Dic2023!$N$6:$N$205,C1101)))*(A1101-6*C1101)/6))</f>
        <v>0.0099248650643184</v>
      </c>
      <c r="K1101" s="12" t="n">
        <f aca="false">J1101^(-1/B1101)-1</f>
        <v>0.0517528025</v>
      </c>
      <c r="L1101" s="12" t="n">
        <f aca="false">(1+K1101)^(1/12)-1</f>
        <v>0.00421369509431369</v>
      </c>
    </row>
    <row r="1102" customFormat="false" ht="15" hidden="false" customHeight="false" outlineLevel="0" collapsed="false">
      <c r="A1102" s="4" t="n">
        <v>1098</v>
      </c>
      <c r="B1102" s="14" t="n">
        <f aca="false">A1102/12</f>
        <v>91.5</v>
      </c>
      <c r="C1102" s="15" t="n">
        <f aca="false">INT(A1102/6)</f>
        <v>183</v>
      </c>
      <c r="D1102" s="16" t="n">
        <f aca="false">IF(C1102=0,(1+Dic2023!$G$6)^(-B1102),EXP(LN(INDEX(Dic2023!$H$6:$H$205,C1102))+(LN(INDEX(Dic2023!$H$6:$H$205,MIN(C1102+1,200)))-LN(INDEX(Dic2023!$H$6:$H$205,C1102)))*(A1102-6*C1102)/6))</f>
        <v>0.00988322018789663</v>
      </c>
      <c r="E1102" s="12" t="n">
        <f aca="false">D1102^(-1/B1102)-1</f>
        <v>0.0517528025</v>
      </c>
      <c r="F1102" s="12" t="n">
        <f aca="false">(1+E1102)^(1/12)-1</f>
        <v>0.00421369509431369</v>
      </c>
      <c r="G1102" s="16" t="n">
        <f aca="false">IF(C1102=0,(1+Dic2023!$J$6)^(-B1102),EXP(LN(INDEX(Dic2023!$K$6:$K$205,C1102))+(LN(INDEX(Dic2023!$K$6:$K$205,MIN(C1102+1,200)))-LN(INDEX(Dic2023!$K$6:$K$205,C1102)))*(A1102-6*C1102)/6))</f>
        <v>0.00988322018789663</v>
      </c>
      <c r="H1102" s="12" t="n">
        <f aca="false">G1102^(-1/B1102)-1</f>
        <v>0.0517528025</v>
      </c>
      <c r="I1102" s="12" t="n">
        <f aca="false">(1+H1102)^(1/12)-1</f>
        <v>0.00421369509431369</v>
      </c>
      <c r="J1102" s="16" t="n">
        <f aca="false">IF(C1102=0,(1+Dic2023!$M$6)^(-B1102),EXP(LN(INDEX(Dic2023!$N$6:$N$205,C1102))+(LN(INDEX(Dic2023!$N$6:$N$205,MIN(C1102+1,200)))-LN(INDEX(Dic2023!$N$6:$N$205,C1102)))*(A1102-6*C1102)/6))</f>
        <v>0.00988322018789663</v>
      </c>
      <c r="K1102" s="12" t="n">
        <f aca="false">J1102^(-1/B1102)-1</f>
        <v>0.0517528025</v>
      </c>
      <c r="L1102" s="12" t="n">
        <f aca="false">(1+K1102)^(1/12)-1</f>
        <v>0.00421369509431369</v>
      </c>
    </row>
    <row r="1103" customFormat="false" ht="15" hidden="false" customHeight="false" outlineLevel="0" collapsed="false">
      <c r="A1103" s="4" t="n">
        <v>1099</v>
      </c>
      <c r="B1103" s="14" t="n">
        <f aca="false">A1103/12</f>
        <v>91.5833333333333</v>
      </c>
      <c r="C1103" s="15" t="n">
        <f aca="false">INT(A1103/6)</f>
        <v>183</v>
      </c>
      <c r="D1103" s="16" t="n">
        <f aca="false">IF(C1103=0,(1+Dic2023!$G$6)^(-B1103),EXP(LN(INDEX(Dic2023!$H$6:$H$205,C1103))+(LN(INDEX(Dic2023!$H$6:$H$205,MIN(C1103+1,200)))-LN(INDEX(Dic2023!$H$6:$H$205,C1103)))*(A1103-6*C1103)/6))</f>
        <v>0.00984175005397473</v>
      </c>
      <c r="E1103" s="12" t="n">
        <f aca="false">D1103^(-1/B1103)-1</f>
        <v>0.0517528025</v>
      </c>
      <c r="F1103" s="12" t="n">
        <f aca="false">(1+E1103)^(1/12)-1</f>
        <v>0.00421369509431369</v>
      </c>
      <c r="G1103" s="16" t="n">
        <f aca="false">IF(C1103=0,(1+Dic2023!$J$6)^(-B1103),EXP(LN(INDEX(Dic2023!$K$6:$K$205,C1103))+(LN(INDEX(Dic2023!$K$6:$K$205,MIN(C1103+1,200)))-LN(INDEX(Dic2023!$K$6:$K$205,C1103)))*(A1103-6*C1103)/6))</f>
        <v>0.00984175005397473</v>
      </c>
      <c r="H1103" s="12" t="n">
        <f aca="false">G1103^(-1/B1103)-1</f>
        <v>0.0517528025</v>
      </c>
      <c r="I1103" s="12" t="n">
        <f aca="false">(1+H1103)^(1/12)-1</f>
        <v>0.00421369509431369</v>
      </c>
      <c r="J1103" s="16" t="n">
        <f aca="false">IF(C1103=0,(1+Dic2023!$M$6)^(-B1103),EXP(LN(INDEX(Dic2023!$N$6:$N$205,C1103))+(LN(INDEX(Dic2023!$N$6:$N$205,MIN(C1103+1,200)))-LN(INDEX(Dic2023!$N$6:$N$205,C1103)))*(A1103-6*C1103)/6))</f>
        <v>0.00984175005397473</v>
      </c>
      <c r="K1103" s="12" t="n">
        <f aca="false">J1103^(-1/B1103)-1</f>
        <v>0.0517528025</v>
      </c>
      <c r="L1103" s="12" t="n">
        <f aca="false">(1+K1103)^(1/12)-1</f>
        <v>0.00421369509431369</v>
      </c>
    </row>
    <row r="1104" customFormat="false" ht="15" hidden="false" customHeight="false" outlineLevel="0" collapsed="false">
      <c r="A1104" s="4" t="n">
        <v>1100</v>
      </c>
      <c r="B1104" s="14" t="n">
        <f aca="false">A1104/12</f>
        <v>91.6666666666667</v>
      </c>
      <c r="C1104" s="15" t="n">
        <f aca="false">INT(A1104/6)</f>
        <v>183</v>
      </c>
      <c r="D1104" s="16" t="n">
        <f aca="false">IF(C1104=0,(1+Dic2023!$G$6)^(-B1104),EXP(LN(INDEX(Dic2023!$H$6:$H$205,C1104))+(LN(INDEX(Dic2023!$H$6:$H$205,MIN(C1104+1,200)))-LN(INDEX(Dic2023!$H$6:$H$205,C1104)))*(A1104-6*C1104)/6))</f>
        <v>0.00980045392933067</v>
      </c>
      <c r="E1104" s="12" t="n">
        <f aca="false">D1104^(-1/B1104)-1</f>
        <v>0.0517528025</v>
      </c>
      <c r="F1104" s="12" t="n">
        <f aca="false">(1+E1104)^(1/12)-1</f>
        <v>0.00421369509431369</v>
      </c>
      <c r="G1104" s="16" t="n">
        <f aca="false">IF(C1104=0,(1+Dic2023!$J$6)^(-B1104),EXP(LN(INDEX(Dic2023!$K$6:$K$205,C1104))+(LN(INDEX(Dic2023!$K$6:$K$205,MIN(C1104+1,200)))-LN(INDEX(Dic2023!$K$6:$K$205,C1104)))*(A1104-6*C1104)/6))</f>
        <v>0.00980045392933067</v>
      </c>
      <c r="H1104" s="12" t="n">
        <f aca="false">G1104^(-1/B1104)-1</f>
        <v>0.0517528025</v>
      </c>
      <c r="I1104" s="12" t="n">
        <f aca="false">(1+H1104)^(1/12)-1</f>
        <v>0.00421369509431369</v>
      </c>
      <c r="J1104" s="16" t="n">
        <f aca="false">IF(C1104=0,(1+Dic2023!$M$6)^(-B1104),EXP(LN(INDEX(Dic2023!$N$6:$N$205,C1104))+(LN(INDEX(Dic2023!$N$6:$N$205,MIN(C1104+1,200)))-LN(INDEX(Dic2023!$N$6:$N$205,C1104)))*(A1104-6*C1104)/6))</f>
        <v>0.00980045392933067</v>
      </c>
      <c r="K1104" s="12" t="n">
        <f aca="false">J1104^(-1/B1104)-1</f>
        <v>0.0517528025</v>
      </c>
      <c r="L1104" s="12" t="n">
        <f aca="false">(1+K1104)^(1/12)-1</f>
        <v>0.00421369509431369</v>
      </c>
    </row>
    <row r="1105" customFormat="false" ht="15" hidden="false" customHeight="false" outlineLevel="0" collapsed="false">
      <c r="A1105" s="4" t="n">
        <v>1101</v>
      </c>
      <c r="B1105" s="14" t="n">
        <f aca="false">A1105/12</f>
        <v>91.75</v>
      </c>
      <c r="C1105" s="15" t="n">
        <f aca="false">INT(A1105/6)</f>
        <v>183</v>
      </c>
      <c r="D1105" s="16" t="n">
        <f aca="false">IF(C1105=0,(1+Dic2023!$G$6)^(-B1105),EXP(LN(INDEX(Dic2023!$H$6:$H$205,C1105))+(LN(INDEX(Dic2023!$H$6:$H$205,MIN(C1105+1,200)))-LN(INDEX(Dic2023!$H$6:$H$205,C1105)))*(A1105-6*C1105)/6))</f>
        <v>0.009759331083819</v>
      </c>
      <c r="E1105" s="12" t="n">
        <f aca="false">D1105^(-1/B1105)-1</f>
        <v>0.0517528025</v>
      </c>
      <c r="F1105" s="12" t="n">
        <f aca="false">(1+E1105)^(1/12)-1</f>
        <v>0.00421369509431369</v>
      </c>
      <c r="G1105" s="16" t="n">
        <f aca="false">IF(C1105=0,(1+Dic2023!$J$6)^(-B1105),EXP(LN(INDEX(Dic2023!$K$6:$K$205,C1105))+(LN(INDEX(Dic2023!$K$6:$K$205,MIN(C1105+1,200)))-LN(INDEX(Dic2023!$K$6:$K$205,C1105)))*(A1105-6*C1105)/6))</f>
        <v>0.009759331083819</v>
      </c>
      <c r="H1105" s="12" t="n">
        <f aca="false">G1105^(-1/B1105)-1</f>
        <v>0.0517528025</v>
      </c>
      <c r="I1105" s="12" t="n">
        <f aca="false">(1+H1105)^(1/12)-1</f>
        <v>0.00421369509431369</v>
      </c>
      <c r="J1105" s="16" t="n">
        <f aca="false">IF(C1105=0,(1+Dic2023!$M$6)^(-B1105),EXP(LN(INDEX(Dic2023!$N$6:$N$205,C1105))+(LN(INDEX(Dic2023!$N$6:$N$205,MIN(C1105+1,200)))-LN(INDEX(Dic2023!$N$6:$N$205,C1105)))*(A1105-6*C1105)/6))</f>
        <v>0.009759331083819</v>
      </c>
      <c r="K1105" s="12" t="n">
        <f aca="false">J1105^(-1/B1105)-1</f>
        <v>0.0517528025</v>
      </c>
      <c r="L1105" s="12" t="n">
        <f aca="false">(1+K1105)^(1/12)-1</f>
        <v>0.00421369509431369</v>
      </c>
    </row>
    <row r="1106" customFormat="false" ht="15" hidden="false" customHeight="false" outlineLevel="0" collapsed="false">
      <c r="A1106" s="4" t="n">
        <v>1102</v>
      </c>
      <c r="B1106" s="14" t="n">
        <f aca="false">A1106/12</f>
        <v>91.8333333333333</v>
      </c>
      <c r="C1106" s="15" t="n">
        <f aca="false">INT(A1106/6)</f>
        <v>183</v>
      </c>
      <c r="D1106" s="16" t="n">
        <f aca="false">IF(C1106=0,(1+Dic2023!$G$6)^(-B1106),EXP(LN(INDEX(Dic2023!$H$6:$H$205,C1106))+(LN(INDEX(Dic2023!$H$6:$H$205,MIN(C1106+1,200)))-LN(INDEX(Dic2023!$H$6:$H$205,C1106)))*(A1106-6*C1106)/6))</f>
        <v>0.00971838079035799</v>
      </c>
      <c r="E1106" s="12" t="n">
        <f aca="false">D1106^(-1/B1106)-1</f>
        <v>0.0517528025</v>
      </c>
      <c r="F1106" s="12" t="n">
        <f aca="false">(1+E1106)^(1/12)-1</f>
        <v>0.00421369509431369</v>
      </c>
      <c r="G1106" s="16" t="n">
        <f aca="false">IF(C1106=0,(1+Dic2023!$J$6)^(-B1106),EXP(LN(INDEX(Dic2023!$K$6:$K$205,C1106))+(LN(INDEX(Dic2023!$K$6:$K$205,MIN(C1106+1,200)))-LN(INDEX(Dic2023!$K$6:$K$205,C1106)))*(A1106-6*C1106)/6))</f>
        <v>0.00971838079035799</v>
      </c>
      <c r="H1106" s="12" t="n">
        <f aca="false">G1106^(-1/B1106)-1</f>
        <v>0.0517528025</v>
      </c>
      <c r="I1106" s="12" t="n">
        <f aca="false">(1+H1106)^(1/12)-1</f>
        <v>0.00421369509431369</v>
      </c>
      <c r="J1106" s="16" t="n">
        <f aca="false">IF(C1106=0,(1+Dic2023!$M$6)^(-B1106),EXP(LN(INDEX(Dic2023!$N$6:$N$205,C1106))+(LN(INDEX(Dic2023!$N$6:$N$205,MIN(C1106+1,200)))-LN(INDEX(Dic2023!$N$6:$N$205,C1106)))*(A1106-6*C1106)/6))</f>
        <v>0.00971838079035799</v>
      </c>
      <c r="K1106" s="12" t="n">
        <f aca="false">J1106^(-1/B1106)-1</f>
        <v>0.0517528025</v>
      </c>
      <c r="L1106" s="12" t="n">
        <f aca="false">(1+K1106)^(1/12)-1</f>
        <v>0.00421369509431369</v>
      </c>
    </row>
    <row r="1107" customFormat="false" ht="15" hidden="false" customHeight="false" outlineLevel="0" collapsed="false">
      <c r="A1107" s="4" t="n">
        <v>1103</v>
      </c>
      <c r="B1107" s="14" t="n">
        <f aca="false">A1107/12</f>
        <v>91.9166666666667</v>
      </c>
      <c r="C1107" s="15" t="n">
        <f aca="false">INT(A1107/6)</f>
        <v>183</v>
      </c>
      <c r="D1107" s="16" t="n">
        <f aca="false">IF(C1107=0,(1+Dic2023!$G$6)^(-B1107),EXP(LN(INDEX(Dic2023!$H$6:$H$205,C1107))+(LN(INDEX(Dic2023!$H$6:$H$205,MIN(C1107+1,200)))-LN(INDEX(Dic2023!$H$6:$H$205,C1107)))*(A1107-6*C1107)/6))</f>
        <v>0.00967760232491677</v>
      </c>
      <c r="E1107" s="12" t="n">
        <f aca="false">D1107^(-1/B1107)-1</f>
        <v>0.0517528025</v>
      </c>
      <c r="F1107" s="12" t="n">
        <f aca="false">(1+E1107)^(1/12)-1</f>
        <v>0.00421369509431369</v>
      </c>
      <c r="G1107" s="16" t="n">
        <f aca="false">IF(C1107=0,(1+Dic2023!$J$6)^(-B1107),EXP(LN(INDEX(Dic2023!$K$6:$K$205,C1107))+(LN(INDEX(Dic2023!$K$6:$K$205,MIN(C1107+1,200)))-LN(INDEX(Dic2023!$K$6:$K$205,C1107)))*(A1107-6*C1107)/6))</f>
        <v>0.00967760232491677</v>
      </c>
      <c r="H1107" s="12" t="n">
        <f aca="false">G1107^(-1/B1107)-1</f>
        <v>0.0517528025</v>
      </c>
      <c r="I1107" s="12" t="n">
        <f aca="false">(1+H1107)^(1/12)-1</f>
        <v>0.00421369509431369</v>
      </c>
      <c r="J1107" s="16" t="n">
        <f aca="false">IF(C1107=0,(1+Dic2023!$M$6)^(-B1107),EXP(LN(INDEX(Dic2023!$N$6:$N$205,C1107))+(LN(INDEX(Dic2023!$N$6:$N$205,MIN(C1107+1,200)))-LN(INDEX(Dic2023!$N$6:$N$205,C1107)))*(A1107-6*C1107)/6))</f>
        <v>0.00967760232491677</v>
      </c>
      <c r="K1107" s="12" t="n">
        <f aca="false">J1107^(-1/B1107)-1</f>
        <v>0.0517528025</v>
      </c>
      <c r="L1107" s="12" t="n">
        <f aca="false">(1+K1107)^(1/12)-1</f>
        <v>0.00421369509431369</v>
      </c>
    </row>
    <row r="1108" customFormat="false" ht="15" hidden="false" customHeight="false" outlineLevel="0" collapsed="false">
      <c r="A1108" s="4" t="n">
        <v>1104</v>
      </c>
      <c r="B1108" s="14" t="n">
        <f aca="false">A1108/12</f>
        <v>92</v>
      </c>
      <c r="C1108" s="15" t="n">
        <f aca="false">INT(A1108/6)</f>
        <v>184</v>
      </c>
      <c r="D1108" s="16" t="n">
        <f aca="false">IF(C1108=0,(1+Dic2023!$G$6)^(-B1108),EXP(LN(INDEX(Dic2023!$H$6:$H$205,C1108))+(LN(INDEX(Dic2023!$H$6:$H$205,MIN(C1108+1,200)))-LN(INDEX(Dic2023!$H$6:$H$205,C1108)))*(A1108-6*C1108)/6))</f>
        <v>0.00963699496650249</v>
      </c>
      <c r="E1108" s="12" t="n">
        <f aca="false">D1108^(-1/B1108)-1</f>
        <v>0.0517528025</v>
      </c>
      <c r="F1108" s="12" t="n">
        <f aca="false">(1+E1108)^(1/12)-1</f>
        <v>0.00421369509431369</v>
      </c>
      <c r="G1108" s="16" t="n">
        <f aca="false">IF(C1108=0,(1+Dic2023!$J$6)^(-B1108),EXP(LN(INDEX(Dic2023!$K$6:$K$205,C1108))+(LN(INDEX(Dic2023!$K$6:$K$205,MIN(C1108+1,200)))-LN(INDEX(Dic2023!$K$6:$K$205,C1108)))*(A1108-6*C1108)/6))</f>
        <v>0.00963699496650249</v>
      </c>
      <c r="H1108" s="12" t="n">
        <f aca="false">G1108^(-1/B1108)-1</f>
        <v>0.0517528025</v>
      </c>
      <c r="I1108" s="12" t="n">
        <f aca="false">(1+H1108)^(1/12)-1</f>
        <v>0.00421369509431369</v>
      </c>
      <c r="J1108" s="16" t="n">
        <f aca="false">IF(C1108=0,(1+Dic2023!$M$6)^(-B1108),EXP(LN(INDEX(Dic2023!$N$6:$N$205,C1108))+(LN(INDEX(Dic2023!$N$6:$N$205,MIN(C1108+1,200)))-LN(INDEX(Dic2023!$N$6:$N$205,C1108)))*(A1108-6*C1108)/6))</f>
        <v>0.00963699496650249</v>
      </c>
      <c r="K1108" s="12" t="n">
        <f aca="false">J1108^(-1/B1108)-1</f>
        <v>0.0517528025</v>
      </c>
      <c r="L1108" s="12" t="n">
        <f aca="false">(1+K1108)^(1/12)-1</f>
        <v>0.00421369509431369</v>
      </c>
    </row>
    <row r="1109" customFormat="false" ht="15" hidden="false" customHeight="false" outlineLevel="0" collapsed="false">
      <c r="A1109" s="4" t="n">
        <v>1105</v>
      </c>
      <c r="B1109" s="14" t="n">
        <f aca="false">A1109/12</f>
        <v>92.0833333333333</v>
      </c>
      <c r="C1109" s="15" t="n">
        <f aca="false">INT(A1109/6)</f>
        <v>184</v>
      </c>
      <c r="D1109" s="16" t="n">
        <f aca="false">IF(C1109=0,(1+Dic2023!$G$6)^(-B1109),EXP(LN(INDEX(Dic2023!$H$6:$H$205,C1109))+(LN(INDEX(Dic2023!$H$6:$H$205,MIN(C1109+1,200)))-LN(INDEX(Dic2023!$H$6:$H$205,C1109)))*(A1109-6*C1109)/6))</f>
        <v>0.00959655799714761</v>
      </c>
      <c r="E1109" s="12" t="n">
        <f aca="false">D1109^(-1/B1109)-1</f>
        <v>0.0517528025</v>
      </c>
      <c r="F1109" s="12" t="n">
        <f aca="false">(1+E1109)^(1/12)-1</f>
        <v>0.00421369509431369</v>
      </c>
      <c r="G1109" s="16" t="n">
        <f aca="false">IF(C1109=0,(1+Dic2023!$J$6)^(-B1109),EXP(LN(INDEX(Dic2023!$K$6:$K$205,C1109))+(LN(INDEX(Dic2023!$K$6:$K$205,MIN(C1109+1,200)))-LN(INDEX(Dic2023!$K$6:$K$205,C1109)))*(A1109-6*C1109)/6))</f>
        <v>0.00959655799714761</v>
      </c>
      <c r="H1109" s="12" t="n">
        <f aca="false">G1109^(-1/B1109)-1</f>
        <v>0.0517528025</v>
      </c>
      <c r="I1109" s="12" t="n">
        <f aca="false">(1+H1109)^(1/12)-1</f>
        <v>0.00421369509431369</v>
      </c>
      <c r="J1109" s="16" t="n">
        <f aca="false">IF(C1109=0,(1+Dic2023!$M$6)^(-B1109),EXP(LN(INDEX(Dic2023!$N$6:$N$205,C1109))+(LN(INDEX(Dic2023!$N$6:$N$205,MIN(C1109+1,200)))-LN(INDEX(Dic2023!$N$6:$N$205,C1109)))*(A1109-6*C1109)/6))</f>
        <v>0.00959655799714761</v>
      </c>
      <c r="K1109" s="12" t="n">
        <f aca="false">J1109^(-1/B1109)-1</f>
        <v>0.0517528025</v>
      </c>
      <c r="L1109" s="12" t="n">
        <f aca="false">(1+K1109)^(1/12)-1</f>
        <v>0.00421369509431369</v>
      </c>
    </row>
    <row r="1110" customFormat="false" ht="15" hidden="false" customHeight="false" outlineLevel="0" collapsed="false">
      <c r="A1110" s="4" t="n">
        <v>1106</v>
      </c>
      <c r="B1110" s="14" t="n">
        <f aca="false">A1110/12</f>
        <v>92.1666666666667</v>
      </c>
      <c r="C1110" s="15" t="n">
        <f aca="false">INT(A1110/6)</f>
        <v>184</v>
      </c>
      <c r="D1110" s="16" t="n">
        <f aca="false">IF(C1110=0,(1+Dic2023!$G$6)^(-B1110),EXP(LN(INDEX(Dic2023!$H$6:$H$205,C1110))+(LN(INDEX(Dic2023!$H$6:$H$205,MIN(C1110+1,200)))-LN(INDEX(Dic2023!$H$6:$H$205,C1110)))*(A1110-6*C1110)/6))</f>
        <v>0.00955629070189719</v>
      </c>
      <c r="E1110" s="12" t="n">
        <f aca="false">D1110^(-1/B1110)-1</f>
        <v>0.0517528025</v>
      </c>
      <c r="F1110" s="12" t="n">
        <f aca="false">(1+E1110)^(1/12)-1</f>
        <v>0.00421369509431369</v>
      </c>
      <c r="G1110" s="16" t="n">
        <f aca="false">IF(C1110=0,(1+Dic2023!$J$6)^(-B1110),EXP(LN(INDEX(Dic2023!$K$6:$K$205,C1110))+(LN(INDEX(Dic2023!$K$6:$K$205,MIN(C1110+1,200)))-LN(INDEX(Dic2023!$K$6:$K$205,C1110)))*(A1110-6*C1110)/6))</f>
        <v>0.00955629070189719</v>
      </c>
      <c r="H1110" s="12" t="n">
        <f aca="false">G1110^(-1/B1110)-1</f>
        <v>0.0517528025</v>
      </c>
      <c r="I1110" s="12" t="n">
        <f aca="false">(1+H1110)^(1/12)-1</f>
        <v>0.00421369509431369</v>
      </c>
      <c r="J1110" s="16" t="n">
        <f aca="false">IF(C1110=0,(1+Dic2023!$M$6)^(-B1110),EXP(LN(INDEX(Dic2023!$N$6:$N$205,C1110))+(LN(INDEX(Dic2023!$N$6:$N$205,MIN(C1110+1,200)))-LN(INDEX(Dic2023!$N$6:$N$205,C1110)))*(A1110-6*C1110)/6))</f>
        <v>0.00955629070189719</v>
      </c>
      <c r="K1110" s="12" t="n">
        <f aca="false">J1110^(-1/B1110)-1</f>
        <v>0.0517528025</v>
      </c>
      <c r="L1110" s="12" t="n">
        <f aca="false">(1+K1110)^(1/12)-1</f>
        <v>0.00421369509431369</v>
      </c>
    </row>
    <row r="1111" customFormat="false" ht="15" hidden="false" customHeight="false" outlineLevel="0" collapsed="false">
      <c r="A1111" s="4" t="n">
        <v>1107</v>
      </c>
      <c r="B1111" s="14" t="n">
        <f aca="false">A1111/12</f>
        <v>92.25</v>
      </c>
      <c r="C1111" s="15" t="n">
        <f aca="false">INT(A1111/6)</f>
        <v>184</v>
      </c>
      <c r="D1111" s="16" t="n">
        <f aca="false">IF(C1111=0,(1+Dic2023!$G$6)^(-B1111),EXP(LN(INDEX(Dic2023!$H$6:$H$205,C1111))+(LN(INDEX(Dic2023!$H$6:$H$205,MIN(C1111+1,200)))-LN(INDEX(Dic2023!$H$6:$H$205,C1111)))*(A1111-6*C1111)/6))</f>
        <v>0.00951619236879625</v>
      </c>
      <c r="E1111" s="12" t="n">
        <f aca="false">D1111^(-1/B1111)-1</f>
        <v>0.0517528025</v>
      </c>
      <c r="F1111" s="12" t="n">
        <f aca="false">(1+E1111)^(1/12)-1</f>
        <v>0.00421369509431369</v>
      </c>
      <c r="G1111" s="16" t="n">
        <f aca="false">IF(C1111=0,(1+Dic2023!$J$6)^(-B1111),EXP(LN(INDEX(Dic2023!$K$6:$K$205,C1111))+(LN(INDEX(Dic2023!$K$6:$K$205,MIN(C1111+1,200)))-LN(INDEX(Dic2023!$K$6:$K$205,C1111)))*(A1111-6*C1111)/6))</f>
        <v>0.00951619236879625</v>
      </c>
      <c r="H1111" s="12" t="n">
        <f aca="false">G1111^(-1/B1111)-1</f>
        <v>0.0517528025</v>
      </c>
      <c r="I1111" s="12" t="n">
        <f aca="false">(1+H1111)^(1/12)-1</f>
        <v>0.00421369509431369</v>
      </c>
      <c r="J1111" s="16" t="n">
        <f aca="false">IF(C1111=0,(1+Dic2023!$M$6)^(-B1111),EXP(LN(INDEX(Dic2023!$N$6:$N$205,C1111))+(LN(INDEX(Dic2023!$N$6:$N$205,MIN(C1111+1,200)))-LN(INDEX(Dic2023!$N$6:$N$205,C1111)))*(A1111-6*C1111)/6))</f>
        <v>0.00951619236879625</v>
      </c>
      <c r="K1111" s="12" t="n">
        <f aca="false">J1111^(-1/B1111)-1</f>
        <v>0.0517528025</v>
      </c>
      <c r="L1111" s="12" t="n">
        <f aca="false">(1+K1111)^(1/12)-1</f>
        <v>0.00421369509431369</v>
      </c>
    </row>
    <row r="1112" customFormat="false" ht="15" hidden="false" customHeight="false" outlineLevel="0" collapsed="false">
      <c r="A1112" s="4" t="n">
        <v>1108</v>
      </c>
      <c r="B1112" s="14" t="n">
        <f aca="false">A1112/12</f>
        <v>92.3333333333333</v>
      </c>
      <c r="C1112" s="15" t="n">
        <f aca="false">INT(A1112/6)</f>
        <v>184</v>
      </c>
      <c r="D1112" s="16" t="n">
        <f aca="false">IF(C1112=0,(1+Dic2023!$G$6)^(-B1112),EXP(LN(INDEX(Dic2023!$H$6:$H$205,C1112))+(LN(INDEX(Dic2023!$H$6:$H$205,MIN(C1112+1,200)))-LN(INDEX(Dic2023!$H$6:$H$205,C1112)))*(A1112-6*C1112)/6))</f>
        <v>0.00947626228887718</v>
      </c>
      <c r="E1112" s="12" t="n">
        <f aca="false">D1112^(-1/B1112)-1</f>
        <v>0.0517528025</v>
      </c>
      <c r="F1112" s="12" t="n">
        <f aca="false">(1+E1112)^(1/12)-1</f>
        <v>0.00421369509431369</v>
      </c>
      <c r="G1112" s="16" t="n">
        <f aca="false">IF(C1112=0,(1+Dic2023!$J$6)^(-B1112),EXP(LN(INDEX(Dic2023!$K$6:$K$205,C1112))+(LN(INDEX(Dic2023!$K$6:$K$205,MIN(C1112+1,200)))-LN(INDEX(Dic2023!$K$6:$K$205,C1112)))*(A1112-6*C1112)/6))</f>
        <v>0.00947626228887718</v>
      </c>
      <c r="H1112" s="12" t="n">
        <f aca="false">G1112^(-1/B1112)-1</f>
        <v>0.0517528025</v>
      </c>
      <c r="I1112" s="12" t="n">
        <f aca="false">(1+H1112)^(1/12)-1</f>
        <v>0.00421369509431369</v>
      </c>
      <c r="J1112" s="16" t="n">
        <f aca="false">IF(C1112=0,(1+Dic2023!$M$6)^(-B1112),EXP(LN(INDEX(Dic2023!$N$6:$N$205,C1112))+(LN(INDEX(Dic2023!$N$6:$N$205,MIN(C1112+1,200)))-LN(INDEX(Dic2023!$N$6:$N$205,C1112)))*(A1112-6*C1112)/6))</f>
        <v>0.00947626228887718</v>
      </c>
      <c r="K1112" s="12" t="n">
        <f aca="false">J1112^(-1/B1112)-1</f>
        <v>0.0517528025</v>
      </c>
      <c r="L1112" s="12" t="n">
        <f aca="false">(1+K1112)^(1/12)-1</f>
        <v>0.00421369509431369</v>
      </c>
    </row>
    <row r="1113" customFormat="false" ht="15" hidden="false" customHeight="false" outlineLevel="0" collapsed="false">
      <c r="A1113" s="4" t="n">
        <v>1109</v>
      </c>
      <c r="B1113" s="14" t="n">
        <f aca="false">A1113/12</f>
        <v>92.4166666666667</v>
      </c>
      <c r="C1113" s="15" t="n">
        <f aca="false">INT(A1113/6)</f>
        <v>184</v>
      </c>
      <c r="D1113" s="16" t="n">
        <f aca="false">IF(C1113=0,(1+Dic2023!$G$6)^(-B1113),EXP(LN(INDEX(Dic2023!$H$6:$H$205,C1113))+(LN(INDEX(Dic2023!$H$6:$H$205,MIN(C1113+1,200)))-LN(INDEX(Dic2023!$H$6:$H$205,C1113)))*(A1113-6*C1113)/6))</f>
        <v>0.00943649975614721</v>
      </c>
      <c r="E1113" s="12" t="n">
        <f aca="false">D1113^(-1/B1113)-1</f>
        <v>0.0517528025</v>
      </c>
      <c r="F1113" s="12" t="n">
        <f aca="false">(1+E1113)^(1/12)-1</f>
        <v>0.00421369509431369</v>
      </c>
      <c r="G1113" s="16" t="n">
        <f aca="false">IF(C1113=0,(1+Dic2023!$J$6)^(-B1113),EXP(LN(INDEX(Dic2023!$K$6:$K$205,C1113))+(LN(INDEX(Dic2023!$K$6:$K$205,MIN(C1113+1,200)))-LN(INDEX(Dic2023!$K$6:$K$205,C1113)))*(A1113-6*C1113)/6))</f>
        <v>0.00943649975614721</v>
      </c>
      <c r="H1113" s="12" t="n">
        <f aca="false">G1113^(-1/B1113)-1</f>
        <v>0.0517528025</v>
      </c>
      <c r="I1113" s="12" t="n">
        <f aca="false">(1+H1113)^(1/12)-1</f>
        <v>0.00421369509431369</v>
      </c>
      <c r="J1113" s="16" t="n">
        <f aca="false">IF(C1113=0,(1+Dic2023!$M$6)^(-B1113),EXP(LN(INDEX(Dic2023!$N$6:$N$205,C1113))+(LN(INDEX(Dic2023!$N$6:$N$205,MIN(C1113+1,200)))-LN(INDEX(Dic2023!$N$6:$N$205,C1113)))*(A1113-6*C1113)/6))</f>
        <v>0.00943649975614721</v>
      </c>
      <c r="K1113" s="12" t="n">
        <f aca="false">J1113^(-1/B1113)-1</f>
        <v>0.0517528025</v>
      </c>
      <c r="L1113" s="12" t="n">
        <f aca="false">(1+K1113)^(1/12)-1</f>
        <v>0.00421369509431369</v>
      </c>
    </row>
    <row r="1114" customFormat="false" ht="15" hidden="false" customHeight="false" outlineLevel="0" collapsed="false">
      <c r="A1114" s="4" t="n">
        <v>1110</v>
      </c>
      <c r="B1114" s="14" t="n">
        <f aca="false">A1114/12</f>
        <v>92.5</v>
      </c>
      <c r="C1114" s="15" t="n">
        <f aca="false">INT(A1114/6)</f>
        <v>185</v>
      </c>
      <c r="D1114" s="16" t="n">
        <f aca="false">IF(C1114=0,(1+Dic2023!$G$6)^(-B1114),EXP(LN(INDEX(Dic2023!$H$6:$H$205,C1114))+(LN(INDEX(Dic2023!$H$6:$H$205,MIN(C1114+1,200)))-LN(INDEX(Dic2023!$H$6:$H$205,C1114)))*(A1114-6*C1114)/6))</f>
        <v>0.00939690406757592</v>
      </c>
      <c r="E1114" s="12" t="n">
        <f aca="false">D1114^(-1/B1114)-1</f>
        <v>0.0517528025</v>
      </c>
      <c r="F1114" s="12" t="n">
        <f aca="false">(1+E1114)^(1/12)-1</f>
        <v>0.00421369509431369</v>
      </c>
      <c r="G1114" s="16" t="n">
        <f aca="false">IF(C1114=0,(1+Dic2023!$J$6)^(-B1114),EXP(LN(INDEX(Dic2023!$K$6:$K$205,C1114))+(LN(INDEX(Dic2023!$K$6:$K$205,MIN(C1114+1,200)))-LN(INDEX(Dic2023!$K$6:$K$205,C1114)))*(A1114-6*C1114)/6))</f>
        <v>0.00939690406757592</v>
      </c>
      <c r="H1114" s="12" t="n">
        <f aca="false">G1114^(-1/B1114)-1</f>
        <v>0.0517528025</v>
      </c>
      <c r="I1114" s="12" t="n">
        <f aca="false">(1+H1114)^(1/12)-1</f>
        <v>0.00421369509431369</v>
      </c>
      <c r="J1114" s="16" t="n">
        <f aca="false">IF(C1114=0,(1+Dic2023!$M$6)^(-B1114),EXP(LN(INDEX(Dic2023!$N$6:$N$205,C1114))+(LN(INDEX(Dic2023!$N$6:$N$205,MIN(C1114+1,200)))-LN(INDEX(Dic2023!$N$6:$N$205,C1114)))*(A1114-6*C1114)/6))</f>
        <v>0.00939690406757592</v>
      </c>
      <c r="K1114" s="12" t="n">
        <f aca="false">J1114^(-1/B1114)-1</f>
        <v>0.0517528025</v>
      </c>
      <c r="L1114" s="12" t="n">
        <f aca="false">(1+K1114)^(1/12)-1</f>
        <v>0.00421369509431369</v>
      </c>
    </row>
    <row r="1115" customFormat="false" ht="15" hidden="false" customHeight="false" outlineLevel="0" collapsed="false">
      <c r="A1115" s="4" t="n">
        <v>1111</v>
      </c>
      <c r="B1115" s="14" t="n">
        <f aca="false">A1115/12</f>
        <v>92.5833333333333</v>
      </c>
      <c r="C1115" s="15" t="n">
        <f aca="false">INT(A1115/6)</f>
        <v>185</v>
      </c>
      <c r="D1115" s="16" t="n">
        <f aca="false">IF(C1115=0,(1+Dic2023!$G$6)^(-B1115),EXP(LN(INDEX(Dic2023!$H$6:$H$205,C1115))+(LN(INDEX(Dic2023!$H$6:$H$205,MIN(C1115+1,200)))-LN(INDEX(Dic2023!$H$6:$H$205,C1115)))*(A1115-6*C1115)/6))</f>
        <v>0.00935747452308284</v>
      </c>
      <c r="E1115" s="12" t="n">
        <f aca="false">D1115^(-1/B1115)-1</f>
        <v>0.0517528025</v>
      </c>
      <c r="F1115" s="12" t="n">
        <f aca="false">(1+E1115)^(1/12)-1</f>
        <v>0.00421369509431369</v>
      </c>
      <c r="G1115" s="16" t="n">
        <f aca="false">IF(C1115=0,(1+Dic2023!$J$6)^(-B1115),EXP(LN(INDEX(Dic2023!$K$6:$K$205,C1115))+(LN(INDEX(Dic2023!$K$6:$K$205,MIN(C1115+1,200)))-LN(INDEX(Dic2023!$K$6:$K$205,C1115)))*(A1115-6*C1115)/6))</f>
        <v>0.00935747452308284</v>
      </c>
      <c r="H1115" s="12" t="n">
        <f aca="false">G1115^(-1/B1115)-1</f>
        <v>0.0517528025</v>
      </c>
      <c r="I1115" s="12" t="n">
        <f aca="false">(1+H1115)^(1/12)-1</f>
        <v>0.00421369509431369</v>
      </c>
      <c r="J1115" s="16" t="n">
        <f aca="false">IF(C1115=0,(1+Dic2023!$M$6)^(-B1115),EXP(LN(INDEX(Dic2023!$N$6:$N$205,C1115))+(LN(INDEX(Dic2023!$N$6:$N$205,MIN(C1115+1,200)))-LN(INDEX(Dic2023!$N$6:$N$205,C1115)))*(A1115-6*C1115)/6))</f>
        <v>0.00935747452308284</v>
      </c>
      <c r="K1115" s="12" t="n">
        <f aca="false">J1115^(-1/B1115)-1</f>
        <v>0.0517528025</v>
      </c>
      <c r="L1115" s="12" t="n">
        <f aca="false">(1+K1115)^(1/12)-1</f>
        <v>0.00421369509431369</v>
      </c>
    </row>
    <row r="1116" customFormat="false" ht="15" hidden="false" customHeight="false" outlineLevel="0" collapsed="false">
      <c r="A1116" s="4" t="n">
        <v>1112</v>
      </c>
      <c r="B1116" s="14" t="n">
        <f aca="false">A1116/12</f>
        <v>92.6666666666667</v>
      </c>
      <c r="C1116" s="15" t="n">
        <f aca="false">INT(A1116/6)</f>
        <v>185</v>
      </c>
      <c r="D1116" s="16" t="n">
        <f aca="false">IF(C1116=0,(1+Dic2023!$G$6)^(-B1116),EXP(LN(INDEX(Dic2023!$H$6:$H$205,C1116))+(LN(INDEX(Dic2023!$H$6:$H$205,MIN(C1116+1,200)))-LN(INDEX(Dic2023!$H$6:$H$205,C1116)))*(A1116-6*C1116)/6))</f>
        <v>0.00931821042552503</v>
      </c>
      <c r="E1116" s="12" t="n">
        <f aca="false">D1116^(-1/B1116)-1</f>
        <v>0.0517528025</v>
      </c>
      <c r="F1116" s="12" t="n">
        <f aca="false">(1+E1116)^(1/12)-1</f>
        <v>0.00421369509431369</v>
      </c>
      <c r="G1116" s="16" t="n">
        <f aca="false">IF(C1116=0,(1+Dic2023!$J$6)^(-B1116),EXP(LN(INDEX(Dic2023!$K$6:$K$205,C1116))+(LN(INDEX(Dic2023!$K$6:$K$205,MIN(C1116+1,200)))-LN(INDEX(Dic2023!$K$6:$K$205,C1116)))*(A1116-6*C1116)/6))</f>
        <v>0.00931821042552503</v>
      </c>
      <c r="H1116" s="12" t="n">
        <f aca="false">G1116^(-1/B1116)-1</f>
        <v>0.0517528025</v>
      </c>
      <c r="I1116" s="12" t="n">
        <f aca="false">(1+H1116)^(1/12)-1</f>
        <v>0.00421369509431369</v>
      </c>
      <c r="J1116" s="16" t="n">
        <f aca="false">IF(C1116=0,(1+Dic2023!$M$6)^(-B1116),EXP(LN(INDEX(Dic2023!$N$6:$N$205,C1116))+(LN(INDEX(Dic2023!$N$6:$N$205,MIN(C1116+1,200)))-LN(INDEX(Dic2023!$N$6:$N$205,C1116)))*(A1116-6*C1116)/6))</f>
        <v>0.00931821042552503</v>
      </c>
      <c r="K1116" s="12" t="n">
        <f aca="false">J1116^(-1/B1116)-1</f>
        <v>0.0517528025</v>
      </c>
      <c r="L1116" s="12" t="n">
        <f aca="false">(1+K1116)^(1/12)-1</f>
        <v>0.00421369509431369</v>
      </c>
    </row>
    <row r="1117" customFormat="false" ht="15" hidden="false" customHeight="false" outlineLevel="0" collapsed="false">
      <c r="A1117" s="4" t="n">
        <v>1113</v>
      </c>
      <c r="B1117" s="14" t="n">
        <f aca="false">A1117/12</f>
        <v>92.75</v>
      </c>
      <c r="C1117" s="15" t="n">
        <f aca="false">INT(A1117/6)</f>
        <v>185</v>
      </c>
      <c r="D1117" s="16" t="n">
        <f aca="false">IF(C1117=0,(1+Dic2023!$G$6)^(-B1117),EXP(LN(INDEX(Dic2023!$H$6:$H$205,C1117))+(LN(INDEX(Dic2023!$H$6:$H$205,MIN(C1117+1,200)))-LN(INDEX(Dic2023!$H$6:$H$205,C1117)))*(A1117-6*C1117)/6))</f>
        <v>0.00927911108068475</v>
      </c>
      <c r="E1117" s="12" t="n">
        <f aca="false">D1117^(-1/B1117)-1</f>
        <v>0.0517528025</v>
      </c>
      <c r="F1117" s="12" t="n">
        <f aca="false">(1+E1117)^(1/12)-1</f>
        <v>0.00421369509431369</v>
      </c>
      <c r="G1117" s="16" t="n">
        <f aca="false">IF(C1117=0,(1+Dic2023!$J$6)^(-B1117),EXP(LN(INDEX(Dic2023!$K$6:$K$205,C1117))+(LN(INDEX(Dic2023!$K$6:$K$205,MIN(C1117+1,200)))-LN(INDEX(Dic2023!$K$6:$K$205,C1117)))*(A1117-6*C1117)/6))</f>
        <v>0.00927911108068475</v>
      </c>
      <c r="H1117" s="12" t="n">
        <f aca="false">G1117^(-1/B1117)-1</f>
        <v>0.0517528025</v>
      </c>
      <c r="I1117" s="12" t="n">
        <f aca="false">(1+H1117)^(1/12)-1</f>
        <v>0.00421369509431369</v>
      </c>
      <c r="J1117" s="16" t="n">
        <f aca="false">IF(C1117=0,(1+Dic2023!$M$6)^(-B1117),EXP(LN(INDEX(Dic2023!$N$6:$N$205,C1117))+(LN(INDEX(Dic2023!$N$6:$N$205,MIN(C1117+1,200)))-LN(INDEX(Dic2023!$N$6:$N$205,C1117)))*(A1117-6*C1117)/6))</f>
        <v>0.00927911108068475</v>
      </c>
      <c r="K1117" s="12" t="n">
        <f aca="false">J1117^(-1/B1117)-1</f>
        <v>0.0517528025</v>
      </c>
      <c r="L1117" s="12" t="n">
        <f aca="false">(1+K1117)^(1/12)-1</f>
        <v>0.00421369509431369</v>
      </c>
    </row>
    <row r="1118" customFormat="false" ht="15" hidden="false" customHeight="false" outlineLevel="0" collapsed="false">
      <c r="A1118" s="4" t="n">
        <v>1114</v>
      </c>
      <c r="B1118" s="14" t="n">
        <f aca="false">A1118/12</f>
        <v>92.8333333333333</v>
      </c>
      <c r="C1118" s="15" t="n">
        <f aca="false">INT(A1118/6)</f>
        <v>185</v>
      </c>
      <c r="D1118" s="16" t="n">
        <f aca="false">IF(C1118=0,(1+Dic2023!$G$6)^(-B1118),EXP(LN(INDEX(Dic2023!$H$6:$H$205,C1118))+(LN(INDEX(Dic2023!$H$6:$H$205,MIN(C1118+1,200)))-LN(INDEX(Dic2023!$H$6:$H$205,C1118)))*(A1118-6*C1118)/6))</f>
        <v>0.00924017579725725</v>
      </c>
      <c r="E1118" s="12" t="n">
        <f aca="false">D1118^(-1/B1118)-1</f>
        <v>0.0517528025</v>
      </c>
      <c r="F1118" s="12" t="n">
        <f aca="false">(1+E1118)^(1/12)-1</f>
        <v>0.00421369509431369</v>
      </c>
      <c r="G1118" s="16" t="n">
        <f aca="false">IF(C1118=0,(1+Dic2023!$J$6)^(-B1118),EXP(LN(INDEX(Dic2023!$K$6:$K$205,C1118))+(LN(INDEX(Dic2023!$K$6:$K$205,MIN(C1118+1,200)))-LN(INDEX(Dic2023!$K$6:$K$205,C1118)))*(A1118-6*C1118)/6))</f>
        <v>0.00924017579725725</v>
      </c>
      <c r="H1118" s="12" t="n">
        <f aca="false">G1118^(-1/B1118)-1</f>
        <v>0.0517528025</v>
      </c>
      <c r="I1118" s="12" t="n">
        <f aca="false">(1+H1118)^(1/12)-1</f>
        <v>0.00421369509431369</v>
      </c>
      <c r="J1118" s="16" t="n">
        <f aca="false">IF(C1118=0,(1+Dic2023!$M$6)^(-B1118),EXP(LN(INDEX(Dic2023!$N$6:$N$205,C1118))+(LN(INDEX(Dic2023!$N$6:$N$205,MIN(C1118+1,200)))-LN(INDEX(Dic2023!$N$6:$N$205,C1118)))*(A1118-6*C1118)/6))</f>
        <v>0.00924017579725725</v>
      </c>
      <c r="K1118" s="12" t="n">
        <f aca="false">J1118^(-1/B1118)-1</f>
        <v>0.0517528025</v>
      </c>
      <c r="L1118" s="12" t="n">
        <f aca="false">(1+K1118)^(1/12)-1</f>
        <v>0.00421369509431369</v>
      </c>
    </row>
    <row r="1119" customFormat="false" ht="15" hidden="false" customHeight="false" outlineLevel="0" collapsed="false">
      <c r="A1119" s="4" t="n">
        <v>1115</v>
      </c>
      <c r="B1119" s="14" t="n">
        <f aca="false">A1119/12</f>
        <v>92.9166666666667</v>
      </c>
      <c r="C1119" s="15" t="n">
        <f aca="false">INT(A1119/6)</f>
        <v>185</v>
      </c>
      <c r="D1119" s="16" t="n">
        <f aca="false">IF(C1119=0,(1+Dic2023!$G$6)^(-B1119),EXP(LN(INDEX(Dic2023!$H$6:$H$205,C1119))+(LN(INDEX(Dic2023!$H$6:$H$205,MIN(C1119+1,200)))-LN(INDEX(Dic2023!$H$6:$H$205,C1119)))*(A1119-6*C1119)/6))</f>
        <v>0.00920140388683849</v>
      </c>
      <c r="E1119" s="12" t="n">
        <f aca="false">D1119^(-1/B1119)-1</f>
        <v>0.0517528025</v>
      </c>
      <c r="F1119" s="12" t="n">
        <f aca="false">(1+E1119)^(1/12)-1</f>
        <v>0.00421369509431369</v>
      </c>
      <c r="G1119" s="16" t="n">
        <f aca="false">IF(C1119=0,(1+Dic2023!$J$6)^(-B1119),EXP(LN(INDEX(Dic2023!$K$6:$K$205,C1119))+(LN(INDEX(Dic2023!$K$6:$K$205,MIN(C1119+1,200)))-LN(INDEX(Dic2023!$K$6:$K$205,C1119)))*(A1119-6*C1119)/6))</f>
        <v>0.00920140388683849</v>
      </c>
      <c r="H1119" s="12" t="n">
        <f aca="false">G1119^(-1/B1119)-1</f>
        <v>0.0517528025</v>
      </c>
      <c r="I1119" s="12" t="n">
        <f aca="false">(1+H1119)^(1/12)-1</f>
        <v>0.00421369509431369</v>
      </c>
      <c r="J1119" s="16" t="n">
        <f aca="false">IF(C1119=0,(1+Dic2023!$M$6)^(-B1119),EXP(LN(INDEX(Dic2023!$N$6:$N$205,C1119))+(LN(INDEX(Dic2023!$N$6:$N$205,MIN(C1119+1,200)))-LN(INDEX(Dic2023!$N$6:$N$205,C1119)))*(A1119-6*C1119)/6))</f>
        <v>0.00920140388683849</v>
      </c>
      <c r="K1119" s="12" t="n">
        <f aca="false">J1119^(-1/B1119)-1</f>
        <v>0.0517528025</v>
      </c>
      <c r="L1119" s="12" t="n">
        <f aca="false">(1+K1119)^(1/12)-1</f>
        <v>0.00421369509431369</v>
      </c>
    </row>
    <row r="1120" customFormat="false" ht="15" hidden="false" customHeight="false" outlineLevel="0" collapsed="false">
      <c r="A1120" s="4" t="n">
        <v>1116</v>
      </c>
      <c r="B1120" s="14" t="n">
        <f aca="false">A1120/12</f>
        <v>93</v>
      </c>
      <c r="C1120" s="15" t="n">
        <f aca="false">INT(A1120/6)</f>
        <v>186</v>
      </c>
      <c r="D1120" s="16" t="n">
        <f aca="false">IF(C1120=0,(1+Dic2023!$G$6)^(-B1120),EXP(LN(INDEX(Dic2023!$H$6:$H$205,C1120))+(LN(INDEX(Dic2023!$H$6:$H$205,MIN(C1120+1,200)))-LN(INDEX(Dic2023!$H$6:$H$205,C1120)))*(A1120-6*C1120)/6))</f>
        <v>0.00916279466391295</v>
      </c>
      <c r="E1120" s="12" t="n">
        <f aca="false">D1120^(-1/B1120)-1</f>
        <v>0.0517528025</v>
      </c>
      <c r="F1120" s="12" t="n">
        <f aca="false">(1+E1120)^(1/12)-1</f>
        <v>0.00421369509431369</v>
      </c>
      <c r="G1120" s="16" t="n">
        <f aca="false">IF(C1120=0,(1+Dic2023!$J$6)^(-B1120),EXP(LN(INDEX(Dic2023!$K$6:$K$205,C1120))+(LN(INDEX(Dic2023!$K$6:$K$205,MIN(C1120+1,200)))-LN(INDEX(Dic2023!$K$6:$K$205,C1120)))*(A1120-6*C1120)/6))</f>
        <v>0.00916279466391295</v>
      </c>
      <c r="H1120" s="12" t="n">
        <f aca="false">G1120^(-1/B1120)-1</f>
        <v>0.0517528025</v>
      </c>
      <c r="I1120" s="12" t="n">
        <f aca="false">(1+H1120)^(1/12)-1</f>
        <v>0.00421369509431369</v>
      </c>
      <c r="J1120" s="16" t="n">
        <f aca="false">IF(C1120=0,(1+Dic2023!$M$6)^(-B1120),EXP(LN(INDEX(Dic2023!$N$6:$N$205,C1120))+(LN(INDEX(Dic2023!$N$6:$N$205,MIN(C1120+1,200)))-LN(INDEX(Dic2023!$N$6:$N$205,C1120)))*(A1120-6*C1120)/6))</f>
        <v>0.00916279466391295</v>
      </c>
      <c r="K1120" s="12" t="n">
        <f aca="false">J1120^(-1/B1120)-1</f>
        <v>0.0517528025</v>
      </c>
      <c r="L1120" s="12" t="n">
        <f aca="false">(1+K1120)^(1/12)-1</f>
        <v>0.00421369509431369</v>
      </c>
    </row>
    <row r="1121" customFormat="false" ht="15" hidden="false" customHeight="false" outlineLevel="0" collapsed="false">
      <c r="A1121" s="4" t="n">
        <v>1117</v>
      </c>
      <c r="B1121" s="14" t="n">
        <f aca="false">A1121/12</f>
        <v>93.0833333333333</v>
      </c>
      <c r="C1121" s="15" t="n">
        <f aca="false">INT(A1121/6)</f>
        <v>186</v>
      </c>
      <c r="D1121" s="16" t="n">
        <f aca="false">IF(C1121=0,(1+Dic2023!$G$6)^(-B1121),EXP(LN(INDEX(Dic2023!$H$6:$H$205,C1121))+(LN(INDEX(Dic2023!$H$6:$H$205,MIN(C1121+1,200)))-LN(INDEX(Dic2023!$H$6:$H$205,C1121)))*(A1121-6*C1121)/6))</f>
        <v>0.00912434744584159</v>
      </c>
      <c r="E1121" s="12" t="n">
        <f aca="false">D1121^(-1/B1121)-1</f>
        <v>0.0517528025</v>
      </c>
      <c r="F1121" s="12" t="n">
        <f aca="false">(1+E1121)^(1/12)-1</f>
        <v>0.00421369509431369</v>
      </c>
      <c r="G1121" s="16" t="n">
        <f aca="false">IF(C1121=0,(1+Dic2023!$J$6)^(-B1121),EXP(LN(INDEX(Dic2023!$K$6:$K$205,C1121))+(LN(INDEX(Dic2023!$K$6:$K$205,MIN(C1121+1,200)))-LN(INDEX(Dic2023!$K$6:$K$205,C1121)))*(A1121-6*C1121)/6))</f>
        <v>0.00912434744584159</v>
      </c>
      <c r="H1121" s="12" t="n">
        <f aca="false">G1121^(-1/B1121)-1</f>
        <v>0.0517528025</v>
      </c>
      <c r="I1121" s="12" t="n">
        <f aca="false">(1+H1121)^(1/12)-1</f>
        <v>0.00421369509431369</v>
      </c>
      <c r="J1121" s="16" t="n">
        <f aca="false">IF(C1121=0,(1+Dic2023!$M$6)^(-B1121),EXP(LN(INDEX(Dic2023!$N$6:$N$205,C1121))+(LN(INDEX(Dic2023!$N$6:$N$205,MIN(C1121+1,200)))-LN(INDEX(Dic2023!$N$6:$N$205,C1121)))*(A1121-6*C1121)/6))</f>
        <v>0.00912434744584159</v>
      </c>
      <c r="K1121" s="12" t="n">
        <f aca="false">J1121^(-1/B1121)-1</f>
        <v>0.0517528025</v>
      </c>
      <c r="L1121" s="12" t="n">
        <f aca="false">(1+K1121)^(1/12)-1</f>
        <v>0.00421369509431369</v>
      </c>
    </row>
    <row r="1122" customFormat="false" ht="15" hidden="false" customHeight="false" outlineLevel="0" collapsed="false">
      <c r="A1122" s="4" t="n">
        <v>1118</v>
      </c>
      <c r="B1122" s="14" t="n">
        <f aca="false">A1122/12</f>
        <v>93.1666666666667</v>
      </c>
      <c r="C1122" s="15" t="n">
        <f aca="false">INT(A1122/6)</f>
        <v>186</v>
      </c>
      <c r="D1122" s="16" t="n">
        <f aca="false">IF(C1122=0,(1+Dic2023!$G$6)^(-B1122),EXP(LN(INDEX(Dic2023!$H$6:$H$205,C1122))+(LN(INDEX(Dic2023!$H$6:$H$205,MIN(C1122+1,200)))-LN(INDEX(Dic2023!$H$6:$H$205,C1122)))*(A1122-6*C1122)/6))</f>
        <v>0.00908606155284972</v>
      </c>
      <c r="E1122" s="12" t="n">
        <f aca="false">D1122^(-1/B1122)-1</f>
        <v>0.0517528025</v>
      </c>
      <c r="F1122" s="12" t="n">
        <f aca="false">(1+E1122)^(1/12)-1</f>
        <v>0.00421369509431369</v>
      </c>
      <c r="G1122" s="16" t="n">
        <f aca="false">IF(C1122=0,(1+Dic2023!$J$6)^(-B1122),EXP(LN(INDEX(Dic2023!$K$6:$K$205,C1122))+(LN(INDEX(Dic2023!$K$6:$K$205,MIN(C1122+1,200)))-LN(INDEX(Dic2023!$K$6:$K$205,C1122)))*(A1122-6*C1122)/6))</f>
        <v>0.00908606155284972</v>
      </c>
      <c r="H1122" s="12" t="n">
        <f aca="false">G1122^(-1/B1122)-1</f>
        <v>0.0517528025</v>
      </c>
      <c r="I1122" s="12" t="n">
        <f aca="false">(1+H1122)^(1/12)-1</f>
        <v>0.00421369509431369</v>
      </c>
      <c r="J1122" s="16" t="n">
        <f aca="false">IF(C1122=0,(1+Dic2023!$M$6)^(-B1122),EXP(LN(INDEX(Dic2023!$N$6:$N$205,C1122))+(LN(INDEX(Dic2023!$N$6:$N$205,MIN(C1122+1,200)))-LN(INDEX(Dic2023!$N$6:$N$205,C1122)))*(A1122-6*C1122)/6))</f>
        <v>0.00908606155284972</v>
      </c>
      <c r="K1122" s="12" t="n">
        <f aca="false">J1122^(-1/B1122)-1</f>
        <v>0.0517528025</v>
      </c>
      <c r="L1122" s="12" t="n">
        <f aca="false">(1+K1122)^(1/12)-1</f>
        <v>0.00421369509431369</v>
      </c>
    </row>
    <row r="1123" customFormat="false" ht="15" hidden="false" customHeight="false" outlineLevel="0" collapsed="false">
      <c r="A1123" s="4" t="n">
        <v>1119</v>
      </c>
      <c r="B1123" s="14" t="n">
        <f aca="false">A1123/12</f>
        <v>93.25</v>
      </c>
      <c r="C1123" s="15" t="n">
        <f aca="false">INT(A1123/6)</f>
        <v>186</v>
      </c>
      <c r="D1123" s="16" t="n">
        <f aca="false">IF(C1123=0,(1+Dic2023!$G$6)^(-B1123),EXP(LN(INDEX(Dic2023!$H$6:$H$205,C1123))+(LN(INDEX(Dic2023!$H$6:$H$205,MIN(C1123+1,200)))-LN(INDEX(Dic2023!$H$6:$H$205,C1123)))*(A1123-6*C1123)/6))</f>
        <v>0.00904793630801497</v>
      </c>
      <c r="E1123" s="12" t="n">
        <f aca="false">D1123^(-1/B1123)-1</f>
        <v>0.0517528025</v>
      </c>
      <c r="F1123" s="12" t="n">
        <f aca="false">(1+E1123)^(1/12)-1</f>
        <v>0.00421369509431369</v>
      </c>
      <c r="G1123" s="16" t="n">
        <f aca="false">IF(C1123=0,(1+Dic2023!$J$6)^(-B1123),EXP(LN(INDEX(Dic2023!$K$6:$K$205,C1123))+(LN(INDEX(Dic2023!$K$6:$K$205,MIN(C1123+1,200)))-LN(INDEX(Dic2023!$K$6:$K$205,C1123)))*(A1123-6*C1123)/6))</f>
        <v>0.00904793630801497</v>
      </c>
      <c r="H1123" s="12" t="n">
        <f aca="false">G1123^(-1/B1123)-1</f>
        <v>0.0517528025</v>
      </c>
      <c r="I1123" s="12" t="n">
        <f aca="false">(1+H1123)^(1/12)-1</f>
        <v>0.00421369509431369</v>
      </c>
      <c r="J1123" s="16" t="n">
        <f aca="false">IF(C1123=0,(1+Dic2023!$M$6)^(-B1123),EXP(LN(INDEX(Dic2023!$N$6:$N$205,C1123))+(LN(INDEX(Dic2023!$N$6:$N$205,MIN(C1123+1,200)))-LN(INDEX(Dic2023!$N$6:$N$205,C1123)))*(A1123-6*C1123)/6))</f>
        <v>0.00904793630801497</v>
      </c>
      <c r="K1123" s="12" t="n">
        <f aca="false">J1123^(-1/B1123)-1</f>
        <v>0.0517528025</v>
      </c>
      <c r="L1123" s="12" t="n">
        <f aca="false">(1+K1123)^(1/12)-1</f>
        <v>0.00421369509431369</v>
      </c>
    </row>
    <row r="1124" customFormat="false" ht="15" hidden="false" customHeight="false" outlineLevel="0" collapsed="false">
      <c r="A1124" s="4" t="n">
        <v>1120</v>
      </c>
      <c r="B1124" s="14" t="n">
        <f aca="false">A1124/12</f>
        <v>93.3333333333333</v>
      </c>
      <c r="C1124" s="15" t="n">
        <f aca="false">INT(A1124/6)</f>
        <v>186</v>
      </c>
      <c r="D1124" s="16" t="n">
        <f aca="false">IF(C1124=0,(1+Dic2023!$G$6)^(-B1124),EXP(LN(INDEX(Dic2023!$H$6:$H$205,C1124))+(LN(INDEX(Dic2023!$H$6:$H$205,MIN(C1124+1,200)))-LN(INDEX(Dic2023!$H$6:$H$205,C1124)))*(A1124-6*C1124)/6))</f>
        <v>0.00900997103725538</v>
      </c>
      <c r="E1124" s="12" t="n">
        <f aca="false">D1124^(-1/B1124)-1</f>
        <v>0.0517528025</v>
      </c>
      <c r="F1124" s="12" t="n">
        <f aca="false">(1+E1124)^(1/12)-1</f>
        <v>0.00421369509431369</v>
      </c>
      <c r="G1124" s="16" t="n">
        <f aca="false">IF(C1124=0,(1+Dic2023!$J$6)^(-B1124),EXP(LN(INDEX(Dic2023!$K$6:$K$205,C1124))+(LN(INDEX(Dic2023!$K$6:$K$205,MIN(C1124+1,200)))-LN(INDEX(Dic2023!$K$6:$K$205,C1124)))*(A1124-6*C1124)/6))</f>
        <v>0.00900997103725538</v>
      </c>
      <c r="H1124" s="12" t="n">
        <f aca="false">G1124^(-1/B1124)-1</f>
        <v>0.0517528025</v>
      </c>
      <c r="I1124" s="12" t="n">
        <f aca="false">(1+H1124)^(1/12)-1</f>
        <v>0.00421369509431369</v>
      </c>
      <c r="J1124" s="16" t="n">
        <f aca="false">IF(C1124=0,(1+Dic2023!$M$6)^(-B1124),EXP(LN(INDEX(Dic2023!$N$6:$N$205,C1124))+(LN(INDEX(Dic2023!$N$6:$N$205,MIN(C1124+1,200)))-LN(INDEX(Dic2023!$N$6:$N$205,C1124)))*(A1124-6*C1124)/6))</f>
        <v>0.00900997103725538</v>
      </c>
      <c r="K1124" s="12" t="n">
        <f aca="false">J1124^(-1/B1124)-1</f>
        <v>0.0517528025</v>
      </c>
      <c r="L1124" s="12" t="n">
        <f aca="false">(1+K1124)^(1/12)-1</f>
        <v>0.00421369509431369</v>
      </c>
    </row>
    <row r="1125" customFormat="false" ht="15" hidden="false" customHeight="false" outlineLevel="0" collapsed="false">
      <c r="A1125" s="4" t="n">
        <v>1121</v>
      </c>
      <c r="B1125" s="14" t="n">
        <f aca="false">A1125/12</f>
        <v>93.4166666666667</v>
      </c>
      <c r="C1125" s="15" t="n">
        <f aca="false">INT(A1125/6)</f>
        <v>186</v>
      </c>
      <c r="D1125" s="16" t="n">
        <f aca="false">IF(C1125=0,(1+Dic2023!$G$6)^(-B1125),EXP(LN(INDEX(Dic2023!$H$6:$H$205,C1125))+(LN(INDEX(Dic2023!$H$6:$H$205,MIN(C1125+1,200)))-LN(INDEX(Dic2023!$H$6:$H$205,C1125)))*(A1125-6*C1125)/6))</f>
        <v>0.00897216506931743</v>
      </c>
      <c r="E1125" s="12" t="n">
        <f aca="false">D1125^(-1/B1125)-1</f>
        <v>0.0517528025</v>
      </c>
      <c r="F1125" s="12" t="n">
        <f aca="false">(1+E1125)^(1/12)-1</f>
        <v>0.00421369509431369</v>
      </c>
      <c r="G1125" s="16" t="n">
        <f aca="false">IF(C1125=0,(1+Dic2023!$J$6)^(-B1125),EXP(LN(INDEX(Dic2023!$K$6:$K$205,C1125))+(LN(INDEX(Dic2023!$K$6:$K$205,MIN(C1125+1,200)))-LN(INDEX(Dic2023!$K$6:$K$205,C1125)))*(A1125-6*C1125)/6))</f>
        <v>0.00897216506931743</v>
      </c>
      <c r="H1125" s="12" t="n">
        <f aca="false">G1125^(-1/B1125)-1</f>
        <v>0.0517528025</v>
      </c>
      <c r="I1125" s="12" t="n">
        <f aca="false">(1+H1125)^(1/12)-1</f>
        <v>0.00421369509431369</v>
      </c>
      <c r="J1125" s="16" t="n">
        <f aca="false">IF(C1125=0,(1+Dic2023!$M$6)^(-B1125),EXP(LN(INDEX(Dic2023!$N$6:$N$205,C1125))+(LN(INDEX(Dic2023!$N$6:$N$205,MIN(C1125+1,200)))-LN(INDEX(Dic2023!$N$6:$N$205,C1125)))*(A1125-6*C1125)/6))</f>
        <v>0.00897216506931743</v>
      </c>
      <c r="K1125" s="12" t="n">
        <f aca="false">J1125^(-1/B1125)-1</f>
        <v>0.0517528025</v>
      </c>
      <c r="L1125" s="12" t="n">
        <f aca="false">(1+K1125)^(1/12)-1</f>
        <v>0.00421369509431369</v>
      </c>
    </row>
    <row r="1126" customFormat="false" ht="15" hidden="false" customHeight="false" outlineLevel="0" collapsed="false">
      <c r="A1126" s="4" t="n">
        <v>1122</v>
      </c>
      <c r="B1126" s="14" t="n">
        <f aca="false">A1126/12</f>
        <v>93.5</v>
      </c>
      <c r="C1126" s="15" t="n">
        <f aca="false">INT(A1126/6)</f>
        <v>187</v>
      </c>
      <c r="D1126" s="16" t="n">
        <f aca="false">IF(C1126=0,(1+Dic2023!$G$6)^(-B1126),EXP(LN(INDEX(Dic2023!$H$6:$H$205,C1126))+(LN(INDEX(Dic2023!$H$6:$H$205,MIN(C1126+1,200)))-LN(INDEX(Dic2023!$H$6:$H$205,C1126)))*(A1126-6*C1126)/6))</f>
        <v>0.00893451773576418</v>
      </c>
      <c r="E1126" s="12" t="n">
        <f aca="false">D1126^(-1/B1126)-1</f>
        <v>0.0517528025</v>
      </c>
      <c r="F1126" s="12" t="n">
        <f aca="false">(1+E1126)^(1/12)-1</f>
        <v>0.00421369509431369</v>
      </c>
      <c r="G1126" s="16" t="n">
        <f aca="false">IF(C1126=0,(1+Dic2023!$J$6)^(-B1126),EXP(LN(INDEX(Dic2023!$K$6:$K$205,C1126))+(LN(INDEX(Dic2023!$K$6:$K$205,MIN(C1126+1,200)))-LN(INDEX(Dic2023!$K$6:$K$205,C1126)))*(A1126-6*C1126)/6))</f>
        <v>0.00893451773576418</v>
      </c>
      <c r="H1126" s="12" t="n">
        <f aca="false">G1126^(-1/B1126)-1</f>
        <v>0.0517528025</v>
      </c>
      <c r="I1126" s="12" t="n">
        <f aca="false">(1+H1126)^(1/12)-1</f>
        <v>0.00421369509431369</v>
      </c>
      <c r="J1126" s="16" t="n">
        <f aca="false">IF(C1126=0,(1+Dic2023!$M$6)^(-B1126),EXP(LN(INDEX(Dic2023!$N$6:$N$205,C1126))+(LN(INDEX(Dic2023!$N$6:$N$205,MIN(C1126+1,200)))-LN(INDEX(Dic2023!$N$6:$N$205,C1126)))*(A1126-6*C1126)/6))</f>
        <v>0.00893451773576418</v>
      </c>
      <c r="K1126" s="12" t="n">
        <f aca="false">J1126^(-1/B1126)-1</f>
        <v>0.0517528025</v>
      </c>
      <c r="L1126" s="12" t="n">
        <f aca="false">(1+K1126)^(1/12)-1</f>
        <v>0.00421369509431369</v>
      </c>
    </row>
    <row r="1127" customFormat="false" ht="15" hidden="false" customHeight="false" outlineLevel="0" collapsed="false">
      <c r="A1127" s="4" t="n">
        <v>1123</v>
      </c>
      <c r="B1127" s="14" t="n">
        <f aca="false">A1127/12</f>
        <v>93.5833333333333</v>
      </c>
      <c r="C1127" s="15" t="n">
        <f aca="false">INT(A1127/6)</f>
        <v>187</v>
      </c>
      <c r="D1127" s="16" t="n">
        <f aca="false">IF(C1127=0,(1+Dic2023!$G$6)^(-B1127),EXP(LN(INDEX(Dic2023!$H$6:$H$205,C1127))+(LN(INDEX(Dic2023!$H$6:$H$205,MIN(C1127+1,200)))-LN(INDEX(Dic2023!$H$6:$H$205,C1127)))*(A1127-6*C1127)/6))</f>
        <v>0.00889702837096348</v>
      </c>
      <c r="E1127" s="12" t="n">
        <f aca="false">D1127^(-1/B1127)-1</f>
        <v>0.0517528025</v>
      </c>
      <c r="F1127" s="12" t="n">
        <f aca="false">(1+E1127)^(1/12)-1</f>
        <v>0.00421369509431369</v>
      </c>
      <c r="G1127" s="16" t="n">
        <f aca="false">IF(C1127=0,(1+Dic2023!$J$6)^(-B1127),EXP(LN(INDEX(Dic2023!$K$6:$K$205,C1127))+(LN(INDEX(Dic2023!$K$6:$K$205,MIN(C1127+1,200)))-LN(INDEX(Dic2023!$K$6:$K$205,C1127)))*(A1127-6*C1127)/6))</f>
        <v>0.00889702837096348</v>
      </c>
      <c r="H1127" s="12" t="n">
        <f aca="false">G1127^(-1/B1127)-1</f>
        <v>0.0517528025</v>
      </c>
      <c r="I1127" s="12" t="n">
        <f aca="false">(1+H1127)^(1/12)-1</f>
        <v>0.00421369509431369</v>
      </c>
      <c r="J1127" s="16" t="n">
        <f aca="false">IF(C1127=0,(1+Dic2023!$M$6)^(-B1127),EXP(LN(INDEX(Dic2023!$N$6:$N$205,C1127))+(LN(INDEX(Dic2023!$N$6:$N$205,MIN(C1127+1,200)))-LN(INDEX(Dic2023!$N$6:$N$205,C1127)))*(A1127-6*C1127)/6))</f>
        <v>0.00889702837096348</v>
      </c>
      <c r="K1127" s="12" t="n">
        <f aca="false">J1127^(-1/B1127)-1</f>
        <v>0.0517528025</v>
      </c>
      <c r="L1127" s="12" t="n">
        <f aca="false">(1+K1127)^(1/12)-1</f>
        <v>0.00421369509431369</v>
      </c>
    </row>
    <row r="1128" customFormat="false" ht="15" hidden="false" customHeight="false" outlineLevel="0" collapsed="false">
      <c r="A1128" s="4" t="n">
        <v>1124</v>
      </c>
      <c r="B1128" s="14" t="n">
        <f aca="false">A1128/12</f>
        <v>93.6666666666667</v>
      </c>
      <c r="C1128" s="15" t="n">
        <f aca="false">INT(A1128/6)</f>
        <v>187</v>
      </c>
      <c r="D1128" s="16" t="n">
        <f aca="false">IF(C1128=0,(1+Dic2023!$G$6)^(-B1128),EXP(LN(INDEX(Dic2023!$H$6:$H$205,C1128))+(LN(INDEX(Dic2023!$H$6:$H$205,MIN(C1128+1,200)))-LN(INDEX(Dic2023!$H$6:$H$205,C1128)))*(A1128-6*C1128)/6))</f>
        <v>0.00885969631207618</v>
      </c>
      <c r="E1128" s="12" t="n">
        <f aca="false">D1128^(-1/B1128)-1</f>
        <v>0.0517528025</v>
      </c>
      <c r="F1128" s="12" t="n">
        <f aca="false">(1+E1128)^(1/12)-1</f>
        <v>0.00421369509431369</v>
      </c>
      <c r="G1128" s="16" t="n">
        <f aca="false">IF(C1128=0,(1+Dic2023!$J$6)^(-B1128),EXP(LN(INDEX(Dic2023!$K$6:$K$205,C1128))+(LN(INDEX(Dic2023!$K$6:$K$205,MIN(C1128+1,200)))-LN(INDEX(Dic2023!$K$6:$K$205,C1128)))*(A1128-6*C1128)/6))</f>
        <v>0.00885969631207618</v>
      </c>
      <c r="H1128" s="12" t="n">
        <f aca="false">G1128^(-1/B1128)-1</f>
        <v>0.0517528025</v>
      </c>
      <c r="I1128" s="12" t="n">
        <f aca="false">(1+H1128)^(1/12)-1</f>
        <v>0.00421369509431369</v>
      </c>
      <c r="J1128" s="16" t="n">
        <f aca="false">IF(C1128=0,(1+Dic2023!$M$6)^(-B1128),EXP(LN(INDEX(Dic2023!$N$6:$N$205,C1128))+(LN(INDEX(Dic2023!$N$6:$N$205,MIN(C1128+1,200)))-LN(INDEX(Dic2023!$N$6:$N$205,C1128)))*(A1128-6*C1128)/6))</f>
        <v>0.00885969631207618</v>
      </c>
      <c r="K1128" s="12" t="n">
        <f aca="false">J1128^(-1/B1128)-1</f>
        <v>0.0517528025</v>
      </c>
      <c r="L1128" s="12" t="n">
        <f aca="false">(1+K1128)^(1/12)-1</f>
        <v>0.00421369509431369</v>
      </c>
    </row>
    <row r="1129" customFormat="false" ht="15" hidden="false" customHeight="false" outlineLevel="0" collapsed="false">
      <c r="A1129" s="4" t="n">
        <v>1125</v>
      </c>
      <c r="B1129" s="14" t="n">
        <f aca="false">A1129/12</f>
        <v>93.75</v>
      </c>
      <c r="C1129" s="15" t="n">
        <f aca="false">INT(A1129/6)</f>
        <v>187</v>
      </c>
      <c r="D1129" s="16" t="n">
        <f aca="false">IF(C1129=0,(1+Dic2023!$G$6)^(-B1129),EXP(LN(INDEX(Dic2023!$H$6:$H$205,C1129))+(LN(INDEX(Dic2023!$H$6:$H$205,MIN(C1129+1,200)))-LN(INDEX(Dic2023!$H$6:$H$205,C1129)))*(A1129-6*C1129)/6))</f>
        <v>0.00882252089904439</v>
      </c>
      <c r="E1129" s="12" t="n">
        <f aca="false">D1129^(-1/B1129)-1</f>
        <v>0.0517528025</v>
      </c>
      <c r="F1129" s="12" t="n">
        <f aca="false">(1+E1129)^(1/12)-1</f>
        <v>0.00421369509431369</v>
      </c>
      <c r="G1129" s="16" t="n">
        <f aca="false">IF(C1129=0,(1+Dic2023!$J$6)^(-B1129),EXP(LN(INDEX(Dic2023!$K$6:$K$205,C1129))+(LN(INDEX(Dic2023!$K$6:$K$205,MIN(C1129+1,200)))-LN(INDEX(Dic2023!$K$6:$K$205,C1129)))*(A1129-6*C1129)/6))</f>
        <v>0.00882252089904439</v>
      </c>
      <c r="H1129" s="12" t="n">
        <f aca="false">G1129^(-1/B1129)-1</f>
        <v>0.0517528025</v>
      </c>
      <c r="I1129" s="12" t="n">
        <f aca="false">(1+H1129)^(1/12)-1</f>
        <v>0.00421369509431369</v>
      </c>
      <c r="J1129" s="16" t="n">
        <f aca="false">IF(C1129=0,(1+Dic2023!$M$6)^(-B1129),EXP(LN(INDEX(Dic2023!$N$6:$N$205,C1129))+(LN(INDEX(Dic2023!$N$6:$N$205,MIN(C1129+1,200)))-LN(INDEX(Dic2023!$N$6:$N$205,C1129)))*(A1129-6*C1129)/6))</f>
        <v>0.00882252089904439</v>
      </c>
      <c r="K1129" s="12" t="n">
        <f aca="false">J1129^(-1/B1129)-1</f>
        <v>0.0517528025</v>
      </c>
      <c r="L1129" s="12" t="n">
        <f aca="false">(1+K1129)^(1/12)-1</f>
        <v>0.00421369509431369</v>
      </c>
    </row>
    <row r="1130" customFormat="false" ht="15" hidden="false" customHeight="false" outlineLevel="0" collapsed="false">
      <c r="A1130" s="4" t="n">
        <v>1126</v>
      </c>
      <c r="B1130" s="14" t="n">
        <f aca="false">A1130/12</f>
        <v>93.8333333333333</v>
      </c>
      <c r="C1130" s="15" t="n">
        <f aca="false">INT(A1130/6)</f>
        <v>187</v>
      </c>
      <c r="D1130" s="16" t="n">
        <f aca="false">IF(C1130=0,(1+Dic2023!$G$6)^(-B1130),EXP(LN(INDEX(Dic2023!$H$6:$H$205,C1130))+(LN(INDEX(Dic2023!$H$6:$H$205,MIN(C1130+1,200)))-LN(INDEX(Dic2023!$H$6:$H$205,C1130)))*(A1130-6*C1130)/6))</f>
        <v>0.00878550147457986</v>
      </c>
      <c r="E1130" s="12" t="n">
        <f aca="false">D1130^(-1/B1130)-1</f>
        <v>0.0517528025</v>
      </c>
      <c r="F1130" s="12" t="n">
        <f aca="false">(1+E1130)^(1/12)-1</f>
        <v>0.00421369509431369</v>
      </c>
      <c r="G1130" s="16" t="n">
        <f aca="false">IF(C1130=0,(1+Dic2023!$J$6)^(-B1130),EXP(LN(INDEX(Dic2023!$K$6:$K$205,C1130))+(LN(INDEX(Dic2023!$K$6:$K$205,MIN(C1130+1,200)))-LN(INDEX(Dic2023!$K$6:$K$205,C1130)))*(A1130-6*C1130)/6))</f>
        <v>0.00878550147457986</v>
      </c>
      <c r="H1130" s="12" t="n">
        <f aca="false">G1130^(-1/B1130)-1</f>
        <v>0.0517528025</v>
      </c>
      <c r="I1130" s="12" t="n">
        <f aca="false">(1+H1130)^(1/12)-1</f>
        <v>0.00421369509431369</v>
      </c>
      <c r="J1130" s="16" t="n">
        <f aca="false">IF(C1130=0,(1+Dic2023!$M$6)^(-B1130),EXP(LN(INDEX(Dic2023!$N$6:$N$205,C1130))+(LN(INDEX(Dic2023!$N$6:$N$205,MIN(C1130+1,200)))-LN(INDEX(Dic2023!$N$6:$N$205,C1130)))*(A1130-6*C1130)/6))</f>
        <v>0.00878550147457986</v>
      </c>
      <c r="K1130" s="12" t="n">
        <f aca="false">J1130^(-1/B1130)-1</f>
        <v>0.0517528025</v>
      </c>
      <c r="L1130" s="12" t="n">
        <f aca="false">(1+K1130)^(1/12)-1</f>
        <v>0.00421369509431369</v>
      </c>
    </row>
    <row r="1131" customFormat="false" ht="15" hidden="false" customHeight="false" outlineLevel="0" collapsed="false">
      <c r="A1131" s="4" t="n">
        <v>1127</v>
      </c>
      <c r="B1131" s="14" t="n">
        <f aca="false">A1131/12</f>
        <v>93.9166666666667</v>
      </c>
      <c r="C1131" s="15" t="n">
        <f aca="false">INT(A1131/6)</f>
        <v>187</v>
      </c>
      <c r="D1131" s="16" t="n">
        <f aca="false">IF(C1131=0,(1+Dic2023!$G$6)^(-B1131),EXP(LN(INDEX(Dic2023!$H$6:$H$205,C1131))+(LN(INDEX(Dic2023!$H$6:$H$205,MIN(C1131+1,200)))-LN(INDEX(Dic2023!$H$6:$H$205,C1131)))*(A1131-6*C1131)/6))</f>
        <v>0.00874863738415234</v>
      </c>
      <c r="E1131" s="12" t="n">
        <f aca="false">D1131^(-1/B1131)-1</f>
        <v>0.0517528025</v>
      </c>
      <c r="F1131" s="12" t="n">
        <f aca="false">(1+E1131)^(1/12)-1</f>
        <v>0.00421369509431369</v>
      </c>
      <c r="G1131" s="16" t="n">
        <f aca="false">IF(C1131=0,(1+Dic2023!$J$6)^(-B1131),EXP(LN(INDEX(Dic2023!$K$6:$K$205,C1131))+(LN(INDEX(Dic2023!$K$6:$K$205,MIN(C1131+1,200)))-LN(INDEX(Dic2023!$K$6:$K$205,C1131)))*(A1131-6*C1131)/6))</f>
        <v>0.00874863738415234</v>
      </c>
      <c r="H1131" s="12" t="n">
        <f aca="false">G1131^(-1/B1131)-1</f>
        <v>0.0517528025</v>
      </c>
      <c r="I1131" s="12" t="n">
        <f aca="false">(1+H1131)^(1/12)-1</f>
        <v>0.00421369509431369</v>
      </c>
      <c r="J1131" s="16" t="n">
        <f aca="false">IF(C1131=0,(1+Dic2023!$M$6)^(-B1131),EXP(LN(INDEX(Dic2023!$N$6:$N$205,C1131))+(LN(INDEX(Dic2023!$N$6:$N$205,MIN(C1131+1,200)))-LN(INDEX(Dic2023!$N$6:$N$205,C1131)))*(A1131-6*C1131)/6))</f>
        <v>0.00874863738415234</v>
      </c>
      <c r="K1131" s="12" t="n">
        <f aca="false">J1131^(-1/B1131)-1</f>
        <v>0.0517528025</v>
      </c>
      <c r="L1131" s="12" t="n">
        <f aca="false">(1+K1131)^(1/12)-1</f>
        <v>0.00421369509431369</v>
      </c>
    </row>
    <row r="1132" customFormat="false" ht="15" hidden="false" customHeight="false" outlineLevel="0" collapsed="false">
      <c r="A1132" s="4" t="n">
        <v>1128</v>
      </c>
      <c r="B1132" s="14" t="n">
        <f aca="false">A1132/12</f>
        <v>94</v>
      </c>
      <c r="C1132" s="15" t="n">
        <f aca="false">INT(A1132/6)</f>
        <v>188</v>
      </c>
      <c r="D1132" s="16" t="n">
        <f aca="false">IF(C1132=0,(1+Dic2023!$G$6)^(-B1132),EXP(LN(INDEX(Dic2023!$H$6:$H$205,C1132))+(LN(INDEX(Dic2023!$H$6:$H$205,MIN(C1132+1,200)))-LN(INDEX(Dic2023!$H$6:$H$205,C1132)))*(A1132-6*C1132)/6))</f>
        <v>0.00871192797597794</v>
      </c>
      <c r="E1132" s="12" t="n">
        <f aca="false">D1132^(-1/B1132)-1</f>
        <v>0.0517528025</v>
      </c>
      <c r="F1132" s="12" t="n">
        <f aca="false">(1+E1132)^(1/12)-1</f>
        <v>0.00421369509431369</v>
      </c>
      <c r="G1132" s="16" t="n">
        <f aca="false">IF(C1132=0,(1+Dic2023!$J$6)^(-B1132),EXP(LN(INDEX(Dic2023!$K$6:$K$205,C1132))+(LN(INDEX(Dic2023!$K$6:$K$205,MIN(C1132+1,200)))-LN(INDEX(Dic2023!$K$6:$K$205,C1132)))*(A1132-6*C1132)/6))</f>
        <v>0.00871192797597794</v>
      </c>
      <c r="H1132" s="12" t="n">
        <f aca="false">G1132^(-1/B1132)-1</f>
        <v>0.0517528025</v>
      </c>
      <c r="I1132" s="12" t="n">
        <f aca="false">(1+H1132)^(1/12)-1</f>
        <v>0.00421369509431369</v>
      </c>
      <c r="J1132" s="16" t="n">
        <f aca="false">IF(C1132=0,(1+Dic2023!$M$6)^(-B1132),EXP(LN(INDEX(Dic2023!$N$6:$N$205,C1132))+(LN(INDEX(Dic2023!$N$6:$N$205,MIN(C1132+1,200)))-LN(INDEX(Dic2023!$N$6:$N$205,C1132)))*(A1132-6*C1132)/6))</f>
        <v>0.00871192797597794</v>
      </c>
      <c r="K1132" s="12" t="n">
        <f aca="false">J1132^(-1/B1132)-1</f>
        <v>0.0517528025</v>
      </c>
      <c r="L1132" s="12" t="n">
        <f aca="false">(1+K1132)^(1/12)-1</f>
        <v>0.00421369509431369</v>
      </c>
    </row>
    <row r="1133" customFormat="false" ht="15" hidden="false" customHeight="false" outlineLevel="0" collapsed="false">
      <c r="A1133" s="4" t="n">
        <v>1129</v>
      </c>
      <c r="B1133" s="14" t="n">
        <f aca="false">A1133/12</f>
        <v>94.0833333333333</v>
      </c>
      <c r="C1133" s="15" t="n">
        <f aca="false">INT(A1133/6)</f>
        <v>188</v>
      </c>
      <c r="D1133" s="16" t="n">
        <f aca="false">IF(C1133=0,(1+Dic2023!$G$6)^(-B1133),EXP(LN(INDEX(Dic2023!$H$6:$H$205,C1133))+(LN(INDEX(Dic2023!$H$6:$H$205,MIN(C1133+1,200)))-LN(INDEX(Dic2023!$H$6:$H$205,C1133)))*(A1133-6*C1133)/6))</f>
        <v>0.00867537260100773</v>
      </c>
      <c r="E1133" s="12" t="n">
        <f aca="false">D1133^(-1/B1133)-1</f>
        <v>0.0517528025</v>
      </c>
      <c r="F1133" s="12" t="n">
        <f aca="false">(1+E1133)^(1/12)-1</f>
        <v>0.00421369509431369</v>
      </c>
      <c r="G1133" s="16" t="n">
        <f aca="false">IF(C1133=0,(1+Dic2023!$J$6)^(-B1133),EXP(LN(INDEX(Dic2023!$K$6:$K$205,C1133))+(LN(INDEX(Dic2023!$K$6:$K$205,MIN(C1133+1,200)))-LN(INDEX(Dic2023!$K$6:$K$205,C1133)))*(A1133-6*C1133)/6))</f>
        <v>0.00867537260100773</v>
      </c>
      <c r="H1133" s="12" t="n">
        <f aca="false">G1133^(-1/B1133)-1</f>
        <v>0.0517528025</v>
      </c>
      <c r="I1133" s="12" t="n">
        <f aca="false">(1+H1133)^(1/12)-1</f>
        <v>0.00421369509431369</v>
      </c>
      <c r="J1133" s="16" t="n">
        <f aca="false">IF(C1133=0,(1+Dic2023!$M$6)^(-B1133),EXP(LN(INDEX(Dic2023!$N$6:$N$205,C1133))+(LN(INDEX(Dic2023!$N$6:$N$205,MIN(C1133+1,200)))-LN(INDEX(Dic2023!$N$6:$N$205,C1133)))*(A1133-6*C1133)/6))</f>
        <v>0.00867537260100773</v>
      </c>
      <c r="K1133" s="12" t="n">
        <f aca="false">J1133^(-1/B1133)-1</f>
        <v>0.0517528025</v>
      </c>
      <c r="L1133" s="12" t="n">
        <f aca="false">(1+K1133)^(1/12)-1</f>
        <v>0.00421369509431369</v>
      </c>
    </row>
    <row r="1134" customFormat="false" ht="15" hidden="false" customHeight="false" outlineLevel="0" collapsed="false">
      <c r="A1134" s="4" t="n">
        <v>1130</v>
      </c>
      <c r="B1134" s="14" t="n">
        <f aca="false">A1134/12</f>
        <v>94.1666666666667</v>
      </c>
      <c r="C1134" s="15" t="n">
        <f aca="false">INT(A1134/6)</f>
        <v>188</v>
      </c>
      <c r="D1134" s="16" t="n">
        <f aca="false">IF(C1134=0,(1+Dic2023!$G$6)^(-B1134),EXP(LN(INDEX(Dic2023!$H$6:$H$205,C1134))+(LN(INDEX(Dic2023!$H$6:$H$205,MIN(C1134+1,200)))-LN(INDEX(Dic2023!$H$6:$H$205,C1134)))*(A1134-6*C1134)/6))</f>
        <v>0.00863897061291616</v>
      </c>
      <c r="E1134" s="12" t="n">
        <f aca="false">D1134^(-1/B1134)-1</f>
        <v>0.0517528025</v>
      </c>
      <c r="F1134" s="12" t="n">
        <f aca="false">(1+E1134)^(1/12)-1</f>
        <v>0.00421369509431369</v>
      </c>
      <c r="G1134" s="16" t="n">
        <f aca="false">IF(C1134=0,(1+Dic2023!$J$6)^(-B1134),EXP(LN(INDEX(Dic2023!$K$6:$K$205,C1134))+(LN(INDEX(Dic2023!$K$6:$K$205,MIN(C1134+1,200)))-LN(INDEX(Dic2023!$K$6:$K$205,C1134)))*(A1134-6*C1134)/6))</f>
        <v>0.00863897061291616</v>
      </c>
      <c r="H1134" s="12" t="n">
        <f aca="false">G1134^(-1/B1134)-1</f>
        <v>0.0517528025</v>
      </c>
      <c r="I1134" s="12" t="n">
        <f aca="false">(1+H1134)^(1/12)-1</f>
        <v>0.00421369509431369</v>
      </c>
      <c r="J1134" s="16" t="n">
        <f aca="false">IF(C1134=0,(1+Dic2023!$M$6)^(-B1134),EXP(LN(INDEX(Dic2023!$N$6:$N$205,C1134))+(LN(INDEX(Dic2023!$N$6:$N$205,MIN(C1134+1,200)))-LN(INDEX(Dic2023!$N$6:$N$205,C1134)))*(A1134-6*C1134)/6))</f>
        <v>0.00863897061291616</v>
      </c>
      <c r="K1134" s="12" t="n">
        <f aca="false">J1134^(-1/B1134)-1</f>
        <v>0.0517528025</v>
      </c>
      <c r="L1134" s="12" t="n">
        <f aca="false">(1+K1134)^(1/12)-1</f>
        <v>0.00421369509431369</v>
      </c>
    </row>
    <row r="1135" customFormat="false" ht="15" hidden="false" customHeight="false" outlineLevel="0" collapsed="false">
      <c r="A1135" s="4" t="n">
        <v>1131</v>
      </c>
      <c r="B1135" s="14" t="n">
        <f aca="false">A1135/12</f>
        <v>94.25</v>
      </c>
      <c r="C1135" s="15" t="n">
        <f aca="false">INT(A1135/6)</f>
        <v>188</v>
      </c>
      <c r="D1135" s="16" t="n">
        <f aca="false">IF(C1135=0,(1+Dic2023!$G$6)^(-B1135),EXP(LN(INDEX(Dic2023!$H$6:$H$205,C1135))+(LN(INDEX(Dic2023!$H$6:$H$205,MIN(C1135+1,200)))-LN(INDEX(Dic2023!$H$6:$H$205,C1135)))*(A1135-6*C1135)/6))</f>
        <v>0.0086027213680897</v>
      </c>
      <c r="E1135" s="12" t="n">
        <f aca="false">D1135^(-1/B1135)-1</f>
        <v>0.0517528025</v>
      </c>
      <c r="F1135" s="12" t="n">
        <f aca="false">(1+E1135)^(1/12)-1</f>
        <v>0.00421369509431369</v>
      </c>
      <c r="G1135" s="16" t="n">
        <f aca="false">IF(C1135=0,(1+Dic2023!$J$6)^(-B1135),EXP(LN(INDEX(Dic2023!$K$6:$K$205,C1135))+(LN(INDEX(Dic2023!$K$6:$K$205,MIN(C1135+1,200)))-LN(INDEX(Dic2023!$K$6:$K$205,C1135)))*(A1135-6*C1135)/6))</f>
        <v>0.0086027213680897</v>
      </c>
      <c r="H1135" s="12" t="n">
        <f aca="false">G1135^(-1/B1135)-1</f>
        <v>0.0517528025</v>
      </c>
      <c r="I1135" s="12" t="n">
        <f aca="false">(1+H1135)^(1/12)-1</f>
        <v>0.00421369509431369</v>
      </c>
      <c r="J1135" s="16" t="n">
        <f aca="false">IF(C1135=0,(1+Dic2023!$M$6)^(-B1135),EXP(LN(INDEX(Dic2023!$N$6:$N$205,C1135))+(LN(INDEX(Dic2023!$N$6:$N$205,MIN(C1135+1,200)))-LN(INDEX(Dic2023!$N$6:$N$205,C1135)))*(A1135-6*C1135)/6))</f>
        <v>0.0086027213680897</v>
      </c>
      <c r="K1135" s="12" t="n">
        <f aca="false">J1135^(-1/B1135)-1</f>
        <v>0.0517528025</v>
      </c>
      <c r="L1135" s="12" t="n">
        <f aca="false">(1+K1135)^(1/12)-1</f>
        <v>0.00421369509431369</v>
      </c>
    </row>
    <row r="1136" customFormat="false" ht="15" hidden="false" customHeight="false" outlineLevel="0" collapsed="false">
      <c r="A1136" s="4" t="n">
        <v>1132</v>
      </c>
      <c r="B1136" s="14" t="n">
        <f aca="false">A1136/12</f>
        <v>94.3333333333333</v>
      </c>
      <c r="C1136" s="15" t="n">
        <f aca="false">INT(A1136/6)</f>
        <v>188</v>
      </c>
      <c r="D1136" s="16" t="n">
        <f aca="false">IF(C1136=0,(1+Dic2023!$G$6)^(-B1136),EXP(LN(INDEX(Dic2023!$H$6:$H$205,C1136))+(LN(INDEX(Dic2023!$H$6:$H$205,MIN(C1136+1,200)))-LN(INDEX(Dic2023!$H$6:$H$205,C1136)))*(A1136-6*C1136)/6))</f>
        <v>0.00856662422561539</v>
      </c>
      <c r="E1136" s="12" t="n">
        <f aca="false">D1136^(-1/B1136)-1</f>
        <v>0.0517528025</v>
      </c>
      <c r="F1136" s="12" t="n">
        <f aca="false">(1+E1136)^(1/12)-1</f>
        <v>0.00421369509431369</v>
      </c>
      <c r="G1136" s="16" t="n">
        <f aca="false">IF(C1136=0,(1+Dic2023!$J$6)^(-B1136),EXP(LN(INDEX(Dic2023!$K$6:$K$205,C1136))+(LN(INDEX(Dic2023!$K$6:$K$205,MIN(C1136+1,200)))-LN(INDEX(Dic2023!$K$6:$K$205,C1136)))*(A1136-6*C1136)/6))</f>
        <v>0.00856662422561539</v>
      </c>
      <c r="H1136" s="12" t="n">
        <f aca="false">G1136^(-1/B1136)-1</f>
        <v>0.0517528025</v>
      </c>
      <c r="I1136" s="12" t="n">
        <f aca="false">(1+H1136)^(1/12)-1</f>
        <v>0.00421369509431369</v>
      </c>
      <c r="J1136" s="16" t="n">
        <f aca="false">IF(C1136=0,(1+Dic2023!$M$6)^(-B1136),EXP(LN(INDEX(Dic2023!$N$6:$N$205,C1136))+(LN(INDEX(Dic2023!$N$6:$N$205,MIN(C1136+1,200)))-LN(INDEX(Dic2023!$N$6:$N$205,C1136)))*(A1136-6*C1136)/6))</f>
        <v>0.00856662422561539</v>
      </c>
      <c r="K1136" s="12" t="n">
        <f aca="false">J1136^(-1/B1136)-1</f>
        <v>0.0517528025</v>
      </c>
      <c r="L1136" s="12" t="n">
        <f aca="false">(1+K1136)^(1/12)-1</f>
        <v>0.00421369509431369</v>
      </c>
    </row>
    <row r="1137" customFormat="false" ht="15" hidden="false" customHeight="false" outlineLevel="0" collapsed="false">
      <c r="A1137" s="4" t="n">
        <v>1133</v>
      </c>
      <c r="B1137" s="14" t="n">
        <f aca="false">A1137/12</f>
        <v>94.4166666666667</v>
      </c>
      <c r="C1137" s="15" t="n">
        <f aca="false">INT(A1137/6)</f>
        <v>188</v>
      </c>
      <c r="D1137" s="16" t="n">
        <f aca="false">IF(C1137=0,(1+Dic2023!$G$6)^(-B1137),EXP(LN(INDEX(Dic2023!$H$6:$H$205,C1137))+(LN(INDEX(Dic2023!$H$6:$H$205,MIN(C1137+1,200)))-LN(INDEX(Dic2023!$H$6:$H$205,C1137)))*(A1137-6*C1137)/6))</f>
        <v>0.00853067854726959</v>
      </c>
      <c r="E1137" s="12" t="n">
        <f aca="false">D1137^(-1/B1137)-1</f>
        <v>0.0517528025</v>
      </c>
      <c r="F1137" s="12" t="n">
        <f aca="false">(1+E1137)^(1/12)-1</f>
        <v>0.00421369509431369</v>
      </c>
      <c r="G1137" s="16" t="n">
        <f aca="false">IF(C1137=0,(1+Dic2023!$J$6)^(-B1137),EXP(LN(INDEX(Dic2023!$K$6:$K$205,C1137))+(LN(INDEX(Dic2023!$K$6:$K$205,MIN(C1137+1,200)))-LN(INDEX(Dic2023!$K$6:$K$205,C1137)))*(A1137-6*C1137)/6))</f>
        <v>0.00853067854726959</v>
      </c>
      <c r="H1137" s="12" t="n">
        <f aca="false">G1137^(-1/B1137)-1</f>
        <v>0.0517528025</v>
      </c>
      <c r="I1137" s="12" t="n">
        <f aca="false">(1+H1137)^(1/12)-1</f>
        <v>0.00421369509431369</v>
      </c>
      <c r="J1137" s="16" t="n">
        <f aca="false">IF(C1137=0,(1+Dic2023!$M$6)^(-B1137),EXP(LN(INDEX(Dic2023!$N$6:$N$205,C1137))+(LN(INDEX(Dic2023!$N$6:$N$205,MIN(C1137+1,200)))-LN(INDEX(Dic2023!$N$6:$N$205,C1137)))*(A1137-6*C1137)/6))</f>
        <v>0.00853067854726959</v>
      </c>
      <c r="K1137" s="12" t="n">
        <f aca="false">J1137^(-1/B1137)-1</f>
        <v>0.0517528025</v>
      </c>
      <c r="L1137" s="12" t="n">
        <f aca="false">(1+K1137)^(1/12)-1</f>
        <v>0.00421369509431369</v>
      </c>
    </row>
    <row r="1138" customFormat="false" ht="15" hidden="false" customHeight="false" outlineLevel="0" collapsed="false">
      <c r="A1138" s="4" t="n">
        <v>1134</v>
      </c>
      <c r="B1138" s="14" t="n">
        <f aca="false">A1138/12</f>
        <v>94.5</v>
      </c>
      <c r="C1138" s="15" t="n">
        <f aca="false">INT(A1138/6)</f>
        <v>189</v>
      </c>
      <c r="D1138" s="16" t="n">
        <f aca="false">IF(C1138=0,(1+Dic2023!$G$6)^(-B1138),EXP(LN(INDEX(Dic2023!$H$6:$H$205,C1138))+(LN(INDEX(Dic2023!$H$6:$H$205,MIN(C1138+1,200)))-LN(INDEX(Dic2023!$H$6:$H$205,C1138)))*(A1138-6*C1138)/6))</f>
        <v>0.00849488369750664</v>
      </c>
      <c r="E1138" s="12" t="n">
        <f aca="false">D1138^(-1/B1138)-1</f>
        <v>0.0517528025</v>
      </c>
      <c r="F1138" s="12" t="n">
        <f aca="false">(1+E1138)^(1/12)-1</f>
        <v>0.00421369509431369</v>
      </c>
      <c r="G1138" s="16" t="n">
        <f aca="false">IF(C1138=0,(1+Dic2023!$J$6)^(-B1138),EXP(LN(INDEX(Dic2023!$K$6:$K$205,C1138))+(LN(INDEX(Dic2023!$K$6:$K$205,MIN(C1138+1,200)))-LN(INDEX(Dic2023!$K$6:$K$205,C1138)))*(A1138-6*C1138)/6))</f>
        <v>0.00849488369750664</v>
      </c>
      <c r="H1138" s="12" t="n">
        <f aca="false">G1138^(-1/B1138)-1</f>
        <v>0.0517528025</v>
      </c>
      <c r="I1138" s="12" t="n">
        <f aca="false">(1+H1138)^(1/12)-1</f>
        <v>0.00421369509431369</v>
      </c>
      <c r="J1138" s="16" t="n">
        <f aca="false">IF(C1138=0,(1+Dic2023!$M$6)^(-B1138),EXP(LN(INDEX(Dic2023!$N$6:$N$205,C1138))+(LN(INDEX(Dic2023!$N$6:$N$205,MIN(C1138+1,200)))-LN(INDEX(Dic2023!$N$6:$N$205,C1138)))*(A1138-6*C1138)/6))</f>
        <v>0.00849488369750664</v>
      </c>
      <c r="K1138" s="12" t="n">
        <f aca="false">J1138^(-1/B1138)-1</f>
        <v>0.0517528025</v>
      </c>
      <c r="L1138" s="12" t="n">
        <f aca="false">(1+K1138)^(1/12)-1</f>
        <v>0.00421369509431369</v>
      </c>
    </row>
    <row r="1139" customFormat="false" ht="15" hidden="false" customHeight="false" outlineLevel="0" collapsed="false">
      <c r="A1139" s="4" t="n">
        <v>1135</v>
      </c>
      <c r="B1139" s="14" t="n">
        <f aca="false">A1139/12</f>
        <v>94.5833333333333</v>
      </c>
      <c r="C1139" s="15" t="n">
        <f aca="false">INT(A1139/6)</f>
        <v>189</v>
      </c>
      <c r="D1139" s="16" t="n">
        <f aca="false">IF(C1139=0,(1+Dic2023!$G$6)^(-B1139),EXP(LN(INDEX(Dic2023!$H$6:$H$205,C1139))+(LN(INDEX(Dic2023!$H$6:$H$205,MIN(C1139+1,200)))-LN(INDEX(Dic2023!$H$6:$H$205,C1139)))*(A1139-6*C1139)/6))</f>
        <v>0.00845923904344764</v>
      </c>
      <c r="E1139" s="12" t="n">
        <f aca="false">D1139^(-1/B1139)-1</f>
        <v>0.0517528025</v>
      </c>
      <c r="F1139" s="12" t="n">
        <f aca="false">(1+E1139)^(1/12)-1</f>
        <v>0.00421369509431369</v>
      </c>
      <c r="G1139" s="16" t="n">
        <f aca="false">IF(C1139=0,(1+Dic2023!$J$6)^(-B1139),EXP(LN(INDEX(Dic2023!$K$6:$K$205,C1139))+(LN(INDEX(Dic2023!$K$6:$K$205,MIN(C1139+1,200)))-LN(INDEX(Dic2023!$K$6:$K$205,C1139)))*(A1139-6*C1139)/6))</f>
        <v>0.00845923904344764</v>
      </c>
      <c r="H1139" s="12" t="n">
        <f aca="false">G1139^(-1/B1139)-1</f>
        <v>0.0517528025</v>
      </c>
      <c r="I1139" s="12" t="n">
        <f aca="false">(1+H1139)^(1/12)-1</f>
        <v>0.00421369509431369</v>
      </c>
      <c r="J1139" s="16" t="n">
        <f aca="false">IF(C1139=0,(1+Dic2023!$M$6)^(-B1139),EXP(LN(INDEX(Dic2023!$N$6:$N$205,C1139))+(LN(INDEX(Dic2023!$N$6:$N$205,MIN(C1139+1,200)))-LN(INDEX(Dic2023!$N$6:$N$205,C1139)))*(A1139-6*C1139)/6))</f>
        <v>0.00845923904344764</v>
      </c>
      <c r="K1139" s="12" t="n">
        <f aca="false">J1139^(-1/B1139)-1</f>
        <v>0.0517528025</v>
      </c>
      <c r="L1139" s="12" t="n">
        <f aca="false">(1+K1139)^(1/12)-1</f>
        <v>0.00421369509431369</v>
      </c>
    </row>
    <row r="1140" customFormat="false" ht="15" hidden="false" customHeight="false" outlineLevel="0" collapsed="false">
      <c r="A1140" s="4" t="n">
        <v>1136</v>
      </c>
      <c r="B1140" s="14" t="n">
        <f aca="false">A1140/12</f>
        <v>94.6666666666667</v>
      </c>
      <c r="C1140" s="15" t="n">
        <f aca="false">INT(A1140/6)</f>
        <v>189</v>
      </c>
      <c r="D1140" s="16" t="n">
        <f aca="false">IF(C1140=0,(1+Dic2023!$G$6)^(-B1140),EXP(LN(INDEX(Dic2023!$H$6:$H$205,C1140))+(LN(INDEX(Dic2023!$H$6:$H$205,MIN(C1140+1,200)))-LN(INDEX(Dic2023!$H$6:$H$205,C1140)))*(A1140-6*C1140)/6))</f>
        <v>0.00842374395486926</v>
      </c>
      <c r="E1140" s="12" t="n">
        <f aca="false">D1140^(-1/B1140)-1</f>
        <v>0.0517528025</v>
      </c>
      <c r="F1140" s="12" t="n">
        <f aca="false">(1+E1140)^(1/12)-1</f>
        <v>0.00421369509431369</v>
      </c>
      <c r="G1140" s="16" t="n">
        <f aca="false">IF(C1140=0,(1+Dic2023!$J$6)^(-B1140),EXP(LN(INDEX(Dic2023!$K$6:$K$205,C1140))+(LN(INDEX(Dic2023!$K$6:$K$205,MIN(C1140+1,200)))-LN(INDEX(Dic2023!$K$6:$K$205,C1140)))*(A1140-6*C1140)/6))</f>
        <v>0.00842374395486926</v>
      </c>
      <c r="H1140" s="12" t="n">
        <f aca="false">G1140^(-1/B1140)-1</f>
        <v>0.0517528025</v>
      </c>
      <c r="I1140" s="12" t="n">
        <f aca="false">(1+H1140)^(1/12)-1</f>
        <v>0.00421369509431369</v>
      </c>
      <c r="J1140" s="16" t="n">
        <f aca="false">IF(C1140=0,(1+Dic2023!$M$6)^(-B1140),EXP(LN(INDEX(Dic2023!$N$6:$N$205,C1140))+(LN(INDEX(Dic2023!$N$6:$N$205,MIN(C1140+1,200)))-LN(INDEX(Dic2023!$N$6:$N$205,C1140)))*(A1140-6*C1140)/6))</f>
        <v>0.00842374395486926</v>
      </c>
      <c r="K1140" s="12" t="n">
        <f aca="false">J1140^(-1/B1140)-1</f>
        <v>0.0517528025</v>
      </c>
      <c r="L1140" s="12" t="n">
        <f aca="false">(1+K1140)^(1/12)-1</f>
        <v>0.00421369509431369</v>
      </c>
    </row>
    <row r="1141" customFormat="false" ht="15" hidden="false" customHeight="false" outlineLevel="0" collapsed="false">
      <c r="A1141" s="4" t="n">
        <v>1137</v>
      </c>
      <c r="B1141" s="14" t="n">
        <f aca="false">A1141/12</f>
        <v>94.75</v>
      </c>
      <c r="C1141" s="15" t="n">
        <f aca="false">INT(A1141/6)</f>
        <v>189</v>
      </c>
      <c r="D1141" s="16" t="n">
        <f aca="false">IF(C1141=0,(1+Dic2023!$G$6)^(-B1141),EXP(LN(INDEX(Dic2023!$H$6:$H$205,C1141))+(LN(INDEX(Dic2023!$H$6:$H$205,MIN(C1141+1,200)))-LN(INDEX(Dic2023!$H$6:$H$205,C1141)))*(A1141-6*C1141)/6))</f>
        <v>0.00838839780419257</v>
      </c>
      <c r="E1141" s="12" t="n">
        <f aca="false">D1141^(-1/B1141)-1</f>
        <v>0.0517528025</v>
      </c>
      <c r="F1141" s="12" t="n">
        <f aca="false">(1+E1141)^(1/12)-1</f>
        <v>0.00421369509431369</v>
      </c>
      <c r="G1141" s="16" t="n">
        <f aca="false">IF(C1141=0,(1+Dic2023!$J$6)^(-B1141),EXP(LN(INDEX(Dic2023!$K$6:$K$205,C1141))+(LN(INDEX(Dic2023!$K$6:$K$205,MIN(C1141+1,200)))-LN(INDEX(Dic2023!$K$6:$K$205,C1141)))*(A1141-6*C1141)/6))</f>
        <v>0.00838839780419257</v>
      </c>
      <c r="H1141" s="12" t="n">
        <f aca="false">G1141^(-1/B1141)-1</f>
        <v>0.0517528025</v>
      </c>
      <c r="I1141" s="12" t="n">
        <f aca="false">(1+H1141)^(1/12)-1</f>
        <v>0.00421369509431369</v>
      </c>
      <c r="J1141" s="16" t="n">
        <f aca="false">IF(C1141=0,(1+Dic2023!$M$6)^(-B1141),EXP(LN(INDEX(Dic2023!$N$6:$N$205,C1141))+(LN(INDEX(Dic2023!$N$6:$N$205,MIN(C1141+1,200)))-LN(INDEX(Dic2023!$N$6:$N$205,C1141)))*(A1141-6*C1141)/6))</f>
        <v>0.00838839780419257</v>
      </c>
      <c r="K1141" s="12" t="n">
        <f aca="false">J1141^(-1/B1141)-1</f>
        <v>0.0517528025</v>
      </c>
      <c r="L1141" s="12" t="n">
        <f aca="false">(1+K1141)^(1/12)-1</f>
        <v>0.00421369509431369</v>
      </c>
    </row>
    <row r="1142" customFormat="false" ht="15" hidden="false" customHeight="false" outlineLevel="0" collapsed="false">
      <c r="A1142" s="4" t="n">
        <v>1138</v>
      </c>
      <c r="B1142" s="14" t="n">
        <f aca="false">A1142/12</f>
        <v>94.8333333333333</v>
      </c>
      <c r="C1142" s="15" t="n">
        <f aca="false">INT(A1142/6)</f>
        <v>189</v>
      </c>
      <c r="D1142" s="16" t="n">
        <f aca="false">IF(C1142=0,(1+Dic2023!$G$6)^(-B1142),EXP(LN(INDEX(Dic2023!$H$6:$H$205,C1142))+(LN(INDEX(Dic2023!$H$6:$H$205,MIN(C1142+1,200)))-LN(INDEX(Dic2023!$H$6:$H$205,C1142)))*(A1142-6*C1142)/6))</f>
        <v>0.00835319996647203</v>
      </c>
      <c r="E1142" s="12" t="n">
        <f aca="false">D1142^(-1/B1142)-1</f>
        <v>0.0517528025</v>
      </c>
      <c r="F1142" s="12" t="n">
        <f aca="false">(1+E1142)^(1/12)-1</f>
        <v>0.00421369509431369</v>
      </c>
      <c r="G1142" s="16" t="n">
        <f aca="false">IF(C1142=0,(1+Dic2023!$J$6)^(-B1142),EXP(LN(INDEX(Dic2023!$K$6:$K$205,C1142))+(LN(INDEX(Dic2023!$K$6:$K$205,MIN(C1142+1,200)))-LN(INDEX(Dic2023!$K$6:$K$205,C1142)))*(A1142-6*C1142)/6))</f>
        <v>0.00835319996647203</v>
      </c>
      <c r="H1142" s="12" t="n">
        <f aca="false">G1142^(-1/B1142)-1</f>
        <v>0.0517528025</v>
      </c>
      <c r="I1142" s="12" t="n">
        <f aca="false">(1+H1142)^(1/12)-1</f>
        <v>0.00421369509431369</v>
      </c>
      <c r="J1142" s="16" t="n">
        <f aca="false">IF(C1142=0,(1+Dic2023!$M$6)^(-B1142),EXP(LN(INDEX(Dic2023!$N$6:$N$205,C1142))+(LN(INDEX(Dic2023!$N$6:$N$205,MIN(C1142+1,200)))-LN(INDEX(Dic2023!$N$6:$N$205,C1142)))*(A1142-6*C1142)/6))</f>
        <v>0.00835319996647203</v>
      </c>
      <c r="K1142" s="12" t="n">
        <f aca="false">J1142^(-1/B1142)-1</f>
        <v>0.0517528025</v>
      </c>
      <c r="L1142" s="12" t="n">
        <f aca="false">(1+K1142)^(1/12)-1</f>
        <v>0.00421369509431369</v>
      </c>
    </row>
    <row r="1143" customFormat="false" ht="15" hidden="false" customHeight="false" outlineLevel="0" collapsed="false">
      <c r="A1143" s="4" t="n">
        <v>1139</v>
      </c>
      <c r="B1143" s="14" t="n">
        <f aca="false">A1143/12</f>
        <v>94.9166666666667</v>
      </c>
      <c r="C1143" s="15" t="n">
        <f aca="false">INT(A1143/6)</f>
        <v>189</v>
      </c>
      <c r="D1143" s="16" t="n">
        <f aca="false">IF(C1143=0,(1+Dic2023!$G$6)^(-B1143),EXP(LN(INDEX(Dic2023!$H$6:$H$205,C1143))+(LN(INDEX(Dic2023!$H$6:$H$205,MIN(C1143+1,200)))-LN(INDEX(Dic2023!$H$6:$H$205,C1143)))*(A1143-6*C1143)/6))</f>
        <v>0.00831814981938433</v>
      </c>
      <c r="E1143" s="12" t="n">
        <f aca="false">D1143^(-1/B1143)-1</f>
        <v>0.0517528025</v>
      </c>
      <c r="F1143" s="12" t="n">
        <f aca="false">(1+E1143)^(1/12)-1</f>
        <v>0.00421369509431369</v>
      </c>
      <c r="G1143" s="16" t="n">
        <f aca="false">IF(C1143=0,(1+Dic2023!$J$6)^(-B1143),EXP(LN(INDEX(Dic2023!$K$6:$K$205,C1143))+(LN(INDEX(Dic2023!$K$6:$K$205,MIN(C1143+1,200)))-LN(INDEX(Dic2023!$K$6:$K$205,C1143)))*(A1143-6*C1143)/6))</f>
        <v>0.00831814981938433</v>
      </c>
      <c r="H1143" s="12" t="n">
        <f aca="false">G1143^(-1/B1143)-1</f>
        <v>0.0517528025</v>
      </c>
      <c r="I1143" s="12" t="n">
        <f aca="false">(1+H1143)^(1/12)-1</f>
        <v>0.00421369509431369</v>
      </c>
      <c r="J1143" s="16" t="n">
        <f aca="false">IF(C1143=0,(1+Dic2023!$M$6)^(-B1143),EXP(LN(INDEX(Dic2023!$N$6:$N$205,C1143))+(LN(INDEX(Dic2023!$N$6:$N$205,MIN(C1143+1,200)))-LN(INDEX(Dic2023!$N$6:$N$205,C1143)))*(A1143-6*C1143)/6))</f>
        <v>0.00831814981938433</v>
      </c>
      <c r="K1143" s="12" t="n">
        <f aca="false">J1143^(-1/B1143)-1</f>
        <v>0.0517528025</v>
      </c>
      <c r="L1143" s="12" t="n">
        <f aca="false">(1+K1143)^(1/12)-1</f>
        <v>0.00421369509431369</v>
      </c>
    </row>
    <row r="1144" customFormat="false" ht="15" hidden="false" customHeight="false" outlineLevel="0" collapsed="false">
      <c r="A1144" s="4" t="n">
        <v>1140</v>
      </c>
      <c r="B1144" s="14" t="n">
        <f aca="false">A1144/12</f>
        <v>95</v>
      </c>
      <c r="C1144" s="15" t="n">
        <f aca="false">INT(A1144/6)</f>
        <v>190</v>
      </c>
      <c r="D1144" s="16" t="n">
        <f aca="false">IF(C1144=0,(1+Dic2023!$G$6)^(-B1144),EXP(LN(INDEX(Dic2023!$H$6:$H$205,C1144))+(LN(INDEX(Dic2023!$H$6:$H$205,MIN(C1144+1,200)))-LN(INDEX(Dic2023!$H$6:$H$205,C1144)))*(A1144-6*C1144)/6))</f>
        <v>0.00828324674321744</v>
      </c>
      <c r="E1144" s="12" t="n">
        <f aca="false">D1144^(-1/B1144)-1</f>
        <v>0.0517528025</v>
      </c>
      <c r="F1144" s="12" t="n">
        <f aca="false">(1+E1144)^(1/12)-1</f>
        <v>0.00421369509431369</v>
      </c>
      <c r="G1144" s="16" t="n">
        <f aca="false">IF(C1144=0,(1+Dic2023!$J$6)^(-B1144),EXP(LN(INDEX(Dic2023!$K$6:$K$205,C1144))+(LN(INDEX(Dic2023!$K$6:$K$205,MIN(C1144+1,200)))-LN(INDEX(Dic2023!$K$6:$K$205,C1144)))*(A1144-6*C1144)/6))</f>
        <v>0.00828324674321744</v>
      </c>
      <c r="H1144" s="12" t="n">
        <f aca="false">G1144^(-1/B1144)-1</f>
        <v>0.0517528025</v>
      </c>
      <c r="I1144" s="12" t="n">
        <f aca="false">(1+H1144)^(1/12)-1</f>
        <v>0.00421369509431369</v>
      </c>
      <c r="J1144" s="16" t="n">
        <f aca="false">IF(C1144=0,(1+Dic2023!$M$6)^(-B1144),EXP(LN(INDEX(Dic2023!$N$6:$N$205,C1144))+(LN(INDEX(Dic2023!$N$6:$N$205,MIN(C1144+1,200)))-LN(INDEX(Dic2023!$N$6:$N$205,C1144)))*(A1144-6*C1144)/6))</f>
        <v>0.00828324674321744</v>
      </c>
      <c r="K1144" s="12" t="n">
        <f aca="false">J1144^(-1/B1144)-1</f>
        <v>0.0517528025</v>
      </c>
      <c r="L1144" s="12" t="n">
        <f aca="false">(1+K1144)^(1/12)-1</f>
        <v>0.00421369509431369</v>
      </c>
    </row>
    <row r="1145" customFormat="false" ht="15" hidden="false" customHeight="false" outlineLevel="0" collapsed="false">
      <c r="A1145" s="4" t="n">
        <v>1141</v>
      </c>
      <c r="B1145" s="14" t="n">
        <f aca="false">A1145/12</f>
        <v>95.0833333333333</v>
      </c>
      <c r="C1145" s="15" t="n">
        <f aca="false">INT(A1145/6)</f>
        <v>190</v>
      </c>
      <c r="D1145" s="16" t="n">
        <f aca="false">IF(C1145=0,(1+Dic2023!$G$6)^(-B1145),EXP(LN(INDEX(Dic2023!$H$6:$H$205,C1145))+(LN(INDEX(Dic2023!$H$6:$H$205,MIN(C1145+1,200)))-LN(INDEX(Dic2023!$H$6:$H$205,C1145)))*(A1145-6*C1145)/6))</f>
        <v>0.00824849012085967</v>
      </c>
      <c r="E1145" s="12" t="n">
        <f aca="false">D1145^(-1/B1145)-1</f>
        <v>0.0517528025</v>
      </c>
      <c r="F1145" s="12" t="n">
        <f aca="false">(1+E1145)^(1/12)-1</f>
        <v>0.00421369509431369</v>
      </c>
      <c r="G1145" s="16" t="n">
        <f aca="false">IF(C1145=0,(1+Dic2023!$J$6)^(-B1145),EXP(LN(INDEX(Dic2023!$K$6:$K$205,C1145))+(LN(INDEX(Dic2023!$K$6:$K$205,MIN(C1145+1,200)))-LN(INDEX(Dic2023!$K$6:$K$205,C1145)))*(A1145-6*C1145)/6))</f>
        <v>0.00824849012085967</v>
      </c>
      <c r="H1145" s="12" t="n">
        <f aca="false">G1145^(-1/B1145)-1</f>
        <v>0.0517528025</v>
      </c>
      <c r="I1145" s="12" t="n">
        <f aca="false">(1+H1145)^(1/12)-1</f>
        <v>0.00421369509431369</v>
      </c>
      <c r="J1145" s="16" t="n">
        <f aca="false">IF(C1145=0,(1+Dic2023!$M$6)^(-B1145),EXP(LN(INDEX(Dic2023!$N$6:$N$205,C1145))+(LN(INDEX(Dic2023!$N$6:$N$205,MIN(C1145+1,200)))-LN(INDEX(Dic2023!$N$6:$N$205,C1145)))*(A1145-6*C1145)/6))</f>
        <v>0.00824849012085967</v>
      </c>
      <c r="K1145" s="12" t="n">
        <f aca="false">J1145^(-1/B1145)-1</f>
        <v>0.0517528025</v>
      </c>
      <c r="L1145" s="12" t="n">
        <f aca="false">(1+K1145)^(1/12)-1</f>
        <v>0.00421369509431369</v>
      </c>
    </row>
    <row r="1146" customFormat="false" ht="15" hidden="false" customHeight="false" outlineLevel="0" collapsed="false">
      <c r="A1146" s="4" t="n">
        <v>1142</v>
      </c>
      <c r="B1146" s="14" t="n">
        <f aca="false">A1146/12</f>
        <v>95.1666666666667</v>
      </c>
      <c r="C1146" s="15" t="n">
        <f aca="false">INT(A1146/6)</f>
        <v>190</v>
      </c>
      <c r="D1146" s="16" t="n">
        <f aca="false">IF(C1146=0,(1+Dic2023!$G$6)^(-B1146),EXP(LN(INDEX(Dic2023!$H$6:$H$205,C1146))+(LN(INDEX(Dic2023!$H$6:$H$205,MIN(C1146+1,200)))-LN(INDEX(Dic2023!$H$6:$H$205,C1146)))*(A1146-6*C1146)/6))</f>
        <v>0.00821387933778875</v>
      </c>
      <c r="E1146" s="12" t="n">
        <f aca="false">D1146^(-1/B1146)-1</f>
        <v>0.0517528025</v>
      </c>
      <c r="F1146" s="12" t="n">
        <f aca="false">(1+E1146)^(1/12)-1</f>
        <v>0.00421369509431369</v>
      </c>
      <c r="G1146" s="16" t="n">
        <f aca="false">IF(C1146=0,(1+Dic2023!$J$6)^(-B1146),EXP(LN(INDEX(Dic2023!$K$6:$K$205,C1146))+(LN(INDEX(Dic2023!$K$6:$K$205,MIN(C1146+1,200)))-LN(INDEX(Dic2023!$K$6:$K$205,C1146)))*(A1146-6*C1146)/6))</f>
        <v>0.00821387933778875</v>
      </c>
      <c r="H1146" s="12" t="n">
        <f aca="false">G1146^(-1/B1146)-1</f>
        <v>0.0517528025</v>
      </c>
      <c r="I1146" s="12" t="n">
        <f aca="false">(1+H1146)^(1/12)-1</f>
        <v>0.00421369509431369</v>
      </c>
      <c r="J1146" s="16" t="n">
        <f aca="false">IF(C1146=0,(1+Dic2023!$M$6)^(-B1146),EXP(LN(INDEX(Dic2023!$N$6:$N$205,C1146))+(LN(INDEX(Dic2023!$N$6:$N$205,MIN(C1146+1,200)))-LN(INDEX(Dic2023!$N$6:$N$205,C1146)))*(A1146-6*C1146)/6))</f>
        <v>0.00821387933778875</v>
      </c>
      <c r="K1146" s="12" t="n">
        <f aca="false">J1146^(-1/B1146)-1</f>
        <v>0.0517528025</v>
      </c>
      <c r="L1146" s="12" t="n">
        <f aca="false">(1+K1146)^(1/12)-1</f>
        <v>0.00421369509431369</v>
      </c>
    </row>
    <row r="1147" customFormat="false" ht="15" hidden="false" customHeight="false" outlineLevel="0" collapsed="false">
      <c r="A1147" s="4" t="n">
        <v>1143</v>
      </c>
      <c r="B1147" s="14" t="n">
        <f aca="false">A1147/12</f>
        <v>95.25</v>
      </c>
      <c r="C1147" s="15" t="n">
        <f aca="false">INT(A1147/6)</f>
        <v>190</v>
      </c>
      <c r="D1147" s="16" t="n">
        <f aca="false">IF(C1147=0,(1+Dic2023!$G$6)^(-B1147),EXP(LN(INDEX(Dic2023!$H$6:$H$205,C1147))+(LN(INDEX(Dic2023!$H$6:$H$205,MIN(C1147+1,200)))-LN(INDEX(Dic2023!$H$6:$H$205,C1147)))*(A1147-6*C1147)/6))</f>
        <v>0.00817941378206092</v>
      </c>
      <c r="E1147" s="12" t="n">
        <f aca="false">D1147^(-1/B1147)-1</f>
        <v>0.0517528025</v>
      </c>
      <c r="F1147" s="12" t="n">
        <f aca="false">(1+E1147)^(1/12)-1</f>
        <v>0.00421369509431369</v>
      </c>
      <c r="G1147" s="16" t="n">
        <f aca="false">IF(C1147=0,(1+Dic2023!$J$6)^(-B1147),EXP(LN(INDEX(Dic2023!$K$6:$K$205,C1147))+(LN(INDEX(Dic2023!$K$6:$K$205,MIN(C1147+1,200)))-LN(INDEX(Dic2023!$K$6:$K$205,C1147)))*(A1147-6*C1147)/6))</f>
        <v>0.00817941378206092</v>
      </c>
      <c r="H1147" s="12" t="n">
        <f aca="false">G1147^(-1/B1147)-1</f>
        <v>0.0517528025</v>
      </c>
      <c r="I1147" s="12" t="n">
        <f aca="false">(1+H1147)^(1/12)-1</f>
        <v>0.00421369509431369</v>
      </c>
      <c r="J1147" s="16" t="n">
        <f aca="false">IF(C1147=0,(1+Dic2023!$M$6)^(-B1147),EXP(LN(INDEX(Dic2023!$N$6:$N$205,C1147))+(LN(INDEX(Dic2023!$N$6:$N$205,MIN(C1147+1,200)))-LN(INDEX(Dic2023!$N$6:$N$205,C1147)))*(A1147-6*C1147)/6))</f>
        <v>0.00817941378206092</v>
      </c>
      <c r="K1147" s="12" t="n">
        <f aca="false">J1147^(-1/B1147)-1</f>
        <v>0.0517528025</v>
      </c>
      <c r="L1147" s="12" t="n">
        <f aca="false">(1+K1147)^(1/12)-1</f>
        <v>0.00421369509431369</v>
      </c>
    </row>
    <row r="1148" customFormat="false" ht="15" hidden="false" customHeight="false" outlineLevel="0" collapsed="false">
      <c r="A1148" s="4" t="n">
        <v>1144</v>
      </c>
      <c r="B1148" s="14" t="n">
        <f aca="false">A1148/12</f>
        <v>95.3333333333333</v>
      </c>
      <c r="C1148" s="15" t="n">
        <f aca="false">INT(A1148/6)</f>
        <v>190</v>
      </c>
      <c r="D1148" s="16" t="n">
        <f aca="false">IF(C1148=0,(1+Dic2023!$G$6)^(-B1148),EXP(LN(INDEX(Dic2023!$H$6:$H$205,C1148))+(LN(INDEX(Dic2023!$H$6:$H$205,MIN(C1148+1,200)))-LN(INDEX(Dic2023!$H$6:$H$205,C1148)))*(A1148-6*C1148)/6))</f>
        <v>0.00814509284430016</v>
      </c>
      <c r="E1148" s="12" t="n">
        <f aca="false">D1148^(-1/B1148)-1</f>
        <v>0.0517528025</v>
      </c>
      <c r="F1148" s="12" t="n">
        <f aca="false">(1+E1148)^(1/12)-1</f>
        <v>0.00421369509431369</v>
      </c>
      <c r="G1148" s="16" t="n">
        <f aca="false">IF(C1148=0,(1+Dic2023!$J$6)^(-B1148),EXP(LN(INDEX(Dic2023!$K$6:$K$205,C1148))+(LN(INDEX(Dic2023!$K$6:$K$205,MIN(C1148+1,200)))-LN(INDEX(Dic2023!$K$6:$K$205,C1148)))*(A1148-6*C1148)/6))</f>
        <v>0.00814509284430016</v>
      </c>
      <c r="H1148" s="12" t="n">
        <f aca="false">G1148^(-1/B1148)-1</f>
        <v>0.0517528025</v>
      </c>
      <c r="I1148" s="12" t="n">
        <f aca="false">(1+H1148)^(1/12)-1</f>
        <v>0.00421369509431369</v>
      </c>
      <c r="J1148" s="16" t="n">
        <f aca="false">IF(C1148=0,(1+Dic2023!$M$6)^(-B1148),EXP(LN(INDEX(Dic2023!$N$6:$N$205,C1148))+(LN(INDEX(Dic2023!$N$6:$N$205,MIN(C1148+1,200)))-LN(INDEX(Dic2023!$N$6:$N$205,C1148)))*(A1148-6*C1148)/6))</f>
        <v>0.00814509284430016</v>
      </c>
      <c r="K1148" s="12" t="n">
        <f aca="false">J1148^(-1/B1148)-1</f>
        <v>0.0517528025</v>
      </c>
      <c r="L1148" s="12" t="n">
        <f aca="false">(1+K1148)^(1/12)-1</f>
        <v>0.00421369509431369</v>
      </c>
    </row>
    <row r="1149" customFormat="false" ht="15" hidden="false" customHeight="false" outlineLevel="0" collapsed="false">
      <c r="A1149" s="4" t="n">
        <v>1145</v>
      </c>
      <c r="B1149" s="14" t="n">
        <f aca="false">A1149/12</f>
        <v>95.4166666666667</v>
      </c>
      <c r="C1149" s="15" t="n">
        <f aca="false">INT(A1149/6)</f>
        <v>190</v>
      </c>
      <c r="D1149" s="16" t="n">
        <f aca="false">IF(C1149=0,(1+Dic2023!$G$6)^(-B1149),EXP(LN(INDEX(Dic2023!$H$6:$H$205,C1149))+(LN(INDEX(Dic2023!$H$6:$H$205,MIN(C1149+1,200)))-LN(INDEX(Dic2023!$H$6:$H$205,C1149)))*(A1149-6*C1149)/6))</f>
        <v>0.00811091591768742</v>
      </c>
      <c r="E1149" s="12" t="n">
        <f aca="false">D1149^(-1/B1149)-1</f>
        <v>0.0517528025</v>
      </c>
      <c r="F1149" s="12" t="n">
        <f aca="false">(1+E1149)^(1/12)-1</f>
        <v>0.00421369509431369</v>
      </c>
      <c r="G1149" s="16" t="n">
        <f aca="false">IF(C1149=0,(1+Dic2023!$J$6)^(-B1149),EXP(LN(INDEX(Dic2023!$K$6:$K$205,C1149))+(LN(INDEX(Dic2023!$K$6:$K$205,MIN(C1149+1,200)))-LN(INDEX(Dic2023!$K$6:$K$205,C1149)))*(A1149-6*C1149)/6))</f>
        <v>0.00811091591768742</v>
      </c>
      <c r="H1149" s="12" t="n">
        <f aca="false">G1149^(-1/B1149)-1</f>
        <v>0.0517528025</v>
      </c>
      <c r="I1149" s="12" t="n">
        <f aca="false">(1+H1149)^(1/12)-1</f>
        <v>0.00421369509431369</v>
      </c>
      <c r="J1149" s="16" t="n">
        <f aca="false">IF(C1149=0,(1+Dic2023!$M$6)^(-B1149),EXP(LN(INDEX(Dic2023!$N$6:$N$205,C1149))+(LN(INDEX(Dic2023!$N$6:$N$205,MIN(C1149+1,200)))-LN(INDEX(Dic2023!$N$6:$N$205,C1149)))*(A1149-6*C1149)/6))</f>
        <v>0.00811091591768742</v>
      </c>
      <c r="K1149" s="12" t="n">
        <f aca="false">J1149^(-1/B1149)-1</f>
        <v>0.0517528025</v>
      </c>
      <c r="L1149" s="12" t="n">
        <f aca="false">(1+K1149)^(1/12)-1</f>
        <v>0.00421369509431369</v>
      </c>
    </row>
    <row r="1150" customFormat="false" ht="15" hidden="false" customHeight="false" outlineLevel="0" collapsed="false">
      <c r="A1150" s="4" t="n">
        <v>1146</v>
      </c>
      <c r="B1150" s="14" t="n">
        <f aca="false">A1150/12</f>
        <v>95.5</v>
      </c>
      <c r="C1150" s="15" t="n">
        <f aca="false">INT(A1150/6)</f>
        <v>191</v>
      </c>
      <c r="D1150" s="16" t="n">
        <f aca="false">IF(C1150=0,(1+Dic2023!$G$6)^(-B1150),EXP(LN(INDEX(Dic2023!$H$6:$H$205,C1150))+(LN(INDEX(Dic2023!$H$6:$H$205,MIN(C1150+1,200)))-LN(INDEX(Dic2023!$H$6:$H$205,C1150)))*(A1150-6*C1150)/6))</f>
        <v>0.00807688239794982</v>
      </c>
      <c r="E1150" s="12" t="n">
        <f aca="false">D1150^(-1/B1150)-1</f>
        <v>0.0517528025</v>
      </c>
      <c r="F1150" s="12" t="n">
        <f aca="false">(1+E1150)^(1/12)-1</f>
        <v>0.00421369509431369</v>
      </c>
      <c r="G1150" s="16" t="n">
        <f aca="false">IF(C1150=0,(1+Dic2023!$J$6)^(-B1150),EXP(LN(INDEX(Dic2023!$K$6:$K$205,C1150))+(LN(INDEX(Dic2023!$K$6:$K$205,MIN(C1150+1,200)))-LN(INDEX(Dic2023!$K$6:$K$205,C1150)))*(A1150-6*C1150)/6))</f>
        <v>0.00807688239794982</v>
      </c>
      <c r="H1150" s="12" t="n">
        <f aca="false">G1150^(-1/B1150)-1</f>
        <v>0.0517528025</v>
      </c>
      <c r="I1150" s="12" t="n">
        <f aca="false">(1+H1150)^(1/12)-1</f>
        <v>0.00421369509431369</v>
      </c>
      <c r="J1150" s="16" t="n">
        <f aca="false">IF(C1150=0,(1+Dic2023!$M$6)^(-B1150),EXP(LN(INDEX(Dic2023!$N$6:$N$205,C1150))+(LN(INDEX(Dic2023!$N$6:$N$205,MIN(C1150+1,200)))-LN(INDEX(Dic2023!$N$6:$N$205,C1150)))*(A1150-6*C1150)/6))</f>
        <v>0.00807688239794982</v>
      </c>
      <c r="K1150" s="12" t="n">
        <f aca="false">J1150^(-1/B1150)-1</f>
        <v>0.0517528025</v>
      </c>
      <c r="L1150" s="12" t="n">
        <f aca="false">(1+K1150)^(1/12)-1</f>
        <v>0.00421369509431369</v>
      </c>
    </row>
    <row r="1151" customFormat="false" ht="15" hidden="false" customHeight="false" outlineLevel="0" collapsed="false">
      <c r="A1151" s="4" t="n">
        <v>1147</v>
      </c>
      <c r="B1151" s="14" t="n">
        <f aca="false">A1151/12</f>
        <v>95.5833333333333</v>
      </c>
      <c r="C1151" s="15" t="n">
        <f aca="false">INT(A1151/6)</f>
        <v>191</v>
      </c>
      <c r="D1151" s="16" t="n">
        <f aca="false">IF(C1151=0,(1+Dic2023!$G$6)^(-B1151),EXP(LN(INDEX(Dic2023!$H$6:$H$205,C1151))+(LN(INDEX(Dic2023!$H$6:$H$205,MIN(C1151+1,200)))-LN(INDEX(Dic2023!$H$6:$H$205,C1151)))*(A1151-6*C1151)/6))</f>
        <v>0.00804299168335008</v>
      </c>
      <c r="E1151" s="12" t="n">
        <f aca="false">D1151^(-1/B1151)-1</f>
        <v>0.0517528025</v>
      </c>
      <c r="F1151" s="12" t="n">
        <f aca="false">(1+E1151)^(1/12)-1</f>
        <v>0.00421369509431369</v>
      </c>
      <c r="G1151" s="16" t="n">
        <f aca="false">IF(C1151=0,(1+Dic2023!$J$6)^(-B1151),EXP(LN(INDEX(Dic2023!$K$6:$K$205,C1151))+(LN(INDEX(Dic2023!$K$6:$K$205,MIN(C1151+1,200)))-LN(INDEX(Dic2023!$K$6:$K$205,C1151)))*(A1151-6*C1151)/6))</f>
        <v>0.00804299168335008</v>
      </c>
      <c r="H1151" s="12" t="n">
        <f aca="false">G1151^(-1/B1151)-1</f>
        <v>0.0517528025</v>
      </c>
      <c r="I1151" s="12" t="n">
        <f aca="false">(1+H1151)^(1/12)-1</f>
        <v>0.00421369509431369</v>
      </c>
      <c r="J1151" s="16" t="n">
        <f aca="false">IF(C1151=0,(1+Dic2023!$M$6)^(-B1151),EXP(LN(INDEX(Dic2023!$N$6:$N$205,C1151))+(LN(INDEX(Dic2023!$N$6:$N$205,MIN(C1151+1,200)))-LN(INDEX(Dic2023!$N$6:$N$205,C1151)))*(A1151-6*C1151)/6))</f>
        <v>0.00804299168335008</v>
      </c>
      <c r="K1151" s="12" t="n">
        <f aca="false">J1151^(-1/B1151)-1</f>
        <v>0.0517528025</v>
      </c>
      <c r="L1151" s="12" t="n">
        <f aca="false">(1+K1151)^(1/12)-1</f>
        <v>0.00421369509431369</v>
      </c>
    </row>
    <row r="1152" customFormat="false" ht="15" hidden="false" customHeight="false" outlineLevel="0" collapsed="false">
      <c r="A1152" s="4" t="n">
        <v>1148</v>
      </c>
      <c r="B1152" s="14" t="n">
        <f aca="false">A1152/12</f>
        <v>95.6666666666667</v>
      </c>
      <c r="C1152" s="15" t="n">
        <f aca="false">INT(A1152/6)</f>
        <v>191</v>
      </c>
      <c r="D1152" s="16" t="n">
        <f aca="false">IF(C1152=0,(1+Dic2023!$G$6)^(-B1152),EXP(LN(INDEX(Dic2023!$H$6:$H$205,C1152))+(LN(INDEX(Dic2023!$H$6:$H$205,MIN(C1152+1,200)))-LN(INDEX(Dic2023!$H$6:$H$205,C1152)))*(A1152-6*C1152)/6))</f>
        <v>0.00800924317467579</v>
      </c>
      <c r="E1152" s="12" t="n">
        <f aca="false">D1152^(-1/B1152)-1</f>
        <v>0.0517528025</v>
      </c>
      <c r="F1152" s="12" t="n">
        <f aca="false">(1+E1152)^(1/12)-1</f>
        <v>0.00421369509431369</v>
      </c>
      <c r="G1152" s="16" t="n">
        <f aca="false">IF(C1152=0,(1+Dic2023!$J$6)^(-B1152),EXP(LN(INDEX(Dic2023!$K$6:$K$205,C1152))+(LN(INDEX(Dic2023!$K$6:$K$205,MIN(C1152+1,200)))-LN(INDEX(Dic2023!$K$6:$K$205,C1152)))*(A1152-6*C1152)/6))</f>
        <v>0.00800924317467579</v>
      </c>
      <c r="H1152" s="12" t="n">
        <f aca="false">G1152^(-1/B1152)-1</f>
        <v>0.0517528025</v>
      </c>
      <c r="I1152" s="12" t="n">
        <f aca="false">(1+H1152)^(1/12)-1</f>
        <v>0.00421369509431369</v>
      </c>
      <c r="J1152" s="16" t="n">
        <f aca="false">IF(C1152=0,(1+Dic2023!$M$6)^(-B1152),EXP(LN(INDEX(Dic2023!$N$6:$N$205,C1152))+(LN(INDEX(Dic2023!$N$6:$N$205,MIN(C1152+1,200)))-LN(INDEX(Dic2023!$N$6:$N$205,C1152)))*(A1152-6*C1152)/6))</f>
        <v>0.00800924317467579</v>
      </c>
      <c r="K1152" s="12" t="n">
        <f aca="false">J1152^(-1/B1152)-1</f>
        <v>0.0517528025</v>
      </c>
      <c r="L1152" s="12" t="n">
        <f aca="false">(1+K1152)^(1/12)-1</f>
        <v>0.00421369509431369</v>
      </c>
    </row>
    <row r="1153" customFormat="false" ht="15" hidden="false" customHeight="false" outlineLevel="0" collapsed="false">
      <c r="A1153" s="4" t="n">
        <v>1149</v>
      </c>
      <c r="B1153" s="14" t="n">
        <f aca="false">A1153/12</f>
        <v>95.75</v>
      </c>
      <c r="C1153" s="15" t="n">
        <f aca="false">INT(A1153/6)</f>
        <v>191</v>
      </c>
      <c r="D1153" s="16" t="n">
        <f aca="false">IF(C1153=0,(1+Dic2023!$G$6)^(-B1153),EXP(LN(INDEX(Dic2023!$H$6:$H$205,C1153))+(LN(INDEX(Dic2023!$H$6:$H$205,MIN(C1153+1,200)))-LN(INDEX(Dic2023!$H$6:$H$205,C1153)))*(A1153-6*C1153)/6))</f>
        <v>0.00797563627522883</v>
      </c>
      <c r="E1153" s="12" t="n">
        <f aca="false">D1153^(-1/B1153)-1</f>
        <v>0.0517528025</v>
      </c>
      <c r="F1153" s="12" t="n">
        <f aca="false">(1+E1153)^(1/12)-1</f>
        <v>0.00421369509431369</v>
      </c>
      <c r="G1153" s="16" t="n">
        <f aca="false">IF(C1153=0,(1+Dic2023!$J$6)^(-B1153),EXP(LN(INDEX(Dic2023!$K$6:$K$205,C1153))+(LN(INDEX(Dic2023!$K$6:$K$205,MIN(C1153+1,200)))-LN(INDEX(Dic2023!$K$6:$K$205,C1153)))*(A1153-6*C1153)/6))</f>
        <v>0.00797563627522883</v>
      </c>
      <c r="H1153" s="12" t="n">
        <f aca="false">G1153^(-1/B1153)-1</f>
        <v>0.0517528025</v>
      </c>
      <c r="I1153" s="12" t="n">
        <f aca="false">(1+H1153)^(1/12)-1</f>
        <v>0.00421369509431369</v>
      </c>
      <c r="J1153" s="16" t="n">
        <f aca="false">IF(C1153=0,(1+Dic2023!$M$6)^(-B1153),EXP(LN(INDEX(Dic2023!$N$6:$N$205,C1153))+(LN(INDEX(Dic2023!$N$6:$N$205,MIN(C1153+1,200)))-LN(INDEX(Dic2023!$N$6:$N$205,C1153)))*(A1153-6*C1153)/6))</f>
        <v>0.00797563627522883</v>
      </c>
      <c r="K1153" s="12" t="n">
        <f aca="false">J1153^(-1/B1153)-1</f>
        <v>0.0517528025</v>
      </c>
      <c r="L1153" s="12" t="n">
        <f aca="false">(1+K1153)^(1/12)-1</f>
        <v>0.00421369509431369</v>
      </c>
    </row>
    <row r="1154" customFormat="false" ht="15" hidden="false" customHeight="false" outlineLevel="0" collapsed="false">
      <c r="A1154" s="4" t="n">
        <v>1150</v>
      </c>
      <c r="B1154" s="14" t="n">
        <f aca="false">A1154/12</f>
        <v>95.8333333333333</v>
      </c>
      <c r="C1154" s="15" t="n">
        <f aca="false">INT(A1154/6)</f>
        <v>191</v>
      </c>
      <c r="D1154" s="16" t="n">
        <f aca="false">IF(C1154=0,(1+Dic2023!$G$6)^(-B1154),EXP(LN(INDEX(Dic2023!$H$6:$H$205,C1154))+(LN(INDEX(Dic2023!$H$6:$H$205,MIN(C1154+1,200)))-LN(INDEX(Dic2023!$H$6:$H$205,C1154)))*(A1154-6*C1154)/6))</f>
        <v>0.00794217039081484</v>
      </c>
      <c r="E1154" s="12" t="n">
        <f aca="false">D1154^(-1/B1154)-1</f>
        <v>0.0517528025</v>
      </c>
      <c r="F1154" s="12" t="n">
        <f aca="false">(1+E1154)^(1/12)-1</f>
        <v>0.00421369509431369</v>
      </c>
      <c r="G1154" s="16" t="n">
        <f aca="false">IF(C1154=0,(1+Dic2023!$J$6)^(-B1154),EXP(LN(INDEX(Dic2023!$K$6:$K$205,C1154))+(LN(INDEX(Dic2023!$K$6:$K$205,MIN(C1154+1,200)))-LN(INDEX(Dic2023!$K$6:$K$205,C1154)))*(A1154-6*C1154)/6))</f>
        <v>0.00794217039081484</v>
      </c>
      <c r="H1154" s="12" t="n">
        <f aca="false">G1154^(-1/B1154)-1</f>
        <v>0.0517528025</v>
      </c>
      <c r="I1154" s="12" t="n">
        <f aca="false">(1+H1154)^(1/12)-1</f>
        <v>0.00421369509431369</v>
      </c>
      <c r="J1154" s="16" t="n">
        <f aca="false">IF(C1154=0,(1+Dic2023!$M$6)^(-B1154),EXP(LN(INDEX(Dic2023!$N$6:$N$205,C1154))+(LN(INDEX(Dic2023!$N$6:$N$205,MIN(C1154+1,200)))-LN(INDEX(Dic2023!$N$6:$N$205,C1154)))*(A1154-6*C1154)/6))</f>
        <v>0.00794217039081484</v>
      </c>
      <c r="K1154" s="12" t="n">
        <f aca="false">J1154^(-1/B1154)-1</f>
        <v>0.0517528025</v>
      </c>
      <c r="L1154" s="12" t="n">
        <f aca="false">(1+K1154)^(1/12)-1</f>
        <v>0.00421369509431369</v>
      </c>
    </row>
    <row r="1155" customFormat="false" ht="15" hidden="false" customHeight="false" outlineLevel="0" collapsed="false">
      <c r="A1155" s="4" t="n">
        <v>1151</v>
      </c>
      <c r="B1155" s="14" t="n">
        <f aca="false">A1155/12</f>
        <v>95.9166666666667</v>
      </c>
      <c r="C1155" s="15" t="n">
        <f aca="false">INT(A1155/6)</f>
        <v>191</v>
      </c>
      <c r="D1155" s="16" t="n">
        <f aca="false">IF(C1155=0,(1+Dic2023!$G$6)^(-B1155),EXP(LN(INDEX(Dic2023!$H$6:$H$205,C1155))+(LN(INDEX(Dic2023!$H$6:$H$205,MIN(C1155+1,200)))-LN(INDEX(Dic2023!$H$6:$H$205,C1155)))*(A1155-6*C1155)/6))</f>
        <v>0.00790884492973275</v>
      </c>
      <c r="E1155" s="12" t="n">
        <f aca="false">D1155^(-1/B1155)-1</f>
        <v>0.0517528025</v>
      </c>
      <c r="F1155" s="12" t="n">
        <f aca="false">(1+E1155)^(1/12)-1</f>
        <v>0.00421369509431369</v>
      </c>
      <c r="G1155" s="16" t="n">
        <f aca="false">IF(C1155=0,(1+Dic2023!$J$6)^(-B1155),EXP(LN(INDEX(Dic2023!$K$6:$K$205,C1155))+(LN(INDEX(Dic2023!$K$6:$K$205,MIN(C1155+1,200)))-LN(INDEX(Dic2023!$K$6:$K$205,C1155)))*(A1155-6*C1155)/6))</f>
        <v>0.00790884492973275</v>
      </c>
      <c r="H1155" s="12" t="n">
        <f aca="false">G1155^(-1/B1155)-1</f>
        <v>0.0517528025</v>
      </c>
      <c r="I1155" s="12" t="n">
        <f aca="false">(1+H1155)^(1/12)-1</f>
        <v>0.00421369509431369</v>
      </c>
      <c r="J1155" s="16" t="n">
        <f aca="false">IF(C1155=0,(1+Dic2023!$M$6)^(-B1155),EXP(LN(INDEX(Dic2023!$N$6:$N$205,C1155))+(LN(INDEX(Dic2023!$N$6:$N$205,MIN(C1155+1,200)))-LN(INDEX(Dic2023!$N$6:$N$205,C1155)))*(A1155-6*C1155)/6))</f>
        <v>0.00790884492973275</v>
      </c>
      <c r="K1155" s="12" t="n">
        <f aca="false">J1155^(-1/B1155)-1</f>
        <v>0.0517528025</v>
      </c>
      <c r="L1155" s="12" t="n">
        <f aca="false">(1+K1155)^(1/12)-1</f>
        <v>0.00421369509431369</v>
      </c>
    </row>
    <row r="1156" customFormat="false" ht="15" hidden="false" customHeight="false" outlineLevel="0" collapsed="false">
      <c r="A1156" s="4" t="n">
        <v>1152</v>
      </c>
      <c r="B1156" s="14" t="n">
        <f aca="false">A1156/12</f>
        <v>96</v>
      </c>
      <c r="C1156" s="15" t="n">
        <f aca="false">INT(A1156/6)</f>
        <v>192</v>
      </c>
      <c r="D1156" s="16" t="n">
        <f aca="false">IF(C1156=0,(1+Dic2023!$G$6)^(-B1156),EXP(LN(INDEX(Dic2023!$H$6:$H$205,C1156))+(LN(INDEX(Dic2023!$H$6:$H$205,MIN(C1156+1,200)))-LN(INDEX(Dic2023!$H$6:$H$205,C1156)))*(A1156-6*C1156)/6))</f>
        <v>0.0078756593027642</v>
      </c>
      <c r="E1156" s="12" t="n">
        <f aca="false">D1156^(-1/B1156)-1</f>
        <v>0.0517528025</v>
      </c>
      <c r="F1156" s="12" t="n">
        <f aca="false">(1+E1156)^(1/12)-1</f>
        <v>0.00421369509431369</v>
      </c>
      <c r="G1156" s="16" t="n">
        <f aca="false">IF(C1156=0,(1+Dic2023!$J$6)^(-B1156),EXP(LN(INDEX(Dic2023!$K$6:$K$205,C1156))+(LN(INDEX(Dic2023!$K$6:$K$205,MIN(C1156+1,200)))-LN(INDEX(Dic2023!$K$6:$K$205,C1156)))*(A1156-6*C1156)/6))</f>
        <v>0.0078756593027642</v>
      </c>
      <c r="H1156" s="12" t="n">
        <f aca="false">G1156^(-1/B1156)-1</f>
        <v>0.0517528025</v>
      </c>
      <c r="I1156" s="12" t="n">
        <f aca="false">(1+H1156)^(1/12)-1</f>
        <v>0.00421369509431369</v>
      </c>
      <c r="J1156" s="16" t="n">
        <f aca="false">IF(C1156=0,(1+Dic2023!$M$6)^(-B1156),EXP(LN(INDEX(Dic2023!$N$6:$N$205,C1156))+(LN(INDEX(Dic2023!$N$6:$N$205,MIN(C1156+1,200)))-LN(INDEX(Dic2023!$N$6:$N$205,C1156)))*(A1156-6*C1156)/6))</f>
        <v>0.0078756593027642</v>
      </c>
      <c r="K1156" s="12" t="n">
        <f aca="false">J1156^(-1/B1156)-1</f>
        <v>0.0517528025</v>
      </c>
      <c r="L1156" s="12" t="n">
        <f aca="false">(1+K1156)^(1/12)-1</f>
        <v>0.00421369509431369</v>
      </c>
    </row>
    <row r="1157" customFormat="false" ht="15" hidden="false" customHeight="false" outlineLevel="0" collapsed="false">
      <c r="A1157" s="4" t="n">
        <v>1153</v>
      </c>
      <c r="B1157" s="14" t="n">
        <f aca="false">A1157/12</f>
        <v>96.0833333333333</v>
      </c>
      <c r="C1157" s="15" t="n">
        <f aca="false">INT(A1157/6)</f>
        <v>192</v>
      </c>
      <c r="D1157" s="16" t="n">
        <f aca="false">IF(C1157=0,(1+Dic2023!$G$6)^(-B1157),EXP(LN(INDEX(Dic2023!$H$6:$H$205,C1157))+(LN(INDEX(Dic2023!$H$6:$H$205,MIN(C1157+1,200)))-LN(INDEX(Dic2023!$H$6:$H$205,C1157)))*(A1157-6*C1157)/6))</f>
        <v>0.00784261292316326</v>
      </c>
      <c r="E1157" s="12" t="n">
        <f aca="false">D1157^(-1/B1157)-1</f>
        <v>0.0517528025</v>
      </c>
      <c r="F1157" s="12" t="n">
        <f aca="false">(1+E1157)^(1/12)-1</f>
        <v>0.00421369509431369</v>
      </c>
      <c r="G1157" s="16" t="n">
        <f aca="false">IF(C1157=0,(1+Dic2023!$J$6)^(-B1157),EXP(LN(INDEX(Dic2023!$K$6:$K$205,C1157))+(LN(INDEX(Dic2023!$K$6:$K$205,MIN(C1157+1,200)))-LN(INDEX(Dic2023!$K$6:$K$205,C1157)))*(A1157-6*C1157)/6))</f>
        <v>0.00784261292316326</v>
      </c>
      <c r="H1157" s="12" t="n">
        <f aca="false">G1157^(-1/B1157)-1</f>
        <v>0.0517528025</v>
      </c>
      <c r="I1157" s="12" t="n">
        <f aca="false">(1+H1157)^(1/12)-1</f>
        <v>0.00421369509431369</v>
      </c>
      <c r="J1157" s="16" t="n">
        <f aca="false">IF(C1157=0,(1+Dic2023!$M$6)^(-B1157),EXP(LN(INDEX(Dic2023!$N$6:$N$205,C1157))+(LN(INDEX(Dic2023!$N$6:$N$205,MIN(C1157+1,200)))-LN(INDEX(Dic2023!$N$6:$N$205,C1157)))*(A1157-6*C1157)/6))</f>
        <v>0.00784261292316326</v>
      </c>
      <c r="K1157" s="12" t="n">
        <f aca="false">J1157^(-1/B1157)-1</f>
        <v>0.0517528025</v>
      </c>
      <c r="L1157" s="12" t="n">
        <f aca="false">(1+K1157)^(1/12)-1</f>
        <v>0.00421369509431369</v>
      </c>
    </row>
    <row r="1158" customFormat="false" ht="15" hidden="false" customHeight="false" outlineLevel="0" collapsed="false">
      <c r="A1158" s="4" t="n">
        <v>1154</v>
      </c>
      <c r="B1158" s="14" t="n">
        <f aca="false">A1158/12</f>
        <v>96.1666666666667</v>
      </c>
      <c r="C1158" s="15" t="n">
        <f aca="false">INT(A1158/6)</f>
        <v>192</v>
      </c>
      <c r="D1158" s="16" t="n">
        <f aca="false">IF(C1158=0,(1+Dic2023!$G$6)^(-B1158),EXP(LN(INDEX(Dic2023!$H$6:$H$205,C1158))+(LN(INDEX(Dic2023!$H$6:$H$205,MIN(C1158+1,200)))-LN(INDEX(Dic2023!$H$6:$H$205,C1158)))*(A1158-6*C1158)/6))</f>
        <v>0.00780970520664598</v>
      </c>
      <c r="E1158" s="12" t="n">
        <f aca="false">D1158^(-1/B1158)-1</f>
        <v>0.0517528025</v>
      </c>
      <c r="F1158" s="12" t="n">
        <f aca="false">(1+E1158)^(1/12)-1</f>
        <v>0.00421369509431369</v>
      </c>
      <c r="G1158" s="16" t="n">
        <f aca="false">IF(C1158=0,(1+Dic2023!$J$6)^(-B1158),EXP(LN(INDEX(Dic2023!$K$6:$K$205,C1158))+(LN(INDEX(Dic2023!$K$6:$K$205,MIN(C1158+1,200)))-LN(INDEX(Dic2023!$K$6:$K$205,C1158)))*(A1158-6*C1158)/6))</f>
        <v>0.00780970520664598</v>
      </c>
      <c r="H1158" s="12" t="n">
        <f aca="false">G1158^(-1/B1158)-1</f>
        <v>0.0517528025</v>
      </c>
      <c r="I1158" s="12" t="n">
        <f aca="false">(1+H1158)^(1/12)-1</f>
        <v>0.00421369509431369</v>
      </c>
      <c r="J1158" s="16" t="n">
        <f aca="false">IF(C1158=0,(1+Dic2023!$M$6)^(-B1158),EXP(LN(INDEX(Dic2023!$N$6:$N$205,C1158))+(LN(INDEX(Dic2023!$N$6:$N$205,MIN(C1158+1,200)))-LN(INDEX(Dic2023!$N$6:$N$205,C1158)))*(A1158-6*C1158)/6))</f>
        <v>0.00780970520664598</v>
      </c>
      <c r="K1158" s="12" t="n">
        <f aca="false">J1158^(-1/B1158)-1</f>
        <v>0.0517528025</v>
      </c>
      <c r="L1158" s="12" t="n">
        <f aca="false">(1+K1158)^(1/12)-1</f>
        <v>0.00421369509431369</v>
      </c>
    </row>
    <row r="1159" customFormat="false" ht="15" hidden="false" customHeight="false" outlineLevel="0" collapsed="false">
      <c r="A1159" s="4" t="n">
        <v>1155</v>
      </c>
      <c r="B1159" s="14" t="n">
        <f aca="false">A1159/12</f>
        <v>96.25</v>
      </c>
      <c r="C1159" s="15" t="n">
        <f aca="false">INT(A1159/6)</f>
        <v>192</v>
      </c>
      <c r="D1159" s="16" t="n">
        <f aca="false">IF(C1159=0,(1+Dic2023!$G$6)^(-B1159),EXP(LN(INDEX(Dic2023!$H$6:$H$205,C1159))+(LN(INDEX(Dic2023!$H$6:$H$205,MIN(C1159+1,200)))-LN(INDEX(Dic2023!$H$6:$H$205,C1159)))*(A1159-6*C1159)/6))</f>
        <v>0.00777693557138006</v>
      </c>
      <c r="E1159" s="12" t="n">
        <f aca="false">D1159^(-1/B1159)-1</f>
        <v>0.0517528025</v>
      </c>
      <c r="F1159" s="12" t="n">
        <f aca="false">(1+E1159)^(1/12)-1</f>
        <v>0.00421369509431369</v>
      </c>
      <c r="G1159" s="16" t="n">
        <f aca="false">IF(C1159=0,(1+Dic2023!$J$6)^(-B1159),EXP(LN(INDEX(Dic2023!$K$6:$K$205,C1159))+(LN(INDEX(Dic2023!$K$6:$K$205,MIN(C1159+1,200)))-LN(INDEX(Dic2023!$K$6:$K$205,C1159)))*(A1159-6*C1159)/6))</f>
        <v>0.00777693557138006</v>
      </c>
      <c r="H1159" s="12" t="n">
        <f aca="false">G1159^(-1/B1159)-1</f>
        <v>0.0517528025</v>
      </c>
      <c r="I1159" s="12" t="n">
        <f aca="false">(1+H1159)^(1/12)-1</f>
        <v>0.00421369509431369</v>
      </c>
      <c r="J1159" s="16" t="n">
        <f aca="false">IF(C1159=0,(1+Dic2023!$M$6)^(-B1159),EXP(LN(INDEX(Dic2023!$N$6:$N$205,C1159))+(LN(INDEX(Dic2023!$N$6:$N$205,MIN(C1159+1,200)))-LN(INDEX(Dic2023!$N$6:$N$205,C1159)))*(A1159-6*C1159)/6))</f>
        <v>0.00777693557138006</v>
      </c>
      <c r="K1159" s="12" t="n">
        <f aca="false">J1159^(-1/B1159)-1</f>
        <v>0.0517528025</v>
      </c>
      <c r="L1159" s="12" t="n">
        <f aca="false">(1+K1159)^(1/12)-1</f>
        <v>0.00421369509431369</v>
      </c>
    </row>
    <row r="1160" customFormat="false" ht="15" hidden="false" customHeight="false" outlineLevel="0" collapsed="false">
      <c r="A1160" s="4" t="n">
        <v>1156</v>
      </c>
      <c r="B1160" s="14" t="n">
        <f aca="false">A1160/12</f>
        <v>96.3333333333333</v>
      </c>
      <c r="C1160" s="15" t="n">
        <f aca="false">INT(A1160/6)</f>
        <v>192</v>
      </c>
      <c r="D1160" s="16" t="n">
        <f aca="false">IF(C1160=0,(1+Dic2023!$G$6)^(-B1160),EXP(LN(INDEX(Dic2023!$H$6:$H$205,C1160))+(LN(INDEX(Dic2023!$H$6:$H$205,MIN(C1160+1,200)))-LN(INDEX(Dic2023!$H$6:$H$205,C1160)))*(A1160-6*C1160)/6))</f>
        <v>0.00774430343797459</v>
      </c>
      <c r="E1160" s="12" t="n">
        <f aca="false">D1160^(-1/B1160)-1</f>
        <v>0.0517528025</v>
      </c>
      <c r="F1160" s="12" t="n">
        <f aca="false">(1+E1160)^(1/12)-1</f>
        <v>0.00421369509431369</v>
      </c>
      <c r="G1160" s="16" t="n">
        <f aca="false">IF(C1160=0,(1+Dic2023!$J$6)^(-B1160),EXP(LN(INDEX(Dic2023!$K$6:$K$205,C1160))+(LN(INDEX(Dic2023!$K$6:$K$205,MIN(C1160+1,200)))-LN(INDEX(Dic2023!$K$6:$K$205,C1160)))*(A1160-6*C1160)/6))</f>
        <v>0.00774430343797459</v>
      </c>
      <c r="H1160" s="12" t="n">
        <f aca="false">G1160^(-1/B1160)-1</f>
        <v>0.0517528025</v>
      </c>
      <c r="I1160" s="12" t="n">
        <f aca="false">(1+H1160)^(1/12)-1</f>
        <v>0.00421369509431369</v>
      </c>
      <c r="J1160" s="16" t="n">
        <f aca="false">IF(C1160=0,(1+Dic2023!$M$6)^(-B1160),EXP(LN(INDEX(Dic2023!$N$6:$N$205,C1160))+(LN(INDEX(Dic2023!$N$6:$N$205,MIN(C1160+1,200)))-LN(INDEX(Dic2023!$N$6:$N$205,C1160)))*(A1160-6*C1160)/6))</f>
        <v>0.00774430343797459</v>
      </c>
      <c r="K1160" s="12" t="n">
        <f aca="false">J1160^(-1/B1160)-1</f>
        <v>0.0517528025</v>
      </c>
      <c r="L1160" s="12" t="n">
        <f aca="false">(1+K1160)^(1/12)-1</f>
        <v>0.00421369509431369</v>
      </c>
    </row>
    <row r="1161" customFormat="false" ht="15" hidden="false" customHeight="false" outlineLevel="0" collapsed="false">
      <c r="A1161" s="4" t="n">
        <v>1157</v>
      </c>
      <c r="B1161" s="14" t="n">
        <f aca="false">A1161/12</f>
        <v>96.4166666666667</v>
      </c>
      <c r="C1161" s="15" t="n">
        <f aca="false">INT(A1161/6)</f>
        <v>192</v>
      </c>
      <c r="D1161" s="16" t="n">
        <f aca="false">IF(C1161=0,(1+Dic2023!$G$6)^(-B1161),EXP(LN(INDEX(Dic2023!$H$6:$H$205,C1161))+(LN(INDEX(Dic2023!$H$6:$H$205,MIN(C1161+1,200)))-LN(INDEX(Dic2023!$H$6:$H$205,C1161)))*(A1161-6*C1161)/6))</f>
        <v>0.00771180822946979</v>
      </c>
      <c r="E1161" s="12" t="n">
        <f aca="false">D1161^(-1/B1161)-1</f>
        <v>0.0517528025</v>
      </c>
      <c r="F1161" s="12" t="n">
        <f aca="false">(1+E1161)^(1/12)-1</f>
        <v>0.00421369509431369</v>
      </c>
      <c r="G1161" s="16" t="n">
        <f aca="false">IF(C1161=0,(1+Dic2023!$J$6)^(-B1161),EXP(LN(INDEX(Dic2023!$K$6:$K$205,C1161))+(LN(INDEX(Dic2023!$K$6:$K$205,MIN(C1161+1,200)))-LN(INDEX(Dic2023!$K$6:$K$205,C1161)))*(A1161-6*C1161)/6))</f>
        <v>0.00771180822946979</v>
      </c>
      <c r="H1161" s="12" t="n">
        <f aca="false">G1161^(-1/B1161)-1</f>
        <v>0.0517528025</v>
      </c>
      <c r="I1161" s="12" t="n">
        <f aca="false">(1+H1161)^(1/12)-1</f>
        <v>0.00421369509431369</v>
      </c>
      <c r="J1161" s="16" t="n">
        <f aca="false">IF(C1161=0,(1+Dic2023!$M$6)^(-B1161),EXP(LN(INDEX(Dic2023!$N$6:$N$205,C1161))+(LN(INDEX(Dic2023!$N$6:$N$205,MIN(C1161+1,200)))-LN(INDEX(Dic2023!$N$6:$N$205,C1161)))*(A1161-6*C1161)/6))</f>
        <v>0.00771180822946979</v>
      </c>
      <c r="K1161" s="12" t="n">
        <f aca="false">J1161^(-1/B1161)-1</f>
        <v>0.0517528025</v>
      </c>
      <c r="L1161" s="12" t="n">
        <f aca="false">(1+K1161)^(1/12)-1</f>
        <v>0.00421369509431369</v>
      </c>
    </row>
    <row r="1162" customFormat="false" ht="15" hidden="false" customHeight="false" outlineLevel="0" collapsed="false">
      <c r="A1162" s="4" t="n">
        <v>1158</v>
      </c>
      <c r="B1162" s="14" t="n">
        <f aca="false">A1162/12</f>
        <v>96.5</v>
      </c>
      <c r="C1162" s="15" t="n">
        <f aca="false">INT(A1162/6)</f>
        <v>193</v>
      </c>
      <c r="D1162" s="16" t="n">
        <f aca="false">IF(C1162=0,(1+Dic2023!$G$6)^(-B1162),EXP(LN(INDEX(Dic2023!$H$6:$H$205,C1162))+(LN(INDEX(Dic2023!$H$6:$H$205,MIN(C1162+1,200)))-LN(INDEX(Dic2023!$H$6:$H$205,C1162)))*(A1162-6*C1162)/6))</f>
        <v>0.00767944937132679</v>
      </c>
      <c r="E1162" s="12" t="n">
        <f aca="false">D1162^(-1/B1162)-1</f>
        <v>0.0517528025</v>
      </c>
      <c r="F1162" s="12" t="n">
        <f aca="false">(1+E1162)^(1/12)-1</f>
        <v>0.00421369509431369</v>
      </c>
      <c r="G1162" s="16" t="n">
        <f aca="false">IF(C1162=0,(1+Dic2023!$J$6)^(-B1162),EXP(LN(INDEX(Dic2023!$K$6:$K$205,C1162))+(LN(INDEX(Dic2023!$K$6:$K$205,MIN(C1162+1,200)))-LN(INDEX(Dic2023!$K$6:$K$205,C1162)))*(A1162-6*C1162)/6))</f>
        <v>0.00767944937132679</v>
      </c>
      <c r="H1162" s="12" t="n">
        <f aca="false">G1162^(-1/B1162)-1</f>
        <v>0.0517528025</v>
      </c>
      <c r="I1162" s="12" t="n">
        <f aca="false">(1+H1162)^(1/12)-1</f>
        <v>0.00421369509431369</v>
      </c>
      <c r="J1162" s="16" t="n">
        <f aca="false">IF(C1162=0,(1+Dic2023!$M$6)^(-B1162),EXP(LN(INDEX(Dic2023!$N$6:$N$205,C1162))+(LN(INDEX(Dic2023!$N$6:$N$205,MIN(C1162+1,200)))-LN(INDEX(Dic2023!$N$6:$N$205,C1162)))*(A1162-6*C1162)/6))</f>
        <v>0.00767944937132679</v>
      </c>
      <c r="K1162" s="12" t="n">
        <f aca="false">J1162^(-1/B1162)-1</f>
        <v>0.0517528025</v>
      </c>
      <c r="L1162" s="12" t="n">
        <f aca="false">(1+K1162)^(1/12)-1</f>
        <v>0.00421369509431369</v>
      </c>
    </row>
    <row r="1163" customFormat="false" ht="15" hidden="false" customHeight="false" outlineLevel="0" collapsed="false">
      <c r="A1163" s="4" t="n">
        <v>1159</v>
      </c>
      <c r="B1163" s="14" t="n">
        <f aca="false">A1163/12</f>
        <v>96.5833333333333</v>
      </c>
      <c r="C1163" s="15" t="n">
        <f aca="false">INT(A1163/6)</f>
        <v>193</v>
      </c>
      <c r="D1163" s="16" t="n">
        <f aca="false">IF(C1163=0,(1+Dic2023!$G$6)^(-B1163),EXP(LN(INDEX(Dic2023!$H$6:$H$205,C1163))+(LN(INDEX(Dic2023!$H$6:$H$205,MIN(C1163+1,200)))-LN(INDEX(Dic2023!$H$6:$H$205,C1163)))*(A1163-6*C1163)/6))</f>
        <v>0.00764722629141754</v>
      </c>
      <c r="E1163" s="12" t="n">
        <f aca="false">D1163^(-1/B1163)-1</f>
        <v>0.0517528025</v>
      </c>
      <c r="F1163" s="12" t="n">
        <f aca="false">(1+E1163)^(1/12)-1</f>
        <v>0.00421369509431369</v>
      </c>
      <c r="G1163" s="16" t="n">
        <f aca="false">IF(C1163=0,(1+Dic2023!$J$6)^(-B1163),EXP(LN(INDEX(Dic2023!$K$6:$K$205,C1163))+(LN(INDEX(Dic2023!$K$6:$K$205,MIN(C1163+1,200)))-LN(INDEX(Dic2023!$K$6:$K$205,C1163)))*(A1163-6*C1163)/6))</f>
        <v>0.00764722629141754</v>
      </c>
      <c r="H1163" s="12" t="n">
        <f aca="false">G1163^(-1/B1163)-1</f>
        <v>0.0517528025</v>
      </c>
      <c r="I1163" s="12" t="n">
        <f aca="false">(1+H1163)^(1/12)-1</f>
        <v>0.00421369509431369</v>
      </c>
      <c r="J1163" s="16" t="n">
        <f aca="false">IF(C1163=0,(1+Dic2023!$M$6)^(-B1163),EXP(LN(INDEX(Dic2023!$N$6:$N$205,C1163))+(LN(INDEX(Dic2023!$N$6:$N$205,MIN(C1163+1,200)))-LN(INDEX(Dic2023!$N$6:$N$205,C1163)))*(A1163-6*C1163)/6))</f>
        <v>0.00764722629141754</v>
      </c>
      <c r="K1163" s="12" t="n">
        <f aca="false">J1163^(-1/B1163)-1</f>
        <v>0.0517528025</v>
      </c>
      <c r="L1163" s="12" t="n">
        <f aca="false">(1+K1163)^(1/12)-1</f>
        <v>0.00421369509431369</v>
      </c>
    </row>
    <row r="1164" customFormat="false" ht="15" hidden="false" customHeight="false" outlineLevel="0" collapsed="false">
      <c r="A1164" s="4" t="n">
        <v>1160</v>
      </c>
      <c r="B1164" s="14" t="n">
        <f aca="false">A1164/12</f>
        <v>96.6666666666667</v>
      </c>
      <c r="C1164" s="15" t="n">
        <f aca="false">INT(A1164/6)</f>
        <v>193</v>
      </c>
      <c r="D1164" s="16" t="n">
        <f aca="false">IF(C1164=0,(1+Dic2023!$G$6)^(-B1164),EXP(LN(INDEX(Dic2023!$H$6:$H$205,C1164))+(LN(INDEX(Dic2023!$H$6:$H$205,MIN(C1164+1,200)))-LN(INDEX(Dic2023!$H$6:$H$205,C1164)))*(A1164-6*C1164)/6))</f>
        <v>0.00761513842001461</v>
      </c>
      <c r="E1164" s="12" t="n">
        <f aca="false">D1164^(-1/B1164)-1</f>
        <v>0.0517528025</v>
      </c>
      <c r="F1164" s="12" t="n">
        <f aca="false">(1+E1164)^(1/12)-1</f>
        <v>0.00421369509431369</v>
      </c>
      <c r="G1164" s="16" t="n">
        <f aca="false">IF(C1164=0,(1+Dic2023!$J$6)^(-B1164),EXP(LN(INDEX(Dic2023!$K$6:$K$205,C1164))+(LN(INDEX(Dic2023!$K$6:$K$205,MIN(C1164+1,200)))-LN(INDEX(Dic2023!$K$6:$K$205,C1164)))*(A1164-6*C1164)/6))</f>
        <v>0.00761513842001461</v>
      </c>
      <c r="H1164" s="12" t="n">
        <f aca="false">G1164^(-1/B1164)-1</f>
        <v>0.0517528025</v>
      </c>
      <c r="I1164" s="12" t="n">
        <f aca="false">(1+H1164)^(1/12)-1</f>
        <v>0.00421369509431369</v>
      </c>
      <c r="J1164" s="16" t="n">
        <f aca="false">IF(C1164=0,(1+Dic2023!$M$6)^(-B1164),EXP(LN(INDEX(Dic2023!$N$6:$N$205,C1164))+(LN(INDEX(Dic2023!$N$6:$N$205,MIN(C1164+1,200)))-LN(INDEX(Dic2023!$N$6:$N$205,C1164)))*(A1164-6*C1164)/6))</f>
        <v>0.00761513842001461</v>
      </c>
      <c r="K1164" s="12" t="n">
        <f aca="false">J1164^(-1/B1164)-1</f>
        <v>0.0517528025</v>
      </c>
      <c r="L1164" s="12" t="n">
        <f aca="false">(1+K1164)^(1/12)-1</f>
        <v>0.00421369509431369</v>
      </c>
    </row>
    <row r="1165" customFormat="false" ht="15" hidden="false" customHeight="false" outlineLevel="0" collapsed="false">
      <c r="A1165" s="4" t="n">
        <v>1161</v>
      </c>
      <c r="B1165" s="14" t="n">
        <f aca="false">A1165/12</f>
        <v>96.75</v>
      </c>
      <c r="C1165" s="15" t="n">
        <f aca="false">INT(A1165/6)</f>
        <v>193</v>
      </c>
      <c r="D1165" s="16" t="n">
        <f aca="false">IF(C1165=0,(1+Dic2023!$G$6)^(-B1165),EXP(LN(INDEX(Dic2023!$H$6:$H$205,C1165))+(LN(INDEX(Dic2023!$H$6:$H$205,MIN(C1165+1,200)))-LN(INDEX(Dic2023!$H$6:$H$205,C1165)))*(A1165-6*C1165)/6))</f>
        <v>0.00758318518978115</v>
      </c>
      <c r="E1165" s="12" t="n">
        <f aca="false">D1165^(-1/B1165)-1</f>
        <v>0.0517528025</v>
      </c>
      <c r="F1165" s="12" t="n">
        <f aca="false">(1+E1165)^(1/12)-1</f>
        <v>0.00421369509431369</v>
      </c>
      <c r="G1165" s="16" t="n">
        <f aca="false">IF(C1165=0,(1+Dic2023!$J$6)^(-B1165),EXP(LN(INDEX(Dic2023!$K$6:$K$205,C1165))+(LN(INDEX(Dic2023!$K$6:$K$205,MIN(C1165+1,200)))-LN(INDEX(Dic2023!$K$6:$K$205,C1165)))*(A1165-6*C1165)/6))</f>
        <v>0.00758318518978115</v>
      </c>
      <c r="H1165" s="12" t="n">
        <f aca="false">G1165^(-1/B1165)-1</f>
        <v>0.0517528025</v>
      </c>
      <c r="I1165" s="12" t="n">
        <f aca="false">(1+H1165)^(1/12)-1</f>
        <v>0.00421369509431369</v>
      </c>
      <c r="J1165" s="16" t="n">
        <f aca="false">IF(C1165=0,(1+Dic2023!$M$6)^(-B1165),EXP(LN(INDEX(Dic2023!$N$6:$N$205,C1165))+(LN(INDEX(Dic2023!$N$6:$N$205,MIN(C1165+1,200)))-LN(INDEX(Dic2023!$N$6:$N$205,C1165)))*(A1165-6*C1165)/6))</f>
        <v>0.00758318518978115</v>
      </c>
      <c r="K1165" s="12" t="n">
        <f aca="false">J1165^(-1/B1165)-1</f>
        <v>0.0517528025</v>
      </c>
      <c r="L1165" s="12" t="n">
        <f aca="false">(1+K1165)^(1/12)-1</f>
        <v>0.00421369509431369</v>
      </c>
    </row>
    <row r="1166" customFormat="false" ht="15" hidden="false" customHeight="false" outlineLevel="0" collapsed="false">
      <c r="A1166" s="4" t="n">
        <v>1162</v>
      </c>
      <c r="B1166" s="14" t="n">
        <f aca="false">A1166/12</f>
        <v>96.8333333333333</v>
      </c>
      <c r="C1166" s="15" t="n">
        <f aca="false">INT(A1166/6)</f>
        <v>193</v>
      </c>
      <c r="D1166" s="16" t="n">
        <f aca="false">IF(C1166=0,(1+Dic2023!$G$6)^(-B1166),EXP(LN(INDEX(Dic2023!$H$6:$H$205,C1166))+(LN(INDEX(Dic2023!$H$6:$H$205,MIN(C1166+1,200)))-LN(INDEX(Dic2023!$H$6:$H$205,C1166)))*(A1166-6*C1166)/6))</f>
        <v>0.0075513660357609</v>
      </c>
      <c r="E1166" s="12" t="n">
        <f aca="false">D1166^(-1/B1166)-1</f>
        <v>0.0517528025</v>
      </c>
      <c r="F1166" s="12" t="n">
        <f aca="false">(1+E1166)^(1/12)-1</f>
        <v>0.00421369509431369</v>
      </c>
      <c r="G1166" s="16" t="n">
        <f aca="false">IF(C1166=0,(1+Dic2023!$J$6)^(-B1166),EXP(LN(INDEX(Dic2023!$K$6:$K$205,C1166))+(LN(INDEX(Dic2023!$K$6:$K$205,MIN(C1166+1,200)))-LN(INDEX(Dic2023!$K$6:$K$205,C1166)))*(A1166-6*C1166)/6))</f>
        <v>0.0075513660357609</v>
      </c>
      <c r="H1166" s="12" t="n">
        <f aca="false">G1166^(-1/B1166)-1</f>
        <v>0.0517528025</v>
      </c>
      <c r="I1166" s="12" t="n">
        <f aca="false">(1+H1166)^(1/12)-1</f>
        <v>0.00421369509431369</v>
      </c>
      <c r="J1166" s="16" t="n">
        <f aca="false">IF(C1166=0,(1+Dic2023!$M$6)^(-B1166),EXP(LN(INDEX(Dic2023!$N$6:$N$205,C1166))+(LN(INDEX(Dic2023!$N$6:$N$205,MIN(C1166+1,200)))-LN(INDEX(Dic2023!$N$6:$N$205,C1166)))*(A1166-6*C1166)/6))</f>
        <v>0.0075513660357609</v>
      </c>
      <c r="K1166" s="12" t="n">
        <f aca="false">J1166^(-1/B1166)-1</f>
        <v>0.0517528025</v>
      </c>
      <c r="L1166" s="12" t="n">
        <f aca="false">(1+K1166)^(1/12)-1</f>
        <v>0.00421369509431369</v>
      </c>
    </row>
    <row r="1167" customFormat="false" ht="15" hidden="false" customHeight="false" outlineLevel="0" collapsed="false">
      <c r="A1167" s="4" t="n">
        <v>1163</v>
      </c>
      <c r="B1167" s="14" t="n">
        <f aca="false">A1167/12</f>
        <v>96.9166666666667</v>
      </c>
      <c r="C1167" s="15" t="n">
        <f aca="false">INT(A1167/6)</f>
        <v>193</v>
      </c>
      <c r="D1167" s="16" t="n">
        <f aca="false">IF(C1167=0,(1+Dic2023!$G$6)^(-B1167),EXP(LN(INDEX(Dic2023!$H$6:$H$205,C1167))+(LN(INDEX(Dic2023!$H$6:$H$205,MIN(C1167+1,200)))-LN(INDEX(Dic2023!$H$6:$H$205,C1167)))*(A1167-6*C1167)/6))</f>
        <v>0.00751968039536813</v>
      </c>
      <c r="E1167" s="12" t="n">
        <f aca="false">D1167^(-1/B1167)-1</f>
        <v>0.0517528025</v>
      </c>
      <c r="F1167" s="12" t="n">
        <f aca="false">(1+E1167)^(1/12)-1</f>
        <v>0.00421369509431369</v>
      </c>
      <c r="G1167" s="16" t="n">
        <f aca="false">IF(C1167=0,(1+Dic2023!$J$6)^(-B1167),EXP(LN(INDEX(Dic2023!$K$6:$K$205,C1167))+(LN(INDEX(Dic2023!$K$6:$K$205,MIN(C1167+1,200)))-LN(INDEX(Dic2023!$K$6:$K$205,C1167)))*(A1167-6*C1167)/6))</f>
        <v>0.00751968039536813</v>
      </c>
      <c r="H1167" s="12" t="n">
        <f aca="false">G1167^(-1/B1167)-1</f>
        <v>0.0517528025</v>
      </c>
      <c r="I1167" s="12" t="n">
        <f aca="false">(1+H1167)^(1/12)-1</f>
        <v>0.00421369509431369</v>
      </c>
      <c r="J1167" s="16" t="n">
        <f aca="false">IF(C1167=0,(1+Dic2023!$M$6)^(-B1167),EXP(LN(INDEX(Dic2023!$N$6:$N$205,C1167))+(LN(INDEX(Dic2023!$N$6:$N$205,MIN(C1167+1,200)))-LN(INDEX(Dic2023!$N$6:$N$205,C1167)))*(A1167-6*C1167)/6))</f>
        <v>0.00751968039536813</v>
      </c>
      <c r="K1167" s="12" t="n">
        <f aca="false">J1167^(-1/B1167)-1</f>
        <v>0.0517528025</v>
      </c>
      <c r="L1167" s="12" t="n">
        <f aca="false">(1+K1167)^(1/12)-1</f>
        <v>0.00421369509431369</v>
      </c>
    </row>
    <row r="1168" customFormat="false" ht="15" hidden="false" customHeight="false" outlineLevel="0" collapsed="false">
      <c r="A1168" s="4" t="n">
        <v>1164</v>
      </c>
      <c r="B1168" s="14" t="n">
        <f aca="false">A1168/12</f>
        <v>97</v>
      </c>
      <c r="C1168" s="15" t="n">
        <f aca="false">INT(A1168/6)</f>
        <v>194</v>
      </c>
      <c r="D1168" s="16" t="n">
        <f aca="false">IF(C1168=0,(1+Dic2023!$G$6)^(-B1168),EXP(LN(INDEX(Dic2023!$H$6:$H$205,C1168))+(LN(INDEX(Dic2023!$H$6:$H$205,MIN(C1168+1,200)))-LN(INDEX(Dic2023!$H$6:$H$205,C1168)))*(A1168-6*C1168)/6))</f>
        <v>0.00748812770837775</v>
      </c>
      <c r="E1168" s="12" t="n">
        <f aca="false">D1168^(-1/B1168)-1</f>
        <v>0.0517528025</v>
      </c>
      <c r="F1168" s="12" t="n">
        <f aca="false">(1+E1168)^(1/12)-1</f>
        <v>0.00421369509431369</v>
      </c>
      <c r="G1168" s="16" t="n">
        <f aca="false">IF(C1168=0,(1+Dic2023!$J$6)^(-B1168),EXP(LN(INDEX(Dic2023!$K$6:$K$205,C1168))+(LN(INDEX(Dic2023!$K$6:$K$205,MIN(C1168+1,200)))-LN(INDEX(Dic2023!$K$6:$K$205,C1168)))*(A1168-6*C1168)/6))</f>
        <v>0.00748812770837775</v>
      </c>
      <c r="H1168" s="12" t="n">
        <f aca="false">G1168^(-1/B1168)-1</f>
        <v>0.0517528025</v>
      </c>
      <c r="I1168" s="12" t="n">
        <f aca="false">(1+H1168)^(1/12)-1</f>
        <v>0.00421369509431369</v>
      </c>
      <c r="J1168" s="16" t="n">
        <f aca="false">IF(C1168=0,(1+Dic2023!$M$6)^(-B1168),EXP(LN(INDEX(Dic2023!$N$6:$N$205,C1168))+(LN(INDEX(Dic2023!$N$6:$N$205,MIN(C1168+1,200)))-LN(INDEX(Dic2023!$N$6:$N$205,C1168)))*(A1168-6*C1168)/6))</f>
        <v>0.00748812770837775</v>
      </c>
      <c r="K1168" s="12" t="n">
        <f aca="false">J1168^(-1/B1168)-1</f>
        <v>0.0517528025</v>
      </c>
      <c r="L1168" s="12" t="n">
        <f aca="false">(1+K1168)^(1/12)-1</f>
        <v>0.00421369509431369</v>
      </c>
    </row>
    <row r="1169" customFormat="false" ht="15" hidden="false" customHeight="false" outlineLevel="0" collapsed="false">
      <c r="A1169" s="4" t="n">
        <v>1165</v>
      </c>
      <c r="B1169" s="14" t="n">
        <f aca="false">A1169/12</f>
        <v>97.0833333333333</v>
      </c>
      <c r="C1169" s="15" t="n">
        <f aca="false">INT(A1169/6)</f>
        <v>194</v>
      </c>
      <c r="D1169" s="16" t="n">
        <f aca="false">IF(C1169=0,(1+Dic2023!$G$6)^(-B1169),EXP(LN(INDEX(Dic2023!$H$6:$H$205,C1169))+(LN(INDEX(Dic2023!$H$6:$H$205,MIN(C1169+1,200)))-LN(INDEX(Dic2023!$H$6:$H$205,C1169)))*(A1169-6*C1169)/6))</f>
        <v>0.00745670741691535</v>
      </c>
      <c r="E1169" s="12" t="n">
        <f aca="false">D1169^(-1/B1169)-1</f>
        <v>0.0517528025</v>
      </c>
      <c r="F1169" s="12" t="n">
        <f aca="false">(1+E1169)^(1/12)-1</f>
        <v>0.00421369509431369</v>
      </c>
      <c r="G1169" s="16" t="n">
        <f aca="false">IF(C1169=0,(1+Dic2023!$J$6)^(-B1169),EXP(LN(INDEX(Dic2023!$K$6:$K$205,C1169))+(LN(INDEX(Dic2023!$K$6:$K$205,MIN(C1169+1,200)))-LN(INDEX(Dic2023!$K$6:$K$205,C1169)))*(A1169-6*C1169)/6))</f>
        <v>0.00745670741691535</v>
      </c>
      <c r="H1169" s="12" t="n">
        <f aca="false">G1169^(-1/B1169)-1</f>
        <v>0.0517528025</v>
      </c>
      <c r="I1169" s="12" t="n">
        <f aca="false">(1+H1169)^(1/12)-1</f>
        <v>0.00421369509431369</v>
      </c>
      <c r="J1169" s="16" t="n">
        <f aca="false">IF(C1169=0,(1+Dic2023!$M$6)^(-B1169),EXP(LN(INDEX(Dic2023!$N$6:$N$205,C1169))+(LN(INDEX(Dic2023!$N$6:$N$205,MIN(C1169+1,200)))-LN(INDEX(Dic2023!$N$6:$N$205,C1169)))*(A1169-6*C1169)/6))</f>
        <v>0.00745670741691535</v>
      </c>
      <c r="K1169" s="12" t="n">
        <f aca="false">J1169^(-1/B1169)-1</f>
        <v>0.0517528025</v>
      </c>
      <c r="L1169" s="12" t="n">
        <f aca="false">(1+K1169)^(1/12)-1</f>
        <v>0.00421369509431369</v>
      </c>
    </row>
    <row r="1170" customFormat="false" ht="15" hidden="false" customHeight="false" outlineLevel="0" collapsed="false">
      <c r="A1170" s="4" t="n">
        <v>1166</v>
      </c>
      <c r="B1170" s="14" t="n">
        <f aca="false">A1170/12</f>
        <v>97.1666666666667</v>
      </c>
      <c r="C1170" s="15" t="n">
        <f aca="false">INT(A1170/6)</f>
        <v>194</v>
      </c>
      <c r="D1170" s="16" t="n">
        <f aca="false">IF(C1170=0,(1+Dic2023!$G$6)^(-B1170),EXP(LN(INDEX(Dic2023!$H$6:$H$205,C1170))+(LN(INDEX(Dic2023!$H$6:$H$205,MIN(C1170+1,200)))-LN(INDEX(Dic2023!$H$6:$H$205,C1170)))*(A1170-6*C1170)/6))</f>
        <v>0.00742541896544743</v>
      </c>
      <c r="E1170" s="12" t="n">
        <f aca="false">D1170^(-1/B1170)-1</f>
        <v>0.0517528025</v>
      </c>
      <c r="F1170" s="12" t="n">
        <f aca="false">(1+E1170)^(1/12)-1</f>
        <v>0.00421369509431369</v>
      </c>
      <c r="G1170" s="16" t="n">
        <f aca="false">IF(C1170=0,(1+Dic2023!$J$6)^(-B1170),EXP(LN(INDEX(Dic2023!$K$6:$K$205,C1170))+(LN(INDEX(Dic2023!$K$6:$K$205,MIN(C1170+1,200)))-LN(INDEX(Dic2023!$K$6:$K$205,C1170)))*(A1170-6*C1170)/6))</f>
        <v>0.00742541896544743</v>
      </c>
      <c r="H1170" s="12" t="n">
        <f aca="false">G1170^(-1/B1170)-1</f>
        <v>0.0517528025</v>
      </c>
      <c r="I1170" s="12" t="n">
        <f aca="false">(1+H1170)^(1/12)-1</f>
        <v>0.00421369509431369</v>
      </c>
      <c r="J1170" s="16" t="n">
        <f aca="false">IF(C1170=0,(1+Dic2023!$M$6)^(-B1170),EXP(LN(INDEX(Dic2023!$N$6:$N$205,C1170))+(LN(INDEX(Dic2023!$N$6:$N$205,MIN(C1170+1,200)))-LN(INDEX(Dic2023!$N$6:$N$205,C1170)))*(A1170-6*C1170)/6))</f>
        <v>0.00742541896544743</v>
      </c>
      <c r="K1170" s="12" t="n">
        <f aca="false">J1170^(-1/B1170)-1</f>
        <v>0.0517528025</v>
      </c>
      <c r="L1170" s="12" t="n">
        <f aca="false">(1+K1170)^(1/12)-1</f>
        <v>0.00421369509431369</v>
      </c>
    </row>
    <row r="1171" customFormat="false" ht="15" hidden="false" customHeight="false" outlineLevel="0" collapsed="false">
      <c r="A1171" s="4" t="n">
        <v>1167</v>
      </c>
      <c r="B1171" s="14" t="n">
        <f aca="false">A1171/12</f>
        <v>97.25</v>
      </c>
      <c r="C1171" s="15" t="n">
        <f aca="false">INT(A1171/6)</f>
        <v>194</v>
      </c>
      <c r="D1171" s="16" t="n">
        <f aca="false">IF(C1171=0,(1+Dic2023!$G$6)^(-B1171),EXP(LN(INDEX(Dic2023!$H$6:$H$205,C1171))+(LN(INDEX(Dic2023!$H$6:$H$205,MIN(C1171+1,200)))-LN(INDEX(Dic2023!$H$6:$H$205,C1171)))*(A1171-6*C1171)/6))</f>
        <v>0.00739426180077144</v>
      </c>
      <c r="E1171" s="12" t="n">
        <f aca="false">D1171^(-1/B1171)-1</f>
        <v>0.0517528025</v>
      </c>
      <c r="F1171" s="12" t="n">
        <f aca="false">(1+E1171)^(1/12)-1</f>
        <v>0.00421369509431369</v>
      </c>
      <c r="G1171" s="16" t="n">
        <f aca="false">IF(C1171=0,(1+Dic2023!$J$6)^(-B1171),EXP(LN(INDEX(Dic2023!$K$6:$K$205,C1171))+(LN(INDEX(Dic2023!$K$6:$K$205,MIN(C1171+1,200)))-LN(INDEX(Dic2023!$K$6:$K$205,C1171)))*(A1171-6*C1171)/6))</f>
        <v>0.00739426180077144</v>
      </c>
      <c r="H1171" s="12" t="n">
        <f aca="false">G1171^(-1/B1171)-1</f>
        <v>0.0517528025</v>
      </c>
      <c r="I1171" s="12" t="n">
        <f aca="false">(1+H1171)^(1/12)-1</f>
        <v>0.00421369509431369</v>
      </c>
      <c r="J1171" s="16" t="n">
        <f aca="false">IF(C1171=0,(1+Dic2023!$M$6)^(-B1171),EXP(LN(INDEX(Dic2023!$N$6:$N$205,C1171))+(LN(INDEX(Dic2023!$N$6:$N$205,MIN(C1171+1,200)))-LN(INDEX(Dic2023!$N$6:$N$205,C1171)))*(A1171-6*C1171)/6))</f>
        <v>0.00739426180077144</v>
      </c>
      <c r="K1171" s="12" t="n">
        <f aca="false">J1171^(-1/B1171)-1</f>
        <v>0.0517528025</v>
      </c>
      <c r="L1171" s="12" t="n">
        <f aca="false">(1+K1171)^(1/12)-1</f>
        <v>0.00421369509431369</v>
      </c>
    </row>
    <row r="1172" customFormat="false" ht="15" hidden="false" customHeight="false" outlineLevel="0" collapsed="false">
      <c r="A1172" s="4" t="n">
        <v>1168</v>
      </c>
      <c r="B1172" s="14" t="n">
        <f aca="false">A1172/12</f>
        <v>97.3333333333333</v>
      </c>
      <c r="C1172" s="15" t="n">
        <f aca="false">INT(A1172/6)</f>
        <v>194</v>
      </c>
      <c r="D1172" s="16" t="n">
        <f aca="false">IF(C1172=0,(1+Dic2023!$G$6)^(-B1172),EXP(LN(INDEX(Dic2023!$H$6:$H$205,C1172))+(LN(INDEX(Dic2023!$H$6:$H$205,MIN(C1172+1,200)))-LN(INDEX(Dic2023!$H$6:$H$205,C1172)))*(A1172-6*C1172)/6))</f>
        <v>0.00736323537200614</v>
      </c>
      <c r="E1172" s="12" t="n">
        <f aca="false">D1172^(-1/B1172)-1</f>
        <v>0.0517528025</v>
      </c>
      <c r="F1172" s="12" t="n">
        <f aca="false">(1+E1172)^(1/12)-1</f>
        <v>0.00421369509431369</v>
      </c>
      <c r="G1172" s="16" t="n">
        <f aca="false">IF(C1172=0,(1+Dic2023!$J$6)^(-B1172),EXP(LN(INDEX(Dic2023!$K$6:$K$205,C1172))+(LN(INDEX(Dic2023!$K$6:$K$205,MIN(C1172+1,200)))-LN(INDEX(Dic2023!$K$6:$K$205,C1172)))*(A1172-6*C1172)/6))</f>
        <v>0.00736323537200614</v>
      </c>
      <c r="H1172" s="12" t="n">
        <f aca="false">G1172^(-1/B1172)-1</f>
        <v>0.0517528025</v>
      </c>
      <c r="I1172" s="12" t="n">
        <f aca="false">(1+H1172)^(1/12)-1</f>
        <v>0.00421369509431369</v>
      </c>
      <c r="J1172" s="16" t="n">
        <f aca="false">IF(C1172=0,(1+Dic2023!$M$6)^(-B1172),EXP(LN(INDEX(Dic2023!$N$6:$N$205,C1172))+(LN(INDEX(Dic2023!$N$6:$N$205,MIN(C1172+1,200)))-LN(INDEX(Dic2023!$N$6:$N$205,C1172)))*(A1172-6*C1172)/6))</f>
        <v>0.00736323537200614</v>
      </c>
      <c r="K1172" s="12" t="n">
        <f aca="false">J1172^(-1/B1172)-1</f>
        <v>0.0517528025</v>
      </c>
      <c r="L1172" s="12" t="n">
        <f aca="false">(1+K1172)^(1/12)-1</f>
        <v>0.00421369509431369</v>
      </c>
    </row>
    <row r="1173" customFormat="false" ht="15" hidden="false" customHeight="false" outlineLevel="0" collapsed="false">
      <c r="A1173" s="4" t="n">
        <v>1169</v>
      </c>
      <c r="B1173" s="14" t="n">
        <f aca="false">A1173/12</f>
        <v>97.4166666666667</v>
      </c>
      <c r="C1173" s="15" t="n">
        <f aca="false">INT(A1173/6)</f>
        <v>194</v>
      </c>
      <c r="D1173" s="16" t="n">
        <f aca="false">IF(C1173=0,(1+Dic2023!$G$6)^(-B1173),EXP(LN(INDEX(Dic2023!$H$6:$H$205,C1173))+(LN(INDEX(Dic2023!$H$6:$H$205,MIN(C1173+1,200)))-LN(INDEX(Dic2023!$H$6:$H$205,C1173)))*(A1173-6*C1173)/6))</f>
        <v>0.00733233913058177</v>
      </c>
      <c r="E1173" s="12" t="n">
        <f aca="false">D1173^(-1/B1173)-1</f>
        <v>0.0517528025</v>
      </c>
      <c r="F1173" s="12" t="n">
        <f aca="false">(1+E1173)^(1/12)-1</f>
        <v>0.00421369509431369</v>
      </c>
      <c r="G1173" s="16" t="n">
        <f aca="false">IF(C1173=0,(1+Dic2023!$J$6)^(-B1173),EXP(LN(INDEX(Dic2023!$K$6:$K$205,C1173))+(LN(INDEX(Dic2023!$K$6:$K$205,MIN(C1173+1,200)))-LN(INDEX(Dic2023!$K$6:$K$205,C1173)))*(A1173-6*C1173)/6))</f>
        <v>0.00733233913058177</v>
      </c>
      <c r="H1173" s="12" t="n">
        <f aca="false">G1173^(-1/B1173)-1</f>
        <v>0.0517528025</v>
      </c>
      <c r="I1173" s="12" t="n">
        <f aca="false">(1+H1173)^(1/12)-1</f>
        <v>0.00421369509431369</v>
      </c>
      <c r="J1173" s="16" t="n">
        <f aca="false">IF(C1173=0,(1+Dic2023!$M$6)^(-B1173),EXP(LN(INDEX(Dic2023!$N$6:$N$205,C1173))+(LN(INDEX(Dic2023!$N$6:$N$205,MIN(C1173+1,200)))-LN(INDEX(Dic2023!$N$6:$N$205,C1173)))*(A1173-6*C1173)/6))</f>
        <v>0.00733233913058177</v>
      </c>
      <c r="K1173" s="12" t="n">
        <f aca="false">J1173^(-1/B1173)-1</f>
        <v>0.0517528025</v>
      </c>
      <c r="L1173" s="12" t="n">
        <f aca="false">(1+K1173)^(1/12)-1</f>
        <v>0.00421369509431369</v>
      </c>
    </row>
    <row r="1174" customFormat="false" ht="15" hidden="false" customHeight="false" outlineLevel="0" collapsed="false">
      <c r="A1174" s="4" t="n">
        <v>1170</v>
      </c>
      <c r="B1174" s="14" t="n">
        <f aca="false">A1174/12</f>
        <v>97.5</v>
      </c>
      <c r="C1174" s="15" t="n">
        <f aca="false">INT(A1174/6)</f>
        <v>195</v>
      </c>
      <c r="D1174" s="16" t="n">
        <f aca="false">IF(C1174=0,(1+Dic2023!$G$6)^(-B1174),EXP(LN(INDEX(Dic2023!$H$6:$H$205,C1174))+(LN(INDEX(Dic2023!$H$6:$H$205,MIN(C1174+1,200)))-LN(INDEX(Dic2023!$H$6:$H$205,C1174)))*(A1174-6*C1174)/6))</f>
        <v>0.00730157253023036</v>
      </c>
      <c r="E1174" s="12" t="n">
        <f aca="false">D1174^(-1/B1174)-1</f>
        <v>0.0517528025</v>
      </c>
      <c r="F1174" s="12" t="n">
        <f aca="false">(1+E1174)^(1/12)-1</f>
        <v>0.00421369509431369</v>
      </c>
      <c r="G1174" s="16" t="n">
        <f aca="false">IF(C1174=0,(1+Dic2023!$J$6)^(-B1174),EXP(LN(INDEX(Dic2023!$K$6:$K$205,C1174))+(LN(INDEX(Dic2023!$K$6:$K$205,MIN(C1174+1,200)))-LN(INDEX(Dic2023!$K$6:$K$205,C1174)))*(A1174-6*C1174)/6))</f>
        <v>0.00730157253023036</v>
      </c>
      <c r="H1174" s="12" t="n">
        <f aca="false">G1174^(-1/B1174)-1</f>
        <v>0.0517528025</v>
      </c>
      <c r="I1174" s="12" t="n">
        <f aca="false">(1+H1174)^(1/12)-1</f>
        <v>0.00421369509431369</v>
      </c>
      <c r="J1174" s="16" t="n">
        <f aca="false">IF(C1174=0,(1+Dic2023!$M$6)^(-B1174),EXP(LN(INDEX(Dic2023!$N$6:$N$205,C1174))+(LN(INDEX(Dic2023!$N$6:$N$205,MIN(C1174+1,200)))-LN(INDEX(Dic2023!$N$6:$N$205,C1174)))*(A1174-6*C1174)/6))</f>
        <v>0.00730157253023036</v>
      </c>
      <c r="K1174" s="12" t="n">
        <f aca="false">J1174^(-1/B1174)-1</f>
        <v>0.0517528025</v>
      </c>
      <c r="L1174" s="12" t="n">
        <f aca="false">(1+K1174)^(1/12)-1</f>
        <v>0.00421369509431369</v>
      </c>
    </row>
    <row r="1175" customFormat="false" ht="15" hidden="false" customHeight="false" outlineLevel="0" collapsed="false">
      <c r="A1175" s="4" t="n">
        <v>1171</v>
      </c>
      <c r="B1175" s="14" t="n">
        <f aca="false">A1175/12</f>
        <v>97.5833333333333</v>
      </c>
      <c r="C1175" s="15" t="n">
        <f aca="false">INT(A1175/6)</f>
        <v>195</v>
      </c>
      <c r="D1175" s="16" t="n">
        <f aca="false">IF(C1175=0,(1+Dic2023!$G$6)^(-B1175),EXP(LN(INDEX(Dic2023!$H$6:$H$205,C1175))+(LN(INDEX(Dic2023!$H$6:$H$205,MIN(C1175+1,200)))-LN(INDEX(Dic2023!$H$6:$H$205,C1175)))*(A1175-6*C1175)/6))</f>
        <v>0.00727093502697612</v>
      </c>
      <c r="E1175" s="12" t="n">
        <f aca="false">D1175^(-1/B1175)-1</f>
        <v>0.0517528025</v>
      </c>
      <c r="F1175" s="12" t="n">
        <f aca="false">(1+E1175)^(1/12)-1</f>
        <v>0.00421369509431369</v>
      </c>
      <c r="G1175" s="16" t="n">
        <f aca="false">IF(C1175=0,(1+Dic2023!$J$6)^(-B1175),EXP(LN(INDEX(Dic2023!$K$6:$K$205,C1175))+(LN(INDEX(Dic2023!$K$6:$K$205,MIN(C1175+1,200)))-LN(INDEX(Dic2023!$K$6:$K$205,C1175)))*(A1175-6*C1175)/6))</f>
        <v>0.00727093502697612</v>
      </c>
      <c r="H1175" s="12" t="n">
        <f aca="false">G1175^(-1/B1175)-1</f>
        <v>0.0517528025</v>
      </c>
      <c r="I1175" s="12" t="n">
        <f aca="false">(1+H1175)^(1/12)-1</f>
        <v>0.00421369509431369</v>
      </c>
      <c r="J1175" s="16" t="n">
        <f aca="false">IF(C1175=0,(1+Dic2023!$M$6)^(-B1175),EXP(LN(INDEX(Dic2023!$N$6:$N$205,C1175))+(LN(INDEX(Dic2023!$N$6:$N$205,MIN(C1175+1,200)))-LN(INDEX(Dic2023!$N$6:$N$205,C1175)))*(A1175-6*C1175)/6))</f>
        <v>0.00727093502697612</v>
      </c>
      <c r="K1175" s="12" t="n">
        <f aca="false">J1175^(-1/B1175)-1</f>
        <v>0.0517528025</v>
      </c>
      <c r="L1175" s="12" t="n">
        <f aca="false">(1+K1175)^(1/12)-1</f>
        <v>0.00421369509431369</v>
      </c>
    </row>
    <row r="1176" customFormat="false" ht="15" hidden="false" customHeight="false" outlineLevel="0" collapsed="false">
      <c r="A1176" s="4" t="n">
        <v>1172</v>
      </c>
      <c r="B1176" s="14" t="n">
        <f aca="false">A1176/12</f>
        <v>97.6666666666667</v>
      </c>
      <c r="C1176" s="15" t="n">
        <f aca="false">INT(A1176/6)</f>
        <v>195</v>
      </c>
      <c r="D1176" s="16" t="n">
        <f aca="false">IF(C1176=0,(1+Dic2023!$G$6)^(-B1176),EXP(LN(INDEX(Dic2023!$H$6:$H$205,C1176))+(LN(INDEX(Dic2023!$H$6:$H$205,MIN(C1176+1,200)))-LN(INDEX(Dic2023!$H$6:$H$205,C1176)))*(A1176-6*C1176)/6))</f>
        <v>0.00724042607912576</v>
      </c>
      <c r="E1176" s="12" t="n">
        <f aca="false">D1176^(-1/B1176)-1</f>
        <v>0.0517528025</v>
      </c>
      <c r="F1176" s="12" t="n">
        <f aca="false">(1+E1176)^(1/12)-1</f>
        <v>0.00421369509431369</v>
      </c>
      <c r="G1176" s="16" t="n">
        <f aca="false">IF(C1176=0,(1+Dic2023!$J$6)^(-B1176),EXP(LN(INDEX(Dic2023!$K$6:$K$205,C1176))+(LN(INDEX(Dic2023!$K$6:$K$205,MIN(C1176+1,200)))-LN(INDEX(Dic2023!$K$6:$K$205,C1176)))*(A1176-6*C1176)/6))</f>
        <v>0.00724042607912576</v>
      </c>
      <c r="H1176" s="12" t="n">
        <f aca="false">G1176^(-1/B1176)-1</f>
        <v>0.0517528025</v>
      </c>
      <c r="I1176" s="12" t="n">
        <f aca="false">(1+H1176)^(1/12)-1</f>
        <v>0.00421369509431369</v>
      </c>
      <c r="J1176" s="16" t="n">
        <f aca="false">IF(C1176=0,(1+Dic2023!$M$6)^(-B1176),EXP(LN(INDEX(Dic2023!$N$6:$N$205,C1176))+(LN(INDEX(Dic2023!$N$6:$N$205,MIN(C1176+1,200)))-LN(INDEX(Dic2023!$N$6:$N$205,C1176)))*(A1176-6*C1176)/6))</f>
        <v>0.00724042607912576</v>
      </c>
      <c r="K1176" s="12" t="n">
        <f aca="false">J1176^(-1/B1176)-1</f>
        <v>0.0517528025</v>
      </c>
      <c r="L1176" s="12" t="n">
        <f aca="false">(1+K1176)^(1/12)-1</f>
        <v>0.00421369509431369</v>
      </c>
    </row>
    <row r="1177" customFormat="false" ht="15" hidden="false" customHeight="false" outlineLevel="0" collapsed="false">
      <c r="A1177" s="4" t="n">
        <v>1173</v>
      </c>
      <c r="B1177" s="14" t="n">
        <f aca="false">A1177/12</f>
        <v>97.75</v>
      </c>
      <c r="C1177" s="15" t="n">
        <f aca="false">INT(A1177/6)</f>
        <v>195</v>
      </c>
      <c r="D1177" s="16" t="n">
        <f aca="false">IF(C1177=0,(1+Dic2023!$G$6)^(-B1177),EXP(LN(INDEX(Dic2023!$H$6:$H$205,C1177))+(LN(INDEX(Dic2023!$H$6:$H$205,MIN(C1177+1,200)))-LN(INDEX(Dic2023!$H$6:$H$205,C1177)))*(A1177-6*C1177)/6))</f>
        <v>0.00721004514725898</v>
      </c>
      <c r="E1177" s="12" t="n">
        <f aca="false">D1177^(-1/B1177)-1</f>
        <v>0.0517528025</v>
      </c>
      <c r="F1177" s="12" t="n">
        <f aca="false">(1+E1177)^(1/12)-1</f>
        <v>0.00421369509431369</v>
      </c>
      <c r="G1177" s="16" t="n">
        <f aca="false">IF(C1177=0,(1+Dic2023!$J$6)^(-B1177),EXP(LN(INDEX(Dic2023!$K$6:$K$205,C1177))+(LN(INDEX(Dic2023!$K$6:$K$205,MIN(C1177+1,200)))-LN(INDEX(Dic2023!$K$6:$K$205,C1177)))*(A1177-6*C1177)/6))</f>
        <v>0.00721004514725898</v>
      </c>
      <c r="H1177" s="12" t="n">
        <f aca="false">G1177^(-1/B1177)-1</f>
        <v>0.0517528025</v>
      </c>
      <c r="I1177" s="12" t="n">
        <f aca="false">(1+H1177)^(1/12)-1</f>
        <v>0.00421369509431369</v>
      </c>
      <c r="J1177" s="16" t="n">
        <f aca="false">IF(C1177=0,(1+Dic2023!$M$6)^(-B1177),EXP(LN(INDEX(Dic2023!$N$6:$N$205,C1177))+(LN(INDEX(Dic2023!$N$6:$N$205,MIN(C1177+1,200)))-LN(INDEX(Dic2023!$N$6:$N$205,C1177)))*(A1177-6*C1177)/6))</f>
        <v>0.00721004514725898</v>
      </c>
      <c r="K1177" s="12" t="n">
        <f aca="false">J1177^(-1/B1177)-1</f>
        <v>0.0517528025</v>
      </c>
      <c r="L1177" s="12" t="n">
        <f aca="false">(1+K1177)^(1/12)-1</f>
        <v>0.00421369509431369</v>
      </c>
    </row>
    <row r="1178" customFormat="false" ht="15" hidden="false" customHeight="false" outlineLevel="0" collapsed="false">
      <c r="A1178" s="4" t="n">
        <v>1174</v>
      </c>
      <c r="B1178" s="14" t="n">
        <f aca="false">A1178/12</f>
        <v>97.8333333333333</v>
      </c>
      <c r="C1178" s="15" t="n">
        <f aca="false">INT(A1178/6)</f>
        <v>195</v>
      </c>
      <c r="D1178" s="16" t="n">
        <f aca="false">IF(C1178=0,(1+Dic2023!$G$6)^(-B1178),EXP(LN(INDEX(Dic2023!$H$6:$H$205,C1178))+(LN(INDEX(Dic2023!$H$6:$H$205,MIN(C1178+1,200)))-LN(INDEX(Dic2023!$H$6:$H$205,C1178)))*(A1178-6*C1178)/6))</f>
        <v>0.00717979169421885</v>
      </c>
      <c r="E1178" s="12" t="n">
        <f aca="false">D1178^(-1/B1178)-1</f>
        <v>0.0517528025</v>
      </c>
      <c r="F1178" s="12" t="n">
        <f aca="false">(1+E1178)^(1/12)-1</f>
        <v>0.00421369509431369</v>
      </c>
      <c r="G1178" s="16" t="n">
        <f aca="false">IF(C1178=0,(1+Dic2023!$J$6)^(-B1178),EXP(LN(INDEX(Dic2023!$K$6:$K$205,C1178))+(LN(INDEX(Dic2023!$K$6:$K$205,MIN(C1178+1,200)))-LN(INDEX(Dic2023!$K$6:$K$205,C1178)))*(A1178-6*C1178)/6))</f>
        <v>0.00717979169421885</v>
      </c>
      <c r="H1178" s="12" t="n">
        <f aca="false">G1178^(-1/B1178)-1</f>
        <v>0.0517528025</v>
      </c>
      <c r="I1178" s="12" t="n">
        <f aca="false">(1+H1178)^(1/12)-1</f>
        <v>0.00421369509431369</v>
      </c>
      <c r="J1178" s="16" t="n">
        <f aca="false">IF(C1178=0,(1+Dic2023!$M$6)^(-B1178),EXP(LN(INDEX(Dic2023!$N$6:$N$205,C1178))+(LN(INDEX(Dic2023!$N$6:$N$205,MIN(C1178+1,200)))-LN(INDEX(Dic2023!$N$6:$N$205,C1178)))*(A1178-6*C1178)/6))</f>
        <v>0.00717979169421885</v>
      </c>
      <c r="K1178" s="12" t="n">
        <f aca="false">J1178^(-1/B1178)-1</f>
        <v>0.0517528025</v>
      </c>
      <c r="L1178" s="12" t="n">
        <f aca="false">(1+K1178)^(1/12)-1</f>
        <v>0.00421369509431369</v>
      </c>
    </row>
    <row r="1179" customFormat="false" ht="15" hidden="false" customHeight="false" outlineLevel="0" collapsed="false">
      <c r="A1179" s="4" t="n">
        <v>1175</v>
      </c>
      <c r="B1179" s="14" t="n">
        <f aca="false">A1179/12</f>
        <v>97.9166666666667</v>
      </c>
      <c r="C1179" s="15" t="n">
        <f aca="false">INT(A1179/6)</f>
        <v>195</v>
      </c>
      <c r="D1179" s="16" t="n">
        <f aca="false">IF(C1179=0,(1+Dic2023!$G$6)^(-B1179),EXP(LN(INDEX(Dic2023!$H$6:$H$205,C1179))+(LN(INDEX(Dic2023!$H$6:$H$205,MIN(C1179+1,200)))-LN(INDEX(Dic2023!$H$6:$H$205,C1179)))*(A1179-6*C1179)/6))</f>
        <v>0.0071496651851024</v>
      </c>
      <c r="E1179" s="12" t="n">
        <f aca="false">D1179^(-1/B1179)-1</f>
        <v>0.0517528025</v>
      </c>
      <c r="F1179" s="12" t="n">
        <f aca="false">(1+E1179)^(1/12)-1</f>
        <v>0.00421369509431369</v>
      </c>
      <c r="G1179" s="16" t="n">
        <f aca="false">IF(C1179=0,(1+Dic2023!$J$6)^(-B1179),EXP(LN(INDEX(Dic2023!$K$6:$K$205,C1179))+(LN(INDEX(Dic2023!$K$6:$K$205,MIN(C1179+1,200)))-LN(INDEX(Dic2023!$K$6:$K$205,C1179)))*(A1179-6*C1179)/6))</f>
        <v>0.0071496651851024</v>
      </c>
      <c r="H1179" s="12" t="n">
        <f aca="false">G1179^(-1/B1179)-1</f>
        <v>0.0517528025</v>
      </c>
      <c r="I1179" s="12" t="n">
        <f aca="false">(1+H1179)^(1/12)-1</f>
        <v>0.00421369509431369</v>
      </c>
      <c r="J1179" s="16" t="n">
        <f aca="false">IF(C1179=0,(1+Dic2023!$M$6)^(-B1179),EXP(LN(INDEX(Dic2023!$N$6:$N$205,C1179))+(LN(INDEX(Dic2023!$N$6:$N$205,MIN(C1179+1,200)))-LN(INDEX(Dic2023!$N$6:$N$205,C1179)))*(A1179-6*C1179)/6))</f>
        <v>0.0071496651851024</v>
      </c>
      <c r="K1179" s="12" t="n">
        <f aca="false">J1179^(-1/B1179)-1</f>
        <v>0.0517528025</v>
      </c>
      <c r="L1179" s="12" t="n">
        <f aca="false">(1+K1179)^(1/12)-1</f>
        <v>0.00421369509431369</v>
      </c>
    </row>
    <row r="1180" customFormat="false" ht="15" hidden="false" customHeight="false" outlineLevel="0" collapsed="false">
      <c r="A1180" s="4" t="n">
        <v>1176</v>
      </c>
      <c r="B1180" s="14" t="n">
        <f aca="false">A1180/12</f>
        <v>98</v>
      </c>
      <c r="C1180" s="15" t="n">
        <f aca="false">INT(A1180/6)</f>
        <v>196</v>
      </c>
      <c r="D1180" s="16" t="n">
        <f aca="false">IF(C1180=0,(1+Dic2023!$G$6)^(-B1180),EXP(LN(INDEX(Dic2023!$H$6:$H$205,C1180))+(LN(INDEX(Dic2023!$H$6:$H$205,MIN(C1180+1,200)))-LN(INDEX(Dic2023!$H$6:$H$205,C1180)))*(A1180-6*C1180)/6))</f>
        <v>0.00711966508725109</v>
      </c>
      <c r="E1180" s="12" t="n">
        <f aca="false">D1180^(-1/B1180)-1</f>
        <v>0.0517528025</v>
      </c>
      <c r="F1180" s="12" t="n">
        <f aca="false">(1+E1180)^(1/12)-1</f>
        <v>0.00421369509431369</v>
      </c>
      <c r="G1180" s="16" t="n">
        <f aca="false">IF(C1180=0,(1+Dic2023!$J$6)^(-B1180),EXP(LN(INDEX(Dic2023!$K$6:$K$205,C1180))+(LN(INDEX(Dic2023!$K$6:$K$205,MIN(C1180+1,200)))-LN(INDEX(Dic2023!$K$6:$K$205,C1180)))*(A1180-6*C1180)/6))</f>
        <v>0.00711966508725109</v>
      </c>
      <c r="H1180" s="12" t="n">
        <f aca="false">G1180^(-1/B1180)-1</f>
        <v>0.0517528025</v>
      </c>
      <c r="I1180" s="12" t="n">
        <f aca="false">(1+H1180)^(1/12)-1</f>
        <v>0.00421369509431369</v>
      </c>
      <c r="J1180" s="16" t="n">
        <f aca="false">IF(C1180=0,(1+Dic2023!$M$6)^(-B1180),EXP(LN(INDEX(Dic2023!$N$6:$N$205,C1180))+(LN(INDEX(Dic2023!$N$6:$N$205,MIN(C1180+1,200)))-LN(INDEX(Dic2023!$N$6:$N$205,C1180)))*(A1180-6*C1180)/6))</f>
        <v>0.00711966508725109</v>
      </c>
      <c r="K1180" s="12" t="n">
        <f aca="false">J1180^(-1/B1180)-1</f>
        <v>0.0517528025</v>
      </c>
      <c r="L1180" s="12" t="n">
        <f aca="false">(1+K1180)^(1/12)-1</f>
        <v>0.00421369509431369</v>
      </c>
    </row>
    <row r="1181" customFormat="false" ht="15" hidden="false" customHeight="false" outlineLevel="0" collapsed="false">
      <c r="A1181" s="4" t="n">
        <v>1177</v>
      </c>
      <c r="B1181" s="14" t="n">
        <f aca="false">A1181/12</f>
        <v>98.0833333333333</v>
      </c>
      <c r="C1181" s="15" t="n">
        <f aca="false">INT(A1181/6)</f>
        <v>196</v>
      </c>
      <c r="D1181" s="16" t="n">
        <f aca="false">IF(C1181=0,(1+Dic2023!$G$6)^(-B1181),EXP(LN(INDEX(Dic2023!$H$6:$H$205,C1181))+(LN(INDEX(Dic2023!$H$6:$H$205,MIN(C1181+1,200)))-LN(INDEX(Dic2023!$H$6:$H$205,C1181)))*(A1181-6*C1181)/6))</f>
        <v>0.00708979087024144</v>
      </c>
      <c r="E1181" s="12" t="n">
        <f aca="false">D1181^(-1/B1181)-1</f>
        <v>0.0517528025</v>
      </c>
      <c r="F1181" s="12" t="n">
        <f aca="false">(1+E1181)^(1/12)-1</f>
        <v>0.00421369509431369</v>
      </c>
      <c r="G1181" s="16" t="n">
        <f aca="false">IF(C1181=0,(1+Dic2023!$J$6)^(-B1181),EXP(LN(INDEX(Dic2023!$K$6:$K$205,C1181))+(LN(INDEX(Dic2023!$K$6:$K$205,MIN(C1181+1,200)))-LN(INDEX(Dic2023!$K$6:$K$205,C1181)))*(A1181-6*C1181)/6))</f>
        <v>0.00708979087024144</v>
      </c>
      <c r="H1181" s="12" t="n">
        <f aca="false">G1181^(-1/B1181)-1</f>
        <v>0.0517528025</v>
      </c>
      <c r="I1181" s="12" t="n">
        <f aca="false">(1+H1181)^(1/12)-1</f>
        <v>0.00421369509431369</v>
      </c>
      <c r="J1181" s="16" t="n">
        <f aca="false">IF(C1181=0,(1+Dic2023!$M$6)^(-B1181),EXP(LN(INDEX(Dic2023!$N$6:$N$205,C1181))+(LN(INDEX(Dic2023!$N$6:$N$205,MIN(C1181+1,200)))-LN(INDEX(Dic2023!$N$6:$N$205,C1181)))*(A1181-6*C1181)/6))</f>
        <v>0.00708979087024144</v>
      </c>
      <c r="K1181" s="12" t="n">
        <f aca="false">J1181^(-1/B1181)-1</f>
        <v>0.0517528025</v>
      </c>
      <c r="L1181" s="12" t="n">
        <f aca="false">(1+K1181)^(1/12)-1</f>
        <v>0.00421369509431369</v>
      </c>
    </row>
    <row r="1182" customFormat="false" ht="15" hidden="false" customHeight="false" outlineLevel="0" collapsed="false">
      <c r="A1182" s="4" t="n">
        <v>1178</v>
      </c>
      <c r="B1182" s="14" t="n">
        <f aca="false">A1182/12</f>
        <v>98.1666666666667</v>
      </c>
      <c r="C1182" s="15" t="n">
        <f aca="false">INT(A1182/6)</f>
        <v>196</v>
      </c>
      <c r="D1182" s="16" t="n">
        <f aca="false">IF(C1182=0,(1+Dic2023!$G$6)^(-B1182),EXP(LN(INDEX(Dic2023!$H$6:$H$205,C1182))+(LN(INDEX(Dic2023!$H$6:$H$205,MIN(C1182+1,200)))-LN(INDEX(Dic2023!$H$6:$H$205,C1182)))*(A1182-6*C1182)/6))</f>
        <v>0.00706004200587564</v>
      </c>
      <c r="E1182" s="12" t="n">
        <f aca="false">D1182^(-1/B1182)-1</f>
        <v>0.0517528025</v>
      </c>
      <c r="F1182" s="12" t="n">
        <f aca="false">(1+E1182)^(1/12)-1</f>
        <v>0.00421369509431369</v>
      </c>
      <c r="G1182" s="16" t="n">
        <f aca="false">IF(C1182=0,(1+Dic2023!$J$6)^(-B1182),EXP(LN(INDEX(Dic2023!$K$6:$K$205,C1182))+(LN(INDEX(Dic2023!$K$6:$K$205,MIN(C1182+1,200)))-LN(INDEX(Dic2023!$K$6:$K$205,C1182)))*(A1182-6*C1182)/6))</f>
        <v>0.00706004200587564</v>
      </c>
      <c r="H1182" s="12" t="n">
        <f aca="false">G1182^(-1/B1182)-1</f>
        <v>0.0517528025</v>
      </c>
      <c r="I1182" s="12" t="n">
        <f aca="false">(1+H1182)^(1/12)-1</f>
        <v>0.00421369509431369</v>
      </c>
      <c r="J1182" s="16" t="n">
        <f aca="false">IF(C1182=0,(1+Dic2023!$M$6)^(-B1182),EXP(LN(INDEX(Dic2023!$N$6:$N$205,C1182))+(LN(INDEX(Dic2023!$N$6:$N$205,MIN(C1182+1,200)))-LN(INDEX(Dic2023!$N$6:$N$205,C1182)))*(A1182-6*C1182)/6))</f>
        <v>0.00706004200587564</v>
      </c>
      <c r="K1182" s="12" t="n">
        <f aca="false">J1182^(-1/B1182)-1</f>
        <v>0.0517528025</v>
      </c>
      <c r="L1182" s="12" t="n">
        <f aca="false">(1+K1182)^(1/12)-1</f>
        <v>0.00421369509431369</v>
      </c>
    </row>
    <row r="1183" customFormat="false" ht="15" hidden="false" customHeight="false" outlineLevel="0" collapsed="false">
      <c r="A1183" s="4" t="n">
        <v>1179</v>
      </c>
      <c r="B1183" s="14" t="n">
        <f aca="false">A1183/12</f>
        <v>98.25</v>
      </c>
      <c r="C1183" s="15" t="n">
        <f aca="false">INT(A1183/6)</f>
        <v>196</v>
      </c>
      <c r="D1183" s="16" t="n">
        <f aca="false">IF(C1183=0,(1+Dic2023!$G$6)^(-B1183),EXP(LN(INDEX(Dic2023!$H$6:$H$205,C1183))+(LN(INDEX(Dic2023!$H$6:$H$205,MIN(C1183+1,200)))-LN(INDEX(Dic2023!$H$6:$H$205,C1183)))*(A1183-6*C1183)/6))</f>
        <v>0.00703041796817218</v>
      </c>
      <c r="E1183" s="12" t="n">
        <f aca="false">D1183^(-1/B1183)-1</f>
        <v>0.0517528025</v>
      </c>
      <c r="F1183" s="12" t="n">
        <f aca="false">(1+E1183)^(1/12)-1</f>
        <v>0.00421369509431369</v>
      </c>
      <c r="G1183" s="16" t="n">
        <f aca="false">IF(C1183=0,(1+Dic2023!$J$6)^(-B1183),EXP(LN(INDEX(Dic2023!$K$6:$K$205,C1183))+(LN(INDEX(Dic2023!$K$6:$K$205,MIN(C1183+1,200)))-LN(INDEX(Dic2023!$K$6:$K$205,C1183)))*(A1183-6*C1183)/6))</f>
        <v>0.00703041796817218</v>
      </c>
      <c r="H1183" s="12" t="n">
        <f aca="false">G1183^(-1/B1183)-1</f>
        <v>0.0517528025</v>
      </c>
      <c r="I1183" s="12" t="n">
        <f aca="false">(1+H1183)^(1/12)-1</f>
        <v>0.00421369509431369</v>
      </c>
      <c r="J1183" s="16" t="n">
        <f aca="false">IF(C1183=0,(1+Dic2023!$M$6)^(-B1183),EXP(LN(INDEX(Dic2023!$N$6:$N$205,C1183))+(LN(INDEX(Dic2023!$N$6:$N$205,MIN(C1183+1,200)))-LN(INDEX(Dic2023!$N$6:$N$205,C1183)))*(A1183-6*C1183)/6))</f>
        <v>0.00703041796817218</v>
      </c>
      <c r="K1183" s="12" t="n">
        <f aca="false">J1183^(-1/B1183)-1</f>
        <v>0.0517528025</v>
      </c>
      <c r="L1183" s="12" t="n">
        <f aca="false">(1+K1183)^(1/12)-1</f>
        <v>0.00421369509431369</v>
      </c>
    </row>
    <row r="1184" customFormat="false" ht="15" hidden="false" customHeight="false" outlineLevel="0" collapsed="false">
      <c r="A1184" s="4" t="n">
        <v>1180</v>
      </c>
      <c r="B1184" s="14" t="n">
        <f aca="false">A1184/12</f>
        <v>98.3333333333333</v>
      </c>
      <c r="C1184" s="15" t="n">
        <f aca="false">INT(A1184/6)</f>
        <v>196</v>
      </c>
      <c r="D1184" s="16" t="n">
        <f aca="false">IF(C1184=0,(1+Dic2023!$G$6)^(-B1184),EXP(LN(INDEX(Dic2023!$H$6:$H$205,C1184))+(LN(INDEX(Dic2023!$H$6:$H$205,MIN(C1184+1,200)))-LN(INDEX(Dic2023!$H$6:$H$205,C1184)))*(A1184-6*C1184)/6))</f>
        <v>0.00700091823335659</v>
      </c>
      <c r="E1184" s="12" t="n">
        <f aca="false">D1184^(-1/B1184)-1</f>
        <v>0.0517528025</v>
      </c>
      <c r="F1184" s="12" t="n">
        <f aca="false">(1+E1184)^(1/12)-1</f>
        <v>0.00421369509431369</v>
      </c>
      <c r="G1184" s="16" t="n">
        <f aca="false">IF(C1184=0,(1+Dic2023!$J$6)^(-B1184),EXP(LN(INDEX(Dic2023!$K$6:$K$205,C1184))+(LN(INDEX(Dic2023!$K$6:$K$205,MIN(C1184+1,200)))-LN(INDEX(Dic2023!$K$6:$K$205,C1184)))*(A1184-6*C1184)/6))</f>
        <v>0.00700091823335659</v>
      </c>
      <c r="H1184" s="12" t="n">
        <f aca="false">G1184^(-1/B1184)-1</f>
        <v>0.0517528025</v>
      </c>
      <c r="I1184" s="12" t="n">
        <f aca="false">(1+H1184)^(1/12)-1</f>
        <v>0.00421369509431369</v>
      </c>
      <c r="J1184" s="16" t="n">
        <f aca="false">IF(C1184=0,(1+Dic2023!$M$6)^(-B1184),EXP(LN(INDEX(Dic2023!$N$6:$N$205,C1184))+(LN(INDEX(Dic2023!$N$6:$N$205,MIN(C1184+1,200)))-LN(INDEX(Dic2023!$N$6:$N$205,C1184)))*(A1184-6*C1184)/6))</f>
        <v>0.00700091823335659</v>
      </c>
      <c r="K1184" s="12" t="n">
        <f aca="false">J1184^(-1/B1184)-1</f>
        <v>0.0517528025</v>
      </c>
      <c r="L1184" s="12" t="n">
        <f aca="false">(1+K1184)^(1/12)-1</f>
        <v>0.00421369509431369</v>
      </c>
    </row>
    <row r="1185" customFormat="false" ht="15" hidden="false" customHeight="false" outlineLevel="0" collapsed="false">
      <c r="A1185" s="4" t="n">
        <v>1181</v>
      </c>
      <c r="B1185" s="14" t="n">
        <f aca="false">A1185/12</f>
        <v>98.4166666666667</v>
      </c>
      <c r="C1185" s="15" t="n">
        <f aca="false">INT(A1185/6)</f>
        <v>196</v>
      </c>
      <c r="D1185" s="16" t="n">
        <f aca="false">IF(C1185=0,(1+Dic2023!$G$6)^(-B1185),EXP(LN(INDEX(Dic2023!$H$6:$H$205,C1185))+(LN(INDEX(Dic2023!$H$6:$H$205,MIN(C1185+1,200)))-LN(INDEX(Dic2023!$H$6:$H$205,C1185)))*(A1185-6*C1185)/6))</f>
        <v>0.00697154227985218</v>
      </c>
      <c r="E1185" s="12" t="n">
        <f aca="false">D1185^(-1/B1185)-1</f>
        <v>0.0517528025</v>
      </c>
      <c r="F1185" s="12" t="n">
        <f aca="false">(1+E1185)^(1/12)-1</f>
        <v>0.00421369509431369</v>
      </c>
      <c r="G1185" s="16" t="n">
        <f aca="false">IF(C1185=0,(1+Dic2023!$J$6)^(-B1185),EXP(LN(INDEX(Dic2023!$K$6:$K$205,C1185))+(LN(INDEX(Dic2023!$K$6:$K$205,MIN(C1185+1,200)))-LN(INDEX(Dic2023!$K$6:$K$205,C1185)))*(A1185-6*C1185)/6))</f>
        <v>0.00697154227985218</v>
      </c>
      <c r="H1185" s="12" t="n">
        <f aca="false">G1185^(-1/B1185)-1</f>
        <v>0.0517528025</v>
      </c>
      <c r="I1185" s="12" t="n">
        <f aca="false">(1+H1185)^(1/12)-1</f>
        <v>0.00421369509431369</v>
      </c>
      <c r="J1185" s="16" t="n">
        <f aca="false">IF(C1185=0,(1+Dic2023!$M$6)^(-B1185),EXP(LN(INDEX(Dic2023!$N$6:$N$205,C1185))+(LN(INDEX(Dic2023!$N$6:$N$205,MIN(C1185+1,200)))-LN(INDEX(Dic2023!$N$6:$N$205,C1185)))*(A1185-6*C1185)/6))</f>
        <v>0.00697154227985218</v>
      </c>
      <c r="K1185" s="12" t="n">
        <f aca="false">J1185^(-1/B1185)-1</f>
        <v>0.0517528025</v>
      </c>
      <c r="L1185" s="12" t="n">
        <f aca="false">(1+K1185)^(1/12)-1</f>
        <v>0.00421369509431369</v>
      </c>
    </row>
    <row r="1186" customFormat="false" ht="15" hidden="false" customHeight="false" outlineLevel="0" collapsed="false">
      <c r="A1186" s="4" t="n">
        <v>1182</v>
      </c>
      <c r="B1186" s="14" t="n">
        <f aca="false">A1186/12</f>
        <v>98.5</v>
      </c>
      <c r="C1186" s="15" t="n">
        <f aca="false">INT(A1186/6)</f>
        <v>197</v>
      </c>
      <c r="D1186" s="16" t="n">
        <f aca="false">IF(C1186=0,(1+Dic2023!$G$6)^(-B1186),EXP(LN(INDEX(Dic2023!$H$6:$H$205,C1186))+(LN(INDEX(Dic2023!$H$6:$H$205,MIN(C1186+1,200)))-LN(INDEX(Dic2023!$H$6:$H$205,C1186)))*(A1186-6*C1186)/6))</f>
        <v>0.00694228958827077</v>
      </c>
      <c r="E1186" s="12" t="n">
        <f aca="false">D1186^(-1/B1186)-1</f>
        <v>0.0517528025</v>
      </c>
      <c r="F1186" s="12" t="n">
        <f aca="false">(1+E1186)^(1/12)-1</f>
        <v>0.00421369509431369</v>
      </c>
      <c r="G1186" s="16" t="n">
        <f aca="false">IF(C1186=0,(1+Dic2023!$J$6)^(-B1186),EXP(LN(INDEX(Dic2023!$K$6:$K$205,C1186))+(LN(INDEX(Dic2023!$K$6:$K$205,MIN(C1186+1,200)))-LN(INDEX(Dic2023!$K$6:$K$205,C1186)))*(A1186-6*C1186)/6))</f>
        <v>0.00694228958827077</v>
      </c>
      <c r="H1186" s="12" t="n">
        <f aca="false">G1186^(-1/B1186)-1</f>
        <v>0.0517528025</v>
      </c>
      <c r="I1186" s="12" t="n">
        <f aca="false">(1+H1186)^(1/12)-1</f>
        <v>0.00421369509431369</v>
      </c>
      <c r="J1186" s="16" t="n">
        <f aca="false">IF(C1186=0,(1+Dic2023!$M$6)^(-B1186),EXP(LN(INDEX(Dic2023!$N$6:$N$205,C1186))+(LN(INDEX(Dic2023!$N$6:$N$205,MIN(C1186+1,200)))-LN(INDEX(Dic2023!$N$6:$N$205,C1186)))*(A1186-6*C1186)/6))</f>
        <v>0.00694228958827077</v>
      </c>
      <c r="K1186" s="12" t="n">
        <f aca="false">J1186^(-1/B1186)-1</f>
        <v>0.0517528025</v>
      </c>
      <c r="L1186" s="12" t="n">
        <f aca="false">(1+K1186)^(1/12)-1</f>
        <v>0.00421369509431369</v>
      </c>
    </row>
    <row r="1187" customFormat="false" ht="15" hidden="false" customHeight="false" outlineLevel="0" collapsed="false">
      <c r="A1187" s="4" t="n">
        <v>1183</v>
      </c>
      <c r="B1187" s="14" t="n">
        <f aca="false">A1187/12</f>
        <v>98.5833333333333</v>
      </c>
      <c r="C1187" s="15" t="n">
        <f aca="false">INT(A1187/6)</f>
        <v>197</v>
      </c>
      <c r="D1187" s="16" t="n">
        <f aca="false">IF(C1187=0,(1+Dic2023!$G$6)^(-B1187),EXP(LN(INDEX(Dic2023!$H$6:$H$205,C1187))+(LN(INDEX(Dic2023!$H$6:$H$205,MIN(C1187+1,200)))-LN(INDEX(Dic2023!$H$6:$H$205,C1187)))*(A1187-6*C1187)/6))</f>
        <v>0.00691315964140358</v>
      </c>
      <c r="E1187" s="12" t="n">
        <f aca="false">D1187^(-1/B1187)-1</f>
        <v>0.0517528025</v>
      </c>
      <c r="F1187" s="12" t="n">
        <f aca="false">(1+E1187)^(1/12)-1</f>
        <v>0.00421369509431369</v>
      </c>
      <c r="G1187" s="16" t="n">
        <f aca="false">IF(C1187=0,(1+Dic2023!$J$6)^(-B1187),EXP(LN(INDEX(Dic2023!$K$6:$K$205,C1187))+(LN(INDEX(Dic2023!$K$6:$K$205,MIN(C1187+1,200)))-LN(INDEX(Dic2023!$K$6:$K$205,C1187)))*(A1187-6*C1187)/6))</f>
        <v>0.00691315964140358</v>
      </c>
      <c r="H1187" s="12" t="n">
        <f aca="false">G1187^(-1/B1187)-1</f>
        <v>0.0517528025</v>
      </c>
      <c r="I1187" s="12" t="n">
        <f aca="false">(1+H1187)^(1/12)-1</f>
        <v>0.00421369509431369</v>
      </c>
      <c r="J1187" s="16" t="n">
        <f aca="false">IF(C1187=0,(1+Dic2023!$M$6)^(-B1187),EXP(LN(INDEX(Dic2023!$N$6:$N$205,C1187))+(LN(INDEX(Dic2023!$N$6:$N$205,MIN(C1187+1,200)))-LN(INDEX(Dic2023!$N$6:$N$205,C1187)))*(A1187-6*C1187)/6))</f>
        <v>0.00691315964140358</v>
      </c>
      <c r="K1187" s="12" t="n">
        <f aca="false">J1187^(-1/B1187)-1</f>
        <v>0.0517528025</v>
      </c>
      <c r="L1187" s="12" t="n">
        <f aca="false">(1+K1187)^(1/12)-1</f>
        <v>0.00421369509431369</v>
      </c>
    </row>
    <row r="1188" customFormat="false" ht="15" hidden="false" customHeight="false" outlineLevel="0" collapsed="false">
      <c r="A1188" s="4" t="n">
        <v>1184</v>
      </c>
      <c r="B1188" s="14" t="n">
        <f aca="false">A1188/12</f>
        <v>98.6666666666667</v>
      </c>
      <c r="C1188" s="15" t="n">
        <f aca="false">INT(A1188/6)</f>
        <v>197</v>
      </c>
      <c r="D1188" s="16" t="n">
        <f aca="false">IF(C1188=0,(1+Dic2023!$G$6)^(-B1188),EXP(LN(INDEX(Dic2023!$H$6:$H$205,C1188))+(LN(INDEX(Dic2023!$H$6:$H$205,MIN(C1188+1,200)))-LN(INDEX(Dic2023!$H$6:$H$205,C1188)))*(A1188-6*C1188)/6))</f>
        <v>0.00688415192421202</v>
      </c>
      <c r="E1188" s="12" t="n">
        <f aca="false">D1188^(-1/B1188)-1</f>
        <v>0.0517528025</v>
      </c>
      <c r="F1188" s="12" t="n">
        <f aca="false">(1+E1188)^(1/12)-1</f>
        <v>0.00421369509431369</v>
      </c>
      <c r="G1188" s="16" t="n">
        <f aca="false">IF(C1188=0,(1+Dic2023!$J$6)^(-B1188),EXP(LN(INDEX(Dic2023!$K$6:$K$205,C1188))+(LN(INDEX(Dic2023!$K$6:$K$205,MIN(C1188+1,200)))-LN(INDEX(Dic2023!$K$6:$K$205,C1188)))*(A1188-6*C1188)/6))</f>
        <v>0.00688415192421202</v>
      </c>
      <c r="H1188" s="12" t="n">
        <f aca="false">G1188^(-1/B1188)-1</f>
        <v>0.0517528025</v>
      </c>
      <c r="I1188" s="12" t="n">
        <f aca="false">(1+H1188)^(1/12)-1</f>
        <v>0.00421369509431369</v>
      </c>
      <c r="J1188" s="16" t="n">
        <f aca="false">IF(C1188=0,(1+Dic2023!$M$6)^(-B1188),EXP(LN(INDEX(Dic2023!$N$6:$N$205,C1188))+(LN(INDEX(Dic2023!$N$6:$N$205,MIN(C1188+1,200)))-LN(INDEX(Dic2023!$N$6:$N$205,C1188)))*(A1188-6*C1188)/6))</f>
        <v>0.00688415192421202</v>
      </c>
      <c r="K1188" s="12" t="n">
        <f aca="false">J1188^(-1/B1188)-1</f>
        <v>0.0517528025</v>
      </c>
      <c r="L1188" s="12" t="n">
        <f aca="false">(1+K1188)^(1/12)-1</f>
        <v>0.00421369509431369</v>
      </c>
    </row>
    <row r="1189" customFormat="false" ht="15" hidden="false" customHeight="false" outlineLevel="0" collapsed="false">
      <c r="A1189" s="4" t="n">
        <v>1185</v>
      </c>
      <c r="B1189" s="14" t="n">
        <f aca="false">A1189/12</f>
        <v>98.75</v>
      </c>
      <c r="C1189" s="15" t="n">
        <f aca="false">INT(A1189/6)</f>
        <v>197</v>
      </c>
      <c r="D1189" s="16" t="n">
        <f aca="false">IF(C1189=0,(1+Dic2023!$G$6)^(-B1189),EXP(LN(INDEX(Dic2023!$H$6:$H$205,C1189))+(LN(INDEX(Dic2023!$H$6:$H$205,MIN(C1189+1,200)))-LN(INDEX(Dic2023!$H$6:$H$205,C1189)))*(A1189-6*C1189)/6))</f>
        <v>0.00685526592381861</v>
      </c>
      <c r="E1189" s="12" t="n">
        <f aca="false">D1189^(-1/B1189)-1</f>
        <v>0.0517528025</v>
      </c>
      <c r="F1189" s="12" t="n">
        <f aca="false">(1+E1189)^(1/12)-1</f>
        <v>0.00421369509431369</v>
      </c>
      <c r="G1189" s="16" t="n">
        <f aca="false">IF(C1189=0,(1+Dic2023!$J$6)^(-B1189),EXP(LN(INDEX(Dic2023!$K$6:$K$205,C1189))+(LN(INDEX(Dic2023!$K$6:$K$205,MIN(C1189+1,200)))-LN(INDEX(Dic2023!$K$6:$K$205,C1189)))*(A1189-6*C1189)/6))</f>
        <v>0.00685526592381861</v>
      </c>
      <c r="H1189" s="12" t="n">
        <f aca="false">G1189^(-1/B1189)-1</f>
        <v>0.0517528025</v>
      </c>
      <c r="I1189" s="12" t="n">
        <f aca="false">(1+H1189)^(1/12)-1</f>
        <v>0.00421369509431369</v>
      </c>
      <c r="J1189" s="16" t="n">
        <f aca="false">IF(C1189=0,(1+Dic2023!$M$6)^(-B1189),EXP(LN(INDEX(Dic2023!$N$6:$N$205,C1189))+(LN(INDEX(Dic2023!$N$6:$N$205,MIN(C1189+1,200)))-LN(INDEX(Dic2023!$N$6:$N$205,C1189)))*(A1189-6*C1189)/6))</f>
        <v>0.00685526592381861</v>
      </c>
      <c r="K1189" s="12" t="n">
        <f aca="false">J1189^(-1/B1189)-1</f>
        <v>0.0517528025</v>
      </c>
      <c r="L1189" s="12" t="n">
        <f aca="false">(1+K1189)^(1/12)-1</f>
        <v>0.00421369509431369</v>
      </c>
    </row>
    <row r="1190" customFormat="false" ht="15" hidden="false" customHeight="false" outlineLevel="0" collapsed="false">
      <c r="A1190" s="4" t="n">
        <v>1186</v>
      </c>
      <c r="B1190" s="14" t="n">
        <f aca="false">A1190/12</f>
        <v>98.8333333333333</v>
      </c>
      <c r="C1190" s="15" t="n">
        <f aca="false">INT(A1190/6)</f>
        <v>197</v>
      </c>
      <c r="D1190" s="16" t="n">
        <f aca="false">IF(C1190=0,(1+Dic2023!$G$6)^(-B1190),EXP(LN(INDEX(Dic2023!$H$6:$H$205,C1190))+(LN(INDEX(Dic2023!$H$6:$H$205,MIN(C1190+1,200)))-LN(INDEX(Dic2023!$H$6:$H$205,C1190)))*(A1190-6*C1190)/6))</f>
        <v>0.00682650112949792</v>
      </c>
      <c r="E1190" s="12" t="n">
        <f aca="false">D1190^(-1/B1190)-1</f>
        <v>0.0517528025</v>
      </c>
      <c r="F1190" s="12" t="n">
        <f aca="false">(1+E1190)^(1/12)-1</f>
        <v>0.00421369509431369</v>
      </c>
      <c r="G1190" s="16" t="n">
        <f aca="false">IF(C1190=0,(1+Dic2023!$J$6)^(-B1190),EXP(LN(INDEX(Dic2023!$K$6:$K$205,C1190))+(LN(INDEX(Dic2023!$K$6:$K$205,MIN(C1190+1,200)))-LN(INDEX(Dic2023!$K$6:$K$205,C1190)))*(A1190-6*C1190)/6))</f>
        <v>0.00682650112949792</v>
      </c>
      <c r="H1190" s="12" t="n">
        <f aca="false">G1190^(-1/B1190)-1</f>
        <v>0.0517528025</v>
      </c>
      <c r="I1190" s="12" t="n">
        <f aca="false">(1+H1190)^(1/12)-1</f>
        <v>0.00421369509431369</v>
      </c>
      <c r="J1190" s="16" t="n">
        <f aca="false">IF(C1190=0,(1+Dic2023!$M$6)^(-B1190),EXP(LN(INDEX(Dic2023!$N$6:$N$205,C1190))+(LN(INDEX(Dic2023!$N$6:$N$205,MIN(C1190+1,200)))-LN(INDEX(Dic2023!$N$6:$N$205,C1190)))*(A1190-6*C1190)/6))</f>
        <v>0.00682650112949792</v>
      </c>
      <c r="K1190" s="12" t="n">
        <f aca="false">J1190^(-1/B1190)-1</f>
        <v>0.0517528025</v>
      </c>
      <c r="L1190" s="12" t="n">
        <f aca="false">(1+K1190)^(1/12)-1</f>
        <v>0.00421369509431369</v>
      </c>
    </row>
    <row r="1191" customFormat="false" ht="15" hidden="false" customHeight="false" outlineLevel="0" collapsed="false">
      <c r="A1191" s="4" t="n">
        <v>1187</v>
      </c>
      <c r="B1191" s="14" t="n">
        <f aca="false">A1191/12</f>
        <v>98.9166666666667</v>
      </c>
      <c r="C1191" s="15" t="n">
        <f aca="false">INT(A1191/6)</f>
        <v>197</v>
      </c>
      <c r="D1191" s="16" t="n">
        <f aca="false">IF(C1191=0,(1+Dic2023!$G$6)^(-B1191),EXP(LN(INDEX(Dic2023!$H$6:$H$205,C1191))+(LN(INDEX(Dic2023!$H$6:$H$205,MIN(C1191+1,200)))-LN(INDEX(Dic2023!$H$6:$H$205,C1191)))*(A1191-6*C1191)/6))</f>
        <v>0.00679785703266752</v>
      </c>
      <c r="E1191" s="12" t="n">
        <f aca="false">D1191^(-1/B1191)-1</f>
        <v>0.0517528025</v>
      </c>
      <c r="F1191" s="12" t="n">
        <f aca="false">(1+E1191)^(1/12)-1</f>
        <v>0.00421369509431369</v>
      </c>
      <c r="G1191" s="16" t="n">
        <f aca="false">IF(C1191=0,(1+Dic2023!$J$6)^(-B1191),EXP(LN(INDEX(Dic2023!$K$6:$K$205,C1191))+(LN(INDEX(Dic2023!$K$6:$K$205,MIN(C1191+1,200)))-LN(INDEX(Dic2023!$K$6:$K$205,C1191)))*(A1191-6*C1191)/6))</f>
        <v>0.00679785703266752</v>
      </c>
      <c r="H1191" s="12" t="n">
        <f aca="false">G1191^(-1/B1191)-1</f>
        <v>0.0517528025</v>
      </c>
      <c r="I1191" s="12" t="n">
        <f aca="false">(1+H1191)^(1/12)-1</f>
        <v>0.00421369509431369</v>
      </c>
      <c r="J1191" s="16" t="n">
        <f aca="false">IF(C1191=0,(1+Dic2023!$M$6)^(-B1191),EXP(LN(INDEX(Dic2023!$N$6:$N$205,C1191))+(LN(INDEX(Dic2023!$N$6:$N$205,MIN(C1191+1,200)))-LN(INDEX(Dic2023!$N$6:$N$205,C1191)))*(A1191-6*C1191)/6))</f>
        <v>0.00679785703266752</v>
      </c>
      <c r="K1191" s="12" t="n">
        <f aca="false">J1191^(-1/B1191)-1</f>
        <v>0.0517528025</v>
      </c>
      <c r="L1191" s="12" t="n">
        <f aca="false">(1+K1191)^(1/12)-1</f>
        <v>0.00421369509431369</v>
      </c>
    </row>
    <row r="1192" customFormat="false" ht="15" hidden="false" customHeight="false" outlineLevel="0" collapsed="false">
      <c r="A1192" s="4" t="n">
        <v>1188</v>
      </c>
      <c r="B1192" s="14" t="n">
        <f aca="false">A1192/12</f>
        <v>99</v>
      </c>
      <c r="C1192" s="15" t="n">
        <f aca="false">INT(A1192/6)</f>
        <v>198</v>
      </c>
      <c r="D1192" s="16" t="n">
        <f aca="false">IF(C1192=0,(1+Dic2023!$G$6)^(-B1192),EXP(LN(INDEX(Dic2023!$H$6:$H$205,C1192))+(LN(INDEX(Dic2023!$H$6:$H$205,MIN(C1192+1,200)))-LN(INDEX(Dic2023!$H$6:$H$205,C1192)))*(A1192-6*C1192)/6))</f>
        <v>0.00676933312687902</v>
      </c>
      <c r="E1192" s="12" t="n">
        <f aca="false">D1192^(-1/B1192)-1</f>
        <v>0.0517528025</v>
      </c>
      <c r="F1192" s="12" t="n">
        <f aca="false">(1+E1192)^(1/12)-1</f>
        <v>0.00421369509431369</v>
      </c>
      <c r="G1192" s="16" t="n">
        <f aca="false">IF(C1192=0,(1+Dic2023!$J$6)^(-B1192),EXP(LN(INDEX(Dic2023!$K$6:$K$205,C1192))+(LN(INDEX(Dic2023!$K$6:$K$205,MIN(C1192+1,200)))-LN(INDEX(Dic2023!$K$6:$K$205,C1192)))*(A1192-6*C1192)/6))</f>
        <v>0.00676933312687902</v>
      </c>
      <c r="H1192" s="12" t="n">
        <f aca="false">G1192^(-1/B1192)-1</f>
        <v>0.0517528025</v>
      </c>
      <c r="I1192" s="12" t="n">
        <f aca="false">(1+H1192)^(1/12)-1</f>
        <v>0.00421369509431369</v>
      </c>
      <c r="J1192" s="16" t="n">
        <f aca="false">IF(C1192=0,(1+Dic2023!$M$6)^(-B1192),EXP(LN(INDEX(Dic2023!$N$6:$N$205,C1192))+(LN(INDEX(Dic2023!$N$6:$N$205,MIN(C1192+1,200)))-LN(INDEX(Dic2023!$N$6:$N$205,C1192)))*(A1192-6*C1192)/6))</f>
        <v>0.00676933312687902</v>
      </c>
      <c r="K1192" s="12" t="n">
        <f aca="false">J1192^(-1/B1192)-1</f>
        <v>0.0517528025</v>
      </c>
      <c r="L1192" s="12" t="n">
        <f aca="false">(1+K1192)^(1/12)-1</f>
        <v>0.00421369509431369</v>
      </c>
    </row>
    <row r="1193" customFormat="false" ht="15" hidden="false" customHeight="false" outlineLevel="0" collapsed="false">
      <c r="A1193" s="4" t="n">
        <v>1189</v>
      </c>
      <c r="B1193" s="14" t="n">
        <f aca="false">A1193/12</f>
        <v>99.0833333333333</v>
      </c>
      <c r="C1193" s="15" t="n">
        <f aca="false">INT(A1193/6)</f>
        <v>198</v>
      </c>
      <c r="D1193" s="16" t="n">
        <f aca="false">IF(C1193=0,(1+Dic2023!$G$6)^(-B1193),EXP(LN(INDEX(Dic2023!$H$6:$H$205,C1193))+(LN(INDEX(Dic2023!$H$6:$H$205,MIN(C1193+1,200)))-LN(INDEX(Dic2023!$H$6:$H$205,C1193)))*(A1193-6*C1193)/6))</f>
        <v>0.00674092890780906</v>
      </c>
      <c r="E1193" s="12" t="n">
        <f aca="false">D1193^(-1/B1193)-1</f>
        <v>0.0517528025</v>
      </c>
      <c r="F1193" s="12" t="n">
        <f aca="false">(1+E1193)^(1/12)-1</f>
        <v>0.00421369509431369</v>
      </c>
      <c r="G1193" s="16" t="n">
        <f aca="false">IF(C1193=0,(1+Dic2023!$J$6)^(-B1193),EXP(LN(INDEX(Dic2023!$K$6:$K$205,C1193))+(LN(INDEX(Dic2023!$K$6:$K$205,MIN(C1193+1,200)))-LN(INDEX(Dic2023!$K$6:$K$205,C1193)))*(A1193-6*C1193)/6))</f>
        <v>0.00674092890780906</v>
      </c>
      <c r="H1193" s="12" t="n">
        <f aca="false">G1193^(-1/B1193)-1</f>
        <v>0.0517528025</v>
      </c>
      <c r="I1193" s="12" t="n">
        <f aca="false">(1+H1193)^(1/12)-1</f>
        <v>0.00421369509431369</v>
      </c>
      <c r="J1193" s="16" t="n">
        <f aca="false">IF(C1193=0,(1+Dic2023!$M$6)^(-B1193),EXP(LN(INDEX(Dic2023!$N$6:$N$205,C1193))+(LN(INDEX(Dic2023!$N$6:$N$205,MIN(C1193+1,200)))-LN(INDEX(Dic2023!$N$6:$N$205,C1193)))*(A1193-6*C1193)/6))</f>
        <v>0.00674092890780906</v>
      </c>
      <c r="K1193" s="12" t="n">
        <f aca="false">J1193^(-1/B1193)-1</f>
        <v>0.0517528025</v>
      </c>
      <c r="L1193" s="12" t="n">
        <f aca="false">(1+K1193)^(1/12)-1</f>
        <v>0.00421369509431369</v>
      </c>
    </row>
    <row r="1194" customFormat="false" ht="15" hidden="false" customHeight="false" outlineLevel="0" collapsed="false">
      <c r="A1194" s="4" t="n">
        <v>1190</v>
      </c>
      <c r="B1194" s="14" t="n">
        <f aca="false">A1194/12</f>
        <v>99.1666666666667</v>
      </c>
      <c r="C1194" s="15" t="n">
        <f aca="false">INT(A1194/6)</f>
        <v>198</v>
      </c>
      <c r="D1194" s="16" t="n">
        <f aca="false">IF(C1194=0,(1+Dic2023!$G$6)^(-B1194),EXP(LN(INDEX(Dic2023!$H$6:$H$205,C1194))+(LN(INDEX(Dic2023!$H$6:$H$205,MIN(C1194+1,200)))-LN(INDEX(Dic2023!$H$6:$H$205,C1194)))*(A1194-6*C1194)/6))</f>
        <v>0.00671264387325048</v>
      </c>
      <c r="E1194" s="12" t="n">
        <f aca="false">D1194^(-1/B1194)-1</f>
        <v>0.0517528025</v>
      </c>
      <c r="F1194" s="12" t="n">
        <f aca="false">(1+E1194)^(1/12)-1</f>
        <v>0.00421369509431369</v>
      </c>
      <c r="G1194" s="16" t="n">
        <f aca="false">IF(C1194=0,(1+Dic2023!$J$6)^(-B1194),EXP(LN(INDEX(Dic2023!$K$6:$K$205,C1194))+(LN(INDEX(Dic2023!$K$6:$K$205,MIN(C1194+1,200)))-LN(INDEX(Dic2023!$K$6:$K$205,C1194)))*(A1194-6*C1194)/6))</f>
        <v>0.00671264387325048</v>
      </c>
      <c r="H1194" s="12" t="n">
        <f aca="false">G1194^(-1/B1194)-1</f>
        <v>0.0517528025</v>
      </c>
      <c r="I1194" s="12" t="n">
        <f aca="false">(1+H1194)^(1/12)-1</f>
        <v>0.00421369509431369</v>
      </c>
      <c r="J1194" s="16" t="n">
        <f aca="false">IF(C1194=0,(1+Dic2023!$M$6)^(-B1194),EXP(LN(INDEX(Dic2023!$N$6:$N$205,C1194))+(LN(INDEX(Dic2023!$N$6:$N$205,MIN(C1194+1,200)))-LN(INDEX(Dic2023!$N$6:$N$205,C1194)))*(A1194-6*C1194)/6))</f>
        <v>0.00671264387325048</v>
      </c>
      <c r="K1194" s="12" t="n">
        <f aca="false">J1194^(-1/B1194)-1</f>
        <v>0.0517528025</v>
      </c>
      <c r="L1194" s="12" t="n">
        <f aca="false">(1+K1194)^(1/12)-1</f>
        <v>0.00421369509431369</v>
      </c>
    </row>
    <row r="1195" customFormat="false" ht="15" hidden="false" customHeight="false" outlineLevel="0" collapsed="false">
      <c r="A1195" s="4" t="n">
        <v>1191</v>
      </c>
      <c r="B1195" s="14" t="n">
        <f aca="false">A1195/12</f>
        <v>99.25</v>
      </c>
      <c r="C1195" s="15" t="n">
        <f aca="false">INT(A1195/6)</f>
        <v>198</v>
      </c>
      <c r="D1195" s="16" t="n">
        <f aca="false">IF(C1195=0,(1+Dic2023!$G$6)^(-B1195),EXP(LN(INDEX(Dic2023!$H$6:$H$205,C1195))+(LN(INDEX(Dic2023!$H$6:$H$205,MIN(C1195+1,200)))-LN(INDEX(Dic2023!$H$6:$H$205,C1195)))*(A1195-6*C1195)/6))</f>
        <v>0.00668447752310332</v>
      </c>
      <c r="E1195" s="12" t="n">
        <f aca="false">D1195^(-1/B1195)-1</f>
        <v>0.0517528025</v>
      </c>
      <c r="F1195" s="12" t="n">
        <f aca="false">(1+E1195)^(1/12)-1</f>
        <v>0.00421369509431369</v>
      </c>
      <c r="G1195" s="16" t="n">
        <f aca="false">IF(C1195=0,(1+Dic2023!$J$6)^(-B1195),EXP(LN(INDEX(Dic2023!$K$6:$K$205,C1195))+(LN(INDEX(Dic2023!$K$6:$K$205,MIN(C1195+1,200)))-LN(INDEX(Dic2023!$K$6:$K$205,C1195)))*(A1195-6*C1195)/6))</f>
        <v>0.00668447752310332</v>
      </c>
      <c r="H1195" s="12" t="n">
        <f aca="false">G1195^(-1/B1195)-1</f>
        <v>0.0517528025</v>
      </c>
      <c r="I1195" s="12" t="n">
        <f aca="false">(1+H1195)^(1/12)-1</f>
        <v>0.00421369509431369</v>
      </c>
      <c r="J1195" s="16" t="n">
        <f aca="false">IF(C1195=0,(1+Dic2023!$M$6)^(-B1195),EXP(LN(INDEX(Dic2023!$N$6:$N$205,C1195))+(LN(INDEX(Dic2023!$N$6:$N$205,MIN(C1195+1,200)))-LN(INDEX(Dic2023!$N$6:$N$205,C1195)))*(A1195-6*C1195)/6))</f>
        <v>0.00668447752310332</v>
      </c>
      <c r="K1195" s="12" t="n">
        <f aca="false">J1195^(-1/B1195)-1</f>
        <v>0.0517528025</v>
      </c>
      <c r="L1195" s="12" t="n">
        <f aca="false">(1+K1195)^(1/12)-1</f>
        <v>0.00421369509431369</v>
      </c>
    </row>
    <row r="1196" customFormat="false" ht="15" hidden="false" customHeight="false" outlineLevel="0" collapsed="false">
      <c r="A1196" s="4" t="n">
        <v>1192</v>
      </c>
      <c r="B1196" s="14" t="n">
        <f aca="false">A1196/12</f>
        <v>99.3333333333333</v>
      </c>
      <c r="C1196" s="15" t="n">
        <f aca="false">INT(A1196/6)</f>
        <v>198</v>
      </c>
      <c r="D1196" s="16" t="n">
        <f aca="false">IF(C1196=0,(1+Dic2023!$G$6)^(-B1196),EXP(LN(INDEX(Dic2023!$H$6:$H$205,C1196))+(LN(INDEX(Dic2023!$H$6:$H$205,MIN(C1196+1,200)))-LN(INDEX(Dic2023!$H$6:$H$205,C1196)))*(A1196-6*C1196)/6))</f>
        <v>0.00665642935936611</v>
      </c>
      <c r="E1196" s="12" t="n">
        <f aca="false">D1196^(-1/B1196)-1</f>
        <v>0.0517528025</v>
      </c>
      <c r="F1196" s="12" t="n">
        <f aca="false">(1+E1196)^(1/12)-1</f>
        <v>0.00421369509431369</v>
      </c>
      <c r="G1196" s="16" t="n">
        <f aca="false">IF(C1196=0,(1+Dic2023!$J$6)^(-B1196),EXP(LN(INDEX(Dic2023!$K$6:$K$205,C1196))+(LN(INDEX(Dic2023!$K$6:$K$205,MIN(C1196+1,200)))-LN(INDEX(Dic2023!$K$6:$K$205,C1196)))*(A1196-6*C1196)/6))</f>
        <v>0.00665642935936611</v>
      </c>
      <c r="H1196" s="12" t="n">
        <f aca="false">G1196^(-1/B1196)-1</f>
        <v>0.0517528025</v>
      </c>
      <c r="I1196" s="12" t="n">
        <f aca="false">(1+H1196)^(1/12)-1</f>
        <v>0.00421369509431369</v>
      </c>
      <c r="J1196" s="16" t="n">
        <f aca="false">IF(C1196=0,(1+Dic2023!$M$6)^(-B1196),EXP(LN(INDEX(Dic2023!$N$6:$N$205,C1196))+(LN(INDEX(Dic2023!$N$6:$N$205,MIN(C1196+1,200)))-LN(INDEX(Dic2023!$N$6:$N$205,C1196)))*(A1196-6*C1196)/6))</f>
        <v>0.00665642935936611</v>
      </c>
      <c r="K1196" s="12" t="n">
        <f aca="false">J1196^(-1/B1196)-1</f>
        <v>0.0517528025</v>
      </c>
      <c r="L1196" s="12" t="n">
        <f aca="false">(1+K1196)^(1/12)-1</f>
        <v>0.00421369509431369</v>
      </c>
    </row>
    <row r="1197" customFormat="false" ht="15" hidden="false" customHeight="false" outlineLevel="0" collapsed="false">
      <c r="A1197" s="4" t="n">
        <v>1193</v>
      </c>
      <c r="B1197" s="14" t="n">
        <f aca="false">A1197/12</f>
        <v>99.4166666666667</v>
      </c>
      <c r="C1197" s="15" t="n">
        <f aca="false">INT(A1197/6)</f>
        <v>198</v>
      </c>
      <c r="D1197" s="16" t="n">
        <f aca="false">IF(C1197=0,(1+Dic2023!$G$6)^(-B1197),EXP(LN(INDEX(Dic2023!$H$6:$H$205,C1197))+(LN(INDEX(Dic2023!$H$6:$H$205,MIN(C1197+1,200)))-LN(INDEX(Dic2023!$H$6:$H$205,C1197)))*(A1197-6*C1197)/6))</f>
        <v>0.00662849888612698</v>
      </c>
      <c r="E1197" s="12" t="n">
        <f aca="false">D1197^(-1/B1197)-1</f>
        <v>0.0517528025</v>
      </c>
      <c r="F1197" s="12" t="n">
        <f aca="false">(1+E1197)^(1/12)-1</f>
        <v>0.00421369509431369</v>
      </c>
      <c r="G1197" s="16" t="n">
        <f aca="false">IF(C1197=0,(1+Dic2023!$J$6)^(-B1197),EXP(LN(INDEX(Dic2023!$K$6:$K$205,C1197))+(LN(INDEX(Dic2023!$K$6:$K$205,MIN(C1197+1,200)))-LN(INDEX(Dic2023!$K$6:$K$205,C1197)))*(A1197-6*C1197)/6))</f>
        <v>0.00662849888612698</v>
      </c>
      <c r="H1197" s="12" t="n">
        <f aca="false">G1197^(-1/B1197)-1</f>
        <v>0.0517528025</v>
      </c>
      <c r="I1197" s="12" t="n">
        <f aca="false">(1+H1197)^(1/12)-1</f>
        <v>0.00421369509431369</v>
      </c>
      <c r="J1197" s="16" t="n">
        <f aca="false">IF(C1197=0,(1+Dic2023!$M$6)^(-B1197),EXP(LN(INDEX(Dic2023!$N$6:$N$205,C1197))+(LN(INDEX(Dic2023!$N$6:$N$205,MIN(C1197+1,200)))-LN(INDEX(Dic2023!$N$6:$N$205,C1197)))*(A1197-6*C1197)/6))</f>
        <v>0.00662849888612698</v>
      </c>
      <c r="K1197" s="12" t="n">
        <f aca="false">J1197^(-1/B1197)-1</f>
        <v>0.0517528025</v>
      </c>
      <c r="L1197" s="12" t="n">
        <f aca="false">(1+K1197)^(1/12)-1</f>
        <v>0.00421369509431369</v>
      </c>
    </row>
    <row r="1198" customFormat="false" ht="15" hidden="false" customHeight="false" outlineLevel="0" collapsed="false">
      <c r="A1198" s="4" t="n">
        <v>1194</v>
      </c>
      <c r="B1198" s="14" t="n">
        <f aca="false">A1198/12</f>
        <v>99.5</v>
      </c>
      <c r="C1198" s="15" t="n">
        <f aca="false">INT(A1198/6)</f>
        <v>199</v>
      </c>
      <c r="D1198" s="16" t="n">
        <f aca="false">IF(C1198=0,(1+Dic2023!$G$6)^(-B1198),EXP(LN(INDEX(Dic2023!$H$6:$H$205,C1198))+(LN(INDEX(Dic2023!$H$6:$H$205,MIN(C1198+1,200)))-LN(INDEX(Dic2023!$H$6:$H$205,C1198)))*(A1198-6*C1198)/6))</f>
        <v>0.00660068560955489</v>
      </c>
      <c r="E1198" s="12" t="n">
        <f aca="false">D1198^(-1/B1198)-1</f>
        <v>0.0517528025</v>
      </c>
      <c r="F1198" s="12" t="n">
        <f aca="false">(1+E1198)^(1/12)-1</f>
        <v>0.00421369509431369</v>
      </c>
      <c r="G1198" s="16" t="n">
        <f aca="false">IF(C1198=0,(1+Dic2023!$J$6)^(-B1198),EXP(LN(INDEX(Dic2023!$K$6:$K$205,C1198))+(LN(INDEX(Dic2023!$K$6:$K$205,MIN(C1198+1,200)))-LN(INDEX(Dic2023!$K$6:$K$205,C1198)))*(A1198-6*C1198)/6))</f>
        <v>0.00660068560955489</v>
      </c>
      <c r="H1198" s="12" t="n">
        <f aca="false">G1198^(-1/B1198)-1</f>
        <v>0.0517528025</v>
      </c>
      <c r="I1198" s="12" t="n">
        <f aca="false">(1+H1198)^(1/12)-1</f>
        <v>0.00421369509431369</v>
      </c>
      <c r="J1198" s="16" t="n">
        <f aca="false">IF(C1198=0,(1+Dic2023!$M$6)^(-B1198),EXP(LN(INDEX(Dic2023!$N$6:$N$205,C1198))+(LN(INDEX(Dic2023!$N$6:$N$205,MIN(C1198+1,200)))-LN(INDEX(Dic2023!$N$6:$N$205,C1198)))*(A1198-6*C1198)/6))</f>
        <v>0.00660068560955489</v>
      </c>
      <c r="K1198" s="12" t="n">
        <f aca="false">J1198^(-1/B1198)-1</f>
        <v>0.0517528025</v>
      </c>
      <c r="L1198" s="12" t="n">
        <f aca="false">(1+K1198)^(1/12)-1</f>
        <v>0.00421369509431369</v>
      </c>
    </row>
    <row r="1199" customFormat="false" ht="15" hidden="false" customHeight="false" outlineLevel="0" collapsed="false">
      <c r="A1199" s="4" t="n">
        <v>1195</v>
      </c>
      <c r="B1199" s="14" t="n">
        <f aca="false">A1199/12</f>
        <v>99.5833333333333</v>
      </c>
      <c r="C1199" s="15" t="n">
        <f aca="false">INT(A1199/6)</f>
        <v>199</v>
      </c>
      <c r="D1199" s="16" t="n">
        <f aca="false">IF(C1199=0,(1+Dic2023!$G$6)^(-B1199),EXP(LN(INDEX(Dic2023!$H$6:$H$205,C1199))+(LN(INDEX(Dic2023!$H$6:$H$205,MIN(C1199+1,200)))-LN(INDEX(Dic2023!$H$6:$H$205,C1199)))*(A1199-6*C1199)/6))</f>
        <v>0.00657298903789095</v>
      </c>
      <c r="E1199" s="12" t="n">
        <f aca="false">D1199^(-1/B1199)-1</f>
        <v>0.0517528025</v>
      </c>
      <c r="F1199" s="12" t="n">
        <f aca="false">(1+E1199)^(1/12)-1</f>
        <v>0.00421369509431369</v>
      </c>
      <c r="G1199" s="16" t="n">
        <f aca="false">IF(C1199=0,(1+Dic2023!$J$6)^(-B1199),EXP(LN(INDEX(Dic2023!$K$6:$K$205,C1199))+(LN(INDEX(Dic2023!$K$6:$K$205,MIN(C1199+1,200)))-LN(INDEX(Dic2023!$K$6:$K$205,C1199)))*(A1199-6*C1199)/6))</f>
        <v>0.00657298903789095</v>
      </c>
      <c r="H1199" s="12" t="n">
        <f aca="false">G1199^(-1/B1199)-1</f>
        <v>0.0517528025</v>
      </c>
      <c r="I1199" s="12" t="n">
        <f aca="false">(1+H1199)^(1/12)-1</f>
        <v>0.00421369509431369</v>
      </c>
      <c r="J1199" s="16" t="n">
        <f aca="false">IF(C1199=0,(1+Dic2023!$M$6)^(-B1199),EXP(LN(INDEX(Dic2023!$N$6:$N$205,C1199))+(LN(INDEX(Dic2023!$N$6:$N$205,MIN(C1199+1,200)))-LN(INDEX(Dic2023!$N$6:$N$205,C1199)))*(A1199-6*C1199)/6))</f>
        <v>0.00657298903789095</v>
      </c>
      <c r="K1199" s="12" t="n">
        <f aca="false">J1199^(-1/B1199)-1</f>
        <v>0.0517528025</v>
      </c>
      <c r="L1199" s="12" t="n">
        <f aca="false">(1+K1199)^(1/12)-1</f>
        <v>0.00421369509431369</v>
      </c>
    </row>
    <row r="1200" customFormat="false" ht="15" hidden="false" customHeight="false" outlineLevel="0" collapsed="false">
      <c r="A1200" s="4" t="n">
        <v>1196</v>
      </c>
      <c r="B1200" s="14" t="n">
        <f aca="false">A1200/12</f>
        <v>99.6666666666667</v>
      </c>
      <c r="C1200" s="15" t="n">
        <f aca="false">INT(A1200/6)</f>
        <v>199</v>
      </c>
      <c r="D1200" s="16" t="n">
        <f aca="false">IF(C1200=0,(1+Dic2023!$G$6)^(-B1200),EXP(LN(INDEX(Dic2023!$H$6:$H$205,C1200))+(LN(INDEX(Dic2023!$H$6:$H$205,MIN(C1200+1,200)))-LN(INDEX(Dic2023!$H$6:$H$205,C1200)))*(A1200-6*C1200)/6))</f>
        <v>0.00654540868143969</v>
      </c>
      <c r="E1200" s="12" t="n">
        <f aca="false">D1200^(-1/B1200)-1</f>
        <v>0.0517528025</v>
      </c>
      <c r="F1200" s="12" t="n">
        <f aca="false">(1+E1200)^(1/12)-1</f>
        <v>0.00421369509431369</v>
      </c>
      <c r="G1200" s="16" t="n">
        <f aca="false">IF(C1200=0,(1+Dic2023!$J$6)^(-B1200),EXP(LN(INDEX(Dic2023!$K$6:$K$205,C1200))+(LN(INDEX(Dic2023!$K$6:$K$205,MIN(C1200+1,200)))-LN(INDEX(Dic2023!$K$6:$K$205,C1200)))*(A1200-6*C1200)/6))</f>
        <v>0.00654540868143969</v>
      </c>
      <c r="H1200" s="12" t="n">
        <f aca="false">G1200^(-1/B1200)-1</f>
        <v>0.0517528025</v>
      </c>
      <c r="I1200" s="12" t="n">
        <f aca="false">(1+H1200)^(1/12)-1</f>
        <v>0.00421369509431369</v>
      </c>
      <c r="J1200" s="16" t="n">
        <f aca="false">IF(C1200=0,(1+Dic2023!$M$6)^(-B1200),EXP(LN(INDEX(Dic2023!$N$6:$N$205,C1200))+(LN(INDEX(Dic2023!$N$6:$N$205,MIN(C1200+1,200)))-LN(INDEX(Dic2023!$N$6:$N$205,C1200)))*(A1200-6*C1200)/6))</f>
        <v>0.00654540868143969</v>
      </c>
      <c r="K1200" s="12" t="n">
        <f aca="false">J1200^(-1/B1200)-1</f>
        <v>0.0517528025</v>
      </c>
      <c r="L1200" s="12" t="n">
        <f aca="false">(1+K1200)^(1/12)-1</f>
        <v>0.00421369509431369</v>
      </c>
    </row>
    <row r="1201" customFormat="false" ht="15" hidden="false" customHeight="false" outlineLevel="0" collapsed="false">
      <c r="A1201" s="4" t="n">
        <v>1197</v>
      </c>
      <c r="B1201" s="14" t="n">
        <f aca="false">A1201/12</f>
        <v>99.75</v>
      </c>
      <c r="C1201" s="15" t="n">
        <f aca="false">INT(A1201/6)</f>
        <v>199</v>
      </c>
      <c r="D1201" s="16" t="n">
        <f aca="false">IF(C1201=0,(1+Dic2023!$G$6)^(-B1201),EXP(LN(INDEX(Dic2023!$H$6:$H$205,C1201))+(LN(INDEX(Dic2023!$H$6:$H$205,MIN(C1201+1,200)))-LN(INDEX(Dic2023!$H$6:$H$205,C1201)))*(A1201-6*C1201)/6))</f>
        <v>0.0065179440525604</v>
      </c>
      <c r="E1201" s="12" t="n">
        <f aca="false">D1201^(-1/B1201)-1</f>
        <v>0.0517528025</v>
      </c>
      <c r="F1201" s="12" t="n">
        <f aca="false">(1+E1201)^(1/12)-1</f>
        <v>0.00421369509431369</v>
      </c>
      <c r="G1201" s="16" t="n">
        <f aca="false">IF(C1201=0,(1+Dic2023!$J$6)^(-B1201),EXP(LN(INDEX(Dic2023!$K$6:$K$205,C1201))+(LN(INDEX(Dic2023!$K$6:$K$205,MIN(C1201+1,200)))-LN(INDEX(Dic2023!$K$6:$K$205,C1201)))*(A1201-6*C1201)/6))</f>
        <v>0.0065179440525604</v>
      </c>
      <c r="H1201" s="12" t="n">
        <f aca="false">G1201^(-1/B1201)-1</f>
        <v>0.0517528025</v>
      </c>
      <c r="I1201" s="12" t="n">
        <f aca="false">(1+H1201)^(1/12)-1</f>
        <v>0.00421369509431369</v>
      </c>
      <c r="J1201" s="16" t="n">
        <f aca="false">IF(C1201=0,(1+Dic2023!$M$6)^(-B1201),EXP(LN(INDEX(Dic2023!$N$6:$N$205,C1201))+(LN(INDEX(Dic2023!$N$6:$N$205,MIN(C1201+1,200)))-LN(INDEX(Dic2023!$N$6:$N$205,C1201)))*(A1201-6*C1201)/6))</f>
        <v>0.0065179440525604</v>
      </c>
      <c r="K1201" s="12" t="n">
        <f aca="false">J1201^(-1/B1201)-1</f>
        <v>0.0517528025</v>
      </c>
      <c r="L1201" s="12" t="n">
        <f aca="false">(1+K1201)^(1/12)-1</f>
        <v>0.00421369509431369</v>
      </c>
    </row>
    <row r="1202" customFormat="false" ht="15" hidden="false" customHeight="false" outlineLevel="0" collapsed="false">
      <c r="A1202" s="4" t="n">
        <v>1198</v>
      </c>
      <c r="B1202" s="14" t="n">
        <f aca="false">A1202/12</f>
        <v>99.8333333333333</v>
      </c>
      <c r="C1202" s="15" t="n">
        <f aca="false">INT(A1202/6)</f>
        <v>199</v>
      </c>
      <c r="D1202" s="16" t="n">
        <f aca="false">IF(C1202=0,(1+Dic2023!$G$6)^(-B1202),EXP(LN(INDEX(Dic2023!$H$6:$H$205,C1202))+(LN(INDEX(Dic2023!$H$6:$H$205,MIN(C1202+1,200)))-LN(INDEX(Dic2023!$H$6:$H$205,C1202)))*(A1202-6*C1202)/6))</f>
        <v>0.00649059466565854</v>
      </c>
      <c r="E1202" s="12" t="n">
        <f aca="false">D1202^(-1/B1202)-1</f>
        <v>0.0517528025</v>
      </c>
      <c r="F1202" s="12" t="n">
        <f aca="false">(1+E1202)^(1/12)-1</f>
        <v>0.00421369509431369</v>
      </c>
      <c r="G1202" s="16" t="n">
        <f aca="false">IF(C1202=0,(1+Dic2023!$J$6)^(-B1202),EXP(LN(INDEX(Dic2023!$K$6:$K$205,C1202))+(LN(INDEX(Dic2023!$K$6:$K$205,MIN(C1202+1,200)))-LN(INDEX(Dic2023!$K$6:$K$205,C1202)))*(A1202-6*C1202)/6))</f>
        <v>0.00649059466565854</v>
      </c>
      <c r="H1202" s="12" t="n">
        <f aca="false">G1202^(-1/B1202)-1</f>
        <v>0.0517528025</v>
      </c>
      <c r="I1202" s="12" t="n">
        <f aca="false">(1+H1202)^(1/12)-1</f>
        <v>0.00421369509431369</v>
      </c>
      <c r="J1202" s="16" t="n">
        <f aca="false">IF(C1202=0,(1+Dic2023!$M$6)^(-B1202),EXP(LN(INDEX(Dic2023!$N$6:$N$205,C1202))+(LN(INDEX(Dic2023!$N$6:$N$205,MIN(C1202+1,200)))-LN(INDEX(Dic2023!$N$6:$N$205,C1202)))*(A1202-6*C1202)/6))</f>
        <v>0.00649059466565854</v>
      </c>
      <c r="K1202" s="12" t="n">
        <f aca="false">J1202^(-1/B1202)-1</f>
        <v>0.0517528025</v>
      </c>
      <c r="L1202" s="12" t="n">
        <f aca="false">(1+K1202)^(1/12)-1</f>
        <v>0.00421369509431369</v>
      </c>
    </row>
    <row r="1203" customFormat="false" ht="15" hidden="false" customHeight="false" outlineLevel="0" collapsed="false">
      <c r="A1203" s="4" t="n">
        <v>1199</v>
      </c>
      <c r="B1203" s="14" t="n">
        <f aca="false">A1203/12</f>
        <v>99.9166666666667</v>
      </c>
      <c r="C1203" s="15" t="n">
        <f aca="false">INT(A1203/6)</f>
        <v>199</v>
      </c>
      <c r="D1203" s="16" t="n">
        <f aca="false">IF(C1203=0,(1+Dic2023!$G$6)^(-B1203),EXP(LN(INDEX(Dic2023!$H$6:$H$205,C1203))+(LN(INDEX(Dic2023!$H$6:$H$205,MIN(C1203+1,200)))-LN(INDEX(Dic2023!$H$6:$H$205,C1203)))*(A1203-6*C1203)/6))</f>
        <v>0.0064633600371771</v>
      </c>
      <c r="E1203" s="12" t="n">
        <f aca="false">D1203^(-1/B1203)-1</f>
        <v>0.0517528025</v>
      </c>
      <c r="F1203" s="12" t="n">
        <f aca="false">(1+E1203)^(1/12)-1</f>
        <v>0.00421369509431369</v>
      </c>
      <c r="G1203" s="16" t="n">
        <f aca="false">IF(C1203=0,(1+Dic2023!$J$6)^(-B1203),EXP(LN(INDEX(Dic2023!$K$6:$K$205,C1203))+(LN(INDEX(Dic2023!$K$6:$K$205,MIN(C1203+1,200)))-LN(INDEX(Dic2023!$K$6:$K$205,C1203)))*(A1203-6*C1203)/6))</f>
        <v>0.0064633600371771</v>
      </c>
      <c r="H1203" s="12" t="n">
        <f aca="false">G1203^(-1/B1203)-1</f>
        <v>0.0517528025</v>
      </c>
      <c r="I1203" s="12" t="n">
        <f aca="false">(1+H1203)^(1/12)-1</f>
        <v>0.00421369509431369</v>
      </c>
      <c r="J1203" s="16" t="n">
        <f aca="false">IF(C1203=0,(1+Dic2023!$M$6)^(-B1203),EXP(LN(INDEX(Dic2023!$N$6:$N$205,C1203))+(LN(INDEX(Dic2023!$N$6:$N$205,MIN(C1203+1,200)))-LN(INDEX(Dic2023!$N$6:$N$205,C1203)))*(A1203-6*C1203)/6))</f>
        <v>0.0064633600371771</v>
      </c>
      <c r="K1203" s="12" t="n">
        <f aca="false">J1203^(-1/B1203)-1</f>
        <v>0.0517528025</v>
      </c>
      <c r="L1203" s="12" t="n">
        <f aca="false">(1+K1203)^(1/12)-1</f>
        <v>0.00421369509431369</v>
      </c>
    </row>
    <row r="1204" customFormat="false" ht="15" hidden="false" customHeight="false" outlineLevel="0" collapsed="false">
      <c r="A1204" s="4" t="n">
        <v>1200</v>
      </c>
      <c r="B1204" s="14" t="n">
        <f aca="false">A1204/12</f>
        <v>100</v>
      </c>
      <c r="C1204" s="15" t="n">
        <f aca="false">INT(A1204/6)</f>
        <v>200</v>
      </c>
      <c r="D1204" s="16" t="n">
        <f aca="false">IF(C1204=0,(1+Dic2023!$G$6)^(-B1204),EXP(LN(INDEX(Dic2023!$H$6:$H$205,C1204))+(LN(INDEX(Dic2023!$H$6:$H$205,MIN(C1204+1,200)))-LN(INDEX(Dic2023!$H$6:$H$205,C1204)))*(A1204-6*C1204)/6))</f>
        <v>0.00643623968558811</v>
      </c>
      <c r="E1204" s="12" t="n">
        <f aca="false">D1204^(-1/B1204)-1</f>
        <v>0.0517528025</v>
      </c>
      <c r="F1204" s="12" t="n">
        <f aca="false">(1+E1204)^(1/12)-1</f>
        <v>0.00421369509431369</v>
      </c>
      <c r="G1204" s="16" t="n">
        <f aca="false">IF(C1204=0,(1+Dic2023!$J$6)^(-B1204),EXP(LN(INDEX(Dic2023!$K$6:$K$205,C1204))+(LN(INDEX(Dic2023!$K$6:$K$205,MIN(C1204+1,200)))-LN(INDEX(Dic2023!$K$6:$K$205,C1204)))*(A1204-6*C1204)/6))</f>
        <v>0.00643623968558811</v>
      </c>
      <c r="H1204" s="12" t="n">
        <f aca="false">G1204^(-1/B1204)-1</f>
        <v>0.0517528025</v>
      </c>
      <c r="I1204" s="12" t="n">
        <f aca="false">(1+H1204)^(1/12)-1</f>
        <v>0.00421369509431369</v>
      </c>
      <c r="J1204" s="16" t="n">
        <f aca="false">IF(C1204=0,(1+Dic2023!$M$6)^(-B1204),EXP(LN(INDEX(Dic2023!$N$6:$N$205,C1204))+(LN(INDEX(Dic2023!$N$6:$N$205,MIN(C1204+1,200)))-LN(INDEX(Dic2023!$N$6:$N$205,C1204)))*(A1204-6*C1204)/6))</f>
        <v>0.00643623968558811</v>
      </c>
      <c r="K1204" s="12" t="n">
        <f aca="false">J1204^(-1/B1204)-1</f>
        <v>0.0517528025</v>
      </c>
      <c r="L1204" s="12" t="n">
        <f aca="false">(1+K1204)^(1/12)-1</f>
        <v>0.00421369509431369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2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0"/>
    <col collapsed="false" customWidth="true" hidden="false" outlineLevel="0" max="3" min="3" style="0" width="11"/>
    <col collapsed="false" customWidth="true" hidden="false" outlineLevel="0" max="12" min="4" style="0" width="13"/>
  </cols>
  <sheetData>
    <row r="1" customFormat="false" ht="15" hidden="false" customHeight="false" outlineLevel="0" collapsed="false">
      <c r="A1" s="1" t="s">
        <v>65</v>
      </c>
    </row>
    <row r="2" customFormat="false" ht="15" hidden="false" customHeight="false" outlineLevel="0" collapsed="false">
      <c r="A2" s="2" t="s">
        <v>66</v>
      </c>
    </row>
    <row r="4" customFormat="false" ht="42" hidden="false" customHeight="true" outlineLevel="0" collapsed="false">
      <c r="A4" s="3" t="s">
        <v>60</v>
      </c>
      <c r="B4" s="3" t="s">
        <v>42</v>
      </c>
      <c r="C4" s="3" t="s">
        <v>61</v>
      </c>
      <c r="D4" s="3" t="s">
        <v>49</v>
      </c>
      <c r="E4" s="3" t="s">
        <v>48</v>
      </c>
      <c r="F4" s="3" t="s">
        <v>62</v>
      </c>
      <c r="G4" s="3" t="s">
        <v>52</v>
      </c>
      <c r="H4" s="3" t="s">
        <v>51</v>
      </c>
      <c r="I4" s="3" t="s">
        <v>63</v>
      </c>
      <c r="J4" s="3" t="s">
        <v>55</v>
      </c>
      <c r="K4" s="3" t="s">
        <v>54</v>
      </c>
      <c r="L4" s="3" t="s">
        <v>64</v>
      </c>
    </row>
    <row r="5" customFormat="false" ht="15" hidden="false" customHeight="false" outlineLevel="0" collapsed="false">
      <c r="A5" s="4" t="n">
        <v>1</v>
      </c>
      <c r="B5" s="14" t="n">
        <f aca="false">A5/12</f>
        <v>0.0833333333333333</v>
      </c>
      <c r="C5" s="15" t="n">
        <f aca="false">INT(A5/6)</f>
        <v>0</v>
      </c>
      <c r="D5" s="16" t="n">
        <f aca="false">IF(C5=0,(1+Dic2024!$G$6)^(-B5),EXP(LN(INDEX(Dic2024!$H$6:$H$205,C5))+(LN(INDEX(Dic2024!$H$6:$H$205,MIN(C5+1,200)))-LN(INDEX(Dic2024!$H$6:$H$205,C5)))*(A5-6*C5)/6))</f>
        <v>0.996249722516416</v>
      </c>
      <c r="E5" s="12" t="n">
        <f aca="false">D5^(-1/B5)-1</f>
        <v>0.0461198400000002</v>
      </c>
      <c r="F5" s="12" t="n">
        <f aca="false">(1+E5)^(1/12)-1</f>
        <v>0.00376439500942771</v>
      </c>
      <c r="G5" s="16" t="n">
        <f aca="false">IF(C5=0,(1+Dic2024!$J$6)^(-B5),EXP(LN(INDEX(Dic2024!$K$6:$K$205,C5))+(LN(INDEX(Dic2024!$K$6:$K$205,MIN(C5+1,200)))-LN(INDEX(Dic2024!$K$6:$K$205,C5)))*(A5-6*C5)/6))</f>
        <v>0.996249722516416</v>
      </c>
      <c r="H5" s="12" t="n">
        <f aca="false">G5^(-1/B5)-1</f>
        <v>0.0461198400000002</v>
      </c>
      <c r="I5" s="12" t="n">
        <f aca="false">(1+H5)^(1/12)-1</f>
        <v>0.00376439500942771</v>
      </c>
      <c r="J5" s="16" t="n">
        <f aca="false">IF(C5=0,(1+Dic2024!$M$6)^(-B5),EXP(LN(INDEX(Dic2024!$N$6:$N$205,C5))+(LN(INDEX(Dic2024!$N$6:$N$205,MIN(C5+1,200)))-LN(INDEX(Dic2024!$N$6:$N$205,C5)))*(A5-6*C5)/6))</f>
        <v>0.996249722516416</v>
      </c>
      <c r="K5" s="12" t="n">
        <f aca="false">J5^(-1/B5)-1</f>
        <v>0.0461198400000002</v>
      </c>
      <c r="L5" s="12" t="n">
        <f aca="false">(1+K5)^(1/12)-1</f>
        <v>0.00376439500942771</v>
      </c>
    </row>
    <row r="6" customFormat="false" ht="15" hidden="false" customHeight="false" outlineLevel="0" collapsed="false">
      <c r="A6" s="4" t="n">
        <v>2</v>
      </c>
      <c r="B6" s="14" t="n">
        <f aca="false">A6/12</f>
        <v>0.166666666666667</v>
      </c>
      <c r="C6" s="15" t="n">
        <f aca="false">INT(A6/6)</f>
        <v>0</v>
      </c>
      <c r="D6" s="16" t="n">
        <f aca="false">IF(C6=0,(1+Dic2024!$G$6)^(-B6),EXP(LN(INDEX(Dic2024!$H$6:$H$205,C6))+(LN(INDEX(Dic2024!$H$6:$H$205,MIN(C6+1,200)))-LN(INDEX(Dic2024!$H$6:$H$205,C6)))*(A6-6*C6)/6))</f>
        <v>0.992513509614035</v>
      </c>
      <c r="E6" s="12" t="n">
        <f aca="false">D6^(-1/B6)-1</f>
        <v>0.04611984</v>
      </c>
      <c r="F6" s="12" t="n">
        <f aca="false">(1+E6)^(1/12)-1</f>
        <v>0.00376439500942771</v>
      </c>
      <c r="G6" s="16" t="n">
        <f aca="false">IF(C6=0,(1+Dic2024!$J$6)^(-B6),EXP(LN(INDEX(Dic2024!$K$6:$K$205,C6))+(LN(INDEX(Dic2024!$K$6:$K$205,MIN(C6+1,200)))-LN(INDEX(Dic2024!$K$6:$K$205,C6)))*(A6-6*C6)/6))</f>
        <v>0.992513509614035</v>
      </c>
      <c r="H6" s="12" t="n">
        <f aca="false">G6^(-1/B6)-1</f>
        <v>0.04611984</v>
      </c>
      <c r="I6" s="12" t="n">
        <f aca="false">(1+H6)^(1/12)-1</f>
        <v>0.00376439500942771</v>
      </c>
      <c r="J6" s="16" t="n">
        <f aca="false">IF(C6=0,(1+Dic2024!$M$6)^(-B6),EXP(LN(INDEX(Dic2024!$N$6:$N$205,C6))+(LN(INDEX(Dic2024!$N$6:$N$205,MIN(C6+1,200)))-LN(INDEX(Dic2024!$N$6:$N$205,C6)))*(A6-6*C6)/6))</f>
        <v>0.992513509614035</v>
      </c>
      <c r="K6" s="12" t="n">
        <f aca="false">J6^(-1/B6)-1</f>
        <v>0.04611984</v>
      </c>
      <c r="L6" s="12" t="n">
        <f aca="false">(1+K6)^(1/12)-1</f>
        <v>0.00376439500942771</v>
      </c>
    </row>
    <row r="7" customFormat="false" ht="15" hidden="false" customHeight="false" outlineLevel="0" collapsed="false">
      <c r="A7" s="4" t="n">
        <v>3</v>
      </c>
      <c r="B7" s="14" t="n">
        <f aca="false">A7/12</f>
        <v>0.25</v>
      </c>
      <c r="C7" s="15" t="n">
        <f aca="false">INT(A7/6)</f>
        <v>0</v>
      </c>
      <c r="D7" s="16" t="n">
        <f aca="false">IF(C7=0,(1+Dic2024!$G$6)^(-B7),EXP(LN(INDEX(Dic2024!$H$6:$H$205,C7))+(LN(INDEX(Dic2024!$H$6:$H$205,MIN(C7+1,200)))-LN(INDEX(Dic2024!$H$6:$H$205,C7)))*(A7-6*C7)/6))</f>
        <v>0.988791308546776</v>
      </c>
      <c r="E7" s="12" t="n">
        <f aca="false">D7^(-1/B7)-1</f>
        <v>0.0461198399999998</v>
      </c>
      <c r="F7" s="12" t="n">
        <f aca="false">(1+E7)^(1/12)-1</f>
        <v>0.00376439500942771</v>
      </c>
      <c r="G7" s="16" t="n">
        <f aca="false">IF(C7=0,(1+Dic2024!$J$6)^(-B7),EXP(LN(INDEX(Dic2024!$K$6:$K$205,C7))+(LN(INDEX(Dic2024!$K$6:$K$205,MIN(C7+1,200)))-LN(INDEX(Dic2024!$K$6:$K$205,C7)))*(A7-6*C7)/6))</f>
        <v>0.988791308546776</v>
      </c>
      <c r="H7" s="12" t="n">
        <f aca="false">G7^(-1/B7)-1</f>
        <v>0.0461198399999998</v>
      </c>
      <c r="I7" s="12" t="n">
        <f aca="false">(1+H7)^(1/12)-1</f>
        <v>0.00376439500942771</v>
      </c>
      <c r="J7" s="16" t="n">
        <f aca="false">IF(C7=0,(1+Dic2024!$M$6)^(-B7),EXP(LN(INDEX(Dic2024!$N$6:$N$205,C7))+(LN(INDEX(Dic2024!$N$6:$N$205,MIN(C7+1,200)))-LN(INDEX(Dic2024!$N$6:$N$205,C7)))*(A7-6*C7)/6))</f>
        <v>0.988791308546776</v>
      </c>
      <c r="K7" s="12" t="n">
        <f aca="false">J7^(-1/B7)-1</f>
        <v>0.0461198399999998</v>
      </c>
      <c r="L7" s="12" t="n">
        <f aca="false">(1+K7)^(1/12)-1</f>
        <v>0.00376439500942771</v>
      </c>
    </row>
    <row r="8" customFormat="false" ht="15" hidden="false" customHeight="false" outlineLevel="0" collapsed="false">
      <c r="A8" s="4" t="n">
        <v>4</v>
      </c>
      <c r="B8" s="14" t="n">
        <f aca="false">A8/12</f>
        <v>0.333333333333333</v>
      </c>
      <c r="C8" s="15" t="n">
        <f aca="false">INT(A8/6)</f>
        <v>0</v>
      </c>
      <c r="D8" s="16" t="n">
        <f aca="false">IF(C8=0,(1+Dic2024!$G$6)^(-B8),EXP(LN(INDEX(Dic2024!$H$6:$H$205,C8))+(LN(INDEX(Dic2024!$H$6:$H$205,MIN(C8+1,200)))-LN(INDEX(Dic2024!$H$6:$H$205,C8)))*(A8-6*C8)/6))</f>
        <v>0.985083066766369</v>
      </c>
      <c r="E8" s="12" t="n">
        <f aca="false">D8^(-1/B8)-1</f>
        <v>0.0461198399999998</v>
      </c>
      <c r="F8" s="12" t="n">
        <f aca="false">(1+E8)^(1/12)-1</f>
        <v>0.00376439500942771</v>
      </c>
      <c r="G8" s="16" t="n">
        <f aca="false">IF(C8=0,(1+Dic2024!$J$6)^(-B8),EXP(LN(INDEX(Dic2024!$K$6:$K$205,C8))+(LN(INDEX(Dic2024!$K$6:$K$205,MIN(C8+1,200)))-LN(INDEX(Dic2024!$K$6:$K$205,C8)))*(A8-6*C8)/6))</f>
        <v>0.985083066766369</v>
      </c>
      <c r="H8" s="12" t="n">
        <f aca="false">G8^(-1/B8)-1</f>
        <v>0.0461198399999998</v>
      </c>
      <c r="I8" s="12" t="n">
        <f aca="false">(1+H8)^(1/12)-1</f>
        <v>0.00376439500942771</v>
      </c>
      <c r="J8" s="16" t="n">
        <f aca="false">IF(C8=0,(1+Dic2024!$M$6)^(-B8),EXP(LN(INDEX(Dic2024!$N$6:$N$205,C8))+(LN(INDEX(Dic2024!$N$6:$N$205,MIN(C8+1,200)))-LN(INDEX(Dic2024!$N$6:$N$205,C8)))*(A8-6*C8)/6))</f>
        <v>0.985083066766369</v>
      </c>
      <c r="K8" s="12" t="n">
        <f aca="false">J8^(-1/B8)-1</f>
        <v>0.0461198399999998</v>
      </c>
      <c r="L8" s="12" t="n">
        <f aca="false">(1+K8)^(1/12)-1</f>
        <v>0.00376439500942771</v>
      </c>
    </row>
    <row r="9" customFormat="false" ht="15" hidden="false" customHeight="false" outlineLevel="0" collapsed="false">
      <c r="A9" s="4" t="n">
        <v>5</v>
      </c>
      <c r="B9" s="14" t="n">
        <f aca="false">A9/12</f>
        <v>0.416666666666667</v>
      </c>
      <c r="C9" s="15" t="n">
        <f aca="false">INT(A9/6)</f>
        <v>0</v>
      </c>
      <c r="D9" s="16" t="n">
        <f aca="false">IF(C9=0,(1+Dic2024!$G$6)^(-B9),EXP(LN(INDEX(Dic2024!$H$6:$H$205,C9))+(LN(INDEX(Dic2024!$H$6:$H$205,MIN(C9+1,200)))-LN(INDEX(Dic2024!$H$6:$H$205,C9)))*(A9-6*C9)/6))</f>
        <v>0.981388731921615</v>
      </c>
      <c r="E9" s="12" t="n">
        <f aca="false">D9^(-1/B9)-1</f>
        <v>0.0461198399999998</v>
      </c>
      <c r="F9" s="12" t="n">
        <f aca="false">(1+E9)^(1/12)-1</f>
        <v>0.00376439500942771</v>
      </c>
      <c r="G9" s="16" t="n">
        <f aca="false">IF(C9=0,(1+Dic2024!$J$6)^(-B9),EXP(LN(INDEX(Dic2024!$K$6:$K$205,C9))+(LN(INDEX(Dic2024!$K$6:$K$205,MIN(C9+1,200)))-LN(INDEX(Dic2024!$K$6:$K$205,C9)))*(A9-6*C9)/6))</f>
        <v>0.981388731921615</v>
      </c>
      <c r="H9" s="12" t="n">
        <f aca="false">G9^(-1/B9)-1</f>
        <v>0.0461198399999998</v>
      </c>
      <c r="I9" s="12" t="n">
        <f aca="false">(1+H9)^(1/12)-1</f>
        <v>0.00376439500942771</v>
      </c>
      <c r="J9" s="16" t="n">
        <f aca="false">IF(C9=0,(1+Dic2024!$M$6)^(-B9),EXP(LN(INDEX(Dic2024!$N$6:$N$205,C9))+(LN(INDEX(Dic2024!$N$6:$N$205,MIN(C9+1,200)))-LN(INDEX(Dic2024!$N$6:$N$205,C9)))*(A9-6*C9)/6))</f>
        <v>0.981388731921615</v>
      </c>
      <c r="K9" s="12" t="n">
        <f aca="false">J9^(-1/B9)-1</f>
        <v>0.0461198399999998</v>
      </c>
      <c r="L9" s="12" t="n">
        <f aca="false">(1+K9)^(1/12)-1</f>
        <v>0.00376439500942771</v>
      </c>
    </row>
    <row r="10" customFormat="false" ht="15" hidden="false" customHeight="false" outlineLevel="0" collapsed="false">
      <c r="A10" s="4" t="n">
        <v>6</v>
      </c>
      <c r="B10" s="14" t="n">
        <f aca="false">A10/12</f>
        <v>0.5</v>
      </c>
      <c r="C10" s="15" t="n">
        <f aca="false">INT(A10/6)</f>
        <v>1</v>
      </c>
      <c r="D10" s="16" t="n">
        <f aca="false">IF(C10=0,(1+Dic2024!$G$6)^(-B10),EXP(LN(INDEX(Dic2024!$H$6:$H$205,C10))+(LN(INDEX(Dic2024!$H$6:$H$205,MIN(C10+1,200)))-LN(INDEX(Dic2024!$H$6:$H$205,C10)))*(A10-6*C10)/6))</f>
        <v>0.977708251857646</v>
      </c>
      <c r="E10" s="12" t="n">
        <f aca="false">D10^(-1/B10)-1</f>
        <v>0.0461198399999998</v>
      </c>
      <c r="F10" s="12" t="n">
        <f aca="false">(1+E10)^(1/12)-1</f>
        <v>0.00376439500942771</v>
      </c>
      <c r="G10" s="16" t="n">
        <f aca="false">IF(C10=0,(1+Dic2024!$J$6)^(-B10),EXP(LN(INDEX(Dic2024!$K$6:$K$205,C10))+(LN(INDEX(Dic2024!$K$6:$K$205,MIN(C10+1,200)))-LN(INDEX(Dic2024!$K$6:$K$205,C10)))*(A10-6*C10)/6))</f>
        <v>0.977708251857646</v>
      </c>
      <c r="H10" s="12" t="n">
        <f aca="false">G10^(-1/B10)-1</f>
        <v>0.0461198399999998</v>
      </c>
      <c r="I10" s="12" t="n">
        <f aca="false">(1+H10)^(1/12)-1</f>
        <v>0.00376439500942771</v>
      </c>
      <c r="J10" s="16" t="n">
        <f aca="false">IF(C10=0,(1+Dic2024!$M$6)^(-B10),EXP(LN(INDEX(Dic2024!$N$6:$N$205,C10))+(LN(INDEX(Dic2024!$N$6:$N$205,MIN(C10+1,200)))-LN(INDEX(Dic2024!$N$6:$N$205,C10)))*(A10-6*C10)/6))</f>
        <v>0.977708251857646</v>
      </c>
      <c r="K10" s="12" t="n">
        <f aca="false">J10^(-1/B10)-1</f>
        <v>0.0461198399999998</v>
      </c>
      <c r="L10" s="12" t="n">
        <f aca="false">(1+K10)^(1/12)-1</f>
        <v>0.00376439500942771</v>
      </c>
    </row>
    <row r="11" customFormat="false" ht="15" hidden="false" customHeight="false" outlineLevel="0" collapsed="false">
      <c r="A11" s="4" t="n">
        <v>7</v>
      </c>
      <c r="B11" s="14" t="n">
        <f aca="false">A11/12</f>
        <v>0.583333333333333</v>
      </c>
      <c r="C11" s="15" t="n">
        <f aca="false">INT(A11/6)</f>
        <v>1</v>
      </c>
      <c r="D11" s="16" t="n">
        <f aca="false">IF(C11=0,(1+Dic2024!$G$6)^(-B11),EXP(LN(INDEX(Dic2024!$H$6:$H$205,C11))+(LN(INDEX(Dic2024!$H$6:$H$205,MIN(C11+1,200)))-LN(INDEX(Dic2024!$H$6:$H$205,C11)))*(A11-6*C11)/6))</f>
        <v>0.973993962845898</v>
      </c>
      <c r="E11" s="12" t="n">
        <f aca="false">D11^(-1/B11)-1</f>
        <v>0.046207505816519</v>
      </c>
      <c r="F11" s="12" t="n">
        <f aca="false">(1+E11)^(1/12)-1</f>
        <v>0.00377140443944124</v>
      </c>
      <c r="G11" s="16" t="n">
        <f aca="false">IF(C11=0,(1+Dic2024!$J$6)^(-B11),EXP(LN(INDEX(Dic2024!$K$6:$K$205,C11))+(LN(INDEX(Dic2024!$K$6:$K$205,MIN(C11+1,200)))-LN(INDEX(Dic2024!$K$6:$K$205,C11)))*(A11-6*C11)/6))</f>
        <v>0.973993962845898</v>
      </c>
      <c r="H11" s="12" t="n">
        <f aca="false">G11^(-1/B11)-1</f>
        <v>0.046207505816519</v>
      </c>
      <c r="I11" s="12" t="n">
        <f aca="false">(1+H11)^(1/12)-1</f>
        <v>0.00377140443944124</v>
      </c>
      <c r="J11" s="16" t="n">
        <f aca="false">IF(C11=0,(1+Dic2024!$M$6)^(-B11),EXP(LN(INDEX(Dic2024!$N$6:$N$205,C11))+(LN(INDEX(Dic2024!$N$6:$N$205,MIN(C11+1,200)))-LN(INDEX(Dic2024!$N$6:$N$205,C11)))*(A11-6*C11)/6))</f>
        <v>0.973993962845898</v>
      </c>
      <c r="K11" s="12" t="n">
        <f aca="false">J11^(-1/B11)-1</f>
        <v>0.046207505816519</v>
      </c>
      <c r="L11" s="12" t="n">
        <f aca="false">(1+K11)^(1/12)-1</f>
        <v>0.00377140443944124</v>
      </c>
    </row>
    <row r="12" customFormat="false" ht="15" hidden="false" customHeight="false" outlineLevel="0" collapsed="false">
      <c r="A12" s="4" t="n">
        <v>8</v>
      </c>
      <c r="B12" s="14" t="n">
        <f aca="false">A12/12</f>
        <v>0.666666666666667</v>
      </c>
      <c r="C12" s="15" t="n">
        <f aca="false">INT(A12/6)</f>
        <v>1</v>
      </c>
      <c r="D12" s="16" t="n">
        <f aca="false">IF(C12=0,(1+Dic2024!$G$6)^(-B12),EXP(LN(INDEX(Dic2024!$H$6:$H$205,C12))+(LN(INDEX(Dic2024!$H$6:$H$205,MIN(C12+1,200)))-LN(INDEX(Dic2024!$H$6:$H$205,C12)))*(A12-6*C12)/6))</f>
        <v>0.97029378432451</v>
      </c>
      <c r="E12" s="12" t="n">
        <f aca="false">D12^(-1/B12)-1</f>
        <v>0.04627326</v>
      </c>
      <c r="F12" s="12" t="n">
        <f aca="false">(1+E12)^(1/12)-1</f>
        <v>0.0037766615440733</v>
      </c>
      <c r="G12" s="16" t="n">
        <f aca="false">IF(C12=0,(1+Dic2024!$J$6)^(-B12),EXP(LN(INDEX(Dic2024!$K$6:$K$205,C12))+(LN(INDEX(Dic2024!$K$6:$K$205,MIN(C12+1,200)))-LN(INDEX(Dic2024!$K$6:$K$205,C12)))*(A12-6*C12)/6))</f>
        <v>0.97029378432451</v>
      </c>
      <c r="H12" s="12" t="n">
        <f aca="false">G12^(-1/B12)-1</f>
        <v>0.04627326</v>
      </c>
      <c r="I12" s="12" t="n">
        <f aca="false">(1+H12)^(1/12)-1</f>
        <v>0.0037766615440733</v>
      </c>
      <c r="J12" s="16" t="n">
        <f aca="false">IF(C12=0,(1+Dic2024!$M$6)^(-B12),EXP(LN(INDEX(Dic2024!$N$6:$N$205,C12))+(LN(INDEX(Dic2024!$N$6:$N$205,MIN(C12+1,200)))-LN(INDEX(Dic2024!$N$6:$N$205,C12)))*(A12-6*C12)/6))</f>
        <v>0.97029378432451</v>
      </c>
      <c r="K12" s="12" t="n">
        <f aca="false">J12^(-1/B12)-1</f>
        <v>0.04627326</v>
      </c>
      <c r="L12" s="12" t="n">
        <f aca="false">(1+K12)^(1/12)-1</f>
        <v>0.0037766615440733</v>
      </c>
    </row>
    <row r="13" customFormat="false" ht="15" hidden="false" customHeight="false" outlineLevel="0" collapsed="false">
      <c r="A13" s="4" t="n">
        <v>9</v>
      </c>
      <c r="B13" s="14" t="n">
        <f aca="false">A13/12</f>
        <v>0.75</v>
      </c>
      <c r="C13" s="15" t="n">
        <f aca="false">INT(A13/6)</f>
        <v>1</v>
      </c>
      <c r="D13" s="16" t="n">
        <f aca="false">IF(C13=0,(1+Dic2024!$G$6)^(-B13),EXP(LN(INDEX(Dic2024!$H$6:$H$205,C13))+(LN(INDEX(Dic2024!$H$6:$H$205,MIN(C13+1,200)))-LN(INDEX(Dic2024!$H$6:$H$205,C13)))*(A13-6*C13)/6))</f>
        <v>0.966607662688085</v>
      </c>
      <c r="E13" s="12" t="n">
        <f aca="false">D13^(-1/B13)-1</f>
        <v>0.046324404999837</v>
      </c>
      <c r="F13" s="12" t="n">
        <f aca="false">(1+E13)^(1/12)-1</f>
        <v>0.00378075042226711</v>
      </c>
      <c r="G13" s="16" t="n">
        <f aca="false">IF(C13=0,(1+Dic2024!$J$6)^(-B13),EXP(LN(INDEX(Dic2024!$K$6:$K$205,C13))+(LN(INDEX(Dic2024!$K$6:$K$205,MIN(C13+1,200)))-LN(INDEX(Dic2024!$K$6:$K$205,C13)))*(A13-6*C13)/6))</f>
        <v>0.966607662688085</v>
      </c>
      <c r="H13" s="12" t="n">
        <f aca="false">G13^(-1/B13)-1</f>
        <v>0.046324404999837</v>
      </c>
      <c r="I13" s="12" t="n">
        <f aca="false">(1+H13)^(1/12)-1</f>
        <v>0.00378075042226711</v>
      </c>
      <c r="J13" s="16" t="n">
        <f aca="false">IF(C13=0,(1+Dic2024!$M$6)^(-B13),EXP(LN(INDEX(Dic2024!$N$6:$N$205,C13))+(LN(INDEX(Dic2024!$N$6:$N$205,MIN(C13+1,200)))-LN(INDEX(Dic2024!$N$6:$N$205,C13)))*(A13-6*C13)/6))</f>
        <v>0.966607662688085</v>
      </c>
      <c r="K13" s="12" t="n">
        <f aca="false">J13^(-1/B13)-1</f>
        <v>0.046324404999837</v>
      </c>
      <c r="L13" s="12" t="n">
        <f aca="false">(1+K13)^(1/12)-1</f>
        <v>0.00378075042226711</v>
      </c>
    </row>
    <row r="14" customFormat="false" ht="15" hidden="false" customHeight="false" outlineLevel="0" collapsed="false">
      <c r="A14" s="4" t="n">
        <v>10</v>
      </c>
      <c r="B14" s="14" t="n">
        <f aca="false">A14/12</f>
        <v>0.833333333333333</v>
      </c>
      <c r="C14" s="15" t="n">
        <f aca="false">INT(A14/6)</f>
        <v>1</v>
      </c>
      <c r="D14" s="16" t="n">
        <f aca="false">IF(C14=0,(1+Dic2024!$G$6)^(-B14),EXP(LN(INDEX(Dic2024!$H$6:$H$205,C14))+(LN(INDEX(Dic2024!$H$6:$H$205,MIN(C14+1,200)))-LN(INDEX(Dic2024!$H$6:$H$205,C14)))*(A14-6*C14)/6))</f>
        <v>0.96293554453487</v>
      </c>
      <c r="E14" s="12" t="n">
        <f aca="false">D14^(-1/B14)-1</f>
        <v>0.0463653227997889</v>
      </c>
      <c r="F14" s="12" t="n">
        <f aca="false">(1+E14)^(1/12)-1</f>
        <v>0.00378402153681456</v>
      </c>
      <c r="G14" s="16" t="n">
        <f aca="false">IF(C14=0,(1+Dic2024!$J$6)^(-B14),EXP(LN(INDEX(Dic2024!$K$6:$K$205,C14))+(LN(INDEX(Dic2024!$K$6:$K$205,MIN(C14+1,200)))-LN(INDEX(Dic2024!$K$6:$K$205,C14)))*(A14-6*C14)/6))</f>
        <v>0.96293554453487</v>
      </c>
      <c r="H14" s="12" t="n">
        <f aca="false">G14^(-1/B14)-1</f>
        <v>0.0463653227997889</v>
      </c>
      <c r="I14" s="12" t="n">
        <f aca="false">(1+H14)^(1/12)-1</f>
        <v>0.00378402153681456</v>
      </c>
      <c r="J14" s="16" t="n">
        <f aca="false">IF(C14=0,(1+Dic2024!$M$6)^(-B14),EXP(LN(INDEX(Dic2024!$N$6:$N$205,C14))+(LN(INDEX(Dic2024!$N$6:$N$205,MIN(C14+1,200)))-LN(INDEX(Dic2024!$N$6:$N$205,C14)))*(A14-6*C14)/6))</f>
        <v>0.96293554453487</v>
      </c>
      <c r="K14" s="12" t="n">
        <f aca="false">J14^(-1/B14)-1</f>
        <v>0.0463653227997889</v>
      </c>
      <c r="L14" s="12" t="n">
        <f aca="false">(1+K14)^(1/12)-1</f>
        <v>0.00378402153681456</v>
      </c>
    </row>
    <row r="15" customFormat="false" ht="15" hidden="false" customHeight="false" outlineLevel="0" collapsed="false">
      <c r="A15" s="4" t="n">
        <v>11</v>
      </c>
      <c r="B15" s="14" t="n">
        <f aca="false">A15/12</f>
        <v>0.916666666666667</v>
      </c>
      <c r="C15" s="15" t="n">
        <f aca="false">INT(A15/6)</f>
        <v>1</v>
      </c>
      <c r="D15" s="16" t="n">
        <f aca="false">IF(C15=0,(1+Dic2024!$G$6)^(-B15),EXP(LN(INDEX(Dic2024!$H$6:$H$205,C15))+(LN(INDEX(Dic2024!$H$6:$H$205,MIN(C15+1,200)))-LN(INDEX(Dic2024!$H$6:$H$205,C15)))*(A15-6*C15)/6))</f>
        <v>0.959277376665987</v>
      </c>
      <c r="E15" s="12" t="n">
        <f aca="false">D15^(-1/B15)-1</f>
        <v>0.046398802189934</v>
      </c>
      <c r="F15" s="12" t="n">
        <f aca="false">(1+E15)^(1/12)-1</f>
        <v>0.00378669791119113</v>
      </c>
      <c r="G15" s="16" t="n">
        <f aca="false">IF(C15=0,(1+Dic2024!$J$6)^(-B15),EXP(LN(INDEX(Dic2024!$K$6:$K$205,C15))+(LN(INDEX(Dic2024!$K$6:$K$205,MIN(C15+1,200)))-LN(INDEX(Dic2024!$K$6:$K$205,C15)))*(A15-6*C15)/6))</f>
        <v>0.959277376665987</v>
      </c>
      <c r="H15" s="12" t="n">
        <f aca="false">G15^(-1/B15)-1</f>
        <v>0.046398802189934</v>
      </c>
      <c r="I15" s="12" t="n">
        <f aca="false">(1+H15)^(1/12)-1</f>
        <v>0.00378669791119113</v>
      </c>
      <c r="J15" s="16" t="n">
        <f aca="false">IF(C15=0,(1+Dic2024!$M$6)^(-B15),EXP(LN(INDEX(Dic2024!$N$6:$N$205,C15))+(LN(INDEX(Dic2024!$N$6:$N$205,MIN(C15+1,200)))-LN(INDEX(Dic2024!$N$6:$N$205,C15)))*(A15-6*C15)/6))</f>
        <v>0.959277376665987</v>
      </c>
      <c r="K15" s="12" t="n">
        <f aca="false">J15^(-1/B15)-1</f>
        <v>0.046398802189934</v>
      </c>
      <c r="L15" s="12" t="n">
        <f aca="false">(1+K15)^(1/12)-1</f>
        <v>0.00378669791119113</v>
      </c>
    </row>
    <row r="16" customFormat="false" ht="15" hidden="false" customHeight="false" outlineLevel="0" collapsed="false">
      <c r="A16" s="4" t="n">
        <v>12</v>
      </c>
      <c r="B16" s="14" t="n">
        <f aca="false">A16/12</f>
        <v>1</v>
      </c>
      <c r="C16" s="15" t="n">
        <f aca="false">INT(A16/6)</f>
        <v>2</v>
      </c>
      <c r="D16" s="16" t="n">
        <f aca="false">IF(C16=0,(1+Dic2024!$G$6)^(-B16),EXP(LN(INDEX(Dic2024!$H$6:$H$205,C16))+(LN(INDEX(Dic2024!$H$6:$H$205,MIN(C16+1,200)))-LN(INDEX(Dic2024!$H$6:$H$205,C16)))*(A16-6*C16)/6))</f>
        <v>0.955633106084657</v>
      </c>
      <c r="E16" s="12" t="n">
        <f aca="false">D16^(-1/B16)-1</f>
        <v>0.0464267025</v>
      </c>
      <c r="F16" s="12" t="n">
        <f aca="false">(1+E16)^(1/12)-1</f>
        <v>0.00378892822862276</v>
      </c>
      <c r="G16" s="16" t="n">
        <f aca="false">IF(C16=0,(1+Dic2024!$J$6)^(-B16),EXP(LN(INDEX(Dic2024!$K$6:$K$205,C16))+(LN(INDEX(Dic2024!$K$6:$K$205,MIN(C16+1,200)))-LN(INDEX(Dic2024!$K$6:$K$205,C16)))*(A16-6*C16)/6))</f>
        <v>0.955633106084657</v>
      </c>
      <c r="H16" s="12" t="n">
        <f aca="false">G16^(-1/B16)-1</f>
        <v>0.0464267025</v>
      </c>
      <c r="I16" s="12" t="n">
        <f aca="false">(1+H16)^(1/12)-1</f>
        <v>0.00378892822862276</v>
      </c>
      <c r="J16" s="16" t="n">
        <f aca="false">IF(C16=0,(1+Dic2024!$M$6)^(-B16),EXP(LN(INDEX(Dic2024!$N$6:$N$205,C16))+(LN(INDEX(Dic2024!$N$6:$N$205,MIN(C16+1,200)))-LN(INDEX(Dic2024!$N$6:$N$205,C16)))*(A16-6*C16)/6))</f>
        <v>0.955633106084657</v>
      </c>
      <c r="K16" s="12" t="n">
        <f aca="false">J16^(-1/B16)-1</f>
        <v>0.0464267025</v>
      </c>
      <c r="L16" s="12" t="n">
        <f aca="false">(1+K16)^(1/12)-1</f>
        <v>0.00378892822862276</v>
      </c>
    </row>
    <row r="17" customFormat="false" ht="15" hidden="false" customHeight="false" outlineLevel="0" collapsed="false">
      <c r="A17" s="4" t="n">
        <v>13</v>
      </c>
      <c r="B17" s="14" t="n">
        <f aca="false">A17/12</f>
        <v>1.08333333333333</v>
      </c>
      <c r="C17" s="15" t="n">
        <f aca="false">INT(A17/6)</f>
        <v>2</v>
      </c>
      <c r="D17" s="16" t="n">
        <f aca="false">IF(C17=0,(1+Dic2024!$G$6)^(-B17),EXP(LN(INDEX(Dic2024!$H$6:$H$205,C17))+(LN(INDEX(Dic2024!$H$6:$H$205,MIN(C17+1,200)))-LN(INDEX(Dic2024!$H$6:$H$205,C17)))*(A17-6*C17)/6))</f>
        <v>0.951956155735633</v>
      </c>
      <c r="E17" s="12" t="n">
        <f aca="false">D17^(-1/B17)-1</f>
        <v>0.0464975193197368</v>
      </c>
      <c r="F17" s="12" t="n">
        <f aca="false">(1+E17)^(1/12)-1</f>
        <v>0.00379458899576934</v>
      </c>
      <c r="G17" s="16" t="n">
        <f aca="false">IF(C17=0,(1+Dic2024!$J$6)^(-B17),EXP(LN(INDEX(Dic2024!$K$6:$K$205,C17))+(LN(INDEX(Dic2024!$K$6:$K$205,MIN(C17+1,200)))-LN(INDEX(Dic2024!$K$6:$K$205,C17)))*(A17-6*C17)/6))</f>
        <v>0.951956155735633</v>
      </c>
      <c r="H17" s="12" t="n">
        <f aca="false">G17^(-1/B17)-1</f>
        <v>0.0464975193197368</v>
      </c>
      <c r="I17" s="12" t="n">
        <f aca="false">(1+H17)^(1/12)-1</f>
        <v>0.00379458899576934</v>
      </c>
      <c r="J17" s="16" t="n">
        <f aca="false">IF(C17=0,(1+Dic2024!$M$6)^(-B17),EXP(LN(INDEX(Dic2024!$N$6:$N$205,C17))+(LN(INDEX(Dic2024!$N$6:$N$205,MIN(C17+1,200)))-LN(INDEX(Dic2024!$N$6:$N$205,C17)))*(A17-6*C17)/6))</f>
        <v>0.951956155735633</v>
      </c>
      <c r="K17" s="12" t="n">
        <f aca="false">J17^(-1/B17)-1</f>
        <v>0.0464975193197368</v>
      </c>
      <c r="L17" s="12" t="n">
        <f aca="false">(1+K17)^(1/12)-1</f>
        <v>0.00379458899576934</v>
      </c>
    </row>
    <row r="18" customFormat="false" ht="15" hidden="false" customHeight="false" outlineLevel="0" collapsed="false">
      <c r="A18" s="4" t="n">
        <v>14</v>
      </c>
      <c r="B18" s="14" t="n">
        <f aca="false">A18/12</f>
        <v>1.16666666666667</v>
      </c>
      <c r="C18" s="15" t="n">
        <f aca="false">INT(A18/6)</f>
        <v>2</v>
      </c>
      <c r="D18" s="16" t="n">
        <f aca="false">IF(C18=0,(1+Dic2024!$G$6)^(-B18),EXP(LN(INDEX(Dic2024!$H$6:$H$205,C18))+(LN(INDEX(Dic2024!$H$6:$H$205,MIN(C18+1,200)))-LN(INDEX(Dic2024!$H$6:$H$205,C18)))*(A18-6*C18)/6))</f>
        <v>0.94829335303782</v>
      </c>
      <c r="E18" s="12" t="n">
        <f aca="false">D18^(-1/B18)-1</f>
        <v>0.046558223265383</v>
      </c>
      <c r="F18" s="12" t="n">
        <f aca="false">(1+E18)^(1/12)-1</f>
        <v>0.00379944110730324</v>
      </c>
      <c r="G18" s="16" t="n">
        <f aca="false">IF(C18=0,(1+Dic2024!$J$6)^(-B18),EXP(LN(INDEX(Dic2024!$K$6:$K$205,C18))+(LN(INDEX(Dic2024!$K$6:$K$205,MIN(C18+1,200)))-LN(INDEX(Dic2024!$K$6:$K$205,C18)))*(A18-6*C18)/6))</f>
        <v>0.94829335303782</v>
      </c>
      <c r="H18" s="12" t="n">
        <f aca="false">G18^(-1/B18)-1</f>
        <v>0.046558223265383</v>
      </c>
      <c r="I18" s="12" t="n">
        <f aca="false">(1+H18)^(1/12)-1</f>
        <v>0.00379944110730324</v>
      </c>
      <c r="J18" s="16" t="n">
        <f aca="false">IF(C18=0,(1+Dic2024!$M$6)^(-B18),EXP(LN(INDEX(Dic2024!$N$6:$N$205,C18))+(LN(INDEX(Dic2024!$N$6:$N$205,MIN(C18+1,200)))-LN(INDEX(Dic2024!$N$6:$N$205,C18)))*(A18-6*C18)/6))</f>
        <v>0.94829335303782</v>
      </c>
      <c r="K18" s="12" t="n">
        <f aca="false">J18^(-1/B18)-1</f>
        <v>0.046558223265383</v>
      </c>
      <c r="L18" s="12" t="n">
        <f aca="false">(1+K18)^(1/12)-1</f>
        <v>0.00379944110730324</v>
      </c>
    </row>
    <row r="19" customFormat="false" ht="15" hidden="false" customHeight="false" outlineLevel="0" collapsed="false">
      <c r="A19" s="4" t="n">
        <v>15</v>
      </c>
      <c r="B19" s="14" t="n">
        <f aca="false">A19/12</f>
        <v>1.25</v>
      </c>
      <c r="C19" s="15" t="n">
        <f aca="false">INT(A19/6)</f>
        <v>2</v>
      </c>
      <c r="D19" s="16" t="n">
        <f aca="false">IF(C19=0,(1+Dic2024!$G$6)^(-B19),EXP(LN(INDEX(Dic2024!$H$6:$H$205,C19))+(LN(INDEX(Dic2024!$H$6:$H$205,MIN(C19+1,200)))-LN(INDEX(Dic2024!$H$6:$H$205,C19)))*(A19-6*C19)/6))</f>
        <v>0.944644643555878</v>
      </c>
      <c r="E19" s="12" t="n">
        <f aca="false">D19^(-1/B19)-1</f>
        <v>0.0466108361998943</v>
      </c>
      <c r="F19" s="12" t="n">
        <f aca="false">(1+E19)^(1/12)-1</f>
        <v>0.00380364628960428</v>
      </c>
      <c r="G19" s="16" t="n">
        <f aca="false">IF(C19=0,(1+Dic2024!$J$6)^(-B19),EXP(LN(INDEX(Dic2024!$K$6:$K$205,C19))+(LN(INDEX(Dic2024!$K$6:$K$205,MIN(C19+1,200)))-LN(INDEX(Dic2024!$K$6:$K$205,C19)))*(A19-6*C19)/6))</f>
        <v>0.944644643555878</v>
      </c>
      <c r="H19" s="12" t="n">
        <f aca="false">G19^(-1/B19)-1</f>
        <v>0.0466108361998943</v>
      </c>
      <c r="I19" s="12" t="n">
        <f aca="false">(1+H19)^(1/12)-1</f>
        <v>0.00380364628960428</v>
      </c>
      <c r="J19" s="16" t="n">
        <f aca="false">IF(C19=0,(1+Dic2024!$M$6)^(-B19),EXP(LN(INDEX(Dic2024!$N$6:$N$205,C19))+(LN(INDEX(Dic2024!$N$6:$N$205,MIN(C19+1,200)))-LN(INDEX(Dic2024!$N$6:$N$205,C19)))*(A19-6*C19)/6))</f>
        <v>0.944644643555878</v>
      </c>
      <c r="K19" s="12" t="n">
        <f aca="false">J19^(-1/B19)-1</f>
        <v>0.0466108361998943</v>
      </c>
      <c r="L19" s="12" t="n">
        <f aca="false">(1+K19)^(1/12)-1</f>
        <v>0.00380364628960428</v>
      </c>
    </row>
    <row r="20" customFormat="false" ht="15" hidden="false" customHeight="false" outlineLevel="0" collapsed="false">
      <c r="A20" s="4" t="n">
        <v>16</v>
      </c>
      <c r="B20" s="14" t="n">
        <f aca="false">A20/12</f>
        <v>1.33333333333333</v>
      </c>
      <c r="C20" s="15" t="n">
        <f aca="false">INT(A20/6)</f>
        <v>2</v>
      </c>
      <c r="D20" s="16" t="n">
        <f aca="false">IF(C20=0,(1+Dic2024!$G$6)^(-B20),EXP(LN(INDEX(Dic2024!$H$6:$H$205,C20))+(LN(INDEX(Dic2024!$H$6:$H$205,MIN(C20+1,200)))-LN(INDEX(Dic2024!$H$6:$H$205,C20)))*(A20-6*C20)/6))</f>
        <v>0.941009973063918</v>
      </c>
      <c r="E20" s="12" t="n">
        <f aca="false">D20^(-1/B20)-1</f>
        <v>0.0466568746872935</v>
      </c>
      <c r="F20" s="12" t="n">
        <f aca="false">(1+E20)^(1/12)-1</f>
        <v>0.00380732583856869</v>
      </c>
      <c r="G20" s="16" t="n">
        <f aca="false">IF(C20=0,(1+Dic2024!$J$6)^(-B20),EXP(LN(INDEX(Dic2024!$K$6:$K$205,C20))+(LN(INDEX(Dic2024!$K$6:$K$205,MIN(C20+1,200)))-LN(INDEX(Dic2024!$K$6:$K$205,C20)))*(A20-6*C20)/6))</f>
        <v>0.941009973063918</v>
      </c>
      <c r="H20" s="12" t="n">
        <f aca="false">G20^(-1/B20)-1</f>
        <v>0.0466568746872935</v>
      </c>
      <c r="I20" s="12" t="n">
        <f aca="false">(1+H20)^(1/12)-1</f>
        <v>0.00380732583856869</v>
      </c>
      <c r="J20" s="16" t="n">
        <f aca="false">IF(C20=0,(1+Dic2024!$M$6)^(-B20),EXP(LN(INDEX(Dic2024!$N$6:$N$205,C20))+(LN(INDEX(Dic2024!$N$6:$N$205,MIN(C20+1,200)))-LN(INDEX(Dic2024!$N$6:$N$205,C20)))*(A20-6*C20)/6))</f>
        <v>0.941009973063918</v>
      </c>
      <c r="K20" s="12" t="n">
        <f aca="false">J20^(-1/B20)-1</f>
        <v>0.0466568746872935</v>
      </c>
      <c r="L20" s="12" t="n">
        <f aca="false">(1+K20)^(1/12)-1</f>
        <v>0.00380732583856869</v>
      </c>
    </row>
    <row r="21" customFormat="false" ht="15" hidden="false" customHeight="false" outlineLevel="0" collapsed="false">
      <c r="A21" s="4" t="n">
        <v>17</v>
      </c>
      <c r="B21" s="14" t="n">
        <f aca="false">A21/12</f>
        <v>1.41666666666667</v>
      </c>
      <c r="C21" s="15" t="n">
        <f aca="false">INT(A21/6)</f>
        <v>2</v>
      </c>
      <c r="D21" s="16" t="n">
        <f aca="false">IF(C21=0,(1+Dic2024!$G$6)^(-B21),EXP(LN(INDEX(Dic2024!$H$6:$H$205,C21))+(LN(INDEX(Dic2024!$H$6:$H$205,MIN(C21+1,200)))-LN(INDEX(Dic2024!$H$6:$H$205,C21)))*(A21-6*C21)/6))</f>
        <v>0.937389287544694</v>
      </c>
      <c r="E21" s="12" t="n">
        <f aca="false">D21^(-1/B21)-1</f>
        <v>0.0466974985638391</v>
      </c>
      <c r="F21" s="12" t="n">
        <f aca="false">(1+E21)^(1/12)-1</f>
        <v>0.00381057251062078</v>
      </c>
      <c r="G21" s="16" t="n">
        <f aca="false">IF(C21=0,(1+Dic2024!$J$6)^(-B21),EXP(LN(INDEX(Dic2024!$K$6:$K$205,C21))+(LN(INDEX(Dic2024!$K$6:$K$205,MIN(C21+1,200)))-LN(INDEX(Dic2024!$K$6:$K$205,C21)))*(A21-6*C21)/6))</f>
        <v>0.937389287544694</v>
      </c>
      <c r="H21" s="12" t="n">
        <f aca="false">G21^(-1/B21)-1</f>
        <v>0.0466974985638391</v>
      </c>
      <c r="I21" s="12" t="n">
        <f aca="false">(1+H21)^(1/12)-1</f>
        <v>0.00381057251062078</v>
      </c>
      <c r="J21" s="16" t="n">
        <f aca="false">IF(C21=0,(1+Dic2024!$M$6)^(-B21),EXP(LN(INDEX(Dic2024!$N$6:$N$205,C21))+(LN(INDEX(Dic2024!$N$6:$N$205,MIN(C21+1,200)))-LN(INDEX(Dic2024!$N$6:$N$205,C21)))*(A21-6*C21)/6))</f>
        <v>0.937389287544694</v>
      </c>
      <c r="K21" s="12" t="n">
        <f aca="false">J21^(-1/B21)-1</f>
        <v>0.0466974985638391</v>
      </c>
      <c r="L21" s="12" t="n">
        <f aca="false">(1+K21)^(1/12)-1</f>
        <v>0.00381057251062078</v>
      </c>
    </row>
    <row r="22" customFormat="false" ht="15" hidden="false" customHeight="false" outlineLevel="0" collapsed="false">
      <c r="A22" s="4" t="n">
        <v>18</v>
      </c>
      <c r="B22" s="14" t="n">
        <f aca="false">A22/12</f>
        <v>1.5</v>
      </c>
      <c r="C22" s="15" t="n">
        <f aca="false">INT(A22/6)</f>
        <v>3</v>
      </c>
      <c r="D22" s="16" t="n">
        <f aca="false">IF(C22=0,(1+Dic2024!$G$6)^(-B22),EXP(LN(INDEX(Dic2024!$H$6:$H$205,C22))+(LN(INDEX(Dic2024!$H$6:$H$205,MIN(C22+1,200)))-LN(INDEX(Dic2024!$H$6:$H$205,C22)))*(A22-6*C22)/6))</f>
        <v>0.933782533188799</v>
      </c>
      <c r="E22" s="12" t="n">
        <f aca="false">D22^(-1/B22)-1</f>
        <v>0.0467336099999998</v>
      </c>
      <c r="F22" s="12" t="n">
        <f aca="false">(1+E22)^(1/12)-1</f>
        <v>0.00381345845014924</v>
      </c>
      <c r="G22" s="16" t="n">
        <f aca="false">IF(C22=0,(1+Dic2024!$J$6)^(-B22),EXP(LN(INDEX(Dic2024!$K$6:$K$205,C22))+(LN(INDEX(Dic2024!$K$6:$K$205,MIN(C22+1,200)))-LN(INDEX(Dic2024!$K$6:$K$205,C22)))*(A22-6*C22)/6))</f>
        <v>0.933782533188799</v>
      </c>
      <c r="H22" s="12" t="n">
        <f aca="false">G22^(-1/B22)-1</f>
        <v>0.0467336099999998</v>
      </c>
      <c r="I22" s="12" t="n">
        <f aca="false">(1+H22)^(1/12)-1</f>
        <v>0.00381345845014924</v>
      </c>
      <c r="J22" s="16" t="n">
        <f aca="false">IF(C22=0,(1+Dic2024!$M$6)^(-B22),EXP(LN(INDEX(Dic2024!$N$6:$N$205,C22))+(LN(INDEX(Dic2024!$N$6:$N$205,MIN(C22+1,200)))-LN(INDEX(Dic2024!$N$6:$N$205,C22)))*(A22-6*C22)/6))</f>
        <v>0.933782533188799</v>
      </c>
      <c r="K22" s="12" t="n">
        <f aca="false">J22^(-1/B22)-1</f>
        <v>0.0467336099999998</v>
      </c>
      <c r="L22" s="12" t="n">
        <f aca="false">(1+K22)^(1/12)-1</f>
        <v>0.00381345845014924</v>
      </c>
    </row>
    <row r="23" customFormat="false" ht="15" hidden="false" customHeight="false" outlineLevel="0" collapsed="false">
      <c r="A23" s="4" t="n">
        <v>19</v>
      </c>
      <c r="B23" s="14" t="n">
        <f aca="false">A23/12</f>
        <v>1.58333333333333</v>
      </c>
      <c r="C23" s="15" t="n">
        <f aca="false">INT(A23/6)</f>
        <v>3</v>
      </c>
      <c r="D23" s="16" t="n">
        <f aca="false">IF(C23=0,(1+Dic2024!$G$6)^(-B23),EXP(LN(INDEX(Dic2024!$H$6:$H$205,C23))+(LN(INDEX(Dic2024!$H$6:$H$205,MIN(C23+1,200)))-LN(INDEX(Dic2024!$H$6:$H$205,C23)))*(A23-6*C23)/6))</f>
        <v>0.930144208129935</v>
      </c>
      <c r="E23" s="12" t="n">
        <f aca="false">D23^(-1/B23)-1</f>
        <v>0.0467982240999345</v>
      </c>
      <c r="F23" s="12" t="n">
        <f aca="false">(1+E23)^(1/12)-1</f>
        <v>0.00381862202659167</v>
      </c>
      <c r="G23" s="16" t="n">
        <f aca="false">IF(C23=0,(1+Dic2024!$J$6)^(-B23),EXP(LN(INDEX(Dic2024!$K$6:$K$205,C23))+(LN(INDEX(Dic2024!$K$6:$K$205,MIN(C23+1,200)))-LN(INDEX(Dic2024!$K$6:$K$205,C23)))*(A23-6*C23)/6))</f>
        <v>0.930144208129935</v>
      </c>
      <c r="H23" s="12" t="n">
        <f aca="false">G23^(-1/B23)-1</f>
        <v>0.0467982240999345</v>
      </c>
      <c r="I23" s="12" t="n">
        <f aca="false">(1+H23)^(1/12)-1</f>
        <v>0.00381862202659167</v>
      </c>
      <c r="J23" s="16" t="n">
        <f aca="false">IF(C23=0,(1+Dic2024!$M$6)^(-B23),EXP(LN(INDEX(Dic2024!$N$6:$N$205,C23))+(LN(INDEX(Dic2024!$N$6:$N$205,MIN(C23+1,200)))-LN(INDEX(Dic2024!$N$6:$N$205,C23)))*(A23-6*C23)/6))</f>
        <v>0.930144208129935</v>
      </c>
      <c r="K23" s="12" t="n">
        <f aca="false">J23^(-1/B23)-1</f>
        <v>0.0467982240999345</v>
      </c>
      <c r="L23" s="12" t="n">
        <f aca="false">(1+K23)^(1/12)-1</f>
        <v>0.00381862202659167</v>
      </c>
    </row>
    <row r="24" customFormat="false" ht="15" hidden="false" customHeight="false" outlineLevel="0" collapsed="false">
      <c r="A24" s="4" t="n">
        <v>20</v>
      </c>
      <c r="B24" s="14" t="n">
        <f aca="false">A24/12</f>
        <v>1.66666666666667</v>
      </c>
      <c r="C24" s="15" t="n">
        <f aca="false">INT(A24/6)</f>
        <v>3</v>
      </c>
      <c r="D24" s="16" t="n">
        <f aca="false">IF(C24=0,(1+Dic2024!$G$6)^(-B24),EXP(LN(INDEX(Dic2024!$H$6:$H$205,C24))+(LN(INDEX(Dic2024!$H$6:$H$205,MIN(C24+1,200)))-LN(INDEX(Dic2024!$H$6:$H$205,C24)))*(A24-6*C24)/6))</f>
        <v>0.926520059186777</v>
      </c>
      <c r="E24" s="12" t="n">
        <f aca="false">D24^(-1/B24)-1</f>
        <v>0.0468563802001054</v>
      </c>
      <c r="F24" s="12" t="n">
        <f aca="false">(1+E24)^(1/12)-1</f>
        <v>0.00382326926809973</v>
      </c>
      <c r="G24" s="16" t="n">
        <f aca="false">IF(C24=0,(1+Dic2024!$J$6)^(-B24),EXP(LN(INDEX(Dic2024!$K$6:$K$205,C24))+(LN(INDEX(Dic2024!$K$6:$K$205,MIN(C24+1,200)))-LN(INDEX(Dic2024!$K$6:$K$205,C24)))*(A24-6*C24)/6))</f>
        <v>0.926520059186777</v>
      </c>
      <c r="H24" s="12" t="n">
        <f aca="false">G24^(-1/B24)-1</f>
        <v>0.0468563802001054</v>
      </c>
      <c r="I24" s="12" t="n">
        <f aca="false">(1+H24)^(1/12)-1</f>
        <v>0.00382326926809973</v>
      </c>
      <c r="J24" s="16" t="n">
        <f aca="false">IF(C24=0,(1+Dic2024!$M$6)^(-B24),EXP(LN(INDEX(Dic2024!$N$6:$N$205,C24))+(LN(INDEX(Dic2024!$N$6:$N$205,MIN(C24+1,200)))-LN(INDEX(Dic2024!$N$6:$N$205,C24)))*(A24-6*C24)/6))</f>
        <v>0.926520059186777</v>
      </c>
      <c r="K24" s="12" t="n">
        <f aca="false">J24^(-1/B24)-1</f>
        <v>0.0468563802001054</v>
      </c>
      <c r="L24" s="12" t="n">
        <f aca="false">(1+K24)^(1/12)-1</f>
        <v>0.00382326926809973</v>
      </c>
    </row>
    <row r="25" customFormat="false" ht="15" hidden="false" customHeight="false" outlineLevel="0" collapsed="false">
      <c r="A25" s="4" t="n">
        <v>21</v>
      </c>
      <c r="B25" s="14" t="n">
        <f aca="false">A25/12</f>
        <v>1.75</v>
      </c>
      <c r="C25" s="15" t="n">
        <f aca="false">INT(A25/6)</f>
        <v>3</v>
      </c>
      <c r="D25" s="16" t="n">
        <f aca="false">IF(C25=0,(1+Dic2024!$G$6)^(-B25),EXP(LN(INDEX(Dic2024!$H$6:$H$205,C25))+(LN(INDEX(Dic2024!$H$6:$H$205,MIN(C25+1,200)))-LN(INDEX(Dic2024!$H$6:$H$205,C25)))*(A25-6*C25)/6))</f>
        <v>0.922910031124496</v>
      </c>
      <c r="E25" s="12" t="n">
        <f aca="false">D25^(-1/B25)-1</f>
        <v>0.0469090004080861</v>
      </c>
      <c r="F25" s="12" t="n">
        <f aca="false">(1+E25)^(1/12)-1</f>
        <v>0.00382747393371719</v>
      </c>
      <c r="G25" s="16" t="n">
        <f aca="false">IF(C25=0,(1+Dic2024!$J$6)^(-B25),EXP(LN(INDEX(Dic2024!$K$6:$K$205,C25))+(LN(INDEX(Dic2024!$K$6:$K$205,MIN(C25+1,200)))-LN(INDEX(Dic2024!$K$6:$K$205,C25)))*(A25-6*C25)/6))</f>
        <v>0.922910031124496</v>
      </c>
      <c r="H25" s="12" t="n">
        <f aca="false">G25^(-1/B25)-1</f>
        <v>0.0469090004080861</v>
      </c>
      <c r="I25" s="12" t="n">
        <f aca="false">(1+H25)^(1/12)-1</f>
        <v>0.00382747393371719</v>
      </c>
      <c r="J25" s="16" t="n">
        <f aca="false">IF(C25=0,(1+Dic2024!$M$6)^(-B25),EXP(LN(INDEX(Dic2024!$N$6:$N$205,C25))+(LN(INDEX(Dic2024!$N$6:$N$205,MIN(C25+1,200)))-LN(INDEX(Dic2024!$N$6:$N$205,C25)))*(A25-6*C25)/6))</f>
        <v>0.922910031124496</v>
      </c>
      <c r="K25" s="12" t="n">
        <f aca="false">J25^(-1/B25)-1</f>
        <v>0.0469090004080861</v>
      </c>
      <c r="L25" s="12" t="n">
        <f aca="false">(1+K25)^(1/12)-1</f>
        <v>0.00382747393371719</v>
      </c>
    </row>
    <row r="26" customFormat="false" ht="15" hidden="false" customHeight="false" outlineLevel="0" collapsed="false">
      <c r="A26" s="4" t="n">
        <v>22</v>
      </c>
      <c r="B26" s="14" t="n">
        <f aca="false">A26/12</f>
        <v>1.83333333333333</v>
      </c>
      <c r="C26" s="15" t="n">
        <f aca="false">INT(A26/6)</f>
        <v>3</v>
      </c>
      <c r="D26" s="16" t="n">
        <f aca="false">IF(C26=0,(1+Dic2024!$G$6)^(-B26),EXP(LN(INDEX(Dic2024!$H$6:$H$205,C26))+(LN(INDEX(Dic2024!$H$6:$H$205,MIN(C26+1,200)))-LN(INDEX(Dic2024!$H$6:$H$205,C26)))*(A26-6*C26)/6))</f>
        <v>0.919314068923479</v>
      </c>
      <c r="E26" s="12" t="n">
        <f aca="false">D26^(-1/B26)-1</f>
        <v>0.046956839256</v>
      </c>
      <c r="F26" s="12" t="n">
        <f aca="false">(1+E26)^(1/12)-1</f>
        <v>0.00383129637228885</v>
      </c>
      <c r="G26" s="16" t="n">
        <f aca="false">IF(C26=0,(1+Dic2024!$J$6)^(-B26),EXP(LN(INDEX(Dic2024!$K$6:$K$205,C26))+(LN(INDEX(Dic2024!$K$6:$K$205,MIN(C26+1,200)))-LN(INDEX(Dic2024!$K$6:$K$205,C26)))*(A26-6*C26)/6))</f>
        <v>0.919314068923479</v>
      </c>
      <c r="H26" s="12" t="n">
        <f aca="false">G26^(-1/B26)-1</f>
        <v>0.046956839256</v>
      </c>
      <c r="I26" s="12" t="n">
        <f aca="false">(1+H26)^(1/12)-1</f>
        <v>0.00383129637228885</v>
      </c>
      <c r="J26" s="16" t="n">
        <f aca="false">IF(C26=0,(1+Dic2024!$M$6)^(-B26),EXP(LN(INDEX(Dic2024!$N$6:$N$205,C26))+(LN(INDEX(Dic2024!$N$6:$N$205,MIN(C26+1,200)))-LN(INDEX(Dic2024!$N$6:$N$205,C26)))*(A26-6*C26)/6))</f>
        <v>0.919314068923479</v>
      </c>
      <c r="K26" s="12" t="n">
        <f aca="false">J26^(-1/B26)-1</f>
        <v>0.046956839256</v>
      </c>
      <c r="L26" s="12" t="n">
        <f aca="false">(1+K26)^(1/12)-1</f>
        <v>0.00383129637228885</v>
      </c>
    </row>
    <row r="27" customFormat="false" ht="15" hidden="false" customHeight="false" outlineLevel="0" collapsed="false">
      <c r="A27" s="4" t="n">
        <v>23</v>
      </c>
      <c r="B27" s="14" t="n">
        <f aca="false">A27/12</f>
        <v>1.91666666666667</v>
      </c>
      <c r="C27" s="15" t="n">
        <f aca="false">INT(A27/6)</f>
        <v>3</v>
      </c>
      <c r="D27" s="16" t="n">
        <f aca="false">IF(C27=0,(1+Dic2024!$G$6)^(-B27),EXP(LN(INDEX(Dic2024!$H$6:$H$205,C27))+(LN(INDEX(Dic2024!$H$6:$H$205,MIN(C27+1,200)))-LN(INDEX(Dic2024!$H$6:$H$205,C27)))*(A27-6*C27)/6))</f>
        <v>0.915732117778486</v>
      </c>
      <c r="E27" s="12" t="n">
        <f aca="false">D27^(-1/B27)-1</f>
        <v>0.0470005201132371</v>
      </c>
      <c r="F27" s="12" t="n">
        <f aca="false">(1+E27)^(1/12)-1</f>
        <v>0.00383478643760959</v>
      </c>
      <c r="G27" s="16" t="n">
        <f aca="false">IF(C27=0,(1+Dic2024!$J$6)^(-B27),EXP(LN(INDEX(Dic2024!$K$6:$K$205,C27))+(LN(INDEX(Dic2024!$K$6:$K$205,MIN(C27+1,200)))-LN(INDEX(Dic2024!$K$6:$K$205,C27)))*(A27-6*C27)/6))</f>
        <v>0.915732117778486</v>
      </c>
      <c r="H27" s="12" t="n">
        <f aca="false">G27^(-1/B27)-1</f>
        <v>0.0470005201132371</v>
      </c>
      <c r="I27" s="12" t="n">
        <f aca="false">(1+H27)^(1/12)-1</f>
        <v>0.00383478643760959</v>
      </c>
      <c r="J27" s="16" t="n">
        <f aca="false">IF(C27=0,(1+Dic2024!$M$6)^(-B27),EXP(LN(INDEX(Dic2024!$N$6:$N$205,C27))+(LN(INDEX(Dic2024!$N$6:$N$205,MIN(C27+1,200)))-LN(INDEX(Dic2024!$N$6:$N$205,C27)))*(A27-6*C27)/6))</f>
        <v>0.915732117778486</v>
      </c>
      <c r="K27" s="12" t="n">
        <f aca="false">J27^(-1/B27)-1</f>
        <v>0.0470005201132371</v>
      </c>
      <c r="L27" s="12" t="n">
        <f aca="false">(1+K27)^(1/12)-1</f>
        <v>0.00383478643760959</v>
      </c>
    </row>
    <row r="28" customFormat="false" ht="15" hidden="false" customHeight="false" outlineLevel="0" collapsed="false">
      <c r="A28" s="4" t="n">
        <v>24</v>
      </c>
      <c r="B28" s="14" t="n">
        <f aca="false">A28/12</f>
        <v>2</v>
      </c>
      <c r="C28" s="15" t="n">
        <f aca="false">INT(A28/6)</f>
        <v>4</v>
      </c>
      <c r="D28" s="16" t="n">
        <f aca="false">IF(C28=0,(1+Dic2024!$G$6)^(-B28),EXP(LN(INDEX(Dic2024!$H$6:$H$205,C28))+(LN(INDEX(Dic2024!$H$6:$H$205,MIN(C28+1,200)))-LN(INDEX(Dic2024!$H$6:$H$205,C28)))*(A28-6*C28)/6))</f>
        <v>0.912164123097817</v>
      </c>
      <c r="E28" s="12" t="n">
        <f aca="false">D28^(-1/B28)-1</f>
        <v>0.0470405624999999</v>
      </c>
      <c r="F28" s="12" t="n">
        <f aca="false">(1+E28)^(1/12)-1</f>
        <v>0.00383798567481297</v>
      </c>
      <c r="G28" s="16" t="n">
        <f aca="false">IF(C28=0,(1+Dic2024!$J$6)^(-B28),EXP(LN(INDEX(Dic2024!$K$6:$K$205,C28))+(LN(INDEX(Dic2024!$K$6:$K$205,MIN(C28+1,200)))-LN(INDEX(Dic2024!$K$6:$K$205,C28)))*(A28-6*C28)/6))</f>
        <v>0.912164123097817</v>
      </c>
      <c r="H28" s="12" t="n">
        <f aca="false">G28^(-1/B28)-1</f>
        <v>0.0470405624999999</v>
      </c>
      <c r="I28" s="12" t="n">
        <f aca="false">(1+H28)^(1/12)-1</f>
        <v>0.00383798567481297</v>
      </c>
      <c r="J28" s="16" t="n">
        <f aca="false">IF(C28=0,(1+Dic2024!$M$6)^(-B28),EXP(LN(INDEX(Dic2024!$N$6:$N$205,C28))+(LN(INDEX(Dic2024!$N$6:$N$205,MIN(C28+1,200)))-LN(INDEX(Dic2024!$N$6:$N$205,C28)))*(A28-6*C28)/6))</f>
        <v>0.912164123097817</v>
      </c>
      <c r="K28" s="12" t="n">
        <f aca="false">J28^(-1/B28)-1</f>
        <v>0.0470405624999999</v>
      </c>
      <c r="L28" s="12" t="n">
        <f aca="false">(1+K28)^(1/12)-1</f>
        <v>0.00383798567481297</v>
      </c>
    </row>
    <row r="29" customFormat="false" ht="15" hidden="false" customHeight="false" outlineLevel="0" collapsed="false">
      <c r="A29" s="4" t="n">
        <v>25</v>
      </c>
      <c r="B29" s="14" t="n">
        <f aca="false">A29/12</f>
        <v>2.08333333333333</v>
      </c>
      <c r="C29" s="15" t="n">
        <f aca="false">INT(A29/6)</f>
        <v>4</v>
      </c>
      <c r="D29" s="16" t="n">
        <f aca="false">IF(C29=0,(1+Dic2024!$G$6)^(-B29),EXP(LN(INDEX(Dic2024!$H$6:$H$205,C29))+(LN(INDEX(Dic2024!$H$6:$H$205,MIN(C29+1,200)))-LN(INDEX(Dic2024!$H$6:$H$205,C29)))*(A29-6*C29)/6))</f>
        <v>0.908528656711891</v>
      </c>
      <c r="E29" s="12" t="n">
        <f aca="false">D29^(-1/B29)-1</f>
        <v>0.0471224177005003</v>
      </c>
      <c r="F29" s="12" t="n">
        <f aca="false">(1+E29)^(1/12)-1</f>
        <v>0.00384452525077195</v>
      </c>
      <c r="G29" s="16" t="n">
        <f aca="false">IF(C29=0,(1+Dic2024!$J$6)^(-B29),EXP(LN(INDEX(Dic2024!$K$6:$K$205,C29))+(LN(INDEX(Dic2024!$K$6:$K$205,MIN(C29+1,200)))-LN(INDEX(Dic2024!$K$6:$K$205,C29)))*(A29-6*C29)/6))</f>
        <v>0.908528656711891</v>
      </c>
      <c r="H29" s="12" t="n">
        <f aca="false">G29^(-1/B29)-1</f>
        <v>0.0471224177005003</v>
      </c>
      <c r="I29" s="12" t="n">
        <f aca="false">(1+H29)^(1/12)-1</f>
        <v>0.00384452525077195</v>
      </c>
      <c r="J29" s="16" t="n">
        <f aca="false">IF(C29=0,(1+Dic2024!$M$6)^(-B29),EXP(LN(INDEX(Dic2024!$N$6:$N$205,C29))+(LN(INDEX(Dic2024!$N$6:$N$205,MIN(C29+1,200)))-LN(INDEX(Dic2024!$N$6:$N$205,C29)))*(A29-6*C29)/6))</f>
        <v>0.908528656711891</v>
      </c>
      <c r="K29" s="12" t="n">
        <f aca="false">J29^(-1/B29)-1</f>
        <v>0.0471224177005003</v>
      </c>
      <c r="L29" s="12" t="n">
        <f aca="false">(1+K29)^(1/12)-1</f>
        <v>0.00384452525077195</v>
      </c>
    </row>
    <row r="30" customFormat="false" ht="15" hidden="false" customHeight="false" outlineLevel="0" collapsed="false">
      <c r="A30" s="4" t="n">
        <v>26</v>
      </c>
      <c r="B30" s="14" t="n">
        <f aca="false">A30/12</f>
        <v>2.16666666666667</v>
      </c>
      <c r="C30" s="15" t="n">
        <f aca="false">INT(A30/6)</f>
        <v>4</v>
      </c>
      <c r="D30" s="16" t="n">
        <f aca="false">IF(C30=0,(1+Dic2024!$G$6)^(-B30),EXP(LN(INDEX(Dic2024!$H$6:$H$205,C30))+(LN(INDEX(Dic2024!$H$6:$H$205,MIN(C30+1,200)))-LN(INDEX(Dic2024!$H$6:$H$205,C30)))*(A30-6*C30)/6))</f>
        <v>0.904907679621815</v>
      </c>
      <c r="E30" s="12" t="n">
        <f aca="false">D30^(-1/B30)-1</f>
        <v>0.0471979820269117</v>
      </c>
      <c r="F30" s="12" t="n">
        <f aca="false">(1+E30)^(1/12)-1</f>
        <v>0.00385056182023935</v>
      </c>
      <c r="G30" s="16" t="n">
        <f aca="false">IF(C30=0,(1+Dic2024!$J$6)^(-B30),EXP(LN(INDEX(Dic2024!$K$6:$K$205,C30))+(LN(INDEX(Dic2024!$K$6:$K$205,MIN(C30+1,200)))-LN(INDEX(Dic2024!$K$6:$K$205,C30)))*(A30-6*C30)/6))</f>
        <v>0.904907679621815</v>
      </c>
      <c r="H30" s="12" t="n">
        <f aca="false">G30^(-1/B30)-1</f>
        <v>0.0471979820269117</v>
      </c>
      <c r="I30" s="12" t="n">
        <f aca="false">(1+H30)^(1/12)-1</f>
        <v>0.00385056182023935</v>
      </c>
      <c r="J30" s="16" t="n">
        <f aca="false">IF(C30=0,(1+Dic2024!$M$6)^(-B30),EXP(LN(INDEX(Dic2024!$N$6:$N$205,C30))+(LN(INDEX(Dic2024!$N$6:$N$205,MIN(C30+1,200)))-LN(INDEX(Dic2024!$N$6:$N$205,C30)))*(A30-6*C30)/6))</f>
        <v>0.904907679621815</v>
      </c>
      <c r="K30" s="12" t="n">
        <f aca="false">J30^(-1/B30)-1</f>
        <v>0.0471979820269117</v>
      </c>
      <c r="L30" s="12" t="n">
        <f aca="false">(1+K30)^(1/12)-1</f>
        <v>0.00385056182023935</v>
      </c>
    </row>
    <row r="31" customFormat="false" ht="15" hidden="false" customHeight="false" outlineLevel="0" collapsed="false">
      <c r="A31" s="4" t="n">
        <v>27</v>
      </c>
      <c r="B31" s="14" t="n">
        <f aca="false">A31/12</f>
        <v>2.25</v>
      </c>
      <c r="C31" s="15" t="n">
        <f aca="false">INT(A31/6)</f>
        <v>4</v>
      </c>
      <c r="D31" s="16" t="n">
        <f aca="false">IF(C31=0,(1+Dic2024!$G$6)^(-B31),EXP(LN(INDEX(Dic2024!$H$6:$H$205,C31))+(LN(INDEX(Dic2024!$H$6:$H$205,MIN(C31+1,200)))-LN(INDEX(Dic2024!$H$6:$H$205,C31)))*(A31-6*C31)/6))</f>
        <v>0.901301134079924</v>
      </c>
      <c r="E31" s="12" t="n">
        <f aca="false">D31^(-1/B31)-1</f>
        <v>0.0472679538578815</v>
      </c>
      <c r="F31" s="12" t="n">
        <f aca="false">(1+E31)^(1/12)-1</f>
        <v>0.00385615126877981</v>
      </c>
      <c r="G31" s="16" t="n">
        <f aca="false">IF(C31=0,(1+Dic2024!$J$6)^(-B31),EXP(LN(INDEX(Dic2024!$K$6:$K$205,C31))+(LN(INDEX(Dic2024!$K$6:$K$205,MIN(C31+1,200)))-LN(INDEX(Dic2024!$K$6:$K$205,C31)))*(A31-6*C31)/6))</f>
        <v>0.901301134079924</v>
      </c>
      <c r="H31" s="12" t="n">
        <f aca="false">G31^(-1/B31)-1</f>
        <v>0.0472679538578815</v>
      </c>
      <c r="I31" s="12" t="n">
        <f aca="false">(1+H31)^(1/12)-1</f>
        <v>0.00385615126877981</v>
      </c>
      <c r="J31" s="16" t="n">
        <f aca="false">IF(C31=0,(1+Dic2024!$M$6)^(-B31),EXP(LN(INDEX(Dic2024!$N$6:$N$205,C31))+(LN(INDEX(Dic2024!$N$6:$N$205,MIN(C31+1,200)))-LN(INDEX(Dic2024!$N$6:$N$205,C31)))*(A31-6*C31)/6))</f>
        <v>0.901301134079924</v>
      </c>
      <c r="K31" s="12" t="n">
        <f aca="false">J31^(-1/B31)-1</f>
        <v>0.0472679538578815</v>
      </c>
      <c r="L31" s="12" t="n">
        <f aca="false">(1+K31)^(1/12)-1</f>
        <v>0.00385615126877981</v>
      </c>
    </row>
    <row r="32" customFormat="false" ht="15" hidden="false" customHeight="false" outlineLevel="0" collapsed="false">
      <c r="A32" s="4" t="n">
        <v>28</v>
      </c>
      <c r="B32" s="14" t="n">
        <f aca="false">A32/12</f>
        <v>2.33333333333333</v>
      </c>
      <c r="C32" s="15" t="n">
        <f aca="false">INT(A32/6)</f>
        <v>4</v>
      </c>
      <c r="D32" s="16" t="n">
        <f aca="false">IF(C32=0,(1+Dic2024!$G$6)^(-B32),EXP(LN(INDEX(Dic2024!$H$6:$H$205,C32))+(LN(INDEX(Dic2024!$H$6:$H$205,MIN(C32+1,200)))-LN(INDEX(Dic2024!$H$6:$H$205,C32)))*(A32-6*C32)/6))</f>
        <v>0.897708962568708</v>
      </c>
      <c r="E32" s="12" t="n">
        <f aca="false">D32^(-1/B32)-1</f>
        <v>0.0473329318872993</v>
      </c>
      <c r="F32" s="12" t="n">
        <f aca="false">(1+E32)^(1/12)-1</f>
        <v>0.00386134149886286</v>
      </c>
      <c r="G32" s="16" t="n">
        <f aca="false">IF(C32=0,(1+Dic2024!$J$6)^(-B32),EXP(LN(INDEX(Dic2024!$K$6:$K$205,C32))+(LN(INDEX(Dic2024!$K$6:$K$205,MIN(C32+1,200)))-LN(INDEX(Dic2024!$K$6:$K$205,C32)))*(A32-6*C32)/6))</f>
        <v>0.897708962568708</v>
      </c>
      <c r="H32" s="12" t="n">
        <f aca="false">G32^(-1/B32)-1</f>
        <v>0.0473329318872993</v>
      </c>
      <c r="I32" s="12" t="n">
        <f aca="false">(1+H32)^(1/12)-1</f>
        <v>0.00386134149886286</v>
      </c>
      <c r="J32" s="16" t="n">
        <f aca="false">IF(C32=0,(1+Dic2024!$M$6)^(-B32),EXP(LN(INDEX(Dic2024!$N$6:$N$205,C32))+(LN(INDEX(Dic2024!$N$6:$N$205,MIN(C32+1,200)))-LN(INDEX(Dic2024!$N$6:$N$205,C32)))*(A32-6*C32)/6))</f>
        <v>0.897708962568708</v>
      </c>
      <c r="K32" s="12" t="n">
        <f aca="false">J32^(-1/B32)-1</f>
        <v>0.0473329318872993</v>
      </c>
      <c r="L32" s="12" t="n">
        <f aca="false">(1+K32)^(1/12)-1</f>
        <v>0.00386134149886286</v>
      </c>
    </row>
    <row r="33" customFormat="false" ht="15" hidden="false" customHeight="false" outlineLevel="0" collapsed="false">
      <c r="A33" s="4" t="n">
        <v>29</v>
      </c>
      <c r="B33" s="14" t="n">
        <f aca="false">A33/12</f>
        <v>2.41666666666667</v>
      </c>
      <c r="C33" s="15" t="n">
        <f aca="false">INT(A33/6)</f>
        <v>4</v>
      </c>
      <c r="D33" s="16" t="n">
        <f aca="false">IF(C33=0,(1+Dic2024!$G$6)^(-B33),EXP(LN(INDEX(Dic2024!$H$6:$H$205,C33))+(LN(INDEX(Dic2024!$H$6:$H$205,MIN(C33+1,200)))-LN(INDEX(Dic2024!$H$6:$H$205,C33)))*(A33-6*C33)/6))</f>
        <v>0.894131107799898</v>
      </c>
      <c r="E33" s="12" t="n">
        <f aca="false">D33^(-1/B33)-1</f>
        <v>0.0473934322974108</v>
      </c>
      <c r="F33" s="12" t="n">
        <f aca="false">(1+E33)^(1/12)-1</f>
        <v>0.00386617380616627</v>
      </c>
      <c r="G33" s="16" t="n">
        <f aca="false">IF(C33=0,(1+Dic2024!$J$6)^(-B33),EXP(LN(INDEX(Dic2024!$K$6:$K$205,C33))+(LN(INDEX(Dic2024!$K$6:$K$205,MIN(C33+1,200)))-LN(INDEX(Dic2024!$K$6:$K$205,C33)))*(A33-6*C33)/6))</f>
        <v>0.894131107799898</v>
      </c>
      <c r="H33" s="12" t="n">
        <f aca="false">G33^(-1/B33)-1</f>
        <v>0.0473934322974108</v>
      </c>
      <c r="I33" s="12" t="n">
        <f aca="false">(1+H33)^(1/12)-1</f>
        <v>0.00386617380616627</v>
      </c>
      <c r="J33" s="16" t="n">
        <f aca="false">IF(C33=0,(1+Dic2024!$M$6)^(-B33),EXP(LN(INDEX(Dic2024!$N$6:$N$205,C33))+(LN(INDEX(Dic2024!$N$6:$N$205,MIN(C33+1,200)))-LN(INDEX(Dic2024!$N$6:$N$205,C33)))*(A33-6*C33)/6))</f>
        <v>0.894131107799898</v>
      </c>
      <c r="K33" s="12" t="n">
        <f aca="false">J33^(-1/B33)-1</f>
        <v>0.0473934322974108</v>
      </c>
      <c r="L33" s="12" t="n">
        <f aca="false">(1+K33)^(1/12)-1</f>
        <v>0.00386617380616627</v>
      </c>
    </row>
    <row r="34" customFormat="false" ht="15" hidden="false" customHeight="false" outlineLevel="0" collapsed="false">
      <c r="A34" s="4" t="n">
        <v>30</v>
      </c>
      <c r="B34" s="14" t="n">
        <f aca="false">A34/12</f>
        <v>2.5</v>
      </c>
      <c r="C34" s="15" t="n">
        <f aca="false">INT(A34/6)</f>
        <v>5</v>
      </c>
      <c r="D34" s="16" t="n">
        <f aca="false">IF(C34=0,(1+Dic2024!$G$6)^(-B34),EXP(LN(INDEX(Dic2024!$H$6:$H$205,C34))+(LN(INDEX(Dic2024!$H$6:$H$205,MIN(C34+1,200)))-LN(INDEX(Dic2024!$H$6:$H$205,C34)))*(A34-6*C34)/6))</f>
        <v>0.890567512713547</v>
      </c>
      <c r="E34" s="12" t="n">
        <f aca="false">D34^(-1/B34)-1</f>
        <v>0.0474499024999999</v>
      </c>
      <c r="F34" s="12" t="n">
        <f aca="false">(1+E34)^(1/12)-1</f>
        <v>0.00387068398063639</v>
      </c>
      <c r="G34" s="16" t="n">
        <f aca="false">IF(C34=0,(1+Dic2024!$J$6)^(-B34),EXP(LN(INDEX(Dic2024!$K$6:$K$205,C34))+(LN(INDEX(Dic2024!$K$6:$K$205,MIN(C34+1,200)))-LN(INDEX(Dic2024!$K$6:$K$205,C34)))*(A34-6*C34)/6))</f>
        <v>0.890567512713547</v>
      </c>
      <c r="H34" s="12" t="n">
        <f aca="false">G34^(-1/B34)-1</f>
        <v>0.0474499024999999</v>
      </c>
      <c r="I34" s="12" t="n">
        <f aca="false">(1+H34)^(1/12)-1</f>
        <v>0.00387068398063639</v>
      </c>
      <c r="J34" s="16" t="n">
        <f aca="false">IF(C34=0,(1+Dic2024!$M$6)^(-B34),EXP(LN(INDEX(Dic2024!$N$6:$N$205,C34))+(LN(INDEX(Dic2024!$N$6:$N$205,MIN(C34+1,200)))-LN(INDEX(Dic2024!$N$6:$N$205,C34)))*(A34-6*C34)/6))</f>
        <v>0.890567512713547</v>
      </c>
      <c r="K34" s="12" t="n">
        <f aca="false">J34^(-1/B34)-1</f>
        <v>0.0474499024999999</v>
      </c>
      <c r="L34" s="12" t="n">
        <f aca="false">(1+K34)^(1/12)-1</f>
        <v>0.00387068398063639</v>
      </c>
    </row>
    <row r="35" customFormat="false" ht="15" hidden="false" customHeight="false" outlineLevel="0" collapsed="false">
      <c r="A35" s="4" t="n">
        <v>31</v>
      </c>
      <c r="B35" s="14" t="n">
        <f aca="false">A35/12</f>
        <v>2.58333333333333</v>
      </c>
      <c r="C35" s="15" t="n">
        <f aca="false">INT(A35/6)</f>
        <v>5</v>
      </c>
      <c r="D35" s="16" t="n">
        <f aca="false">IF(C35=0,(1+Dic2024!$G$6)^(-B35),EXP(LN(INDEX(Dic2024!$H$6:$H$205,C35))+(LN(INDEX(Dic2024!$H$6:$H$205,MIN(C35+1,200)))-LN(INDEX(Dic2024!$H$6:$H$205,C35)))*(A35-6*C35)/6))</f>
        <v>0.886960370974706</v>
      </c>
      <c r="E35" s="12" t="n">
        <f aca="false">D35^(-1/B35)-1</f>
        <v>0.0475291325941509</v>
      </c>
      <c r="F35" s="12" t="n">
        <f aca="false">(1+E35)^(1/12)-1</f>
        <v>0.00387701157136489</v>
      </c>
      <c r="G35" s="16" t="n">
        <f aca="false">IF(C35=0,(1+Dic2024!$J$6)^(-B35),EXP(LN(INDEX(Dic2024!$K$6:$K$205,C35))+(LN(INDEX(Dic2024!$K$6:$K$205,MIN(C35+1,200)))-LN(INDEX(Dic2024!$K$6:$K$205,C35)))*(A35-6*C35)/6))</f>
        <v>0.886960370974706</v>
      </c>
      <c r="H35" s="12" t="n">
        <f aca="false">G35^(-1/B35)-1</f>
        <v>0.0475291325941509</v>
      </c>
      <c r="I35" s="12" t="n">
        <f aca="false">(1+H35)^(1/12)-1</f>
        <v>0.00387701157136489</v>
      </c>
      <c r="J35" s="16" t="n">
        <f aca="false">IF(C35=0,(1+Dic2024!$M$6)^(-B35),EXP(LN(INDEX(Dic2024!$N$6:$N$205,C35))+(LN(INDEX(Dic2024!$N$6:$N$205,MIN(C35+1,200)))-LN(INDEX(Dic2024!$N$6:$N$205,C35)))*(A35-6*C35)/6))</f>
        <v>0.886960370974706</v>
      </c>
      <c r="K35" s="12" t="n">
        <f aca="false">J35^(-1/B35)-1</f>
        <v>0.0475291325941509</v>
      </c>
      <c r="L35" s="12" t="n">
        <f aca="false">(1+K35)^(1/12)-1</f>
        <v>0.00387701157136489</v>
      </c>
    </row>
    <row r="36" customFormat="false" ht="15" hidden="false" customHeight="false" outlineLevel="0" collapsed="false">
      <c r="A36" s="4" t="n">
        <v>32</v>
      </c>
      <c r="B36" s="14" t="n">
        <f aca="false">A36/12</f>
        <v>2.66666666666667</v>
      </c>
      <c r="C36" s="15" t="n">
        <f aca="false">INT(A36/6)</f>
        <v>5</v>
      </c>
      <c r="D36" s="16" t="n">
        <f aca="false">IF(C36=0,(1+Dic2024!$G$6)^(-B36),EXP(LN(INDEX(Dic2024!$H$6:$H$205,C36))+(LN(INDEX(Dic2024!$H$6:$H$205,MIN(C36+1,200)))-LN(INDEX(Dic2024!$H$6:$H$205,C36)))*(A36-6*C36)/6))</f>
        <v>0.883367839550455</v>
      </c>
      <c r="E36" s="12" t="n">
        <f aca="false">D36^(-1/B36)-1</f>
        <v>0.0476034162503052</v>
      </c>
      <c r="F36" s="12" t="n">
        <f aca="false">(1+E36)^(1/12)-1</f>
        <v>0.00388294372389564</v>
      </c>
      <c r="G36" s="16" t="n">
        <f aca="false">IF(C36=0,(1+Dic2024!$J$6)^(-B36),EXP(LN(INDEX(Dic2024!$K$6:$K$205,C36))+(LN(INDEX(Dic2024!$K$6:$K$205,MIN(C36+1,200)))-LN(INDEX(Dic2024!$K$6:$K$205,C36)))*(A36-6*C36)/6))</f>
        <v>0.883367839550455</v>
      </c>
      <c r="H36" s="12" t="n">
        <f aca="false">G36^(-1/B36)-1</f>
        <v>0.0476034162503052</v>
      </c>
      <c r="I36" s="12" t="n">
        <f aca="false">(1+H36)^(1/12)-1</f>
        <v>0.00388294372389564</v>
      </c>
      <c r="J36" s="16" t="n">
        <f aca="false">IF(C36=0,(1+Dic2024!$M$6)^(-B36),EXP(LN(INDEX(Dic2024!$N$6:$N$205,C36))+(LN(INDEX(Dic2024!$N$6:$N$205,MIN(C36+1,200)))-LN(INDEX(Dic2024!$N$6:$N$205,C36)))*(A36-6*C36)/6))</f>
        <v>0.883367839550455</v>
      </c>
      <c r="K36" s="12" t="n">
        <f aca="false">J36^(-1/B36)-1</f>
        <v>0.0476034162503052</v>
      </c>
      <c r="L36" s="12" t="n">
        <f aca="false">(1+K36)^(1/12)-1</f>
        <v>0.00388294372389564</v>
      </c>
    </row>
    <row r="37" customFormat="false" ht="15" hidden="false" customHeight="false" outlineLevel="0" collapsed="false">
      <c r="A37" s="4" t="n">
        <v>33</v>
      </c>
      <c r="B37" s="14" t="n">
        <f aca="false">A37/12</f>
        <v>2.75</v>
      </c>
      <c r="C37" s="15" t="n">
        <f aca="false">INT(A37/6)</f>
        <v>5</v>
      </c>
      <c r="D37" s="16" t="n">
        <f aca="false">IF(C37=0,(1+Dic2024!$G$6)^(-B37),EXP(LN(INDEX(Dic2024!$H$6:$H$205,C37))+(LN(INDEX(Dic2024!$H$6:$H$205,MIN(C37+1,200)))-LN(INDEX(Dic2024!$H$6:$H$205,C37)))*(A37-6*C37)/6))</f>
        <v>0.879789859263387</v>
      </c>
      <c r="E37" s="12" t="n">
        <f aca="false">D37^(-1/B37)-1</f>
        <v>0.0476732026651716</v>
      </c>
      <c r="F37" s="12" t="n">
        <f aca="false">(1+E37)^(1/12)-1</f>
        <v>0.00388851638396259</v>
      </c>
      <c r="G37" s="16" t="n">
        <f aca="false">IF(C37=0,(1+Dic2024!$J$6)^(-B37),EXP(LN(INDEX(Dic2024!$K$6:$K$205,C37))+(LN(INDEX(Dic2024!$K$6:$K$205,MIN(C37+1,200)))-LN(INDEX(Dic2024!$K$6:$K$205,C37)))*(A37-6*C37)/6))</f>
        <v>0.879789859263387</v>
      </c>
      <c r="H37" s="12" t="n">
        <f aca="false">G37^(-1/B37)-1</f>
        <v>0.0476732026651716</v>
      </c>
      <c r="I37" s="12" t="n">
        <f aca="false">(1+H37)^(1/12)-1</f>
        <v>0.00388851638396259</v>
      </c>
      <c r="J37" s="16" t="n">
        <f aca="false">IF(C37=0,(1+Dic2024!$M$6)^(-B37),EXP(LN(INDEX(Dic2024!$N$6:$N$205,C37))+(LN(INDEX(Dic2024!$N$6:$N$205,MIN(C37+1,200)))-LN(INDEX(Dic2024!$N$6:$N$205,C37)))*(A37-6*C37)/6))</f>
        <v>0.879789859263387</v>
      </c>
      <c r="K37" s="12" t="n">
        <f aca="false">J37^(-1/B37)-1</f>
        <v>0.0476732026651716</v>
      </c>
      <c r="L37" s="12" t="n">
        <f aca="false">(1+K37)^(1/12)-1</f>
        <v>0.00388851638396259</v>
      </c>
    </row>
    <row r="38" customFormat="false" ht="15" hidden="false" customHeight="false" outlineLevel="0" collapsed="false">
      <c r="A38" s="4" t="n">
        <v>34</v>
      </c>
      <c r="B38" s="14" t="n">
        <f aca="false">A38/12</f>
        <v>2.83333333333333</v>
      </c>
      <c r="C38" s="15" t="n">
        <f aca="false">INT(A38/6)</f>
        <v>5</v>
      </c>
      <c r="D38" s="16" t="n">
        <f aca="false">IF(C38=0,(1+Dic2024!$G$6)^(-B38),EXP(LN(INDEX(Dic2024!$H$6:$H$205,C38))+(LN(INDEX(Dic2024!$H$6:$H$205,MIN(C38+1,200)))-LN(INDEX(Dic2024!$H$6:$H$205,C38)))*(A38-6*C38)/6))</f>
        <v>0.876226371175788</v>
      </c>
      <c r="E38" s="12" t="n">
        <f aca="false">D38^(-1/B38)-1</f>
        <v>0.047738888243499</v>
      </c>
      <c r="F38" s="12" t="n">
        <f aca="false">(1+E38)^(1/12)-1</f>
        <v>0.00389376126875485</v>
      </c>
      <c r="G38" s="16" t="n">
        <f aca="false">IF(C38=0,(1+Dic2024!$J$6)^(-B38),EXP(LN(INDEX(Dic2024!$K$6:$K$205,C38))+(LN(INDEX(Dic2024!$K$6:$K$205,MIN(C38+1,200)))-LN(INDEX(Dic2024!$K$6:$K$205,C38)))*(A38-6*C38)/6))</f>
        <v>0.876226371175788</v>
      </c>
      <c r="H38" s="12" t="n">
        <f aca="false">G38^(-1/B38)-1</f>
        <v>0.047738888243499</v>
      </c>
      <c r="I38" s="12" t="n">
        <f aca="false">(1+H38)^(1/12)-1</f>
        <v>0.00389376126875485</v>
      </c>
      <c r="J38" s="16" t="n">
        <f aca="false">IF(C38=0,(1+Dic2024!$M$6)^(-B38),EXP(LN(INDEX(Dic2024!$N$6:$N$205,C38))+(LN(INDEX(Dic2024!$N$6:$N$205,MIN(C38+1,200)))-LN(INDEX(Dic2024!$N$6:$N$205,C38)))*(A38-6*C38)/6))</f>
        <v>0.876226371175788</v>
      </c>
      <c r="K38" s="12" t="n">
        <f aca="false">J38^(-1/B38)-1</f>
        <v>0.047738888243499</v>
      </c>
      <c r="L38" s="12" t="n">
        <f aca="false">(1+K38)^(1/12)-1</f>
        <v>0.00389376126875485</v>
      </c>
    </row>
    <row r="39" customFormat="false" ht="15" hidden="false" customHeight="false" outlineLevel="0" collapsed="false">
      <c r="A39" s="4" t="n">
        <v>35</v>
      </c>
      <c r="B39" s="14" t="n">
        <f aca="false">A39/12</f>
        <v>2.91666666666667</v>
      </c>
      <c r="C39" s="15" t="n">
        <f aca="false">INT(A39/6)</f>
        <v>5</v>
      </c>
      <c r="D39" s="16" t="n">
        <f aca="false">IF(C39=0,(1+Dic2024!$G$6)^(-B39),EXP(LN(INDEX(Dic2024!$H$6:$H$205,C39))+(LN(INDEX(Dic2024!$H$6:$H$205,MIN(C39+1,200)))-LN(INDEX(Dic2024!$H$6:$H$205,C39)))*(A39-6*C39)/6))</f>
        <v>0.872677316588662</v>
      </c>
      <c r="E39" s="12" t="n">
        <f aca="false">D39^(-1/B39)-1</f>
        <v>0.0478008241321972</v>
      </c>
      <c r="F39" s="12" t="n">
        <f aca="false">(1+E39)^(1/12)-1</f>
        <v>0.00389870647094281</v>
      </c>
      <c r="G39" s="16" t="n">
        <f aca="false">IF(C39=0,(1+Dic2024!$J$6)^(-B39),EXP(LN(INDEX(Dic2024!$K$6:$K$205,C39))+(LN(INDEX(Dic2024!$K$6:$K$205,MIN(C39+1,200)))-LN(INDEX(Dic2024!$K$6:$K$205,C39)))*(A39-6*C39)/6))</f>
        <v>0.872677316588662</v>
      </c>
      <c r="H39" s="12" t="n">
        <f aca="false">G39^(-1/B39)-1</f>
        <v>0.0478008241321972</v>
      </c>
      <c r="I39" s="12" t="n">
        <f aca="false">(1+H39)^(1/12)-1</f>
        <v>0.00389870647094281</v>
      </c>
      <c r="J39" s="16" t="n">
        <f aca="false">IF(C39=0,(1+Dic2024!$M$6)^(-B39),EXP(LN(INDEX(Dic2024!$N$6:$N$205,C39))+(LN(INDEX(Dic2024!$N$6:$N$205,MIN(C39+1,200)))-LN(INDEX(Dic2024!$N$6:$N$205,C39)))*(A39-6*C39)/6))</f>
        <v>0.872677316588662</v>
      </c>
      <c r="K39" s="12" t="n">
        <f aca="false">J39^(-1/B39)-1</f>
        <v>0.0478008241321972</v>
      </c>
      <c r="L39" s="12" t="n">
        <f aca="false">(1+K39)^(1/12)-1</f>
        <v>0.00389870647094281</v>
      </c>
    </row>
    <row r="40" customFormat="false" ht="15" hidden="false" customHeight="false" outlineLevel="0" collapsed="false">
      <c r="A40" s="4" t="n">
        <v>36</v>
      </c>
      <c r="B40" s="14" t="n">
        <f aca="false">A40/12</f>
        <v>3</v>
      </c>
      <c r="C40" s="15" t="n">
        <f aca="false">INT(A40/6)</f>
        <v>6</v>
      </c>
      <c r="D40" s="16" t="n">
        <f aca="false">IF(C40=0,(1+Dic2024!$G$6)^(-B40),EXP(LN(INDEX(Dic2024!$H$6:$H$205,C40))+(LN(INDEX(Dic2024!$H$6:$H$205,MIN(C40+1,200)))-LN(INDEX(Dic2024!$H$6:$H$205,C40)))*(A40-6*C40)/6))</f>
        <v>0.869142637040769</v>
      </c>
      <c r="E40" s="12" t="n">
        <f aca="false">D40^(-1/B40)-1</f>
        <v>0.0478593224999999</v>
      </c>
      <c r="F40" s="12" t="n">
        <f aca="false">(1+E40)^(1/12)-1</f>
        <v>0.00390337696204357</v>
      </c>
      <c r="G40" s="16" t="n">
        <f aca="false">IF(C40=0,(1+Dic2024!$J$6)^(-B40),EXP(LN(INDEX(Dic2024!$K$6:$K$205,C40))+(LN(INDEX(Dic2024!$K$6:$K$205,MIN(C40+1,200)))-LN(INDEX(Dic2024!$K$6:$K$205,C40)))*(A40-6*C40)/6))</f>
        <v>0.869142637040769</v>
      </c>
      <c r="H40" s="12" t="n">
        <f aca="false">G40^(-1/B40)-1</f>
        <v>0.0478593224999999</v>
      </c>
      <c r="I40" s="12" t="n">
        <f aca="false">(1+H40)^(1/12)-1</f>
        <v>0.00390337696204357</v>
      </c>
      <c r="J40" s="16" t="n">
        <f aca="false">IF(C40=0,(1+Dic2024!$M$6)^(-B40),EXP(LN(INDEX(Dic2024!$N$6:$N$205,C40))+(LN(INDEX(Dic2024!$N$6:$N$205,MIN(C40+1,200)))-LN(INDEX(Dic2024!$N$6:$N$205,C40)))*(A40-6*C40)/6))</f>
        <v>0.869142637040769</v>
      </c>
      <c r="K40" s="12" t="n">
        <f aca="false">J40^(-1/B40)-1</f>
        <v>0.0478593224999999</v>
      </c>
      <c r="L40" s="12" t="n">
        <f aca="false">(1+K40)^(1/12)-1</f>
        <v>0.00390337696204357</v>
      </c>
    </row>
    <row r="41" customFormat="false" ht="15" hidden="false" customHeight="false" outlineLevel="0" collapsed="false">
      <c r="A41" s="4" t="n">
        <v>37</v>
      </c>
      <c r="B41" s="14" t="n">
        <f aca="false">A41/12</f>
        <v>3.08333333333333</v>
      </c>
      <c r="C41" s="15" t="n">
        <f aca="false">INT(A41/6)</f>
        <v>6</v>
      </c>
      <c r="D41" s="16" t="n">
        <f aca="false">IF(C41=0,(1+Dic2024!$G$6)^(-B41),EXP(LN(INDEX(Dic2024!$H$6:$H$205,C41))+(LN(INDEX(Dic2024!$H$6:$H$205,MIN(C41+1,200)))-LN(INDEX(Dic2024!$H$6:$H$205,C41)))*(A41-6*C41)/6))</f>
        <v>0.865565934298374</v>
      </c>
      <c r="E41" s="12" t="n">
        <f aca="false">D41^(-1/B41)-1</f>
        <v>0.0479367832017383</v>
      </c>
      <c r="F41" s="12" t="n">
        <f aca="false">(1+E41)^(1/12)-1</f>
        <v>0.00390956103209628</v>
      </c>
      <c r="G41" s="16" t="n">
        <f aca="false">IF(C41=0,(1+Dic2024!$J$6)^(-B41),EXP(LN(INDEX(Dic2024!$K$6:$K$205,C41))+(LN(INDEX(Dic2024!$K$6:$K$205,MIN(C41+1,200)))-LN(INDEX(Dic2024!$K$6:$K$205,C41)))*(A41-6*C41)/6))</f>
        <v>0.865565934298374</v>
      </c>
      <c r="H41" s="12" t="n">
        <f aca="false">G41^(-1/B41)-1</f>
        <v>0.0479367832017383</v>
      </c>
      <c r="I41" s="12" t="n">
        <f aca="false">(1+H41)^(1/12)-1</f>
        <v>0.00390956103209628</v>
      </c>
      <c r="J41" s="16" t="n">
        <f aca="false">IF(C41=0,(1+Dic2024!$M$6)^(-B41),EXP(LN(INDEX(Dic2024!$N$6:$N$205,C41))+(LN(INDEX(Dic2024!$N$6:$N$205,MIN(C41+1,200)))-LN(INDEX(Dic2024!$N$6:$N$205,C41)))*(A41-6*C41)/6))</f>
        <v>0.865565934298374</v>
      </c>
      <c r="K41" s="12" t="n">
        <f aca="false">J41^(-1/B41)-1</f>
        <v>0.0479367832017383</v>
      </c>
      <c r="L41" s="12" t="n">
        <f aca="false">(1+K41)^(1/12)-1</f>
        <v>0.00390956103209628</v>
      </c>
    </row>
    <row r="42" customFormat="false" ht="15" hidden="false" customHeight="false" outlineLevel="0" collapsed="false">
      <c r="A42" s="4" t="n">
        <v>38</v>
      </c>
      <c r="B42" s="14" t="n">
        <f aca="false">A42/12</f>
        <v>3.16666666666667</v>
      </c>
      <c r="C42" s="15" t="n">
        <f aca="false">INT(A42/6)</f>
        <v>6</v>
      </c>
      <c r="D42" s="16" t="n">
        <f aca="false">IF(C42=0,(1+Dic2024!$G$6)^(-B42),EXP(LN(INDEX(Dic2024!$H$6:$H$205,C42))+(LN(INDEX(Dic2024!$H$6:$H$205,MIN(C42+1,200)))-LN(INDEX(Dic2024!$H$6:$H$205,C42)))*(A42-6*C42)/6))</f>
        <v>0.862003950431758</v>
      </c>
      <c r="E42" s="12" t="n">
        <f aca="false">D42^(-1/B42)-1</f>
        <v>0.048010172306413</v>
      </c>
      <c r="F42" s="12" t="n">
        <f aca="false">(1+E42)^(1/12)-1</f>
        <v>0.00391541965991715</v>
      </c>
      <c r="G42" s="16" t="n">
        <f aca="false">IF(C42=0,(1+Dic2024!$J$6)^(-B42),EXP(LN(INDEX(Dic2024!$K$6:$K$205,C42))+(LN(INDEX(Dic2024!$K$6:$K$205,MIN(C42+1,200)))-LN(INDEX(Dic2024!$K$6:$K$205,C42)))*(A42-6*C42)/6))</f>
        <v>0.862003950431758</v>
      </c>
      <c r="H42" s="12" t="n">
        <f aca="false">G42^(-1/B42)-1</f>
        <v>0.048010172306413</v>
      </c>
      <c r="I42" s="12" t="n">
        <f aca="false">(1+H42)^(1/12)-1</f>
        <v>0.00391541965991715</v>
      </c>
      <c r="J42" s="16" t="n">
        <f aca="false">IF(C42=0,(1+Dic2024!$M$6)^(-B42),EXP(LN(INDEX(Dic2024!$N$6:$N$205,C42))+(LN(INDEX(Dic2024!$N$6:$N$205,MIN(C42+1,200)))-LN(INDEX(Dic2024!$N$6:$N$205,C42)))*(A42-6*C42)/6))</f>
        <v>0.862003950431758</v>
      </c>
      <c r="K42" s="12" t="n">
        <f aca="false">J42^(-1/B42)-1</f>
        <v>0.048010172306413</v>
      </c>
      <c r="L42" s="12" t="n">
        <f aca="false">(1+K42)^(1/12)-1</f>
        <v>0.00391541965991715</v>
      </c>
    </row>
    <row r="43" customFormat="false" ht="15" hidden="false" customHeight="false" outlineLevel="0" collapsed="false">
      <c r="A43" s="4" t="n">
        <v>39</v>
      </c>
      <c r="B43" s="14" t="n">
        <f aca="false">A43/12</f>
        <v>3.25</v>
      </c>
      <c r="C43" s="15" t="n">
        <f aca="false">INT(A43/6)</f>
        <v>6</v>
      </c>
      <c r="D43" s="16" t="n">
        <f aca="false">IF(C43=0,(1+Dic2024!$G$6)^(-B43),EXP(LN(INDEX(Dic2024!$H$6:$H$205,C43))+(LN(INDEX(Dic2024!$H$6:$H$205,MIN(C43+1,200)))-LN(INDEX(Dic2024!$H$6:$H$205,C43)))*(A43-6*C43)/6))</f>
        <v>0.858456624869683</v>
      </c>
      <c r="E43" s="12" t="n">
        <f aca="false">D43^(-1/B43)-1</f>
        <v>0.0480798026182434</v>
      </c>
      <c r="F43" s="12" t="n">
        <f aca="false">(1+E43)^(1/12)-1</f>
        <v>0.0039209778768905</v>
      </c>
      <c r="G43" s="16" t="n">
        <f aca="false">IF(C43=0,(1+Dic2024!$J$6)^(-B43),EXP(LN(INDEX(Dic2024!$K$6:$K$205,C43))+(LN(INDEX(Dic2024!$K$6:$K$205,MIN(C43+1,200)))-LN(INDEX(Dic2024!$K$6:$K$205,C43)))*(A43-6*C43)/6))</f>
        <v>0.858456624869683</v>
      </c>
      <c r="H43" s="12" t="n">
        <f aca="false">G43^(-1/B43)-1</f>
        <v>0.0480798026182434</v>
      </c>
      <c r="I43" s="12" t="n">
        <f aca="false">(1+H43)^(1/12)-1</f>
        <v>0.0039209778768905</v>
      </c>
      <c r="J43" s="16" t="n">
        <f aca="false">IF(C43=0,(1+Dic2024!$M$6)^(-B43),EXP(LN(INDEX(Dic2024!$N$6:$N$205,C43))+(LN(INDEX(Dic2024!$N$6:$N$205,MIN(C43+1,200)))-LN(INDEX(Dic2024!$N$6:$N$205,C43)))*(A43-6*C43)/6))</f>
        <v>0.858456624869683</v>
      </c>
      <c r="K43" s="12" t="n">
        <f aca="false">J43^(-1/B43)-1</f>
        <v>0.0480798026182434</v>
      </c>
      <c r="L43" s="12" t="n">
        <f aca="false">(1+K43)^(1/12)-1</f>
        <v>0.0039209778768905</v>
      </c>
    </row>
    <row r="44" customFormat="false" ht="15" hidden="false" customHeight="false" outlineLevel="0" collapsed="false">
      <c r="A44" s="4" t="n">
        <v>40</v>
      </c>
      <c r="B44" s="14" t="n">
        <f aca="false">A44/12</f>
        <v>3.33333333333333</v>
      </c>
      <c r="C44" s="15" t="n">
        <f aca="false">INT(A44/6)</f>
        <v>6</v>
      </c>
      <c r="D44" s="16" t="n">
        <f aca="false">IF(C44=0,(1+Dic2024!$G$6)^(-B44),EXP(LN(INDEX(Dic2024!$H$6:$H$205,C44))+(LN(INDEX(Dic2024!$H$6:$H$205,MIN(C44+1,200)))-LN(INDEX(Dic2024!$H$6:$H$205,C44)))*(A44-6*C44)/6))</f>
        <v>0.854923897290178</v>
      </c>
      <c r="E44" s="12" t="n">
        <f aca="false">D44^(-1/B44)-1</f>
        <v>0.0481459556995623</v>
      </c>
      <c r="F44" s="12" t="n">
        <f aca="false">(1+E44)^(1/12)-1</f>
        <v>0.00392625821151893</v>
      </c>
      <c r="G44" s="16" t="n">
        <f aca="false">IF(C44=0,(1+Dic2024!$J$6)^(-B44),EXP(LN(INDEX(Dic2024!$K$6:$K$205,C44))+(LN(INDEX(Dic2024!$K$6:$K$205,MIN(C44+1,200)))-LN(INDEX(Dic2024!$K$6:$K$205,C44)))*(A44-6*C44)/6))</f>
        <v>0.854923897290178</v>
      </c>
      <c r="H44" s="12" t="n">
        <f aca="false">G44^(-1/B44)-1</f>
        <v>0.0481459556995623</v>
      </c>
      <c r="I44" s="12" t="n">
        <f aca="false">(1+H44)^(1/12)-1</f>
        <v>0.00392625821151893</v>
      </c>
      <c r="J44" s="16" t="n">
        <f aca="false">IF(C44=0,(1+Dic2024!$M$6)^(-B44),EXP(LN(INDEX(Dic2024!$N$6:$N$205,C44))+(LN(INDEX(Dic2024!$N$6:$N$205,MIN(C44+1,200)))-LN(INDEX(Dic2024!$N$6:$N$205,C44)))*(A44-6*C44)/6))</f>
        <v>0.854923897290178</v>
      </c>
      <c r="K44" s="12" t="n">
        <f aca="false">J44^(-1/B44)-1</f>
        <v>0.0481459556995623</v>
      </c>
      <c r="L44" s="12" t="n">
        <f aca="false">(1+K44)^(1/12)-1</f>
        <v>0.00392625821151893</v>
      </c>
    </row>
    <row r="45" customFormat="false" ht="15" hidden="false" customHeight="false" outlineLevel="0" collapsed="false">
      <c r="A45" s="4" t="n">
        <v>41</v>
      </c>
      <c r="B45" s="14" t="n">
        <f aca="false">A45/12</f>
        <v>3.41666666666667</v>
      </c>
      <c r="C45" s="15" t="n">
        <f aca="false">INT(A45/6)</f>
        <v>6</v>
      </c>
      <c r="D45" s="16" t="n">
        <f aca="false">IF(C45=0,(1+Dic2024!$G$6)^(-B45),EXP(LN(INDEX(Dic2024!$H$6:$H$205,C45))+(LN(INDEX(Dic2024!$H$6:$H$205,MIN(C45+1,200)))-LN(INDEX(Dic2024!$H$6:$H$205,C45)))*(A45-6*C45)/6))</f>
        <v>0.851405707619507</v>
      </c>
      <c r="E45" s="12" t="n">
        <f aca="false">D45^(-1/B45)-1</f>
        <v>0.0482088856762202</v>
      </c>
      <c r="F45" s="12" t="n">
        <f aca="false">(1+E45)^(1/12)-1</f>
        <v>0.00393128099462237</v>
      </c>
      <c r="G45" s="16" t="n">
        <f aca="false">IF(C45=0,(1+Dic2024!$J$6)^(-B45),EXP(LN(INDEX(Dic2024!$K$6:$K$205,C45))+(LN(INDEX(Dic2024!$K$6:$K$205,MIN(C45+1,200)))-LN(INDEX(Dic2024!$K$6:$K$205,C45)))*(A45-6*C45)/6))</f>
        <v>0.851405707619507</v>
      </c>
      <c r="H45" s="12" t="n">
        <f aca="false">G45^(-1/B45)-1</f>
        <v>0.0482088856762202</v>
      </c>
      <c r="I45" s="12" t="n">
        <f aca="false">(1+H45)^(1/12)-1</f>
        <v>0.00393128099462237</v>
      </c>
      <c r="J45" s="16" t="n">
        <f aca="false">IF(C45=0,(1+Dic2024!$M$6)^(-B45),EXP(LN(INDEX(Dic2024!$N$6:$N$205,C45))+(LN(INDEX(Dic2024!$N$6:$N$205,MIN(C45+1,200)))-LN(INDEX(Dic2024!$N$6:$N$205,C45)))*(A45-6*C45)/6))</f>
        <v>0.851405707619507</v>
      </c>
      <c r="K45" s="12" t="n">
        <f aca="false">J45^(-1/B45)-1</f>
        <v>0.0482088856762202</v>
      </c>
      <c r="L45" s="12" t="n">
        <f aca="false">(1+K45)^(1/12)-1</f>
        <v>0.00393128099462237</v>
      </c>
    </row>
    <row r="46" customFormat="false" ht="15" hidden="false" customHeight="false" outlineLevel="0" collapsed="false">
      <c r="A46" s="4" t="n">
        <v>42</v>
      </c>
      <c r="B46" s="14" t="n">
        <f aca="false">A46/12</f>
        <v>3.5</v>
      </c>
      <c r="C46" s="15" t="n">
        <f aca="false">INT(A46/6)</f>
        <v>7</v>
      </c>
      <c r="D46" s="16" t="n">
        <f aca="false">IF(C46=0,(1+Dic2024!$G$6)^(-B46),EXP(LN(INDEX(Dic2024!$H$6:$H$205,C46))+(LN(INDEX(Dic2024!$H$6:$H$205,MIN(C46+1,200)))-LN(INDEX(Dic2024!$H$6:$H$205,C46)))*(A46-6*C46)/6))</f>
        <v>0.847901996031153</v>
      </c>
      <c r="E46" s="12" t="n">
        <f aca="false">D46^(-1/B46)-1</f>
        <v>0.0482688224999999</v>
      </c>
      <c r="F46" s="12" t="n">
        <f aca="false">(1+E46)^(1/12)-1</f>
        <v>0.0039360646209412</v>
      </c>
      <c r="G46" s="16" t="n">
        <f aca="false">IF(C46=0,(1+Dic2024!$J$6)^(-B46),EXP(LN(INDEX(Dic2024!$K$6:$K$205,C46))+(LN(INDEX(Dic2024!$K$6:$K$205,MIN(C46+1,200)))-LN(INDEX(Dic2024!$K$6:$K$205,C46)))*(A46-6*C46)/6))</f>
        <v>0.847901996031153</v>
      </c>
      <c r="H46" s="12" t="n">
        <f aca="false">G46^(-1/B46)-1</f>
        <v>0.0482688224999999</v>
      </c>
      <c r="I46" s="12" t="n">
        <f aca="false">(1+H46)^(1/12)-1</f>
        <v>0.0039360646209412</v>
      </c>
      <c r="J46" s="16" t="n">
        <f aca="false">IF(C46=0,(1+Dic2024!$M$6)^(-B46),EXP(LN(INDEX(Dic2024!$N$6:$N$205,C46))+(LN(INDEX(Dic2024!$N$6:$N$205,MIN(C46+1,200)))-LN(INDEX(Dic2024!$N$6:$N$205,C46)))*(A46-6*C46)/6))</f>
        <v>0.847901996031153</v>
      </c>
      <c r="K46" s="12" t="n">
        <f aca="false">J46^(-1/B46)-1</f>
        <v>0.0482688224999999</v>
      </c>
      <c r="L46" s="12" t="n">
        <f aca="false">(1+K46)^(1/12)-1</f>
        <v>0.0039360646209412</v>
      </c>
    </row>
    <row r="47" customFormat="false" ht="15" hidden="false" customHeight="false" outlineLevel="0" collapsed="false">
      <c r="A47" s="4" t="n">
        <v>43</v>
      </c>
      <c r="B47" s="14" t="n">
        <f aca="false">A47/12</f>
        <v>3.58333333333333</v>
      </c>
      <c r="C47" s="15" t="n">
        <f aca="false">INT(A47/6)</f>
        <v>7</v>
      </c>
      <c r="D47" s="16" t="n">
        <f aca="false">IF(C47=0,(1+Dic2024!$G$6)^(-B47),EXP(LN(INDEX(Dic2024!$H$6:$H$205,C47))+(LN(INDEX(Dic2024!$H$6:$H$205,MIN(C47+1,200)))-LN(INDEX(Dic2024!$H$6:$H$205,C47)))*(A47-6*C47)/6))</f>
        <v>0.844357759483635</v>
      </c>
      <c r="E47" s="12" t="n">
        <f aca="false">D47^(-1/B47)-1</f>
        <v>0.0483450113160711</v>
      </c>
      <c r="F47" s="12" t="n">
        <f aca="false">(1+E47)^(1/12)-1</f>
        <v>0.00394214497541578</v>
      </c>
      <c r="G47" s="16" t="n">
        <f aca="false">IF(C47=0,(1+Dic2024!$J$6)^(-B47),EXP(LN(INDEX(Dic2024!$K$6:$K$205,C47))+(LN(INDEX(Dic2024!$K$6:$K$205,MIN(C47+1,200)))-LN(INDEX(Dic2024!$K$6:$K$205,C47)))*(A47-6*C47)/6))</f>
        <v>0.844357759483635</v>
      </c>
      <c r="H47" s="12" t="n">
        <f aca="false">G47^(-1/B47)-1</f>
        <v>0.0483450113160711</v>
      </c>
      <c r="I47" s="12" t="n">
        <f aca="false">(1+H47)^(1/12)-1</f>
        <v>0.00394214497541578</v>
      </c>
      <c r="J47" s="16" t="n">
        <f aca="false">IF(C47=0,(1+Dic2024!$M$6)^(-B47),EXP(LN(INDEX(Dic2024!$N$6:$N$205,C47))+(LN(INDEX(Dic2024!$N$6:$N$205,MIN(C47+1,200)))-LN(INDEX(Dic2024!$N$6:$N$205,C47)))*(A47-6*C47)/6))</f>
        <v>0.844357759483635</v>
      </c>
      <c r="K47" s="12" t="n">
        <f aca="false">J47^(-1/B47)-1</f>
        <v>0.0483450113160711</v>
      </c>
      <c r="L47" s="12" t="n">
        <f aca="false">(1+K47)^(1/12)-1</f>
        <v>0.00394214497541578</v>
      </c>
    </row>
    <row r="48" customFormat="false" ht="15" hidden="false" customHeight="false" outlineLevel="0" collapsed="false">
      <c r="A48" s="4" t="n">
        <v>44</v>
      </c>
      <c r="B48" s="14" t="n">
        <f aca="false">A48/12</f>
        <v>3.66666666666667</v>
      </c>
      <c r="C48" s="15" t="n">
        <f aca="false">INT(A48/6)</f>
        <v>7</v>
      </c>
      <c r="D48" s="16" t="n">
        <f aca="false">IF(C48=0,(1+Dic2024!$G$6)^(-B48),EXP(LN(INDEX(Dic2024!$H$6:$H$205,C48))+(LN(INDEX(Dic2024!$H$6:$H$205,MIN(C48+1,200)))-LN(INDEX(Dic2024!$H$6:$H$205,C48)))*(A48-6*C48)/6))</f>
        <v>0.840828337870819</v>
      </c>
      <c r="E48" s="12" t="n">
        <f aca="false">D48^(-1/B48)-1</f>
        <v>0.04841774216975</v>
      </c>
      <c r="F48" s="12" t="n">
        <f aca="false">(1+E48)^(1/12)-1</f>
        <v>0.00394794898449447</v>
      </c>
      <c r="G48" s="16" t="n">
        <f aca="false">IF(C48=0,(1+Dic2024!$J$6)^(-B48),EXP(LN(INDEX(Dic2024!$K$6:$K$205,C48))+(LN(INDEX(Dic2024!$K$6:$K$205,MIN(C48+1,200)))-LN(INDEX(Dic2024!$K$6:$K$205,C48)))*(A48-6*C48)/6))</f>
        <v>0.840828337870819</v>
      </c>
      <c r="H48" s="12" t="n">
        <f aca="false">G48^(-1/B48)-1</f>
        <v>0.04841774216975</v>
      </c>
      <c r="I48" s="12" t="n">
        <f aca="false">(1+H48)^(1/12)-1</f>
        <v>0.00394794898449447</v>
      </c>
      <c r="J48" s="16" t="n">
        <f aca="false">IF(C48=0,(1+Dic2024!$M$6)^(-B48),EXP(LN(INDEX(Dic2024!$N$6:$N$205,C48))+(LN(INDEX(Dic2024!$N$6:$N$205,MIN(C48+1,200)))-LN(INDEX(Dic2024!$N$6:$N$205,C48)))*(A48-6*C48)/6))</f>
        <v>0.840828337870819</v>
      </c>
      <c r="K48" s="12" t="n">
        <f aca="false">J48^(-1/B48)-1</f>
        <v>0.04841774216975</v>
      </c>
      <c r="L48" s="12" t="n">
        <f aca="false">(1+K48)^(1/12)-1</f>
        <v>0.00394794898449447</v>
      </c>
    </row>
    <row r="49" customFormat="false" ht="15" hidden="false" customHeight="false" outlineLevel="0" collapsed="false">
      <c r="A49" s="4" t="n">
        <v>45</v>
      </c>
      <c r="B49" s="14" t="n">
        <f aca="false">A49/12</f>
        <v>3.75</v>
      </c>
      <c r="C49" s="15" t="n">
        <f aca="false">INT(A49/6)</f>
        <v>7</v>
      </c>
      <c r="D49" s="16" t="n">
        <f aca="false">IF(C49=0,(1+Dic2024!$G$6)^(-B49),EXP(LN(INDEX(Dic2024!$H$6:$H$205,C49))+(LN(INDEX(Dic2024!$H$6:$H$205,MIN(C49+1,200)))-LN(INDEX(Dic2024!$H$6:$H$205,C49)))*(A49-6*C49)/6))</f>
        <v>0.837313669266169</v>
      </c>
      <c r="E49" s="12" t="n">
        <f aca="false">D49^(-1/B49)-1</f>
        <v>0.048487245255469</v>
      </c>
      <c r="F49" s="12" t="n">
        <f aca="false">(1+E49)^(1/12)-1</f>
        <v>0.00395349506896459</v>
      </c>
      <c r="G49" s="16" t="n">
        <f aca="false">IF(C49=0,(1+Dic2024!$J$6)^(-B49),EXP(LN(INDEX(Dic2024!$K$6:$K$205,C49))+(LN(INDEX(Dic2024!$K$6:$K$205,MIN(C49+1,200)))-LN(INDEX(Dic2024!$K$6:$K$205,C49)))*(A49-6*C49)/6))</f>
        <v>0.837313669266169</v>
      </c>
      <c r="H49" s="12" t="n">
        <f aca="false">G49^(-1/B49)-1</f>
        <v>0.048487245255469</v>
      </c>
      <c r="I49" s="12" t="n">
        <f aca="false">(1+H49)^(1/12)-1</f>
        <v>0.00395349506896459</v>
      </c>
      <c r="J49" s="16" t="n">
        <f aca="false">IF(C49=0,(1+Dic2024!$M$6)^(-B49),EXP(LN(INDEX(Dic2024!$N$6:$N$205,C49))+(LN(INDEX(Dic2024!$N$6:$N$205,MIN(C49+1,200)))-LN(INDEX(Dic2024!$N$6:$N$205,C49)))*(A49-6*C49)/6))</f>
        <v>0.837313669266169</v>
      </c>
      <c r="K49" s="12" t="n">
        <f aca="false">J49^(-1/B49)-1</f>
        <v>0.048487245255469</v>
      </c>
      <c r="L49" s="12" t="n">
        <f aca="false">(1+K49)^(1/12)-1</f>
        <v>0.00395349506896459</v>
      </c>
    </row>
    <row r="50" customFormat="false" ht="15" hidden="false" customHeight="false" outlineLevel="0" collapsed="false">
      <c r="A50" s="4" t="n">
        <v>46</v>
      </c>
      <c r="B50" s="14" t="n">
        <f aca="false">A50/12</f>
        <v>3.83333333333333</v>
      </c>
      <c r="C50" s="15" t="n">
        <f aca="false">INT(A50/6)</f>
        <v>7</v>
      </c>
      <c r="D50" s="16" t="n">
        <f aca="false">IF(C50=0,(1+Dic2024!$G$6)^(-B50),EXP(LN(INDEX(Dic2024!$H$6:$H$205,C50))+(LN(INDEX(Dic2024!$H$6:$H$205,MIN(C50+1,200)))-LN(INDEX(Dic2024!$H$6:$H$205,C50)))*(A50-6*C50)/6))</f>
        <v>0.833813692002004</v>
      </c>
      <c r="E50" s="12" t="n">
        <f aca="false">D50^(-1/B50)-1</f>
        <v>0.0485537307793413</v>
      </c>
      <c r="F50" s="12" t="n">
        <f aca="false">(1+E50)^(1/12)-1</f>
        <v>0.0039588000479962</v>
      </c>
      <c r="G50" s="16" t="n">
        <f aca="false">IF(C50=0,(1+Dic2024!$J$6)^(-B50),EXP(LN(INDEX(Dic2024!$K$6:$K$205,C50))+(LN(INDEX(Dic2024!$K$6:$K$205,MIN(C50+1,200)))-LN(INDEX(Dic2024!$K$6:$K$205,C50)))*(A50-6*C50)/6))</f>
        <v>0.833813692002004</v>
      </c>
      <c r="H50" s="12" t="n">
        <f aca="false">G50^(-1/B50)-1</f>
        <v>0.0485537307793413</v>
      </c>
      <c r="I50" s="12" t="n">
        <f aca="false">(1+H50)^(1/12)-1</f>
        <v>0.0039588000479962</v>
      </c>
      <c r="J50" s="16" t="n">
        <f aca="false">IF(C50=0,(1+Dic2024!$M$6)^(-B50),EXP(LN(INDEX(Dic2024!$N$6:$N$205,C50))+(LN(INDEX(Dic2024!$N$6:$N$205,MIN(C50+1,200)))-LN(INDEX(Dic2024!$N$6:$N$205,C50)))*(A50-6*C50)/6))</f>
        <v>0.833813692002004</v>
      </c>
      <c r="K50" s="12" t="n">
        <f aca="false">J50^(-1/B50)-1</f>
        <v>0.0485537307793413</v>
      </c>
      <c r="L50" s="12" t="n">
        <f aca="false">(1+K50)^(1/12)-1</f>
        <v>0.0039588000479962</v>
      </c>
    </row>
    <row r="51" customFormat="false" ht="15" hidden="false" customHeight="false" outlineLevel="0" collapsed="false">
      <c r="A51" s="4" t="n">
        <v>47</v>
      </c>
      <c r="B51" s="14" t="n">
        <f aca="false">A51/12</f>
        <v>3.91666666666667</v>
      </c>
      <c r="C51" s="15" t="n">
        <f aca="false">INT(A51/6)</f>
        <v>7</v>
      </c>
      <c r="D51" s="16" t="n">
        <f aca="false">IF(C51=0,(1+Dic2024!$G$6)^(-B51),EXP(LN(INDEX(Dic2024!$H$6:$H$205,C51))+(LN(INDEX(Dic2024!$H$6:$H$205,MIN(C51+1,200)))-LN(INDEX(Dic2024!$H$6:$H$205,C51)))*(A51-6*C51)/6))</f>
        <v>0.830328344668412</v>
      </c>
      <c r="E51" s="12" t="n">
        <f aca="false">D51^(-1/B51)-1</f>
        <v>0.0486173910826055</v>
      </c>
      <c r="F51" s="12" t="n">
        <f aca="false">(1+E51)^(1/12)-1</f>
        <v>0.00396387930950737</v>
      </c>
      <c r="G51" s="16" t="n">
        <f aca="false">IF(C51=0,(1+Dic2024!$J$6)^(-B51),EXP(LN(INDEX(Dic2024!$K$6:$K$205,C51))+(LN(INDEX(Dic2024!$K$6:$K$205,MIN(C51+1,200)))-LN(INDEX(Dic2024!$K$6:$K$205,C51)))*(A51-6*C51)/6))</f>
        <v>0.830328344668412</v>
      </c>
      <c r="H51" s="12" t="n">
        <f aca="false">G51^(-1/B51)-1</f>
        <v>0.0486173910826055</v>
      </c>
      <c r="I51" s="12" t="n">
        <f aca="false">(1+H51)^(1/12)-1</f>
        <v>0.00396387930950737</v>
      </c>
      <c r="J51" s="16" t="n">
        <f aca="false">IF(C51=0,(1+Dic2024!$M$6)^(-B51),EXP(LN(INDEX(Dic2024!$N$6:$N$205,C51))+(LN(INDEX(Dic2024!$N$6:$N$205,MIN(C51+1,200)))-LN(INDEX(Dic2024!$N$6:$N$205,C51)))*(A51-6*C51)/6))</f>
        <v>0.830328344668412</v>
      </c>
      <c r="K51" s="12" t="n">
        <f aca="false">J51^(-1/B51)-1</f>
        <v>0.0486173910826055</v>
      </c>
      <c r="L51" s="12" t="n">
        <f aca="false">(1+K51)^(1/12)-1</f>
        <v>0.00396387930950737</v>
      </c>
    </row>
    <row r="52" customFormat="false" ht="15" hidden="false" customHeight="false" outlineLevel="0" collapsed="false">
      <c r="A52" s="4" t="n">
        <v>48</v>
      </c>
      <c r="B52" s="14" t="n">
        <f aca="false">A52/12</f>
        <v>4</v>
      </c>
      <c r="C52" s="15" t="n">
        <f aca="false">INT(A52/6)</f>
        <v>8</v>
      </c>
      <c r="D52" s="16" t="n">
        <f aca="false">IF(C52=0,(1+Dic2024!$G$6)^(-B52),EXP(LN(INDEX(Dic2024!$H$6:$H$205,C52))+(LN(INDEX(Dic2024!$H$6:$H$205,MIN(C52+1,200)))-LN(INDEX(Dic2024!$H$6:$H$205,C52)))*(A52-6*C52)/6))</f>
        <v>0.826857566112177</v>
      </c>
      <c r="E52" s="12" t="n">
        <f aca="false">D52^(-1/B52)-1</f>
        <v>0.0486784024999998</v>
      </c>
      <c r="F52" s="12" t="n">
        <f aca="false">(1+E52)^(1/12)-1</f>
        <v>0.00396874695923555</v>
      </c>
      <c r="G52" s="16" t="n">
        <f aca="false">IF(C52=0,(1+Dic2024!$J$6)^(-B52),EXP(LN(INDEX(Dic2024!$K$6:$K$205,C52))+(LN(INDEX(Dic2024!$K$6:$K$205,MIN(C52+1,200)))-LN(INDEX(Dic2024!$K$6:$K$205,C52)))*(A52-6*C52)/6))</f>
        <v>0.826857566112177</v>
      </c>
      <c r="H52" s="12" t="n">
        <f aca="false">G52^(-1/B52)-1</f>
        <v>0.0486784024999998</v>
      </c>
      <c r="I52" s="12" t="n">
        <f aca="false">(1+H52)^(1/12)-1</f>
        <v>0.00396874695923555</v>
      </c>
      <c r="J52" s="16" t="n">
        <f aca="false">IF(C52=0,(1+Dic2024!$M$6)^(-B52),EXP(LN(INDEX(Dic2024!$N$6:$N$205,C52))+(LN(INDEX(Dic2024!$N$6:$N$205,MIN(C52+1,200)))-LN(INDEX(Dic2024!$N$6:$N$205,C52)))*(A52-6*C52)/6))</f>
        <v>0.826857566112177</v>
      </c>
      <c r="K52" s="12" t="n">
        <f aca="false">J52^(-1/B52)-1</f>
        <v>0.0486784024999998</v>
      </c>
      <c r="L52" s="12" t="n">
        <f aca="false">(1+K52)^(1/12)-1</f>
        <v>0.00396874695923555</v>
      </c>
    </row>
    <row r="53" customFormat="false" ht="15" hidden="false" customHeight="false" outlineLevel="0" collapsed="false">
      <c r="A53" s="4" t="n">
        <v>49</v>
      </c>
      <c r="B53" s="14" t="n">
        <f aca="false">A53/12</f>
        <v>4.08333333333333</v>
      </c>
      <c r="C53" s="15" t="n">
        <f aca="false">INT(A53/6)</f>
        <v>8</v>
      </c>
      <c r="D53" s="16" t="n">
        <f aca="false">IF(C53=0,(1+Dic2024!$G$6)^(-B53),EXP(LN(INDEX(Dic2024!$H$6:$H$205,C53))+(LN(INDEX(Dic2024!$H$6:$H$205,MIN(C53+1,200)))-LN(INDEX(Dic2024!$H$6:$H$205,C53)))*(A53-6*C53)/6))</f>
        <v>0.823347734815592</v>
      </c>
      <c r="E53" s="12" t="n">
        <f aca="false">D53^(-1/B53)-1</f>
        <v>0.0487536341789612</v>
      </c>
      <c r="F53" s="12" t="n">
        <f aca="false">(1+E53)^(1/12)-1</f>
        <v>0.0039747487810613</v>
      </c>
      <c r="G53" s="16" t="n">
        <f aca="false">IF(C53=0,(1+Dic2024!$J$6)^(-B53),EXP(LN(INDEX(Dic2024!$K$6:$K$205,C53))+(LN(INDEX(Dic2024!$K$6:$K$205,MIN(C53+1,200)))-LN(INDEX(Dic2024!$K$6:$K$205,C53)))*(A53-6*C53)/6))</f>
        <v>0.823347734815592</v>
      </c>
      <c r="H53" s="12" t="n">
        <f aca="false">G53^(-1/B53)-1</f>
        <v>0.0487536341789612</v>
      </c>
      <c r="I53" s="12" t="n">
        <f aca="false">(1+H53)^(1/12)-1</f>
        <v>0.0039747487810613</v>
      </c>
      <c r="J53" s="16" t="n">
        <f aca="false">IF(C53=0,(1+Dic2024!$M$6)^(-B53),EXP(LN(INDEX(Dic2024!$N$6:$N$205,C53))+(LN(INDEX(Dic2024!$N$6:$N$205,MIN(C53+1,200)))-LN(INDEX(Dic2024!$N$6:$N$205,C53)))*(A53-6*C53)/6))</f>
        <v>0.823347734815592</v>
      </c>
      <c r="K53" s="12" t="n">
        <f aca="false">J53^(-1/B53)-1</f>
        <v>0.0487536341789612</v>
      </c>
      <c r="L53" s="12" t="n">
        <f aca="false">(1+K53)^(1/12)-1</f>
        <v>0.0039747487810613</v>
      </c>
    </row>
    <row r="54" customFormat="false" ht="15" hidden="false" customHeight="false" outlineLevel="0" collapsed="false">
      <c r="A54" s="4" t="n">
        <v>50</v>
      </c>
      <c r="B54" s="14" t="n">
        <f aca="false">A54/12</f>
        <v>4.16666666666667</v>
      </c>
      <c r="C54" s="15" t="n">
        <f aca="false">INT(A54/6)</f>
        <v>8</v>
      </c>
      <c r="D54" s="16" t="n">
        <f aca="false">IF(C54=0,(1+Dic2024!$G$6)^(-B54),EXP(LN(INDEX(Dic2024!$H$6:$H$205,C54))+(LN(INDEX(Dic2024!$H$6:$H$205,MIN(C54+1,200)))-LN(INDEX(Dic2024!$H$6:$H$205,C54)))*(A54-6*C54)/6))</f>
        <v>0.819852801992742</v>
      </c>
      <c r="E54" s="12" t="n">
        <f aca="false">D54^(-1/B54)-1</f>
        <v>0.0488258616683359</v>
      </c>
      <c r="F54" s="12" t="n">
        <f aca="false">(1+E54)^(1/12)-1</f>
        <v>0.00398051056376936</v>
      </c>
      <c r="G54" s="16" t="n">
        <f aca="false">IF(C54=0,(1+Dic2024!$J$6)^(-B54),EXP(LN(INDEX(Dic2024!$K$6:$K$205,C54))+(LN(INDEX(Dic2024!$K$6:$K$205,MIN(C54+1,200)))-LN(INDEX(Dic2024!$K$6:$K$205,C54)))*(A54-6*C54)/6))</f>
        <v>0.819852801992742</v>
      </c>
      <c r="H54" s="12" t="n">
        <f aca="false">G54^(-1/B54)-1</f>
        <v>0.0488258616683359</v>
      </c>
      <c r="I54" s="12" t="n">
        <f aca="false">(1+H54)^(1/12)-1</f>
        <v>0.00398051056376936</v>
      </c>
      <c r="J54" s="16" t="n">
        <f aca="false">IF(C54=0,(1+Dic2024!$M$6)^(-B54),EXP(LN(INDEX(Dic2024!$N$6:$N$205,C54))+(LN(INDEX(Dic2024!$N$6:$N$205,MIN(C54+1,200)))-LN(INDEX(Dic2024!$N$6:$N$205,C54)))*(A54-6*C54)/6))</f>
        <v>0.819852801992742</v>
      </c>
      <c r="K54" s="12" t="n">
        <f aca="false">J54^(-1/B54)-1</f>
        <v>0.0488258616683359</v>
      </c>
      <c r="L54" s="12" t="n">
        <f aca="false">(1+K54)^(1/12)-1</f>
        <v>0.00398051056376936</v>
      </c>
    </row>
    <row r="55" customFormat="false" ht="15" hidden="false" customHeight="false" outlineLevel="0" collapsed="false">
      <c r="A55" s="4" t="n">
        <v>51</v>
      </c>
      <c r="B55" s="14" t="n">
        <f aca="false">A55/12</f>
        <v>4.25</v>
      </c>
      <c r="C55" s="15" t="n">
        <f aca="false">INT(A55/6)</f>
        <v>8</v>
      </c>
      <c r="D55" s="16" t="n">
        <f aca="false">IF(C55=0,(1+Dic2024!$G$6)^(-B55),EXP(LN(INDEX(Dic2024!$H$6:$H$205,C55))+(LN(INDEX(Dic2024!$H$6:$H$205,MIN(C55+1,200)))-LN(INDEX(Dic2024!$H$6:$H$205,C55)))*(A55-6*C55)/6))</f>
        <v>0.81637270440283</v>
      </c>
      <c r="E55" s="12" t="n">
        <f aca="false">D55^(-1/B55)-1</f>
        <v>0.0488952613926572</v>
      </c>
      <c r="F55" s="12" t="n">
        <f aca="false">(1+E55)^(1/12)-1</f>
        <v>0.00398604642536138</v>
      </c>
      <c r="G55" s="16" t="n">
        <f aca="false">IF(C55=0,(1+Dic2024!$J$6)^(-B55),EXP(LN(INDEX(Dic2024!$K$6:$K$205,C55))+(LN(INDEX(Dic2024!$K$6:$K$205,MIN(C55+1,200)))-LN(INDEX(Dic2024!$K$6:$K$205,C55)))*(A55-6*C55)/6))</f>
        <v>0.81637270440283</v>
      </c>
      <c r="H55" s="12" t="n">
        <f aca="false">G55^(-1/B55)-1</f>
        <v>0.0488952613926572</v>
      </c>
      <c r="I55" s="12" t="n">
        <f aca="false">(1+H55)^(1/12)-1</f>
        <v>0.00398604642536138</v>
      </c>
      <c r="J55" s="16" t="n">
        <f aca="false">IF(C55=0,(1+Dic2024!$M$6)^(-B55),EXP(LN(INDEX(Dic2024!$N$6:$N$205,C55))+(LN(INDEX(Dic2024!$N$6:$N$205,MIN(C55+1,200)))-LN(INDEX(Dic2024!$N$6:$N$205,C55)))*(A55-6*C55)/6))</f>
        <v>0.81637270440283</v>
      </c>
      <c r="K55" s="12" t="n">
        <f aca="false">J55^(-1/B55)-1</f>
        <v>0.0488952613926572</v>
      </c>
      <c r="L55" s="12" t="n">
        <f aca="false">(1+K55)^(1/12)-1</f>
        <v>0.00398604642536138</v>
      </c>
    </row>
    <row r="56" customFormat="false" ht="15" hidden="false" customHeight="false" outlineLevel="0" collapsed="false">
      <c r="A56" s="4" t="n">
        <v>52</v>
      </c>
      <c r="B56" s="14" t="n">
        <f aca="false">A56/12</f>
        <v>4.33333333333333</v>
      </c>
      <c r="C56" s="15" t="n">
        <f aca="false">INT(A56/6)</f>
        <v>8</v>
      </c>
      <c r="D56" s="16" t="n">
        <f aca="false">IF(C56=0,(1+Dic2024!$G$6)^(-B56),EXP(LN(INDEX(Dic2024!$H$6:$H$205,C56))+(LN(INDEX(Dic2024!$H$6:$H$205,MIN(C56+1,200)))-LN(INDEX(Dic2024!$H$6:$H$205,C56)))*(A56-6*C56)/6))</f>
        <v>0.812907379073508</v>
      </c>
      <c r="E56" s="12" t="n">
        <f aca="false">D56^(-1/B56)-1</f>
        <v>0.0489619962273842</v>
      </c>
      <c r="F56" s="12" t="n">
        <f aca="false">(1+E56)^(1/12)-1</f>
        <v>0.00399136939798583</v>
      </c>
      <c r="G56" s="16" t="n">
        <f aca="false">IF(C56=0,(1+Dic2024!$J$6)^(-B56),EXP(LN(INDEX(Dic2024!$K$6:$K$205,C56))+(LN(INDEX(Dic2024!$K$6:$K$205,MIN(C56+1,200)))-LN(INDEX(Dic2024!$K$6:$K$205,C56)))*(A56-6*C56)/6))</f>
        <v>0.812907379073508</v>
      </c>
      <c r="H56" s="12" t="n">
        <f aca="false">G56^(-1/B56)-1</f>
        <v>0.0489619962273842</v>
      </c>
      <c r="I56" s="12" t="n">
        <f aca="false">(1+H56)^(1/12)-1</f>
        <v>0.00399136939798583</v>
      </c>
      <c r="J56" s="16" t="n">
        <f aca="false">IF(C56=0,(1+Dic2024!$M$6)^(-B56),EXP(LN(INDEX(Dic2024!$N$6:$N$205,C56))+(LN(INDEX(Dic2024!$N$6:$N$205,MIN(C56+1,200)))-LN(INDEX(Dic2024!$N$6:$N$205,C56)))*(A56-6*C56)/6))</f>
        <v>0.812907379073508</v>
      </c>
      <c r="K56" s="12" t="n">
        <f aca="false">J56^(-1/B56)-1</f>
        <v>0.0489619962273842</v>
      </c>
      <c r="L56" s="12" t="n">
        <f aca="false">(1+K56)^(1/12)-1</f>
        <v>0.00399136939798583</v>
      </c>
    </row>
    <row r="57" customFormat="false" ht="15" hidden="false" customHeight="false" outlineLevel="0" collapsed="false">
      <c r="A57" s="4" t="n">
        <v>53</v>
      </c>
      <c r="B57" s="14" t="n">
        <f aca="false">A57/12</f>
        <v>4.41666666666667</v>
      </c>
      <c r="C57" s="15" t="n">
        <f aca="false">INT(A57/6)</f>
        <v>8</v>
      </c>
      <c r="D57" s="16" t="n">
        <f aca="false">IF(C57=0,(1+Dic2024!$G$6)^(-B57),EXP(LN(INDEX(Dic2024!$H$6:$H$205,C57))+(LN(INDEX(Dic2024!$H$6:$H$205,MIN(C57+1,200)))-LN(INDEX(Dic2024!$H$6:$H$205,C57)))*(A57-6*C57)/6))</f>
        <v>0.809456763299726</v>
      </c>
      <c r="E57" s="12" t="n">
        <f aca="false">D57^(-1/B57)-1</f>
        <v>0.0490262167750772</v>
      </c>
      <c r="F57" s="12" t="n">
        <f aca="false">(1+E57)^(1/12)-1</f>
        <v>0.00399649153036275</v>
      </c>
      <c r="G57" s="16" t="n">
        <f aca="false">IF(C57=0,(1+Dic2024!$J$6)^(-B57),EXP(LN(INDEX(Dic2024!$K$6:$K$205,C57))+(LN(INDEX(Dic2024!$K$6:$K$205,MIN(C57+1,200)))-LN(INDEX(Dic2024!$K$6:$K$205,C57)))*(A57-6*C57)/6))</f>
        <v>0.809456763299726</v>
      </c>
      <c r="H57" s="12" t="n">
        <f aca="false">G57^(-1/B57)-1</f>
        <v>0.0490262167750772</v>
      </c>
      <c r="I57" s="12" t="n">
        <f aca="false">(1+H57)^(1/12)-1</f>
        <v>0.00399649153036275</v>
      </c>
      <c r="J57" s="16" t="n">
        <f aca="false">IF(C57=0,(1+Dic2024!$M$6)^(-B57),EXP(LN(INDEX(Dic2024!$N$6:$N$205,C57))+(LN(INDEX(Dic2024!$N$6:$N$205,MIN(C57+1,200)))-LN(INDEX(Dic2024!$N$6:$N$205,C57)))*(A57-6*C57)/6))</f>
        <v>0.809456763299726</v>
      </c>
      <c r="K57" s="12" t="n">
        <f aca="false">J57^(-1/B57)-1</f>
        <v>0.0490262167750772</v>
      </c>
      <c r="L57" s="12" t="n">
        <f aca="false">(1+K57)^(1/12)-1</f>
        <v>0.00399649153036275</v>
      </c>
    </row>
    <row r="58" customFormat="false" ht="15" hidden="false" customHeight="false" outlineLevel="0" collapsed="false">
      <c r="A58" s="4" t="n">
        <v>54</v>
      </c>
      <c r="B58" s="14" t="n">
        <f aca="false">A58/12</f>
        <v>4.5</v>
      </c>
      <c r="C58" s="15" t="n">
        <f aca="false">INT(A58/6)</f>
        <v>9</v>
      </c>
      <c r="D58" s="16" t="n">
        <f aca="false">IF(C58=0,(1+Dic2024!$G$6)^(-B58),EXP(LN(INDEX(Dic2024!$H$6:$H$205,C58))+(LN(INDEX(Dic2024!$H$6:$H$205,MIN(C58+1,200)))-LN(INDEX(Dic2024!$H$6:$H$205,C58)))*(A58-6*C58)/6))</f>
        <v>0.806020794642609</v>
      </c>
      <c r="E58" s="12" t="n">
        <f aca="false">D58^(-1/B58)-1</f>
        <v>0.0490880625000003</v>
      </c>
      <c r="F58" s="12" t="n">
        <f aca="false">(1+E58)^(1/12)-1</f>
        <v>0.0040014239788313</v>
      </c>
      <c r="G58" s="16" t="n">
        <f aca="false">IF(C58=0,(1+Dic2024!$J$6)^(-B58),EXP(LN(INDEX(Dic2024!$K$6:$K$205,C58))+(LN(INDEX(Dic2024!$K$6:$K$205,MIN(C58+1,200)))-LN(INDEX(Dic2024!$K$6:$K$205,C58)))*(A58-6*C58)/6))</f>
        <v>0.806020794642609</v>
      </c>
      <c r="H58" s="12" t="n">
        <f aca="false">G58^(-1/B58)-1</f>
        <v>0.0490880625000003</v>
      </c>
      <c r="I58" s="12" t="n">
        <f aca="false">(1+H58)^(1/12)-1</f>
        <v>0.0040014239788313</v>
      </c>
      <c r="J58" s="16" t="n">
        <f aca="false">IF(C58=0,(1+Dic2024!$M$6)^(-B58),EXP(LN(INDEX(Dic2024!$N$6:$N$205,C58))+(LN(INDEX(Dic2024!$N$6:$N$205,MIN(C58+1,200)))-LN(INDEX(Dic2024!$N$6:$N$205,C58)))*(A58-6*C58)/6))</f>
        <v>0.806020794642609</v>
      </c>
      <c r="K58" s="12" t="n">
        <f aca="false">J58^(-1/B58)-1</f>
        <v>0.0490880625000003</v>
      </c>
      <c r="L58" s="12" t="n">
        <f aca="false">(1+K58)^(1/12)-1</f>
        <v>0.0040014239788313</v>
      </c>
    </row>
    <row r="59" customFormat="false" ht="15" hidden="false" customHeight="false" outlineLevel="0" collapsed="false">
      <c r="A59" s="4" t="n">
        <v>55</v>
      </c>
      <c r="B59" s="14" t="n">
        <f aca="false">A59/12</f>
        <v>4.58333333333333</v>
      </c>
      <c r="C59" s="15" t="n">
        <f aca="false">INT(A59/6)</f>
        <v>9</v>
      </c>
      <c r="D59" s="16" t="n">
        <f aca="false">IF(C59=0,(1+Dic2024!$G$6)^(-B59),EXP(LN(INDEX(Dic2024!$H$6:$H$205,C59))+(LN(INDEX(Dic2024!$H$6:$H$205,MIN(C59+1,200)))-LN(INDEX(Dic2024!$H$6:$H$205,C59)))*(A59-6*C59)/6))</f>
        <v>0.802481940192388</v>
      </c>
      <c r="E59" s="12" t="n">
        <f aca="false">D59^(-1/B59)-1</f>
        <v>0.0491811689059216</v>
      </c>
      <c r="F59" s="12" t="n">
        <f aca="false">(1+E59)^(1/12)-1</f>
        <v>0.00400884909127264</v>
      </c>
      <c r="G59" s="16" t="n">
        <f aca="false">IF(C59=0,(1+Dic2024!$J$6)^(-B59),EXP(LN(INDEX(Dic2024!$K$6:$K$205,C59))+(LN(INDEX(Dic2024!$K$6:$K$205,MIN(C59+1,200)))-LN(INDEX(Dic2024!$K$6:$K$205,C59)))*(A59-6*C59)/6))</f>
        <v>0.802481940192388</v>
      </c>
      <c r="H59" s="12" t="n">
        <f aca="false">G59^(-1/B59)-1</f>
        <v>0.0491811689059216</v>
      </c>
      <c r="I59" s="12" t="n">
        <f aca="false">(1+H59)^(1/12)-1</f>
        <v>0.00400884909127264</v>
      </c>
      <c r="J59" s="16" t="n">
        <f aca="false">IF(C59=0,(1+Dic2024!$M$6)^(-B59),EXP(LN(INDEX(Dic2024!$N$6:$N$205,C59))+(LN(INDEX(Dic2024!$N$6:$N$205,MIN(C59+1,200)))-LN(INDEX(Dic2024!$N$6:$N$205,C59)))*(A59-6*C59)/6))</f>
        <v>0.802481940192388</v>
      </c>
      <c r="K59" s="12" t="n">
        <f aca="false">J59^(-1/B59)-1</f>
        <v>0.0491811689059216</v>
      </c>
      <c r="L59" s="12" t="n">
        <f aca="false">(1+K59)^(1/12)-1</f>
        <v>0.00400884909127264</v>
      </c>
    </row>
    <row r="60" customFormat="false" ht="15" hidden="false" customHeight="false" outlineLevel="0" collapsed="false">
      <c r="A60" s="4" t="n">
        <v>56</v>
      </c>
      <c r="B60" s="14" t="n">
        <f aca="false">A60/12</f>
        <v>4.66666666666667</v>
      </c>
      <c r="C60" s="15" t="n">
        <f aca="false">INT(A60/6)</f>
        <v>9</v>
      </c>
      <c r="D60" s="16" t="n">
        <f aca="false">IF(C60=0,(1+Dic2024!$G$6)^(-B60),EXP(LN(INDEX(Dic2024!$H$6:$H$205,C60))+(LN(INDEX(Dic2024!$H$6:$H$205,MIN(C60+1,200)))-LN(INDEX(Dic2024!$H$6:$H$205,C60)))*(A60-6*C60)/6))</f>
        <v>0.798958623171106</v>
      </c>
      <c r="E60" s="12" t="n">
        <f aca="false">D60^(-1/B60)-1</f>
        <v>0.0492709579088304</v>
      </c>
      <c r="F60" s="12" t="n">
        <f aca="false">(1+E60)^(1/12)-1</f>
        <v>0.00401600907313227</v>
      </c>
      <c r="G60" s="16" t="n">
        <f aca="false">IF(C60=0,(1+Dic2024!$J$6)^(-B60),EXP(LN(INDEX(Dic2024!$K$6:$K$205,C60))+(LN(INDEX(Dic2024!$K$6:$K$205,MIN(C60+1,200)))-LN(INDEX(Dic2024!$K$6:$K$205,C60)))*(A60-6*C60)/6))</f>
        <v>0.798958623171106</v>
      </c>
      <c r="H60" s="12" t="n">
        <f aca="false">G60^(-1/B60)-1</f>
        <v>0.0492709579088304</v>
      </c>
      <c r="I60" s="12" t="n">
        <f aca="false">(1+H60)^(1/12)-1</f>
        <v>0.00401600907313227</v>
      </c>
      <c r="J60" s="16" t="n">
        <f aca="false">IF(C60=0,(1+Dic2024!$M$6)^(-B60),EXP(LN(INDEX(Dic2024!$N$6:$N$205,C60))+(LN(INDEX(Dic2024!$N$6:$N$205,MIN(C60+1,200)))-LN(INDEX(Dic2024!$N$6:$N$205,C60)))*(A60-6*C60)/6))</f>
        <v>0.798958623171106</v>
      </c>
      <c r="K60" s="12" t="n">
        <f aca="false">J60^(-1/B60)-1</f>
        <v>0.0492709579088304</v>
      </c>
      <c r="L60" s="12" t="n">
        <f aca="false">(1+K60)^(1/12)-1</f>
        <v>0.00401600907313227</v>
      </c>
    </row>
    <row r="61" customFormat="false" ht="15" hidden="false" customHeight="false" outlineLevel="0" collapsed="false">
      <c r="A61" s="4" t="n">
        <v>57</v>
      </c>
      <c r="B61" s="14" t="n">
        <f aca="false">A61/12</f>
        <v>4.75</v>
      </c>
      <c r="C61" s="15" t="n">
        <f aca="false">INT(A61/6)</f>
        <v>9</v>
      </c>
      <c r="D61" s="16" t="n">
        <f aca="false">IF(C61=0,(1+Dic2024!$G$6)^(-B61),EXP(LN(INDEX(Dic2024!$H$6:$H$205,C61))+(LN(INDEX(Dic2024!$H$6:$H$205,MIN(C61+1,200)))-LN(INDEX(Dic2024!$H$6:$H$205,C61)))*(A61-6*C61)/6))</f>
        <v>0.795450775361293</v>
      </c>
      <c r="E61" s="12" t="n">
        <f aca="false">D61^(-1/B61)-1</f>
        <v>0.0493576037048529</v>
      </c>
      <c r="F61" s="12" t="n">
        <f aca="false">(1+E61)^(1/12)-1</f>
        <v>0.00402291787596321</v>
      </c>
      <c r="G61" s="16" t="n">
        <f aca="false">IF(C61=0,(1+Dic2024!$J$6)^(-B61),EXP(LN(INDEX(Dic2024!$K$6:$K$205,C61))+(LN(INDEX(Dic2024!$K$6:$K$205,MIN(C61+1,200)))-LN(INDEX(Dic2024!$K$6:$K$205,C61)))*(A61-6*C61)/6))</f>
        <v>0.795450775361293</v>
      </c>
      <c r="H61" s="12" t="n">
        <f aca="false">G61^(-1/B61)-1</f>
        <v>0.0493576037048529</v>
      </c>
      <c r="I61" s="12" t="n">
        <f aca="false">(1+H61)^(1/12)-1</f>
        <v>0.00402291787596321</v>
      </c>
      <c r="J61" s="16" t="n">
        <f aca="false">IF(C61=0,(1+Dic2024!$M$6)^(-B61),EXP(LN(INDEX(Dic2024!$N$6:$N$205,C61))+(LN(INDEX(Dic2024!$N$6:$N$205,MIN(C61+1,200)))-LN(INDEX(Dic2024!$N$6:$N$205,C61)))*(A61-6*C61)/6))</f>
        <v>0.795450775361293</v>
      </c>
      <c r="K61" s="12" t="n">
        <f aca="false">J61^(-1/B61)-1</f>
        <v>0.0493576037048529</v>
      </c>
      <c r="L61" s="12" t="n">
        <f aca="false">(1+K61)^(1/12)-1</f>
        <v>0.00402291787596321</v>
      </c>
    </row>
    <row r="62" customFormat="false" ht="15" hidden="false" customHeight="false" outlineLevel="0" collapsed="false">
      <c r="A62" s="4" t="n">
        <v>58</v>
      </c>
      <c r="B62" s="14" t="n">
        <f aca="false">A62/12</f>
        <v>4.83333333333333</v>
      </c>
      <c r="C62" s="15" t="n">
        <f aca="false">INT(A62/6)</f>
        <v>9</v>
      </c>
      <c r="D62" s="16" t="n">
        <f aca="false">IF(C62=0,(1+Dic2024!$G$6)^(-B62),EXP(LN(INDEX(Dic2024!$H$6:$H$205,C62))+(LN(INDEX(Dic2024!$H$6:$H$205,MIN(C62+1,200)))-LN(INDEX(Dic2024!$H$6:$H$205,C62)))*(A62-6*C62)/6))</f>
        <v>0.791958328844988</v>
      </c>
      <c r="E62" s="12" t="n">
        <f aca="false">D62^(-1/B62)-1</f>
        <v>0.0494412685039307</v>
      </c>
      <c r="F62" s="12" t="n">
        <f aca="false">(1+E62)^(1/12)-1</f>
        <v>0.00402958848932355</v>
      </c>
      <c r="G62" s="16" t="n">
        <f aca="false">IF(C62=0,(1+Dic2024!$J$6)^(-B62),EXP(LN(INDEX(Dic2024!$K$6:$K$205,C62))+(LN(INDEX(Dic2024!$K$6:$K$205,MIN(C62+1,200)))-LN(INDEX(Dic2024!$K$6:$K$205,C62)))*(A62-6*C62)/6))</f>
        <v>0.791958328844988</v>
      </c>
      <c r="H62" s="12" t="n">
        <f aca="false">G62^(-1/B62)-1</f>
        <v>0.0494412685039307</v>
      </c>
      <c r="I62" s="12" t="n">
        <f aca="false">(1+H62)^(1/12)-1</f>
        <v>0.00402958848932355</v>
      </c>
      <c r="J62" s="16" t="n">
        <f aca="false">IF(C62=0,(1+Dic2024!$M$6)^(-B62),EXP(LN(INDEX(Dic2024!$N$6:$N$205,C62))+(LN(INDEX(Dic2024!$N$6:$N$205,MIN(C62+1,200)))-LN(INDEX(Dic2024!$N$6:$N$205,C62)))*(A62-6*C62)/6))</f>
        <v>0.791958328844988</v>
      </c>
      <c r="K62" s="12" t="n">
        <f aca="false">J62^(-1/B62)-1</f>
        <v>0.0494412685039307</v>
      </c>
      <c r="L62" s="12" t="n">
        <f aca="false">(1+K62)^(1/12)-1</f>
        <v>0.00402958848932355</v>
      </c>
    </row>
    <row r="63" customFormat="false" ht="15" hidden="false" customHeight="false" outlineLevel="0" collapsed="false">
      <c r="A63" s="4" t="n">
        <v>59</v>
      </c>
      <c r="B63" s="14" t="n">
        <f aca="false">A63/12</f>
        <v>4.91666666666667</v>
      </c>
      <c r="C63" s="15" t="n">
        <f aca="false">INT(A63/6)</f>
        <v>9</v>
      </c>
      <c r="D63" s="16" t="n">
        <f aca="false">IF(C63=0,(1+Dic2024!$G$6)^(-B63),EXP(LN(INDEX(Dic2024!$H$6:$H$205,C63))+(LN(INDEX(Dic2024!$H$6:$H$205,MIN(C63+1,200)))-LN(INDEX(Dic2024!$H$6:$H$205,C63)))*(A63-6*C63)/6))</f>
        <v>0.788481216002427</v>
      </c>
      <c r="E63" s="12" t="n">
        <f aca="false">D63^(-1/B63)-1</f>
        <v>0.0495221035433266</v>
      </c>
      <c r="F63" s="12" t="n">
        <f aca="false">(1+E63)^(1/12)-1</f>
        <v>0.00403603302228772</v>
      </c>
      <c r="G63" s="16" t="n">
        <f aca="false">IF(C63=0,(1+Dic2024!$J$6)^(-B63),EXP(LN(INDEX(Dic2024!$K$6:$K$205,C63))+(LN(INDEX(Dic2024!$K$6:$K$205,MIN(C63+1,200)))-LN(INDEX(Dic2024!$K$6:$K$205,C63)))*(A63-6*C63)/6))</f>
        <v>0.788481216002427</v>
      </c>
      <c r="H63" s="12" t="n">
        <f aca="false">G63^(-1/B63)-1</f>
        <v>0.0495221035433266</v>
      </c>
      <c r="I63" s="12" t="n">
        <f aca="false">(1+H63)^(1/12)-1</f>
        <v>0.00403603302228772</v>
      </c>
      <c r="J63" s="16" t="n">
        <f aca="false">IF(C63=0,(1+Dic2024!$M$6)^(-B63),EXP(LN(INDEX(Dic2024!$N$6:$N$205,C63))+(LN(INDEX(Dic2024!$N$6:$N$205,MIN(C63+1,200)))-LN(INDEX(Dic2024!$N$6:$N$205,C63)))*(A63-6*C63)/6))</f>
        <v>0.788481216002427</v>
      </c>
      <c r="K63" s="12" t="n">
        <f aca="false">J63^(-1/B63)-1</f>
        <v>0.0495221035433266</v>
      </c>
      <c r="L63" s="12" t="n">
        <f aca="false">(1+K63)^(1/12)-1</f>
        <v>0.00403603302228772</v>
      </c>
    </row>
    <row r="64" customFormat="false" ht="15" hidden="false" customHeight="false" outlineLevel="0" collapsed="false">
      <c r="A64" s="4" t="n">
        <v>60</v>
      </c>
      <c r="B64" s="14" t="n">
        <f aca="false">A64/12</f>
        <v>5</v>
      </c>
      <c r="C64" s="15" t="n">
        <f aca="false">INT(A64/6)</f>
        <v>10</v>
      </c>
      <c r="D64" s="16" t="n">
        <f aca="false">IF(C64=0,(1+Dic2024!$G$6)^(-B64),EXP(LN(INDEX(Dic2024!$H$6:$H$205,C64))+(LN(INDEX(Dic2024!$H$6:$H$205,MIN(C64+1,200)))-LN(INDEX(Dic2024!$H$6:$H$205,C64)))*(A64-6*C64)/6))</f>
        <v>0.785019369510734</v>
      </c>
      <c r="E64" s="12" t="n">
        <f aca="false">D64^(-1/B64)-1</f>
        <v>0.0496002499999999</v>
      </c>
      <c r="F64" s="12" t="n">
        <f aca="false">(1+E64)^(1/12)-1</f>
        <v>0.00404226277680664</v>
      </c>
      <c r="G64" s="16" t="n">
        <f aca="false">IF(C64=0,(1+Dic2024!$J$6)^(-B64),EXP(LN(INDEX(Dic2024!$K$6:$K$205,C64))+(LN(INDEX(Dic2024!$K$6:$K$205,MIN(C64+1,200)))-LN(INDEX(Dic2024!$K$6:$K$205,C64)))*(A64-6*C64)/6))</f>
        <v>0.785019369510734</v>
      </c>
      <c r="H64" s="12" t="n">
        <f aca="false">G64^(-1/B64)-1</f>
        <v>0.0496002499999999</v>
      </c>
      <c r="I64" s="12" t="n">
        <f aca="false">(1+H64)^(1/12)-1</f>
        <v>0.00404226277680664</v>
      </c>
      <c r="J64" s="16" t="n">
        <f aca="false">IF(C64=0,(1+Dic2024!$M$6)^(-B64),EXP(LN(INDEX(Dic2024!$N$6:$N$205,C64))+(LN(INDEX(Dic2024!$N$6:$N$205,MIN(C64+1,200)))-LN(INDEX(Dic2024!$N$6:$N$205,C64)))*(A64-6*C64)/6))</f>
        <v>0.785019369510734</v>
      </c>
      <c r="K64" s="12" t="n">
        <f aca="false">J64^(-1/B64)-1</f>
        <v>0.0496002499999999</v>
      </c>
      <c r="L64" s="12" t="n">
        <f aca="false">(1+K64)^(1/12)-1</f>
        <v>0.00404226277680664</v>
      </c>
    </row>
    <row r="65" customFormat="false" ht="15" hidden="false" customHeight="false" outlineLevel="0" collapsed="false">
      <c r="A65" s="4" t="n">
        <v>61</v>
      </c>
      <c r="B65" s="14" t="n">
        <f aca="false">A65/12</f>
        <v>5.08333333333333</v>
      </c>
      <c r="C65" s="15" t="n">
        <f aca="false">INT(A65/6)</f>
        <v>10</v>
      </c>
      <c r="D65" s="16" t="n">
        <f aca="false">IF(C65=0,(1+Dic2024!$G$6)^(-B65),EXP(LN(INDEX(Dic2024!$H$6:$H$205,C65))+(LN(INDEX(Dic2024!$H$6:$H$205,MIN(C65+1,200)))-LN(INDEX(Dic2024!$H$6:$H$205,C65)))*(A65-6*C65)/6))</f>
        <v>0.781509228977814</v>
      </c>
      <c r="E65" s="12" t="n">
        <f aca="false">D65^(-1/B65)-1</f>
        <v>0.049692615746056</v>
      </c>
      <c r="F65" s="12" t="n">
        <f aca="false">(1+E65)^(1/12)-1</f>
        <v>0.00404962553009991</v>
      </c>
      <c r="G65" s="16" t="n">
        <f aca="false">IF(C65=0,(1+Dic2024!$J$6)^(-B65),EXP(LN(INDEX(Dic2024!$K$6:$K$205,C65))+(LN(INDEX(Dic2024!$K$6:$K$205,MIN(C65+1,200)))-LN(INDEX(Dic2024!$K$6:$K$205,C65)))*(A65-6*C65)/6))</f>
        <v>0.781509228977814</v>
      </c>
      <c r="H65" s="12" t="n">
        <f aca="false">G65^(-1/B65)-1</f>
        <v>0.049692615746056</v>
      </c>
      <c r="I65" s="12" t="n">
        <f aca="false">(1+H65)^(1/12)-1</f>
        <v>0.00404962553009991</v>
      </c>
      <c r="J65" s="16" t="n">
        <f aca="false">IF(C65=0,(1+Dic2024!$M$6)^(-B65),EXP(LN(INDEX(Dic2024!$N$6:$N$205,C65))+(LN(INDEX(Dic2024!$N$6:$N$205,MIN(C65+1,200)))-LN(INDEX(Dic2024!$N$6:$N$205,C65)))*(A65-6*C65)/6))</f>
        <v>0.781509228977814</v>
      </c>
      <c r="K65" s="12" t="n">
        <f aca="false">J65^(-1/B65)-1</f>
        <v>0.049692615746056</v>
      </c>
      <c r="L65" s="12" t="n">
        <f aca="false">(1+K65)^(1/12)-1</f>
        <v>0.00404962553009991</v>
      </c>
    </row>
    <row r="66" customFormat="false" ht="15" hidden="false" customHeight="false" outlineLevel="0" collapsed="false">
      <c r="A66" s="4" t="n">
        <v>62</v>
      </c>
      <c r="B66" s="14" t="n">
        <f aca="false">A66/12</f>
        <v>5.16666666666667</v>
      </c>
      <c r="C66" s="15" t="n">
        <f aca="false">INT(A66/6)</f>
        <v>10</v>
      </c>
      <c r="D66" s="16" t="n">
        <f aca="false">IF(C66=0,(1+Dic2024!$G$6)^(-B66),EXP(LN(INDEX(Dic2024!$H$6:$H$205,C66))+(LN(INDEX(Dic2024!$H$6:$H$205,MIN(C66+1,200)))-LN(INDEX(Dic2024!$H$6:$H$205,C66)))*(A66-6*C66)/6))</f>
        <v>0.778014783709292</v>
      </c>
      <c r="E66" s="12" t="n">
        <f aca="false">D66^(-1/B66)-1</f>
        <v>0.0497820096911024</v>
      </c>
      <c r="F66" s="12" t="n">
        <f aca="false">(1+E66)^(1/12)-1</f>
        <v>0.00405675082663004</v>
      </c>
      <c r="G66" s="16" t="n">
        <f aca="false">IF(C66=0,(1+Dic2024!$J$6)^(-B66),EXP(LN(INDEX(Dic2024!$K$6:$K$205,C66))+(LN(INDEX(Dic2024!$K$6:$K$205,MIN(C66+1,200)))-LN(INDEX(Dic2024!$K$6:$K$205,C66)))*(A66-6*C66)/6))</f>
        <v>0.778014783709292</v>
      </c>
      <c r="H66" s="12" t="n">
        <f aca="false">G66^(-1/B66)-1</f>
        <v>0.0497820096911024</v>
      </c>
      <c r="I66" s="12" t="n">
        <f aca="false">(1+H66)^(1/12)-1</f>
        <v>0.00405675082663004</v>
      </c>
      <c r="J66" s="16" t="n">
        <f aca="false">IF(C66=0,(1+Dic2024!$M$6)^(-B66),EXP(LN(INDEX(Dic2024!$N$6:$N$205,C66))+(LN(INDEX(Dic2024!$N$6:$N$205,MIN(C66+1,200)))-LN(INDEX(Dic2024!$N$6:$N$205,C66)))*(A66-6*C66)/6))</f>
        <v>0.778014783709292</v>
      </c>
      <c r="K66" s="12" t="n">
        <f aca="false">J66^(-1/B66)-1</f>
        <v>0.0497820096911024</v>
      </c>
      <c r="L66" s="12" t="n">
        <f aca="false">(1+K66)^(1/12)-1</f>
        <v>0.00405675082663004</v>
      </c>
    </row>
    <row r="67" customFormat="false" ht="15" hidden="false" customHeight="false" outlineLevel="0" collapsed="false">
      <c r="A67" s="4" t="n">
        <v>63</v>
      </c>
      <c r="B67" s="14" t="n">
        <f aca="false">A67/12</f>
        <v>5.25</v>
      </c>
      <c r="C67" s="15" t="n">
        <f aca="false">INT(A67/6)</f>
        <v>10</v>
      </c>
      <c r="D67" s="16" t="n">
        <f aca="false">IF(C67=0,(1+Dic2024!$G$6)^(-B67),EXP(LN(INDEX(Dic2024!$H$6:$H$205,C67))+(LN(INDEX(Dic2024!$H$6:$H$205,MIN(C67+1,200)))-LN(INDEX(Dic2024!$H$6:$H$205,C67)))*(A67-6*C67)/6))</f>
        <v>0.774535963525262</v>
      </c>
      <c r="E67" s="12" t="n">
        <f aca="false">D67^(-1/B67)-1</f>
        <v>0.0498685729874075</v>
      </c>
      <c r="F67" s="12" t="n">
        <f aca="false">(1+E67)^(1/12)-1</f>
        <v>0.00406364997145303</v>
      </c>
      <c r="G67" s="16" t="n">
        <f aca="false">IF(C67=0,(1+Dic2024!$J$6)^(-B67),EXP(LN(INDEX(Dic2024!$K$6:$K$205,C67))+(LN(INDEX(Dic2024!$K$6:$K$205,MIN(C67+1,200)))-LN(INDEX(Dic2024!$K$6:$K$205,C67)))*(A67-6*C67)/6))</f>
        <v>0.774535963525262</v>
      </c>
      <c r="H67" s="12" t="n">
        <f aca="false">G67^(-1/B67)-1</f>
        <v>0.0498685729874075</v>
      </c>
      <c r="I67" s="12" t="n">
        <f aca="false">(1+H67)^(1/12)-1</f>
        <v>0.00406364997145303</v>
      </c>
      <c r="J67" s="16" t="n">
        <f aca="false">IF(C67=0,(1+Dic2024!$M$6)^(-B67),EXP(LN(INDEX(Dic2024!$N$6:$N$205,C67))+(LN(INDEX(Dic2024!$N$6:$N$205,MIN(C67+1,200)))-LN(INDEX(Dic2024!$N$6:$N$205,C67)))*(A67-6*C67)/6))</f>
        <v>0.774535963525262</v>
      </c>
      <c r="K67" s="12" t="n">
        <f aca="false">J67^(-1/B67)-1</f>
        <v>0.0498685729874075</v>
      </c>
      <c r="L67" s="12" t="n">
        <f aca="false">(1+K67)^(1/12)-1</f>
        <v>0.00406364997145303</v>
      </c>
    </row>
    <row r="68" customFormat="false" ht="15" hidden="false" customHeight="false" outlineLevel="0" collapsed="false">
      <c r="A68" s="4" t="n">
        <v>64</v>
      </c>
      <c r="B68" s="14" t="n">
        <f aca="false">A68/12</f>
        <v>5.33333333333333</v>
      </c>
      <c r="C68" s="15" t="n">
        <f aca="false">INT(A68/6)</f>
        <v>10</v>
      </c>
      <c r="D68" s="16" t="n">
        <f aca="false">IF(C68=0,(1+Dic2024!$G$6)^(-B68),EXP(LN(INDEX(Dic2024!$H$6:$H$205,C68))+(LN(INDEX(Dic2024!$H$6:$H$205,MIN(C68+1,200)))-LN(INDEX(Dic2024!$H$6:$H$205,C68)))*(A68-6*C68)/6))</f>
        <v>0.771072698559624</v>
      </c>
      <c r="E68" s="12" t="n">
        <f aca="false">D68^(-1/B68)-1</f>
        <v>0.0499524379874623</v>
      </c>
      <c r="F68" s="12" t="n">
        <f aca="false">(1+E68)^(1/12)-1</f>
        <v>0.00407033356320707</v>
      </c>
      <c r="G68" s="16" t="n">
        <f aca="false">IF(C68=0,(1+Dic2024!$J$6)^(-B68),EXP(LN(INDEX(Dic2024!$K$6:$K$205,C68))+(LN(INDEX(Dic2024!$K$6:$K$205,MIN(C68+1,200)))-LN(INDEX(Dic2024!$K$6:$K$205,C68)))*(A68-6*C68)/6))</f>
        <v>0.771072698559624</v>
      </c>
      <c r="H68" s="12" t="n">
        <f aca="false">G68^(-1/B68)-1</f>
        <v>0.0499524379874623</v>
      </c>
      <c r="I68" s="12" t="n">
        <f aca="false">(1+H68)^(1/12)-1</f>
        <v>0.00407033356320707</v>
      </c>
      <c r="J68" s="16" t="n">
        <f aca="false">IF(C68=0,(1+Dic2024!$M$6)^(-B68),EXP(LN(INDEX(Dic2024!$N$6:$N$205,C68))+(LN(INDEX(Dic2024!$N$6:$N$205,MIN(C68+1,200)))-LN(INDEX(Dic2024!$N$6:$N$205,C68)))*(A68-6*C68)/6))</f>
        <v>0.771072698559624</v>
      </c>
      <c r="K68" s="12" t="n">
        <f aca="false">J68^(-1/B68)-1</f>
        <v>0.0499524379874623</v>
      </c>
      <c r="L68" s="12" t="n">
        <f aca="false">(1+K68)^(1/12)-1</f>
        <v>0.00407033356320707</v>
      </c>
    </row>
    <row r="69" customFormat="false" ht="15" hidden="false" customHeight="false" outlineLevel="0" collapsed="false">
      <c r="A69" s="4" t="n">
        <v>65</v>
      </c>
      <c r="B69" s="14" t="n">
        <f aca="false">A69/12</f>
        <v>5.41666666666667</v>
      </c>
      <c r="C69" s="15" t="n">
        <f aca="false">INT(A69/6)</f>
        <v>10</v>
      </c>
      <c r="D69" s="16" t="n">
        <f aca="false">IF(C69=0,(1+Dic2024!$G$6)^(-B69),EXP(LN(INDEX(Dic2024!$H$6:$H$205,C69))+(LN(INDEX(Dic2024!$H$6:$H$205,MIN(C69+1,200)))-LN(INDEX(Dic2024!$H$6:$H$205,C69)))*(A69-6*C69)/6))</f>
        <v>0.767624919258677</v>
      </c>
      <c r="E69" s="12" t="n">
        <f aca="false">D69^(-1/B69)-1</f>
        <v>0.0500337289192021</v>
      </c>
      <c r="F69" s="12" t="n">
        <f aca="false">(1+E69)^(1/12)-1</f>
        <v>0.00407681154844131</v>
      </c>
      <c r="G69" s="16" t="n">
        <f aca="false">IF(C69=0,(1+Dic2024!$J$6)^(-B69),EXP(LN(INDEX(Dic2024!$K$6:$K$205,C69))+(LN(INDEX(Dic2024!$K$6:$K$205,MIN(C69+1,200)))-LN(INDEX(Dic2024!$K$6:$K$205,C69)))*(A69-6*C69)/6))</f>
        <v>0.767624919258677</v>
      </c>
      <c r="H69" s="12" t="n">
        <f aca="false">G69^(-1/B69)-1</f>
        <v>0.0500337289192021</v>
      </c>
      <c r="I69" s="12" t="n">
        <f aca="false">(1+H69)^(1/12)-1</f>
        <v>0.00407681154844131</v>
      </c>
      <c r="J69" s="16" t="n">
        <f aca="false">IF(C69=0,(1+Dic2024!$M$6)^(-B69),EXP(LN(INDEX(Dic2024!$N$6:$N$205,C69))+(LN(INDEX(Dic2024!$N$6:$N$205,MIN(C69+1,200)))-LN(INDEX(Dic2024!$N$6:$N$205,C69)))*(A69-6*C69)/6))</f>
        <v>0.767624919258677</v>
      </c>
      <c r="K69" s="12" t="n">
        <f aca="false">J69^(-1/B69)-1</f>
        <v>0.0500337289192021</v>
      </c>
      <c r="L69" s="12" t="n">
        <f aca="false">(1+K69)^(1/12)-1</f>
        <v>0.00407681154844131</v>
      </c>
    </row>
    <row r="70" customFormat="false" ht="15" hidden="false" customHeight="false" outlineLevel="0" collapsed="false">
      <c r="A70" s="4" t="n">
        <v>66</v>
      </c>
      <c r="B70" s="14" t="n">
        <f aca="false">A70/12</f>
        <v>5.5</v>
      </c>
      <c r="C70" s="15" t="n">
        <f aca="false">INT(A70/6)</f>
        <v>11</v>
      </c>
      <c r="D70" s="16" t="n">
        <f aca="false">IF(C70=0,(1+Dic2024!$G$6)^(-B70),EXP(LN(INDEX(Dic2024!$H$6:$H$205,C70))+(LN(INDEX(Dic2024!$H$6:$H$205,MIN(C70+1,200)))-LN(INDEX(Dic2024!$H$6:$H$205,C70)))*(A70-6*C70)/6))</f>
        <v>0.764192556379722</v>
      </c>
      <c r="E70" s="12" t="n">
        <f aca="false">D70^(-1/B70)-1</f>
        <v>0.0501125625000001</v>
      </c>
      <c r="F70" s="12" t="n">
        <f aca="false">(1+E70)^(1/12)-1</f>
        <v>0.00408309327100653</v>
      </c>
      <c r="G70" s="16" t="n">
        <f aca="false">IF(C70=0,(1+Dic2024!$J$6)^(-B70),EXP(LN(INDEX(Dic2024!$K$6:$K$205,C70))+(LN(INDEX(Dic2024!$K$6:$K$205,MIN(C70+1,200)))-LN(INDEX(Dic2024!$K$6:$K$205,C70)))*(A70-6*C70)/6))</f>
        <v>0.764192556379722</v>
      </c>
      <c r="H70" s="12" t="n">
        <f aca="false">G70^(-1/B70)-1</f>
        <v>0.0501125625000001</v>
      </c>
      <c r="I70" s="12" t="n">
        <f aca="false">(1+H70)^(1/12)-1</f>
        <v>0.00408309327100653</v>
      </c>
      <c r="J70" s="16" t="n">
        <f aca="false">IF(C70=0,(1+Dic2024!$M$6)^(-B70),EXP(LN(INDEX(Dic2024!$N$6:$N$205,C70))+(LN(INDEX(Dic2024!$N$6:$N$205,MIN(C70+1,200)))-LN(INDEX(Dic2024!$N$6:$N$205,C70)))*(A70-6*C70)/6))</f>
        <v>0.764192556379722</v>
      </c>
      <c r="K70" s="12" t="n">
        <f aca="false">J70^(-1/B70)-1</f>
        <v>0.0501125625000001</v>
      </c>
      <c r="L70" s="12" t="n">
        <f aca="false">(1+K70)^(1/12)-1</f>
        <v>0.00408309327100653</v>
      </c>
    </row>
    <row r="71" customFormat="false" ht="15" hidden="false" customHeight="false" outlineLevel="0" collapsed="false">
      <c r="A71" s="4" t="n">
        <v>67</v>
      </c>
      <c r="B71" s="14" t="n">
        <f aca="false">A71/12</f>
        <v>5.58333333333333</v>
      </c>
      <c r="C71" s="15" t="n">
        <f aca="false">INT(A71/6)</f>
        <v>11</v>
      </c>
      <c r="D71" s="16" t="n">
        <f aca="false">IF(C71=0,(1+Dic2024!$G$6)^(-B71),EXP(LN(INDEX(Dic2024!$H$6:$H$205,C71))+(LN(INDEX(Dic2024!$H$6:$H$205,MIN(C71+1,200)))-LN(INDEX(Dic2024!$H$6:$H$205,C71)))*(A71-6*C71)/6))</f>
        <v>0.760713759749947</v>
      </c>
      <c r="E71" s="12" t="n">
        <f aca="false">D71^(-1/B71)-1</f>
        <v>0.0502043239734473</v>
      </c>
      <c r="F71" s="12" t="n">
        <f aca="false">(1+E71)^(1/12)-1</f>
        <v>0.0040904045867578</v>
      </c>
      <c r="G71" s="16" t="n">
        <f aca="false">IF(C71=0,(1+Dic2024!$J$6)^(-B71),EXP(LN(INDEX(Dic2024!$K$6:$K$205,C71))+(LN(INDEX(Dic2024!$K$6:$K$205,MIN(C71+1,200)))-LN(INDEX(Dic2024!$K$6:$K$205,C71)))*(A71-6*C71)/6))</f>
        <v>0.760713759749947</v>
      </c>
      <c r="H71" s="12" t="n">
        <f aca="false">G71^(-1/B71)-1</f>
        <v>0.0502043239734473</v>
      </c>
      <c r="I71" s="12" t="n">
        <f aca="false">(1+H71)^(1/12)-1</f>
        <v>0.0040904045867578</v>
      </c>
      <c r="J71" s="16" t="n">
        <f aca="false">IF(C71=0,(1+Dic2024!$M$6)^(-B71),EXP(LN(INDEX(Dic2024!$N$6:$N$205,C71))+(LN(INDEX(Dic2024!$N$6:$N$205,MIN(C71+1,200)))-LN(INDEX(Dic2024!$N$6:$N$205,C71)))*(A71-6*C71)/6))</f>
        <v>0.760713759749947</v>
      </c>
      <c r="K71" s="12" t="n">
        <f aca="false">J71^(-1/B71)-1</f>
        <v>0.0502043239734473</v>
      </c>
      <c r="L71" s="12" t="n">
        <f aca="false">(1+K71)^(1/12)-1</f>
        <v>0.0040904045867578</v>
      </c>
    </row>
    <row r="72" customFormat="false" ht="15" hidden="false" customHeight="false" outlineLevel="0" collapsed="false">
      <c r="A72" s="4" t="n">
        <v>68</v>
      </c>
      <c r="B72" s="14" t="n">
        <f aca="false">A72/12</f>
        <v>5.66666666666667</v>
      </c>
      <c r="C72" s="15" t="n">
        <f aca="false">INT(A72/6)</f>
        <v>11</v>
      </c>
      <c r="D72" s="16" t="n">
        <f aca="false">IF(C72=0,(1+Dic2024!$G$6)^(-B72),EXP(LN(INDEX(Dic2024!$H$6:$H$205,C72))+(LN(INDEX(Dic2024!$H$6:$H$205,MIN(C72+1,200)))-LN(INDEX(Dic2024!$H$6:$H$205,C72)))*(A72-6*C72)/6))</f>
        <v>0.757250799476978</v>
      </c>
      <c r="E72" s="12" t="n">
        <f aca="false">D72^(-1/B72)-1</f>
        <v>0.0502933942480874</v>
      </c>
      <c r="F72" s="12" t="n">
        <f aca="false">(1+E72)^(1/12)-1</f>
        <v>0.00409750091472261</v>
      </c>
      <c r="G72" s="16" t="n">
        <f aca="false">IF(C72=0,(1+Dic2024!$J$6)^(-B72),EXP(LN(INDEX(Dic2024!$K$6:$K$205,C72))+(LN(INDEX(Dic2024!$K$6:$K$205,MIN(C72+1,200)))-LN(INDEX(Dic2024!$K$6:$K$205,C72)))*(A72-6*C72)/6))</f>
        <v>0.757250799476978</v>
      </c>
      <c r="H72" s="12" t="n">
        <f aca="false">G72^(-1/B72)-1</f>
        <v>0.0502933942480874</v>
      </c>
      <c r="I72" s="12" t="n">
        <f aca="false">(1+H72)^(1/12)-1</f>
        <v>0.00409750091472261</v>
      </c>
      <c r="J72" s="16" t="n">
        <f aca="false">IF(C72=0,(1+Dic2024!$M$6)^(-B72),EXP(LN(INDEX(Dic2024!$N$6:$N$205,C72))+(LN(INDEX(Dic2024!$N$6:$N$205,MIN(C72+1,200)))-LN(INDEX(Dic2024!$N$6:$N$205,C72)))*(A72-6*C72)/6))</f>
        <v>0.757250799476978</v>
      </c>
      <c r="K72" s="12" t="n">
        <f aca="false">J72^(-1/B72)-1</f>
        <v>0.0502933942480874</v>
      </c>
      <c r="L72" s="12" t="n">
        <f aca="false">(1+K72)^(1/12)-1</f>
        <v>0.00409750091472261</v>
      </c>
    </row>
    <row r="73" customFormat="false" ht="15" hidden="false" customHeight="false" outlineLevel="0" collapsed="false">
      <c r="A73" s="4" t="n">
        <v>69</v>
      </c>
      <c r="B73" s="14" t="n">
        <f aca="false">A73/12</f>
        <v>5.75</v>
      </c>
      <c r="C73" s="15" t="n">
        <f aca="false">INT(A73/6)</f>
        <v>11</v>
      </c>
      <c r="D73" s="16" t="n">
        <f aca="false">IF(C73=0,(1+Dic2024!$G$6)^(-B73),EXP(LN(INDEX(Dic2024!$H$6:$H$205,C73))+(LN(INDEX(Dic2024!$H$6:$H$205,MIN(C73+1,200)))-LN(INDEX(Dic2024!$H$6:$H$205,C73)))*(A73-6*C73)/6))</f>
        <v>0.753803603469737</v>
      </c>
      <c r="E73" s="12" t="n">
        <f aca="false">D73^(-1/B73)-1</f>
        <v>0.0503798900046157</v>
      </c>
      <c r="F73" s="12" t="n">
        <f aca="false">(1+E73)^(1/12)-1</f>
        <v>0.00410439160001541</v>
      </c>
      <c r="G73" s="16" t="n">
        <f aca="false">IF(C73=0,(1+Dic2024!$J$6)^(-B73),EXP(LN(INDEX(Dic2024!$K$6:$K$205,C73))+(LN(INDEX(Dic2024!$K$6:$K$205,MIN(C73+1,200)))-LN(INDEX(Dic2024!$K$6:$K$205,C73)))*(A73-6*C73)/6))</f>
        <v>0.753803603469737</v>
      </c>
      <c r="H73" s="12" t="n">
        <f aca="false">G73^(-1/B73)-1</f>
        <v>0.0503798900046157</v>
      </c>
      <c r="I73" s="12" t="n">
        <f aca="false">(1+H73)^(1/12)-1</f>
        <v>0.00410439160001541</v>
      </c>
      <c r="J73" s="16" t="n">
        <f aca="false">IF(C73=0,(1+Dic2024!$M$6)^(-B73),EXP(LN(INDEX(Dic2024!$N$6:$N$205,C73))+(LN(INDEX(Dic2024!$N$6:$N$205,MIN(C73+1,200)))-LN(INDEX(Dic2024!$N$6:$N$205,C73)))*(A73-6*C73)/6))</f>
        <v>0.753803603469737</v>
      </c>
      <c r="K73" s="12" t="n">
        <f aca="false">J73^(-1/B73)-1</f>
        <v>0.0503798900046157</v>
      </c>
      <c r="L73" s="12" t="n">
        <f aca="false">(1+K73)^(1/12)-1</f>
        <v>0.00410439160001541</v>
      </c>
    </row>
    <row r="74" customFormat="false" ht="15" hidden="false" customHeight="false" outlineLevel="0" collapsed="false">
      <c r="A74" s="4" t="n">
        <v>70</v>
      </c>
      <c r="B74" s="14" t="n">
        <f aca="false">A74/12</f>
        <v>5.83333333333333</v>
      </c>
      <c r="C74" s="15" t="n">
        <f aca="false">INT(A74/6)</f>
        <v>11</v>
      </c>
      <c r="D74" s="16" t="n">
        <f aca="false">IF(C74=0,(1+Dic2024!$G$6)^(-B74),EXP(LN(INDEX(Dic2024!$H$6:$H$205,C74))+(LN(INDEX(Dic2024!$H$6:$H$205,MIN(C74+1,200)))-LN(INDEX(Dic2024!$H$6:$H$205,C74)))*(A74-6*C74)/6))</f>
        <v>0.750372099965325</v>
      </c>
      <c r="E74" s="12" t="n">
        <f aca="false">D74^(-1/B74)-1</f>
        <v>0.0504639212746967</v>
      </c>
      <c r="F74" s="12" t="n">
        <f aca="false">(1+E74)^(1/12)-1</f>
        <v>0.00411108545386574</v>
      </c>
      <c r="G74" s="16" t="n">
        <f aca="false">IF(C74=0,(1+Dic2024!$J$6)^(-B74),EXP(LN(INDEX(Dic2024!$K$6:$K$205,C74))+(LN(INDEX(Dic2024!$K$6:$K$205,MIN(C74+1,200)))-LN(INDEX(Dic2024!$K$6:$K$205,C74)))*(A74-6*C74)/6))</f>
        <v>0.750372099965325</v>
      </c>
      <c r="H74" s="12" t="n">
        <f aca="false">G74^(-1/B74)-1</f>
        <v>0.0504639212746967</v>
      </c>
      <c r="I74" s="12" t="n">
        <f aca="false">(1+H74)^(1/12)-1</f>
        <v>0.00411108545386574</v>
      </c>
      <c r="J74" s="16" t="n">
        <f aca="false">IF(C74=0,(1+Dic2024!$M$6)^(-B74),EXP(LN(INDEX(Dic2024!$N$6:$N$205,C74))+(LN(INDEX(Dic2024!$N$6:$N$205,MIN(C74+1,200)))-LN(INDEX(Dic2024!$N$6:$N$205,C74)))*(A74-6*C74)/6))</f>
        <v>0.750372099965325</v>
      </c>
      <c r="K74" s="12" t="n">
        <f aca="false">J74^(-1/B74)-1</f>
        <v>0.0504639212746967</v>
      </c>
      <c r="L74" s="12" t="n">
        <f aca="false">(1+K74)^(1/12)-1</f>
        <v>0.00411108545386574</v>
      </c>
    </row>
    <row r="75" customFormat="false" ht="15" hidden="false" customHeight="false" outlineLevel="0" collapsed="false">
      <c r="A75" s="4" t="n">
        <v>71</v>
      </c>
      <c r="B75" s="14" t="n">
        <f aca="false">A75/12</f>
        <v>5.91666666666667</v>
      </c>
      <c r="C75" s="15" t="n">
        <f aca="false">INT(A75/6)</f>
        <v>11</v>
      </c>
      <c r="D75" s="16" t="n">
        <f aca="false">IF(C75=0,(1+Dic2024!$G$6)^(-B75),EXP(LN(INDEX(Dic2024!$H$6:$H$205,C75))+(LN(INDEX(Dic2024!$H$6:$H$205,MIN(C75+1,200)))-LN(INDEX(Dic2024!$H$6:$H$205,C75)))*(A75-6*C75)/6))</f>
        <v>0.746956217527523</v>
      </c>
      <c r="E75" s="12" t="n">
        <f aca="false">D75^(-1/B75)-1</f>
        <v>0.050545591907929</v>
      </c>
      <c r="F75" s="12" t="n">
        <f aca="false">(1+E75)^(1/12)-1</f>
        <v>0.00411759079120944</v>
      </c>
      <c r="G75" s="16" t="n">
        <f aca="false">IF(C75=0,(1+Dic2024!$J$6)^(-B75),EXP(LN(INDEX(Dic2024!$K$6:$K$205,C75))+(LN(INDEX(Dic2024!$K$6:$K$205,MIN(C75+1,200)))-LN(INDEX(Dic2024!$K$6:$K$205,C75)))*(A75-6*C75)/6))</f>
        <v>0.746956217527523</v>
      </c>
      <c r="H75" s="12" t="n">
        <f aca="false">G75^(-1/B75)-1</f>
        <v>0.050545591907929</v>
      </c>
      <c r="I75" s="12" t="n">
        <f aca="false">(1+H75)^(1/12)-1</f>
        <v>0.00411759079120944</v>
      </c>
      <c r="J75" s="16" t="n">
        <f aca="false">IF(C75=0,(1+Dic2024!$M$6)^(-B75),EXP(LN(INDEX(Dic2024!$N$6:$N$205,C75))+(LN(INDEX(Dic2024!$N$6:$N$205,MIN(C75+1,200)))-LN(INDEX(Dic2024!$N$6:$N$205,C75)))*(A75-6*C75)/6))</f>
        <v>0.746956217527523</v>
      </c>
      <c r="K75" s="12" t="n">
        <f aca="false">J75^(-1/B75)-1</f>
        <v>0.050545591907929</v>
      </c>
      <c r="L75" s="12" t="n">
        <f aca="false">(1+K75)^(1/12)-1</f>
        <v>0.00411759079120944</v>
      </c>
    </row>
    <row r="76" customFormat="false" ht="15" hidden="false" customHeight="false" outlineLevel="0" collapsed="false">
      <c r="A76" s="4" t="n">
        <v>72</v>
      </c>
      <c r="B76" s="14" t="n">
        <f aca="false">A76/12</f>
        <v>6</v>
      </c>
      <c r="C76" s="15" t="n">
        <f aca="false">INT(A76/6)</f>
        <v>12</v>
      </c>
      <c r="D76" s="16" t="n">
        <f aca="false">IF(C76=0,(1+Dic2024!$G$6)^(-B76),EXP(LN(INDEX(Dic2024!$H$6:$H$205,C76))+(LN(INDEX(Dic2024!$H$6:$H$205,MIN(C76+1,200)))-LN(INDEX(Dic2024!$H$6:$H$205,C76)))*(A76-6*C76)/6))</f>
        <v>0.743555885045308</v>
      </c>
      <c r="E76" s="12" t="n">
        <f aca="false">D76^(-1/B76)-1</f>
        <v>0.0506249999999999</v>
      </c>
      <c r="F76" s="12" t="n">
        <f aca="false">(1+E76)^(1/12)-1</f>
        <v>0.00412391546514423</v>
      </c>
      <c r="G76" s="16" t="n">
        <f aca="false">IF(C76=0,(1+Dic2024!$J$6)^(-B76),EXP(LN(INDEX(Dic2024!$K$6:$K$205,C76))+(LN(INDEX(Dic2024!$K$6:$K$205,MIN(C76+1,200)))-LN(INDEX(Dic2024!$K$6:$K$205,C76)))*(A76-6*C76)/6))</f>
        <v>0.743555885045308</v>
      </c>
      <c r="H76" s="12" t="n">
        <f aca="false">G76^(-1/B76)-1</f>
        <v>0.0506249999999999</v>
      </c>
      <c r="I76" s="12" t="n">
        <f aca="false">(1+H76)^(1/12)-1</f>
        <v>0.00412391546514423</v>
      </c>
      <c r="J76" s="16" t="n">
        <f aca="false">IF(C76=0,(1+Dic2024!$M$6)^(-B76),EXP(LN(INDEX(Dic2024!$N$6:$N$205,C76))+(LN(INDEX(Dic2024!$N$6:$N$205,MIN(C76+1,200)))-LN(INDEX(Dic2024!$N$6:$N$205,C76)))*(A76-6*C76)/6))</f>
        <v>0.743555885045308</v>
      </c>
      <c r="K76" s="12" t="n">
        <f aca="false">J76^(-1/B76)-1</f>
        <v>0.0506249999999999</v>
      </c>
      <c r="L76" s="12" t="n">
        <f aca="false">(1+K76)^(1/12)-1</f>
        <v>0.00412391546514423</v>
      </c>
    </row>
    <row r="77" customFormat="false" ht="15" hidden="false" customHeight="false" outlineLevel="0" collapsed="false">
      <c r="A77" s="4" t="n">
        <v>73</v>
      </c>
      <c r="B77" s="14" t="n">
        <f aca="false">A77/12</f>
        <v>6.08333333333333</v>
      </c>
      <c r="C77" s="15" t="n">
        <f aca="false">INT(A77/6)</f>
        <v>12</v>
      </c>
      <c r="D77" s="16" t="n">
        <f aca="false">IF(C77=0,(1+Dic2024!$G$6)^(-B77),EXP(LN(INDEX(Dic2024!$H$6:$H$205,C77))+(LN(INDEX(Dic2024!$H$6:$H$205,MIN(C77+1,200)))-LN(INDEX(Dic2024!$H$6:$H$205,C77)))*(A77-6*C77)/6))</f>
        <v>0.740110945725699</v>
      </c>
      <c r="E77" s="12" t="n">
        <f aca="false">D77^(-1/B77)-1</f>
        <v>0.0507162599582665</v>
      </c>
      <c r="F77" s="12" t="n">
        <f aca="false">(1+E77)^(1/12)-1</f>
        <v>0.00413118357211206</v>
      </c>
      <c r="G77" s="16" t="n">
        <f aca="false">IF(C77=0,(1+Dic2024!$J$6)^(-B77),EXP(LN(INDEX(Dic2024!$K$6:$K$205,C77))+(LN(INDEX(Dic2024!$K$6:$K$205,MIN(C77+1,200)))-LN(INDEX(Dic2024!$K$6:$K$205,C77)))*(A77-6*C77)/6))</f>
        <v>0.740110945725699</v>
      </c>
      <c r="H77" s="12" t="n">
        <f aca="false">G77^(-1/B77)-1</f>
        <v>0.0507162599582665</v>
      </c>
      <c r="I77" s="12" t="n">
        <f aca="false">(1+H77)^(1/12)-1</f>
        <v>0.00413118357211206</v>
      </c>
      <c r="J77" s="16" t="n">
        <f aca="false">IF(C77=0,(1+Dic2024!$M$6)^(-B77),EXP(LN(INDEX(Dic2024!$N$6:$N$205,C77))+(LN(INDEX(Dic2024!$N$6:$N$205,MIN(C77+1,200)))-LN(INDEX(Dic2024!$N$6:$N$205,C77)))*(A77-6*C77)/6))</f>
        <v>0.740110945725699</v>
      </c>
      <c r="K77" s="12" t="n">
        <f aca="false">J77^(-1/B77)-1</f>
        <v>0.0507162599582665</v>
      </c>
      <c r="L77" s="12" t="n">
        <f aca="false">(1+K77)^(1/12)-1</f>
        <v>0.00413118357211206</v>
      </c>
    </row>
    <row r="78" customFormat="false" ht="15" hidden="false" customHeight="false" outlineLevel="0" collapsed="false">
      <c r="A78" s="4" t="n">
        <v>74</v>
      </c>
      <c r="B78" s="14" t="n">
        <f aca="false">A78/12</f>
        <v>6.16666666666667</v>
      </c>
      <c r="C78" s="15" t="n">
        <f aca="false">INT(A78/6)</f>
        <v>12</v>
      </c>
      <c r="D78" s="16" t="n">
        <f aca="false">IF(C78=0,(1+Dic2024!$G$6)^(-B78),EXP(LN(INDEX(Dic2024!$H$6:$H$205,C78))+(LN(INDEX(Dic2024!$H$6:$H$205,MIN(C78+1,200)))-LN(INDEX(Dic2024!$H$6:$H$205,C78)))*(A78-6*C78)/6))</f>
        <v>0.736681967018001</v>
      </c>
      <c r="E78" s="12" t="n">
        <f aca="false">D78^(-1/B78)-1</f>
        <v>0.0508050610397681</v>
      </c>
      <c r="F78" s="12" t="n">
        <f aca="false">(1+E78)^(1/12)-1</f>
        <v>0.00413825529425149</v>
      </c>
      <c r="G78" s="16" t="n">
        <f aca="false">IF(C78=0,(1+Dic2024!$J$6)^(-B78),EXP(LN(INDEX(Dic2024!$K$6:$K$205,C78))+(LN(INDEX(Dic2024!$K$6:$K$205,MIN(C78+1,200)))-LN(INDEX(Dic2024!$K$6:$K$205,C78)))*(A78-6*C78)/6))</f>
        <v>0.736681967018001</v>
      </c>
      <c r="H78" s="12" t="n">
        <f aca="false">G78^(-1/B78)-1</f>
        <v>0.0508050610397681</v>
      </c>
      <c r="I78" s="12" t="n">
        <f aca="false">(1+H78)^(1/12)-1</f>
        <v>0.00413825529425149</v>
      </c>
      <c r="J78" s="16" t="n">
        <f aca="false">IF(C78=0,(1+Dic2024!$M$6)^(-B78),EXP(LN(INDEX(Dic2024!$N$6:$N$205,C78))+(LN(INDEX(Dic2024!$N$6:$N$205,MIN(C78+1,200)))-LN(INDEX(Dic2024!$N$6:$N$205,C78)))*(A78-6*C78)/6))</f>
        <v>0.736681967018001</v>
      </c>
      <c r="K78" s="12" t="n">
        <f aca="false">J78^(-1/B78)-1</f>
        <v>0.0508050610397681</v>
      </c>
      <c r="L78" s="12" t="n">
        <f aca="false">(1+K78)^(1/12)-1</f>
        <v>0.00413825529425149</v>
      </c>
    </row>
    <row r="79" customFormat="false" ht="15" hidden="false" customHeight="false" outlineLevel="0" collapsed="false">
      <c r="A79" s="4" t="n">
        <v>75</v>
      </c>
      <c r="B79" s="14" t="n">
        <f aca="false">A79/12</f>
        <v>6.25</v>
      </c>
      <c r="C79" s="15" t="n">
        <f aca="false">INT(A79/6)</f>
        <v>12</v>
      </c>
      <c r="D79" s="16" t="n">
        <f aca="false">IF(C79=0,(1+Dic2024!$G$6)^(-B79),EXP(LN(INDEX(Dic2024!$H$6:$H$205,C79))+(LN(INDEX(Dic2024!$H$6:$H$205,MIN(C79+1,200)))-LN(INDEX(Dic2024!$H$6:$H$205,C79)))*(A79-6*C79)/6))</f>
        <v>0.733268874975736</v>
      </c>
      <c r="E79" s="12" t="n">
        <f aca="false">D79^(-1/B79)-1</f>
        <v>0.0508915012998985</v>
      </c>
      <c r="F79" s="12" t="n">
        <f aca="false">(1+E79)^(1/12)-1</f>
        <v>0.0041451384849629</v>
      </c>
      <c r="G79" s="16" t="n">
        <f aca="false">IF(C79=0,(1+Dic2024!$J$6)^(-B79),EXP(LN(INDEX(Dic2024!$K$6:$K$205,C79))+(LN(INDEX(Dic2024!$K$6:$K$205,MIN(C79+1,200)))-LN(INDEX(Dic2024!$K$6:$K$205,C79)))*(A79-6*C79)/6))</f>
        <v>0.733268874975736</v>
      </c>
      <c r="H79" s="12" t="n">
        <f aca="false">G79^(-1/B79)-1</f>
        <v>0.0508915012998985</v>
      </c>
      <c r="I79" s="12" t="n">
        <f aca="false">(1+H79)^(1/12)-1</f>
        <v>0.0041451384849629</v>
      </c>
      <c r="J79" s="16" t="n">
        <f aca="false">IF(C79=0,(1+Dic2024!$M$6)^(-B79),EXP(LN(INDEX(Dic2024!$N$6:$N$205,C79))+(LN(INDEX(Dic2024!$N$6:$N$205,MIN(C79+1,200)))-LN(INDEX(Dic2024!$N$6:$N$205,C79)))*(A79-6*C79)/6))</f>
        <v>0.733268874975736</v>
      </c>
      <c r="K79" s="12" t="n">
        <f aca="false">J79^(-1/B79)-1</f>
        <v>0.0508915012998985</v>
      </c>
      <c r="L79" s="12" t="n">
        <f aca="false">(1+K79)^(1/12)-1</f>
        <v>0.0041451384849629</v>
      </c>
    </row>
    <row r="80" customFormat="false" ht="15" hidden="false" customHeight="false" outlineLevel="0" collapsed="false">
      <c r="A80" s="4" t="n">
        <v>76</v>
      </c>
      <c r="B80" s="14" t="n">
        <f aca="false">A80/12</f>
        <v>6.33333333333333</v>
      </c>
      <c r="C80" s="15" t="n">
        <f aca="false">INT(A80/6)</f>
        <v>12</v>
      </c>
      <c r="D80" s="16" t="n">
        <f aca="false">IF(C80=0,(1+Dic2024!$G$6)^(-B80),EXP(LN(INDEX(Dic2024!$H$6:$H$205,C80))+(LN(INDEX(Dic2024!$H$6:$H$205,MIN(C80+1,200)))-LN(INDEX(Dic2024!$H$6:$H$205,C80)))*(A80-6*C80)/6))</f>
        <v>0.729871595995024</v>
      </c>
      <c r="E80" s="12" t="n">
        <f aca="false">D80^(-1/B80)-1</f>
        <v>0.0509756736487754</v>
      </c>
      <c r="F80" s="12" t="n">
        <f aca="false">(1+E80)^(1/12)-1</f>
        <v>0.00415184058441342</v>
      </c>
      <c r="G80" s="16" t="n">
        <f aca="false">IF(C80=0,(1+Dic2024!$J$6)^(-B80),EXP(LN(INDEX(Dic2024!$K$6:$K$205,C80))+(LN(INDEX(Dic2024!$K$6:$K$205,MIN(C80+1,200)))-LN(INDEX(Dic2024!$K$6:$K$205,C80)))*(A80-6*C80)/6))</f>
        <v>0.729871595995024</v>
      </c>
      <c r="H80" s="12" t="n">
        <f aca="false">G80^(-1/B80)-1</f>
        <v>0.0509756736487754</v>
      </c>
      <c r="I80" s="12" t="n">
        <f aca="false">(1+H80)^(1/12)-1</f>
        <v>0.00415184058441342</v>
      </c>
      <c r="J80" s="16" t="n">
        <f aca="false">IF(C80=0,(1+Dic2024!$M$6)^(-B80),EXP(LN(INDEX(Dic2024!$N$6:$N$205,C80))+(LN(INDEX(Dic2024!$N$6:$N$205,MIN(C80+1,200)))-LN(INDEX(Dic2024!$N$6:$N$205,C80)))*(A80-6*C80)/6))</f>
        <v>0.729871595995024</v>
      </c>
      <c r="K80" s="12" t="n">
        <f aca="false">J80^(-1/B80)-1</f>
        <v>0.0509756736487754</v>
      </c>
      <c r="L80" s="12" t="n">
        <f aca="false">(1+K80)^(1/12)-1</f>
        <v>0.00415184058441342</v>
      </c>
    </row>
    <row r="81" customFormat="false" ht="15" hidden="false" customHeight="false" outlineLevel="0" collapsed="false">
      <c r="A81" s="4" t="n">
        <v>77</v>
      </c>
      <c r="B81" s="14" t="n">
        <f aca="false">A81/12</f>
        <v>6.41666666666667</v>
      </c>
      <c r="C81" s="15" t="n">
        <f aca="false">INT(A81/6)</f>
        <v>12</v>
      </c>
      <c r="D81" s="16" t="n">
        <f aca="false">IF(C81=0,(1+Dic2024!$G$6)^(-B81),EXP(LN(INDEX(Dic2024!$H$6:$H$205,C81))+(LN(INDEX(Dic2024!$H$6:$H$205,MIN(C81+1,200)))-LN(INDEX(Dic2024!$H$6:$H$205,C81)))*(A81-6*C81)/6))</f>
        <v>0.726490056812994</v>
      </c>
      <c r="E81" s="12" t="n">
        <f aca="false">D81^(-1/B81)-1</f>
        <v>0.0510576661843556</v>
      </c>
      <c r="F81" s="12" t="n">
        <f aca="false">(1+E81)^(1/12)-1</f>
        <v>0.00415836864636376</v>
      </c>
      <c r="G81" s="16" t="n">
        <f aca="false">IF(C81=0,(1+Dic2024!$J$6)^(-B81),EXP(LN(INDEX(Dic2024!$K$6:$K$205,C81))+(LN(INDEX(Dic2024!$K$6:$K$205,MIN(C81+1,200)))-LN(INDEX(Dic2024!$K$6:$K$205,C81)))*(A81-6*C81)/6))</f>
        <v>0.726490056812994</v>
      </c>
      <c r="H81" s="12" t="n">
        <f aca="false">G81^(-1/B81)-1</f>
        <v>0.0510576661843556</v>
      </c>
      <c r="I81" s="12" t="n">
        <f aca="false">(1+H81)^(1/12)-1</f>
        <v>0.00415836864636376</v>
      </c>
      <c r="J81" s="16" t="n">
        <f aca="false">IF(C81=0,(1+Dic2024!$M$6)^(-B81),EXP(LN(INDEX(Dic2024!$N$6:$N$205,C81))+(LN(INDEX(Dic2024!$N$6:$N$205,MIN(C81+1,200)))-LN(INDEX(Dic2024!$N$6:$N$205,C81)))*(A81-6*C81)/6))</f>
        <v>0.726490056812994</v>
      </c>
      <c r="K81" s="12" t="n">
        <f aca="false">J81^(-1/B81)-1</f>
        <v>0.0510576661843556</v>
      </c>
      <c r="L81" s="12" t="n">
        <f aca="false">(1+K81)^(1/12)-1</f>
        <v>0.00415836864636376</v>
      </c>
    </row>
    <row r="82" customFormat="false" ht="15" hidden="false" customHeight="false" outlineLevel="0" collapsed="false">
      <c r="A82" s="4" t="n">
        <v>78</v>
      </c>
      <c r="B82" s="14" t="n">
        <f aca="false">A82/12</f>
        <v>6.5</v>
      </c>
      <c r="C82" s="15" t="n">
        <f aca="false">INT(A82/6)</f>
        <v>13</v>
      </c>
      <c r="D82" s="16" t="n">
        <f aca="false">IF(C82=0,(1+Dic2024!$G$6)^(-B82),EXP(LN(INDEX(Dic2024!$H$6:$H$205,C82))+(LN(INDEX(Dic2024!$H$6:$H$205,MIN(C82+1,200)))-LN(INDEX(Dic2024!$H$6:$H$205,C82)))*(A82-6*C82)/6))</f>
        <v>0.72312418450621</v>
      </c>
      <c r="E82" s="12" t="n">
        <f aca="false">D82^(-1/B82)-1</f>
        <v>0.0511375624999999</v>
      </c>
      <c r="F82" s="12" t="n">
        <f aca="false">(1+E82)^(1/12)-1</f>
        <v>0.00416472936293122</v>
      </c>
      <c r="G82" s="16" t="n">
        <f aca="false">IF(C82=0,(1+Dic2024!$J$6)^(-B82),EXP(LN(INDEX(Dic2024!$K$6:$K$205,C82))+(LN(INDEX(Dic2024!$K$6:$K$205,MIN(C82+1,200)))-LN(INDEX(Dic2024!$K$6:$K$205,C82)))*(A82-6*C82)/6))</f>
        <v>0.72312418450621</v>
      </c>
      <c r="H82" s="12" t="n">
        <f aca="false">G82^(-1/B82)-1</f>
        <v>0.0511375624999999</v>
      </c>
      <c r="I82" s="12" t="n">
        <f aca="false">(1+H82)^(1/12)-1</f>
        <v>0.00416472936293122</v>
      </c>
      <c r="J82" s="16" t="n">
        <f aca="false">IF(C82=0,(1+Dic2024!$M$6)^(-B82),EXP(LN(INDEX(Dic2024!$N$6:$N$205,C82))+(LN(INDEX(Dic2024!$N$6:$N$205,MIN(C82+1,200)))-LN(INDEX(Dic2024!$N$6:$N$205,C82)))*(A82-6*C82)/6))</f>
        <v>0.72312418450621</v>
      </c>
      <c r="K82" s="12" t="n">
        <f aca="false">J82^(-1/B82)-1</f>
        <v>0.0511375624999999</v>
      </c>
      <c r="L82" s="12" t="n">
        <f aca="false">(1+K82)^(1/12)-1</f>
        <v>0.00416472936293122</v>
      </c>
    </row>
    <row r="83" customFormat="false" ht="15" hidden="false" customHeight="false" outlineLevel="0" collapsed="false">
      <c r="A83" s="4" t="n">
        <v>79</v>
      </c>
      <c r="B83" s="14" t="n">
        <f aca="false">A83/12</f>
        <v>6.58333333333333</v>
      </c>
      <c r="C83" s="15" t="n">
        <f aca="false">INT(A83/6)</f>
        <v>13</v>
      </c>
      <c r="D83" s="16" t="n">
        <f aca="false">IF(C83=0,(1+Dic2024!$G$6)^(-B83),EXP(LN(INDEX(Dic2024!$H$6:$H$205,C83))+(LN(INDEX(Dic2024!$H$6:$H$205,MIN(C83+1,200)))-LN(INDEX(Dic2024!$H$6:$H$205,C83)))*(A83-6*C83)/6))</f>
        <v>0.719715497650965</v>
      </c>
      <c r="E83" s="12" t="n">
        <f aca="false">D83^(-1/B83)-1</f>
        <v>0.0512284002873686</v>
      </c>
      <c r="F83" s="12" t="n">
        <f aca="false">(1+E83)^(1/12)-1</f>
        <v>0.00417196061510738</v>
      </c>
      <c r="G83" s="16" t="n">
        <f aca="false">IF(C83=0,(1+Dic2024!$J$6)^(-B83),EXP(LN(INDEX(Dic2024!$K$6:$K$205,C83))+(LN(INDEX(Dic2024!$K$6:$K$205,MIN(C83+1,200)))-LN(INDEX(Dic2024!$K$6:$K$205,C83)))*(A83-6*C83)/6))</f>
        <v>0.719715497650965</v>
      </c>
      <c r="H83" s="12" t="n">
        <f aca="false">G83^(-1/B83)-1</f>
        <v>0.0512284002873686</v>
      </c>
      <c r="I83" s="12" t="n">
        <f aca="false">(1+H83)^(1/12)-1</f>
        <v>0.00417196061510738</v>
      </c>
      <c r="J83" s="16" t="n">
        <f aca="false">IF(C83=0,(1+Dic2024!$M$6)^(-B83),EXP(LN(INDEX(Dic2024!$N$6:$N$205,C83))+(LN(INDEX(Dic2024!$N$6:$N$205,MIN(C83+1,200)))-LN(INDEX(Dic2024!$N$6:$N$205,C83)))*(A83-6*C83)/6))</f>
        <v>0.719715497650965</v>
      </c>
      <c r="K83" s="12" t="n">
        <f aca="false">J83^(-1/B83)-1</f>
        <v>0.0512284002873686</v>
      </c>
      <c r="L83" s="12" t="n">
        <f aca="false">(1+K83)^(1/12)-1</f>
        <v>0.00417196061510738</v>
      </c>
    </row>
    <row r="84" customFormat="false" ht="15" hidden="false" customHeight="false" outlineLevel="0" collapsed="false">
      <c r="A84" s="4" t="n">
        <v>80</v>
      </c>
      <c r="B84" s="14" t="n">
        <f aca="false">A84/12</f>
        <v>6.66666666666667</v>
      </c>
      <c r="C84" s="15" t="n">
        <f aca="false">INT(A84/6)</f>
        <v>13</v>
      </c>
      <c r="D84" s="16" t="n">
        <f aca="false">IF(C84=0,(1+Dic2024!$G$6)^(-B84),EXP(LN(INDEX(Dic2024!$H$6:$H$205,C84))+(LN(INDEX(Dic2024!$H$6:$H$205,MIN(C84+1,200)))-LN(INDEX(Dic2024!$H$6:$H$205,C84)))*(A84-6*C84)/6))</f>
        <v>0.716322878777301</v>
      </c>
      <c r="E84" s="12" t="n">
        <f aca="false">D84^(-1/B84)-1</f>
        <v>0.0513169746881934</v>
      </c>
      <c r="F84" s="12" t="n">
        <f aca="false">(1+E84)^(1/12)-1</f>
        <v>0.00417901113611685</v>
      </c>
      <c r="G84" s="16" t="n">
        <f aca="false">IF(C84=0,(1+Dic2024!$J$6)^(-B84),EXP(LN(INDEX(Dic2024!$K$6:$K$205,C84))+(LN(INDEX(Dic2024!$K$6:$K$205,MIN(C84+1,200)))-LN(INDEX(Dic2024!$K$6:$K$205,C84)))*(A84-6*C84)/6))</f>
        <v>0.716322878777301</v>
      </c>
      <c r="H84" s="12" t="n">
        <f aca="false">G84^(-1/B84)-1</f>
        <v>0.0513169746881934</v>
      </c>
      <c r="I84" s="12" t="n">
        <f aca="false">(1+H84)^(1/12)-1</f>
        <v>0.00417901113611685</v>
      </c>
      <c r="J84" s="16" t="n">
        <f aca="false">IF(C84=0,(1+Dic2024!$M$6)^(-B84),EXP(LN(INDEX(Dic2024!$N$6:$N$205,C84))+(LN(INDEX(Dic2024!$N$6:$N$205,MIN(C84+1,200)))-LN(INDEX(Dic2024!$N$6:$N$205,C84)))*(A84-6*C84)/6))</f>
        <v>0.716322878777301</v>
      </c>
      <c r="K84" s="12" t="n">
        <f aca="false">J84^(-1/B84)-1</f>
        <v>0.0513169746881934</v>
      </c>
      <c r="L84" s="12" t="n">
        <f aca="false">(1+K84)^(1/12)-1</f>
        <v>0.00417901113611685</v>
      </c>
    </row>
    <row r="85" customFormat="false" ht="15" hidden="false" customHeight="false" outlineLevel="0" collapsed="false">
      <c r="A85" s="4" t="n">
        <v>81</v>
      </c>
      <c r="B85" s="14" t="n">
        <f aca="false">A85/12</f>
        <v>6.75</v>
      </c>
      <c r="C85" s="15" t="n">
        <f aca="false">INT(A85/6)</f>
        <v>13</v>
      </c>
      <c r="D85" s="16" t="n">
        <f aca="false">IF(C85=0,(1+Dic2024!$G$6)^(-B85),EXP(LN(INDEX(Dic2024!$H$6:$H$205,C85))+(LN(INDEX(Dic2024!$H$6:$H$205,MIN(C85+1,200)))-LN(INDEX(Dic2024!$H$6:$H$205,C85)))*(A85-6*C85)/6))</f>
        <v>0.712946252143431</v>
      </c>
      <c r="E85" s="12" t="n">
        <f aca="false">D85^(-1/B85)-1</f>
        <v>0.0514033692557361</v>
      </c>
      <c r="F85" s="12" t="n">
        <f aca="false">(1+E85)^(1/12)-1</f>
        <v>0.00418588761787264</v>
      </c>
      <c r="G85" s="16" t="n">
        <f aca="false">IF(C85=0,(1+Dic2024!$J$6)^(-B85),EXP(LN(INDEX(Dic2024!$K$6:$K$205,C85))+(LN(INDEX(Dic2024!$K$6:$K$205,MIN(C85+1,200)))-LN(INDEX(Dic2024!$K$6:$K$205,C85)))*(A85-6*C85)/6))</f>
        <v>0.712946252143431</v>
      </c>
      <c r="H85" s="12" t="n">
        <f aca="false">G85^(-1/B85)-1</f>
        <v>0.0514033692557361</v>
      </c>
      <c r="I85" s="12" t="n">
        <f aca="false">(1+H85)^(1/12)-1</f>
        <v>0.00418588761787264</v>
      </c>
      <c r="J85" s="16" t="n">
        <f aca="false">IF(C85=0,(1+Dic2024!$M$6)^(-B85),EXP(LN(INDEX(Dic2024!$N$6:$N$205,C85))+(LN(INDEX(Dic2024!$N$6:$N$205,MIN(C85+1,200)))-LN(INDEX(Dic2024!$N$6:$N$205,C85)))*(A85-6*C85)/6))</f>
        <v>0.712946252143431</v>
      </c>
      <c r="K85" s="12" t="n">
        <f aca="false">J85^(-1/B85)-1</f>
        <v>0.0514033692557361</v>
      </c>
      <c r="L85" s="12" t="n">
        <f aca="false">(1+K85)^(1/12)-1</f>
        <v>0.00418588761787264</v>
      </c>
    </row>
    <row r="86" customFormat="false" ht="15" hidden="false" customHeight="false" outlineLevel="0" collapsed="false">
      <c r="A86" s="4" t="n">
        <v>82</v>
      </c>
      <c r="B86" s="14" t="n">
        <f aca="false">A86/12</f>
        <v>6.83333333333333</v>
      </c>
      <c r="C86" s="15" t="n">
        <f aca="false">INT(A86/6)</f>
        <v>13</v>
      </c>
      <c r="D86" s="16" t="n">
        <f aca="false">IF(C86=0,(1+Dic2024!$G$6)^(-B86),EXP(LN(INDEX(Dic2024!$H$6:$H$205,C86))+(LN(INDEX(Dic2024!$H$6:$H$205,MIN(C86+1,200)))-LN(INDEX(Dic2024!$H$6:$H$205,C86)))*(A86-6*C86)/6))</f>
        <v>0.709585542364603</v>
      </c>
      <c r="E86" s="12" t="n">
        <f aca="false">D86^(-1/B86)-1</f>
        <v>0.051487663480754</v>
      </c>
      <c r="F86" s="12" t="n">
        <f aca="false">(1+E86)^(1/12)-1</f>
        <v>0.00419259642594172</v>
      </c>
      <c r="G86" s="16" t="n">
        <f aca="false">IF(C86=0,(1+Dic2024!$J$6)^(-B86),EXP(LN(INDEX(Dic2024!$K$6:$K$205,C86))+(LN(INDEX(Dic2024!$K$6:$K$205,MIN(C86+1,200)))-LN(INDEX(Dic2024!$K$6:$K$205,C86)))*(A86-6*C86)/6))</f>
        <v>0.709585542364603</v>
      </c>
      <c r="H86" s="12" t="n">
        <f aca="false">G86^(-1/B86)-1</f>
        <v>0.051487663480754</v>
      </c>
      <c r="I86" s="12" t="n">
        <f aca="false">(1+H86)^(1/12)-1</f>
        <v>0.00419259642594172</v>
      </c>
      <c r="J86" s="16" t="n">
        <f aca="false">IF(C86=0,(1+Dic2024!$M$6)^(-B86),EXP(LN(INDEX(Dic2024!$N$6:$N$205,C86))+(LN(INDEX(Dic2024!$N$6:$N$205,MIN(C86+1,200)))-LN(INDEX(Dic2024!$N$6:$N$205,C86)))*(A86-6*C86)/6))</f>
        <v>0.709585542364603</v>
      </c>
      <c r="K86" s="12" t="n">
        <f aca="false">J86^(-1/B86)-1</f>
        <v>0.051487663480754</v>
      </c>
      <c r="L86" s="12" t="n">
        <f aca="false">(1+K86)^(1/12)-1</f>
        <v>0.00419259642594172</v>
      </c>
    </row>
    <row r="87" customFormat="false" ht="15" hidden="false" customHeight="false" outlineLevel="0" collapsed="false">
      <c r="A87" s="4" t="n">
        <v>83</v>
      </c>
      <c r="B87" s="14" t="n">
        <f aca="false">A87/12</f>
        <v>6.91666666666667</v>
      </c>
      <c r="C87" s="15" t="n">
        <f aca="false">INT(A87/6)</f>
        <v>13</v>
      </c>
      <c r="D87" s="16" t="n">
        <f aca="false">IF(C87=0,(1+Dic2024!$G$6)^(-B87),EXP(LN(INDEX(Dic2024!$H$6:$H$205,C87))+(LN(INDEX(Dic2024!$H$6:$H$205,MIN(C87+1,200)))-LN(INDEX(Dic2024!$H$6:$H$205,C87)))*(A87-6*C87)/6))</f>
        <v>0.706240674411415</v>
      </c>
      <c r="E87" s="12" t="n">
        <f aca="false">D87^(-1/B87)-1</f>
        <v>0.0515699330354409</v>
      </c>
      <c r="F87" s="12" t="n">
        <f aca="false">(1+E87)^(1/12)-1</f>
        <v>0.00419914361919838</v>
      </c>
      <c r="G87" s="16" t="n">
        <f aca="false">IF(C87=0,(1+Dic2024!$J$6)^(-B87),EXP(LN(INDEX(Dic2024!$K$6:$K$205,C87))+(LN(INDEX(Dic2024!$K$6:$K$205,MIN(C87+1,200)))-LN(INDEX(Dic2024!$K$6:$K$205,C87)))*(A87-6*C87)/6))</f>
        <v>0.706240674411415</v>
      </c>
      <c r="H87" s="12" t="n">
        <f aca="false">G87^(-1/B87)-1</f>
        <v>0.0515699330354409</v>
      </c>
      <c r="I87" s="12" t="n">
        <f aca="false">(1+H87)^(1/12)-1</f>
        <v>0.00419914361919838</v>
      </c>
      <c r="J87" s="16" t="n">
        <f aca="false">IF(C87=0,(1+Dic2024!$M$6)^(-B87),EXP(LN(INDEX(Dic2024!$N$6:$N$205,C87))+(LN(INDEX(Dic2024!$N$6:$N$205,MIN(C87+1,200)))-LN(INDEX(Dic2024!$N$6:$N$205,C87)))*(A87-6*C87)/6))</f>
        <v>0.706240674411415</v>
      </c>
      <c r="K87" s="12" t="n">
        <f aca="false">J87^(-1/B87)-1</f>
        <v>0.0515699330354409</v>
      </c>
      <c r="L87" s="12" t="n">
        <f aca="false">(1+K87)^(1/12)-1</f>
        <v>0.00419914361919838</v>
      </c>
    </row>
    <row r="88" customFormat="false" ht="15" hidden="false" customHeight="false" outlineLevel="0" collapsed="false">
      <c r="A88" s="4" t="n">
        <v>84</v>
      </c>
      <c r="B88" s="14" t="n">
        <f aca="false">A88/12</f>
        <v>7</v>
      </c>
      <c r="C88" s="15" t="n">
        <f aca="false">INT(A88/6)</f>
        <v>14</v>
      </c>
      <c r="D88" s="16" t="n">
        <f aca="false">IF(C88=0,(1+Dic2024!$G$6)^(-B88),EXP(LN(INDEX(Dic2024!$H$6:$H$205,C88))+(LN(INDEX(Dic2024!$H$6:$H$205,MIN(C88+1,200)))-LN(INDEX(Dic2024!$H$6:$H$205,C88)))*(A88-6*C88)/6))</f>
        <v>0.702911573608143</v>
      </c>
      <c r="E88" s="12" t="n">
        <f aca="false">D88^(-1/B88)-1</f>
        <v>0.0516502500000002</v>
      </c>
      <c r="F88" s="12" t="n">
        <f aca="false">(1+E88)^(1/12)-1</f>
        <v>0.00420553496807585</v>
      </c>
      <c r="G88" s="16" t="n">
        <f aca="false">IF(C88=0,(1+Dic2024!$J$6)^(-B88),EXP(LN(INDEX(Dic2024!$K$6:$K$205,C88))+(LN(INDEX(Dic2024!$K$6:$K$205,MIN(C88+1,200)))-LN(INDEX(Dic2024!$K$6:$K$205,C88)))*(A88-6*C88)/6))</f>
        <v>0.702911573608143</v>
      </c>
      <c r="H88" s="12" t="n">
        <f aca="false">G88^(-1/B88)-1</f>
        <v>0.0516502500000002</v>
      </c>
      <c r="I88" s="12" t="n">
        <f aca="false">(1+H88)^(1/12)-1</f>
        <v>0.00420553496807585</v>
      </c>
      <c r="J88" s="16" t="n">
        <f aca="false">IF(C88=0,(1+Dic2024!$M$6)^(-B88),EXP(LN(INDEX(Dic2024!$N$6:$N$205,C88))+(LN(INDEX(Dic2024!$N$6:$N$205,MIN(C88+1,200)))-LN(INDEX(Dic2024!$N$6:$N$205,C88)))*(A88-6*C88)/6))</f>
        <v>0.702911573608143</v>
      </c>
      <c r="K88" s="12" t="n">
        <f aca="false">J88^(-1/B88)-1</f>
        <v>0.0516502500000002</v>
      </c>
      <c r="L88" s="12" t="n">
        <f aca="false">(1+K88)^(1/12)-1</f>
        <v>0.00420553496807585</v>
      </c>
    </row>
    <row r="89" customFormat="false" ht="15" hidden="false" customHeight="false" outlineLevel="0" collapsed="false">
      <c r="A89" s="4" t="n">
        <v>85</v>
      </c>
      <c r="B89" s="14" t="n">
        <f aca="false">A89/12</f>
        <v>7.08333333333333</v>
      </c>
      <c r="C89" s="15" t="n">
        <f aca="false">INT(A89/6)</f>
        <v>14</v>
      </c>
      <c r="D89" s="16" t="n">
        <f aca="false">IF(C89=0,(1+Dic2024!$G$6)^(-B89),EXP(LN(INDEX(Dic2024!$H$6:$H$205,C89))+(LN(INDEX(Dic2024!$H$6:$H$205,MIN(C89+1,200)))-LN(INDEX(Dic2024!$H$6:$H$205,C89)))*(A89-6*C89)/6))</f>
        <v>0.699541414777946</v>
      </c>
      <c r="E89" s="12" t="n">
        <f aca="false">D89^(-1/B89)-1</f>
        <v>0.0517407281583946</v>
      </c>
      <c r="F89" s="12" t="n">
        <f aca="false">(1+E89)^(1/12)-1</f>
        <v>0.0042127343740308</v>
      </c>
      <c r="G89" s="16" t="n">
        <f aca="false">IF(C89=0,(1+Dic2024!$J$6)^(-B89),EXP(LN(INDEX(Dic2024!$K$6:$K$205,C89))+(LN(INDEX(Dic2024!$K$6:$K$205,MIN(C89+1,200)))-LN(INDEX(Dic2024!$K$6:$K$205,C89)))*(A89-6*C89)/6))</f>
        <v>0.699541414777946</v>
      </c>
      <c r="H89" s="12" t="n">
        <f aca="false">G89^(-1/B89)-1</f>
        <v>0.0517407281583946</v>
      </c>
      <c r="I89" s="12" t="n">
        <f aca="false">(1+H89)^(1/12)-1</f>
        <v>0.0042127343740308</v>
      </c>
      <c r="J89" s="16" t="n">
        <f aca="false">IF(C89=0,(1+Dic2024!$M$6)^(-B89),EXP(LN(INDEX(Dic2024!$N$6:$N$205,C89))+(LN(INDEX(Dic2024!$N$6:$N$205,MIN(C89+1,200)))-LN(INDEX(Dic2024!$N$6:$N$205,C89)))*(A89-6*C89)/6))</f>
        <v>0.699541414777946</v>
      </c>
      <c r="K89" s="12" t="n">
        <f aca="false">J89^(-1/B89)-1</f>
        <v>0.0517407281583946</v>
      </c>
      <c r="L89" s="12" t="n">
        <f aca="false">(1+K89)^(1/12)-1</f>
        <v>0.0042127343740308</v>
      </c>
    </row>
    <row r="90" customFormat="false" ht="15" hidden="false" customHeight="false" outlineLevel="0" collapsed="false">
      <c r="A90" s="4" t="n">
        <v>86</v>
      </c>
      <c r="B90" s="14" t="n">
        <f aca="false">A90/12</f>
        <v>7.16666666666667</v>
      </c>
      <c r="C90" s="15" t="n">
        <f aca="false">INT(A90/6)</f>
        <v>14</v>
      </c>
      <c r="D90" s="16" t="n">
        <f aca="false">IF(C90=0,(1+Dic2024!$G$6)^(-B90),EXP(LN(INDEX(Dic2024!$H$6:$H$205,C90))+(LN(INDEX(Dic2024!$H$6:$H$205,MIN(C90+1,200)))-LN(INDEX(Dic2024!$H$6:$H$205,C90)))*(A90-6*C90)/6))</f>
        <v>0.696187414410588</v>
      </c>
      <c r="E90" s="12" t="n">
        <f aca="false">D90^(-1/B90)-1</f>
        <v>0.0518291096883665</v>
      </c>
      <c r="F90" s="12" t="n">
        <f aca="false">(1+E90)^(1/12)-1</f>
        <v>0.00421976640176824</v>
      </c>
      <c r="G90" s="16" t="n">
        <f aca="false">IF(C90=0,(1+Dic2024!$J$6)^(-B90),EXP(LN(INDEX(Dic2024!$K$6:$K$205,C90))+(LN(INDEX(Dic2024!$K$6:$K$205,MIN(C90+1,200)))-LN(INDEX(Dic2024!$K$6:$K$205,C90)))*(A90-6*C90)/6))</f>
        <v>0.696187414410588</v>
      </c>
      <c r="H90" s="12" t="n">
        <f aca="false">G90^(-1/B90)-1</f>
        <v>0.0518291096883665</v>
      </c>
      <c r="I90" s="12" t="n">
        <f aca="false">(1+H90)^(1/12)-1</f>
        <v>0.00421976640176824</v>
      </c>
      <c r="J90" s="16" t="n">
        <f aca="false">IF(C90=0,(1+Dic2024!$M$6)^(-B90),EXP(LN(INDEX(Dic2024!$N$6:$N$205,C90))+(LN(INDEX(Dic2024!$N$6:$N$205,MIN(C90+1,200)))-LN(INDEX(Dic2024!$N$6:$N$205,C90)))*(A90-6*C90)/6))</f>
        <v>0.696187414410588</v>
      </c>
      <c r="K90" s="12" t="n">
        <f aca="false">J90^(-1/B90)-1</f>
        <v>0.0518291096883665</v>
      </c>
      <c r="L90" s="12" t="n">
        <f aca="false">(1+K90)^(1/12)-1</f>
        <v>0.00421976640176824</v>
      </c>
    </row>
    <row r="91" customFormat="false" ht="15" hidden="false" customHeight="false" outlineLevel="0" collapsed="false">
      <c r="A91" s="4" t="n">
        <v>87</v>
      </c>
      <c r="B91" s="14" t="n">
        <f aca="false">A91/12</f>
        <v>7.25</v>
      </c>
      <c r="C91" s="15" t="n">
        <f aca="false">INT(A91/6)</f>
        <v>14</v>
      </c>
      <c r="D91" s="16" t="n">
        <f aca="false">IF(C91=0,(1+Dic2024!$G$6)^(-B91),EXP(LN(INDEX(Dic2024!$H$6:$H$205,C91))+(LN(INDEX(Dic2024!$H$6:$H$205,MIN(C91+1,200)))-LN(INDEX(Dic2024!$H$6:$H$205,C91)))*(A91-6*C91)/6))</f>
        <v>0.692849495033185</v>
      </c>
      <c r="E91" s="12" t="n">
        <f aca="false">D91^(-1/B91)-1</f>
        <v>0.0519154666318984</v>
      </c>
      <c r="F91" s="12" t="n">
        <f aca="false">(1+E91)^(1/12)-1</f>
        <v>0.00422663682125246</v>
      </c>
      <c r="G91" s="16" t="n">
        <f aca="false">IF(C91=0,(1+Dic2024!$J$6)^(-B91),EXP(LN(INDEX(Dic2024!$K$6:$K$205,C91))+(LN(INDEX(Dic2024!$K$6:$K$205,MIN(C91+1,200)))-LN(INDEX(Dic2024!$K$6:$K$205,C91)))*(A91-6*C91)/6))</f>
        <v>0.692849495033185</v>
      </c>
      <c r="H91" s="12" t="n">
        <f aca="false">G91^(-1/B91)-1</f>
        <v>0.0519154666318984</v>
      </c>
      <c r="I91" s="12" t="n">
        <f aca="false">(1+H91)^(1/12)-1</f>
        <v>0.00422663682125246</v>
      </c>
      <c r="J91" s="16" t="n">
        <f aca="false">IF(C91=0,(1+Dic2024!$M$6)^(-B91),EXP(LN(INDEX(Dic2024!$N$6:$N$205,C91))+(LN(INDEX(Dic2024!$N$6:$N$205,MIN(C91+1,200)))-LN(INDEX(Dic2024!$N$6:$N$205,C91)))*(A91-6*C91)/6))</f>
        <v>0.692849495033185</v>
      </c>
      <c r="K91" s="12" t="n">
        <f aca="false">J91^(-1/B91)-1</f>
        <v>0.0519154666318984</v>
      </c>
      <c r="L91" s="12" t="n">
        <f aca="false">(1+K91)^(1/12)-1</f>
        <v>0.00422663682125246</v>
      </c>
    </row>
    <row r="92" customFormat="false" ht="15" hidden="false" customHeight="false" outlineLevel="0" collapsed="false">
      <c r="A92" s="4" t="n">
        <v>88</v>
      </c>
      <c r="B92" s="14" t="n">
        <f aca="false">A92/12</f>
        <v>7.33333333333333</v>
      </c>
      <c r="C92" s="15" t="n">
        <f aca="false">INT(A92/6)</f>
        <v>14</v>
      </c>
      <c r="D92" s="16" t="n">
        <f aca="false">IF(C92=0,(1+Dic2024!$G$6)^(-B92),EXP(LN(INDEX(Dic2024!$H$6:$H$205,C92))+(LN(INDEX(Dic2024!$H$6:$H$205,MIN(C92+1,200)))-LN(INDEX(Dic2024!$H$6:$H$205,C92)))*(A92-6*C92)/6))</f>
        <v>0.689527579544303</v>
      </c>
      <c r="E92" s="12" t="n">
        <f aca="false">D92^(-1/B92)-1</f>
        <v>0.0519998677677938</v>
      </c>
      <c r="F92" s="12" t="n">
        <f aca="false">(1+E92)^(1/12)-1</f>
        <v>0.00423335114025347</v>
      </c>
      <c r="G92" s="16" t="n">
        <f aca="false">IF(C92=0,(1+Dic2024!$J$6)^(-B92),EXP(LN(INDEX(Dic2024!$K$6:$K$205,C92))+(LN(INDEX(Dic2024!$K$6:$K$205,MIN(C92+1,200)))-LN(INDEX(Dic2024!$K$6:$K$205,C92)))*(A92-6*C92)/6))</f>
        <v>0.689527579544303</v>
      </c>
      <c r="H92" s="12" t="n">
        <f aca="false">G92^(-1/B92)-1</f>
        <v>0.0519998677677938</v>
      </c>
      <c r="I92" s="12" t="n">
        <f aca="false">(1+H92)^(1/12)-1</f>
        <v>0.00423335114025347</v>
      </c>
      <c r="J92" s="16" t="n">
        <f aca="false">IF(C92=0,(1+Dic2024!$M$6)^(-B92),EXP(LN(INDEX(Dic2024!$N$6:$N$205,C92))+(LN(INDEX(Dic2024!$N$6:$N$205,MIN(C92+1,200)))-LN(INDEX(Dic2024!$N$6:$N$205,C92)))*(A92-6*C92)/6))</f>
        <v>0.689527579544303</v>
      </c>
      <c r="K92" s="12" t="n">
        <f aca="false">J92^(-1/B92)-1</f>
        <v>0.0519998677677938</v>
      </c>
      <c r="L92" s="12" t="n">
        <f aca="false">(1+K92)^(1/12)-1</f>
        <v>0.00423335114025347</v>
      </c>
    </row>
    <row r="93" customFormat="false" ht="15" hidden="false" customHeight="false" outlineLevel="0" collapsed="false">
      <c r="A93" s="4" t="n">
        <v>89</v>
      </c>
      <c r="B93" s="14" t="n">
        <f aca="false">A93/12</f>
        <v>7.41666666666667</v>
      </c>
      <c r="C93" s="15" t="n">
        <f aca="false">INT(A93/6)</f>
        <v>14</v>
      </c>
      <c r="D93" s="16" t="n">
        <f aca="false">IF(C93=0,(1+Dic2024!$G$6)^(-B93),EXP(LN(INDEX(Dic2024!$H$6:$H$205,C93))+(LN(INDEX(Dic2024!$H$6:$H$205,MIN(C93+1,200)))-LN(INDEX(Dic2024!$H$6:$H$205,C93)))*(A93-6*C93)/6))</f>
        <v>0.686221591212176</v>
      </c>
      <c r="E93" s="12" t="n">
        <f aca="false">D93^(-1/B93)-1</f>
        <v>0.0520823787943681</v>
      </c>
      <c r="F93" s="12" t="n">
        <f aca="false">(1+E93)^(1/12)-1</f>
        <v>0.00423991461907192</v>
      </c>
      <c r="G93" s="16" t="n">
        <f aca="false">IF(C93=0,(1+Dic2024!$J$6)^(-B93),EXP(LN(INDEX(Dic2024!$K$6:$K$205,C93))+(LN(INDEX(Dic2024!$K$6:$K$205,MIN(C93+1,200)))-LN(INDEX(Dic2024!$K$6:$K$205,C93)))*(A93-6*C93)/6))</f>
        <v>0.686221591212176</v>
      </c>
      <c r="H93" s="12" t="n">
        <f aca="false">G93^(-1/B93)-1</f>
        <v>0.0520823787943681</v>
      </c>
      <c r="I93" s="12" t="n">
        <f aca="false">(1+H93)^(1/12)-1</f>
        <v>0.00423991461907192</v>
      </c>
      <c r="J93" s="16" t="n">
        <f aca="false">IF(C93=0,(1+Dic2024!$M$6)^(-B93),EXP(LN(INDEX(Dic2024!$N$6:$N$205,C93))+(LN(INDEX(Dic2024!$N$6:$N$205,MIN(C93+1,200)))-LN(INDEX(Dic2024!$N$6:$N$205,C93)))*(A93-6*C93)/6))</f>
        <v>0.686221591212176</v>
      </c>
      <c r="K93" s="12" t="n">
        <f aca="false">J93^(-1/B93)-1</f>
        <v>0.0520823787943681</v>
      </c>
      <c r="L93" s="12" t="n">
        <f aca="false">(1+K93)^(1/12)-1</f>
        <v>0.00423991461907192</v>
      </c>
    </row>
    <row r="94" customFormat="false" ht="15" hidden="false" customHeight="false" outlineLevel="0" collapsed="false">
      <c r="A94" s="4" t="n">
        <v>90</v>
      </c>
      <c r="B94" s="14" t="n">
        <f aca="false">A94/12</f>
        <v>7.5</v>
      </c>
      <c r="C94" s="15" t="n">
        <f aca="false">INT(A94/6)</f>
        <v>15</v>
      </c>
      <c r="D94" s="16" t="n">
        <f aca="false">IF(C94=0,(1+Dic2024!$G$6)^(-B94),EXP(LN(INDEX(Dic2024!$H$6:$H$205,C94))+(LN(INDEX(Dic2024!$H$6:$H$205,MIN(C94+1,200)))-LN(INDEX(Dic2024!$H$6:$H$205,C94)))*(A94-6*C94)/6))</f>
        <v>0.682931453672935</v>
      </c>
      <c r="E94" s="12" t="n">
        <f aca="false">D94^(-1/B94)-1</f>
        <v>0.0521630624999998</v>
      </c>
      <c r="F94" s="12" t="n">
        <f aca="false">(1+E94)^(1/12)-1</f>
        <v>0.00424633228428384</v>
      </c>
      <c r="G94" s="16" t="n">
        <f aca="false">IF(C94=0,(1+Dic2024!$J$6)^(-B94),EXP(LN(INDEX(Dic2024!$K$6:$K$205,C94))+(LN(INDEX(Dic2024!$K$6:$K$205,MIN(C94+1,200)))-LN(INDEX(Dic2024!$K$6:$K$205,C94)))*(A94-6*C94)/6))</f>
        <v>0.682931453672935</v>
      </c>
      <c r="H94" s="12" t="n">
        <f aca="false">G94^(-1/B94)-1</f>
        <v>0.0521630624999998</v>
      </c>
      <c r="I94" s="12" t="n">
        <f aca="false">(1+H94)^(1/12)-1</f>
        <v>0.00424633228428384</v>
      </c>
      <c r="J94" s="16" t="n">
        <f aca="false">IF(C94=0,(1+Dic2024!$M$6)^(-B94),EXP(LN(INDEX(Dic2024!$N$6:$N$205,C94))+(LN(INDEX(Dic2024!$N$6:$N$205,MIN(C94+1,200)))-LN(INDEX(Dic2024!$N$6:$N$205,C94)))*(A94-6*C94)/6))</f>
        <v>0.682931453672935</v>
      </c>
      <c r="K94" s="12" t="n">
        <f aca="false">J94^(-1/B94)-1</f>
        <v>0.0521630624999998</v>
      </c>
      <c r="L94" s="12" t="n">
        <f aca="false">(1+K94)^(1/12)-1</f>
        <v>0.00424633228428384</v>
      </c>
    </row>
    <row r="95" customFormat="false" ht="15" hidden="false" customHeight="false" outlineLevel="0" collapsed="false">
      <c r="A95" s="4" t="n">
        <v>91</v>
      </c>
      <c r="B95" s="14" t="n">
        <f aca="false">A95/12</f>
        <v>7.58333333333333</v>
      </c>
      <c r="C95" s="15" t="n">
        <f aca="false">INT(A95/6)</f>
        <v>15</v>
      </c>
      <c r="D95" s="16" t="n">
        <f aca="false">IF(C95=0,(1+Dic2024!$G$6)^(-B95),EXP(LN(INDEX(Dic2024!$H$6:$H$205,C95))+(LN(INDEX(Dic2024!$H$6:$H$205,MIN(C95+1,200)))-LN(INDEX(Dic2024!$H$6:$H$205,C95)))*(A95-6*C95)/6))</f>
        <v>0.67969030305928</v>
      </c>
      <c r="E95" s="12" t="n">
        <f aca="false">D95^(-1/B95)-1</f>
        <v>0.0522351985999932</v>
      </c>
      <c r="F95" s="12" t="n">
        <f aca="false">(1+E95)^(1/12)-1</f>
        <v>0.00425206968216996</v>
      </c>
      <c r="G95" s="16" t="n">
        <f aca="false">IF(C95=0,(1+Dic2024!$J$6)^(-B95),EXP(LN(INDEX(Dic2024!$K$6:$K$205,C95))+(LN(INDEX(Dic2024!$K$6:$K$205,MIN(C95+1,200)))-LN(INDEX(Dic2024!$K$6:$K$205,C95)))*(A95-6*C95)/6))</f>
        <v>0.67969030305928</v>
      </c>
      <c r="H95" s="12" t="n">
        <f aca="false">G95^(-1/B95)-1</f>
        <v>0.0522351985999932</v>
      </c>
      <c r="I95" s="12" t="n">
        <f aca="false">(1+H95)^(1/12)-1</f>
        <v>0.00425206968216996</v>
      </c>
      <c r="J95" s="16" t="n">
        <f aca="false">IF(C95=0,(1+Dic2024!$M$6)^(-B95),EXP(LN(INDEX(Dic2024!$N$6:$N$205,C95))+(LN(INDEX(Dic2024!$N$6:$N$205,MIN(C95+1,200)))-LN(INDEX(Dic2024!$N$6:$N$205,C95)))*(A95-6*C95)/6))</f>
        <v>0.67969030305928</v>
      </c>
      <c r="K95" s="12" t="n">
        <f aca="false">J95^(-1/B95)-1</f>
        <v>0.0522351985999932</v>
      </c>
      <c r="L95" s="12" t="n">
        <f aca="false">(1+K95)^(1/12)-1</f>
        <v>0.00425206968216996</v>
      </c>
    </row>
    <row r="96" customFormat="false" ht="15" hidden="false" customHeight="false" outlineLevel="0" collapsed="false">
      <c r="A96" s="4" t="n">
        <v>92</v>
      </c>
      <c r="B96" s="14" t="n">
        <f aca="false">A96/12</f>
        <v>7.66666666666667</v>
      </c>
      <c r="C96" s="15" t="n">
        <f aca="false">INT(A96/6)</f>
        <v>15</v>
      </c>
      <c r="D96" s="16" t="n">
        <f aca="false">IF(C96=0,(1+Dic2024!$G$6)^(-B96),EXP(LN(INDEX(Dic2024!$H$6:$H$205,C96))+(LN(INDEX(Dic2024!$H$6:$H$205,MIN(C96+1,200)))-LN(INDEX(Dic2024!$H$6:$H$205,C96)))*(A96-6*C96)/6))</f>
        <v>0.676464534746797</v>
      </c>
      <c r="E96" s="12" t="n">
        <f aca="false">D96^(-1/B96)-1</f>
        <v>0.0523057713094324</v>
      </c>
      <c r="F96" s="12" t="n">
        <f aca="false">(1+E96)^(1/12)-1</f>
        <v>0.00425768238573232</v>
      </c>
      <c r="G96" s="16" t="n">
        <f aca="false">IF(C96=0,(1+Dic2024!$J$6)^(-B96),EXP(LN(INDEX(Dic2024!$K$6:$K$205,C96))+(LN(INDEX(Dic2024!$K$6:$K$205,MIN(C96+1,200)))-LN(INDEX(Dic2024!$K$6:$K$205,C96)))*(A96-6*C96)/6))</f>
        <v>0.676464534746797</v>
      </c>
      <c r="H96" s="12" t="n">
        <f aca="false">G96^(-1/B96)-1</f>
        <v>0.0523057713094324</v>
      </c>
      <c r="I96" s="12" t="n">
        <f aca="false">(1+H96)^(1/12)-1</f>
        <v>0.00425768238573232</v>
      </c>
      <c r="J96" s="16" t="n">
        <f aca="false">IF(C96=0,(1+Dic2024!$M$6)^(-B96),EXP(LN(INDEX(Dic2024!$N$6:$N$205,C96))+(LN(INDEX(Dic2024!$N$6:$N$205,MIN(C96+1,200)))-LN(INDEX(Dic2024!$N$6:$N$205,C96)))*(A96-6*C96)/6))</f>
        <v>0.676464534746797</v>
      </c>
      <c r="K96" s="12" t="n">
        <f aca="false">J96^(-1/B96)-1</f>
        <v>0.0523057713094324</v>
      </c>
      <c r="L96" s="12" t="n">
        <f aca="false">(1+K96)^(1/12)-1</f>
        <v>0.00425768238573232</v>
      </c>
    </row>
    <row r="97" customFormat="false" ht="15" hidden="false" customHeight="false" outlineLevel="0" collapsed="false">
      <c r="A97" s="4" t="n">
        <v>93</v>
      </c>
      <c r="B97" s="14" t="n">
        <f aca="false">A97/12</f>
        <v>7.75</v>
      </c>
      <c r="C97" s="15" t="n">
        <f aca="false">INT(A97/6)</f>
        <v>15</v>
      </c>
      <c r="D97" s="16" t="n">
        <f aca="false">IF(C97=0,(1+Dic2024!$G$6)^(-B97),EXP(LN(INDEX(Dic2024!$H$6:$H$205,C97))+(LN(INDEX(Dic2024!$H$6:$H$205,MIN(C97+1,200)))-LN(INDEX(Dic2024!$H$6:$H$205,C97)))*(A97-6*C97)/6))</f>
        <v>0.673254075732033</v>
      </c>
      <c r="E97" s="12" t="n">
        <f aca="false">D97^(-1/B97)-1</f>
        <v>0.0523748309078662</v>
      </c>
      <c r="F97" s="12" t="n">
        <f aca="false">(1+E97)^(1/12)-1</f>
        <v>0.00426317441635682</v>
      </c>
      <c r="G97" s="16" t="n">
        <f aca="false">IF(C97=0,(1+Dic2024!$J$6)^(-B97),EXP(LN(INDEX(Dic2024!$K$6:$K$205,C97))+(LN(INDEX(Dic2024!$K$6:$K$205,MIN(C97+1,200)))-LN(INDEX(Dic2024!$K$6:$K$205,C97)))*(A97-6*C97)/6))</f>
        <v>0.673254075732033</v>
      </c>
      <c r="H97" s="12" t="n">
        <f aca="false">G97^(-1/B97)-1</f>
        <v>0.0523748309078662</v>
      </c>
      <c r="I97" s="12" t="n">
        <f aca="false">(1+H97)^(1/12)-1</f>
        <v>0.00426317441635682</v>
      </c>
      <c r="J97" s="16" t="n">
        <f aca="false">IF(C97=0,(1+Dic2024!$M$6)^(-B97),EXP(LN(INDEX(Dic2024!$N$6:$N$205,C97))+(LN(INDEX(Dic2024!$N$6:$N$205,MIN(C97+1,200)))-LN(INDEX(Dic2024!$N$6:$N$205,C97)))*(A97-6*C97)/6))</f>
        <v>0.673254075732033</v>
      </c>
      <c r="K97" s="12" t="n">
        <f aca="false">J97^(-1/B97)-1</f>
        <v>0.0523748309078662</v>
      </c>
      <c r="L97" s="12" t="n">
        <f aca="false">(1+K97)^(1/12)-1</f>
        <v>0.00426317441635682</v>
      </c>
    </row>
    <row r="98" customFormat="false" ht="15" hidden="false" customHeight="false" outlineLevel="0" collapsed="false">
      <c r="A98" s="4" t="n">
        <v>94</v>
      </c>
      <c r="B98" s="14" t="n">
        <f aca="false">A98/12</f>
        <v>7.83333333333333</v>
      </c>
      <c r="C98" s="15" t="n">
        <f aca="false">INT(A98/6)</f>
        <v>15</v>
      </c>
      <c r="D98" s="16" t="n">
        <f aca="false">IF(C98=0,(1+Dic2024!$G$6)^(-B98),EXP(LN(INDEX(Dic2024!$H$6:$H$205,C98))+(LN(INDEX(Dic2024!$H$6:$H$205,MIN(C98+1,200)))-LN(INDEX(Dic2024!$H$6:$H$205,C98)))*(A98-6*C98)/6))</f>
        <v>0.670058853358003</v>
      </c>
      <c r="E98" s="12" t="n">
        <f aca="false">D98^(-1/B98)-1</f>
        <v>0.0524424255416918</v>
      </c>
      <c r="F98" s="12" t="n">
        <f aca="false">(1+E98)^(1/12)-1</f>
        <v>0.00426854962434886</v>
      </c>
      <c r="G98" s="16" t="n">
        <f aca="false">IF(C98=0,(1+Dic2024!$J$6)^(-B98),EXP(LN(INDEX(Dic2024!$K$6:$K$205,C98))+(LN(INDEX(Dic2024!$K$6:$K$205,MIN(C98+1,200)))-LN(INDEX(Dic2024!$K$6:$K$205,C98)))*(A98-6*C98)/6))</f>
        <v>0.670058853358003</v>
      </c>
      <c r="H98" s="12" t="n">
        <f aca="false">G98^(-1/B98)-1</f>
        <v>0.0524424255416918</v>
      </c>
      <c r="I98" s="12" t="n">
        <f aca="false">(1+H98)^(1/12)-1</f>
        <v>0.00426854962434886</v>
      </c>
      <c r="J98" s="16" t="n">
        <f aca="false">IF(C98=0,(1+Dic2024!$M$6)^(-B98),EXP(LN(INDEX(Dic2024!$N$6:$N$205,C98))+(LN(INDEX(Dic2024!$N$6:$N$205,MIN(C98+1,200)))-LN(INDEX(Dic2024!$N$6:$N$205,C98)))*(A98-6*C98)/6))</f>
        <v>0.670058853358003</v>
      </c>
      <c r="K98" s="12" t="n">
        <f aca="false">J98^(-1/B98)-1</f>
        <v>0.0524424255416918</v>
      </c>
      <c r="L98" s="12" t="n">
        <f aca="false">(1+K98)^(1/12)-1</f>
        <v>0.00426854962434886</v>
      </c>
    </row>
    <row r="99" customFormat="false" ht="15" hidden="false" customHeight="false" outlineLevel="0" collapsed="false">
      <c r="A99" s="4" t="n">
        <v>95</v>
      </c>
      <c r="B99" s="14" t="n">
        <f aca="false">A99/12</f>
        <v>7.91666666666667</v>
      </c>
      <c r="C99" s="15" t="n">
        <f aca="false">INT(A99/6)</f>
        <v>15</v>
      </c>
      <c r="D99" s="16" t="n">
        <f aca="false">IF(C99=0,(1+Dic2024!$G$6)^(-B99),EXP(LN(INDEX(Dic2024!$H$6:$H$205,C99))+(LN(INDEX(Dic2024!$H$6:$H$205,MIN(C99+1,200)))-LN(INDEX(Dic2024!$H$6:$H$205,C99)))*(A99-6*C99)/6))</f>
        <v>0.666878795312549</v>
      </c>
      <c r="E99" s="12" t="n">
        <f aca="false">D99^(-1/B99)-1</f>
        <v>0.0525086013360918</v>
      </c>
      <c r="F99" s="12" t="n">
        <f aca="false">(1+E99)^(1/12)-1</f>
        <v>0.00427381169793506</v>
      </c>
      <c r="G99" s="16" t="n">
        <f aca="false">IF(C99=0,(1+Dic2024!$J$6)^(-B99),EXP(LN(INDEX(Dic2024!$K$6:$K$205,C99))+(LN(INDEX(Dic2024!$K$6:$K$205,MIN(C99+1,200)))-LN(INDEX(Dic2024!$K$6:$K$205,C99)))*(A99-6*C99)/6))</f>
        <v>0.666878795312549</v>
      </c>
      <c r="H99" s="12" t="n">
        <f aca="false">G99^(-1/B99)-1</f>
        <v>0.0525086013360918</v>
      </c>
      <c r="I99" s="12" t="n">
        <f aca="false">(1+H99)^(1/12)-1</f>
        <v>0.00427381169793506</v>
      </c>
      <c r="J99" s="16" t="n">
        <f aca="false">IF(C99=0,(1+Dic2024!$M$6)^(-B99),EXP(LN(INDEX(Dic2024!$N$6:$N$205,C99))+(LN(INDEX(Dic2024!$N$6:$N$205,MIN(C99+1,200)))-LN(INDEX(Dic2024!$N$6:$N$205,C99)))*(A99-6*C99)/6))</f>
        <v>0.666878795312549</v>
      </c>
      <c r="K99" s="12" t="n">
        <f aca="false">J99^(-1/B99)-1</f>
        <v>0.0525086013360918</v>
      </c>
      <c r="L99" s="12" t="n">
        <f aca="false">(1+K99)^(1/12)-1</f>
        <v>0.00427381169793506</v>
      </c>
    </row>
    <row r="100" customFormat="false" ht="15" hidden="false" customHeight="false" outlineLevel="0" collapsed="false">
      <c r="A100" s="4" t="n">
        <v>96</v>
      </c>
      <c r="B100" s="14" t="n">
        <f aca="false">A100/12</f>
        <v>8</v>
      </c>
      <c r="C100" s="15" t="n">
        <f aca="false">INT(A100/6)</f>
        <v>16</v>
      </c>
      <c r="D100" s="16" t="n">
        <f aca="false">IF(C100=0,(1+Dic2024!$G$6)^(-B100),EXP(LN(INDEX(Dic2024!$H$6:$H$205,C100))+(LN(INDEX(Dic2024!$H$6:$H$205,MIN(C100+1,200)))-LN(INDEX(Dic2024!$H$6:$H$205,C100)))*(A100-6*C100)/6))</f>
        <v>0.663713829626701</v>
      </c>
      <c r="E100" s="12" t="n">
        <f aca="false">D100^(-1/B100)-1</f>
        <v>0.0525734024999998</v>
      </c>
      <c r="F100" s="12" t="n">
        <f aca="false">(1+E100)^(1/12)-1</f>
        <v>0.0042789641717047</v>
      </c>
      <c r="G100" s="16" t="n">
        <f aca="false">IF(C100=0,(1+Dic2024!$J$6)^(-B100),EXP(LN(INDEX(Dic2024!$K$6:$K$205,C100))+(LN(INDEX(Dic2024!$K$6:$K$205,MIN(C100+1,200)))-LN(INDEX(Dic2024!$K$6:$K$205,C100)))*(A100-6*C100)/6))</f>
        <v>0.663713829626701</v>
      </c>
      <c r="H100" s="12" t="n">
        <f aca="false">G100^(-1/B100)-1</f>
        <v>0.0525734024999998</v>
      </c>
      <c r="I100" s="12" t="n">
        <f aca="false">(1+H100)^(1/12)-1</f>
        <v>0.0042789641717047</v>
      </c>
      <c r="J100" s="16" t="n">
        <f aca="false">IF(C100=0,(1+Dic2024!$M$6)^(-B100),EXP(LN(INDEX(Dic2024!$N$6:$N$205,C100))+(LN(INDEX(Dic2024!$N$6:$N$205,MIN(C100+1,200)))-LN(INDEX(Dic2024!$N$6:$N$205,C100)))*(A100-6*C100)/6))</f>
        <v>0.663713829626701</v>
      </c>
      <c r="K100" s="12" t="n">
        <f aca="false">J100^(-1/B100)-1</f>
        <v>0.0525734024999998</v>
      </c>
      <c r="L100" s="12" t="n">
        <f aca="false">(1+K100)^(1/12)-1</f>
        <v>0.0042789641717047</v>
      </c>
    </row>
    <row r="101" customFormat="false" ht="15" hidden="false" customHeight="false" outlineLevel="0" collapsed="false">
      <c r="A101" s="4" t="n">
        <v>97</v>
      </c>
      <c r="B101" s="14" t="n">
        <f aca="false">A101/12</f>
        <v>8.08333333333333</v>
      </c>
      <c r="C101" s="15" t="n">
        <f aca="false">INT(A101/6)</f>
        <v>16</v>
      </c>
      <c r="D101" s="16" t="n">
        <f aca="false">IF(C101=0,(1+Dic2024!$G$6)^(-B101),EXP(LN(INDEX(Dic2024!$H$6:$H$205,C101))+(LN(INDEX(Dic2024!$H$6:$H$205,MIN(C101+1,200)))-LN(INDEX(Dic2024!$H$6:$H$205,C101)))*(A101-6*C101)/6))</f>
        <v>0.660429848582916</v>
      </c>
      <c r="E101" s="12" t="n">
        <f aca="false">D101^(-1/B101)-1</f>
        <v>0.0526632982218052</v>
      </c>
      <c r="F101" s="12" t="n">
        <f aca="false">(1+E101)^(1/12)-1</f>
        <v>0.00428611148390146</v>
      </c>
      <c r="G101" s="16" t="n">
        <f aca="false">IF(C101=0,(1+Dic2024!$J$6)^(-B101),EXP(LN(INDEX(Dic2024!$K$6:$K$205,C101))+(LN(INDEX(Dic2024!$K$6:$K$205,MIN(C101+1,200)))-LN(INDEX(Dic2024!$K$6:$K$205,C101)))*(A101-6*C101)/6))</f>
        <v>0.660429848582916</v>
      </c>
      <c r="H101" s="12" t="n">
        <f aca="false">G101^(-1/B101)-1</f>
        <v>0.0526632982218052</v>
      </c>
      <c r="I101" s="12" t="n">
        <f aca="false">(1+H101)^(1/12)-1</f>
        <v>0.00428611148390146</v>
      </c>
      <c r="J101" s="16" t="n">
        <f aca="false">IF(C101=0,(1+Dic2024!$M$6)^(-B101),EXP(LN(INDEX(Dic2024!$N$6:$N$205,C101))+(LN(INDEX(Dic2024!$N$6:$N$205,MIN(C101+1,200)))-LN(INDEX(Dic2024!$N$6:$N$205,C101)))*(A101-6*C101)/6))</f>
        <v>0.660429848582916</v>
      </c>
      <c r="K101" s="12" t="n">
        <f aca="false">J101^(-1/B101)-1</f>
        <v>0.0526632982218052</v>
      </c>
      <c r="L101" s="12" t="n">
        <f aca="false">(1+K101)^(1/12)-1</f>
        <v>0.00428611148390146</v>
      </c>
    </row>
    <row r="102" customFormat="false" ht="15" hidden="false" customHeight="false" outlineLevel="0" collapsed="false">
      <c r="A102" s="4" t="n">
        <v>98</v>
      </c>
      <c r="B102" s="14" t="n">
        <f aca="false">A102/12</f>
        <v>8.16666666666667</v>
      </c>
      <c r="C102" s="15" t="n">
        <f aca="false">INT(A102/6)</f>
        <v>16</v>
      </c>
      <c r="D102" s="16" t="n">
        <f aca="false">IF(C102=0,(1+Dic2024!$G$6)^(-B102),EXP(LN(INDEX(Dic2024!$H$6:$H$205,C102))+(LN(INDEX(Dic2024!$H$6:$H$205,MIN(C102+1,200)))-LN(INDEX(Dic2024!$H$6:$H$205,C102)))*(A102-6*C102)/6))</f>
        <v>0.657162116306317</v>
      </c>
      <c r="E102" s="12" t="n">
        <f aca="false">D102^(-1/B102)-1</f>
        <v>0.0527513667812121</v>
      </c>
      <c r="F102" s="12" t="n">
        <f aca="false">(1+E102)^(1/12)-1</f>
        <v>0.00429311298190394</v>
      </c>
      <c r="G102" s="16" t="n">
        <f aca="false">IF(C102=0,(1+Dic2024!$J$6)^(-B102),EXP(LN(INDEX(Dic2024!$K$6:$K$205,C102))+(LN(INDEX(Dic2024!$K$6:$K$205,MIN(C102+1,200)))-LN(INDEX(Dic2024!$K$6:$K$205,C102)))*(A102-6*C102)/6))</f>
        <v>0.657162116306317</v>
      </c>
      <c r="H102" s="12" t="n">
        <f aca="false">G102^(-1/B102)-1</f>
        <v>0.0527513667812121</v>
      </c>
      <c r="I102" s="12" t="n">
        <f aca="false">(1+H102)^(1/12)-1</f>
        <v>0.00429311298190394</v>
      </c>
      <c r="J102" s="16" t="n">
        <f aca="false">IF(C102=0,(1+Dic2024!$M$6)^(-B102),EXP(LN(INDEX(Dic2024!$N$6:$N$205,C102))+(LN(INDEX(Dic2024!$N$6:$N$205,MIN(C102+1,200)))-LN(INDEX(Dic2024!$N$6:$N$205,C102)))*(A102-6*C102)/6))</f>
        <v>0.657162116306317</v>
      </c>
      <c r="K102" s="12" t="n">
        <f aca="false">J102^(-1/B102)-1</f>
        <v>0.0527513667812121</v>
      </c>
      <c r="L102" s="12" t="n">
        <f aca="false">(1+K102)^(1/12)-1</f>
        <v>0.00429311298190394</v>
      </c>
    </row>
    <row r="103" customFormat="false" ht="15" hidden="false" customHeight="false" outlineLevel="0" collapsed="false">
      <c r="A103" s="4" t="n">
        <v>99</v>
      </c>
      <c r="B103" s="14" t="n">
        <f aca="false">A103/12</f>
        <v>8.25</v>
      </c>
      <c r="C103" s="15" t="n">
        <f aca="false">INT(A103/6)</f>
        <v>16</v>
      </c>
      <c r="D103" s="16" t="n">
        <f aca="false">IF(C103=0,(1+Dic2024!$G$6)^(-B103),EXP(LN(INDEX(Dic2024!$H$6:$H$205,C103))+(LN(INDEX(Dic2024!$H$6:$H$205,MIN(C103+1,200)))-LN(INDEX(Dic2024!$H$6:$H$205,C103)))*(A103-6*C103)/6))</f>
        <v>0.65391055239984</v>
      </c>
      <c r="E103" s="12" t="n">
        <f aca="false">D103^(-1/B103)-1</f>
        <v>0.0528376633240737</v>
      </c>
      <c r="F103" s="12" t="n">
        <f aca="false">(1+E103)^(1/12)-1</f>
        <v>0.0042999730828448</v>
      </c>
      <c r="G103" s="16" t="n">
        <f aca="false">IF(C103=0,(1+Dic2024!$J$6)^(-B103),EXP(LN(INDEX(Dic2024!$K$6:$K$205,C103))+(LN(INDEX(Dic2024!$K$6:$K$205,MIN(C103+1,200)))-LN(INDEX(Dic2024!$K$6:$K$205,C103)))*(A103-6*C103)/6))</f>
        <v>0.65391055239984</v>
      </c>
      <c r="H103" s="12" t="n">
        <f aca="false">G103^(-1/B103)-1</f>
        <v>0.0528376633240737</v>
      </c>
      <c r="I103" s="12" t="n">
        <f aca="false">(1+H103)^(1/12)-1</f>
        <v>0.0042999730828448</v>
      </c>
      <c r="J103" s="16" t="n">
        <f aca="false">IF(C103=0,(1+Dic2024!$M$6)^(-B103),EXP(LN(INDEX(Dic2024!$N$6:$N$205,C103))+(LN(INDEX(Dic2024!$N$6:$N$205,MIN(C103+1,200)))-LN(INDEX(Dic2024!$N$6:$N$205,C103)))*(A103-6*C103)/6))</f>
        <v>0.65391055239984</v>
      </c>
      <c r="K103" s="12" t="n">
        <f aca="false">J103^(-1/B103)-1</f>
        <v>0.0528376633240737</v>
      </c>
      <c r="L103" s="12" t="n">
        <f aca="false">(1+K103)^(1/12)-1</f>
        <v>0.0042999730828448</v>
      </c>
    </row>
    <row r="104" customFormat="false" ht="15" hidden="false" customHeight="false" outlineLevel="0" collapsed="false">
      <c r="A104" s="4" t="n">
        <v>100</v>
      </c>
      <c r="B104" s="14" t="n">
        <f aca="false">A104/12</f>
        <v>8.33333333333333</v>
      </c>
      <c r="C104" s="15" t="n">
        <f aca="false">INT(A104/6)</f>
        <v>16</v>
      </c>
      <c r="D104" s="16" t="n">
        <f aca="false">IF(C104=0,(1+Dic2024!$G$6)^(-B104),EXP(LN(INDEX(Dic2024!$H$6:$H$205,C104))+(LN(INDEX(Dic2024!$H$6:$H$205,MIN(C104+1,200)))-LN(INDEX(Dic2024!$H$6:$H$205,C104)))*(A104-6*C104)/6))</f>
        <v>0.650675076864216</v>
      </c>
      <c r="E104" s="12" t="n">
        <f aca="false">D104^(-1/B104)-1</f>
        <v>0.0529222407992047</v>
      </c>
      <c r="F104" s="12" t="n">
        <f aca="false">(1+E104)^(1/12)-1</f>
        <v>0.00430669602723022</v>
      </c>
      <c r="G104" s="16" t="n">
        <f aca="false">IF(C104=0,(1+Dic2024!$J$6)^(-B104),EXP(LN(INDEX(Dic2024!$K$6:$K$205,C104))+(LN(INDEX(Dic2024!$K$6:$K$205,MIN(C104+1,200)))-LN(INDEX(Dic2024!$K$6:$K$205,C104)))*(A104-6*C104)/6))</f>
        <v>0.650675076864216</v>
      </c>
      <c r="H104" s="12" t="n">
        <f aca="false">G104^(-1/B104)-1</f>
        <v>0.0529222407992047</v>
      </c>
      <c r="I104" s="12" t="n">
        <f aca="false">(1+H104)^(1/12)-1</f>
        <v>0.00430669602723022</v>
      </c>
      <c r="J104" s="16" t="n">
        <f aca="false">IF(C104=0,(1+Dic2024!$M$6)^(-B104),EXP(LN(INDEX(Dic2024!$N$6:$N$205,C104))+(LN(INDEX(Dic2024!$N$6:$N$205,MIN(C104+1,200)))-LN(INDEX(Dic2024!$N$6:$N$205,C104)))*(A104-6*C104)/6))</f>
        <v>0.650675076864216</v>
      </c>
      <c r="K104" s="12" t="n">
        <f aca="false">J104^(-1/B104)-1</f>
        <v>0.0529222407992047</v>
      </c>
      <c r="L104" s="12" t="n">
        <f aca="false">(1+K104)^(1/12)-1</f>
        <v>0.00430669602723022</v>
      </c>
    </row>
    <row r="105" customFormat="false" ht="15" hidden="false" customHeight="false" outlineLevel="0" collapsed="false">
      <c r="A105" s="4" t="n">
        <v>101</v>
      </c>
      <c r="B105" s="14" t="n">
        <f aca="false">A105/12</f>
        <v>8.41666666666667</v>
      </c>
      <c r="C105" s="15" t="n">
        <f aca="false">INT(A105/6)</f>
        <v>16</v>
      </c>
      <c r="D105" s="16" t="n">
        <f aca="false">IF(C105=0,(1+Dic2024!$G$6)^(-B105),EXP(LN(INDEX(Dic2024!$H$6:$H$205,C105))+(LN(INDEX(Dic2024!$H$6:$H$205,MIN(C105+1,200)))-LN(INDEX(Dic2024!$H$6:$H$205,C105)))*(A105-6*C105)/6))</f>
        <v>0.647455610096005</v>
      </c>
      <c r="E105" s="12" t="n">
        <f aca="false">D105^(-1/B105)-1</f>
        <v>0.0530051500667157</v>
      </c>
      <c r="F105" s="12" t="n">
        <f aca="false">(1+E105)^(1/12)-1</f>
        <v>0.00431328588768065</v>
      </c>
      <c r="G105" s="16" t="n">
        <f aca="false">IF(C105=0,(1+Dic2024!$J$6)^(-B105),EXP(LN(INDEX(Dic2024!$K$6:$K$205,C105))+(LN(INDEX(Dic2024!$K$6:$K$205,MIN(C105+1,200)))-LN(INDEX(Dic2024!$K$6:$K$205,C105)))*(A105-6*C105)/6))</f>
        <v>0.647455610096005</v>
      </c>
      <c r="H105" s="12" t="n">
        <f aca="false">G105^(-1/B105)-1</f>
        <v>0.0530051500667157</v>
      </c>
      <c r="I105" s="12" t="n">
        <f aca="false">(1+H105)^(1/12)-1</f>
        <v>0.00431328588768065</v>
      </c>
      <c r="J105" s="16" t="n">
        <f aca="false">IF(C105=0,(1+Dic2024!$M$6)^(-B105),EXP(LN(INDEX(Dic2024!$N$6:$N$205,C105))+(LN(INDEX(Dic2024!$N$6:$N$205,MIN(C105+1,200)))-LN(INDEX(Dic2024!$N$6:$N$205,C105)))*(A105-6*C105)/6))</f>
        <v>0.647455610096005</v>
      </c>
      <c r="K105" s="12" t="n">
        <f aca="false">J105^(-1/B105)-1</f>
        <v>0.0530051500667157</v>
      </c>
      <c r="L105" s="12" t="n">
        <f aca="false">(1+K105)^(1/12)-1</f>
        <v>0.00431328588768065</v>
      </c>
    </row>
    <row r="106" customFormat="false" ht="15" hidden="false" customHeight="false" outlineLevel="0" collapsed="false">
      <c r="A106" s="4" t="n">
        <v>102</v>
      </c>
      <c r="B106" s="14" t="n">
        <f aca="false">A106/12</f>
        <v>8.5</v>
      </c>
      <c r="C106" s="15" t="n">
        <f aca="false">INT(A106/6)</f>
        <v>17</v>
      </c>
      <c r="D106" s="16" t="n">
        <f aca="false">IF(C106=0,(1+Dic2024!$G$6)^(-B106),EXP(LN(INDEX(Dic2024!$H$6:$H$205,C106))+(LN(INDEX(Dic2024!$H$6:$H$205,MIN(C106+1,200)))-LN(INDEX(Dic2024!$H$6:$H$205,C106)))*(A106-6*C106)/6))</f>
        <v>0.644252072885633</v>
      </c>
      <c r="E106" s="12" t="n">
        <f aca="false">D106^(-1/B106)-1</f>
        <v>0.05308644</v>
      </c>
      <c r="F106" s="12" t="n">
        <f aca="false">(1+E106)^(1/12)-1</f>
        <v>0.00431974657715761</v>
      </c>
      <c r="G106" s="16" t="n">
        <f aca="false">IF(C106=0,(1+Dic2024!$J$6)^(-B106),EXP(LN(INDEX(Dic2024!$K$6:$K$205,C106))+(LN(INDEX(Dic2024!$K$6:$K$205,MIN(C106+1,200)))-LN(INDEX(Dic2024!$K$6:$K$205,C106)))*(A106-6*C106)/6))</f>
        <v>0.644252072885633</v>
      </c>
      <c r="H106" s="12" t="n">
        <f aca="false">G106^(-1/B106)-1</f>
        <v>0.05308644</v>
      </c>
      <c r="I106" s="12" t="n">
        <f aca="false">(1+H106)^(1/12)-1</f>
        <v>0.00431974657715761</v>
      </c>
      <c r="J106" s="16" t="n">
        <f aca="false">IF(C106=0,(1+Dic2024!$M$6)^(-B106),EXP(LN(INDEX(Dic2024!$N$6:$N$205,C106))+(LN(INDEX(Dic2024!$N$6:$N$205,MIN(C106+1,200)))-LN(INDEX(Dic2024!$N$6:$N$205,C106)))*(A106-6*C106)/6))</f>
        <v>0.644252072885633</v>
      </c>
      <c r="K106" s="12" t="n">
        <f aca="false">J106^(-1/B106)-1</f>
        <v>0.05308644</v>
      </c>
      <c r="L106" s="12" t="n">
        <f aca="false">(1+K106)^(1/12)-1</f>
        <v>0.00431974657715761</v>
      </c>
    </row>
    <row r="107" customFormat="false" ht="15" hidden="false" customHeight="false" outlineLevel="0" collapsed="false">
      <c r="A107" s="4" t="n">
        <v>103</v>
      </c>
      <c r="B107" s="14" t="n">
        <f aca="false">A107/12</f>
        <v>8.58333333333333</v>
      </c>
      <c r="C107" s="15" t="n">
        <f aca="false">INT(A107/6)</f>
        <v>17</v>
      </c>
      <c r="D107" s="16" t="n">
        <f aca="false">IF(C107=0,(1+Dic2024!$G$6)^(-B107),EXP(LN(INDEX(Dic2024!$H$6:$H$205,C107))+(LN(INDEX(Dic2024!$H$6:$H$205,MIN(C107+1,200)))-LN(INDEX(Dic2024!$H$6:$H$205,C107)))*(A107-6*C107)/6))</f>
        <v>0.641106121519099</v>
      </c>
      <c r="E107" s="12" t="n">
        <f aca="false">D107^(-1/B107)-1</f>
        <v>0.0531581698223369</v>
      </c>
      <c r="F107" s="12" t="n">
        <f aca="false">(1+E107)^(1/12)-1</f>
        <v>0.00432544707692628</v>
      </c>
      <c r="G107" s="16" t="n">
        <f aca="false">IF(C107=0,(1+Dic2024!$J$6)^(-B107),EXP(LN(INDEX(Dic2024!$K$6:$K$205,C107))+(LN(INDEX(Dic2024!$K$6:$K$205,MIN(C107+1,200)))-LN(INDEX(Dic2024!$K$6:$K$205,C107)))*(A107-6*C107)/6))</f>
        <v>0.641106121519099</v>
      </c>
      <c r="H107" s="12" t="n">
        <f aca="false">G107^(-1/B107)-1</f>
        <v>0.0531581698223369</v>
      </c>
      <c r="I107" s="12" t="n">
        <f aca="false">(1+H107)^(1/12)-1</f>
        <v>0.00432544707692628</v>
      </c>
      <c r="J107" s="16" t="n">
        <f aca="false">IF(C107=0,(1+Dic2024!$M$6)^(-B107),EXP(LN(INDEX(Dic2024!$N$6:$N$205,C107))+(LN(INDEX(Dic2024!$N$6:$N$205,MIN(C107+1,200)))-LN(INDEX(Dic2024!$N$6:$N$205,C107)))*(A107-6*C107)/6))</f>
        <v>0.641106121519099</v>
      </c>
      <c r="K107" s="12" t="n">
        <f aca="false">J107^(-1/B107)-1</f>
        <v>0.0531581698223369</v>
      </c>
      <c r="L107" s="12" t="n">
        <f aca="false">(1+K107)^(1/12)-1</f>
        <v>0.00432544707692628</v>
      </c>
    </row>
    <row r="108" customFormat="false" ht="15" hidden="false" customHeight="false" outlineLevel="0" collapsed="false">
      <c r="A108" s="4" t="n">
        <v>104</v>
      </c>
      <c r="B108" s="14" t="n">
        <f aca="false">A108/12</f>
        <v>8.66666666666667</v>
      </c>
      <c r="C108" s="15" t="n">
        <f aca="false">INT(A108/6)</f>
        <v>17</v>
      </c>
      <c r="D108" s="16" t="n">
        <f aca="false">IF(C108=0,(1+Dic2024!$G$6)^(-B108),EXP(LN(INDEX(Dic2024!$H$6:$H$205,C108))+(LN(INDEX(Dic2024!$H$6:$H$205,MIN(C108+1,200)))-LN(INDEX(Dic2024!$H$6:$H$205,C108)))*(A108-6*C108)/6))</f>
        <v>0.637975532167554</v>
      </c>
      <c r="E108" s="12" t="n">
        <f aca="false">D108^(-1/B108)-1</f>
        <v>0.053228524970776</v>
      </c>
      <c r="F108" s="12" t="n">
        <f aca="false">(1+E108)^(1/12)-1</f>
        <v>0.00433103798312806</v>
      </c>
      <c r="G108" s="16" t="n">
        <f aca="false">IF(C108=0,(1+Dic2024!$J$6)^(-B108),EXP(LN(INDEX(Dic2024!$K$6:$K$205,C108))+(LN(INDEX(Dic2024!$K$6:$K$205,MIN(C108+1,200)))-LN(INDEX(Dic2024!$K$6:$K$205,C108)))*(A108-6*C108)/6))</f>
        <v>0.637975532167554</v>
      </c>
      <c r="H108" s="12" t="n">
        <f aca="false">G108^(-1/B108)-1</f>
        <v>0.053228524970776</v>
      </c>
      <c r="I108" s="12" t="n">
        <f aca="false">(1+H108)^(1/12)-1</f>
        <v>0.00433103798312806</v>
      </c>
      <c r="J108" s="16" t="n">
        <f aca="false">IF(C108=0,(1+Dic2024!$M$6)^(-B108),EXP(LN(INDEX(Dic2024!$N$6:$N$205,C108))+(LN(INDEX(Dic2024!$N$6:$N$205,MIN(C108+1,200)))-LN(INDEX(Dic2024!$N$6:$N$205,C108)))*(A108-6*C108)/6))</f>
        <v>0.637975532167554</v>
      </c>
      <c r="K108" s="12" t="n">
        <f aca="false">J108^(-1/B108)-1</f>
        <v>0.053228524970776</v>
      </c>
      <c r="L108" s="12" t="n">
        <f aca="false">(1+K108)^(1/12)-1</f>
        <v>0.00433103798312806</v>
      </c>
    </row>
    <row r="109" customFormat="false" ht="15" hidden="false" customHeight="false" outlineLevel="0" collapsed="false">
      <c r="A109" s="4" t="n">
        <v>105</v>
      </c>
      <c r="B109" s="14" t="n">
        <f aca="false">A109/12</f>
        <v>8.75</v>
      </c>
      <c r="C109" s="15" t="n">
        <f aca="false">INT(A109/6)</f>
        <v>17</v>
      </c>
      <c r="D109" s="16" t="n">
        <f aca="false">IF(C109=0,(1+Dic2024!$G$6)^(-B109),EXP(LN(INDEX(Dic2024!$H$6:$H$205,C109))+(LN(INDEX(Dic2024!$H$6:$H$205,MIN(C109+1,200)))-LN(INDEX(Dic2024!$H$6:$H$205,C109)))*(A109-6*C109)/6))</f>
        <v>0.634860229816646</v>
      </c>
      <c r="E109" s="12" t="n">
        <f aca="false">D109^(-1/B109)-1</f>
        <v>0.053297544587718</v>
      </c>
      <c r="F109" s="12" t="n">
        <f aca="false">(1+E109)^(1/12)-1</f>
        <v>0.00433652242611826</v>
      </c>
      <c r="G109" s="16" t="n">
        <f aca="false">IF(C109=0,(1+Dic2024!$J$6)^(-B109),EXP(LN(INDEX(Dic2024!$K$6:$K$205,C109))+(LN(INDEX(Dic2024!$K$6:$K$205,MIN(C109+1,200)))-LN(INDEX(Dic2024!$K$6:$K$205,C109)))*(A109-6*C109)/6))</f>
        <v>0.634860229816646</v>
      </c>
      <c r="H109" s="12" t="n">
        <f aca="false">G109^(-1/B109)-1</f>
        <v>0.053297544587718</v>
      </c>
      <c r="I109" s="12" t="n">
        <f aca="false">(1+H109)^(1/12)-1</f>
        <v>0.00433652242611826</v>
      </c>
      <c r="J109" s="16" t="n">
        <f aca="false">IF(C109=0,(1+Dic2024!$M$6)^(-B109),EXP(LN(INDEX(Dic2024!$N$6:$N$205,C109))+(LN(INDEX(Dic2024!$N$6:$N$205,MIN(C109+1,200)))-LN(INDEX(Dic2024!$N$6:$N$205,C109)))*(A109-6*C109)/6))</f>
        <v>0.634860229816646</v>
      </c>
      <c r="K109" s="12" t="n">
        <f aca="false">J109^(-1/B109)-1</f>
        <v>0.053297544587718</v>
      </c>
      <c r="L109" s="12" t="n">
        <f aca="false">(1+K109)^(1/12)-1</f>
        <v>0.00433652242611826</v>
      </c>
    </row>
    <row r="110" customFormat="false" ht="15" hidden="false" customHeight="false" outlineLevel="0" collapsed="false">
      <c r="A110" s="4" t="n">
        <v>106</v>
      </c>
      <c r="B110" s="14" t="n">
        <f aca="false">A110/12</f>
        <v>8.83333333333333</v>
      </c>
      <c r="C110" s="15" t="n">
        <f aca="false">INT(A110/6)</f>
        <v>17</v>
      </c>
      <c r="D110" s="16" t="n">
        <f aca="false">IF(C110=0,(1+Dic2024!$G$6)^(-B110),EXP(LN(INDEX(Dic2024!$H$6:$H$205,C110))+(LN(INDEX(Dic2024!$H$6:$H$205,MIN(C110+1,200)))-LN(INDEX(Dic2024!$H$6:$H$205,C110)))*(A110-6*C110)/6))</f>
        <v>0.631760139818326</v>
      </c>
      <c r="E110" s="12" t="n">
        <f aca="false">D110^(-1/B110)-1</f>
        <v>0.0533652663434887</v>
      </c>
      <c r="F110" s="12" t="n">
        <f aca="false">(1+E110)^(1/12)-1</f>
        <v>0.00434190341815932</v>
      </c>
      <c r="G110" s="16" t="n">
        <f aca="false">IF(C110=0,(1+Dic2024!$J$6)^(-B110),EXP(LN(INDEX(Dic2024!$K$6:$K$205,C110))+(LN(INDEX(Dic2024!$K$6:$K$205,MIN(C110+1,200)))-LN(INDEX(Dic2024!$K$6:$K$205,C110)))*(A110-6*C110)/6))</f>
        <v>0.631760139818326</v>
      </c>
      <c r="H110" s="12" t="n">
        <f aca="false">G110^(-1/B110)-1</f>
        <v>0.0533652663434887</v>
      </c>
      <c r="I110" s="12" t="n">
        <f aca="false">(1+H110)^(1/12)-1</f>
        <v>0.00434190341815932</v>
      </c>
      <c r="J110" s="16" t="n">
        <f aca="false">IF(C110=0,(1+Dic2024!$M$6)^(-B110),EXP(LN(INDEX(Dic2024!$N$6:$N$205,C110))+(LN(INDEX(Dic2024!$N$6:$N$205,MIN(C110+1,200)))-LN(INDEX(Dic2024!$N$6:$N$205,C110)))*(A110-6*C110)/6))</f>
        <v>0.631760139818326</v>
      </c>
      <c r="K110" s="12" t="n">
        <f aca="false">J110^(-1/B110)-1</f>
        <v>0.0533652663434887</v>
      </c>
      <c r="L110" s="12" t="n">
        <f aca="false">(1+K110)^(1/12)-1</f>
        <v>0.00434190341815932</v>
      </c>
    </row>
    <row r="111" customFormat="false" ht="15" hidden="false" customHeight="false" outlineLevel="0" collapsed="false">
      <c r="A111" s="4" t="n">
        <v>107</v>
      </c>
      <c r="B111" s="14" t="n">
        <f aca="false">A111/12</f>
        <v>8.91666666666667</v>
      </c>
      <c r="C111" s="15" t="n">
        <f aca="false">INT(A111/6)</f>
        <v>17</v>
      </c>
      <c r="D111" s="16" t="n">
        <f aca="false">IF(C111=0,(1+Dic2024!$G$6)^(-B111),EXP(LN(INDEX(Dic2024!$H$6:$H$205,C111))+(LN(INDEX(Dic2024!$H$6:$H$205,MIN(C111+1,200)))-LN(INDEX(Dic2024!$H$6:$H$205,C111)))*(A111-6*C111)/6))</f>
        <v>0.628675187889059</v>
      </c>
      <c r="E111" s="12" t="n">
        <f aca="false">D111^(-1/B111)-1</f>
        <v>0.0534317265048978</v>
      </c>
      <c r="F111" s="12" t="n">
        <f aca="false">(1+E111)^(1/12)-1</f>
        <v>0.00434718385893662</v>
      </c>
      <c r="G111" s="16" t="n">
        <f aca="false">IF(C111=0,(1+Dic2024!$J$6)^(-B111),EXP(LN(INDEX(Dic2024!$K$6:$K$205,C111))+(LN(INDEX(Dic2024!$K$6:$K$205,MIN(C111+1,200)))-LN(INDEX(Dic2024!$K$6:$K$205,C111)))*(A111-6*C111)/6))</f>
        <v>0.628675187889059</v>
      </c>
      <c r="H111" s="12" t="n">
        <f aca="false">G111^(-1/B111)-1</f>
        <v>0.0534317265048978</v>
      </c>
      <c r="I111" s="12" t="n">
        <f aca="false">(1+H111)^(1/12)-1</f>
        <v>0.00434718385893662</v>
      </c>
      <c r="J111" s="16" t="n">
        <f aca="false">IF(C111=0,(1+Dic2024!$M$6)^(-B111),EXP(LN(INDEX(Dic2024!$N$6:$N$205,C111))+(LN(INDEX(Dic2024!$N$6:$N$205,MIN(C111+1,200)))-LN(INDEX(Dic2024!$N$6:$N$205,C111)))*(A111-6*C111)/6))</f>
        <v>0.628675187889059</v>
      </c>
      <c r="K111" s="12" t="n">
        <f aca="false">J111^(-1/B111)-1</f>
        <v>0.0534317265048978</v>
      </c>
      <c r="L111" s="12" t="n">
        <f aca="false">(1+K111)^(1/12)-1</f>
        <v>0.00434718385893662</v>
      </c>
    </row>
    <row r="112" customFormat="false" ht="15" hidden="false" customHeight="false" outlineLevel="0" collapsed="false">
      <c r="A112" s="4" t="n">
        <v>108</v>
      </c>
      <c r="B112" s="14" t="n">
        <f aca="false">A112/12</f>
        <v>9</v>
      </c>
      <c r="C112" s="15" t="n">
        <f aca="false">INT(A112/6)</f>
        <v>18</v>
      </c>
      <c r="D112" s="16" t="n">
        <f aca="false">IF(C112=0,(1+Dic2024!$G$6)^(-B112),EXP(LN(INDEX(Dic2024!$H$6:$H$205,C112))+(LN(INDEX(Dic2024!$H$6:$H$205,MIN(C112+1,200)))-LN(INDEX(Dic2024!$H$6:$H$205,C112)))*(A112-6*C112)/6))</f>
        <v>0.625605300108043</v>
      </c>
      <c r="E112" s="12" t="n">
        <f aca="false">D112^(-1/B112)-1</f>
        <v>0.0534969599999999</v>
      </c>
      <c r="F112" s="12" t="n">
        <f aca="false">(1+E112)^(1/12)-1</f>
        <v>0.00435236654076965</v>
      </c>
      <c r="G112" s="16" t="n">
        <f aca="false">IF(C112=0,(1+Dic2024!$J$6)^(-B112),EXP(LN(INDEX(Dic2024!$K$6:$K$205,C112))+(LN(INDEX(Dic2024!$K$6:$K$205,MIN(C112+1,200)))-LN(INDEX(Dic2024!$K$6:$K$205,C112)))*(A112-6*C112)/6))</f>
        <v>0.625605300108043</v>
      </c>
      <c r="H112" s="12" t="n">
        <f aca="false">G112^(-1/B112)-1</f>
        <v>0.0534969599999999</v>
      </c>
      <c r="I112" s="12" t="n">
        <f aca="false">(1+H112)^(1/12)-1</f>
        <v>0.00435236654076965</v>
      </c>
      <c r="J112" s="16" t="n">
        <f aca="false">IF(C112=0,(1+Dic2024!$M$6)^(-B112),EXP(LN(INDEX(Dic2024!$N$6:$N$205,C112))+(LN(INDEX(Dic2024!$N$6:$N$205,MIN(C112+1,200)))-LN(INDEX(Dic2024!$N$6:$N$205,C112)))*(A112-6*C112)/6))</f>
        <v>0.625605300108043</v>
      </c>
      <c r="K112" s="12" t="n">
        <f aca="false">J112^(-1/B112)-1</f>
        <v>0.0534969599999999</v>
      </c>
      <c r="L112" s="12" t="n">
        <f aca="false">(1+K112)^(1/12)-1</f>
        <v>0.00435236654076965</v>
      </c>
    </row>
    <row r="113" customFormat="false" ht="15" hidden="false" customHeight="false" outlineLevel="0" collapsed="false">
      <c r="A113" s="4" t="n">
        <v>109</v>
      </c>
      <c r="B113" s="14" t="n">
        <f aca="false">A113/12</f>
        <v>9.08333333333333</v>
      </c>
      <c r="C113" s="15" t="n">
        <f aca="false">INT(A113/6)</f>
        <v>18</v>
      </c>
      <c r="D113" s="16" t="n">
        <f aca="false">IF(C113=0,(1+Dic2024!$G$6)^(-B113),EXP(LN(INDEX(Dic2024!$H$6:$H$205,C113))+(LN(INDEX(Dic2024!$H$6:$H$205,MIN(C113+1,200)))-LN(INDEX(Dic2024!$H$6:$H$205,C113)))*(A113-6*C113)/6))</f>
        <v>0.622510039282285</v>
      </c>
      <c r="E113" s="12" t="n">
        <f aca="false">D113^(-1/B113)-1</f>
        <v>0.053568520963369</v>
      </c>
      <c r="F113" s="12" t="n">
        <f aca="false">(1+E113)^(1/12)-1</f>
        <v>0.00435805159003211</v>
      </c>
      <c r="G113" s="16" t="n">
        <f aca="false">IF(C113=0,(1+Dic2024!$J$6)^(-B113),EXP(LN(INDEX(Dic2024!$K$6:$K$205,C113))+(LN(INDEX(Dic2024!$K$6:$K$205,MIN(C113+1,200)))-LN(INDEX(Dic2024!$K$6:$K$205,C113)))*(A113-6*C113)/6))</f>
        <v>0.622510039282285</v>
      </c>
      <c r="H113" s="12" t="n">
        <f aca="false">G113^(-1/B113)-1</f>
        <v>0.053568520963369</v>
      </c>
      <c r="I113" s="12" t="n">
        <f aca="false">(1+H113)^(1/12)-1</f>
        <v>0.00435805159003211</v>
      </c>
      <c r="J113" s="16" t="n">
        <f aca="false">IF(C113=0,(1+Dic2024!$M$6)^(-B113),EXP(LN(INDEX(Dic2024!$N$6:$N$205,C113))+(LN(INDEX(Dic2024!$N$6:$N$205,MIN(C113+1,200)))-LN(INDEX(Dic2024!$N$6:$N$205,C113)))*(A113-6*C113)/6))</f>
        <v>0.622510039282285</v>
      </c>
      <c r="K113" s="12" t="n">
        <f aca="false">J113^(-1/B113)-1</f>
        <v>0.053568520963369</v>
      </c>
      <c r="L113" s="12" t="n">
        <f aca="false">(1+K113)^(1/12)-1</f>
        <v>0.00435805159003211</v>
      </c>
    </row>
    <row r="114" customFormat="false" ht="15" hidden="false" customHeight="false" outlineLevel="0" collapsed="false">
      <c r="A114" s="4" t="n">
        <v>110</v>
      </c>
      <c r="B114" s="14" t="n">
        <f aca="false">A114/12</f>
        <v>9.16666666666667</v>
      </c>
      <c r="C114" s="15" t="n">
        <f aca="false">INT(A114/6)</f>
        <v>18</v>
      </c>
      <c r="D114" s="16" t="n">
        <f aca="false">IF(C114=0,(1+Dic2024!$G$6)^(-B114),EXP(LN(INDEX(Dic2024!$H$6:$H$205,C114))+(LN(INDEX(Dic2024!$H$6:$H$205,MIN(C114+1,200)))-LN(INDEX(Dic2024!$H$6:$H$205,C114)))*(A114-6*C114)/6))</f>
        <v>0.619430092648363</v>
      </c>
      <c r="E114" s="12" t="n">
        <f aca="false">D114^(-1/B114)-1</f>
        <v>0.0536387855474705</v>
      </c>
      <c r="F114" s="12" t="n">
        <f aca="false">(1+E114)^(1/12)-1</f>
        <v>0.00436363330607015</v>
      </c>
      <c r="G114" s="16" t="n">
        <f aca="false">IF(C114=0,(1+Dic2024!$J$6)^(-B114),EXP(LN(INDEX(Dic2024!$K$6:$K$205,C114))+(LN(INDEX(Dic2024!$K$6:$K$205,MIN(C114+1,200)))-LN(INDEX(Dic2024!$K$6:$K$205,C114)))*(A114-6*C114)/6))</f>
        <v>0.619430092648363</v>
      </c>
      <c r="H114" s="12" t="n">
        <f aca="false">G114^(-1/B114)-1</f>
        <v>0.0536387855474705</v>
      </c>
      <c r="I114" s="12" t="n">
        <f aca="false">(1+H114)^(1/12)-1</f>
        <v>0.00436363330607015</v>
      </c>
      <c r="J114" s="16" t="n">
        <f aca="false">IF(C114=0,(1+Dic2024!$M$6)^(-B114),EXP(LN(INDEX(Dic2024!$N$6:$N$205,C114))+(LN(INDEX(Dic2024!$N$6:$N$205,MIN(C114+1,200)))-LN(INDEX(Dic2024!$N$6:$N$205,C114)))*(A114-6*C114)/6))</f>
        <v>0.619430092648363</v>
      </c>
      <c r="K114" s="12" t="n">
        <f aca="false">J114^(-1/B114)-1</f>
        <v>0.0536387855474705</v>
      </c>
      <c r="L114" s="12" t="n">
        <f aca="false">(1+K114)^(1/12)-1</f>
        <v>0.00436363330607015</v>
      </c>
    </row>
    <row r="115" customFormat="false" ht="15" hidden="false" customHeight="false" outlineLevel="0" collapsed="false">
      <c r="A115" s="4" t="n">
        <v>111</v>
      </c>
      <c r="B115" s="14" t="n">
        <f aca="false">A115/12</f>
        <v>9.25</v>
      </c>
      <c r="C115" s="15" t="n">
        <f aca="false">INT(A115/6)</f>
        <v>18</v>
      </c>
      <c r="D115" s="16" t="n">
        <f aca="false">IF(C115=0,(1+Dic2024!$G$6)^(-B115),EXP(LN(INDEX(Dic2024!$H$6:$H$205,C115))+(LN(INDEX(Dic2024!$H$6:$H$205,MIN(C115+1,200)))-LN(INDEX(Dic2024!$H$6:$H$205,C115)))*(A115-6*C115)/6))</f>
        <v>0.616365384437389</v>
      </c>
      <c r="E115" s="12" t="n">
        <f aca="false">D115^(-1/B115)-1</f>
        <v>0.0537077886632227</v>
      </c>
      <c r="F115" s="12" t="n">
        <f aca="false">(1+E115)^(1/12)-1</f>
        <v>0.0043691144808351</v>
      </c>
      <c r="G115" s="16" t="n">
        <f aca="false">IF(C115=0,(1+Dic2024!$J$6)^(-B115),EXP(LN(INDEX(Dic2024!$K$6:$K$205,C115))+(LN(INDEX(Dic2024!$K$6:$K$205,MIN(C115+1,200)))-LN(INDEX(Dic2024!$K$6:$K$205,C115)))*(A115-6*C115)/6))</f>
        <v>0.616365384437389</v>
      </c>
      <c r="H115" s="12" t="n">
        <f aca="false">G115^(-1/B115)-1</f>
        <v>0.0537077886632227</v>
      </c>
      <c r="I115" s="12" t="n">
        <f aca="false">(1+H115)^(1/12)-1</f>
        <v>0.0043691144808351</v>
      </c>
      <c r="J115" s="16" t="n">
        <f aca="false">IF(C115=0,(1+Dic2024!$M$6)^(-B115),EXP(LN(INDEX(Dic2024!$N$6:$N$205,C115))+(LN(INDEX(Dic2024!$N$6:$N$205,MIN(C115+1,200)))-LN(INDEX(Dic2024!$N$6:$N$205,C115)))*(A115-6*C115)/6))</f>
        <v>0.616365384437389</v>
      </c>
      <c r="K115" s="12" t="n">
        <f aca="false">J115^(-1/B115)-1</f>
        <v>0.0537077886632227</v>
      </c>
      <c r="L115" s="12" t="n">
        <f aca="false">(1+K115)^(1/12)-1</f>
        <v>0.0043691144808351</v>
      </c>
    </row>
    <row r="116" customFormat="false" ht="15" hidden="false" customHeight="false" outlineLevel="0" collapsed="false">
      <c r="A116" s="4" t="n">
        <v>112</v>
      </c>
      <c r="B116" s="14" t="n">
        <f aca="false">A116/12</f>
        <v>9.33333333333333</v>
      </c>
      <c r="C116" s="15" t="n">
        <f aca="false">INT(A116/6)</f>
        <v>18</v>
      </c>
      <c r="D116" s="16" t="n">
        <f aca="false">IF(C116=0,(1+Dic2024!$G$6)^(-B116),EXP(LN(INDEX(Dic2024!$H$6:$H$205,C116))+(LN(INDEX(Dic2024!$H$6:$H$205,MIN(C116+1,200)))-LN(INDEX(Dic2024!$H$6:$H$205,C116)))*(A116-6*C116)/6))</f>
        <v>0.61331583925535</v>
      </c>
      <c r="E116" s="12" t="n">
        <f aca="false">D116^(-1/B116)-1</f>
        <v>0.053775563979187</v>
      </c>
      <c r="F116" s="12" t="n">
        <f aca="false">(1+E116)^(1/12)-1</f>
        <v>0.00437449780659538</v>
      </c>
      <c r="G116" s="16" t="n">
        <f aca="false">IF(C116=0,(1+Dic2024!$J$6)^(-B116),EXP(LN(INDEX(Dic2024!$K$6:$K$205,C116))+(LN(INDEX(Dic2024!$K$6:$K$205,MIN(C116+1,200)))-LN(INDEX(Dic2024!$K$6:$K$205,C116)))*(A116-6*C116)/6))</f>
        <v>0.61331583925535</v>
      </c>
      <c r="H116" s="12" t="n">
        <f aca="false">G116^(-1/B116)-1</f>
        <v>0.053775563979187</v>
      </c>
      <c r="I116" s="12" t="n">
        <f aca="false">(1+H116)^(1/12)-1</f>
        <v>0.00437449780659538</v>
      </c>
      <c r="J116" s="16" t="n">
        <f aca="false">IF(C116=0,(1+Dic2024!$M$6)^(-B116),EXP(LN(INDEX(Dic2024!$N$6:$N$205,C116))+(LN(INDEX(Dic2024!$N$6:$N$205,MIN(C116+1,200)))-LN(INDEX(Dic2024!$N$6:$N$205,C116)))*(A116-6*C116)/6))</f>
        <v>0.61331583925535</v>
      </c>
      <c r="K116" s="12" t="n">
        <f aca="false">J116^(-1/B116)-1</f>
        <v>0.053775563979187</v>
      </c>
      <c r="L116" s="12" t="n">
        <f aca="false">(1+K116)^(1/12)-1</f>
        <v>0.00437449780659538</v>
      </c>
    </row>
    <row r="117" customFormat="false" ht="15" hidden="false" customHeight="false" outlineLevel="0" collapsed="false">
      <c r="A117" s="4" t="n">
        <v>113</v>
      </c>
      <c r="B117" s="14" t="n">
        <f aca="false">A117/12</f>
        <v>9.41666666666667</v>
      </c>
      <c r="C117" s="15" t="n">
        <f aca="false">INT(A117/6)</f>
        <v>18</v>
      </c>
      <c r="D117" s="16" t="n">
        <f aca="false">IF(C117=0,(1+Dic2024!$G$6)^(-B117),EXP(LN(INDEX(Dic2024!$H$6:$H$205,C117))+(LN(INDEX(Dic2024!$H$6:$H$205,MIN(C117+1,200)))-LN(INDEX(Dic2024!$H$6:$H$205,C117)))*(A117-6*C117)/6))</f>
        <v>0.610281382081256</v>
      </c>
      <c r="E117" s="12" t="n">
        <f aca="false">D117^(-1/B117)-1</f>
        <v>0.0538421439763446</v>
      </c>
      <c r="F117" s="12" t="n">
        <f aca="false">(1+E117)^(1/12)-1</f>
        <v>0.00437978588034627</v>
      </c>
      <c r="G117" s="16" t="n">
        <f aca="false">IF(C117=0,(1+Dic2024!$J$6)^(-B117),EXP(LN(INDEX(Dic2024!$K$6:$K$205,C117))+(LN(INDEX(Dic2024!$K$6:$K$205,MIN(C117+1,200)))-LN(INDEX(Dic2024!$K$6:$K$205,C117)))*(A117-6*C117)/6))</f>
        <v>0.610281382081256</v>
      </c>
      <c r="H117" s="12" t="n">
        <f aca="false">G117^(-1/B117)-1</f>
        <v>0.0538421439763446</v>
      </c>
      <c r="I117" s="12" t="n">
        <f aca="false">(1+H117)^(1/12)-1</f>
        <v>0.00437978588034627</v>
      </c>
      <c r="J117" s="16" t="n">
        <f aca="false">IF(C117=0,(1+Dic2024!$M$6)^(-B117),EXP(LN(INDEX(Dic2024!$N$6:$N$205,C117))+(LN(INDEX(Dic2024!$N$6:$N$205,MIN(C117+1,200)))-LN(INDEX(Dic2024!$N$6:$N$205,C117)))*(A117-6*C117)/6))</f>
        <v>0.610281382081256</v>
      </c>
      <c r="K117" s="12" t="n">
        <f aca="false">J117^(-1/B117)-1</f>
        <v>0.0538421439763446</v>
      </c>
      <c r="L117" s="12" t="n">
        <f aca="false">(1+K117)^(1/12)-1</f>
        <v>0.00437978588034627</v>
      </c>
    </row>
    <row r="118" customFormat="false" ht="15" hidden="false" customHeight="false" outlineLevel="0" collapsed="false">
      <c r="A118" s="4" t="n">
        <v>114</v>
      </c>
      <c r="B118" s="14" t="n">
        <f aca="false">A118/12</f>
        <v>9.5</v>
      </c>
      <c r="C118" s="15" t="n">
        <f aca="false">INT(A118/6)</f>
        <v>19</v>
      </c>
      <c r="D118" s="16" t="n">
        <f aca="false">IF(C118=0,(1+Dic2024!$G$6)^(-B118),EXP(LN(INDEX(Dic2024!$H$6:$H$205,C118))+(LN(INDEX(Dic2024!$H$6:$H$205,MIN(C118+1,200)))-LN(INDEX(Dic2024!$H$6:$H$205,C118)))*(A118-6*C118)/6))</f>
        <v>0.607261938265292</v>
      </c>
      <c r="E118" s="12" t="n">
        <f aca="false">D118^(-1/B118)-1</f>
        <v>0.0539075599999999</v>
      </c>
      <c r="F118" s="12" t="n">
        <f aca="false">(1+E118)^(1/12)-1</f>
        <v>0.00438498120798703</v>
      </c>
      <c r="G118" s="16" t="n">
        <f aca="false">IF(C118=0,(1+Dic2024!$J$6)^(-B118),EXP(LN(INDEX(Dic2024!$K$6:$K$205,C118))+(LN(INDEX(Dic2024!$K$6:$K$205,MIN(C118+1,200)))-LN(INDEX(Dic2024!$K$6:$K$205,C118)))*(A118-6*C118)/6))</f>
        <v>0.607261938265292</v>
      </c>
      <c r="H118" s="12" t="n">
        <f aca="false">G118^(-1/B118)-1</f>
        <v>0.0539075599999999</v>
      </c>
      <c r="I118" s="12" t="n">
        <f aca="false">(1+H118)^(1/12)-1</f>
        <v>0.00438498120798703</v>
      </c>
      <c r="J118" s="16" t="n">
        <f aca="false">IF(C118=0,(1+Dic2024!$M$6)^(-B118),EXP(LN(INDEX(Dic2024!$N$6:$N$205,C118))+(LN(INDEX(Dic2024!$N$6:$N$205,MIN(C118+1,200)))-LN(INDEX(Dic2024!$N$6:$N$205,C118)))*(A118-6*C118)/6))</f>
        <v>0.607261938265292</v>
      </c>
      <c r="K118" s="12" t="n">
        <f aca="false">J118^(-1/B118)-1</f>
        <v>0.0539075599999999</v>
      </c>
      <c r="L118" s="12" t="n">
        <f aca="false">(1+K118)^(1/12)-1</f>
        <v>0.00438498120798703</v>
      </c>
    </row>
    <row r="119" customFormat="false" ht="15" hidden="false" customHeight="false" outlineLevel="0" collapsed="false">
      <c r="A119" s="4" t="n">
        <v>115</v>
      </c>
      <c r="B119" s="14" t="n">
        <f aca="false">A119/12</f>
        <v>9.58333333333333</v>
      </c>
      <c r="C119" s="15" t="n">
        <f aca="false">INT(A119/6)</f>
        <v>19</v>
      </c>
      <c r="D119" s="16" t="n">
        <f aca="false">IF(C119=0,(1+Dic2024!$G$6)^(-B119),EXP(LN(INDEX(Dic2024!$H$6:$H$205,C119))+(LN(INDEX(Dic2024!$H$6:$H$205,MIN(C119+1,200)))-LN(INDEX(Dic2024!$H$6:$H$205,C119)))*(A119-6*C119)/6))</f>
        <v>0.604218267376397</v>
      </c>
      <c r="E119" s="12" t="n">
        <f aca="false">D119^(-1/B119)-1</f>
        <v>0.0539789711157985</v>
      </c>
      <c r="F119" s="12" t="n">
        <f aca="false">(1+E119)^(1/12)-1</f>
        <v>0.00439065232719105</v>
      </c>
      <c r="G119" s="16" t="n">
        <f aca="false">IF(C119=0,(1+Dic2024!$J$6)^(-B119),EXP(LN(INDEX(Dic2024!$K$6:$K$205,C119))+(LN(INDEX(Dic2024!$K$6:$K$205,MIN(C119+1,200)))-LN(INDEX(Dic2024!$K$6:$K$205,C119)))*(A119-6*C119)/6))</f>
        <v>0.604218267376397</v>
      </c>
      <c r="H119" s="12" t="n">
        <f aca="false">G119^(-1/B119)-1</f>
        <v>0.0539789711157985</v>
      </c>
      <c r="I119" s="12" t="n">
        <f aca="false">(1+H119)^(1/12)-1</f>
        <v>0.00439065232719105</v>
      </c>
      <c r="J119" s="16" t="n">
        <f aca="false">IF(C119=0,(1+Dic2024!$M$6)^(-B119),EXP(LN(INDEX(Dic2024!$N$6:$N$205,C119))+(LN(INDEX(Dic2024!$N$6:$N$205,MIN(C119+1,200)))-LN(INDEX(Dic2024!$N$6:$N$205,C119)))*(A119-6*C119)/6))</f>
        <v>0.604218267376397</v>
      </c>
      <c r="K119" s="12" t="n">
        <f aca="false">J119^(-1/B119)-1</f>
        <v>0.0539789711157985</v>
      </c>
      <c r="L119" s="12" t="n">
        <f aca="false">(1+K119)^(1/12)-1</f>
        <v>0.00439065232719105</v>
      </c>
    </row>
    <row r="120" customFormat="false" ht="15" hidden="false" customHeight="false" outlineLevel="0" collapsed="false">
      <c r="A120" s="4" t="n">
        <v>116</v>
      </c>
      <c r="B120" s="14" t="n">
        <f aca="false">A120/12</f>
        <v>9.66666666666667</v>
      </c>
      <c r="C120" s="15" t="n">
        <f aca="false">INT(A120/6)</f>
        <v>19</v>
      </c>
      <c r="D120" s="16" t="n">
        <f aca="false">IF(C120=0,(1+Dic2024!$G$6)^(-B120),EXP(LN(INDEX(Dic2024!$H$6:$H$205,C120))+(LN(INDEX(Dic2024!$H$6:$H$205,MIN(C120+1,200)))-LN(INDEX(Dic2024!$H$6:$H$205,C120)))*(A120-6*C120)/6))</f>
        <v>0.601189851737166</v>
      </c>
      <c r="E120" s="12" t="n">
        <f aca="false">D120^(-1/B120)-1</f>
        <v>0.0540491557197458</v>
      </c>
      <c r="F120" s="12" t="n">
        <f aca="false">(1+E120)^(1/12)-1</f>
        <v>0.00439622569967546</v>
      </c>
      <c r="G120" s="16" t="n">
        <f aca="false">IF(C120=0,(1+Dic2024!$J$6)^(-B120),EXP(LN(INDEX(Dic2024!$K$6:$K$205,C120))+(LN(INDEX(Dic2024!$K$6:$K$205,MIN(C120+1,200)))-LN(INDEX(Dic2024!$K$6:$K$205,C120)))*(A120-6*C120)/6))</f>
        <v>0.601189851737166</v>
      </c>
      <c r="H120" s="12" t="n">
        <f aca="false">G120^(-1/B120)-1</f>
        <v>0.0540491557197458</v>
      </c>
      <c r="I120" s="12" t="n">
        <f aca="false">(1+H120)^(1/12)-1</f>
        <v>0.00439622569967546</v>
      </c>
      <c r="J120" s="16" t="n">
        <f aca="false">IF(C120=0,(1+Dic2024!$M$6)^(-B120),EXP(LN(INDEX(Dic2024!$N$6:$N$205,C120))+(LN(INDEX(Dic2024!$N$6:$N$205,MIN(C120+1,200)))-LN(INDEX(Dic2024!$N$6:$N$205,C120)))*(A120-6*C120)/6))</f>
        <v>0.601189851737166</v>
      </c>
      <c r="K120" s="12" t="n">
        <f aca="false">J120^(-1/B120)-1</f>
        <v>0.0540491557197458</v>
      </c>
      <c r="L120" s="12" t="n">
        <f aca="false">(1+K120)^(1/12)-1</f>
        <v>0.00439622569967546</v>
      </c>
    </row>
    <row r="121" customFormat="false" ht="15" hidden="false" customHeight="false" outlineLevel="0" collapsed="false">
      <c r="A121" s="4" t="n">
        <v>117</v>
      </c>
      <c r="B121" s="14" t="n">
        <f aca="false">A121/12</f>
        <v>9.75</v>
      </c>
      <c r="C121" s="15" t="n">
        <f aca="false">INT(A121/6)</f>
        <v>19</v>
      </c>
      <c r="D121" s="16" t="n">
        <f aca="false">IF(C121=0,(1+Dic2024!$G$6)^(-B121),EXP(LN(INDEX(Dic2024!$H$6:$H$205,C121))+(LN(INDEX(Dic2024!$H$6:$H$205,MIN(C121+1,200)))-LN(INDEX(Dic2024!$H$6:$H$205,C121)))*(A121-6*C121)/6))</f>
        <v>0.598176614886428</v>
      </c>
      <c r="E121" s="12" t="n">
        <f aca="false">D121^(-1/B121)-1</f>
        <v>0.0541181451413211</v>
      </c>
      <c r="F121" s="12" t="n">
        <f aca="false">(1+E121)^(1/12)-1</f>
        <v>0.00440170383097338</v>
      </c>
      <c r="G121" s="16" t="n">
        <f aca="false">IF(C121=0,(1+Dic2024!$J$6)^(-B121),EXP(LN(INDEX(Dic2024!$K$6:$K$205,C121))+(LN(INDEX(Dic2024!$K$6:$K$205,MIN(C121+1,200)))-LN(INDEX(Dic2024!$K$6:$K$205,C121)))*(A121-6*C121)/6))</f>
        <v>0.598176614886428</v>
      </c>
      <c r="H121" s="12" t="n">
        <f aca="false">G121^(-1/B121)-1</f>
        <v>0.0541181451413211</v>
      </c>
      <c r="I121" s="12" t="n">
        <f aca="false">(1+H121)^(1/12)-1</f>
        <v>0.00440170383097338</v>
      </c>
      <c r="J121" s="16" t="n">
        <f aca="false">IF(C121=0,(1+Dic2024!$M$6)^(-B121),EXP(LN(INDEX(Dic2024!$N$6:$N$205,C121))+(LN(INDEX(Dic2024!$N$6:$N$205,MIN(C121+1,200)))-LN(INDEX(Dic2024!$N$6:$N$205,C121)))*(A121-6*C121)/6))</f>
        <v>0.598176614886428</v>
      </c>
      <c r="K121" s="12" t="n">
        <f aca="false">J121^(-1/B121)-1</f>
        <v>0.0541181451413211</v>
      </c>
      <c r="L121" s="12" t="n">
        <f aca="false">(1+K121)^(1/12)-1</f>
        <v>0.00440170383097338</v>
      </c>
    </row>
    <row r="122" customFormat="false" ht="15" hidden="false" customHeight="false" outlineLevel="0" collapsed="false">
      <c r="A122" s="4" t="n">
        <v>118</v>
      </c>
      <c r="B122" s="14" t="n">
        <f aca="false">A122/12</f>
        <v>9.83333333333333</v>
      </c>
      <c r="C122" s="15" t="n">
        <f aca="false">INT(A122/6)</f>
        <v>19</v>
      </c>
      <c r="D122" s="16" t="n">
        <f aca="false">IF(C122=0,(1+Dic2024!$G$6)^(-B122),EXP(LN(INDEX(Dic2024!$H$6:$H$205,C122))+(LN(INDEX(Dic2024!$H$6:$H$205,MIN(C122+1,200)))-LN(INDEX(Dic2024!$H$6:$H$205,C122)))*(A122-6*C122)/6))</f>
        <v>0.595178480746244</v>
      </c>
      <c r="E122" s="12" t="n">
        <f aca="false">D122^(-1/B122)-1</f>
        <v>0.0541859696519951</v>
      </c>
      <c r="F122" s="12" t="n">
        <f aca="false">(1+E122)^(1/12)-1</f>
        <v>0.00440708914171162</v>
      </c>
      <c r="G122" s="16" t="n">
        <f aca="false">IF(C122=0,(1+Dic2024!$J$6)^(-B122),EXP(LN(INDEX(Dic2024!$K$6:$K$205,C122))+(LN(INDEX(Dic2024!$K$6:$K$205,MIN(C122+1,200)))-LN(INDEX(Dic2024!$K$6:$K$205,C122)))*(A122-6*C122)/6))</f>
        <v>0.595178480746244</v>
      </c>
      <c r="H122" s="12" t="n">
        <f aca="false">G122^(-1/B122)-1</f>
        <v>0.0541859696519951</v>
      </c>
      <c r="I122" s="12" t="n">
        <f aca="false">(1+H122)^(1/12)-1</f>
        <v>0.00440708914171162</v>
      </c>
      <c r="J122" s="16" t="n">
        <f aca="false">IF(C122=0,(1+Dic2024!$M$6)^(-B122),EXP(LN(INDEX(Dic2024!$N$6:$N$205,C122))+(LN(INDEX(Dic2024!$N$6:$N$205,MIN(C122+1,200)))-LN(INDEX(Dic2024!$N$6:$N$205,C122)))*(A122-6*C122)/6))</f>
        <v>0.595178480746244</v>
      </c>
      <c r="K122" s="12" t="n">
        <f aca="false">J122^(-1/B122)-1</f>
        <v>0.0541859696519951</v>
      </c>
      <c r="L122" s="12" t="n">
        <f aca="false">(1+K122)^(1/12)-1</f>
        <v>0.00440708914171162</v>
      </c>
    </row>
    <row r="123" customFormat="false" ht="15" hidden="false" customHeight="false" outlineLevel="0" collapsed="false">
      <c r="A123" s="4" t="n">
        <v>119</v>
      </c>
      <c r="B123" s="14" t="n">
        <f aca="false">A123/12</f>
        <v>9.91666666666667</v>
      </c>
      <c r="C123" s="15" t="n">
        <f aca="false">INT(A123/6)</f>
        <v>19</v>
      </c>
      <c r="D123" s="16" t="n">
        <f aca="false">IF(C123=0,(1+Dic2024!$G$6)^(-B123),EXP(LN(INDEX(Dic2024!$H$6:$H$205,C123))+(LN(INDEX(Dic2024!$H$6:$H$205,MIN(C123+1,200)))-LN(INDEX(Dic2024!$H$6:$H$205,C123)))*(A123-6*C123)/6))</f>
        <v>0.592195373619986</v>
      </c>
      <c r="E123" s="12" t="n">
        <f aca="false">D123^(-1/B123)-1</f>
        <v>0.0542526585095178</v>
      </c>
      <c r="F123" s="12" t="n">
        <f aca="false">(1+E123)^(1/12)-1</f>
        <v>0.00441238397117649</v>
      </c>
      <c r="G123" s="16" t="n">
        <f aca="false">IF(C123=0,(1+Dic2024!$J$6)^(-B123),EXP(LN(INDEX(Dic2024!$K$6:$K$205,C123))+(LN(INDEX(Dic2024!$K$6:$K$205,MIN(C123+1,200)))-LN(INDEX(Dic2024!$K$6:$K$205,C123)))*(A123-6*C123)/6))</f>
        <v>0.592195373619986</v>
      </c>
      <c r="H123" s="12" t="n">
        <f aca="false">G123^(-1/B123)-1</f>
        <v>0.0542526585095178</v>
      </c>
      <c r="I123" s="12" t="n">
        <f aca="false">(1+H123)^(1/12)-1</f>
        <v>0.00441238397117649</v>
      </c>
      <c r="J123" s="16" t="n">
        <f aca="false">IF(C123=0,(1+Dic2024!$M$6)^(-B123),EXP(LN(INDEX(Dic2024!$N$6:$N$205,C123))+(LN(INDEX(Dic2024!$N$6:$N$205,MIN(C123+1,200)))-LN(INDEX(Dic2024!$N$6:$N$205,C123)))*(A123-6*C123)/6))</f>
        <v>0.592195373619986</v>
      </c>
      <c r="K123" s="12" t="n">
        <f aca="false">J123^(-1/B123)-1</f>
        <v>0.0542526585095178</v>
      </c>
      <c r="L123" s="12" t="n">
        <f aca="false">(1+K123)^(1/12)-1</f>
        <v>0.00441238397117649</v>
      </c>
    </row>
    <row r="124" customFormat="false" ht="15" hidden="false" customHeight="false" outlineLevel="0" collapsed="false">
      <c r="A124" s="4" t="n">
        <v>120</v>
      </c>
      <c r="B124" s="14" t="n">
        <f aca="false">A124/12</f>
        <v>10</v>
      </c>
      <c r="C124" s="15" t="n">
        <f aca="false">INT(A124/6)</f>
        <v>20</v>
      </c>
      <c r="D124" s="16" t="n">
        <f aca="false">IF(C124=0,(1+Dic2024!$G$6)^(-B124),EXP(LN(INDEX(Dic2024!$H$6:$H$205,C124))+(LN(INDEX(Dic2024!$H$6:$H$205,MIN(C124+1,200)))-LN(INDEX(Dic2024!$H$6:$H$205,C124)))*(A124-6*C124)/6))</f>
        <v>0.589227218190429</v>
      </c>
      <c r="E124" s="12" t="n">
        <f aca="false">D124^(-1/B124)-1</f>
        <v>0.05431824</v>
      </c>
      <c r="F124" s="12" t="n">
        <f aca="false">(1+E124)^(1/12)-1</f>
        <v>0.00441759058070179</v>
      </c>
      <c r="G124" s="16" t="n">
        <f aca="false">IF(C124=0,(1+Dic2024!$J$6)^(-B124),EXP(LN(INDEX(Dic2024!$K$6:$K$205,C124))+(LN(INDEX(Dic2024!$K$6:$K$205,MIN(C124+1,200)))-LN(INDEX(Dic2024!$K$6:$K$205,C124)))*(A124-6*C124)/6))</f>
        <v>0.589227218190429</v>
      </c>
      <c r="H124" s="12" t="n">
        <f aca="false">G124^(-1/B124)-1</f>
        <v>0.05431824</v>
      </c>
      <c r="I124" s="12" t="n">
        <f aca="false">(1+H124)^(1/12)-1</f>
        <v>0.00441759058070179</v>
      </c>
      <c r="J124" s="16" t="n">
        <f aca="false">IF(C124=0,(1+Dic2024!$M$6)^(-B124),EXP(LN(INDEX(Dic2024!$N$6:$N$205,C124))+(LN(INDEX(Dic2024!$N$6:$N$205,MIN(C124+1,200)))-LN(INDEX(Dic2024!$N$6:$N$205,C124)))*(A124-6*C124)/6))</f>
        <v>0.589227218190429</v>
      </c>
      <c r="K124" s="12" t="n">
        <f aca="false">J124^(-1/B124)-1</f>
        <v>0.05431824</v>
      </c>
      <c r="L124" s="12" t="n">
        <f aca="false">(1+K124)^(1/12)-1</f>
        <v>0.00441759058070179</v>
      </c>
    </row>
    <row r="125" customFormat="false" ht="15" hidden="false" customHeight="false" outlineLevel="0" collapsed="false">
      <c r="A125" s="4" t="n">
        <v>121</v>
      </c>
      <c r="B125" s="14" t="n">
        <f aca="false">A125/12</f>
        <v>10.0833333333333</v>
      </c>
      <c r="C125" s="15" t="n">
        <f aca="false">INT(A125/6)</f>
        <v>20</v>
      </c>
      <c r="D125" s="16" t="n">
        <f aca="false">IF(C125=0,(1+Dic2024!$G$6)^(-B125),EXP(LN(INDEX(Dic2024!$H$6:$H$205,C125))+(LN(INDEX(Dic2024!$H$6:$H$205,MIN(C125+1,200)))-LN(INDEX(Dic2024!$H$6:$H$205,C125)))*(A125-6*C125)/6))</f>
        <v>0.586335855190805</v>
      </c>
      <c r="E125" s="12" t="n">
        <f aca="false">D125^(-1/B125)-1</f>
        <v>0.0543716989382901</v>
      </c>
      <c r="F125" s="12" t="n">
        <f aca="false">(1+E125)^(1/12)-1</f>
        <v>0.00442183454362</v>
      </c>
      <c r="G125" s="16" t="n">
        <f aca="false">IF(C125=0,(1+Dic2024!$J$6)^(-B125),EXP(LN(INDEX(Dic2024!$K$6:$K$205,C125))+(LN(INDEX(Dic2024!$K$6:$K$205,MIN(C125+1,200)))-LN(INDEX(Dic2024!$K$6:$K$205,C125)))*(A125-6*C125)/6))</f>
        <v>0.586335855190805</v>
      </c>
      <c r="H125" s="12" t="n">
        <f aca="false">G125^(-1/B125)-1</f>
        <v>0.0543716989382901</v>
      </c>
      <c r="I125" s="12" t="n">
        <f aca="false">(1+H125)^(1/12)-1</f>
        <v>0.00442183454362</v>
      </c>
      <c r="J125" s="16" t="n">
        <f aca="false">IF(C125=0,(1+Dic2024!$M$6)^(-B125),EXP(LN(INDEX(Dic2024!$N$6:$N$205,C125))+(LN(INDEX(Dic2024!$N$6:$N$205,MIN(C125+1,200)))-LN(INDEX(Dic2024!$N$6:$N$205,C125)))*(A125-6*C125)/6))</f>
        <v>0.586335855190805</v>
      </c>
      <c r="K125" s="12" t="n">
        <f aca="false">J125^(-1/B125)-1</f>
        <v>0.0543716989382901</v>
      </c>
      <c r="L125" s="12" t="n">
        <f aca="false">(1+K125)^(1/12)-1</f>
        <v>0.00442183454362</v>
      </c>
    </row>
    <row r="126" customFormat="false" ht="15" hidden="false" customHeight="false" outlineLevel="0" collapsed="false">
      <c r="A126" s="4" t="n">
        <v>122</v>
      </c>
      <c r="B126" s="14" t="n">
        <f aca="false">A126/12</f>
        <v>10.1666666666667</v>
      </c>
      <c r="C126" s="15" t="n">
        <f aca="false">INT(A126/6)</f>
        <v>20</v>
      </c>
      <c r="D126" s="16" t="n">
        <f aca="false">IF(C126=0,(1+Dic2024!$G$6)^(-B126),EXP(LN(INDEX(Dic2024!$H$6:$H$205,C126))+(LN(INDEX(Dic2024!$H$6:$H$205,MIN(C126+1,200)))-LN(INDEX(Dic2024!$H$6:$H$205,C126)))*(A126-6*C126)/6))</f>
        <v>0.583458680232294</v>
      </c>
      <c r="E126" s="12" t="n">
        <f aca="false">D126^(-1/B126)-1</f>
        <v>0.0544242841448732</v>
      </c>
      <c r="F126" s="12" t="n">
        <f aca="false">(1+E126)^(1/12)-1</f>
        <v>0.0044260089508692</v>
      </c>
      <c r="G126" s="16" t="n">
        <f aca="false">IF(C126=0,(1+Dic2024!$J$6)^(-B126),EXP(LN(INDEX(Dic2024!$K$6:$K$205,C126))+(LN(INDEX(Dic2024!$K$6:$K$205,MIN(C126+1,200)))-LN(INDEX(Dic2024!$K$6:$K$205,C126)))*(A126-6*C126)/6))</f>
        <v>0.583458680232294</v>
      </c>
      <c r="H126" s="12" t="n">
        <f aca="false">G126^(-1/B126)-1</f>
        <v>0.0544242841448732</v>
      </c>
      <c r="I126" s="12" t="n">
        <f aca="false">(1+H126)^(1/12)-1</f>
        <v>0.0044260089508692</v>
      </c>
      <c r="J126" s="16" t="n">
        <f aca="false">IF(C126=0,(1+Dic2024!$M$6)^(-B126),EXP(LN(INDEX(Dic2024!$N$6:$N$205,C126))+(LN(INDEX(Dic2024!$N$6:$N$205,MIN(C126+1,200)))-LN(INDEX(Dic2024!$N$6:$N$205,C126)))*(A126-6*C126)/6))</f>
        <v>0.583458680232294</v>
      </c>
      <c r="K126" s="12" t="n">
        <f aca="false">J126^(-1/B126)-1</f>
        <v>0.0544242841448732</v>
      </c>
      <c r="L126" s="12" t="n">
        <f aca="false">(1+K126)^(1/12)-1</f>
        <v>0.0044260089508692</v>
      </c>
    </row>
    <row r="127" customFormat="false" ht="15" hidden="false" customHeight="false" outlineLevel="0" collapsed="false">
      <c r="A127" s="4" t="n">
        <v>123</v>
      </c>
      <c r="B127" s="14" t="n">
        <f aca="false">A127/12</f>
        <v>10.25</v>
      </c>
      <c r="C127" s="15" t="n">
        <f aca="false">INT(A127/6)</f>
        <v>20</v>
      </c>
      <c r="D127" s="16" t="n">
        <f aca="false">IF(C127=0,(1+Dic2024!$G$6)^(-B127),EXP(LN(INDEX(Dic2024!$H$6:$H$205,C127))+(LN(INDEX(Dic2024!$H$6:$H$205,MIN(C127+1,200)))-LN(INDEX(Dic2024!$H$6:$H$205,C127)))*(A127-6*C127)/6))</f>
        <v>0.580595623693573</v>
      </c>
      <c r="E127" s="12" t="n">
        <f aca="false">D127^(-1/B127)-1</f>
        <v>0.0544760168664351</v>
      </c>
      <c r="F127" s="12" t="n">
        <f aca="false">(1+E127)^(1/12)-1</f>
        <v>0.0044301154985058</v>
      </c>
      <c r="G127" s="16" t="n">
        <f aca="false">IF(C127=0,(1+Dic2024!$J$6)^(-B127),EXP(LN(INDEX(Dic2024!$K$6:$K$205,C127))+(LN(INDEX(Dic2024!$K$6:$K$205,MIN(C127+1,200)))-LN(INDEX(Dic2024!$K$6:$K$205,C127)))*(A127-6*C127)/6))</f>
        <v>0.580595623693573</v>
      </c>
      <c r="H127" s="12" t="n">
        <f aca="false">G127^(-1/B127)-1</f>
        <v>0.0544760168664351</v>
      </c>
      <c r="I127" s="12" t="n">
        <f aca="false">(1+H127)^(1/12)-1</f>
        <v>0.0044301154985058</v>
      </c>
      <c r="J127" s="16" t="n">
        <f aca="false">IF(C127=0,(1+Dic2024!$M$6)^(-B127),EXP(LN(INDEX(Dic2024!$N$6:$N$205,C127))+(LN(INDEX(Dic2024!$N$6:$N$205,MIN(C127+1,200)))-LN(INDEX(Dic2024!$N$6:$N$205,C127)))*(A127-6*C127)/6))</f>
        <v>0.580595623693573</v>
      </c>
      <c r="K127" s="12" t="n">
        <f aca="false">J127^(-1/B127)-1</f>
        <v>0.0544760168664351</v>
      </c>
      <c r="L127" s="12" t="n">
        <f aca="false">(1+K127)^(1/12)-1</f>
        <v>0.0044301154985058</v>
      </c>
    </row>
    <row r="128" customFormat="false" ht="15" hidden="false" customHeight="false" outlineLevel="0" collapsed="false">
      <c r="A128" s="4" t="n">
        <v>124</v>
      </c>
      <c r="B128" s="14" t="n">
        <f aca="false">A128/12</f>
        <v>10.3333333333333</v>
      </c>
      <c r="C128" s="15" t="n">
        <f aca="false">INT(A128/6)</f>
        <v>20</v>
      </c>
      <c r="D128" s="16" t="n">
        <f aca="false">IF(C128=0,(1+Dic2024!$G$6)^(-B128),EXP(LN(INDEX(Dic2024!$H$6:$H$205,C128))+(LN(INDEX(Dic2024!$H$6:$H$205,MIN(C128+1,200)))-LN(INDEX(Dic2024!$H$6:$H$205,C128)))*(A128-6*C128)/6))</f>
        <v>0.577746616294956</v>
      </c>
      <c r="E128" s="12" t="n">
        <f aca="false">D128^(-1/B128)-1</f>
        <v>0.0545269176663232</v>
      </c>
      <c r="F128" s="12" t="n">
        <f aca="false">(1+E128)^(1/12)-1</f>
        <v>0.00443415582788864</v>
      </c>
      <c r="G128" s="16" t="n">
        <f aca="false">IF(C128=0,(1+Dic2024!$J$6)^(-B128),EXP(LN(INDEX(Dic2024!$K$6:$K$205,C128))+(LN(INDEX(Dic2024!$K$6:$K$205,MIN(C128+1,200)))-LN(INDEX(Dic2024!$K$6:$K$205,C128)))*(A128-6*C128)/6))</f>
        <v>0.577746616294956</v>
      </c>
      <c r="H128" s="12" t="n">
        <f aca="false">G128^(-1/B128)-1</f>
        <v>0.0545269176663232</v>
      </c>
      <c r="I128" s="12" t="n">
        <f aca="false">(1+H128)^(1/12)-1</f>
        <v>0.00443415582788864</v>
      </c>
      <c r="J128" s="16" t="n">
        <f aca="false">IF(C128=0,(1+Dic2024!$M$6)^(-B128),EXP(LN(INDEX(Dic2024!$N$6:$N$205,C128))+(LN(INDEX(Dic2024!$N$6:$N$205,MIN(C128+1,200)))-LN(INDEX(Dic2024!$N$6:$N$205,C128)))*(A128-6*C128)/6))</f>
        <v>0.577746616294956</v>
      </c>
      <c r="K128" s="12" t="n">
        <f aca="false">J128^(-1/B128)-1</f>
        <v>0.0545269176663232</v>
      </c>
      <c r="L128" s="12" t="n">
        <f aca="false">(1+K128)^(1/12)-1</f>
        <v>0.00443415582788864</v>
      </c>
    </row>
    <row r="129" customFormat="false" ht="15" hidden="false" customHeight="false" outlineLevel="0" collapsed="false">
      <c r="A129" s="4" t="n">
        <v>125</v>
      </c>
      <c r="B129" s="14" t="n">
        <f aca="false">A129/12</f>
        <v>10.4166666666667</v>
      </c>
      <c r="C129" s="15" t="n">
        <f aca="false">INT(A129/6)</f>
        <v>20</v>
      </c>
      <c r="D129" s="16" t="n">
        <f aca="false">IF(C129=0,(1+Dic2024!$G$6)^(-B129),EXP(LN(INDEX(Dic2024!$H$6:$H$205,C129))+(LN(INDEX(Dic2024!$H$6:$H$205,MIN(C129+1,200)))-LN(INDEX(Dic2024!$H$6:$H$205,C129)))*(A129-6*C129)/6))</f>
        <v>0.574911589096717</v>
      </c>
      <c r="E129" s="12" t="n">
        <f aca="false">D129^(-1/B129)-1</f>
        <v>0.0545770064517996</v>
      </c>
      <c r="F129" s="12" t="n">
        <f aca="false">(1+E129)^(1/12)-1</f>
        <v>0.00443813152786565</v>
      </c>
      <c r="G129" s="16" t="n">
        <f aca="false">IF(C129=0,(1+Dic2024!$J$6)^(-B129),EXP(LN(INDEX(Dic2024!$K$6:$K$205,C129))+(LN(INDEX(Dic2024!$K$6:$K$205,MIN(C129+1,200)))-LN(INDEX(Dic2024!$K$6:$K$205,C129)))*(A129-6*C129)/6))</f>
        <v>0.574911589096717</v>
      </c>
      <c r="H129" s="12" t="n">
        <f aca="false">G129^(-1/B129)-1</f>
        <v>0.0545770064517996</v>
      </c>
      <c r="I129" s="12" t="n">
        <f aca="false">(1+H129)^(1/12)-1</f>
        <v>0.00443813152786565</v>
      </c>
      <c r="J129" s="16" t="n">
        <f aca="false">IF(C129=0,(1+Dic2024!$M$6)^(-B129),EXP(LN(INDEX(Dic2024!$N$6:$N$205,C129))+(LN(INDEX(Dic2024!$N$6:$N$205,MIN(C129+1,200)))-LN(INDEX(Dic2024!$N$6:$N$205,C129)))*(A129-6*C129)/6))</f>
        <v>0.574911589096717</v>
      </c>
      <c r="K129" s="12" t="n">
        <f aca="false">J129^(-1/B129)-1</f>
        <v>0.0545770064517996</v>
      </c>
      <c r="L129" s="12" t="n">
        <f aca="false">(1+K129)^(1/12)-1</f>
        <v>0.00443813152786565</v>
      </c>
    </row>
    <row r="130" customFormat="false" ht="15" hidden="false" customHeight="false" outlineLevel="0" collapsed="false">
      <c r="A130" s="4" t="n">
        <v>126</v>
      </c>
      <c r="B130" s="14" t="n">
        <f aca="false">A130/12</f>
        <v>10.5</v>
      </c>
      <c r="C130" s="15" t="n">
        <f aca="false">INT(A130/6)</f>
        <v>21</v>
      </c>
      <c r="D130" s="16" t="n">
        <f aca="false">IF(C130=0,(1+Dic2024!$G$6)^(-B130),EXP(LN(INDEX(Dic2024!$H$6:$H$205,C130))+(LN(INDEX(Dic2024!$H$6:$H$205,MIN(C130+1,200)))-LN(INDEX(Dic2024!$H$6:$H$205,C130)))*(A130-6*C130)/6))</f>
        <v>0.572090473497418</v>
      </c>
      <c r="E130" s="12" t="n">
        <f aca="false">D130^(-1/B130)-1</f>
        <v>0.0546263025</v>
      </c>
      <c r="F130" s="12" t="n">
        <f aca="false">(1+E130)^(1/12)-1</f>
        <v>0.00444204413685734</v>
      </c>
      <c r="G130" s="16" t="n">
        <f aca="false">IF(C130=0,(1+Dic2024!$J$6)^(-B130),EXP(LN(INDEX(Dic2024!$K$6:$K$205,C130))+(LN(INDEX(Dic2024!$K$6:$K$205,MIN(C130+1,200)))-LN(INDEX(Dic2024!$K$6:$K$205,C130)))*(A130-6*C130)/6))</f>
        <v>0.572090473497418</v>
      </c>
      <c r="H130" s="12" t="n">
        <f aca="false">G130^(-1/B130)-1</f>
        <v>0.0546263025</v>
      </c>
      <c r="I130" s="12" t="n">
        <f aca="false">(1+H130)^(1/12)-1</f>
        <v>0.00444204413685734</v>
      </c>
      <c r="J130" s="16" t="n">
        <f aca="false">IF(C130=0,(1+Dic2024!$M$6)^(-B130),EXP(LN(INDEX(Dic2024!$N$6:$N$205,C130))+(LN(INDEX(Dic2024!$N$6:$N$205,MIN(C130+1,200)))-LN(INDEX(Dic2024!$N$6:$N$205,C130)))*(A130-6*C130)/6))</f>
        <v>0.572090473497418</v>
      </c>
      <c r="K130" s="12" t="n">
        <f aca="false">J130^(-1/B130)-1</f>
        <v>0.0546263025</v>
      </c>
      <c r="L130" s="12" t="n">
        <f aca="false">(1+K130)^(1/12)-1</f>
        <v>0.00444204413685734</v>
      </c>
    </row>
    <row r="131" customFormat="false" ht="15" hidden="false" customHeight="false" outlineLevel="0" collapsed="false">
      <c r="A131" s="4" t="n">
        <v>127</v>
      </c>
      <c r="B131" s="14" t="n">
        <f aca="false">A131/12</f>
        <v>10.5833333333333</v>
      </c>
      <c r="C131" s="15" t="n">
        <f aca="false">INT(A131/6)</f>
        <v>21</v>
      </c>
      <c r="D131" s="16" t="n">
        <f aca="false">IF(C131=0,(1+Dic2024!$G$6)^(-B131),EXP(LN(INDEX(Dic2024!$H$6:$H$205,C131))+(LN(INDEX(Dic2024!$H$6:$H$205,MIN(C131+1,200)))-LN(INDEX(Dic2024!$H$6:$H$205,C131)))*(A131-6*C131)/6))</f>
        <v>0.569153928886875</v>
      </c>
      <c r="E131" s="12" t="n">
        <f aca="false">D131^(-1/B131)-1</f>
        <v>0.0546974567121545</v>
      </c>
      <c r="F131" s="12" t="n">
        <f aca="false">(1+E131)^(1/12)-1</f>
        <v>0.00444769132456635</v>
      </c>
      <c r="G131" s="16" t="n">
        <f aca="false">IF(C131=0,(1+Dic2024!$J$6)^(-B131),EXP(LN(INDEX(Dic2024!$K$6:$K$205,C131))+(LN(INDEX(Dic2024!$K$6:$K$205,MIN(C131+1,200)))-LN(INDEX(Dic2024!$K$6:$K$205,C131)))*(A131-6*C131)/6))</f>
        <v>0.569153928886875</v>
      </c>
      <c r="H131" s="12" t="n">
        <f aca="false">G131^(-1/B131)-1</f>
        <v>0.0546974567121545</v>
      </c>
      <c r="I131" s="12" t="n">
        <f aca="false">(1+H131)^(1/12)-1</f>
        <v>0.00444769132456635</v>
      </c>
      <c r="J131" s="16" t="n">
        <f aca="false">IF(C131=0,(1+Dic2024!$M$6)^(-B131),EXP(LN(INDEX(Dic2024!$N$6:$N$205,C131))+(LN(INDEX(Dic2024!$N$6:$N$205,MIN(C131+1,200)))-LN(INDEX(Dic2024!$N$6:$N$205,C131)))*(A131-6*C131)/6))</f>
        <v>0.569153928886875</v>
      </c>
      <c r="K131" s="12" t="n">
        <f aca="false">J131^(-1/B131)-1</f>
        <v>0.0546974567121545</v>
      </c>
      <c r="L131" s="12" t="n">
        <f aca="false">(1+K131)^(1/12)-1</f>
        <v>0.00444769132456635</v>
      </c>
    </row>
    <row r="132" customFormat="false" ht="15" hidden="false" customHeight="false" outlineLevel="0" collapsed="false">
      <c r="A132" s="4" t="n">
        <v>128</v>
      </c>
      <c r="B132" s="14" t="n">
        <f aca="false">A132/12</f>
        <v>10.6666666666667</v>
      </c>
      <c r="C132" s="15" t="n">
        <f aca="false">INT(A132/6)</f>
        <v>21</v>
      </c>
      <c r="D132" s="16" t="n">
        <f aca="false">IF(C132=0,(1+Dic2024!$G$6)^(-B132),EXP(LN(INDEX(Dic2024!$H$6:$H$205,C132))+(LN(INDEX(Dic2024!$H$6:$H$205,MIN(C132+1,200)))-LN(INDEX(Dic2024!$H$6:$H$205,C132)))*(A132-6*C132)/6))</f>
        <v>0.566232457581428</v>
      </c>
      <c r="E132" s="12" t="n">
        <f aca="false">D132^(-1/B132)-1</f>
        <v>0.0547675038284912</v>
      </c>
      <c r="F132" s="12" t="n">
        <f aca="false">(1+E132)^(1/12)-1</f>
        <v>0.00445325030597665</v>
      </c>
      <c r="G132" s="16" t="n">
        <f aca="false">IF(C132=0,(1+Dic2024!$J$6)^(-B132),EXP(LN(INDEX(Dic2024!$K$6:$K$205,C132))+(LN(INDEX(Dic2024!$K$6:$K$205,MIN(C132+1,200)))-LN(INDEX(Dic2024!$K$6:$K$205,C132)))*(A132-6*C132)/6))</f>
        <v>0.566232457581428</v>
      </c>
      <c r="H132" s="12" t="n">
        <f aca="false">G132^(-1/B132)-1</f>
        <v>0.0547675038284912</v>
      </c>
      <c r="I132" s="12" t="n">
        <f aca="false">(1+H132)^(1/12)-1</f>
        <v>0.00445325030597665</v>
      </c>
      <c r="J132" s="16" t="n">
        <f aca="false">IF(C132=0,(1+Dic2024!$M$6)^(-B132),EXP(LN(INDEX(Dic2024!$N$6:$N$205,C132))+(LN(INDEX(Dic2024!$N$6:$N$205,MIN(C132+1,200)))-LN(INDEX(Dic2024!$N$6:$N$205,C132)))*(A132-6*C132)/6))</f>
        <v>0.566232457581428</v>
      </c>
      <c r="K132" s="12" t="n">
        <f aca="false">J132^(-1/B132)-1</f>
        <v>0.0547675038284912</v>
      </c>
      <c r="L132" s="12" t="n">
        <f aca="false">(1+K132)^(1/12)-1</f>
        <v>0.00445325030597665</v>
      </c>
    </row>
    <row r="133" customFormat="false" ht="15" hidden="false" customHeight="false" outlineLevel="0" collapsed="false">
      <c r="A133" s="4" t="n">
        <v>129</v>
      </c>
      <c r="B133" s="14" t="n">
        <f aca="false">A133/12</f>
        <v>10.75</v>
      </c>
      <c r="C133" s="15" t="n">
        <f aca="false">INT(A133/6)</f>
        <v>21</v>
      </c>
      <c r="D133" s="16" t="n">
        <f aca="false">IF(C133=0,(1+Dic2024!$G$6)^(-B133),EXP(LN(INDEX(Dic2024!$H$6:$H$205,C133))+(LN(INDEX(Dic2024!$H$6:$H$205,MIN(C133+1,200)))-LN(INDEX(Dic2024!$H$6:$H$205,C133)))*(A133-6*C133)/6))</f>
        <v>0.563325982209691</v>
      </c>
      <c r="E133" s="12" t="n">
        <f aca="false">D133^(-1/B133)-1</f>
        <v>0.0548364694875307</v>
      </c>
      <c r="F133" s="12" t="n">
        <f aca="false">(1+E133)^(1/12)-1</f>
        <v>0.00445872313168261</v>
      </c>
      <c r="G133" s="16" t="n">
        <f aca="false">IF(C133=0,(1+Dic2024!$J$6)^(-B133),EXP(LN(INDEX(Dic2024!$K$6:$K$205,C133))+(LN(INDEX(Dic2024!$K$6:$K$205,MIN(C133+1,200)))-LN(INDEX(Dic2024!$K$6:$K$205,C133)))*(A133-6*C133)/6))</f>
        <v>0.563325982209691</v>
      </c>
      <c r="H133" s="12" t="n">
        <f aca="false">G133^(-1/B133)-1</f>
        <v>0.0548364694875307</v>
      </c>
      <c r="I133" s="12" t="n">
        <f aca="false">(1+H133)^(1/12)-1</f>
        <v>0.00445872313168261</v>
      </c>
      <c r="J133" s="16" t="n">
        <f aca="false">IF(C133=0,(1+Dic2024!$M$6)^(-B133),EXP(LN(INDEX(Dic2024!$N$6:$N$205,C133))+(LN(INDEX(Dic2024!$N$6:$N$205,MIN(C133+1,200)))-LN(INDEX(Dic2024!$N$6:$N$205,C133)))*(A133-6*C133)/6))</f>
        <v>0.563325982209691</v>
      </c>
      <c r="K133" s="12" t="n">
        <f aca="false">J133^(-1/B133)-1</f>
        <v>0.0548364694875307</v>
      </c>
      <c r="L133" s="12" t="n">
        <f aca="false">(1+K133)^(1/12)-1</f>
        <v>0.00445872313168261</v>
      </c>
    </row>
    <row r="134" customFormat="false" ht="15" hidden="false" customHeight="false" outlineLevel="0" collapsed="false">
      <c r="A134" s="4" t="n">
        <v>130</v>
      </c>
      <c r="B134" s="14" t="n">
        <f aca="false">A134/12</f>
        <v>10.8333333333333</v>
      </c>
      <c r="C134" s="15" t="n">
        <f aca="false">INT(A134/6)</f>
        <v>21</v>
      </c>
      <c r="D134" s="16" t="n">
        <f aca="false">IF(C134=0,(1+Dic2024!$G$6)^(-B134),EXP(LN(INDEX(Dic2024!$H$6:$H$205,C134))+(LN(INDEX(Dic2024!$H$6:$H$205,MIN(C134+1,200)))-LN(INDEX(Dic2024!$H$6:$H$205,C134)))*(A134-6*C134)/6))</f>
        <v>0.560434425797426</v>
      </c>
      <c r="E134" s="12" t="n">
        <f aca="false">D134^(-1/B134)-1</f>
        <v>0.0549043785422017</v>
      </c>
      <c r="F134" s="12" t="n">
        <f aca="false">(1+E134)^(1/12)-1</f>
        <v>0.00446411178920414</v>
      </c>
      <c r="G134" s="16" t="n">
        <f aca="false">IF(C134=0,(1+Dic2024!$J$6)^(-B134),EXP(LN(INDEX(Dic2024!$K$6:$K$205,C134))+(LN(INDEX(Dic2024!$K$6:$K$205,MIN(C134+1,200)))-LN(INDEX(Dic2024!$K$6:$K$205,C134)))*(A134-6*C134)/6))</f>
        <v>0.560434425797426</v>
      </c>
      <c r="H134" s="12" t="n">
        <f aca="false">G134^(-1/B134)-1</f>
        <v>0.0549043785422017</v>
      </c>
      <c r="I134" s="12" t="n">
        <f aca="false">(1+H134)^(1/12)-1</f>
        <v>0.00446411178920414</v>
      </c>
      <c r="J134" s="16" t="n">
        <f aca="false">IF(C134=0,(1+Dic2024!$M$6)^(-B134),EXP(LN(INDEX(Dic2024!$N$6:$N$205,C134))+(LN(INDEX(Dic2024!$N$6:$N$205,MIN(C134+1,200)))-LN(INDEX(Dic2024!$N$6:$N$205,C134)))*(A134-6*C134)/6))</f>
        <v>0.560434425797426</v>
      </c>
      <c r="K134" s="12" t="n">
        <f aca="false">J134^(-1/B134)-1</f>
        <v>0.0549043785422017</v>
      </c>
      <c r="L134" s="12" t="n">
        <f aca="false">(1+K134)^(1/12)-1</f>
        <v>0.00446411178920414</v>
      </c>
    </row>
    <row r="135" customFormat="false" ht="15" hidden="false" customHeight="false" outlineLevel="0" collapsed="false">
      <c r="A135" s="4" t="n">
        <v>131</v>
      </c>
      <c r="B135" s="14" t="n">
        <f aca="false">A135/12</f>
        <v>10.9166666666667</v>
      </c>
      <c r="C135" s="15" t="n">
        <f aca="false">INT(A135/6)</f>
        <v>21</v>
      </c>
      <c r="D135" s="16" t="n">
        <f aca="false">IF(C135=0,(1+Dic2024!$G$6)^(-B135),EXP(LN(INDEX(Dic2024!$H$6:$H$205,C135))+(LN(INDEX(Dic2024!$H$6:$H$205,MIN(C135+1,200)))-LN(INDEX(Dic2024!$H$6:$H$205,C135)))*(A135-6*C135)/6))</f>
        <v>0.557557711765505</v>
      </c>
      <c r="E135" s="12" t="n">
        <f aca="false">D135^(-1/B135)-1</f>
        <v>0.0549712550897004</v>
      </c>
      <c r="F135" s="12" t="n">
        <f aca="false">(1+E135)^(1/12)-1</f>
        <v>0.00446941820539526</v>
      </c>
      <c r="G135" s="16" t="n">
        <f aca="false">IF(C135=0,(1+Dic2024!$J$6)^(-B135),EXP(LN(INDEX(Dic2024!$K$6:$K$205,C135))+(LN(INDEX(Dic2024!$K$6:$K$205,MIN(C135+1,200)))-LN(INDEX(Dic2024!$K$6:$K$205,C135)))*(A135-6*C135)/6))</f>
        <v>0.557557711765505</v>
      </c>
      <c r="H135" s="12" t="n">
        <f aca="false">G135^(-1/B135)-1</f>
        <v>0.0549712550897004</v>
      </c>
      <c r="I135" s="12" t="n">
        <f aca="false">(1+H135)^(1/12)-1</f>
        <v>0.00446941820539526</v>
      </c>
      <c r="J135" s="16" t="n">
        <f aca="false">IF(C135=0,(1+Dic2024!$M$6)^(-B135),EXP(LN(INDEX(Dic2024!$N$6:$N$205,C135))+(LN(INDEX(Dic2024!$N$6:$N$205,MIN(C135+1,200)))-LN(INDEX(Dic2024!$N$6:$N$205,C135)))*(A135-6*C135)/6))</f>
        <v>0.557557711765505</v>
      </c>
      <c r="K135" s="12" t="n">
        <f aca="false">J135^(-1/B135)-1</f>
        <v>0.0549712550897004</v>
      </c>
      <c r="L135" s="12" t="n">
        <f aca="false">(1+K135)^(1/12)-1</f>
        <v>0.00446941820539526</v>
      </c>
    </row>
    <row r="136" customFormat="false" ht="15" hidden="false" customHeight="false" outlineLevel="0" collapsed="false">
      <c r="A136" s="4" t="n">
        <v>132</v>
      </c>
      <c r="B136" s="14" t="n">
        <f aca="false">A136/12</f>
        <v>11</v>
      </c>
      <c r="C136" s="15" t="n">
        <f aca="false">INT(A136/6)</f>
        <v>22</v>
      </c>
      <c r="D136" s="16" t="n">
        <f aca="false">IF(C136=0,(1+Dic2024!$G$6)^(-B136),EXP(LN(INDEX(Dic2024!$H$6:$H$205,C136))+(LN(INDEX(Dic2024!$H$6:$H$205,MIN(C136+1,200)))-LN(INDEX(Dic2024!$H$6:$H$205,C136)))*(A136-6*C136)/6))</f>
        <v>0.55469576392788</v>
      </c>
      <c r="E136" s="12" t="n">
        <f aca="false">D136^(-1/B136)-1</f>
        <v>0.0550371224999999</v>
      </c>
      <c r="F136" s="12" t="n">
        <f aca="false">(1+E136)^(1/12)-1</f>
        <v>0.00447464424874022</v>
      </c>
      <c r="G136" s="16" t="n">
        <f aca="false">IF(C136=0,(1+Dic2024!$J$6)^(-B136),EXP(LN(INDEX(Dic2024!$K$6:$K$205,C136))+(LN(INDEX(Dic2024!$K$6:$K$205,MIN(C136+1,200)))-LN(INDEX(Dic2024!$K$6:$K$205,C136)))*(A136-6*C136)/6))</f>
        <v>0.55469576392788</v>
      </c>
      <c r="H136" s="12" t="n">
        <f aca="false">G136^(-1/B136)-1</f>
        <v>0.0550371224999999</v>
      </c>
      <c r="I136" s="12" t="n">
        <f aca="false">(1+H136)^(1/12)-1</f>
        <v>0.00447464424874022</v>
      </c>
      <c r="J136" s="16" t="n">
        <f aca="false">IF(C136=0,(1+Dic2024!$M$6)^(-B136),EXP(LN(INDEX(Dic2024!$N$6:$N$205,C136))+(LN(INDEX(Dic2024!$N$6:$N$205,MIN(C136+1,200)))-LN(INDEX(Dic2024!$N$6:$N$205,C136)))*(A136-6*C136)/6))</f>
        <v>0.55469576392788</v>
      </c>
      <c r="K136" s="12" t="n">
        <f aca="false">J136^(-1/B136)-1</f>
        <v>0.0550371224999999</v>
      </c>
      <c r="L136" s="12" t="n">
        <f aca="false">(1+K136)^(1/12)-1</f>
        <v>0.00447464424874022</v>
      </c>
    </row>
    <row r="137" customFormat="false" ht="15" hidden="false" customHeight="false" outlineLevel="0" collapsed="false">
      <c r="A137" s="4" t="n">
        <v>133</v>
      </c>
      <c r="B137" s="14" t="n">
        <f aca="false">A137/12</f>
        <v>11.0833333333333</v>
      </c>
      <c r="C137" s="15" t="n">
        <f aca="false">INT(A137/6)</f>
        <v>22</v>
      </c>
      <c r="D137" s="16" t="n">
        <f aca="false">IF(C137=0,(1+Dic2024!$G$6)^(-B137),EXP(LN(INDEX(Dic2024!$H$6:$H$205,C137))+(LN(INDEX(Dic2024!$H$6:$H$205,MIN(C137+1,200)))-LN(INDEX(Dic2024!$H$6:$H$205,C137)))*(A137-6*C137)/6))</f>
        <v>0.551915727488071</v>
      </c>
      <c r="E137" s="12" t="n">
        <f aca="false">D137^(-1/B137)-1</f>
        <v>0.0550904081880617</v>
      </c>
      <c r="F137" s="12" t="n">
        <f aca="false">(1+E137)^(1/12)-1</f>
        <v>0.00447887181590745</v>
      </c>
      <c r="G137" s="16" t="n">
        <f aca="false">IF(C137=0,(1+Dic2024!$J$6)^(-B137),EXP(LN(INDEX(Dic2024!$K$6:$K$205,C137))+(LN(INDEX(Dic2024!$K$6:$K$205,MIN(C137+1,200)))-LN(INDEX(Dic2024!$K$6:$K$205,C137)))*(A137-6*C137)/6))</f>
        <v>0.551915727488071</v>
      </c>
      <c r="H137" s="12" t="n">
        <f aca="false">G137^(-1/B137)-1</f>
        <v>0.0550904081880617</v>
      </c>
      <c r="I137" s="12" t="n">
        <f aca="false">(1+H137)^(1/12)-1</f>
        <v>0.00447887181590745</v>
      </c>
      <c r="J137" s="16" t="n">
        <f aca="false">IF(C137=0,(1+Dic2024!$M$6)^(-B137),EXP(LN(INDEX(Dic2024!$N$6:$N$205,C137))+(LN(INDEX(Dic2024!$N$6:$N$205,MIN(C137+1,200)))-LN(INDEX(Dic2024!$N$6:$N$205,C137)))*(A137-6*C137)/6))</f>
        <v>0.551915727488071</v>
      </c>
      <c r="K137" s="12" t="n">
        <f aca="false">J137^(-1/B137)-1</f>
        <v>0.0550904081880617</v>
      </c>
      <c r="L137" s="12" t="n">
        <f aca="false">(1+K137)^(1/12)-1</f>
        <v>0.00447887181590745</v>
      </c>
    </row>
    <row r="138" customFormat="false" ht="15" hidden="false" customHeight="false" outlineLevel="0" collapsed="false">
      <c r="A138" s="4" t="n">
        <v>134</v>
      </c>
      <c r="B138" s="14" t="n">
        <f aca="false">A138/12</f>
        <v>11.1666666666667</v>
      </c>
      <c r="C138" s="15" t="n">
        <f aca="false">INT(A138/6)</f>
        <v>22</v>
      </c>
      <c r="D138" s="16" t="n">
        <f aca="false">IF(C138=0,(1+Dic2024!$G$6)^(-B138),EXP(LN(INDEX(Dic2024!$H$6:$H$205,C138))+(LN(INDEX(Dic2024!$H$6:$H$205,MIN(C138+1,200)))-LN(INDEX(Dic2024!$H$6:$H$205,C138)))*(A138-6*C138)/6))</f>
        <v>0.549149624096086</v>
      </c>
      <c r="E138" s="12" t="n">
        <f aca="false">D138^(-1/B138)-1</f>
        <v>0.05514290119864</v>
      </c>
      <c r="F138" s="12" t="n">
        <f aca="false">(1+E138)^(1/12)-1</f>
        <v>0.00448303630245372</v>
      </c>
      <c r="G138" s="16" t="n">
        <f aca="false">IF(C138=0,(1+Dic2024!$J$6)^(-B138),EXP(LN(INDEX(Dic2024!$K$6:$K$205,C138))+(LN(INDEX(Dic2024!$K$6:$K$205,MIN(C138+1,200)))-LN(INDEX(Dic2024!$K$6:$K$205,C138)))*(A138-6*C138)/6))</f>
        <v>0.549149624096086</v>
      </c>
      <c r="H138" s="12" t="n">
        <f aca="false">G138^(-1/B138)-1</f>
        <v>0.05514290119864</v>
      </c>
      <c r="I138" s="12" t="n">
        <f aca="false">(1+H138)^(1/12)-1</f>
        <v>0.00448303630245372</v>
      </c>
      <c r="J138" s="16" t="n">
        <f aca="false">IF(C138=0,(1+Dic2024!$M$6)^(-B138),EXP(LN(INDEX(Dic2024!$N$6:$N$205,C138))+(LN(INDEX(Dic2024!$N$6:$N$205,MIN(C138+1,200)))-LN(INDEX(Dic2024!$N$6:$N$205,C138)))*(A138-6*C138)/6))</f>
        <v>0.549149624096086</v>
      </c>
      <c r="K138" s="12" t="n">
        <f aca="false">J138^(-1/B138)-1</f>
        <v>0.05514290119864</v>
      </c>
      <c r="L138" s="12" t="n">
        <f aca="false">(1+K138)^(1/12)-1</f>
        <v>0.00448303630245372</v>
      </c>
    </row>
    <row r="139" customFormat="false" ht="15" hidden="false" customHeight="false" outlineLevel="0" collapsed="false">
      <c r="A139" s="4" t="n">
        <v>135</v>
      </c>
      <c r="B139" s="14" t="n">
        <f aca="false">A139/12</f>
        <v>11.25</v>
      </c>
      <c r="C139" s="15" t="n">
        <f aca="false">INT(A139/6)</f>
        <v>22</v>
      </c>
      <c r="D139" s="16" t="n">
        <f aca="false">IF(C139=0,(1+Dic2024!$G$6)^(-B139),EXP(LN(INDEX(Dic2024!$H$6:$H$205,C139))+(LN(INDEX(Dic2024!$H$6:$H$205,MIN(C139+1,200)))-LN(INDEX(Dic2024!$H$6:$H$205,C139)))*(A139-6*C139)/6))</f>
        <v>0.546397383921969</v>
      </c>
      <c r="E139" s="12" t="n">
        <f aca="false">D139^(-1/B139)-1</f>
        <v>0.0551946190888768</v>
      </c>
      <c r="F139" s="12" t="n">
        <f aca="false">(1+E139)^(1/12)-1</f>
        <v>0.00448713910978693</v>
      </c>
      <c r="G139" s="16" t="n">
        <f aca="false">IF(C139=0,(1+Dic2024!$J$6)^(-B139),EXP(LN(INDEX(Dic2024!$K$6:$K$205,C139))+(LN(INDEX(Dic2024!$K$6:$K$205,MIN(C139+1,200)))-LN(INDEX(Dic2024!$K$6:$K$205,C139)))*(A139-6*C139)/6))</f>
        <v>0.546397383921969</v>
      </c>
      <c r="H139" s="12" t="n">
        <f aca="false">G139^(-1/B139)-1</f>
        <v>0.0551946190888768</v>
      </c>
      <c r="I139" s="12" t="n">
        <f aca="false">(1+H139)^(1/12)-1</f>
        <v>0.00448713910978693</v>
      </c>
      <c r="J139" s="16" t="n">
        <f aca="false">IF(C139=0,(1+Dic2024!$M$6)^(-B139),EXP(LN(INDEX(Dic2024!$N$6:$N$205,C139))+(LN(INDEX(Dic2024!$N$6:$N$205,MIN(C139+1,200)))-LN(INDEX(Dic2024!$N$6:$N$205,C139)))*(A139-6*C139)/6))</f>
        <v>0.546397383921969</v>
      </c>
      <c r="K139" s="12" t="n">
        <f aca="false">J139^(-1/B139)-1</f>
        <v>0.0551946190888768</v>
      </c>
      <c r="L139" s="12" t="n">
        <f aca="false">(1+K139)^(1/12)-1</f>
        <v>0.00448713910978693</v>
      </c>
    </row>
    <row r="140" customFormat="false" ht="15" hidden="false" customHeight="false" outlineLevel="0" collapsed="false">
      <c r="A140" s="4" t="n">
        <v>136</v>
      </c>
      <c r="B140" s="14" t="n">
        <f aca="false">A140/12</f>
        <v>11.3333333333333</v>
      </c>
      <c r="C140" s="15" t="n">
        <f aca="false">INT(A140/6)</f>
        <v>22</v>
      </c>
      <c r="D140" s="16" t="n">
        <f aca="false">IF(C140=0,(1+Dic2024!$G$6)^(-B140),EXP(LN(INDEX(Dic2024!$H$6:$H$205,C140))+(LN(INDEX(Dic2024!$H$6:$H$205,MIN(C140+1,200)))-LN(INDEX(Dic2024!$H$6:$H$205,C140)))*(A140-6*C140)/6))</f>
        <v>0.54365893748574</v>
      </c>
      <c r="E140" s="12" t="n">
        <f aca="false">D140^(-1/B140)-1</f>
        <v>0.055245578901215</v>
      </c>
      <c r="F140" s="12" t="n">
        <f aca="false">(1+E140)^(1/12)-1</f>
        <v>0.00449118159810791</v>
      </c>
      <c r="G140" s="16" t="n">
        <f aca="false">IF(C140=0,(1+Dic2024!$J$6)^(-B140),EXP(LN(INDEX(Dic2024!$K$6:$K$205,C140))+(LN(INDEX(Dic2024!$K$6:$K$205,MIN(C140+1,200)))-LN(INDEX(Dic2024!$K$6:$K$205,C140)))*(A140-6*C140)/6))</f>
        <v>0.54365893748574</v>
      </c>
      <c r="H140" s="12" t="n">
        <f aca="false">G140^(-1/B140)-1</f>
        <v>0.055245578901215</v>
      </c>
      <c r="I140" s="12" t="n">
        <f aca="false">(1+H140)^(1/12)-1</f>
        <v>0.00449118159810791</v>
      </c>
      <c r="J140" s="16" t="n">
        <f aca="false">IF(C140=0,(1+Dic2024!$M$6)^(-B140),EXP(LN(INDEX(Dic2024!$N$6:$N$205,C140))+(LN(INDEX(Dic2024!$N$6:$N$205,MIN(C140+1,200)))-LN(INDEX(Dic2024!$N$6:$N$205,C140)))*(A140-6*C140)/6))</f>
        <v>0.54365893748574</v>
      </c>
      <c r="K140" s="12" t="n">
        <f aca="false">J140^(-1/B140)-1</f>
        <v>0.055245578901215</v>
      </c>
      <c r="L140" s="12" t="n">
        <f aca="false">(1+K140)^(1/12)-1</f>
        <v>0.00449118159810791</v>
      </c>
    </row>
    <row r="141" customFormat="false" ht="15" hidden="false" customHeight="false" outlineLevel="0" collapsed="false">
      <c r="A141" s="4" t="n">
        <v>137</v>
      </c>
      <c r="B141" s="14" t="n">
        <f aca="false">A141/12</f>
        <v>11.4166666666667</v>
      </c>
      <c r="C141" s="15" t="n">
        <f aca="false">INT(A141/6)</f>
        <v>22</v>
      </c>
      <c r="D141" s="16" t="n">
        <f aca="false">IF(C141=0,(1+Dic2024!$G$6)^(-B141),EXP(LN(INDEX(Dic2024!$H$6:$H$205,C141))+(LN(INDEX(Dic2024!$H$6:$H$205,MIN(C141+1,200)))-LN(INDEX(Dic2024!$H$6:$H$205,C141)))*(A141-6*C141)/6))</f>
        <v>0.54093421565564</v>
      </c>
      <c r="E141" s="12" t="n">
        <f aca="false">D141^(-1/B141)-1</f>
        <v>0.0552957971821217</v>
      </c>
      <c r="F141" s="12" t="n">
        <f aca="false">(1+E141)^(1/12)-1</f>
        <v>0.00449516508791525</v>
      </c>
      <c r="G141" s="16" t="n">
        <f aca="false">IF(C141=0,(1+Dic2024!$J$6)^(-B141),EXP(LN(INDEX(Dic2024!$K$6:$K$205,C141))+(LN(INDEX(Dic2024!$K$6:$K$205,MIN(C141+1,200)))-LN(INDEX(Dic2024!$K$6:$K$205,C141)))*(A141-6*C141)/6))</f>
        <v>0.54093421565564</v>
      </c>
      <c r="H141" s="12" t="n">
        <f aca="false">G141^(-1/B141)-1</f>
        <v>0.0552957971821217</v>
      </c>
      <c r="I141" s="12" t="n">
        <f aca="false">(1+H141)^(1/12)-1</f>
        <v>0.00449516508791525</v>
      </c>
      <c r="J141" s="16" t="n">
        <f aca="false">IF(C141=0,(1+Dic2024!$M$6)^(-B141),EXP(LN(INDEX(Dic2024!$N$6:$N$205,C141))+(LN(INDEX(Dic2024!$N$6:$N$205,MIN(C141+1,200)))-LN(INDEX(Dic2024!$N$6:$N$205,C141)))*(A141-6*C141)/6))</f>
        <v>0.54093421565564</v>
      </c>
      <c r="K141" s="12" t="n">
        <f aca="false">J141^(-1/B141)-1</f>
        <v>0.0552957971821217</v>
      </c>
      <c r="L141" s="12" t="n">
        <f aca="false">(1+K141)^(1/12)-1</f>
        <v>0.00449516508791525</v>
      </c>
    </row>
    <row r="142" customFormat="false" ht="15" hidden="false" customHeight="false" outlineLevel="0" collapsed="false">
      <c r="A142" s="4" t="n">
        <v>138</v>
      </c>
      <c r="B142" s="14" t="n">
        <f aca="false">A142/12</f>
        <v>11.5</v>
      </c>
      <c r="C142" s="15" t="n">
        <f aca="false">INT(A142/6)</f>
        <v>23</v>
      </c>
      <c r="D142" s="16" t="n">
        <f aca="false">IF(C142=0,(1+Dic2024!$G$6)^(-B142),EXP(LN(INDEX(Dic2024!$H$6:$H$205,C142))+(LN(INDEX(Dic2024!$H$6:$H$205,MIN(C142+1,200)))-LN(INDEX(Dic2024!$H$6:$H$205,C142)))*(A142-6*C142)/6))</f>
        <v>0.538223149646386</v>
      </c>
      <c r="E142" s="12" t="n">
        <f aca="false">D142^(-1/B142)-1</f>
        <v>0.0553452900000002</v>
      </c>
      <c r="F142" s="12" t="n">
        <f aca="false">(1+E142)^(1/12)-1</f>
        <v>0.00449909086144174</v>
      </c>
      <c r="G142" s="16" t="n">
        <f aca="false">IF(C142=0,(1+Dic2024!$J$6)^(-B142),EXP(LN(INDEX(Dic2024!$K$6:$K$205,C142))+(LN(INDEX(Dic2024!$K$6:$K$205,MIN(C142+1,200)))-LN(INDEX(Dic2024!$K$6:$K$205,C142)))*(A142-6*C142)/6))</f>
        <v>0.538223149646386</v>
      </c>
      <c r="H142" s="12" t="n">
        <f aca="false">G142^(-1/B142)-1</f>
        <v>0.0553452900000002</v>
      </c>
      <c r="I142" s="12" t="n">
        <f aca="false">(1+H142)^(1/12)-1</f>
        <v>0.00449909086144174</v>
      </c>
      <c r="J142" s="16" t="n">
        <f aca="false">IF(C142=0,(1+Dic2024!$M$6)^(-B142),EXP(LN(INDEX(Dic2024!$N$6:$N$205,C142))+(LN(INDEX(Dic2024!$N$6:$N$205,MIN(C142+1,200)))-LN(INDEX(Dic2024!$N$6:$N$205,C142)))*(A142-6*C142)/6))</f>
        <v>0.538223149646386</v>
      </c>
      <c r="K142" s="12" t="n">
        <f aca="false">J142^(-1/B142)-1</f>
        <v>0.0553452900000002</v>
      </c>
      <c r="L142" s="12" t="n">
        <f aca="false">(1+K142)^(1/12)-1</f>
        <v>0.00449909086144174</v>
      </c>
    </row>
    <row r="143" customFormat="false" ht="15" hidden="false" customHeight="false" outlineLevel="0" collapsed="false">
      <c r="A143" s="4" t="n">
        <v>139</v>
      </c>
      <c r="B143" s="14" t="n">
        <f aca="false">A143/12</f>
        <v>11.5833333333333</v>
      </c>
      <c r="C143" s="15" t="n">
        <f aca="false">INT(A143/6)</f>
        <v>23</v>
      </c>
      <c r="D143" s="16" t="n">
        <f aca="false">IF(C143=0,(1+Dic2024!$G$6)^(-B143),EXP(LN(INDEX(Dic2024!$H$6:$H$205,C143))+(LN(INDEX(Dic2024!$H$6:$H$205,MIN(C143+1,200)))-LN(INDEX(Dic2024!$H$6:$H$205,C143)))*(A143-6*C143)/6))</f>
        <v>0.535499650699432</v>
      </c>
      <c r="E143" s="12" t="n">
        <f aca="false">D143^(-1/B143)-1</f>
        <v>0.0553985001187289</v>
      </c>
      <c r="F143" s="12" t="n">
        <f aca="false">(1+E143)^(1/12)-1</f>
        <v>0.0045033113032622</v>
      </c>
      <c r="G143" s="16" t="n">
        <f aca="false">IF(C143=0,(1+Dic2024!$J$6)^(-B143),EXP(LN(INDEX(Dic2024!$K$6:$K$205,C143))+(LN(INDEX(Dic2024!$K$6:$K$205,MIN(C143+1,200)))-LN(INDEX(Dic2024!$K$6:$K$205,C143)))*(A143-6*C143)/6))</f>
        <v>0.535499650699432</v>
      </c>
      <c r="H143" s="12" t="n">
        <f aca="false">G143^(-1/B143)-1</f>
        <v>0.0553985001187289</v>
      </c>
      <c r="I143" s="12" t="n">
        <f aca="false">(1+H143)^(1/12)-1</f>
        <v>0.0045033113032622</v>
      </c>
      <c r="J143" s="16" t="n">
        <f aca="false">IF(C143=0,(1+Dic2024!$M$6)^(-B143),EXP(LN(INDEX(Dic2024!$N$6:$N$205,C143))+(LN(INDEX(Dic2024!$N$6:$N$205,MIN(C143+1,200)))-LN(INDEX(Dic2024!$N$6:$N$205,C143)))*(A143-6*C143)/6))</f>
        <v>0.535499650699432</v>
      </c>
      <c r="K143" s="12" t="n">
        <f aca="false">J143^(-1/B143)-1</f>
        <v>0.0553985001187289</v>
      </c>
      <c r="L143" s="12" t="n">
        <f aca="false">(1+K143)^(1/12)-1</f>
        <v>0.0045033113032622</v>
      </c>
    </row>
    <row r="144" customFormat="false" ht="15" hidden="false" customHeight="false" outlineLevel="0" collapsed="false">
      <c r="A144" s="4" t="n">
        <v>140</v>
      </c>
      <c r="B144" s="14" t="n">
        <f aca="false">A144/12</f>
        <v>11.6666666666667</v>
      </c>
      <c r="C144" s="15" t="n">
        <f aca="false">INT(A144/6)</f>
        <v>23</v>
      </c>
      <c r="D144" s="16" t="n">
        <f aca="false">IF(C144=0,(1+Dic2024!$G$6)^(-B144),EXP(LN(INDEX(Dic2024!$H$6:$H$205,C144))+(LN(INDEX(Dic2024!$H$6:$H$205,MIN(C144+1,200)))-LN(INDEX(Dic2024!$H$6:$H$205,C144)))*(A144-6*C144)/6))</f>
        <v>0.532789933111602</v>
      </c>
      <c r="E144" s="12" t="n">
        <f aca="false">D144^(-1/B144)-1</f>
        <v>0.0554509527185225</v>
      </c>
      <c r="F144" s="12" t="n">
        <f aca="false">(1+E144)^(1/12)-1</f>
        <v>0.00450747147041075</v>
      </c>
      <c r="G144" s="16" t="n">
        <f aca="false">IF(C144=0,(1+Dic2024!$J$6)^(-B144),EXP(LN(INDEX(Dic2024!$K$6:$K$205,C144))+(LN(INDEX(Dic2024!$K$6:$K$205,MIN(C144+1,200)))-LN(INDEX(Dic2024!$K$6:$K$205,C144)))*(A144-6*C144)/6))</f>
        <v>0.532789933111602</v>
      </c>
      <c r="H144" s="12" t="n">
        <f aca="false">G144^(-1/B144)-1</f>
        <v>0.0554509527185225</v>
      </c>
      <c r="I144" s="12" t="n">
        <f aca="false">(1+H144)^(1/12)-1</f>
        <v>0.00450747147041075</v>
      </c>
      <c r="J144" s="16" t="n">
        <f aca="false">IF(C144=0,(1+Dic2024!$M$6)^(-B144),EXP(LN(INDEX(Dic2024!$N$6:$N$205,C144))+(LN(INDEX(Dic2024!$N$6:$N$205,MIN(C144+1,200)))-LN(INDEX(Dic2024!$N$6:$N$205,C144)))*(A144-6*C144)/6))</f>
        <v>0.532789933111602</v>
      </c>
      <c r="K144" s="12" t="n">
        <f aca="false">J144^(-1/B144)-1</f>
        <v>0.0554509527185225</v>
      </c>
      <c r="L144" s="12" t="n">
        <f aca="false">(1+K144)^(1/12)-1</f>
        <v>0.00450747147041075</v>
      </c>
    </row>
    <row r="145" customFormat="false" ht="15" hidden="false" customHeight="false" outlineLevel="0" collapsed="false">
      <c r="A145" s="4" t="n">
        <v>141</v>
      </c>
      <c r="B145" s="14" t="n">
        <f aca="false">A145/12</f>
        <v>11.75</v>
      </c>
      <c r="C145" s="15" t="n">
        <f aca="false">INT(A145/6)</f>
        <v>23</v>
      </c>
      <c r="D145" s="16" t="n">
        <f aca="false">IF(C145=0,(1+Dic2024!$G$6)^(-B145),EXP(LN(INDEX(Dic2024!$H$6:$H$205,C145))+(LN(INDEX(Dic2024!$H$6:$H$205,MIN(C145+1,200)))-LN(INDEX(Dic2024!$H$6:$H$205,C145)))*(A145-6*C145)/6))</f>
        <v>0.530093927146919</v>
      </c>
      <c r="E145" s="12" t="n">
        <f aca="false">D145^(-1/B145)-1</f>
        <v>0.0555026638614642</v>
      </c>
      <c r="F145" s="12" t="n">
        <f aca="false">(1+E145)^(1/12)-1</f>
        <v>0.00451157264496072</v>
      </c>
      <c r="G145" s="16" t="n">
        <f aca="false">IF(C145=0,(1+Dic2024!$J$6)^(-B145),EXP(LN(INDEX(Dic2024!$K$6:$K$205,C145))+(LN(INDEX(Dic2024!$K$6:$K$205,MIN(C145+1,200)))-LN(INDEX(Dic2024!$K$6:$K$205,C145)))*(A145-6*C145)/6))</f>
        <v>0.530093927146919</v>
      </c>
      <c r="H145" s="12" t="n">
        <f aca="false">G145^(-1/B145)-1</f>
        <v>0.0555026638614642</v>
      </c>
      <c r="I145" s="12" t="n">
        <f aca="false">(1+H145)^(1/12)-1</f>
        <v>0.00451157264496072</v>
      </c>
      <c r="J145" s="16" t="n">
        <f aca="false">IF(C145=0,(1+Dic2024!$M$6)^(-B145),EXP(LN(INDEX(Dic2024!$N$6:$N$205,C145))+(LN(INDEX(Dic2024!$N$6:$N$205,MIN(C145+1,200)))-LN(INDEX(Dic2024!$N$6:$N$205,C145)))*(A145-6*C145)/6))</f>
        <v>0.530093927146919</v>
      </c>
      <c r="K145" s="12" t="n">
        <f aca="false">J145^(-1/B145)-1</f>
        <v>0.0555026638614642</v>
      </c>
      <c r="L145" s="12" t="n">
        <f aca="false">(1+K145)^(1/12)-1</f>
        <v>0.00451157264496072</v>
      </c>
    </row>
    <row r="146" customFormat="false" ht="15" hidden="false" customHeight="false" outlineLevel="0" collapsed="false">
      <c r="A146" s="4" t="n">
        <v>142</v>
      </c>
      <c r="B146" s="14" t="n">
        <f aca="false">A146/12</f>
        <v>11.8333333333333</v>
      </c>
      <c r="C146" s="15" t="n">
        <f aca="false">INT(A146/6)</f>
        <v>23</v>
      </c>
      <c r="D146" s="16" t="n">
        <f aca="false">IF(C146=0,(1+Dic2024!$G$6)^(-B146),EXP(LN(INDEX(Dic2024!$H$6:$H$205,C146))+(LN(INDEX(Dic2024!$H$6:$H$205,MIN(C146+1,200)))-LN(INDEX(Dic2024!$H$6:$H$205,C146)))*(A146-6*C146)/6))</f>
        <v>0.527411563422283</v>
      </c>
      <c r="E146" s="12" t="n">
        <f aca="false">D146^(-1/B146)-1</f>
        <v>0.0555536491587283</v>
      </c>
      <c r="F146" s="12" t="n">
        <f aca="false">(1+E146)^(1/12)-1</f>
        <v>0.00451561607288098</v>
      </c>
      <c r="G146" s="16" t="n">
        <f aca="false">IF(C146=0,(1+Dic2024!$J$6)^(-B146),EXP(LN(INDEX(Dic2024!$K$6:$K$205,C146))+(LN(INDEX(Dic2024!$K$6:$K$205,MIN(C146+1,200)))-LN(INDEX(Dic2024!$K$6:$K$205,C146)))*(A146-6*C146)/6))</f>
        <v>0.527411563422283</v>
      </c>
      <c r="H146" s="12" t="n">
        <f aca="false">G146^(-1/B146)-1</f>
        <v>0.0555536491587283</v>
      </c>
      <c r="I146" s="12" t="n">
        <f aca="false">(1+H146)^(1/12)-1</f>
        <v>0.00451561607288098</v>
      </c>
      <c r="J146" s="16" t="n">
        <f aca="false">IF(C146=0,(1+Dic2024!$M$6)^(-B146),EXP(LN(INDEX(Dic2024!$N$6:$N$205,C146))+(LN(INDEX(Dic2024!$N$6:$N$205,MIN(C146+1,200)))-LN(INDEX(Dic2024!$N$6:$N$205,C146)))*(A146-6*C146)/6))</f>
        <v>0.527411563422283</v>
      </c>
      <c r="K146" s="12" t="n">
        <f aca="false">J146^(-1/B146)-1</f>
        <v>0.0555536491587283</v>
      </c>
      <c r="L146" s="12" t="n">
        <f aca="false">(1+K146)^(1/12)-1</f>
        <v>0.00451561607288098</v>
      </c>
    </row>
    <row r="147" customFormat="false" ht="15" hidden="false" customHeight="false" outlineLevel="0" collapsed="false">
      <c r="A147" s="4" t="n">
        <v>143</v>
      </c>
      <c r="B147" s="14" t="n">
        <f aca="false">A147/12</f>
        <v>11.9166666666667</v>
      </c>
      <c r="C147" s="15" t="n">
        <f aca="false">INT(A147/6)</f>
        <v>23</v>
      </c>
      <c r="D147" s="16" t="n">
        <f aca="false">IF(C147=0,(1+Dic2024!$G$6)^(-B147),EXP(LN(INDEX(Dic2024!$H$6:$H$205,C147))+(LN(INDEX(Dic2024!$H$6:$H$205,MIN(C147+1,200)))-LN(INDEX(Dic2024!$H$6:$H$205,C147)))*(A147-6*C147)/6))</f>
        <v>0.524742772905681</v>
      </c>
      <c r="E147" s="12" t="n">
        <f aca="false">D147^(-1/B147)-1</f>
        <v>0.0556039237862926</v>
      </c>
      <c r="F147" s="12" t="n">
        <f aca="false">(1+E147)^(1/12)-1</f>
        <v>0.00451960296529785</v>
      </c>
      <c r="G147" s="16" t="n">
        <f aca="false">IF(C147=0,(1+Dic2024!$J$6)^(-B147),EXP(LN(INDEX(Dic2024!$K$6:$K$205,C147))+(LN(INDEX(Dic2024!$K$6:$K$205,MIN(C147+1,200)))-LN(INDEX(Dic2024!$K$6:$K$205,C147)))*(A147-6*C147)/6))</f>
        <v>0.524742772905681</v>
      </c>
      <c r="H147" s="12" t="n">
        <f aca="false">G147^(-1/B147)-1</f>
        <v>0.0556039237862926</v>
      </c>
      <c r="I147" s="12" t="n">
        <f aca="false">(1+H147)^(1/12)-1</f>
        <v>0.00451960296529785</v>
      </c>
      <c r="J147" s="16" t="n">
        <f aca="false">IF(C147=0,(1+Dic2024!$M$6)^(-B147),EXP(LN(INDEX(Dic2024!$N$6:$N$205,C147))+(LN(INDEX(Dic2024!$N$6:$N$205,MIN(C147+1,200)))-LN(INDEX(Dic2024!$N$6:$N$205,C147)))*(A147-6*C147)/6))</f>
        <v>0.524742772905681</v>
      </c>
      <c r="K147" s="12" t="n">
        <f aca="false">J147^(-1/B147)-1</f>
        <v>0.0556039237862926</v>
      </c>
      <c r="L147" s="12" t="n">
        <f aca="false">(1+K147)^(1/12)-1</f>
        <v>0.00451960296529785</v>
      </c>
    </row>
    <row r="148" customFormat="false" ht="15" hidden="false" customHeight="false" outlineLevel="0" collapsed="false">
      <c r="A148" s="4" t="n">
        <v>144</v>
      </c>
      <c r="B148" s="14" t="n">
        <f aca="false">A148/12</f>
        <v>12</v>
      </c>
      <c r="C148" s="15" t="n">
        <f aca="false">INT(A148/6)</f>
        <v>24</v>
      </c>
      <c r="D148" s="16" t="n">
        <f aca="false">IF(C148=0,(1+Dic2024!$G$6)^(-B148),EXP(LN(INDEX(Dic2024!$H$6:$H$205,C148))+(LN(INDEX(Dic2024!$H$6:$H$205,MIN(C148+1,200)))-LN(INDEX(Dic2024!$H$6:$H$205,C148)))*(A148-6*C148)/6))</f>
        <v>0.522087486914417</v>
      </c>
      <c r="E148" s="12" t="n">
        <f aca="false">D148^(-1/B148)-1</f>
        <v>0.0556535025</v>
      </c>
      <c r="F148" s="12" t="n">
        <f aca="false">(1+E148)^(1/12)-1</f>
        <v>0.00452353449970477</v>
      </c>
      <c r="G148" s="16" t="n">
        <f aca="false">IF(C148=0,(1+Dic2024!$J$6)^(-B148),EXP(LN(INDEX(Dic2024!$K$6:$K$205,C148))+(LN(INDEX(Dic2024!$K$6:$K$205,MIN(C148+1,200)))-LN(INDEX(Dic2024!$K$6:$K$205,C148)))*(A148-6*C148)/6))</f>
        <v>0.522087486914417</v>
      </c>
      <c r="H148" s="12" t="n">
        <f aca="false">G148^(-1/B148)-1</f>
        <v>0.0556535025</v>
      </c>
      <c r="I148" s="12" t="n">
        <f aca="false">(1+H148)^(1/12)-1</f>
        <v>0.00452353449970477</v>
      </c>
      <c r="J148" s="16" t="n">
        <f aca="false">IF(C148=0,(1+Dic2024!$M$6)^(-B148),EXP(LN(INDEX(Dic2024!$N$6:$N$205,C148))+(LN(INDEX(Dic2024!$N$6:$N$205,MIN(C148+1,200)))-LN(INDEX(Dic2024!$N$6:$N$205,C148)))*(A148-6*C148)/6))</f>
        <v>0.522087486914417</v>
      </c>
      <c r="K148" s="12" t="n">
        <f aca="false">J148^(-1/B148)-1</f>
        <v>0.0556535025</v>
      </c>
      <c r="L148" s="12" t="n">
        <f aca="false">(1+K148)^(1/12)-1</f>
        <v>0.00452353449970477</v>
      </c>
    </row>
    <row r="149" customFormat="false" ht="15" hidden="false" customHeight="false" outlineLevel="0" collapsed="false">
      <c r="A149" s="4" t="n">
        <v>145</v>
      </c>
      <c r="B149" s="14" t="n">
        <f aca="false">A149/12</f>
        <v>12.0833333333333</v>
      </c>
      <c r="C149" s="15" t="n">
        <f aca="false">INT(A149/6)</f>
        <v>24</v>
      </c>
      <c r="D149" s="16" t="n">
        <f aca="false">IF(C149=0,(1+Dic2024!$G$6)^(-B149),EXP(LN(INDEX(Dic2024!$H$6:$H$205,C149))+(LN(INDEX(Dic2024!$H$6:$H$205,MIN(C149+1,200)))-LN(INDEX(Dic2024!$H$6:$H$205,C149)))*(A149-6*C149)/6))</f>
        <v>0.519420403621489</v>
      </c>
      <c r="E149" s="12" t="n">
        <f aca="false">D149^(-1/B149)-1</f>
        <v>0.055706643924105</v>
      </c>
      <c r="F149" s="12" t="n">
        <f aca="false">(1+E149)^(1/12)-1</f>
        <v>0.00452774836497349</v>
      </c>
      <c r="G149" s="16" t="n">
        <f aca="false">IF(C149=0,(1+Dic2024!$J$6)^(-B149),EXP(LN(INDEX(Dic2024!$K$6:$K$205,C149))+(LN(INDEX(Dic2024!$K$6:$K$205,MIN(C149+1,200)))-LN(INDEX(Dic2024!$K$6:$K$205,C149)))*(A149-6*C149)/6))</f>
        <v>0.519420403621489</v>
      </c>
      <c r="H149" s="12" t="n">
        <f aca="false">G149^(-1/B149)-1</f>
        <v>0.055706643924105</v>
      </c>
      <c r="I149" s="12" t="n">
        <f aca="false">(1+H149)^(1/12)-1</f>
        <v>0.00452774836497349</v>
      </c>
      <c r="J149" s="16" t="n">
        <f aca="false">IF(C149=0,(1+Dic2024!$M$6)^(-B149),EXP(LN(INDEX(Dic2024!$N$6:$N$205,C149))+(LN(INDEX(Dic2024!$N$6:$N$205,MIN(C149+1,200)))-LN(INDEX(Dic2024!$N$6:$N$205,C149)))*(A149-6*C149)/6))</f>
        <v>0.519420403621489</v>
      </c>
      <c r="K149" s="12" t="n">
        <f aca="false">J149^(-1/B149)-1</f>
        <v>0.055706643924105</v>
      </c>
      <c r="L149" s="12" t="n">
        <f aca="false">(1+K149)^(1/12)-1</f>
        <v>0.00452774836497349</v>
      </c>
    </row>
    <row r="150" customFormat="false" ht="15" hidden="false" customHeight="false" outlineLevel="0" collapsed="false">
      <c r="A150" s="4" t="n">
        <v>146</v>
      </c>
      <c r="B150" s="14" t="n">
        <f aca="false">A150/12</f>
        <v>12.1666666666667</v>
      </c>
      <c r="C150" s="15" t="n">
        <f aca="false">INT(A150/6)</f>
        <v>24</v>
      </c>
      <c r="D150" s="16" t="n">
        <f aca="false">IF(C150=0,(1+Dic2024!$G$6)^(-B150),EXP(LN(INDEX(Dic2024!$H$6:$H$205,C150))+(LN(INDEX(Dic2024!$H$6:$H$205,MIN(C150+1,200)))-LN(INDEX(Dic2024!$H$6:$H$205,C150)))*(A150-6*C150)/6))</f>
        <v>0.516766945120324</v>
      </c>
      <c r="E150" s="12" t="n">
        <f aca="false">D150^(-1/B150)-1</f>
        <v>0.0557590600039084</v>
      </c>
      <c r="F150" s="12" t="n">
        <f aca="false">(1+E150)^(1/12)-1</f>
        <v>0.00453190452337582</v>
      </c>
      <c r="G150" s="16" t="n">
        <f aca="false">IF(C150=0,(1+Dic2024!$J$6)^(-B150),EXP(LN(INDEX(Dic2024!$K$6:$K$205,C150))+(LN(INDEX(Dic2024!$K$6:$K$205,MIN(C150+1,200)))-LN(INDEX(Dic2024!$K$6:$K$205,C150)))*(A150-6*C150)/6))</f>
        <v>0.516766945120324</v>
      </c>
      <c r="H150" s="12" t="n">
        <f aca="false">G150^(-1/B150)-1</f>
        <v>0.0557590600039084</v>
      </c>
      <c r="I150" s="12" t="n">
        <f aca="false">(1+H150)^(1/12)-1</f>
        <v>0.00453190452337582</v>
      </c>
      <c r="J150" s="16" t="n">
        <f aca="false">IF(C150=0,(1+Dic2024!$M$6)^(-B150),EXP(LN(INDEX(Dic2024!$N$6:$N$205,C150))+(LN(INDEX(Dic2024!$N$6:$N$205,MIN(C150+1,200)))-LN(INDEX(Dic2024!$N$6:$N$205,C150)))*(A150-6*C150)/6))</f>
        <v>0.516766945120324</v>
      </c>
      <c r="K150" s="12" t="n">
        <f aca="false">J150^(-1/B150)-1</f>
        <v>0.0557590600039084</v>
      </c>
      <c r="L150" s="12" t="n">
        <f aca="false">(1+K150)^(1/12)-1</f>
        <v>0.00453190452337582</v>
      </c>
    </row>
    <row r="151" customFormat="false" ht="15" hidden="false" customHeight="false" outlineLevel="0" collapsed="false">
      <c r="A151" s="4" t="n">
        <v>147</v>
      </c>
      <c r="B151" s="14" t="n">
        <f aca="false">A151/12</f>
        <v>12.25</v>
      </c>
      <c r="C151" s="15" t="n">
        <f aca="false">INT(A151/6)</f>
        <v>24</v>
      </c>
      <c r="D151" s="16" t="n">
        <f aca="false">IF(C151=0,(1+Dic2024!$G$6)^(-B151),EXP(LN(INDEX(Dic2024!$H$6:$H$205,C151))+(LN(INDEX(Dic2024!$H$6:$H$205,MIN(C151+1,200)))-LN(INDEX(Dic2024!$H$6:$H$205,C151)))*(A151-6*C151)/6))</f>
        <v>0.51412704180869</v>
      </c>
      <c r="E151" s="12" t="n">
        <f aca="false">D151^(-1/B151)-1</f>
        <v>0.0558107654893683</v>
      </c>
      <c r="F151" s="12" t="n">
        <f aca="false">(1+E151)^(1/12)-1</f>
        <v>0.00453600415225175</v>
      </c>
      <c r="G151" s="16" t="n">
        <f aca="false">IF(C151=0,(1+Dic2024!$J$6)^(-B151),EXP(LN(INDEX(Dic2024!$K$6:$K$205,C151))+(LN(INDEX(Dic2024!$K$6:$K$205,MIN(C151+1,200)))-LN(INDEX(Dic2024!$K$6:$K$205,C151)))*(A151-6*C151)/6))</f>
        <v>0.51412704180869</v>
      </c>
      <c r="H151" s="12" t="n">
        <f aca="false">G151^(-1/B151)-1</f>
        <v>0.0558107654893683</v>
      </c>
      <c r="I151" s="12" t="n">
        <f aca="false">(1+H151)^(1/12)-1</f>
        <v>0.00453600415225175</v>
      </c>
      <c r="J151" s="16" t="n">
        <f aca="false">IF(C151=0,(1+Dic2024!$M$6)^(-B151),EXP(LN(INDEX(Dic2024!$N$6:$N$205,C151))+(LN(INDEX(Dic2024!$N$6:$N$205,MIN(C151+1,200)))-LN(INDEX(Dic2024!$N$6:$N$205,C151)))*(A151-6*C151)/6))</f>
        <v>0.51412704180869</v>
      </c>
      <c r="K151" s="12" t="n">
        <f aca="false">J151^(-1/B151)-1</f>
        <v>0.0558107654893683</v>
      </c>
      <c r="L151" s="12" t="n">
        <f aca="false">(1+K151)^(1/12)-1</f>
        <v>0.00453600415225175</v>
      </c>
    </row>
    <row r="152" customFormat="false" ht="15" hidden="false" customHeight="false" outlineLevel="0" collapsed="false">
      <c r="A152" s="4" t="n">
        <v>148</v>
      </c>
      <c r="B152" s="14" t="n">
        <f aca="false">A152/12</f>
        <v>12.3333333333333</v>
      </c>
      <c r="C152" s="15" t="n">
        <f aca="false">INT(A152/6)</f>
        <v>24</v>
      </c>
      <c r="D152" s="16" t="n">
        <f aca="false">IF(C152=0,(1+Dic2024!$G$6)^(-B152),EXP(LN(INDEX(Dic2024!$H$6:$H$205,C152))+(LN(INDEX(Dic2024!$H$6:$H$205,MIN(C152+1,200)))-LN(INDEX(Dic2024!$H$6:$H$205,C152)))*(A152-6*C152)/6))</f>
        <v>0.511500624439918</v>
      </c>
      <c r="E152" s="12" t="n">
        <f aca="false">D152^(-1/B152)-1</f>
        <v>0.0558617747332135</v>
      </c>
      <c r="F152" s="12" t="n">
        <f aca="false">(1+E152)^(1/12)-1</f>
        <v>0.00454004839713096</v>
      </c>
      <c r="G152" s="16" t="n">
        <f aca="false">IF(C152=0,(1+Dic2024!$J$6)^(-B152),EXP(LN(INDEX(Dic2024!$K$6:$K$205,C152))+(LN(INDEX(Dic2024!$K$6:$K$205,MIN(C152+1,200)))-LN(INDEX(Dic2024!$K$6:$K$205,C152)))*(A152-6*C152)/6))</f>
        <v>0.511500624439918</v>
      </c>
      <c r="H152" s="12" t="n">
        <f aca="false">G152^(-1/B152)-1</f>
        <v>0.0558617747332135</v>
      </c>
      <c r="I152" s="12" t="n">
        <f aca="false">(1+H152)^(1/12)-1</f>
        <v>0.00454004839713096</v>
      </c>
      <c r="J152" s="16" t="n">
        <f aca="false">IF(C152=0,(1+Dic2024!$M$6)^(-B152),EXP(LN(INDEX(Dic2024!$N$6:$N$205,C152))+(LN(INDEX(Dic2024!$N$6:$N$205,MIN(C152+1,200)))-LN(INDEX(Dic2024!$N$6:$N$205,C152)))*(A152-6*C152)/6))</f>
        <v>0.511500624439918</v>
      </c>
      <c r="K152" s="12" t="n">
        <f aca="false">J152^(-1/B152)-1</f>
        <v>0.0558617747332135</v>
      </c>
      <c r="L152" s="12" t="n">
        <f aca="false">(1+K152)^(1/12)-1</f>
        <v>0.00454004839713096</v>
      </c>
    </row>
    <row r="153" customFormat="false" ht="15" hidden="false" customHeight="false" outlineLevel="0" collapsed="false">
      <c r="A153" s="4" t="n">
        <v>149</v>
      </c>
      <c r="B153" s="14" t="n">
        <f aca="false">A153/12</f>
        <v>12.4166666666667</v>
      </c>
      <c r="C153" s="15" t="n">
        <f aca="false">INT(A153/6)</f>
        <v>24</v>
      </c>
      <c r="D153" s="16" t="n">
        <f aca="false">IF(C153=0,(1+Dic2024!$G$6)^(-B153),EXP(LN(INDEX(Dic2024!$H$6:$H$205,C153))+(LN(INDEX(Dic2024!$H$6:$H$205,MIN(C153+1,200)))-LN(INDEX(Dic2024!$H$6:$H$205,C153)))*(A153-6*C153)/6))</f>
        <v>0.508887624121086</v>
      </c>
      <c r="E153" s="12" t="n">
        <f aca="false">D153^(-1/B153)-1</f>
        <v>0.0559121017042272</v>
      </c>
      <c r="F153" s="12" t="n">
        <f aca="false">(1+E153)^(1/12)-1</f>
        <v>0.00454403837279971</v>
      </c>
      <c r="G153" s="16" t="n">
        <f aca="false">IF(C153=0,(1+Dic2024!$J$6)^(-B153),EXP(LN(INDEX(Dic2024!$K$6:$K$205,C153))+(LN(INDEX(Dic2024!$K$6:$K$205,MIN(C153+1,200)))-LN(INDEX(Dic2024!$K$6:$K$205,C153)))*(A153-6*C153)/6))</f>
        <v>0.508887624121086</v>
      </c>
      <c r="H153" s="12" t="n">
        <f aca="false">G153^(-1/B153)-1</f>
        <v>0.0559121017042272</v>
      </c>
      <c r="I153" s="12" t="n">
        <f aca="false">(1+H153)^(1/12)-1</f>
        <v>0.00454403837279971</v>
      </c>
      <c r="J153" s="16" t="n">
        <f aca="false">IF(C153=0,(1+Dic2024!$M$6)^(-B153),EXP(LN(INDEX(Dic2024!$N$6:$N$205,C153))+(LN(INDEX(Dic2024!$N$6:$N$205,MIN(C153+1,200)))-LN(INDEX(Dic2024!$N$6:$N$205,C153)))*(A153-6*C153)/6))</f>
        <v>0.508887624121086</v>
      </c>
      <c r="K153" s="12" t="n">
        <f aca="false">J153^(-1/B153)-1</f>
        <v>0.0559121017042272</v>
      </c>
      <c r="L153" s="12" t="n">
        <f aca="false">(1+K153)^(1/12)-1</f>
        <v>0.00454403837279971</v>
      </c>
    </row>
    <row r="154" customFormat="false" ht="15" hidden="false" customHeight="false" outlineLevel="0" collapsed="false">
      <c r="A154" s="4" t="n">
        <v>150</v>
      </c>
      <c r="B154" s="14" t="n">
        <f aca="false">A154/12</f>
        <v>12.5</v>
      </c>
      <c r="C154" s="15" t="n">
        <f aca="false">INT(A154/6)</f>
        <v>25</v>
      </c>
      <c r="D154" s="16" t="n">
        <f aca="false">IF(C154=0,(1+Dic2024!$G$6)^(-B154),EXP(LN(INDEX(Dic2024!$H$6:$H$205,C154))+(LN(INDEX(Dic2024!$H$6:$H$205,MIN(C154+1,200)))-LN(INDEX(Dic2024!$H$6:$H$205,C154)))*(A154-6*C154)/6))</f>
        <v>0.506287972311209</v>
      </c>
      <c r="E154" s="12" t="n">
        <f aca="false">D154^(-1/B154)-1</f>
        <v>0.0559617600000002</v>
      </c>
      <c r="F154" s="12" t="n">
        <f aca="false">(1+E154)^(1/12)-1</f>
        <v>0.00454797516432515</v>
      </c>
      <c r="G154" s="16" t="n">
        <f aca="false">IF(C154=0,(1+Dic2024!$J$6)^(-B154),EXP(LN(INDEX(Dic2024!$K$6:$K$205,C154))+(LN(INDEX(Dic2024!$K$6:$K$205,MIN(C154+1,200)))-LN(INDEX(Dic2024!$K$6:$K$205,C154)))*(A154-6*C154)/6))</f>
        <v>0.506287972311209</v>
      </c>
      <c r="H154" s="12" t="n">
        <f aca="false">G154^(-1/B154)-1</f>
        <v>0.0559617600000002</v>
      </c>
      <c r="I154" s="12" t="n">
        <f aca="false">(1+H154)^(1/12)-1</f>
        <v>0.00454797516432515</v>
      </c>
      <c r="J154" s="16" t="n">
        <f aca="false">IF(C154=0,(1+Dic2024!$M$6)^(-B154),EXP(LN(INDEX(Dic2024!$N$6:$N$205,C154))+(LN(INDEX(Dic2024!$N$6:$N$205,MIN(C154+1,200)))-LN(INDEX(Dic2024!$N$6:$N$205,C154)))*(A154-6*C154)/6))</f>
        <v>0.506287972311209</v>
      </c>
      <c r="K154" s="12" t="n">
        <f aca="false">J154^(-1/B154)-1</f>
        <v>0.0559617600000002</v>
      </c>
      <c r="L154" s="12" t="n">
        <f aca="false">(1+K154)^(1/12)-1</f>
        <v>0.00454797516432515</v>
      </c>
    </row>
    <row r="155" customFormat="false" ht="15" hidden="false" customHeight="false" outlineLevel="0" collapsed="false">
      <c r="A155" s="4" t="n">
        <v>151</v>
      </c>
      <c r="B155" s="14" t="n">
        <f aca="false">A155/12</f>
        <v>12.5833333333333</v>
      </c>
      <c r="C155" s="15" t="n">
        <f aca="false">INT(A155/6)</f>
        <v>25</v>
      </c>
      <c r="D155" s="16" t="n">
        <f aca="false">IF(C155=0,(1+Dic2024!$G$6)^(-B155),EXP(LN(INDEX(Dic2024!$H$6:$H$205,C155))+(LN(INDEX(Dic2024!$H$6:$H$205,MIN(C155+1,200)))-LN(INDEX(Dic2024!$H$6:$H$205,C155)))*(A155-6*C155)/6))</f>
        <v>0.50367713749126</v>
      </c>
      <c r="E155" s="12" t="n">
        <f aca="false">D155^(-1/B155)-1</f>
        <v>0.0560148387846879</v>
      </c>
      <c r="F155" s="12" t="n">
        <f aca="false">(1+E155)^(1/12)-1</f>
        <v>0.00455218293643434</v>
      </c>
      <c r="G155" s="16" t="n">
        <f aca="false">IF(C155=0,(1+Dic2024!$J$6)^(-B155),EXP(LN(INDEX(Dic2024!$K$6:$K$205,C155))+(LN(INDEX(Dic2024!$K$6:$K$205,MIN(C155+1,200)))-LN(INDEX(Dic2024!$K$6:$K$205,C155)))*(A155-6*C155)/6))</f>
        <v>0.50367713749126</v>
      </c>
      <c r="H155" s="12" t="n">
        <f aca="false">G155^(-1/B155)-1</f>
        <v>0.0560148387846879</v>
      </c>
      <c r="I155" s="12" t="n">
        <f aca="false">(1+H155)^(1/12)-1</f>
        <v>0.00455218293643434</v>
      </c>
      <c r="J155" s="16" t="n">
        <f aca="false">IF(C155=0,(1+Dic2024!$M$6)^(-B155),EXP(LN(INDEX(Dic2024!$N$6:$N$205,C155))+(LN(INDEX(Dic2024!$N$6:$N$205,MIN(C155+1,200)))-LN(INDEX(Dic2024!$N$6:$N$205,C155)))*(A155-6*C155)/6))</f>
        <v>0.50367713749126</v>
      </c>
      <c r="K155" s="12" t="n">
        <f aca="false">J155^(-1/B155)-1</f>
        <v>0.0560148387846879</v>
      </c>
      <c r="L155" s="12" t="n">
        <f aca="false">(1+K155)^(1/12)-1</f>
        <v>0.00455218293643434</v>
      </c>
    </row>
    <row r="156" customFormat="false" ht="15" hidden="false" customHeight="false" outlineLevel="0" collapsed="false">
      <c r="A156" s="4" t="n">
        <v>152</v>
      </c>
      <c r="B156" s="14" t="n">
        <f aca="false">A156/12</f>
        <v>12.6666666666667</v>
      </c>
      <c r="C156" s="15" t="n">
        <f aca="false">INT(A156/6)</f>
        <v>25</v>
      </c>
      <c r="D156" s="16" t="n">
        <f aca="false">IF(C156=0,(1+Dic2024!$G$6)^(-B156),EXP(LN(INDEX(Dic2024!$H$6:$H$205,C156))+(LN(INDEX(Dic2024!$H$6:$H$205,MIN(C156+1,200)))-LN(INDEX(Dic2024!$H$6:$H$205,C156)))*(A156-6*C156)/6))</f>
        <v>0.501079766270744</v>
      </c>
      <c r="E156" s="12" t="n">
        <f aca="false">D156^(-1/B156)-1</f>
        <v>0.0560672217799341</v>
      </c>
      <c r="F156" s="12" t="n">
        <f aca="false">(1+E156)^(1/12)-1</f>
        <v>0.0045563353603999</v>
      </c>
      <c r="G156" s="16" t="n">
        <f aca="false">IF(C156=0,(1+Dic2024!$J$6)^(-B156),EXP(LN(INDEX(Dic2024!$K$6:$K$205,C156))+(LN(INDEX(Dic2024!$K$6:$K$205,MIN(C156+1,200)))-LN(INDEX(Dic2024!$K$6:$K$205,C156)))*(A156-6*C156)/6))</f>
        <v>0.501079766270744</v>
      </c>
      <c r="H156" s="12" t="n">
        <f aca="false">G156^(-1/B156)-1</f>
        <v>0.0560672217799341</v>
      </c>
      <c r="I156" s="12" t="n">
        <f aca="false">(1+H156)^(1/12)-1</f>
        <v>0.0045563353603999</v>
      </c>
      <c r="J156" s="16" t="n">
        <f aca="false">IF(C156=0,(1+Dic2024!$M$6)^(-B156),EXP(LN(INDEX(Dic2024!$N$6:$N$205,C156))+(LN(INDEX(Dic2024!$N$6:$N$205,MIN(C156+1,200)))-LN(INDEX(Dic2024!$N$6:$N$205,C156)))*(A156-6*C156)/6))</f>
        <v>0.501079766270744</v>
      </c>
      <c r="K156" s="12" t="n">
        <f aca="false">J156^(-1/B156)-1</f>
        <v>0.0560672217799341</v>
      </c>
      <c r="L156" s="12" t="n">
        <f aca="false">(1+K156)^(1/12)-1</f>
        <v>0.0045563353603999</v>
      </c>
    </row>
    <row r="157" customFormat="false" ht="15" hidden="false" customHeight="false" outlineLevel="0" collapsed="false">
      <c r="A157" s="4" t="n">
        <v>153</v>
      </c>
      <c r="B157" s="14" t="n">
        <f aca="false">A157/12</f>
        <v>12.75</v>
      </c>
      <c r="C157" s="15" t="n">
        <f aca="false">INT(A157/6)</f>
        <v>25</v>
      </c>
      <c r="D157" s="16" t="n">
        <f aca="false">IF(C157=0,(1+Dic2024!$G$6)^(-B157),EXP(LN(INDEX(Dic2024!$H$6:$H$205,C157))+(LN(INDEX(Dic2024!$H$6:$H$205,MIN(C157+1,200)))-LN(INDEX(Dic2024!$H$6:$H$205,C157)))*(A157-6*C157)/6))</f>
        <v>0.498495789220333</v>
      </c>
      <c r="E157" s="12" t="n">
        <f aca="false">D157^(-1/B157)-1</f>
        <v>0.056118922577844</v>
      </c>
      <c r="F157" s="12" t="n">
        <f aca="false">(1+E157)^(1/12)-1</f>
        <v>0.00456043352114288</v>
      </c>
      <c r="G157" s="16" t="n">
        <f aca="false">IF(C157=0,(1+Dic2024!$J$6)^(-B157),EXP(LN(INDEX(Dic2024!$K$6:$K$205,C157))+(LN(INDEX(Dic2024!$K$6:$K$205,MIN(C157+1,200)))-LN(INDEX(Dic2024!$K$6:$K$205,C157)))*(A157-6*C157)/6))</f>
        <v>0.498495789220333</v>
      </c>
      <c r="H157" s="12" t="n">
        <f aca="false">G157^(-1/B157)-1</f>
        <v>0.056118922577844</v>
      </c>
      <c r="I157" s="12" t="n">
        <f aca="false">(1+H157)^(1/12)-1</f>
        <v>0.00456043352114288</v>
      </c>
      <c r="J157" s="16" t="n">
        <f aca="false">IF(C157=0,(1+Dic2024!$M$6)^(-B157),EXP(LN(INDEX(Dic2024!$N$6:$N$205,C157))+(LN(INDEX(Dic2024!$N$6:$N$205,MIN(C157+1,200)))-LN(INDEX(Dic2024!$N$6:$N$205,C157)))*(A157-6*C157)/6))</f>
        <v>0.498495789220333</v>
      </c>
      <c r="K157" s="12" t="n">
        <f aca="false">J157^(-1/B157)-1</f>
        <v>0.056118922577844</v>
      </c>
      <c r="L157" s="12" t="n">
        <f aca="false">(1+K157)^(1/12)-1</f>
        <v>0.00456043352114288</v>
      </c>
    </row>
    <row r="158" customFormat="false" ht="15" hidden="false" customHeight="false" outlineLevel="0" collapsed="false">
      <c r="A158" s="4" t="n">
        <v>154</v>
      </c>
      <c r="B158" s="14" t="n">
        <f aca="false">A158/12</f>
        <v>12.8333333333333</v>
      </c>
      <c r="C158" s="15" t="n">
        <f aca="false">INT(A158/6)</f>
        <v>25</v>
      </c>
      <c r="D158" s="16" t="n">
        <f aca="false">IF(C158=0,(1+Dic2024!$G$6)^(-B158),EXP(LN(INDEX(Dic2024!$H$6:$H$205,C158))+(LN(INDEX(Dic2024!$H$6:$H$205,MIN(C158+1,200)))-LN(INDEX(Dic2024!$H$6:$H$205,C158)))*(A158-6*C158)/6))</f>
        <v>0.495925137268731</v>
      </c>
      <c r="E158" s="12" t="n">
        <f aca="false">D158^(-1/B158)-1</f>
        <v>0.0561699544187893</v>
      </c>
      <c r="F158" s="12" t="n">
        <f aca="false">(1+E158)^(1/12)-1</f>
        <v>0.00456447847541353</v>
      </c>
      <c r="G158" s="16" t="n">
        <f aca="false">IF(C158=0,(1+Dic2024!$J$6)^(-B158),EXP(LN(INDEX(Dic2024!$K$6:$K$205,C158))+(LN(INDEX(Dic2024!$K$6:$K$205,MIN(C158+1,200)))-LN(INDEX(Dic2024!$K$6:$K$205,C158)))*(A158-6*C158)/6))</f>
        <v>0.495925137268731</v>
      </c>
      <c r="H158" s="12" t="n">
        <f aca="false">G158^(-1/B158)-1</f>
        <v>0.0561699544187893</v>
      </c>
      <c r="I158" s="12" t="n">
        <f aca="false">(1+H158)^(1/12)-1</f>
        <v>0.00456447847541353</v>
      </c>
      <c r="J158" s="16" t="n">
        <f aca="false">IF(C158=0,(1+Dic2024!$M$6)^(-B158),EXP(LN(INDEX(Dic2024!$N$6:$N$205,C158))+(LN(INDEX(Dic2024!$N$6:$N$205,MIN(C158+1,200)))-LN(INDEX(Dic2024!$N$6:$N$205,C158)))*(A158-6*C158)/6))</f>
        <v>0.495925137268731</v>
      </c>
      <c r="K158" s="12" t="n">
        <f aca="false">J158^(-1/B158)-1</f>
        <v>0.0561699544187893</v>
      </c>
      <c r="L158" s="12" t="n">
        <f aca="false">(1+K158)^(1/12)-1</f>
        <v>0.00456447847541353</v>
      </c>
    </row>
    <row r="159" customFormat="false" ht="15" hidden="false" customHeight="false" outlineLevel="0" collapsed="false">
      <c r="A159" s="4" t="n">
        <v>155</v>
      </c>
      <c r="B159" s="14" t="n">
        <f aca="false">A159/12</f>
        <v>12.9166666666667</v>
      </c>
      <c r="C159" s="15" t="n">
        <f aca="false">INT(A159/6)</f>
        <v>25</v>
      </c>
      <c r="D159" s="16" t="n">
        <f aca="false">IF(C159=0,(1+Dic2024!$G$6)^(-B159),EXP(LN(INDEX(Dic2024!$H$6:$H$205,C159))+(LN(INDEX(Dic2024!$H$6:$H$205,MIN(C159+1,200)))-LN(INDEX(Dic2024!$H$6:$H$205,C159)))*(A159-6*C159)/6))</f>
        <v>0.493367741700833</v>
      </c>
      <c r="E159" s="12" t="n">
        <f aca="false">D159^(-1/B159)-1</f>
        <v>0.0562203302027129</v>
      </c>
      <c r="F159" s="12" t="n">
        <f aca="false">(1+E159)^(1/12)-1</f>
        <v>0.00456847125269944</v>
      </c>
      <c r="G159" s="16" t="n">
        <f aca="false">IF(C159=0,(1+Dic2024!$J$6)^(-B159),EXP(LN(INDEX(Dic2024!$K$6:$K$205,C159))+(LN(INDEX(Dic2024!$K$6:$K$205,MIN(C159+1,200)))-LN(INDEX(Dic2024!$K$6:$K$205,C159)))*(A159-6*C159)/6))</f>
        <v>0.493367741700833</v>
      </c>
      <c r="H159" s="12" t="n">
        <f aca="false">G159^(-1/B159)-1</f>
        <v>0.0562203302027129</v>
      </c>
      <c r="I159" s="12" t="n">
        <f aca="false">(1+H159)^(1/12)-1</f>
        <v>0.00456847125269944</v>
      </c>
      <c r="J159" s="16" t="n">
        <f aca="false">IF(C159=0,(1+Dic2024!$M$6)^(-B159),EXP(LN(INDEX(Dic2024!$N$6:$N$205,C159))+(LN(INDEX(Dic2024!$N$6:$N$205,MIN(C159+1,200)))-LN(INDEX(Dic2024!$N$6:$N$205,C159)))*(A159-6*C159)/6))</f>
        <v>0.493367741700833</v>
      </c>
      <c r="K159" s="12" t="n">
        <f aca="false">J159^(-1/B159)-1</f>
        <v>0.0562203302027129</v>
      </c>
      <c r="L159" s="12" t="n">
        <f aca="false">(1+K159)^(1/12)-1</f>
        <v>0.00456847125269944</v>
      </c>
    </row>
    <row r="160" customFormat="false" ht="15" hidden="false" customHeight="false" outlineLevel="0" collapsed="false">
      <c r="A160" s="4" t="n">
        <v>156</v>
      </c>
      <c r="B160" s="14" t="n">
        <f aca="false">A160/12</f>
        <v>13</v>
      </c>
      <c r="C160" s="15" t="n">
        <f aca="false">INT(A160/6)</f>
        <v>26</v>
      </c>
      <c r="D160" s="16" t="n">
        <f aca="false">IF(C160=0,(1+Dic2024!$G$6)^(-B160),EXP(LN(INDEX(Dic2024!$H$6:$H$205,C160))+(LN(INDEX(Dic2024!$H$6:$H$205,MIN(C160+1,200)))-LN(INDEX(Dic2024!$H$6:$H$205,C160)))*(A160-6*C160)/6))</f>
        <v>0.490823534155882</v>
      </c>
      <c r="E160" s="12" t="n">
        <f aca="false">D160^(-1/B160)-1</f>
        <v>0.0562700624999999</v>
      </c>
      <c r="F160" s="12" t="n">
        <f aca="false">(1+E160)^(1/12)-1</f>
        <v>0.00457241285609888</v>
      </c>
      <c r="G160" s="16" t="n">
        <f aca="false">IF(C160=0,(1+Dic2024!$J$6)^(-B160),EXP(LN(INDEX(Dic2024!$K$6:$K$205,C160))+(LN(INDEX(Dic2024!$K$6:$K$205,MIN(C160+1,200)))-LN(INDEX(Dic2024!$K$6:$K$205,C160)))*(A160-6*C160)/6))</f>
        <v>0.490823534155882</v>
      </c>
      <c r="H160" s="12" t="n">
        <f aca="false">G160^(-1/B160)-1</f>
        <v>0.0562700624999999</v>
      </c>
      <c r="I160" s="12" t="n">
        <f aca="false">(1+H160)^(1/12)-1</f>
        <v>0.00457241285609888</v>
      </c>
      <c r="J160" s="16" t="n">
        <f aca="false">IF(C160=0,(1+Dic2024!$M$6)^(-B160),EXP(LN(INDEX(Dic2024!$N$6:$N$205,C160))+(LN(INDEX(Dic2024!$N$6:$N$205,MIN(C160+1,200)))-LN(INDEX(Dic2024!$N$6:$N$205,C160)))*(A160-6*C160)/6))</f>
        <v>0.490823534155882</v>
      </c>
      <c r="K160" s="12" t="n">
        <f aca="false">J160^(-1/B160)-1</f>
        <v>0.0562700624999999</v>
      </c>
      <c r="L160" s="12" t="n">
        <f aca="false">(1+K160)^(1/12)-1</f>
        <v>0.00457241285609888</v>
      </c>
    </row>
    <row r="161" customFormat="false" ht="15" hidden="false" customHeight="false" outlineLevel="0" collapsed="false">
      <c r="A161" s="4" t="n">
        <v>157</v>
      </c>
      <c r="B161" s="14" t="n">
        <f aca="false">A161/12</f>
        <v>13.0833333333333</v>
      </c>
      <c r="C161" s="15" t="n">
        <f aca="false">INT(A161/6)</f>
        <v>26</v>
      </c>
      <c r="D161" s="16" t="n">
        <f aca="false">IF(C161=0,(1+Dic2024!$G$6)^(-B161),EXP(LN(INDEX(Dic2024!$H$6:$H$205,C161))+(LN(INDEX(Dic2024!$H$6:$H$205,MIN(C161+1,200)))-LN(INDEX(Dic2024!$H$6:$H$205,C161)))*(A161-6*C161)/6))</f>
        <v>0.488375629716268</v>
      </c>
      <c r="E161" s="12" t="n">
        <f aca="false">D161^(-1/B161)-1</f>
        <v>0.0563054107348773</v>
      </c>
      <c r="F161" s="12" t="n">
        <f aca="false">(1+E161)^(1/12)-1</f>
        <v>0.00457521432690777</v>
      </c>
      <c r="G161" s="16" t="n">
        <f aca="false">IF(C161=0,(1+Dic2024!$J$6)^(-B161),EXP(LN(INDEX(Dic2024!$K$6:$K$205,C161))+(LN(INDEX(Dic2024!$K$6:$K$205,MIN(C161+1,200)))-LN(INDEX(Dic2024!$K$6:$K$205,C161)))*(A161-6*C161)/6))</f>
        <v>0.488375629716268</v>
      </c>
      <c r="H161" s="12" t="n">
        <f aca="false">G161^(-1/B161)-1</f>
        <v>0.0563054107348773</v>
      </c>
      <c r="I161" s="12" t="n">
        <f aca="false">(1+H161)^(1/12)-1</f>
        <v>0.00457521432690777</v>
      </c>
      <c r="J161" s="16" t="n">
        <f aca="false">IF(C161=0,(1+Dic2024!$M$6)^(-B161),EXP(LN(INDEX(Dic2024!$N$6:$N$205,C161))+(LN(INDEX(Dic2024!$N$6:$N$205,MIN(C161+1,200)))-LN(INDEX(Dic2024!$N$6:$N$205,C161)))*(A161-6*C161)/6))</f>
        <v>0.488375629716268</v>
      </c>
      <c r="K161" s="12" t="n">
        <f aca="false">J161^(-1/B161)-1</f>
        <v>0.0563054107348773</v>
      </c>
      <c r="L161" s="12" t="n">
        <f aca="false">(1+K161)^(1/12)-1</f>
        <v>0.00457521432690777</v>
      </c>
    </row>
    <row r="162" customFormat="false" ht="15" hidden="false" customHeight="false" outlineLevel="0" collapsed="false">
      <c r="A162" s="4" t="n">
        <v>158</v>
      </c>
      <c r="B162" s="14" t="n">
        <f aca="false">A162/12</f>
        <v>13.1666666666667</v>
      </c>
      <c r="C162" s="15" t="n">
        <f aca="false">INT(A162/6)</f>
        <v>26</v>
      </c>
      <c r="D162" s="16" t="n">
        <f aca="false">IF(C162=0,(1+Dic2024!$G$6)^(-B162),EXP(LN(INDEX(Dic2024!$H$6:$H$205,C162))+(LN(INDEX(Dic2024!$H$6:$H$205,MIN(C162+1,200)))-LN(INDEX(Dic2024!$H$6:$H$205,C162)))*(A162-6*C162)/6))</f>
        <v>0.485939933811349</v>
      </c>
      <c r="E162" s="12" t="n">
        <f aca="false">D162^(-1/B162)-1</f>
        <v>0.0563403126843114</v>
      </c>
      <c r="F162" s="12" t="n">
        <f aca="false">(1+E162)^(1/12)-1</f>
        <v>0.00457798034372559</v>
      </c>
      <c r="G162" s="16" t="n">
        <f aca="false">IF(C162=0,(1+Dic2024!$J$6)^(-B162),EXP(LN(INDEX(Dic2024!$K$6:$K$205,C162))+(LN(INDEX(Dic2024!$K$6:$K$205,MIN(C162+1,200)))-LN(INDEX(Dic2024!$K$6:$K$205,C162)))*(A162-6*C162)/6))</f>
        <v>0.485939933811349</v>
      </c>
      <c r="H162" s="12" t="n">
        <f aca="false">G162^(-1/B162)-1</f>
        <v>0.0563403126843114</v>
      </c>
      <c r="I162" s="12" t="n">
        <f aca="false">(1+H162)^(1/12)-1</f>
        <v>0.00457798034372559</v>
      </c>
      <c r="J162" s="16" t="n">
        <f aca="false">IF(C162=0,(1+Dic2024!$M$6)^(-B162),EXP(LN(INDEX(Dic2024!$N$6:$N$205,C162))+(LN(INDEX(Dic2024!$N$6:$N$205,MIN(C162+1,200)))-LN(INDEX(Dic2024!$N$6:$N$205,C162)))*(A162-6*C162)/6))</f>
        <v>0.485939933811349</v>
      </c>
      <c r="K162" s="12" t="n">
        <f aca="false">J162^(-1/B162)-1</f>
        <v>0.0563403126843114</v>
      </c>
      <c r="L162" s="12" t="n">
        <f aca="false">(1+K162)^(1/12)-1</f>
        <v>0.00457798034372559</v>
      </c>
    </row>
    <row r="163" customFormat="false" ht="15" hidden="false" customHeight="false" outlineLevel="0" collapsed="false">
      <c r="A163" s="4" t="n">
        <v>159</v>
      </c>
      <c r="B163" s="14" t="n">
        <f aca="false">A163/12</f>
        <v>13.25</v>
      </c>
      <c r="C163" s="15" t="n">
        <f aca="false">INT(A163/6)</f>
        <v>26</v>
      </c>
      <c r="D163" s="16" t="n">
        <f aca="false">IF(C163=0,(1+Dic2024!$G$6)^(-B163),EXP(LN(INDEX(Dic2024!$H$6:$H$205,C163))+(LN(INDEX(Dic2024!$H$6:$H$205,MIN(C163+1,200)))-LN(INDEX(Dic2024!$H$6:$H$205,C163)))*(A163-6*C163)/6))</f>
        <v>0.483516385552995</v>
      </c>
      <c r="E163" s="12" t="n">
        <f aca="false">D163^(-1/B163)-1</f>
        <v>0.0563747767470597</v>
      </c>
      <c r="F163" s="12" t="n">
        <f aca="false">(1+E163)^(1/12)-1</f>
        <v>0.00458071157535178</v>
      </c>
      <c r="G163" s="16" t="n">
        <f aca="false">IF(C163=0,(1+Dic2024!$J$6)^(-B163),EXP(LN(INDEX(Dic2024!$K$6:$K$205,C163))+(LN(INDEX(Dic2024!$K$6:$K$205,MIN(C163+1,200)))-LN(INDEX(Dic2024!$K$6:$K$205,C163)))*(A163-6*C163)/6))</f>
        <v>0.483516385552995</v>
      </c>
      <c r="H163" s="12" t="n">
        <f aca="false">G163^(-1/B163)-1</f>
        <v>0.0563747767470597</v>
      </c>
      <c r="I163" s="12" t="n">
        <f aca="false">(1+H163)^(1/12)-1</f>
        <v>0.00458071157535178</v>
      </c>
      <c r="J163" s="16" t="n">
        <f aca="false">IF(C163=0,(1+Dic2024!$M$6)^(-B163),EXP(LN(INDEX(Dic2024!$N$6:$N$205,C163))+(LN(INDEX(Dic2024!$N$6:$N$205,MIN(C163+1,200)))-LN(INDEX(Dic2024!$N$6:$N$205,C163)))*(A163-6*C163)/6))</f>
        <v>0.483516385552995</v>
      </c>
      <c r="K163" s="12" t="n">
        <f aca="false">J163^(-1/B163)-1</f>
        <v>0.0563747767470597</v>
      </c>
      <c r="L163" s="12" t="n">
        <f aca="false">(1+K163)^(1/12)-1</f>
        <v>0.00458071157535178</v>
      </c>
    </row>
    <row r="164" customFormat="false" ht="15" hidden="false" customHeight="false" outlineLevel="0" collapsed="false">
      <c r="A164" s="4" t="n">
        <v>160</v>
      </c>
      <c r="B164" s="14" t="n">
        <f aca="false">A164/12</f>
        <v>13.3333333333333</v>
      </c>
      <c r="C164" s="15" t="n">
        <f aca="false">INT(A164/6)</f>
        <v>26</v>
      </c>
      <c r="D164" s="16" t="n">
        <f aca="false">IF(C164=0,(1+Dic2024!$G$6)^(-B164),EXP(LN(INDEX(Dic2024!$H$6:$H$205,C164))+(LN(INDEX(Dic2024!$H$6:$H$205,MIN(C164+1,200)))-LN(INDEX(Dic2024!$H$6:$H$205,C164)))*(A164-6*C164)/6))</f>
        <v>0.48110492435675</v>
      </c>
      <c r="E164" s="12" t="n">
        <f aca="false">D164^(-1/B164)-1</f>
        <v>0.0564088111124501</v>
      </c>
      <c r="F164" s="12" t="n">
        <f aca="false">(1+E164)^(1/12)-1</f>
        <v>0.00458340867386986</v>
      </c>
      <c r="G164" s="16" t="n">
        <f aca="false">IF(C164=0,(1+Dic2024!$J$6)^(-B164),EXP(LN(INDEX(Dic2024!$K$6:$K$205,C164))+(LN(INDEX(Dic2024!$K$6:$K$205,MIN(C164+1,200)))-LN(INDEX(Dic2024!$K$6:$K$205,C164)))*(A164-6*C164)/6))</f>
        <v>0.48110492435675</v>
      </c>
      <c r="H164" s="12" t="n">
        <f aca="false">G164^(-1/B164)-1</f>
        <v>0.0564088111124501</v>
      </c>
      <c r="I164" s="12" t="n">
        <f aca="false">(1+H164)^(1/12)-1</f>
        <v>0.00458340867386986</v>
      </c>
      <c r="J164" s="16" t="n">
        <f aca="false">IF(C164=0,(1+Dic2024!$M$6)^(-B164),EXP(LN(INDEX(Dic2024!$N$6:$N$205,C164))+(LN(INDEX(Dic2024!$N$6:$N$205,MIN(C164+1,200)))-LN(INDEX(Dic2024!$N$6:$N$205,C164)))*(A164-6*C164)/6))</f>
        <v>0.48110492435675</v>
      </c>
      <c r="K164" s="12" t="n">
        <f aca="false">J164^(-1/B164)-1</f>
        <v>0.0564088111124501</v>
      </c>
      <c r="L164" s="12" t="n">
        <f aca="false">(1+K164)^(1/12)-1</f>
        <v>0.00458340867386986</v>
      </c>
    </row>
    <row r="165" customFormat="false" ht="15" hidden="false" customHeight="false" outlineLevel="0" collapsed="false">
      <c r="A165" s="4" t="n">
        <v>161</v>
      </c>
      <c r="B165" s="14" t="n">
        <f aca="false">A165/12</f>
        <v>13.4166666666667</v>
      </c>
      <c r="C165" s="15" t="n">
        <f aca="false">INT(A165/6)</f>
        <v>26</v>
      </c>
      <c r="D165" s="16" t="n">
        <f aca="false">IF(C165=0,(1+Dic2024!$G$6)^(-B165),EXP(LN(INDEX(Dic2024!$H$6:$H$205,C165))+(LN(INDEX(Dic2024!$H$6:$H$205,MIN(C165+1,200)))-LN(INDEX(Dic2024!$H$6:$H$205,C165)))*(A165-6*C165)/6))</f>
        <v>0.478705489940309</v>
      </c>
      <c r="E165" s="12" t="n">
        <f aca="false">D165^(-1/B165)-1</f>
        <v>0.0564424237668668</v>
      </c>
      <c r="F165" s="12" t="n">
        <f aca="false">(1+E165)^(1/12)-1</f>
        <v>0.00458607227516517</v>
      </c>
      <c r="G165" s="16" t="n">
        <f aca="false">IF(C165=0,(1+Dic2024!$J$6)^(-B165),EXP(LN(INDEX(Dic2024!$K$6:$K$205,C165))+(LN(INDEX(Dic2024!$K$6:$K$205,MIN(C165+1,200)))-LN(INDEX(Dic2024!$K$6:$K$205,C165)))*(A165-6*C165)/6))</f>
        <v>0.478705489940309</v>
      </c>
      <c r="H165" s="12" t="n">
        <f aca="false">G165^(-1/B165)-1</f>
        <v>0.0564424237668668</v>
      </c>
      <c r="I165" s="12" t="n">
        <f aca="false">(1+H165)^(1/12)-1</f>
        <v>0.00458607227516517</v>
      </c>
      <c r="J165" s="16" t="n">
        <f aca="false">IF(C165=0,(1+Dic2024!$M$6)^(-B165),EXP(LN(INDEX(Dic2024!$N$6:$N$205,C165))+(LN(INDEX(Dic2024!$N$6:$N$205,MIN(C165+1,200)))-LN(INDEX(Dic2024!$N$6:$N$205,C165)))*(A165-6*C165)/6))</f>
        <v>0.478705489940309</v>
      </c>
      <c r="K165" s="12" t="n">
        <f aca="false">J165^(-1/B165)-1</f>
        <v>0.0564424237668668</v>
      </c>
      <c r="L165" s="12" t="n">
        <f aca="false">(1+K165)^(1/12)-1</f>
        <v>0.00458607227516517</v>
      </c>
    </row>
    <row r="166" customFormat="false" ht="15" hidden="false" customHeight="false" outlineLevel="0" collapsed="false">
      <c r="A166" s="4" t="n">
        <v>162</v>
      </c>
      <c r="B166" s="14" t="n">
        <f aca="false">A166/12</f>
        <v>13.5</v>
      </c>
      <c r="C166" s="15" t="n">
        <f aca="false">INT(A166/6)</f>
        <v>27</v>
      </c>
      <c r="D166" s="16" t="n">
        <f aca="false">IF(C166=0,(1+Dic2024!$G$6)^(-B166),EXP(LN(INDEX(Dic2024!$H$6:$H$205,C166))+(LN(INDEX(Dic2024!$H$6:$H$205,MIN(C166+1,200)))-LN(INDEX(Dic2024!$H$6:$H$205,C166)))*(A166-6*C166)/6))</f>
        <v>0.476318022322018</v>
      </c>
      <c r="E166" s="12" t="n">
        <f aca="false">D166^(-1/B166)-1</f>
        <v>0.0564756224999998</v>
      </c>
      <c r="F166" s="12" t="n">
        <f aca="false">(1+E166)^(1/12)-1</f>
        <v>0.00458870299942604</v>
      </c>
      <c r="G166" s="16" t="n">
        <f aca="false">IF(C166=0,(1+Dic2024!$J$6)^(-B166),EXP(LN(INDEX(Dic2024!$K$6:$K$205,C166))+(LN(INDEX(Dic2024!$K$6:$K$205,MIN(C166+1,200)))-LN(INDEX(Dic2024!$K$6:$K$205,C166)))*(A166-6*C166)/6))</f>
        <v>0.476318022322018</v>
      </c>
      <c r="H166" s="12" t="n">
        <f aca="false">G166^(-1/B166)-1</f>
        <v>0.0564756224999998</v>
      </c>
      <c r="I166" s="12" t="n">
        <f aca="false">(1+H166)^(1/12)-1</f>
        <v>0.00458870299942604</v>
      </c>
      <c r="J166" s="16" t="n">
        <f aca="false">IF(C166=0,(1+Dic2024!$M$6)^(-B166),EXP(LN(INDEX(Dic2024!$N$6:$N$205,C166))+(LN(INDEX(Dic2024!$N$6:$N$205,MIN(C166+1,200)))-LN(INDEX(Dic2024!$N$6:$N$205,C166)))*(A166-6*C166)/6))</f>
        <v>0.476318022322018</v>
      </c>
      <c r="K166" s="12" t="n">
        <f aca="false">J166^(-1/B166)-1</f>
        <v>0.0564756224999998</v>
      </c>
      <c r="L166" s="12" t="n">
        <f aca="false">(1+K166)^(1/12)-1</f>
        <v>0.00458870299942604</v>
      </c>
    </row>
    <row r="167" customFormat="false" ht="15" hidden="false" customHeight="false" outlineLevel="0" collapsed="false">
      <c r="A167" s="4" t="n">
        <v>163</v>
      </c>
      <c r="B167" s="14" t="n">
        <f aca="false">A167/12</f>
        <v>13.5833333333333</v>
      </c>
      <c r="C167" s="15" t="n">
        <f aca="false">INT(A167/6)</f>
        <v>27</v>
      </c>
      <c r="D167" s="16" t="n">
        <f aca="false">IF(C167=0,(1+Dic2024!$G$6)^(-B167),EXP(LN(INDEX(Dic2024!$H$6:$H$205,C167))+(LN(INDEX(Dic2024!$H$6:$H$205,MIN(C167+1,200)))-LN(INDEX(Dic2024!$H$6:$H$205,C167)))*(A167-6*C167)/6))</f>
        <v>0.473927112228397</v>
      </c>
      <c r="E167" s="12" t="n">
        <f aca="false">D167^(-1/B167)-1</f>
        <v>0.0565109340104673</v>
      </c>
      <c r="F167" s="12" t="n">
        <f aca="false">(1+E167)^(1/12)-1</f>
        <v>0.00459150106060302</v>
      </c>
      <c r="G167" s="16" t="n">
        <f aca="false">IF(C167=0,(1+Dic2024!$J$6)^(-B167),EXP(LN(INDEX(Dic2024!$K$6:$K$205,C167))+(LN(INDEX(Dic2024!$K$6:$K$205,MIN(C167+1,200)))-LN(INDEX(Dic2024!$K$6:$K$205,C167)))*(A167-6*C167)/6))</f>
        <v>0.473927112228397</v>
      </c>
      <c r="H167" s="12" t="n">
        <f aca="false">G167^(-1/B167)-1</f>
        <v>0.0565109340104673</v>
      </c>
      <c r="I167" s="12" t="n">
        <f aca="false">(1+H167)^(1/12)-1</f>
        <v>0.00459150106060302</v>
      </c>
      <c r="J167" s="16" t="n">
        <f aca="false">IF(C167=0,(1+Dic2024!$M$6)^(-B167),EXP(LN(INDEX(Dic2024!$N$6:$N$205,C167))+(LN(INDEX(Dic2024!$N$6:$N$205,MIN(C167+1,200)))-LN(INDEX(Dic2024!$N$6:$N$205,C167)))*(A167-6*C167)/6))</f>
        <v>0.473927112228397</v>
      </c>
      <c r="K167" s="12" t="n">
        <f aca="false">J167^(-1/B167)-1</f>
        <v>0.0565109340104673</v>
      </c>
      <c r="L167" s="12" t="n">
        <f aca="false">(1+K167)^(1/12)-1</f>
        <v>0.00459150106060302</v>
      </c>
    </row>
    <row r="168" customFormat="false" ht="15" hidden="false" customHeight="false" outlineLevel="0" collapsed="false">
      <c r="A168" s="4" t="n">
        <v>164</v>
      </c>
      <c r="B168" s="14" t="n">
        <f aca="false">A168/12</f>
        <v>13.6666666666667</v>
      </c>
      <c r="C168" s="15" t="n">
        <f aca="false">INT(A168/6)</f>
        <v>27</v>
      </c>
      <c r="D168" s="16" t="n">
        <f aca="false">IF(C168=0,(1+Dic2024!$G$6)^(-B168),EXP(LN(INDEX(Dic2024!$H$6:$H$205,C168))+(LN(INDEX(Dic2024!$H$6:$H$205,MIN(C168+1,200)))-LN(INDEX(Dic2024!$H$6:$H$205,C168)))*(A168-6*C168)/6))</f>
        <v>0.471548203467517</v>
      </c>
      <c r="E168" s="12" t="n">
        <f aca="false">D168^(-1/B168)-1</f>
        <v>0.0565458160515036</v>
      </c>
      <c r="F168" s="12" t="n">
        <f aca="false">(1+E168)^(1/12)-1</f>
        <v>0.0045942650067341</v>
      </c>
      <c r="G168" s="16" t="n">
        <f aca="false">IF(C168=0,(1+Dic2024!$J$6)^(-B168),EXP(LN(INDEX(Dic2024!$K$6:$K$205,C168))+(LN(INDEX(Dic2024!$K$6:$K$205,MIN(C168+1,200)))-LN(INDEX(Dic2024!$K$6:$K$205,C168)))*(A168-6*C168)/6))</f>
        <v>0.471548203467517</v>
      </c>
      <c r="H168" s="12" t="n">
        <f aca="false">G168^(-1/B168)-1</f>
        <v>0.0565458160515036</v>
      </c>
      <c r="I168" s="12" t="n">
        <f aca="false">(1+H168)^(1/12)-1</f>
        <v>0.0045942650067341</v>
      </c>
      <c r="J168" s="16" t="n">
        <f aca="false">IF(C168=0,(1+Dic2024!$M$6)^(-B168),EXP(LN(INDEX(Dic2024!$N$6:$N$205,C168))+(LN(INDEX(Dic2024!$N$6:$N$205,MIN(C168+1,200)))-LN(INDEX(Dic2024!$N$6:$N$205,C168)))*(A168-6*C168)/6))</f>
        <v>0.471548203467517</v>
      </c>
      <c r="K168" s="12" t="n">
        <f aca="false">J168^(-1/B168)-1</f>
        <v>0.0565458160515036</v>
      </c>
      <c r="L168" s="12" t="n">
        <f aca="false">(1+K168)^(1/12)-1</f>
        <v>0.0045942650067341</v>
      </c>
    </row>
    <row r="169" customFormat="false" ht="15" hidden="false" customHeight="false" outlineLevel="0" collapsed="false">
      <c r="A169" s="4" t="n">
        <v>165</v>
      </c>
      <c r="B169" s="14" t="n">
        <f aca="false">A169/12</f>
        <v>13.75</v>
      </c>
      <c r="C169" s="15" t="n">
        <f aca="false">INT(A169/6)</f>
        <v>27</v>
      </c>
      <c r="D169" s="16" t="n">
        <f aca="false">IF(C169=0,(1+Dic2024!$G$6)^(-B169),EXP(LN(INDEX(Dic2024!$H$6:$H$205,C169))+(LN(INDEX(Dic2024!$H$6:$H$205,MIN(C169+1,200)))-LN(INDEX(Dic2024!$H$6:$H$205,C169)))*(A169-6*C169)/6))</f>
        <v>0.469181235797885</v>
      </c>
      <c r="E169" s="12" t="n">
        <f aca="false">D169^(-1/B169)-1</f>
        <v>0.0565802764107406</v>
      </c>
      <c r="F169" s="12" t="n">
        <f aca="false">(1+E169)^(1/12)-1</f>
        <v>0.00459699545795456</v>
      </c>
      <c r="G169" s="16" t="n">
        <f aca="false">IF(C169=0,(1+Dic2024!$J$6)^(-B169),EXP(LN(INDEX(Dic2024!$K$6:$K$205,C169))+(LN(INDEX(Dic2024!$K$6:$K$205,MIN(C169+1,200)))-LN(INDEX(Dic2024!$K$6:$K$205,C169)))*(A169-6*C169)/6))</f>
        <v>0.469181235797885</v>
      </c>
      <c r="H169" s="12" t="n">
        <f aca="false">G169^(-1/B169)-1</f>
        <v>0.0565802764107406</v>
      </c>
      <c r="I169" s="12" t="n">
        <f aca="false">(1+H169)^(1/12)-1</f>
        <v>0.00459699545795456</v>
      </c>
      <c r="J169" s="16" t="n">
        <f aca="false">IF(C169=0,(1+Dic2024!$M$6)^(-B169),EXP(LN(INDEX(Dic2024!$N$6:$N$205,C169))+(LN(INDEX(Dic2024!$N$6:$N$205,MIN(C169+1,200)))-LN(INDEX(Dic2024!$N$6:$N$205,C169)))*(A169-6*C169)/6))</f>
        <v>0.469181235797885</v>
      </c>
      <c r="K169" s="12" t="n">
        <f aca="false">J169^(-1/B169)-1</f>
        <v>0.0565802764107406</v>
      </c>
      <c r="L169" s="12" t="n">
        <f aca="false">(1+K169)^(1/12)-1</f>
        <v>0.00459699545795456</v>
      </c>
    </row>
    <row r="170" customFormat="false" ht="15" hidden="false" customHeight="false" outlineLevel="0" collapsed="false">
      <c r="A170" s="4" t="n">
        <v>166</v>
      </c>
      <c r="B170" s="14" t="n">
        <f aca="false">A170/12</f>
        <v>13.8333333333333</v>
      </c>
      <c r="C170" s="15" t="n">
        <f aca="false">INT(A170/6)</f>
        <v>27</v>
      </c>
      <c r="D170" s="16" t="n">
        <f aca="false">IF(C170=0,(1+Dic2024!$G$6)^(-B170),EXP(LN(INDEX(Dic2024!$H$6:$H$205,C170))+(LN(INDEX(Dic2024!$H$6:$H$205,MIN(C170+1,200)))-LN(INDEX(Dic2024!$H$6:$H$205,C170)))*(A170-6*C170)/6))</f>
        <v>0.466826149280399</v>
      </c>
      <c r="E170" s="12" t="n">
        <f aca="false">D170^(-1/B170)-1</f>
        <v>0.0566143226886566</v>
      </c>
      <c r="F170" s="12" t="n">
        <f aca="false">(1+E170)^(1/12)-1</f>
        <v>0.00459969301945984</v>
      </c>
      <c r="G170" s="16" t="n">
        <f aca="false">IF(C170=0,(1+Dic2024!$J$6)^(-B170),EXP(LN(INDEX(Dic2024!$K$6:$K$205,C170))+(LN(INDEX(Dic2024!$K$6:$K$205,MIN(C170+1,200)))-LN(INDEX(Dic2024!$K$6:$K$205,C170)))*(A170-6*C170)/6))</f>
        <v>0.466826149280399</v>
      </c>
      <c r="H170" s="12" t="n">
        <f aca="false">G170^(-1/B170)-1</f>
        <v>0.0566143226886566</v>
      </c>
      <c r="I170" s="12" t="n">
        <f aca="false">(1+H170)^(1/12)-1</f>
        <v>0.00459969301945984</v>
      </c>
      <c r="J170" s="16" t="n">
        <f aca="false">IF(C170=0,(1+Dic2024!$M$6)^(-B170),EXP(LN(INDEX(Dic2024!$N$6:$N$205,C170))+(LN(INDEX(Dic2024!$N$6:$N$205,MIN(C170+1,200)))-LN(INDEX(Dic2024!$N$6:$N$205,C170)))*(A170-6*C170)/6))</f>
        <v>0.466826149280399</v>
      </c>
      <c r="K170" s="12" t="n">
        <f aca="false">J170^(-1/B170)-1</f>
        <v>0.0566143226886566</v>
      </c>
      <c r="L170" s="12" t="n">
        <f aca="false">(1+K170)^(1/12)-1</f>
        <v>0.00459969301945984</v>
      </c>
    </row>
    <row r="171" customFormat="false" ht="15" hidden="false" customHeight="false" outlineLevel="0" collapsed="false">
      <c r="A171" s="4" t="n">
        <v>167</v>
      </c>
      <c r="B171" s="14" t="n">
        <f aca="false">A171/12</f>
        <v>13.9166666666667</v>
      </c>
      <c r="C171" s="15" t="n">
        <f aca="false">INT(A171/6)</f>
        <v>27</v>
      </c>
      <c r="D171" s="16" t="n">
        <f aca="false">IF(C171=0,(1+Dic2024!$G$6)^(-B171),EXP(LN(INDEX(Dic2024!$H$6:$H$205,C171))+(LN(INDEX(Dic2024!$H$6:$H$205,MIN(C171+1,200)))-LN(INDEX(Dic2024!$H$6:$H$205,C171)))*(A171-6*C171)/6))</f>
        <v>0.464482884276822</v>
      </c>
      <c r="E171" s="12" t="n">
        <f aca="false">D171^(-1/B171)-1</f>
        <v>0.0566479623041642</v>
      </c>
      <c r="F171" s="12" t="n">
        <f aca="false">(1+E171)^(1/12)-1</f>
        <v>0.00460235828195366</v>
      </c>
      <c r="G171" s="16" t="n">
        <f aca="false">IF(C171=0,(1+Dic2024!$J$6)^(-B171),EXP(LN(INDEX(Dic2024!$K$6:$K$205,C171))+(LN(INDEX(Dic2024!$K$6:$K$205,MIN(C171+1,200)))-LN(INDEX(Dic2024!$K$6:$K$205,C171)))*(A171-6*C171)/6))</f>
        <v>0.464482884276822</v>
      </c>
      <c r="H171" s="12" t="n">
        <f aca="false">G171^(-1/B171)-1</f>
        <v>0.0566479623041642</v>
      </c>
      <c r="I171" s="12" t="n">
        <f aca="false">(1+H171)^(1/12)-1</f>
        <v>0.00460235828195366</v>
      </c>
      <c r="J171" s="16" t="n">
        <f aca="false">IF(C171=0,(1+Dic2024!$M$6)^(-B171),EXP(LN(INDEX(Dic2024!$N$6:$N$205,C171))+(LN(INDEX(Dic2024!$N$6:$N$205,MIN(C171+1,200)))-LN(INDEX(Dic2024!$N$6:$N$205,C171)))*(A171-6*C171)/6))</f>
        <v>0.464482884276822</v>
      </c>
      <c r="K171" s="12" t="n">
        <f aca="false">J171^(-1/B171)-1</f>
        <v>0.0566479623041642</v>
      </c>
      <c r="L171" s="12" t="n">
        <f aca="false">(1+K171)^(1/12)-1</f>
        <v>0.00460235828195366</v>
      </c>
    </row>
    <row r="172" customFormat="false" ht="15" hidden="false" customHeight="false" outlineLevel="0" collapsed="false">
      <c r="A172" s="4" t="n">
        <v>168</v>
      </c>
      <c r="B172" s="14" t="n">
        <f aca="false">A172/12</f>
        <v>14</v>
      </c>
      <c r="C172" s="15" t="n">
        <f aca="false">INT(A172/6)</f>
        <v>28</v>
      </c>
      <c r="D172" s="16" t="n">
        <f aca="false">IF(C172=0,(1+Dic2024!$G$6)^(-B172),EXP(LN(INDEX(Dic2024!$H$6:$H$205,C172))+(LN(INDEX(Dic2024!$H$6:$H$205,MIN(C172+1,200)))-LN(INDEX(Dic2024!$H$6:$H$205,C172)))*(A172-6*C172)/6))</f>
        <v>0.462151381448276</v>
      </c>
      <c r="E172" s="12" t="n">
        <f aca="false">D172^(-1/B172)-1</f>
        <v>0.0566812024999999</v>
      </c>
      <c r="F172" s="12" t="n">
        <f aca="false">(1+E172)^(1/12)-1</f>
        <v>0.00460499182207719</v>
      </c>
      <c r="G172" s="16" t="n">
        <f aca="false">IF(C172=0,(1+Dic2024!$J$6)^(-B172),EXP(LN(INDEX(Dic2024!$K$6:$K$205,C172))+(LN(INDEX(Dic2024!$K$6:$K$205,MIN(C172+1,200)))-LN(INDEX(Dic2024!$K$6:$K$205,C172)))*(A172-6*C172)/6))</f>
        <v>0.462151381448276</v>
      </c>
      <c r="H172" s="12" t="n">
        <f aca="false">G172^(-1/B172)-1</f>
        <v>0.0566812024999999</v>
      </c>
      <c r="I172" s="12" t="n">
        <f aca="false">(1+H172)^(1/12)-1</f>
        <v>0.00460499182207719</v>
      </c>
      <c r="J172" s="16" t="n">
        <f aca="false">IF(C172=0,(1+Dic2024!$M$6)^(-B172),EXP(LN(INDEX(Dic2024!$N$6:$N$205,C172))+(LN(INDEX(Dic2024!$N$6:$N$205,MIN(C172+1,200)))-LN(INDEX(Dic2024!$N$6:$N$205,C172)))*(A172-6*C172)/6))</f>
        <v>0.462151381448276</v>
      </c>
      <c r="K172" s="12" t="n">
        <f aca="false">J172^(-1/B172)-1</f>
        <v>0.0566812024999999</v>
      </c>
      <c r="L172" s="12" t="n">
        <f aca="false">(1+K172)^(1/12)-1</f>
        <v>0.00460499182207719</v>
      </c>
    </row>
    <row r="173" customFormat="false" ht="15" hidden="false" customHeight="false" outlineLevel="0" collapsed="false">
      <c r="A173" s="4" t="n">
        <v>169</v>
      </c>
      <c r="B173" s="14" t="n">
        <f aca="false">A173/12</f>
        <v>14.0833333333333</v>
      </c>
      <c r="C173" s="15" t="n">
        <f aca="false">INT(A173/6)</f>
        <v>28</v>
      </c>
      <c r="D173" s="16" t="n">
        <f aca="false">IF(C173=0,(1+Dic2024!$G$6)^(-B173),EXP(LN(INDEX(Dic2024!$H$6:$H$205,C173))+(LN(INDEX(Dic2024!$H$6:$H$205,MIN(C173+1,200)))-LN(INDEX(Dic2024!$H$6:$H$205,C173)))*(A173-6*C173)/6))</f>
        <v>0.459708616245314</v>
      </c>
      <c r="E173" s="12" t="n">
        <f aca="false">D173^(-1/B173)-1</f>
        <v>0.0567341181004108</v>
      </c>
      <c r="F173" s="12" t="n">
        <f aca="false">(1+E173)^(1/12)-1</f>
        <v>0.00460918404013655</v>
      </c>
      <c r="G173" s="16" t="n">
        <f aca="false">IF(C173=0,(1+Dic2024!$J$6)^(-B173),EXP(LN(INDEX(Dic2024!$K$6:$K$205,C173))+(LN(INDEX(Dic2024!$K$6:$K$205,MIN(C173+1,200)))-LN(INDEX(Dic2024!$K$6:$K$205,C173)))*(A173-6*C173)/6))</f>
        <v>0.459708616245314</v>
      </c>
      <c r="H173" s="12" t="n">
        <f aca="false">G173^(-1/B173)-1</f>
        <v>0.0567341181004108</v>
      </c>
      <c r="I173" s="12" t="n">
        <f aca="false">(1+H173)^(1/12)-1</f>
        <v>0.00460918404013655</v>
      </c>
      <c r="J173" s="16" t="n">
        <f aca="false">IF(C173=0,(1+Dic2024!$M$6)^(-B173),EXP(LN(INDEX(Dic2024!$N$6:$N$205,C173))+(LN(INDEX(Dic2024!$N$6:$N$205,MIN(C173+1,200)))-LN(INDEX(Dic2024!$N$6:$N$205,C173)))*(A173-6*C173)/6))</f>
        <v>0.459708616245314</v>
      </c>
      <c r="K173" s="12" t="n">
        <f aca="false">J173^(-1/B173)-1</f>
        <v>0.0567341181004108</v>
      </c>
      <c r="L173" s="12" t="n">
        <f aca="false">(1+K173)^(1/12)-1</f>
        <v>0.00460918404013655</v>
      </c>
    </row>
    <row r="174" customFormat="false" ht="15" hidden="false" customHeight="false" outlineLevel="0" collapsed="false">
      <c r="A174" s="4" t="n">
        <v>170</v>
      </c>
      <c r="B174" s="14" t="n">
        <f aca="false">A174/12</f>
        <v>14.1666666666667</v>
      </c>
      <c r="C174" s="15" t="n">
        <f aca="false">INT(A174/6)</f>
        <v>28</v>
      </c>
      <c r="D174" s="16" t="n">
        <f aca="false">IF(C174=0,(1+Dic2024!$G$6)^(-B174),EXP(LN(INDEX(Dic2024!$H$6:$H$205,C174))+(LN(INDEX(Dic2024!$H$6:$H$205,MIN(C174+1,200)))-LN(INDEX(Dic2024!$H$6:$H$205,C174)))*(A174-6*C174)/6))</f>
        <v>0.457278762616516</v>
      </c>
      <c r="E174" s="12" t="n">
        <f aca="false">D174^(-1/B174)-1</f>
        <v>0.0567864137676302</v>
      </c>
      <c r="F174" s="12" t="n">
        <f aca="false">(1+E174)^(1/12)-1</f>
        <v>0.00461332695517025</v>
      </c>
      <c r="G174" s="16" t="n">
        <f aca="false">IF(C174=0,(1+Dic2024!$J$6)^(-B174),EXP(LN(INDEX(Dic2024!$K$6:$K$205,C174))+(LN(INDEX(Dic2024!$K$6:$K$205,MIN(C174+1,200)))-LN(INDEX(Dic2024!$K$6:$K$205,C174)))*(A174-6*C174)/6))</f>
        <v>0.457278762616516</v>
      </c>
      <c r="H174" s="12" t="n">
        <f aca="false">G174^(-1/B174)-1</f>
        <v>0.0567864137676302</v>
      </c>
      <c r="I174" s="12" t="n">
        <f aca="false">(1+H174)^(1/12)-1</f>
        <v>0.00461332695517025</v>
      </c>
      <c r="J174" s="16" t="n">
        <f aca="false">IF(C174=0,(1+Dic2024!$M$6)^(-B174),EXP(LN(INDEX(Dic2024!$N$6:$N$205,C174))+(LN(INDEX(Dic2024!$N$6:$N$205,MIN(C174+1,200)))-LN(INDEX(Dic2024!$N$6:$N$205,C174)))*(A174-6*C174)/6))</f>
        <v>0.457278762616516</v>
      </c>
      <c r="K174" s="12" t="n">
        <f aca="false">J174^(-1/B174)-1</f>
        <v>0.0567864137676302</v>
      </c>
      <c r="L174" s="12" t="n">
        <f aca="false">(1+K174)^(1/12)-1</f>
        <v>0.00461332695517025</v>
      </c>
    </row>
    <row r="175" customFormat="false" ht="15" hidden="false" customHeight="false" outlineLevel="0" collapsed="false">
      <c r="A175" s="4" t="n">
        <v>171</v>
      </c>
      <c r="B175" s="14" t="n">
        <f aca="false">A175/12</f>
        <v>14.25</v>
      </c>
      <c r="C175" s="15" t="n">
        <f aca="false">INT(A175/6)</f>
        <v>28</v>
      </c>
      <c r="D175" s="16" t="n">
        <f aca="false">IF(C175=0,(1+Dic2024!$G$6)^(-B175),EXP(LN(INDEX(Dic2024!$H$6:$H$205,C175))+(LN(INDEX(Dic2024!$H$6:$H$205,MIN(C175+1,200)))-LN(INDEX(Dic2024!$H$6:$H$205,C175)))*(A175-6*C175)/6))</f>
        <v>0.454861752315967</v>
      </c>
      <c r="E175" s="12" t="n">
        <f aca="false">D175^(-1/B175)-1</f>
        <v>0.0568381003324003</v>
      </c>
      <c r="F175" s="12" t="n">
        <f aca="false">(1+E175)^(1/12)-1</f>
        <v>0.00461742143184396</v>
      </c>
      <c r="G175" s="16" t="n">
        <f aca="false">IF(C175=0,(1+Dic2024!$J$6)^(-B175),EXP(LN(INDEX(Dic2024!$K$6:$K$205,C175))+(LN(INDEX(Dic2024!$K$6:$K$205,MIN(C175+1,200)))-LN(INDEX(Dic2024!$K$6:$K$205,C175)))*(A175-6*C175)/6))</f>
        <v>0.454861752315967</v>
      </c>
      <c r="H175" s="12" t="n">
        <f aca="false">G175^(-1/B175)-1</f>
        <v>0.0568381003324003</v>
      </c>
      <c r="I175" s="12" t="n">
        <f aca="false">(1+H175)^(1/12)-1</f>
        <v>0.00461742143184396</v>
      </c>
      <c r="J175" s="16" t="n">
        <f aca="false">IF(C175=0,(1+Dic2024!$M$6)^(-B175),EXP(LN(INDEX(Dic2024!$N$6:$N$205,C175))+(LN(INDEX(Dic2024!$N$6:$N$205,MIN(C175+1,200)))-LN(INDEX(Dic2024!$N$6:$N$205,C175)))*(A175-6*C175)/6))</f>
        <v>0.454861752315967</v>
      </c>
      <c r="K175" s="12" t="n">
        <f aca="false">J175^(-1/B175)-1</f>
        <v>0.0568381003324003</v>
      </c>
      <c r="L175" s="12" t="n">
        <f aca="false">(1+K175)^(1/12)-1</f>
        <v>0.00461742143184396</v>
      </c>
    </row>
    <row r="176" customFormat="false" ht="15" hidden="false" customHeight="false" outlineLevel="0" collapsed="false">
      <c r="A176" s="4" t="n">
        <v>172</v>
      </c>
      <c r="B176" s="14" t="n">
        <f aca="false">A176/12</f>
        <v>14.3333333333333</v>
      </c>
      <c r="C176" s="15" t="n">
        <f aca="false">INT(A176/6)</f>
        <v>28</v>
      </c>
      <c r="D176" s="16" t="n">
        <f aca="false">IF(C176=0,(1+Dic2024!$G$6)^(-B176),EXP(LN(INDEX(Dic2024!$H$6:$H$205,C176))+(LN(INDEX(Dic2024!$H$6:$H$205,MIN(C176+1,200)))-LN(INDEX(Dic2024!$H$6:$H$205,C176)))*(A176-6*C176)/6))</f>
        <v>0.452457517458476</v>
      </c>
      <c r="E176" s="12" t="n">
        <f aca="false">D176^(-1/B176)-1</f>
        <v>0.0568891883746294</v>
      </c>
      <c r="F176" s="12" t="n">
        <f aca="false">(1+E176)^(1/12)-1</f>
        <v>0.00462146831472143</v>
      </c>
      <c r="G176" s="16" t="n">
        <f aca="false">IF(C176=0,(1+Dic2024!$J$6)^(-B176),EXP(LN(INDEX(Dic2024!$K$6:$K$205,C176))+(LN(INDEX(Dic2024!$K$6:$K$205,MIN(C176+1,200)))-LN(INDEX(Dic2024!$K$6:$K$205,C176)))*(A176-6*C176)/6))</f>
        <v>0.452457517458476</v>
      </c>
      <c r="H176" s="12" t="n">
        <f aca="false">G176^(-1/B176)-1</f>
        <v>0.0568891883746294</v>
      </c>
      <c r="I176" s="12" t="n">
        <f aca="false">(1+H176)^(1/12)-1</f>
        <v>0.00462146831472143</v>
      </c>
      <c r="J176" s="16" t="n">
        <f aca="false">IF(C176=0,(1+Dic2024!$M$6)^(-B176),EXP(LN(INDEX(Dic2024!$N$6:$N$205,C176))+(LN(INDEX(Dic2024!$N$6:$N$205,MIN(C176+1,200)))-LN(INDEX(Dic2024!$N$6:$N$205,C176)))*(A176-6*C176)/6))</f>
        <v>0.452457517458476</v>
      </c>
      <c r="K176" s="12" t="n">
        <f aca="false">J176^(-1/B176)-1</f>
        <v>0.0568891883746294</v>
      </c>
      <c r="L176" s="12" t="n">
        <f aca="false">(1+K176)^(1/12)-1</f>
        <v>0.00462146831472143</v>
      </c>
    </row>
    <row r="177" customFormat="false" ht="15" hidden="false" customHeight="false" outlineLevel="0" collapsed="false">
      <c r="A177" s="4" t="n">
        <v>173</v>
      </c>
      <c r="B177" s="14" t="n">
        <f aca="false">A177/12</f>
        <v>14.4166666666667</v>
      </c>
      <c r="C177" s="15" t="n">
        <f aca="false">INT(A177/6)</f>
        <v>28</v>
      </c>
      <c r="D177" s="16" t="n">
        <f aca="false">IF(C177=0,(1+Dic2024!$G$6)^(-B177),EXP(LN(INDEX(Dic2024!$H$6:$H$205,C177))+(LN(INDEX(Dic2024!$H$6:$H$205,MIN(C177+1,200)))-LN(INDEX(Dic2024!$H$6:$H$205,C177)))*(A177-6*C177)/6))</f>
        <v>0.450065990517666</v>
      </c>
      <c r="E177" s="12" t="n">
        <f aca="false">D177^(-1/B177)-1</f>
        <v>0.0569396882306121</v>
      </c>
      <c r="F177" s="12" t="n">
        <f aca="false">(1+E177)^(1/12)-1</f>
        <v>0.00462546842884604</v>
      </c>
      <c r="G177" s="16" t="n">
        <f aca="false">IF(C177=0,(1+Dic2024!$J$6)^(-B177),EXP(LN(INDEX(Dic2024!$K$6:$K$205,C177))+(LN(INDEX(Dic2024!$K$6:$K$205,MIN(C177+1,200)))-LN(INDEX(Dic2024!$K$6:$K$205,C177)))*(A177-6*C177)/6))</f>
        <v>0.450065990517666</v>
      </c>
      <c r="H177" s="12" t="n">
        <f aca="false">G177^(-1/B177)-1</f>
        <v>0.0569396882306121</v>
      </c>
      <c r="I177" s="12" t="n">
        <f aca="false">(1+H177)^(1/12)-1</f>
        <v>0.00462546842884604</v>
      </c>
      <c r="J177" s="16" t="n">
        <f aca="false">IF(C177=0,(1+Dic2024!$M$6)^(-B177),EXP(LN(INDEX(Dic2024!$N$6:$N$205,C177))+(LN(INDEX(Dic2024!$N$6:$N$205,MIN(C177+1,200)))-LN(INDEX(Dic2024!$N$6:$N$205,C177)))*(A177-6*C177)/6))</f>
        <v>0.450065990517666</v>
      </c>
      <c r="K177" s="12" t="n">
        <f aca="false">J177^(-1/B177)-1</f>
        <v>0.0569396882306121</v>
      </c>
      <c r="L177" s="12" t="n">
        <f aca="false">(1+K177)^(1/12)-1</f>
        <v>0.00462546842884604</v>
      </c>
    </row>
    <row r="178" customFormat="false" ht="15" hidden="false" customHeight="false" outlineLevel="0" collapsed="false">
      <c r="A178" s="4" t="n">
        <v>174</v>
      </c>
      <c r="B178" s="14" t="n">
        <f aca="false">A178/12</f>
        <v>14.5</v>
      </c>
      <c r="C178" s="15" t="n">
        <f aca="false">INT(A178/6)</f>
        <v>29</v>
      </c>
      <c r="D178" s="16" t="n">
        <f aca="false">IF(C178=0,(1+Dic2024!$G$6)^(-B178),EXP(LN(INDEX(Dic2024!$H$6:$H$205,C178))+(LN(INDEX(Dic2024!$H$6:$H$205,MIN(C178+1,200)))-LN(INDEX(Dic2024!$H$6:$H$205,C178)))*(A178-6*C178)/6))</f>
        <v>0.447687104324081</v>
      </c>
      <c r="E178" s="12" t="n">
        <f aca="false">D178^(-1/B178)-1</f>
        <v>0.05698961</v>
      </c>
      <c r="F178" s="12" t="n">
        <f aca="false">(1+E178)^(1/12)-1</f>
        <v>0.00462942258030119</v>
      </c>
      <c r="G178" s="16" t="n">
        <f aca="false">IF(C178=0,(1+Dic2024!$J$6)^(-B178),EXP(LN(INDEX(Dic2024!$K$6:$K$205,C178))+(LN(INDEX(Dic2024!$K$6:$K$205,MIN(C178+1,200)))-LN(INDEX(Dic2024!$K$6:$K$205,C178)))*(A178-6*C178)/6))</f>
        <v>0.447687104324081</v>
      </c>
      <c r="H178" s="12" t="n">
        <f aca="false">G178^(-1/B178)-1</f>
        <v>0.05698961</v>
      </c>
      <c r="I178" s="12" t="n">
        <f aca="false">(1+H178)^(1/12)-1</f>
        <v>0.00462942258030119</v>
      </c>
      <c r="J178" s="16" t="n">
        <f aca="false">IF(C178=0,(1+Dic2024!$M$6)^(-B178),EXP(LN(INDEX(Dic2024!$N$6:$N$205,C178))+(LN(INDEX(Dic2024!$N$6:$N$205,MIN(C178+1,200)))-LN(INDEX(Dic2024!$N$6:$N$205,C178)))*(A178-6*C178)/6))</f>
        <v>0.447687104324081</v>
      </c>
      <c r="K178" s="12" t="n">
        <f aca="false">J178^(-1/B178)-1</f>
        <v>0.05698961</v>
      </c>
      <c r="L178" s="12" t="n">
        <f aca="false">(1+K178)^(1/12)-1</f>
        <v>0.00462942258030119</v>
      </c>
    </row>
    <row r="179" customFormat="false" ht="15" hidden="false" customHeight="false" outlineLevel="0" collapsed="false">
      <c r="A179" s="4" t="n">
        <v>175</v>
      </c>
      <c r="B179" s="14" t="n">
        <f aca="false">A179/12</f>
        <v>14.5833333333333</v>
      </c>
      <c r="C179" s="15" t="n">
        <f aca="false">INT(A179/6)</f>
        <v>29</v>
      </c>
      <c r="D179" s="16" t="n">
        <f aca="false">IF(C179=0,(1+Dic2024!$G$6)^(-B179),EXP(LN(INDEX(Dic2024!$H$6:$H$205,C179))+(LN(INDEX(Dic2024!$H$6:$H$205,MIN(C179+1,200)))-LN(INDEX(Dic2024!$H$6:$H$205,C179)))*(A179-6*C179)/6))</f>
        <v>0.445407463008806</v>
      </c>
      <c r="E179" s="12" t="n">
        <f aca="false">D179^(-1/B179)-1</f>
        <v>0.057024858016387</v>
      </c>
      <c r="F179" s="12" t="n">
        <f aca="false">(1+E179)^(1/12)-1</f>
        <v>0.00463221436532213</v>
      </c>
      <c r="G179" s="16" t="n">
        <f aca="false">IF(C179=0,(1+Dic2024!$J$6)^(-B179),EXP(LN(INDEX(Dic2024!$K$6:$K$205,C179))+(LN(INDEX(Dic2024!$K$6:$K$205,MIN(C179+1,200)))-LN(INDEX(Dic2024!$K$6:$K$205,C179)))*(A179-6*C179)/6))</f>
        <v>0.445407463008806</v>
      </c>
      <c r="H179" s="12" t="n">
        <f aca="false">G179^(-1/B179)-1</f>
        <v>0.057024858016387</v>
      </c>
      <c r="I179" s="12" t="n">
        <f aca="false">(1+H179)^(1/12)-1</f>
        <v>0.00463221436532213</v>
      </c>
      <c r="J179" s="16" t="n">
        <f aca="false">IF(C179=0,(1+Dic2024!$M$6)^(-B179),EXP(LN(INDEX(Dic2024!$N$6:$N$205,C179))+(LN(INDEX(Dic2024!$N$6:$N$205,MIN(C179+1,200)))-LN(INDEX(Dic2024!$N$6:$N$205,C179)))*(A179-6*C179)/6))</f>
        <v>0.445407463008806</v>
      </c>
      <c r="K179" s="12" t="n">
        <f aca="false">J179^(-1/B179)-1</f>
        <v>0.057024858016387</v>
      </c>
      <c r="L179" s="12" t="n">
        <f aca="false">(1+K179)^(1/12)-1</f>
        <v>0.00463221436532213</v>
      </c>
    </row>
    <row r="180" customFormat="false" ht="15" hidden="false" customHeight="false" outlineLevel="0" collapsed="false">
      <c r="A180" s="4" t="n">
        <v>176</v>
      </c>
      <c r="B180" s="14" t="n">
        <f aca="false">A180/12</f>
        <v>14.6666666666667</v>
      </c>
      <c r="C180" s="15" t="n">
        <f aca="false">INT(A180/6)</f>
        <v>29</v>
      </c>
      <c r="D180" s="16" t="n">
        <f aca="false">IF(C180=0,(1+Dic2024!$G$6)^(-B180),EXP(LN(INDEX(Dic2024!$H$6:$H$205,C180))+(LN(INDEX(Dic2024!$H$6:$H$205,MIN(C180+1,200)))-LN(INDEX(Dic2024!$H$6:$H$205,C180)))*(A180-6*C180)/6))</f>
        <v>0.443139429721718</v>
      </c>
      <c r="E180" s="12" t="n">
        <f aca="false">D180^(-1/B180)-1</f>
        <v>0.0570597066426084</v>
      </c>
      <c r="F180" s="12" t="n">
        <f aca="false">(1+E180)^(1/12)-1</f>
        <v>0.00463497443313976</v>
      </c>
      <c r="G180" s="16" t="n">
        <f aca="false">IF(C180=0,(1+Dic2024!$J$6)^(-B180),EXP(LN(INDEX(Dic2024!$K$6:$K$205,C180))+(LN(INDEX(Dic2024!$K$6:$K$205,MIN(C180+1,200)))-LN(INDEX(Dic2024!$K$6:$K$205,C180)))*(A180-6*C180)/6))</f>
        <v>0.443139429721718</v>
      </c>
      <c r="H180" s="12" t="n">
        <f aca="false">G180^(-1/B180)-1</f>
        <v>0.0570597066426084</v>
      </c>
      <c r="I180" s="12" t="n">
        <f aca="false">(1+H180)^(1/12)-1</f>
        <v>0.00463497443313976</v>
      </c>
      <c r="J180" s="16" t="n">
        <f aca="false">IF(C180=0,(1+Dic2024!$M$6)^(-B180),EXP(LN(INDEX(Dic2024!$N$6:$N$205,C180))+(LN(INDEX(Dic2024!$N$6:$N$205,MIN(C180+1,200)))-LN(INDEX(Dic2024!$N$6:$N$205,C180)))*(A180-6*C180)/6))</f>
        <v>0.443139429721718</v>
      </c>
      <c r="K180" s="12" t="n">
        <f aca="false">J180^(-1/B180)-1</f>
        <v>0.0570597066426084</v>
      </c>
      <c r="L180" s="12" t="n">
        <f aca="false">(1+K180)^(1/12)-1</f>
        <v>0.00463497443313976</v>
      </c>
    </row>
    <row r="181" customFormat="false" ht="15" hidden="false" customHeight="false" outlineLevel="0" collapsed="false">
      <c r="A181" s="4" t="n">
        <v>177</v>
      </c>
      <c r="B181" s="14" t="n">
        <f aca="false">A181/12</f>
        <v>14.75</v>
      </c>
      <c r="C181" s="15" t="n">
        <f aca="false">INT(A181/6)</f>
        <v>29</v>
      </c>
      <c r="D181" s="16" t="n">
        <f aca="false">IF(C181=0,(1+Dic2024!$G$6)^(-B181),EXP(LN(INDEX(Dic2024!$H$6:$H$205,C181))+(LN(INDEX(Dic2024!$H$6:$H$205,MIN(C181+1,200)))-LN(INDEX(Dic2024!$H$6:$H$205,C181)))*(A181-6*C181)/6))</f>
        <v>0.440882945354256</v>
      </c>
      <c r="E181" s="12" t="n">
        <f aca="false">D181^(-1/B181)-1</f>
        <v>0.0570941626285522</v>
      </c>
      <c r="F181" s="12" t="n">
        <f aca="false">(1+E181)^(1/12)-1</f>
        <v>0.00463770332120528</v>
      </c>
      <c r="G181" s="16" t="n">
        <f aca="false">IF(C181=0,(1+Dic2024!$J$6)^(-B181),EXP(LN(INDEX(Dic2024!$K$6:$K$205,C181))+(LN(INDEX(Dic2024!$K$6:$K$205,MIN(C181+1,200)))-LN(INDEX(Dic2024!$K$6:$K$205,C181)))*(A181-6*C181)/6))</f>
        <v>0.440882945354256</v>
      </c>
      <c r="H181" s="12" t="n">
        <f aca="false">G181^(-1/B181)-1</f>
        <v>0.0570941626285522</v>
      </c>
      <c r="I181" s="12" t="n">
        <f aca="false">(1+H181)^(1/12)-1</f>
        <v>0.00463770332120528</v>
      </c>
      <c r="J181" s="16" t="n">
        <f aca="false">IF(C181=0,(1+Dic2024!$M$6)^(-B181),EXP(LN(INDEX(Dic2024!$N$6:$N$205,C181))+(LN(INDEX(Dic2024!$N$6:$N$205,MIN(C181+1,200)))-LN(INDEX(Dic2024!$N$6:$N$205,C181)))*(A181-6*C181)/6))</f>
        <v>0.440882945354256</v>
      </c>
      <c r="K181" s="12" t="n">
        <f aca="false">J181^(-1/B181)-1</f>
        <v>0.0570941626285522</v>
      </c>
      <c r="L181" s="12" t="n">
        <f aca="false">(1+K181)^(1/12)-1</f>
        <v>0.00463770332120528</v>
      </c>
    </row>
    <row r="182" customFormat="false" ht="15" hidden="false" customHeight="false" outlineLevel="0" collapsed="false">
      <c r="A182" s="4" t="n">
        <v>178</v>
      </c>
      <c r="B182" s="14" t="n">
        <f aca="false">A182/12</f>
        <v>14.8333333333333</v>
      </c>
      <c r="C182" s="15" t="n">
        <f aca="false">INT(A182/6)</f>
        <v>29</v>
      </c>
      <c r="D182" s="16" t="n">
        <f aca="false">IF(C182=0,(1+Dic2024!$G$6)^(-B182),EXP(LN(INDEX(Dic2024!$H$6:$H$205,C182))+(LN(INDEX(Dic2024!$H$6:$H$205,MIN(C182+1,200)))-LN(INDEX(Dic2024!$H$6:$H$205,C182)))*(A182-6*C182)/6))</f>
        <v>0.438637951098844</v>
      </c>
      <c r="E182" s="12" t="n">
        <f aca="false">D182^(-1/B182)-1</f>
        <v>0.0571282325728579</v>
      </c>
      <c r="F182" s="12" t="n">
        <f aca="false">(1+E182)^(1/12)-1</f>
        <v>0.00464040155489509</v>
      </c>
      <c r="G182" s="16" t="n">
        <f aca="false">IF(C182=0,(1+Dic2024!$J$6)^(-B182),EXP(LN(INDEX(Dic2024!$K$6:$K$205,C182))+(LN(INDEX(Dic2024!$K$6:$K$205,MIN(C182+1,200)))-LN(INDEX(Dic2024!$K$6:$K$205,C182)))*(A182-6*C182)/6))</f>
        <v>0.438637951098844</v>
      </c>
      <c r="H182" s="12" t="n">
        <f aca="false">G182^(-1/B182)-1</f>
        <v>0.0571282325728579</v>
      </c>
      <c r="I182" s="12" t="n">
        <f aca="false">(1+H182)^(1/12)-1</f>
        <v>0.00464040155489509</v>
      </c>
      <c r="J182" s="16" t="n">
        <f aca="false">IF(C182=0,(1+Dic2024!$M$6)^(-B182),EXP(LN(INDEX(Dic2024!$N$6:$N$205,C182))+(LN(INDEX(Dic2024!$N$6:$N$205,MIN(C182+1,200)))-LN(INDEX(Dic2024!$N$6:$N$205,C182)))*(A182-6*C182)/6))</f>
        <v>0.438637951098844</v>
      </c>
      <c r="K182" s="12" t="n">
        <f aca="false">J182^(-1/B182)-1</f>
        <v>0.0571282325728579</v>
      </c>
      <c r="L182" s="12" t="n">
        <f aca="false">(1+K182)^(1/12)-1</f>
        <v>0.00464040155489509</v>
      </c>
    </row>
    <row r="183" customFormat="false" ht="15" hidden="false" customHeight="false" outlineLevel="0" collapsed="false">
      <c r="A183" s="4" t="n">
        <v>179</v>
      </c>
      <c r="B183" s="14" t="n">
        <f aca="false">A183/12</f>
        <v>14.9166666666667</v>
      </c>
      <c r="C183" s="15" t="n">
        <f aca="false">INT(A183/6)</f>
        <v>29</v>
      </c>
      <c r="D183" s="16" t="n">
        <f aca="false">IF(C183=0,(1+Dic2024!$G$6)^(-B183),EXP(LN(INDEX(Dic2024!$H$6:$H$205,C183))+(LN(INDEX(Dic2024!$H$6:$H$205,MIN(C183+1,200)))-LN(INDEX(Dic2024!$H$6:$H$205,C183)))*(A183-6*C183)/6))</f>
        <v>0.436404388447352</v>
      </c>
      <c r="E183" s="12" t="n">
        <f aca="false">D183^(-1/B183)-1</f>
        <v>0.0571619229271274</v>
      </c>
      <c r="F183" s="12" t="n">
        <f aca="false">(1+E183)^(1/12)-1</f>
        <v>0.00464306964784833</v>
      </c>
      <c r="G183" s="16" t="n">
        <f aca="false">IF(C183=0,(1+Dic2024!$J$6)^(-B183),EXP(LN(INDEX(Dic2024!$K$6:$K$205,C183))+(LN(INDEX(Dic2024!$K$6:$K$205,MIN(C183+1,200)))-LN(INDEX(Dic2024!$K$6:$K$205,C183)))*(A183-6*C183)/6))</f>
        <v>0.436404388447352</v>
      </c>
      <c r="H183" s="12" t="n">
        <f aca="false">G183^(-1/B183)-1</f>
        <v>0.0571619229271274</v>
      </c>
      <c r="I183" s="12" t="n">
        <f aca="false">(1+H183)^(1/12)-1</f>
        <v>0.00464306964784833</v>
      </c>
      <c r="J183" s="16" t="n">
        <f aca="false">IF(C183=0,(1+Dic2024!$M$6)^(-B183),EXP(LN(INDEX(Dic2024!$N$6:$N$205,C183))+(LN(INDEX(Dic2024!$N$6:$N$205,MIN(C183+1,200)))-LN(INDEX(Dic2024!$N$6:$N$205,C183)))*(A183-6*C183)/6))</f>
        <v>0.436404388447352</v>
      </c>
      <c r="K183" s="12" t="n">
        <f aca="false">J183^(-1/B183)-1</f>
        <v>0.0571619229271274</v>
      </c>
      <c r="L183" s="12" t="n">
        <f aca="false">(1+K183)^(1/12)-1</f>
        <v>0.00464306964784833</v>
      </c>
    </row>
    <row r="184" customFormat="false" ht="15" hidden="false" customHeight="false" outlineLevel="0" collapsed="false">
      <c r="A184" s="4" t="n">
        <v>180</v>
      </c>
      <c r="B184" s="14" t="n">
        <f aca="false">A184/12</f>
        <v>15</v>
      </c>
      <c r="C184" s="15" t="n">
        <f aca="false">INT(A184/6)</f>
        <v>30</v>
      </c>
      <c r="D184" s="16" t="n">
        <f aca="false">IF(C184=0,(1+Dic2024!$G$6)^(-B184),EXP(LN(INDEX(Dic2024!$H$6:$H$205,C184))+(LN(INDEX(Dic2024!$H$6:$H$205,MIN(C184+1,200)))-LN(INDEX(Dic2024!$H$6:$H$205,C184)))*(A184-6*C184)/6))</f>
        <v>0.434182199189579</v>
      </c>
      <c r="E184" s="12" t="n">
        <f aca="false">D184^(-1/B184)-1</f>
        <v>0.05719524</v>
      </c>
      <c r="F184" s="12" t="n">
        <f aca="false">(1+E184)^(1/12)-1</f>
        <v>0.00464570810229237</v>
      </c>
      <c r="G184" s="16" t="n">
        <f aca="false">IF(C184=0,(1+Dic2024!$J$6)^(-B184),EXP(LN(INDEX(Dic2024!$K$6:$K$205,C184))+(LN(INDEX(Dic2024!$K$6:$K$205,MIN(C184+1,200)))-LN(INDEX(Dic2024!$K$6:$K$205,C184)))*(A184-6*C184)/6))</f>
        <v>0.434182199189579</v>
      </c>
      <c r="H184" s="12" t="n">
        <f aca="false">G184^(-1/B184)-1</f>
        <v>0.05719524</v>
      </c>
      <c r="I184" s="12" t="n">
        <f aca="false">(1+H184)^(1/12)-1</f>
        <v>0.00464570810229237</v>
      </c>
      <c r="J184" s="16" t="n">
        <f aca="false">IF(C184=0,(1+Dic2024!$M$6)^(-B184),EXP(LN(INDEX(Dic2024!$N$6:$N$205,C184))+(LN(INDEX(Dic2024!$N$6:$N$205,MIN(C184+1,200)))-LN(INDEX(Dic2024!$N$6:$N$205,C184)))*(A184-6*C184)/6))</f>
        <v>0.434182199189579</v>
      </c>
      <c r="K184" s="12" t="n">
        <f aca="false">J184^(-1/B184)-1</f>
        <v>0.05719524</v>
      </c>
      <c r="L184" s="12" t="n">
        <f aca="false">(1+K184)^(1/12)-1</f>
        <v>0.00464570810229237</v>
      </c>
    </row>
    <row r="185" customFormat="false" ht="15" hidden="false" customHeight="false" outlineLevel="0" collapsed="false">
      <c r="A185" s="4" t="n">
        <v>181</v>
      </c>
      <c r="B185" s="14" t="n">
        <f aca="false">A185/12</f>
        <v>15.0833333333333</v>
      </c>
      <c r="C185" s="15" t="n">
        <f aca="false">INT(A185/6)</f>
        <v>30</v>
      </c>
      <c r="D185" s="16" t="n">
        <f aca="false">IF(C185=0,(1+Dic2024!$G$6)^(-B185),EXP(LN(INDEX(Dic2024!$H$6:$H$205,C185))+(LN(INDEX(Dic2024!$H$6:$H$205,MIN(C185+1,200)))-LN(INDEX(Dic2024!$H$6:$H$205,C185)))*(A185-6*C185)/6))</f>
        <v>0.431957341940313</v>
      </c>
      <c r="E185" s="12" t="n">
        <f aca="false">D185^(-1/B185)-1</f>
        <v>0.0572304589845236</v>
      </c>
      <c r="F185" s="12" t="n">
        <f aca="false">(1+E185)^(1/12)-1</f>
        <v>0.0046484970905567</v>
      </c>
      <c r="G185" s="16" t="n">
        <f aca="false">IF(C185=0,(1+Dic2024!$J$6)^(-B185),EXP(LN(INDEX(Dic2024!$K$6:$K$205,C185))+(LN(INDEX(Dic2024!$K$6:$K$205,MIN(C185+1,200)))-LN(INDEX(Dic2024!$K$6:$K$205,C185)))*(A185-6*C185)/6))</f>
        <v>0.431957341940313</v>
      </c>
      <c r="H185" s="12" t="n">
        <f aca="false">G185^(-1/B185)-1</f>
        <v>0.0572304589845236</v>
      </c>
      <c r="I185" s="12" t="n">
        <f aca="false">(1+H185)^(1/12)-1</f>
        <v>0.0046484970905567</v>
      </c>
      <c r="J185" s="16" t="n">
        <f aca="false">IF(C185=0,(1+Dic2024!$M$6)^(-B185),EXP(LN(INDEX(Dic2024!$N$6:$N$205,C185))+(LN(INDEX(Dic2024!$N$6:$N$205,MIN(C185+1,200)))-LN(INDEX(Dic2024!$N$6:$N$205,C185)))*(A185-6*C185)/6))</f>
        <v>0.431957341940313</v>
      </c>
      <c r="K185" s="12" t="n">
        <f aca="false">J185^(-1/B185)-1</f>
        <v>0.0572304589845236</v>
      </c>
      <c r="L185" s="12" t="n">
        <f aca="false">(1+K185)^(1/12)-1</f>
        <v>0.0046484970905567</v>
      </c>
    </row>
    <row r="186" customFormat="false" ht="15" hidden="false" customHeight="false" outlineLevel="0" collapsed="false">
      <c r="A186" s="4" t="n">
        <v>182</v>
      </c>
      <c r="B186" s="14" t="n">
        <f aca="false">A186/12</f>
        <v>15.1666666666667</v>
      </c>
      <c r="C186" s="15" t="n">
        <f aca="false">INT(A186/6)</f>
        <v>30</v>
      </c>
      <c r="D186" s="16" t="n">
        <f aca="false">IF(C186=0,(1+Dic2024!$G$6)^(-B186),EXP(LN(INDEX(Dic2024!$H$6:$H$205,C186))+(LN(INDEX(Dic2024!$H$6:$H$205,MIN(C186+1,200)))-LN(INDEX(Dic2024!$H$6:$H$205,C186)))*(A186-6*C186)/6))</f>
        <v>0.429743885411271</v>
      </c>
      <c r="E186" s="12" t="n">
        <f aca="false">D186^(-1/B186)-1</f>
        <v>0.057265292101242</v>
      </c>
      <c r="F186" s="12" t="n">
        <f aca="false">(1+E186)^(1/12)-1</f>
        <v>0.00465125543821365</v>
      </c>
      <c r="G186" s="16" t="n">
        <f aca="false">IF(C186=0,(1+Dic2024!$J$6)^(-B186),EXP(LN(INDEX(Dic2024!$K$6:$K$205,C186))+(LN(INDEX(Dic2024!$K$6:$K$205,MIN(C186+1,200)))-LN(INDEX(Dic2024!$K$6:$K$205,C186)))*(A186-6*C186)/6))</f>
        <v>0.429743885411271</v>
      </c>
      <c r="H186" s="12" t="n">
        <f aca="false">G186^(-1/B186)-1</f>
        <v>0.057265292101242</v>
      </c>
      <c r="I186" s="12" t="n">
        <f aca="false">(1+H186)^(1/12)-1</f>
        <v>0.00465125543821365</v>
      </c>
      <c r="J186" s="16" t="n">
        <f aca="false">IF(C186=0,(1+Dic2024!$M$6)^(-B186),EXP(LN(INDEX(Dic2024!$N$6:$N$205,C186))+(LN(INDEX(Dic2024!$N$6:$N$205,MIN(C186+1,200)))-LN(INDEX(Dic2024!$N$6:$N$205,C186)))*(A186-6*C186)/6))</f>
        <v>0.429743885411271</v>
      </c>
      <c r="K186" s="12" t="n">
        <f aca="false">J186^(-1/B186)-1</f>
        <v>0.057265292101242</v>
      </c>
      <c r="L186" s="12" t="n">
        <f aca="false">(1+K186)^(1/12)-1</f>
        <v>0.00465125543821365</v>
      </c>
    </row>
    <row r="187" customFormat="false" ht="15" hidden="false" customHeight="false" outlineLevel="0" collapsed="false">
      <c r="A187" s="4" t="n">
        <v>183</v>
      </c>
      <c r="B187" s="14" t="n">
        <f aca="false">A187/12</f>
        <v>15.25</v>
      </c>
      <c r="C187" s="15" t="n">
        <f aca="false">INT(A187/6)</f>
        <v>30</v>
      </c>
      <c r="D187" s="16" t="n">
        <f aca="false">IF(C187=0,(1+Dic2024!$G$6)^(-B187),EXP(LN(INDEX(Dic2024!$H$6:$H$205,C187))+(LN(INDEX(Dic2024!$H$6:$H$205,MIN(C187+1,200)))-LN(INDEX(Dic2024!$H$6:$H$205,C187)))*(A187-6*C187)/6))</f>
        <v>0.427541771182337</v>
      </c>
      <c r="E187" s="12" t="n">
        <f aca="false">D187^(-1/B187)-1</f>
        <v>0.0572997456570787</v>
      </c>
      <c r="F187" s="12" t="n">
        <f aca="false">(1+E187)^(1/12)-1</f>
        <v>0.00465398364744418</v>
      </c>
      <c r="G187" s="16" t="n">
        <f aca="false">IF(C187=0,(1+Dic2024!$J$6)^(-B187),EXP(LN(INDEX(Dic2024!$K$6:$K$205,C187))+(LN(INDEX(Dic2024!$K$6:$K$205,MIN(C187+1,200)))-LN(INDEX(Dic2024!$K$6:$K$205,C187)))*(A187-6*C187)/6))</f>
        <v>0.427541771182337</v>
      </c>
      <c r="H187" s="12" t="n">
        <f aca="false">G187^(-1/B187)-1</f>
        <v>0.0572997456570787</v>
      </c>
      <c r="I187" s="12" t="n">
        <f aca="false">(1+H187)^(1/12)-1</f>
        <v>0.00465398364744418</v>
      </c>
      <c r="J187" s="16" t="n">
        <f aca="false">IF(C187=0,(1+Dic2024!$M$6)^(-B187),EXP(LN(INDEX(Dic2024!$N$6:$N$205,C187))+(LN(INDEX(Dic2024!$N$6:$N$205,MIN(C187+1,200)))-LN(INDEX(Dic2024!$N$6:$N$205,C187)))*(A187-6*C187)/6))</f>
        <v>0.427541771182337</v>
      </c>
      <c r="K187" s="12" t="n">
        <f aca="false">J187^(-1/B187)-1</f>
        <v>0.0572997456570787</v>
      </c>
      <c r="L187" s="12" t="n">
        <f aca="false">(1+K187)^(1/12)-1</f>
        <v>0.00465398364744418</v>
      </c>
    </row>
    <row r="188" customFormat="false" ht="15" hidden="false" customHeight="false" outlineLevel="0" collapsed="false">
      <c r="A188" s="4" t="n">
        <v>184</v>
      </c>
      <c r="B188" s="14" t="n">
        <f aca="false">A188/12</f>
        <v>15.3333333333333</v>
      </c>
      <c r="C188" s="15" t="n">
        <f aca="false">INT(A188/6)</f>
        <v>30</v>
      </c>
      <c r="D188" s="16" t="n">
        <f aca="false">IF(C188=0,(1+Dic2024!$G$6)^(-B188),EXP(LN(INDEX(Dic2024!$H$6:$H$205,C188))+(LN(INDEX(Dic2024!$H$6:$H$205,MIN(C188+1,200)))-LN(INDEX(Dic2024!$H$6:$H$205,C188)))*(A188-6*C188)/6))</f>
        <v>0.425350941132752</v>
      </c>
      <c r="E188" s="12" t="n">
        <f aca="false">D188^(-1/B188)-1</f>
        <v>0.0573338258222567</v>
      </c>
      <c r="F188" s="12" t="n">
        <f aca="false">(1+E188)^(1/12)-1</f>
        <v>0.00465668220951487</v>
      </c>
      <c r="G188" s="16" t="n">
        <f aca="false">IF(C188=0,(1+Dic2024!$J$6)^(-B188),EXP(LN(INDEX(Dic2024!$K$6:$K$205,C188))+(LN(INDEX(Dic2024!$K$6:$K$205,MIN(C188+1,200)))-LN(INDEX(Dic2024!$K$6:$K$205,C188)))*(A188-6*C188)/6))</f>
        <v>0.425350941132752</v>
      </c>
      <c r="H188" s="12" t="n">
        <f aca="false">G188^(-1/B188)-1</f>
        <v>0.0573338258222567</v>
      </c>
      <c r="I188" s="12" t="n">
        <f aca="false">(1+H188)^(1/12)-1</f>
        <v>0.00465668220951487</v>
      </c>
      <c r="J188" s="16" t="n">
        <f aca="false">IF(C188=0,(1+Dic2024!$M$6)^(-B188),EXP(LN(INDEX(Dic2024!$N$6:$N$205,C188))+(LN(INDEX(Dic2024!$N$6:$N$205,MIN(C188+1,200)))-LN(INDEX(Dic2024!$N$6:$N$205,C188)))*(A188-6*C188)/6))</f>
        <v>0.425350941132752</v>
      </c>
      <c r="K188" s="12" t="n">
        <f aca="false">J188^(-1/B188)-1</f>
        <v>0.0573338258222567</v>
      </c>
      <c r="L188" s="12" t="n">
        <f aca="false">(1+K188)^(1/12)-1</f>
        <v>0.00465668220951487</v>
      </c>
    </row>
    <row r="189" customFormat="false" ht="15" hidden="false" customHeight="false" outlineLevel="0" collapsed="false">
      <c r="A189" s="4" t="n">
        <v>185</v>
      </c>
      <c r="B189" s="14" t="n">
        <f aca="false">A189/12</f>
        <v>15.4166666666667</v>
      </c>
      <c r="C189" s="15" t="n">
        <f aca="false">INT(A189/6)</f>
        <v>30</v>
      </c>
      <c r="D189" s="16" t="n">
        <f aca="false">IF(C189=0,(1+Dic2024!$G$6)^(-B189),EXP(LN(INDEX(Dic2024!$H$6:$H$205,C189))+(LN(INDEX(Dic2024!$H$6:$H$205,MIN(C189+1,200)))-LN(INDEX(Dic2024!$H$6:$H$205,C189)))*(A189-6*C189)/6))</f>
        <v>0.423171337439583</v>
      </c>
      <c r="E189" s="12" t="n">
        <f aca="false">D189^(-1/B189)-1</f>
        <v>0.05736753863398</v>
      </c>
      <c r="F189" s="12" t="n">
        <f aca="false">(1+E189)^(1/12)-1</f>
        <v>0.0046593516050728</v>
      </c>
      <c r="G189" s="16" t="n">
        <f aca="false">IF(C189=0,(1+Dic2024!$J$6)^(-B189),EXP(LN(INDEX(Dic2024!$K$6:$K$205,C189))+(LN(INDEX(Dic2024!$K$6:$K$205,MIN(C189+1,200)))-LN(INDEX(Dic2024!$K$6:$K$205,C189)))*(A189-6*C189)/6))</f>
        <v>0.423171337439583</v>
      </c>
      <c r="H189" s="12" t="n">
        <f aca="false">G189^(-1/B189)-1</f>
        <v>0.05736753863398</v>
      </c>
      <c r="I189" s="12" t="n">
        <f aca="false">(1+H189)^(1/12)-1</f>
        <v>0.0046593516050728</v>
      </c>
      <c r="J189" s="16" t="n">
        <f aca="false">IF(C189=0,(1+Dic2024!$M$6)^(-B189),EXP(LN(INDEX(Dic2024!$N$6:$N$205,C189))+(LN(INDEX(Dic2024!$N$6:$N$205,MIN(C189+1,200)))-LN(INDEX(Dic2024!$N$6:$N$205,C189)))*(A189-6*C189)/6))</f>
        <v>0.423171337439583</v>
      </c>
      <c r="K189" s="12" t="n">
        <f aca="false">J189^(-1/B189)-1</f>
        <v>0.05736753863398</v>
      </c>
      <c r="L189" s="12" t="n">
        <f aca="false">(1+K189)^(1/12)-1</f>
        <v>0.0046593516050728</v>
      </c>
    </row>
    <row r="190" customFormat="false" ht="15" hidden="false" customHeight="false" outlineLevel="0" collapsed="false">
      <c r="A190" s="4" t="n">
        <v>186</v>
      </c>
      <c r="B190" s="14" t="n">
        <f aca="false">A190/12</f>
        <v>15.5</v>
      </c>
      <c r="C190" s="15" t="n">
        <f aca="false">INT(A190/6)</f>
        <v>31</v>
      </c>
      <c r="D190" s="16" t="n">
        <f aca="false">IF(C190=0,(1+Dic2024!$G$6)^(-B190),EXP(LN(INDEX(Dic2024!$H$6:$H$205,C190))+(LN(INDEX(Dic2024!$H$6:$H$205,MIN(C190+1,200)))-LN(INDEX(Dic2024!$H$6:$H$205,C190)))*(A190-6*C190)/6))</f>
        <v>0.421002902576197</v>
      </c>
      <c r="E190" s="12" t="n">
        <f aca="false">D190^(-1/B190)-1</f>
        <v>0.05740089</v>
      </c>
      <c r="F190" s="12" t="n">
        <f aca="false">(1+E190)^(1/12)-1</f>
        <v>0.00466199230443154</v>
      </c>
      <c r="G190" s="16" t="n">
        <f aca="false">IF(C190=0,(1+Dic2024!$J$6)^(-B190),EXP(LN(INDEX(Dic2024!$K$6:$K$205,C190))+(LN(INDEX(Dic2024!$K$6:$K$205,MIN(C190+1,200)))-LN(INDEX(Dic2024!$K$6:$K$205,C190)))*(A190-6*C190)/6))</f>
        <v>0.421002902576197</v>
      </c>
      <c r="H190" s="12" t="n">
        <f aca="false">G190^(-1/B190)-1</f>
        <v>0.05740089</v>
      </c>
      <c r="I190" s="12" t="n">
        <f aca="false">(1+H190)^(1/12)-1</f>
        <v>0.00466199230443154</v>
      </c>
      <c r="J190" s="16" t="n">
        <f aca="false">IF(C190=0,(1+Dic2024!$M$6)^(-B190),EXP(LN(INDEX(Dic2024!$N$6:$N$205,C190))+(LN(INDEX(Dic2024!$N$6:$N$205,MIN(C190+1,200)))-LN(INDEX(Dic2024!$N$6:$N$205,C190)))*(A190-6*C190)/6))</f>
        <v>0.421002902576197</v>
      </c>
      <c r="K190" s="12" t="n">
        <f aca="false">J190^(-1/B190)-1</f>
        <v>0.05740089</v>
      </c>
      <c r="L190" s="12" t="n">
        <f aca="false">(1+K190)^(1/12)-1</f>
        <v>0.00466199230443154</v>
      </c>
    </row>
    <row r="191" customFormat="false" ht="15" hidden="false" customHeight="false" outlineLevel="0" collapsed="false">
      <c r="A191" s="4" t="n">
        <v>187</v>
      </c>
      <c r="B191" s="14" t="n">
        <f aca="false">A191/12</f>
        <v>15.5833333333333</v>
      </c>
      <c r="C191" s="15" t="n">
        <f aca="false">INT(A191/6)</f>
        <v>31</v>
      </c>
      <c r="D191" s="16" t="n">
        <f aca="false">IF(C191=0,(1+Dic2024!$G$6)^(-B191),EXP(LN(INDEX(Dic2024!$H$6:$H$205,C191))+(LN(INDEX(Dic2024!$H$6:$H$205,MIN(C191+1,200)))-LN(INDEX(Dic2024!$H$6:$H$205,C191)))*(A191-6*C191)/6))</f>
        <v>0.418940643616918</v>
      </c>
      <c r="E191" s="12" t="n">
        <f aca="false">D191^(-1/B191)-1</f>
        <v>0.0574184862961555</v>
      </c>
      <c r="F191" s="12" t="n">
        <f aca="false">(1+E191)^(1/12)-1</f>
        <v>0.00466338551578627</v>
      </c>
      <c r="G191" s="16" t="n">
        <f aca="false">IF(C191=0,(1+Dic2024!$J$6)^(-B191),EXP(LN(INDEX(Dic2024!$K$6:$K$205,C191))+(LN(INDEX(Dic2024!$K$6:$K$205,MIN(C191+1,200)))-LN(INDEX(Dic2024!$K$6:$K$205,C191)))*(A191-6*C191)/6))</f>
        <v>0.418940643616918</v>
      </c>
      <c r="H191" s="12" t="n">
        <f aca="false">G191^(-1/B191)-1</f>
        <v>0.0574184862961555</v>
      </c>
      <c r="I191" s="12" t="n">
        <f aca="false">(1+H191)^(1/12)-1</f>
        <v>0.00466338551578627</v>
      </c>
      <c r="J191" s="16" t="n">
        <f aca="false">IF(C191=0,(1+Dic2024!$M$6)^(-B191),EXP(LN(INDEX(Dic2024!$N$6:$N$205,C191))+(LN(INDEX(Dic2024!$N$6:$N$205,MIN(C191+1,200)))-LN(INDEX(Dic2024!$N$6:$N$205,C191)))*(A191-6*C191)/6))</f>
        <v>0.418940643616918</v>
      </c>
      <c r="K191" s="12" t="n">
        <f aca="false">J191^(-1/B191)-1</f>
        <v>0.0574184862961555</v>
      </c>
      <c r="L191" s="12" t="n">
        <f aca="false">(1+K191)^(1/12)-1</f>
        <v>0.00466338551578627</v>
      </c>
    </row>
    <row r="192" customFormat="false" ht="15" hidden="false" customHeight="false" outlineLevel="0" collapsed="false">
      <c r="A192" s="4" t="n">
        <v>188</v>
      </c>
      <c r="B192" s="14" t="n">
        <f aca="false">A192/12</f>
        <v>15.6666666666667</v>
      </c>
      <c r="C192" s="15" t="n">
        <f aca="false">INT(A192/6)</f>
        <v>31</v>
      </c>
      <c r="D192" s="16" t="n">
        <f aca="false">IF(C192=0,(1+Dic2024!$G$6)^(-B192),EXP(LN(INDEX(Dic2024!$H$6:$H$205,C192))+(LN(INDEX(Dic2024!$H$6:$H$205,MIN(C192+1,200)))-LN(INDEX(Dic2024!$H$6:$H$205,C192)))*(A192-6*C192)/6))</f>
        <v>0.416888486516769</v>
      </c>
      <c r="E192" s="12" t="n">
        <f aca="false">D192^(-1/B192)-1</f>
        <v>0.0574358956858365</v>
      </c>
      <c r="F192" s="12" t="n">
        <f aca="false">(1+E192)^(1/12)-1</f>
        <v>0.00466476390764514</v>
      </c>
      <c r="G192" s="16" t="n">
        <f aca="false">IF(C192=0,(1+Dic2024!$J$6)^(-B192),EXP(LN(INDEX(Dic2024!$K$6:$K$205,C192))+(LN(INDEX(Dic2024!$K$6:$K$205,MIN(C192+1,200)))-LN(INDEX(Dic2024!$K$6:$K$205,C192)))*(A192-6*C192)/6))</f>
        <v>0.416888486516769</v>
      </c>
      <c r="H192" s="12" t="n">
        <f aca="false">G192^(-1/B192)-1</f>
        <v>0.0574358956858365</v>
      </c>
      <c r="I192" s="12" t="n">
        <f aca="false">(1+H192)^(1/12)-1</f>
        <v>0.00466476390764514</v>
      </c>
      <c r="J192" s="16" t="n">
        <f aca="false">IF(C192=0,(1+Dic2024!$M$6)^(-B192),EXP(LN(INDEX(Dic2024!$N$6:$N$205,C192))+(LN(INDEX(Dic2024!$N$6:$N$205,MIN(C192+1,200)))-LN(INDEX(Dic2024!$N$6:$N$205,C192)))*(A192-6*C192)/6))</f>
        <v>0.416888486516769</v>
      </c>
      <c r="K192" s="12" t="n">
        <f aca="false">J192^(-1/B192)-1</f>
        <v>0.0574358956858365</v>
      </c>
      <c r="L192" s="12" t="n">
        <f aca="false">(1+K192)^(1/12)-1</f>
        <v>0.00466476390764514</v>
      </c>
    </row>
    <row r="193" customFormat="false" ht="15" hidden="false" customHeight="false" outlineLevel="0" collapsed="false">
      <c r="A193" s="4" t="n">
        <v>189</v>
      </c>
      <c r="B193" s="14" t="n">
        <f aca="false">A193/12</f>
        <v>15.75</v>
      </c>
      <c r="C193" s="15" t="n">
        <f aca="false">INT(A193/6)</f>
        <v>31</v>
      </c>
      <c r="D193" s="16" t="n">
        <f aca="false">IF(C193=0,(1+Dic2024!$G$6)^(-B193),EXP(LN(INDEX(Dic2024!$H$6:$H$205,C193))+(LN(INDEX(Dic2024!$H$6:$H$205,MIN(C193+1,200)))-LN(INDEX(Dic2024!$H$6:$H$205,C193)))*(A193-6*C193)/6))</f>
        <v>0.414846381792363</v>
      </c>
      <c r="E193" s="12" t="n">
        <f aca="false">D193^(-1/B193)-1</f>
        <v>0.057453121131267</v>
      </c>
      <c r="F193" s="12" t="n">
        <f aca="false">(1+E193)^(1/12)-1</f>
        <v>0.0046661277152078</v>
      </c>
      <c r="G193" s="16" t="n">
        <f aca="false">IF(C193=0,(1+Dic2024!$J$6)^(-B193),EXP(LN(INDEX(Dic2024!$K$6:$K$205,C193))+(LN(INDEX(Dic2024!$K$6:$K$205,MIN(C193+1,200)))-LN(INDEX(Dic2024!$K$6:$K$205,C193)))*(A193-6*C193)/6))</f>
        <v>0.414846381792363</v>
      </c>
      <c r="H193" s="12" t="n">
        <f aca="false">G193^(-1/B193)-1</f>
        <v>0.057453121131267</v>
      </c>
      <c r="I193" s="12" t="n">
        <f aca="false">(1+H193)^(1/12)-1</f>
        <v>0.0046661277152078</v>
      </c>
      <c r="J193" s="16" t="n">
        <f aca="false">IF(C193=0,(1+Dic2024!$M$6)^(-B193),EXP(LN(INDEX(Dic2024!$N$6:$N$205,C193))+(LN(INDEX(Dic2024!$N$6:$N$205,MIN(C193+1,200)))-LN(INDEX(Dic2024!$N$6:$N$205,C193)))*(A193-6*C193)/6))</f>
        <v>0.414846381792363</v>
      </c>
      <c r="K193" s="12" t="n">
        <f aca="false">J193^(-1/B193)-1</f>
        <v>0.057453121131267</v>
      </c>
      <c r="L193" s="12" t="n">
        <f aca="false">(1+K193)^(1/12)-1</f>
        <v>0.0046661277152078</v>
      </c>
    </row>
    <row r="194" customFormat="false" ht="15" hidden="false" customHeight="false" outlineLevel="0" collapsed="false">
      <c r="A194" s="4" t="n">
        <v>190</v>
      </c>
      <c r="B194" s="14" t="n">
        <f aca="false">A194/12</f>
        <v>15.8333333333333</v>
      </c>
      <c r="C194" s="15" t="n">
        <f aca="false">INT(A194/6)</f>
        <v>31</v>
      </c>
      <c r="D194" s="16" t="n">
        <f aca="false">IF(C194=0,(1+Dic2024!$G$6)^(-B194),EXP(LN(INDEX(Dic2024!$H$6:$H$205,C194))+(LN(INDEX(Dic2024!$H$6:$H$205,MIN(C194+1,200)))-LN(INDEX(Dic2024!$H$6:$H$205,C194)))*(A194-6*C194)/6))</f>
        <v>0.412814280202704</v>
      </c>
      <c r="E194" s="12" t="n">
        <f aca="false">D194^(-1/B194)-1</f>
        <v>0.0574701655324039</v>
      </c>
      <c r="F194" s="12" t="n">
        <f aca="false">(1+E194)^(1/12)-1</f>
        <v>0.00466747716872384</v>
      </c>
      <c r="G194" s="16" t="n">
        <f aca="false">IF(C194=0,(1+Dic2024!$J$6)^(-B194),EXP(LN(INDEX(Dic2024!$K$6:$K$205,C194))+(LN(INDEX(Dic2024!$K$6:$K$205,MIN(C194+1,200)))-LN(INDEX(Dic2024!$K$6:$K$205,C194)))*(A194-6*C194)/6))</f>
        <v>0.412814280202704</v>
      </c>
      <c r="H194" s="12" t="n">
        <f aca="false">G194^(-1/B194)-1</f>
        <v>0.0574701655324039</v>
      </c>
      <c r="I194" s="12" t="n">
        <f aca="false">(1+H194)^(1/12)-1</f>
        <v>0.00466747716872384</v>
      </c>
      <c r="J194" s="16" t="n">
        <f aca="false">IF(C194=0,(1+Dic2024!$M$6)^(-B194),EXP(LN(INDEX(Dic2024!$N$6:$N$205,C194))+(LN(INDEX(Dic2024!$N$6:$N$205,MIN(C194+1,200)))-LN(INDEX(Dic2024!$N$6:$N$205,C194)))*(A194-6*C194)/6))</f>
        <v>0.412814280202704</v>
      </c>
      <c r="K194" s="12" t="n">
        <f aca="false">J194^(-1/B194)-1</f>
        <v>0.0574701655324039</v>
      </c>
      <c r="L194" s="12" t="n">
        <f aca="false">(1+K194)^(1/12)-1</f>
        <v>0.00466747716872384</v>
      </c>
    </row>
    <row r="195" customFormat="false" ht="15" hidden="false" customHeight="false" outlineLevel="0" collapsed="false">
      <c r="A195" s="4" t="n">
        <v>191</v>
      </c>
      <c r="B195" s="14" t="n">
        <f aca="false">A195/12</f>
        <v>15.9166666666667</v>
      </c>
      <c r="C195" s="15" t="n">
        <f aca="false">INT(A195/6)</f>
        <v>31</v>
      </c>
      <c r="D195" s="16" t="n">
        <f aca="false">IF(C195=0,(1+Dic2024!$G$6)^(-B195),EXP(LN(INDEX(Dic2024!$H$6:$H$205,C195))+(LN(INDEX(Dic2024!$H$6:$H$205,MIN(C195+1,200)))-LN(INDEX(Dic2024!$H$6:$H$205,C195)))*(A195-6*C195)/6))</f>
        <v>0.410792132748003</v>
      </c>
      <c r="E195" s="12" t="n">
        <f aca="false">D195^(-1/B195)-1</f>
        <v>0.0574870317285636</v>
      </c>
      <c r="F195" s="12" t="n">
        <f aca="false">(1+E195)^(1/12)-1</f>
        <v>0.0046688124936205</v>
      </c>
      <c r="G195" s="16" t="n">
        <f aca="false">IF(C195=0,(1+Dic2024!$J$6)^(-B195),EXP(LN(INDEX(Dic2024!$K$6:$K$205,C195))+(LN(INDEX(Dic2024!$K$6:$K$205,MIN(C195+1,200)))-LN(INDEX(Dic2024!$K$6:$K$205,C195)))*(A195-6*C195)/6))</f>
        <v>0.410792132748003</v>
      </c>
      <c r="H195" s="12" t="n">
        <f aca="false">G195^(-1/B195)-1</f>
        <v>0.0574870317285636</v>
      </c>
      <c r="I195" s="12" t="n">
        <f aca="false">(1+H195)^(1/12)-1</f>
        <v>0.0046688124936205</v>
      </c>
      <c r="J195" s="16" t="n">
        <f aca="false">IF(C195=0,(1+Dic2024!$M$6)^(-B195),EXP(LN(INDEX(Dic2024!$N$6:$N$205,C195))+(LN(INDEX(Dic2024!$N$6:$N$205,MIN(C195+1,200)))-LN(INDEX(Dic2024!$N$6:$N$205,C195)))*(A195-6*C195)/6))</f>
        <v>0.410792132748003</v>
      </c>
      <c r="K195" s="12" t="n">
        <f aca="false">J195^(-1/B195)-1</f>
        <v>0.0574870317285636</v>
      </c>
      <c r="L195" s="12" t="n">
        <f aca="false">(1+K195)^(1/12)-1</f>
        <v>0.0046688124936205</v>
      </c>
    </row>
    <row r="196" customFormat="false" ht="15" hidden="false" customHeight="false" outlineLevel="0" collapsed="false">
      <c r="A196" s="4" t="n">
        <v>192</v>
      </c>
      <c r="B196" s="14" t="n">
        <f aca="false">A196/12</f>
        <v>16</v>
      </c>
      <c r="C196" s="15" t="n">
        <f aca="false">INT(A196/6)</f>
        <v>32</v>
      </c>
      <c r="D196" s="16" t="n">
        <f aca="false">IF(C196=0,(1+Dic2024!$G$6)^(-B196),EXP(LN(INDEX(Dic2024!$H$6:$H$205,C196))+(LN(INDEX(Dic2024!$H$6:$H$205,MIN(C196+1,200)))-LN(INDEX(Dic2024!$H$6:$H$205,C196)))*(A196-6*C196)/6))</f>
        <v>0.40877989066849</v>
      </c>
      <c r="E196" s="12" t="n">
        <f aca="false">D196^(-1/B196)-1</f>
        <v>0.0575037225000001</v>
      </c>
      <c r="F196" s="12" t="n">
        <f aca="false">(1+E196)^(1/12)-1</f>
        <v>0.00467013391063009</v>
      </c>
      <c r="G196" s="16" t="n">
        <f aca="false">IF(C196=0,(1+Dic2024!$J$6)^(-B196),EXP(LN(INDEX(Dic2024!$K$6:$K$205,C196))+(LN(INDEX(Dic2024!$K$6:$K$205,MIN(C196+1,200)))-LN(INDEX(Dic2024!$K$6:$K$205,C196)))*(A196-6*C196)/6))</f>
        <v>0.40877989066849</v>
      </c>
      <c r="H196" s="12" t="n">
        <f aca="false">G196^(-1/B196)-1</f>
        <v>0.0575037225000001</v>
      </c>
      <c r="I196" s="12" t="n">
        <f aca="false">(1+H196)^(1/12)-1</f>
        <v>0.00467013391063009</v>
      </c>
      <c r="J196" s="16" t="n">
        <f aca="false">IF(C196=0,(1+Dic2024!$M$6)^(-B196),EXP(LN(INDEX(Dic2024!$N$6:$N$205,C196))+(LN(INDEX(Dic2024!$N$6:$N$205,MIN(C196+1,200)))-LN(INDEX(Dic2024!$N$6:$N$205,C196)))*(A196-6*C196)/6))</f>
        <v>0.40877989066849</v>
      </c>
      <c r="K196" s="12" t="n">
        <f aca="false">J196^(-1/B196)-1</f>
        <v>0.0575037225000001</v>
      </c>
      <c r="L196" s="12" t="n">
        <f aca="false">(1+K196)^(1/12)-1</f>
        <v>0.00467013391063009</v>
      </c>
    </row>
    <row r="197" customFormat="false" ht="15" hidden="false" customHeight="false" outlineLevel="0" collapsed="false">
      <c r="A197" s="4" t="n">
        <v>193</v>
      </c>
      <c r="B197" s="14" t="n">
        <f aca="false">A197/12</f>
        <v>16.0833333333333</v>
      </c>
      <c r="C197" s="15" t="n">
        <f aca="false">INT(A197/6)</f>
        <v>32</v>
      </c>
      <c r="D197" s="16" t="n">
        <f aca="false">IF(C197=0,(1+Dic2024!$G$6)^(-B197),EXP(LN(INDEX(Dic2024!$H$6:$H$205,C197))+(LN(INDEX(Dic2024!$H$6:$H$205,MIN(C197+1,200)))-LN(INDEX(Dic2024!$H$6:$H$205,C197)))*(A197-6*C197)/6))</f>
        <v>0.406662162235907</v>
      </c>
      <c r="E197" s="12" t="n">
        <f aca="false">D197^(-1/B197)-1</f>
        <v>0.0575388877479868</v>
      </c>
      <c r="F197" s="12" t="n">
        <f aca="false">(1+E197)^(1/12)-1</f>
        <v>0.00467291789893576</v>
      </c>
      <c r="G197" s="16" t="n">
        <f aca="false">IF(C197=0,(1+Dic2024!$J$6)^(-B197),EXP(LN(INDEX(Dic2024!$K$6:$K$205,C197))+(LN(INDEX(Dic2024!$K$6:$K$205,MIN(C197+1,200)))-LN(INDEX(Dic2024!$K$6:$K$205,C197)))*(A197-6*C197)/6))</f>
        <v>0.406662162235907</v>
      </c>
      <c r="H197" s="12" t="n">
        <f aca="false">G197^(-1/B197)-1</f>
        <v>0.0575388877479868</v>
      </c>
      <c r="I197" s="12" t="n">
        <f aca="false">(1+H197)^(1/12)-1</f>
        <v>0.00467291789893576</v>
      </c>
      <c r="J197" s="16" t="n">
        <f aca="false">IF(C197=0,(1+Dic2024!$M$6)^(-B197),EXP(LN(INDEX(Dic2024!$N$6:$N$205,C197))+(LN(INDEX(Dic2024!$N$6:$N$205,MIN(C197+1,200)))-LN(INDEX(Dic2024!$N$6:$N$205,C197)))*(A197-6*C197)/6))</f>
        <v>0.406662162235907</v>
      </c>
      <c r="K197" s="12" t="n">
        <f aca="false">J197^(-1/B197)-1</f>
        <v>0.0575388877479868</v>
      </c>
      <c r="L197" s="12" t="n">
        <f aca="false">(1+K197)^(1/12)-1</f>
        <v>0.00467291789893576</v>
      </c>
    </row>
    <row r="198" customFormat="false" ht="15" hidden="false" customHeight="false" outlineLevel="0" collapsed="false">
      <c r="A198" s="4" t="n">
        <v>194</v>
      </c>
      <c r="B198" s="14" t="n">
        <f aca="false">A198/12</f>
        <v>16.1666666666667</v>
      </c>
      <c r="C198" s="15" t="n">
        <f aca="false">INT(A198/6)</f>
        <v>32</v>
      </c>
      <c r="D198" s="16" t="n">
        <f aca="false">IF(C198=0,(1+Dic2024!$G$6)^(-B198),EXP(LN(INDEX(Dic2024!$H$6:$H$205,C198))+(LN(INDEX(Dic2024!$H$6:$H$205,MIN(C198+1,200)))-LN(INDEX(Dic2024!$H$6:$H$205,C198)))*(A198-6*C198)/6))</f>
        <v>0.404555404924498</v>
      </c>
      <c r="E198" s="12" t="n">
        <f aca="false">D198^(-1/B198)-1</f>
        <v>0.0575736916189753</v>
      </c>
      <c r="F198" s="12" t="n">
        <f aca="false">(1+E198)^(1/12)-1</f>
        <v>0.00467567319392659</v>
      </c>
      <c r="G198" s="16" t="n">
        <f aca="false">IF(C198=0,(1+Dic2024!$J$6)^(-B198),EXP(LN(INDEX(Dic2024!$K$6:$K$205,C198))+(LN(INDEX(Dic2024!$K$6:$K$205,MIN(C198+1,200)))-LN(INDEX(Dic2024!$K$6:$K$205,C198)))*(A198-6*C198)/6))</f>
        <v>0.404555404924498</v>
      </c>
      <c r="H198" s="12" t="n">
        <f aca="false">G198^(-1/B198)-1</f>
        <v>0.0575736916189753</v>
      </c>
      <c r="I198" s="12" t="n">
        <f aca="false">(1+H198)^(1/12)-1</f>
        <v>0.00467567319392659</v>
      </c>
      <c r="J198" s="16" t="n">
        <f aca="false">IF(C198=0,(1+Dic2024!$M$6)^(-B198),EXP(LN(INDEX(Dic2024!$N$6:$N$205,C198))+(LN(INDEX(Dic2024!$N$6:$N$205,MIN(C198+1,200)))-LN(INDEX(Dic2024!$N$6:$N$205,C198)))*(A198-6*C198)/6))</f>
        <v>0.404555404924498</v>
      </c>
      <c r="K198" s="12" t="n">
        <f aca="false">J198^(-1/B198)-1</f>
        <v>0.0575736916189753</v>
      </c>
      <c r="L198" s="12" t="n">
        <f aca="false">(1+K198)^(1/12)-1</f>
        <v>0.00467567319392659</v>
      </c>
    </row>
    <row r="199" customFormat="false" ht="15" hidden="false" customHeight="false" outlineLevel="0" collapsed="false">
      <c r="A199" s="4" t="n">
        <v>195</v>
      </c>
      <c r="B199" s="14" t="n">
        <f aca="false">A199/12</f>
        <v>16.25</v>
      </c>
      <c r="C199" s="15" t="n">
        <f aca="false">INT(A199/6)</f>
        <v>32</v>
      </c>
      <c r="D199" s="16" t="n">
        <f aca="false">IF(C199=0,(1+Dic2024!$G$6)^(-B199),EXP(LN(INDEX(Dic2024!$H$6:$H$205,C199))+(LN(INDEX(Dic2024!$H$6:$H$205,MIN(C199+1,200)))-LN(INDEX(Dic2024!$H$6:$H$205,C199)))*(A199-6*C199)/6))</f>
        <v>0.402459561897184</v>
      </c>
      <c r="E199" s="12" t="n">
        <f aca="false">D199^(-1/B199)-1</f>
        <v>0.0576081396550272</v>
      </c>
      <c r="F199" s="12" t="n">
        <f aca="false">(1+E199)^(1/12)-1</f>
        <v>0.00467840023692223</v>
      </c>
      <c r="G199" s="16" t="n">
        <f aca="false">IF(C199=0,(1+Dic2024!$J$6)^(-B199),EXP(LN(INDEX(Dic2024!$K$6:$K$205,C199))+(LN(INDEX(Dic2024!$K$6:$K$205,MIN(C199+1,200)))-LN(INDEX(Dic2024!$K$6:$K$205,C199)))*(A199-6*C199)/6))</f>
        <v>0.402459561897184</v>
      </c>
      <c r="H199" s="12" t="n">
        <f aca="false">G199^(-1/B199)-1</f>
        <v>0.0576081396550272</v>
      </c>
      <c r="I199" s="12" t="n">
        <f aca="false">(1+H199)^(1/12)-1</f>
        <v>0.00467840023692223</v>
      </c>
      <c r="J199" s="16" t="n">
        <f aca="false">IF(C199=0,(1+Dic2024!$M$6)^(-B199),EXP(LN(INDEX(Dic2024!$N$6:$N$205,C199))+(LN(INDEX(Dic2024!$N$6:$N$205,MIN(C199+1,200)))-LN(INDEX(Dic2024!$N$6:$N$205,C199)))*(A199-6*C199)/6))</f>
        <v>0.402459561897184</v>
      </c>
      <c r="K199" s="12" t="n">
        <f aca="false">J199^(-1/B199)-1</f>
        <v>0.0576081396550272</v>
      </c>
      <c r="L199" s="12" t="n">
        <f aca="false">(1+K199)^(1/12)-1</f>
        <v>0.00467840023692223</v>
      </c>
    </row>
    <row r="200" customFormat="false" ht="15" hidden="false" customHeight="false" outlineLevel="0" collapsed="false">
      <c r="A200" s="4" t="n">
        <v>196</v>
      </c>
      <c r="B200" s="14" t="n">
        <f aca="false">A200/12</f>
        <v>16.3333333333333</v>
      </c>
      <c r="C200" s="15" t="n">
        <f aca="false">INT(A200/6)</f>
        <v>32</v>
      </c>
      <c r="D200" s="16" t="n">
        <f aca="false">IF(C200=0,(1+Dic2024!$G$6)^(-B200),EXP(LN(INDEX(Dic2024!$H$6:$H$205,C200))+(LN(INDEX(Dic2024!$H$6:$H$205,MIN(C200+1,200)))-LN(INDEX(Dic2024!$H$6:$H$205,C200)))*(A200-6*C200)/6))</f>
        <v>0.400374576611336</v>
      </c>
      <c r="E200" s="12" t="n">
        <f aca="false">D200^(-1/B200)-1</f>
        <v>0.0576422372854568</v>
      </c>
      <c r="F200" s="12" t="n">
        <f aca="false">(1+E200)^(1/12)-1</f>
        <v>0.00468109946023776</v>
      </c>
      <c r="G200" s="16" t="n">
        <f aca="false">IF(C200=0,(1+Dic2024!$J$6)^(-B200),EXP(LN(INDEX(Dic2024!$K$6:$K$205,C200))+(LN(INDEX(Dic2024!$K$6:$K$205,MIN(C200+1,200)))-LN(INDEX(Dic2024!$K$6:$K$205,C200)))*(A200-6*C200)/6))</f>
        <v>0.400374576611336</v>
      </c>
      <c r="H200" s="12" t="n">
        <f aca="false">G200^(-1/B200)-1</f>
        <v>0.0576422372854568</v>
      </c>
      <c r="I200" s="12" t="n">
        <f aca="false">(1+H200)^(1/12)-1</f>
        <v>0.00468109946023776</v>
      </c>
      <c r="J200" s="16" t="n">
        <f aca="false">IF(C200=0,(1+Dic2024!$M$6)^(-B200),EXP(LN(INDEX(Dic2024!$N$6:$N$205,C200))+(LN(INDEX(Dic2024!$N$6:$N$205,MIN(C200+1,200)))-LN(INDEX(Dic2024!$N$6:$N$205,C200)))*(A200-6*C200)/6))</f>
        <v>0.400374576611336</v>
      </c>
      <c r="K200" s="12" t="n">
        <f aca="false">J200^(-1/B200)-1</f>
        <v>0.0576422372854568</v>
      </c>
      <c r="L200" s="12" t="n">
        <f aca="false">(1+K200)^(1/12)-1</f>
        <v>0.00468109946023776</v>
      </c>
    </row>
    <row r="201" customFormat="false" ht="15" hidden="false" customHeight="false" outlineLevel="0" collapsed="false">
      <c r="A201" s="4" t="n">
        <v>197</v>
      </c>
      <c r="B201" s="14" t="n">
        <f aca="false">A201/12</f>
        <v>16.4166666666667</v>
      </c>
      <c r="C201" s="15" t="n">
        <f aca="false">INT(A201/6)</f>
        <v>32</v>
      </c>
      <c r="D201" s="16" t="n">
        <f aca="false">IF(C201=0,(1+Dic2024!$G$6)^(-B201),EXP(LN(INDEX(Dic2024!$H$6:$H$205,C201))+(LN(INDEX(Dic2024!$H$6:$H$205,MIN(C201+1,200)))-LN(INDEX(Dic2024!$H$6:$H$205,C201)))*(A201-6*C201)/6))</f>
        <v>0.398300392817249</v>
      </c>
      <c r="E201" s="12" t="n">
        <f aca="false">D201^(-1/B201)-1</f>
        <v>0.0576759898296837</v>
      </c>
      <c r="F201" s="12" t="n">
        <f aca="false">(1+E201)^(1/12)-1</f>
        <v>0.0046837712874126</v>
      </c>
      <c r="G201" s="16" t="n">
        <f aca="false">IF(C201=0,(1+Dic2024!$J$6)^(-B201),EXP(LN(INDEX(Dic2024!$K$6:$K$205,C201))+(LN(INDEX(Dic2024!$K$6:$K$205,MIN(C201+1,200)))-LN(INDEX(Dic2024!$K$6:$K$205,C201)))*(A201-6*C201)/6))</f>
        <v>0.398300392817249</v>
      </c>
      <c r="H201" s="12" t="n">
        <f aca="false">G201^(-1/B201)-1</f>
        <v>0.0576759898296837</v>
      </c>
      <c r="I201" s="12" t="n">
        <f aca="false">(1+H201)^(1/12)-1</f>
        <v>0.0046837712874126</v>
      </c>
      <c r="J201" s="16" t="n">
        <f aca="false">IF(C201=0,(1+Dic2024!$M$6)^(-B201),EXP(LN(INDEX(Dic2024!$N$6:$N$205,C201))+(LN(INDEX(Dic2024!$N$6:$N$205,MIN(C201+1,200)))-LN(INDEX(Dic2024!$N$6:$N$205,C201)))*(A201-6*C201)/6))</f>
        <v>0.398300392817249</v>
      </c>
      <c r="K201" s="12" t="n">
        <f aca="false">J201^(-1/B201)-1</f>
        <v>0.0576759898296837</v>
      </c>
      <c r="L201" s="12" t="n">
        <f aca="false">(1+K201)^(1/12)-1</f>
        <v>0.0046837712874126</v>
      </c>
    </row>
    <row r="202" customFormat="false" ht="15" hidden="false" customHeight="false" outlineLevel="0" collapsed="false">
      <c r="A202" s="4" t="n">
        <v>198</v>
      </c>
      <c r="B202" s="14" t="n">
        <f aca="false">A202/12</f>
        <v>16.5</v>
      </c>
      <c r="C202" s="15" t="n">
        <f aca="false">INT(A202/6)</f>
        <v>33</v>
      </c>
      <c r="D202" s="16" t="n">
        <f aca="false">IF(C202=0,(1+Dic2024!$G$6)^(-B202),EXP(LN(INDEX(Dic2024!$H$6:$H$205,C202))+(LN(INDEX(Dic2024!$H$6:$H$205,MIN(C202+1,200)))-LN(INDEX(Dic2024!$H$6:$H$205,C202)))*(A202-6*C202)/6))</f>
        <v>0.396236954556627</v>
      </c>
      <c r="E202" s="12" t="n">
        <f aca="false">D202^(-1/B202)-1</f>
        <v>0.0577094025000002</v>
      </c>
      <c r="F202" s="12" t="n">
        <f aca="false">(1+E202)^(1/12)-1</f>
        <v>0.00468641613343235</v>
      </c>
      <c r="G202" s="16" t="n">
        <f aca="false">IF(C202=0,(1+Dic2024!$J$6)^(-B202),EXP(LN(INDEX(Dic2024!$K$6:$K$205,C202))+(LN(INDEX(Dic2024!$K$6:$K$205,MIN(C202+1,200)))-LN(INDEX(Dic2024!$K$6:$K$205,C202)))*(A202-6*C202)/6))</f>
        <v>0.396236954556627</v>
      </c>
      <c r="H202" s="12" t="n">
        <f aca="false">G202^(-1/B202)-1</f>
        <v>0.0577094025000002</v>
      </c>
      <c r="I202" s="12" t="n">
        <f aca="false">(1+H202)^(1/12)-1</f>
        <v>0.00468641613343235</v>
      </c>
      <c r="J202" s="16" t="n">
        <f aca="false">IF(C202=0,(1+Dic2024!$M$6)^(-B202),EXP(LN(INDEX(Dic2024!$N$6:$N$205,C202))+(LN(INDEX(Dic2024!$N$6:$N$205,MIN(C202+1,200)))-LN(INDEX(Dic2024!$N$6:$N$205,C202)))*(A202-6*C202)/6))</f>
        <v>0.396236954556627</v>
      </c>
      <c r="K202" s="12" t="n">
        <f aca="false">J202^(-1/B202)-1</f>
        <v>0.0577094025000002</v>
      </c>
      <c r="L202" s="12" t="n">
        <f aca="false">(1+K202)^(1/12)-1</f>
        <v>0.00468641613343235</v>
      </c>
    </row>
    <row r="203" customFormat="false" ht="15" hidden="false" customHeight="false" outlineLevel="0" collapsed="false">
      <c r="A203" s="4" t="n">
        <v>199</v>
      </c>
      <c r="B203" s="14" t="n">
        <f aca="false">A203/12</f>
        <v>16.5833333333333</v>
      </c>
      <c r="C203" s="15" t="n">
        <f aca="false">INT(A203/6)</f>
        <v>33</v>
      </c>
      <c r="D203" s="16" t="n">
        <f aca="false">IF(C203=0,(1+Dic2024!$G$6)^(-B203),EXP(LN(INDEX(Dic2024!$H$6:$H$205,C203))+(LN(INDEX(Dic2024!$H$6:$H$205,MIN(C203+1,200)))-LN(INDEX(Dic2024!$H$6:$H$205,C203)))*(A203-6*C203)/6))</f>
        <v>0.394280050362954</v>
      </c>
      <c r="E203" s="12" t="n">
        <f aca="false">D203^(-1/B203)-1</f>
        <v>0.0577269737263657</v>
      </c>
      <c r="F203" s="12" t="n">
        <f aca="false">(1+E203)^(1/12)-1</f>
        <v>0.00468780698788862</v>
      </c>
      <c r="G203" s="16" t="n">
        <f aca="false">IF(C203=0,(1+Dic2024!$J$6)^(-B203),EXP(LN(INDEX(Dic2024!$K$6:$K$205,C203))+(LN(INDEX(Dic2024!$K$6:$K$205,MIN(C203+1,200)))-LN(INDEX(Dic2024!$K$6:$K$205,C203)))*(A203-6*C203)/6))</f>
        <v>0.394280050362954</v>
      </c>
      <c r="H203" s="12" t="n">
        <f aca="false">G203^(-1/B203)-1</f>
        <v>0.0577269737263657</v>
      </c>
      <c r="I203" s="12" t="n">
        <f aca="false">(1+H203)^(1/12)-1</f>
        <v>0.00468780698788862</v>
      </c>
      <c r="J203" s="16" t="n">
        <f aca="false">IF(C203=0,(1+Dic2024!$M$6)^(-B203),EXP(LN(INDEX(Dic2024!$N$6:$N$205,C203))+(LN(INDEX(Dic2024!$N$6:$N$205,MIN(C203+1,200)))-LN(INDEX(Dic2024!$N$6:$N$205,C203)))*(A203-6*C203)/6))</f>
        <v>0.394280050362954</v>
      </c>
      <c r="K203" s="12" t="n">
        <f aca="false">J203^(-1/B203)-1</f>
        <v>0.0577269737263657</v>
      </c>
      <c r="L203" s="12" t="n">
        <f aca="false">(1+K203)^(1/12)-1</f>
        <v>0.00468780698788862</v>
      </c>
    </row>
    <row r="204" customFormat="false" ht="15" hidden="false" customHeight="false" outlineLevel="0" collapsed="false">
      <c r="A204" s="4" t="n">
        <v>200</v>
      </c>
      <c r="B204" s="14" t="n">
        <f aca="false">A204/12</f>
        <v>16.6666666666667</v>
      </c>
      <c r="C204" s="15" t="n">
        <f aca="false">INT(A204/6)</f>
        <v>33</v>
      </c>
      <c r="D204" s="16" t="n">
        <f aca="false">IF(C204=0,(1+Dic2024!$G$6)^(-B204),EXP(LN(INDEX(Dic2024!$H$6:$H$205,C204))+(LN(INDEX(Dic2024!$H$6:$H$205,MIN(C204+1,200)))-LN(INDEX(Dic2024!$H$6:$H$205,C204)))*(A204-6*C204)/6))</f>
        <v>0.392332810775216</v>
      </c>
      <c r="E204" s="12" t="n">
        <f aca="false">D204^(-1/B204)-1</f>
        <v>0.057744369528006</v>
      </c>
      <c r="F204" s="12" t="n">
        <f aca="false">(1+E204)^(1/12)-1</f>
        <v>0.00468918393569684</v>
      </c>
      <c r="G204" s="16" t="n">
        <f aca="false">IF(C204=0,(1+Dic2024!$J$6)^(-B204),EXP(LN(INDEX(Dic2024!$K$6:$K$205,C204))+(LN(INDEX(Dic2024!$K$6:$K$205,MIN(C204+1,200)))-LN(INDEX(Dic2024!$K$6:$K$205,C204)))*(A204-6*C204)/6))</f>
        <v>0.392332810775216</v>
      </c>
      <c r="H204" s="12" t="n">
        <f aca="false">G204^(-1/B204)-1</f>
        <v>0.057744369528006</v>
      </c>
      <c r="I204" s="12" t="n">
        <f aca="false">(1+H204)^(1/12)-1</f>
        <v>0.00468918393569684</v>
      </c>
      <c r="J204" s="16" t="n">
        <f aca="false">IF(C204=0,(1+Dic2024!$M$6)^(-B204),EXP(LN(INDEX(Dic2024!$N$6:$N$205,C204))+(LN(INDEX(Dic2024!$N$6:$N$205,MIN(C204+1,200)))-LN(INDEX(Dic2024!$N$6:$N$205,C204)))*(A204-6*C204)/6))</f>
        <v>0.392332810775216</v>
      </c>
      <c r="K204" s="12" t="n">
        <f aca="false">J204^(-1/B204)-1</f>
        <v>0.057744369528006</v>
      </c>
      <c r="L204" s="12" t="n">
        <f aca="false">(1+K204)^(1/12)-1</f>
        <v>0.00468918393569684</v>
      </c>
    </row>
    <row r="205" customFormat="false" ht="15" hidden="false" customHeight="false" outlineLevel="0" collapsed="false">
      <c r="A205" s="4" t="n">
        <v>201</v>
      </c>
      <c r="B205" s="14" t="n">
        <f aca="false">A205/12</f>
        <v>16.75</v>
      </c>
      <c r="C205" s="15" t="n">
        <f aca="false">INT(A205/6)</f>
        <v>33</v>
      </c>
      <c r="D205" s="16" t="n">
        <f aca="false">IF(C205=0,(1+Dic2024!$G$6)^(-B205),EXP(LN(INDEX(Dic2024!$H$6:$H$205,C205))+(LN(INDEX(Dic2024!$H$6:$H$205,MIN(C205+1,200)))-LN(INDEX(Dic2024!$H$6:$H$205,C205)))*(A205-6*C205)/6))</f>
        <v>0.390395188062612</v>
      </c>
      <c r="E205" s="12" t="n">
        <f aca="false">D205^(-1/B205)-1</f>
        <v>0.057761592518935</v>
      </c>
      <c r="F205" s="12" t="n">
        <f aca="false">(1+E205)^(1/12)-1</f>
        <v>0.00469054718439099</v>
      </c>
      <c r="G205" s="16" t="n">
        <f aca="false">IF(C205=0,(1+Dic2024!$J$6)^(-B205),EXP(LN(INDEX(Dic2024!$K$6:$K$205,C205))+(LN(INDEX(Dic2024!$K$6:$K$205,MIN(C205+1,200)))-LN(INDEX(Dic2024!$K$6:$K$205,C205)))*(A205-6*C205)/6))</f>
        <v>0.390395188062612</v>
      </c>
      <c r="H205" s="12" t="n">
        <f aca="false">G205^(-1/B205)-1</f>
        <v>0.057761592518935</v>
      </c>
      <c r="I205" s="12" t="n">
        <f aca="false">(1+H205)^(1/12)-1</f>
        <v>0.00469054718439099</v>
      </c>
      <c r="J205" s="16" t="n">
        <f aca="false">IF(C205=0,(1+Dic2024!$M$6)^(-B205),EXP(LN(INDEX(Dic2024!$N$6:$N$205,C205))+(LN(INDEX(Dic2024!$N$6:$N$205,MIN(C205+1,200)))-LN(INDEX(Dic2024!$N$6:$N$205,C205)))*(A205-6*C205)/6))</f>
        <v>0.390395188062612</v>
      </c>
      <c r="K205" s="12" t="n">
        <f aca="false">J205^(-1/B205)-1</f>
        <v>0.057761592518935</v>
      </c>
      <c r="L205" s="12" t="n">
        <f aca="false">(1+K205)^(1/12)-1</f>
        <v>0.00469054718439099</v>
      </c>
    </row>
    <row r="206" customFormat="false" ht="15" hidden="false" customHeight="false" outlineLevel="0" collapsed="false">
      <c r="A206" s="4" t="n">
        <v>202</v>
      </c>
      <c r="B206" s="14" t="n">
        <f aca="false">A206/12</f>
        <v>16.8333333333333</v>
      </c>
      <c r="C206" s="15" t="n">
        <f aca="false">INT(A206/6)</f>
        <v>33</v>
      </c>
      <c r="D206" s="16" t="n">
        <f aca="false">IF(C206=0,(1+Dic2024!$G$6)^(-B206),EXP(LN(INDEX(Dic2024!$H$6:$H$205,C206))+(LN(INDEX(Dic2024!$H$6:$H$205,MIN(C206+1,200)))-LN(INDEX(Dic2024!$H$6:$H$205,C206)))*(A206-6*C206)/6))</f>
        <v>0.388467134730069</v>
      </c>
      <c r="E206" s="12" t="n">
        <f aca="false">D206^(-1/B206)-1</f>
        <v>0.0577786452614879</v>
      </c>
      <c r="F206" s="12" t="n">
        <f aca="false">(1+E206)^(1/12)-1</f>
        <v>0.00469189693739569</v>
      </c>
      <c r="G206" s="16" t="n">
        <f aca="false">IF(C206=0,(1+Dic2024!$J$6)^(-B206),EXP(LN(INDEX(Dic2024!$K$6:$K$205,C206))+(LN(INDEX(Dic2024!$K$6:$K$205,MIN(C206+1,200)))-LN(INDEX(Dic2024!$K$6:$K$205,C206)))*(A206-6*C206)/6))</f>
        <v>0.388467134730069</v>
      </c>
      <c r="H206" s="12" t="n">
        <f aca="false">G206^(-1/B206)-1</f>
        <v>0.0577786452614879</v>
      </c>
      <c r="I206" s="12" t="n">
        <f aca="false">(1+H206)^(1/12)-1</f>
        <v>0.00469189693739569</v>
      </c>
      <c r="J206" s="16" t="n">
        <f aca="false">IF(C206=0,(1+Dic2024!$M$6)^(-B206),EXP(LN(INDEX(Dic2024!$N$6:$N$205,C206))+(LN(INDEX(Dic2024!$N$6:$N$205,MIN(C206+1,200)))-LN(INDEX(Dic2024!$N$6:$N$205,C206)))*(A206-6*C206)/6))</f>
        <v>0.388467134730069</v>
      </c>
      <c r="K206" s="12" t="n">
        <f aca="false">J206^(-1/B206)-1</f>
        <v>0.0577786452614879</v>
      </c>
      <c r="L206" s="12" t="n">
        <f aca="false">(1+K206)^(1/12)-1</f>
        <v>0.00469189693739569</v>
      </c>
    </row>
    <row r="207" customFormat="false" ht="15" hidden="false" customHeight="false" outlineLevel="0" collapsed="false">
      <c r="A207" s="4" t="n">
        <v>203</v>
      </c>
      <c r="B207" s="14" t="n">
        <f aca="false">A207/12</f>
        <v>16.9166666666667</v>
      </c>
      <c r="C207" s="15" t="n">
        <f aca="false">INT(A207/6)</f>
        <v>33</v>
      </c>
      <c r="D207" s="16" t="n">
        <f aca="false">IF(C207=0,(1+Dic2024!$G$6)^(-B207),EXP(LN(INDEX(Dic2024!$H$6:$H$205,C207))+(LN(INDEX(Dic2024!$H$6:$H$205,MIN(C207+1,200)))-LN(INDEX(Dic2024!$H$6:$H$205,C207)))*(A207-6*C207)/6))</f>
        <v>0.386548603517077</v>
      </c>
      <c r="E207" s="12" t="n">
        <f aca="false">D207^(-1/B207)-1</f>
        <v>0.0577955302675919</v>
      </c>
      <c r="F207" s="12" t="n">
        <f aca="false">(1+E207)^(1/12)-1</f>
        <v>0.00469323339412786</v>
      </c>
      <c r="G207" s="16" t="n">
        <f aca="false">IF(C207=0,(1+Dic2024!$J$6)^(-B207),EXP(LN(INDEX(Dic2024!$K$6:$K$205,C207))+(LN(INDEX(Dic2024!$K$6:$K$205,MIN(C207+1,200)))-LN(INDEX(Dic2024!$K$6:$K$205,C207)))*(A207-6*C207)/6))</f>
        <v>0.386548603517077</v>
      </c>
      <c r="H207" s="12" t="n">
        <f aca="false">G207^(-1/B207)-1</f>
        <v>0.0577955302675919</v>
      </c>
      <c r="I207" s="12" t="n">
        <f aca="false">(1+H207)^(1/12)-1</f>
        <v>0.00469323339412786</v>
      </c>
      <c r="J207" s="16" t="n">
        <f aca="false">IF(C207=0,(1+Dic2024!$M$6)^(-B207),EXP(LN(INDEX(Dic2024!$N$6:$N$205,C207))+(LN(INDEX(Dic2024!$N$6:$N$205,MIN(C207+1,200)))-LN(INDEX(Dic2024!$N$6:$N$205,C207)))*(A207-6*C207)/6))</f>
        <v>0.386548603517077</v>
      </c>
      <c r="K207" s="12" t="n">
        <f aca="false">J207^(-1/B207)-1</f>
        <v>0.0577955302675919</v>
      </c>
      <c r="L207" s="12" t="n">
        <f aca="false">(1+K207)^(1/12)-1</f>
        <v>0.00469323339412786</v>
      </c>
    </row>
    <row r="208" customFormat="false" ht="15" hidden="false" customHeight="false" outlineLevel="0" collapsed="false">
      <c r="A208" s="4" t="n">
        <v>204</v>
      </c>
      <c r="B208" s="14" t="n">
        <f aca="false">A208/12</f>
        <v>17</v>
      </c>
      <c r="C208" s="15" t="n">
        <f aca="false">INT(A208/6)</f>
        <v>34</v>
      </c>
      <c r="D208" s="16" t="n">
        <f aca="false">IF(C208=0,(1+Dic2024!$G$6)^(-B208),EXP(LN(INDEX(Dic2024!$H$6:$H$205,C208))+(LN(INDEX(Dic2024!$H$6:$H$205,MIN(C208+1,200)))-LN(INDEX(Dic2024!$H$6:$H$205,C208)))*(A208-6*C208)/6))</f>
        <v>0.384639547396534</v>
      </c>
      <c r="E208" s="12" t="n">
        <f aca="false">D208^(-1/B208)-1</f>
        <v>0.05781225</v>
      </c>
      <c r="F208" s="12" t="n">
        <f aca="false">(1+E208)^(1/12)-1</f>
        <v>0.00469455675009489</v>
      </c>
      <c r="G208" s="16" t="n">
        <f aca="false">IF(C208=0,(1+Dic2024!$J$6)^(-B208),EXP(LN(INDEX(Dic2024!$K$6:$K$205,C208))+(LN(INDEX(Dic2024!$K$6:$K$205,MIN(C208+1,200)))-LN(INDEX(Dic2024!$K$6:$K$205,C208)))*(A208-6*C208)/6))</f>
        <v>0.384639547396534</v>
      </c>
      <c r="H208" s="12" t="n">
        <f aca="false">G208^(-1/B208)-1</f>
        <v>0.05781225</v>
      </c>
      <c r="I208" s="12" t="n">
        <f aca="false">(1+H208)^(1/12)-1</f>
        <v>0.00469455675009489</v>
      </c>
      <c r="J208" s="16" t="n">
        <f aca="false">IF(C208=0,(1+Dic2024!$M$6)^(-B208),EXP(LN(INDEX(Dic2024!$N$6:$N$205,C208))+(LN(INDEX(Dic2024!$N$6:$N$205,MIN(C208+1,200)))-LN(INDEX(Dic2024!$N$6:$N$205,C208)))*(A208-6*C208)/6))</f>
        <v>0.384639547396534</v>
      </c>
      <c r="K208" s="12" t="n">
        <f aca="false">J208^(-1/B208)-1</f>
        <v>0.05781225</v>
      </c>
      <c r="L208" s="12" t="n">
        <f aca="false">(1+K208)^(1/12)-1</f>
        <v>0.00469455675009489</v>
      </c>
    </row>
    <row r="209" customFormat="false" ht="15" hidden="false" customHeight="false" outlineLevel="0" collapsed="false">
      <c r="A209" s="4" t="n">
        <v>205</v>
      </c>
      <c r="B209" s="14" t="n">
        <f aca="false">A209/12</f>
        <v>17.0833333333333</v>
      </c>
      <c r="C209" s="15" t="n">
        <f aca="false">INT(A209/6)</f>
        <v>34</v>
      </c>
      <c r="D209" s="16" t="n">
        <f aca="false">IF(C209=0,(1+Dic2024!$G$6)^(-B209),EXP(LN(INDEX(Dic2024!$H$6:$H$205,C209))+(LN(INDEX(Dic2024!$H$6:$H$205,MIN(C209+1,200)))-LN(INDEX(Dic2024!$H$6:$H$205,C209)))*(A209-6*C209)/6))</f>
        <v>0.382625208460336</v>
      </c>
      <c r="E209" s="12" t="n">
        <f aca="false">D209^(-1/B209)-1</f>
        <v>0.0578473683879248</v>
      </c>
      <c r="F209" s="12" t="n">
        <f aca="false">(1+E209)^(1/12)-1</f>
        <v>0.00469733628527247</v>
      </c>
      <c r="G209" s="16" t="n">
        <f aca="false">IF(C209=0,(1+Dic2024!$J$6)^(-B209),EXP(LN(INDEX(Dic2024!$K$6:$K$205,C209))+(LN(INDEX(Dic2024!$K$6:$K$205,MIN(C209+1,200)))-LN(INDEX(Dic2024!$K$6:$K$205,C209)))*(A209-6*C209)/6))</f>
        <v>0.382625208460336</v>
      </c>
      <c r="H209" s="12" t="n">
        <f aca="false">G209^(-1/B209)-1</f>
        <v>0.0578473683879248</v>
      </c>
      <c r="I209" s="12" t="n">
        <f aca="false">(1+H209)^(1/12)-1</f>
        <v>0.00469733628527247</v>
      </c>
      <c r="J209" s="16" t="n">
        <f aca="false">IF(C209=0,(1+Dic2024!$M$6)^(-B209),EXP(LN(INDEX(Dic2024!$N$6:$N$205,C209))+(LN(INDEX(Dic2024!$N$6:$N$205,MIN(C209+1,200)))-LN(INDEX(Dic2024!$N$6:$N$205,C209)))*(A209-6*C209)/6))</f>
        <v>0.382625208460336</v>
      </c>
      <c r="K209" s="12" t="n">
        <f aca="false">J209^(-1/B209)-1</f>
        <v>0.0578473683879248</v>
      </c>
      <c r="L209" s="12" t="n">
        <f aca="false">(1+K209)^(1/12)-1</f>
        <v>0.00469733628527247</v>
      </c>
    </row>
    <row r="210" customFormat="false" ht="15" hidden="false" customHeight="false" outlineLevel="0" collapsed="false">
      <c r="A210" s="4" t="n">
        <v>206</v>
      </c>
      <c r="B210" s="14" t="n">
        <f aca="false">A210/12</f>
        <v>17.1666666666667</v>
      </c>
      <c r="C210" s="15" t="n">
        <f aca="false">INT(A210/6)</f>
        <v>34</v>
      </c>
      <c r="D210" s="16" t="n">
        <f aca="false">IF(C210=0,(1+Dic2024!$G$6)^(-B210),EXP(LN(INDEX(Dic2024!$H$6:$H$205,C210))+(LN(INDEX(Dic2024!$H$6:$H$205,MIN(C210+1,200)))-LN(INDEX(Dic2024!$H$6:$H$205,C210)))*(A210-6*C210)/6))</f>
        <v>0.380621418520924</v>
      </c>
      <c r="E210" s="12" t="n">
        <f aca="false">D210^(-1/B210)-1</f>
        <v>0.0578821469696007</v>
      </c>
      <c r="F210" s="12" t="n">
        <f aca="false">(1+E210)^(1/12)-1</f>
        <v>0.00470008884224993</v>
      </c>
      <c r="G210" s="16" t="n">
        <f aca="false">IF(C210=0,(1+Dic2024!$J$6)^(-B210),EXP(LN(INDEX(Dic2024!$K$6:$K$205,C210))+(LN(INDEX(Dic2024!$K$6:$K$205,MIN(C210+1,200)))-LN(INDEX(Dic2024!$K$6:$K$205,C210)))*(A210-6*C210)/6))</f>
        <v>0.380621418520924</v>
      </c>
      <c r="H210" s="12" t="n">
        <f aca="false">G210^(-1/B210)-1</f>
        <v>0.0578821469696007</v>
      </c>
      <c r="I210" s="12" t="n">
        <f aca="false">(1+H210)^(1/12)-1</f>
        <v>0.00470008884224993</v>
      </c>
      <c r="J210" s="16" t="n">
        <f aca="false">IF(C210=0,(1+Dic2024!$M$6)^(-B210),EXP(LN(INDEX(Dic2024!$N$6:$N$205,C210))+(LN(INDEX(Dic2024!$N$6:$N$205,MIN(C210+1,200)))-LN(INDEX(Dic2024!$N$6:$N$205,C210)))*(A210-6*C210)/6))</f>
        <v>0.380621418520924</v>
      </c>
      <c r="K210" s="12" t="n">
        <f aca="false">J210^(-1/B210)-1</f>
        <v>0.0578821469696007</v>
      </c>
      <c r="L210" s="12" t="n">
        <f aca="false">(1+K210)^(1/12)-1</f>
        <v>0.00470008884224993</v>
      </c>
    </row>
    <row r="211" customFormat="false" ht="15" hidden="false" customHeight="false" outlineLevel="0" collapsed="false">
      <c r="A211" s="4" t="n">
        <v>207</v>
      </c>
      <c r="B211" s="14" t="n">
        <f aca="false">A211/12</f>
        <v>17.25</v>
      </c>
      <c r="C211" s="15" t="n">
        <f aca="false">INT(A211/6)</f>
        <v>34</v>
      </c>
      <c r="D211" s="16" t="n">
        <f aca="false">IF(C211=0,(1+Dic2024!$G$6)^(-B211),EXP(LN(INDEX(Dic2024!$H$6:$H$205,C211))+(LN(INDEX(Dic2024!$H$6:$H$205,MIN(C211+1,200)))-LN(INDEX(Dic2024!$H$6:$H$205,C211)))*(A211-6*C211)/6))</f>
        <v>0.378628122333708</v>
      </c>
      <c r="E211" s="12" t="n">
        <f aca="false">D211^(-1/B211)-1</f>
        <v>0.0579165906532217</v>
      </c>
      <c r="F211" s="12" t="n">
        <f aca="false">(1+E211)^(1/12)-1</f>
        <v>0.00470281481190593</v>
      </c>
      <c r="G211" s="16" t="n">
        <f aca="false">IF(C211=0,(1+Dic2024!$J$6)^(-B211),EXP(LN(INDEX(Dic2024!$K$6:$K$205,C211))+(LN(INDEX(Dic2024!$K$6:$K$205,MIN(C211+1,200)))-LN(INDEX(Dic2024!$K$6:$K$205,C211)))*(A211-6*C211)/6))</f>
        <v>0.378628122333708</v>
      </c>
      <c r="H211" s="12" t="n">
        <f aca="false">G211^(-1/B211)-1</f>
        <v>0.0579165906532217</v>
      </c>
      <c r="I211" s="12" t="n">
        <f aca="false">(1+H211)^(1/12)-1</f>
        <v>0.00470281481190593</v>
      </c>
      <c r="J211" s="16" t="n">
        <f aca="false">IF(C211=0,(1+Dic2024!$M$6)^(-B211),EXP(LN(INDEX(Dic2024!$N$6:$N$205,C211))+(LN(INDEX(Dic2024!$N$6:$N$205,MIN(C211+1,200)))-LN(INDEX(Dic2024!$N$6:$N$205,C211)))*(A211-6*C211)/6))</f>
        <v>0.378628122333708</v>
      </c>
      <c r="K211" s="12" t="n">
        <f aca="false">J211^(-1/B211)-1</f>
        <v>0.0579165906532217</v>
      </c>
      <c r="L211" s="12" t="n">
        <f aca="false">(1+K211)^(1/12)-1</f>
        <v>0.00470281481190593</v>
      </c>
    </row>
    <row r="212" customFormat="false" ht="15" hidden="false" customHeight="false" outlineLevel="0" collapsed="false">
      <c r="A212" s="4" t="n">
        <v>208</v>
      </c>
      <c r="B212" s="14" t="n">
        <f aca="false">A212/12</f>
        <v>17.3333333333333</v>
      </c>
      <c r="C212" s="15" t="n">
        <f aca="false">INT(A212/6)</f>
        <v>34</v>
      </c>
      <c r="D212" s="16" t="n">
        <f aca="false">IF(C212=0,(1+Dic2024!$G$6)^(-B212),EXP(LN(INDEX(Dic2024!$H$6:$H$205,C212))+(LN(INDEX(Dic2024!$H$6:$H$205,MIN(C212+1,200)))-LN(INDEX(Dic2024!$H$6:$H$205,C212)))*(A212-6*C212)/6))</f>
        <v>0.376645264943409</v>
      </c>
      <c r="E212" s="12" t="n">
        <f aca="false">D212^(-1/B212)-1</f>
        <v>0.0579507042529093</v>
      </c>
      <c r="F212" s="12" t="n">
        <f aca="false">(1+E212)^(1/12)-1</f>
        <v>0.00470551457760515</v>
      </c>
      <c r="G212" s="16" t="n">
        <f aca="false">IF(C212=0,(1+Dic2024!$J$6)^(-B212),EXP(LN(INDEX(Dic2024!$K$6:$K$205,C212))+(LN(INDEX(Dic2024!$K$6:$K$205,MIN(C212+1,200)))-LN(INDEX(Dic2024!$K$6:$K$205,C212)))*(A212-6*C212)/6))</f>
        <v>0.376645264943409</v>
      </c>
      <c r="H212" s="12" t="n">
        <f aca="false">G212^(-1/B212)-1</f>
        <v>0.0579507042529093</v>
      </c>
      <c r="I212" s="12" t="n">
        <f aca="false">(1+H212)^(1/12)-1</f>
        <v>0.00470551457760515</v>
      </c>
      <c r="J212" s="16" t="n">
        <f aca="false">IF(C212=0,(1+Dic2024!$M$6)^(-B212),EXP(LN(INDEX(Dic2024!$N$6:$N$205,C212))+(LN(INDEX(Dic2024!$N$6:$N$205,MIN(C212+1,200)))-LN(INDEX(Dic2024!$N$6:$N$205,C212)))*(A212-6*C212)/6))</f>
        <v>0.376645264943409</v>
      </c>
      <c r="K212" s="12" t="n">
        <f aca="false">J212^(-1/B212)-1</f>
        <v>0.0579507042529093</v>
      </c>
      <c r="L212" s="12" t="n">
        <f aca="false">(1+K212)^(1/12)-1</f>
        <v>0.00470551457760515</v>
      </c>
    </row>
    <row r="213" customFormat="false" ht="15" hidden="false" customHeight="false" outlineLevel="0" collapsed="false">
      <c r="A213" s="4" t="n">
        <v>209</v>
      </c>
      <c r="B213" s="14" t="n">
        <f aca="false">A213/12</f>
        <v>17.4166666666667</v>
      </c>
      <c r="C213" s="15" t="n">
        <f aca="false">INT(A213/6)</f>
        <v>34</v>
      </c>
      <c r="D213" s="16" t="n">
        <f aca="false">IF(C213=0,(1+Dic2024!$G$6)^(-B213),EXP(LN(INDEX(Dic2024!$H$6:$H$205,C213))+(LN(INDEX(Dic2024!$H$6:$H$205,MIN(C213+1,200)))-LN(INDEX(Dic2024!$H$6:$H$205,C213)))*(A213-6*C213)/6))</f>
        <v>0.374672791682545</v>
      </c>
      <c r="E213" s="12" t="n">
        <f aca="false">D213^(-1/B213)-1</f>
        <v>0.0579844924909547</v>
      </c>
      <c r="F213" s="12" t="n">
        <f aca="false">(1+E213)^(1/12)-1</f>
        <v>0.0047081885153768</v>
      </c>
      <c r="G213" s="16" t="n">
        <f aca="false">IF(C213=0,(1+Dic2024!$J$6)^(-B213),EXP(LN(INDEX(Dic2024!$K$6:$K$205,C213))+(LN(INDEX(Dic2024!$K$6:$K$205,MIN(C213+1,200)))-LN(INDEX(Dic2024!$K$6:$K$205,C213)))*(A213-6*C213)/6))</f>
        <v>0.374672791682545</v>
      </c>
      <c r="H213" s="12" t="n">
        <f aca="false">G213^(-1/B213)-1</f>
        <v>0.0579844924909547</v>
      </c>
      <c r="I213" s="12" t="n">
        <f aca="false">(1+H213)^(1/12)-1</f>
        <v>0.0047081885153768</v>
      </c>
      <c r="J213" s="16" t="n">
        <f aca="false">IF(C213=0,(1+Dic2024!$M$6)^(-B213),EXP(LN(INDEX(Dic2024!$N$6:$N$205,C213))+(LN(INDEX(Dic2024!$N$6:$N$205,MIN(C213+1,200)))-LN(INDEX(Dic2024!$N$6:$N$205,C213)))*(A213-6*C213)/6))</f>
        <v>0.374672791682545</v>
      </c>
      <c r="K213" s="12" t="n">
        <f aca="false">J213^(-1/B213)-1</f>
        <v>0.0579844924909547</v>
      </c>
      <c r="L213" s="12" t="n">
        <f aca="false">(1+K213)^(1/12)-1</f>
        <v>0.0047081885153768</v>
      </c>
    </row>
    <row r="214" customFormat="false" ht="15" hidden="false" customHeight="false" outlineLevel="0" collapsed="false">
      <c r="A214" s="4" t="n">
        <v>210</v>
      </c>
      <c r="B214" s="14" t="n">
        <f aca="false">A214/12</f>
        <v>17.5</v>
      </c>
      <c r="C214" s="15" t="n">
        <f aca="false">INT(A214/6)</f>
        <v>35</v>
      </c>
      <c r="D214" s="16" t="n">
        <f aca="false">IF(C214=0,(1+Dic2024!$G$6)^(-B214),EXP(LN(INDEX(Dic2024!$H$6:$H$205,C214))+(LN(INDEX(Dic2024!$H$6:$H$205,MIN(C214+1,200)))-LN(INDEX(Dic2024!$H$6:$H$205,C214)))*(A214-6*C214)/6))</f>
        <v>0.372710648169927</v>
      </c>
      <c r="E214" s="12" t="n">
        <f aca="false">D214^(-1/B214)-1</f>
        <v>0.0580179599999999</v>
      </c>
      <c r="F214" s="12" t="n">
        <f aca="false">(1+E214)^(1/12)-1</f>
        <v>0.00471083699408958</v>
      </c>
      <c r="G214" s="16" t="n">
        <f aca="false">IF(C214=0,(1+Dic2024!$J$6)^(-B214),EXP(LN(INDEX(Dic2024!$K$6:$K$205,C214))+(LN(INDEX(Dic2024!$K$6:$K$205,MIN(C214+1,200)))-LN(INDEX(Dic2024!$K$6:$K$205,C214)))*(A214-6*C214)/6))</f>
        <v>0.372710648169927</v>
      </c>
      <c r="H214" s="12" t="n">
        <f aca="false">G214^(-1/B214)-1</f>
        <v>0.0580179599999999</v>
      </c>
      <c r="I214" s="12" t="n">
        <f aca="false">(1+H214)^(1/12)-1</f>
        <v>0.00471083699408958</v>
      </c>
      <c r="J214" s="16" t="n">
        <f aca="false">IF(C214=0,(1+Dic2024!$M$6)^(-B214),EXP(LN(INDEX(Dic2024!$N$6:$N$205,C214))+(LN(INDEX(Dic2024!$N$6:$N$205,MIN(C214+1,200)))-LN(INDEX(Dic2024!$N$6:$N$205,C214)))*(A214-6*C214)/6))</f>
        <v>0.372710648169927</v>
      </c>
      <c r="K214" s="12" t="n">
        <f aca="false">J214^(-1/B214)-1</f>
        <v>0.0580179599999999</v>
      </c>
      <c r="L214" s="12" t="n">
        <f aca="false">(1+K214)^(1/12)-1</f>
        <v>0.00471083699408958</v>
      </c>
    </row>
    <row r="215" customFormat="false" ht="15" hidden="false" customHeight="false" outlineLevel="0" collapsed="false">
      <c r="A215" s="4" t="n">
        <v>211</v>
      </c>
      <c r="B215" s="14" t="n">
        <f aca="false">A215/12</f>
        <v>17.5833333333333</v>
      </c>
      <c r="C215" s="15" t="n">
        <f aca="false">INT(A215/6)</f>
        <v>35</v>
      </c>
      <c r="D215" s="16" t="n">
        <f aca="false">IF(C215=0,(1+Dic2024!$G$6)^(-B215),EXP(LN(INDEX(Dic2024!$H$6:$H$205,C215))+(LN(INDEX(Dic2024!$H$6:$H$205,MIN(C215+1,200)))-LN(INDEX(Dic2024!$H$6:$H$205,C215)))*(A215-6*C215)/6))</f>
        <v>0.370854925307438</v>
      </c>
      <c r="E215" s="12" t="n">
        <f aca="false">D215^(-1/B215)-1</f>
        <v>0.0580355092924763</v>
      </c>
      <c r="F215" s="12" t="n">
        <f aca="false">(1+E215)^(1/12)-1</f>
        <v>0.0047122257410166</v>
      </c>
      <c r="G215" s="16" t="n">
        <f aca="false">IF(C215=0,(1+Dic2024!$J$6)^(-B215),EXP(LN(INDEX(Dic2024!$K$6:$K$205,C215))+(LN(INDEX(Dic2024!$K$6:$K$205,MIN(C215+1,200)))-LN(INDEX(Dic2024!$K$6:$K$205,C215)))*(A215-6*C215)/6))</f>
        <v>0.370854925307438</v>
      </c>
      <c r="H215" s="12" t="n">
        <f aca="false">G215^(-1/B215)-1</f>
        <v>0.0580355092924763</v>
      </c>
      <c r="I215" s="12" t="n">
        <f aca="false">(1+H215)^(1/12)-1</f>
        <v>0.0047122257410166</v>
      </c>
      <c r="J215" s="16" t="n">
        <f aca="false">IF(C215=0,(1+Dic2024!$M$6)^(-B215),EXP(LN(INDEX(Dic2024!$N$6:$N$205,C215))+(LN(INDEX(Dic2024!$N$6:$N$205,MIN(C215+1,200)))-LN(INDEX(Dic2024!$N$6:$N$205,C215)))*(A215-6*C215)/6))</f>
        <v>0.370854925307438</v>
      </c>
      <c r="K215" s="12" t="n">
        <f aca="false">J215^(-1/B215)-1</f>
        <v>0.0580355092924763</v>
      </c>
      <c r="L215" s="12" t="n">
        <f aca="false">(1+K215)^(1/12)-1</f>
        <v>0.0047122257410166</v>
      </c>
    </row>
    <row r="216" customFormat="false" ht="15" hidden="false" customHeight="false" outlineLevel="0" collapsed="false">
      <c r="A216" s="4" t="n">
        <v>212</v>
      </c>
      <c r="B216" s="14" t="n">
        <f aca="false">A216/12</f>
        <v>17.6666666666667</v>
      </c>
      <c r="C216" s="15" t="n">
        <f aca="false">INT(A216/6)</f>
        <v>35</v>
      </c>
      <c r="D216" s="16" t="n">
        <f aca="false">IF(C216=0,(1+Dic2024!$G$6)^(-B216),EXP(LN(INDEX(Dic2024!$H$6:$H$205,C216))+(LN(INDEX(Dic2024!$H$6:$H$205,MIN(C216+1,200)))-LN(INDEX(Dic2024!$H$6:$H$205,C216)))*(A216-6*C216)/6))</f>
        <v>0.36900844207188</v>
      </c>
      <c r="E216" s="12" t="n">
        <f aca="false">D216^(-1/B216)-1</f>
        <v>0.0580528933125726</v>
      </c>
      <c r="F216" s="12" t="n">
        <f aca="false">(1+E216)^(1/12)-1</f>
        <v>0.00471360138845012</v>
      </c>
      <c r="G216" s="16" t="n">
        <f aca="false">IF(C216=0,(1+Dic2024!$J$6)^(-B216),EXP(LN(INDEX(Dic2024!$K$6:$K$205,C216))+(LN(INDEX(Dic2024!$K$6:$K$205,MIN(C216+1,200)))-LN(INDEX(Dic2024!$K$6:$K$205,C216)))*(A216-6*C216)/6))</f>
        <v>0.36900844207188</v>
      </c>
      <c r="H216" s="12" t="n">
        <f aca="false">G216^(-1/B216)-1</f>
        <v>0.0580528933125726</v>
      </c>
      <c r="I216" s="12" t="n">
        <f aca="false">(1+H216)^(1/12)-1</f>
        <v>0.00471360138845012</v>
      </c>
      <c r="J216" s="16" t="n">
        <f aca="false">IF(C216=0,(1+Dic2024!$M$6)^(-B216),EXP(LN(INDEX(Dic2024!$N$6:$N$205,C216))+(LN(INDEX(Dic2024!$N$6:$N$205,MIN(C216+1,200)))-LN(INDEX(Dic2024!$N$6:$N$205,C216)))*(A216-6*C216)/6))</f>
        <v>0.36900844207188</v>
      </c>
      <c r="K216" s="12" t="n">
        <f aca="false">J216^(-1/B216)-1</f>
        <v>0.0580528933125726</v>
      </c>
      <c r="L216" s="12" t="n">
        <f aca="false">(1+K216)^(1/12)-1</f>
        <v>0.00471360138845012</v>
      </c>
    </row>
    <row r="217" customFormat="false" ht="15" hidden="false" customHeight="false" outlineLevel="0" collapsed="false">
      <c r="A217" s="4" t="n">
        <v>213</v>
      </c>
      <c r="B217" s="14" t="n">
        <f aca="false">A217/12</f>
        <v>17.75</v>
      </c>
      <c r="C217" s="15" t="n">
        <f aca="false">INT(A217/6)</f>
        <v>35</v>
      </c>
      <c r="D217" s="16" t="n">
        <f aca="false">IF(C217=0,(1+Dic2024!$G$6)^(-B217),EXP(LN(INDEX(Dic2024!$H$6:$H$205,C217))+(LN(INDEX(Dic2024!$H$6:$H$205,MIN(C217+1,200)))-LN(INDEX(Dic2024!$H$6:$H$205,C217)))*(A217-6*C217)/6))</f>
        <v>0.367171152459236</v>
      </c>
      <c r="E217" s="12" t="n">
        <f aca="false">D217^(-1/B217)-1</f>
        <v>0.0580701143840505</v>
      </c>
      <c r="F217" s="12" t="n">
        <f aca="false">(1+E217)^(1/12)-1</f>
        <v>0.00471496412086347</v>
      </c>
      <c r="G217" s="16" t="n">
        <f aca="false">IF(C217=0,(1+Dic2024!$J$6)^(-B217),EXP(LN(INDEX(Dic2024!$K$6:$K$205,C217))+(LN(INDEX(Dic2024!$K$6:$K$205,MIN(C217+1,200)))-LN(INDEX(Dic2024!$K$6:$K$205,C217)))*(A217-6*C217)/6))</f>
        <v>0.367171152459236</v>
      </c>
      <c r="H217" s="12" t="n">
        <f aca="false">G217^(-1/B217)-1</f>
        <v>0.0580701143840505</v>
      </c>
      <c r="I217" s="12" t="n">
        <f aca="false">(1+H217)^(1/12)-1</f>
        <v>0.00471496412086347</v>
      </c>
      <c r="J217" s="16" t="n">
        <f aca="false">IF(C217=0,(1+Dic2024!$M$6)^(-B217),EXP(LN(INDEX(Dic2024!$N$6:$N$205,C217))+(LN(INDEX(Dic2024!$N$6:$N$205,MIN(C217+1,200)))-LN(INDEX(Dic2024!$N$6:$N$205,C217)))*(A217-6*C217)/6))</f>
        <v>0.367171152459236</v>
      </c>
      <c r="K217" s="12" t="n">
        <f aca="false">J217^(-1/B217)-1</f>
        <v>0.0580701143840505</v>
      </c>
      <c r="L217" s="12" t="n">
        <f aca="false">(1+K217)^(1/12)-1</f>
        <v>0.00471496412086347</v>
      </c>
    </row>
    <row r="218" customFormat="false" ht="15" hidden="false" customHeight="false" outlineLevel="0" collapsed="false">
      <c r="A218" s="4" t="n">
        <v>214</v>
      </c>
      <c r="B218" s="14" t="n">
        <f aca="false">A218/12</f>
        <v>17.8333333333333</v>
      </c>
      <c r="C218" s="15" t="n">
        <f aca="false">INT(A218/6)</f>
        <v>35</v>
      </c>
      <c r="D218" s="16" t="n">
        <f aca="false">IF(C218=0,(1+Dic2024!$G$6)^(-B218),EXP(LN(INDEX(Dic2024!$H$6:$H$205,C218))+(LN(INDEX(Dic2024!$H$6:$H$205,MIN(C218+1,200)))-LN(INDEX(Dic2024!$H$6:$H$205,C218)))*(A218-6*C218)/6))</f>
        <v>0.365343010694544</v>
      </c>
      <c r="E218" s="12" t="n">
        <f aca="false">D218^(-1/B218)-1</f>
        <v>0.0580871747873115</v>
      </c>
      <c r="F218" s="12" t="n">
        <f aca="false">(1+E218)^(1/12)-1</f>
        <v>0.00471631411928231</v>
      </c>
      <c r="G218" s="16" t="n">
        <f aca="false">IF(C218=0,(1+Dic2024!$J$6)^(-B218),EXP(LN(INDEX(Dic2024!$K$6:$K$205,C218))+(LN(INDEX(Dic2024!$K$6:$K$205,MIN(C218+1,200)))-LN(INDEX(Dic2024!$K$6:$K$205,C218)))*(A218-6*C218)/6))</f>
        <v>0.365343010694544</v>
      </c>
      <c r="H218" s="12" t="n">
        <f aca="false">G218^(-1/B218)-1</f>
        <v>0.0580871747873115</v>
      </c>
      <c r="I218" s="12" t="n">
        <f aca="false">(1+H218)^(1/12)-1</f>
        <v>0.00471631411928231</v>
      </c>
      <c r="J218" s="16" t="n">
        <f aca="false">IF(C218=0,(1+Dic2024!$M$6)^(-B218),EXP(LN(INDEX(Dic2024!$N$6:$N$205,C218))+(LN(INDEX(Dic2024!$N$6:$N$205,MIN(C218+1,200)))-LN(INDEX(Dic2024!$N$6:$N$205,C218)))*(A218-6*C218)/6))</f>
        <v>0.365343010694544</v>
      </c>
      <c r="K218" s="12" t="n">
        <f aca="false">J218^(-1/B218)-1</f>
        <v>0.0580871747873115</v>
      </c>
      <c r="L218" s="12" t="n">
        <f aca="false">(1+K218)^(1/12)-1</f>
        <v>0.00471631411928231</v>
      </c>
    </row>
    <row r="219" customFormat="false" ht="15" hidden="false" customHeight="false" outlineLevel="0" collapsed="false">
      <c r="A219" s="4" t="n">
        <v>215</v>
      </c>
      <c r="B219" s="14" t="n">
        <f aca="false">A219/12</f>
        <v>17.9166666666667</v>
      </c>
      <c r="C219" s="15" t="n">
        <f aca="false">INT(A219/6)</f>
        <v>35</v>
      </c>
      <c r="D219" s="16" t="n">
        <f aca="false">IF(C219=0,(1+Dic2024!$G$6)^(-B219),EXP(LN(INDEX(Dic2024!$H$6:$H$205,C219))+(LN(INDEX(Dic2024!$H$6:$H$205,MIN(C219+1,200)))-LN(INDEX(Dic2024!$H$6:$H$205,C219)))*(A219-6*C219)/6))</f>
        <v>0.363523971230752</v>
      </c>
      <c r="E219" s="12" t="n">
        <f aca="false">D219^(-1/B219)-1</f>
        <v>0.0581040767604035</v>
      </c>
      <c r="F219" s="12" t="n">
        <f aca="false">(1+E219)^(1/12)-1</f>
        <v>0.00471765156136494</v>
      </c>
      <c r="G219" s="16" t="n">
        <f aca="false">IF(C219=0,(1+Dic2024!$J$6)^(-B219),EXP(LN(INDEX(Dic2024!$K$6:$K$205,C219))+(LN(INDEX(Dic2024!$K$6:$K$205,MIN(C219+1,200)))-LN(INDEX(Dic2024!$K$6:$K$205,C219)))*(A219-6*C219)/6))</f>
        <v>0.363523971230752</v>
      </c>
      <c r="H219" s="12" t="n">
        <f aca="false">G219^(-1/B219)-1</f>
        <v>0.0581040767604035</v>
      </c>
      <c r="I219" s="12" t="n">
        <f aca="false">(1+H219)^(1/12)-1</f>
        <v>0.00471765156136494</v>
      </c>
      <c r="J219" s="16" t="n">
        <f aca="false">IF(C219=0,(1+Dic2024!$M$6)^(-B219),EXP(LN(INDEX(Dic2024!$N$6:$N$205,C219))+(LN(INDEX(Dic2024!$N$6:$N$205,MIN(C219+1,200)))-LN(INDEX(Dic2024!$N$6:$N$205,C219)))*(A219-6*C219)/6))</f>
        <v>0.363523971230752</v>
      </c>
      <c r="K219" s="12" t="n">
        <f aca="false">J219^(-1/B219)-1</f>
        <v>0.0581040767604035</v>
      </c>
      <c r="L219" s="12" t="n">
        <f aca="false">(1+K219)^(1/12)-1</f>
        <v>0.00471765156136494</v>
      </c>
    </row>
    <row r="220" customFormat="false" ht="15" hidden="false" customHeight="false" outlineLevel="0" collapsed="false">
      <c r="A220" s="4" t="n">
        <v>216</v>
      </c>
      <c r="B220" s="14" t="n">
        <f aca="false">A220/12</f>
        <v>18</v>
      </c>
      <c r="C220" s="15" t="n">
        <f aca="false">INT(A220/6)</f>
        <v>36</v>
      </c>
      <c r="D220" s="16" t="n">
        <f aca="false">IF(C220=0,(1+Dic2024!$G$6)^(-B220),EXP(LN(INDEX(Dic2024!$H$6:$H$205,C220))+(LN(INDEX(Dic2024!$H$6:$H$205,MIN(C220+1,200)))-LN(INDEX(Dic2024!$H$6:$H$205,C220)))*(A220-6*C220)/6))</f>
        <v>0.36171398874759</v>
      </c>
      <c r="E220" s="12" t="n">
        <f aca="false">D220^(-1/B220)-1</f>
        <v>0.0581208225000001</v>
      </c>
      <c r="F220" s="12" t="n">
        <f aca="false">(1+E220)^(1/12)-1</f>
        <v>0.00471897662148035</v>
      </c>
      <c r="G220" s="16" t="n">
        <f aca="false">IF(C220=0,(1+Dic2024!$J$6)^(-B220),EXP(LN(INDEX(Dic2024!$K$6:$K$205,C220))+(LN(INDEX(Dic2024!$K$6:$K$205,MIN(C220+1,200)))-LN(INDEX(Dic2024!$K$6:$K$205,C220)))*(A220-6*C220)/6))</f>
        <v>0.36171398874759</v>
      </c>
      <c r="H220" s="12" t="n">
        <f aca="false">G220^(-1/B220)-1</f>
        <v>0.0581208225000001</v>
      </c>
      <c r="I220" s="12" t="n">
        <f aca="false">(1+H220)^(1/12)-1</f>
        <v>0.00471897662148035</v>
      </c>
      <c r="J220" s="16" t="n">
        <f aca="false">IF(C220=0,(1+Dic2024!$M$6)^(-B220),EXP(LN(INDEX(Dic2024!$N$6:$N$205,C220))+(LN(INDEX(Dic2024!$N$6:$N$205,MIN(C220+1,200)))-LN(INDEX(Dic2024!$N$6:$N$205,C220)))*(A220-6*C220)/6))</f>
        <v>0.36171398874759</v>
      </c>
      <c r="K220" s="12" t="n">
        <f aca="false">J220^(-1/B220)-1</f>
        <v>0.0581208225000001</v>
      </c>
      <c r="L220" s="12" t="n">
        <f aca="false">(1+K220)^(1/12)-1</f>
        <v>0.00471897662148035</v>
      </c>
    </row>
    <row r="221" customFormat="false" ht="15" hidden="false" customHeight="false" outlineLevel="0" collapsed="false">
      <c r="A221" s="4" t="n">
        <v>217</v>
      </c>
      <c r="B221" s="14" t="n">
        <f aca="false">A221/12</f>
        <v>18.0833333333333</v>
      </c>
      <c r="C221" s="15" t="n">
        <f aca="false">INT(A221/6)</f>
        <v>36</v>
      </c>
      <c r="D221" s="16" t="n">
        <f aca="false">IF(C221=0,(1+Dic2024!$G$6)^(-B221),EXP(LN(INDEX(Dic2024!$H$6:$H$205,C221))+(LN(INDEX(Dic2024!$H$6:$H$205,MIN(C221+1,200)))-LN(INDEX(Dic2024!$H$6:$H$205,C221)))*(A221-6*C221)/6))</f>
        <v>0.359907191821298</v>
      </c>
      <c r="E221" s="12" t="n">
        <f aca="false">D221^(-1/B221)-1</f>
        <v>0.0581383614126518</v>
      </c>
      <c r="F221" s="12" t="n">
        <f aca="false">(1+E221)^(1/12)-1</f>
        <v>0.00472036442333668</v>
      </c>
      <c r="G221" s="16" t="n">
        <f aca="false">IF(C221=0,(1+Dic2024!$J$6)^(-B221),EXP(LN(INDEX(Dic2024!$K$6:$K$205,C221))+(LN(INDEX(Dic2024!$K$6:$K$205,MIN(C221+1,200)))-LN(INDEX(Dic2024!$K$6:$K$205,C221)))*(A221-6*C221)/6))</f>
        <v>0.359907191821298</v>
      </c>
      <c r="H221" s="12" t="n">
        <f aca="false">G221^(-1/B221)-1</f>
        <v>0.0581383614126518</v>
      </c>
      <c r="I221" s="12" t="n">
        <f aca="false">(1+H221)^(1/12)-1</f>
        <v>0.00472036442333668</v>
      </c>
      <c r="J221" s="16" t="n">
        <f aca="false">IF(C221=0,(1+Dic2024!$M$6)^(-B221),EXP(LN(INDEX(Dic2024!$N$6:$N$205,C221))+(LN(INDEX(Dic2024!$N$6:$N$205,MIN(C221+1,200)))-LN(INDEX(Dic2024!$N$6:$N$205,C221)))*(A221-6*C221)/6))</f>
        <v>0.359907191821298</v>
      </c>
      <c r="K221" s="12" t="n">
        <f aca="false">J221^(-1/B221)-1</f>
        <v>0.0581383614126518</v>
      </c>
      <c r="L221" s="12" t="n">
        <f aca="false">(1+K221)^(1/12)-1</f>
        <v>0.00472036442333668</v>
      </c>
    </row>
    <row r="222" customFormat="false" ht="15" hidden="false" customHeight="false" outlineLevel="0" collapsed="false">
      <c r="A222" s="4" t="n">
        <v>218</v>
      </c>
      <c r="B222" s="14" t="n">
        <f aca="false">A222/12</f>
        <v>18.1666666666667</v>
      </c>
      <c r="C222" s="15" t="n">
        <f aca="false">INT(A222/6)</f>
        <v>36</v>
      </c>
      <c r="D222" s="16" t="n">
        <f aca="false">IF(C222=0,(1+Dic2024!$G$6)^(-B222),EXP(LN(INDEX(Dic2024!$H$6:$H$205,C222))+(LN(INDEX(Dic2024!$H$6:$H$205,MIN(C222+1,200)))-LN(INDEX(Dic2024!$H$6:$H$205,C222)))*(A222-6*C222)/6))</f>
        <v>0.35810942002324</v>
      </c>
      <c r="E222" s="12" t="n">
        <f aca="false">D222^(-1/B222)-1</f>
        <v>0.0581557397045762</v>
      </c>
      <c r="F222" s="12" t="n">
        <f aca="false">(1+E222)^(1/12)-1</f>
        <v>0.00472173949495636</v>
      </c>
      <c r="G222" s="16" t="n">
        <f aca="false">IF(C222=0,(1+Dic2024!$J$6)^(-B222),EXP(LN(INDEX(Dic2024!$K$6:$K$205,C222))+(LN(INDEX(Dic2024!$K$6:$K$205,MIN(C222+1,200)))-LN(INDEX(Dic2024!$K$6:$K$205,C222)))*(A222-6*C222)/6))</f>
        <v>0.35810942002324</v>
      </c>
      <c r="H222" s="12" t="n">
        <f aca="false">G222^(-1/B222)-1</f>
        <v>0.0581557397045762</v>
      </c>
      <c r="I222" s="12" t="n">
        <f aca="false">(1+H222)^(1/12)-1</f>
        <v>0.00472173949495636</v>
      </c>
      <c r="J222" s="16" t="n">
        <f aca="false">IF(C222=0,(1+Dic2024!$M$6)^(-B222),EXP(LN(INDEX(Dic2024!$N$6:$N$205,C222))+(LN(INDEX(Dic2024!$N$6:$N$205,MIN(C222+1,200)))-LN(INDEX(Dic2024!$N$6:$N$205,C222)))*(A222-6*C222)/6))</f>
        <v>0.35810942002324</v>
      </c>
      <c r="K222" s="12" t="n">
        <f aca="false">J222^(-1/B222)-1</f>
        <v>0.0581557397045762</v>
      </c>
      <c r="L222" s="12" t="n">
        <f aca="false">(1+K222)^(1/12)-1</f>
        <v>0.00472173949495636</v>
      </c>
    </row>
    <row r="223" customFormat="false" ht="15" hidden="false" customHeight="false" outlineLevel="0" collapsed="false">
      <c r="A223" s="4" t="n">
        <v>219</v>
      </c>
      <c r="B223" s="14" t="n">
        <f aca="false">A223/12</f>
        <v>18.25</v>
      </c>
      <c r="C223" s="15" t="n">
        <f aca="false">INT(A223/6)</f>
        <v>36</v>
      </c>
      <c r="D223" s="16" t="n">
        <f aca="false">IF(C223=0,(1+Dic2024!$G$6)^(-B223),EXP(LN(INDEX(Dic2024!$H$6:$H$205,C223))+(LN(INDEX(Dic2024!$H$6:$H$205,MIN(C223+1,200)))-LN(INDEX(Dic2024!$H$6:$H$205,C223)))*(A223-6*C223)/6))</f>
        <v>0.356320628272016</v>
      </c>
      <c r="E223" s="12" t="n">
        <f aca="false">D223^(-1/B223)-1</f>
        <v>0.0581729595721521</v>
      </c>
      <c r="F223" s="12" t="n">
        <f aca="false">(1+E223)^(1/12)-1</f>
        <v>0.00472310201070059</v>
      </c>
      <c r="G223" s="16" t="n">
        <f aca="false">IF(C223=0,(1+Dic2024!$J$6)^(-B223),EXP(LN(INDEX(Dic2024!$K$6:$K$205,C223))+(LN(INDEX(Dic2024!$K$6:$K$205,MIN(C223+1,200)))-LN(INDEX(Dic2024!$K$6:$K$205,C223)))*(A223-6*C223)/6))</f>
        <v>0.356320628272016</v>
      </c>
      <c r="H223" s="12" t="n">
        <f aca="false">G223^(-1/B223)-1</f>
        <v>0.0581729595721521</v>
      </c>
      <c r="I223" s="12" t="n">
        <f aca="false">(1+H223)^(1/12)-1</f>
        <v>0.00472310201070059</v>
      </c>
      <c r="J223" s="16" t="n">
        <f aca="false">IF(C223=0,(1+Dic2024!$M$6)^(-B223),EXP(LN(INDEX(Dic2024!$N$6:$N$205,C223))+(LN(INDEX(Dic2024!$N$6:$N$205,MIN(C223+1,200)))-LN(INDEX(Dic2024!$N$6:$N$205,C223)))*(A223-6*C223)/6))</f>
        <v>0.356320628272016</v>
      </c>
      <c r="K223" s="12" t="n">
        <f aca="false">J223^(-1/B223)-1</f>
        <v>0.0581729595721521</v>
      </c>
      <c r="L223" s="12" t="n">
        <f aca="false">(1+K223)^(1/12)-1</f>
        <v>0.00472310201070059</v>
      </c>
    </row>
    <row r="224" customFormat="false" ht="15" hidden="false" customHeight="false" outlineLevel="0" collapsed="false">
      <c r="A224" s="4" t="n">
        <v>220</v>
      </c>
      <c r="B224" s="14" t="n">
        <f aca="false">A224/12</f>
        <v>18.3333333333333</v>
      </c>
      <c r="C224" s="15" t="n">
        <f aca="false">INT(A224/6)</f>
        <v>36</v>
      </c>
      <c r="D224" s="16" t="n">
        <f aca="false">IF(C224=0,(1+Dic2024!$G$6)^(-B224),EXP(LN(INDEX(Dic2024!$H$6:$H$205,C224))+(LN(INDEX(Dic2024!$H$6:$H$205,MIN(C224+1,200)))-LN(INDEX(Dic2024!$H$6:$H$205,C224)))*(A224-6*C224)/6))</f>
        <v>0.354540771711407</v>
      </c>
      <c r="E224" s="12" t="n">
        <f aca="false">D224^(-1/B224)-1</f>
        <v>0.0581900231718946</v>
      </c>
      <c r="F224" s="12" t="n">
        <f aca="false">(1+E224)^(1/12)-1</f>
        <v>0.00472445214176065</v>
      </c>
      <c r="G224" s="16" t="n">
        <f aca="false">IF(C224=0,(1+Dic2024!$J$6)^(-B224),EXP(LN(INDEX(Dic2024!$K$6:$K$205,C224))+(LN(INDEX(Dic2024!$K$6:$K$205,MIN(C224+1,200)))-LN(INDEX(Dic2024!$K$6:$K$205,C224)))*(A224-6*C224)/6))</f>
        <v>0.354540771711407</v>
      </c>
      <c r="H224" s="12" t="n">
        <f aca="false">G224^(-1/B224)-1</f>
        <v>0.0581900231718946</v>
      </c>
      <c r="I224" s="12" t="n">
        <f aca="false">(1+H224)^(1/12)-1</f>
        <v>0.00472445214176065</v>
      </c>
      <c r="J224" s="16" t="n">
        <f aca="false">IF(C224=0,(1+Dic2024!$M$6)^(-B224),EXP(LN(INDEX(Dic2024!$N$6:$N$205,C224))+(LN(INDEX(Dic2024!$N$6:$N$205,MIN(C224+1,200)))-LN(INDEX(Dic2024!$N$6:$N$205,C224)))*(A224-6*C224)/6))</f>
        <v>0.354540771711407</v>
      </c>
      <c r="K224" s="12" t="n">
        <f aca="false">J224^(-1/B224)-1</f>
        <v>0.0581900231718946</v>
      </c>
      <c r="L224" s="12" t="n">
        <f aca="false">(1+K224)^(1/12)-1</f>
        <v>0.00472445214176065</v>
      </c>
    </row>
    <row r="225" customFormat="false" ht="15" hidden="false" customHeight="false" outlineLevel="0" collapsed="false">
      <c r="A225" s="4" t="n">
        <v>221</v>
      </c>
      <c r="B225" s="14" t="n">
        <f aca="false">A225/12</f>
        <v>18.4166666666667</v>
      </c>
      <c r="C225" s="15" t="n">
        <f aca="false">INT(A225/6)</f>
        <v>36</v>
      </c>
      <c r="D225" s="16" t="n">
        <f aca="false">IF(C225=0,(1+Dic2024!$G$6)^(-B225),EXP(LN(INDEX(Dic2024!$H$6:$H$205,C225))+(LN(INDEX(Dic2024!$H$6:$H$205,MIN(C225+1,200)))-LN(INDEX(Dic2024!$H$6:$H$205,C225)))*(A225-6*C225)/6))</f>
        <v>0.352769805709258</v>
      </c>
      <c r="E225" s="12" t="n">
        <f aca="false">D225^(-1/B225)-1</f>
        <v>0.0582069326213557</v>
      </c>
      <c r="F225" s="12" t="n">
        <f aca="false">(1+E225)^(1/12)-1</f>
        <v>0.00472579005622964</v>
      </c>
      <c r="G225" s="16" t="n">
        <f aca="false">IF(C225=0,(1+Dic2024!$J$6)^(-B225),EXP(LN(INDEX(Dic2024!$K$6:$K$205,C225))+(LN(INDEX(Dic2024!$K$6:$K$205,MIN(C225+1,200)))-LN(INDEX(Dic2024!$K$6:$K$205,C225)))*(A225-6*C225)/6))</f>
        <v>0.352769805709258</v>
      </c>
      <c r="H225" s="12" t="n">
        <f aca="false">G225^(-1/B225)-1</f>
        <v>0.0582069326213557</v>
      </c>
      <c r="I225" s="12" t="n">
        <f aca="false">(1+H225)^(1/12)-1</f>
        <v>0.00472579005622964</v>
      </c>
      <c r="J225" s="16" t="n">
        <f aca="false">IF(C225=0,(1+Dic2024!$M$6)^(-B225),EXP(LN(INDEX(Dic2024!$N$6:$N$205,C225))+(LN(INDEX(Dic2024!$N$6:$N$205,MIN(C225+1,200)))-LN(INDEX(Dic2024!$N$6:$N$205,C225)))*(A225-6*C225)/6))</f>
        <v>0.352769805709258</v>
      </c>
      <c r="K225" s="12" t="n">
        <f aca="false">J225^(-1/B225)-1</f>
        <v>0.0582069326213557</v>
      </c>
      <c r="L225" s="12" t="n">
        <f aca="false">(1+K225)^(1/12)-1</f>
        <v>0.00472579005622964</v>
      </c>
    </row>
    <row r="226" customFormat="false" ht="15" hidden="false" customHeight="false" outlineLevel="0" collapsed="false">
      <c r="A226" s="4" t="n">
        <v>222</v>
      </c>
      <c r="B226" s="14" t="n">
        <f aca="false">A226/12</f>
        <v>18.5</v>
      </c>
      <c r="C226" s="15" t="n">
        <f aca="false">INT(A226/6)</f>
        <v>37</v>
      </c>
      <c r="D226" s="16" t="n">
        <f aca="false">IF(C226=0,(1+Dic2024!$G$6)^(-B226),EXP(LN(INDEX(Dic2024!$H$6:$H$205,C226))+(LN(INDEX(Dic2024!$H$6:$H$205,MIN(C226+1,200)))-LN(INDEX(Dic2024!$H$6:$H$205,C226)))*(A226-6*C226)/6))</f>
        <v>0.351007685856357</v>
      </c>
      <c r="E226" s="12" t="n">
        <f aca="false">D226^(-1/B226)-1</f>
        <v>0.0582236899999999</v>
      </c>
      <c r="F226" s="12" t="n">
        <f aca="false">(1+E226)^(1/12)-1</f>
        <v>0.00472711591917285</v>
      </c>
      <c r="G226" s="16" t="n">
        <f aca="false">IF(C226=0,(1+Dic2024!$J$6)^(-B226),EXP(LN(INDEX(Dic2024!$K$6:$K$205,C226))+(LN(INDEX(Dic2024!$K$6:$K$205,MIN(C226+1,200)))-LN(INDEX(Dic2024!$K$6:$K$205,C226)))*(A226-6*C226)/6))</f>
        <v>0.351007685856357</v>
      </c>
      <c r="H226" s="12" t="n">
        <f aca="false">G226^(-1/B226)-1</f>
        <v>0.0582236899999999</v>
      </c>
      <c r="I226" s="12" t="n">
        <f aca="false">(1+H226)^(1/12)-1</f>
        <v>0.00472711591917285</v>
      </c>
      <c r="J226" s="16" t="n">
        <f aca="false">IF(C226=0,(1+Dic2024!$M$6)^(-B226),EXP(LN(INDEX(Dic2024!$N$6:$N$205,C226))+(LN(INDEX(Dic2024!$N$6:$N$205,MIN(C226+1,200)))-LN(INDEX(Dic2024!$N$6:$N$205,C226)))*(A226-6*C226)/6))</f>
        <v>0.351007685856357</v>
      </c>
      <c r="K226" s="12" t="n">
        <f aca="false">J226^(-1/B226)-1</f>
        <v>0.0582236899999999</v>
      </c>
      <c r="L226" s="12" t="n">
        <f aca="false">(1+K226)^(1/12)-1</f>
        <v>0.00472711591917285</v>
      </c>
    </row>
    <row r="227" customFormat="false" ht="15" hidden="false" customHeight="false" outlineLevel="0" collapsed="false">
      <c r="A227" s="4" t="n">
        <v>223</v>
      </c>
      <c r="B227" s="14" t="n">
        <f aca="false">A227/12</f>
        <v>18.5833333333333</v>
      </c>
      <c r="C227" s="15" t="n">
        <f aca="false">INT(A227/6)</f>
        <v>37</v>
      </c>
      <c r="D227" s="16" t="n">
        <f aca="false">IF(C227=0,(1+Dic2024!$G$6)^(-B227),EXP(LN(INDEX(Dic2024!$H$6:$H$205,C227))+(LN(INDEX(Dic2024!$H$6:$H$205,MIN(C227+1,200)))-LN(INDEX(Dic2024!$H$6:$H$205,C227)))*(A227-6*C227)/6))</f>
        <v>0.349248714592178</v>
      </c>
      <c r="E227" s="12" t="n">
        <f aca="false">D227^(-1/B227)-1</f>
        <v>0.0582412191362258</v>
      </c>
      <c r="F227" s="12" t="n">
        <f aca="false">(1+E227)^(1/12)-1</f>
        <v>0.00472850282386217</v>
      </c>
      <c r="G227" s="16" t="n">
        <f aca="false">IF(C227=0,(1+Dic2024!$J$6)^(-B227),EXP(LN(INDEX(Dic2024!$K$6:$K$205,C227))+(LN(INDEX(Dic2024!$K$6:$K$205,MIN(C227+1,200)))-LN(INDEX(Dic2024!$K$6:$K$205,C227)))*(A227-6*C227)/6))</f>
        <v>0.349248714592178</v>
      </c>
      <c r="H227" s="12" t="n">
        <f aca="false">G227^(-1/B227)-1</f>
        <v>0.0582412191362258</v>
      </c>
      <c r="I227" s="12" t="n">
        <f aca="false">(1+H227)^(1/12)-1</f>
        <v>0.00472850282386217</v>
      </c>
      <c r="J227" s="16" t="n">
        <f aca="false">IF(C227=0,(1+Dic2024!$M$6)^(-B227),EXP(LN(INDEX(Dic2024!$N$6:$N$205,C227))+(LN(INDEX(Dic2024!$N$6:$N$205,MIN(C227+1,200)))-LN(INDEX(Dic2024!$N$6:$N$205,C227)))*(A227-6*C227)/6))</f>
        <v>0.349248714592178</v>
      </c>
      <c r="K227" s="12" t="n">
        <f aca="false">J227^(-1/B227)-1</f>
        <v>0.0582412191362258</v>
      </c>
      <c r="L227" s="12" t="n">
        <f aca="false">(1+K227)^(1/12)-1</f>
        <v>0.00472850282386217</v>
      </c>
    </row>
    <row r="228" customFormat="false" ht="15" hidden="false" customHeight="false" outlineLevel="0" collapsed="false">
      <c r="A228" s="4" t="n">
        <v>224</v>
      </c>
      <c r="B228" s="14" t="n">
        <f aca="false">A228/12</f>
        <v>18.6666666666667</v>
      </c>
      <c r="C228" s="15" t="n">
        <f aca="false">INT(A228/6)</f>
        <v>37</v>
      </c>
      <c r="D228" s="16" t="n">
        <f aca="false">IF(C228=0,(1+Dic2024!$G$6)^(-B228),EXP(LN(INDEX(Dic2024!$H$6:$H$205,C228))+(LN(INDEX(Dic2024!$H$6:$H$205,MIN(C228+1,200)))-LN(INDEX(Dic2024!$H$6:$H$205,C228)))*(A228-6*C228)/6))</f>
        <v>0.347498557892559</v>
      </c>
      <c r="E228" s="12" t="n">
        <f aca="false">D228^(-1/B228)-1</f>
        <v>0.0582585920487941</v>
      </c>
      <c r="F228" s="12" t="n">
        <f aca="false">(1+E228)^(1/12)-1</f>
        <v>0.00472987734736252</v>
      </c>
      <c r="G228" s="16" t="n">
        <f aca="false">IF(C228=0,(1+Dic2024!$J$6)^(-B228),EXP(LN(INDEX(Dic2024!$K$6:$K$205,C228))+(LN(INDEX(Dic2024!$K$6:$K$205,MIN(C228+1,200)))-LN(INDEX(Dic2024!$K$6:$K$205,C228)))*(A228-6*C228)/6))</f>
        <v>0.347498557892559</v>
      </c>
      <c r="H228" s="12" t="n">
        <f aca="false">G228^(-1/B228)-1</f>
        <v>0.0582585920487941</v>
      </c>
      <c r="I228" s="12" t="n">
        <f aca="false">(1+H228)^(1/12)-1</f>
        <v>0.00472987734736252</v>
      </c>
      <c r="J228" s="16" t="n">
        <f aca="false">IF(C228=0,(1+Dic2024!$M$6)^(-B228),EXP(LN(INDEX(Dic2024!$N$6:$N$205,C228))+(LN(INDEX(Dic2024!$N$6:$N$205,MIN(C228+1,200)))-LN(INDEX(Dic2024!$N$6:$N$205,C228)))*(A228-6*C228)/6))</f>
        <v>0.347498557892559</v>
      </c>
      <c r="K228" s="12" t="n">
        <f aca="false">J228^(-1/B228)-1</f>
        <v>0.0582585920487941</v>
      </c>
      <c r="L228" s="12" t="n">
        <f aca="false">(1+K228)^(1/12)-1</f>
        <v>0.00472987734736252</v>
      </c>
    </row>
    <row r="229" customFormat="false" ht="15" hidden="false" customHeight="false" outlineLevel="0" collapsed="false">
      <c r="A229" s="4" t="n">
        <v>225</v>
      </c>
      <c r="B229" s="14" t="n">
        <f aca="false">A229/12</f>
        <v>18.75</v>
      </c>
      <c r="C229" s="15" t="n">
        <f aca="false">INT(A229/6)</f>
        <v>37</v>
      </c>
      <c r="D229" s="16" t="n">
        <f aca="false">IF(C229=0,(1+Dic2024!$G$6)^(-B229),EXP(LN(INDEX(Dic2024!$H$6:$H$205,C229))+(LN(INDEX(Dic2024!$H$6:$H$205,MIN(C229+1,200)))-LN(INDEX(Dic2024!$H$6:$H$205,C229)))*(A229-6*C229)/6))</f>
        <v>0.345757171585916</v>
      </c>
      <c r="E229" s="12" t="n">
        <f aca="false">D229^(-1/B229)-1</f>
        <v>0.0582758108168886</v>
      </c>
      <c r="F229" s="12" t="n">
        <f aca="false">(1+E229)^(1/12)-1</f>
        <v>0.00473123965473166</v>
      </c>
      <c r="G229" s="16" t="n">
        <f aca="false">IF(C229=0,(1+Dic2024!$J$6)^(-B229),EXP(LN(INDEX(Dic2024!$K$6:$K$205,C229))+(LN(INDEX(Dic2024!$K$6:$K$205,MIN(C229+1,200)))-LN(INDEX(Dic2024!$K$6:$K$205,C229)))*(A229-6*C229)/6))</f>
        <v>0.345757171585916</v>
      </c>
      <c r="H229" s="12" t="n">
        <f aca="false">G229^(-1/B229)-1</f>
        <v>0.0582758108168886</v>
      </c>
      <c r="I229" s="12" t="n">
        <f aca="false">(1+H229)^(1/12)-1</f>
        <v>0.00473123965473166</v>
      </c>
      <c r="J229" s="16" t="n">
        <f aca="false">IF(C229=0,(1+Dic2024!$M$6)^(-B229),EXP(LN(INDEX(Dic2024!$N$6:$N$205,C229))+(LN(INDEX(Dic2024!$N$6:$N$205,MIN(C229+1,200)))-LN(INDEX(Dic2024!$N$6:$N$205,C229)))*(A229-6*C229)/6))</f>
        <v>0.345757171585916</v>
      </c>
      <c r="K229" s="12" t="n">
        <f aca="false">J229^(-1/B229)-1</f>
        <v>0.0582758108168886</v>
      </c>
      <c r="L229" s="12" t="n">
        <f aca="false">(1+K229)^(1/12)-1</f>
        <v>0.00473123965473166</v>
      </c>
    </row>
    <row r="230" customFormat="false" ht="15" hidden="false" customHeight="false" outlineLevel="0" collapsed="false">
      <c r="A230" s="4" t="n">
        <v>226</v>
      </c>
      <c r="B230" s="14" t="n">
        <f aca="false">A230/12</f>
        <v>18.8333333333333</v>
      </c>
      <c r="C230" s="15" t="n">
        <f aca="false">INT(A230/6)</f>
        <v>37</v>
      </c>
      <c r="D230" s="16" t="n">
        <f aca="false">IF(C230=0,(1+Dic2024!$G$6)^(-B230),EXP(LN(INDEX(Dic2024!$H$6:$H$205,C230))+(LN(INDEX(Dic2024!$H$6:$H$205,MIN(C230+1,200)))-LN(INDEX(Dic2024!$H$6:$H$205,C230)))*(A230-6*C230)/6))</f>
        <v>0.344024511722017</v>
      </c>
      <c r="E230" s="12" t="n">
        <f aca="false">D230^(-1/B230)-1</f>
        <v>0.0582928774829603</v>
      </c>
      <c r="F230" s="12" t="n">
        <f aca="false">(1+E230)^(1/12)-1</f>
        <v>0.0047325899081061</v>
      </c>
      <c r="G230" s="16" t="n">
        <f aca="false">IF(C230=0,(1+Dic2024!$J$6)^(-B230),EXP(LN(INDEX(Dic2024!$K$6:$K$205,C230))+(LN(INDEX(Dic2024!$K$6:$K$205,MIN(C230+1,200)))-LN(INDEX(Dic2024!$K$6:$K$205,C230)))*(A230-6*C230)/6))</f>
        <v>0.344024511722017</v>
      </c>
      <c r="H230" s="12" t="n">
        <f aca="false">G230^(-1/B230)-1</f>
        <v>0.0582928774829603</v>
      </c>
      <c r="I230" s="12" t="n">
        <f aca="false">(1+H230)^(1/12)-1</f>
        <v>0.0047325899081061</v>
      </c>
      <c r="J230" s="16" t="n">
        <f aca="false">IF(C230=0,(1+Dic2024!$M$6)^(-B230),EXP(LN(INDEX(Dic2024!$N$6:$N$205,C230))+(LN(INDEX(Dic2024!$N$6:$N$205,MIN(C230+1,200)))-LN(INDEX(Dic2024!$N$6:$N$205,C230)))*(A230-6*C230)/6))</f>
        <v>0.344024511722017</v>
      </c>
      <c r="K230" s="12" t="n">
        <f aca="false">J230^(-1/B230)-1</f>
        <v>0.0582928774829603</v>
      </c>
      <c r="L230" s="12" t="n">
        <f aca="false">(1+K230)^(1/12)-1</f>
        <v>0.0047325899081061</v>
      </c>
    </row>
    <row r="231" customFormat="false" ht="15" hidden="false" customHeight="false" outlineLevel="0" collapsed="false">
      <c r="A231" s="4" t="n">
        <v>227</v>
      </c>
      <c r="B231" s="14" t="n">
        <f aca="false">A231/12</f>
        <v>18.9166666666667</v>
      </c>
      <c r="C231" s="15" t="n">
        <f aca="false">INT(A231/6)</f>
        <v>37</v>
      </c>
      <c r="D231" s="16" t="n">
        <f aca="false">IF(C231=0,(1+Dic2024!$G$6)^(-B231),EXP(LN(INDEX(Dic2024!$H$6:$H$205,C231))+(LN(INDEX(Dic2024!$H$6:$H$205,MIN(C231+1,200)))-LN(INDEX(Dic2024!$H$6:$H$205,C231)))*(A231-6*C231)/6))</f>
        <v>0.342300534570873</v>
      </c>
      <c r="E231" s="12" t="n">
        <f aca="false">D231^(-1/B231)-1</f>
        <v>0.0583097940535353</v>
      </c>
      <c r="F231" s="12" t="n">
        <f aca="false">(1+E231)^(1/12)-1</f>
        <v>0.00473392826676577</v>
      </c>
      <c r="G231" s="16" t="n">
        <f aca="false">IF(C231=0,(1+Dic2024!$J$6)^(-B231),EXP(LN(INDEX(Dic2024!$K$6:$K$205,C231))+(LN(INDEX(Dic2024!$K$6:$K$205,MIN(C231+1,200)))-LN(INDEX(Dic2024!$K$6:$K$205,C231)))*(A231-6*C231)/6))</f>
        <v>0.342300534570873</v>
      </c>
      <c r="H231" s="12" t="n">
        <f aca="false">G231^(-1/B231)-1</f>
        <v>0.0583097940535353</v>
      </c>
      <c r="I231" s="12" t="n">
        <f aca="false">(1+H231)^(1/12)-1</f>
        <v>0.00473392826676577</v>
      </c>
      <c r="J231" s="16" t="n">
        <f aca="false">IF(C231=0,(1+Dic2024!$M$6)^(-B231),EXP(LN(INDEX(Dic2024!$N$6:$N$205,C231))+(LN(INDEX(Dic2024!$N$6:$N$205,MIN(C231+1,200)))-LN(INDEX(Dic2024!$N$6:$N$205,C231)))*(A231-6*C231)/6))</f>
        <v>0.342300534570873</v>
      </c>
      <c r="K231" s="12" t="n">
        <f aca="false">J231^(-1/B231)-1</f>
        <v>0.0583097940535353</v>
      </c>
      <c r="L231" s="12" t="n">
        <f aca="false">(1+K231)^(1/12)-1</f>
        <v>0.00473392826676577</v>
      </c>
    </row>
    <row r="232" customFormat="false" ht="15" hidden="false" customHeight="false" outlineLevel="0" collapsed="false">
      <c r="A232" s="4" t="n">
        <v>228</v>
      </c>
      <c r="B232" s="14" t="n">
        <f aca="false">A232/12</f>
        <v>19</v>
      </c>
      <c r="C232" s="15" t="n">
        <f aca="false">INT(A232/6)</f>
        <v>38</v>
      </c>
      <c r="D232" s="16" t="n">
        <f aca="false">IF(C232=0,(1+Dic2024!$G$6)^(-B232),EXP(LN(INDEX(Dic2024!$H$6:$H$205,C232))+(LN(INDEX(Dic2024!$H$6:$H$205,MIN(C232+1,200)))-LN(INDEX(Dic2024!$H$6:$H$205,C232)))*(A232-6*C232)/6))</f>
        <v>0.340585196621635</v>
      </c>
      <c r="E232" s="12" t="n">
        <f aca="false">D232^(-1/B232)-1</f>
        <v>0.0583265625</v>
      </c>
      <c r="F232" s="12" t="n">
        <f aca="false">(1+E232)^(1/12)-1</f>
        <v>0.00473525488719639</v>
      </c>
      <c r="G232" s="16" t="n">
        <f aca="false">IF(C232=0,(1+Dic2024!$J$6)^(-B232),EXP(LN(INDEX(Dic2024!$K$6:$K$205,C232))+(LN(INDEX(Dic2024!$K$6:$K$205,MIN(C232+1,200)))-LN(INDEX(Dic2024!$K$6:$K$205,C232)))*(A232-6*C232)/6))</f>
        <v>0.340585196621635</v>
      </c>
      <c r="H232" s="12" t="n">
        <f aca="false">G232^(-1/B232)-1</f>
        <v>0.0583265625</v>
      </c>
      <c r="I232" s="12" t="n">
        <f aca="false">(1+H232)^(1/12)-1</f>
        <v>0.00473525488719639</v>
      </c>
      <c r="J232" s="16" t="n">
        <f aca="false">IF(C232=0,(1+Dic2024!$M$6)^(-B232),EXP(LN(INDEX(Dic2024!$N$6:$N$205,C232))+(LN(INDEX(Dic2024!$N$6:$N$205,MIN(C232+1,200)))-LN(INDEX(Dic2024!$N$6:$N$205,C232)))*(A232-6*C232)/6))</f>
        <v>0.340585196621635</v>
      </c>
      <c r="K232" s="12" t="n">
        <f aca="false">J232^(-1/B232)-1</f>
        <v>0.0583265625</v>
      </c>
      <c r="L232" s="12" t="n">
        <f aca="false">(1+K232)^(1/12)-1</f>
        <v>0.00473525488719639</v>
      </c>
    </row>
    <row r="233" customFormat="false" ht="15" hidden="false" customHeight="false" outlineLevel="0" collapsed="false">
      <c r="A233" s="4" t="n">
        <v>229</v>
      </c>
      <c r="B233" s="14" t="n">
        <f aca="false">A233/12</f>
        <v>19.0833333333333</v>
      </c>
      <c r="C233" s="15" t="n">
        <f aca="false">INT(A233/6)</f>
        <v>38</v>
      </c>
      <c r="D233" s="16" t="n">
        <f aca="false">IF(C233=0,(1+Dic2024!$G$6)^(-B233),EXP(LN(INDEX(Dic2024!$H$6:$H$205,C233))+(LN(INDEX(Dic2024!$H$6:$H$205,MIN(C233+1,200)))-LN(INDEX(Dic2024!$H$6:$H$205,C233)))*(A233-6*C233)/6))</f>
        <v>0.33887296956283</v>
      </c>
      <c r="E233" s="12" t="n">
        <f aca="false">D233^(-1/B233)-1</f>
        <v>0.0583440824157699</v>
      </c>
      <c r="F233" s="12" t="n">
        <f aca="false">(1+E233)^(1/12)-1</f>
        <v>0.0047366409388574</v>
      </c>
      <c r="G233" s="16" t="n">
        <f aca="false">IF(C233=0,(1+Dic2024!$J$6)^(-B233),EXP(LN(INDEX(Dic2024!$K$6:$K$205,C233))+(LN(INDEX(Dic2024!$K$6:$K$205,MIN(C233+1,200)))-LN(INDEX(Dic2024!$K$6:$K$205,C233)))*(A233-6*C233)/6))</f>
        <v>0.33887296956283</v>
      </c>
      <c r="H233" s="12" t="n">
        <f aca="false">G233^(-1/B233)-1</f>
        <v>0.0583440824157699</v>
      </c>
      <c r="I233" s="12" t="n">
        <f aca="false">(1+H233)^(1/12)-1</f>
        <v>0.0047366409388574</v>
      </c>
      <c r="J233" s="16" t="n">
        <f aca="false">IF(C233=0,(1+Dic2024!$M$6)^(-B233),EXP(LN(INDEX(Dic2024!$N$6:$N$205,C233))+(LN(INDEX(Dic2024!$N$6:$N$205,MIN(C233+1,200)))-LN(INDEX(Dic2024!$N$6:$N$205,C233)))*(A233-6*C233)/6))</f>
        <v>0.33887296956283</v>
      </c>
      <c r="K233" s="12" t="n">
        <f aca="false">J233^(-1/B233)-1</f>
        <v>0.0583440824157699</v>
      </c>
      <c r="L233" s="12" t="n">
        <f aca="false">(1+K233)^(1/12)-1</f>
        <v>0.0047366409388574</v>
      </c>
    </row>
    <row r="234" customFormat="false" ht="15" hidden="false" customHeight="false" outlineLevel="0" collapsed="false">
      <c r="A234" s="4" t="n">
        <v>230</v>
      </c>
      <c r="B234" s="14" t="n">
        <f aca="false">A234/12</f>
        <v>19.1666666666667</v>
      </c>
      <c r="C234" s="15" t="n">
        <f aca="false">INT(A234/6)</f>
        <v>38</v>
      </c>
      <c r="D234" s="16" t="n">
        <f aca="false">IF(C234=0,(1+Dic2024!$G$6)^(-B234),EXP(LN(INDEX(Dic2024!$H$6:$H$205,C234))+(LN(INDEX(Dic2024!$H$6:$H$205,MIN(C234+1,200)))-LN(INDEX(Dic2024!$H$6:$H$205,C234)))*(A234-6*C234)/6))</f>
        <v>0.337169350398702</v>
      </c>
      <c r="E234" s="12" t="n">
        <f aca="false">D234^(-1/B234)-1</f>
        <v>0.0583614502707053</v>
      </c>
      <c r="F234" s="12" t="n">
        <f aca="false">(1+E234)^(1/12)-1</f>
        <v>0.00473801493978243</v>
      </c>
      <c r="G234" s="16" t="n">
        <f aca="false">IF(C234=0,(1+Dic2024!$J$6)^(-B234),EXP(LN(INDEX(Dic2024!$K$6:$K$205,C234))+(LN(INDEX(Dic2024!$K$6:$K$205,MIN(C234+1,200)))-LN(INDEX(Dic2024!$K$6:$K$205,C234)))*(A234-6*C234)/6))</f>
        <v>0.337169350398702</v>
      </c>
      <c r="H234" s="12" t="n">
        <f aca="false">G234^(-1/B234)-1</f>
        <v>0.0583614502707053</v>
      </c>
      <c r="I234" s="12" t="n">
        <f aca="false">(1+H234)^(1/12)-1</f>
        <v>0.00473801493978243</v>
      </c>
      <c r="J234" s="16" t="n">
        <f aca="false">IF(C234=0,(1+Dic2024!$M$6)^(-B234),EXP(LN(INDEX(Dic2024!$N$6:$N$205,C234))+(LN(INDEX(Dic2024!$N$6:$N$205,MIN(C234+1,200)))-LN(INDEX(Dic2024!$N$6:$N$205,C234)))*(A234-6*C234)/6))</f>
        <v>0.337169350398702</v>
      </c>
      <c r="K234" s="12" t="n">
        <f aca="false">J234^(-1/B234)-1</f>
        <v>0.0583614502707053</v>
      </c>
      <c r="L234" s="12" t="n">
        <f aca="false">(1+K234)^(1/12)-1</f>
        <v>0.00473801493978243</v>
      </c>
    </row>
    <row r="235" customFormat="false" ht="15" hidden="false" customHeight="false" outlineLevel="0" collapsed="false">
      <c r="A235" s="4" t="n">
        <v>231</v>
      </c>
      <c r="B235" s="14" t="n">
        <f aca="false">A235/12</f>
        <v>19.25</v>
      </c>
      <c r="C235" s="15" t="n">
        <f aca="false">INT(A235/6)</f>
        <v>38</v>
      </c>
      <c r="D235" s="16" t="n">
        <f aca="false">IF(C235=0,(1+Dic2024!$G$6)^(-B235),EXP(LN(INDEX(Dic2024!$H$6:$H$205,C235))+(LN(INDEX(Dic2024!$H$6:$H$205,MIN(C235+1,200)))-LN(INDEX(Dic2024!$H$6:$H$205,C235)))*(A235-6*C235)/6))</f>
        <v>0.335474295854703</v>
      </c>
      <c r="E235" s="12" t="n">
        <f aca="false">D235^(-1/B235)-1</f>
        <v>0.0583786680359248</v>
      </c>
      <c r="F235" s="12" t="n">
        <f aca="false">(1+E235)^(1/12)-1</f>
        <v>0.00473937704645033</v>
      </c>
      <c r="G235" s="16" t="n">
        <f aca="false">IF(C235=0,(1+Dic2024!$J$6)^(-B235),EXP(LN(INDEX(Dic2024!$K$6:$K$205,C235))+(LN(INDEX(Dic2024!$K$6:$K$205,MIN(C235+1,200)))-LN(INDEX(Dic2024!$K$6:$K$205,C235)))*(A235-6*C235)/6))</f>
        <v>0.335474295854703</v>
      </c>
      <c r="H235" s="12" t="n">
        <f aca="false">G235^(-1/B235)-1</f>
        <v>0.0583786680359248</v>
      </c>
      <c r="I235" s="12" t="n">
        <f aca="false">(1+H235)^(1/12)-1</f>
        <v>0.00473937704645033</v>
      </c>
      <c r="J235" s="16" t="n">
        <f aca="false">IF(C235=0,(1+Dic2024!$M$6)^(-B235),EXP(LN(INDEX(Dic2024!$N$6:$N$205,C235))+(LN(INDEX(Dic2024!$N$6:$N$205,MIN(C235+1,200)))-LN(INDEX(Dic2024!$N$6:$N$205,C235)))*(A235-6*C235)/6))</f>
        <v>0.335474295854703</v>
      </c>
      <c r="K235" s="12" t="n">
        <f aca="false">J235^(-1/B235)-1</f>
        <v>0.0583786680359248</v>
      </c>
      <c r="L235" s="12" t="n">
        <f aca="false">(1+K235)^(1/12)-1</f>
        <v>0.00473937704645033</v>
      </c>
    </row>
    <row r="236" customFormat="false" ht="15" hidden="false" customHeight="false" outlineLevel="0" collapsed="false">
      <c r="A236" s="4" t="n">
        <v>232</v>
      </c>
      <c r="B236" s="14" t="n">
        <f aca="false">A236/12</f>
        <v>19.3333333333333</v>
      </c>
      <c r="C236" s="15" t="n">
        <f aca="false">INT(A236/6)</f>
        <v>38</v>
      </c>
      <c r="D236" s="16" t="n">
        <f aca="false">IF(C236=0,(1+Dic2024!$G$6)^(-B236),EXP(LN(INDEX(Dic2024!$H$6:$H$205,C236))+(LN(INDEX(Dic2024!$H$6:$H$205,MIN(C236+1,200)))-LN(INDEX(Dic2024!$H$6:$H$205,C236)))*(A236-6*C236)/6))</f>
        <v>0.33378776287384</v>
      </c>
      <c r="E236" s="12" t="n">
        <f aca="false">D236^(-1/B236)-1</f>
        <v>0.0583957376486264</v>
      </c>
      <c r="F236" s="12" t="n">
        <f aca="false">(1+E236)^(1/12)-1</f>
        <v>0.00474072741264209</v>
      </c>
      <c r="G236" s="16" t="n">
        <f aca="false">IF(C236=0,(1+Dic2024!$J$6)^(-B236),EXP(LN(INDEX(Dic2024!$K$6:$K$205,C236))+(LN(INDEX(Dic2024!$K$6:$K$205,MIN(C236+1,200)))-LN(INDEX(Dic2024!$K$6:$K$205,C236)))*(A236-6*C236)/6))</f>
        <v>0.33378776287384</v>
      </c>
      <c r="H236" s="12" t="n">
        <f aca="false">G236^(-1/B236)-1</f>
        <v>0.0583957376486264</v>
      </c>
      <c r="I236" s="12" t="n">
        <f aca="false">(1+H236)^(1/12)-1</f>
        <v>0.00474072741264209</v>
      </c>
      <c r="J236" s="16" t="n">
        <f aca="false">IF(C236=0,(1+Dic2024!$M$6)^(-B236),EXP(LN(INDEX(Dic2024!$N$6:$N$205,C236))+(LN(INDEX(Dic2024!$N$6:$N$205,MIN(C236+1,200)))-LN(INDEX(Dic2024!$N$6:$N$205,C236)))*(A236-6*C236)/6))</f>
        <v>0.33378776287384</v>
      </c>
      <c r="K236" s="12" t="n">
        <f aca="false">J236^(-1/B236)-1</f>
        <v>0.0583957376486264</v>
      </c>
      <c r="L236" s="12" t="n">
        <f aca="false">(1+K236)^(1/12)-1</f>
        <v>0.00474072741264209</v>
      </c>
    </row>
    <row r="237" customFormat="false" ht="15" hidden="false" customHeight="false" outlineLevel="0" collapsed="false">
      <c r="A237" s="4" t="n">
        <v>233</v>
      </c>
      <c r="B237" s="14" t="n">
        <f aca="false">A237/12</f>
        <v>19.4166666666667</v>
      </c>
      <c r="C237" s="15" t="n">
        <f aca="false">INT(A237/6)</f>
        <v>38</v>
      </c>
      <c r="D237" s="16" t="n">
        <f aca="false">IF(C237=0,(1+Dic2024!$G$6)^(-B237),EXP(LN(INDEX(Dic2024!$H$6:$H$205,C237))+(LN(INDEX(Dic2024!$H$6:$H$205,MIN(C237+1,200)))-LN(INDEX(Dic2024!$H$6:$H$205,C237)))*(A237-6*C237)/6))</f>
        <v>0.332109708615582</v>
      </c>
      <c r="E237" s="12" t="n">
        <f aca="false">D237^(-1/B237)-1</f>
        <v>0.0584126610128126</v>
      </c>
      <c r="F237" s="12" t="n">
        <f aca="false">(1+E237)^(1/12)-1</f>
        <v>0.00474206618949924</v>
      </c>
      <c r="G237" s="16" t="n">
        <f aca="false">IF(C237=0,(1+Dic2024!$J$6)^(-B237),EXP(LN(INDEX(Dic2024!$K$6:$K$205,C237))+(LN(INDEX(Dic2024!$K$6:$K$205,MIN(C237+1,200)))-LN(INDEX(Dic2024!$K$6:$K$205,C237)))*(A237-6*C237)/6))</f>
        <v>0.332109708615582</v>
      </c>
      <c r="H237" s="12" t="n">
        <f aca="false">G237^(-1/B237)-1</f>
        <v>0.0584126610128126</v>
      </c>
      <c r="I237" s="12" t="n">
        <f aca="false">(1+H237)^(1/12)-1</f>
        <v>0.00474206618949924</v>
      </c>
      <c r="J237" s="16" t="n">
        <f aca="false">IF(C237=0,(1+Dic2024!$M$6)^(-B237),EXP(LN(INDEX(Dic2024!$N$6:$N$205,C237))+(LN(INDEX(Dic2024!$N$6:$N$205,MIN(C237+1,200)))-LN(INDEX(Dic2024!$N$6:$N$205,C237)))*(A237-6*C237)/6))</f>
        <v>0.332109708615582</v>
      </c>
      <c r="K237" s="12" t="n">
        <f aca="false">J237^(-1/B237)-1</f>
        <v>0.0584126610128126</v>
      </c>
      <c r="L237" s="12" t="n">
        <f aca="false">(1+K237)^(1/12)-1</f>
        <v>0.00474206618949924</v>
      </c>
    </row>
    <row r="238" customFormat="false" ht="15" hidden="false" customHeight="false" outlineLevel="0" collapsed="false">
      <c r="A238" s="4" t="n">
        <v>234</v>
      </c>
      <c r="B238" s="14" t="n">
        <f aca="false">A238/12</f>
        <v>19.5</v>
      </c>
      <c r="C238" s="15" t="n">
        <f aca="false">INT(A238/6)</f>
        <v>39</v>
      </c>
      <c r="D238" s="16" t="n">
        <f aca="false">IF(C238=0,(1+Dic2024!$G$6)^(-B238),EXP(LN(INDEX(Dic2024!$H$6:$H$205,C238))+(LN(INDEX(Dic2024!$H$6:$H$205,MIN(C238+1,200)))-LN(INDEX(Dic2024!$H$6:$H$205,C238)))*(A238-6*C238)/6))</f>
        <v>0.33044009045477</v>
      </c>
      <c r="E238" s="12" t="n">
        <f aca="false">D238^(-1/B238)-1</f>
        <v>0.0584294399999998</v>
      </c>
      <c r="F238" s="12" t="n">
        <f aca="false">(1+E238)^(1/12)-1</f>
        <v>0.00474339352558029</v>
      </c>
      <c r="G238" s="16" t="n">
        <f aca="false">IF(C238=0,(1+Dic2024!$J$6)^(-B238),EXP(LN(INDEX(Dic2024!$K$6:$K$205,C238))+(LN(INDEX(Dic2024!$K$6:$K$205,MIN(C238+1,200)))-LN(INDEX(Dic2024!$K$6:$K$205,C238)))*(A238-6*C238)/6))</f>
        <v>0.33044009045477</v>
      </c>
      <c r="H238" s="12" t="n">
        <f aca="false">G238^(-1/B238)-1</f>
        <v>0.0584294399999998</v>
      </c>
      <c r="I238" s="12" t="n">
        <f aca="false">(1+H238)^(1/12)-1</f>
        <v>0.00474339352558029</v>
      </c>
      <c r="J238" s="16" t="n">
        <f aca="false">IF(C238=0,(1+Dic2024!$M$6)^(-B238),EXP(LN(INDEX(Dic2024!$N$6:$N$205,C238))+(LN(INDEX(Dic2024!$N$6:$N$205,MIN(C238+1,200)))-LN(INDEX(Dic2024!$N$6:$N$205,C238)))*(A238-6*C238)/6))</f>
        <v>0.33044009045477</v>
      </c>
      <c r="K238" s="12" t="n">
        <f aca="false">J238^(-1/B238)-1</f>
        <v>0.0584294399999998</v>
      </c>
      <c r="L238" s="12" t="n">
        <f aca="false">(1+K238)^(1/12)-1</f>
        <v>0.00474339352558029</v>
      </c>
    </row>
    <row r="239" customFormat="false" ht="15" hidden="false" customHeight="false" outlineLevel="0" collapsed="false">
      <c r="A239" s="4" t="n">
        <v>235</v>
      </c>
      <c r="B239" s="14" t="n">
        <f aca="false">A239/12</f>
        <v>19.5833333333333</v>
      </c>
      <c r="C239" s="15" t="n">
        <f aca="false">INT(A239/6)</f>
        <v>39</v>
      </c>
      <c r="D239" s="16" t="n">
        <f aca="false">IF(C239=0,(1+Dic2024!$G$6)^(-B239),EXP(LN(INDEX(Dic2024!$H$6:$H$205,C239))+(LN(INDEX(Dic2024!$H$6:$H$205,MIN(C239+1,200)))-LN(INDEX(Dic2024!$H$6:$H$205,C239)))*(A239-6*C239)/6))</f>
        <v>0.328880082799327</v>
      </c>
      <c r="E239" s="12" t="n">
        <f aca="false">D239^(-1/B239)-1</f>
        <v>0.0584294399999998</v>
      </c>
      <c r="F239" s="12" t="n">
        <f aca="false">(1+E239)^(1/12)-1</f>
        <v>0.00474339352558029</v>
      </c>
      <c r="G239" s="16" t="n">
        <f aca="false">IF(C239=0,(1+Dic2024!$J$6)^(-B239),EXP(LN(INDEX(Dic2024!$K$6:$K$205,C239))+(LN(INDEX(Dic2024!$K$6:$K$205,MIN(C239+1,200)))-LN(INDEX(Dic2024!$K$6:$K$205,C239)))*(A239-6*C239)/6))</f>
        <v>0.328880082799327</v>
      </c>
      <c r="H239" s="12" t="n">
        <f aca="false">G239^(-1/B239)-1</f>
        <v>0.0584294399999998</v>
      </c>
      <c r="I239" s="12" t="n">
        <f aca="false">(1+H239)^(1/12)-1</f>
        <v>0.00474339352558029</v>
      </c>
      <c r="J239" s="16" t="n">
        <f aca="false">IF(C239=0,(1+Dic2024!$M$6)^(-B239),EXP(LN(INDEX(Dic2024!$N$6:$N$205,C239))+(LN(INDEX(Dic2024!$N$6:$N$205,MIN(C239+1,200)))-LN(INDEX(Dic2024!$N$6:$N$205,C239)))*(A239-6*C239)/6))</f>
        <v>0.328880082799327</v>
      </c>
      <c r="K239" s="12" t="n">
        <f aca="false">J239^(-1/B239)-1</f>
        <v>0.0584294399999998</v>
      </c>
      <c r="L239" s="12" t="n">
        <f aca="false">(1+K239)^(1/12)-1</f>
        <v>0.00474339352558029</v>
      </c>
    </row>
    <row r="240" customFormat="false" ht="15" hidden="false" customHeight="false" outlineLevel="0" collapsed="false">
      <c r="A240" s="4" t="n">
        <v>236</v>
      </c>
      <c r="B240" s="14" t="n">
        <f aca="false">A240/12</f>
        <v>19.6666666666667</v>
      </c>
      <c r="C240" s="15" t="n">
        <f aca="false">INT(A240/6)</f>
        <v>39</v>
      </c>
      <c r="D240" s="16" t="n">
        <f aca="false">IF(C240=0,(1+Dic2024!$G$6)^(-B240),EXP(LN(INDEX(Dic2024!$H$6:$H$205,C240))+(LN(INDEX(Dic2024!$H$6:$H$205,MIN(C240+1,200)))-LN(INDEX(Dic2024!$H$6:$H$205,C240)))*(A240-6*C240)/6))</f>
        <v>0.327327439939971</v>
      </c>
      <c r="E240" s="12" t="n">
        <f aca="false">D240^(-1/B240)-1</f>
        <v>0.0584294399999998</v>
      </c>
      <c r="F240" s="12" t="n">
        <f aca="false">(1+E240)^(1/12)-1</f>
        <v>0.00474339352558029</v>
      </c>
      <c r="G240" s="16" t="n">
        <f aca="false">IF(C240=0,(1+Dic2024!$J$6)^(-B240),EXP(LN(INDEX(Dic2024!$K$6:$K$205,C240))+(LN(INDEX(Dic2024!$K$6:$K$205,MIN(C240+1,200)))-LN(INDEX(Dic2024!$K$6:$K$205,C240)))*(A240-6*C240)/6))</f>
        <v>0.327327439939971</v>
      </c>
      <c r="H240" s="12" t="n">
        <f aca="false">G240^(-1/B240)-1</f>
        <v>0.0584294399999998</v>
      </c>
      <c r="I240" s="12" t="n">
        <f aca="false">(1+H240)^(1/12)-1</f>
        <v>0.00474339352558029</v>
      </c>
      <c r="J240" s="16" t="n">
        <f aca="false">IF(C240=0,(1+Dic2024!$M$6)^(-B240),EXP(LN(INDEX(Dic2024!$N$6:$N$205,C240))+(LN(INDEX(Dic2024!$N$6:$N$205,MIN(C240+1,200)))-LN(INDEX(Dic2024!$N$6:$N$205,C240)))*(A240-6*C240)/6))</f>
        <v>0.327327439939971</v>
      </c>
      <c r="K240" s="12" t="n">
        <f aca="false">J240^(-1/B240)-1</f>
        <v>0.0584294399999998</v>
      </c>
      <c r="L240" s="12" t="n">
        <f aca="false">(1+K240)^(1/12)-1</f>
        <v>0.00474339352558029</v>
      </c>
    </row>
    <row r="241" customFormat="false" ht="15" hidden="false" customHeight="false" outlineLevel="0" collapsed="false">
      <c r="A241" s="4" t="n">
        <v>237</v>
      </c>
      <c r="B241" s="14" t="n">
        <f aca="false">A241/12</f>
        <v>19.75</v>
      </c>
      <c r="C241" s="15" t="n">
        <f aca="false">INT(A241/6)</f>
        <v>39</v>
      </c>
      <c r="D241" s="16" t="n">
        <f aca="false">IF(C241=0,(1+Dic2024!$G$6)^(-B241),EXP(LN(INDEX(Dic2024!$H$6:$H$205,C241))+(LN(INDEX(Dic2024!$H$6:$H$205,MIN(C241+1,200)))-LN(INDEX(Dic2024!$H$6:$H$205,C241)))*(A241-6*C241)/6))</f>
        <v>0.3257821271075</v>
      </c>
      <c r="E241" s="12" t="n">
        <f aca="false">D241^(-1/B241)-1</f>
        <v>0.0584294399999998</v>
      </c>
      <c r="F241" s="12" t="n">
        <f aca="false">(1+E241)^(1/12)-1</f>
        <v>0.00474339352558029</v>
      </c>
      <c r="G241" s="16" t="n">
        <f aca="false">IF(C241=0,(1+Dic2024!$J$6)^(-B241),EXP(LN(INDEX(Dic2024!$K$6:$K$205,C241))+(LN(INDEX(Dic2024!$K$6:$K$205,MIN(C241+1,200)))-LN(INDEX(Dic2024!$K$6:$K$205,C241)))*(A241-6*C241)/6))</f>
        <v>0.3257821271075</v>
      </c>
      <c r="H241" s="12" t="n">
        <f aca="false">G241^(-1/B241)-1</f>
        <v>0.0584294399999998</v>
      </c>
      <c r="I241" s="12" t="n">
        <f aca="false">(1+H241)^(1/12)-1</f>
        <v>0.00474339352558029</v>
      </c>
      <c r="J241" s="16" t="n">
        <f aca="false">IF(C241=0,(1+Dic2024!$M$6)^(-B241),EXP(LN(INDEX(Dic2024!$N$6:$N$205,C241))+(LN(INDEX(Dic2024!$N$6:$N$205,MIN(C241+1,200)))-LN(INDEX(Dic2024!$N$6:$N$205,C241)))*(A241-6*C241)/6))</f>
        <v>0.3257821271075</v>
      </c>
      <c r="K241" s="12" t="n">
        <f aca="false">J241^(-1/B241)-1</f>
        <v>0.0584294399999998</v>
      </c>
      <c r="L241" s="12" t="n">
        <f aca="false">(1+K241)^(1/12)-1</f>
        <v>0.00474339352558029</v>
      </c>
    </row>
    <row r="242" customFormat="false" ht="15" hidden="false" customHeight="false" outlineLevel="0" collapsed="false">
      <c r="A242" s="4" t="n">
        <v>238</v>
      </c>
      <c r="B242" s="14" t="n">
        <f aca="false">A242/12</f>
        <v>19.8333333333333</v>
      </c>
      <c r="C242" s="15" t="n">
        <f aca="false">INT(A242/6)</f>
        <v>39</v>
      </c>
      <c r="D242" s="16" t="n">
        <f aca="false">IF(C242=0,(1+Dic2024!$G$6)^(-B242),EXP(LN(INDEX(Dic2024!$H$6:$H$205,C242))+(LN(INDEX(Dic2024!$H$6:$H$205,MIN(C242+1,200)))-LN(INDEX(Dic2024!$H$6:$H$205,C242)))*(A242-6*C242)/6))</f>
        <v>0.324244109696856</v>
      </c>
      <c r="E242" s="12" t="n">
        <f aca="false">D242^(-1/B242)-1</f>
        <v>0.0584294399999998</v>
      </c>
      <c r="F242" s="12" t="n">
        <f aca="false">(1+E242)^(1/12)-1</f>
        <v>0.00474339352558029</v>
      </c>
      <c r="G242" s="16" t="n">
        <f aca="false">IF(C242=0,(1+Dic2024!$J$6)^(-B242),EXP(LN(INDEX(Dic2024!$K$6:$K$205,C242))+(LN(INDEX(Dic2024!$K$6:$K$205,MIN(C242+1,200)))-LN(INDEX(Dic2024!$K$6:$K$205,C242)))*(A242-6*C242)/6))</f>
        <v>0.324244109696856</v>
      </c>
      <c r="H242" s="12" t="n">
        <f aca="false">G242^(-1/B242)-1</f>
        <v>0.0584294399999998</v>
      </c>
      <c r="I242" s="12" t="n">
        <f aca="false">(1+H242)^(1/12)-1</f>
        <v>0.00474339352558029</v>
      </c>
      <c r="J242" s="16" t="n">
        <f aca="false">IF(C242=0,(1+Dic2024!$M$6)^(-B242),EXP(LN(INDEX(Dic2024!$N$6:$N$205,C242))+(LN(INDEX(Dic2024!$N$6:$N$205,MIN(C242+1,200)))-LN(INDEX(Dic2024!$N$6:$N$205,C242)))*(A242-6*C242)/6))</f>
        <v>0.324244109696856</v>
      </c>
      <c r="K242" s="12" t="n">
        <f aca="false">J242^(-1/B242)-1</f>
        <v>0.0584294399999998</v>
      </c>
      <c r="L242" s="12" t="n">
        <f aca="false">(1+K242)^(1/12)-1</f>
        <v>0.00474339352558029</v>
      </c>
    </row>
    <row r="243" customFormat="false" ht="15" hidden="false" customHeight="false" outlineLevel="0" collapsed="false">
      <c r="A243" s="4" t="n">
        <v>239</v>
      </c>
      <c r="B243" s="14" t="n">
        <f aca="false">A243/12</f>
        <v>19.9166666666667</v>
      </c>
      <c r="C243" s="15" t="n">
        <f aca="false">INT(A243/6)</f>
        <v>39</v>
      </c>
      <c r="D243" s="16" t="n">
        <f aca="false">IF(C243=0,(1+Dic2024!$G$6)^(-B243),EXP(LN(INDEX(Dic2024!$H$6:$H$205,C243))+(LN(INDEX(Dic2024!$H$6:$H$205,MIN(C243+1,200)))-LN(INDEX(Dic2024!$H$6:$H$205,C243)))*(A243-6*C243)/6))</f>
        <v>0.322713353266354</v>
      </c>
      <c r="E243" s="12" t="n">
        <f aca="false">D243^(-1/B243)-1</f>
        <v>0.0584294399999998</v>
      </c>
      <c r="F243" s="12" t="n">
        <f aca="false">(1+E243)^(1/12)-1</f>
        <v>0.00474339352558029</v>
      </c>
      <c r="G243" s="16" t="n">
        <f aca="false">IF(C243=0,(1+Dic2024!$J$6)^(-B243),EXP(LN(INDEX(Dic2024!$K$6:$K$205,C243))+(LN(INDEX(Dic2024!$K$6:$K$205,MIN(C243+1,200)))-LN(INDEX(Dic2024!$K$6:$K$205,C243)))*(A243-6*C243)/6))</f>
        <v>0.322713353266354</v>
      </c>
      <c r="H243" s="12" t="n">
        <f aca="false">G243^(-1/B243)-1</f>
        <v>0.0584294399999998</v>
      </c>
      <c r="I243" s="12" t="n">
        <f aca="false">(1+H243)^(1/12)-1</f>
        <v>0.00474339352558029</v>
      </c>
      <c r="J243" s="16" t="n">
        <f aca="false">IF(C243=0,(1+Dic2024!$M$6)^(-B243),EXP(LN(INDEX(Dic2024!$N$6:$N$205,C243))+(LN(INDEX(Dic2024!$N$6:$N$205,MIN(C243+1,200)))-LN(INDEX(Dic2024!$N$6:$N$205,C243)))*(A243-6*C243)/6))</f>
        <v>0.322713353266354</v>
      </c>
      <c r="K243" s="12" t="n">
        <f aca="false">J243^(-1/B243)-1</f>
        <v>0.0584294399999998</v>
      </c>
      <c r="L243" s="12" t="n">
        <f aca="false">(1+K243)^(1/12)-1</f>
        <v>0.00474339352558029</v>
      </c>
    </row>
    <row r="244" customFormat="false" ht="15" hidden="false" customHeight="false" outlineLevel="0" collapsed="false">
      <c r="A244" s="4" t="n">
        <v>240</v>
      </c>
      <c r="B244" s="14" t="n">
        <f aca="false">A244/12</f>
        <v>20</v>
      </c>
      <c r="C244" s="15" t="n">
        <f aca="false">INT(A244/6)</f>
        <v>40</v>
      </c>
      <c r="D244" s="16" t="n">
        <f aca="false">IF(C244=0,(1+Dic2024!$G$6)^(-B244),EXP(LN(INDEX(Dic2024!$H$6:$H$205,C244))+(LN(INDEX(Dic2024!$H$6:$H$205,MIN(C244+1,200)))-LN(INDEX(Dic2024!$H$6:$H$205,C244)))*(A244-6*C244)/6))</f>
        <v>0.321189823536907</v>
      </c>
      <c r="E244" s="12" t="n">
        <f aca="false">D244^(-1/B244)-1</f>
        <v>0.0584294399999998</v>
      </c>
      <c r="F244" s="12" t="n">
        <f aca="false">(1+E244)^(1/12)-1</f>
        <v>0.00474339352558029</v>
      </c>
      <c r="G244" s="16" t="n">
        <f aca="false">IF(C244=0,(1+Dic2024!$J$6)^(-B244),EXP(LN(INDEX(Dic2024!$K$6:$K$205,C244))+(LN(INDEX(Dic2024!$K$6:$K$205,MIN(C244+1,200)))-LN(INDEX(Dic2024!$K$6:$K$205,C244)))*(A244-6*C244)/6))</f>
        <v>0.321189823536907</v>
      </c>
      <c r="H244" s="12" t="n">
        <f aca="false">G244^(-1/B244)-1</f>
        <v>0.0584294399999998</v>
      </c>
      <c r="I244" s="12" t="n">
        <f aca="false">(1+H244)^(1/12)-1</f>
        <v>0.00474339352558029</v>
      </c>
      <c r="J244" s="16" t="n">
        <f aca="false">IF(C244=0,(1+Dic2024!$M$6)^(-B244),EXP(LN(INDEX(Dic2024!$N$6:$N$205,C244))+(LN(INDEX(Dic2024!$N$6:$N$205,MIN(C244+1,200)))-LN(INDEX(Dic2024!$N$6:$N$205,C244)))*(A244-6*C244)/6))</f>
        <v>0.321189823536907</v>
      </c>
      <c r="K244" s="12" t="n">
        <f aca="false">J244^(-1/B244)-1</f>
        <v>0.0584294399999998</v>
      </c>
      <c r="L244" s="12" t="n">
        <f aca="false">(1+K244)^(1/12)-1</f>
        <v>0.00474339352558029</v>
      </c>
    </row>
    <row r="245" customFormat="false" ht="15" hidden="false" customHeight="false" outlineLevel="0" collapsed="false">
      <c r="A245" s="4" t="n">
        <v>241</v>
      </c>
      <c r="B245" s="14" t="n">
        <f aca="false">A245/12</f>
        <v>20.0833333333333</v>
      </c>
      <c r="C245" s="15" t="n">
        <f aca="false">INT(A245/6)</f>
        <v>40</v>
      </c>
      <c r="D245" s="16" t="n">
        <f aca="false">IF(C245=0,(1+Dic2024!$G$6)^(-B245),EXP(LN(INDEX(Dic2024!$H$6:$H$205,C245))+(LN(INDEX(Dic2024!$H$6:$H$205,MIN(C245+1,200)))-LN(INDEX(Dic2024!$H$6:$H$205,C245)))*(A245-6*C245)/6))</f>
        <v>0.319567342352579</v>
      </c>
      <c r="E245" s="12" t="n">
        <f aca="false">D245^(-1/B245)-1</f>
        <v>0.058446942126047</v>
      </c>
      <c r="F245" s="12" t="n">
        <f aca="false">(1+E245)^(1/12)-1</f>
        <v>0.00474477804648599</v>
      </c>
      <c r="G245" s="16" t="n">
        <f aca="false">IF(C245=0,(1+Dic2024!$J$6)^(-B245),EXP(LN(INDEX(Dic2024!$K$6:$K$205,C245))+(LN(INDEX(Dic2024!$K$6:$K$205,MIN(C245+1,200)))-LN(INDEX(Dic2024!$K$6:$K$205,C245)))*(A245-6*C245)/6))</f>
        <v>0.319567342352579</v>
      </c>
      <c r="H245" s="12" t="n">
        <f aca="false">G245^(-1/B245)-1</f>
        <v>0.058446942126047</v>
      </c>
      <c r="I245" s="12" t="n">
        <f aca="false">(1+H245)^(1/12)-1</f>
        <v>0.00474477804648599</v>
      </c>
      <c r="J245" s="16" t="n">
        <f aca="false">IF(C245=0,(1+Dic2024!$M$6)^(-B245),EXP(LN(INDEX(Dic2024!$N$6:$N$205,C245))+(LN(INDEX(Dic2024!$N$6:$N$205,MIN(C245+1,200)))-LN(INDEX(Dic2024!$N$6:$N$205,C245)))*(A245-6*C245)/6))</f>
        <v>0.319567342352579</v>
      </c>
      <c r="K245" s="12" t="n">
        <f aca="false">J245^(-1/B245)-1</f>
        <v>0.058446942126047</v>
      </c>
      <c r="L245" s="12" t="n">
        <f aca="false">(1+K245)^(1/12)-1</f>
        <v>0.00474477804648599</v>
      </c>
    </row>
    <row r="246" customFormat="false" ht="15" hidden="false" customHeight="false" outlineLevel="0" collapsed="false">
      <c r="A246" s="4" t="n">
        <v>242</v>
      </c>
      <c r="B246" s="14" t="n">
        <f aca="false">A246/12</f>
        <v>20.1666666666667</v>
      </c>
      <c r="C246" s="15" t="n">
        <f aca="false">INT(A246/6)</f>
        <v>40</v>
      </c>
      <c r="D246" s="16" t="n">
        <f aca="false">IF(C246=0,(1+Dic2024!$G$6)^(-B246),EXP(LN(INDEX(Dic2024!$H$6:$H$205,C246))+(LN(INDEX(Dic2024!$H$6:$H$205,MIN(C246+1,200)))-LN(INDEX(Dic2024!$H$6:$H$205,C246)))*(A246-6*C246)/6))</f>
        <v>0.317953057085433</v>
      </c>
      <c r="E246" s="12" t="n">
        <f aca="false">D246^(-1/B246)-1</f>
        <v>0.0584642998922604</v>
      </c>
      <c r="F246" s="12" t="n">
        <f aca="false">(1+E246)^(1/12)-1</f>
        <v>0.00474615112695442</v>
      </c>
      <c r="G246" s="16" t="n">
        <f aca="false">IF(C246=0,(1+Dic2024!$J$6)^(-B246),EXP(LN(INDEX(Dic2024!$K$6:$K$205,C246))+(LN(INDEX(Dic2024!$K$6:$K$205,MIN(C246+1,200)))-LN(INDEX(Dic2024!$K$6:$K$205,C246)))*(A246-6*C246)/6))</f>
        <v>0.317953057085433</v>
      </c>
      <c r="H246" s="12" t="n">
        <f aca="false">G246^(-1/B246)-1</f>
        <v>0.0584642998922604</v>
      </c>
      <c r="I246" s="12" t="n">
        <f aca="false">(1+H246)^(1/12)-1</f>
        <v>0.00474615112695442</v>
      </c>
      <c r="J246" s="16" t="n">
        <f aca="false">IF(C246=0,(1+Dic2024!$M$6)^(-B246),EXP(LN(INDEX(Dic2024!$N$6:$N$205,C246))+(LN(INDEX(Dic2024!$N$6:$N$205,MIN(C246+1,200)))-LN(INDEX(Dic2024!$N$6:$N$205,C246)))*(A246-6*C246)/6))</f>
        <v>0.317953057085433</v>
      </c>
      <c r="K246" s="12" t="n">
        <f aca="false">J246^(-1/B246)-1</f>
        <v>0.0584642998922604</v>
      </c>
      <c r="L246" s="12" t="n">
        <f aca="false">(1+K246)^(1/12)-1</f>
        <v>0.00474615112695442</v>
      </c>
    </row>
    <row r="247" customFormat="false" ht="15" hidden="false" customHeight="false" outlineLevel="0" collapsed="false">
      <c r="A247" s="4" t="n">
        <v>243</v>
      </c>
      <c r="B247" s="14" t="n">
        <f aca="false">A247/12</f>
        <v>20.25</v>
      </c>
      <c r="C247" s="15" t="n">
        <f aca="false">INT(A247/6)</f>
        <v>40</v>
      </c>
      <c r="D247" s="16" t="n">
        <f aca="false">IF(C247=0,(1+Dic2024!$G$6)^(-B247),EXP(LN(INDEX(Dic2024!$H$6:$H$205,C247))+(LN(INDEX(Dic2024!$H$6:$H$205,MIN(C247+1,200)))-LN(INDEX(Dic2024!$H$6:$H$205,C247)))*(A247-6*C247)/6))</f>
        <v>0.316346926334028</v>
      </c>
      <c r="E247" s="12" t="n">
        <f aca="false">D247^(-1/B247)-1</f>
        <v>0.0584815150773508</v>
      </c>
      <c r="F247" s="12" t="n">
        <f aca="false">(1+E247)^(1/12)-1</f>
        <v>0.00474751290820241</v>
      </c>
      <c r="G247" s="16" t="n">
        <f aca="false">IF(C247=0,(1+Dic2024!$J$6)^(-B247),EXP(LN(INDEX(Dic2024!$K$6:$K$205,C247))+(LN(INDEX(Dic2024!$K$6:$K$205,MIN(C247+1,200)))-LN(INDEX(Dic2024!$K$6:$K$205,C247)))*(A247-6*C247)/6))</f>
        <v>0.316346926334028</v>
      </c>
      <c r="H247" s="12" t="n">
        <f aca="false">G247^(-1/B247)-1</f>
        <v>0.0584815150773508</v>
      </c>
      <c r="I247" s="12" t="n">
        <f aca="false">(1+H247)^(1/12)-1</f>
        <v>0.00474751290820241</v>
      </c>
      <c r="J247" s="16" t="n">
        <f aca="false">IF(C247=0,(1+Dic2024!$M$6)^(-B247),EXP(LN(INDEX(Dic2024!$N$6:$N$205,C247))+(LN(INDEX(Dic2024!$N$6:$N$205,MIN(C247+1,200)))-LN(INDEX(Dic2024!$N$6:$N$205,C247)))*(A247-6*C247)/6))</f>
        <v>0.316346926334028</v>
      </c>
      <c r="K247" s="12" t="n">
        <f aca="false">J247^(-1/B247)-1</f>
        <v>0.0584815150773508</v>
      </c>
      <c r="L247" s="12" t="n">
        <f aca="false">(1+K247)^(1/12)-1</f>
        <v>0.00474751290820241</v>
      </c>
    </row>
    <row r="248" customFormat="false" ht="15" hidden="false" customHeight="false" outlineLevel="0" collapsed="false">
      <c r="A248" s="4" t="n">
        <v>244</v>
      </c>
      <c r="B248" s="14" t="n">
        <f aca="false">A248/12</f>
        <v>20.3333333333333</v>
      </c>
      <c r="C248" s="15" t="n">
        <f aca="false">INT(A248/6)</f>
        <v>40</v>
      </c>
      <c r="D248" s="16" t="n">
        <f aca="false">IF(C248=0,(1+Dic2024!$G$6)^(-B248),EXP(LN(INDEX(Dic2024!$H$6:$H$205,C248))+(LN(INDEX(Dic2024!$H$6:$H$205,MIN(C248+1,200)))-LN(INDEX(Dic2024!$H$6:$H$205,C248)))*(A248-6*C248)/6))</f>
        <v>0.314748908906063</v>
      </c>
      <c r="E248" s="12" t="n">
        <f aca="false">D248^(-1/B248)-1</f>
        <v>0.0584985894309265</v>
      </c>
      <c r="F248" s="12" t="n">
        <f aca="false">(1+E248)^(1/12)-1</f>
        <v>0.00474886352913195</v>
      </c>
      <c r="G248" s="16" t="n">
        <f aca="false">IF(C248=0,(1+Dic2024!$J$6)^(-B248),EXP(LN(INDEX(Dic2024!$K$6:$K$205,C248))+(LN(INDEX(Dic2024!$K$6:$K$205,MIN(C248+1,200)))-LN(INDEX(Dic2024!$K$6:$K$205,C248)))*(A248-6*C248)/6))</f>
        <v>0.314748908906063</v>
      </c>
      <c r="H248" s="12" t="n">
        <f aca="false">G248^(-1/B248)-1</f>
        <v>0.0584985894309265</v>
      </c>
      <c r="I248" s="12" t="n">
        <f aca="false">(1+H248)^(1/12)-1</f>
        <v>0.00474886352913195</v>
      </c>
      <c r="J248" s="16" t="n">
        <f aca="false">IF(C248=0,(1+Dic2024!$M$6)^(-B248),EXP(LN(INDEX(Dic2024!$N$6:$N$205,C248))+(LN(INDEX(Dic2024!$N$6:$N$205,MIN(C248+1,200)))-LN(INDEX(Dic2024!$N$6:$N$205,C248)))*(A248-6*C248)/6))</f>
        <v>0.314748908906063</v>
      </c>
      <c r="K248" s="12" t="n">
        <f aca="false">J248^(-1/B248)-1</f>
        <v>0.0584985894309265</v>
      </c>
      <c r="L248" s="12" t="n">
        <f aca="false">(1+K248)^(1/12)-1</f>
        <v>0.00474886352913195</v>
      </c>
    </row>
    <row r="249" customFormat="false" ht="15" hidden="false" customHeight="false" outlineLevel="0" collapsed="false">
      <c r="A249" s="4" t="n">
        <v>245</v>
      </c>
      <c r="B249" s="14" t="n">
        <f aca="false">A249/12</f>
        <v>20.4166666666667</v>
      </c>
      <c r="C249" s="15" t="n">
        <f aca="false">INT(A249/6)</f>
        <v>40</v>
      </c>
      <c r="D249" s="16" t="n">
        <f aca="false">IF(C249=0,(1+Dic2024!$G$6)^(-B249),EXP(LN(INDEX(Dic2024!$H$6:$H$205,C249))+(LN(INDEX(Dic2024!$H$6:$H$205,MIN(C249+1,200)))-LN(INDEX(Dic2024!$H$6:$H$205,C249)))*(A249-6*C249)/6))</f>
        <v>0.313158963817317</v>
      </c>
      <c r="E249" s="12" t="n">
        <f aca="false">D249^(-1/B249)-1</f>
        <v>0.0585155246740867</v>
      </c>
      <c r="F249" s="12" t="n">
        <f aca="false">(1+E249)^(1/12)-1</f>
        <v>0.00475020312637797</v>
      </c>
      <c r="G249" s="16" t="n">
        <f aca="false">IF(C249=0,(1+Dic2024!$J$6)^(-B249),EXP(LN(INDEX(Dic2024!$K$6:$K$205,C249))+(LN(INDEX(Dic2024!$K$6:$K$205,MIN(C249+1,200)))-LN(INDEX(Dic2024!$K$6:$K$205,C249)))*(A249-6*C249)/6))</f>
        <v>0.313158963817317</v>
      </c>
      <c r="H249" s="12" t="n">
        <f aca="false">G249^(-1/B249)-1</f>
        <v>0.0585155246740867</v>
      </c>
      <c r="I249" s="12" t="n">
        <f aca="false">(1+H249)^(1/12)-1</f>
        <v>0.00475020312637797</v>
      </c>
      <c r="J249" s="16" t="n">
        <f aca="false">IF(C249=0,(1+Dic2024!$M$6)^(-B249),EXP(LN(INDEX(Dic2024!$N$6:$N$205,C249))+(LN(INDEX(Dic2024!$N$6:$N$205,MIN(C249+1,200)))-LN(INDEX(Dic2024!$N$6:$N$205,C249)))*(A249-6*C249)/6))</f>
        <v>0.313158963817317</v>
      </c>
      <c r="K249" s="12" t="n">
        <f aca="false">J249^(-1/B249)-1</f>
        <v>0.0585155246740867</v>
      </c>
      <c r="L249" s="12" t="n">
        <f aca="false">(1+K249)^(1/12)-1</f>
        <v>0.00475020312637797</v>
      </c>
    </row>
    <row r="250" customFormat="false" ht="15" hidden="false" customHeight="false" outlineLevel="0" collapsed="false">
      <c r="A250" s="4" t="n">
        <v>246</v>
      </c>
      <c r="B250" s="14" t="n">
        <f aca="false">A250/12</f>
        <v>20.5</v>
      </c>
      <c r="C250" s="15" t="n">
        <f aca="false">INT(A250/6)</f>
        <v>41</v>
      </c>
      <c r="D250" s="16" t="n">
        <f aca="false">IF(C250=0,(1+Dic2024!$G$6)^(-B250),EXP(LN(INDEX(Dic2024!$H$6:$H$205,C250))+(LN(INDEX(Dic2024!$H$6:$H$205,MIN(C250+1,200)))-LN(INDEX(Dic2024!$H$6:$H$205,C250)))*(A250-6*C250)/6))</f>
        <v>0.311577050290598</v>
      </c>
      <c r="E250" s="12" t="n">
        <f aca="false">D250^(-1/B250)-1</f>
        <v>0.0585323225000001</v>
      </c>
      <c r="F250" s="12" t="n">
        <f aca="false">(1+E250)^(1/12)-1</f>
        <v>0.00475153183435384</v>
      </c>
      <c r="G250" s="16" t="n">
        <f aca="false">IF(C250=0,(1+Dic2024!$J$6)^(-B250),EXP(LN(INDEX(Dic2024!$K$6:$K$205,C250))+(LN(INDEX(Dic2024!$K$6:$K$205,MIN(C250+1,200)))-LN(INDEX(Dic2024!$K$6:$K$205,C250)))*(A250-6*C250)/6))</f>
        <v>0.311577050290598</v>
      </c>
      <c r="H250" s="12" t="n">
        <f aca="false">G250^(-1/B250)-1</f>
        <v>0.0585323225000001</v>
      </c>
      <c r="I250" s="12" t="n">
        <f aca="false">(1+H250)^(1/12)-1</f>
        <v>0.00475153183435384</v>
      </c>
      <c r="J250" s="16" t="n">
        <f aca="false">IF(C250=0,(1+Dic2024!$M$6)^(-B250),EXP(LN(INDEX(Dic2024!$N$6:$N$205,C250))+(LN(INDEX(Dic2024!$N$6:$N$205,MIN(C250+1,200)))-LN(INDEX(Dic2024!$N$6:$N$205,C250)))*(A250-6*C250)/6))</f>
        <v>0.311577050290598</v>
      </c>
      <c r="K250" s="12" t="n">
        <f aca="false">J250^(-1/B250)-1</f>
        <v>0.0585323225000001</v>
      </c>
      <c r="L250" s="12" t="n">
        <f aca="false">(1+K250)^(1/12)-1</f>
        <v>0.00475153183435384</v>
      </c>
    </row>
    <row r="251" customFormat="false" ht="15" hidden="false" customHeight="false" outlineLevel="0" collapsed="false">
      <c r="A251" s="4" t="n">
        <v>247</v>
      </c>
      <c r="B251" s="14" t="n">
        <f aca="false">A251/12</f>
        <v>20.5833333333333</v>
      </c>
      <c r="C251" s="15" t="n">
        <f aca="false">INT(A251/6)</f>
        <v>41</v>
      </c>
      <c r="D251" s="16" t="n">
        <f aca="false">IF(C251=0,(1+Dic2024!$G$6)^(-B251),EXP(LN(INDEX(Dic2024!$H$6:$H$205,C251))+(LN(INDEX(Dic2024!$H$6:$H$205,MIN(C251+1,200)))-LN(INDEX(Dic2024!$H$6:$H$205,C251)))*(A251-6*C251)/6))</f>
        <v>0.310103583242873</v>
      </c>
      <c r="E251" s="12" t="n">
        <f aca="false">D251^(-1/B251)-1</f>
        <v>0.0585323225000001</v>
      </c>
      <c r="F251" s="12" t="n">
        <f aca="false">(1+E251)^(1/12)-1</f>
        <v>0.00475153183435384</v>
      </c>
      <c r="G251" s="16" t="n">
        <f aca="false">IF(C251=0,(1+Dic2024!$J$6)^(-B251),EXP(LN(INDEX(Dic2024!$K$6:$K$205,C251))+(LN(INDEX(Dic2024!$K$6:$K$205,MIN(C251+1,200)))-LN(INDEX(Dic2024!$K$6:$K$205,C251)))*(A251-6*C251)/6))</f>
        <v>0.310103583242873</v>
      </c>
      <c r="H251" s="12" t="n">
        <f aca="false">G251^(-1/B251)-1</f>
        <v>0.0585323225000001</v>
      </c>
      <c r="I251" s="12" t="n">
        <f aca="false">(1+H251)^(1/12)-1</f>
        <v>0.00475153183435384</v>
      </c>
      <c r="J251" s="16" t="n">
        <f aca="false">IF(C251=0,(1+Dic2024!$M$6)^(-B251),EXP(LN(INDEX(Dic2024!$N$6:$N$205,C251))+(LN(INDEX(Dic2024!$N$6:$N$205,MIN(C251+1,200)))-LN(INDEX(Dic2024!$N$6:$N$205,C251)))*(A251-6*C251)/6))</f>
        <v>0.310103583242873</v>
      </c>
      <c r="K251" s="12" t="n">
        <f aca="false">J251^(-1/B251)-1</f>
        <v>0.0585323225000001</v>
      </c>
      <c r="L251" s="12" t="n">
        <f aca="false">(1+K251)^(1/12)-1</f>
        <v>0.00475153183435384</v>
      </c>
    </row>
    <row r="252" customFormat="false" ht="15" hidden="false" customHeight="false" outlineLevel="0" collapsed="false">
      <c r="A252" s="4" t="n">
        <v>248</v>
      </c>
      <c r="B252" s="14" t="n">
        <f aca="false">A252/12</f>
        <v>20.6666666666667</v>
      </c>
      <c r="C252" s="15" t="n">
        <f aca="false">INT(A252/6)</f>
        <v>41</v>
      </c>
      <c r="D252" s="16" t="n">
        <f aca="false">IF(C252=0,(1+Dic2024!$G$6)^(-B252),EXP(LN(INDEX(Dic2024!$H$6:$H$205,C252))+(LN(INDEX(Dic2024!$H$6:$H$205,MIN(C252+1,200)))-LN(INDEX(Dic2024!$H$6:$H$205,C252)))*(A252-6*C252)/6))</f>
        <v>0.308637084311504</v>
      </c>
      <c r="E252" s="12" t="n">
        <f aca="false">D252^(-1/B252)-1</f>
        <v>0.0585323225000001</v>
      </c>
      <c r="F252" s="12" t="n">
        <f aca="false">(1+E252)^(1/12)-1</f>
        <v>0.00475153183435384</v>
      </c>
      <c r="G252" s="16" t="n">
        <f aca="false">IF(C252=0,(1+Dic2024!$J$6)^(-B252),EXP(LN(INDEX(Dic2024!$K$6:$K$205,C252))+(LN(INDEX(Dic2024!$K$6:$K$205,MIN(C252+1,200)))-LN(INDEX(Dic2024!$K$6:$K$205,C252)))*(A252-6*C252)/6))</f>
        <v>0.308637084311504</v>
      </c>
      <c r="H252" s="12" t="n">
        <f aca="false">G252^(-1/B252)-1</f>
        <v>0.0585323225000001</v>
      </c>
      <c r="I252" s="12" t="n">
        <f aca="false">(1+H252)^(1/12)-1</f>
        <v>0.00475153183435384</v>
      </c>
      <c r="J252" s="16" t="n">
        <f aca="false">IF(C252=0,(1+Dic2024!$M$6)^(-B252),EXP(LN(INDEX(Dic2024!$N$6:$N$205,C252))+(LN(INDEX(Dic2024!$N$6:$N$205,MIN(C252+1,200)))-LN(INDEX(Dic2024!$N$6:$N$205,C252)))*(A252-6*C252)/6))</f>
        <v>0.308637084311504</v>
      </c>
      <c r="K252" s="12" t="n">
        <f aca="false">J252^(-1/B252)-1</f>
        <v>0.0585323225000001</v>
      </c>
      <c r="L252" s="12" t="n">
        <f aca="false">(1+K252)^(1/12)-1</f>
        <v>0.00475153183435384</v>
      </c>
    </row>
    <row r="253" customFormat="false" ht="15" hidden="false" customHeight="false" outlineLevel="0" collapsed="false">
      <c r="A253" s="4" t="n">
        <v>249</v>
      </c>
      <c r="B253" s="14" t="n">
        <f aca="false">A253/12</f>
        <v>20.75</v>
      </c>
      <c r="C253" s="15" t="n">
        <f aca="false">INT(A253/6)</f>
        <v>41</v>
      </c>
      <c r="D253" s="16" t="n">
        <f aca="false">IF(C253=0,(1+Dic2024!$G$6)^(-B253),EXP(LN(INDEX(Dic2024!$H$6:$H$205,C253))+(LN(INDEX(Dic2024!$H$6:$H$205,MIN(C253+1,200)))-LN(INDEX(Dic2024!$H$6:$H$205,C253)))*(A253-6*C253)/6))</f>
        <v>0.307177520543842</v>
      </c>
      <c r="E253" s="12" t="n">
        <f aca="false">D253^(-1/B253)-1</f>
        <v>0.0585323225000001</v>
      </c>
      <c r="F253" s="12" t="n">
        <f aca="false">(1+E253)^(1/12)-1</f>
        <v>0.00475153183435384</v>
      </c>
      <c r="G253" s="16" t="n">
        <f aca="false">IF(C253=0,(1+Dic2024!$J$6)^(-B253),EXP(LN(INDEX(Dic2024!$K$6:$K$205,C253))+(LN(INDEX(Dic2024!$K$6:$K$205,MIN(C253+1,200)))-LN(INDEX(Dic2024!$K$6:$K$205,C253)))*(A253-6*C253)/6))</f>
        <v>0.307177520543842</v>
      </c>
      <c r="H253" s="12" t="n">
        <f aca="false">G253^(-1/B253)-1</f>
        <v>0.0585323225000001</v>
      </c>
      <c r="I253" s="12" t="n">
        <f aca="false">(1+H253)^(1/12)-1</f>
        <v>0.00475153183435384</v>
      </c>
      <c r="J253" s="16" t="n">
        <f aca="false">IF(C253=0,(1+Dic2024!$M$6)^(-B253),EXP(LN(INDEX(Dic2024!$N$6:$N$205,C253))+(LN(INDEX(Dic2024!$N$6:$N$205,MIN(C253+1,200)))-LN(INDEX(Dic2024!$N$6:$N$205,C253)))*(A253-6*C253)/6))</f>
        <v>0.307177520543842</v>
      </c>
      <c r="K253" s="12" t="n">
        <f aca="false">J253^(-1/B253)-1</f>
        <v>0.0585323225000001</v>
      </c>
      <c r="L253" s="12" t="n">
        <f aca="false">(1+K253)^(1/12)-1</f>
        <v>0.00475153183435384</v>
      </c>
    </row>
    <row r="254" customFormat="false" ht="15" hidden="false" customHeight="false" outlineLevel="0" collapsed="false">
      <c r="A254" s="4" t="n">
        <v>250</v>
      </c>
      <c r="B254" s="14" t="n">
        <f aca="false">A254/12</f>
        <v>20.8333333333333</v>
      </c>
      <c r="C254" s="15" t="n">
        <f aca="false">INT(A254/6)</f>
        <v>41</v>
      </c>
      <c r="D254" s="16" t="n">
        <f aca="false">IF(C254=0,(1+Dic2024!$G$6)^(-B254),EXP(LN(INDEX(Dic2024!$H$6:$H$205,C254))+(LN(INDEX(Dic2024!$H$6:$H$205,MIN(C254+1,200)))-LN(INDEX(Dic2024!$H$6:$H$205,C254)))*(A254-6*C254)/6))</f>
        <v>0.305724859143071</v>
      </c>
      <c r="E254" s="12" t="n">
        <f aca="false">D254^(-1/B254)-1</f>
        <v>0.0585323225000001</v>
      </c>
      <c r="F254" s="12" t="n">
        <f aca="false">(1+E254)^(1/12)-1</f>
        <v>0.00475153183435384</v>
      </c>
      <c r="G254" s="16" t="n">
        <f aca="false">IF(C254=0,(1+Dic2024!$J$6)^(-B254),EXP(LN(INDEX(Dic2024!$K$6:$K$205,C254))+(LN(INDEX(Dic2024!$K$6:$K$205,MIN(C254+1,200)))-LN(INDEX(Dic2024!$K$6:$K$205,C254)))*(A254-6*C254)/6))</f>
        <v>0.305724859143071</v>
      </c>
      <c r="H254" s="12" t="n">
        <f aca="false">G254^(-1/B254)-1</f>
        <v>0.0585323225000001</v>
      </c>
      <c r="I254" s="12" t="n">
        <f aca="false">(1+H254)^(1/12)-1</f>
        <v>0.00475153183435384</v>
      </c>
      <c r="J254" s="16" t="n">
        <f aca="false">IF(C254=0,(1+Dic2024!$M$6)^(-B254),EXP(LN(INDEX(Dic2024!$N$6:$N$205,C254))+(LN(INDEX(Dic2024!$N$6:$N$205,MIN(C254+1,200)))-LN(INDEX(Dic2024!$N$6:$N$205,C254)))*(A254-6*C254)/6))</f>
        <v>0.305724859143071</v>
      </c>
      <c r="K254" s="12" t="n">
        <f aca="false">J254^(-1/B254)-1</f>
        <v>0.0585323225000001</v>
      </c>
      <c r="L254" s="12" t="n">
        <f aca="false">(1+K254)^(1/12)-1</f>
        <v>0.00475153183435384</v>
      </c>
    </row>
    <row r="255" customFormat="false" ht="15" hidden="false" customHeight="false" outlineLevel="0" collapsed="false">
      <c r="A255" s="4" t="n">
        <v>251</v>
      </c>
      <c r="B255" s="14" t="n">
        <f aca="false">A255/12</f>
        <v>20.9166666666667</v>
      </c>
      <c r="C255" s="15" t="n">
        <f aca="false">INT(A255/6)</f>
        <v>41</v>
      </c>
      <c r="D255" s="16" t="n">
        <f aca="false">IF(C255=0,(1+Dic2024!$G$6)^(-B255),EXP(LN(INDEX(Dic2024!$H$6:$H$205,C255))+(LN(INDEX(Dic2024!$H$6:$H$205,MIN(C255+1,200)))-LN(INDEX(Dic2024!$H$6:$H$205,C255)))*(A255-6*C255)/6))</f>
        <v>0.304279067467472</v>
      </c>
      <c r="E255" s="12" t="n">
        <f aca="false">D255^(-1/B255)-1</f>
        <v>0.0585323225000001</v>
      </c>
      <c r="F255" s="12" t="n">
        <f aca="false">(1+E255)^(1/12)-1</f>
        <v>0.00475153183435384</v>
      </c>
      <c r="G255" s="16" t="n">
        <f aca="false">IF(C255=0,(1+Dic2024!$J$6)^(-B255),EXP(LN(INDEX(Dic2024!$K$6:$K$205,C255))+(LN(INDEX(Dic2024!$K$6:$K$205,MIN(C255+1,200)))-LN(INDEX(Dic2024!$K$6:$K$205,C255)))*(A255-6*C255)/6))</f>
        <v>0.304279067467472</v>
      </c>
      <c r="H255" s="12" t="n">
        <f aca="false">G255^(-1/B255)-1</f>
        <v>0.0585323225000001</v>
      </c>
      <c r="I255" s="12" t="n">
        <f aca="false">(1+H255)^(1/12)-1</f>
        <v>0.00475153183435384</v>
      </c>
      <c r="J255" s="16" t="n">
        <f aca="false">IF(C255=0,(1+Dic2024!$M$6)^(-B255),EXP(LN(INDEX(Dic2024!$N$6:$N$205,C255))+(LN(INDEX(Dic2024!$N$6:$N$205,MIN(C255+1,200)))-LN(INDEX(Dic2024!$N$6:$N$205,C255)))*(A255-6*C255)/6))</f>
        <v>0.304279067467472</v>
      </c>
      <c r="K255" s="12" t="n">
        <f aca="false">J255^(-1/B255)-1</f>
        <v>0.0585323225000001</v>
      </c>
      <c r="L255" s="12" t="n">
        <f aca="false">(1+K255)^(1/12)-1</f>
        <v>0.00475153183435384</v>
      </c>
    </row>
    <row r="256" customFormat="false" ht="15" hidden="false" customHeight="false" outlineLevel="0" collapsed="false">
      <c r="A256" s="4" t="n">
        <v>252</v>
      </c>
      <c r="B256" s="14" t="n">
        <f aca="false">A256/12</f>
        <v>21</v>
      </c>
      <c r="C256" s="15" t="n">
        <f aca="false">INT(A256/6)</f>
        <v>42</v>
      </c>
      <c r="D256" s="16" t="n">
        <f aca="false">IF(C256=0,(1+Dic2024!$G$6)^(-B256),EXP(LN(INDEX(Dic2024!$H$6:$H$205,C256))+(LN(INDEX(Dic2024!$H$6:$H$205,MIN(C256+1,200)))-LN(INDEX(Dic2024!$H$6:$H$205,C256)))*(A256-6*C256)/6))</f>
        <v>0.302840113029692</v>
      </c>
      <c r="E256" s="12" t="n">
        <f aca="false">D256^(-1/B256)-1</f>
        <v>0.0585323225000001</v>
      </c>
      <c r="F256" s="12" t="n">
        <f aca="false">(1+E256)^(1/12)-1</f>
        <v>0.00475153183435384</v>
      </c>
      <c r="G256" s="16" t="n">
        <f aca="false">IF(C256=0,(1+Dic2024!$J$6)^(-B256),EXP(LN(INDEX(Dic2024!$K$6:$K$205,C256))+(LN(INDEX(Dic2024!$K$6:$K$205,MIN(C256+1,200)))-LN(INDEX(Dic2024!$K$6:$K$205,C256)))*(A256-6*C256)/6))</f>
        <v>0.302840113029692</v>
      </c>
      <c r="H256" s="12" t="n">
        <f aca="false">G256^(-1/B256)-1</f>
        <v>0.0585323225000001</v>
      </c>
      <c r="I256" s="12" t="n">
        <f aca="false">(1+H256)^(1/12)-1</f>
        <v>0.00475153183435384</v>
      </c>
      <c r="J256" s="16" t="n">
        <f aca="false">IF(C256=0,(1+Dic2024!$M$6)^(-B256),EXP(LN(INDEX(Dic2024!$N$6:$N$205,C256))+(LN(INDEX(Dic2024!$N$6:$N$205,MIN(C256+1,200)))-LN(INDEX(Dic2024!$N$6:$N$205,C256)))*(A256-6*C256)/6))</f>
        <v>0.302840113029692</v>
      </c>
      <c r="K256" s="12" t="n">
        <f aca="false">J256^(-1/B256)-1</f>
        <v>0.0585323225000001</v>
      </c>
      <c r="L256" s="12" t="n">
        <f aca="false">(1+K256)^(1/12)-1</f>
        <v>0.00475153183435384</v>
      </c>
    </row>
    <row r="257" customFormat="false" ht="15" hidden="false" customHeight="false" outlineLevel="0" collapsed="false">
      <c r="A257" s="4" t="n">
        <v>253</v>
      </c>
      <c r="B257" s="14" t="n">
        <f aca="false">A257/12</f>
        <v>21.0833333333333</v>
      </c>
      <c r="C257" s="15" t="n">
        <f aca="false">INT(A257/6)</f>
        <v>42</v>
      </c>
      <c r="D257" s="16" t="n">
        <f aca="false">IF(C257=0,(1+Dic2024!$G$6)^(-B257),EXP(LN(INDEX(Dic2024!$H$6:$H$205,C257))+(LN(INDEX(Dic2024!$H$6:$H$205,MIN(C257+1,200)))-LN(INDEX(Dic2024!$H$6:$H$205,C257)))*(A257-6*C257)/6))</f>
        <v>0.301303008360821</v>
      </c>
      <c r="E257" s="12" t="n">
        <f aca="false">D257^(-1/B257)-1</f>
        <v>0.0585498086029384</v>
      </c>
      <c r="F257" s="12" t="n">
        <f aca="false">(1+E257)^(1/12)-1</f>
        <v>0.00475291496450803</v>
      </c>
      <c r="G257" s="16" t="n">
        <f aca="false">IF(C257=0,(1+Dic2024!$J$6)^(-B257),EXP(LN(INDEX(Dic2024!$K$6:$K$205,C257))+(LN(INDEX(Dic2024!$K$6:$K$205,MIN(C257+1,200)))-LN(INDEX(Dic2024!$K$6:$K$205,C257)))*(A257-6*C257)/6))</f>
        <v>0.301303008360821</v>
      </c>
      <c r="H257" s="12" t="n">
        <f aca="false">G257^(-1/B257)-1</f>
        <v>0.0585498086029384</v>
      </c>
      <c r="I257" s="12" t="n">
        <f aca="false">(1+H257)^(1/12)-1</f>
        <v>0.00475291496450803</v>
      </c>
      <c r="J257" s="16" t="n">
        <f aca="false">IF(C257=0,(1+Dic2024!$M$6)^(-B257),EXP(LN(INDEX(Dic2024!$N$6:$N$205,C257))+(LN(INDEX(Dic2024!$N$6:$N$205,MIN(C257+1,200)))-LN(INDEX(Dic2024!$N$6:$N$205,C257)))*(A257-6*C257)/6))</f>
        <v>0.301303008360821</v>
      </c>
      <c r="K257" s="12" t="n">
        <f aca="false">J257^(-1/B257)-1</f>
        <v>0.0585498086029384</v>
      </c>
      <c r="L257" s="12" t="n">
        <f aca="false">(1+K257)^(1/12)-1</f>
        <v>0.00475291496450803</v>
      </c>
    </row>
    <row r="258" customFormat="false" ht="15" hidden="false" customHeight="false" outlineLevel="0" collapsed="false">
      <c r="A258" s="4" t="n">
        <v>254</v>
      </c>
      <c r="B258" s="14" t="n">
        <f aca="false">A258/12</f>
        <v>21.1666666666667</v>
      </c>
      <c r="C258" s="15" t="n">
        <f aca="false">INT(A258/6)</f>
        <v>42</v>
      </c>
      <c r="D258" s="16" t="n">
        <f aca="false">IF(C258=0,(1+Dic2024!$G$6)^(-B258),EXP(LN(INDEX(Dic2024!$H$6:$H$205,C258))+(LN(INDEX(Dic2024!$H$6:$H$205,MIN(C258+1,200)))-LN(INDEX(Dic2024!$H$6:$H$205,C258)))*(A258-6*C258)/6))</f>
        <v>0.299773705468073</v>
      </c>
      <c r="E258" s="12" t="n">
        <f aca="false">D258^(-1/B258)-1</f>
        <v>0.0585671573054805</v>
      </c>
      <c r="F258" s="12" t="n">
        <f aca="false">(1+E258)^(1/12)-1</f>
        <v>0.0047542872057551</v>
      </c>
      <c r="G258" s="16" t="n">
        <f aca="false">IF(C258=0,(1+Dic2024!$J$6)^(-B258),EXP(LN(INDEX(Dic2024!$K$6:$K$205,C258))+(LN(INDEX(Dic2024!$K$6:$K$205,MIN(C258+1,200)))-LN(INDEX(Dic2024!$K$6:$K$205,C258)))*(A258-6*C258)/6))</f>
        <v>0.299773705468073</v>
      </c>
      <c r="H258" s="12" t="n">
        <f aca="false">G258^(-1/B258)-1</f>
        <v>0.0585671573054805</v>
      </c>
      <c r="I258" s="12" t="n">
        <f aca="false">(1+H258)^(1/12)-1</f>
        <v>0.0047542872057551</v>
      </c>
      <c r="J258" s="16" t="n">
        <f aca="false">IF(C258=0,(1+Dic2024!$M$6)^(-B258),EXP(LN(INDEX(Dic2024!$N$6:$N$205,C258))+(LN(INDEX(Dic2024!$N$6:$N$205,MIN(C258+1,200)))-LN(INDEX(Dic2024!$N$6:$N$205,C258)))*(A258-6*C258)/6))</f>
        <v>0.299773705468073</v>
      </c>
      <c r="K258" s="12" t="n">
        <f aca="false">J258^(-1/B258)-1</f>
        <v>0.0585671573054805</v>
      </c>
      <c r="L258" s="12" t="n">
        <f aca="false">(1+K258)^(1/12)-1</f>
        <v>0.0047542872057551</v>
      </c>
    </row>
    <row r="259" customFormat="false" ht="15" hidden="false" customHeight="false" outlineLevel="0" collapsed="false">
      <c r="A259" s="4" t="n">
        <v>255</v>
      </c>
      <c r="B259" s="14" t="n">
        <f aca="false">A259/12</f>
        <v>21.25</v>
      </c>
      <c r="C259" s="15" t="n">
        <f aca="false">INT(A259/6)</f>
        <v>42</v>
      </c>
      <c r="D259" s="16" t="n">
        <f aca="false">IF(C259=0,(1+Dic2024!$G$6)^(-B259),EXP(LN(INDEX(Dic2024!$H$6:$H$205,C259))+(LN(INDEX(Dic2024!$H$6:$H$205,MIN(C259+1,200)))-LN(INDEX(Dic2024!$H$6:$H$205,C259)))*(A259-6*C259)/6))</f>
        <v>0.298252164752513</v>
      </c>
      <c r="E259" s="12" t="n">
        <f aca="false">D259^(-1/B259)-1</f>
        <v>0.0585843702207609</v>
      </c>
      <c r="F259" s="12" t="n">
        <f aca="false">(1+E259)^(1/12)-1</f>
        <v>0.00475564868617795</v>
      </c>
      <c r="G259" s="16" t="n">
        <f aca="false">IF(C259=0,(1+Dic2024!$J$6)^(-B259),EXP(LN(INDEX(Dic2024!$K$6:$K$205,C259))+(LN(INDEX(Dic2024!$K$6:$K$205,MIN(C259+1,200)))-LN(INDEX(Dic2024!$K$6:$K$205,C259)))*(A259-6*C259)/6))</f>
        <v>0.298252164752513</v>
      </c>
      <c r="H259" s="12" t="n">
        <f aca="false">G259^(-1/B259)-1</f>
        <v>0.0585843702207609</v>
      </c>
      <c r="I259" s="12" t="n">
        <f aca="false">(1+H259)^(1/12)-1</f>
        <v>0.00475564868617795</v>
      </c>
      <c r="J259" s="16" t="n">
        <f aca="false">IF(C259=0,(1+Dic2024!$M$6)^(-B259),EXP(LN(INDEX(Dic2024!$N$6:$N$205,C259))+(LN(INDEX(Dic2024!$N$6:$N$205,MIN(C259+1,200)))-LN(INDEX(Dic2024!$N$6:$N$205,C259)))*(A259-6*C259)/6))</f>
        <v>0.298252164752513</v>
      </c>
      <c r="K259" s="12" t="n">
        <f aca="false">J259^(-1/B259)-1</f>
        <v>0.0585843702207609</v>
      </c>
      <c r="L259" s="12" t="n">
        <f aca="false">(1+K259)^(1/12)-1</f>
        <v>0.00475564868617795</v>
      </c>
    </row>
    <row r="260" customFormat="false" ht="15" hidden="false" customHeight="false" outlineLevel="0" collapsed="false">
      <c r="A260" s="4" t="n">
        <v>256</v>
      </c>
      <c r="B260" s="14" t="n">
        <f aca="false">A260/12</f>
        <v>21.3333333333333</v>
      </c>
      <c r="C260" s="15" t="n">
        <f aca="false">INT(A260/6)</f>
        <v>42</v>
      </c>
      <c r="D260" s="16" t="n">
        <f aca="false">IF(C260=0,(1+Dic2024!$G$6)^(-B260),EXP(LN(INDEX(Dic2024!$H$6:$H$205,C260))+(LN(INDEX(Dic2024!$H$6:$H$205,MIN(C260+1,200)))-LN(INDEX(Dic2024!$H$6:$H$205,C260)))*(A260-6*C260)/6))</f>
        <v>0.296738346816191</v>
      </c>
      <c r="E260" s="12" t="n">
        <f aca="false">D260^(-1/B260)-1</f>
        <v>0.0586014489367615</v>
      </c>
      <c r="F260" s="12" t="n">
        <f aca="false">(1+E260)^(1/12)-1</f>
        <v>0.00475699953185838</v>
      </c>
      <c r="G260" s="16" t="n">
        <f aca="false">IF(C260=0,(1+Dic2024!$J$6)^(-B260),EXP(LN(INDEX(Dic2024!$K$6:$K$205,C260))+(LN(INDEX(Dic2024!$K$6:$K$205,MIN(C260+1,200)))-LN(INDEX(Dic2024!$K$6:$K$205,C260)))*(A260-6*C260)/6))</f>
        <v>0.296738346816191</v>
      </c>
      <c r="H260" s="12" t="n">
        <f aca="false">G260^(-1/B260)-1</f>
        <v>0.0586014489367615</v>
      </c>
      <c r="I260" s="12" t="n">
        <f aca="false">(1+H260)^(1/12)-1</f>
        <v>0.00475699953185838</v>
      </c>
      <c r="J260" s="16" t="n">
        <f aca="false">IF(C260=0,(1+Dic2024!$M$6)^(-B260),EXP(LN(INDEX(Dic2024!$N$6:$N$205,C260))+(LN(INDEX(Dic2024!$N$6:$N$205,MIN(C260+1,200)))-LN(INDEX(Dic2024!$N$6:$N$205,C260)))*(A260-6*C260)/6))</f>
        <v>0.296738346816191</v>
      </c>
      <c r="K260" s="12" t="n">
        <f aca="false">J260^(-1/B260)-1</f>
        <v>0.0586014489367615</v>
      </c>
      <c r="L260" s="12" t="n">
        <f aca="false">(1+K260)^(1/12)-1</f>
        <v>0.00475699953185838</v>
      </c>
    </row>
    <row r="261" customFormat="false" ht="15" hidden="false" customHeight="false" outlineLevel="0" collapsed="false">
      <c r="A261" s="4" t="n">
        <v>257</v>
      </c>
      <c r="B261" s="14" t="n">
        <f aca="false">A261/12</f>
        <v>21.4166666666667</v>
      </c>
      <c r="C261" s="15" t="n">
        <f aca="false">INT(A261/6)</f>
        <v>42</v>
      </c>
      <c r="D261" s="16" t="n">
        <f aca="false">IF(C261=0,(1+Dic2024!$G$6)^(-B261),EXP(LN(INDEX(Dic2024!$H$6:$H$205,C261))+(LN(INDEX(Dic2024!$H$6:$H$205,MIN(C261+1,200)))-LN(INDEX(Dic2024!$H$6:$H$205,C261)))*(A261-6*C261)/6))</f>
        <v>0.295232212461131</v>
      </c>
      <c r="E261" s="12" t="n">
        <f aca="false">D261^(-1/B261)-1</f>
        <v>0.0586183950167982</v>
      </c>
      <c r="F261" s="12" t="n">
        <f aca="false">(1+E261)^(1/12)-1</f>
        <v>0.00475833986691576</v>
      </c>
      <c r="G261" s="16" t="n">
        <f aca="false">IF(C261=0,(1+Dic2024!$J$6)^(-B261),EXP(LN(INDEX(Dic2024!$K$6:$K$205,C261))+(LN(INDEX(Dic2024!$K$6:$K$205,MIN(C261+1,200)))-LN(INDEX(Dic2024!$K$6:$K$205,C261)))*(A261-6*C261)/6))</f>
        <v>0.295232212461131</v>
      </c>
      <c r="H261" s="12" t="n">
        <f aca="false">G261^(-1/B261)-1</f>
        <v>0.0586183950167982</v>
      </c>
      <c r="I261" s="12" t="n">
        <f aca="false">(1+H261)^(1/12)-1</f>
        <v>0.00475833986691576</v>
      </c>
      <c r="J261" s="16" t="n">
        <f aca="false">IF(C261=0,(1+Dic2024!$M$6)^(-B261),EXP(LN(INDEX(Dic2024!$N$6:$N$205,C261))+(LN(INDEX(Dic2024!$N$6:$N$205,MIN(C261+1,200)))-LN(INDEX(Dic2024!$N$6:$N$205,C261)))*(A261-6*C261)/6))</f>
        <v>0.295232212461131</v>
      </c>
      <c r="K261" s="12" t="n">
        <f aca="false">J261^(-1/B261)-1</f>
        <v>0.0586183950167982</v>
      </c>
      <c r="L261" s="12" t="n">
        <f aca="false">(1+K261)^(1/12)-1</f>
        <v>0.00475833986691576</v>
      </c>
    </row>
    <row r="262" customFormat="false" ht="15" hidden="false" customHeight="false" outlineLevel="0" collapsed="false">
      <c r="A262" s="4" t="n">
        <v>258</v>
      </c>
      <c r="B262" s="14" t="n">
        <f aca="false">A262/12</f>
        <v>21.5</v>
      </c>
      <c r="C262" s="15" t="n">
        <f aca="false">INT(A262/6)</f>
        <v>43</v>
      </c>
      <c r="D262" s="16" t="n">
        <f aca="false">IF(C262=0,(1+Dic2024!$G$6)^(-B262),EXP(LN(INDEX(Dic2024!$H$6:$H$205,C262))+(LN(INDEX(Dic2024!$H$6:$H$205,MIN(C262+1,200)))-LN(INDEX(Dic2024!$H$6:$H$205,C262)))*(A262-6*C262)/6))</f>
        <v>0.29373372268831</v>
      </c>
      <c r="E262" s="12" t="n">
        <f aca="false">D262^(-1/B262)-1</f>
        <v>0.0586352099999998</v>
      </c>
      <c r="F262" s="12" t="n">
        <f aca="false">(1+E262)^(1/12)-1</f>
        <v>0.00475966981354636</v>
      </c>
      <c r="G262" s="16" t="n">
        <f aca="false">IF(C262=0,(1+Dic2024!$J$6)^(-B262),EXP(LN(INDEX(Dic2024!$K$6:$K$205,C262))+(LN(INDEX(Dic2024!$K$6:$K$205,MIN(C262+1,200)))-LN(INDEX(Dic2024!$K$6:$K$205,C262)))*(A262-6*C262)/6))</f>
        <v>0.29373372268831</v>
      </c>
      <c r="H262" s="12" t="n">
        <f aca="false">G262^(-1/B262)-1</f>
        <v>0.0586352099999998</v>
      </c>
      <c r="I262" s="12" t="n">
        <f aca="false">(1+H262)^(1/12)-1</f>
        <v>0.00475966981354636</v>
      </c>
      <c r="J262" s="16" t="n">
        <f aca="false">IF(C262=0,(1+Dic2024!$M$6)^(-B262),EXP(LN(INDEX(Dic2024!$N$6:$N$205,C262))+(LN(INDEX(Dic2024!$N$6:$N$205,MIN(C262+1,200)))-LN(INDEX(Dic2024!$N$6:$N$205,C262)))*(A262-6*C262)/6))</f>
        <v>0.29373372268831</v>
      </c>
      <c r="K262" s="12" t="n">
        <f aca="false">J262^(-1/B262)-1</f>
        <v>0.0586352099999998</v>
      </c>
      <c r="L262" s="12" t="n">
        <f aca="false">(1+K262)^(1/12)-1</f>
        <v>0.00475966981354636</v>
      </c>
    </row>
    <row r="263" customFormat="false" ht="15" hidden="false" customHeight="false" outlineLevel="0" collapsed="false">
      <c r="A263" s="4" t="n">
        <v>259</v>
      </c>
      <c r="B263" s="14" t="n">
        <f aca="false">A263/12</f>
        <v>21.5833333333333</v>
      </c>
      <c r="C263" s="15" t="n">
        <f aca="false">INT(A263/6)</f>
        <v>43</v>
      </c>
      <c r="D263" s="16" t="n">
        <f aca="false">IF(C263=0,(1+Dic2024!$G$6)^(-B263),EXP(LN(INDEX(Dic2024!$H$6:$H$205,C263))+(LN(INDEX(Dic2024!$H$6:$H$205,MIN(C263+1,200)))-LN(INDEX(Dic2024!$H$6:$H$205,C263)))*(A263-6*C263)/6))</f>
        <v>0.292342270010517</v>
      </c>
      <c r="E263" s="12" t="n">
        <f aca="false">D263^(-1/B263)-1</f>
        <v>0.0586352099999998</v>
      </c>
      <c r="F263" s="12" t="n">
        <f aca="false">(1+E263)^(1/12)-1</f>
        <v>0.00475966981354636</v>
      </c>
      <c r="G263" s="16" t="n">
        <f aca="false">IF(C263=0,(1+Dic2024!$J$6)^(-B263),EXP(LN(INDEX(Dic2024!$K$6:$K$205,C263))+(LN(INDEX(Dic2024!$K$6:$K$205,MIN(C263+1,200)))-LN(INDEX(Dic2024!$K$6:$K$205,C263)))*(A263-6*C263)/6))</f>
        <v>0.292342270010517</v>
      </c>
      <c r="H263" s="12" t="n">
        <f aca="false">G263^(-1/B263)-1</f>
        <v>0.0586352099999998</v>
      </c>
      <c r="I263" s="12" t="n">
        <f aca="false">(1+H263)^(1/12)-1</f>
        <v>0.00475966981354636</v>
      </c>
      <c r="J263" s="16" t="n">
        <f aca="false">IF(C263=0,(1+Dic2024!$M$6)^(-B263),EXP(LN(INDEX(Dic2024!$N$6:$N$205,C263))+(LN(INDEX(Dic2024!$N$6:$N$205,MIN(C263+1,200)))-LN(INDEX(Dic2024!$N$6:$N$205,C263)))*(A263-6*C263)/6))</f>
        <v>0.292342270010517</v>
      </c>
      <c r="K263" s="12" t="n">
        <f aca="false">J263^(-1/B263)-1</f>
        <v>0.0586352099999998</v>
      </c>
      <c r="L263" s="12" t="n">
        <f aca="false">(1+K263)^(1/12)-1</f>
        <v>0.00475966981354636</v>
      </c>
    </row>
    <row r="264" customFormat="false" ht="15" hidden="false" customHeight="false" outlineLevel="0" collapsed="false">
      <c r="A264" s="4" t="n">
        <v>260</v>
      </c>
      <c r="B264" s="14" t="n">
        <f aca="false">A264/12</f>
        <v>21.6666666666667</v>
      </c>
      <c r="C264" s="15" t="n">
        <f aca="false">INT(A264/6)</f>
        <v>43</v>
      </c>
      <c r="D264" s="16" t="n">
        <f aca="false">IF(C264=0,(1+Dic2024!$G$6)^(-B264),EXP(LN(INDEX(Dic2024!$H$6:$H$205,C264))+(LN(INDEX(Dic2024!$H$6:$H$205,MIN(C264+1,200)))-LN(INDEX(Dic2024!$H$6:$H$205,C264)))*(A264-6*C264)/6))</f>
        <v>0.290957408814754</v>
      </c>
      <c r="E264" s="12" t="n">
        <f aca="false">D264^(-1/B264)-1</f>
        <v>0.0586352099999998</v>
      </c>
      <c r="F264" s="12" t="n">
        <f aca="false">(1+E264)^(1/12)-1</f>
        <v>0.00475966981354636</v>
      </c>
      <c r="G264" s="16" t="n">
        <f aca="false">IF(C264=0,(1+Dic2024!$J$6)^(-B264),EXP(LN(INDEX(Dic2024!$K$6:$K$205,C264))+(LN(INDEX(Dic2024!$K$6:$K$205,MIN(C264+1,200)))-LN(INDEX(Dic2024!$K$6:$K$205,C264)))*(A264-6*C264)/6))</f>
        <v>0.290957408814754</v>
      </c>
      <c r="H264" s="12" t="n">
        <f aca="false">G264^(-1/B264)-1</f>
        <v>0.0586352099999998</v>
      </c>
      <c r="I264" s="12" t="n">
        <f aca="false">(1+H264)^(1/12)-1</f>
        <v>0.00475966981354636</v>
      </c>
      <c r="J264" s="16" t="n">
        <f aca="false">IF(C264=0,(1+Dic2024!$M$6)^(-B264),EXP(LN(INDEX(Dic2024!$N$6:$N$205,C264))+(LN(INDEX(Dic2024!$N$6:$N$205,MIN(C264+1,200)))-LN(INDEX(Dic2024!$N$6:$N$205,C264)))*(A264-6*C264)/6))</f>
        <v>0.290957408814754</v>
      </c>
      <c r="K264" s="12" t="n">
        <f aca="false">J264^(-1/B264)-1</f>
        <v>0.0586352099999998</v>
      </c>
      <c r="L264" s="12" t="n">
        <f aca="false">(1+K264)^(1/12)-1</f>
        <v>0.00475966981354636</v>
      </c>
    </row>
    <row r="265" customFormat="false" ht="15" hidden="false" customHeight="false" outlineLevel="0" collapsed="false">
      <c r="A265" s="4" t="n">
        <v>261</v>
      </c>
      <c r="B265" s="14" t="n">
        <f aca="false">A265/12</f>
        <v>21.75</v>
      </c>
      <c r="C265" s="15" t="n">
        <f aca="false">INT(A265/6)</f>
        <v>43</v>
      </c>
      <c r="D265" s="16" t="n">
        <f aca="false">IF(C265=0,(1+Dic2024!$G$6)^(-B265),EXP(LN(INDEX(Dic2024!$H$6:$H$205,C265))+(LN(INDEX(Dic2024!$H$6:$H$205,MIN(C265+1,200)))-LN(INDEX(Dic2024!$H$6:$H$205,C265)))*(A265-6*C265)/6))</f>
        <v>0.289579107876361</v>
      </c>
      <c r="E265" s="12" t="n">
        <f aca="false">D265^(-1/B265)-1</f>
        <v>0.0586352099999998</v>
      </c>
      <c r="F265" s="12" t="n">
        <f aca="false">(1+E265)^(1/12)-1</f>
        <v>0.00475966981354636</v>
      </c>
      <c r="G265" s="16" t="n">
        <f aca="false">IF(C265=0,(1+Dic2024!$J$6)^(-B265),EXP(LN(INDEX(Dic2024!$K$6:$K$205,C265))+(LN(INDEX(Dic2024!$K$6:$K$205,MIN(C265+1,200)))-LN(INDEX(Dic2024!$K$6:$K$205,C265)))*(A265-6*C265)/6))</f>
        <v>0.289579107876361</v>
      </c>
      <c r="H265" s="12" t="n">
        <f aca="false">G265^(-1/B265)-1</f>
        <v>0.0586352099999998</v>
      </c>
      <c r="I265" s="12" t="n">
        <f aca="false">(1+H265)^(1/12)-1</f>
        <v>0.00475966981354636</v>
      </c>
      <c r="J265" s="16" t="n">
        <f aca="false">IF(C265=0,(1+Dic2024!$M$6)^(-B265),EXP(LN(INDEX(Dic2024!$N$6:$N$205,C265))+(LN(INDEX(Dic2024!$N$6:$N$205,MIN(C265+1,200)))-LN(INDEX(Dic2024!$N$6:$N$205,C265)))*(A265-6*C265)/6))</f>
        <v>0.289579107876361</v>
      </c>
      <c r="K265" s="12" t="n">
        <f aca="false">J265^(-1/B265)-1</f>
        <v>0.0586352099999998</v>
      </c>
      <c r="L265" s="12" t="n">
        <f aca="false">(1+K265)^(1/12)-1</f>
        <v>0.00475966981354636</v>
      </c>
    </row>
    <row r="266" customFormat="false" ht="15" hidden="false" customHeight="false" outlineLevel="0" collapsed="false">
      <c r="A266" s="4" t="n">
        <v>262</v>
      </c>
      <c r="B266" s="14" t="n">
        <f aca="false">A266/12</f>
        <v>21.8333333333333</v>
      </c>
      <c r="C266" s="15" t="n">
        <f aca="false">INT(A266/6)</f>
        <v>43</v>
      </c>
      <c r="D266" s="16" t="n">
        <f aca="false">IF(C266=0,(1+Dic2024!$G$6)^(-B266),EXP(LN(INDEX(Dic2024!$H$6:$H$205,C266))+(LN(INDEX(Dic2024!$H$6:$H$205,MIN(C266+1,200)))-LN(INDEX(Dic2024!$H$6:$H$205,C266)))*(A266-6*C266)/6))</f>
        <v>0.288207336118595</v>
      </c>
      <c r="E266" s="12" t="n">
        <f aca="false">D266^(-1/B266)-1</f>
        <v>0.0586352099999998</v>
      </c>
      <c r="F266" s="12" t="n">
        <f aca="false">(1+E266)^(1/12)-1</f>
        <v>0.00475966981354636</v>
      </c>
      <c r="G266" s="16" t="n">
        <f aca="false">IF(C266=0,(1+Dic2024!$J$6)^(-B266),EXP(LN(INDEX(Dic2024!$K$6:$K$205,C266))+(LN(INDEX(Dic2024!$K$6:$K$205,MIN(C266+1,200)))-LN(INDEX(Dic2024!$K$6:$K$205,C266)))*(A266-6*C266)/6))</f>
        <v>0.288207336118595</v>
      </c>
      <c r="H266" s="12" t="n">
        <f aca="false">G266^(-1/B266)-1</f>
        <v>0.0586352099999998</v>
      </c>
      <c r="I266" s="12" t="n">
        <f aca="false">(1+H266)^(1/12)-1</f>
        <v>0.00475966981354636</v>
      </c>
      <c r="J266" s="16" t="n">
        <f aca="false">IF(C266=0,(1+Dic2024!$M$6)^(-B266),EXP(LN(INDEX(Dic2024!$N$6:$N$205,C266))+(LN(INDEX(Dic2024!$N$6:$N$205,MIN(C266+1,200)))-LN(INDEX(Dic2024!$N$6:$N$205,C266)))*(A266-6*C266)/6))</f>
        <v>0.288207336118595</v>
      </c>
      <c r="K266" s="12" t="n">
        <f aca="false">J266^(-1/B266)-1</f>
        <v>0.0586352099999998</v>
      </c>
      <c r="L266" s="12" t="n">
        <f aca="false">(1+K266)^(1/12)-1</f>
        <v>0.00475966981354636</v>
      </c>
    </row>
    <row r="267" customFormat="false" ht="15" hidden="false" customHeight="false" outlineLevel="0" collapsed="false">
      <c r="A267" s="4" t="n">
        <v>263</v>
      </c>
      <c r="B267" s="14" t="n">
        <f aca="false">A267/12</f>
        <v>21.9166666666667</v>
      </c>
      <c r="C267" s="15" t="n">
        <f aca="false">INT(A267/6)</f>
        <v>43</v>
      </c>
      <c r="D267" s="16" t="n">
        <f aca="false">IF(C267=0,(1+Dic2024!$G$6)^(-B267),EXP(LN(INDEX(Dic2024!$H$6:$H$205,C267))+(LN(INDEX(Dic2024!$H$6:$H$205,MIN(C267+1,200)))-LN(INDEX(Dic2024!$H$6:$H$205,C267)))*(A267-6*C267)/6))</f>
        <v>0.286842062611926</v>
      </c>
      <c r="E267" s="12" t="n">
        <f aca="false">D267^(-1/B267)-1</f>
        <v>0.0586352099999998</v>
      </c>
      <c r="F267" s="12" t="n">
        <f aca="false">(1+E267)^(1/12)-1</f>
        <v>0.00475966981354636</v>
      </c>
      <c r="G267" s="16" t="n">
        <f aca="false">IF(C267=0,(1+Dic2024!$J$6)^(-B267),EXP(LN(INDEX(Dic2024!$K$6:$K$205,C267))+(LN(INDEX(Dic2024!$K$6:$K$205,MIN(C267+1,200)))-LN(INDEX(Dic2024!$K$6:$K$205,C267)))*(A267-6*C267)/6))</f>
        <v>0.286842062611926</v>
      </c>
      <c r="H267" s="12" t="n">
        <f aca="false">G267^(-1/B267)-1</f>
        <v>0.0586352099999998</v>
      </c>
      <c r="I267" s="12" t="n">
        <f aca="false">(1+H267)^(1/12)-1</f>
        <v>0.00475966981354636</v>
      </c>
      <c r="J267" s="16" t="n">
        <f aca="false">IF(C267=0,(1+Dic2024!$M$6)^(-B267),EXP(LN(INDEX(Dic2024!$N$6:$N$205,C267))+(LN(INDEX(Dic2024!$N$6:$N$205,MIN(C267+1,200)))-LN(INDEX(Dic2024!$N$6:$N$205,C267)))*(A267-6*C267)/6))</f>
        <v>0.286842062611926</v>
      </c>
      <c r="K267" s="12" t="n">
        <f aca="false">J267^(-1/B267)-1</f>
        <v>0.0586352099999998</v>
      </c>
      <c r="L267" s="12" t="n">
        <f aca="false">(1+K267)^(1/12)-1</f>
        <v>0.00475966981354636</v>
      </c>
    </row>
    <row r="268" customFormat="false" ht="15" hidden="false" customHeight="false" outlineLevel="0" collapsed="false">
      <c r="A268" s="4" t="n">
        <v>264</v>
      </c>
      <c r="B268" s="14" t="n">
        <f aca="false">A268/12</f>
        <v>22</v>
      </c>
      <c r="C268" s="15" t="n">
        <f aca="false">INT(A268/6)</f>
        <v>44</v>
      </c>
      <c r="D268" s="16" t="n">
        <f aca="false">IF(C268=0,(1+Dic2024!$G$6)^(-B268),EXP(LN(INDEX(Dic2024!$H$6:$H$205,C268))+(LN(INDEX(Dic2024!$H$6:$H$205,MIN(C268+1,200)))-LN(INDEX(Dic2024!$H$6:$H$205,C268)))*(A268-6*C268)/6))</f>
        <v>0.285483256573341</v>
      </c>
      <c r="E268" s="12" t="n">
        <f aca="false">D268^(-1/B268)-1</f>
        <v>0.0586352099999998</v>
      </c>
      <c r="F268" s="12" t="n">
        <f aca="false">(1+E268)^(1/12)-1</f>
        <v>0.00475966981354636</v>
      </c>
      <c r="G268" s="16" t="n">
        <f aca="false">IF(C268=0,(1+Dic2024!$J$6)^(-B268),EXP(LN(INDEX(Dic2024!$K$6:$K$205,C268))+(LN(INDEX(Dic2024!$K$6:$K$205,MIN(C268+1,200)))-LN(INDEX(Dic2024!$K$6:$K$205,C268)))*(A268-6*C268)/6))</f>
        <v>0.285483256573341</v>
      </c>
      <c r="H268" s="12" t="n">
        <f aca="false">G268^(-1/B268)-1</f>
        <v>0.0586352099999998</v>
      </c>
      <c r="I268" s="12" t="n">
        <f aca="false">(1+H268)^(1/12)-1</f>
        <v>0.00475966981354636</v>
      </c>
      <c r="J268" s="16" t="n">
        <f aca="false">IF(C268=0,(1+Dic2024!$M$6)^(-B268),EXP(LN(INDEX(Dic2024!$N$6:$N$205,C268))+(LN(INDEX(Dic2024!$N$6:$N$205,MIN(C268+1,200)))-LN(INDEX(Dic2024!$N$6:$N$205,C268)))*(A268-6*C268)/6))</f>
        <v>0.285483256573341</v>
      </c>
      <c r="K268" s="12" t="n">
        <f aca="false">J268^(-1/B268)-1</f>
        <v>0.0586352099999998</v>
      </c>
      <c r="L268" s="12" t="n">
        <f aca="false">(1+K268)^(1/12)-1</f>
        <v>0.00475966981354636</v>
      </c>
    </row>
    <row r="269" customFormat="false" ht="15" hidden="false" customHeight="false" outlineLevel="0" collapsed="false">
      <c r="A269" s="4" t="n">
        <v>265</v>
      </c>
      <c r="B269" s="14" t="n">
        <f aca="false">A269/12</f>
        <v>22.0833333333333</v>
      </c>
      <c r="C269" s="15" t="n">
        <f aca="false">INT(A269/6)</f>
        <v>44</v>
      </c>
      <c r="D269" s="16" t="n">
        <f aca="false">IF(C269=0,(1+Dic2024!$G$6)^(-B269),EXP(LN(INDEX(Dic2024!$H$6:$H$205,C269))+(LN(INDEX(Dic2024!$H$6:$H$205,MIN(C269+1,200)))-LN(INDEX(Dic2024!$H$6:$H$205,C269)))*(A269-6*C269)/6))</f>
        <v>0.28413088736565</v>
      </c>
      <c r="E269" s="12" t="n">
        <f aca="false">D269^(-1/B269)-1</f>
        <v>0.0586352099999998</v>
      </c>
      <c r="F269" s="12" t="n">
        <f aca="false">(1+E269)^(1/12)-1</f>
        <v>0.00475966981354636</v>
      </c>
      <c r="G269" s="16" t="n">
        <f aca="false">IF(C269=0,(1+Dic2024!$J$6)^(-B269),EXP(LN(INDEX(Dic2024!$K$6:$K$205,C269))+(LN(INDEX(Dic2024!$K$6:$K$205,MIN(C269+1,200)))-LN(INDEX(Dic2024!$K$6:$K$205,C269)))*(A269-6*C269)/6))</f>
        <v>0.28413088736565</v>
      </c>
      <c r="H269" s="12" t="n">
        <f aca="false">G269^(-1/B269)-1</f>
        <v>0.0586352099999998</v>
      </c>
      <c r="I269" s="12" t="n">
        <f aca="false">(1+H269)^(1/12)-1</f>
        <v>0.00475966981354636</v>
      </c>
      <c r="J269" s="16" t="n">
        <f aca="false">IF(C269=0,(1+Dic2024!$M$6)^(-B269),EXP(LN(INDEX(Dic2024!$N$6:$N$205,C269))+(LN(INDEX(Dic2024!$N$6:$N$205,MIN(C269+1,200)))-LN(INDEX(Dic2024!$N$6:$N$205,C269)))*(A269-6*C269)/6))</f>
        <v>0.28413088736565</v>
      </c>
      <c r="K269" s="12" t="n">
        <f aca="false">J269^(-1/B269)-1</f>
        <v>0.0586352099999998</v>
      </c>
      <c r="L269" s="12" t="n">
        <f aca="false">(1+K269)^(1/12)-1</f>
        <v>0.00475966981354636</v>
      </c>
    </row>
    <row r="270" customFormat="false" ht="15" hidden="false" customHeight="false" outlineLevel="0" collapsed="false">
      <c r="A270" s="4" t="n">
        <v>266</v>
      </c>
      <c r="B270" s="14" t="n">
        <f aca="false">A270/12</f>
        <v>22.1666666666667</v>
      </c>
      <c r="C270" s="15" t="n">
        <f aca="false">INT(A270/6)</f>
        <v>44</v>
      </c>
      <c r="D270" s="16" t="n">
        <f aca="false">IF(C270=0,(1+Dic2024!$G$6)^(-B270),EXP(LN(INDEX(Dic2024!$H$6:$H$205,C270))+(LN(INDEX(Dic2024!$H$6:$H$205,MIN(C270+1,200)))-LN(INDEX(Dic2024!$H$6:$H$205,C270)))*(A270-6*C270)/6))</f>
        <v>0.282784924496797</v>
      </c>
      <c r="E270" s="12" t="n">
        <f aca="false">D270^(-1/B270)-1</f>
        <v>0.0586352099999998</v>
      </c>
      <c r="F270" s="12" t="n">
        <f aca="false">(1+E270)^(1/12)-1</f>
        <v>0.00475966981354636</v>
      </c>
      <c r="G270" s="16" t="n">
        <f aca="false">IF(C270=0,(1+Dic2024!$J$6)^(-B270),EXP(LN(INDEX(Dic2024!$K$6:$K$205,C270))+(LN(INDEX(Dic2024!$K$6:$K$205,MIN(C270+1,200)))-LN(INDEX(Dic2024!$K$6:$K$205,C270)))*(A270-6*C270)/6))</f>
        <v>0.282784924496797</v>
      </c>
      <c r="H270" s="12" t="n">
        <f aca="false">G270^(-1/B270)-1</f>
        <v>0.0586352099999998</v>
      </c>
      <c r="I270" s="12" t="n">
        <f aca="false">(1+H270)^(1/12)-1</f>
        <v>0.00475966981354636</v>
      </c>
      <c r="J270" s="16" t="n">
        <f aca="false">IF(C270=0,(1+Dic2024!$M$6)^(-B270),EXP(LN(INDEX(Dic2024!$N$6:$N$205,C270))+(LN(INDEX(Dic2024!$N$6:$N$205,MIN(C270+1,200)))-LN(INDEX(Dic2024!$N$6:$N$205,C270)))*(A270-6*C270)/6))</f>
        <v>0.282784924496797</v>
      </c>
      <c r="K270" s="12" t="n">
        <f aca="false">J270^(-1/B270)-1</f>
        <v>0.0586352099999998</v>
      </c>
      <c r="L270" s="12" t="n">
        <f aca="false">(1+K270)^(1/12)-1</f>
        <v>0.00475966981354636</v>
      </c>
    </row>
    <row r="271" customFormat="false" ht="15" hidden="false" customHeight="false" outlineLevel="0" collapsed="false">
      <c r="A271" s="4" t="n">
        <v>267</v>
      </c>
      <c r="B271" s="14" t="n">
        <f aca="false">A271/12</f>
        <v>22.25</v>
      </c>
      <c r="C271" s="15" t="n">
        <f aca="false">INT(A271/6)</f>
        <v>44</v>
      </c>
      <c r="D271" s="16" t="n">
        <f aca="false">IF(C271=0,(1+Dic2024!$G$6)^(-B271),EXP(LN(INDEX(Dic2024!$H$6:$H$205,C271))+(LN(INDEX(Dic2024!$H$6:$H$205,MIN(C271+1,200)))-LN(INDEX(Dic2024!$H$6:$H$205,C271)))*(A271-6*C271)/6))</f>
        <v>0.281445337619167</v>
      </c>
      <c r="E271" s="12" t="n">
        <f aca="false">D271^(-1/B271)-1</f>
        <v>0.0586352099999998</v>
      </c>
      <c r="F271" s="12" t="n">
        <f aca="false">(1+E271)^(1/12)-1</f>
        <v>0.00475966981354636</v>
      </c>
      <c r="G271" s="16" t="n">
        <f aca="false">IF(C271=0,(1+Dic2024!$J$6)^(-B271),EXP(LN(INDEX(Dic2024!$K$6:$K$205,C271))+(LN(INDEX(Dic2024!$K$6:$K$205,MIN(C271+1,200)))-LN(INDEX(Dic2024!$K$6:$K$205,C271)))*(A271-6*C271)/6))</f>
        <v>0.281445337619167</v>
      </c>
      <c r="H271" s="12" t="n">
        <f aca="false">G271^(-1/B271)-1</f>
        <v>0.0586352099999998</v>
      </c>
      <c r="I271" s="12" t="n">
        <f aca="false">(1+H271)^(1/12)-1</f>
        <v>0.00475966981354636</v>
      </c>
      <c r="J271" s="16" t="n">
        <f aca="false">IF(C271=0,(1+Dic2024!$M$6)^(-B271),EXP(LN(INDEX(Dic2024!$N$6:$N$205,C271))+(LN(INDEX(Dic2024!$N$6:$N$205,MIN(C271+1,200)))-LN(INDEX(Dic2024!$N$6:$N$205,C271)))*(A271-6*C271)/6))</f>
        <v>0.281445337619167</v>
      </c>
      <c r="K271" s="12" t="n">
        <f aca="false">J271^(-1/B271)-1</f>
        <v>0.0586352099999998</v>
      </c>
      <c r="L271" s="12" t="n">
        <f aca="false">(1+K271)^(1/12)-1</f>
        <v>0.00475966981354636</v>
      </c>
    </row>
    <row r="272" customFormat="false" ht="15" hidden="false" customHeight="false" outlineLevel="0" collapsed="false">
      <c r="A272" s="4" t="n">
        <v>268</v>
      </c>
      <c r="B272" s="14" t="n">
        <f aca="false">A272/12</f>
        <v>22.3333333333333</v>
      </c>
      <c r="C272" s="15" t="n">
        <f aca="false">INT(A272/6)</f>
        <v>44</v>
      </c>
      <c r="D272" s="16" t="n">
        <f aca="false">IF(C272=0,(1+Dic2024!$G$6)^(-B272),EXP(LN(INDEX(Dic2024!$H$6:$H$205,C272))+(LN(INDEX(Dic2024!$H$6:$H$205,MIN(C272+1,200)))-LN(INDEX(Dic2024!$H$6:$H$205,C272)))*(A272-6*C272)/6))</f>
        <v>0.280112096528909</v>
      </c>
      <c r="E272" s="12" t="n">
        <f aca="false">D272^(-1/B272)-1</f>
        <v>0.0586352099999998</v>
      </c>
      <c r="F272" s="12" t="n">
        <f aca="false">(1+E272)^(1/12)-1</f>
        <v>0.00475966981354636</v>
      </c>
      <c r="G272" s="16" t="n">
        <f aca="false">IF(C272=0,(1+Dic2024!$J$6)^(-B272),EXP(LN(INDEX(Dic2024!$K$6:$K$205,C272))+(LN(INDEX(Dic2024!$K$6:$K$205,MIN(C272+1,200)))-LN(INDEX(Dic2024!$K$6:$K$205,C272)))*(A272-6*C272)/6))</f>
        <v>0.280112096528909</v>
      </c>
      <c r="H272" s="12" t="n">
        <f aca="false">G272^(-1/B272)-1</f>
        <v>0.0586352099999998</v>
      </c>
      <c r="I272" s="12" t="n">
        <f aca="false">(1+H272)^(1/12)-1</f>
        <v>0.00475966981354636</v>
      </c>
      <c r="J272" s="16" t="n">
        <f aca="false">IF(C272=0,(1+Dic2024!$M$6)^(-B272),EXP(LN(INDEX(Dic2024!$N$6:$N$205,C272))+(LN(INDEX(Dic2024!$N$6:$N$205,MIN(C272+1,200)))-LN(INDEX(Dic2024!$N$6:$N$205,C272)))*(A272-6*C272)/6))</f>
        <v>0.280112096528909</v>
      </c>
      <c r="K272" s="12" t="n">
        <f aca="false">J272^(-1/B272)-1</f>
        <v>0.0586352099999998</v>
      </c>
      <c r="L272" s="12" t="n">
        <f aca="false">(1+K272)^(1/12)-1</f>
        <v>0.00475966981354636</v>
      </c>
    </row>
    <row r="273" customFormat="false" ht="15" hidden="false" customHeight="false" outlineLevel="0" collapsed="false">
      <c r="A273" s="4" t="n">
        <v>269</v>
      </c>
      <c r="B273" s="14" t="n">
        <f aca="false">A273/12</f>
        <v>22.4166666666667</v>
      </c>
      <c r="C273" s="15" t="n">
        <f aca="false">INT(A273/6)</f>
        <v>44</v>
      </c>
      <c r="D273" s="16" t="n">
        <f aca="false">IF(C273=0,(1+Dic2024!$G$6)^(-B273),EXP(LN(INDEX(Dic2024!$H$6:$H$205,C273))+(LN(INDEX(Dic2024!$H$6:$H$205,MIN(C273+1,200)))-LN(INDEX(Dic2024!$H$6:$H$205,C273)))*(A273-6*C273)/6))</f>
        <v>0.27878517116525</v>
      </c>
      <c r="E273" s="12" t="n">
        <f aca="false">D273^(-1/B273)-1</f>
        <v>0.0586352099999998</v>
      </c>
      <c r="F273" s="12" t="n">
        <f aca="false">(1+E273)^(1/12)-1</f>
        <v>0.00475966981354636</v>
      </c>
      <c r="G273" s="16" t="n">
        <f aca="false">IF(C273=0,(1+Dic2024!$J$6)^(-B273),EXP(LN(INDEX(Dic2024!$K$6:$K$205,C273))+(LN(INDEX(Dic2024!$K$6:$K$205,MIN(C273+1,200)))-LN(INDEX(Dic2024!$K$6:$K$205,C273)))*(A273-6*C273)/6))</f>
        <v>0.27878517116525</v>
      </c>
      <c r="H273" s="12" t="n">
        <f aca="false">G273^(-1/B273)-1</f>
        <v>0.0586352099999998</v>
      </c>
      <c r="I273" s="12" t="n">
        <f aca="false">(1+H273)^(1/12)-1</f>
        <v>0.00475966981354636</v>
      </c>
      <c r="J273" s="16" t="n">
        <f aca="false">IF(C273=0,(1+Dic2024!$M$6)^(-B273),EXP(LN(INDEX(Dic2024!$N$6:$N$205,C273))+(LN(INDEX(Dic2024!$N$6:$N$205,MIN(C273+1,200)))-LN(INDEX(Dic2024!$N$6:$N$205,C273)))*(A273-6*C273)/6))</f>
        <v>0.27878517116525</v>
      </c>
      <c r="K273" s="12" t="n">
        <f aca="false">J273^(-1/B273)-1</f>
        <v>0.0586352099999998</v>
      </c>
      <c r="L273" s="12" t="n">
        <f aca="false">(1+K273)^(1/12)-1</f>
        <v>0.00475966981354636</v>
      </c>
    </row>
    <row r="274" customFormat="false" ht="15" hidden="false" customHeight="false" outlineLevel="0" collapsed="false">
      <c r="A274" s="4" t="n">
        <v>270</v>
      </c>
      <c r="B274" s="14" t="n">
        <f aca="false">A274/12</f>
        <v>22.5</v>
      </c>
      <c r="C274" s="15" t="n">
        <f aca="false">INT(A274/6)</f>
        <v>45</v>
      </c>
      <c r="D274" s="16" t="n">
        <f aca="false">IF(C274=0,(1+Dic2024!$G$6)^(-B274),EXP(LN(INDEX(Dic2024!$H$6:$H$205,C274))+(LN(INDEX(Dic2024!$H$6:$H$205,MIN(C274+1,200)))-LN(INDEX(Dic2024!$H$6:$H$205,C274)))*(A274-6*C274)/6))</f>
        <v>0.277464531609817</v>
      </c>
      <c r="E274" s="12" t="n">
        <f aca="false">D274^(-1/B274)-1</f>
        <v>0.0586352099999998</v>
      </c>
      <c r="F274" s="12" t="n">
        <f aca="false">(1+E274)^(1/12)-1</f>
        <v>0.00475966981354636</v>
      </c>
      <c r="G274" s="16" t="n">
        <f aca="false">IF(C274=0,(1+Dic2024!$J$6)^(-B274),EXP(LN(INDEX(Dic2024!$K$6:$K$205,C274))+(LN(INDEX(Dic2024!$K$6:$K$205,MIN(C274+1,200)))-LN(INDEX(Dic2024!$K$6:$K$205,C274)))*(A274-6*C274)/6))</f>
        <v>0.277464531609817</v>
      </c>
      <c r="H274" s="12" t="n">
        <f aca="false">G274^(-1/B274)-1</f>
        <v>0.0586352099999998</v>
      </c>
      <c r="I274" s="12" t="n">
        <f aca="false">(1+H274)^(1/12)-1</f>
        <v>0.00475966981354636</v>
      </c>
      <c r="J274" s="16" t="n">
        <f aca="false">IF(C274=0,(1+Dic2024!$M$6)^(-B274),EXP(LN(INDEX(Dic2024!$N$6:$N$205,C274))+(LN(INDEX(Dic2024!$N$6:$N$205,MIN(C274+1,200)))-LN(INDEX(Dic2024!$N$6:$N$205,C274)))*(A274-6*C274)/6))</f>
        <v>0.277464531609817</v>
      </c>
      <c r="K274" s="12" t="n">
        <f aca="false">J274^(-1/B274)-1</f>
        <v>0.0586352099999998</v>
      </c>
      <c r="L274" s="12" t="n">
        <f aca="false">(1+K274)^(1/12)-1</f>
        <v>0.00475966981354636</v>
      </c>
    </row>
    <row r="275" customFormat="false" ht="15" hidden="false" customHeight="false" outlineLevel="0" collapsed="false">
      <c r="A275" s="4" t="n">
        <v>271</v>
      </c>
      <c r="B275" s="14" t="n">
        <f aca="false">A275/12</f>
        <v>22.5833333333333</v>
      </c>
      <c r="C275" s="15" t="n">
        <f aca="false">INT(A275/6)</f>
        <v>45</v>
      </c>
      <c r="D275" s="16" t="n">
        <f aca="false">IF(C275=0,(1+Dic2024!$G$6)^(-B275),EXP(LN(INDEX(Dic2024!$H$6:$H$205,C275))+(LN(INDEX(Dic2024!$H$6:$H$205,MIN(C275+1,200)))-LN(INDEX(Dic2024!$H$6:$H$205,C275)))*(A275-6*C275)/6))</f>
        <v>0.276150148085966</v>
      </c>
      <c r="E275" s="12" t="n">
        <f aca="false">D275^(-1/B275)-1</f>
        <v>0.0586352099999998</v>
      </c>
      <c r="F275" s="12" t="n">
        <f aca="false">(1+E275)^(1/12)-1</f>
        <v>0.00475966981354636</v>
      </c>
      <c r="G275" s="16" t="n">
        <f aca="false">IF(C275=0,(1+Dic2024!$J$6)^(-B275),EXP(LN(INDEX(Dic2024!$K$6:$K$205,C275))+(LN(INDEX(Dic2024!$K$6:$K$205,MIN(C275+1,200)))-LN(INDEX(Dic2024!$K$6:$K$205,C275)))*(A275-6*C275)/6))</f>
        <v>0.276150148085966</v>
      </c>
      <c r="H275" s="12" t="n">
        <f aca="false">G275^(-1/B275)-1</f>
        <v>0.0586352099999998</v>
      </c>
      <c r="I275" s="12" t="n">
        <f aca="false">(1+H275)^(1/12)-1</f>
        <v>0.00475966981354636</v>
      </c>
      <c r="J275" s="16" t="n">
        <f aca="false">IF(C275=0,(1+Dic2024!$M$6)^(-B275),EXP(LN(INDEX(Dic2024!$N$6:$N$205,C275))+(LN(INDEX(Dic2024!$N$6:$N$205,MIN(C275+1,200)))-LN(INDEX(Dic2024!$N$6:$N$205,C275)))*(A275-6*C275)/6))</f>
        <v>0.276150148085966</v>
      </c>
      <c r="K275" s="12" t="n">
        <f aca="false">J275^(-1/B275)-1</f>
        <v>0.0586352099999998</v>
      </c>
      <c r="L275" s="12" t="n">
        <f aca="false">(1+K275)^(1/12)-1</f>
        <v>0.00475966981354636</v>
      </c>
    </row>
    <row r="276" customFormat="false" ht="15" hidden="false" customHeight="false" outlineLevel="0" collapsed="false">
      <c r="A276" s="4" t="n">
        <v>272</v>
      </c>
      <c r="B276" s="14" t="n">
        <f aca="false">A276/12</f>
        <v>22.6666666666667</v>
      </c>
      <c r="C276" s="15" t="n">
        <f aca="false">INT(A276/6)</f>
        <v>45</v>
      </c>
      <c r="D276" s="16" t="n">
        <f aca="false">IF(C276=0,(1+Dic2024!$G$6)^(-B276),EXP(LN(INDEX(Dic2024!$H$6:$H$205,C276))+(LN(INDEX(Dic2024!$H$6:$H$205,MIN(C276+1,200)))-LN(INDEX(Dic2024!$H$6:$H$205,C276)))*(A276-6*C276)/6))</f>
        <v>0.274841990958107</v>
      </c>
      <c r="E276" s="12" t="n">
        <f aca="false">D276^(-1/B276)-1</f>
        <v>0.0586352099999998</v>
      </c>
      <c r="F276" s="12" t="n">
        <f aca="false">(1+E276)^(1/12)-1</f>
        <v>0.00475966981354636</v>
      </c>
      <c r="G276" s="16" t="n">
        <f aca="false">IF(C276=0,(1+Dic2024!$J$6)^(-B276),EXP(LN(INDEX(Dic2024!$K$6:$K$205,C276))+(LN(INDEX(Dic2024!$K$6:$K$205,MIN(C276+1,200)))-LN(INDEX(Dic2024!$K$6:$K$205,C276)))*(A276-6*C276)/6))</f>
        <v>0.274841990958107</v>
      </c>
      <c r="H276" s="12" t="n">
        <f aca="false">G276^(-1/B276)-1</f>
        <v>0.0586352099999998</v>
      </c>
      <c r="I276" s="12" t="n">
        <f aca="false">(1+H276)^(1/12)-1</f>
        <v>0.00475966981354636</v>
      </c>
      <c r="J276" s="16" t="n">
        <f aca="false">IF(C276=0,(1+Dic2024!$M$6)^(-B276),EXP(LN(INDEX(Dic2024!$N$6:$N$205,C276))+(LN(INDEX(Dic2024!$N$6:$N$205,MIN(C276+1,200)))-LN(INDEX(Dic2024!$N$6:$N$205,C276)))*(A276-6*C276)/6))</f>
        <v>0.274841990958107</v>
      </c>
      <c r="K276" s="12" t="n">
        <f aca="false">J276^(-1/B276)-1</f>
        <v>0.0586352099999998</v>
      </c>
      <c r="L276" s="12" t="n">
        <f aca="false">(1+K276)^(1/12)-1</f>
        <v>0.00475966981354636</v>
      </c>
    </row>
    <row r="277" customFormat="false" ht="15" hidden="false" customHeight="false" outlineLevel="0" collapsed="false">
      <c r="A277" s="4" t="n">
        <v>273</v>
      </c>
      <c r="B277" s="14" t="n">
        <f aca="false">A277/12</f>
        <v>22.75</v>
      </c>
      <c r="C277" s="15" t="n">
        <f aca="false">INT(A277/6)</f>
        <v>45</v>
      </c>
      <c r="D277" s="16" t="n">
        <f aca="false">IF(C277=0,(1+Dic2024!$G$6)^(-B277),EXP(LN(INDEX(Dic2024!$H$6:$H$205,C277))+(LN(INDEX(Dic2024!$H$6:$H$205,MIN(C277+1,200)))-LN(INDEX(Dic2024!$H$6:$H$205,C277)))*(A277-6*C277)/6))</f>
        <v>0.27354003073104</v>
      </c>
      <c r="E277" s="12" t="n">
        <f aca="false">D277^(-1/B277)-1</f>
        <v>0.0586352099999998</v>
      </c>
      <c r="F277" s="12" t="n">
        <f aca="false">(1+E277)^(1/12)-1</f>
        <v>0.00475966981354636</v>
      </c>
      <c r="G277" s="16" t="n">
        <f aca="false">IF(C277=0,(1+Dic2024!$J$6)^(-B277),EXP(LN(INDEX(Dic2024!$K$6:$K$205,C277))+(LN(INDEX(Dic2024!$K$6:$K$205,MIN(C277+1,200)))-LN(INDEX(Dic2024!$K$6:$K$205,C277)))*(A277-6*C277)/6))</f>
        <v>0.27354003073104</v>
      </c>
      <c r="H277" s="12" t="n">
        <f aca="false">G277^(-1/B277)-1</f>
        <v>0.0586352099999998</v>
      </c>
      <c r="I277" s="12" t="n">
        <f aca="false">(1+H277)^(1/12)-1</f>
        <v>0.00475966981354636</v>
      </c>
      <c r="J277" s="16" t="n">
        <f aca="false">IF(C277=0,(1+Dic2024!$M$6)^(-B277),EXP(LN(INDEX(Dic2024!$N$6:$N$205,C277))+(LN(INDEX(Dic2024!$N$6:$N$205,MIN(C277+1,200)))-LN(INDEX(Dic2024!$N$6:$N$205,C277)))*(A277-6*C277)/6))</f>
        <v>0.27354003073104</v>
      </c>
      <c r="K277" s="12" t="n">
        <f aca="false">J277^(-1/B277)-1</f>
        <v>0.0586352099999998</v>
      </c>
      <c r="L277" s="12" t="n">
        <f aca="false">(1+K277)^(1/12)-1</f>
        <v>0.00475966981354636</v>
      </c>
    </row>
    <row r="278" customFormat="false" ht="15" hidden="false" customHeight="false" outlineLevel="0" collapsed="false">
      <c r="A278" s="4" t="n">
        <v>274</v>
      </c>
      <c r="B278" s="14" t="n">
        <f aca="false">A278/12</f>
        <v>22.8333333333333</v>
      </c>
      <c r="C278" s="15" t="n">
        <f aca="false">INT(A278/6)</f>
        <v>45</v>
      </c>
      <c r="D278" s="16" t="n">
        <f aca="false">IF(C278=0,(1+Dic2024!$G$6)^(-B278),EXP(LN(INDEX(Dic2024!$H$6:$H$205,C278))+(LN(INDEX(Dic2024!$H$6:$H$205,MIN(C278+1,200)))-LN(INDEX(Dic2024!$H$6:$H$205,C278)))*(A278-6*C278)/6))</f>
        <v>0.272244238049285</v>
      </c>
      <c r="E278" s="12" t="n">
        <f aca="false">D278^(-1/B278)-1</f>
        <v>0.0586352099999998</v>
      </c>
      <c r="F278" s="12" t="n">
        <f aca="false">(1+E278)^(1/12)-1</f>
        <v>0.00475966981354636</v>
      </c>
      <c r="G278" s="16" t="n">
        <f aca="false">IF(C278=0,(1+Dic2024!$J$6)^(-B278),EXP(LN(INDEX(Dic2024!$K$6:$K$205,C278))+(LN(INDEX(Dic2024!$K$6:$K$205,MIN(C278+1,200)))-LN(INDEX(Dic2024!$K$6:$K$205,C278)))*(A278-6*C278)/6))</f>
        <v>0.272244238049285</v>
      </c>
      <c r="H278" s="12" t="n">
        <f aca="false">G278^(-1/B278)-1</f>
        <v>0.0586352099999998</v>
      </c>
      <c r="I278" s="12" t="n">
        <f aca="false">(1+H278)^(1/12)-1</f>
        <v>0.00475966981354636</v>
      </c>
      <c r="J278" s="16" t="n">
        <f aca="false">IF(C278=0,(1+Dic2024!$M$6)^(-B278),EXP(LN(INDEX(Dic2024!$N$6:$N$205,C278))+(LN(INDEX(Dic2024!$N$6:$N$205,MIN(C278+1,200)))-LN(INDEX(Dic2024!$N$6:$N$205,C278)))*(A278-6*C278)/6))</f>
        <v>0.272244238049285</v>
      </c>
      <c r="K278" s="12" t="n">
        <f aca="false">J278^(-1/B278)-1</f>
        <v>0.0586352099999998</v>
      </c>
      <c r="L278" s="12" t="n">
        <f aca="false">(1+K278)^(1/12)-1</f>
        <v>0.00475966981354636</v>
      </c>
    </row>
    <row r="279" customFormat="false" ht="15" hidden="false" customHeight="false" outlineLevel="0" collapsed="false">
      <c r="A279" s="4" t="n">
        <v>275</v>
      </c>
      <c r="B279" s="14" t="n">
        <f aca="false">A279/12</f>
        <v>22.9166666666667</v>
      </c>
      <c r="C279" s="15" t="n">
        <f aca="false">INT(A279/6)</f>
        <v>45</v>
      </c>
      <c r="D279" s="16" t="n">
        <f aca="false">IF(C279=0,(1+Dic2024!$G$6)^(-B279),EXP(LN(INDEX(Dic2024!$H$6:$H$205,C279))+(LN(INDEX(Dic2024!$H$6:$H$205,MIN(C279+1,200)))-LN(INDEX(Dic2024!$H$6:$H$205,C279)))*(A279-6*C279)/6))</f>
        <v>0.270954583696423</v>
      </c>
      <c r="E279" s="12" t="n">
        <f aca="false">D279^(-1/B279)-1</f>
        <v>0.0586352099999998</v>
      </c>
      <c r="F279" s="12" t="n">
        <f aca="false">(1+E279)^(1/12)-1</f>
        <v>0.00475966981354636</v>
      </c>
      <c r="G279" s="16" t="n">
        <f aca="false">IF(C279=0,(1+Dic2024!$J$6)^(-B279),EXP(LN(INDEX(Dic2024!$K$6:$K$205,C279))+(LN(INDEX(Dic2024!$K$6:$K$205,MIN(C279+1,200)))-LN(INDEX(Dic2024!$K$6:$K$205,C279)))*(A279-6*C279)/6))</f>
        <v>0.270954583696423</v>
      </c>
      <c r="H279" s="12" t="n">
        <f aca="false">G279^(-1/B279)-1</f>
        <v>0.0586352099999998</v>
      </c>
      <c r="I279" s="12" t="n">
        <f aca="false">(1+H279)^(1/12)-1</f>
        <v>0.00475966981354636</v>
      </c>
      <c r="J279" s="16" t="n">
        <f aca="false">IF(C279=0,(1+Dic2024!$M$6)^(-B279),EXP(LN(INDEX(Dic2024!$N$6:$N$205,C279))+(LN(INDEX(Dic2024!$N$6:$N$205,MIN(C279+1,200)))-LN(INDEX(Dic2024!$N$6:$N$205,C279)))*(A279-6*C279)/6))</f>
        <v>0.270954583696423</v>
      </c>
      <c r="K279" s="12" t="n">
        <f aca="false">J279^(-1/B279)-1</f>
        <v>0.0586352099999998</v>
      </c>
      <c r="L279" s="12" t="n">
        <f aca="false">(1+K279)^(1/12)-1</f>
        <v>0.00475966981354636</v>
      </c>
    </row>
    <row r="280" customFormat="false" ht="15" hidden="false" customHeight="false" outlineLevel="0" collapsed="false">
      <c r="A280" s="4" t="n">
        <v>276</v>
      </c>
      <c r="B280" s="14" t="n">
        <f aca="false">A280/12</f>
        <v>23</v>
      </c>
      <c r="C280" s="15" t="n">
        <f aca="false">INT(A280/6)</f>
        <v>46</v>
      </c>
      <c r="D280" s="16" t="n">
        <f aca="false">IF(C280=0,(1+Dic2024!$G$6)^(-B280),EXP(LN(INDEX(Dic2024!$H$6:$H$205,C280))+(LN(INDEX(Dic2024!$H$6:$H$205,MIN(C280+1,200)))-LN(INDEX(Dic2024!$H$6:$H$205,C280)))*(A280-6*C280)/6))</f>
        <v>0.269671038594438</v>
      </c>
      <c r="E280" s="12" t="n">
        <f aca="false">D280^(-1/B280)-1</f>
        <v>0.0586352099999998</v>
      </c>
      <c r="F280" s="12" t="n">
        <f aca="false">(1+E280)^(1/12)-1</f>
        <v>0.00475966981354636</v>
      </c>
      <c r="G280" s="16" t="n">
        <f aca="false">IF(C280=0,(1+Dic2024!$J$6)^(-B280),EXP(LN(INDEX(Dic2024!$K$6:$K$205,C280))+(LN(INDEX(Dic2024!$K$6:$K$205,MIN(C280+1,200)))-LN(INDEX(Dic2024!$K$6:$K$205,C280)))*(A280-6*C280)/6))</f>
        <v>0.269671038594438</v>
      </c>
      <c r="H280" s="12" t="n">
        <f aca="false">G280^(-1/B280)-1</f>
        <v>0.0586352099999998</v>
      </c>
      <c r="I280" s="12" t="n">
        <f aca="false">(1+H280)^(1/12)-1</f>
        <v>0.00475966981354636</v>
      </c>
      <c r="J280" s="16" t="n">
        <f aca="false">IF(C280=0,(1+Dic2024!$M$6)^(-B280),EXP(LN(INDEX(Dic2024!$N$6:$N$205,C280))+(LN(INDEX(Dic2024!$N$6:$N$205,MIN(C280+1,200)))-LN(INDEX(Dic2024!$N$6:$N$205,C280)))*(A280-6*C280)/6))</f>
        <v>0.269671038594438</v>
      </c>
      <c r="K280" s="12" t="n">
        <f aca="false">J280^(-1/B280)-1</f>
        <v>0.0586352099999998</v>
      </c>
      <c r="L280" s="12" t="n">
        <f aca="false">(1+K280)^(1/12)-1</f>
        <v>0.00475966981354636</v>
      </c>
    </row>
    <row r="281" customFormat="false" ht="15" hidden="false" customHeight="false" outlineLevel="0" collapsed="false">
      <c r="A281" s="4" t="n">
        <v>277</v>
      </c>
      <c r="B281" s="14" t="n">
        <f aca="false">A281/12</f>
        <v>23.0833333333333</v>
      </c>
      <c r="C281" s="15" t="n">
        <f aca="false">INT(A281/6)</f>
        <v>46</v>
      </c>
      <c r="D281" s="16" t="n">
        <f aca="false">IF(C281=0,(1+Dic2024!$G$6)^(-B281),EXP(LN(INDEX(Dic2024!$H$6:$H$205,C281))+(LN(INDEX(Dic2024!$H$6:$H$205,MIN(C281+1,200)))-LN(INDEX(Dic2024!$H$6:$H$205,C281)))*(A281-6*C281)/6))</f>
        <v>0.268393573803057</v>
      </c>
      <c r="E281" s="12" t="n">
        <f aca="false">D281^(-1/B281)-1</f>
        <v>0.0586352099999998</v>
      </c>
      <c r="F281" s="12" t="n">
        <f aca="false">(1+E281)^(1/12)-1</f>
        <v>0.00475966981354636</v>
      </c>
      <c r="G281" s="16" t="n">
        <f aca="false">IF(C281=0,(1+Dic2024!$J$6)^(-B281),EXP(LN(INDEX(Dic2024!$K$6:$K$205,C281))+(LN(INDEX(Dic2024!$K$6:$K$205,MIN(C281+1,200)))-LN(INDEX(Dic2024!$K$6:$K$205,C281)))*(A281-6*C281)/6))</f>
        <v>0.268393573803057</v>
      </c>
      <c r="H281" s="12" t="n">
        <f aca="false">G281^(-1/B281)-1</f>
        <v>0.0586352099999998</v>
      </c>
      <c r="I281" s="12" t="n">
        <f aca="false">(1+H281)^(1/12)-1</f>
        <v>0.00475966981354636</v>
      </c>
      <c r="J281" s="16" t="n">
        <f aca="false">IF(C281=0,(1+Dic2024!$M$6)^(-B281),EXP(LN(INDEX(Dic2024!$N$6:$N$205,C281))+(LN(INDEX(Dic2024!$N$6:$N$205,MIN(C281+1,200)))-LN(INDEX(Dic2024!$N$6:$N$205,C281)))*(A281-6*C281)/6))</f>
        <v>0.268393573803057</v>
      </c>
      <c r="K281" s="12" t="n">
        <f aca="false">J281^(-1/B281)-1</f>
        <v>0.0586352099999998</v>
      </c>
      <c r="L281" s="12" t="n">
        <f aca="false">(1+K281)^(1/12)-1</f>
        <v>0.00475966981354636</v>
      </c>
    </row>
    <row r="282" customFormat="false" ht="15" hidden="false" customHeight="false" outlineLevel="0" collapsed="false">
      <c r="A282" s="4" t="n">
        <v>278</v>
      </c>
      <c r="B282" s="14" t="n">
        <f aca="false">A282/12</f>
        <v>23.1666666666667</v>
      </c>
      <c r="C282" s="15" t="n">
        <f aca="false">INT(A282/6)</f>
        <v>46</v>
      </c>
      <c r="D282" s="16" t="n">
        <f aca="false">IF(C282=0,(1+Dic2024!$G$6)^(-B282),EXP(LN(INDEX(Dic2024!$H$6:$H$205,C282))+(LN(INDEX(Dic2024!$H$6:$H$205,MIN(C282+1,200)))-LN(INDEX(Dic2024!$H$6:$H$205,C282)))*(A282-6*C282)/6))</f>
        <v>0.267122160519105</v>
      </c>
      <c r="E282" s="12" t="n">
        <f aca="false">D282^(-1/B282)-1</f>
        <v>0.0586352099999998</v>
      </c>
      <c r="F282" s="12" t="n">
        <f aca="false">(1+E282)^(1/12)-1</f>
        <v>0.00475966981354636</v>
      </c>
      <c r="G282" s="16" t="n">
        <f aca="false">IF(C282=0,(1+Dic2024!$J$6)^(-B282),EXP(LN(INDEX(Dic2024!$K$6:$K$205,C282))+(LN(INDEX(Dic2024!$K$6:$K$205,MIN(C282+1,200)))-LN(INDEX(Dic2024!$K$6:$K$205,C282)))*(A282-6*C282)/6))</f>
        <v>0.267122160519105</v>
      </c>
      <c r="H282" s="12" t="n">
        <f aca="false">G282^(-1/B282)-1</f>
        <v>0.0586352099999998</v>
      </c>
      <c r="I282" s="12" t="n">
        <f aca="false">(1+H282)^(1/12)-1</f>
        <v>0.00475966981354636</v>
      </c>
      <c r="J282" s="16" t="n">
        <f aca="false">IF(C282=0,(1+Dic2024!$M$6)^(-B282),EXP(LN(INDEX(Dic2024!$N$6:$N$205,C282))+(LN(INDEX(Dic2024!$N$6:$N$205,MIN(C282+1,200)))-LN(INDEX(Dic2024!$N$6:$N$205,C282)))*(A282-6*C282)/6))</f>
        <v>0.267122160519105</v>
      </c>
      <c r="K282" s="12" t="n">
        <f aca="false">J282^(-1/B282)-1</f>
        <v>0.0586352099999998</v>
      </c>
      <c r="L282" s="12" t="n">
        <f aca="false">(1+K282)^(1/12)-1</f>
        <v>0.00475966981354636</v>
      </c>
    </row>
    <row r="283" customFormat="false" ht="15" hidden="false" customHeight="false" outlineLevel="0" collapsed="false">
      <c r="A283" s="4" t="n">
        <v>279</v>
      </c>
      <c r="B283" s="14" t="n">
        <f aca="false">A283/12</f>
        <v>23.25</v>
      </c>
      <c r="C283" s="15" t="n">
        <f aca="false">INT(A283/6)</f>
        <v>46</v>
      </c>
      <c r="D283" s="16" t="n">
        <f aca="false">IF(C283=0,(1+Dic2024!$G$6)^(-B283),EXP(LN(INDEX(Dic2024!$H$6:$H$205,C283))+(LN(INDEX(Dic2024!$H$6:$H$205,MIN(C283+1,200)))-LN(INDEX(Dic2024!$H$6:$H$205,C283)))*(A283-6*C283)/6))</f>
        <v>0.265856770075848</v>
      </c>
      <c r="E283" s="12" t="n">
        <f aca="false">D283^(-1/B283)-1</f>
        <v>0.0586352099999998</v>
      </c>
      <c r="F283" s="12" t="n">
        <f aca="false">(1+E283)^(1/12)-1</f>
        <v>0.00475966981354636</v>
      </c>
      <c r="G283" s="16" t="n">
        <f aca="false">IF(C283=0,(1+Dic2024!$J$6)^(-B283),EXP(LN(INDEX(Dic2024!$K$6:$K$205,C283))+(LN(INDEX(Dic2024!$K$6:$K$205,MIN(C283+1,200)))-LN(INDEX(Dic2024!$K$6:$K$205,C283)))*(A283-6*C283)/6))</f>
        <v>0.265856770075848</v>
      </c>
      <c r="H283" s="12" t="n">
        <f aca="false">G283^(-1/B283)-1</f>
        <v>0.0586352099999998</v>
      </c>
      <c r="I283" s="12" t="n">
        <f aca="false">(1+H283)^(1/12)-1</f>
        <v>0.00475966981354636</v>
      </c>
      <c r="J283" s="16" t="n">
        <f aca="false">IF(C283=0,(1+Dic2024!$M$6)^(-B283),EXP(LN(INDEX(Dic2024!$N$6:$N$205,C283))+(LN(INDEX(Dic2024!$N$6:$N$205,MIN(C283+1,200)))-LN(INDEX(Dic2024!$N$6:$N$205,C283)))*(A283-6*C283)/6))</f>
        <v>0.265856770075848</v>
      </c>
      <c r="K283" s="12" t="n">
        <f aca="false">J283^(-1/B283)-1</f>
        <v>0.0586352099999998</v>
      </c>
      <c r="L283" s="12" t="n">
        <f aca="false">(1+K283)^(1/12)-1</f>
        <v>0.00475966981354636</v>
      </c>
    </row>
    <row r="284" customFormat="false" ht="15" hidden="false" customHeight="false" outlineLevel="0" collapsed="false">
      <c r="A284" s="4" t="n">
        <v>280</v>
      </c>
      <c r="B284" s="14" t="n">
        <f aca="false">A284/12</f>
        <v>23.3333333333333</v>
      </c>
      <c r="C284" s="15" t="n">
        <f aca="false">INT(A284/6)</f>
        <v>46</v>
      </c>
      <c r="D284" s="16" t="n">
        <f aca="false">IF(C284=0,(1+Dic2024!$G$6)^(-B284),EXP(LN(INDEX(Dic2024!$H$6:$H$205,C284))+(LN(INDEX(Dic2024!$H$6:$H$205,MIN(C284+1,200)))-LN(INDEX(Dic2024!$H$6:$H$205,C284)))*(A284-6*C284)/6))</f>
        <v>0.264597373942351</v>
      </c>
      <c r="E284" s="12" t="n">
        <f aca="false">D284^(-1/B284)-1</f>
        <v>0.0586352099999998</v>
      </c>
      <c r="F284" s="12" t="n">
        <f aca="false">(1+E284)^(1/12)-1</f>
        <v>0.00475966981354636</v>
      </c>
      <c r="G284" s="16" t="n">
        <f aca="false">IF(C284=0,(1+Dic2024!$J$6)^(-B284),EXP(LN(INDEX(Dic2024!$K$6:$K$205,C284))+(LN(INDEX(Dic2024!$K$6:$K$205,MIN(C284+1,200)))-LN(INDEX(Dic2024!$K$6:$K$205,C284)))*(A284-6*C284)/6))</f>
        <v>0.264597373942351</v>
      </c>
      <c r="H284" s="12" t="n">
        <f aca="false">G284^(-1/B284)-1</f>
        <v>0.0586352099999998</v>
      </c>
      <c r="I284" s="12" t="n">
        <f aca="false">(1+H284)^(1/12)-1</f>
        <v>0.00475966981354636</v>
      </c>
      <c r="J284" s="16" t="n">
        <f aca="false">IF(C284=0,(1+Dic2024!$M$6)^(-B284),EXP(LN(INDEX(Dic2024!$N$6:$N$205,C284))+(LN(INDEX(Dic2024!$N$6:$N$205,MIN(C284+1,200)))-LN(INDEX(Dic2024!$N$6:$N$205,C284)))*(A284-6*C284)/6))</f>
        <v>0.264597373942351</v>
      </c>
      <c r="K284" s="12" t="n">
        <f aca="false">J284^(-1/B284)-1</f>
        <v>0.0586352099999998</v>
      </c>
      <c r="L284" s="12" t="n">
        <f aca="false">(1+K284)^(1/12)-1</f>
        <v>0.00475966981354636</v>
      </c>
    </row>
    <row r="285" customFormat="false" ht="15" hidden="false" customHeight="false" outlineLevel="0" collapsed="false">
      <c r="A285" s="4" t="n">
        <v>281</v>
      </c>
      <c r="B285" s="14" t="n">
        <f aca="false">A285/12</f>
        <v>23.4166666666667</v>
      </c>
      <c r="C285" s="15" t="n">
        <f aca="false">INT(A285/6)</f>
        <v>46</v>
      </c>
      <c r="D285" s="16" t="n">
        <f aca="false">IF(C285=0,(1+Dic2024!$G$6)^(-B285),EXP(LN(INDEX(Dic2024!$H$6:$H$205,C285))+(LN(INDEX(Dic2024!$H$6:$H$205,MIN(C285+1,200)))-LN(INDEX(Dic2024!$H$6:$H$205,C285)))*(A285-6*C285)/6))</f>
        <v>0.263343943722833</v>
      </c>
      <c r="E285" s="12" t="n">
        <f aca="false">D285^(-1/B285)-1</f>
        <v>0.0586352099999998</v>
      </c>
      <c r="F285" s="12" t="n">
        <f aca="false">(1+E285)^(1/12)-1</f>
        <v>0.00475966981354636</v>
      </c>
      <c r="G285" s="16" t="n">
        <f aca="false">IF(C285=0,(1+Dic2024!$J$6)^(-B285),EXP(LN(INDEX(Dic2024!$K$6:$K$205,C285))+(LN(INDEX(Dic2024!$K$6:$K$205,MIN(C285+1,200)))-LN(INDEX(Dic2024!$K$6:$K$205,C285)))*(A285-6*C285)/6))</f>
        <v>0.263343943722833</v>
      </c>
      <c r="H285" s="12" t="n">
        <f aca="false">G285^(-1/B285)-1</f>
        <v>0.0586352099999998</v>
      </c>
      <c r="I285" s="12" t="n">
        <f aca="false">(1+H285)^(1/12)-1</f>
        <v>0.00475966981354636</v>
      </c>
      <c r="J285" s="16" t="n">
        <f aca="false">IF(C285=0,(1+Dic2024!$M$6)^(-B285),EXP(LN(INDEX(Dic2024!$N$6:$N$205,C285))+(LN(INDEX(Dic2024!$N$6:$N$205,MIN(C285+1,200)))-LN(INDEX(Dic2024!$N$6:$N$205,C285)))*(A285-6*C285)/6))</f>
        <v>0.263343943722833</v>
      </c>
      <c r="K285" s="12" t="n">
        <f aca="false">J285^(-1/B285)-1</f>
        <v>0.0586352099999998</v>
      </c>
      <c r="L285" s="12" t="n">
        <f aca="false">(1+K285)^(1/12)-1</f>
        <v>0.00475966981354636</v>
      </c>
    </row>
    <row r="286" customFormat="false" ht="15" hidden="false" customHeight="false" outlineLevel="0" collapsed="false">
      <c r="A286" s="4" t="n">
        <v>282</v>
      </c>
      <c r="B286" s="14" t="n">
        <f aca="false">A286/12</f>
        <v>23.5</v>
      </c>
      <c r="C286" s="15" t="n">
        <f aca="false">INT(A286/6)</f>
        <v>47</v>
      </c>
      <c r="D286" s="16" t="n">
        <f aca="false">IF(C286=0,(1+Dic2024!$G$6)^(-B286),EXP(LN(INDEX(Dic2024!$H$6:$H$205,C286))+(LN(INDEX(Dic2024!$H$6:$H$205,MIN(C286+1,200)))-LN(INDEX(Dic2024!$H$6:$H$205,C286)))*(A286-6*C286)/6))</f>
        <v>0.262096451156028</v>
      </c>
      <c r="E286" s="12" t="n">
        <f aca="false">D286^(-1/B286)-1</f>
        <v>0.0586352099999998</v>
      </c>
      <c r="F286" s="12" t="n">
        <f aca="false">(1+E286)^(1/12)-1</f>
        <v>0.00475966981354636</v>
      </c>
      <c r="G286" s="16" t="n">
        <f aca="false">IF(C286=0,(1+Dic2024!$J$6)^(-B286),EXP(LN(INDEX(Dic2024!$K$6:$K$205,C286))+(LN(INDEX(Dic2024!$K$6:$K$205,MIN(C286+1,200)))-LN(INDEX(Dic2024!$K$6:$K$205,C286)))*(A286-6*C286)/6))</f>
        <v>0.262096451156028</v>
      </c>
      <c r="H286" s="12" t="n">
        <f aca="false">G286^(-1/B286)-1</f>
        <v>0.0586352099999998</v>
      </c>
      <c r="I286" s="12" t="n">
        <f aca="false">(1+H286)^(1/12)-1</f>
        <v>0.00475966981354636</v>
      </c>
      <c r="J286" s="16" t="n">
        <f aca="false">IF(C286=0,(1+Dic2024!$M$6)^(-B286),EXP(LN(INDEX(Dic2024!$N$6:$N$205,C286))+(LN(INDEX(Dic2024!$N$6:$N$205,MIN(C286+1,200)))-LN(INDEX(Dic2024!$N$6:$N$205,C286)))*(A286-6*C286)/6))</f>
        <v>0.262096451156028</v>
      </c>
      <c r="K286" s="12" t="n">
        <f aca="false">J286^(-1/B286)-1</f>
        <v>0.0586352099999998</v>
      </c>
      <c r="L286" s="12" t="n">
        <f aca="false">(1+K286)^(1/12)-1</f>
        <v>0.00475966981354636</v>
      </c>
    </row>
    <row r="287" customFormat="false" ht="15" hidden="false" customHeight="false" outlineLevel="0" collapsed="false">
      <c r="A287" s="4" t="n">
        <v>283</v>
      </c>
      <c r="B287" s="14" t="n">
        <f aca="false">A287/12</f>
        <v>23.5833333333333</v>
      </c>
      <c r="C287" s="15" t="n">
        <f aca="false">INT(A287/6)</f>
        <v>47</v>
      </c>
      <c r="D287" s="16" t="n">
        <f aca="false">IF(C287=0,(1+Dic2024!$G$6)^(-B287),EXP(LN(INDEX(Dic2024!$H$6:$H$205,C287))+(LN(INDEX(Dic2024!$H$6:$H$205,MIN(C287+1,200)))-LN(INDEX(Dic2024!$H$6:$H$205,C287)))*(A287-6*C287)/6))</f>
        <v>0.260854868114547</v>
      </c>
      <c r="E287" s="12" t="n">
        <f aca="false">D287^(-1/B287)-1</f>
        <v>0.0586352099999998</v>
      </c>
      <c r="F287" s="12" t="n">
        <f aca="false">(1+E287)^(1/12)-1</f>
        <v>0.00475966981354636</v>
      </c>
      <c r="G287" s="16" t="n">
        <f aca="false">IF(C287=0,(1+Dic2024!$J$6)^(-B287),EXP(LN(INDEX(Dic2024!$K$6:$K$205,C287))+(LN(INDEX(Dic2024!$K$6:$K$205,MIN(C287+1,200)))-LN(INDEX(Dic2024!$K$6:$K$205,C287)))*(A287-6*C287)/6))</f>
        <v>0.260854868114547</v>
      </c>
      <c r="H287" s="12" t="n">
        <f aca="false">G287^(-1/B287)-1</f>
        <v>0.0586352099999998</v>
      </c>
      <c r="I287" s="12" t="n">
        <f aca="false">(1+H287)^(1/12)-1</f>
        <v>0.00475966981354636</v>
      </c>
      <c r="J287" s="16" t="n">
        <f aca="false">IF(C287=0,(1+Dic2024!$M$6)^(-B287),EXP(LN(INDEX(Dic2024!$N$6:$N$205,C287))+(LN(INDEX(Dic2024!$N$6:$N$205,MIN(C287+1,200)))-LN(INDEX(Dic2024!$N$6:$N$205,C287)))*(A287-6*C287)/6))</f>
        <v>0.260854868114547</v>
      </c>
      <c r="K287" s="12" t="n">
        <f aca="false">J287^(-1/B287)-1</f>
        <v>0.0586352099999998</v>
      </c>
      <c r="L287" s="12" t="n">
        <f aca="false">(1+K287)^(1/12)-1</f>
        <v>0.00475966981354636</v>
      </c>
    </row>
    <row r="288" customFormat="false" ht="15" hidden="false" customHeight="false" outlineLevel="0" collapsed="false">
      <c r="A288" s="4" t="n">
        <v>284</v>
      </c>
      <c r="B288" s="14" t="n">
        <f aca="false">A288/12</f>
        <v>23.6666666666667</v>
      </c>
      <c r="C288" s="15" t="n">
        <f aca="false">INT(A288/6)</f>
        <v>47</v>
      </c>
      <c r="D288" s="16" t="n">
        <f aca="false">IF(C288=0,(1+Dic2024!$G$6)^(-B288),EXP(LN(INDEX(Dic2024!$H$6:$H$205,C288))+(LN(INDEX(Dic2024!$H$6:$H$205,MIN(C288+1,200)))-LN(INDEX(Dic2024!$H$6:$H$205,C288)))*(A288-6*C288)/6))</f>
        <v>0.259619166604243</v>
      </c>
      <c r="E288" s="12" t="n">
        <f aca="false">D288^(-1/B288)-1</f>
        <v>0.0586352099999998</v>
      </c>
      <c r="F288" s="12" t="n">
        <f aca="false">(1+E288)^(1/12)-1</f>
        <v>0.00475966981354636</v>
      </c>
      <c r="G288" s="16" t="n">
        <f aca="false">IF(C288=0,(1+Dic2024!$J$6)^(-B288),EXP(LN(INDEX(Dic2024!$K$6:$K$205,C288))+(LN(INDEX(Dic2024!$K$6:$K$205,MIN(C288+1,200)))-LN(INDEX(Dic2024!$K$6:$K$205,C288)))*(A288-6*C288)/6))</f>
        <v>0.259619166604243</v>
      </c>
      <c r="H288" s="12" t="n">
        <f aca="false">G288^(-1/B288)-1</f>
        <v>0.0586352099999998</v>
      </c>
      <c r="I288" s="12" t="n">
        <f aca="false">(1+H288)^(1/12)-1</f>
        <v>0.00475966981354636</v>
      </c>
      <c r="J288" s="16" t="n">
        <f aca="false">IF(C288=0,(1+Dic2024!$M$6)^(-B288),EXP(LN(INDEX(Dic2024!$N$6:$N$205,C288))+(LN(INDEX(Dic2024!$N$6:$N$205,MIN(C288+1,200)))-LN(INDEX(Dic2024!$N$6:$N$205,C288)))*(A288-6*C288)/6))</f>
        <v>0.259619166604243</v>
      </c>
      <c r="K288" s="12" t="n">
        <f aca="false">J288^(-1/B288)-1</f>
        <v>0.0586352099999998</v>
      </c>
      <c r="L288" s="12" t="n">
        <f aca="false">(1+K288)^(1/12)-1</f>
        <v>0.00475966981354636</v>
      </c>
    </row>
    <row r="289" customFormat="false" ht="15" hidden="false" customHeight="false" outlineLevel="0" collapsed="false">
      <c r="A289" s="4" t="n">
        <v>285</v>
      </c>
      <c r="B289" s="14" t="n">
        <f aca="false">A289/12</f>
        <v>23.75</v>
      </c>
      <c r="C289" s="15" t="n">
        <f aca="false">INT(A289/6)</f>
        <v>47</v>
      </c>
      <c r="D289" s="16" t="n">
        <f aca="false">IF(C289=0,(1+Dic2024!$G$6)^(-B289),EXP(LN(INDEX(Dic2024!$H$6:$H$205,C289))+(LN(INDEX(Dic2024!$H$6:$H$205,MIN(C289+1,200)))-LN(INDEX(Dic2024!$H$6:$H$205,C289)))*(A289-6*C289)/6))</f>
        <v>0.258389318763581</v>
      </c>
      <c r="E289" s="12" t="n">
        <f aca="false">D289^(-1/B289)-1</f>
        <v>0.0586352099999998</v>
      </c>
      <c r="F289" s="12" t="n">
        <f aca="false">(1+E289)^(1/12)-1</f>
        <v>0.00475966981354636</v>
      </c>
      <c r="G289" s="16" t="n">
        <f aca="false">IF(C289=0,(1+Dic2024!$J$6)^(-B289),EXP(LN(INDEX(Dic2024!$K$6:$K$205,C289))+(LN(INDEX(Dic2024!$K$6:$K$205,MIN(C289+1,200)))-LN(INDEX(Dic2024!$K$6:$K$205,C289)))*(A289-6*C289)/6))</f>
        <v>0.258389318763581</v>
      </c>
      <c r="H289" s="12" t="n">
        <f aca="false">G289^(-1/B289)-1</f>
        <v>0.0586352099999998</v>
      </c>
      <c r="I289" s="12" t="n">
        <f aca="false">(1+H289)^(1/12)-1</f>
        <v>0.00475966981354636</v>
      </c>
      <c r="J289" s="16" t="n">
        <f aca="false">IF(C289=0,(1+Dic2024!$M$6)^(-B289),EXP(LN(INDEX(Dic2024!$N$6:$N$205,C289))+(LN(INDEX(Dic2024!$N$6:$N$205,MIN(C289+1,200)))-LN(INDEX(Dic2024!$N$6:$N$205,C289)))*(A289-6*C289)/6))</f>
        <v>0.258389318763581</v>
      </c>
      <c r="K289" s="12" t="n">
        <f aca="false">J289^(-1/B289)-1</f>
        <v>0.0586352099999998</v>
      </c>
      <c r="L289" s="12" t="n">
        <f aca="false">(1+K289)^(1/12)-1</f>
        <v>0.00475966981354636</v>
      </c>
    </row>
    <row r="290" customFormat="false" ht="15" hidden="false" customHeight="false" outlineLevel="0" collapsed="false">
      <c r="A290" s="4" t="n">
        <v>286</v>
      </c>
      <c r="B290" s="14" t="n">
        <f aca="false">A290/12</f>
        <v>23.8333333333333</v>
      </c>
      <c r="C290" s="15" t="n">
        <f aca="false">INT(A290/6)</f>
        <v>47</v>
      </c>
      <c r="D290" s="16" t="n">
        <f aca="false">IF(C290=0,(1+Dic2024!$G$6)^(-B290),EXP(LN(INDEX(Dic2024!$H$6:$H$205,C290))+(LN(INDEX(Dic2024!$H$6:$H$205,MIN(C290+1,200)))-LN(INDEX(Dic2024!$H$6:$H$205,C290)))*(A290-6*C290)/6))</f>
        <v>0.25716529686301</v>
      </c>
      <c r="E290" s="12" t="n">
        <f aca="false">D290^(-1/B290)-1</f>
        <v>0.0586352099999998</v>
      </c>
      <c r="F290" s="12" t="n">
        <f aca="false">(1+E290)^(1/12)-1</f>
        <v>0.00475966981354636</v>
      </c>
      <c r="G290" s="16" t="n">
        <f aca="false">IF(C290=0,(1+Dic2024!$J$6)^(-B290),EXP(LN(INDEX(Dic2024!$K$6:$K$205,C290))+(LN(INDEX(Dic2024!$K$6:$K$205,MIN(C290+1,200)))-LN(INDEX(Dic2024!$K$6:$K$205,C290)))*(A290-6*C290)/6))</f>
        <v>0.25716529686301</v>
      </c>
      <c r="H290" s="12" t="n">
        <f aca="false">G290^(-1/B290)-1</f>
        <v>0.0586352099999998</v>
      </c>
      <c r="I290" s="12" t="n">
        <f aca="false">(1+H290)^(1/12)-1</f>
        <v>0.00475966981354636</v>
      </c>
      <c r="J290" s="16" t="n">
        <f aca="false">IF(C290=0,(1+Dic2024!$M$6)^(-B290),EXP(LN(INDEX(Dic2024!$N$6:$N$205,C290))+(LN(INDEX(Dic2024!$N$6:$N$205,MIN(C290+1,200)))-LN(INDEX(Dic2024!$N$6:$N$205,C290)))*(A290-6*C290)/6))</f>
        <v>0.25716529686301</v>
      </c>
      <c r="K290" s="12" t="n">
        <f aca="false">J290^(-1/B290)-1</f>
        <v>0.0586352099999998</v>
      </c>
      <c r="L290" s="12" t="n">
        <f aca="false">(1+K290)^(1/12)-1</f>
        <v>0.00475966981354636</v>
      </c>
    </row>
    <row r="291" customFormat="false" ht="15" hidden="false" customHeight="false" outlineLevel="0" collapsed="false">
      <c r="A291" s="4" t="n">
        <v>287</v>
      </c>
      <c r="B291" s="14" t="n">
        <f aca="false">A291/12</f>
        <v>23.9166666666667</v>
      </c>
      <c r="C291" s="15" t="n">
        <f aca="false">INT(A291/6)</f>
        <v>47</v>
      </c>
      <c r="D291" s="16" t="n">
        <f aca="false">IF(C291=0,(1+Dic2024!$G$6)^(-B291),EXP(LN(INDEX(Dic2024!$H$6:$H$205,C291))+(LN(INDEX(Dic2024!$H$6:$H$205,MIN(C291+1,200)))-LN(INDEX(Dic2024!$H$6:$H$205,C291)))*(A291-6*C291)/6))</f>
        <v>0.255947073304338</v>
      </c>
      <c r="E291" s="12" t="n">
        <f aca="false">D291^(-1/B291)-1</f>
        <v>0.0586352099999998</v>
      </c>
      <c r="F291" s="12" t="n">
        <f aca="false">(1+E291)^(1/12)-1</f>
        <v>0.00475966981354636</v>
      </c>
      <c r="G291" s="16" t="n">
        <f aca="false">IF(C291=0,(1+Dic2024!$J$6)^(-B291),EXP(LN(INDEX(Dic2024!$K$6:$K$205,C291))+(LN(INDEX(Dic2024!$K$6:$K$205,MIN(C291+1,200)))-LN(INDEX(Dic2024!$K$6:$K$205,C291)))*(A291-6*C291)/6))</f>
        <v>0.255947073304338</v>
      </c>
      <c r="H291" s="12" t="n">
        <f aca="false">G291^(-1/B291)-1</f>
        <v>0.0586352099999998</v>
      </c>
      <c r="I291" s="12" t="n">
        <f aca="false">(1+H291)^(1/12)-1</f>
        <v>0.00475966981354636</v>
      </c>
      <c r="J291" s="16" t="n">
        <f aca="false">IF(C291=0,(1+Dic2024!$M$6)^(-B291),EXP(LN(INDEX(Dic2024!$N$6:$N$205,C291))+(LN(INDEX(Dic2024!$N$6:$N$205,MIN(C291+1,200)))-LN(INDEX(Dic2024!$N$6:$N$205,C291)))*(A291-6*C291)/6))</f>
        <v>0.255947073304338</v>
      </c>
      <c r="K291" s="12" t="n">
        <f aca="false">J291^(-1/B291)-1</f>
        <v>0.0586352099999998</v>
      </c>
      <c r="L291" s="12" t="n">
        <f aca="false">(1+K291)^(1/12)-1</f>
        <v>0.00475966981354636</v>
      </c>
    </row>
    <row r="292" customFormat="false" ht="15" hidden="false" customHeight="false" outlineLevel="0" collapsed="false">
      <c r="A292" s="4" t="n">
        <v>288</v>
      </c>
      <c r="B292" s="14" t="n">
        <f aca="false">A292/12</f>
        <v>24</v>
      </c>
      <c r="C292" s="15" t="n">
        <f aca="false">INT(A292/6)</f>
        <v>48</v>
      </c>
      <c r="D292" s="16" t="n">
        <f aca="false">IF(C292=0,(1+Dic2024!$G$6)^(-B292),EXP(LN(INDEX(Dic2024!$H$6:$H$205,C292))+(LN(INDEX(Dic2024!$H$6:$H$205,MIN(C292+1,200)))-LN(INDEX(Dic2024!$H$6:$H$205,C292)))*(A292-6*C292)/6))</f>
        <v>0.254734620620107</v>
      </c>
      <c r="E292" s="12" t="n">
        <f aca="false">D292^(-1/B292)-1</f>
        <v>0.0586352099999998</v>
      </c>
      <c r="F292" s="12" t="n">
        <f aca="false">(1+E292)^(1/12)-1</f>
        <v>0.00475966981354636</v>
      </c>
      <c r="G292" s="16" t="n">
        <f aca="false">IF(C292=0,(1+Dic2024!$J$6)^(-B292),EXP(LN(INDEX(Dic2024!$K$6:$K$205,C292))+(LN(INDEX(Dic2024!$K$6:$K$205,MIN(C292+1,200)))-LN(INDEX(Dic2024!$K$6:$K$205,C292)))*(A292-6*C292)/6))</f>
        <v>0.254734620620107</v>
      </c>
      <c r="H292" s="12" t="n">
        <f aca="false">G292^(-1/B292)-1</f>
        <v>0.0586352099999998</v>
      </c>
      <c r="I292" s="12" t="n">
        <f aca="false">(1+H292)^(1/12)-1</f>
        <v>0.00475966981354636</v>
      </c>
      <c r="J292" s="16" t="n">
        <f aca="false">IF(C292=0,(1+Dic2024!$M$6)^(-B292),EXP(LN(INDEX(Dic2024!$N$6:$N$205,C292))+(LN(INDEX(Dic2024!$N$6:$N$205,MIN(C292+1,200)))-LN(INDEX(Dic2024!$N$6:$N$205,C292)))*(A292-6*C292)/6))</f>
        <v>0.254734620620107</v>
      </c>
      <c r="K292" s="12" t="n">
        <f aca="false">J292^(-1/B292)-1</f>
        <v>0.0586352099999998</v>
      </c>
      <c r="L292" s="12" t="n">
        <f aca="false">(1+K292)^(1/12)-1</f>
        <v>0.00475966981354636</v>
      </c>
    </row>
    <row r="293" customFormat="false" ht="15" hidden="false" customHeight="false" outlineLevel="0" collapsed="false">
      <c r="A293" s="4" t="n">
        <v>289</v>
      </c>
      <c r="B293" s="14" t="n">
        <f aca="false">A293/12</f>
        <v>24.0833333333333</v>
      </c>
      <c r="C293" s="15" t="n">
        <f aca="false">INT(A293/6)</f>
        <v>48</v>
      </c>
      <c r="D293" s="16" t="n">
        <f aca="false">IF(C293=0,(1+Dic2024!$G$6)^(-B293),EXP(LN(INDEX(Dic2024!$H$6:$H$205,C293))+(LN(INDEX(Dic2024!$H$6:$H$205,MIN(C293+1,200)))-LN(INDEX(Dic2024!$H$6:$H$205,C293)))*(A293-6*C293)/6))</f>
        <v>0.253527911472978</v>
      </c>
      <c r="E293" s="12" t="n">
        <f aca="false">D293^(-1/B293)-1</f>
        <v>0.0586352099999998</v>
      </c>
      <c r="F293" s="12" t="n">
        <f aca="false">(1+E293)^(1/12)-1</f>
        <v>0.00475966981354636</v>
      </c>
      <c r="G293" s="16" t="n">
        <f aca="false">IF(C293=0,(1+Dic2024!$J$6)^(-B293),EXP(LN(INDEX(Dic2024!$K$6:$K$205,C293))+(LN(INDEX(Dic2024!$K$6:$K$205,MIN(C293+1,200)))-LN(INDEX(Dic2024!$K$6:$K$205,C293)))*(A293-6*C293)/6))</f>
        <v>0.253527911472978</v>
      </c>
      <c r="H293" s="12" t="n">
        <f aca="false">G293^(-1/B293)-1</f>
        <v>0.0586352099999998</v>
      </c>
      <c r="I293" s="12" t="n">
        <f aca="false">(1+H293)^(1/12)-1</f>
        <v>0.00475966981354636</v>
      </c>
      <c r="J293" s="16" t="n">
        <f aca="false">IF(C293=0,(1+Dic2024!$M$6)^(-B293),EXP(LN(INDEX(Dic2024!$N$6:$N$205,C293))+(LN(INDEX(Dic2024!$N$6:$N$205,MIN(C293+1,200)))-LN(INDEX(Dic2024!$N$6:$N$205,C293)))*(A293-6*C293)/6))</f>
        <v>0.253527911472978</v>
      </c>
      <c r="K293" s="12" t="n">
        <f aca="false">J293^(-1/B293)-1</f>
        <v>0.0586352099999998</v>
      </c>
      <c r="L293" s="12" t="n">
        <f aca="false">(1+K293)^(1/12)-1</f>
        <v>0.00475966981354636</v>
      </c>
    </row>
    <row r="294" customFormat="false" ht="15" hidden="false" customHeight="false" outlineLevel="0" collapsed="false">
      <c r="A294" s="4" t="n">
        <v>290</v>
      </c>
      <c r="B294" s="14" t="n">
        <f aca="false">A294/12</f>
        <v>24.1666666666667</v>
      </c>
      <c r="C294" s="15" t="n">
        <f aca="false">INT(A294/6)</f>
        <v>48</v>
      </c>
      <c r="D294" s="16" t="n">
        <f aca="false">IF(C294=0,(1+Dic2024!$G$6)^(-B294),EXP(LN(INDEX(Dic2024!$H$6:$H$205,C294))+(LN(INDEX(Dic2024!$H$6:$H$205,MIN(C294+1,200)))-LN(INDEX(Dic2024!$H$6:$H$205,C294)))*(A294-6*C294)/6))</f>
        <v>0.25232691865511</v>
      </c>
      <c r="E294" s="12" t="n">
        <f aca="false">D294^(-1/B294)-1</f>
        <v>0.0586352099999998</v>
      </c>
      <c r="F294" s="12" t="n">
        <f aca="false">(1+E294)^(1/12)-1</f>
        <v>0.00475966981354636</v>
      </c>
      <c r="G294" s="16" t="n">
        <f aca="false">IF(C294=0,(1+Dic2024!$J$6)^(-B294),EXP(LN(INDEX(Dic2024!$K$6:$K$205,C294))+(LN(INDEX(Dic2024!$K$6:$K$205,MIN(C294+1,200)))-LN(INDEX(Dic2024!$K$6:$K$205,C294)))*(A294-6*C294)/6))</f>
        <v>0.25232691865511</v>
      </c>
      <c r="H294" s="12" t="n">
        <f aca="false">G294^(-1/B294)-1</f>
        <v>0.0586352099999998</v>
      </c>
      <c r="I294" s="12" t="n">
        <f aca="false">(1+H294)^(1/12)-1</f>
        <v>0.00475966981354636</v>
      </c>
      <c r="J294" s="16" t="n">
        <f aca="false">IF(C294=0,(1+Dic2024!$M$6)^(-B294),EXP(LN(INDEX(Dic2024!$N$6:$N$205,C294))+(LN(INDEX(Dic2024!$N$6:$N$205,MIN(C294+1,200)))-LN(INDEX(Dic2024!$N$6:$N$205,C294)))*(A294-6*C294)/6))</f>
        <v>0.25232691865511</v>
      </c>
      <c r="K294" s="12" t="n">
        <f aca="false">J294^(-1/B294)-1</f>
        <v>0.0586352099999998</v>
      </c>
      <c r="L294" s="12" t="n">
        <f aca="false">(1+K294)^(1/12)-1</f>
        <v>0.00475966981354636</v>
      </c>
    </row>
    <row r="295" customFormat="false" ht="15" hidden="false" customHeight="false" outlineLevel="0" collapsed="false">
      <c r="A295" s="4" t="n">
        <v>291</v>
      </c>
      <c r="B295" s="14" t="n">
        <f aca="false">A295/12</f>
        <v>24.25</v>
      </c>
      <c r="C295" s="15" t="n">
        <f aca="false">INT(A295/6)</f>
        <v>48</v>
      </c>
      <c r="D295" s="16" t="n">
        <f aca="false">IF(C295=0,(1+Dic2024!$G$6)^(-B295),EXP(LN(INDEX(Dic2024!$H$6:$H$205,C295))+(LN(INDEX(Dic2024!$H$6:$H$205,MIN(C295+1,200)))-LN(INDEX(Dic2024!$H$6:$H$205,C295)))*(A295-6*C295)/6))</f>
        <v>0.251131615087551</v>
      </c>
      <c r="E295" s="12" t="n">
        <f aca="false">D295^(-1/B295)-1</f>
        <v>0.0586352099999998</v>
      </c>
      <c r="F295" s="12" t="n">
        <f aca="false">(1+E295)^(1/12)-1</f>
        <v>0.00475966981354636</v>
      </c>
      <c r="G295" s="16" t="n">
        <f aca="false">IF(C295=0,(1+Dic2024!$J$6)^(-B295),EXP(LN(INDEX(Dic2024!$K$6:$K$205,C295))+(LN(INDEX(Dic2024!$K$6:$K$205,MIN(C295+1,200)))-LN(INDEX(Dic2024!$K$6:$K$205,C295)))*(A295-6*C295)/6))</f>
        <v>0.251131615087551</v>
      </c>
      <c r="H295" s="12" t="n">
        <f aca="false">G295^(-1/B295)-1</f>
        <v>0.0586352099999998</v>
      </c>
      <c r="I295" s="12" t="n">
        <f aca="false">(1+H295)^(1/12)-1</f>
        <v>0.00475966981354636</v>
      </c>
      <c r="J295" s="16" t="n">
        <f aca="false">IF(C295=0,(1+Dic2024!$M$6)^(-B295),EXP(LN(INDEX(Dic2024!$N$6:$N$205,C295))+(LN(INDEX(Dic2024!$N$6:$N$205,MIN(C295+1,200)))-LN(INDEX(Dic2024!$N$6:$N$205,C295)))*(A295-6*C295)/6))</f>
        <v>0.251131615087551</v>
      </c>
      <c r="K295" s="12" t="n">
        <f aca="false">J295^(-1/B295)-1</f>
        <v>0.0586352099999998</v>
      </c>
      <c r="L295" s="12" t="n">
        <f aca="false">(1+K295)^(1/12)-1</f>
        <v>0.00475966981354636</v>
      </c>
    </row>
    <row r="296" customFormat="false" ht="15" hidden="false" customHeight="false" outlineLevel="0" collapsed="false">
      <c r="A296" s="4" t="n">
        <v>292</v>
      </c>
      <c r="B296" s="14" t="n">
        <f aca="false">A296/12</f>
        <v>24.3333333333333</v>
      </c>
      <c r="C296" s="15" t="n">
        <f aca="false">INT(A296/6)</f>
        <v>48</v>
      </c>
      <c r="D296" s="16" t="n">
        <f aca="false">IF(C296=0,(1+Dic2024!$G$6)^(-B296),EXP(LN(INDEX(Dic2024!$H$6:$H$205,C296))+(LN(INDEX(Dic2024!$H$6:$H$205,MIN(C296+1,200)))-LN(INDEX(Dic2024!$H$6:$H$205,C296)))*(A296-6*C296)/6))</f>
        <v>0.249941973819623</v>
      </c>
      <c r="E296" s="12" t="n">
        <f aca="false">D296^(-1/B296)-1</f>
        <v>0.0586352099999998</v>
      </c>
      <c r="F296" s="12" t="n">
        <f aca="false">(1+E296)^(1/12)-1</f>
        <v>0.00475966981354636</v>
      </c>
      <c r="G296" s="16" t="n">
        <f aca="false">IF(C296=0,(1+Dic2024!$J$6)^(-B296),EXP(LN(INDEX(Dic2024!$K$6:$K$205,C296))+(LN(INDEX(Dic2024!$K$6:$K$205,MIN(C296+1,200)))-LN(INDEX(Dic2024!$K$6:$K$205,C296)))*(A296-6*C296)/6))</f>
        <v>0.249941973819623</v>
      </c>
      <c r="H296" s="12" t="n">
        <f aca="false">G296^(-1/B296)-1</f>
        <v>0.0586352099999998</v>
      </c>
      <c r="I296" s="12" t="n">
        <f aca="false">(1+H296)^(1/12)-1</f>
        <v>0.00475966981354636</v>
      </c>
      <c r="J296" s="16" t="n">
        <f aca="false">IF(C296=0,(1+Dic2024!$M$6)^(-B296),EXP(LN(INDEX(Dic2024!$N$6:$N$205,C296))+(LN(INDEX(Dic2024!$N$6:$N$205,MIN(C296+1,200)))-LN(INDEX(Dic2024!$N$6:$N$205,C296)))*(A296-6*C296)/6))</f>
        <v>0.249941973819623</v>
      </c>
      <c r="K296" s="12" t="n">
        <f aca="false">J296^(-1/B296)-1</f>
        <v>0.0586352099999998</v>
      </c>
      <c r="L296" s="12" t="n">
        <f aca="false">(1+K296)^(1/12)-1</f>
        <v>0.00475966981354636</v>
      </c>
    </row>
    <row r="297" customFormat="false" ht="15" hidden="false" customHeight="false" outlineLevel="0" collapsed="false">
      <c r="A297" s="4" t="n">
        <v>293</v>
      </c>
      <c r="B297" s="14" t="n">
        <f aca="false">A297/12</f>
        <v>24.4166666666667</v>
      </c>
      <c r="C297" s="15" t="n">
        <f aca="false">INT(A297/6)</f>
        <v>48</v>
      </c>
      <c r="D297" s="16" t="n">
        <f aca="false">IF(C297=0,(1+Dic2024!$G$6)^(-B297),EXP(LN(INDEX(Dic2024!$H$6:$H$205,C297))+(LN(INDEX(Dic2024!$H$6:$H$205,MIN(C297+1,200)))-LN(INDEX(Dic2024!$H$6:$H$205,C297)))*(A297-6*C297)/6))</f>
        <v>0.24875796802832</v>
      </c>
      <c r="E297" s="12" t="n">
        <f aca="false">D297^(-1/B297)-1</f>
        <v>0.0586352099999998</v>
      </c>
      <c r="F297" s="12" t="n">
        <f aca="false">(1+E297)^(1/12)-1</f>
        <v>0.00475966981354636</v>
      </c>
      <c r="G297" s="16" t="n">
        <f aca="false">IF(C297=0,(1+Dic2024!$J$6)^(-B297),EXP(LN(INDEX(Dic2024!$K$6:$K$205,C297))+(LN(INDEX(Dic2024!$K$6:$K$205,MIN(C297+1,200)))-LN(INDEX(Dic2024!$K$6:$K$205,C297)))*(A297-6*C297)/6))</f>
        <v>0.24875796802832</v>
      </c>
      <c r="H297" s="12" t="n">
        <f aca="false">G297^(-1/B297)-1</f>
        <v>0.0586352099999998</v>
      </c>
      <c r="I297" s="12" t="n">
        <f aca="false">(1+H297)^(1/12)-1</f>
        <v>0.00475966981354636</v>
      </c>
      <c r="J297" s="16" t="n">
        <f aca="false">IF(C297=0,(1+Dic2024!$M$6)^(-B297),EXP(LN(INDEX(Dic2024!$N$6:$N$205,C297))+(LN(INDEX(Dic2024!$N$6:$N$205,MIN(C297+1,200)))-LN(INDEX(Dic2024!$N$6:$N$205,C297)))*(A297-6*C297)/6))</f>
        <v>0.24875796802832</v>
      </c>
      <c r="K297" s="12" t="n">
        <f aca="false">J297^(-1/B297)-1</f>
        <v>0.0586352099999998</v>
      </c>
      <c r="L297" s="12" t="n">
        <f aca="false">(1+K297)^(1/12)-1</f>
        <v>0.00475966981354636</v>
      </c>
    </row>
    <row r="298" customFormat="false" ht="15" hidden="false" customHeight="false" outlineLevel="0" collapsed="false">
      <c r="A298" s="4" t="n">
        <v>294</v>
      </c>
      <c r="B298" s="14" t="n">
        <f aca="false">A298/12</f>
        <v>24.5</v>
      </c>
      <c r="C298" s="15" t="n">
        <f aca="false">INT(A298/6)</f>
        <v>49</v>
      </c>
      <c r="D298" s="16" t="n">
        <f aca="false">IF(C298=0,(1+Dic2024!$G$6)^(-B298),EXP(LN(INDEX(Dic2024!$H$6:$H$205,C298))+(LN(INDEX(Dic2024!$H$6:$H$205,MIN(C298+1,200)))-LN(INDEX(Dic2024!$H$6:$H$205,C298)))*(A298-6*C298)/6))</f>
        <v>0.247579571017696</v>
      </c>
      <c r="E298" s="12" t="n">
        <f aca="false">D298^(-1/B298)-1</f>
        <v>0.0586352099999998</v>
      </c>
      <c r="F298" s="12" t="n">
        <f aca="false">(1+E298)^(1/12)-1</f>
        <v>0.00475966981354636</v>
      </c>
      <c r="G298" s="16" t="n">
        <f aca="false">IF(C298=0,(1+Dic2024!$J$6)^(-B298),EXP(LN(INDEX(Dic2024!$K$6:$K$205,C298))+(LN(INDEX(Dic2024!$K$6:$K$205,MIN(C298+1,200)))-LN(INDEX(Dic2024!$K$6:$K$205,C298)))*(A298-6*C298)/6))</f>
        <v>0.247579571017696</v>
      </c>
      <c r="H298" s="12" t="n">
        <f aca="false">G298^(-1/B298)-1</f>
        <v>0.0586352099999998</v>
      </c>
      <c r="I298" s="12" t="n">
        <f aca="false">(1+H298)^(1/12)-1</f>
        <v>0.00475966981354636</v>
      </c>
      <c r="J298" s="16" t="n">
        <f aca="false">IF(C298=0,(1+Dic2024!$M$6)^(-B298),EXP(LN(INDEX(Dic2024!$N$6:$N$205,C298))+(LN(INDEX(Dic2024!$N$6:$N$205,MIN(C298+1,200)))-LN(INDEX(Dic2024!$N$6:$N$205,C298)))*(A298-6*C298)/6))</f>
        <v>0.247579571017696</v>
      </c>
      <c r="K298" s="12" t="n">
        <f aca="false">J298^(-1/B298)-1</f>
        <v>0.0586352099999998</v>
      </c>
      <c r="L298" s="12" t="n">
        <f aca="false">(1+K298)^(1/12)-1</f>
        <v>0.00475966981354636</v>
      </c>
    </row>
    <row r="299" customFormat="false" ht="15" hidden="false" customHeight="false" outlineLevel="0" collapsed="false">
      <c r="A299" s="4" t="n">
        <v>295</v>
      </c>
      <c r="B299" s="14" t="n">
        <f aca="false">A299/12</f>
        <v>24.5833333333333</v>
      </c>
      <c r="C299" s="15" t="n">
        <f aca="false">INT(A299/6)</f>
        <v>49</v>
      </c>
      <c r="D299" s="16" t="n">
        <f aca="false">IF(C299=0,(1+Dic2024!$G$6)^(-B299),EXP(LN(INDEX(Dic2024!$H$6:$H$205,C299))+(LN(INDEX(Dic2024!$H$6:$H$205,MIN(C299+1,200)))-LN(INDEX(Dic2024!$H$6:$H$205,C299)))*(A299-6*C299)/6))</f>
        <v>0.24640675621827</v>
      </c>
      <c r="E299" s="12" t="n">
        <f aca="false">D299^(-1/B299)-1</f>
        <v>0.0586352099999998</v>
      </c>
      <c r="F299" s="12" t="n">
        <f aca="false">(1+E299)^(1/12)-1</f>
        <v>0.00475966981354636</v>
      </c>
      <c r="G299" s="16" t="n">
        <f aca="false">IF(C299=0,(1+Dic2024!$J$6)^(-B299),EXP(LN(INDEX(Dic2024!$K$6:$K$205,C299))+(LN(INDEX(Dic2024!$K$6:$K$205,MIN(C299+1,200)))-LN(INDEX(Dic2024!$K$6:$K$205,C299)))*(A299-6*C299)/6))</f>
        <v>0.24640675621827</v>
      </c>
      <c r="H299" s="12" t="n">
        <f aca="false">G299^(-1/B299)-1</f>
        <v>0.0586352099999998</v>
      </c>
      <c r="I299" s="12" t="n">
        <f aca="false">(1+H299)^(1/12)-1</f>
        <v>0.00475966981354636</v>
      </c>
      <c r="J299" s="16" t="n">
        <f aca="false">IF(C299=0,(1+Dic2024!$M$6)^(-B299),EXP(LN(INDEX(Dic2024!$N$6:$N$205,C299))+(LN(INDEX(Dic2024!$N$6:$N$205,MIN(C299+1,200)))-LN(INDEX(Dic2024!$N$6:$N$205,C299)))*(A299-6*C299)/6))</f>
        <v>0.24640675621827</v>
      </c>
      <c r="K299" s="12" t="n">
        <f aca="false">J299^(-1/B299)-1</f>
        <v>0.0586352099999998</v>
      </c>
      <c r="L299" s="12" t="n">
        <f aca="false">(1+K299)^(1/12)-1</f>
        <v>0.00475966981354636</v>
      </c>
    </row>
    <row r="300" customFormat="false" ht="15" hidden="false" customHeight="false" outlineLevel="0" collapsed="false">
      <c r="A300" s="4" t="n">
        <v>296</v>
      </c>
      <c r="B300" s="14" t="n">
        <f aca="false">A300/12</f>
        <v>24.6666666666667</v>
      </c>
      <c r="C300" s="15" t="n">
        <f aca="false">INT(A300/6)</f>
        <v>49</v>
      </c>
      <c r="D300" s="16" t="n">
        <f aca="false">IF(C300=0,(1+Dic2024!$G$6)^(-B300),EXP(LN(INDEX(Dic2024!$H$6:$H$205,C300))+(LN(INDEX(Dic2024!$H$6:$H$205,MIN(C300+1,200)))-LN(INDEX(Dic2024!$H$6:$H$205,C300)))*(A300-6*C300)/6))</f>
        <v>0.245239497186422</v>
      </c>
      <c r="E300" s="12" t="n">
        <f aca="false">D300^(-1/B300)-1</f>
        <v>0.0586352099999998</v>
      </c>
      <c r="F300" s="12" t="n">
        <f aca="false">(1+E300)^(1/12)-1</f>
        <v>0.00475966981354636</v>
      </c>
      <c r="G300" s="16" t="n">
        <f aca="false">IF(C300=0,(1+Dic2024!$J$6)^(-B300),EXP(LN(INDEX(Dic2024!$K$6:$K$205,C300))+(LN(INDEX(Dic2024!$K$6:$K$205,MIN(C300+1,200)))-LN(INDEX(Dic2024!$K$6:$K$205,C300)))*(A300-6*C300)/6))</f>
        <v>0.245239497186422</v>
      </c>
      <c r="H300" s="12" t="n">
        <f aca="false">G300^(-1/B300)-1</f>
        <v>0.0586352099999998</v>
      </c>
      <c r="I300" s="12" t="n">
        <f aca="false">(1+H300)^(1/12)-1</f>
        <v>0.00475966981354636</v>
      </c>
      <c r="J300" s="16" t="n">
        <f aca="false">IF(C300=0,(1+Dic2024!$M$6)^(-B300),EXP(LN(INDEX(Dic2024!$N$6:$N$205,C300))+(LN(INDEX(Dic2024!$N$6:$N$205,MIN(C300+1,200)))-LN(INDEX(Dic2024!$N$6:$N$205,C300)))*(A300-6*C300)/6))</f>
        <v>0.245239497186422</v>
      </c>
      <c r="K300" s="12" t="n">
        <f aca="false">J300^(-1/B300)-1</f>
        <v>0.0586352099999998</v>
      </c>
      <c r="L300" s="12" t="n">
        <f aca="false">(1+K300)^(1/12)-1</f>
        <v>0.00475966981354636</v>
      </c>
    </row>
    <row r="301" customFormat="false" ht="15" hidden="false" customHeight="false" outlineLevel="0" collapsed="false">
      <c r="A301" s="4" t="n">
        <v>297</v>
      </c>
      <c r="B301" s="14" t="n">
        <f aca="false">A301/12</f>
        <v>24.75</v>
      </c>
      <c r="C301" s="15" t="n">
        <f aca="false">INT(A301/6)</f>
        <v>49</v>
      </c>
      <c r="D301" s="16" t="n">
        <f aca="false">IF(C301=0,(1+Dic2024!$G$6)^(-B301),EXP(LN(INDEX(Dic2024!$H$6:$H$205,C301))+(LN(INDEX(Dic2024!$H$6:$H$205,MIN(C301+1,200)))-LN(INDEX(Dic2024!$H$6:$H$205,C301)))*(A301-6*C301)/6))</f>
        <v>0.244077767603801</v>
      </c>
      <c r="E301" s="12" t="n">
        <f aca="false">D301^(-1/B301)-1</f>
        <v>0.0586352099999998</v>
      </c>
      <c r="F301" s="12" t="n">
        <f aca="false">(1+E301)^(1/12)-1</f>
        <v>0.00475966981354636</v>
      </c>
      <c r="G301" s="16" t="n">
        <f aca="false">IF(C301=0,(1+Dic2024!$J$6)^(-B301),EXP(LN(INDEX(Dic2024!$K$6:$K$205,C301))+(LN(INDEX(Dic2024!$K$6:$K$205,MIN(C301+1,200)))-LN(INDEX(Dic2024!$K$6:$K$205,C301)))*(A301-6*C301)/6))</f>
        <v>0.244077767603801</v>
      </c>
      <c r="H301" s="12" t="n">
        <f aca="false">G301^(-1/B301)-1</f>
        <v>0.0586352099999998</v>
      </c>
      <c r="I301" s="12" t="n">
        <f aca="false">(1+H301)^(1/12)-1</f>
        <v>0.00475966981354636</v>
      </c>
      <c r="J301" s="16" t="n">
        <f aca="false">IF(C301=0,(1+Dic2024!$M$6)^(-B301),EXP(LN(INDEX(Dic2024!$N$6:$N$205,C301))+(LN(INDEX(Dic2024!$N$6:$N$205,MIN(C301+1,200)))-LN(INDEX(Dic2024!$N$6:$N$205,C301)))*(A301-6*C301)/6))</f>
        <v>0.244077767603801</v>
      </c>
      <c r="K301" s="12" t="n">
        <f aca="false">J301^(-1/B301)-1</f>
        <v>0.0586352099999998</v>
      </c>
      <c r="L301" s="12" t="n">
        <f aca="false">(1+K301)^(1/12)-1</f>
        <v>0.00475966981354636</v>
      </c>
    </row>
    <row r="302" customFormat="false" ht="15" hidden="false" customHeight="false" outlineLevel="0" collapsed="false">
      <c r="A302" s="4" t="n">
        <v>298</v>
      </c>
      <c r="B302" s="14" t="n">
        <f aca="false">A302/12</f>
        <v>24.8333333333333</v>
      </c>
      <c r="C302" s="15" t="n">
        <f aca="false">INT(A302/6)</f>
        <v>49</v>
      </c>
      <c r="D302" s="16" t="n">
        <f aca="false">IF(C302=0,(1+Dic2024!$G$6)^(-B302),EXP(LN(INDEX(Dic2024!$H$6:$H$205,C302))+(LN(INDEX(Dic2024!$H$6:$H$205,MIN(C302+1,200)))-LN(INDEX(Dic2024!$H$6:$H$205,C302)))*(A302-6*C302)/6))</f>
        <v>0.242921541276726</v>
      </c>
      <c r="E302" s="12" t="n">
        <f aca="false">D302^(-1/B302)-1</f>
        <v>0.0586352099999998</v>
      </c>
      <c r="F302" s="12" t="n">
        <f aca="false">(1+E302)^(1/12)-1</f>
        <v>0.00475966981354636</v>
      </c>
      <c r="G302" s="16" t="n">
        <f aca="false">IF(C302=0,(1+Dic2024!$J$6)^(-B302),EXP(LN(INDEX(Dic2024!$K$6:$K$205,C302))+(LN(INDEX(Dic2024!$K$6:$K$205,MIN(C302+1,200)))-LN(INDEX(Dic2024!$K$6:$K$205,C302)))*(A302-6*C302)/6))</f>
        <v>0.242921541276726</v>
      </c>
      <c r="H302" s="12" t="n">
        <f aca="false">G302^(-1/B302)-1</f>
        <v>0.0586352099999998</v>
      </c>
      <c r="I302" s="12" t="n">
        <f aca="false">(1+H302)^(1/12)-1</f>
        <v>0.00475966981354636</v>
      </c>
      <c r="J302" s="16" t="n">
        <f aca="false">IF(C302=0,(1+Dic2024!$M$6)^(-B302),EXP(LN(INDEX(Dic2024!$N$6:$N$205,C302))+(LN(INDEX(Dic2024!$N$6:$N$205,MIN(C302+1,200)))-LN(INDEX(Dic2024!$N$6:$N$205,C302)))*(A302-6*C302)/6))</f>
        <v>0.242921541276726</v>
      </c>
      <c r="K302" s="12" t="n">
        <f aca="false">J302^(-1/B302)-1</f>
        <v>0.0586352099999998</v>
      </c>
      <c r="L302" s="12" t="n">
        <f aca="false">(1+K302)^(1/12)-1</f>
        <v>0.00475966981354636</v>
      </c>
    </row>
    <row r="303" customFormat="false" ht="15" hidden="false" customHeight="false" outlineLevel="0" collapsed="false">
      <c r="A303" s="4" t="n">
        <v>299</v>
      </c>
      <c r="B303" s="14" t="n">
        <f aca="false">A303/12</f>
        <v>24.9166666666667</v>
      </c>
      <c r="C303" s="15" t="n">
        <f aca="false">INT(A303/6)</f>
        <v>49</v>
      </c>
      <c r="D303" s="16" t="n">
        <f aca="false">IF(C303=0,(1+Dic2024!$G$6)^(-B303),EXP(LN(INDEX(Dic2024!$H$6:$H$205,C303))+(LN(INDEX(Dic2024!$H$6:$H$205,MIN(C303+1,200)))-LN(INDEX(Dic2024!$H$6:$H$205,C303)))*(A303-6*C303)/6))</f>
        <v>0.241770792135601</v>
      </c>
      <c r="E303" s="12" t="n">
        <f aca="false">D303^(-1/B303)-1</f>
        <v>0.0586352099999998</v>
      </c>
      <c r="F303" s="12" t="n">
        <f aca="false">(1+E303)^(1/12)-1</f>
        <v>0.00475966981354636</v>
      </c>
      <c r="G303" s="16" t="n">
        <f aca="false">IF(C303=0,(1+Dic2024!$J$6)^(-B303),EXP(LN(INDEX(Dic2024!$K$6:$K$205,C303))+(LN(INDEX(Dic2024!$K$6:$K$205,MIN(C303+1,200)))-LN(INDEX(Dic2024!$K$6:$K$205,C303)))*(A303-6*C303)/6))</f>
        <v>0.241770792135601</v>
      </c>
      <c r="H303" s="12" t="n">
        <f aca="false">G303^(-1/B303)-1</f>
        <v>0.0586352099999998</v>
      </c>
      <c r="I303" s="12" t="n">
        <f aca="false">(1+H303)^(1/12)-1</f>
        <v>0.00475966981354636</v>
      </c>
      <c r="J303" s="16" t="n">
        <f aca="false">IF(C303=0,(1+Dic2024!$M$6)^(-B303),EXP(LN(INDEX(Dic2024!$N$6:$N$205,C303))+(LN(INDEX(Dic2024!$N$6:$N$205,MIN(C303+1,200)))-LN(INDEX(Dic2024!$N$6:$N$205,C303)))*(A303-6*C303)/6))</f>
        <v>0.241770792135601</v>
      </c>
      <c r="K303" s="12" t="n">
        <f aca="false">J303^(-1/B303)-1</f>
        <v>0.0586352099999998</v>
      </c>
      <c r="L303" s="12" t="n">
        <f aca="false">(1+K303)^(1/12)-1</f>
        <v>0.00475966981354636</v>
      </c>
    </row>
    <row r="304" customFormat="false" ht="15" hidden="false" customHeight="false" outlineLevel="0" collapsed="false">
      <c r="A304" s="4" t="n">
        <v>300</v>
      </c>
      <c r="B304" s="14" t="n">
        <f aca="false">A304/12</f>
        <v>25</v>
      </c>
      <c r="C304" s="15" t="n">
        <f aca="false">INT(A304/6)</f>
        <v>50</v>
      </c>
      <c r="D304" s="16" t="n">
        <f aca="false">IF(C304=0,(1+Dic2024!$G$6)^(-B304),EXP(LN(INDEX(Dic2024!$H$6:$H$205,C304))+(LN(INDEX(Dic2024!$H$6:$H$205,MIN(C304+1,200)))-LN(INDEX(Dic2024!$H$6:$H$205,C304)))*(A304-6*C304)/6))</f>
        <v>0.240625494234324</v>
      </c>
      <c r="E304" s="12" t="n">
        <f aca="false">D304^(-1/B304)-1</f>
        <v>0.0586352099999998</v>
      </c>
      <c r="F304" s="12" t="n">
        <f aca="false">(1+E304)^(1/12)-1</f>
        <v>0.00475966981354636</v>
      </c>
      <c r="G304" s="16" t="n">
        <f aca="false">IF(C304=0,(1+Dic2024!$J$6)^(-B304),EXP(LN(INDEX(Dic2024!$K$6:$K$205,C304))+(LN(INDEX(Dic2024!$K$6:$K$205,MIN(C304+1,200)))-LN(INDEX(Dic2024!$K$6:$K$205,C304)))*(A304-6*C304)/6))</f>
        <v>0.240625494234324</v>
      </c>
      <c r="H304" s="12" t="n">
        <f aca="false">G304^(-1/B304)-1</f>
        <v>0.0586352099999998</v>
      </c>
      <c r="I304" s="12" t="n">
        <f aca="false">(1+H304)^(1/12)-1</f>
        <v>0.00475966981354636</v>
      </c>
      <c r="J304" s="16" t="n">
        <f aca="false">IF(C304=0,(1+Dic2024!$M$6)^(-B304),EXP(LN(INDEX(Dic2024!$N$6:$N$205,C304))+(LN(INDEX(Dic2024!$N$6:$N$205,MIN(C304+1,200)))-LN(INDEX(Dic2024!$N$6:$N$205,C304)))*(A304-6*C304)/6))</f>
        <v>0.240625494234324</v>
      </c>
      <c r="K304" s="12" t="n">
        <f aca="false">J304^(-1/B304)-1</f>
        <v>0.0586352099999998</v>
      </c>
      <c r="L304" s="12" t="n">
        <f aca="false">(1+K304)^(1/12)-1</f>
        <v>0.00475966981354636</v>
      </c>
    </row>
    <row r="305" customFormat="false" ht="15" hidden="false" customHeight="false" outlineLevel="0" collapsed="false">
      <c r="A305" s="4" t="n">
        <v>301</v>
      </c>
      <c r="B305" s="14" t="n">
        <f aca="false">A305/12</f>
        <v>25.0833333333333</v>
      </c>
      <c r="C305" s="15" t="n">
        <f aca="false">INT(A305/6)</f>
        <v>50</v>
      </c>
      <c r="D305" s="16" t="n">
        <f aca="false">IF(C305=0,(1+Dic2024!$G$6)^(-B305),EXP(LN(INDEX(Dic2024!$H$6:$H$205,C305))+(LN(INDEX(Dic2024!$H$6:$H$205,MIN(C305+1,200)))-LN(INDEX(Dic2024!$H$6:$H$205,C305)))*(A305-6*C305)/6))</f>
        <v>0.239485621749704</v>
      </c>
      <c r="E305" s="12" t="n">
        <f aca="false">D305^(-1/B305)-1</f>
        <v>0.0586352099999998</v>
      </c>
      <c r="F305" s="12" t="n">
        <f aca="false">(1+E305)^(1/12)-1</f>
        <v>0.00475966981354636</v>
      </c>
      <c r="G305" s="16" t="n">
        <f aca="false">IF(C305=0,(1+Dic2024!$J$6)^(-B305),EXP(LN(INDEX(Dic2024!$K$6:$K$205,C305))+(LN(INDEX(Dic2024!$K$6:$K$205,MIN(C305+1,200)))-LN(INDEX(Dic2024!$K$6:$K$205,C305)))*(A305-6*C305)/6))</f>
        <v>0.239485621749704</v>
      </c>
      <c r="H305" s="12" t="n">
        <f aca="false">G305^(-1/B305)-1</f>
        <v>0.0586352099999998</v>
      </c>
      <c r="I305" s="12" t="n">
        <f aca="false">(1+H305)^(1/12)-1</f>
        <v>0.00475966981354636</v>
      </c>
      <c r="J305" s="16" t="n">
        <f aca="false">IF(C305=0,(1+Dic2024!$M$6)^(-B305),EXP(LN(INDEX(Dic2024!$N$6:$N$205,C305))+(LN(INDEX(Dic2024!$N$6:$N$205,MIN(C305+1,200)))-LN(INDEX(Dic2024!$N$6:$N$205,C305)))*(A305-6*C305)/6))</f>
        <v>0.239485621749704</v>
      </c>
      <c r="K305" s="12" t="n">
        <f aca="false">J305^(-1/B305)-1</f>
        <v>0.0586352099999998</v>
      </c>
      <c r="L305" s="12" t="n">
        <f aca="false">(1+K305)^(1/12)-1</f>
        <v>0.00475966981354636</v>
      </c>
    </row>
    <row r="306" customFormat="false" ht="15" hidden="false" customHeight="false" outlineLevel="0" collapsed="false">
      <c r="A306" s="4" t="n">
        <v>302</v>
      </c>
      <c r="B306" s="14" t="n">
        <f aca="false">A306/12</f>
        <v>25.1666666666667</v>
      </c>
      <c r="C306" s="15" t="n">
        <f aca="false">INT(A306/6)</f>
        <v>50</v>
      </c>
      <c r="D306" s="16" t="n">
        <f aca="false">IF(C306=0,(1+Dic2024!$G$6)^(-B306),EXP(LN(INDEX(Dic2024!$H$6:$H$205,C306))+(LN(INDEX(Dic2024!$H$6:$H$205,MIN(C306+1,200)))-LN(INDEX(Dic2024!$H$6:$H$205,C306)))*(A306-6*C306)/6))</f>
        <v>0.238351148980875</v>
      </c>
      <c r="E306" s="12" t="n">
        <f aca="false">D306^(-1/B306)-1</f>
        <v>0.0586352099999998</v>
      </c>
      <c r="F306" s="12" t="n">
        <f aca="false">(1+E306)^(1/12)-1</f>
        <v>0.00475966981354636</v>
      </c>
      <c r="G306" s="16" t="n">
        <f aca="false">IF(C306=0,(1+Dic2024!$J$6)^(-B306),EXP(LN(INDEX(Dic2024!$K$6:$K$205,C306))+(LN(INDEX(Dic2024!$K$6:$K$205,MIN(C306+1,200)))-LN(INDEX(Dic2024!$K$6:$K$205,C306)))*(A306-6*C306)/6))</f>
        <v>0.238351148980875</v>
      </c>
      <c r="H306" s="12" t="n">
        <f aca="false">G306^(-1/B306)-1</f>
        <v>0.0586352099999998</v>
      </c>
      <c r="I306" s="12" t="n">
        <f aca="false">(1+H306)^(1/12)-1</f>
        <v>0.00475966981354636</v>
      </c>
      <c r="J306" s="16" t="n">
        <f aca="false">IF(C306=0,(1+Dic2024!$M$6)^(-B306),EXP(LN(INDEX(Dic2024!$N$6:$N$205,C306))+(LN(INDEX(Dic2024!$N$6:$N$205,MIN(C306+1,200)))-LN(INDEX(Dic2024!$N$6:$N$205,C306)))*(A306-6*C306)/6))</f>
        <v>0.238351148980875</v>
      </c>
      <c r="K306" s="12" t="n">
        <f aca="false">J306^(-1/B306)-1</f>
        <v>0.0586352099999998</v>
      </c>
      <c r="L306" s="12" t="n">
        <f aca="false">(1+K306)^(1/12)-1</f>
        <v>0.00475966981354636</v>
      </c>
    </row>
    <row r="307" customFormat="false" ht="15" hidden="false" customHeight="false" outlineLevel="0" collapsed="false">
      <c r="A307" s="4" t="n">
        <v>303</v>
      </c>
      <c r="B307" s="14" t="n">
        <f aca="false">A307/12</f>
        <v>25.25</v>
      </c>
      <c r="C307" s="15" t="n">
        <f aca="false">INT(A307/6)</f>
        <v>50</v>
      </c>
      <c r="D307" s="16" t="n">
        <f aca="false">IF(C307=0,(1+Dic2024!$G$6)^(-B307),EXP(LN(INDEX(Dic2024!$H$6:$H$205,C307))+(LN(INDEX(Dic2024!$H$6:$H$205,MIN(C307+1,200)))-LN(INDEX(Dic2024!$H$6:$H$205,C307)))*(A307-6*C307)/6))</f>
        <v>0.237222050348723</v>
      </c>
      <c r="E307" s="12" t="n">
        <f aca="false">D307^(-1/B307)-1</f>
        <v>0.0586352099999998</v>
      </c>
      <c r="F307" s="12" t="n">
        <f aca="false">(1+E307)^(1/12)-1</f>
        <v>0.00475966981354636</v>
      </c>
      <c r="G307" s="16" t="n">
        <f aca="false">IF(C307=0,(1+Dic2024!$J$6)^(-B307),EXP(LN(INDEX(Dic2024!$K$6:$K$205,C307))+(LN(INDEX(Dic2024!$K$6:$K$205,MIN(C307+1,200)))-LN(INDEX(Dic2024!$K$6:$K$205,C307)))*(A307-6*C307)/6))</f>
        <v>0.237222050348723</v>
      </c>
      <c r="H307" s="12" t="n">
        <f aca="false">G307^(-1/B307)-1</f>
        <v>0.0586352099999998</v>
      </c>
      <c r="I307" s="12" t="n">
        <f aca="false">(1+H307)^(1/12)-1</f>
        <v>0.00475966981354636</v>
      </c>
      <c r="J307" s="16" t="n">
        <f aca="false">IF(C307=0,(1+Dic2024!$M$6)^(-B307),EXP(LN(INDEX(Dic2024!$N$6:$N$205,C307))+(LN(INDEX(Dic2024!$N$6:$N$205,MIN(C307+1,200)))-LN(INDEX(Dic2024!$N$6:$N$205,C307)))*(A307-6*C307)/6))</f>
        <v>0.237222050348723</v>
      </c>
      <c r="K307" s="12" t="n">
        <f aca="false">J307^(-1/B307)-1</f>
        <v>0.0586352099999998</v>
      </c>
      <c r="L307" s="12" t="n">
        <f aca="false">(1+K307)^(1/12)-1</f>
        <v>0.00475966981354636</v>
      </c>
    </row>
    <row r="308" customFormat="false" ht="15" hidden="false" customHeight="false" outlineLevel="0" collapsed="false">
      <c r="A308" s="4" t="n">
        <v>304</v>
      </c>
      <c r="B308" s="14" t="n">
        <f aca="false">A308/12</f>
        <v>25.3333333333333</v>
      </c>
      <c r="C308" s="15" t="n">
        <f aca="false">INT(A308/6)</f>
        <v>50</v>
      </c>
      <c r="D308" s="16" t="n">
        <f aca="false">IF(C308=0,(1+Dic2024!$G$6)^(-B308),EXP(LN(INDEX(Dic2024!$H$6:$H$205,C308))+(LN(INDEX(Dic2024!$H$6:$H$205,MIN(C308+1,200)))-LN(INDEX(Dic2024!$H$6:$H$205,C308)))*(A308-6*C308)/6))</f>
        <v>0.236098300395302</v>
      </c>
      <c r="E308" s="12" t="n">
        <f aca="false">D308^(-1/B308)-1</f>
        <v>0.0586352099999998</v>
      </c>
      <c r="F308" s="12" t="n">
        <f aca="false">(1+E308)^(1/12)-1</f>
        <v>0.00475966981354636</v>
      </c>
      <c r="G308" s="16" t="n">
        <f aca="false">IF(C308=0,(1+Dic2024!$J$6)^(-B308),EXP(LN(INDEX(Dic2024!$K$6:$K$205,C308))+(LN(INDEX(Dic2024!$K$6:$K$205,MIN(C308+1,200)))-LN(INDEX(Dic2024!$K$6:$K$205,C308)))*(A308-6*C308)/6))</f>
        <v>0.236098300395302</v>
      </c>
      <c r="H308" s="12" t="n">
        <f aca="false">G308^(-1/B308)-1</f>
        <v>0.0586352099999998</v>
      </c>
      <c r="I308" s="12" t="n">
        <f aca="false">(1+H308)^(1/12)-1</f>
        <v>0.00475966981354636</v>
      </c>
      <c r="J308" s="16" t="n">
        <f aca="false">IF(C308=0,(1+Dic2024!$M$6)^(-B308),EXP(LN(INDEX(Dic2024!$N$6:$N$205,C308))+(LN(INDEX(Dic2024!$N$6:$N$205,MIN(C308+1,200)))-LN(INDEX(Dic2024!$N$6:$N$205,C308)))*(A308-6*C308)/6))</f>
        <v>0.236098300395302</v>
      </c>
      <c r="K308" s="12" t="n">
        <f aca="false">J308^(-1/B308)-1</f>
        <v>0.0586352099999998</v>
      </c>
      <c r="L308" s="12" t="n">
        <f aca="false">(1+K308)^(1/12)-1</f>
        <v>0.00475966981354636</v>
      </c>
    </row>
    <row r="309" customFormat="false" ht="15" hidden="false" customHeight="false" outlineLevel="0" collapsed="false">
      <c r="A309" s="4" t="n">
        <v>305</v>
      </c>
      <c r="B309" s="14" t="n">
        <f aca="false">A309/12</f>
        <v>25.4166666666667</v>
      </c>
      <c r="C309" s="15" t="n">
        <f aca="false">INT(A309/6)</f>
        <v>50</v>
      </c>
      <c r="D309" s="16" t="n">
        <f aca="false">IF(C309=0,(1+Dic2024!$G$6)^(-B309),EXP(LN(INDEX(Dic2024!$H$6:$H$205,C309))+(LN(INDEX(Dic2024!$H$6:$H$205,MIN(C309+1,200)))-LN(INDEX(Dic2024!$H$6:$H$205,C309)))*(A309-6*C309)/6))</f>
        <v>0.234979873783265</v>
      </c>
      <c r="E309" s="12" t="n">
        <f aca="false">D309^(-1/B309)-1</f>
        <v>0.0586352099999998</v>
      </c>
      <c r="F309" s="12" t="n">
        <f aca="false">(1+E309)^(1/12)-1</f>
        <v>0.00475966981354636</v>
      </c>
      <c r="G309" s="16" t="n">
        <f aca="false">IF(C309=0,(1+Dic2024!$J$6)^(-B309),EXP(LN(INDEX(Dic2024!$K$6:$K$205,C309))+(LN(INDEX(Dic2024!$K$6:$K$205,MIN(C309+1,200)))-LN(INDEX(Dic2024!$K$6:$K$205,C309)))*(A309-6*C309)/6))</f>
        <v>0.234979873783265</v>
      </c>
      <c r="H309" s="12" t="n">
        <f aca="false">G309^(-1/B309)-1</f>
        <v>0.0586352099999998</v>
      </c>
      <c r="I309" s="12" t="n">
        <f aca="false">(1+H309)^(1/12)-1</f>
        <v>0.00475966981354636</v>
      </c>
      <c r="J309" s="16" t="n">
        <f aca="false">IF(C309=0,(1+Dic2024!$M$6)^(-B309),EXP(LN(INDEX(Dic2024!$N$6:$N$205,C309))+(LN(INDEX(Dic2024!$N$6:$N$205,MIN(C309+1,200)))-LN(INDEX(Dic2024!$N$6:$N$205,C309)))*(A309-6*C309)/6))</f>
        <v>0.234979873783265</v>
      </c>
      <c r="K309" s="12" t="n">
        <f aca="false">J309^(-1/B309)-1</f>
        <v>0.0586352099999998</v>
      </c>
      <c r="L309" s="12" t="n">
        <f aca="false">(1+K309)^(1/12)-1</f>
        <v>0.00475966981354636</v>
      </c>
    </row>
    <row r="310" customFormat="false" ht="15" hidden="false" customHeight="false" outlineLevel="0" collapsed="false">
      <c r="A310" s="4" t="n">
        <v>306</v>
      </c>
      <c r="B310" s="14" t="n">
        <f aca="false">A310/12</f>
        <v>25.5</v>
      </c>
      <c r="C310" s="15" t="n">
        <f aca="false">INT(A310/6)</f>
        <v>51</v>
      </c>
      <c r="D310" s="16" t="n">
        <f aca="false">IF(C310=0,(1+Dic2024!$G$6)^(-B310),EXP(LN(INDEX(Dic2024!$H$6:$H$205,C310))+(LN(INDEX(Dic2024!$H$6:$H$205,MIN(C310+1,200)))-LN(INDEX(Dic2024!$H$6:$H$205,C310)))*(A310-6*C310)/6))</f>
        <v>0.23386674529529</v>
      </c>
      <c r="E310" s="12" t="n">
        <f aca="false">D310^(-1/B310)-1</f>
        <v>0.0586352099999998</v>
      </c>
      <c r="F310" s="12" t="n">
        <f aca="false">(1+E310)^(1/12)-1</f>
        <v>0.00475966981354636</v>
      </c>
      <c r="G310" s="16" t="n">
        <f aca="false">IF(C310=0,(1+Dic2024!$J$6)^(-B310),EXP(LN(INDEX(Dic2024!$K$6:$K$205,C310))+(LN(INDEX(Dic2024!$K$6:$K$205,MIN(C310+1,200)))-LN(INDEX(Dic2024!$K$6:$K$205,C310)))*(A310-6*C310)/6))</f>
        <v>0.23386674529529</v>
      </c>
      <c r="H310" s="12" t="n">
        <f aca="false">G310^(-1/B310)-1</f>
        <v>0.0586352099999998</v>
      </c>
      <c r="I310" s="12" t="n">
        <f aca="false">(1+H310)^(1/12)-1</f>
        <v>0.00475966981354636</v>
      </c>
      <c r="J310" s="16" t="n">
        <f aca="false">IF(C310=0,(1+Dic2024!$M$6)^(-B310),EXP(LN(INDEX(Dic2024!$N$6:$N$205,C310))+(LN(INDEX(Dic2024!$N$6:$N$205,MIN(C310+1,200)))-LN(INDEX(Dic2024!$N$6:$N$205,C310)))*(A310-6*C310)/6))</f>
        <v>0.23386674529529</v>
      </c>
      <c r="K310" s="12" t="n">
        <f aca="false">J310^(-1/B310)-1</f>
        <v>0.0586352099999998</v>
      </c>
      <c r="L310" s="12" t="n">
        <f aca="false">(1+K310)^(1/12)-1</f>
        <v>0.00475966981354636</v>
      </c>
    </row>
    <row r="311" customFormat="false" ht="15" hidden="false" customHeight="false" outlineLevel="0" collapsed="false">
      <c r="A311" s="4" t="n">
        <v>307</v>
      </c>
      <c r="B311" s="14" t="n">
        <f aca="false">A311/12</f>
        <v>25.5833333333333</v>
      </c>
      <c r="C311" s="15" t="n">
        <f aca="false">INT(A311/6)</f>
        <v>51</v>
      </c>
      <c r="D311" s="16" t="n">
        <f aca="false">IF(C311=0,(1+Dic2024!$G$6)^(-B311),EXP(LN(INDEX(Dic2024!$H$6:$H$205,C311))+(LN(INDEX(Dic2024!$H$6:$H$205,MIN(C311+1,200)))-LN(INDEX(Dic2024!$H$6:$H$205,C311)))*(A311-6*C311)/6))</f>
        <v>0.232758889833515</v>
      </c>
      <c r="E311" s="12" t="n">
        <f aca="false">D311^(-1/B311)-1</f>
        <v>0.0586352099999998</v>
      </c>
      <c r="F311" s="12" t="n">
        <f aca="false">(1+E311)^(1/12)-1</f>
        <v>0.00475966981354636</v>
      </c>
      <c r="G311" s="16" t="n">
        <f aca="false">IF(C311=0,(1+Dic2024!$J$6)^(-B311),EXP(LN(INDEX(Dic2024!$K$6:$K$205,C311))+(LN(INDEX(Dic2024!$K$6:$K$205,MIN(C311+1,200)))-LN(INDEX(Dic2024!$K$6:$K$205,C311)))*(A311-6*C311)/6))</f>
        <v>0.232758889833515</v>
      </c>
      <c r="H311" s="12" t="n">
        <f aca="false">G311^(-1/B311)-1</f>
        <v>0.0586352099999998</v>
      </c>
      <c r="I311" s="12" t="n">
        <f aca="false">(1+H311)^(1/12)-1</f>
        <v>0.00475966981354636</v>
      </c>
      <c r="J311" s="16" t="n">
        <f aca="false">IF(C311=0,(1+Dic2024!$M$6)^(-B311),EXP(LN(INDEX(Dic2024!$N$6:$N$205,C311))+(LN(INDEX(Dic2024!$N$6:$N$205,MIN(C311+1,200)))-LN(INDEX(Dic2024!$N$6:$N$205,C311)))*(A311-6*C311)/6))</f>
        <v>0.232758889833515</v>
      </c>
      <c r="K311" s="12" t="n">
        <f aca="false">J311^(-1/B311)-1</f>
        <v>0.0586352099999998</v>
      </c>
      <c r="L311" s="12" t="n">
        <f aca="false">(1+K311)^(1/12)-1</f>
        <v>0.00475966981354636</v>
      </c>
    </row>
    <row r="312" customFormat="false" ht="15" hidden="false" customHeight="false" outlineLevel="0" collapsed="false">
      <c r="A312" s="4" t="n">
        <v>308</v>
      </c>
      <c r="B312" s="14" t="n">
        <f aca="false">A312/12</f>
        <v>25.6666666666667</v>
      </c>
      <c r="C312" s="15" t="n">
        <f aca="false">INT(A312/6)</f>
        <v>51</v>
      </c>
      <c r="D312" s="16" t="n">
        <f aca="false">IF(C312=0,(1+Dic2024!$G$6)^(-B312),EXP(LN(INDEX(Dic2024!$H$6:$H$205,C312))+(LN(INDEX(Dic2024!$H$6:$H$205,MIN(C312+1,200)))-LN(INDEX(Dic2024!$H$6:$H$205,C312)))*(A312-6*C312)/6))</f>
        <v>0.231656282418967</v>
      </c>
      <c r="E312" s="12" t="n">
        <f aca="false">D312^(-1/B312)-1</f>
        <v>0.0586352099999998</v>
      </c>
      <c r="F312" s="12" t="n">
        <f aca="false">(1+E312)^(1/12)-1</f>
        <v>0.00475966981354636</v>
      </c>
      <c r="G312" s="16" t="n">
        <f aca="false">IF(C312=0,(1+Dic2024!$J$6)^(-B312),EXP(LN(INDEX(Dic2024!$K$6:$K$205,C312))+(LN(INDEX(Dic2024!$K$6:$K$205,MIN(C312+1,200)))-LN(INDEX(Dic2024!$K$6:$K$205,C312)))*(A312-6*C312)/6))</f>
        <v>0.231656282418967</v>
      </c>
      <c r="H312" s="12" t="n">
        <f aca="false">G312^(-1/B312)-1</f>
        <v>0.0586352099999998</v>
      </c>
      <c r="I312" s="12" t="n">
        <f aca="false">(1+H312)^(1/12)-1</f>
        <v>0.00475966981354636</v>
      </c>
      <c r="J312" s="16" t="n">
        <f aca="false">IF(C312=0,(1+Dic2024!$M$6)^(-B312),EXP(LN(INDEX(Dic2024!$N$6:$N$205,C312))+(LN(INDEX(Dic2024!$N$6:$N$205,MIN(C312+1,200)))-LN(INDEX(Dic2024!$N$6:$N$205,C312)))*(A312-6*C312)/6))</f>
        <v>0.231656282418967</v>
      </c>
      <c r="K312" s="12" t="n">
        <f aca="false">J312^(-1/B312)-1</f>
        <v>0.0586352099999998</v>
      </c>
      <c r="L312" s="12" t="n">
        <f aca="false">(1+K312)^(1/12)-1</f>
        <v>0.00475966981354636</v>
      </c>
    </row>
    <row r="313" customFormat="false" ht="15" hidden="false" customHeight="false" outlineLevel="0" collapsed="false">
      <c r="A313" s="4" t="n">
        <v>309</v>
      </c>
      <c r="B313" s="14" t="n">
        <f aca="false">A313/12</f>
        <v>25.75</v>
      </c>
      <c r="C313" s="15" t="n">
        <f aca="false">INT(A313/6)</f>
        <v>51</v>
      </c>
      <c r="D313" s="16" t="n">
        <f aca="false">IF(C313=0,(1+Dic2024!$G$6)^(-B313),EXP(LN(INDEX(Dic2024!$H$6:$H$205,C313))+(LN(INDEX(Dic2024!$H$6:$H$205,MIN(C313+1,200)))-LN(INDEX(Dic2024!$H$6:$H$205,C313)))*(A313-6*C313)/6))</f>
        <v>0.230558898191003</v>
      </c>
      <c r="E313" s="12" t="n">
        <f aca="false">D313^(-1/B313)-1</f>
        <v>0.0586352099999998</v>
      </c>
      <c r="F313" s="12" t="n">
        <f aca="false">(1+E313)^(1/12)-1</f>
        <v>0.00475966981354636</v>
      </c>
      <c r="G313" s="16" t="n">
        <f aca="false">IF(C313=0,(1+Dic2024!$J$6)^(-B313),EXP(LN(INDEX(Dic2024!$K$6:$K$205,C313))+(LN(INDEX(Dic2024!$K$6:$K$205,MIN(C313+1,200)))-LN(INDEX(Dic2024!$K$6:$K$205,C313)))*(A313-6*C313)/6))</f>
        <v>0.230558898191003</v>
      </c>
      <c r="H313" s="12" t="n">
        <f aca="false">G313^(-1/B313)-1</f>
        <v>0.0586352099999998</v>
      </c>
      <c r="I313" s="12" t="n">
        <f aca="false">(1+H313)^(1/12)-1</f>
        <v>0.00475966981354636</v>
      </c>
      <c r="J313" s="16" t="n">
        <f aca="false">IF(C313=0,(1+Dic2024!$M$6)^(-B313),EXP(LN(INDEX(Dic2024!$N$6:$N$205,C313))+(LN(INDEX(Dic2024!$N$6:$N$205,MIN(C313+1,200)))-LN(INDEX(Dic2024!$N$6:$N$205,C313)))*(A313-6*C313)/6))</f>
        <v>0.230558898191003</v>
      </c>
      <c r="K313" s="12" t="n">
        <f aca="false">J313^(-1/B313)-1</f>
        <v>0.0586352099999998</v>
      </c>
      <c r="L313" s="12" t="n">
        <f aca="false">(1+K313)^(1/12)-1</f>
        <v>0.00475966981354636</v>
      </c>
    </row>
    <row r="314" customFormat="false" ht="15" hidden="false" customHeight="false" outlineLevel="0" collapsed="false">
      <c r="A314" s="4" t="n">
        <v>310</v>
      </c>
      <c r="B314" s="14" t="n">
        <f aca="false">A314/12</f>
        <v>25.8333333333333</v>
      </c>
      <c r="C314" s="15" t="n">
        <f aca="false">INT(A314/6)</f>
        <v>51</v>
      </c>
      <c r="D314" s="16" t="n">
        <f aca="false">IF(C314=0,(1+Dic2024!$G$6)^(-B314),EXP(LN(INDEX(Dic2024!$H$6:$H$205,C314))+(LN(INDEX(Dic2024!$H$6:$H$205,MIN(C314+1,200)))-LN(INDEX(Dic2024!$H$6:$H$205,C314)))*(A314-6*C314)/6))</f>
        <v>0.229466712406747</v>
      </c>
      <c r="E314" s="12" t="n">
        <f aca="false">D314^(-1/B314)-1</f>
        <v>0.0586352099999998</v>
      </c>
      <c r="F314" s="12" t="n">
        <f aca="false">(1+E314)^(1/12)-1</f>
        <v>0.00475966981354636</v>
      </c>
      <c r="G314" s="16" t="n">
        <f aca="false">IF(C314=0,(1+Dic2024!$J$6)^(-B314),EXP(LN(INDEX(Dic2024!$K$6:$K$205,C314))+(LN(INDEX(Dic2024!$K$6:$K$205,MIN(C314+1,200)))-LN(INDEX(Dic2024!$K$6:$K$205,C314)))*(A314-6*C314)/6))</f>
        <v>0.229466712406747</v>
      </c>
      <c r="H314" s="12" t="n">
        <f aca="false">G314^(-1/B314)-1</f>
        <v>0.0586352099999998</v>
      </c>
      <c r="I314" s="12" t="n">
        <f aca="false">(1+H314)^(1/12)-1</f>
        <v>0.00475966981354636</v>
      </c>
      <c r="J314" s="16" t="n">
        <f aca="false">IF(C314=0,(1+Dic2024!$M$6)^(-B314),EXP(LN(INDEX(Dic2024!$N$6:$N$205,C314))+(LN(INDEX(Dic2024!$N$6:$N$205,MIN(C314+1,200)))-LN(INDEX(Dic2024!$N$6:$N$205,C314)))*(A314-6*C314)/6))</f>
        <v>0.229466712406747</v>
      </c>
      <c r="K314" s="12" t="n">
        <f aca="false">J314^(-1/B314)-1</f>
        <v>0.0586352099999998</v>
      </c>
      <c r="L314" s="12" t="n">
        <f aca="false">(1+K314)^(1/12)-1</f>
        <v>0.00475966981354636</v>
      </c>
    </row>
    <row r="315" customFormat="false" ht="15" hidden="false" customHeight="false" outlineLevel="0" collapsed="false">
      <c r="A315" s="4" t="n">
        <v>311</v>
      </c>
      <c r="B315" s="14" t="n">
        <f aca="false">A315/12</f>
        <v>25.9166666666667</v>
      </c>
      <c r="C315" s="15" t="n">
        <f aca="false">INT(A315/6)</f>
        <v>51</v>
      </c>
      <c r="D315" s="16" t="n">
        <f aca="false">IF(C315=0,(1+Dic2024!$G$6)^(-B315),EXP(LN(INDEX(Dic2024!$H$6:$H$205,C315))+(LN(INDEX(Dic2024!$H$6:$H$205,MIN(C315+1,200)))-LN(INDEX(Dic2024!$H$6:$H$205,C315)))*(A315-6*C315)/6))</f>
        <v>0.228379700440533</v>
      </c>
      <c r="E315" s="12" t="n">
        <f aca="false">D315^(-1/B315)-1</f>
        <v>0.0586352099999998</v>
      </c>
      <c r="F315" s="12" t="n">
        <f aca="false">(1+E315)^(1/12)-1</f>
        <v>0.00475966981354636</v>
      </c>
      <c r="G315" s="16" t="n">
        <f aca="false">IF(C315=0,(1+Dic2024!$J$6)^(-B315),EXP(LN(INDEX(Dic2024!$K$6:$K$205,C315))+(LN(INDEX(Dic2024!$K$6:$K$205,MIN(C315+1,200)))-LN(INDEX(Dic2024!$K$6:$K$205,C315)))*(A315-6*C315)/6))</f>
        <v>0.228379700440533</v>
      </c>
      <c r="H315" s="12" t="n">
        <f aca="false">G315^(-1/B315)-1</f>
        <v>0.0586352099999998</v>
      </c>
      <c r="I315" s="12" t="n">
        <f aca="false">(1+H315)^(1/12)-1</f>
        <v>0.00475966981354636</v>
      </c>
      <c r="J315" s="16" t="n">
        <f aca="false">IF(C315=0,(1+Dic2024!$M$6)^(-B315),EXP(LN(INDEX(Dic2024!$N$6:$N$205,C315))+(LN(INDEX(Dic2024!$N$6:$N$205,MIN(C315+1,200)))-LN(INDEX(Dic2024!$N$6:$N$205,C315)))*(A315-6*C315)/6))</f>
        <v>0.228379700440533</v>
      </c>
      <c r="K315" s="12" t="n">
        <f aca="false">J315^(-1/B315)-1</f>
        <v>0.0586352099999998</v>
      </c>
      <c r="L315" s="12" t="n">
        <f aca="false">(1+K315)^(1/12)-1</f>
        <v>0.00475966981354636</v>
      </c>
    </row>
    <row r="316" customFormat="false" ht="15" hidden="false" customHeight="false" outlineLevel="0" collapsed="false">
      <c r="A316" s="4" t="n">
        <v>312</v>
      </c>
      <c r="B316" s="14" t="n">
        <f aca="false">A316/12</f>
        <v>26</v>
      </c>
      <c r="C316" s="15" t="n">
        <f aca="false">INT(A316/6)</f>
        <v>52</v>
      </c>
      <c r="D316" s="16" t="n">
        <f aca="false">IF(C316=0,(1+Dic2024!$G$6)^(-B316),EXP(LN(INDEX(Dic2024!$H$6:$H$205,C316))+(LN(INDEX(Dic2024!$H$6:$H$205,MIN(C316+1,200)))-LN(INDEX(Dic2024!$H$6:$H$205,C316)))*(A316-6*C316)/6))</f>
        <v>0.227297837783351</v>
      </c>
      <c r="E316" s="12" t="n">
        <f aca="false">D316^(-1/B316)-1</f>
        <v>0.0586352099999998</v>
      </c>
      <c r="F316" s="12" t="n">
        <f aca="false">(1+E316)^(1/12)-1</f>
        <v>0.00475966981354636</v>
      </c>
      <c r="G316" s="16" t="n">
        <f aca="false">IF(C316=0,(1+Dic2024!$J$6)^(-B316),EXP(LN(INDEX(Dic2024!$K$6:$K$205,C316))+(LN(INDEX(Dic2024!$K$6:$K$205,MIN(C316+1,200)))-LN(INDEX(Dic2024!$K$6:$K$205,C316)))*(A316-6*C316)/6))</f>
        <v>0.227297837783351</v>
      </c>
      <c r="H316" s="12" t="n">
        <f aca="false">G316^(-1/B316)-1</f>
        <v>0.0586352099999998</v>
      </c>
      <c r="I316" s="12" t="n">
        <f aca="false">(1+H316)^(1/12)-1</f>
        <v>0.00475966981354636</v>
      </c>
      <c r="J316" s="16" t="n">
        <f aca="false">IF(C316=0,(1+Dic2024!$M$6)^(-B316),EXP(LN(INDEX(Dic2024!$N$6:$N$205,C316))+(LN(INDEX(Dic2024!$N$6:$N$205,MIN(C316+1,200)))-LN(INDEX(Dic2024!$N$6:$N$205,C316)))*(A316-6*C316)/6))</f>
        <v>0.227297837783351</v>
      </c>
      <c r="K316" s="12" t="n">
        <f aca="false">J316^(-1/B316)-1</f>
        <v>0.0586352099999998</v>
      </c>
      <c r="L316" s="12" t="n">
        <f aca="false">(1+K316)^(1/12)-1</f>
        <v>0.00475966981354636</v>
      </c>
    </row>
    <row r="317" customFormat="false" ht="15" hidden="false" customHeight="false" outlineLevel="0" collapsed="false">
      <c r="A317" s="4" t="n">
        <v>313</v>
      </c>
      <c r="B317" s="14" t="n">
        <f aca="false">A317/12</f>
        <v>26.0833333333333</v>
      </c>
      <c r="C317" s="15" t="n">
        <f aca="false">INT(A317/6)</f>
        <v>52</v>
      </c>
      <c r="D317" s="16" t="n">
        <f aca="false">IF(C317=0,(1+Dic2024!$G$6)^(-B317),EXP(LN(INDEX(Dic2024!$H$6:$H$205,C317))+(LN(INDEX(Dic2024!$H$6:$H$205,MIN(C317+1,200)))-LN(INDEX(Dic2024!$H$6:$H$205,C317)))*(A317-6*C317)/6))</f>
        <v>0.226221100042293</v>
      </c>
      <c r="E317" s="12" t="n">
        <f aca="false">D317^(-1/B317)-1</f>
        <v>0.0586352099999998</v>
      </c>
      <c r="F317" s="12" t="n">
        <f aca="false">(1+E317)^(1/12)-1</f>
        <v>0.00475966981354636</v>
      </c>
      <c r="G317" s="16" t="n">
        <f aca="false">IF(C317=0,(1+Dic2024!$J$6)^(-B317),EXP(LN(INDEX(Dic2024!$K$6:$K$205,C317))+(LN(INDEX(Dic2024!$K$6:$K$205,MIN(C317+1,200)))-LN(INDEX(Dic2024!$K$6:$K$205,C317)))*(A317-6*C317)/6))</f>
        <v>0.226221100042293</v>
      </c>
      <c r="H317" s="12" t="n">
        <f aca="false">G317^(-1/B317)-1</f>
        <v>0.0586352099999998</v>
      </c>
      <c r="I317" s="12" t="n">
        <f aca="false">(1+H317)^(1/12)-1</f>
        <v>0.00475966981354636</v>
      </c>
      <c r="J317" s="16" t="n">
        <f aca="false">IF(C317=0,(1+Dic2024!$M$6)^(-B317),EXP(LN(INDEX(Dic2024!$N$6:$N$205,C317))+(LN(INDEX(Dic2024!$N$6:$N$205,MIN(C317+1,200)))-LN(INDEX(Dic2024!$N$6:$N$205,C317)))*(A317-6*C317)/6))</f>
        <v>0.226221100042293</v>
      </c>
      <c r="K317" s="12" t="n">
        <f aca="false">J317^(-1/B317)-1</f>
        <v>0.0586352099999998</v>
      </c>
      <c r="L317" s="12" t="n">
        <f aca="false">(1+K317)^(1/12)-1</f>
        <v>0.00475966981354636</v>
      </c>
    </row>
    <row r="318" customFormat="false" ht="15" hidden="false" customHeight="false" outlineLevel="0" collapsed="false">
      <c r="A318" s="4" t="n">
        <v>314</v>
      </c>
      <c r="B318" s="14" t="n">
        <f aca="false">A318/12</f>
        <v>26.1666666666667</v>
      </c>
      <c r="C318" s="15" t="n">
        <f aca="false">INT(A318/6)</f>
        <v>52</v>
      </c>
      <c r="D318" s="16" t="n">
        <f aca="false">IF(C318=0,(1+Dic2024!$G$6)^(-B318),EXP(LN(INDEX(Dic2024!$H$6:$H$205,C318))+(LN(INDEX(Dic2024!$H$6:$H$205,MIN(C318+1,200)))-LN(INDEX(Dic2024!$H$6:$H$205,C318)))*(A318-6*C318)/6))</f>
        <v>0.225149462940001</v>
      </c>
      <c r="E318" s="12" t="n">
        <f aca="false">D318^(-1/B318)-1</f>
        <v>0.0586352099999998</v>
      </c>
      <c r="F318" s="12" t="n">
        <f aca="false">(1+E318)^(1/12)-1</f>
        <v>0.00475966981354636</v>
      </c>
      <c r="G318" s="16" t="n">
        <f aca="false">IF(C318=0,(1+Dic2024!$J$6)^(-B318),EXP(LN(INDEX(Dic2024!$K$6:$K$205,C318))+(LN(INDEX(Dic2024!$K$6:$K$205,MIN(C318+1,200)))-LN(INDEX(Dic2024!$K$6:$K$205,C318)))*(A318-6*C318)/6))</f>
        <v>0.225149462940001</v>
      </c>
      <c r="H318" s="12" t="n">
        <f aca="false">G318^(-1/B318)-1</f>
        <v>0.0586352099999998</v>
      </c>
      <c r="I318" s="12" t="n">
        <f aca="false">(1+H318)^(1/12)-1</f>
        <v>0.00475966981354636</v>
      </c>
      <c r="J318" s="16" t="n">
        <f aca="false">IF(C318=0,(1+Dic2024!$M$6)^(-B318),EXP(LN(INDEX(Dic2024!$N$6:$N$205,C318))+(LN(INDEX(Dic2024!$N$6:$N$205,MIN(C318+1,200)))-LN(INDEX(Dic2024!$N$6:$N$205,C318)))*(A318-6*C318)/6))</f>
        <v>0.225149462940001</v>
      </c>
      <c r="K318" s="12" t="n">
        <f aca="false">J318^(-1/B318)-1</f>
        <v>0.0586352099999998</v>
      </c>
      <c r="L318" s="12" t="n">
        <f aca="false">(1+K318)^(1/12)-1</f>
        <v>0.00475966981354636</v>
      </c>
    </row>
    <row r="319" customFormat="false" ht="15" hidden="false" customHeight="false" outlineLevel="0" collapsed="false">
      <c r="A319" s="4" t="n">
        <v>315</v>
      </c>
      <c r="B319" s="14" t="n">
        <f aca="false">A319/12</f>
        <v>26.25</v>
      </c>
      <c r="C319" s="15" t="n">
        <f aca="false">INT(A319/6)</f>
        <v>52</v>
      </c>
      <c r="D319" s="16" t="n">
        <f aca="false">IF(C319=0,(1+Dic2024!$G$6)^(-B319),EXP(LN(INDEX(Dic2024!$H$6:$H$205,C319))+(LN(INDEX(Dic2024!$H$6:$H$205,MIN(C319+1,200)))-LN(INDEX(Dic2024!$H$6:$H$205,C319)))*(A319-6*C319)/6))</f>
        <v>0.224082902314125</v>
      </c>
      <c r="E319" s="12" t="n">
        <f aca="false">D319^(-1/B319)-1</f>
        <v>0.0586352099999998</v>
      </c>
      <c r="F319" s="12" t="n">
        <f aca="false">(1+E319)^(1/12)-1</f>
        <v>0.00475966981354636</v>
      </c>
      <c r="G319" s="16" t="n">
        <f aca="false">IF(C319=0,(1+Dic2024!$J$6)^(-B319),EXP(LN(INDEX(Dic2024!$K$6:$K$205,C319))+(LN(INDEX(Dic2024!$K$6:$K$205,MIN(C319+1,200)))-LN(INDEX(Dic2024!$K$6:$K$205,C319)))*(A319-6*C319)/6))</f>
        <v>0.224082902314125</v>
      </c>
      <c r="H319" s="12" t="n">
        <f aca="false">G319^(-1/B319)-1</f>
        <v>0.0586352099999998</v>
      </c>
      <c r="I319" s="12" t="n">
        <f aca="false">(1+H319)^(1/12)-1</f>
        <v>0.00475966981354636</v>
      </c>
      <c r="J319" s="16" t="n">
        <f aca="false">IF(C319=0,(1+Dic2024!$M$6)^(-B319),EXP(LN(INDEX(Dic2024!$N$6:$N$205,C319))+(LN(INDEX(Dic2024!$N$6:$N$205,MIN(C319+1,200)))-LN(INDEX(Dic2024!$N$6:$N$205,C319)))*(A319-6*C319)/6))</f>
        <v>0.224082902314125</v>
      </c>
      <c r="K319" s="12" t="n">
        <f aca="false">J319^(-1/B319)-1</f>
        <v>0.0586352099999998</v>
      </c>
      <c r="L319" s="12" t="n">
        <f aca="false">(1+K319)^(1/12)-1</f>
        <v>0.00475966981354636</v>
      </c>
    </row>
    <row r="320" customFormat="false" ht="15" hidden="false" customHeight="false" outlineLevel="0" collapsed="false">
      <c r="A320" s="4" t="n">
        <v>316</v>
      </c>
      <c r="B320" s="14" t="n">
        <f aca="false">A320/12</f>
        <v>26.3333333333333</v>
      </c>
      <c r="C320" s="15" t="n">
        <f aca="false">INT(A320/6)</f>
        <v>52</v>
      </c>
      <c r="D320" s="16" t="n">
        <f aca="false">IF(C320=0,(1+Dic2024!$G$6)^(-B320),EXP(LN(INDEX(Dic2024!$H$6:$H$205,C320))+(LN(INDEX(Dic2024!$H$6:$H$205,MIN(C320+1,200)))-LN(INDEX(Dic2024!$H$6:$H$205,C320)))*(A320-6*C320)/6))</f>
        <v>0.223021394116772</v>
      </c>
      <c r="E320" s="12" t="n">
        <f aca="false">D320^(-1/B320)-1</f>
        <v>0.0586352099999998</v>
      </c>
      <c r="F320" s="12" t="n">
        <f aca="false">(1+E320)^(1/12)-1</f>
        <v>0.00475966981354636</v>
      </c>
      <c r="G320" s="16" t="n">
        <f aca="false">IF(C320=0,(1+Dic2024!$J$6)^(-B320),EXP(LN(INDEX(Dic2024!$K$6:$K$205,C320))+(LN(INDEX(Dic2024!$K$6:$K$205,MIN(C320+1,200)))-LN(INDEX(Dic2024!$K$6:$K$205,C320)))*(A320-6*C320)/6))</f>
        <v>0.223021394116772</v>
      </c>
      <c r="H320" s="12" t="n">
        <f aca="false">G320^(-1/B320)-1</f>
        <v>0.0586352099999998</v>
      </c>
      <c r="I320" s="12" t="n">
        <f aca="false">(1+H320)^(1/12)-1</f>
        <v>0.00475966981354636</v>
      </c>
      <c r="J320" s="16" t="n">
        <f aca="false">IF(C320=0,(1+Dic2024!$M$6)^(-B320),EXP(LN(INDEX(Dic2024!$N$6:$N$205,C320))+(LN(INDEX(Dic2024!$N$6:$N$205,MIN(C320+1,200)))-LN(INDEX(Dic2024!$N$6:$N$205,C320)))*(A320-6*C320)/6))</f>
        <v>0.223021394116772</v>
      </c>
      <c r="K320" s="12" t="n">
        <f aca="false">J320^(-1/B320)-1</f>
        <v>0.0586352099999998</v>
      </c>
      <c r="L320" s="12" t="n">
        <f aca="false">(1+K320)^(1/12)-1</f>
        <v>0.00475966981354636</v>
      </c>
    </row>
    <row r="321" customFormat="false" ht="15" hidden="false" customHeight="false" outlineLevel="0" collapsed="false">
      <c r="A321" s="4" t="n">
        <v>317</v>
      </c>
      <c r="B321" s="14" t="n">
        <f aca="false">A321/12</f>
        <v>26.4166666666667</v>
      </c>
      <c r="C321" s="15" t="n">
        <f aca="false">INT(A321/6)</f>
        <v>52</v>
      </c>
      <c r="D321" s="16" t="n">
        <f aca="false">IF(C321=0,(1+Dic2024!$G$6)^(-B321),EXP(LN(INDEX(Dic2024!$H$6:$H$205,C321))+(LN(INDEX(Dic2024!$H$6:$H$205,MIN(C321+1,200)))-LN(INDEX(Dic2024!$H$6:$H$205,C321)))*(A321-6*C321)/6))</f>
        <v>0.221964914413969</v>
      </c>
      <c r="E321" s="12" t="n">
        <f aca="false">D321^(-1/B321)-1</f>
        <v>0.0586352099999998</v>
      </c>
      <c r="F321" s="12" t="n">
        <f aca="false">(1+E321)^(1/12)-1</f>
        <v>0.00475966981354636</v>
      </c>
      <c r="G321" s="16" t="n">
        <f aca="false">IF(C321=0,(1+Dic2024!$J$6)^(-B321),EXP(LN(INDEX(Dic2024!$K$6:$K$205,C321))+(LN(INDEX(Dic2024!$K$6:$K$205,MIN(C321+1,200)))-LN(INDEX(Dic2024!$K$6:$K$205,C321)))*(A321-6*C321)/6))</f>
        <v>0.221964914413969</v>
      </c>
      <c r="H321" s="12" t="n">
        <f aca="false">G321^(-1/B321)-1</f>
        <v>0.0586352099999998</v>
      </c>
      <c r="I321" s="12" t="n">
        <f aca="false">(1+H321)^(1/12)-1</f>
        <v>0.00475966981354636</v>
      </c>
      <c r="J321" s="16" t="n">
        <f aca="false">IF(C321=0,(1+Dic2024!$M$6)^(-B321),EXP(LN(INDEX(Dic2024!$N$6:$N$205,C321))+(LN(INDEX(Dic2024!$N$6:$N$205,MIN(C321+1,200)))-LN(INDEX(Dic2024!$N$6:$N$205,C321)))*(A321-6*C321)/6))</f>
        <v>0.221964914413969</v>
      </c>
      <c r="K321" s="12" t="n">
        <f aca="false">J321^(-1/B321)-1</f>
        <v>0.0586352099999998</v>
      </c>
      <c r="L321" s="12" t="n">
        <f aca="false">(1+K321)^(1/12)-1</f>
        <v>0.00475966981354636</v>
      </c>
    </row>
    <row r="322" customFormat="false" ht="15" hidden="false" customHeight="false" outlineLevel="0" collapsed="false">
      <c r="A322" s="4" t="n">
        <v>318</v>
      </c>
      <c r="B322" s="14" t="n">
        <f aca="false">A322/12</f>
        <v>26.5</v>
      </c>
      <c r="C322" s="15" t="n">
        <f aca="false">INT(A322/6)</f>
        <v>53</v>
      </c>
      <c r="D322" s="16" t="n">
        <f aca="false">IF(C322=0,(1+Dic2024!$G$6)^(-B322),EXP(LN(INDEX(Dic2024!$H$6:$H$205,C322))+(LN(INDEX(Dic2024!$H$6:$H$205,MIN(C322+1,200)))-LN(INDEX(Dic2024!$H$6:$H$205,C322)))*(A322-6*C322)/6))</f>
        <v>0.220913439385121</v>
      </c>
      <c r="E322" s="12" t="n">
        <f aca="false">D322^(-1/B322)-1</f>
        <v>0.0586352099999998</v>
      </c>
      <c r="F322" s="12" t="n">
        <f aca="false">(1+E322)^(1/12)-1</f>
        <v>0.00475966981354636</v>
      </c>
      <c r="G322" s="16" t="n">
        <f aca="false">IF(C322=0,(1+Dic2024!$J$6)^(-B322),EXP(LN(INDEX(Dic2024!$K$6:$K$205,C322))+(LN(INDEX(Dic2024!$K$6:$K$205,MIN(C322+1,200)))-LN(INDEX(Dic2024!$K$6:$K$205,C322)))*(A322-6*C322)/6))</f>
        <v>0.220913439385121</v>
      </c>
      <c r="H322" s="12" t="n">
        <f aca="false">G322^(-1/B322)-1</f>
        <v>0.0586352099999998</v>
      </c>
      <c r="I322" s="12" t="n">
        <f aca="false">(1+H322)^(1/12)-1</f>
        <v>0.00475966981354636</v>
      </c>
      <c r="J322" s="16" t="n">
        <f aca="false">IF(C322=0,(1+Dic2024!$M$6)^(-B322),EXP(LN(INDEX(Dic2024!$N$6:$N$205,C322))+(LN(INDEX(Dic2024!$N$6:$N$205,MIN(C322+1,200)))-LN(INDEX(Dic2024!$N$6:$N$205,C322)))*(A322-6*C322)/6))</f>
        <v>0.220913439385121</v>
      </c>
      <c r="K322" s="12" t="n">
        <f aca="false">J322^(-1/B322)-1</f>
        <v>0.0586352099999998</v>
      </c>
      <c r="L322" s="12" t="n">
        <f aca="false">(1+K322)^(1/12)-1</f>
        <v>0.00475966981354636</v>
      </c>
    </row>
    <row r="323" customFormat="false" ht="15" hidden="false" customHeight="false" outlineLevel="0" collapsed="false">
      <c r="A323" s="4" t="n">
        <v>319</v>
      </c>
      <c r="B323" s="14" t="n">
        <f aca="false">A323/12</f>
        <v>26.5833333333333</v>
      </c>
      <c r="C323" s="15" t="n">
        <f aca="false">INT(A323/6)</f>
        <v>53</v>
      </c>
      <c r="D323" s="16" t="n">
        <f aca="false">IF(C323=0,(1+Dic2024!$G$6)^(-B323),EXP(LN(INDEX(Dic2024!$H$6:$H$205,C323))+(LN(INDEX(Dic2024!$H$6:$H$205,MIN(C323+1,200)))-LN(INDEX(Dic2024!$H$6:$H$205,C323)))*(A323-6*C323)/6))</f>
        <v>0.219866945322473</v>
      </c>
      <c r="E323" s="12" t="n">
        <f aca="false">D323^(-1/B323)-1</f>
        <v>0.0586352099999998</v>
      </c>
      <c r="F323" s="12" t="n">
        <f aca="false">(1+E323)^(1/12)-1</f>
        <v>0.00475966981354636</v>
      </c>
      <c r="G323" s="16" t="n">
        <f aca="false">IF(C323=0,(1+Dic2024!$J$6)^(-B323),EXP(LN(INDEX(Dic2024!$K$6:$K$205,C323))+(LN(INDEX(Dic2024!$K$6:$K$205,MIN(C323+1,200)))-LN(INDEX(Dic2024!$K$6:$K$205,C323)))*(A323-6*C323)/6))</f>
        <v>0.219866945322473</v>
      </c>
      <c r="H323" s="12" t="n">
        <f aca="false">G323^(-1/B323)-1</f>
        <v>0.0586352099999998</v>
      </c>
      <c r="I323" s="12" t="n">
        <f aca="false">(1+H323)^(1/12)-1</f>
        <v>0.00475966981354636</v>
      </c>
      <c r="J323" s="16" t="n">
        <f aca="false">IF(C323=0,(1+Dic2024!$M$6)^(-B323),EXP(LN(INDEX(Dic2024!$N$6:$N$205,C323))+(LN(INDEX(Dic2024!$N$6:$N$205,MIN(C323+1,200)))-LN(INDEX(Dic2024!$N$6:$N$205,C323)))*(A323-6*C323)/6))</f>
        <v>0.219866945322473</v>
      </c>
      <c r="K323" s="12" t="n">
        <f aca="false">J323^(-1/B323)-1</f>
        <v>0.0586352099999998</v>
      </c>
      <c r="L323" s="12" t="n">
        <f aca="false">(1+K323)^(1/12)-1</f>
        <v>0.00475966981354636</v>
      </c>
    </row>
    <row r="324" customFormat="false" ht="15" hidden="false" customHeight="false" outlineLevel="0" collapsed="false">
      <c r="A324" s="4" t="n">
        <v>320</v>
      </c>
      <c r="B324" s="14" t="n">
        <f aca="false">A324/12</f>
        <v>26.6666666666667</v>
      </c>
      <c r="C324" s="15" t="n">
        <f aca="false">INT(A324/6)</f>
        <v>53</v>
      </c>
      <c r="D324" s="16" t="n">
        <f aca="false">IF(C324=0,(1+Dic2024!$G$6)^(-B324),EXP(LN(INDEX(Dic2024!$H$6:$H$205,C324))+(LN(INDEX(Dic2024!$H$6:$H$205,MIN(C324+1,200)))-LN(INDEX(Dic2024!$H$6:$H$205,C324)))*(A324-6*C324)/6))</f>
        <v>0.218825408630577</v>
      </c>
      <c r="E324" s="12" t="n">
        <f aca="false">D324^(-1/B324)-1</f>
        <v>0.0586352099999998</v>
      </c>
      <c r="F324" s="12" t="n">
        <f aca="false">(1+E324)^(1/12)-1</f>
        <v>0.00475966981354636</v>
      </c>
      <c r="G324" s="16" t="n">
        <f aca="false">IF(C324=0,(1+Dic2024!$J$6)^(-B324),EXP(LN(INDEX(Dic2024!$K$6:$K$205,C324))+(LN(INDEX(Dic2024!$K$6:$K$205,MIN(C324+1,200)))-LN(INDEX(Dic2024!$K$6:$K$205,C324)))*(A324-6*C324)/6))</f>
        <v>0.218825408630577</v>
      </c>
      <c r="H324" s="12" t="n">
        <f aca="false">G324^(-1/B324)-1</f>
        <v>0.0586352099999998</v>
      </c>
      <c r="I324" s="12" t="n">
        <f aca="false">(1+H324)^(1/12)-1</f>
        <v>0.00475966981354636</v>
      </c>
      <c r="J324" s="16" t="n">
        <f aca="false">IF(C324=0,(1+Dic2024!$M$6)^(-B324),EXP(LN(INDEX(Dic2024!$N$6:$N$205,C324))+(LN(INDEX(Dic2024!$N$6:$N$205,MIN(C324+1,200)))-LN(INDEX(Dic2024!$N$6:$N$205,C324)))*(A324-6*C324)/6))</f>
        <v>0.218825408630577</v>
      </c>
      <c r="K324" s="12" t="n">
        <f aca="false">J324^(-1/B324)-1</f>
        <v>0.0586352099999998</v>
      </c>
      <c r="L324" s="12" t="n">
        <f aca="false">(1+K324)^(1/12)-1</f>
        <v>0.00475966981354636</v>
      </c>
    </row>
    <row r="325" customFormat="false" ht="15" hidden="false" customHeight="false" outlineLevel="0" collapsed="false">
      <c r="A325" s="4" t="n">
        <v>321</v>
      </c>
      <c r="B325" s="14" t="n">
        <f aca="false">A325/12</f>
        <v>26.75</v>
      </c>
      <c r="C325" s="15" t="n">
        <f aca="false">INT(A325/6)</f>
        <v>53</v>
      </c>
      <c r="D325" s="16" t="n">
        <f aca="false">IF(C325=0,(1+Dic2024!$G$6)^(-B325),EXP(LN(INDEX(Dic2024!$H$6:$H$205,C325))+(LN(INDEX(Dic2024!$H$6:$H$205,MIN(C325+1,200)))-LN(INDEX(Dic2024!$H$6:$H$205,C325)))*(A325-6*C325)/6))</f>
        <v>0.21778880582576</v>
      </c>
      <c r="E325" s="12" t="n">
        <f aca="false">D325^(-1/B325)-1</f>
        <v>0.0586352099999998</v>
      </c>
      <c r="F325" s="12" t="n">
        <f aca="false">(1+E325)^(1/12)-1</f>
        <v>0.00475966981354636</v>
      </c>
      <c r="G325" s="16" t="n">
        <f aca="false">IF(C325=0,(1+Dic2024!$J$6)^(-B325),EXP(LN(INDEX(Dic2024!$K$6:$K$205,C325))+(LN(INDEX(Dic2024!$K$6:$K$205,MIN(C325+1,200)))-LN(INDEX(Dic2024!$K$6:$K$205,C325)))*(A325-6*C325)/6))</f>
        <v>0.21778880582576</v>
      </c>
      <c r="H325" s="12" t="n">
        <f aca="false">G325^(-1/B325)-1</f>
        <v>0.0586352099999998</v>
      </c>
      <c r="I325" s="12" t="n">
        <f aca="false">(1+H325)^(1/12)-1</f>
        <v>0.00475966981354636</v>
      </c>
      <c r="J325" s="16" t="n">
        <f aca="false">IF(C325=0,(1+Dic2024!$M$6)^(-B325),EXP(LN(INDEX(Dic2024!$N$6:$N$205,C325))+(LN(INDEX(Dic2024!$N$6:$N$205,MIN(C325+1,200)))-LN(INDEX(Dic2024!$N$6:$N$205,C325)))*(A325-6*C325)/6))</f>
        <v>0.21778880582576</v>
      </c>
      <c r="K325" s="12" t="n">
        <f aca="false">J325^(-1/B325)-1</f>
        <v>0.0586352099999998</v>
      </c>
      <c r="L325" s="12" t="n">
        <f aca="false">(1+K325)^(1/12)-1</f>
        <v>0.00475966981354636</v>
      </c>
    </row>
    <row r="326" customFormat="false" ht="15" hidden="false" customHeight="false" outlineLevel="0" collapsed="false">
      <c r="A326" s="4" t="n">
        <v>322</v>
      </c>
      <c r="B326" s="14" t="n">
        <f aca="false">A326/12</f>
        <v>26.8333333333333</v>
      </c>
      <c r="C326" s="15" t="n">
        <f aca="false">INT(A326/6)</f>
        <v>53</v>
      </c>
      <c r="D326" s="16" t="n">
        <f aca="false">IF(C326=0,(1+Dic2024!$G$6)^(-B326),EXP(LN(INDEX(Dic2024!$H$6:$H$205,C326))+(LN(INDEX(Dic2024!$H$6:$H$205,MIN(C326+1,200)))-LN(INDEX(Dic2024!$H$6:$H$205,C326)))*(A326-6*C326)/6))</f>
        <v>0.216757113535593</v>
      </c>
      <c r="E326" s="12" t="n">
        <f aca="false">D326^(-1/B326)-1</f>
        <v>0.0586352099999998</v>
      </c>
      <c r="F326" s="12" t="n">
        <f aca="false">(1+E326)^(1/12)-1</f>
        <v>0.00475966981354636</v>
      </c>
      <c r="G326" s="16" t="n">
        <f aca="false">IF(C326=0,(1+Dic2024!$J$6)^(-B326),EXP(LN(INDEX(Dic2024!$K$6:$K$205,C326))+(LN(INDEX(Dic2024!$K$6:$K$205,MIN(C326+1,200)))-LN(INDEX(Dic2024!$K$6:$K$205,C326)))*(A326-6*C326)/6))</f>
        <v>0.216757113535593</v>
      </c>
      <c r="H326" s="12" t="n">
        <f aca="false">G326^(-1/B326)-1</f>
        <v>0.0586352099999998</v>
      </c>
      <c r="I326" s="12" t="n">
        <f aca="false">(1+H326)^(1/12)-1</f>
        <v>0.00475966981354636</v>
      </c>
      <c r="J326" s="16" t="n">
        <f aca="false">IF(C326=0,(1+Dic2024!$M$6)^(-B326),EXP(LN(INDEX(Dic2024!$N$6:$N$205,C326))+(LN(INDEX(Dic2024!$N$6:$N$205,MIN(C326+1,200)))-LN(INDEX(Dic2024!$N$6:$N$205,C326)))*(A326-6*C326)/6))</f>
        <v>0.216757113535593</v>
      </c>
      <c r="K326" s="12" t="n">
        <f aca="false">J326^(-1/B326)-1</f>
        <v>0.0586352099999998</v>
      </c>
      <c r="L326" s="12" t="n">
        <f aca="false">(1+K326)^(1/12)-1</f>
        <v>0.00475966981354636</v>
      </c>
    </row>
    <row r="327" customFormat="false" ht="15" hidden="false" customHeight="false" outlineLevel="0" collapsed="false">
      <c r="A327" s="4" t="n">
        <v>323</v>
      </c>
      <c r="B327" s="14" t="n">
        <f aca="false">A327/12</f>
        <v>26.9166666666667</v>
      </c>
      <c r="C327" s="15" t="n">
        <f aca="false">INT(A327/6)</f>
        <v>53</v>
      </c>
      <c r="D327" s="16" t="n">
        <f aca="false">IF(C327=0,(1+Dic2024!$G$6)^(-B327),EXP(LN(INDEX(Dic2024!$H$6:$H$205,C327))+(LN(INDEX(Dic2024!$H$6:$H$205,MIN(C327+1,200)))-LN(INDEX(Dic2024!$H$6:$H$205,C327)))*(A327-6*C327)/6))</f>
        <v>0.215730308498367</v>
      </c>
      <c r="E327" s="12" t="n">
        <f aca="false">D327^(-1/B327)-1</f>
        <v>0.0586352099999998</v>
      </c>
      <c r="F327" s="12" t="n">
        <f aca="false">(1+E327)^(1/12)-1</f>
        <v>0.00475966981354636</v>
      </c>
      <c r="G327" s="16" t="n">
        <f aca="false">IF(C327=0,(1+Dic2024!$J$6)^(-B327),EXP(LN(INDEX(Dic2024!$K$6:$K$205,C327))+(LN(INDEX(Dic2024!$K$6:$K$205,MIN(C327+1,200)))-LN(INDEX(Dic2024!$K$6:$K$205,C327)))*(A327-6*C327)/6))</f>
        <v>0.215730308498367</v>
      </c>
      <c r="H327" s="12" t="n">
        <f aca="false">G327^(-1/B327)-1</f>
        <v>0.0586352099999998</v>
      </c>
      <c r="I327" s="12" t="n">
        <f aca="false">(1+H327)^(1/12)-1</f>
        <v>0.00475966981354636</v>
      </c>
      <c r="J327" s="16" t="n">
        <f aca="false">IF(C327=0,(1+Dic2024!$M$6)^(-B327),EXP(LN(INDEX(Dic2024!$N$6:$N$205,C327))+(LN(INDEX(Dic2024!$N$6:$N$205,MIN(C327+1,200)))-LN(INDEX(Dic2024!$N$6:$N$205,C327)))*(A327-6*C327)/6))</f>
        <v>0.215730308498367</v>
      </c>
      <c r="K327" s="12" t="n">
        <f aca="false">J327^(-1/B327)-1</f>
        <v>0.0586352099999998</v>
      </c>
      <c r="L327" s="12" t="n">
        <f aca="false">(1+K327)^(1/12)-1</f>
        <v>0.00475966981354636</v>
      </c>
    </row>
    <row r="328" customFormat="false" ht="15" hidden="false" customHeight="false" outlineLevel="0" collapsed="false">
      <c r="A328" s="4" t="n">
        <v>324</v>
      </c>
      <c r="B328" s="14" t="n">
        <f aca="false">A328/12</f>
        <v>27</v>
      </c>
      <c r="C328" s="15" t="n">
        <f aca="false">INT(A328/6)</f>
        <v>54</v>
      </c>
      <c r="D328" s="16" t="n">
        <f aca="false">IF(C328=0,(1+Dic2024!$G$6)^(-B328),EXP(LN(INDEX(Dic2024!$H$6:$H$205,C328))+(LN(INDEX(Dic2024!$H$6:$H$205,MIN(C328+1,200)))-LN(INDEX(Dic2024!$H$6:$H$205,C328)))*(A328-6*C328)/6))</f>
        <v>0.214708367562563</v>
      </c>
      <c r="E328" s="12" t="n">
        <f aca="false">D328^(-1/B328)-1</f>
        <v>0.0586352099999998</v>
      </c>
      <c r="F328" s="12" t="n">
        <f aca="false">(1+E328)^(1/12)-1</f>
        <v>0.00475966981354636</v>
      </c>
      <c r="G328" s="16" t="n">
        <f aca="false">IF(C328=0,(1+Dic2024!$J$6)^(-B328),EXP(LN(INDEX(Dic2024!$K$6:$K$205,C328))+(LN(INDEX(Dic2024!$K$6:$K$205,MIN(C328+1,200)))-LN(INDEX(Dic2024!$K$6:$K$205,C328)))*(A328-6*C328)/6))</f>
        <v>0.214708367562563</v>
      </c>
      <c r="H328" s="12" t="n">
        <f aca="false">G328^(-1/B328)-1</f>
        <v>0.0586352099999998</v>
      </c>
      <c r="I328" s="12" t="n">
        <f aca="false">(1+H328)^(1/12)-1</f>
        <v>0.00475966981354636</v>
      </c>
      <c r="J328" s="16" t="n">
        <f aca="false">IF(C328=0,(1+Dic2024!$M$6)^(-B328),EXP(LN(INDEX(Dic2024!$N$6:$N$205,C328))+(LN(INDEX(Dic2024!$N$6:$N$205,MIN(C328+1,200)))-LN(INDEX(Dic2024!$N$6:$N$205,C328)))*(A328-6*C328)/6))</f>
        <v>0.214708367562563</v>
      </c>
      <c r="K328" s="12" t="n">
        <f aca="false">J328^(-1/B328)-1</f>
        <v>0.0586352099999998</v>
      </c>
      <c r="L328" s="12" t="n">
        <f aca="false">(1+K328)^(1/12)-1</f>
        <v>0.00475966981354636</v>
      </c>
    </row>
    <row r="329" customFormat="false" ht="15" hidden="false" customHeight="false" outlineLevel="0" collapsed="false">
      <c r="A329" s="4" t="n">
        <v>325</v>
      </c>
      <c r="B329" s="14" t="n">
        <f aca="false">A329/12</f>
        <v>27.0833333333333</v>
      </c>
      <c r="C329" s="15" t="n">
        <f aca="false">INT(A329/6)</f>
        <v>54</v>
      </c>
      <c r="D329" s="16" t="n">
        <f aca="false">IF(C329=0,(1+Dic2024!$G$6)^(-B329),EXP(LN(INDEX(Dic2024!$H$6:$H$205,C329))+(LN(INDEX(Dic2024!$H$6:$H$205,MIN(C329+1,200)))-LN(INDEX(Dic2024!$H$6:$H$205,C329)))*(A329-6*C329)/6))</f>
        <v>0.213691267686338</v>
      </c>
      <c r="E329" s="12" t="n">
        <f aca="false">D329^(-1/B329)-1</f>
        <v>0.0586352099999998</v>
      </c>
      <c r="F329" s="12" t="n">
        <f aca="false">(1+E329)^(1/12)-1</f>
        <v>0.00475966981354636</v>
      </c>
      <c r="G329" s="16" t="n">
        <f aca="false">IF(C329=0,(1+Dic2024!$J$6)^(-B329),EXP(LN(INDEX(Dic2024!$K$6:$K$205,C329))+(LN(INDEX(Dic2024!$K$6:$K$205,MIN(C329+1,200)))-LN(INDEX(Dic2024!$K$6:$K$205,C329)))*(A329-6*C329)/6))</f>
        <v>0.213691267686338</v>
      </c>
      <c r="H329" s="12" t="n">
        <f aca="false">G329^(-1/B329)-1</f>
        <v>0.0586352099999998</v>
      </c>
      <c r="I329" s="12" t="n">
        <f aca="false">(1+H329)^(1/12)-1</f>
        <v>0.00475966981354636</v>
      </c>
      <c r="J329" s="16" t="n">
        <f aca="false">IF(C329=0,(1+Dic2024!$M$6)^(-B329),EXP(LN(INDEX(Dic2024!$N$6:$N$205,C329))+(LN(INDEX(Dic2024!$N$6:$N$205,MIN(C329+1,200)))-LN(INDEX(Dic2024!$N$6:$N$205,C329)))*(A329-6*C329)/6))</f>
        <v>0.213691267686338</v>
      </c>
      <c r="K329" s="12" t="n">
        <f aca="false">J329^(-1/B329)-1</f>
        <v>0.0586352099999998</v>
      </c>
      <c r="L329" s="12" t="n">
        <f aca="false">(1+K329)^(1/12)-1</f>
        <v>0.00475966981354636</v>
      </c>
    </row>
    <row r="330" customFormat="false" ht="15" hidden="false" customHeight="false" outlineLevel="0" collapsed="false">
      <c r="A330" s="4" t="n">
        <v>326</v>
      </c>
      <c r="B330" s="14" t="n">
        <f aca="false">A330/12</f>
        <v>27.1666666666667</v>
      </c>
      <c r="C330" s="15" t="n">
        <f aca="false">INT(A330/6)</f>
        <v>54</v>
      </c>
      <c r="D330" s="16" t="n">
        <f aca="false">IF(C330=0,(1+Dic2024!$G$6)^(-B330),EXP(LN(INDEX(Dic2024!$H$6:$H$205,C330))+(LN(INDEX(Dic2024!$H$6:$H$205,MIN(C330+1,200)))-LN(INDEX(Dic2024!$H$6:$H$205,C330)))*(A330-6*C330)/6))</f>
        <v>0.212678985936998</v>
      </c>
      <c r="E330" s="12" t="n">
        <f aca="false">D330^(-1/B330)-1</f>
        <v>0.0586352099999998</v>
      </c>
      <c r="F330" s="12" t="n">
        <f aca="false">(1+E330)^(1/12)-1</f>
        <v>0.00475966981354636</v>
      </c>
      <c r="G330" s="16" t="n">
        <f aca="false">IF(C330=0,(1+Dic2024!$J$6)^(-B330),EXP(LN(INDEX(Dic2024!$K$6:$K$205,C330))+(LN(INDEX(Dic2024!$K$6:$K$205,MIN(C330+1,200)))-LN(INDEX(Dic2024!$K$6:$K$205,C330)))*(A330-6*C330)/6))</f>
        <v>0.212678985936998</v>
      </c>
      <c r="H330" s="12" t="n">
        <f aca="false">G330^(-1/B330)-1</f>
        <v>0.0586352099999998</v>
      </c>
      <c r="I330" s="12" t="n">
        <f aca="false">(1+H330)^(1/12)-1</f>
        <v>0.00475966981354636</v>
      </c>
      <c r="J330" s="16" t="n">
        <f aca="false">IF(C330=0,(1+Dic2024!$M$6)^(-B330),EXP(LN(INDEX(Dic2024!$N$6:$N$205,C330))+(LN(INDEX(Dic2024!$N$6:$N$205,MIN(C330+1,200)))-LN(INDEX(Dic2024!$N$6:$N$205,C330)))*(A330-6*C330)/6))</f>
        <v>0.212678985936998</v>
      </c>
      <c r="K330" s="12" t="n">
        <f aca="false">J330^(-1/B330)-1</f>
        <v>0.0586352099999998</v>
      </c>
      <c r="L330" s="12" t="n">
        <f aca="false">(1+K330)^(1/12)-1</f>
        <v>0.00475966981354636</v>
      </c>
    </row>
    <row r="331" customFormat="false" ht="15" hidden="false" customHeight="false" outlineLevel="0" collapsed="false">
      <c r="A331" s="4" t="n">
        <v>327</v>
      </c>
      <c r="B331" s="14" t="n">
        <f aca="false">A331/12</f>
        <v>27.25</v>
      </c>
      <c r="C331" s="15" t="n">
        <f aca="false">INT(A331/6)</f>
        <v>54</v>
      </c>
      <c r="D331" s="16" t="n">
        <f aca="false">IF(C331=0,(1+Dic2024!$G$6)^(-B331),EXP(LN(INDEX(Dic2024!$H$6:$H$205,C331))+(LN(INDEX(Dic2024!$H$6:$H$205,MIN(C331+1,200)))-LN(INDEX(Dic2024!$H$6:$H$205,C331)))*(A331-6*C331)/6))</f>
        <v>0.211671499490485</v>
      </c>
      <c r="E331" s="12" t="n">
        <f aca="false">D331^(-1/B331)-1</f>
        <v>0.0586352099999998</v>
      </c>
      <c r="F331" s="12" t="n">
        <f aca="false">(1+E331)^(1/12)-1</f>
        <v>0.00475966981354636</v>
      </c>
      <c r="G331" s="16" t="n">
        <f aca="false">IF(C331=0,(1+Dic2024!$J$6)^(-B331),EXP(LN(INDEX(Dic2024!$K$6:$K$205,C331))+(LN(INDEX(Dic2024!$K$6:$K$205,MIN(C331+1,200)))-LN(INDEX(Dic2024!$K$6:$K$205,C331)))*(A331-6*C331)/6))</f>
        <v>0.211671499490485</v>
      </c>
      <c r="H331" s="12" t="n">
        <f aca="false">G331^(-1/B331)-1</f>
        <v>0.0586352099999998</v>
      </c>
      <c r="I331" s="12" t="n">
        <f aca="false">(1+H331)^(1/12)-1</f>
        <v>0.00475966981354636</v>
      </c>
      <c r="J331" s="16" t="n">
        <f aca="false">IF(C331=0,(1+Dic2024!$M$6)^(-B331),EXP(LN(INDEX(Dic2024!$N$6:$N$205,C331))+(LN(INDEX(Dic2024!$N$6:$N$205,MIN(C331+1,200)))-LN(INDEX(Dic2024!$N$6:$N$205,C331)))*(A331-6*C331)/6))</f>
        <v>0.211671499490485</v>
      </c>
      <c r="K331" s="12" t="n">
        <f aca="false">J331^(-1/B331)-1</f>
        <v>0.0586352099999998</v>
      </c>
      <c r="L331" s="12" t="n">
        <f aca="false">(1+K331)^(1/12)-1</f>
        <v>0.00475966981354636</v>
      </c>
    </row>
    <row r="332" customFormat="false" ht="15" hidden="false" customHeight="false" outlineLevel="0" collapsed="false">
      <c r="A332" s="4" t="n">
        <v>328</v>
      </c>
      <c r="B332" s="14" t="n">
        <f aca="false">A332/12</f>
        <v>27.3333333333333</v>
      </c>
      <c r="C332" s="15" t="n">
        <f aca="false">INT(A332/6)</f>
        <v>54</v>
      </c>
      <c r="D332" s="16" t="n">
        <f aca="false">IF(C332=0,(1+Dic2024!$G$6)^(-B332),EXP(LN(INDEX(Dic2024!$H$6:$H$205,C332))+(LN(INDEX(Dic2024!$H$6:$H$205,MIN(C332+1,200)))-LN(INDEX(Dic2024!$H$6:$H$205,C332)))*(A332-6*C332)/6))</f>
        <v>0.210668785630861</v>
      </c>
      <c r="E332" s="12" t="n">
        <f aca="false">D332^(-1/B332)-1</f>
        <v>0.0586352099999998</v>
      </c>
      <c r="F332" s="12" t="n">
        <f aca="false">(1+E332)^(1/12)-1</f>
        <v>0.00475966981354636</v>
      </c>
      <c r="G332" s="16" t="n">
        <f aca="false">IF(C332=0,(1+Dic2024!$J$6)^(-B332),EXP(LN(INDEX(Dic2024!$K$6:$K$205,C332))+(LN(INDEX(Dic2024!$K$6:$K$205,MIN(C332+1,200)))-LN(INDEX(Dic2024!$K$6:$K$205,C332)))*(A332-6*C332)/6))</f>
        <v>0.210668785630861</v>
      </c>
      <c r="H332" s="12" t="n">
        <f aca="false">G332^(-1/B332)-1</f>
        <v>0.0586352099999998</v>
      </c>
      <c r="I332" s="12" t="n">
        <f aca="false">(1+H332)^(1/12)-1</f>
        <v>0.00475966981354636</v>
      </c>
      <c r="J332" s="16" t="n">
        <f aca="false">IF(C332=0,(1+Dic2024!$M$6)^(-B332),EXP(LN(INDEX(Dic2024!$N$6:$N$205,C332))+(LN(INDEX(Dic2024!$N$6:$N$205,MIN(C332+1,200)))-LN(INDEX(Dic2024!$N$6:$N$205,C332)))*(A332-6*C332)/6))</f>
        <v>0.210668785630861</v>
      </c>
      <c r="K332" s="12" t="n">
        <f aca="false">J332^(-1/B332)-1</f>
        <v>0.0586352099999998</v>
      </c>
      <c r="L332" s="12" t="n">
        <f aca="false">(1+K332)^(1/12)-1</f>
        <v>0.00475966981354636</v>
      </c>
    </row>
    <row r="333" customFormat="false" ht="15" hidden="false" customHeight="false" outlineLevel="0" collapsed="false">
      <c r="A333" s="4" t="n">
        <v>329</v>
      </c>
      <c r="B333" s="14" t="n">
        <f aca="false">A333/12</f>
        <v>27.4166666666667</v>
      </c>
      <c r="C333" s="15" t="n">
        <f aca="false">INT(A333/6)</f>
        <v>54</v>
      </c>
      <c r="D333" s="16" t="n">
        <f aca="false">IF(C333=0,(1+Dic2024!$G$6)^(-B333),EXP(LN(INDEX(Dic2024!$H$6:$H$205,C333))+(LN(INDEX(Dic2024!$H$6:$H$205,MIN(C333+1,200)))-LN(INDEX(Dic2024!$H$6:$H$205,C333)))*(A333-6*C333)/6))</f>
        <v>0.209670821749797</v>
      </c>
      <c r="E333" s="12" t="n">
        <f aca="false">D333^(-1/B333)-1</f>
        <v>0.0586352099999998</v>
      </c>
      <c r="F333" s="12" t="n">
        <f aca="false">(1+E333)^(1/12)-1</f>
        <v>0.00475966981354636</v>
      </c>
      <c r="G333" s="16" t="n">
        <f aca="false">IF(C333=0,(1+Dic2024!$J$6)^(-B333),EXP(LN(INDEX(Dic2024!$K$6:$K$205,C333))+(LN(INDEX(Dic2024!$K$6:$K$205,MIN(C333+1,200)))-LN(INDEX(Dic2024!$K$6:$K$205,C333)))*(A333-6*C333)/6))</f>
        <v>0.209670821749797</v>
      </c>
      <c r="H333" s="12" t="n">
        <f aca="false">G333^(-1/B333)-1</f>
        <v>0.0586352099999998</v>
      </c>
      <c r="I333" s="12" t="n">
        <f aca="false">(1+H333)^(1/12)-1</f>
        <v>0.00475966981354636</v>
      </c>
      <c r="J333" s="16" t="n">
        <f aca="false">IF(C333=0,(1+Dic2024!$M$6)^(-B333),EXP(LN(INDEX(Dic2024!$N$6:$N$205,C333))+(LN(INDEX(Dic2024!$N$6:$N$205,MIN(C333+1,200)))-LN(INDEX(Dic2024!$N$6:$N$205,C333)))*(A333-6*C333)/6))</f>
        <v>0.209670821749797</v>
      </c>
      <c r="K333" s="12" t="n">
        <f aca="false">J333^(-1/B333)-1</f>
        <v>0.0586352099999998</v>
      </c>
      <c r="L333" s="12" t="n">
        <f aca="false">(1+K333)^(1/12)-1</f>
        <v>0.00475966981354636</v>
      </c>
    </row>
    <row r="334" customFormat="false" ht="15" hidden="false" customHeight="false" outlineLevel="0" collapsed="false">
      <c r="A334" s="4" t="n">
        <v>330</v>
      </c>
      <c r="B334" s="14" t="n">
        <f aca="false">A334/12</f>
        <v>27.5</v>
      </c>
      <c r="C334" s="15" t="n">
        <f aca="false">INT(A334/6)</f>
        <v>55</v>
      </c>
      <c r="D334" s="16" t="n">
        <f aca="false">IF(C334=0,(1+Dic2024!$G$6)^(-B334),EXP(LN(INDEX(Dic2024!$H$6:$H$205,C334))+(LN(INDEX(Dic2024!$H$6:$H$205,MIN(C334+1,200)))-LN(INDEX(Dic2024!$H$6:$H$205,C334)))*(A334-6*C334)/6))</f>
        <v>0.208677585346062</v>
      </c>
      <c r="E334" s="12" t="n">
        <f aca="false">D334^(-1/B334)-1</f>
        <v>0.0586352099999998</v>
      </c>
      <c r="F334" s="12" t="n">
        <f aca="false">(1+E334)^(1/12)-1</f>
        <v>0.00475966981354636</v>
      </c>
      <c r="G334" s="16" t="n">
        <f aca="false">IF(C334=0,(1+Dic2024!$J$6)^(-B334),EXP(LN(INDEX(Dic2024!$K$6:$K$205,C334))+(LN(INDEX(Dic2024!$K$6:$K$205,MIN(C334+1,200)))-LN(INDEX(Dic2024!$K$6:$K$205,C334)))*(A334-6*C334)/6))</f>
        <v>0.208677585346062</v>
      </c>
      <c r="H334" s="12" t="n">
        <f aca="false">G334^(-1/B334)-1</f>
        <v>0.0586352099999998</v>
      </c>
      <c r="I334" s="12" t="n">
        <f aca="false">(1+H334)^(1/12)-1</f>
        <v>0.00475966981354636</v>
      </c>
      <c r="J334" s="16" t="n">
        <f aca="false">IF(C334=0,(1+Dic2024!$M$6)^(-B334),EXP(LN(INDEX(Dic2024!$N$6:$N$205,C334))+(LN(INDEX(Dic2024!$N$6:$N$205,MIN(C334+1,200)))-LN(INDEX(Dic2024!$N$6:$N$205,C334)))*(A334-6*C334)/6))</f>
        <v>0.208677585346062</v>
      </c>
      <c r="K334" s="12" t="n">
        <f aca="false">J334^(-1/B334)-1</f>
        <v>0.0586352099999998</v>
      </c>
      <c r="L334" s="12" t="n">
        <f aca="false">(1+K334)^(1/12)-1</f>
        <v>0.00475966981354636</v>
      </c>
    </row>
    <row r="335" customFormat="false" ht="15" hidden="false" customHeight="false" outlineLevel="0" collapsed="false">
      <c r="A335" s="4" t="n">
        <v>331</v>
      </c>
      <c r="B335" s="14" t="n">
        <f aca="false">A335/12</f>
        <v>27.5833333333333</v>
      </c>
      <c r="C335" s="15" t="n">
        <f aca="false">INT(A335/6)</f>
        <v>55</v>
      </c>
      <c r="D335" s="16" t="n">
        <f aca="false">IF(C335=0,(1+Dic2024!$G$6)^(-B335),EXP(LN(INDEX(Dic2024!$H$6:$H$205,C335))+(LN(INDEX(Dic2024!$H$6:$H$205,MIN(C335+1,200)))-LN(INDEX(Dic2024!$H$6:$H$205,C335)))*(A335-6*C335)/6))</f>
        <v>0.207689054025015</v>
      </c>
      <c r="E335" s="12" t="n">
        <f aca="false">D335^(-1/B335)-1</f>
        <v>0.0586352099999998</v>
      </c>
      <c r="F335" s="12" t="n">
        <f aca="false">(1+E335)^(1/12)-1</f>
        <v>0.00475966981354636</v>
      </c>
      <c r="G335" s="16" t="n">
        <f aca="false">IF(C335=0,(1+Dic2024!$J$6)^(-B335),EXP(LN(INDEX(Dic2024!$K$6:$K$205,C335))+(LN(INDEX(Dic2024!$K$6:$K$205,MIN(C335+1,200)))-LN(INDEX(Dic2024!$K$6:$K$205,C335)))*(A335-6*C335)/6))</f>
        <v>0.207689054025015</v>
      </c>
      <c r="H335" s="12" t="n">
        <f aca="false">G335^(-1/B335)-1</f>
        <v>0.0586352099999998</v>
      </c>
      <c r="I335" s="12" t="n">
        <f aca="false">(1+H335)^(1/12)-1</f>
        <v>0.00475966981354636</v>
      </c>
      <c r="J335" s="16" t="n">
        <f aca="false">IF(C335=0,(1+Dic2024!$M$6)^(-B335),EXP(LN(INDEX(Dic2024!$N$6:$N$205,C335))+(LN(INDEX(Dic2024!$N$6:$N$205,MIN(C335+1,200)))-LN(INDEX(Dic2024!$N$6:$N$205,C335)))*(A335-6*C335)/6))</f>
        <v>0.207689054025015</v>
      </c>
      <c r="K335" s="12" t="n">
        <f aca="false">J335^(-1/B335)-1</f>
        <v>0.0586352099999998</v>
      </c>
      <c r="L335" s="12" t="n">
        <f aca="false">(1+K335)^(1/12)-1</f>
        <v>0.00475966981354636</v>
      </c>
    </row>
    <row r="336" customFormat="false" ht="15" hidden="false" customHeight="false" outlineLevel="0" collapsed="false">
      <c r="A336" s="4" t="n">
        <v>332</v>
      </c>
      <c r="B336" s="14" t="n">
        <f aca="false">A336/12</f>
        <v>27.6666666666667</v>
      </c>
      <c r="C336" s="15" t="n">
        <f aca="false">INT(A336/6)</f>
        <v>55</v>
      </c>
      <c r="D336" s="16" t="n">
        <f aca="false">IF(C336=0,(1+Dic2024!$G$6)^(-B336),EXP(LN(INDEX(Dic2024!$H$6:$H$205,C336))+(LN(INDEX(Dic2024!$H$6:$H$205,MIN(C336+1,200)))-LN(INDEX(Dic2024!$H$6:$H$205,C336)))*(A336-6*C336)/6))</f>
        <v>0.206705205498103</v>
      </c>
      <c r="E336" s="12" t="n">
        <f aca="false">D336^(-1/B336)-1</f>
        <v>0.0586352099999998</v>
      </c>
      <c r="F336" s="12" t="n">
        <f aca="false">(1+E336)^(1/12)-1</f>
        <v>0.00475966981354636</v>
      </c>
      <c r="G336" s="16" t="n">
        <f aca="false">IF(C336=0,(1+Dic2024!$J$6)^(-B336),EXP(LN(INDEX(Dic2024!$K$6:$K$205,C336))+(LN(INDEX(Dic2024!$K$6:$K$205,MIN(C336+1,200)))-LN(INDEX(Dic2024!$K$6:$K$205,C336)))*(A336-6*C336)/6))</f>
        <v>0.206705205498103</v>
      </c>
      <c r="H336" s="12" t="n">
        <f aca="false">G336^(-1/B336)-1</f>
        <v>0.0586352099999998</v>
      </c>
      <c r="I336" s="12" t="n">
        <f aca="false">(1+H336)^(1/12)-1</f>
        <v>0.00475966981354636</v>
      </c>
      <c r="J336" s="16" t="n">
        <f aca="false">IF(C336=0,(1+Dic2024!$M$6)^(-B336),EXP(LN(INDEX(Dic2024!$N$6:$N$205,C336))+(LN(INDEX(Dic2024!$N$6:$N$205,MIN(C336+1,200)))-LN(INDEX(Dic2024!$N$6:$N$205,C336)))*(A336-6*C336)/6))</f>
        <v>0.206705205498103</v>
      </c>
      <c r="K336" s="12" t="n">
        <f aca="false">J336^(-1/B336)-1</f>
        <v>0.0586352099999998</v>
      </c>
      <c r="L336" s="12" t="n">
        <f aca="false">(1+K336)^(1/12)-1</f>
        <v>0.00475966981354636</v>
      </c>
    </row>
    <row r="337" customFormat="false" ht="15" hidden="false" customHeight="false" outlineLevel="0" collapsed="false">
      <c r="A337" s="4" t="n">
        <v>333</v>
      </c>
      <c r="B337" s="14" t="n">
        <f aca="false">A337/12</f>
        <v>27.75</v>
      </c>
      <c r="C337" s="15" t="n">
        <f aca="false">INT(A337/6)</f>
        <v>55</v>
      </c>
      <c r="D337" s="16" t="n">
        <f aca="false">IF(C337=0,(1+Dic2024!$G$6)^(-B337),EXP(LN(INDEX(Dic2024!$H$6:$H$205,C337))+(LN(INDEX(Dic2024!$H$6:$H$205,MIN(C337+1,200)))-LN(INDEX(Dic2024!$H$6:$H$205,C337)))*(A337-6*C337)/6))</f>
        <v>0.205726017582355</v>
      </c>
      <c r="E337" s="12" t="n">
        <f aca="false">D337^(-1/B337)-1</f>
        <v>0.0586352099999998</v>
      </c>
      <c r="F337" s="12" t="n">
        <f aca="false">(1+E337)^(1/12)-1</f>
        <v>0.00475966981354636</v>
      </c>
      <c r="G337" s="16" t="n">
        <f aca="false">IF(C337=0,(1+Dic2024!$J$6)^(-B337),EXP(LN(INDEX(Dic2024!$K$6:$K$205,C337))+(LN(INDEX(Dic2024!$K$6:$K$205,MIN(C337+1,200)))-LN(INDEX(Dic2024!$K$6:$K$205,C337)))*(A337-6*C337)/6))</f>
        <v>0.205726017582355</v>
      </c>
      <c r="H337" s="12" t="n">
        <f aca="false">G337^(-1/B337)-1</f>
        <v>0.0586352099999998</v>
      </c>
      <c r="I337" s="12" t="n">
        <f aca="false">(1+H337)^(1/12)-1</f>
        <v>0.00475966981354636</v>
      </c>
      <c r="J337" s="16" t="n">
        <f aca="false">IF(C337=0,(1+Dic2024!$M$6)^(-B337),EXP(LN(INDEX(Dic2024!$N$6:$N$205,C337))+(LN(INDEX(Dic2024!$N$6:$N$205,MIN(C337+1,200)))-LN(INDEX(Dic2024!$N$6:$N$205,C337)))*(A337-6*C337)/6))</f>
        <v>0.205726017582355</v>
      </c>
      <c r="K337" s="12" t="n">
        <f aca="false">J337^(-1/B337)-1</f>
        <v>0.0586352099999998</v>
      </c>
      <c r="L337" s="12" t="n">
        <f aca="false">(1+K337)^(1/12)-1</f>
        <v>0.00475966981354636</v>
      </c>
    </row>
    <row r="338" customFormat="false" ht="15" hidden="false" customHeight="false" outlineLevel="0" collapsed="false">
      <c r="A338" s="4" t="n">
        <v>334</v>
      </c>
      <c r="B338" s="14" t="n">
        <f aca="false">A338/12</f>
        <v>27.8333333333333</v>
      </c>
      <c r="C338" s="15" t="n">
        <f aca="false">INT(A338/6)</f>
        <v>55</v>
      </c>
      <c r="D338" s="16" t="n">
        <f aca="false">IF(C338=0,(1+Dic2024!$G$6)^(-B338),EXP(LN(INDEX(Dic2024!$H$6:$H$205,C338))+(LN(INDEX(Dic2024!$H$6:$H$205,MIN(C338+1,200)))-LN(INDEX(Dic2024!$H$6:$H$205,C338)))*(A338-6*C338)/6))</f>
        <v>0.204751468199885</v>
      </c>
      <c r="E338" s="12" t="n">
        <f aca="false">D338^(-1/B338)-1</f>
        <v>0.0586352099999998</v>
      </c>
      <c r="F338" s="12" t="n">
        <f aca="false">(1+E338)^(1/12)-1</f>
        <v>0.00475966981354636</v>
      </c>
      <c r="G338" s="16" t="n">
        <f aca="false">IF(C338=0,(1+Dic2024!$J$6)^(-B338),EXP(LN(INDEX(Dic2024!$K$6:$K$205,C338))+(LN(INDEX(Dic2024!$K$6:$K$205,MIN(C338+1,200)))-LN(INDEX(Dic2024!$K$6:$K$205,C338)))*(A338-6*C338)/6))</f>
        <v>0.204751468199885</v>
      </c>
      <c r="H338" s="12" t="n">
        <f aca="false">G338^(-1/B338)-1</f>
        <v>0.0586352099999998</v>
      </c>
      <c r="I338" s="12" t="n">
        <f aca="false">(1+H338)^(1/12)-1</f>
        <v>0.00475966981354636</v>
      </c>
      <c r="J338" s="16" t="n">
        <f aca="false">IF(C338=0,(1+Dic2024!$M$6)^(-B338),EXP(LN(INDEX(Dic2024!$N$6:$N$205,C338))+(LN(INDEX(Dic2024!$N$6:$N$205,MIN(C338+1,200)))-LN(INDEX(Dic2024!$N$6:$N$205,C338)))*(A338-6*C338)/6))</f>
        <v>0.204751468199885</v>
      </c>
      <c r="K338" s="12" t="n">
        <f aca="false">J338^(-1/B338)-1</f>
        <v>0.0586352099999998</v>
      </c>
      <c r="L338" s="12" t="n">
        <f aca="false">(1+K338)^(1/12)-1</f>
        <v>0.00475966981354636</v>
      </c>
    </row>
    <row r="339" customFormat="false" ht="15" hidden="false" customHeight="false" outlineLevel="0" collapsed="false">
      <c r="A339" s="4" t="n">
        <v>335</v>
      </c>
      <c r="B339" s="14" t="n">
        <f aca="false">A339/12</f>
        <v>27.9166666666667</v>
      </c>
      <c r="C339" s="15" t="n">
        <f aca="false">INT(A339/6)</f>
        <v>55</v>
      </c>
      <c r="D339" s="16" t="n">
        <f aca="false">IF(C339=0,(1+Dic2024!$G$6)^(-B339),EXP(LN(INDEX(Dic2024!$H$6:$H$205,C339))+(LN(INDEX(Dic2024!$H$6:$H$205,MIN(C339+1,200)))-LN(INDEX(Dic2024!$H$6:$H$205,C339)))*(A339-6*C339)/6))</f>
        <v>0.203781535377391</v>
      </c>
      <c r="E339" s="12" t="n">
        <f aca="false">D339^(-1/B339)-1</f>
        <v>0.0586352099999998</v>
      </c>
      <c r="F339" s="12" t="n">
        <f aca="false">(1+E339)^(1/12)-1</f>
        <v>0.00475966981354636</v>
      </c>
      <c r="G339" s="16" t="n">
        <f aca="false">IF(C339=0,(1+Dic2024!$J$6)^(-B339),EXP(LN(INDEX(Dic2024!$K$6:$K$205,C339))+(LN(INDEX(Dic2024!$K$6:$K$205,MIN(C339+1,200)))-LN(INDEX(Dic2024!$K$6:$K$205,C339)))*(A339-6*C339)/6))</f>
        <v>0.203781535377391</v>
      </c>
      <c r="H339" s="12" t="n">
        <f aca="false">G339^(-1/B339)-1</f>
        <v>0.0586352099999998</v>
      </c>
      <c r="I339" s="12" t="n">
        <f aca="false">(1+H339)^(1/12)-1</f>
        <v>0.00475966981354636</v>
      </c>
      <c r="J339" s="16" t="n">
        <f aca="false">IF(C339=0,(1+Dic2024!$M$6)^(-B339),EXP(LN(INDEX(Dic2024!$N$6:$N$205,C339))+(LN(INDEX(Dic2024!$N$6:$N$205,MIN(C339+1,200)))-LN(INDEX(Dic2024!$N$6:$N$205,C339)))*(A339-6*C339)/6))</f>
        <v>0.203781535377391</v>
      </c>
      <c r="K339" s="12" t="n">
        <f aca="false">J339^(-1/B339)-1</f>
        <v>0.0586352099999998</v>
      </c>
      <c r="L339" s="12" t="n">
        <f aca="false">(1+K339)^(1/12)-1</f>
        <v>0.00475966981354636</v>
      </c>
    </row>
    <row r="340" customFormat="false" ht="15" hidden="false" customHeight="false" outlineLevel="0" collapsed="false">
      <c r="A340" s="4" t="n">
        <v>336</v>
      </c>
      <c r="B340" s="14" t="n">
        <f aca="false">A340/12</f>
        <v>28</v>
      </c>
      <c r="C340" s="15" t="n">
        <f aca="false">INT(A340/6)</f>
        <v>56</v>
      </c>
      <c r="D340" s="16" t="n">
        <f aca="false">IF(C340=0,(1+Dic2024!$G$6)^(-B340),EXP(LN(INDEX(Dic2024!$H$6:$H$205,C340))+(LN(INDEX(Dic2024!$H$6:$H$205,MIN(C340+1,200)))-LN(INDEX(Dic2024!$H$6:$H$205,C340)))*(A340-6*C340)/6))</f>
        <v>0.202816197245662</v>
      </c>
      <c r="E340" s="12" t="n">
        <f aca="false">D340^(-1/B340)-1</f>
        <v>0.0586352099999998</v>
      </c>
      <c r="F340" s="12" t="n">
        <f aca="false">(1+E340)^(1/12)-1</f>
        <v>0.00475966981354636</v>
      </c>
      <c r="G340" s="16" t="n">
        <f aca="false">IF(C340=0,(1+Dic2024!$J$6)^(-B340),EXP(LN(INDEX(Dic2024!$K$6:$K$205,C340))+(LN(INDEX(Dic2024!$K$6:$K$205,MIN(C340+1,200)))-LN(INDEX(Dic2024!$K$6:$K$205,C340)))*(A340-6*C340)/6))</f>
        <v>0.202816197245662</v>
      </c>
      <c r="H340" s="12" t="n">
        <f aca="false">G340^(-1/B340)-1</f>
        <v>0.0586352099999998</v>
      </c>
      <c r="I340" s="12" t="n">
        <f aca="false">(1+H340)^(1/12)-1</f>
        <v>0.00475966981354636</v>
      </c>
      <c r="J340" s="16" t="n">
        <f aca="false">IF(C340=0,(1+Dic2024!$M$6)^(-B340),EXP(LN(INDEX(Dic2024!$N$6:$N$205,C340))+(LN(INDEX(Dic2024!$N$6:$N$205,MIN(C340+1,200)))-LN(INDEX(Dic2024!$N$6:$N$205,C340)))*(A340-6*C340)/6))</f>
        <v>0.202816197245662</v>
      </c>
      <c r="K340" s="12" t="n">
        <f aca="false">J340^(-1/B340)-1</f>
        <v>0.0586352099999998</v>
      </c>
      <c r="L340" s="12" t="n">
        <f aca="false">(1+K340)^(1/12)-1</f>
        <v>0.00475966981354636</v>
      </c>
    </row>
    <row r="341" customFormat="false" ht="15" hidden="false" customHeight="false" outlineLevel="0" collapsed="false">
      <c r="A341" s="4" t="n">
        <v>337</v>
      </c>
      <c r="B341" s="14" t="n">
        <f aca="false">A341/12</f>
        <v>28.0833333333333</v>
      </c>
      <c r="C341" s="15" t="n">
        <f aca="false">INT(A341/6)</f>
        <v>56</v>
      </c>
      <c r="D341" s="16" t="n">
        <f aca="false">IF(C341=0,(1+Dic2024!$G$6)^(-B341),EXP(LN(INDEX(Dic2024!$H$6:$H$205,C341))+(LN(INDEX(Dic2024!$H$6:$H$205,MIN(C341+1,200)))-LN(INDEX(Dic2024!$H$6:$H$205,C341)))*(A341-6*C341)/6))</f>
        <v>0.201762267617981</v>
      </c>
      <c r="E341" s="12" t="n">
        <f aca="false">D341^(-1/B341)-1</f>
        <v>0.0586526124798434</v>
      </c>
      <c r="F341" s="12" t="n">
        <f aca="false">(1+E341)^(1/12)-1</f>
        <v>0.00476104620662921</v>
      </c>
      <c r="G341" s="16" t="n">
        <f aca="false">IF(C341=0,(1+Dic2024!$J$6)^(-B341),EXP(LN(INDEX(Dic2024!$K$6:$K$205,C341))+(LN(INDEX(Dic2024!$K$6:$K$205,MIN(C341+1,200)))-LN(INDEX(Dic2024!$K$6:$K$205,C341)))*(A341-6*C341)/6))</f>
        <v>0.201762267617981</v>
      </c>
      <c r="H341" s="12" t="n">
        <f aca="false">G341^(-1/B341)-1</f>
        <v>0.0586526124798434</v>
      </c>
      <c r="I341" s="12" t="n">
        <f aca="false">(1+H341)^(1/12)-1</f>
        <v>0.00476104620662921</v>
      </c>
      <c r="J341" s="16" t="n">
        <f aca="false">IF(C341=0,(1+Dic2024!$M$6)^(-B341),EXP(LN(INDEX(Dic2024!$N$6:$N$205,C341))+(LN(INDEX(Dic2024!$N$6:$N$205,MIN(C341+1,200)))-LN(INDEX(Dic2024!$N$6:$N$205,C341)))*(A341-6*C341)/6))</f>
        <v>0.201762267617981</v>
      </c>
      <c r="K341" s="12" t="n">
        <f aca="false">J341^(-1/B341)-1</f>
        <v>0.0586526124798434</v>
      </c>
      <c r="L341" s="12" t="n">
        <f aca="false">(1+K341)^(1/12)-1</f>
        <v>0.00476104620662921</v>
      </c>
    </row>
    <row r="342" customFormat="false" ht="15" hidden="false" customHeight="false" outlineLevel="0" collapsed="false">
      <c r="A342" s="4" t="n">
        <v>338</v>
      </c>
      <c r="B342" s="14" t="n">
        <f aca="false">A342/12</f>
        <v>28.1666666666667</v>
      </c>
      <c r="C342" s="15" t="n">
        <f aca="false">INT(A342/6)</f>
        <v>56</v>
      </c>
      <c r="D342" s="16" t="n">
        <f aca="false">IF(C342=0,(1+Dic2024!$G$6)^(-B342),EXP(LN(INDEX(Dic2024!$H$6:$H$205,C342))+(LN(INDEX(Dic2024!$H$6:$H$205,MIN(C342+1,200)))-LN(INDEX(Dic2024!$H$6:$H$205,C342)))*(A342-6*C342)/6))</f>
        <v>0.200713814710972</v>
      </c>
      <c r="E342" s="12" t="n">
        <f aca="false">D342^(-1/B342)-1</f>
        <v>0.0586699122699719</v>
      </c>
      <c r="F342" s="12" t="n">
        <f aca="false">(1+E342)^(1/12)-1</f>
        <v>0.0047624144572429</v>
      </c>
      <c r="G342" s="16" t="n">
        <f aca="false">IF(C342=0,(1+Dic2024!$J$6)^(-B342),EXP(LN(INDEX(Dic2024!$K$6:$K$205,C342))+(LN(INDEX(Dic2024!$K$6:$K$205,MIN(C342+1,200)))-LN(INDEX(Dic2024!$K$6:$K$205,C342)))*(A342-6*C342)/6))</f>
        <v>0.200713814710972</v>
      </c>
      <c r="H342" s="12" t="n">
        <f aca="false">G342^(-1/B342)-1</f>
        <v>0.0586699122699719</v>
      </c>
      <c r="I342" s="12" t="n">
        <f aca="false">(1+H342)^(1/12)-1</f>
        <v>0.0047624144572429</v>
      </c>
      <c r="J342" s="16" t="n">
        <f aca="false">IF(C342=0,(1+Dic2024!$M$6)^(-B342),EXP(LN(INDEX(Dic2024!$N$6:$N$205,C342))+(LN(INDEX(Dic2024!$N$6:$N$205,MIN(C342+1,200)))-LN(INDEX(Dic2024!$N$6:$N$205,C342)))*(A342-6*C342)/6))</f>
        <v>0.200713814710972</v>
      </c>
      <c r="K342" s="12" t="n">
        <f aca="false">J342^(-1/B342)-1</f>
        <v>0.0586699122699719</v>
      </c>
      <c r="L342" s="12" t="n">
        <f aca="false">(1+K342)^(1/12)-1</f>
        <v>0.0047624144572429</v>
      </c>
    </row>
    <row r="343" customFormat="false" ht="15" hidden="false" customHeight="false" outlineLevel="0" collapsed="false">
      <c r="A343" s="4" t="n">
        <v>339</v>
      </c>
      <c r="B343" s="14" t="n">
        <f aca="false">A343/12</f>
        <v>28.25</v>
      </c>
      <c r="C343" s="15" t="n">
        <f aca="false">INT(A343/6)</f>
        <v>56</v>
      </c>
      <c r="D343" s="16" t="n">
        <f aca="false">IF(C343=0,(1+Dic2024!$G$6)^(-B343),EXP(LN(INDEX(Dic2024!$H$6:$H$205,C343))+(LN(INDEX(Dic2024!$H$6:$H$205,MIN(C343+1,200)))-LN(INDEX(Dic2024!$H$6:$H$205,C343)))*(A343-6*C343)/6))</f>
        <v>0.199670810064984</v>
      </c>
      <c r="E343" s="12" t="n">
        <f aca="false">D343^(-1/B343)-1</f>
        <v>0.0586871102766462</v>
      </c>
      <c r="F343" s="12" t="n">
        <f aca="false">(1+E343)^(1/12)-1</f>
        <v>0.0047637746374285</v>
      </c>
      <c r="G343" s="16" t="n">
        <f aca="false">IF(C343=0,(1+Dic2024!$J$6)^(-B343),EXP(LN(INDEX(Dic2024!$K$6:$K$205,C343))+(LN(INDEX(Dic2024!$K$6:$K$205,MIN(C343+1,200)))-LN(INDEX(Dic2024!$K$6:$K$205,C343)))*(A343-6*C343)/6))</f>
        <v>0.199670810064984</v>
      </c>
      <c r="H343" s="12" t="n">
        <f aca="false">G343^(-1/B343)-1</f>
        <v>0.0586871102766462</v>
      </c>
      <c r="I343" s="12" t="n">
        <f aca="false">(1+H343)^(1/12)-1</f>
        <v>0.0047637746374285</v>
      </c>
      <c r="J343" s="16" t="n">
        <f aca="false">IF(C343=0,(1+Dic2024!$M$6)^(-B343),EXP(LN(INDEX(Dic2024!$N$6:$N$205,C343))+(LN(INDEX(Dic2024!$N$6:$N$205,MIN(C343+1,200)))-LN(INDEX(Dic2024!$N$6:$N$205,C343)))*(A343-6*C343)/6))</f>
        <v>0.199670810064984</v>
      </c>
      <c r="K343" s="12" t="n">
        <f aca="false">J343^(-1/B343)-1</f>
        <v>0.0586871102766462</v>
      </c>
      <c r="L343" s="12" t="n">
        <f aca="false">(1+K343)^(1/12)-1</f>
        <v>0.0047637746374285</v>
      </c>
    </row>
    <row r="344" customFormat="false" ht="15" hidden="false" customHeight="false" outlineLevel="0" collapsed="false">
      <c r="A344" s="4" t="n">
        <v>340</v>
      </c>
      <c r="B344" s="14" t="n">
        <f aca="false">A344/12</f>
        <v>28.3333333333333</v>
      </c>
      <c r="C344" s="15" t="n">
        <f aca="false">INT(A344/6)</f>
        <v>56</v>
      </c>
      <c r="D344" s="16" t="n">
        <f aca="false">IF(C344=0,(1+Dic2024!$G$6)^(-B344),EXP(LN(INDEX(Dic2024!$H$6:$H$205,C344))+(LN(INDEX(Dic2024!$H$6:$H$205,MIN(C344+1,200)))-LN(INDEX(Dic2024!$H$6:$H$205,C344)))*(A344-6*C344)/6))</f>
        <v>0.198633225368256</v>
      </c>
      <c r="E344" s="12" t="n">
        <f aca="false">D344^(-1/B344)-1</f>
        <v>0.0587042073954955</v>
      </c>
      <c r="F344" s="12" t="n">
        <f aca="false">(1+E344)^(1/12)-1</f>
        <v>0.00476512681837926</v>
      </c>
      <c r="G344" s="16" t="n">
        <f aca="false">IF(C344=0,(1+Dic2024!$J$6)^(-B344),EXP(LN(INDEX(Dic2024!$K$6:$K$205,C344))+(LN(INDEX(Dic2024!$K$6:$K$205,MIN(C344+1,200)))-LN(INDEX(Dic2024!$K$6:$K$205,C344)))*(A344-6*C344)/6))</f>
        <v>0.198633225368256</v>
      </c>
      <c r="H344" s="12" t="n">
        <f aca="false">G344^(-1/B344)-1</f>
        <v>0.0587042073954955</v>
      </c>
      <c r="I344" s="12" t="n">
        <f aca="false">(1+H344)^(1/12)-1</f>
        <v>0.00476512681837926</v>
      </c>
      <c r="J344" s="16" t="n">
        <f aca="false">IF(C344=0,(1+Dic2024!$M$6)^(-B344),EXP(LN(INDEX(Dic2024!$N$6:$N$205,C344))+(LN(INDEX(Dic2024!$N$6:$N$205,MIN(C344+1,200)))-LN(INDEX(Dic2024!$N$6:$N$205,C344)))*(A344-6*C344)/6))</f>
        <v>0.198633225368256</v>
      </c>
      <c r="K344" s="12" t="n">
        <f aca="false">J344^(-1/B344)-1</f>
        <v>0.0587042073954955</v>
      </c>
      <c r="L344" s="12" t="n">
        <f aca="false">(1+K344)^(1/12)-1</f>
        <v>0.00476512681837926</v>
      </c>
    </row>
    <row r="345" customFormat="false" ht="15" hidden="false" customHeight="false" outlineLevel="0" collapsed="false">
      <c r="A345" s="4" t="n">
        <v>341</v>
      </c>
      <c r="B345" s="14" t="n">
        <f aca="false">A345/12</f>
        <v>28.4166666666667</v>
      </c>
      <c r="C345" s="15" t="n">
        <f aca="false">INT(A345/6)</f>
        <v>56</v>
      </c>
      <c r="D345" s="16" t="n">
        <f aca="false">IF(C345=0,(1+Dic2024!$G$6)^(-B345),EXP(LN(INDEX(Dic2024!$H$6:$H$205,C345))+(LN(INDEX(Dic2024!$H$6:$H$205,MIN(C345+1,200)))-LN(INDEX(Dic2024!$H$6:$H$205,C345)))*(A345-6*C345)/6))</f>
        <v>0.197601032456148</v>
      </c>
      <c r="E345" s="12" t="n">
        <f aca="false">D345^(-1/B345)-1</f>
        <v>0.0587212045116712</v>
      </c>
      <c r="F345" s="12" t="n">
        <f aca="false">(1+E345)^(1/12)-1</f>
        <v>0.00476647107045358</v>
      </c>
      <c r="G345" s="16" t="n">
        <f aca="false">IF(C345=0,(1+Dic2024!$J$6)^(-B345),EXP(LN(INDEX(Dic2024!$K$6:$K$205,C345))+(LN(INDEX(Dic2024!$K$6:$K$205,MIN(C345+1,200)))-LN(INDEX(Dic2024!$K$6:$K$205,C345)))*(A345-6*C345)/6))</f>
        <v>0.197601032456148</v>
      </c>
      <c r="H345" s="12" t="n">
        <f aca="false">G345^(-1/B345)-1</f>
        <v>0.0587212045116712</v>
      </c>
      <c r="I345" s="12" t="n">
        <f aca="false">(1+H345)^(1/12)-1</f>
        <v>0.00476647107045358</v>
      </c>
      <c r="J345" s="16" t="n">
        <f aca="false">IF(C345=0,(1+Dic2024!$M$6)^(-B345),EXP(LN(INDEX(Dic2024!$N$6:$N$205,C345))+(LN(INDEX(Dic2024!$N$6:$N$205,MIN(C345+1,200)))-LN(INDEX(Dic2024!$N$6:$N$205,C345)))*(A345-6*C345)/6))</f>
        <v>0.197601032456148</v>
      </c>
      <c r="K345" s="12" t="n">
        <f aca="false">J345^(-1/B345)-1</f>
        <v>0.0587212045116712</v>
      </c>
      <c r="L345" s="12" t="n">
        <f aca="false">(1+K345)^(1/12)-1</f>
        <v>0.00476647107045358</v>
      </c>
    </row>
    <row r="346" customFormat="false" ht="15" hidden="false" customHeight="false" outlineLevel="0" collapsed="false">
      <c r="A346" s="4" t="n">
        <v>342</v>
      </c>
      <c r="B346" s="14" t="n">
        <f aca="false">A346/12</f>
        <v>28.5</v>
      </c>
      <c r="C346" s="15" t="n">
        <f aca="false">INT(A346/6)</f>
        <v>57</v>
      </c>
      <c r="D346" s="16" t="n">
        <f aca="false">IF(C346=0,(1+Dic2024!$G$6)^(-B346),EXP(LN(INDEX(Dic2024!$H$6:$H$205,C346))+(LN(INDEX(Dic2024!$H$6:$H$205,MIN(C346+1,200)))-LN(INDEX(Dic2024!$H$6:$H$205,C346)))*(A346-6*C346)/6))</f>
        <v>0.196574203310379</v>
      </c>
      <c r="E346" s="12" t="n">
        <f aca="false">D346^(-1/B346)-1</f>
        <v>0.0587381025</v>
      </c>
      <c r="F346" s="12" t="n">
        <f aca="false">(1+E346)^(1/12)-1</f>
        <v>0.00476780746318739</v>
      </c>
      <c r="G346" s="16" t="n">
        <f aca="false">IF(C346=0,(1+Dic2024!$J$6)^(-B346),EXP(LN(INDEX(Dic2024!$K$6:$K$205,C346))+(LN(INDEX(Dic2024!$K$6:$K$205,MIN(C346+1,200)))-LN(INDEX(Dic2024!$K$6:$K$205,C346)))*(A346-6*C346)/6))</f>
        <v>0.196574203310379</v>
      </c>
      <c r="H346" s="12" t="n">
        <f aca="false">G346^(-1/B346)-1</f>
        <v>0.0587381025</v>
      </c>
      <c r="I346" s="12" t="n">
        <f aca="false">(1+H346)^(1/12)-1</f>
        <v>0.00476780746318739</v>
      </c>
      <c r="J346" s="16" t="n">
        <f aca="false">IF(C346=0,(1+Dic2024!$M$6)^(-B346),EXP(LN(INDEX(Dic2024!$N$6:$N$205,C346))+(LN(INDEX(Dic2024!$N$6:$N$205,MIN(C346+1,200)))-LN(INDEX(Dic2024!$N$6:$N$205,C346)))*(A346-6*C346)/6))</f>
        <v>0.196574203310379</v>
      </c>
      <c r="K346" s="12" t="n">
        <f aca="false">J346^(-1/B346)-1</f>
        <v>0.0587381025</v>
      </c>
      <c r="L346" s="12" t="n">
        <f aca="false">(1+K346)^(1/12)-1</f>
        <v>0.00476780746318739</v>
      </c>
    </row>
    <row r="347" customFormat="false" ht="15" hidden="false" customHeight="false" outlineLevel="0" collapsed="false">
      <c r="A347" s="4" t="n">
        <v>343</v>
      </c>
      <c r="B347" s="14" t="n">
        <f aca="false">A347/12</f>
        <v>28.5833333333333</v>
      </c>
      <c r="C347" s="15" t="n">
        <f aca="false">INT(A347/6)</f>
        <v>57</v>
      </c>
      <c r="D347" s="16" t="n">
        <f aca="false">IF(C347=0,(1+Dic2024!$G$6)^(-B347),EXP(LN(INDEX(Dic2024!$H$6:$H$205,C347))+(LN(INDEX(Dic2024!$H$6:$H$205,MIN(C347+1,200)))-LN(INDEX(Dic2024!$H$6:$H$205,C347)))*(A347-6*C347)/6))</f>
        <v>0.195641422675239</v>
      </c>
      <c r="E347" s="12" t="n">
        <f aca="false">D347^(-1/B347)-1</f>
        <v>0.0587381025</v>
      </c>
      <c r="F347" s="12" t="n">
        <f aca="false">(1+E347)^(1/12)-1</f>
        <v>0.00476780746318739</v>
      </c>
      <c r="G347" s="16" t="n">
        <f aca="false">IF(C347=0,(1+Dic2024!$J$6)^(-B347),EXP(LN(INDEX(Dic2024!$K$6:$K$205,C347))+(LN(INDEX(Dic2024!$K$6:$K$205,MIN(C347+1,200)))-LN(INDEX(Dic2024!$K$6:$K$205,C347)))*(A347-6*C347)/6))</f>
        <v>0.195641422675239</v>
      </c>
      <c r="H347" s="12" t="n">
        <f aca="false">G347^(-1/B347)-1</f>
        <v>0.0587381025</v>
      </c>
      <c r="I347" s="12" t="n">
        <f aca="false">(1+H347)^(1/12)-1</f>
        <v>0.00476780746318739</v>
      </c>
      <c r="J347" s="16" t="n">
        <f aca="false">IF(C347=0,(1+Dic2024!$M$6)^(-B347),EXP(LN(INDEX(Dic2024!$N$6:$N$205,C347))+(LN(INDEX(Dic2024!$N$6:$N$205,MIN(C347+1,200)))-LN(INDEX(Dic2024!$N$6:$N$205,C347)))*(A347-6*C347)/6))</f>
        <v>0.195641422675239</v>
      </c>
      <c r="K347" s="12" t="n">
        <f aca="false">J347^(-1/B347)-1</f>
        <v>0.0587381025</v>
      </c>
      <c r="L347" s="12" t="n">
        <f aca="false">(1+K347)^(1/12)-1</f>
        <v>0.00476780746318739</v>
      </c>
    </row>
    <row r="348" customFormat="false" ht="15" hidden="false" customHeight="false" outlineLevel="0" collapsed="false">
      <c r="A348" s="4" t="n">
        <v>344</v>
      </c>
      <c r="B348" s="14" t="n">
        <f aca="false">A348/12</f>
        <v>28.6666666666667</v>
      </c>
      <c r="C348" s="15" t="n">
        <f aca="false">INT(A348/6)</f>
        <v>57</v>
      </c>
      <c r="D348" s="16" t="n">
        <f aca="false">IF(C348=0,(1+Dic2024!$G$6)^(-B348),EXP(LN(INDEX(Dic2024!$H$6:$H$205,C348))+(LN(INDEX(Dic2024!$H$6:$H$205,MIN(C348+1,200)))-LN(INDEX(Dic2024!$H$6:$H$205,C348)))*(A348-6*C348)/6))</f>
        <v>0.194713068255232</v>
      </c>
      <c r="E348" s="12" t="n">
        <f aca="false">D348^(-1/B348)-1</f>
        <v>0.0587381025</v>
      </c>
      <c r="F348" s="12" t="n">
        <f aca="false">(1+E348)^(1/12)-1</f>
        <v>0.00476780746318739</v>
      </c>
      <c r="G348" s="16" t="n">
        <f aca="false">IF(C348=0,(1+Dic2024!$J$6)^(-B348),EXP(LN(INDEX(Dic2024!$K$6:$K$205,C348))+(LN(INDEX(Dic2024!$K$6:$K$205,MIN(C348+1,200)))-LN(INDEX(Dic2024!$K$6:$K$205,C348)))*(A348-6*C348)/6))</f>
        <v>0.194713068255232</v>
      </c>
      <c r="H348" s="12" t="n">
        <f aca="false">G348^(-1/B348)-1</f>
        <v>0.0587381025</v>
      </c>
      <c r="I348" s="12" t="n">
        <f aca="false">(1+H348)^(1/12)-1</f>
        <v>0.00476780746318739</v>
      </c>
      <c r="J348" s="16" t="n">
        <f aca="false">IF(C348=0,(1+Dic2024!$M$6)^(-B348),EXP(LN(INDEX(Dic2024!$N$6:$N$205,C348))+(LN(INDEX(Dic2024!$N$6:$N$205,MIN(C348+1,200)))-LN(INDEX(Dic2024!$N$6:$N$205,C348)))*(A348-6*C348)/6))</f>
        <v>0.194713068255232</v>
      </c>
      <c r="K348" s="12" t="n">
        <f aca="false">J348^(-1/B348)-1</f>
        <v>0.0587381025</v>
      </c>
      <c r="L348" s="12" t="n">
        <f aca="false">(1+K348)^(1/12)-1</f>
        <v>0.00476780746318739</v>
      </c>
    </row>
    <row r="349" customFormat="false" ht="15" hidden="false" customHeight="false" outlineLevel="0" collapsed="false">
      <c r="A349" s="4" t="n">
        <v>345</v>
      </c>
      <c r="B349" s="14" t="n">
        <f aca="false">A349/12</f>
        <v>28.75</v>
      </c>
      <c r="C349" s="15" t="n">
        <f aca="false">INT(A349/6)</f>
        <v>57</v>
      </c>
      <c r="D349" s="16" t="n">
        <f aca="false">IF(C349=0,(1+Dic2024!$G$6)^(-B349),EXP(LN(INDEX(Dic2024!$H$6:$H$205,C349))+(LN(INDEX(Dic2024!$H$6:$H$205,MIN(C349+1,200)))-LN(INDEX(Dic2024!$H$6:$H$205,C349)))*(A349-6*C349)/6))</f>
        <v>0.193789119047154</v>
      </c>
      <c r="E349" s="12" t="n">
        <f aca="false">D349^(-1/B349)-1</f>
        <v>0.0587381025</v>
      </c>
      <c r="F349" s="12" t="n">
        <f aca="false">(1+E349)^(1/12)-1</f>
        <v>0.00476780746318739</v>
      </c>
      <c r="G349" s="16" t="n">
        <f aca="false">IF(C349=0,(1+Dic2024!$J$6)^(-B349),EXP(LN(INDEX(Dic2024!$K$6:$K$205,C349))+(LN(INDEX(Dic2024!$K$6:$K$205,MIN(C349+1,200)))-LN(INDEX(Dic2024!$K$6:$K$205,C349)))*(A349-6*C349)/6))</f>
        <v>0.193789119047154</v>
      </c>
      <c r="H349" s="12" t="n">
        <f aca="false">G349^(-1/B349)-1</f>
        <v>0.0587381025</v>
      </c>
      <c r="I349" s="12" t="n">
        <f aca="false">(1+H349)^(1/12)-1</f>
        <v>0.00476780746318739</v>
      </c>
      <c r="J349" s="16" t="n">
        <f aca="false">IF(C349=0,(1+Dic2024!$M$6)^(-B349),EXP(LN(INDEX(Dic2024!$N$6:$N$205,C349))+(LN(INDEX(Dic2024!$N$6:$N$205,MIN(C349+1,200)))-LN(INDEX(Dic2024!$N$6:$N$205,C349)))*(A349-6*C349)/6))</f>
        <v>0.193789119047154</v>
      </c>
      <c r="K349" s="12" t="n">
        <f aca="false">J349^(-1/B349)-1</f>
        <v>0.0587381025</v>
      </c>
      <c r="L349" s="12" t="n">
        <f aca="false">(1+K349)^(1/12)-1</f>
        <v>0.00476780746318739</v>
      </c>
    </row>
    <row r="350" customFormat="false" ht="15" hidden="false" customHeight="false" outlineLevel="0" collapsed="false">
      <c r="A350" s="4" t="n">
        <v>346</v>
      </c>
      <c r="B350" s="14" t="n">
        <f aca="false">A350/12</f>
        <v>28.8333333333333</v>
      </c>
      <c r="C350" s="15" t="n">
        <f aca="false">INT(A350/6)</f>
        <v>57</v>
      </c>
      <c r="D350" s="16" t="n">
        <f aca="false">IF(C350=0,(1+Dic2024!$G$6)^(-B350),EXP(LN(INDEX(Dic2024!$H$6:$H$205,C350))+(LN(INDEX(Dic2024!$H$6:$H$205,MIN(C350+1,200)))-LN(INDEX(Dic2024!$H$6:$H$205,C350)))*(A350-6*C350)/6))</f>
        <v>0.192869554147468</v>
      </c>
      <c r="E350" s="12" t="n">
        <f aca="false">D350^(-1/B350)-1</f>
        <v>0.0587381025</v>
      </c>
      <c r="F350" s="12" t="n">
        <f aca="false">(1+E350)^(1/12)-1</f>
        <v>0.00476780746318739</v>
      </c>
      <c r="G350" s="16" t="n">
        <f aca="false">IF(C350=0,(1+Dic2024!$J$6)^(-B350),EXP(LN(INDEX(Dic2024!$K$6:$K$205,C350))+(LN(INDEX(Dic2024!$K$6:$K$205,MIN(C350+1,200)))-LN(INDEX(Dic2024!$K$6:$K$205,C350)))*(A350-6*C350)/6))</f>
        <v>0.192869554147468</v>
      </c>
      <c r="H350" s="12" t="n">
        <f aca="false">G350^(-1/B350)-1</f>
        <v>0.0587381025</v>
      </c>
      <c r="I350" s="12" t="n">
        <f aca="false">(1+H350)^(1/12)-1</f>
        <v>0.00476780746318739</v>
      </c>
      <c r="J350" s="16" t="n">
        <f aca="false">IF(C350=0,(1+Dic2024!$M$6)^(-B350),EXP(LN(INDEX(Dic2024!$N$6:$N$205,C350))+(LN(INDEX(Dic2024!$N$6:$N$205,MIN(C350+1,200)))-LN(INDEX(Dic2024!$N$6:$N$205,C350)))*(A350-6*C350)/6))</f>
        <v>0.192869554147468</v>
      </c>
      <c r="K350" s="12" t="n">
        <f aca="false">J350^(-1/B350)-1</f>
        <v>0.0587381025</v>
      </c>
      <c r="L350" s="12" t="n">
        <f aca="false">(1+K350)^(1/12)-1</f>
        <v>0.00476780746318739</v>
      </c>
    </row>
    <row r="351" customFormat="false" ht="15" hidden="false" customHeight="false" outlineLevel="0" collapsed="false">
      <c r="A351" s="4" t="n">
        <v>347</v>
      </c>
      <c r="B351" s="14" t="n">
        <f aca="false">A351/12</f>
        <v>28.9166666666667</v>
      </c>
      <c r="C351" s="15" t="n">
        <f aca="false">INT(A351/6)</f>
        <v>57</v>
      </c>
      <c r="D351" s="16" t="n">
        <f aca="false">IF(C351=0,(1+Dic2024!$G$6)^(-B351),EXP(LN(INDEX(Dic2024!$H$6:$H$205,C351))+(LN(INDEX(Dic2024!$H$6:$H$205,MIN(C351+1,200)))-LN(INDEX(Dic2024!$H$6:$H$205,C351)))*(A351-6*C351)/6))</f>
        <v>0.191954352751827</v>
      </c>
      <c r="E351" s="12" t="n">
        <f aca="false">D351^(-1/B351)-1</f>
        <v>0.0587381025</v>
      </c>
      <c r="F351" s="12" t="n">
        <f aca="false">(1+E351)^(1/12)-1</f>
        <v>0.00476780746318739</v>
      </c>
      <c r="G351" s="16" t="n">
        <f aca="false">IF(C351=0,(1+Dic2024!$J$6)^(-B351),EXP(LN(INDEX(Dic2024!$K$6:$K$205,C351))+(LN(INDEX(Dic2024!$K$6:$K$205,MIN(C351+1,200)))-LN(INDEX(Dic2024!$K$6:$K$205,C351)))*(A351-6*C351)/6))</f>
        <v>0.191954352751827</v>
      </c>
      <c r="H351" s="12" t="n">
        <f aca="false">G351^(-1/B351)-1</f>
        <v>0.0587381025</v>
      </c>
      <c r="I351" s="12" t="n">
        <f aca="false">(1+H351)^(1/12)-1</f>
        <v>0.00476780746318739</v>
      </c>
      <c r="J351" s="16" t="n">
        <f aca="false">IF(C351=0,(1+Dic2024!$M$6)^(-B351),EXP(LN(INDEX(Dic2024!$N$6:$N$205,C351))+(LN(INDEX(Dic2024!$N$6:$N$205,MIN(C351+1,200)))-LN(INDEX(Dic2024!$N$6:$N$205,C351)))*(A351-6*C351)/6))</f>
        <v>0.191954352751827</v>
      </c>
      <c r="K351" s="12" t="n">
        <f aca="false">J351^(-1/B351)-1</f>
        <v>0.0587381025</v>
      </c>
      <c r="L351" s="12" t="n">
        <f aca="false">(1+K351)^(1/12)-1</f>
        <v>0.00476780746318739</v>
      </c>
    </row>
    <row r="352" customFormat="false" ht="15" hidden="false" customHeight="false" outlineLevel="0" collapsed="false">
      <c r="A352" s="4" t="n">
        <v>348</v>
      </c>
      <c r="B352" s="14" t="n">
        <f aca="false">A352/12</f>
        <v>29</v>
      </c>
      <c r="C352" s="15" t="n">
        <f aca="false">INT(A352/6)</f>
        <v>58</v>
      </c>
      <c r="D352" s="16" t="n">
        <f aca="false">IF(C352=0,(1+Dic2024!$G$6)^(-B352),EXP(LN(INDEX(Dic2024!$H$6:$H$205,C352))+(LN(INDEX(Dic2024!$H$6:$H$205,MIN(C352+1,200)))-LN(INDEX(Dic2024!$H$6:$H$205,C352)))*(A352-6*C352)/6))</f>
        <v>0.191043494154603</v>
      </c>
      <c r="E352" s="12" t="n">
        <f aca="false">D352^(-1/B352)-1</f>
        <v>0.0587381025</v>
      </c>
      <c r="F352" s="12" t="n">
        <f aca="false">(1+E352)^(1/12)-1</f>
        <v>0.00476780746318739</v>
      </c>
      <c r="G352" s="16" t="n">
        <f aca="false">IF(C352=0,(1+Dic2024!$J$6)^(-B352),EXP(LN(INDEX(Dic2024!$K$6:$K$205,C352))+(LN(INDEX(Dic2024!$K$6:$K$205,MIN(C352+1,200)))-LN(INDEX(Dic2024!$K$6:$K$205,C352)))*(A352-6*C352)/6))</f>
        <v>0.191043494154603</v>
      </c>
      <c r="H352" s="12" t="n">
        <f aca="false">G352^(-1/B352)-1</f>
        <v>0.0587381025</v>
      </c>
      <c r="I352" s="12" t="n">
        <f aca="false">(1+H352)^(1/12)-1</f>
        <v>0.00476780746318739</v>
      </c>
      <c r="J352" s="16" t="n">
        <f aca="false">IF(C352=0,(1+Dic2024!$M$6)^(-B352),EXP(LN(INDEX(Dic2024!$N$6:$N$205,C352))+(LN(INDEX(Dic2024!$N$6:$N$205,MIN(C352+1,200)))-LN(INDEX(Dic2024!$N$6:$N$205,C352)))*(A352-6*C352)/6))</f>
        <v>0.191043494154603</v>
      </c>
      <c r="K352" s="12" t="n">
        <f aca="false">J352^(-1/B352)-1</f>
        <v>0.0587381025</v>
      </c>
      <c r="L352" s="12" t="n">
        <f aca="false">(1+K352)^(1/12)-1</f>
        <v>0.00476780746318739</v>
      </c>
    </row>
    <row r="353" customFormat="false" ht="15" hidden="false" customHeight="false" outlineLevel="0" collapsed="false">
      <c r="A353" s="4" t="n">
        <v>349</v>
      </c>
      <c r="B353" s="14" t="n">
        <f aca="false">A353/12</f>
        <v>29.0833333333333</v>
      </c>
      <c r="C353" s="15" t="n">
        <f aca="false">INT(A353/6)</f>
        <v>58</v>
      </c>
      <c r="D353" s="16" t="n">
        <f aca="false">IF(C353=0,(1+Dic2024!$G$6)^(-B353),EXP(LN(INDEX(Dic2024!$H$6:$H$205,C353))+(LN(INDEX(Dic2024!$H$6:$H$205,MIN(C353+1,200)))-LN(INDEX(Dic2024!$H$6:$H$205,C353)))*(A353-6*C353)/6))</f>
        <v>0.190136957748422</v>
      </c>
      <c r="E353" s="12" t="n">
        <f aca="false">D353^(-1/B353)-1</f>
        <v>0.0587381025</v>
      </c>
      <c r="F353" s="12" t="n">
        <f aca="false">(1+E353)^(1/12)-1</f>
        <v>0.00476780746318739</v>
      </c>
      <c r="G353" s="16" t="n">
        <f aca="false">IF(C353=0,(1+Dic2024!$J$6)^(-B353),EXP(LN(INDEX(Dic2024!$K$6:$K$205,C353))+(LN(INDEX(Dic2024!$K$6:$K$205,MIN(C353+1,200)))-LN(INDEX(Dic2024!$K$6:$K$205,C353)))*(A353-6*C353)/6))</f>
        <v>0.190136957748422</v>
      </c>
      <c r="H353" s="12" t="n">
        <f aca="false">G353^(-1/B353)-1</f>
        <v>0.0587381025</v>
      </c>
      <c r="I353" s="12" t="n">
        <f aca="false">(1+H353)^(1/12)-1</f>
        <v>0.00476780746318739</v>
      </c>
      <c r="J353" s="16" t="n">
        <f aca="false">IF(C353=0,(1+Dic2024!$M$6)^(-B353),EXP(LN(INDEX(Dic2024!$N$6:$N$205,C353))+(LN(INDEX(Dic2024!$N$6:$N$205,MIN(C353+1,200)))-LN(INDEX(Dic2024!$N$6:$N$205,C353)))*(A353-6*C353)/6))</f>
        <v>0.190136957748422</v>
      </c>
      <c r="K353" s="12" t="n">
        <f aca="false">J353^(-1/B353)-1</f>
        <v>0.0587381025</v>
      </c>
      <c r="L353" s="12" t="n">
        <f aca="false">(1+K353)^(1/12)-1</f>
        <v>0.00476780746318739</v>
      </c>
    </row>
    <row r="354" customFormat="false" ht="15" hidden="false" customHeight="false" outlineLevel="0" collapsed="false">
      <c r="A354" s="4" t="n">
        <v>350</v>
      </c>
      <c r="B354" s="14" t="n">
        <f aca="false">A354/12</f>
        <v>29.1666666666667</v>
      </c>
      <c r="C354" s="15" t="n">
        <f aca="false">INT(A354/6)</f>
        <v>58</v>
      </c>
      <c r="D354" s="16" t="n">
        <f aca="false">IF(C354=0,(1+Dic2024!$G$6)^(-B354),EXP(LN(INDEX(Dic2024!$H$6:$H$205,C354))+(LN(INDEX(Dic2024!$H$6:$H$205,MIN(C354+1,200)))-LN(INDEX(Dic2024!$H$6:$H$205,C354)))*(A354-6*C354)/6))</f>
        <v>0.189234723023696</v>
      </c>
      <c r="E354" s="12" t="n">
        <f aca="false">D354^(-1/B354)-1</f>
        <v>0.0587381025</v>
      </c>
      <c r="F354" s="12" t="n">
        <f aca="false">(1+E354)^(1/12)-1</f>
        <v>0.00476780746318739</v>
      </c>
      <c r="G354" s="16" t="n">
        <f aca="false">IF(C354=0,(1+Dic2024!$J$6)^(-B354),EXP(LN(INDEX(Dic2024!$K$6:$K$205,C354))+(LN(INDEX(Dic2024!$K$6:$K$205,MIN(C354+1,200)))-LN(INDEX(Dic2024!$K$6:$K$205,C354)))*(A354-6*C354)/6))</f>
        <v>0.189234723023696</v>
      </c>
      <c r="H354" s="12" t="n">
        <f aca="false">G354^(-1/B354)-1</f>
        <v>0.0587381025</v>
      </c>
      <c r="I354" s="12" t="n">
        <f aca="false">(1+H354)^(1/12)-1</f>
        <v>0.00476780746318739</v>
      </c>
      <c r="J354" s="16" t="n">
        <f aca="false">IF(C354=0,(1+Dic2024!$M$6)^(-B354),EXP(LN(INDEX(Dic2024!$N$6:$N$205,C354))+(LN(INDEX(Dic2024!$N$6:$N$205,MIN(C354+1,200)))-LN(INDEX(Dic2024!$N$6:$N$205,C354)))*(A354-6*C354)/6))</f>
        <v>0.189234723023696</v>
      </c>
      <c r="K354" s="12" t="n">
        <f aca="false">J354^(-1/B354)-1</f>
        <v>0.0587381025</v>
      </c>
      <c r="L354" s="12" t="n">
        <f aca="false">(1+K354)^(1/12)-1</f>
        <v>0.00476780746318739</v>
      </c>
    </row>
    <row r="355" customFormat="false" ht="15" hidden="false" customHeight="false" outlineLevel="0" collapsed="false">
      <c r="A355" s="4" t="n">
        <v>351</v>
      </c>
      <c r="B355" s="14" t="n">
        <f aca="false">A355/12</f>
        <v>29.25</v>
      </c>
      <c r="C355" s="15" t="n">
        <f aca="false">INT(A355/6)</f>
        <v>58</v>
      </c>
      <c r="D355" s="16" t="n">
        <f aca="false">IF(C355=0,(1+Dic2024!$G$6)^(-B355),EXP(LN(INDEX(Dic2024!$H$6:$H$205,C355))+(LN(INDEX(Dic2024!$H$6:$H$205,MIN(C355+1,200)))-LN(INDEX(Dic2024!$H$6:$H$205,C355)))*(A355-6*C355)/6))</f>
        <v>0.188336769568156</v>
      </c>
      <c r="E355" s="12" t="n">
        <f aca="false">D355^(-1/B355)-1</f>
        <v>0.0587381025</v>
      </c>
      <c r="F355" s="12" t="n">
        <f aca="false">(1+E355)^(1/12)-1</f>
        <v>0.00476780746318739</v>
      </c>
      <c r="G355" s="16" t="n">
        <f aca="false">IF(C355=0,(1+Dic2024!$J$6)^(-B355),EXP(LN(INDEX(Dic2024!$K$6:$K$205,C355))+(LN(INDEX(Dic2024!$K$6:$K$205,MIN(C355+1,200)))-LN(INDEX(Dic2024!$K$6:$K$205,C355)))*(A355-6*C355)/6))</f>
        <v>0.188336769568156</v>
      </c>
      <c r="H355" s="12" t="n">
        <f aca="false">G355^(-1/B355)-1</f>
        <v>0.0587381025</v>
      </c>
      <c r="I355" s="12" t="n">
        <f aca="false">(1+H355)^(1/12)-1</f>
        <v>0.00476780746318739</v>
      </c>
      <c r="J355" s="16" t="n">
        <f aca="false">IF(C355=0,(1+Dic2024!$M$6)^(-B355),EXP(LN(INDEX(Dic2024!$N$6:$N$205,C355))+(LN(INDEX(Dic2024!$N$6:$N$205,MIN(C355+1,200)))-LN(INDEX(Dic2024!$N$6:$N$205,C355)))*(A355-6*C355)/6))</f>
        <v>0.188336769568156</v>
      </c>
      <c r="K355" s="12" t="n">
        <f aca="false">J355^(-1/B355)-1</f>
        <v>0.0587381025</v>
      </c>
      <c r="L355" s="12" t="n">
        <f aca="false">(1+K355)^(1/12)-1</f>
        <v>0.00476780746318739</v>
      </c>
    </row>
    <row r="356" customFormat="false" ht="15" hidden="false" customHeight="false" outlineLevel="0" collapsed="false">
      <c r="A356" s="4" t="n">
        <v>352</v>
      </c>
      <c r="B356" s="14" t="n">
        <f aca="false">A356/12</f>
        <v>29.3333333333333</v>
      </c>
      <c r="C356" s="15" t="n">
        <f aca="false">INT(A356/6)</f>
        <v>58</v>
      </c>
      <c r="D356" s="16" t="n">
        <f aca="false">IF(C356=0,(1+Dic2024!$G$6)^(-B356),EXP(LN(INDEX(Dic2024!$H$6:$H$205,C356))+(LN(INDEX(Dic2024!$H$6:$H$205,MIN(C356+1,200)))-LN(INDEX(Dic2024!$H$6:$H$205,C356)))*(A356-6*C356)/6))</f>
        <v>0.187443077066396</v>
      </c>
      <c r="E356" s="12" t="n">
        <f aca="false">D356^(-1/B356)-1</f>
        <v>0.0587381025</v>
      </c>
      <c r="F356" s="12" t="n">
        <f aca="false">(1+E356)^(1/12)-1</f>
        <v>0.00476780746318739</v>
      </c>
      <c r="G356" s="16" t="n">
        <f aca="false">IF(C356=0,(1+Dic2024!$J$6)^(-B356),EXP(LN(INDEX(Dic2024!$K$6:$K$205,C356))+(LN(INDEX(Dic2024!$K$6:$K$205,MIN(C356+1,200)))-LN(INDEX(Dic2024!$K$6:$K$205,C356)))*(A356-6*C356)/6))</f>
        <v>0.187443077066396</v>
      </c>
      <c r="H356" s="12" t="n">
        <f aca="false">G356^(-1/B356)-1</f>
        <v>0.0587381025</v>
      </c>
      <c r="I356" s="12" t="n">
        <f aca="false">(1+H356)^(1/12)-1</f>
        <v>0.00476780746318739</v>
      </c>
      <c r="J356" s="16" t="n">
        <f aca="false">IF(C356=0,(1+Dic2024!$M$6)^(-B356),EXP(LN(INDEX(Dic2024!$N$6:$N$205,C356))+(LN(INDEX(Dic2024!$N$6:$N$205,MIN(C356+1,200)))-LN(INDEX(Dic2024!$N$6:$N$205,C356)))*(A356-6*C356)/6))</f>
        <v>0.187443077066396</v>
      </c>
      <c r="K356" s="12" t="n">
        <f aca="false">J356^(-1/B356)-1</f>
        <v>0.0587381025</v>
      </c>
      <c r="L356" s="12" t="n">
        <f aca="false">(1+K356)^(1/12)-1</f>
        <v>0.00476780746318739</v>
      </c>
    </row>
    <row r="357" customFormat="false" ht="15" hidden="false" customHeight="false" outlineLevel="0" collapsed="false">
      <c r="A357" s="4" t="n">
        <v>353</v>
      </c>
      <c r="B357" s="14" t="n">
        <f aca="false">A357/12</f>
        <v>29.4166666666667</v>
      </c>
      <c r="C357" s="15" t="n">
        <f aca="false">INT(A357/6)</f>
        <v>58</v>
      </c>
      <c r="D357" s="16" t="n">
        <f aca="false">IF(C357=0,(1+Dic2024!$G$6)^(-B357),EXP(LN(INDEX(Dic2024!$H$6:$H$205,C357))+(LN(INDEX(Dic2024!$H$6:$H$205,MIN(C357+1,200)))-LN(INDEX(Dic2024!$H$6:$H$205,C357)))*(A357-6*C357)/6))</f>
        <v>0.186553625299409</v>
      </c>
      <c r="E357" s="12" t="n">
        <f aca="false">D357^(-1/B357)-1</f>
        <v>0.0587381025</v>
      </c>
      <c r="F357" s="12" t="n">
        <f aca="false">(1+E357)^(1/12)-1</f>
        <v>0.00476780746318739</v>
      </c>
      <c r="G357" s="16" t="n">
        <f aca="false">IF(C357=0,(1+Dic2024!$J$6)^(-B357),EXP(LN(INDEX(Dic2024!$K$6:$K$205,C357))+(LN(INDEX(Dic2024!$K$6:$K$205,MIN(C357+1,200)))-LN(INDEX(Dic2024!$K$6:$K$205,C357)))*(A357-6*C357)/6))</f>
        <v>0.186553625299409</v>
      </c>
      <c r="H357" s="12" t="n">
        <f aca="false">G357^(-1/B357)-1</f>
        <v>0.0587381025</v>
      </c>
      <c r="I357" s="12" t="n">
        <f aca="false">(1+H357)^(1/12)-1</f>
        <v>0.00476780746318739</v>
      </c>
      <c r="J357" s="16" t="n">
        <f aca="false">IF(C357=0,(1+Dic2024!$M$6)^(-B357),EXP(LN(INDEX(Dic2024!$N$6:$N$205,C357))+(LN(INDEX(Dic2024!$N$6:$N$205,MIN(C357+1,200)))-LN(INDEX(Dic2024!$N$6:$N$205,C357)))*(A357-6*C357)/6))</f>
        <v>0.186553625299409</v>
      </c>
      <c r="K357" s="12" t="n">
        <f aca="false">J357^(-1/B357)-1</f>
        <v>0.0587381025</v>
      </c>
      <c r="L357" s="12" t="n">
        <f aca="false">(1+K357)^(1/12)-1</f>
        <v>0.00476780746318739</v>
      </c>
    </row>
    <row r="358" customFormat="false" ht="15" hidden="false" customHeight="false" outlineLevel="0" collapsed="false">
      <c r="A358" s="4" t="n">
        <v>354</v>
      </c>
      <c r="B358" s="14" t="n">
        <f aca="false">A358/12</f>
        <v>29.5</v>
      </c>
      <c r="C358" s="15" t="n">
        <f aca="false">INT(A358/6)</f>
        <v>59</v>
      </c>
      <c r="D358" s="16" t="n">
        <f aca="false">IF(C358=0,(1+Dic2024!$G$6)^(-B358),EXP(LN(INDEX(Dic2024!$H$6:$H$205,C358))+(LN(INDEX(Dic2024!$H$6:$H$205,MIN(C358+1,200)))-LN(INDEX(Dic2024!$H$6:$H$205,C358)))*(A358-6*C358)/6))</f>
        <v>0.18566839414413</v>
      </c>
      <c r="E358" s="12" t="n">
        <f aca="false">D358^(-1/B358)-1</f>
        <v>0.0587381025</v>
      </c>
      <c r="F358" s="12" t="n">
        <f aca="false">(1+E358)^(1/12)-1</f>
        <v>0.00476780746318739</v>
      </c>
      <c r="G358" s="16" t="n">
        <f aca="false">IF(C358=0,(1+Dic2024!$J$6)^(-B358),EXP(LN(INDEX(Dic2024!$K$6:$K$205,C358))+(LN(INDEX(Dic2024!$K$6:$K$205,MIN(C358+1,200)))-LN(INDEX(Dic2024!$K$6:$K$205,C358)))*(A358-6*C358)/6))</f>
        <v>0.18566839414413</v>
      </c>
      <c r="H358" s="12" t="n">
        <f aca="false">G358^(-1/B358)-1</f>
        <v>0.0587381025</v>
      </c>
      <c r="I358" s="12" t="n">
        <f aca="false">(1+H358)^(1/12)-1</f>
        <v>0.00476780746318739</v>
      </c>
      <c r="J358" s="16" t="n">
        <f aca="false">IF(C358=0,(1+Dic2024!$M$6)^(-B358),EXP(LN(INDEX(Dic2024!$N$6:$N$205,C358))+(LN(INDEX(Dic2024!$N$6:$N$205,MIN(C358+1,200)))-LN(INDEX(Dic2024!$N$6:$N$205,C358)))*(A358-6*C358)/6))</f>
        <v>0.18566839414413</v>
      </c>
      <c r="K358" s="12" t="n">
        <f aca="false">J358^(-1/B358)-1</f>
        <v>0.0587381025</v>
      </c>
      <c r="L358" s="12" t="n">
        <f aca="false">(1+K358)^(1/12)-1</f>
        <v>0.00476780746318739</v>
      </c>
    </row>
    <row r="359" customFormat="false" ht="15" hidden="false" customHeight="false" outlineLevel="0" collapsed="false">
      <c r="A359" s="4" t="n">
        <v>355</v>
      </c>
      <c r="B359" s="14" t="n">
        <f aca="false">A359/12</f>
        <v>29.5833333333333</v>
      </c>
      <c r="C359" s="15" t="n">
        <f aca="false">INT(A359/6)</f>
        <v>59</v>
      </c>
      <c r="D359" s="16" t="n">
        <f aca="false">IF(C359=0,(1+Dic2024!$G$6)^(-B359),EXP(LN(INDEX(Dic2024!$H$6:$H$205,C359))+(LN(INDEX(Dic2024!$H$6:$H$205,MIN(C359+1,200)))-LN(INDEX(Dic2024!$H$6:$H$205,C359)))*(A359-6*C359)/6))</f>
        <v>0.184787363572984</v>
      </c>
      <c r="E359" s="12" t="n">
        <f aca="false">D359^(-1/B359)-1</f>
        <v>0.0587381025</v>
      </c>
      <c r="F359" s="12" t="n">
        <f aca="false">(1+E359)^(1/12)-1</f>
        <v>0.00476780746318739</v>
      </c>
      <c r="G359" s="16" t="n">
        <f aca="false">IF(C359=0,(1+Dic2024!$J$6)^(-B359),EXP(LN(INDEX(Dic2024!$K$6:$K$205,C359))+(LN(INDEX(Dic2024!$K$6:$K$205,MIN(C359+1,200)))-LN(INDEX(Dic2024!$K$6:$K$205,C359)))*(A359-6*C359)/6))</f>
        <v>0.184787363572984</v>
      </c>
      <c r="H359" s="12" t="n">
        <f aca="false">G359^(-1/B359)-1</f>
        <v>0.0587381025</v>
      </c>
      <c r="I359" s="12" t="n">
        <f aca="false">(1+H359)^(1/12)-1</f>
        <v>0.00476780746318739</v>
      </c>
      <c r="J359" s="16" t="n">
        <f aca="false">IF(C359=0,(1+Dic2024!$M$6)^(-B359),EXP(LN(INDEX(Dic2024!$N$6:$N$205,C359))+(LN(INDEX(Dic2024!$N$6:$N$205,MIN(C359+1,200)))-LN(INDEX(Dic2024!$N$6:$N$205,C359)))*(A359-6*C359)/6))</f>
        <v>0.184787363572984</v>
      </c>
      <c r="K359" s="12" t="n">
        <f aca="false">J359^(-1/B359)-1</f>
        <v>0.0587381025</v>
      </c>
      <c r="L359" s="12" t="n">
        <f aca="false">(1+K359)^(1/12)-1</f>
        <v>0.00476780746318739</v>
      </c>
    </row>
    <row r="360" customFormat="false" ht="15" hidden="false" customHeight="false" outlineLevel="0" collapsed="false">
      <c r="A360" s="4" t="n">
        <v>356</v>
      </c>
      <c r="B360" s="14" t="n">
        <f aca="false">A360/12</f>
        <v>29.6666666666667</v>
      </c>
      <c r="C360" s="15" t="n">
        <f aca="false">INT(A360/6)</f>
        <v>59</v>
      </c>
      <c r="D360" s="16" t="n">
        <f aca="false">IF(C360=0,(1+Dic2024!$G$6)^(-B360),EXP(LN(INDEX(Dic2024!$H$6:$H$205,C360))+(LN(INDEX(Dic2024!$H$6:$H$205,MIN(C360+1,200)))-LN(INDEX(Dic2024!$H$6:$H$205,C360)))*(A360-6*C360)/6))</f>
        <v>0.183910513653429</v>
      </c>
      <c r="E360" s="12" t="n">
        <f aca="false">D360^(-1/B360)-1</f>
        <v>0.0587381025</v>
      </c>
      <c r="F360" s="12" t="n">
        <f aca="false">(1+E360)^(1/12)-1</f>
        <v>0.00476780746318739</v>
      </c>
      <c r="G360" s="16" t="n">
        <f aca="false">IF(C360=0,(1+Dic2024!$J$6)^(-B360),EXP(LN(INDEX(Dic2024!$K$6:$K$205,C360))+(LN(INDEX(Dic2024!$K$6:$K$205,MIN(C360+1,200)))-LN(INDEX(Dic2024!$K$6:$K$205,C360)))*(A360-6*C360)/6))</f>
        <v>0.183910513653429</v>
      </c>
      <c r="H360" s="12" t="n">
        <f aca="false">G360^(-1/B360)-1</f>
        <v>0.0587381025</v>
      </c>
      <c r="I360" s="12" t="n">
        <f aca="false">(1+H360)^(1/12)-1</f>
        <v>0.00476780746318739</v>
      </c>
      <c r="J360" s="16" t="n">
        <f aca="false">IF(C360=0,(1+Dic2024!$M$6)^(-B360),EXP(LN(INDEX(Dic2024!$N$6:$N$205,C360))+(LN(INDEX(Dic2024!$N$6:$N$205,MIN(C360+1,200)))-LN(INDEX(Dic2024!$N$6:$N$205,C360)))*(A360-6*C360)/6))</f>
        <v>0.183910513653429</v>
      </c>
      <c r="K360" s="12" t="n">
        <f aca="false">J360^(-1/B360)-1</f>
        <v>0.0587381025</v>
      </c>
      <c r="L360" s="12" t="n">
        <f aca="false">(1+K360)^(1/12)-1</f>
        <v>0.00476780746318739</v>
      </c>
    </row>
    <row r="361" customFormat="false" ht="15" hidden="false" customHeight="false" outlineLevel="0" collapsed="false">
      <c r="A361" s="4" t="n">
        <v>357</v>
      </c>
      <c r="B361" s="14" t="n">
        <f aca="false">A361/12</f>
        <v>29.75</v>
      </c>
      <c r="C361" s="15" t="n">
        <f aca="false">INT(A361/6)</f>
        <v>59</v>
      </c>
      <c r="D361" s="16" t="n">
        <f aca="false">IF(C361=0,(1+Dic2024!$G$6)^(-B361),EXP(LN(INDEX(Dic2024!$H$6:$H$205,C361))+(LN(INDEX(Dic2024!$H$6:$H$205,MIN(C361+1,200)))-LN(INDEX(Dic2024!$H$6:$H$205,C361)))*(A361-6*C361)/6))</f>
        <v>0.183037824547506</v>
      </c>
      <c r="E361" s="12" t="n">
        <f aca="false">D361^(-1/B361)-1</f>
        <v>0.0587381025</v>
      </c>
      <c r="F361" s="12" t="n">
        <f aca="false">(1+E361)^(1/12)-1</f>
        <v>0.00476780746318739</v>
      </c>
      <c r="G361" s="16" t="n">
        <f aca="false">IF(C361=0,(1+Dic2024!$J$6)^(-B361),EXP(LN(INDEX(Dic2024!$K$6:$K$205,C361))+(LN(INDEX(Dic2024!$K$6:$K$205,MIN(C361+1,200)))-LN(INDEX(Dic2024!$K$6:$K$205,C361)))*(A361-6*C361)/6))</f>
        <v>0.183037824547506</v>
      </c>
      <c r="H361" s="12" t="n">
        <f aca="false">G361^(-1/B361)-1</f>
        <v>0.0587381025</v>
      </c>
      <c r="I361" s="12" t="n">
        <f aca="false">(1+H361)^(1/12)-1</f>
        <v>0.00476780746318739</v>
      </c>
      <c r="J361" s="16" t="n">
        <f aca="false">IF(C361=0,(1+Dic2024!$M$6)^(-B361),EXP(LN(INDEX(Dic2024!$N$6:$N$205,C361))+(LN(INDEX(Dic2024!$N$6:$N$205,MIN(C361+1,200)))-LN(INDEX(Dic2024!$N$6:$N$205,C361)))*(A361-6*C361)/6))</f>
        <v>0.183037824547506</v>
      </c>
      <c r="K361" s="12" t="n">
        <f aca="false">J361^(-1/B361)-1</f>
        <v>0.0587381025</v>
      </c>
      <c r="L361" s="12" t="n">
        <f aca="false">(1+K361)^(1/12)-1</f>
        <v>0.00476780746318739</v>
      </c>
    </row>
    <row r="362" customFormat="false" ht="15" hidden="false" customHeight="false" outlineLevel="0" collapsed="false">
      <c r="A362" s="4" t="n">
        <v>358</v>
      </c>
      <c r="B362" s="14" t="n">
        <f aca="false">A362/12</f>
        <v>29.8333333333333</v>
      </c>
      <c r="C362" s="15" t="n">
        <f aca="false">INT(A362/6)</f>
        <v>59</v>
      </c>
      <c r="D362" s="16" t="n">
        <f aca="false">IF(C362=0,(1+Dic2024!$G$6)^(-B362),EXP(LN(INDEX(Dic2024!$H$6:$H$205,C362))+(LN(INDEX(Dic2024!$H$6:$H$205,MIN(C362+1,200)))-LN(INDEX(Dic2024!$H$6:$H$205,C362)))*(A362-6*C362)/6))</f>
        <v>0.182169276511391</v>
      </c>
      <c r="E362" s="12" t="n">
        <f aca="false">D362^(-1/B362)-1</f>
        <v>0.0587381025</v>
      </c>
      <c r="F362" s="12" t="n">
        <f aca="false">(1+E362)^(1/12)-1</f>
        <v>0.00476780746318739</v>
      </c>
      <c r="G362" s="16" t="n">
        <f aca="false">IF(C362=0,(1+Dic2024!$J$6)^(-B362),EXP(LN(INDEX(Dic2024!$K$6:$K$205,C362))+(LN(INDEX(Dic2024!$K$6:$K$205,MIN(C362+1,200)))-LN(INDEX(Dic2024!$K$6:$K$205,C362)))*(A362-6*C362)/6))</f>
        <v>0.182169276511391</v>
      </c>
      <c r="H362" s="12" t="n">
        <f aca="false">G362^(-1/B362)-1</f>
        <v>0.0587381025</v>
      </c>
      <c r="I362" s="12" t="n">
        <f aca="false">(1+H362)^(1/12)-1</f>
        <v>0.00476780746318739</v>
      </c>
      <c r="J362" s="16" t="n">
        <f aca="false">IF(C362=0,(1+Dic2024!$M$6)^(-B362),EXP(LN(INDEX(Dic2024!$N$6:$N$205,C362))+(LN(INDEX(Dic2024!$N$6:$N$205,MIN(C362+1,200)))-LN(INDEX(Dic2024!$N$6:$N$205,C362)))*(A362-6*C362)/6))</f>
        <v>0.182169276511391</v>
      </c>
      <c r="K362" s="12" t="n">
        <f aca="false">J362^(-1/B362)-1</f>
        <v>0.0587381025</v>
      </c>
      <c r="L362" s="12" t="n">
        <f aca="false">(1+K362)^(1/12)-1</f>
        <v>0.00476780746318739</v>
      </c>
    </row>
    <row r="363" customFormat="false" ht="15" hidden="false" customHeight="false" outlineLevel="0" collapsed="false">
      <c r="A363" s="4" t="n">
        <v>359</v>
      </c>
      <c r="B363" s="14" t="n">
        <f aca="false">A363/12</f>
        <v>29.9166666666667</v>
      </c>
      <c r="C363" s="15" t="n">
        <f aca="false">INT(A363/6)</f>
        <v>59</v>
      </c>
      <c r="D363" s="16" t="n">
        <f aca="false">IF(C363=0,(1+Dic2024!$G$6)^(-B363),EXP(LN(INDEX(Dic2024!$H$6:$H$205,C363))+(LN(INDEX(Dic2024!$H$6:$H$205,MIN(C363+1,200)))-LN(INDEX(Dic2024!$H$6:$H$205,C363)))*(A363-6*C363)/6))</f>
        <v>0.18130484989495</v>
      </c>
      <c r="E363" s="12" t="n">
        <f aca="false">D363^(-1/B363)-1</f>
        <v>0.0587381025</v>
      </c>
      <c r="F363" s="12" t="n">
        <f aca="false">(1+E363)^(1/12)-1</f>
        <v>0.00476780746318739</v>
      </c>
      <c r="G363" s="16" t="n">
        <f aca="false">IF(C363=0,(1+Dic2024!$J$6)^(-B363),EXP(LN(INDEX(Dic2024!$K$6:$K$205,C363))+(LN(INDEX(Dic2024!$K$6:$K$205,MIN(C363+1,200)))-LN(INDEX(Dic2024!$K$6:$K$205,C363)))*(A363-6*C363)/6))</f>
        <v>0.18130484989495</v>
      </c>
      <c r="H363" s="12" t="n">
        <f aca="false">G363^(-1/B363)-1</f>
        <v>0.0587381025</v>
      </c>
      <c r="I363" s="12" t="n">
        <f aca="false">(1+H363)^(1/12)-1</f>
        <v>0.00476780746318739</v>
      </c>
      <c r="J363" s="16" t="n">
        <f aca="false">IF(C363=0,(1+Dic2024!$M$6)^(-B363),EXP(LN(INDEX(Dic2024!$N$6:$N$205,C363))+(LN(INDEX(Dic2024!$N$6:$N$205,MIN(C363+1,200)))-LN(INDEX(Dic2024!$N$6:$N$205,C363)))*(A363-6*C363)/6))</f>
        <v>0.18130484989495</v>
      </c>
      <c r="K363" s="12" t="n">
        <f aca="false">J363^(-1/B363)-1</f>
        <v>0.0587381025</v>
      </c>
      <c r="L363" s="12" t="n">
        <f aca="false">(1+K363)^(1/12)-1</f>
        <v>0.00476780746318739</v>
      </c>
    </row>
    <row r="364" customFormat="false" ht="15" hidden="false" customHeight="false" outlineLevel="0" collapsed="false">
      <c r="A364" s="4" t="n">
        <v>360</v>
      </c>
      <c r="B364" s="14" t="n">
        <f aca="false">A364/12</f>
        <v>30</v>
      </c>
      <c r="C364" s="15" t="n">
        <f aca="false">INT(A364/6)</f>
        <v>60</v>
      </c>
      <c r="D364" s="16" t="n">
        <f aca="false">IF(C364=0,(1+Dic2024!$G$6)^(-B364),EXP(LN(INDEX(Dic2024!$H$6:$H$205,C364))+(LN(INDEX(Dic2024!$H$6:$H$205,MIN(C364+1,200)))-LN(INDEX(Dic2024!$H$6:$H$205,C364)))*(A364-6*C364)/6))</f>
        <v>0.18044452514129</v>
      </c>
      <c r="E364" s="12" t="n">
        <f aca="false">D364^(-1/B364)-1</f>
        <v>0.0587381025</v>
      </c>
      <c r="F364" s="12" t="n">
        <f aca="false">(1+E364)^(1/12)-1</f>
        <v>0.00476780746318739</v>
      </c>
      <c r="G364" s="16" t="n">
        <f aca="false">IF(C364=0,(1+Dic2024!$J$6)^(-B364),EXP(LN(INDEX(Dic2024!$K$6:$K$205,C364))+(LN(INDEX(Dic2024!$K$6:$K$205,MIN(C364+1,200)))-LN(INDEX(Dic2024!$K$6:$K$205,C364)))*(A364-6*C364)/6))</f>
        <v>0.18044452514129</v>
      </c>
      <c r="H364" s="12" t="n">
        <f aca="false">G364^(-1/B364)-1</f>
        <v>0.0587381025</v>
      </c>
      <c r="I364" s="12" t="n">
        <f aca="false">(1+H364)^(1/12)-1</f>
        <v>0.00476780746318739</v>
      </c>
      <c r="J364" s="16" t="n">
        <f aca="false">IF(C364=0,(1+Dic2024!$M$6)^(-B364),EXP(LN(INDEX(Dic2024!$N$6:$N$205,C364))+(LN(INDEX(Dic2024!$N$6:$N$205,MIN(C364+1,200)))-LN(INDEX(Dic2024!$N$6:$N$205,C364)))*(A364-6*C364)/6))</f>
        <v>0.18044452514129</v>
      </c>
      <c r="K364" s="12" t="n">
        <f aca="false">J364^(-1/B364)-1</f>
        <v>0.0587381025</v>
      </c>
      <c r="L364" s="12" t="n">
        <f aca="false">(1+K364)^(1/12)-1</f>
        <v>0.00476780746318739</v>
      </c>
    </row>
    <row r="365" customFormat="false" ht="15" hidden="false" customHeight="false" outlineLevel="0" collapsed="false">
      <c r="A365" s="4" t="n">
        <v>361</v>
      </c>
      <c r="B365" s="14" t="n">
        <f aca="false">A365/12</f>
        <v>30.0833333333333</v>
      </c>
      <c r="C365" s="15" t="n">
        <f aca="false">INT(A365/6)</f>
        <v>60</v>
      </c>
      <c r="D365" s="16" t="n">
        <f aca="false">IF(C365=0,(1+Dic2024!$G$6)^(-B365),EXP(LN(INDEX(Dic2024!$H$6:$H$205,C365))+(LN(INDEX(Dic2024!$H$6:$H$205,MIN(C365+1,200)))-LN(INDEX(Dic2024!$H$6:$H$205,C365)))*(A365-6*C365)/6))</f>
        <v>0.179499584650342</v>
      </c>
      <c r="E365" s="12" t="n">
        <f aca="false">D365^(-1/B365)-1</f>
        <v>0.0587554889100834</v>
      </c>
      <c r="F365" s="12" t="n">
        <f aca="false">(1+E365)^(1/12)-1</f>
        <v>0.00476918246279112</v>
      </c>
      <c r="G365" s="16" t="n">
        <f aca="false">IF(C365=0,(1+Dic2024!$J$6)^(-B365),EXP(LN(INDEX(Dic2024!$K$6:$K$205,C365))+(LN(INDEX(Dic2024!$K$6:$K$205,MIN(C365+1,200)))-LN(INDEX(Dic2024!$K$6:$K$205,C365)))*(A365-6*C365)/6))</f>
        <v>0.179499584650342</v>
      </c>
      <c r="H365" s="12" t="n">
        <f aca="false">G365^(-1/B365)-1</f>
        <v>0.0587554889100834</v>
      </c>
      <c r="I365" s="12" t="n">
        <f aca="false">(1+H365)^(1/12)-1</f>
        <v>0.00476918246279112</v>
      </c>
      <c r="J365" s="16" t="n">
        <f aca="false">IF(C365=0,(1+Dic2024!$M$6)^(-B365),EXP(LN(INDEX(Dic2024!$N$6:$N$205,C365))+(LN(INDEX(Dic2024!$N$6:$N$205,MIN(C365+1,200)))-LN(INDEX(Dic2024!$N$6:$N$205,C365)))*(A365-6*C365)/6))</f>
        <v>0.179499584650342</v>
      </c>
      <c r="K365" s="12" t="n">
        <f aca="false">J365^(-1/B365)-1</f>
        <v>0.0587554889100834</v>
      </c>
      <c r="L365" s="12" t="n">
        <f aca="false">(1+K365)^(1/12)-1</f>
        <v>0.00476918246279112</v>
      </c>
    </row>
    <row r="366" customFormat="false" ht="15" hidden="false" customHeight="false" outlineLevel="0" collapsed="false">
      <c r="A366" s="4" t="n">
        <v>362</v>
      </c>
      <c r="B366" s="14" t="n">
        <f aca="false">A366/12</f>
        <v>30.1666666666667</v>
      </c>
      <c r="C366" s="15" t="n">
        <f aca="false">INT(A366/6)</f>
        <v>60</v>
      </c>
      <c r="D366" s="16" t="n">
        <f aca="false">IF(C366=0,(1+Dic2024!$G$6)^(-B366),EXP(LN(INDEX(Dic2024!$H$6:$H$205,C366))+(LN(INDEX(Dic2024!$H$6:$H$205,MIN(C366+1,200)))-LN(INDEX(Dic2024!$H$6:$H$205,C366)))*(A366-6*C366)/6))</f>
        <v>0.178559592564067</v>
      </c>
      <c r="E366" s="12" t="n">
        <f aca="false">D366^(-1/B366)-1</f>
        <v>0.0587727795458073</v>
      </c>
      <c r="F366" s="12" t="n">
        <f aca="false">(1+E366)^(1/12)-1</f>
        <v>0.00477054986757786</v>
      </c>
      <c r="G366" s="16" t="n">
        <f aca="false">IF(C366=0,(1+Dic2024!$J$6)^(-B366),EXP(LN(INDEX(Dic2024!$K$6:$K$205,C366))+(LN(INDEX(Dic2024!$K$6:$K$205,MIN(C366+1,200)))-LN(INDEX(Dic2024!$K$6:$K$205,C366)))*(A366-6*C366)/6))</f>
        <v>0.178559592564067</v>
      </c>
      <c r="H366" s="12" t="n">
        <f aca="false">G366^(-1/B366)-1</f>
        <v>0.0587727795458073</v>
      </c>
      <c r="I366" s="12" t="n">
        <f aca="false">(1+H366)^(1/12)-1</f>
        <v>0.00477054986757786</v>
      </c>
      <c r="J366" s="16" t="n">
        <f aca="false">IF(C366=0,(1+Dic2024!$M$6)^(-B366),EXP(LN(INDEX(Dic2024!$N$6:$N$205,C366))+(LN(INDEX(Dic2024!$N$6:$N$205,MIN(C366+1,200)))-LN(INDEX(Dic2024!$N$6:$N$205,C366)))*(A366-6*C366)/6))</f>
        <v>0.178559592564067</v>
      </c>
      <c r="K366" s="12" t="n">
        <f aca="false">J366^(-1/B366)-1</f>
        <v>0.0587727795458073</v>
      </c>
      <c r="L366" s="12" t="n">
        <f aca="false">(1+K366)^(1/12)-1</f>
        <v>0.00477054986757786</v>
      </c>
    </row>
    <row r="367" customFormat="false" ht="15" hidden="false" customHeight="false" outlineLevel="0" collapsed="false">
      <c r="A367" s="4" t="n">
        <v>363</v>
      </c>
      <c r="B367" s="14" t="n">
        <f aca="false">A367/12</f>
        <v>30.25</v>
      </c>
      <c r="C367" s="15" t="n">
        <f aca="false">INT(A367/6)</f>
        <v>60</v>
      </c>
      <c r="D367" s="16" t="n">
        <f aca="false">IF(C367=0,(1+Dic2024!$G$6)^(-B367),EXP(LN(INDEX(Dic2024!$H$6:$H$205,C367))+(LN(INDEX(Dic2024!$H$6:$H$205,MIN(C367+1,200)))-LN(INDEX(Dic2024!$H$6:$H$205,C367)))*(A367-6*C367)/6))</f>
        <v>0.177624522968972</v>
      </c>
      <c r="E367" s="12" t="n">
        <f aca="false">D367^(-1/B367)-1</f>
        <v>0.0587899751963661</v>
      </c>
      <c r="F367" s="12" t="n">
        <f aca="false">(1+E367)^(1/12)-1</f>
        <v>0.00477190974029962</v>
      </c>
      <c r="G367" s="16" t="n">
        <f aca="false">IF(C367=0,(1+Dic2024!$J$6)^(-B367),EXP(LN(INDEX(Dic2024!$K$6:$K$205,C367))+(LN(INDEX(Dic2024!$K$6:$K$205,MIN(C367+1,200)))-LN(INDEX(Dic2024!$K$6:$K$205,C367)))*(A367-6*C367)/6))</f>
        <v>0.177624522968972</v>
      </c>
      <c r="H367" s="12" t="n">
        <f aca="false">G367^(-1/B367)-1</f>
        <v>0.0587899751963661</v>
      </c>
      <c r="I367" s="12" t="n">
        <f aca="false">(1+H367)^(1/12)-1</f>
        <v>0.00477190974029962</v>
      </c>
      <c r="J367" s="16" t="n">
        <f aca="false">IF(C367=0,(1+Dic2024!$M$6)^(-B367),EXP(LN(INDEX(Dic2024!$N$6:$N$205,C367))+(LN(INDEX(Dic2024!$N$6:$N$205,MIN(C367+1,200)))-LN(INDEX(Dic2024!$N$6:$N$205,C367)))*(A367-6*C367)/6))</f>
        <v>0.177624522968972</v>
      </c>
      <c r="K367" s="12" t="n">
        <f aca="false">J367^(-1/B367)-1</f>
        <v>0.0587899751963661</v>
      </c>
      <c r="L367" s="12" t="n">
        <f aca="false">(1+K367)^(1/12)-1</f>
        <v>0.00477190974029962</v>
      </c>
    </row>
    <row r="368" customFormat="false" ht="15" hidden="false" customHeight="false" outlineLevel="0" collapsed="false">
      <c r="A368" s="4" t="n">
        <v>364</v>
      </c>
      <c r="B368" s="14" t="n">
        <f aca="false">A368/12</f>
        <v>30.3333333333333</v>
      </c>
      <c r="C368" s="15" t="n">
        <f aca="false">INT(A368/6)</f>
        <v>60</v>
      </c>
      <c r="D368" s="16" t="n">
        <f aca="false">IF(C368=0,(1+Dic2024!$G$6)^(-B368),EXP(LN(INDEX(Dic2024!$H$6:$H$205,C368))+(LN(INDEX(Dic2024!$H$6:$H$205,MIN(C368+1,200)))-LN(INDEX(Dic2024!$H$6:$H$205,C368)))*(A368-6*C368)/6))</f>
        <v>0.176694350087266</v>
      </c>
      <c r="E368" s="12" t="n">
        <f aca="false">D368^(-1/B368)-1</f>
        <v>0.0588070766423077</v>
      </c>
      <c r="F368" s="12" t="n">
        <f aca="false">(1+E368)^(1/12)-1</f>
        <v>0.00477326214301832</v>
      </c>
      <c r="G368" s="16" t="n">
        <f aca="false">IF(C368=0,(1+Dic2024!$J$6)^(-B368),EXP(LN(INDEX(Dic2024!$K$6:$K$205,C368))+(LN(INDEX(Dic2024!$K$6:$K$205,MIN(C368+1,200)))-LN(INDEX(Dic2024!$K$6:$K$205,C368)))*(A368-6*C368)/6))</f>
        <v>0.176694350087266</v>
      </c>
      <c r="H368" s="12" t="n">
        <f aca="false">G368^(-1/B368)-1</f>
        <v>0.0588070766423077</v>
      </c>
      <c r="I368" s="12" t="n">
        <f aca="false">(1+H368)^(1/12)-1</f>
        <v>0.00477326214301832</v>
      </c>
      <c r="J368" s="16" t="n">
        <f aca="false">IF(C368=0,(1+Dic2024!$M$6)^(-B368),EXP(LN(INDEX(Dic2024!$N$6:$N$205,C368))+(LN(INDEX(Dic2024!$N$6:$N$205,MIN(C368+1,200)))-LN(INDEX(Dic2024!$N$6:$N$205,C368)))*(A368-6*C368)/6))</f>
        <v>0.176694350087266</v>
      </c>
      <c r="K368" s="12" t="n">
        <f aca="false">J368^(-1/B368)-1</f>
        <v>0.0588070766423077</v>
      </c>
      <c r="L368" s="12" t="n">
        <f aca="false">(1+K368)^(1/12)-1</f>
        <v>0.00477326214301832</v>
      </c>
    </row>
    <row r="369" customFormat="false" ht="15" hidden="false" customHeight="false" outlineLevel="0" collapsed="false">
      <c r="A369" s="4" t="n">
        <v>365</v>
      </c>
      <c r="B369" s="14" t="n">
        <f aca="false">A369/12</f>
        <v>30.4166666666667</v>
      </c>
      <c r="C369" s="15" t="n">
        <f aca="false">INT(A369/6)</f>
        <v>60</v>
      </c>
      <c r="D369" s="16" t="n">
        <f aca="false">IF(C369=0,(1+Dic2024!$G$6)^(-B369),EXP(LN(INDEX(Dic2024!$H$6:$H$205,C369))+(LN(INDEX(Dic2024!$H$6:$H$205,MIN(C369+1,200)))-LN(INDEX(Dic2024!$H$6:$H$205,C369)))*(A369-6*C369)/6))</f>
        <v>0.17576904827615</v>
      </c>
      <c r="E369" s="12" t="n">
        <f aca="false">D369^(-1/B369)-1</f>
        <v>0.0588240846556503</v>
      </c>
      <c r="F369" s="12" t="n">
        <f aca="false">(1+E369)^(1/12)-1</f>
        <v>0.00477460713711686</v>
      </c>
      <c r="G369" s="16" t="n">
        <f aca="false">IF(C369=0,(1+Dic2024!$J$6)^(-B369),EXP(LN(INDEX(Dic2024!$K$6:$K$205,C369))+(LN(INDEX(Dic2024!$K$6:$K$205,MIN(C369+1,200)))-LN(INDEX(Dic2024!$K$6:$K$205,C369)))*(A369-6*C369)/6))</f>
        <v>0.17576904827615</v>
      </c>
      <c r="H369" s="12" t="n">
        <f aca="false">G369^(-1/B369)-1</f>
        <v>0.0588240846556503</v>
      </c>
      <c r="I369" s="12" t="n">
        <f aca="false">(1+H369)^(1/12)-1</f>
        <v>0.00477460713711686</v>
      </c>
      <c r="J369" s="16" t="n">
        <f aca="false">IF(C369=0,(1+Dic2024!$M$6)^(-B369),EXP(LN(INDEX(Dic2024!$N$6:$N$205,C369))+(LN(INDEX(Dic2024!$N$6:$N$205,MIN(C369+1,200)))-LN(INDEX(Dic2024!$N$6:$N$205,C369)))*(A369-6*C369)/6))</f>
        <v>0.17576904827615</v>
      </c>
      <c r="K369" s="12" t="n">
        <f aca="false">J369^(-1/B369)-1</f>
        <v>0.0588240846556503</v>
      </c>
      <c r="L369" s="12" t="n">
        <f aca="false">(1+K369)^(1/12)-1</f>
        <v>0.00477460713711686</v>
      </c>
    </row>
    <row r="370" customFormat="false" ht="15" hidden="false" customHeight="false" outlineLevel="0" collapsed="false">
      <c r="A370" s="4" t="n">
        <v>366</v>
      </c>
      <c r="B370" s="14" t="n">
        <f aca="false">A370/12</f>
        <v>30.5</v>
      </c>
      <c r="C370" s="15" t="n">
        <f aca="false">INT(A370/6)</f>
        <v>61</v>
      </c>
      <c r="D370" s="16" t="n">
        <f aca="false">IF(C370=0,(1+Dic2024!$G$6)^(-B370),EXP(LN(INDEX(Dic2024!$H$6:$H$205,C370))+(LN(INDEX(Dic2024!$H$6:$H$205,MIN(C370+1,200)))-LN(INDEX(Dic2024!$H$6:$H$205,C370)))*(A370-6*C370)/6))</f>
        <v>0.174848592027108</v>
      </c>
      <c r="E370" s="12" t="n">
        <f aca="false">D370^(-1/B370)-1</f>
        <v>0.0588409999999999</v>
      </c>
      <c r="F370" s="12" t="n">
        <f aca="false">(1+E370)^(1/12)-1</f>
        <v>0.00477594478330623</v>
      </c>
      <c r="G370" s="16" t="n">
        <f aca="false">IF(C370=0,(1+Dic2024!$J$6)^(-B370),EXP(LN(INDEX(Dic2024!$K$6:$K$205,C370))+(LN(INDEX(Dic2024!$K$6:$K$205,MIN(C370+1,200)))-LN(INDEX(Dic2024!$K$6:$K$205,C370)))*(A370-6*C370)/6))</f>
        <v>0.174848592027108</v>
      </c>
      <c r="H370" s="12" t="n">
        <f aca="false">G370^(-1/B370)-1</f>
        <v>0.0588409999999999</v>
      </c>
      <c r="I370" s="12" t="n">
        <f aca="false">(1+H370)^(1/12)-1</f>
        <v>0.00477594478330623</v>
      </c>
      <c r="J370" s="16" t="n">
        <f aca="false">IF(C370=0,(1+Dic2024!$M$6)^(-B370),EXP(LN(INDEX(Dic2024!$N$6:$N$205,C370))+(LN(INDEX(Dic2024!$N$6:$N$205,MIN(C370+1,200)))-LN(INDEX(Dic2024!$N$6:$N$205,C370)))*(A370-6*C370)/6))</f>
        <v>0.174848592027108</v>
      </c>
      <c r="K370" s="12" t="n">
        <f aca="false">J370^(-1/B370)-1</f>
        <v>0.0588409999999999</v>
      </c>
      <c r="L370" s="12" t="n">
        <f aca="false">(1+K370)^(1/12)-1</f>
        <v>0.00477594478330623</v>
      </c>
    </row>
    <row r="371" customFormat="false" ht="15" hidden="false" customHeight="false" outlineLevel="0" collapsed="false">
      <c r="A371" s="4" t="n">
        <v>367</v>
      </c>
      <c r="B371" s="14" t="n">
        <f aca="false">A371/12</f>
        <v>30.5833333333333</v>
      </c>
      <c r="C371" s="15" t="n">
        <f aca="false">INT(A371/6)</f>
        <v>61</v>
      </c>
      <c r="D371" s="16" t="n">
        <f aca="false">IF(C371=0,(1+Dic2024!$G$6)^(-B371),EXP(LN(INDEX(Dic2024!$H$6:$H$205,C371))+(LN(INDEX(Dic2024!$H$6:$H$205,MIN(C371+1,200)))-LN(INDEX(Dic2024!$H$6:$H$205,C371)))*(A371-6*C371)/6))</f>
        <v>0.174017494084034</v>
      </c>
      <c r="E371" s="12" t="n">
        <f aca="false">D371^(-1/B371)-1</f>
        <v>0.0588409999999999</v>
      </c>
      <c r="F371" s="12" t="n">
        <f aca="false">(1+E371)^(1/12)-1</f>
        <v>0.00477594478330623</v>
      </c>
      <c r="G371" s="16" t="n">
        <f aca="false">IF(C371=0,(1+Dic2024!$J$6)^(-B371),EXP(LN(INDEX(Dic2024!$K$6:$K$205,C371))+(LN(INDEX(Dic2024!$K$6:$K$205,MIN(C371+1,200)))-LN(INDEX(Dic2024!$K$6:$K$205,C371)))*(A371-6*C371)/6))</f>
        <v>0.174017494084034</v>
      </c>
      <c r="H371" s="12" t="n">
        <f aca="false">G371^(-1/B371)-1</f>
        <v>0.0588409999999999</v>
      </c>
      <c r="I371" s="12" t="n">
        <f aca="false">(1+H371)^(1/12)-1</f>
        <v>0.00477594478330623</v>
      </c>
      <c r="J371" s="16" t="n">
        <f aca="false">IF(C371=0,(1+Dic2024!$M$6)^(-B371),EXP(LN(INDEX(Dic2024!$N$6:$N$205,C371))+(LN(INDEX(Dic2024!$N$6:$N$205,MIN(C371+1,200)))-LN(INDEX(Dic2024!$N$6:$N$205,C371)))*(A371-6*C371)/6))</f>
        <v>0.174017494084034</v>
      </c>
      <c r="K371" s="12" t="n">
        <f aca="false">J371^(-1/B371)-1</f>
        <v>0.0588409999999999</v>
      </c>
      <c r="L371" s="12" t="n">
        <f aca="false">(1+K371)^(1/12)-1</f>
        <v>0.00477594478330623</v>
      </c>
    </row>
    <row r="372" customFormat="false" ht="15" hidden="false" customHeight="false" outlineLevel="0" collapsed="false">
      <c r="A372" s="4" t="n">
        <v>368</v>
      </c>
      <c r="B372" s="14" t="n">
        <f aca="false">A372/12</f>
        <v>30.6666666666667</v>
      </c>
      <c r="C372" s="15" t="n">
        <f aca="false">INT(A372/6)</f>
        <v>61</v>
      </c>
      <c r="D372" s="16" t="n">
        <f aca="false">IF(C372=0,(1+Dic2024!$G$6)^(-B372),EXP(LN(INDEX(Dic2024!$H$6:$H$205,C372))+(LN(INDEX(Dic2024!$H$6:$H$205,MIN(C372+1,200)))-LN(INDEX(Dic2024!$H$6:$H$205,C372)))*(A372-6*C372)/6))</f>
        <v>0.1731903465519</v>
      </c>
      <c r="E372" s="12" t="n">
        <f aca="false">D372^(-1/B372)-1</f>
        <v>0.0588409999999999</v>
      </c>
      <c r="F372" s="12" t="n">
        <f aca="false">(1+E372)^(1/12)-1</f>
        <v>0.00477594478330623</v>
      </c>
      <c r="G372" s="16" t="n">
        <f aca="false">IF(C372=0,(1+Dic2024!$J$6)^(-B372),EXP(LN(INDEX(Dic2024!$K$6:$K$205,C372))+(LN(INDEX(Dic2024!$K$6:$K$205,MIN(C372+1,200)))-LN(INDEX(Dic2024!$K$6:$K$205,C372)))*(A372-6*C372)/6))</f>
        <v>0.1731903465519</v>
      </c>
      <c r="H372" s="12" t="n">
        <f aca="false">G372^(-1/B372)-1</f>
        <v>0.0588409999999999</v>
      </c>
      <c r="I372" s="12" t="n">
        <f aca="false">(1+H372)^(1/12)-1</f>
        <v>0.00477594478330623</v>
      </c>
      <c r="J372" s="16" t="n">
        <f aca="false">IF(C372=0,(1+Dic2024!$M$6)^(-B372),EXP(LN(INDEX(Dic2024!$N$6:$N$205,C372))+(LN(INDEX(Dic2024!$N$6:$N$205,MIN(C372+1,200)))-LN(INDEX(Dic2024!$N$6:$N$205,C372)))*(A372-6*C372)/6))</f>
        <v>0.1731903465519</v>
      </c>
      <c r="K372" s="12" t="n">
        <f aca="false">J372^(-1/B372)-1</f>
        <v>0.0588409999999999</v>
      </c>
      <c r="L372" s="12" t="n">
        <f aca="false">(1+K372)^(1/12)-1</f>
        <v>0.00477594478330623</v>
      </c>
    </row>
    <row r="373" customFormat="false" ht="15" hidden="false" customHeight="false" outlineLevel="0" collapsed="false">
      <c r="A373" s="4" t="n">
        <v>369</v>
      </c>
      <c r="B373" s="14" t="n">
        <f aca="false">A373/12</f>
        <v>30.75</v>
      </c>
      <c r="C373" s="15" t="n">
        <f aca="false">INT(A373/6)</f>
        <v>61</v>
      </c>
      <c r="D373" s="16" t="n">
        <f aca="false">IF(C373=0,(1+Dic2024!$G$6)^(-B373),EXP(LN(INDEX(Dic2024!$H$6:$H$205,C373))+(LN(INDEX(Dic2024!$H$6:$H$205,MIN(C373+1,200)))-LN(INDEX(Dic2024!$H$6:$H$205,C373)))*(A373-6*C373)/6))</f>
        <v>0.172367130653442</v>
      </c>
      <c r="E373" s="12" t="n">
        <f aca="false">D373^(-1/B373)-1</f>
        <v>0.0588409999999999</v>
      </c>
      <c r="F373" s="12" t="n">
        <f aca="false">(1+E373)^(1/12)-1</f>
        <v>0.00477594478330623</v>
      </c>
      <c r="G373" s="16" t="n">
        <f aca="false">IF(C373=0,(1+Dic2024!$J$6)^(-B373),EXP(LN(INDEX(Dic2024!$K$6:$K$205,C373))+(LN(INDEX(Dic2024!$K$6:$K$205,MIN(C373+1,200)))-LN(INDEX(Dic2024!$K$6:$K$205,C373)))*(A373-6*C373)/6))</f>
        <v>0.172367130653442</v>
      </c>
      <c r="H373" s="12" t="n">
        <f aca="false">G373^(-1/B373)-1</f>
        <v>0.0588409999999999</v>
      </c>
      <c r="I373" s="12" t="n">
        <f aca="false">(1+H373)^(1/12)-1</f>
        <v>0.00477594478330623</v>
      </c>
      <c r="J373" s="16" t="n">
        <f aca="false">IF(C373=0,(1+Dic2024!$M$6)^(-B373),EXP(LN(INDEX(Dic2024!$N$6:$N$205,C373))+(LN(INDEX(Dic2024!$N$6:$N$205,MIN(C373+1,200)))-LN(INDEX(Dic2024!$N$6:$N$205,C373)))*(A373-6*C373)/6))</f>
        <v>0.172367130653442</v>
      </c>
      <c r="K373" s="12" t="n">
        <f aca="false">J373^(-1/B373)-1</f>
        <v>0.0588409999999999</v>
      </c>
      <c r="L373" s="12" t="n">
        <f aca="false">(1+K373)^(1/12)-1</f>
        <v>0.00477594478330623</v>
      </c>
    </row>
    <row r="374" customFormat="false" ht="15" hidden="false" customHeight="false" outlineLevel="0" collapsed="false">
      <c r="A374" s="4" t="n">
        <v>370</v>
      </c>
      <c r="B374" s="14" t="n">
        <f aca="false">A374/12</f>
        <v>30.8333333333333</v>
      </c>
      <c r="C374" s="15" t="n">
        <f aca="false">INT(A374/6)</f>
        <v>61</v>
      </c>
      <c r="D374" s="16" t="n">
        <f aca="false">IF(C374=0,(1+Dic2024!$G$6)^(-B374),EXP(LN(INDEX(Dic2024!$H$6:$H$205,C374))+(LN(INDEX(Dic2024!$H$6:$H$205,MIN(C374+1,200)))-LN(INDEX(Dic2024!$H$6:$H$205,C374)))*(A374-6*C374)/6))</f>
        <v>0.171547827700648</v>
      </c>
      <c r="E374" s="12" t="n">
        <f aca="false">D374^(-1/B374)-1</f>
        <v>0.0588409999999999</v>
      </c>
      <c r="F374" s="12" t="n">
        <f aca="false">(1+E374)^(1/12)-1</f>
        <v>0.00477594478330623</v>
      </c>
      <c r="G374" s="16" t="n">
        <f aca="false">IF(C374=0,(1+Dic2024!$J$6)^(-B374),EXP(LN(INDEX(Dic2024!$K$6:$K$205,C374))+(LN(INDEX(Dic2024!$K$6:$K$205,MIN(C374+1,200)))-LN(INDEX(Dic2024!$K$6:$K$205,C374)))*(A374-6*C374)/6))</f>
        <v>0.171547827700648</v>
      </c>
      <c r="H374" s="12" t="n">
        <f aca="false">G374^(-1/B374)-1</f>
        <v>0.0588409999999999</v>
      </c>
      <c r="I374" s="12" t="n">
        <f aca="false">(1+H374)^(1/12)-1</f>
        <v>0.00477594478330623</v>
      </c>
      <c r="J374" s="16" t="n">
        <f aca="false">IF(C374=0,(1+Dic2024!$M$6)^(-B374),EXP(LN(INDEX(Dic2024!$N$6:$N$205,C374))+(LN(INDEX(Dic2024!$N$6:$N$205,MIN(C374+1,200)))-LN(INDEX(Dic2024!$N$6:$N$205,C374)))*(A374-6*C374)/6))</f>
        <v>0.171547827700648</v>
      </c>
      <c r="K374" s="12" t="n">
        <f aca="false">J374^(-1/B374)-1</f>
        <v>0.0588409999999999</v>
      </c>
      <c r="L374" s="12" t="n">
        <f aca="false">(1+K374)^(1/12)-1</f>
        <v>0.00477594478330623</v>
      </c>
    </row>
    <row r="375" customFormat="false" ht="15" hidden="false" customHeight="false" outlineLevel="0" collapsed="false">
      <c r="A375" s="4" t="n">
        <v>371</v>
      </c>
      <c r="B375" s="14" t="n">
        <f aca="false">A375/12</f>
        <v>30.9166666666667</v>
      </c>
      <c r="C375" s="15" t="n">
        <f aca="false">INT(A375/6)</f>
        <v>61</v>
      </c>
      <c r="D375" s="16" t="n">
        <f aca="false">IF(C375=0,(1+Dic2024!$G$6)^(-B375),EXP(LN(INDEX(Dic2024!$H$6:$H$205,C375))+(LN(INDEX(Dic2024!$H$6:$H$205,MIN(C375+1,200)))-LN(INDEX(Dic2024!$H$6:$H$205,C375)))*(A375-6*C375)/6))</f>
        <v>0.170732419094333</v>
      </c>
      <c r="E375" s="12" t="n">
        <f aca="false">D375^(-1/B375)-1</f>
        <v>0.0588409999999999</v>
      </c>
      <c r="F375" s="12" t="n">
        <f aca="false">(1+E375)^(1/12)-1</f>
        <v>0.00477594478330623</v>
      </c>
      <c r="G375" s="16" t="n">
        <f aca="false">IF(C375=0,(1+Dic2024!$J$6)^(-B375),EXP(LN(INDEX(Dic2024!$K$6:$K$205,C375))+(LN(INDEX(Dic2024!$K$6:$K$205,MIN(C375+1,200)))-LN(INDEX(Dic2024!$K$6:$K$205,C375)))*(A375-6*C375)/6))</f>
        <v>0.170732419094333</v>
      </c>
      <c r="H375" s="12" t="n">
        <f aca="false">G375^(-1/B375)-1</f>
        <v>0.0588409999999999</v>
      </c>
      <c r="I375" s="12" t="n">
        <f aca="false">(1+H375)^(1/12)-1</f>
        <v>0.00477594478330623</v>
      </c>
      <c r="J375" s="16" t="n">
        <f aca="false">IF(C375=0,(1+Dic2024!$M$6)^(-B375),EXP(LN(INDEX(Dic2024!$N$6:$N$205,C375))+(LN(INDEX(Dic2024!$N$6:$N$205,MIN(C375+1,200)))-LN(INDEX(Dic2024!$N$6:$N$205,C375)))*(A375-6*C375)/6))</f>
        <v>0.170732419094333</v>
      </c>
      <c r="K375" s="12" t="n">
        <f aca="false">J375^(-1/B375)-1</f>
        <v>0.0588409999999999</v>
      </c>
      <c r="L375" s="12" t="n">
        <f aca="false">(1+K375)^(1/12)-1</f>
        <v>0.00477594478330623</v>
      </c>
    </row>
    <row r="376" customFormat="false" ht="15" hidden="false" customHeight="false" outlineLevel="0" collapsed="false">
      <c r="A376" s="4" t="n">
        <v>372</v>
      </c>
      <c r="B376" s="14" t="n">
        <f aca="false">A376/12</f>
        <v>31</v>
      </c>
      <c r="C376" s="15" t="n">
        <f aca="false">INT(A376/6)</f>
        <v>62</v>
      </c>
      <c r="D376" s="16" t="n">
        <f aca="false">IF(C376=0,(1+Dic2024!$G$6)^(-B376),EXP(LN(INDEX(Dic2024!$H$6:$H$205,C376))+(LN(INDEX(Dic2024!$H$6:$H$205,MIN(C376+1,200)))-LN(INDEX(Dic2024!$H$6:$H$205,C376)))*(A376-6*C376)/6))</f>
        <v>0.169920886323721</v>
      </c>
      <c r="E376" s="12" t="n">
        <f aca="false">D376^(-1/B376)-1</f>
        <v>0.0588409999999999</v>
      </c>
      <c r="F376" s="12" t="n">
        <f aca="false">(1+E376)^(1/12)-1</f>
        <v>0.00477594478330623</v>
      </c>
      <c r="G376" s="16" t="n">
        <f aca="false">IF(C376=0,(1+Dic2024!$J$6)^(-B376),EXP(LN(INDEX(Dic2024!$K$6:$K$205,C376))+(LN(INDEX(Dic2024!$K$6:$K$205,MIN(C376+1,200)))-LN(INDEX(Dic2024!$K$6:$K$205,C376)))*(A376-6*C376)/6))</f>
        <v>0.169920886323721</v>
      </c>
      <c r="H376" s="12" t="n">
        <f aca="false">G376^(-1/B376)-1</f>
        <v>0.0588409999999999</v>
      </c>
      <c r="I376" s="12" t="n">
        <f aca="false">(1+H376)^(1/12)-1</f>
        <v>0.00477594478330623</v>
      </c>
      <c r="J376" s="16" t="n">
        <f aca="false">IF(C376=0,(1+Dic2024!$M$6)^(-B376),EXP(LN(INDEX(Dic2024!$N$6:$N$205,C376))+(LN(INDEX(Dic2024!$N$6:$N$205,MIN(C376+1,200)))-LN(INDEX(Dic2024!$N$6:$N$205,C376)))*(A376-6*C376)/6))</f>
        <v>0.169920886323721</v>
      </c>
      <c r="K376" s="12" t="n">
        <f aca="false">J376^(-1/B376)-1</f>
        <v>0.0588409999999999</v>
      </c>
      <c r="L376" s="12" t="n">
        <f aca="false">(1+K376)^(1/12)-1</f>
        <v>0.00477594478330623</v>
      </c>
    </row>
    <row r="377" customFormat="false" ht="15" hidden="false" customHeight="false" outlineLevel="0" collapsed="false">
      <c r="A377" s="4" t="n">
        <v>373</v>
      </c>
      <c r="B377" s="14" t="n">
        <f aca="false">A377/12</f>
        <v>31.0833333333333</v>
      </c>
      <c r="C377" s="15" t="n">
        <f aca="false">INT(A377/6)</f>
        <v>62</v>
      </c>
      <c r="D377" s="16" t="n">
        <f aca="false">IF(C377=0,(1+Dic2024!$G$6)^(-B377),EXP(LN(INDEX(Dic2024!$H$6:$H$205,C377))+(LN(INDEX(Dic2024!$H$6:$H$205,MIN(C377+1,200)))-LN(INDEX(Dic2024!$H$6:$H$205,C377)))*(A377-6*C377)/6))</f>
        <v>0.169113210966019</v>
      </c>
      <c r="E377" s="12" t="n">
        <f aca="false">D377^(-1/B377)-1</f>
        <v>0.0588409999999999</v>
      </c>
      <c r="F377" s="12" t="n">
        <f aca="false">(1+E377)^(1/12)-1</f>
        <v>0.00477594478330623</v>
      </c>
      <c r="G377" s="16" t="n">
        <f aca="false">IF(C377=0,(1+Dic2024!$J$6)^(-B377),EXP(LN(INDEX(Dic2024!$K$6:$K$205,C377))+(LN(INDEX(Dic2024!$K$6:$K$205,MIN(C377+1,200)))-LN(INDEX(Dic2024!$K$6:$K$205,C377)))*(A377-6*C377)/6))</f>
        <v>0.169113210966019</v>
      </c>
      <c r="H377" s="12" t="n">
        <f aca="false">G377^(-1/B377)-1</f>
        <v>0.0588409999999999</v>
      </c>
      <c r="I377" s="12" t="n">
        <f aca="false">(1+H377)^(1/12)-1</f>
        <v>0.00477594478330623</v>
      </c>
      <c r="J377" s="16" t="n">
        <f aca="false">IF(C377=0,(1+Dic2024!$M$6)^(-B377),EXP(LN(INDEX(Dic2024!$N$6:$N$205,C377))+(LN(INDEX(Dic2024!$N$6:$N$205,MIN(C377+1,200)))-LN(INDEX(Dic2024!$N$6:$N$205,C377)))*(A377-6*C377)/6))</f>
        <v>0.169113210966019</v>
      </c>
      <c r="K377" s="12" t="n">
        <f aca="false">J377^(-1/B377)-1</f>
        <v>0.0588409999999999</v>
      </c>
      <c r="L377" s="12" t="n">
        <f aca="false">(1+K377)^(1/12)-1</f>
        <v>0.00477594478330623</v>
      </c>
    </row>
    <row r="378" customFormat="false" ht="15" hidden="false" customHeight="false" outlineLevel="0" collapsed="false">
      <c r="A378" s="4" t="n">
        <v>374</v>
      </c>
      <c r="B378" s="14" t="n">
        <f aca="false">A378/12</f>
        <v>31.1666666666667</v>
      </c>
      <c r="C378" s="15" t="n">
        <f aca="false">INT(A378/6)</f>
        <v>62</v>
      </c>
      <c r="D378" s="16" t="n">
        <f aca="false">IF(C378=0,(1+Dic2024!$G$6)^(-B378),EXP(LN(INDEX(Dic2024!$H$6:$H$205,C378))+(LN(INDEX(Dic2024!$H$6:$H$205,MIN(C378+1,200)))-LN(INDEX(Dic2024!$H$6:$H$205,C378)))*(A378-6*C378)/6))</f>
        <v>0.168309374686006</v>
      </c>
      <c r="E378" s="12" t="n">
        <f aca="false">D378^(-1/B378)-1</f>
        <v>0.0588409999999999</v>
      </c>
      <c r="F378" s="12" t="n">
        <f aca="false">(1+E378)^(1/12)-1</f>
        <v>0.00477594478330623</v>
      </c>
      <c r="G378" s="16" t="n">
        <f aca="false">IF(C378=0,(1+Dic2024!$J$6)^(-B378),EXP(LN(INDEX(Dic2024!$K$6:$K$205,C378))+(LN(INDEX(Dic2024!$K$6:$K$205,MIN(C378+1,200)))-LN(INDEX(Dic2024!$K$6:$K$205,C378)))*(A378-6*C378)/6))</f>
        <v>0.168309374686006</v>
      </c>
      <c r="H378" s="12" t="n">
        <f aca="false">G378^(-1/B378)-1</f>
        <v>0.0588409999999999</v>
      </c>
      <c r="I378" s="12" t="n">
        <f aca="false">(1+H378)^(1/12)-1</f>
        <v>0.00477594478330623</v>
      </c>
      <c r="J378" s="16" t="n">
        <f aca="false">IF(C378=0,(1+Dic2024!$M$6)^(-B378),EXP(LN(INDEX(Dic2024!$N$6:$N$205,C378))+(LN(INDEX(Dic2024!$N$6:$N$205,MIN(C378+1,200)))-LN(INDEX(Dic2024!$N$6:$N$205,C378)))*(A378-6*C378)/6))</f>
        <v>0.168309374686006</v>
      </c>
      <c r="K378" s="12" t="n">
        <f aca="false">J378^(-1/B378)-1</f>
        <v>0.0588409999999999</v>
      </c>
      <c r="L378" s="12" t="n">
        <f aca="false">(1+K378)^(1/12)-1</f>
        <v>0.00477594478330623</v>
      </c>
    </row>
    <row r="379" customFormat="false" ht="15" hidden="false" customHeight="false" outlineLevel="0" collapsed="false">
      <c r="A379" s="4" t="n">
        <v>375</v>
      </c>
      <c r="B379" s="14" t="n">
        <f aca="false">A379/12</f>
        <v>31.25</v>
      </c>
      <c r="C379" s="15" t="n">
        <f aca="false">INT(A379/6)</f>
        <v>62</v>
      </c>
      <c r="D379" s="16" t="n">
        <f aca="false">IF(C379=0,(1+Dic2024!$G$6)^(-B379),EXP(LN(INDEX(Dic2024!$H$6:$H$205,C379))+(LN(INDEX(Dic2024!$H$6:$H$205,MIN(C379+1,200)))-LN(INDEX(Dic2024!$H$6:$H$205,C379)))*(A379-6*C379)/6))</f>
        <v>0.16750935923561</v>
      </c>
      <c r="E379" s="12" t="n">
        <f aca="false">D379^(-1/B379)-1</f>
        <v>0.0588409999999999</v>
      </c>
      <c r="F379" s="12" t="n">
        <f aca="false">(1+E379)^(1/12)-1</f>
        <v>0.00477594478330623</v>
      </c>
      <c r="G379" s="16" t="n">
        <f aca="false">IF(C379=0,(1+Dic2024!$J$6)^(-B379),EXP(LN(INDEX(Dic2024!$K$6:$K$205,C379))+(LN(INDEX(Dic2024!$K$6:$K$205,MIN(C379+1,200)))-LN(INDEX(Dic2024!$K$6:$K$205,C379)))*(A379-6*C379)/6))</f>
        <v>0.16750935923561</v>
      </c>
      <c r="H379" s="12" t="n">
        <f aca="false">G379^(-1/B379)-1</f>
        <v>0.0588409999999999</v>
      </c>
      <c r="I379" s="12" t="n">
        <f aca="false">(1+H379)^(1/12)-1</f>
        <v>0.00477594478330623</v>
      </c>
      <c r="J379" s="16" t="n">
        <f aca="false">IF(C379=0,(1+Dic2024!$M$6)^(-B379),EXP(LN(INDEX(Dic2024!$N$6:$N$205,C379))+(LN(INDEX(Dic2024!$N$6:$N$205,MIN(C379+1,200)))-LN(INDEX(Dic2024!$N$6:$N$205,C379)))*(A379-6*C379)/6))</f>
        <v>0.16750935923561</v>
      </c>
      <c r="K379" s="12" t="n">
        <f aca="false">J379^(-1/B379)-1</f>
        <v>0.0588409999999999</v>
      </c>
      <c r="L379" s="12" t="n">
        <f aca="false">(1+K379)^(1/12)-1</f>
        <v>0.00477594478330623</v>
      </c>
    </row>
    <row r="380" customFormat="false" ht="15" hidden="false" customHeight="false" outlineLevel="0" collapsed="false">
      <c r="A380" s="4" t="n">
        <v>376</v>
      </c>
      <c r="B380" s="14" t="n">
        <f aca="false">A380/12</f>
        <v>31.3333333333333</v>
      </c>
      <c r="C380" s="15" t="n">
        <f aca="false">INT(A380/6)</f>
        <v>62</v>
      </c>
      <c r="D380" s="16" t="n">
        <f aca="false">IF(C380=0,(1+Dic2024!$G$6)^(-B380),EXP(LN(INDEX(Dic2024!$H$6:$H$205,C380))+(LN(INDEX(Dic2024!$H$6:$H$205,MIN(C380+1,200)))-LN(INDEX(Dic2024!$H$6:$H$205,C380)))*(A380-6*C380)/6))</f>
        <v>0.166713146453497</v>
      </c>
      <c r="E380" s="12" t="n">
        <f aca="false">D380^(-1/B380)-1</f>
        <v>0.0588409999999999</v>
      </c>
      <c r="F380" s="12" t="n">
        <f aca="false">(1+E380)^(1/12)-1</f>
        <v>0.00477594478330623</v>
      </c>
      <c r="G380" s="16" t="n">
        <f aca="false">IF(C380=0,(1+Dic2024!$J$6)^(-B380),EXP(LN(INDEX(Dic2024!$K$6:$K$205,C380))+(LN(INDEX(Dic2024!$K$6:$K$205,MIN(C380+1,200)))-LN(INDEX(Dic2024!$K$6:$K$205,C380)))*(A380-6*C380)/6))</f>
        <v>0.166713146453497</v>
      </c>
      <c r="H380" s="12" t="n">
        <f aca="false">G380^(-1/B380)-1</f>
        <v>0.0588409999999999</v>
      </c>
      <c r="I380" s="12" t="n">
        <f aca="false">(1+H380)^(1/12)-1</f>
        <v>0.00477594478330623</v>
      </c>
      <c r="J380" s="16" t="n">
        <f aca="false">IF(C380=0,(1+Dic2024!$M$6)^(-B380),EXP(LN(INDEX(Dic2024!$N$6:$N$205,C380))+(LN(INDEX(Dic2024!$N$6:$N$205,MIN(C380+1,200)))-LN(INDEX(Dic2024!$N$6:$N$205,C380)))*(A380-6*C380)/6))</f>
        <v>0.166713146453497</v>
      </c>
      <c r="K380" s="12" t="n">
        <f aca="false">J380^(-1/B380)-1</f>
        <v>0.0588409999999999</v>
      </c>
      <c r="L380" s="12" t="n">
        <f aca="false">(1+K380)^(1/12)-1</f>
        <v>0.00477594478330623</v>
      </c>
    </row>
    <row r="381" customFormat="false" ht="15" hidden="false" customHeight="false" outlineLevel="0" collapsed="false">
      <c r="A381" s="4" t="n">
        <v>377</v>
      </c>
      <c r="B381" s="14" t="n">
        <f aca="false">A381/12</f>
        <v>31.4166666666667</v>
      </c>
      <c r="C381" s="15" t="n">
        <f aca="false">INT(A381/6)</f>
        <v>62</v>
      </c>
      <c r="D381" s="16" t="n">
        <f aca="false">IF(C381=0,(1+Dic2024!$G$6)^(-B381),EXP(LN(INDEX(Dic2024!$H$6:$H$205,C381))+(LN(INDEX(Dic2024!$H$6:$H$205,MIN(C381+1,200)))-LN(INDEX(Dic2024!$H$6:$H$205,C381)))*(A381-6*C381)/6))</f>
        <v>0.165920718264658</v>
      </c>
      <c r="E381" s="12" t="n">
        <f aca="false">D381^(-1/B381)-1</f>
        <v>0.0588409999999999</v>
      </c>
      <c r="F381" s="12" t="n">
        <f aca="false">(1+E381)^(1/12)-1</f>
        <v>0.00477594478330623</v>
      </c>
      <c r="G381" s="16" t="n">
        <f aca="false">IF(C381=0,(1+Dic2024!$J$6)^(-B381),EXP(LN(INDEX(Dic2024!$K$6:$K$205,C381))+(LN(INDEX(Dic2024!$K$6:$K$205,MIN(C381+1,200)))-LN(INDEX(Dic2024!$K$6:$K$205,C381)))*(A381-6*C381)/6))</f>
        <v>0.165920718264658</v>
      </c>
      <c r="H381" s="12" t="n">
        <f aca="false">G381^(-1/B381)-1</f>
        <v>0.0588409999999999</v>
      </c>
      <c r="I381" s="12" t="n">
        <f aca="false">(1+H381)^(1/12)-1</f>
        <v>0.00477594478330623</v>
      </c>
      <c r="J381" s="16" t="n">
        <f aca="false">IF(C381=0,(1+Dic2024!$M$6)^(-B381),EXP(LN(INDEX(Dic2024!$N$6:$N$205,C381))+(LN(INDEX(Dic2024!$N$6:$N$205,MIN(C381+1,200)))-LN(INDEX(Dic2024!$N$6:$N$205,C381)))*(A381-6*C381)/6))</f>
        <v>0.165920718264658</v>
      </c>
      <c r="K381" s="12" t="n">
        <f aca="false">J381^(-1/B381)-1</f>
        <v>0.0588409999999999</v>
      </c>
      <c r="L381" s="12" t="n">
        <f aca="false">(1+K381)^(1/12)-1</f>
        <v>0.00477594478330623</v>
      </c>
    </row>
    <row r="382" customFormat="false" ht="15" hidden="false" customHeight="false" outlineLevel="0" collapsed="false">
      <c r="A382" s="4" t="n">
        <v>378</v>
      </c>
      <c r="B382" s="14" t="n">
        <f aca="false">A382/12</f>
        <v>31.5</v>
      </c>
      <c r="C382" s="15" t="n">
        <f aca="false">INT(A382/6)</f>
        <v>63</v>
      </c>
      <c r="D382" s="16" t="n">
        <f aca="false">IF(C382=0,(1+Dic2024!$G$6)^(-B382),EXP(LN(INDEX(Dic2024!$H$6:$H$205,C382))+(LN(INDEX(Dic2024!$H$6:$H$205,MIN(C382+1,200)))-LN(INDEX(Dic2024!$H$6:$H$205,C382)))*(A382-6*C382)/6))</f>
        <v>0.165132056680001</v>
      </c>
      <c r="E382" s="12" t="n">
        <f aca="false">D382^(-1/B382)-1</f>
        <v>0.0588409999999999</v>
      </c>
      <c r="F382" s="12" t="n">
        <f aca="false">(1+E382)^(1/12)-1</f>
        <v>0.00477594478330623</v>
      </c>
      <c r="G382" s="16" t="n">
        <f aca="false">IF(C382=0,(1+Dic2024!$J$6)^(-B382),EXP(LN(INDEX(Dic2024!$K$6:$K$205,C382))+(LN(INDEX(Dic2024!$K$6:$K$205,MIN(C382+1,200)))-LN(INDEX(Dic2024!$K$6:$K$205,C382)))*(A382-6*C382)/6))</f>
        <v>0.165132056680001</v>
      </c>
      <c r="H382" s="12" t="n">
        <f aca="false">G382^(-1/B382)-1</f>
        <v>0.0588409999999999</v>
      </c>
      <c r="I382" s="12" t="n">
        <f aca="false">(1+H382)^(1/12)-1</f>
        <v>0.00477594478330623</v>
      </c>
      <c r="J382" s="16" t="n">
        <f aca="false">IF(C382=0,(1+Dic2024!$M$6)^(-B382),EXP(LN(INDEX(Dic2024!$N$6:$N$205,C382))+(LN(INDEX(Dic2024!$N$6:$N$205,MIN(C382+1,200)))-LN(INDEX(Dic2024!$N$6:$N$205,C382)))*(A382-6*C382)/6))</f>
        <v>0.165132056680001</v>
      </c>
      <c r="K382" s="12" t="n">
        <f aca="false">J382^(-1/B382)-1</f>
        <v>0.0588409999999999</v>
      </c>
      <c r="L382" s="12" t="n">
        <f aca="false">(1+K382)^(1/12)-1</f>
        <v>0.00477594478330623</v>
      </c>
    </row>
    <row r="383" customFormat="false" ht="15" hidden="false" customHeight="false" outlineLevel="0" collapsed="false">
      <c r="A383" s="4" t="n">
        <v>379</v>
      </c>
      <c r="B383" s="14" t="n">
        <f aca="false">A383/12</f>
        <v>31.5833333333333</v>
      </c>
      <c r="C383" s="15" t="n">
        <f aca="false">INT(A383/6)</f>
        <v>63</v>
      </c>
      <c r="D383" s="16" t="n">
        <f aca="false">IF(C383=0,(1+Dic2024!$G$6)^(-B383),EXP(LN(INDEX(Dic2024!$H$6:$H$205,C383))+(LN(INDEX(Dic2024!$H$6:$H$205,MIN(C383+1,200)))-LN(INDEX(Dic2024!$H$6:$H$205,C383)))*(A383-6*C383)/6))</f>
        <v>0.1642619863902</v>
      </c>
      <c r="E383" s="12" t="n">
        <f aca="false">D383^(-1/B383)-1</f>
        <v>0.0588583759737198</v>
      </c>
      <c r="F383" s="12" t="n">
        <f aca="false">(1+E383)^(1/12)-1</f>
        <v>0.00477731883514676</v>
      </c>
      <c r="G383" s="16" t="n">
        <f aca="false">IF(C383=0,(1+Dic2024!$J$6)^(-B383),EXP(LN(INDEX(Dic2024!$K$6:$K$205,C383))+(LN(INDEX(Dic2024!$K$6:$K$205,MIN(C383+1,200)))-LN(INDEX(Dic2024!$K$6:$K$205,C383)))*(A383-6*C383)/6))</f>
        <v>0.1642619863902</v>
      </c>
      <c r="H383" s="12" t="n">
        <f aca="false">G383^(-1/B383)-1</f>
        <v>0.0588583759737198</v>
      </c>
      <c r="I383" s="12" t="n">
        <f aca="false">(1+H383)^(1/12)-1</f>
        <v>0.00477731883514676</v>
      </c>
      <c r="J383" s="16" t="n">
        <f aca="false">IF(C383=0,(1+Dic2024!$M$6)^(-B383),EXP(LN(INDEX(Dic2024!$N$6:$N$205,C383))+(LN(INDEX(Dic2024!$N$6:$N$205,MIN(C383+1,200)))-LN(INDEX(Dic2024!$N$6:$N$205,C383)))*(A383-6*C383)/6))</f>
        <v>0.1642619863902</v>
      </c>
      <c r="K383" s="12" t="n">
        <f aca="false">J383^(-1/B383)-1</f>
        <v>0.0588583759737198</v>
      </c>
      <c r="L383" s="12" t="n">
        <f aca="false">(1+K383)^(1/12)-1</f>
        <v>0.00477731883514676</v>
      </c>
    </row>
    <row r="384" customFormat="false" ht="15" hidden="false" customHeight="false" outlineLevel="0" collapsed="false">
      <c r="A384" s="4" t="n">
        <v>380</v>
      </c>
      <c r="B384" s="14" t="n">
        <f aca="false">A384/12</f>
        <v>31.6666666666667</v>
      </c>
      <c r="C384" s="15" t="n">
        <f aca="false">INT(A384/6)</f>
        <v>63</v>
      </c>
      <c r="D384" s="16" t="n">
        <f aca="false">IF(C384=0,(1+Dic2024!$G$6)^(-B384),EXP(LN(INDEX(Dic2024!$H$6:$H$205,C384))+(LN(INDEX(Dic2024!$H$6:$H$205,MIN(C384+1,200)))-LN(INDEX(Dic2024!$H$6:$H$205,C384)))*(A384-6*C384)/6))</f>
        <v>0.163396500445344</v>
      </c>
      <c r="E384" s="12" t="n">
        <f aca="false">D384^(-1/B384)-1</f>
        <v>0.0588756607778451</v>
      </c>
      <c r="F384" s="12" t="n">
        <f aca="false">(1+E384)^(1/12)-1</f>
        <v>0.00477868565699935</v>
      </c>
      <c r="G384" s="16" t="n">
        <f aca="false">IF(C384=0,(1+Dic2024!$J$6)^(-B384),EXP(LN(INDEX(Dic2024!$K$6:$K$205,C384))+(LN(INDEX(Dic2024!$K$6:$K$205,MIN(C384+1,200)))-LN(INDEX(Dic2024!$K$6:$K$205,C384)))*(A384-6*C384)/6))</f>
        <v>0.163396500445344</v>
      </c>
      <c r="H384" s="12" t="n">
        <f aca="false">G384^(-1/B384)-1</f>
        <v>0.0588756607778451</v>
      </c>
      <c r="I384" s="12" t="n">
        <f aca="false">(1+H384)^(1/12)-1</f>
        <v>0.00477868565699935</v>
      </c>
      <c r="J384" s="16" t="n">
        <f aca="false">IF(C384=0,(1+Dic2024!$M$6)^(-B384),EXP(LN(INDEX(Dic2024!$N$6:$N$205,C384))+(LN(INDEX(Dic2024!$N$6:$N$205,MIN(C384+1,200)))-LN(INDEX(Dic2024!$N$6:$N$205,C384)))*(A384-6*C384)/6))</f>
        <v>0.163396500445344</v>
      </c>
      <c r="K384" s="12" t="n">
        <f aca="false">J384^(-1/B384)-1</f>
        <v>0.0588756607778451</v>
      </c>
      <c r="L384" s="12" t="n">
        <f aca="false">(1+K384)^(1/12)-1</f>
        <v>0.00477868565699935</v>
      </c>
    </row>
    <row r="385" customFormat="false" ht="15" hidden="false" customHeight="false" outlineLevel="0" collapsed="false">
      <c r="A385" s="4" t="n">
        <v>381</v>
      </c>
      <c r="B385" s="14" t="n">
        <f aca="false">A385/12</f>
        <v>31.75</v>
      </c>
      <c r="C385" s="15" t="n">
        <f aca="false">INT(A385/6)</f>
        <v>63</v>
      </c>
      <c r="D385" s="16" t="n">
        <f aca="false">IF(C385=0,(1+Dic2024!$G$6)^(-B385),EXP(LN(INDEX(Dic2024!$H$6:$H$205,C385))+(LN(INDEX(Dic2024!$H$6:$H$205,MIN(C385+1,200)))-LN(INDEX(Dic2024!$H$6:$H$205,C385)))*(A385-6*C385)/6))</f>
        <v>0.16253557469081</v>
      </c>
      <c r="E385" s="12" t="n">
        <f aca="false">D385^(-1/B385)-1</f>
        <v>0.0588928551280301</v>
      </c>
      <c r="F385" s="12" t="n">
        <f aca="false">(1+E385)^(1/12)-1</f>
        <v>0.00478004530577914</v>
      </c>
      <c r="G385" s="16" t="n">
        <f aca="false">IF(C385=0,(1+Dic2024!$J$6)^(-B385),EXP(LN(INDEX(Dic2024!$K$6:$K$205,C385))+(LN(INDEX(Dic2024!$K$6:$K$205,MIN(C385+1,200)))-LN(INDEX(Dic2024!$K$6:$K$205,C385)))*(A385-6*C385)/6))</f>
        <v>0.16253557469081</v>
      </c>
      <c r="H385" s="12" t="n">
        <f aca="false">G385^(-1/B385)-1</f>
        <v>0.0588928551280301</v>
      </c>
      <c r="I385" s="12" t="n">
        <f aca="false">(1+H385)^(1/12)-1</f>
        <v>0.00478004530577914</v>
      </c>
      <c r="J385" s="16" t="n">
        <f aca="false">IF(C385=0,(1+Dic2024!$M$6)^(-B385),EXP(LN(INDEX(Dic2024!$N$6:$N$205,C385))+(LN(INDEX(Dic2024!$N$6:$N$205,MIN(C385+1,200)))-LN(INDEX(Dic2024!$N$6:$N$205,C385)))*(A385-6*C385)/6))</f>
        <v>0.16253557469081</v>
      </c>
      <c r="K385" s="12" t="n">
        <f aca="false">J385^(-1/B385)-1</f>
        <v>0.0588928551280301</v>
      </c>
      <c r="L385" s="12" t="n">
        <f aca="false">(1+K385)^(1/12)-1</f>
        <v>0.00478004530577914</v>
      </c>
    </row>
    <row r="386" customFormat="false" ht="15" hidden="false" customHeight="false" outlineLevel="0" collapsed="false">
      <c r="A386" s="4" t="n">
        <v>382</v>
      </c>
      <c r="B386" s="14" t="n">
        <f aca="false">A386/12</f>
        <v>31.8333333333333</v>
      </c>
      <c r="C386" s="15" t="n">
        <f aca="false">INT(A386/6)</f>
        <v>63</v>
      </c>
      <c r="D386" s="16" t="n">
        <f aca="false">IF(C386=0,(1+Dic2024!$G$6)^(-B386),EXP(LN(INDEX(Dic2024!$H$6:$H$205,C386))+(LN(INDEX(Dic2024!$H$6:$H$205,MIN(C386+1,200)))-LN(INDEX(Dic2024!$H$6:$H$205,C386)))*(A386-6*C386)/6))</f>
        <v>0.161679185099247</v>
      </c>
      <c r="E386" s="12" t="n">
        <f aca="false">D386^(-1/B386)-1</f>
        <v>0.0589099597324574</v>
      </c>
      <c r="F386" s="12" t="n">
        <f aca="false">(1+E386)^(1/12)-1</f>
        <v>0.00478139783780418</v>
      </c>
      <c r="G386" s="16" t="n">
        <f aca="false">IF(C386=0,(1+Dic2024!$J$6)^(-B386),EXP(LN(INDEX(Dic2024!$K$6:$K$205,C386))+(LN(INDEX(Dic2024!$K$6:$K$205,MIN(C386+1,200)))-LN(INDEX(Dic2024!$K$6:$K$205,C386)))*(A386-6*C386)/6))</f>
        <v>0.161679185099247</v>
      </c>
      <c r="H386" s="12" t="n">
        <f aca="false">G386^(-1/B386)-1</f>
        <v>0.0589099597324574</v>
      </c>
      <c r="I386" s="12" t="n">
        <f aca="false">(1+H386)^(1/12)-1</f>
        <v>0.00478139783780418</v>
      </c>
      <c r="J386" s="16" t="n">
        <f aca="false">IF(C386=0,(1+Dic2024!$M$6)^(-B386),EXP(LN(INDEX(Dic2024!$N$6:$N$205,C386))+(LN(INDEX(Dic2024!$N$6:$N$205,MIN(C386+1,200)))-LN(INDEX(Dic2024!$N$6:$N$205,C386)))*(A386-6*C386)/6))</f>
        <v>0.161679185099247</v>
      </c>
      <c r="K386" s="12" t="n">
        <f aca="false">J386^(-1/B386)-1</f>
        <v>0.0589099597324574</v>
      </c>
      <c r="L386" s="12" t="n">
        <f aca="false">(1+K386)^(1/12)-1</f>
        <v>0.00478139783780418</v>
      </c>
    </row>
    <row r="387" customFormat="false" ht="15" hidden="false" customHeight="false" outlineLevel="0" collapsed="false">
      <c r="A387" s="4" t="n">
        <v>383</v>
      </c>
      <c r="B387" s="14" t="n">
        <f aca="false">A387/12</f>
        <v>31.9166666666667</v>
      </c>
      <c r="C387" s="15" t="n">
        <f aca="false">INT(A387/6)</f>
        <v>63</v>
      </c>
      <c r="D387" s="16" t="n">
        <f aca="false">IF(C387=0,(1+Dic2024!$G$6)^(-B387),EXP(LN(INDEX(Dic2024!$H$6:$H$205,C387))+(LN(INDEX(Dic2024!$H$6:$H$205,MIN(C387+1,200)))-LN(INDEX(Dic2024!$H$6:$H$205,C387)))*(A387-6*C387)/6))</f>
        <v>0.160827307769901</v>
      </c>
      <c r="E387" s="12" t="n">
        <f aca="false">D387^(-1/B387)-1</f>
        <v>0.0589269752919368</v>
      </c>
      <c r="F387" s="12" t="n">
        <f aca="false">(1+E387)^(1/12)-1</f>
        <v>0.00478274330880524</v>
      </c>
      <c r="G387" s="16" t="n">
        <f aca="false">IF(C387=0,(1+Dic2024!$J$6)^(-B387),EXP(LN(INDEX(Dic2024!$K$6:$K$205,C387))+(LN(INDEX(Dic2024!$K$6:$K$205,MIN(C387+1,200)))-LN(INDEX(Dic2024!$K$6:$K$205,C387)))*(A387-6*C387)/6))</f>
        <v>0.160827307769901</v>
      </c>
      <c r="H387" s="12" t="n">
        <f aca="false">G387^(-1/B387)-1</f>
        <v>0.0589269752919368</v>
      </c>
      <c r="I387" s="12" t="n">
        <f aca="false">(1+H387)^(1/12)-1</f>
        <v>0.00478274330880524</v>
      </c>
      <c r="J387" s="16" t="n">
        <f aca="false">IF(C387=0,(1+Dic2024!$M$6)^(-B387),EXP(LN(INDEX(Dic2024!$N$6:$N$205,C387))+(LN(INDEX(Dic2024!$N$6:$N$205,MIN(C387+1,200)))-LN(INDEX(Dic2024!$N$6:$N$205,C387)))*(A387-6*C387)/6))</f>
        <v>0.160827307769901</v>
      </c>
      <c r="K387" s="12" t="n">
        <f aca="false">J387^(-1/B387)-1</f>
        <v>0.0589269752919368</v>
      </c>
      <c r="L387" s="12" t="n">
        <f aca="false">(1+K387)^(1/12)-1</f>
        <v>0.00478274330880524</v>
      </c>
    </row>
    <row r="388" customFormat="false" ht="15" hidden="false" customHeight="false" outlineLevel="0" collapsed="false">
      <c r="A388" s="4" t="n">
        <v>384</v>
      </c>
      <c r="B388" s="14" t="n">
        <f aca="false">A388/12</f>
        <v>32</v>
      </c>
      <c r="C388" s="15" t="n">
        <f aca="false">INT(A388/6)</f>
        <v>64</v>
      </c>
      <c r="D388" s="16" t="n">
        <f aca="false">IF(C388=0,(1+Dic2024!$G$6)^(-B388),EXP(LN(INDEX(Dic2024!$H$6:$H$205,C388))+(LN(INDEX(Dic2024!$H$6:$H$205,MIN(C388+1,200)))-LN(INDEX(Dic2024!$H$6:$H$205,C388)))*(A388-6*C388)/6))</f>
        <v>0.159979918927949</v>
      </c>
      <c r="E388" s="12" t="n">
        <f aca="false">D388^(-1/B388)-1</f>
        <v>0.0589439025</v>
      </c>
      <c r="F388" s="12" t="n">
        <f aca="false">(1+E388)^(1/12)-1</f>
        <v>0.00478408177393241</v>
      </c>
      <c r="G388" s="16" t="n">
        <f aca="false">IF(C388=0,(1+Dic2024!$J$6)^(-B388),EXP(LN(INDEX(Dic2024!$K$6:$K$205,C388))+(LN(INDEX(Dic2024!$K$6:$K$205,MIN(C388+1,200)))-LN(INDEX(Dic2024!$K$6:$K$205,C388)))*(A388-6*C388)/6))</f>
        <v>0.159979918927949</v>
      </c>
      <c r="H388" s="12" t="n">
        <f aca="false">G388^(-1/B388)-1</f>
        <v>0.0589439025</v>
      </c>
      <c r="I388" s="12" t="n">
        <f aca="false">(1+H388)^(1/12)-1</f>
        <v>0.00478408177393241</v>
      </c>
      <c r="J388" s="16" t="n">
        <f aca="false">IF(C388=0,(1+Dic2024!$M$6)^(-B388),EXP(LN(INDEX(Dic2024!$N$6:$N$205,C388))+(LN(INDEX(Dic2024!$N$6:$N$205,MIN(C388+1,200)))-LN(INDEX(Dic2024!$N$6:$N$205,C388)))*(A388-6*C388)/6))</f>
        <v>0.159979918927949</v>
      </c>
      <c r="K388" s="12" t="n">
        <f aca="false">J388^(-1/B388)-1</f>
        <v>0.0589439025</v>
      </c>
      <c r="L388" s="12" t="n">
        <f aca="false">(1+K388)^(1/12)-1</f>
        <v>0.00478408177393241</v>
      </c>
    </row>
    <row r="389" customFormat="false" ht="15" hidden="false" customHeight="false" outlineLevel="0" collapsed="false">
      <c r="A389" s="4" t="n">
        <v>385</v>
      </c>
      <c r="B389" s="14" t="n">
        <f aca="false">A389/12</f>
        <v>32.0833333333333</v>
      </c>
      <c r="C389" s="15" t="n">
        <f aca="false">INT(A389/6)</f>
        <v>64</v>
      </c>
      <c r="D389" s="16" t="n">
        <f aca="false">IF(C389=0,(1+Dic2024!$G$6)^(-B389),EXP(LN(INDEX(Dic2024!$H$6:$H$205,C389))+(LN(INDEX(Dic2024!$H$6:$H$205,MIN(C389+1,200)))-LN(INDEX(Dic2024!$H$6:$H$205,C389)))*(A389-6*C389)/6))</f>
        <v>0.159218206010496</v>
      </c>
      <c r="E389" s="12" t="n">
        <f aca="false">D389^(-1/B389)-1</f>
        <v>0.0589439025</v>
      </c>
      <c r="F389" s="12" t="n">
        <f aca="false">(1+E389)^(1/12)-1</f>
        <v>0.00478408177393241</v>
      </c>
      <c r="G389" s="16" t="n">
        <f aca="false">IF(C389=0,(1+Dic2024!$J$6)^(-B389),EXP(LN(INDEX(Dic2024!$K$6:$K$205,C389))+(LN(INDEX(Dic2024!$K$6:$K$205,MIN(C389+1,200)))-LN(INDEX(Dic2024!$K$6:$K$205,C389)))*(A389-6*C389)/6))</f>
        <v>0.159218206010496</v>
      </c>
      <c r="H389" s="12" t="n">
        <f aca="false">G389^(-1/B389)-1</f>
        <v>0.0589439025</v>
      </c>
      <c r="I389" s="12" t="n">
        <f aca="false">(1+H389)^(1/12)-1</f>
        <v>0.00478408177393241</v>
      </c>
      <c r="J389" s="16" t="n">
        <f aca="false">IF(C389=0,(1+Dic2024!$M$6)^(-B389),EXP(LN(INDEX(Dic2024!$N$6:$N$205,C389))+(LN(INDEX(Dic2024!$N$6:$N$205,MIN(C389+1,200)))-LN(INDEX(Dic2024!$N$6:$N$205,C389)))*(A389-6*C389)/6))</f>
        <v>0.159218206010496</v>
      </c>
      <c r="K389" s="12" t="n">
        <f aca="false">J389^(-1/B389)-1</f>
        <v>0.0589439025</v>
      </c>
      <c r="L389" s="12" t="n">
        <f aca="false">(1+K389)^(1/12)-1</f>
        <v>0.00478408177393241</v>
      </c>
    </row>
    <row r="390" customFormat="false" ht="15" hidden="false" customHeight="false" outlineLevel="0" collapsed="false">
      <c r="A390" s="4" t="n">
        <v>386</v>
      </c>
      <c r="B390" s="14" t="n">
        <f aca="false">A390/12</f>
        <v>32.1666666666667</v>
      </c>
      <c r="C390" s="15" t="n">
        <f aca="false">INT(A390/6)</f>
        <v>64</v>
      </c>
      <c r="D390" s="16" t="n">
        <f aca="false">IF(C390=0,(1+Dic2024!$G$6)^(-B390),EXP(LN(INDEX(Dic2024!$H$6:$H$205,C390))+(LN(INDEX(Dic2024!$H$6:$H$205,MIN(C390+1,200)))-LN(INDEX(Dic2024!$H$6:$H$205,C390)))*(A390-6*C390)/6))</f>
        <v>0.158460119839277</v>
      </c>
      <c r="E390" s="12" t="n">
        <f aca="false">D390^(-1/B390)-1</f>
        <v>0.0589439025</v>
      </c>
      <c r="F390" s="12" t="n">
        <f aca="false">(1+E390)^(1/12)-1</f>
        <v>0.00478408177393241</v>
      </c>
      <c r="G390" s="16" t="n">
        <f aca="false">IF(C390=0,(1+Dic2024!$J$6)^(-B390),EXP(LN(INDEX(Dic2024!$K$6:$K$205,C390))+(LN(INDEX(Dic2024!$K$6:$K$205,MIN(C390+1,200)))-LN(INDEX(Dic2024!$K$6:$K$205,C390)))*(A390-6*C390)/6))</f>
        <v>0.158460119839277</v>
      </c>
      <c r="H390" s="12" t="n">
        <f aca="false">G390^(-1/B390)-1</f>
        <v>0.0589439025</v>
      </c>
      <c r="I390" s="12" t="n">
        <f aca="false">(1+H390)^(1/12)-1</f>
        <v>0.00478408177393241</v>
      </c>
      <c r="J390" s="16" t="n">
        <f aca="false">IF(C390=0,(1+Dic2024!$M$6)^(-B390),EXP(LN(INDEX(Dic2024!$N$6:$N$205,C390))+(LN(INDEX(Dic2024!$N$6:$N$205,MIN(C390+1,200)))-LN(INDEX(Dic2024!$N$6:$N$205,C390)))*(A390-6*C390)/6))</f>
        <v>0.158460119839277</v>
      </c>
      <c r="K390" s="12" t="n">
        <f aca="false">J390^(-1/B390)-1</f>
        <v>0.0589439025</v>
      </c>
      <c r="L390" s="12" t="n">
        <f aca="false">(1+K390)^(1/12)-1</f>
        <v>0.00478408177393241</v>
      </c>
    </row>
    <row r="391" customFormat="false" ht="15" hidden="false" customHeight="false" outlineLevel="0" collapsed="false">
      <c r="A391" s="4" t="n">
        <v>387</v>
      </c>
      <c r="B391" s="14" t="n">
        <f aca="false">A391/12</f>
        <v>32.25</v>
      </c>
      <c r="C391" s="15" t="n">
        <f aca="false">INT(A391/6)</f>
        <v>64</v>
      </c>
      <c r="D391" s="16" t="n">
        <f aca="false">IF(C391=0,(1+Dic2024!$G$6)^(-B391),EXP(LN(INDEX(Dic2024!$H$6:$H$205,C391))+(LN(INDEX(Dic2024!$H$6:$H$205,MIN(C391+1,200)))-LN(INDEX(Dic2024!$H$6:$H$205,C391)))*(A391-6*C391)/6))</f>
        <v>0.157705643146255</v>
      </c>
      <c r="E391" s="12" t="n">
        <f aca="false">D391^(-1/B391)-1</f>
        <v>0.0589439025</v>
      </c>
      <c r="F391" s="12" t="n">
        <f aca="false">(1+E391)^(1/12)-1</f>
        <v>0.00478408177393241</v>
      </c>
      <c r="G391" s="16" t="n">
        <f aca="false">IF(C391=0,(1+Dic2024!$J$6)^(-B391),EXP(LN(INDEX(Dic2024!$K$6:$K$205,C391))+(LN(INDEX(Dic2024!$K$6:$K$205,MIN(C391+1,200)))-LN(INDEX(Dic2024!$K$6:$K$205,C391)))*(A391-6*C391)/6))</f>
        <v>0.157705643146255</v>
      </c>
      <c r="H391" s="12" t="n">
        <f aca="false">G391^(-1/B391)-1</f>
        <v>0.0589439025</v>
      </c>
      <c r="I391" s="12" t="n">
        <f aca="false">(1+H391)^(1/12)-1</f>
        <v>0.00478408177393241</v>
      </c>
      <c r="J391" s="16" t="n">
        <f aca="false">IF(C391=0,(1+Dic2024!$M$6)^(-B391),EXP(LN(INDEX(Dic2024!$N$6:$N$205,C391))+(LN(INDEX(Dic2024!$N$6:$N$205,MIN(C391+1,200)))-LN(INDEX(Dic2024!$N$6:$N$205,C391)))*(A391-6*C391)/6))</f>
        <v>0.157705643146255</v>
      </c>
      <c r="K391" s="12" t="n">
        <f aca="false">J391^(-1/B391)-1</f>
        <v>0.0589439025</v>
      </c>
      <c r="L391" s="12" t="n">
        <f aca="false">(1+K391)^(1/12)-1</f>
        <v>0.00478408177393241</v>
      </c>
    </row>
    <row r="392" customFormat="false" ht="15" hidden="false" customHeight="false" outlineLevel="0" collapsed="false">
      <c r="A392" s="4" t="n">
        <v>388</v>
      </c>
      <c r="B392" s="14" t="n">
        <f aca="false">A392/12</f>
        <v>32.3333333333333</v>
      </c>
      <c r="C392" s="15" t="n">
        <f aca="false">INT(A392/6)</f>
        <v>64</v>
      </c>
      <c r="D392" s="16" t="n">
        <f aca="false">IF(C392=0,(1+Dic2024!$G$6)^(-B392),EXP(LN(INDEX(Dic2024!$H$6:$H$205,C392))+(LN(INDEX(Dic2024!$H$6:$H$205,MIN(C392+1,200)))-LN(INDEX(Dic2024!$H$6:$H$205,C392)))*(A392-6*C392)/6))</f>
        <v>0.156954758745608</v>
      </c>
      <c r="E392" s="12" t="n">
        <f aca="false">D392^(-1/B392)-1</f>
        <v>0.0589439025</v>
      </c>
      <c r="F392" s="12" t="n">
        <f aca="false">(1+E392)^(1/12)-1</f>
        <v>0.00478408177393241</v>
      </c>
      <c r="G392" s="16" t="n">
        <f aca="false">IF(C392=0,(1+Dic2024!$J$6)^(-B392),EXP(LN(INDEX(Dic2024!$K$6:$K$205,C392))+(LN(INDEX(Dic2024!$K$6:$K$205,MIN(C392+1,200)))-LN(INDEX(Dic2024!$K$6:$K$205,C392)))*(A392-6*C392)/6))</f>
        <v>0.156954758745608</v>
      </c>
      <c r="H392" s="12" t="n">
        <f aca="false">G392^(-1/B392)-1</f>
        <v>0.0589439025</v>
      </c>
      <c r="I392" s="12" t="n">
        <f aca="false">(1+H392)^(1/12)-1</f>
        <v>0.00478408177393241</v>
      </c>
      <c r="J392" s="16" t="n">
        <f aca="false">IF(C392=0,(1+Dic2024!$M$6)^(-B392),EXP(LN(INDEX(Dic2024!$N$6:$N$205,C392))+(LN(INDEX(Dic2024!$N$6:$N$205,MIN(C392+1,200)))-LN(INDEX(Dic2024!$N$6:$N$205,C392)))*(A392-6*C392)/6))</f>
        <v>0.156954758745608</v>
      </c>
      <c r="K392" s="12" t="n">
        <f aca="false">J392^(-1/B392)-1</f>
        <v>0.0589439025</v>
      </c>
      <c r="L392" s="12" t="n">
        <f aca="false">(1+K392)^(1/12)-1</f>
        <v>0.00478408177393241</v>
      </c>
    </row>
    <row r="393" customFormat="false" ht="15" hidden="false" customHeight="false" outlineLevel="0" collapsed="false">
      <c r="A393" s="4" t="n">
        <v>389</v>
      </c>
      <c r="B393" s="14" t="n">
        <f aca="false">A393/12</f>
        <v>32.4166666666667</v>
      </c>
      <c r="C393" s="15" t="n">
        <f aca="false">INT(A393/6)</f>
        <v>64</v>
      </c>
      <c r="D393" s="16" t="n">
        <f aca="false">IF(C393=0,(1+Dic2024!$G$6)^(-B393),EXP(LN(INDEX(Dic2024!$H$6:$H$205,C393))+(LN(INDEX(Dic2024!$H$6:$H$205,MIN(C393+1,200)))-LN(INDEX(Dic2024!$H$6:$H$205,C393)))*(A393-6*C393)/6))</f>
        <v>0.156207449533343</v>
      </c>
      <c r="E393" s="12" t="n">
        <f aca="false">D393^(-1/B393)-1</f>
        <v>0.0589439025</v>
      </c>
      <c r="F393" s="12" t="n">
        <f aca="false">(1+E393)^(1/12)-1</f>
        <v>0.00478408177393241</v>
      </c>
      <c r="G393" s="16" t="n">
        <f aca="false">IF(C393=0,(1+Dic2024!$J$6)^(-B393),EXP(LN(INDEX(Dic2024!$K$6:$K$205,C393))+(LN(INDEX(Dic2024!$K$6:$K$205,MIN(C393+1,200)))-LN(INDEX(Dic2024!$K$6:$K$205,C393)))*(A393-6*C393)/6))</f>
        <v>0.156207449533343</v>
      </c>
      <c r="H393" s="12" t="n">
        <f aca="false">G393^(-1/B393)-1</f>
        <v>0.0589439025</v>
      </c>
      <c r="I393" s="12" t="n">
        <f aca="false">(1+H393)^(1/12)-1</f>
        <v>0.00478408177393241</v>
      </c>
      <c r="J393" s="16" t="n">
        <f aca="false">IF(C393=0,(1+Dic2024!$M$6)^(-B393),EXP(LN(INDEX(Dic2024!$N$6:$N$205,C393))+(LN(INDEX(Dic2024!$N$6:$N$205,MIN(C393+1,200)))-LN(INDEX(Dic2024!$N$6:$N$205,C393)))*(A393-6*C393)/6))</f>
        <v>0.156207449533343</v>
      </c>
      <c r="K393" s="12" t="n">
        <f aca="false">J393^(-1/B393)-1</f>
        <v>0.0589439025</v>
      </c>
      <c r="L393" s="12" t="n">
        <f aca="false">(1+K393)^(1/12)-1</f>
        <v>0.00478408177393241</v>
      </c>
    </row>
    <row r="394" customFormat="false" ht="15" hidden="false" customHeight="false" outlineLevel="0" collapsed="false">
      <c r="A394" s="4" t="n">
        <v>390</v>
      </c>
      <c r="B394" s="14" t="n">
        <f aca="false">A394/12</f>
        <v>32.5</v>
      </c>
      <c r="C394" s="15" t="n">
        <f aca="false">INT(A394/6)</f>
        <v>65</v>
      </c>
      <c r="D394" s="16" t="n">
        <f aca="false">IF(C394=0,(1+Dic2024!$G$6)^(-B394),EXP(LN(INDEX(Dic2024!$H$6:$H$205,C394))+(LN(INDEX(Dic2024!$H$6:$H$205,MIN(C394+1,200)))-LN(INDEX(Dic2024!$H$6:$H$205,C394)))*(A394-6*C394)/6))</f>
        <v>0.155463698486904</v>
      </c>
      <c r="E394" s="12" t="n">
        <f aca="false">D394^(-1/B394)-1</f>
        <v>0.0589439025</v>
      </c>
      <c r="F394" s="12" t="n">
        <f aca="false">(1+E394)^(1/12)-1</f>
        <v>0.00478408177393241</v>
      </c>
      <c r="G394" s="16" t="n">
        <f aca="false">IF(C394=0,(1+Dic2024!$J$6)^(-B394),EXP(LN(INDEX(Dic2024!$K$6:$K$205,C394))+(LN(INDEX(Dic2024!$K$6:$K$205,MIN(C394+1,200)))-LN(INDEX(Dic2024!$K$6:$K$205,C394)))*(A394-6*C394)/6))</f>
        <v>0.155463698486904</v>
      </c>
      <c r="H394" s="12" t="n">
        <f aca="false">G394^(-1/B394)-1</f>
        <v>0.0589439025</v>
      </c>
      <c r="I394" s="12" t="n">
        <f aca="false">(1+H394)^(1/12)-1</f>
        <v>0.00478408177393241</v>
      </c>
      <c r="J394" s="16" t="n">
        <f aca="false">IF(C394=0,(1+Dic2024!$M$6)^(-B394),EXP(LN(INDEX(Dic2024!$N$6:$N$205,C394))+(LN(INDEX(Dic2024!$N$6:$N$205,MIN(C394+1,200)))-LN(INDEX(Dic2024!$N$6:$N$205,C394)))*(A394-6*C394)/6))</f>
        <v>0.155463698486904</v>
      </c>
      <c r="K394" s="12" t="n">
        <f aca="false">J394^(-1/B394)-1</f>
        <v>0.0589439025</v>
      </c>
      <c r="L394" s="12" t="n">
        <f aca="false">(1+K394)^(1/12)-1</f>
        <v>0.00478408177393241</v>
      </c>
    </row>
    <row r="395" customFormat="false" ht="15" hidden="false" customHeight="false" outlineLevel="0" collapsed="false">
      <c r="A395" s="4" t="n">
        <v>391</v>
      </c>
      <c r="B395" s="14" t="n">
        <f aca="false">A395/12</f>
        <v>32.5833333333333</v>
      </c>
      <c r="C395" s="15" t="n">
        <f aca="false">INT(A395/6)</f>
        <v>65</v>
      </c>
      <c r="D395" s="16" t="n">
        <f aca="false">IF(C395=0,(1+Dic2024!$G$6)^(-B395),EXP(LN(INDEX(Dic2024!$H$6:$H$205,C395))+(LN(INDEX(Dic2024!$H$6:$H$205,MIN(C395+1,200)))-LN(INDEX(Dic2024!$H$6:$H$205,C395)))*(A395-6*C395)/6))</f>
        <v>0.154723488664784</v>
      </c>
      <c r="E395" s="12" t="n">
        <f aca="false">D395^(-1/B395)-1</f>
        <v>0.0589439025</v>
      </c>
      <c r="F395" s="12" t="n">
        <f aca="false">(1+E395)^(1/12)-1</f>
        <v>0.00478408177393241</v>
      </c>
      <c r="G395" s="16" t="n">
        <f aca="false">IF(C395=0,(1+Dic2024!$J$6)^(-B395),EXP(LN(INDEX(Dic2024!$K$6:$K$205,C395))+(LN(INDEX(Dic2024!$K$6:$K$205,MIN(C395+1,200)))-LN(INDEX(Dic2024!$K$6:$K$205,C395)))*(A395-6*C395)/6))</f>
        <v>0.154723488664784</v>
      </c>
      <c r="H395" s="12" t="n">
        <f aca="false">G395^(-1/B395)-1</f>
        <v>0.0589439025</v>
      </c>
      <c r="I395" s="12" t="n">
        <f aca="false">(1+H395)^(1/12)-1</f>
        <v>0.00478408177393241</v>
      </c>
      <c r="J395" s="16" t="n">
        <f aca="false">IF(C395=0,(1+Dic2024!$M$6)^(-B395),EXP(LN(INDEX(Dic2024!$N$6:$N$205,C395))+(LN(INDEX(Dic2024!$N$6:$N$205,MIN(C395+1,200)))-LN(INDEX(Dic2024!$N$6:$N$205,C395)))*(A395-6*C395)/6))</f>
        <v>0.154723488664784</v>
      </c>
      <c r="K395" s="12" t="n">
        <f aca="false">J395^(-1/B395)-1</f>
        <v>0.0589439025</v>
      </c>
      <c r="L395" s="12" t="n">
        <f aca="false">(1+K395)^(1/12)-1</f>
        <v>0.00478408177393241</v>
      </c>
    </row>
    <row r="396" customFormat="false" ht="15" hidden="false" customHeight="false" outlineLevel="0" collapsed="false">
      <c r="A396" s="4" t="n">
        <v>392</v>
      </c>
      <c r="B396" s="14" t="n">
        <f aca="false">A396/12</f>
        <v>32.6666666666667</v>
      </c>
      <c r="C396" s="15" t="n">
        <f aca="false">INT(A396/6)</f>
        <v>65</v>
      </c>
      <c r="D396" s="16" t="n">
        <f aca="false">IF(C396=0,(1+Dic2024!$G$6)^(-B396),EXP(LN(INDEX(Dic2024!$H$6:$H$205,C396))+(LN(INDEX(Dic2024!$H$6:$H$205,MIN(C396+1,200)))-LN(INDEX(Dic2024!$H$6:$H$205,C396)))*(A396-6*C396)/6))</f>
        <v>0.153986803206139</v>
      </c>
      <c r="E396" s="12" t="n">
        <f aca="false">D396^(-1/B396)-1</f>
        <v>0.0589439025</v>
      </c>
      <c r="F396" s="12" t="n">
        <f aca="false">(1+E396)^(1/12)-1</f>
        <v>0.00478408177393241</v>
      </c>
      <c r="G396" s="16" t="n">
        <f aca="false">IF(C396=0,(1+Dic2024!$J$6)^(-B396),EXP(LN(INDEX(Dic2024!$K$6:$K$205,C396))+(LN(INDEX(Dic2024!$K$6:$K$205,MIN(C396+1,200)))-LN(INDEX(Dic2024!$K$6:$K$205,C396)))*(A396-6*C396)/6))</f>
        <v>0.153986803206139</v>
      </c>
      <c r="H396" s="12" t="n">
        <f aca="false">G396^(-1/B396)-1</f>
        <v>0.0589439025</v>
      </c>
      <c r="I396" s="12" t="n">
        <f aca="false">(1+H396)^(1/12)-1</f>
        <v>0.00478408177393241</v>
      </c>
      <c r="J396" s="16" t="n">
        <f aca="false">IF(C396=0,(1+Dic2024!$M$6)^(-B396),EXP(LN(INDEX(Dic2024!$N$6:$N$205,C396))+(LN(INDEX(Dic2024!$N$6:$N$205,MIN(C396+1,200)))-LN(INDEX(Dic2024!$N$6:$N$205,C396)))*(A396-6*C396)/6))</f>
        <v>0.153986803206139</v>
      </c>
      <c r="K396" s="12" t="n">
        <f aca="false">J396^(-1/B396)-1</f>
        <v>0.0589439025</v>
      </c>
      <c r="L396" s="12" t="n">
        <f aca="false">(1+K396)^(1/12)-1</f>
        <v>0.00478408177393241</v>
      </c>
    </row>
    <row r="397" customFormat="false" ht="15" hidden="false" customHeight="false" outlineLevel="0" collapsed="false">
      <c r="A397" s="4" t="n">
        <v>393</v>
      </c>
      <c r="B397" s="14" t="n">
        <f aca="false">A397/12</f>
        <v>32.75</v>
      </c>
      <c r="C397" s="15" t="n">
        <f aca="false">INT(A397/6)</f>
        <v>65</v>
      </c>
      <c r="D397" s="16" t="n">
        <f aca="false">IF(C397=0,(1+Dic2024!$G$6)^(-B397),EXP(LN(INDEX(Dic2024!$H$6:$H$205,C397))+(LN(INDEX(Dic2024!$H$6:$H$205,MIN(C397+1,200)))-LN(INDEX(Dic2024!$H$6:$H$205,C397)))*(A397-6*C397)/6))</f>
        <v>0.153253625330407</v>
      </c>
      <c r="E397" s="12" t="n">
        <f aca="false">D397^(-1/B397)-1</f>
        <v>0.0589439025</v>
      </c>
      <c r="F397" s="12" t="n">
        <f aca="false">(1+E397)^(1/12)-1</f>
        <v>0.00478408177393241</v>
      </c>
      <c r="G397" s="16" t="n">
        <f aca="false">IF(C397=0,(1+Dic2024!$J$6)^(-B397),EXP(LN(INDEX(Dic2024!$K$6:$K$205,C397))+(LN(INDEX(Dic2024!$K$6:$K$205,MIN(C397+1,200)))-LN(INDEX(Dic2024!$K$6:$K$205,C397)))*(A397-6*C397)/6))</f>
        <v>0.153253625330407</v>
      </c>
      <c r="H397" s="12" t="n">
        <f aca="false">G397^(-1/B397)-1</f>
        <v>0.0589439025</v>
      </c>
      <c r="I397" s="12" t="n">
        <f aca="false">(1+H397)^(1/12)-1</f>
        <v>0.00478408177393241</v>
      </c>
      <c r="J397" s="16" t="n">
        <f aca="false">IF(C397=0,(1+Dic2024!$M$6)^(-B397),EXP(LN(INDEX(Dic2024!$N$6:$N$205,C397))+(LN(INDEX(Dic2024!$N$6:$N$205,MIN(C397+1,200)))-LN(INDEX(Dic2024!$N$6:$N$205,C397)))*(A397-6*C397)/6))</f>
        <v>0.153253625330407</v>
      </c>
      <c r="K397" s="12" t="n">
        <f aca="false">J397^(-1/B397)-1</f>
        <v>0.0589439025</v>
      </c>
      <c r="L397" s="12" t="n">
        <f aca="false">(1+K397)^(1/12)-1</f>
        <v>0.00478408177393241</v>
      </c>
    </row>
    <row r="398" customFormat="false" ht="15" hidden="false" customHeight="false" outlineLevel="0" collapsed="false">
      <c r="A398" s="4" t="n">
        <v>394</v>
      </c>
      <c r="B398" s="14" t="n">
        <f aca="false">A398/12</f>
        <v>32.8333333333333</v>
      </c>
      <c r="C398" s="15" t="n">
        <f aca="false">INT(A398/6)</f>
        <v>65</v>
      </c>
      <c r="D398" s="16" t="n">
        <f aca="false">IF(C398=0,(1+Dic2024!$G$6)^(-B398),EXP(LN(INDEX(Dic2024!$H$6:$H$205,C398))+(LN(INDEX(Dic2024!$H$6:$H$205,MIN(C398+1,200)))-LN(INDEX(Dic2024!$H$6:$H$205,C398)))*(A398-6*C398)/6))</f>
        <v>0.152523938336921</v>
      </c>
      <c r="E398" s="12" t="n">
        <f aca="false">D398^(-1/B398)-1</f>
        <v>0.0589439025</v>
      </c>
      <c r="F398" s="12" t="n">
        <f aca="false">(1+E398)^(1/12)-1</f>
        <v>0.00478408177393241</v>
      </c>
      <c r="G398" s="16" t="n">
        <f aca="false">IF(C398=0,(1+Dic2024!$J$6)^(-B398),EXP(LN(INDEX(Dic2024!$K$6:$K$205,C398))+(LN(INDEX(Dic2024!$K$6:$K$205,MIN(C398+1,200)))-LN(INDEX(Dic2024!$K$6:$K$205,C398)))*(A398-6*C398)/6))</f>
        <v>0.152523938336921</v>
      </c>
      <c r="H398" s="12" t="n">
        <f aca="false">G398^(-1/B398)-1</f>
        <v>0.0589439025</v>
      </c>
      <c r="I398" s="12" t="n">
        <f aca="false">(1+H398)^(1/12)-1</f>
        <v>0.00478408177393241</v>
      </c>
      <c r="J398" s="16" t="n">
        <f aca="false">IF(C398=0,(1+Dic2024!$M$6)^(-B398),EXP(LN(INDEX(Dic2024!$N$6:$N$205,C398))+(LN(INDEX(Dic2024!$N$6:$N$205,MIN(C398+1,200)))-LN(INDEX(Dic2024!$N$6:$N$205,C398)))*(A398-6*C398)/6))</f>
        <v>0.152523938336921</v>
      </c>
      <c r="K398" s="12" t="n">
        <f aca="false">J398^(-1/B398)-1</f>
        <v>0.0589439025</v>
      </c>
      <c r="L398" s="12" t="n">
        <f aca="false">(1+K398)^(1/12)-1</f>
        <v>0.00478408177393241</v>
      </c>
    </row>
    <row r="399" customFormat="false" ht="15" hidden="false" customHeight="false" outlineLevel="0" collapsed="false">
      <c r="A399" s="4" t="n">
        <v>395</v>
      </c>
      <c r="B399" s="14" t="n">
        <f aca="false">A399/12</f>
        <v>32.9166666666667</v>
      </c>
      <c r="C399" s="15" t="n">
        <f aca="false">INT(A399/6)</f>
        <v>65</v>
      </c>
      <c r="D399" s="16" t="n">
        <f aca="false">IF(C399=0,(1+Dic2024!$G$6)^(-B399),EXP(LN(INDEX(Dic2024!$H$6:$H$205,C399))+(LN(INDEX(Dic2024!$H$6:$H$205,MIN(C399+1,200)))-LN(INDEX(Dic2024!$H$6:$H$205,C399)))*(A399-6*C399)/6))</f>
        <v>0.151797725604532</v>
      </c>
      <c r="E399" s="12" t="n">
        <f aca="false">D399^(-1/B399)-1</f>
        <v>0.0589439025</v>
      </c>
      <c r="F399" s="12" t="n">
        <f aca="false">(1+E399)^(1/12)-1</f>
        <v>0.00478408177393241</v>
      </c>
      <c r="G399" s="16" t="n">
        <f aca="false">IF(C399=0,(1+Dic2024!$J$6)^(-B399),EXP(LN(INDEX(Dic2024!$K$6:$K$205,C399))+(LN(INDEX(Dic2024!$K$6:$K$205,MIN(C399+1,200)))-LN(INDEX(Dic2024!$K$6:$K$205,C399)))*(A399-6*C399)/6))</f>
        <v>0.151797725604532</v>
      </c>
      <c r="H399" s="12" t="n">
        <f aca="false">G399^(-1/B399)-1</f>
        <v>0.0589439025</v>
      </c>
      <c r="I399" s="12" t="n">
        <f aca="false">(1+H399)^(1/12)-1</f>
        <v>0.00478408177393241</v>
      </c>
      <c r="J399" s="16" t="n">
        <f aca="false">IF(C399=0,(1+Dic2024!$M$6)^(-B399),EXP(LN(INDEX(Dic2024!$N$6:$N$205,C399))+(LN(INDEX(Dic2024!$N$6:$N$205,MIN(C399+1,200)))-LN(INDEX(Dic2024!$N$6:$N$205,C399)))*(A399-6*C399)/6))</f>
        <v>0.151797725604532</v>
      </c>
      <c r="K399" s="12" t="n">
        <f aca="false">J399^(-1/B399)-1</f>
        <v>0.0589439025</v>
      </c>
      <c r="L399" s="12" t="n">
        <f aca="false">(1+K399)^(1/12)-1</f>
        <v>0.00478408177393241</v>
      </c>
    </row>
    <row r="400" customFormat="false" ht="15" hidden="false" customHeight="false" outlineLevel="0" collapsed="false">
      <c r="A400" s="4" t="n">
        <v>396</v>
      </c>
      <c r="B400" s="14" t="n">
        <f aca="false">A400/12</f>
        <v>33</v>
      </c>
      <c r="C400" s="15" t="n">
        <f aca="false">INT(A400/6)</f>
        <v>66</v>
      </c>
      <c r="D400" s="16" t="n">
        <f aca="false">IF(C400=0,(1+Dic2024!$G$6)^(-B400),EXP(LN(INDEX(Dic2024!$H$6:$H$205,C400))+(LN(INDEX(Dic2024!$H$6:$H$205,MIN(C400+1,200)))-LN(INDEX(Dic2024!$H$6:$H$205,C400)))*(A400-6*C400)/6))</f>
        <v>0.151074970591229</v>
      </c>
      <c r="E400" s="12" t="n">
        <f aca="false">D400^(-1/B400)-1</f>
        <v>0.0589439025</v>
      </c>
      <c r="F400" s="12" t="n">
        <f aca="false">(1+E400)^(1/12)-1</f>
        <v>0.00478408177393241</v>
      </c>
      <c r="G400" s="16" t="n">
        <f aca="false">IF(C400=0,(1+Dic2024!$J$6)^(-B400),EXP(LN(INDEX(Dic2024!$K$6:$K$205,C400))+(LN(INDEX(Dic2024!$K$6:$K$205,MIN(C400+1,200)))-LN(INDEX(Dic2024!$K$6:$K$205,C400)))*(A400-6*C400)/6))</f>
        <v>0.151074970591229</v>
      </c>
      <c r="H400" s="12" t="n">
        <f aca="false">G400^(-1/B400)-1</f>
        <v>0.0589439025</v>
      </c>
      <c r="I400" s="12" t="n">
        <f aca="false">(1+H400)^(1/12)-1</f>
        <v>0.00478408177393241</v>
      </c>
      <c r="J400" s="16" t="n">
        <f aca="false">IF(C400=0,(1+Dic2024!$M$6)^(-B400),EXP(LN(INDEX(Dic2024!$N$6:$N$205,C400))+(LN(INDEX(Dic2024!$N$6:$N$205,MIN(C400+1,200)))-LN(INDEX(Dic2024!$N$6:$N$205,C400)))*(A400-6*C400)/6))</f>
        <v>0.151074970591229</v>
      </c>
      <c r="K400" s="12" t="n">
        <f aca="false">J400^(-1/B400)-1</f>
        <v>0.0589439025</v>
      </c>
      <c r="L400" s="12" t="n">
        <f aca="false">(1+K400)^(1/12)-1</f>
        <v>0.00478408177393241</v>
      </c>
    </row>
    <row r="401" customFormat="false" ht="15" hidden="false" customHeight="false" outlineLevel="0" collapsed="false">
      <c r="A401" s="4" t="n">
        <v>397</v>
      </c>
      <c r="B401" s="14" t="n">
        <f aca="false">A401/12</f>
        <v>33.0833333333333</v>
      </c>
      <c r="C401" s="15" t="n">
        <f aca="false">INT(A401/6)</f>
        <v>66</v>
      </c>
      <c r="D401" s="16" t="n">
        <f aca="false">IF(C401=0,(1+Dic2024!$G$6)^(-B401),EXP(LN(INDEX(Dic2024!$H$6:$H$205,C401))+(LN(INDEX(Dic2024!$H$6:$H$205,MIN(C401+1,200)))-LN(INDEX(Dic2024!$H$6:$H$205,C401)))*(A401-6*C401)/6))</f>
        <v>0.150274102228223</v>
      </c>
      <c r="E401" s="12" t="n">
        <f aca="false">D401^(-1/B401)-1</f>
        <v>0.0589612690592936</v>
      </c>
      <c r="F401" s="12" t="n">
        <f aca="false">(1+E401)^(1/12)-1</f>
        <v>0.00478545495897786</v>
      </c>
      <c r="G401" s="16" t="n">
        <f aca="false">IF(C401=0,(1+Dic2024!$J$6)^(-B401),EXP(LN(INDEX(Dic2024!$K$6:$K$205,C401))+(LN(INDEX(Dic2024!$K$6:$K$205,MIN(C401+1,200)))-LN(INDEX(Dic2024!$K$6:$K$205,C401)))*(A401-6*C401)/6))</f>
        <v>0.150274102228223</v>
      </c>
      <c r="H401" s="12" t="n">
        <f aca="false">G401^(-1/B401)-1</f>
        <v>0.0589612690592936</v>
      </c>
      <c r="I401" s="12" t="n">
        <f aca="false">(1+H401)^(1/12)-1</f>
        <v>0.00478545495897786</v>
      </c>
      <c r="J401" s="16" t="n">
        <f aca="false">IF(C401=0,(1+Dic2024!$M$6)^(-B401),EXP(LN(INDEX(Dic2024!$N$6:$N$205,C401))+(LN(INDEX(Dic2024!$N$6:$N$205,MIN(C401+1,200)))-LN(INDEX(Dic2024!$N$6:$N$205,C401)))*(A401-6*C401)/6))</f>
        <v>0.150274102228223</v>
      </c>
      <c r="K401" s="12" t="n">
        <f aca="false">J401^(-1/B401)-1</f>
        <v>0.0589612690592936</v>
      </c>
      <c r="L401" s="12" t="n">
        <f aca="false">(1+K401)^(1/12)-1</f>
        <v>0.00478545495897786</v>
      </c>
    </row>
    <row r="402" customFormat="false" ht="15" hidden="false" customHeight="false" outlineLevel="0" collapsed="false">
      <c r="A402" s="4" t="n">
        <v>398</v>
      </c>
      <c r="B402" s="14" t="n">
        <f aca="false">A402/12</f>
        <v>33.1666666666667</v>
      </c>
      <c r="C402" s="15" t="n">
        <f aca="false">INT(A402/6)</f>
        <v>66</v>
      </c>
      <c r="D402" s="16" t="n">
        <f aca="false">IF(C402=0,(1+Dic2024!$G$6)^(-B402),EXP(LN(INDEX(Dic2024!$H$6:$H$205,C402))+(LN(INDEX(Dic2024!$H$6:$H$205,MIN(C402+1,200)))-LN(INDEX(Dic2024!$H$6:$H$205,C402)))*(A402-6*C402)/6))</f>
        <v>0.149477479374135</v>
      </c>
      <c r="E402" s="12" t="n">
        <f aca="false">D402^(-1/B402)-1</f>
        <v>0.0589785486321111</v>
      </c>
      <c r="F402" s="12" t="n">
        <f aca="false">(1+E402)^(1/12)-1</f>
        <v>0.00478682124545871</v>
      </c>
      <c r="G402" s="16" t="n">
        <f aca="false">IF(C402=0,(1+Dic2024!$J$6)^(-B402),EXP(LN(INDEX(Dic2024!$K$6:$K$205,C402))+(LN(INDEX(Dic2024!$K$6:$K$205,MIN(C402+1,200)))-LN(INDEX(Dic2024!$K$6:$K$205,C402)))*(A402-6*C402)/6))</f>
        <v>0.149477479374135</v>
      </c>
      <c r="H402" s="12" t="n">
        <f aca="false">G402^(-1/B402)-1</f>
        <v>0.0589785486321111</v>
      </c>
      <c r="I402" s="12" t="n">
        <f aca="false">(1+H402)^(1/12)-1</f>
        <v>0.00478682124545871</v>
      </c>
      <c r="J402" s="16" t="n">
        <f aca="false">IF(C402=0,(1+Dic2024!$M$6)^(-B402),EXP(LN(INDEX(Dic2024!$N$6:$N$205,C402))+(LN(INDEX(Dic2024!$N$6:$N$205,MIN(C402+1,200)))-LN(INDEX(Dic2024!$N$6:$N$205,C402)))*(A402-6*C402)/6))</f>
        <v>0.149477479374135</v>
      </c>
      <c r="K402" s="12" t="n">
        <f aca="false">J402^(-1/B402)-1</f>
        <v>0.0589785486321111</v>
      </c>
      <c r="L402" s="12" t="n">
        <f aca="false">(1+K402)^(1/12)-1</f>
        <v>0.00478682124545871</v>
      </c>
    </row>
    <row r="403" customFormat="false" ht="15" hidden="false" customHeight="false" outlineLevel="0" collapsed="false">
      <c r="A403" s="4" t="n">
        <v>399</v>
      </c>
      <c r="B403" s="14" t="n">
        <f aca="false">A403/12</f>
        <v>33.25</v>
      </c>
      <c r="C403" s="15" t="n">
        <f aca="false">INT(A403/6)</f>
        <v>66</v>
      </c>
      <c r="D403" s="16" t="n">
        <f aca="false">IF(C403=0,(1+Dic2024!$G$6)^(-B403),EXP(LN(INDEX(Dic2024!$H$6:$H$205,C403))+(LN(INDEX(Dic2024!$H$6:$H$205,MIN(C403+1,200)))-LN(INDEX(Dic2024!$H$6:$H$205,C403)))*(A403-6*C403)/6))</f>
        <v>0.148685079522961</v>
      </c>
      <c r="E403" s="12" t="n">
        <f aca="false">D403^(-1/B403)-1</f>
        <v>0.0589957418703713</v>
      </c>
      <c r="F403" s="12" t="n">
        <f aca="false">(1+E403)^(1/12)-1</f>
        <v>0.00478818068522968</v>
      </c>
      <c r="G403" s="16" t="n">
        <f aca="false">IF(C403=0,(1+Dic2024!$J$6)^(-B403),EXP(LN(INDEX(Dic2024!$K$6:$K$205,C403))+(LN(INDEX(Dic2024!$K$6:$K$205,MIN(C403+1,200)))-LN(INDEX(Dic2024!$K$6:$K$205,C403)))*(A403-6*C403)/6))</f>
        <v>0.148685079522961</v>
      </c>
      <c r="H403" s="12" t="n">
        <f aca="false">G403^(-1/B403)-1</f>
        <v>0.0589957418703713</v>
      </c>
      <c r="I403" s="12" t="n">
        <f aca="false">(1+H403)^(1/12)-1</f>
        <v>0.00478818068522968</v>
      </c>
      <c r="J403" s="16" t="n">
        <f aca="false">IF(C403=0,(1+Dic2024!$M$6)^(-B403),EXP(LN(INDEX(Dic2024!$N$6:$N$205,C403))+(LN(INDEX(Dic2024!$N$6:$N$205,MIN(C403+1,200)))-LN(INDEX(Dic2024!$N$6:$N$205,C403)))*(A403-6*C403)/6))</f>
        <v>0.148685079522961</v>
      </c>
      <c r="K403" s="12" t="n">
        <f aca="false">J403^(-1/B403)-1</f>
        <v>0.0589957418703713</v>
      </c>
      <c r="L403" s="12" t="n">
        <f aca="false">(1+K403)^(1/12)-1</f>
        <v>0.00478818068522968</v>
      </c>
    </row>
    <row r="404" customFormat="false" ht="15" hidden="false" customHeight="false" outlineLevel="0" collapsed="false">
      <c r="A404" s="4" t="n">
        <v>400</v>
      </c>
      <c r="B404" s="14" t="n">
        <f aca="false">A404/12</f>
        <v>33.3333333333333</v>
      </c>
      <c r="C404" s="15" t="n">
        <f aca="false">INT(A404/6)</f>
        <v>66</v>
      </c>
      <c r="D404" s="16" t="n">
        <f aca="false">IF(C404=0,(1+Dic2024!$G$6)^(-B404),EXP(LN(INDEX(Dic2024!$H$6:$H$205,C404))+(LN(INDEX(Dic2024!$H$6:$H$205,MIN(C404+1,200)))-LN(INDEX(Dic2024!$H$6:$H$205,C404)))*(A404-6*C404)/6))</f>
        <v>0.147896880288006</v>
      </c>
      <c r="E404" s="12" t="n">
        <f aca="false">D404^(-1/B404)-1</f>
        <v>0.0590128494194939</v>
      </c>
      <c r="F404" s="12" t="n">
        <f aca="false">(1+E404)^(1/12)-1</f>
        <v>0.00478953332962706</v>
      </c>
      <c r="G404" s="16" t="n">
        <f aca="false">IF(C404=0,(1+Dic2024!$J$6)^(-B404),EXP(LN(INDEX(Dic2024!$K$6:$K$205,C404))+(LN(INDEX(Dic2024!$K$6:$K$205,MIN(C404+1,200)))-LN(INDEX(Dic2024!$K$6:$K$205,C404)))*(A404-6*C404)/6))</f>
        <v>0.147896880288006</v>
      </c>
      <c r="H404" s="12" t="n">
        <f aca="false">G404^(-1/B404)-1</f>
        <v>0.0590128494194939</v>
      </c>
      <c r="I404" s="12" t="n">
        <f aca="false">(1+H404)^(1/12)-1</f>
        <v>0.00478953332962706</v>
      </c>
      <c r="J404" s="16" t="n">
        <f aca="false">IF(C404=0,(1+Dic2024!$M$6)^(-B404),EXP(LN(INDEX(Dic2024!$N$6:$N$205,C404))+(LN(INDEX(Dic2024!$N$6:$N$205,MIN(C404+1,200)))-LN(INDEX(Dic2024!$N$6:$N$205,C404)))*(A404-6*C404)/6))</f>
        <v>0.147896880288006</v>
      </c>
      <c r="K404" s="12" t="n">
        <f aca="false">J404^(-1/B404)-1</f>
        <v>0.0590128494194939</v>
      </c>
      <c r="L404" s="12" t="n">
        <f aca="false">(1+K404)^(1/12)-1</f>
        <v>0.00478953332962706</v>
      </c>
    </row>
    <row r="405" customFormat="false" ht="15" hidden="false" customHeight="false" outlineLevel="0" collapsed="false">
      <c r="A405" s="4" t="n">
        <v>401</v>
      </c>
      <c r="B405" s="14" t="n">
        <f aca="false">A405/12</f>
        <v>33.4166666666667</v>
      </c>
      <c r="C405" s="15" t="n">
        <f aca="false">INT(A405/6)</f>
        <v>66</v>
      </c>
      <c r="D405" s="16" t="n">
        <f aca="false">IF(C405=0,(1+Dic2024!$G$6)^(-B405),EXP(LN(INDEX(Dic2024!$H$6:$H$205,C405))+(LN(INDEX(Dic2024!$H$6:$H$205,MIN(C405+1,200)))-LN(INDEX(Dic2024!$H$6:$H$205,C405)))*(A405-6*C405)/6))</f>
        <v>0.147112859401247</v>
      </c>
      <c r="E405" s="12" t="n">
        <f aca="false">D405^(-1/B405)-1</f>
        <v>0.0590298719184819</v>
      </c>
      <c r="F405" s="12" t="n">
        <f aca="false">(1+E405)^(1/12)-1</f>
        <v>0.00479087922947596</v>
      </c>
      <c r="G405" s="16" t="n">
        <f aca="false">IF(C405=0,(1+Dic2024!$J$6)^(-B405),EXP(LN(INDEX(Dic2024!$K$6:$K$205,C405))+(LN(INDEX(Dic2024!$K$6:$K$205,MIN(C405+1,200)))-LN(INDEX(Dic2024!$K$6:$K$205,C405)))*(A405-6*C405)/6))</f>
        <v>0.147112859401247</v>
      </c>
      <c r="H405" s="12" t="n">
        <f aca="false">G405^(-1/B405)-1</f>
        <v>0.0590298719184819</v>
      </c>
      <c r="I405" s="12" t="n">
        <f aca="false">(1+H405)^(1/12)-1</f>
        <v>0.00479087922947596</v>
      </c>
      <c r="J405" s="16" t="n">
        <f aca="false">IF(C405=0,(1+Dic2024!$M$6)^(-B405),EXP(LN(INDEX(Dic2024!$N$6:$N$205,C405))+(LN(INDEX(Dic2024!$N$6:$N$205,MIN(C405+1,200)))-LN(INDEX(Dic2024!$N$6:$N$205,C405)))*(A405-6*C405)/6))</f>
        <v>0.147112859401247</v>
      </c>
      <c r="K405" s="12" t="n">
        <f aca="false">J405^(-1/B405)-1</f>
        <v>0.0590298719184819</v>
      </c>
      <c r="L405" s="12" t="n">
        <f aca="false">(1+K405)^(1/12)-1</f>
        <v>0.00479087922947596</v>
      </c>
    </row>
    <row r="406" customFormat="false" ht="15" hidden="false" customHeight="false" outlineLevel="0" collapsed="false">
      <c r="A406" s="4" t="n">
        <v>402</v>
      </c>
      <c r="B406" s="14" t="n">
        <f aca="false">A406/12</f>
        <v>33.5</v>
      </c>
      <c r="C406" s="15" t="n">
        <f aca="false">INT(A406/6)</f>
        <v>67</v>
      </c>
      <c r="D406" s="16" t="n">
        <f aca="false">IF(C406=0,(1+Dic2024!$G$6)^(-B406),EXP(LN(INDEX(Dic2024!$H$6:$H$205,C406))+(LN(INDEX(Dic2024!$H$6:$H$205,MIN(C406+1,200)))-LN(INDEX(Dic2024!$H$6:$H$205,C406)))*(A406-6*C406)/6))</f>
        <v>0.146332994712711</v>
      </c>
      <c r="E406" s="12" t="n">
        <f aca="false">D406^(-1/B406)-1</f>
        <v>0.0590468099999999</v>
      </c>
      <c r="F406" s="12" t="n">
        <f aca="false">(1+E406)^(1/12)-1</f>
        <v>0.00479221843509481</v>
      </c>
      <c r="G406" s="16" t="n">
        <f aca="false">IF(C406=0,(1+Dic2024!$J$6)^(-B406),EXP(LN(INDEX(Dic2024!$K$6:$K$205,C406))+(LN(INDEX(Dic2024!$K$6:$K$205,MIN(C406+1,200)))-LN(INDEX(Dic2024!$K$6:$K$205,C406)))*(A406-6*C406)/6))</f>
        <v>0.146332994712711</v>
      </c>
      <c r="H406" s="12" t="n">
        <f aca="false">G406^(-1/B406)-1</f>
        <v>0.0590468099999999</v>
      </c>
      <c r="I406" s="12" t="n">
        <f aca="false">(1+H406)^(1/12)-1</f>
        <v>0.00479221843509481</v>
      </c>
      <c r="J406" s="16" t="n">
        <f aca="false">IF(C406=0,(1+Dic2024!$M$6)^(-B406),EXP(LN(INDEX(Dic2024!$N$6:$N$205,C406))+(LN(INDEX(Dic2024!$N$6:$N$205,MIN(C406+1,200)))-LN(INDEX(Dic2024!$N$6:$N$205,C406)))*(A406-6*C406)/6))</f>
        <v>0.146332994712711</v>
      </c>
      <c r="K406" s="12" t="n">
        <f aca="false">J406^(-1/B406)-1</f>
        <v>0.0590468099999999</v>
      </c>
      <c r="L406" s="12" t="n">
        <f aca="false">(1+K406)^(1/12)-1</f>
        <v>0.00479221843509481</v>
      </c>
    </row>
    <row r="407" customFormat="false" ht="15" hidden="false" customHeight="false" outlineLevel="0" collapsed="false">
      <c r="A407" s="4" t="n">
        <v>403</v>
      </c>
      <c r="B407" s="14" t="n">
        <f aca="false">A407/12</f>
        <v>33.5833333333333</v>
      </c>
      <c r="C407" s="15" t="n">
        <f aca="false">INT(A407/6)</f>
        <v>67</v>
      </c>
      <c r="D407" s="16" t="n">
        <f aca="false">IF(C407=0,(1+Dic2024!$G$6)^(-B407),EXP(LN(INDEX(Dic2024!$H$6:$H$205,C407))+(LN(INDEX(Dic2024!$H$6:$H$205,MIN(C407+1,200)))-LN(INDEX(Dic2024!$H$6:$H$205,C407)))*(A407-6*C407)/6))</f>
        <v>0.145635079599458</v>
      </c>
      <c r="E407" s="12" t="n">
        <f aca="false">D407^(-1/B407)-1</f>
        <v>0.0590468099999999</v>
      </c>
      <c r="F407" s="12" t="n">
        <f aca="false">(1+E407)^(1/12)-1</f>
        <v>0.00479221843509481</v>
      </c>
      <c r="G407" s="16" t="n">
        <f aca="false">IF(C407=0,(1+Dic2024!$J$6)^(-B407),EXP(LN(INDEX(Dic2024!$K$6:$K$205,C407))+(LN(INDEX(Dic2024!$K$6:$K$205,MIN(C407+1,200)))-LN(INDEX(Dic2024!$K$6:$K$205,C407)))*(A407-6*C407)/6))</f>
        <v>0.145635079599458</v>
      </c>
      <c r="H407" s="12" t="n">
        <f aca="false">G407^(-1/B407)-1</f>
        <v>0.0590468099999999</v>
      </c>
      <c r="I407" s="12" t="n">
        <f aca="false">(1+H407)^(1/12)-1</f>
        <v>0.00479221843509481</v>
      </c>
      <c r="J407" s="16" t="n">
        <f aca="false">IF(C407=0,(1+Dic2024!$M$6)^(-B407),EXP(LN(INDEX(Dic2024!$N$6:$N$205,C407))+(LN(INDEX(Dic2024!$N$6:$N$205,MIN(C407+1,200)))-LN(INDEX(Dic2024!$N$6:$N$205,C407)))*(A407-6*C407)/6))</f>
        <v>0.145635079599458</v>
      </c>
      <c r="K407" s="12" t="n">
        <f aca="false">J407^(-1/B407)-1</f>
        <v>0.0590468099999999</v>
      </c>
      <c r="L407" s="12" t="n">
        <f aca="false">(1+K407)^(1/12)-1</f>
        <v>0.00479221843509481</v>
      </c>
    </row>
    <row r="408" customFormat="false" ht="15" hidden="false" customHeight="false" outlineLevel="0" collapsed="false">
      <c r="A408" s="4" t="n">
        <v>404</v>
      </c>
      <c r="B408" s="14" t="n">
        <f aca="false">A408/12</f>
        <v>33.6666666666667</v>
      </c>
      <c r="C408" s="15" t="n">
        <f aca="false">INT(A408/6)</f>
        <v>67</v>
      </c>
      <c r="D408" s="16" t="n">
        <f aca="false">IF(C408=0,(1+Dic2024!$G$6)^(-B408),EXP(LN(INDEX(Dic2024!$H$6:$H$205,C408))+(LN(INDEX(Dic2024!$H$6:$H$205,MIN(C408+1,200)))-LN(INDEX(Dic2024!$H$6:$H$205,C408)))*(A408-6*C408)/6))</f>
        <v>0.144940493096449</v>
      </c>
      <c r="E408" s="12" t="n">
        <f aca="false">D408^(-1/B408)-1</f>
        <v>0.0590468099999999</v>
      </c>
      <c r="F408" s="12" t="n">
        <f aca="false">(1+E408)^(1/12)-1</f>
        <v>0.00479221843509481</v>
      </c>
      <c r="G408" s="16" t="n">
        <f aca="false">IF(C408=0,(1+Dic2024!$J$6)^(-B408),EXP(LN(INDEX(Dic2024!$K$6:$K$205,C408))+(LN(INDEX(Dic2024!$K$6:$K$205,MIN(C408+1,200)))-LN(INDEX(Dic2024!$K$6:$K$205,C408)))*(A408-6*C408)/6))</f>
        <v>0.144940493096449</v>
      </c>
      <c r="H408" s="12" t="n">
        <f aca="false">G408^(-1/B408)-1</f>
        <v>0.0590468099999999</v>
      </c>
      <c r="I408" s="12" t="n">
        <f aca="false">(1+H408)^(1/12)-1</f>
        <v>0.00479221843509481</v>
      </c>
      <c r="J408" s="16" t="n">
        <f aca="false">IF(C408=0,(1+Dic2024!$M$6)^(-B408),EXP(LN(INDEX(Dic2024!$N$6:$N$205,C408))+(LN(INDEX(Dic2024!$N$6:$N$205,MIN(C408+1,200)))-LN(INDEX(Dic2024!$N$6:$N$205,C408)))*(A408-6*C408)/6))</f>
        <v>0.144940493096449</v>
      </c>
      <c r="K408" s="12" t="n">
        <f aca="false">J408^(-1/B408)-1</f>
        <v>0.0590468099999999</v>
      </c>
      <c r="L408" s="12" t="n">
        <f aca="false">(1+K408)^(1/12)-1</f>
        <v>0.00479221843509481</v>
      </c>
    </row>
    <row r="409" customFormat="false" ht="15" hidden="false" customHeight="false" outlineLevel="0" collapsed="false">
      <c r="A409" s="4" t="n">
        <v>405</v>
      </c>
      <c r="B409" s="14" t="n">
        <f aca="false">A409/12</f>
        <v>33.75</v>
      </c>
      <c r="C409" s="15" t="n">
        <f aca="false">INT(A409/6)</f>
        <v>67</v>
      </c>
      <c r="D409" s="16" t="n">
        <f aca="false">IF(C409=0,(1+Dic2024!$G$6)^(-B409),EXP(LN(INDEX(Dic2024!$H$6:$H$205,C409))+(LN(INDEX(Dic2024!$H$6:$H$205,MIN(C409+1,200)))-LN(INDEX(Dic2024!$H$6:$H$205,C409)))*(A409-6*C409)/6))</f>
        <v>0.144249219328336</v>
      </c>
      <c r="E409" s="12" t="n">
        <f aca="false">D409^(-1/B409)-1</f>
        <v>0.0590468099999999</v>
      </c>
      <c r="F409" s="12" t="n">
        <f aca="false">(1+E409)^(1/12)-1</f>
        <v>0.00479221843509481</v>
      </c>
      <c r="G409" s="16" t="n">
        <f aca="false">IF(C409=0,(1+Dic2024!$J$6)^(-B409),EXP(LN(INDEX(Dic2024!$K$6:$K$205,C409))+(LN(INDEX(Dic2024!$K$6:$K$205,MIN(C409+1,200)))-LN(INDEX(Dic2024!$K$6:$K$205,C409)))*(A409-6*C409)/6))</f>
        <v>0.144249219328336</v>
      </c>
      <c r="H409" s="12" t="n">
        <f aca="false">G409^(-1/B409)-1</f>
        <v>0.0590468099999999</v>
      </c>
      <c r="I409" s="12" t="n">
        <f aca="false">(1+H409)^(1/12)-1</f>
        <v>0.00479221843509481</v>
      </c>
      <c r="J409" s="16" t="n">
        <f aca="false">IF(C409=0,(1+Dic2024!$M$6)^(-B409),EXP(LN(INDEX(Dic2024!$N$6:$N$205,C409))+(LN(INDEX(Dic2024!$N$6:$N$205,MIN(C409+1,200)))-LN(INDEX(Dic2024!$N$6:$N$205,C409)))*(A409-6*C409)/6))</f>
        <v>0.144249219328336</v>
      </c>
      <c r="K409" s="12" t="n">
        <f aca="false">J409^(-1/B409)-1</f>
        <v>0.0590468099999999</v>
      </c>
      <c r="L409" s="12" t="n">
        <f aca="false">(1+K409)^(1/12)-1</f>
        <v>0.00479221843509481</v>
      </c>
    </row>
    <row r="410" customFormat="false" ht="15" hidden="false" customHeight="false" outlineLevel="0" collapsed="false">
      <c r="A410" s="4" t="n">
        <v>406</v>
      </c>
      <c r="B410" s="14" t="n">
        <f aca="false">A410/12</f>
        <v>33.8333333333333</v>
      </c>
      <c r="C410" s="15" t="n">
        <f aca="false">INT(A410/6)</f>
        <v>67</v>
      </c>
      <c r="D410" s="16" t="n">
        <f aca="false">IF(C410=0,(1+Dic2024!$G$6)^(-B410),EXP(LN(INDEX(Dic2024!$H$6:$H$205,C410))+(LN(INDEX(Dic2024!$H$6:$H$205,MIN(C410+1,200)))-LN(INDEX(Dic2024!$H$6:$H$205,C410)))*(A410-6*C410)/6))</f>
        <v>0.143561242495484</v>
      </c>
      <c r="E410" s="12" t="n">
        <f aca="false">D410^(-1/B410)-1</f>
        <v>0.0590468099999999</v>
      </c>
      <c r="F410" s="12" t="n">
        <f aca="false">(1+E410)^(1/12)-1</f>
        <v>0.00479221843509481</v>
      </c>
      <c r="G410" s="16" t="n">
        <f aca="false">IF(C410=0,(1+Dic2024!$J$6)^(-B410),EXP(LN(INDEX(Dic2024!$K$6:$K$205,C410))+(LN(INDEX(Dic2024!$K$6:$K$205,MIN(C410+1,200)))-LN(INDEX(Dic2024!$K$6:$K$205,C410)))*(A410-6*C410)/6))</f>
        <v>0.143561242495484</v>
      </c>
      <c r="H410" s="12" t="n">
        <f aca="false">G410^(-1/B410)-1</f>
        <v>0.0590468099999999</v>
      </c>
      <c r="I410" s="12" t="n">
        <f aca="false">(1+H410)^(1/12)-1</f>
        <v>0.00479221843509481</v>
      </c>
      <c r="J410" s="16" t="n">
        <f aca="false">IF(C410=0,(1+Dic2024!$M$6)^(-B410),EXP(LN(INDEX(Dic2024!$N$6:$N$205,C410))+(LN(INDEX(Dic2024!$N$6:$N$205,MIN(C410+1,200)))-LN(INDEX(Dic2024!$N$6:$N$205,C410)))*(A410-6*C410)/6))</f>
        <v>0.143561242495484</v>
      </c>
      <c r="K410" s="12" t="n">
        <f aca="false">J410^(-1/B410)-1</f>
        <v>0.0590468099999999</v>
      </c>
      <c r="L410" s="12" t="n">
        <f aca="false">(1+K410)^(1/12)-1</f>
        <v>0.00479221843509481</v>
      </c>
    </row>
    <row r="411" customFormat="false" ht="15" hidden="false" customHeight="false" outlineLevel="0" collapsed="false">
      <c r="A411" s="4" t="n">
        <v>407</v>
      </c>
      <c r="B411" s="14" t="n">
        <f aca="false">A411/12</f>
        <v>33.9166666666667</v>
      </c>
      <c r="C411" s="15" t="n">
        <f aca="false">INT(A411/6)</f>
        <v>67</v>
      </c>
      <c r="D411" s="16" t="n">
        <f aca="false">IF(C411=0,(1+Dic2024!$G$6)^(-B411),EXP(LN(INDEX(Dic2024!$H$6:$H$205,C411))+(LN(INDEX(Dic2024!$H$6:$H$205,MIN(C411+1,200)))-LN(INDEX(Dic2024!$H$6:$H$205,C411)))*(A411-6*C411)/6))</f>
        <v>0.142876546873614</v>
      </c>
      <c r="E411" s="12" t="n">
        <f aca="false">D411^(-1/B411)-1</f>
        <v>0.0590468099999999</v>
      </c>
      <c r="F411" s="12" t="n">
        <f aca="false">(1+E411)^(1/12)-1</f>
        <v>0.00479221843509481</v>
      </c>
      <c r="G411" s="16" t="n">
        <f aca="false">IF(C411=0,(1+Dic2024!$J$6)^(-B411),EXP(LN(INDEX(Dic2024!$K$6:$K$205,C411))+(LN(INDEX(Dic2024!$K$6:$K$205,MIN(C411+1,200)))-LN(INDEX(Dic2024!$K$6:$K$205,C411)))*(A411-6*C411)/6))</f>
        <v>0.142876546873614</v>
      </c>
      <c r="H411" s="12" t="n">
        <f aca="false">G411^(-1/B411)-1</f>
        <v>0.0590468099999999</v>
      </c>
      <c r="I411" s="12" t="n">
        <f aca="false">(1+H411)^(1/12)-1</f>
        <v>0.00479221843509481</v>
      </c>
      <c r="J411" s="16" t="n">
        <f aca="false">IF(C411=0,(1+Dic2024!$M$6)^(-B411),EXP(LN(INDEX(Dic2024!$N$6:$N$205,C411))+(LN(INDEX(Dic2024!$N$6:$N$205,MIN(C411+1,200)))-LN(INDEX(Dic2024!$N$6:$N$205,C411)))*(A411-6*C411)/6))</f>
        <v>0.142876546873614</v>
      </c>
      <c r="K411" s="12" t="n">
        <f aca="false">J411^(-1/B411)-1</f>
        <v>0.0590468099999999</v>
      </c>
      <c r="L411" s="12" t="n">
        <f aca="false">(1+K411)^(1/12)-1</f>
        <v>0.00479221843509481</v>
      </c>
    </row>
    <row r="412" customFormat="false" ht="15" hidden="false" customHeight="false" outlineLevel="0" collapsed="false">
      <c r="A412" s="4" t="n">
        <v>408</v>
      </c>
      <c r="B412" s="14" t="n">
        <f aca="false">A412/12</f>
        <v>34</v>
      </c>
      <c r="C412" s="15" t="n">
        <f aca="false">INT(A412/6)</f>
        <v>68</v>
      </c>
      <c r="D412" s="16" t="n">
        <f aca="false">IF(C412=0,(1+Dic2024!$G$6)^(-B412),EXP(LN(INDEX(Dic2024!$H$6:$H$205,C412))+(LN(INDEX(Dic2024!$H$6:$H$205,MIN(C412+1,200)))-LN(INDEX(Dic2024!$H$6:$H$205,C412)))*(A412-6*C412)/6))</f>
        <v>0.14219511681344</v>
      </c>
      <c r="E412" s="12" t="n">
        <f aca="false">D412^(-1/B412)-1</f>
        <v>0.0590468099999999</v>
      </c>
      <c r="F412" s="12" t="n">
        <f aca="false">(1+E412)^(1/12)-1</f>
        <v>0.00479221843509481</v>
      </c>
      <c r="G412" s="16" t="n">
        <f aca="false">IF(C412=0,(1+Dic2024!$J$6)^(-B412),EXP(LN(INDEX(Dic2024!$K$6:$K$205,C412))+(LN(INDEX(Dic2024!$K$6:$K$205,MIN(C412+1,200)))-LN(INDEX(Dic2024!$K$6:$K$205,C412)))*(A412-6*C412)/6))</f>
        <v>0.14219511681344</v>
      </c>
      <c r="H412" s="12" t="n">
        <f aca="false">G412^(-1/B412)-1</f>
        <v>0.0590468099999999</v>
      </c>
      <c r="I412" s="12" t="n">
        <f aca="false">(1+H412)^(1/12)-1</f>
        <v>0.00479221843509481</v>
      </c>
      <c r="J412" s="16" t="n">
        <f aca="false">IF(C412=0,(1+Dic2024!$M$6)^(-B412),EXP(LN(INDEX(Dic2024!$N$6:$N$205,C412))+(LN(INDEX(Dic2024!$N$6:$N$205,MIN(C412+1,200)))-LN(INDEX(Dic2024!$N$6:$N$205,C412)))*(A412-6*C412)/6))</f>
        <v>0.14219511681344</v>
      </c>
      <c r="K412" s="12" t="n">
        <f aca="false">J412^(-1/B412)-1</f>
        <v>0.0590468099999999</v>
      </c>
      <c r="L412" s="12" t="n">
        <f aca="false">(1+K412)^(1/12)-1</f>
        <v>0.00479221843509481</v>
      </c>
    </row>
    <row r="413" customFormat="false" ht="15" hidden="false" customHeight="false" outlineLevel="0" collapsed="false">
      <c r="A413" s="4" t="n">
        <v>409</v>
      </c>
      <c r="B413" s="14" t="n">
        <f aca="false">A413/12</f>
        <v>34.0833333333333</v>
      </c>
      <c r="C413" s="15" t="n">
        <f aca="false">INT(A413/6)</f>
        <v>68</v>
      </c>
      <c r="D413" s="16" t="n">
        <f aca="false">IF(C413=0,(1+Dic2024!$G$6)^(-B413),EXP(LN(INDEX(Dic2024!$H$6:$H$205,C413))+(LN(INDEX(Dic2024!$H$6:$H$205,MIN(C413+1,200)))-LN(INDEX(Dic2024!$H$6:$H$205,C413)))*(A413-6*C413)/6))</f>
        <v>0.141516936740315</v>
      </c>
      <c r="E413" s="12" t="n">
        <f aca="false">D413^(-1/B413)-1</f>
        <v>0.0590468099999999</v>
      </c>
      <c r="F413" s="12" t="n">
        <f aca="false">(1+E413)^(1/12)-1</f>
        <v>0.00479221843509481</v>
      </c>
      <c r="G413" s="16" t="n">
        <f aca="false">IF(C413=0,(1+Dic2024!$J$6)^(-B413),EXP(LN(INDEX(Dic2024!$K$6:$K$205,C413))+(LN(INDEX(Dic2024!$K$6:$K$205,MIN(C413+1,200)))-LN(INDEX(Dic2024!$K$6:$K$205,C413)))*(A413-6*C413)/6))</f>
        <v>0.141516936740315</v>
      </c>
      <c r="H413" s="12" t="n">
        <f aca="false">G413^(-1/B413)-1</f>
        <v>0.0590468099999999</v>
      </c>
      <c r="I413" s="12" t="n">
        <f aca="false">(1+H413)^(1/12)-1</f>
        <v>0.00479221843509481</v>
      </c>
      <c r="J413" s="16" t="n">
        <f aca="false">IF(C413=0,(1+Dic2024!$M$6)^(-B413),EXP(LN(INDEX(Dic2024!$N$6:$N$205,C413))+(LN(INDEX(Dic2024!$N$6:$N$205,MIN(C413+1,200)))-LN(INDEX(Dic2024!$N$6:$N$205,C413)))*(A413-6*C413)/6))</f>
        <v>0.141516936740315</v>
      </c>
      <c r="K413" s="12" t="n">
        <f aca="false">J413^(-1/B413)-1</f>
        <v>0.0590468099999999</v>
      </c>
      <c r="L413" s="12" t="n">
        <f aca="false">(1+K413)^(1/12)-1</f>
        <v>0.00479221843509481</v>
      </c>
    </row>
    <row r="414" customFormat="false" ht="15" hidden="false" customHeight="false" outlineLevel="0" collapsed="false">
      <c r="A414" s="4" t="n">
        <v>410</v>
      </c>
      <c r="B414" s="14" t="n">
        <f aca="false">A414/12</f>
        <v>34.1666666666667</v>
      </c>
      <c r="C414" s="15" t="n">
        <f aca="false">INT(A414/6)</f>
        <v>68</v>
      </c>
      <c r="D414" s="16" t="n">
        <f aca="false">IF(C414=0,(1+Dic2024!$G$6)^(-B414),EXP(LN(INDEX(Dic2024!$H$6:$H$205,C414))+(LN(INDEX(Dic2024!$H$6:$H$205,MIN(C414+1,200)))-LN(INDEX(Dic2024!$H$6:$H$205,C414)))*(A414-6*C414)/6))</f>
        <v>0.140841991153872</v>
      </c>
      <c r="E414" s="12" t="n">
        <f aca="false">D414^(-1/B414)-1</f>
        <v>0.0590468099999999</v>
      </c>
      <c r="F414" s="12" t="n">
        <f aca="false">(1+E414)^(1/12)-1</f>
        <v>0.00479221843509481</v>
      </c>
      <c r="G414" s="16" t="n">
        <f aca="false">IF(C414=0,(1+Dic2024!$J$6)^(-B414),EXP(LN(INDEX(Dic2024!$K$6:$K$205,C414))+(LN(INDEX(Dic2024!$K$6:$K$205,MIN(C414+1,200)))-LN(INDEX(Dic2024!$K$6:$K$205,C414)))*(A414-6*C414)/6))</f>
        <v>0.140841991153872</v>
      </c>
      <c r="H414" s="12" t="n">
        <f aca="false">G414^(-1/B414)-1</f>
        <v>0.0590468099999999</v>
      </c>
      <c r="I414" s="12" t="n">
        <f aca="false">(1+H414)^(1/12)-1</f>
        <v>0.00479221843509481</v>
      </c>
      <c r="J414" s="16" t="n">
        <f aca="false">IF(C414=0,(1+Dic2024!$M$6)^(-B414),EXP(LN(INDEX(Dic2024!$N$6:$N$205,C414))+(LN(INDEX(Dic2024!$N$6:$N$205,MIN(C414+1,200)))-LN(INDEX(Dic2024!$N$6:$N$205,C414)))*(A414-6*C414)/6))</f>
        <v>0.140841991153872</v>
      </c>
      <c r="K414" s="12" t="n">
        <f aca="false">J414^(-1/B414)-1</f>
        <v>0.0590468099999999</v>
      </c>
      <c r="L414" s="12" t="n">
        <f aca="false">(1+K414)^(1/12)-1</f>
        <v>0.00479221843509481</v>
      </c>
    </row>
    <row r="415" customFormat="false" ht="15" hidden="false" customHeight="false" outlineLevel="0" collapsed="false">
      <c r="A415" s="4" t="n">
        <v>411</v>
      </c>
      <c r="B415" s="14" t="n">
        <f aca="false">A415/12</f>
        <v>34.25</v>
      </c>
      <c r="C415" s="15" t="n">
        <f aca="false">INT(A415/6)</f>
        <v>68</v>
      </c>
      <c r="D415" s="16" t="n">
        <f aca="false">IF(C415=0,(1+Dic2024!$G$6)^(-B415),EXP(LN(INDEX(Dic2024!$H$6:$H$205,C415))+(LN(INDEX(Dic2024!$H$6:$H$205,MIN(C415+1,200)))-LN(INDEX(Dic2024!$H$6:$H$205,C415)))*(A415-6*C415)/6))</f>
        <v>0.140170264627671</v>
      </c>
      <c r="E415" s="12" t="n">
        <f aca="false">D415^(-1/B415)-1</f>
        <v>0.0590468099999999</v>
      </c>
      <c r="F415" s="12" t="n">
        <f aca="false">(1+E415)^(1/12)-1</f>
        <v>0.00479221843509481</v>
      </c>
      <c r="G415" s="16" t="n">
        <f aca="false">IF(C415=0,(1+Dic2024!$J$6)^(-B415),EXP(LN(INDEX(Dic2024!$K$6:$K$205,C415))+(LN(INDEX(Dic2024!$K$6:$K$205,MIN(C415+1,200)))-LN(INDEX(Dic2024!$K$6:$K$205,C415)))*(A415-6*C415)/6))</f>
        <v>0.140170264627671</v>
      </c>
      <c r="H415" s="12" t="n">
        <f aca="false">G415^(-1/B415)-1</f>
        <v>0.0590468099999999</v>
      </c>
      <c r="I415" s="12" t="n">
        <f aca="false">(1+H415)^(1/12)-1</f>
        <v>0.00479221843509481</v>
      </c>
      <c r="J415" s="16" t="n">
        <f aca="false">IF(C415=0,(1+Dic2024!$M$6)^(-B415),EXP(LN(INDEX(Dic2024!$N$6:$N$205,C415))+(LN(INDEX(Dic2024!$N$6:$N$205,MIN(C415+1,200)))-LN(INDEX(Dic2024!$N$6:$N$205,C415)))*(A415-6*C415)/6))</f>
        <v>0.140170264627671</v>
      </c>
      <c r="K415" s="12" t="n">
        <f aca="false">J415^(-1/B415)-1</f>
        <v>0.0590468099999999</v>
      </c>
      <c r="L415" s="12" t="n">
        <f aca="false">(1+K415)^(1/12)-1</f>
        <v>0.00479221843509481</v>
      </c>
    </row>
    <row r="416" customFormat="false" ht="15" hidden="false" customHeight="false" outlineLevel="0" collapsed="false">
      <c r="A416" s="4" t="n">
        <v>412</v>
      </c>
      <c r="B416" s="14" t="n">
        <f aca="false">A416/12</f>
        <v>34.3333333333333</v>
      </c>
      <c r="C416" s="15" t="n">
        <f aca="false">INT(A416/6)</f>
        <v>68</v>
      </c>
      <c r="D416" s="16" t="n">
        <f aca="false">IF(C416=0,(1+Dic2024!$G$6)^(-B416),EXP(LN(INDEX(Dic2024!$H$6:$H$205,C416))+(LN(INDEX(Dic2024!$H$6:$H$205,MIN(C416+1,200)))-LN(INDEX(Dic2024!$H$6:$H$205,C416)))*(A416-6*C416)/6))</f>
        <v>0.139501741808847</v>
      </c>
      <c r="E416" s="12" t="n">
        <f aca="false">D416^(-1/B416)-1</f>
        <v>0.0590468099999999</v>
      </c>
      <c r="F416" s="12" t="n">
        <f aca="false">(1+E416)^(1/12)-1</f>
        <v>0.00479221843509481</v>
      </c>
      <c r="G416" s="16" t="n">
        <f aca="false">IF(C416=0,(1+Dic2024!$J$6)^(-B416),EXP(LN(INDEX(Dic2024!$K$6:$K$205,C416))+(LN(INDEX(Dic2024!$K$6:$K$205,MIN(C416+1,200)))-LN(INDEX(Dic2024!$K$6:$K$205,C416)))*(A416-6*C416)/6))</f>
        <v>0.139501741808847</v>
      </c>
      <c r="H416" s="12" t="n">
        <f aca="false">G416^(-1/B416)-1</f>
        <v>0.0590468099999999</v>
      </c>
      <c r="I416" s="12" t="n">
        <f aca="false">(1+H416)^(1/12)-1</f>
        <v>0.00479221843509481</v>
      </c>
      <c r="J416" s="16" t="n">
        <f aca="false">IF(C416=0,(1+Dic2024!$M$6)^(-B416),EXP(LN(INDEX(Dic2024!$N$6:$N$205,C416))+(LN(INDEX(Dic2024!$N$6:$N$205,MIN(C416+1,200)))-LN(INDEX(Dic2024!$N$6:$N$205,C416)))*(A416-6*C416)/6))</f>
        <v>0.139501741808847</v>
      </c>
      <c r="K416" s="12" t="n">
        <f aca="false">J416^(-1/B416)-1</f>
        <v>0.0590468099999999</v>
      </c>
      <c r="L416" s="12" t="n">
        <f aca="false">(1+K416)^(1/12)-1</f>
        <v>0.00479221843509481</v>
      </c>
    </row>
    <row r="417" customFormat="false" ht="15" hidden="false" customHeight="false" outlineLevel="0" collapsed="false">
      <c r="A417" s="4" t="n">
        <v>413</v>
      </c>
      <c r="B417" s="14" t="n">
        <f aca="false">A417/12</f>
        <v>34.4166666666667</v>
      </c>
      <c r="C417" s="15" t="n">
        <f aca="false">INT(A417/6)</f>
        <v>68</v>
      </c>
      <c r="D417" s="16" t="n">
        <f aca="false">IF(C417=0,(1+Dic2024!$G$6)^(-B417),EXP(LN(INDEX(Dic2024!$H$6:$H$205,C417))+(LN(INDEX(Dic2024!$H$6:$H$205,MIN(C417+1,200)))-LN(INDEX(Dic2024!$H$6:$H$205,C417)))*(A417-6*C417)/6))</f>
        <v>0.138836407417757</v>
      </c>
      <c r="E417" s="12" t="n">
        <f aca="false">D417^(-1/B417)-1</f>
        <v>0.0590468099999999</v>
      </c>
      <c r="F417" s="12" t="n">
        <f aca="false">(1+E417)^(1/12)-1</f>
        <v>0.00479221843509481</v>
      </c>
      <c r="G417" s="16" t="n">
        <f aca="false">IF(C417=0,(1+Dic2024!$J$6)^(-B417),EXP(LN(INDEX(Dic2024!$K$6:$K$205,C417))+(LN(INDEX(Dic2024!$K$6:$K$205,MIN(C417+1,200)))-LN(INDEX(Dic2024!$K$6:$K$205,C417)))*(A417-6*C417)/6))</f>
        <v>0.138836407417757</v>
      </c>
      <c r="H417" s="12" t="n">
        <f aca="false">G417^(-1/B417)-1</f>
        <v>0.0590468099999999</v>
      </c>
      <c r="I417" s="12" t="n">
        <f aca="false">(1+H417)^(1/12)-1</f>
        <v>0.00479221843509481</v>
      </c>
      <c r="J417" s="16" t="n">
        <f aca="false">IF(C417=0,(1+Dic2024!$M$6)^(-B417),EXP(LN(INDEX(Dic2024!$N$6:$N$205,C417))+(LN(INDEX(Dic2024!$N$6:$N$205,MIN(C417+1,200)))-LN(INDEX(Dic2024!$N$6:$N$205,C417)))*(A417-6*C417)/6))</f>
        <v>0.138836407417757</v>
      </c>
      <c r="K417" s="12" t="n">
        <f aca="false">J417^(-1/B417)-1</f>
        <v>0.0590468099999999</v>
      </c>
      <c r="L417" s="12" t="n">
        <f aca="false">(1+K417)^(1/12)-1</f>
        <v>0.00479221843509481</v>
      </c>
    </row>
    <row r="418" customFormat="false" ht="15" hidden="false" customHeight="false" outlineLevel="0" collapsed="false">
      <c r="A418" s="4" t="n">
        <v>414</v>
      </c>
      <c r="B418" s="14" t="n">
        <f aca="false">A418/12</f>
        <v>34.5</v>
      </c>
      <c r="C418" s="15" t="n">
        <f aca="false">INT(A418/6)</f>
        <v>69</v>
      </c>
      <c r="D418" s="16" t="n">
        <f aca="false">IF(C418=0,(1+Dic2024!$G$6)^(-B418),EXP(LN(INDEX(Dic2024!$H$6:$H$205,C418))+(LN(INDEX(Dic2024!$H$6:$H$205,MIN(C418+1,200)))-LN(INDEX(Dic2024!$H$6:$H$205,C418)))*(A418-6*C418)/6))</f>
        <v>0.138174246247634</v>
      </c>
      <c r="E418" s="12" t="n">
        <f aca="false">D418^(-1/B418)-1</f>
        <v>0.0590468099999999</v>
      </c>
      <c r="F418" s="12" t="n">
        <f aca="false">(1+E418)^(1/12)-1</f>
        <v>0.00479221843509481</v>
      </c>
      <c r="G418" s="16" t="n">
        <f aca="false">IF(C418=0,(1+Dic2024!$J$6)^(-B418),EXP(LN(INDEX(Dic2024!$K$6:$K$205,C418))+(LN(INDEX(Dic2024!$K$6:$K$205,MIN(C418+1,200)))-LN(INDEX(Dic2024!$K$6:$K$205,C418)))*(A418-6*C418)/6))</f>
        <v>0.138174246247634</v>
      </c>
      <c r="H418" s="12" t="n">
        <f aca="false">G418^(-1/B418)-1</f>
        <v>0.0590468099999999</v>
      </c>
      <c r="I418" s="12" t="n">
        <f aca="false">(1+H418)^(1/12)-1</f>
        <v>0.00479221843509481</v>
      </c>
      <c r="J418" s="16" t="n">
        <f aca="false">IF(C418=0,(1+Dic2024!$M$6)^(-B418),EXP(LN(INDEX(Dic2024!$N$6:$N$205,C418))+(LN(INDEX(Dic2024!$N$6:$N$205,MIN(C418+1,200)))-LN(INDEX(Dic2024!$N$6:$N$205,C418)))*(A418-6*C418)/6))</f>
        <v>0.138174246247634</v>
      </c>
      <c r="K418" s="12" t="n">
        <f aca="false">J418^(-1/B418)-1</f>
        <v>0.0590468099999999</v>
      </c>
      <c r="L418" s="12" t="n">
        <f aca="false">(1+K418)^(1/12)-1</f>
        <v>0.00479221843509481</v>
      </c>
    </row>
    <row r="419" customFormat="false" ht="15" hidden="false" customHeight="false" outlineLevel="0" collapsed="false">
      <c r="A419" s="4" t="n">
        <v>415</v>
      </c>
      <c r="B419" s="14" t="n">
        <f aca="false">A419/12</f>
        <v>34.5833333333333</v>
      </c>
      <c r="C419" s="15" t="n">
        <f aca="false">INT(A419/6)</f>
        <v>69</v>
      </c>
      <c r="D419" s="16" t="n">
        <f aca="false">IF(C419=0,(1+Dic2024!$G$6)^(-B419),EXP(LN(INDEX(Dic2024!$H$6:$H$205,C419))+(LN(INDEX(Dic2024!$H$6:$H$205,MIN(C419+1,200)))-LN(INDEX(Dic2024!$H$6:$H$205,C419)))*(A419-6*C419)/6))</f>
        <v>0.137437318232917</v>
      </c>
      <c r="E419" s="12" t="n">
        <f aca="false">D419^(-1/B419)-1</f>
        <v>0.0590641680338295</v>
      </c>
      <c r="F419" s="12" t="n">
        <f aca="false">(1+E419)^(1/12)-1</f>
        <v>0.00479359082377928</v>
      </c>
      <c r="G419" s="16" t="n">
        <f aca="false">IF(C419=0,(1+Dic2024!$J$6)^(-B419),EXP(LN(INDEX(Dic2024!$K$6:$K$205,C419))+(LN(INDEX(Dic2024!$K$6:$K$205,MIN(C419+1,200)))-LN(INDEX(Dic2024!$K$6:$K$205,C419)))*(A419-6*C419)/6))</f>
        <v>0.137437318232917</v>
      </c>
      <c r="H419" s="12" t="n">
        <f aca="false">G419^(-1/B419)-1</f>
        <v>0.0590641680338295</v>
      </c>
      <c r="I419" s="12" t="n">
        <f aca="false">(1+H419)^(1/12)-1</f>
        <v>0.00479359082377928</v>
      </c>
      <c r="J419" s="16" t="n">
        <f aca="false">IF(C419=0,(1+Dic2024!$M$6)^(-B419),EXP(LN(INDEX(Dic2024!$N$6:$N$205,C419))+(LN(INDEX(Dic2024!$N$6:$N$205,MIN(C419+1,200)))-LN(INDEX(Dic2024!$N$6:$N$205,C419)))*(A419-6*C419)/6))</f>
        <v>0.137437318232917</v>
      </c>
      <c r="K419" s="12" t="n">
        <f aca="false">J419^(-1/B419)-1</f>
        <v>0.0590641680338295</v>
      </c>
      <c r="L419" s="12" t="n">
        <f aca="false">(1+K419)^(1/12)-1</f>
        <v>0.00479359082377928</v>
      </c>
    </row>
    <row r="420" customFormat="false" ht="15" hidden="false" customHeight="false" outlineLevel="0" collapsed="false">
      <c r="A420" s="4" t="n">
        <v>416</v>
      </c>
      <c r="B420" s="14" t="n">
        <f aca="false">A420/12</f>
        <v>34.6666666666667</v>
      </c>
      <c r="C420" s="15" t="n">
        <f aca="false">INT(A420/6)</f>
        <v>69</v>
      </c>
      <c r="D420" s="16" t="n">
        <f aca="false">IF(C420=0,(1+Dic2024!$G$6)^(-B420),EXP(LN(INDEX(Dic2024!$H$6:$H$205,C420))+(LN(INDEX(Dic2024!$H$6:$H$205,MIN(C420+1,200)))-LN(INDEX(Dic2024!$H$6:$H$205,C420)))*(A420-6*C420)/6))</f>
        <v>0.13670432049402</v>
      </c>
      <c r="E420" s="12" t="n">
        <f aca="false">D420^(-1/B420)-1</f>
        <v>0.0590814428980273</v>
      </c>
      <c r="F420" s="12" t="n">
        <f aca="false">(1+E420)^(1/12)-1</f>
        <v>0.00479495661630192</v>
      </c>
      <c r="G420" s="16" t="n">
        <f aca="false">IF(C420=0,(1+Dic2024!$J$6)^(-B420),EXP(LN(INDEX(Dic2024!$K$6:$K$205,C420))+(LN(INDEX(Dic2024!$K$6:$K$205,MIN(C420+1,200)))-LN(INDEX(Dic2024!$K$6:$K$205,C420)))*(A420-6*C420)/6))</f>
        <v>0.13670432049402</v>
      </c>
      <c r="H420" s="12" t="n">
        <f aca="false">G420^(-1/B420)-1</f>
        <v>0.0590814428980273</v>
      </c>
      <c r="I420" s="12" t="n">
        <f aca="false">(1+H420)^(1/12)-1</f>
        <v>0.00479495661630192</v>
      </c>
      <c r="J420" s="16" t="n">
        <f aca="false">IF(C420=0,(1+Dic2024!$M$6)^(-B420),EXP(LN(INDEX(Dic2024!$N$6:$N$205,C420))+(LN(INDEX(Dic2024!$N$6:$N$205,MIN(C420+1,200)))-LN(INDEX(Dic2024!$N$6:$N$205,C420)))*(A420-6*C420)/6))</f>
        <v>0.13670432049402</v>
      </c>
      <c r="K420" s="12" t="n">
        <f aca="false">J420^(-1/B420)-1</f>
        <v>0.0590814428980273</v>
      </c>
      <c r="L420" s="12" t="n">
        <f aca="false">(1+K420)^(1/12)-1</f>
        <v>0.00479495661630192</v>
      </c>
    </row>
    <row r="421" customFormat="false" ht="15" hidden="false" customHeight="false" outlineLevel="0" collapsed="false">
      <c r="A421" s="4" t="n">
        <v>417</v>
      </c>
      <c r="B421" s="14" t="n">
        <f aca="false">A421/12</f>
        <v>34.75</v>
      </c>
      <c r="C421" s="15" t="n">
        <f aca="false">INT(A421/6)</f>
        <v>69</v>
      </c>
      <c r="D421" s="16" t="n">
        <f aca="false">IF(C421=0,(1+Dic2024!$G$6)^(-B421),EXP(LN(INDEX(Dic2024!$H$6:$H$205,C421))+(LN(INDEX(Dic2024!$H$6:$H$205,MIN(C421+1,200)))-LN(INDEX(Dic2024!$H$6:$H$205,C421)))*(A421-6*C421)/6))</f>
        <v>0.135975232069508</v>
      </c>
      <c r="E421" s="12" t="n">
        <f aca="false">D421^(-1/B421)-1</f>
        <v>0.0590986351889133</v>
      </c>
      <c r="F421" s="12" t="n">
        <f aca="false">(1+E421)^(1/12)-1</f>
        <v>0.00479631586010432</v>
      </c>
      <c r="G421" s="16" t="n">
        <f aca="false">IF(C421=0,(1+Dic2024!$J$6)^(-B421),EXP(LN(INDEX(Dic2024!$K$6:$K$205,C421))+(LN(INDEX(Dic2024!$K$6:$K$205,MIN(C421+1,200)))-LN(INDEX(Dic2024!$K$6:$K$205,C421)))*(A421-6*C421)/6))</f>
        <v>0.135975232069508</v>
      </c>
      <c r="H421" s="12" t="n">
        <f aca="false">G421^(-1/B421)-1</f>
        <v>0.0590986351889133</v>
      </c>
      <c r="I421" s="12" t="n">
        <f aca="false">(1+H421)^(1/12)-1</f>
        <v>0.00479631586010432</v>
      </c>
      <c r="J421" s="16" t="n">
        <f aca="false">IF(C421=0,(1+Dic2024!$M$6)^(-B421),EXP(LN(INDEX(Dic2024!$N$6:$N$205,C421))+(LN(INDEX(Dic2024!$N$6:$N$205,MIN(C421+1,200)))-LN(INDEX(Dic2024!$N$6:$N$205,C421)))*(A421-6*C421)/6))</f>
        <v>0.135975232069508</v>
      </c>
      <c r="K421" s="12" t="n">
        <f aca="false">J421^(-1/B421)-1</f>
        <v>0.0590986351889133</v>
      </c>
      <c r="L421" s="12" t="n">
        <f aca="false">(1+K421)^(1/12)-1</f>
        <v>0.00479631586010432</v>
      </c>
    </row>
    <row r="422" customFormat="false" ht="15" hidden="false" customHeight="false" outlineLevel="0" collapsed="false">
      <c r="A422" s="4" t="n">
        <v>418</v>
      </c>
      <c r="B422" s="14" t="n">
        <f aca="false">A422/12</f>
        <v>34.8333333333333</v>
      </c>
      <c r="C422" s="15" t="n">
        <f aca="false">INT(A422/6)</f>
        <v>69</v>
      </c>
      <c r="D422" s="16" t="n">
        <f aca="false">IF(C422=0,(1+Dic2024!$G$6)^(-B422),EXP(LN(INDEX(Dic2024!$H$6:$H$205,C422))+(LN(INDEX(Dic2024!$H$6:$H$205,MIN(C422+1,200)))-LN(INDEX(Dic2024!$H$6:$H$205,C422)))*(A422-6*C422)/6))</f>
        <v>0.135250032109742</v>
      </c>
      <c r="E422" s="12" t="n">
        <f aca="false">D422^(-1/B422)-1</f>
        <v>0.0591157454971207</v>
      </c>
      <c r="F422" s="12" t="n">
        <f aca="false">(1+E422)^(1/12)-1</f>
        <v>0.00479766860217334</v>
      </c>
      <c r="G422" s="16" t="n">
        <f aca="false">IF(C422=0,(1+Dic2024!$J$6)^(-B422),EXP(LN(INDEX(Dic2024!$K$6:$K$205,C422))+(LN(INDEX(Dic2024!$K$6:$K$205,MIN(C422+1,200)))-LN(INDEX(Dic2024!$K$6:$K$205,C422)))*(A422-6*C422)/6))</f>
        <v>0.135250032109742</v>
      </c>
      <c r="H422" s="12" t="n">
        <f aca="false">G422^(-1/B422)-1</f>
        <v>0.0591157454971207</v>
      </c>
      <c r="I422" s="12" t="n">
        <f aca="false">(1+H422)^(1/12)-1</f>
        <v>0.00479766860217334</v>
      </c>
      <c r="J422" s="16" t="n">
        <f aca="false">IF(C422=0,(1+Dic2024!$M$6)^(-B422),EXP(LN(INDEX(Dic2024!$N$6:$N$205,C422))+(LN(INDEX(Dic2024!$N$6:$N$205,MIN(C422+1,200)))-LN(INDEX(Dic2024!$N$6:$N$205,C422)))*(A422-6*C422)/6))</f>
        <v>0.135250032109742</v>
      </c>
      <c r="K422" s="12" t="n">
        <f aca="false">J422^(-1/B422)-1</f>
        <v>0.0591157454971207</v>
      </c>
      <c r="L422" s="12" t="n">
        <f aca="false">(1+K422)^(1/12)-1</f>
        <v>0.00479766860217334</v>
      </c>
    </row>
    <row r="423" customFormat="false" ht="15" hidden="false" customHeight="false" outlineLevel="0" collapsed="false">
      <c r="A423" s="4" t="n">
        <v>419</v>
      </c>
      <c r="B423" s="14" t="n">
        <f aca="false">A423/12</f>
        <v>34.9166666666667</v>
      </c>
      <c r="C423" s="15" t="n">
        <f aca="false">INT(A423/6)</f>
        <v>69</v>
      </c>
      <c r="D423" s="16" t="n">
        <f aca="false">IF(C423=0,(1+Dic2024!$G$6)^(-B423),EXP(LN(INDEX(Dic2024!$H$6:$H$205,C423))+(LN(INDEX(Dic2024!$H$6:$H$205,MIN(C423+1,200)))-LN(INDEX(Dic2024!$H$6:$H$205,C423)))*(A423-6*C423)/6))</f>
        <v>0.134528699876278</v>
      </c>
      <c r="E423" s="12" t="n">
        <f aca="false">D423^(-1/B423)-1</f>
        <v>0.0591327744076626</v>
      </c>
      <c r="F423" s="12" t="n">
        <f aca="false">(1+E423)^(1/12)-1</f>
        <v>0.00479901488904777</v>
      </c>
      <c r="G423" s="16" t="n">
        <f aca="false">IF(C423=0,(1+Dic2024!$J$6)^(-B423),EXP(LN(INDEX(Dic2024!$K$6:$K$205,C423))+(LN(INDEX(Dic2024!$K$6:$K$205,MIN(C423+1,200)))-LN(INDEX(Dic2024!$K$6:$K$205,C423)))*(A423-6*C423)/6))</f>
        <v>0.134528699876278</v>
      </c>
      <c r="H423" s="12" t="n">
        <f aca="false">G423^(-1/B423)-1</f>
        <v>0.0591327744076626</v>
      </c>
      <c r="I423" s="12" t="n">
        <f aca="false">(1+H423)^(1/12)-1</f>
        <v>0.00479901488904777</v>
      </c>
      <c r="J423" s="16" t="n">
        <f aca="false">IF(C423=0,(1+Dic2024!$M$6)^(-B423),EXP(LN(INDEX(Dic2024!$N$6:$N$205,C423))+(LN(INDEX(Dic2024!$N$6:$N$205,MIN(C423+1,200)))-LN(INDEX(Dic2024!$N$6:$N$205,C423)))*(A423-6*C423)/6))</f>
        <v>0.134528699876278</v>
      </c>
      <c r="K423" s="12" t="n">
        <f aca="false">J423^(-1/B423)-1</f>
        <v>0.0591327744076626</v>
      </c>
      <c r="L423" s="12" t="n">
        <f aca="false">(1+K423)^(1/12)-1</f>
        <v>0.00479901488904777</v>
      </c>
    </row>
    <row r="424" customFormat="false" ht="15" hidden="false" customHeight="false" outlineLevel="0" collapsed="false">
      <c r="A424" s="4" t="n">
        <v>420</v>
      </c>
      <c r="B424" s="14" t="n">
        <f aca="false">A424/12</f>
        <v>35</v>
      </c>
      <c r="C424" s="15" t="n">
        <f aca="false">INT(A424/6)</f>
        <v>70</v>
      </c>
      <c r="D424" s="16" t="n">
        <f aca="false">IF(C424=0,(1+Dic2024!$G$6)^(-B424),EXP(LN(INDEX(Dic2024!$H$6:$H$205,C424))+(LN(INDEX(Dic2024!$H$6:$H$205,MIN(C424+1,200)))-LN(INDEX(Dic2024!$H$6:$H$205,C424)))*(A424-6*C424)/6))</f>
        <v>0.13381121474128</v>
      </c>
      <c r="E424" s="12" t="n">
        <f aca="false">D424^(-1/B424)-1</f>
        <v>0.0591497224999999</v>
      </c>
      <c r="F424" s="12" t="n">
        <f aca="false">(1+E424)^(1/12)-1</f>
        <v>0.00480035476682317</v>
      </c>
      <c r="G424" s="16" t="n">
        <f aca="false">IF(C424=0,(1+Dic2024!$J$6)^(-B424),EXP(LN(INDEX(Dic2024!$K$6:$K$205,C424))+(LN(INDEX(Dic2024!$K$6:$K$205,MIN(C424+1,200)))-LN(INDEX(Dic2024!$K$6:$K$205,C424)))*(A424-6*C424)/6))</f>
        <v>0.13381121474128</v>
      </c>
      <c r="H424" s="12" t="n">
        <f aca="false">G424^(-1/B424)-1</f>
        <v>0.0591497224999999</v>
      </c>
      <c r="I424" s="12" t="n">
        <f aca="false">(1+H424)^(1/12)-1</f>
        <v>0.00480035476682317</v>
      </c>
      <c r="J424" s="16" t="n">
        <f aca="false">IF(C424=0,(1+Dic2024!$M$6)^(-B424),EXP(LN(INDEX(Dic2024!$N$6:$N$205,C424))+(LN(INDEX(Dic2024!$N$6:$N$205,MIN(C424+1,200)))-LN(INDEX(Dic2024!$N$6:$N$205,C424)))*(A424-6*C424)/6))</f>
        <v>0.13381121474128</v>
      </c>
      <c r="K424" s="12" t="n">
        <f aca="false">J424^(-1/B424)-1</f>
        <v>0.0591497224999999</v>
      </c>
      <c r="L424" s="12" t="n">
        <f aca="false">(1+K424)^(1/12)-1</f>
        <v>0.00480035476682317</v>
      </c>
    </row>
    <row r="425" customFormat="false" ht="15" hidden="false" customHeight="false" outlineLevel="0" collapsed="false">
      <c r="A425" s="4" t="n">
        <v>421</v>
      </c>
      <c r="B425" s="14" t="n">
        <f aca="false">A425/12</f>
        <v>35.0833333333333</v>
      </c>
      <c r="C425" s="15" t="n">
        <f aca="false">INT(A425/6)</f>
        <v>70</v>
      </c>
      <c r="D425" s="16" t="n">
        <f aca="false">IF(C425=0,(1+Dic2024!$G$6)^(-B425),EXP(LN(INDEX(Dic2024!$H$6:$H$205,C425))+(LN(INDEX(Dic2024!$H$6:$H$205,MIN(C425+1,200)))-LN(INDEX(Dic2024!$H$6:$H$205,C425)))*(A425-6*C425)/6))</f>
        <v>0.133171942173859</v>
      </c>
      <c r="E425" s="12" t="n">
        <f aca="false">D425^(-1/B425)-1</f>
        <v>0.0591497224999999</v>
      </c>
      <c r="F425" s="12" t="n">
        <f aca="false">(1+E425)^(1/12)-1</f>
        <v>0.00480035476682317</v>
      </c>
      <c r="G425" s="16" t="n">
        <f aca="false">IF(C425=0,(1+Dic2024!$J$6)^(-B425),EXP(LN(INDEX(Dic2024!$K$6:$K$205,C425))+(LN(INDEX(Dic2024!$K$6:$K$205,MIN(C425+1,200)))-LN(INDEX(Dic2024!$K$6:$K$205,C425)))*(A425-6*C425)/6))</f>
        <v>0.133171942173859</v>
      </c>
      <c r="H425" s="12" t="n">
        <f aca="false">G425^(-1/B425)-1</f>
        <v>0.0591497224999999</v>
      </c>
      <c r="I425" s="12" t="n">
        <f aca="false">(1+H425)^(1/12)-1</f>
        <v>0.00480035476682317</v>
      </c>
      <c r="J425" s="16" t="n">
        <f aca="false">IF(C425=0,(1+Dic2024!$M$6)^(-B425),EXP(LN(INDEX(Dic2024!$N$6:$N$205,C425))+(LN(INDEX(Dic2024!$N$6:$N$205,MIN(C425+1,200)))-LN(INDEX(Dic2024!$N$6:$N$205,C425)))*(A425-6*C425)/6))</f>
        <v>0.133171942173859</v>
      </c>
      <c r="K425" s="12" t="n">
        <f aca="false">J425^(-1/B425)-1</f>
        <v>0.0591497224999999</v>
      </c>
      <c r="L425" s="12" t="n">
        <f aca="false">(1+K425)^(1/12)-1</f>
        <v>0.00480035476682317</v>
      </c>
    </row>
    <row r="426" customFormat="false" ht="15" hidden="false" customHeight="false" outlineLevel="0" collapsed="false">
      <c r="A426" s="4" t="n">
        <v>422</v>
      </c>
      <c r="B426" s="14" t="n">
        <f aca="false">A426/12</f>
        <v>35.1666666666667</v>
      </c>
      <c r="C426" s="15" t="n">
        <f aca="false">INT(A426/6)</f>
        <v>70</v>
      </c>
      <c r="D426" s="16" t="n">
        <f aca="false">IF(C426=0,(1+Dic2024!$G$6)^(-B426),EXP(LN(INDEX(Dic2024!$H$6:$H$205,C426))+(LN(INDEX(Dic2024!$H$6:$H$205,MIN(C426+1,200)))-LN(INDEX(Dic2024!$H$6:$H$205,C426)))*(A426-6*C426)/6))</f>
        <v>0.132535723680913</v>
      </c>
      <c r="E426" s="12" t="n">
        <f aca="false">D426^(-1/B426)-1</f>
        <v>0.0591497224999999</v>
      </c>
      <c r="F426" s="12" t="n">
        <f aca="false">(1+E426)^(1/12)-1</f>
        <v>0.00480035476682317</v>
      </c>
      <c r="G426" s="16" t="n">
        <f aca="false">IF(C426=0,(1+Dic2024!$J$6)^(-B426),EXP(LN(INDEX(Dic2024!$K$6:$K$205,C426))+(LN(INDEX(Dic2024!$K$6:$K$205,MIN(C426+1,200)))-LN(INDEX(Dic2024!$K$6:$K$205,C426)))*(A426-6*C426)/6))</f>
        <v>0.132535723680913</v>
      </c>
      <c r="H426" s="12" t="n">
        <f aca="false">G426^(-1/B426)-1</f>
        <v>0.0591497224999999</v>
      </c>
      <c r="I426" s="12" t="n">
        <f aca="false">(1+H426)^(1/12)-1</f>
        <v>0.00480035476682317</v>
      </c>
      <c r="J426" s="16" t="n">
        <f aca="false">IF(C426=0,(1+Dic2024!$M$6)^(-B426),EXP(LN(INDEX(Dic2024!$N$6:$N$205,C426))+(LN(INDEX(Dic2024!$N$6:$N$205,MIN(C426+1,200)))-LN(INDEX(Dic2024!$N$6:$N$205,C426)))*(A426-6*C426)/6))</f>
        <v>0.132535723680913</v>
      </c>
      <c r="K426" s="12" t="n">
        <f aca="false">J426^(-1/B426)-1</f>
        <v>0.0591497224999999</v>
      </c>
      <c r="L426" s="12" t="n">
        <f aca="false">(1+K426)^(1/12)-1</f>
        <v>0.00480035476682317</v>
      </c>
    </row>
    <row r="427" customFormat="false" ht="15" hidden="false" customHeight="false" outlineLevel="0" collapsed="false">
      <c r="A427" s="4" t="n">
        <v>423</v>
      </c>
      <c r="B427" s="14" t="n">
        <f aca="false">A427/12</f>
        <v>35.25</v>
      </c>
      <c r="C427" s="15" t="n">
        <f aca="false">INT(A427/6)</f>
        <v>70</v>
      </c>
      <c r="D427" s="16" t="n">
        <f aca="false">IF(C427=0,(1+Dic2024!$G$6)^(-B427),EXP(LN(INDEX(Dic2024!$H$6:$H$205,C427))+(LN(INDEX(Dic2024!$H$6:$H$205,MIN(C427+1,200)))-LN(INDEX(Dic2024!$H$6:$H$205,C427)))*(A427-6*C427)/6))</f>
        <v>0.131902544671841</v>
      </c>
      <c r="E427" s="12" t="n">
        <f aca="false">D427^(-1/B427)-1</f>
        <v>0.0591497224999999</v>
      </c>
      <c r="F427" s="12" t="n">
        <f aca="false">(1+E427)^(1/12)-1</f>
        <v>0.00480035476682317</v>
      </c>
      <c r="G427" s="16" t="n">
        <f aca="false">IF(C427=0,(1+Dic2024!$J$6)^(-B427),EXP(LN(INDEX(Dic2024!$K$6:$K$205,C427))+(LN(INDEX(Dic2024!$K$6:$K$205,MIN(C427+1,200)))-LN(INDEX(Dic2024!$K$6:$K$205,C427)))*(A427-6*C427)/6))</f>
        <v>0.131902544671841</v>
      </c>
      <c r="H427" s="12" t="n">
        <f aca="false">G427^(-1/B427)-1</f>
        <v>0.0591497224999999</v>
      </c>
      <c r="I427" s="12" t="n">
        <f aca="false">(1+H427)^(1/12)-1</f>
        <v>0.00480035476682317</v>
      </c>
      <c r="J427" s="16" t="n">
        <f aca="false">IF(C427=0,(1+Dic2024!$M$6)^(-B427),EXP(LN(INDEX(Dic2024!$N$6:$N$205,C427))+(LN(INDEX(Dic2024!$N$6:$N$205,MIN(C427+1,200)))-LN(INDEX(Dic2024!$N$6:$N$205,C427)))*(A427-6*C427)/6))</f>
        <v>0.131902544671841</v>
      </c>
      <c r="K427" s="12" t="n">
        <f aca="false">J427^(-1/B427)-1</f>
        <v>0.0591497224999999</v>
      </c>
      <c r="L427" s="12" t="n">
        <f aca="false">(1+K427)^(1/12)-1</f>
        <v>0.00480035476682317</v>
      </c>
    </row>
    <row r="428" customFormat="false" ht="15" hidden="false" customHeight="false" outlineLevel="0" collapsed="false">
      <c r="A428" s="4" t="n">
        <v>424</v>
      </c>
      <c r="B428" s="14" t="n">
        <f aca="false">A428/12</f>
        <v>35.3333333333333</v>
      </c>
      <c r="C428" s="15" t="n">
        <f aca="false">INT(A428/6)</f>
        <v>70</v>
      </c>
      <c r="D428" s="16" t="n">
        <f aca="false">IF(C428=0,(1+Dic2024!$G$6)^(-B428),EXP(LN(INDEX(Dic2024!$H$6:$H$205,C428))+(LN(INDEX(Dic2024!$H$6:$H$205,MIN(C428+1,200)))-LN(INDEX(Dic2024!$H$6:$H$205,C428)))*(A428-6*C428)/6))</f>
        <v>0.131272390625748</v>
      </c>
      <c r="E428" s="12" t="n">
        <f aca="false">D428^(-1/B428)-1</f>
        <v>0.0591497224999999</v>
      </c>
      <c r="F428" s="12" t="n">
        <f aca="false">(1+E428)^(1/12)-1</f>
        <v>0.00480035476682317</v>
      </c>
      <c r="G428" s="16" t="n">
        <f aca="false">IF(C428=0,(1+Dic2024!$J$6)^(-B428),EXP(LN(INDEX(Dic2024!$K$6:$K$205,C428))+(LN(INDEX(Dic2024!$K$6:$K$205,MIN(C428+1,200)))-LN(INDEX(Dic2024!$K$6:$K$205,C428)))*(A428-6*C428)/6))</f>
        <v>0.131272390625748</v>
      </c>
      <c r="H428" s="12" t="n">
        <f aca="false">G428^(-1/B428)-1</f>
        <v>0.0591497224999999</v>
      </c>
      <c r="I428" s="12" t="n">
        <f aca="false">(1+H428)^(1/12)-1</f>
        <v>0.00480035476682317</v>
      </c>
      <c r="J428" s="16" t="n">
        <f aca="false">IF(C428=0,(1+Dic2024!$M$6)^(-B428),EXP(LN(INDEX(Dic2024!$N$6:$N$205,C428))+(LN(INDEX(Dic2024!$N$6:$N$205,MIN(C428+1,200)))-LN(INDEX(Dic2024!$N$6:$N$205,C428)))*(A428-6*C428)/6))</f>
        <v>0.131272390625748</v>
      </c>
      <c r="K428" s="12" t="n">
        <f aca="false">J428^(-1/B428)-1</f>
        <v>0.0591497224999999</v>
      </c>
      <c r="L428" s="12" t="n">
        <f aca="false">(1+K428)^(1/12)-1</f>
        <v>0.00480035476682317</v>
      </c>
    </row>
    <row r="429" customFormat="false" ht="15" hidden="false" customHeight="false" outlineLevel="0" collapsed="false">
      <c r="A429" s="4" t="n">
        <v>425</v>
      </c>
      <c r="B429" s="14" t="n">
        <f aca="false">A429/12</f>
        <v>35.4166666666667</v>
      </c>
      <c r="C429" s="15" t="n">
        <f aca="false">INT(A429/6)</f>
        <v>70</v>
      </c>
      <c r="D429" s="16" t="n">
        <f aca="false">IF(C429=0,(1+Dic2024!$G$6)^(-B429),EXP(LN(INDEX(Dic2024!$H$6:$H$205,C429))+(LN(INDEX(Dic2024!$H$6:$H$205,MIN(C429+1,200)))-LN(INDEX(Dic2024!$H$6:$H$205,C429)))*(A429-6*C429)/6))</f>
        <v>0.130645247091112</v>
      </c>
      <c r="E429" s="12" t="n">
        <f aca="false">D429^(-1/B429)-1</f>
        <v>0.0591497224999999</v>
      </c>
      <c r="F429" s="12" t="n">
        <f aca="false">(1+E429)^(1/12)-1</f>
        <v>0.00480035476682317</v>
      </c>
      <c r="G429" s="16" t="n">
        <f aca="false">IF(C429=0,(1+Dic2024!$J$6)^(-B429),EXP(LN(INDEX(Dic2024!$K$6:$K$205,C429))+(LN(INDEX(Dic2024!$K$6:$K$205,MIN(C429+1,200)))-LN(INDEX(Dic2024!$K$6:$K$205,C429)))*(A429-6*C429)/6))</f>
        <v>0.130645247091112</v>
      </c>
      <c r="H429" s="12" t="n">
        <f aca="false">G429^(-1/B429)-1</f>
        <v>0.0591497224999999</v>
      </c>
      <c r="I429" s="12" t="n">
        <f aca="false">(1+H429)^(1/12)-1</f>
        <v>0.00480035476682317</v>
      </c>
      <c r="J429" s="16" t="n">
        <f aca="false">IF(C429=0,(1+Dic2024!$M$6)^(-B429),EXP(LN(INDEX(Dic2024!$N$6:$N$205,C429))+(LN(INDEX(Dic2024!$N$6:$N$205,MIN(C429+1,200)))-LN(INDEX(Dic2024!$N$6:$N$205,C429)))*(A429-6*C429)/6))</f>
        <v>0.130645247091112</v>
      </c>
      <c r="K429" s="12" t="n">
        <f aca="false">J429^(-1/B429)-1</f>
        <v>0.0591497224999999</v>
      </c>
      <c r="L429" s="12" t="n">
        <f aca="false">(1+K429)^(1/12)-1</f>
        <v>0.00480035476682317</v>
      </c>
    </row>
    <row r="430" customFormat="false" ht="15" hidden="false" customHeight="false" outlineLevel="0" collapsed="false">
      <c r="A430" s="4" t="n">
        <v>426</v>
      </c>
      <c r="B430" s="14" t="n">
        <f aca="false">A430/12</f>
        <v>35.5</v>
      </c>
      <c r="C430" s="15" t="n">
        <f aca="false">INT(A430/6)</f>
        <v>71</v>
      </c>
      <c r="D430" s="16" t="n">
        <f aca="false">IF(C430=0,(1+Dic2024!$G$6)^(-B430),EXP(LN(INDEX(Dic2024!$H$6:$H$205,C430))+(LN(INDEX(Dic2024!$H$6:$H$205,MIN(C430+1,200)))-LN(INDEX(Dic2024!$H$6:$H$205,C430)))*(A430-6*C430)/6))</f>
        <v>0.130021099685449</v>
      </c>
      <c r="E430" s="12" t="n">
        <f aca="false">D430^(-1/B430)-1</f>
        <v>0.0591497224999999</v>
      </c>
      <c r="F430" s="12" t="n">
        <f aca="false">(1+E430)^(1/12)-1</f>
        <v>0.00480035476682317</v>
      </c>
      <c r="G430" s="16" t="n">
        <f aca="false">IF(C430=0,(1+Dic2024!$J$6)^(-B430),EXP(LN(INDEX(Dic2024!$K$6:$K$205,C430))+(LN(INDEX(Dic2024!$K$6:$K$205,MIN(C430+1,200)))-LN(INDEX(Dic2024!$K$6:$K$205,C430)))*(A430-6*C430)/6))</f>
        <v>0.130021099685449</v>
      </c>
      <c r="H430" s="12" t="n">
        <f aca="false">G430^(-1/B430)-1</f>
        <v>0.0591497224999999</v>
      </c>
      <c r="I430" s="12" t="n">
        <f aca="false">(1+H430)^(1/12)-1</f>
        <v>0.00480035476682317</v>
      </c>
      <c r="J430" s="16" t="n">
        <f aca="false">IF(C430=0,(1+Dic2024!$M$6)^(-B430),EXP(LN(INDEX(Dic2024!$N$6:$N$205,C430))+(LN(INDEX(Dic2024!$N$6:$N$205,MIN(C430+1,200)))-LN(INDEX(Dic2024!$N$6:$N$205,C430)))*(A430-6*C430)/6))</f>
        <v>0.130021099685449</v>
      </c>
      <c r="K430" s="12" t="n">
        <f aca="false">J430^(-1/B430)-1</f>
        <v>0.0591497224999999</v>
      </c>
      <c r="L430" s="12" t="n">
        <f aca="false">(1+K430)^(1/12)-1</f>
        <v>0.00480035476682317</v>
      </c>
    </row>
    <row r="431" customFormat="false" ht="15" hidden="false" customHeight="false" outlineLevel="0" collapsed="false">
      <c r="A431" s="4" t="n">
        <v>427</v>
      </c>
      <c r="B431" s="14" t="n">
        <f aca="false">A431/12</f>
        <v>35.5833333333333</v>
      </c>
      <c r="C431" s="15" t="n">
        <f aca="false">INT(A431/6)</f>
        <v>71</v>
      </c>
      <c r="D431" s="16" t="n">
        <f aca="false">IF(C431=0,(1+Dic2024!$G$6)^(-B431),EXP(LN(INDEX(Dic2024!$H$6:$H$205,C431))+(LN(INDEX(Dic2024!$H$6:$H$205,MIN(C431+1,200)))-LN(INDEX(Dic2024!$H$6:$H$205,C431)))*(A431-6*C431)/6))</f>
        <v>0.12939993409499</v>
      </c>
      <c r="E431" s="12" t="n">
        <f aca="false">D431^(-1/B431)-1</f>
        <v>0.0591497224999999</v>
      </c>
      <c r="F431" s="12" t="n">
        <f aca="false">(1+E431)^(1/12)-1</f>
        <v>0.00480035476682317</v>
      </c>
      <c r="G431" s="16" t="n">
        <f aca="false">IF(C431=0,(1+Dic2024!$J$6)^(-B431),EXP(LN(INDEX(Dic2024!$K$6:$K$205,C431))+(LN(INDEX(Dic2024!$K$6:$K$205,MIN(C431+1,200)))-LN(INDEX(Dic2024!$K$6:$K$205,C431)))*(A431-6*C431)/6))</f>
        <v>0.12939993409499</v>
      </c>
      <c r="H431" s="12" t="n">
        <f aca="false">G431^(-1/B431)-1</f>
        <v>0.0591497224999999</v>
      </c>
      <c r="I431" s="12" t="n">
        <f aca="false">(1+H431)^(1/12)-1</f>
        <v>0.00480035476682317</v>
      </c>
      <c r="J431" s="16" t="n">
        <f aca="false">IF(C431=0,(1+Dic2024!$M$6)^(-B431),EXP(LN(INDEX(Dic2024!$N$6:$N$205,C431))+(LN(INDEX(Dic2024!$N$6:$N$205,MIN(C431+1,200)))-LN(INDEX(Dic2024!$N$6:$N$205,C431)))*(A431-6*C431)/6))</f>
        <v>0.12939993409499</v>
      </c>
      <c r="K431" s="12" t="n">
        <f aca="false">J431^(-1/B431)-1</f>
        <v>0.0591497224999999</v>
      </c>
      <c r="L431" s="12" t="n">
        <f aca="false">(1+K431)^(1/12)-1</f>
        <v>0.00480035476682317</v>
      </c>
    </row>
    <row r="432" customFormat="false" ht="15" hidden="false" customHeight="false" outlineLevel="0" collapsed="false">
      <c r="A432" s="4" t="n">
        <v>428</v>
      </c>
      <c r="B432" s="14" t="n">
        <f aca="false">A432/12</f>
        <v>35.6666666666667</v>
      </c>
      <c r="C432" s="15" t="n">
        <f aca="false">INT(A432/6)</f>
        <v>71</v>
      </c>
      <c r="D432" s="16" t="n">
        <f aca="false">IF(C432=0,(1+Dic2024!$G$6)^(-B432),EXP(LN(INDEX(Dic2024!$H$6:$H$205,C432))+(LN(INDEX(Dic2024!$H$6:$H$205,MIN(C432+1,200)))-LN(INDEX(Dic2024!$H$6:$H$205,C432)))*(A432-6*C432)/6))</f>
        <v>0.128781736074345</v>
      </c>
      <c r="E432" s="12" t="n">
        <f aca="false">D432^(-1/B432)-1</f>
        <v>0.0591497224999999</v>
      </c>
      <c r="F432" s="12" t="n">
        <f aca="false">(1+E432)^(1/12)-1</f>
        <v>0.00480035476682317</v>
      </c>
      <c r="G432" s="16" t="n">
        <f aca="false">IF(C432=0,(1+Dic2024!$J$6)^(-B432),EXP(LN(INDEX(Dic2024!$K$6:$K$205,C432))+(LN(INDEX(Dic2024!$K$6:$K$205,MIN(C432+1,200)))-LN(INDEX(Dic2024!$K$6:$K$205,C432)))*(A432-6*C432)/6))</f>
        <v>0.128781736074345</v>
      </c>
      <c r="H432" s="12" t="n">
        <f aca="false">G432^(-1/B432)-1</f>
        <v>0.0591497224999999</v>
      </c>
      <c r="I432" s="12" t="n">
        <f aca="false">(1+H432)^(1/12)-1</f>
        <v>0.00480035476682317</v>
      </c>
      <c r="J432" s="16" t="n">
        <f aca="false">IF(C432=0,(1+Dic2024!$M$6)^(-B432),EXP(LN(INDEX(Dic2024!$N$6:$N$205,C432))+(LN(INDEX(Dic2024!$N$6:$N$205,MIN(C432+1,200)))-LN(INDEX(Dic2024!$N$6:$N$205,C432)))*(A432-6*C432)/6))</f>
        <v>0.128781736074345</v>
      </c>
      <c r="K432" s="12" t="n">
        <f aca="false">J432^(-1/B432)-1</f>
        <v>0.0591497224999999</v>
      </c>
      <c r="L432" s="12" t="n">
        <f aca="false">(1+K432)^(1/12)-1</f>
        <v>0.00480035476682317</v>
      </c>
    </row>
    <row r="433" customFormat="false" ht="15" hidden="false" customHeight="false" outlineLevel="0" collapsed="false">
      <c r="A433" s="4" t="n">
        <v>429</v>
      </c>
      <c r="B433" s="14" t="n">
        <f aca="false">A433/12</f>
        <v>35.75</v>
      </c>
      <c r="C433" s="15" t="n">
        <f aca="false">INT(A433/6)</f>
        <v>71</v>
      </c>
      <c r="D433" s="16" t="n">
        <f aca="false">IF(C433=0,(1+Dic2024!$G$6)^(-B433),EXP(LN(INDEX(Dic2024!$H$6:$H$205,C433))+(LN(INDEX(Dic2024!$H$6:$H$205,MIN(C433+1,200)))-LN(INDEX(Dic2024!$H$6:$H$205,C433)))*(A433-6*C433)/6))</f>
        <v>0.128166491446185</v>
      </c>
      <c r="E433" s="12" t="n">
        <f aca="false">D433^(-1/B433)-1</f>
        <v>0.0591497224999999</v>
      </c>
      <c r="F433" s="12" t="n">
        <f aca="false">(1+E433)^(1/12)-1</f>
        <v>0.00480035476682317</v>
      </c>
      <c r="G433" s="16" t="n">
        <f aca="false">IF(C433=0,(1+Dic2024!$J$6)^(-B433),EXP(LN(INDEX(Dic2024!$K$6:$K$205,C433))+(LN(INDEX(Dic2024!$K$6:$K$205,MIN(C433+1,200)))-LN(INDEX(Dic2024!$K$6:$K$205,C433)))*(A433-6*C433)/6))</f>
        <v>0.128166491446185</v>
      </c>
      <c r="H433" s="12" t="n">
        <f aca="false">G433^(-1/B433)-1</f>
        <v>0.0591497224999999</v>
      </c>
      <c r="I433" s="12" t="n">
        <f aca="false">(1+H433)^(1/12)-1</f>
        <v>0.00480035476682317</v>
      </c>
      <c r="J433" s="16" t="n">
        <f aca="false">IF(C433=0,(1+Dic2024!$M$6)^(-B433),EXP(LN(INDEX(Dic2024!$N$6:$N$205,C433))+(LN(INDEX(Dic2024!$N$6:$N$205,MIN(C433+1,200)))-LN(INDEX(Dic2024!$N$6:$N$205,C433)))*(A433-6*C433)/6))</f>
        <v>0.128166491446185</v>
      </c>
      <c r="K433" s="12" t="n">
        <f aca="false">J433^(-1/B433)-1</f>
        <v>0.0591497224999999</v>
      </c>
      <c r="L433" s="12" t="n">
        <f aca="false">(1+K433)^(1/12)-1</f>
        <v>0.00480035476682317</v>
      </c>
    </row>
    <row r="434" customFormat="false" ht="15" hidden="false" customHeight="false" outlineLevel="0" collapsed="false">
      <c r="A434" s="4" t="n">
        <v>430</v>
      </c>
      <c r="B434" s="14" t="n">
        <f aca="false">A434/12</f>
        <v>35.8333333333333</v>
      </c>
      <c r="C434" s="15" t="n">
        <f aca="false">INT(A434/6)</f>
        <v>71</v>
      </c>
      <c r="D434" s="16" t="n">
        <f aca="false">IF(C434=0,(1+Dic2024!$G$6)^(-B434),EXP(LN(INDEX(Dic2024!$H$6:$H$205,C434))+(LN(INDEX(Dic2024!$H$6:$H$205,MIN(C434+1,200)))-LN(INDEX(Dic2024!$H$6:$H$205,C434)))*(A434-6*C434)/6))</f>
        <v>0.127554186100907</v>
      </c>
      <c r="E434" s="12" t="n">
        <f aca="false">D434^(-1/B434)-1</f>
        <v>0.0591497224999999</v>
      </c>
      <c r="F434" s="12" t="n">
        <f aca="false">(1+E434)^(1/12)-1</f>
        <v>0.00480035476682317</v>
      </c>
      <c r="G434" s="16" t="n">
        <f aca="false">IF(C434=0,(1+Dic2024!$J$6)^(-B434),EXP(LN(INDEX(Dic2024!$K$6:$K$205,C434))+(LN(INDEX(Dic2024!$K$6:$K$205,MIN(C434+1,200)))-LN(INDEX(Dic2024!$K$6:$K$205,C434)))*(A434-6*C434)/6))</f>
        <v>0.127554186100907</v>
      </c>
      <c r="H434" s="12" t="n">
        <f aca="false">G434^(-1/B434)-1</f>
        <v>0.0591497224999999</v>
      </c>
      <c r="I434" s="12" t="n">
        <f aca="false">(1+H434)^(1/12)-1</f>
        <v>0.00480035476682317</v>
      </c>
      <c r="J434" s="16" t="n">
        <f aca="false">IF(C434=0,(1+Dic2024!$M$6)^(-B434),EXP(LN(INDEX(Dic2024!$N$6:$N$205,C434))+(LN(INDEX(Dic2024!$N$6:$N$205,MIN(C434+1,200)))-LN(INDEX(Dic2024!$N$6:$N$205,C434)))*(A434-6*C434)/6))</f>
        <v>0.127554186100907</v>
      </c>
      <c r="K434" s="12" t="n">
        <f aca="false">J434^(-1/B434)-1</f>
        <v>0.0591497224999999</v>
      </c>
      <c r="L434" s="12" t="n">
        <f aca="false">(1+K434)^(1/12)-1</f>
        <v>0.00480035476682317</v>
      </c>
    </row>
    <row r="435" customFormat="false" ht="15" hidden="false" customHeight="false" outlineLevel="0" collapsed="false">
      <c r="A435" s="4" t="n">
        <v>431</v>
      </c>
      <c r="B435" s="14" t="n">
        <f aca="false">A435/12</f>
        <v>35.9166666666667</v>
      </c>
      <c r="C435" s="15" t="n">
        <f aca="false">INT(A435/6)</f>
        <v>71</v>
      </c>
      <c r="D435" s="16" t="n">
        <f aca="false">IF(C435=0,(1+Dic2024!$G$6)^(-B435),EXP(LN(INDEX(Dic2024!$H$6:$H$205,C435))+(LN(INDEX(Dic2024!$H$6:$H$205,MIN(C435+1,200)))-LN(INDEX(Dic2024!$H$6:$H$205,C435)))*(A435-6*C435)/6))</f>
        <v>0.126944805996319</v>
      </c>
      <c r="E435" s="12" t="n">
        <f aca="false">D435^(-1/B435)-1</f>
        <v>0.0591497224999999</v>
      </c>
      <c r="F435" s="12" t="n">
        <f aca="false">(1+E435)^(1/12)-1</f>
        <v>0.00480035476682317</v>
      </c>
      <c r="G435" s="16" t="n">
        <f aca="false">IF(C435=0,(1+Dic2024!$J$6)^(-B435),EXP(LN(INDEX(Dic2024!$K$6:$K$205,C435))+(LN(INDEX(Dic2024!$K$6:$K$205,MIN(C435+1,200)))-LN(INDEX(Dic2024!$K$6:$K$205,C435)))*(A435-6*C435)/6))</f>
        <v>0.126944805996319</v>
      </c>
      <c r="H435" s="12" t="n">
        <f aca="false">G435^(-1/B435)-1</f>
        <v>0.0591497224999999</v>
      </c>
      <c r="I435" s="12" t="n">
        <f aca="false">(1+H435)^(1/12)-1</f>
        <v>0.00480035476682317</v>
      </c>
      <c r="J435" s="16" t="n">
        <f aca="false">IF(C435=0,(1+Dic2024!$M$6)^(-B435),EXP(LN(INDEX(Dic2024!$N$6:$N$205,C435))+(LN(INDEX(Dic2024!$N$6:$N$205,MIN(C435+1,200)))-LN(INDEX(Dic2024!$N$6:$N$205,C435)))*(A435-6*C435)/6))</f>
        <v>0.126944805996319</v>
      </c>
      <c r="K435" s="12" t="n">
        <f aca="false">J435^(-1/B435)-1</f>
        <v>0.0591497224999999</v>
      </c>
      <c r="L435" s="12" t="n">
        <f aca="false">(1+K435)^(1/12)-1</f>
        <v>0.00480035476682317</v>
      </c>
    </row>
    <row r="436" customFormat="false" ht="15" hidden="false" customHeight="false" outlineLevel="0" collapsed="false">
      <c r="A436" s="4" t="n">
        <v>432</v>
      </c>
      <c r="B436" s="14" t="n">
        <f aca="false">A436/12</f>
        <v>36</v>
      </c>
      <c r="C436" s="15" t="n">
        <f aca="false">INT(A436/6)</f>
        <v>72</v>
      </c>
      <c r="D436" s="16" t="n">
        <f aca="false">IF(C436=0,(1+Dic2024!$G$6)^(-B436),EXP(LN(INDEX(Dic2024!$H$6:$H$205,C436))+(LN(INDEX(Dic2024!$H$6:$H$205,MIN(C436+1,200)))-LN(INDEX(Dic2024!$H$6:$H$205,C436)))*(A436-6*C436)/6))</f>
        <v>0.126338337157314</v>
      </c>
      <c r="E436" s="12" t="n">
        <f aca="false">D436^(-1/B436)-1</f>
        <v>0.0591497224999999</v>
      </c>
      <c r="F436" s="12" t="n">
        <f aca="false">(1+E436)^(1/12)-1</f>
        <v>0.00480035476682317</v>
      </c>
      <c r="G436" s="16" t="n">
        <f aca="false">IF(C436=0,(1+Dic2024!$J$6)^(-B436),EXP(LN(INDEX(Dic2024!$K$6:$K$205,C436))+(LN(INDEX(Dic2024!$K$6:$K$205,MIN(C436+1,200)))-LN(INDEX(Dic2024!$K$6:$K$205,C436)))*(A436-6*C436)/6))</f>
        <v>0.126338337157314</v>
      </c>
      <c r="H436" s="12" t="n">
        <f aca="false">G436^(-1/B436)-1</f>
        <v>0.0591497224999999</v>
      </c>
      <c r="I436" s="12" t="n">
        <f aca="false">(1+H436)^(1/12)-1</f>
        <v>0.00480035476682317</v>
      </c>
      <c r="J436" s="16" t="n">
        <f aca="false">IF(C436=0,(1+Dic2024!$M$6)^(-B436),EXP(LN(INDEX(Dic2024!$N$6:$N$205,C436))+(LN(INDEX(Dic2024!$N$6:$N$205,MIN(C436+1,200)))-LN(INDEX(Dic2024!$N$6:$N$205,C436)))*(A436-6*C436)/6))</f>
        <v>0.126338337157314</v>
      </c>
      <c r="K436" s="12" t="n">
        <f aca="false">J436^(-1/B436)-1</f>
        <v>0.0591497224999999</v>
      </c>
      <c r="L436" s="12" t="n">
        <f aca="false">(1+K436)^(1/12)-1</f>
        <v>0.00480035476682317</v>
      </c>
    </row>
    <row r="437" customFormat="false" ht="15" hidden="false" customHeight="false" outlineLevel="0" collapsed="false">
      <c r="A437" s="4" t="n">
        <v>433</v>
      </c>
      <c r="B437" s="14" t="n">
        <f aca="false">A437/12</f>
        <v>36.0833333333333</v>
      </c>
      <c r="C437" s="15" t="n">
        <f aca="false">INT(A437/6)</f>
        <v>72</v>
      </c>
      <c r="D437" s="16" t="n">
        <f aca="false">IF(C437=0,(1+Dic2024!$G$6)^(-B437),EXP(LN(INDEX(Dic2024!$H$6:$H$205,C437))+(LN(INDEX(Dic2024!$H$6:$H$205,MIN(C437+1,200)))-LN(INDEX(Dic2024!$H$6:$H$205,C437)))*(A437-6*C437)/6))</f>
        <v>0.125734765675548</v>
      </c>
      <c r="E437" s="12" t="n">
        <f aca="false">D437^(-1/B437)-1</f>
        <v>0.0591497224999999</v>
      </c>
      <c r="F437" s="12" t="n">
        <f aca="false">(1+E437)^(1/12)-1</f>
        <v>0.00480035476682317</v>
      </c>
      <c r="G437" s="16" t="n">
        <f aca="false">IF(C437=0,(1+Dic2024!$J$6)^(-B437),EXP(LN(INDEX(Dic2024!$K$6:$K$205,C437))+(LN(INDEX(Dic2024!$K$6:$K$205,MIN(C437+1,200)))-LN(INDEX(Dic2024!$K$6:$K$205,C437)))*(A437-6*C437)/6))</f>
        <v>0.125734765675548</v>
      </c>
      <c r="H437" s="12" t="n">
        <f aca="false">G437^(-1/B437)-1</f>
        <v>0.0591497224999999</v>
      </c>
      <c r="I437" s="12" t="n">
        <f aca="false">(1+H437)^(1/12)-1</f>
        <v>0.00480035476682317</v>
      </c>
      <c r="J437" s="16" t="n">
        <f aca="false">IF(C437=0,(1+Dic2024!$M$6)^(-B437),EXP(LN(INDEX(Dic2024!$N$6:$N$205,C437))+(LN(INDEX(Dic2024!$N$6:$N$205,MIN(C437+1,200)))-LN(INDEX(Dic2024!$N$6:$N$205,C437)))*(A437-6*C437)/6))</f>
        <v>0.125734765675548</v>
      </c>
      <c r="K437" s="12" t="n">
        <f aca="false">J437^(-1/B437)-1</f>
        <v>0.0591497224999999</v>
      </c>
      <c r="L437" s="12" t="n">
        <f aca="false">(1+K437)^(1/12)-1</f>
        <v>0.00480035476682317</v>
      </c>
    </row>
    <row r="438" customFormat="false" ht="15" hidden="false" customHeight="false" outlineLevel="0" collapsed="false">
      <c r="A438" s="4" t="n">
        <v>434</v>
      </c>
      <c r="B438" s="14" t="n">
        <f aca="false">A438/12</f>
        <v>36.1666666666667</v>
      </c>
      <c r="C438" s="15" t="n">
        <f aca="false">INT(A438/6)</f>
        <v>72</v>
      </c>
      <c r="D438" s="16" t="n">
        <f aca="false">IF(C438=0,(1+Dic2024!$G$6)^(-B438),EXP(LN(INDEX(Dic2024!$H$6:$H$205,C438))+(LN(INDEX(Dic2024!$H$6:$H$205,MIN(C438+1,200)))-LN(INDEX(Dic2024!$H$6:$H$205,C438)))*(A438-6*C438)/6))</f>
        <v>0.125134077709125</v>
      </c>
      <c r="E438" s="12" t="n">
        <f aca="false">D438^(-1/B438)-1</f>
        <v>0.0591497224999999</v>
      </c>
      <c r="F438" s="12" t="n">
        <f aca="false">(1+E438)^(1/12)-1</f>
        <v>0.00480035476682317</v>
      </c>
      <c r="G438" s="16" t="n">
        <f aca="false">IF(C438=0,(1+Dic2024!$J$6)^(-B438),EXP(LN(INDEX(Dic2024!$K$6:$K$205,C438))+(LN(INDEX(Dic2024!$K$6:$K$205,MIN(C438+1,200)))-LN(INDEX(Dic2024!$K$6:$K$205,C438)))*(A438-6*C438)/6))</f>
        <v>0.125134077709125</v>
      </c>
      <c r="H438" s="12" t="n">
        <f aca="false">G438^(-1/B438)-1</f>
        <v>0.0591497224999999</v>
      </c>
      <c r="I438" s="12" t="n">
        <f aca="false">(1+H438)^(1/12)-1</f>
        <v>0.00480035476682317</v>
      </c>
      <c r="J438" s="16" t="n">
        <f aca="false">IF(C438=0,(1+Dic2024!$M$6)^(-B438),EXP(LN(INDEX(Dic2024!$N$6:$N$205,C438))+(LN(INDEX(Dic2024!$N$6:$N$205,MIN(C438+1,200)))-LN(INDEX(Dic2024!$N$6:$N$205,C438)))*(A438-6*C438)/6))</f>
        <v>0.125134077709125</v>
      </c>
      <c r="K438" s="12" t="n">
        <f aca="false">J438^(-1/B438)-1</f>
        <v>0.0591497224999999</v>
      </c>
      <c r="L438" s="12" t="n">
        <f aca="false">(1+K438)^(1/12)-1</f>
        <v>0.00480035476682317</v>
      </c>
    </row>
    <row r="439" customFormat="false" ht="15" hidden="false" customHeight="false" outlineLevel="0" collapsed="false">
      <c r="A439" s="4" t="n">
        <v>435</v>
      </c>
      <c r="B439" s="14" t="n">
        <f aca="false">A439/12</f>
        <v>36.25</v>
      </c>
      <c r="C439" s="15" t="n">
        <f aca="false">INT(A439/6)</f>
        <v>72</v>
      </c>
      <c r="D439" s="16" t="n">
        <f aca="false">IF(C439=0,(1+Dic2024!$G$6)^(-B439),EXP(LN(INDEX(Dic2024!$H$6:$H$205,C439))+(LN(INDEX(Dic2024!$H$6:$H$205,MIN(C439+1,200)))-LN(INDEX(Dic2024!$H$6:$H$205,C439)))*(A439-6*C439)/6))</f>
        <v>0.124536259482276</v>
      </c>
      <c r="E439" s="12" t="n">
        <f aca="false">D439^(-1/B439)-1</f>
        <v>0.0591497224999999</v>
      </c>
      <c r="F439" s="12" t="n">
        <f aca="false">(1+E439)^(1/12)-1</f>
        <v>0.00480035476682317</v>
      </c>
      <c r="G439" s="16" t="n">
        <f aca="false">IF(C439=0,(1+Dic2024!$J$6)^(-B439),EXP(LN(INDEX(Dic2024!$K$6:$K$205,C439))+(LN(INDEX(Dic2024!$K$6:$K$205,MIN(C439+1,200)))-LN(INDEX(Dic2024!$K$6:$K$205,C439)))*(A439-6*C439)/6))</f>
        <v>0.124536259482276</v>
      </c>
      <c r="H439" s="12" t="n">
        <f aca="false">G439^(-1/B439)-1</f>
        <v>0.0591497224999999</v>
      </c>
      <c r="I439" s="12" t="n">
        <f aca="false">(1+H439)^(1/12)-1</f>
        <v>0.00480035476682317</v>
      </c>
      <c r="J439" s="16" t="n">
        <f aca="false">IF(C439=0,(1+Dic2024!$M$6)^(-B439),EXP(LN(INDEX(Dic2024!$N$6:$N$205,C439))+(LN(INDEX(Dic2024!$N$6:$N$205,MIN(C439+1,200)))-LN(INDEX(Dic2024!$N$6:$N$205,C439)))*(A439-6*C439)/6))</f>
        <v>0.124536259482276</v>
      </c>
      <c r="K439" s="12" t="n">
        <f aca="false">J439^(-1/B439)-1</f>
        <v>0.0591497224999999</v>
      </c>
      <c r="L439" s="12" t="n">
        <f aca="false">(1+K439)^(1/12)-1</f>
        <v>0.00480035476682317</v>
      </c>
    </row>
    <row r="440" customFormat="false" ht="15" hidden="false" customHeight="false" outlineLevel="0" collapsed="false">
      <c r="A440" s="4" t="n">
        <v>436</v>
      </c>
      <c r="B440" s="14" t="n">
        <f aca="false">A440/12</f>
        <v>36.3333333333333</v>
      </c>
      <c r="C440" s="15" t="n">
        <f aca="false">INT(A440/6)</f>
        <v>72</v>
      </c>
      <c r="D440" s="16" t="n">
        <f aca="false">IF(C440=0,(1+Dic2024!$G$6)^(-B440),EXP(LN(INDEX(Dic2024!$H$6:$H$205,C440))+(LN(INDEX(Dic2024!$H$6:$H$205,MIN(C440+1,200)))-LN(INDEX(Dic2024!$H$6:$H$205,C440)))*(A440-6*C440)/6))</f>
        <v>0.123941297285048</v>
      </c>
      <c r="E440" s="12" t="n">
        <f aca="false">D440^(-1/B440)-1</f>
        <v>0.0591497224999999</v>
      </c>
      <c r="F440" s="12" t="n">
        <f aca="false">(1+E440)^(1/12)-1</f>
        <v>0.00480035476682317</v>
      </c>
      <c r="G440" s="16" t="n">
        <f aca="false">IF(C440=0,(1+Dic2024!$J$6)^(-B440),EXP(LN(INDEX(Dic2024!$K$6:$K$205,C440))+(LN(INDEX(Dic2024!$K$6:$K$205,MIN(C440+1,200)))-LN(INDEX(Dic2024!$K$6:$K$205,C440)))*(A440-6*C440)/6))</f>
        <v>0.123941297285048</v>
      </c>
      <c r="H440" s="12" t="n">
        <f aca="false">G440^(-1/B440)-1</f>
        <v>0.0591497224999999</v>
      </c>
      <c r="I440" s="12" t="n">
        <f aca="false">(1+H440)^(1/12)-1</f>
        <v>0.00480035476682317</v>
      </c>
      <c r="J440" s="16" t="n">
        <f aca="false">IF(C440=0,(1+Dic2024!$M$6)^(-B440),EXP(LN(INDEX(Dic2024!$N$6:$N$205,C440))+(LN(INDEX(Dic2024!$N$6:$N$205,MIN(C440+1,200)))-LN(INDEX(Dic2024!$N$6:$N$205,C440)))*(A440-6*C440)/6))</f>
        <v>0.123941297285048</v>
      </c>
      <c r="K440" s="12" t="n">
        <f aca="false">J440^(-1/B440)-1</f>
        <v>0.0591497224999999</v>
      </c>
      <c r="L440" s="12" t="n">
        <f aca="false">(1+K440)^(1/12)-1</f>
        <v>0.00480035476682317</v>
      </c>
    </row>
    <row r="441" customFormat="false" ht="15" hidden="false" customHeight="false" outlineLevel="0" collapsed="false">
      <c r="A441" s="4" t="n">
        <v>437</v>
      </c>
      <c r="B441" s="14" t="n">
        <f aca="false">A441/12</f>
        <v>36.4166666666667</v>
      </c>
      <c r="C441" s="15" t="n">
        <f aca="false">INT(A441/6)</f>
        <v>72</v>
      </c>
      <c r="D441" s="16" t="n">
        <f aca="false">IF(C441=0,(1+Dic2024!$G$6)^(-B441),EXP(LN(INDEX(Dic2024!$H$6:$H$205,C441))+(LN(INDEX(Dic2024!$H$6:$H$205,MIN(C441+1,200)))-LN(INDEX(Dic2024!$H$6:$H$205,C441)))*(A441-6*C441)/6))</f>
        <v>0.123349177472982</v>
      </c>
      <c r="E441" s="12" t="n">
        <f aca="false">D441^(-1/B441)-1</f>
        <v>0.0591497224999999</v>
      </c>
      <c r="F441" s="12" t="n">
        <f aca="false">(1+E441)^(1/12)-1</f>
        <v>0.00480035476682317</v>
      </c>
      <c r="G441" s="16" t="n">
        <f aca="false">IF(C441=0,(1+Dic2024!$J$6)^(-B441),EXP(LN(INDEX(Dic2024!$K$6:$K$205,C441))+(LN(INDEX(Dic2024!$K$6:$K$205,MIN(C441+1,200)))-LN(INDEX(Dic2024!$K$6:$K$205,C441)))*(A441-6*C441)/6))</f>
        <v>0.123349177472982</v>
      </c>
      <c r="H441" s="12" t="n">
        <f aca="false">G441^(-1/B441)-1</f>
        <v>0.0591497224999999</v>
      </c>
      <c r="I441" s="12" t="n">
        <f aca="false">(1+H441)^(1/12)-1</f>
        <v>0.00480035476682317</v>
      </c>
      <c r="J441" s="16" t="n">
        <f aca="false">IF(C441=0,(1+Dic2024!$M$6)^(-B441),EXP(LN(INDEX(Dic2024!$N$6:$N$205,C441))+(LN(INDEX(Dic2024!$N$6:$N$205,MIN(C441+1,200)))-LN(INDEX(Dic2024!$N$6:$N$205,C441)))*(A441-6*C441)/6))</f>
        <v>0.123349177472982</v>
      </c>
      <c r="K441" s="12" t="n">
        <f aca="false">J441^(-1/B441)-1</f>
        <v>0.0591497224999999</v>
      </c>
      <c r="L441" s="12" t="n">
        <f aca="false">(1+K441)^(1/12)-1</f>
        <v>0.00480035476682317</v>
      </c>
    </row>
    <row r="442" customFormat="false" ht="15" hidden="false" customHeight="false" outlineLevel="0" collapsed="false">
      <c r="A442" s="4" t="n">
        <v>438</v>
      </c>
      <c r="B442" s="14" t="n">
        <f aca="false">A442/12</f>
        <v>36.5</v>
      </c>
      <c r="C442" s="15" t="n">
        <f aca="false">INT(A442/6)</f>
        <v>73</v>
      </c>
      <c r="D442" s="16" t="n">
        <f aca="false">IF(C442=0,(1+Dic2024!$G$6)^(-B442),EXP(LN(INDEX(Dic2024!$H$6:$H$205,C442))+(LN(INDEX(Dic2024!$H$6:$H$205,MIN(C442+1,200)))-LN(INDEX(Dic2024!$H$6:$H$205,C442)))*(A442-6*C442)/6))</f>
        <v>0.122759886466806</v>
      </c>
      <c r="E442" s="12" t="n">
        <f aca="false">D442^(-1/B442)-1</f>
        <v>0.0591497224999999</v>
      </c>
      <c r="F442" s="12" t="n">
        <f aca="false">(1+E442)^(1/12)-1</f>
        <v>0.00480035476682317</v>
      </c>
      <c r="G442" s="16" t="n">
        <f aca="false">IF(C442=0,(1+Dic2024!$J$6)^(-B442),EXP(LN(INDEX(Dic2024!$K$6:$K$205,C442))+(LN(INDEX(Dic2024!$K$6:$K$205,MIN(C442+1,200)))-LN(INDEX(Dic2024!$K$6:$K$205,C442)))*(A442-6*C442)/6))</f>
        <v>0.122759886466806</v>
      </c>
      <c r="H442" s="12" t="n">
        <f aca="false">G442^(-1/B442)-1</f>
        <v>0.0591497224999999</v>
      </c>
      <c r="I442" s="12" t="n">
        <f aca="false">(1+H442)^(1/12)-1</f>
        <v>0.00480035476682317</v>
      </c>
      <c r="J442" s="16" t="n">
        <f aca="false">IF(C442=0,(1+Dic2024!$M$6)^(-B442),EXP(LN(INDEX(Dic2024!$N$6:$N$205,C442))+(LN(INDEX(Dic2024!$N$6:$N$205,MIN(C442+1,200)))-LN(INDEX(Dic2024!$N$6:$N$205,C442)))*(A442-6*C442)/6))</f>
        <v>0.122759886466806</v>
      </c>
      <c r="K442" s="12" t="n">
        <f aca="false">J442^(-1/B442)-1</f>
        <v>0.0591497224999999</v>
      </c>
      <c r="L442" s="12" t="n">
        <f aca="false">(1+K442)^(1/12)-1</f>
        <v>0.00480035476682317</v>
      </c>
    </row>
    <row r="443" customFormat="false" ht="15" hidden="false" customHeight="false" outlineLevel="0" collapsed="false">
      <c r="A443" s="4" t="n">
        <v>439</v>
      </c>
      <c r="B443" s="14" t="n">
        <f aca="false">A443/12</f>
        <v>36.5833333333333</v>
      </c>
      <c r="C443" s="15" t="n">
        <f aca="false">INT(A443/6)</f>
        <v>73</v>
      </c>
      <c r="D443" s="16" t="n">
        <f aca="false">IF(C443=0,(1+Dic2024!$G$6)^(-B443),EXP(LN(INDEX(Dic2024!$H$6:$H$205,C443))+(LN(INDEX(Dic2024!$H$6:$H$205,MIN(C443+1,200)))-LN(INDEX(Dic2024!$H$6:$H$205,C443)))*(A443-6*C443)/6))</f>
        <v>0.122100228151409</v>
      </c>
      <c r="E443" s="12" t="n">
        <f aca="false">D443^(-1/B443)-1</f>
        <v>0.0591670700794358</v>
      </c>
      <c r="F443" s="12" t="n">
        <f aca="false">(1+E443)^(1/12)-1</f>
        <v>0.00480172620678987</v>
      </c>
      <c r="G443" s="16" t="n">
        <f aca="false">IF(C443=0,(1+Dic2024!$J$6)^(-B443),EXP(LN(INDEX(Dic2024!$K$6:$K$205,C443))+(LN(INDEX(Dic2024!$K$6:$K$205,MIN(C443+1,200)))-LN(INDEX(Dic2024!$K$6:$K$205,C443)))*(A443-6*C443)/6))</f>
        <v>0.122100228151409</v>
      </c>
      <c r="H443" s="12" t="n">
        <f aca="false">G443^(-1/B443)-1</f>
        <v>0.0591670700794358</v>
      </c>
      <c r="I443" s="12" t="n">
        <f aca="false">(1+H443)^(1/12)-1</f>
        <v>0.00480172620678987</v>
      </c>
      <c r="J443" s="16" t="n">
        <f aca="false">IF(C443=0,(1+Dic2024!$M$6)^(-B443),EXP(LN(INDEX(Dic2024!$N$6:$N$205,C443))+(LN(INDEX(Dic2024!$N$6:$N$205,MIN(C443+1,200)))-LN(INDEX(Dic2024!$N$6:$N$205,C443)))*(A443-6*C443)/6))</f>
        <v>0.122100228151409</v>
      </c>
      <c r="K443" s="12" t="n">
        <f aca="false">J443^(-1/B443)-1</f>
        <v>0.0591670700794358</v>
      </c>
      <c r="L443" s="12" t="n">
        <f aca="false">(1+K443)^(1/12)-1</f>
        <v>0.00480172620678987</v>
      </c>
    </row>
    <row r="444" customFormat="false" ht="15" hidden="false" customHeight="false" outlineLevel="0" collapsed="false">
      <c r="A444" s="4" t="n">
        <v>440</v>
      </c>
      <c r="B444" s="14" t="n">
        <f aca="false">A444/12</f>
        <v>36.6666666666667</v>
      </c>
      <c r="C444" s="15" t="n">
        <f aca="false">INT(A444/6)</f>
        <v>73</v>
      </c>
      <c r="D444" s="16" t="n">
        <f aca="false">IF(C444=0,(1+Dic2024!$G$6)^(-B444),EXP(LN(INDEX(Dic2024!$H$6:$H$205,C444))+(LN(INDEX(Dic2024!$H$6:$H$205,MIN(C444+1,200)))-LN(INDEX(Dic2024!$H$6:$H$205,C444)))*(A444-6*C444)/6))</f>
        <v>0.12144411455331</v>
      </c>
      <c r="E444" s="12" t="n">
        <f aca="false">D444^(-1/B444)-1</f>
        <v>0.0591843390884355</v>
      </c>
      <c r="F444" s="12" t="n">
        <f aca="false">(1+E444)^(1/12)-1</f>
        <v>0.0048030914147974</v>
      </c>
      <c r="G444" s="16" t="n">
        <f aca="false">IF(C444=0,(1+Dic2024!$J$6)^(-B444),EXP(LN(INDEX(Dic2024!$K$6:$K$205,C444))+(LN(INDEX(Dic2024!$K$6:$K$205,MIN(C444+1,200)))-LN(INDEX(Dic2024!$K$6:$K$205,C444)))*(A444-6*C444)/6))</f>
        <v>0.12144411455331</v>
      </c>
      <c r="H444" s="12" t="n">
        <f aca="false">G444^(-1/B444)-1</f>
        <v>0.0591843390884355</v>
      </c>
      <c r="I444" s="12" t="n">
        <f aca="false">(1+H444)^(1/12)-1</f>
        <v>0.0048030914147974</v>
      </c>
      <c r="J444" s="16" t="n">
        <f aca="false">IF(C444=0,(1+Dic2024!$M$6)^(-B444),EXP(LN(INDEX(Dic2024!$N$6:$N$205,C444))+(LN(INDEX(Dic2024!$N$6:$N$205,MIN(C444+1,200)))-LN(INDEX(Dic2024!$N$6:$N$205,C444)))*(A444-6*C444)/6))</f>
        <v>0.12144411455331</v>
      </c>
      <c r="K444" s="12" t="n">
        <f aca="false">J444^(-1/B444)-1</f>
        <v>0.0591843390884355</v>
      </c>
      <c r="L444" s="12" t="n">
        <f aca="false">(1+K444)^(1/12)-1</f>
        <v>0.0048030914147974</v>
      </c>
    </row>
    <row r="445" customFormat="false" ht="15" hidden="false" customHeight="false" outlineLevel="0" collapsed="false">
      <c r="A445" s="4" t="n">
        <v>441</v>
      </c>
      <c r="B445" s="14" t="n">
        <f aca="false">A445/12</f>
        <v>36.75</v>
      </c>
      <c r="C445" s="15" t="n">
        <f aca="false">INT(A445/6)</f>
        <v>73</v>
      </c>
      <c r="D445" s="16" t="n">
        <f aca="false">IF(C445=0,(1+Dic2024!$G$6)^(-B445),EXP(LN(INDEX(Dic2024!$H$6:$H$205,C445))+(LN(INDEX(Dic2024!$H$6:$H$205,MIN(C445+1,200)))-LN(INDEX(Dic2024!$H$6:$H$205,C445)))*(A445-6*C445)/6))</f>
        <v>0.120791526624738</v>
      </c>
      <c r="E445" s="12" t="n">
        <f aca="false">D445^(-1/B445)-1</f>
        <v>0.0592015300595814</v>
      </c>
      <c r="F445" s="12" t="n">
        <f aca="false">(1+E445)^(1/12)-1</f>
        <v>0.00480445043322786</v>
      </c>
      <c r="G445" s="16" t="n">
        <f aca="false">IF(C445=0,(1+Dic2024!$J$6)^(-B445),EXP(LN(INDEX(Dic2024!$K$6:$K$205,C445))+(LN(INDEX(Dic2024!$K$6:$K$205,MIN(C445+1,200)))-LN(INDEX(Dic2024!$K$6:$K$205,C445)))*(A445-6*C445)/6))</f>
        <v>0.120791526624738</v>
      </c>
      <c r="H445" s="12" t="n">
        <f aca="false">G445^(-1/B445)-1</f>
        <v>0.0592015300595814</v>
      </c>
      <c r="I445" s="12" t="n">
        <f aca="false">(1+H445)^(1/12)-1</f>
        <v>0.00480445043322786</v>
      </c>
      <c r="J445" s="16" t="n">
        <f aca="false">IF(C445=0,(1+Dic2024!$M$6)^(-B445),EXP(LN(INDEX(Dic2024!$N$6:$N$205,C445))+(LN(INDEX(Dic2024!$N$6:$N$205,MIN(C445+1,200)))-LN(INDEX(Dic2024!$N$6:$N$205,C445)))*(A445-6*C445)/6))</f>
        <v>0.120791526624738</v>
      </c>
      <c r="K445" s="12" t="n">
        <f aca="false">J445^(-1/B445)-1</f>
        <v>0.0592015300595814</v>
      </c>
      <c r="L445" s="12" t="n">
        <f aca="false">(1+K445)^(1/12)-1</f>
        <v>0.00480445043322786</v>
      </c>
    </row>
    <row r="446" customFormat="false" ht="15" hidden="false" customHeight="false" outlineLevel="0" collapsed="false">
      <c r="A446" s="4" t="n">
        <v>442</v>
      </c>
      <c r="B446" s="14" t="n">
        <f aca="false">A446/12</f>
        <v>36.8333333333333</v>
      </c>
      <c r="C446" s="15" t="n">
        <f aca="false">INT(A446/6)</f>
        <v>73</v>
      </c>
      <c r="D446" s="16" t="n">
        <f aca="false">IF(C446=0,(1+Dic2024!$G$6)^(-B446),EXP(LN(INDEX(Dic2024!$H$6:$H$205,C446))+(LN(INDEX(Dic2024!$H$6:$H$205,MIN(C446+1,200)))-LN(INDEX(Dic2024!$H$6:$H$205,C446)))*(A446-6*C446)/6))</f>
        <v>0.120142445420276</v>
      </c>
      <c r="E446" s="12" t="n">
        <f aca="false">D446^(-1/B446)-1</f>
        <v>0.0592186435206525</v>
      </c>
      <c r="F446" s="12" t="n">
        <f aca="false">(1+E446)^(1/12)-1</f>
        <v>0.0048058033040792</v>
      </c>
      <c r="G446" s="16" t="n">
        <f aca="false">IF(C446=0,(1+Dic2024!$J$6)^(-B446),EXP(LN(INDEX(Dic2024!$K$6:$K$205,C446))+(LN(INDEX(Dic2024!$K$6:$K$205,MIN(C446+1,200)))-LN(INDEX(Dic2024!$K$6:$K$205,C446)))*(A446-6*C446)/6))</f>
        <v>0.120142445420276</v>
      </c>
      <c r="H446" s="12" t="n">
        <f aca="false">G446^(-1/B446)-1</f>
        <v>0.0592186435206525</v>
      </c>
      <c r="I446" s="12" t="n">
        <f aca="false">(1+H446)^(1/12)-1</f>
        <v>0.0048058033040792</v>
      </c>
      <c r="J446" s="16" t="n">
        <f aca="false">IF(C446=0,(1+Dic2024!$M$6)^(-B446),EXP(LN(INDEX(Dic2024!$N$6:$N$205,C446))+(LN(INDEX(Dic2024!$N$6:$N$205,MIN(C446+1,200)))-LN(INDEX(Dic2024!$N$6:$N$205,C446)))*(A446-6*C446)/6))</f>
        <v>0.120142445420276</v>
      </c>
      <c r="K446" s="12" t="n">
        <f aca="false">J446^(-1/B446)-1</f>
        <v>0.0592186435206525</v>
      </c>
      <c r="L446" s="12" t="n">
        <f aca="false">(1+K446)^(1/12)-1</f>
        <v>0.0048058033040792</v>
      </c>
    </row>
    <row r="447" customFormat="false" ht="15" hidden="false" customHeight="false" outlineLevel="0" collapsed="false">
      <c r="A447" s="4" t="n">
        <v>443</v>
      </c>
      <c r="B447" s="14" t="n">
        <f aca="false">A447/12</f>
        <v>36.9166666666667</v>
      </c>
      <c r="C447" s="15" t="n">
        <f aca="false">INT(A447/6)</f>
        <v>73</v>
      </c>
      <c r="D447" s="16" t="n">
        <f aca="false">IF(C447=0,(1+Dic2024!$G$6)^(-B447),EXP(LN(INDEX(Dic2024!$H$6:$H$205,C447))+(LN(INDEX(Dic2024!$H$6:$H$205,MIN(C447+1,200)))-LN(INDEX(Dic2024!$H$6:$H$205,C447)))*(A447-6*C447)/6))</f>
        <v>0.119496852096311</v>
      </c>
      <c r="E447" s="12" t="n">
        <f aca="false">D447^(-1/B447)-1</f>
        <v>0.0592356799946803</v>
      </c>
      <c r="F447" s="12" t="n">
        <f aca="false">(1+E447)^(1/12)-1</f>
        <v>0.00480715006897081</v>
      </c>
      <c r="G447" s="16" t="n">
        <f aca="false">IF(C447=0,(1+Dic2024!$J$6)^(-B447),EXP(LN(INDEX(Dic2024!$K$6:$K$205,C447))+(LN(INDEX(Dic2024!$K$6:$K$205,MIN(C447+1,200)))-LN(INDEX(Dic2024!$K$6:$K$205,C447)))*(A447-6*C447)/6))</f>
        <v>0.119496852096311</v>
      </c>
      <c r="H447" s="12" t="n">
        <f aca="false">G447^(-1/B447)-1</f>
        <v>0.0592356799946803</v>
      </c>
      <c r="I447" s="12" t="n">
        <f aca="false">(1+H447)^(1/12)-1</f>
        <v>0.00480715006897081</v>
      </c>
      <c r="J447" s="16" t="n">
        <f aca="false">IF(C447=0,(1+Dic2024!$M$6)^(-B447),EXP(LN(INDEX(Dic2024!$N$6:$N$205,C447))+(LN(INDEX(Dic2024!$N$6:$N$205,MIN(C447+1,200)))-LN(INDEX(Dic2024!$N$6:$N$205,C447)))*(A447-6*C447)/6))</f>
        <v>0.119496852096311</v>
      </c>
      <c r="K447" s="12" t="n">
        <f aca="false">J447^(-1/B447)-1</f>
        <v>0.0592356799946803</v>
      </c>
      <c r="L447" s="12" t="n">
        <f aca="false">(1+K447)^(1/12)-1</f>
        <v>0.00480715006897081</v>
      </c>
    </row>
    <row r="448" customFormat="false" ht="15" hidden="false" customHeight="false" outlineLevel="0" collapsed="false">
      <c r="A448" s="4" t="n">
        <v>444</v>
      </c>
      <c r="B448" s="14" t="n">
        <f aca="false">A448/12</f>
        <v>37</v>
      </c>
      <c r="C448" s="15" t="n">
        <f aca="false">INT(A448/6)</f>
        <v>74</v>
      </c>
      <c r="D448" s="16" t="n">
        <f aca="false">IF(C448=0,(1+Dic2024!$G$6)^(-B448),EXP(LN(INDEX(Dic2024!$H$6:$H$205,C448))+(LN(INDEX(Dic2024!$H$6:$H$205,MIN(C448+1,200)))-LN(INDEX(Dic2024!$H$6:$H$205,C448)))*(A448-6*C448)/6))</f>
        <v>0.118854727910489</v>
      </c>
      <c r="E448" s="12" t="n">
        <f aca="false">D448^(-1/B448)-1</f>
        <v>0.0592526399999997</v>
      </c>
      <c r="F448" s="12" t="n">
        <f aca="false">(1+E448)^(1/12)-1</f>
        <v>0.0048084907691468</v>
      </c>
      <c r="G448" s="16" t="n">
        <f aca="false">IF(C448=0,(1+Dic2024!$J$6)^(-B448),EXP(LN(INDEX(Dic2024!$K$6:$K$205,C448))+(LN(INDEX(Dic2024!$K$6:$K$205,MIN(C448+1,200)))-LN(INDEX(Dic2024!$K$6:$K$205,C448)))*(A448-6*C448)/6))</f>
        <v>0.118854727910489</v>
      </c>
      <c r="H448" s="12" t="n">
        <f aca="false">G448^(-1/B448)-1</f>
        <v>0.0592526399999997</v>
      </c>
      <c r="I448" s="12" t="n">
        <f aca="false">(1+H448)^(1/12)-1</f>
        <v>0.0048084907691468</v>
      </c>
      <c r="J448" s="16" t="n">
        <f aca="false">IF(C448=0,(1+Dic2024!$M$6)^(-B448),EXP(LN(INDEX(Dic2024!$N$6:$N$205,C448))+(LN(INDEX(Dic2024!$N$6:$N$205,MIN(C448+1,200)))-LN(INDEX(Dic2024!$N$6:$N$205,C448)))*(A448-6*C448)/6))</f>
        <v>0.118854727910489</v>
      </c>
      <c r="K448" s="12" t="n">
        <f aca="false">J448^(-1/B448)-1</f>
        <v>0.0592526399999997</v>
      </c>
      <c r="L448" s="12" t="n">
        <f aca="false">(1+K448)^(1/12)-1</f>
        <v>0.0048084907691468</v>
      </c>
    </row>
    <row r="449" customFormat="false" ht="15" hidden="false" customHeight="false" outlineLevel="0" collapsed="false">
      <c r="A449" s="4" t="n">
        <v>445</v>
      </c>
      <c r="B449" s="14" t="n">
        <f aca="false">A449/12</f>
        <v>37.0833333333333</v>
      </c>
      <c r="C449" s="15" t="n">
        <f aca="false">INT(A449/6)</f>
        <v>74</v>
      </c>
      <c r="D449" s="16" t="n">
        <f aca="false">IF(C449=0,(1+Dic2024!$G$6)^(-B449),EXP(LN(INDEX(Dic2024!$H$6:$H$205,C449))+(LN(INDEX(Dic2024!$H$6:$H$205,MIN(C449+1,200)))-LN(INDEX(Dic2024!$H$6:$H$205,C449)))*(A449-6*C449)/6))</f>
        <v>0.118285951006953</v>
      </c>
      <c r="E449" s="12" t="n">
        <f aca="false">D449^(-1/B449)-1</f>
        <v>0.0592526399999997</v>
      </c>
      <c r="F449" s="12" t="n">
        <f aca="false">(1+E449)^(1/12)-1</f>
        <v>0.0048084907691468</v>
      </c>
      <c r="G449" s="16" t="n">
        <f aca="false">IF(C449=0,(1+Dic2024!$J$6)^(-B449),EXP(LN(INDEX(Dic2024!$K$6:$K$205,C449))+(LN(INDEX(Dic2024!$K$6:$K$205,MIN(C449+1,200)))-LN(INDEX(Dic2024!$K$6:$K$205,C449)))*(A449-6*C449)/6))</f>
        <v>0.118285951006953</v>
      </c>
      <c r="H449" s="12" t="n">
        <f aca="false">G449^(-1/B449)-1</f>
        <v>0.0592526399999997</v>
      </c>
      <c r="I449" s="12" t="n">
        <f aca="false">(1+H449)^(1/12)-1</f>
        <v>0.0048084907691468</v>
      </c>
      <c r="J449" s="16" t="n">
        <f aca="false">IF(C449=0,(1+Dic2024!$M$6)^(-B449),EXP(LN(INDEX(Dic2024!$N$6:$N$205,C449))+(LN(INDEX(Dic2024!$N$6:$N$205,MIN(C449+1,200)))-LN(INDEX(Dic2024!$N$6:$N$205,C449)))*(A449-6*C449)/6))</f>
        <v>0.118285951006953</v>
      </c>
      <c r="K449" s="12" t="n">
        <f aca="false">J449^(-1/B449)-1</f>
        <v>0.0592526399999997</v>
      </c>
      <c r="L449" s="12" t="n">
        <f aca="false">(1+K449)^(1/12)-1</f>
        <v>0.0048084907691468</v>
      </c>
    </row>
    <row r="450" customFormat="false" ht="15" hidden="false" customHeight="false" outlineLevel="0" collapsed="false">
      <c r="A450" s="4" t="n">
        <v>446</v>
      </c>
      <c r="B450" s="14" t="n">
        <f aca="false">A450/12</f>
        <v>37.1666666666667</v>
      </c>
      <c r="C450" s="15" t="n">
        <f aca="false">INT(A450/6)</f>
        <v>74</v>
      </c>
      <c r="D450" s="16" t="n">
        <f aca="false">IF(C450=0,(1+Dic2024!$G$6)^(-B450),EXP(LN(INDEX(Dic2024!$H$6:$H$205,C450))+(LN(INDEX(Dic2024!$H$6:$H$205,MIN(C450+1,200)))-LN(INDEX(Dic2024!$H$6:$H$205,C450)))*(A450-6*C450)/6))</f>
        <v>0.117719895973818</v>
      </c>
      <c r="E450" s="12" t="n">
        <f aca="false">D450^(-1/B450)-1</f>
        <v>0.0592526399999997</v>
      </c>
      <c r="F450" s="12" t="n">
        <f aca="false">(1+E450)^(1/12)-1</f>
        <v>0.0048084907691468</v>
      </c>
      <c r="G450" s="16" t="n">
        <f aca="false">IF(C450=0,(1+Dic2024!$J$6)^(-B450),EXP(LN(INDEX(Dic2024!$K$6:$K$205,C450))+(LN(INDEX(Dic2024!$K$6:$K$205,MIN(C450+1,200)))-LN(INDEX(Dic2024!$K$6:$K$205,C450)))*(A450-6*C450)/6))</f>
        <v>0.117719895973818</v>
      </c>
      <c r="H450" s="12" t="n">
        <f aca="false">G450^(-1/B450)-1</f>
        <v>0.0592526399999997</v>
      </c>
      <c r="I450" s="12" t="n">
        <f aca="false">(1+H450)^(1/12)-1</f>
        <v>0.0048084907691468</v>
      </c>
      <c r="J450" s="16" t="n">
        <f aca="false">IF(C450=0,(1+Dic2024!$M$6)^(-B450),EXP(LN(INDEX(Dic2024!$N$6:$N$205,C450))+(LN(INDEX(Dic2024!$N$6:$N$205,MIN(C450+1,200)))-LN(INDEX(Dic2024!$N$6:$N$205,C450)))*(A450-6*C450)/6))</f>
        <v>0.117719895973818</v>
      </c>
      <c r="K450" s="12" t="n">
        <f aca="false">J450^(-1/B450)-1</f>
        <v>0.0592526399999997</v>
      </c>
      <c r="L450" s="12" t="n">
        <f aca="false">(1+K450)^(1/12)-1</f>
        <v>0.0048084907691468</v>
      </c>
    </row>
    <row r="451" customFormat="false" ht="15" hidden="false" customHeight="false" outlineLevel="0" collapsed="false">
      <c r="A451" s="4" t="n">
        <v>447</v>
      </c>
      <c r="B451" s="14" t="n">
        <f aca="false">A451/12</f>
        <v>37.25</v>
      </c>
      <c r="C451" s="15" t="n">
        <f aca="false">INT(A451/6)</f>
        <v>74</v>
      </c>
      <c r="D451" s="16" t="n">
        <f aca="false">IF(C451=0,(1+Dic2024!$G$6)^(-B451),EXP(LN(INDEX(Dic2024!$H$6:$H$205,C451))+(LN(INDEX(Dic2024!$H$6:$H$205,MIN(C451+1,200)))-LN(INDEX(Dic2024!$H$6:$H$205,C451)))*(A451-6*C451)/6))</f>
        <v>0.117156549785628</v>
      </c>
      <c r="E451" s="12" t="n">
        <f aca="false">D451^(-1/B451)-1</f>
        <v>0.0592526399999997</v>
      </c>
      <c r="F451" s="12" t="n">
        <f aca="false">(1+E451)^(1/12)-1</f>
        <v>0.0048084907691468</v>
      </c>
      <c r="G451" s="16" t="n">
        <f aca="false">IF(C451=0,(1+Dic2024!$J$6)^(-B451),EXP(LN(INDEX(Dic2024!$K$6:$K$205,C451))+(LN(INDEX(Dic2024!$K$6:$K$205,MIN(C451+1,200)))-LN(INDEX(Dic2024!$K$6:$K$205,C451)))*(A451-6*C451)/6))</f>
        <v>0.117156549785628</v>
      </c>
      <c r="H451" s="12" t="n">
        <f aca="false">G451^(-1/B451)-1</f>
        <v>0.0592526399999997</v>
      </c>
      <c r="I451" s="12" t="n">
        <f aca="false">(1+H451)^(1/12)-1</f>
        <v>0.0048084907691468</v>
      </c>
      <c r="J451" s="16" t="n">
        <f aca="false">IF(C451=0,(1+Dic2024!$M$6)^(-B451),EXP(LN(INDEX(Dic2024!$N$6:$N$205,C451))+(LN(INDEX(Dic2024!$N$6:$N$205,MIN(C451+1,200)))-LN(INDEX(Dic2024!$N$6:$N$205,C451)))*(A451-6*C451)/6))</f>
        <v>0.117156549785628</v>
      </c>
      <c r="K451" s="12" t="n">
        <f aca="false">J451^(-1/B451)-1</f>
        <v>0.0592526399999997</v>
      </c>
      <c r="L451" s="12" t="n">
        <f aca="false">(1+K451)^(1/12)-1</f>
        <v>0.0048084907691468</v>
      </c>
    </row>
    <row r="452" customFormat="false" ht="15" hidden="false" customHeight="false" outlineLevel="0" collapsed="false">
      <c r="A452" s="4" t="n">
        <v>448</v>
      </c>
      <c r="B452" s="14" t="n">
        <f aca="false">A452/12</f>
        <v>37.3333333333333</v>
      </c>
      <c r="C452" s="15" t="n">
        <f aca="false">INT(A452/6)</f>
        <v>74</v>
      </c>
      <c r="D452" s="16" t="n">
        <f aca="false">IF(C452=0,(1+Dic2024!$G$6)^(-B452),EXP(LN(INDEX(Dic2024!$H$6:$H$205,C452))+(LN(INDEX(Dic2024!$H$6:$H$205,MIN(C452+1,200)))-LN(INDEX(Dic2024!$H$6:$H$205,C452)))*(A452-6*C452)/6))</f>
        <v>0.116595899479262</v>
      </c>
      <c r="E452" s="12" t="n">
        <f aca="false">D452^(-1/B452)-1</f>
        <v>0.0592526399999997</v>
      </c>
      <c r="F452" s="12" t="n">
        <f aca="false">(1+E452)^(1/12)-1</f>
        <v>0.0048084907691468</v>
      </c>
      <c r="G452" s="16" t="n">
        <f aca="false">IF(C452=0,(1+Dic2024!$J$6)^(-B452),EXP(LN(INDEX(Dic2024!$K$6:$K$205,C452))+(LN(INDEX(Dic2024!$K$6:$K$205,MIN(C452+1,200)))-LN(INDEX(Dic2024!$K$6:$K$205,C452)))*(A452-6*C452)/6))</f>
        <v>0.116595899479262</v>
      </c>
      <c r="H452" s="12" t="n">
        <f aca="false">G452^(-1/B452)-1</f>
        <v>0.0592526399999997</v>
      </c>
      <c r="I452" s="12" t="n">
        <f aca="false">(1+H452)^(1/12)-1</f>
        <v>0.0048084907691468</v>
      </c>
      <c r="J452" s="16" t="n">
        <f aca="false">IF(C452=0,(1+Dic2024!$M$6)^(-B452),EXP(LN(INDEX(Dic2024!$N$6:$N$205,C452))+(LN(INDEX(Dic2024!$N$6:$N$205,MIN(C452+1,200)))-LN(INDEX(Dic2024!$N$6:$N$205,C452)))*(A452-6*C452)/6))</f>
        <v>0.116595899479262</v>
      </c>
      <c r="K452" s="12" t="n">
        <f aca="false">J452^(-1/B452)-1</f>
        <v>0.0592526399999997</v>
      </c>
      <c r="L452" s="12" t="n">
        <f aca="false">(1+K452)^(1/12)-1</f>
        <v>0.0048084907691468</v>
      </c>
    </row>
    <row r="453" customFormat="false" ht="15" hidden="false" customHeight="false" outlineLevel="0" collapsed="false">
      <c r="A453" s="4" t="n">
        <v>449</v>
      </c>
      <c r="B453" s="14" t="n">
        <f aca="false">A453/12</f>
        <v>37.4166666666667</v>
      </c>
      <c r="C453" s="15" t="n">
        <f aca="false">INT(A453/6)</f>
        <v>74</v>
      </c>
      <c r="D453" s="16" t="n">
        <f aca="false">IF(C453=0,(1+Dic2024!$G$6)^(-B453),EXP(LN(INDEX(Dic2024!$H$6:$H$205,C453))+(LN(INDEX(Dic2024!$H$6:$H$205,MIN(C453+1,200)))-LN(INDEX(Dic2024!$H$6:$H$205,C453)))*(A453-6*C453)/6))</f>
        <v>0.11603793215363</v>
      </c>
      <c r="E453" s="12" t="n">
        <f aca="false">D453^(-1/B453)-1</f>
        <v>0.0592526399999997</v>
      </c>
      <c r="F453" s="12" t="n">
        <f aca="false">(1+E453)^(1/12)-1</f>
        <v>0.0048084907691468</v>
      </c>
      <c r="G453" s="16" t="n">
        <f aca="false">IF(C453=0,(1+Dic2024!$J$6)^(-B453),EXP(LN(INDEX(Dic2024!$K$6:$K$205,C453))+(LN(INDEX(Dic2024!$K$6:$K$205,MIN(C453+1,200)))-LN(INDEX(Dic2024!$K$6:$K$205,C453)))*(A453-6*C453)/6))</f>
        <v>0.11603793215363</v>
      </c>
      <c r="H453" s="12" t="n">
        <f aca="false">G453^(-1/B453)-1</f>
        <v>0.0592526399999997</v>
      </c>
      <c r="I453" s="12" t="n">
        <f aca="false">(1+H453)^(1/12)-1</f>
        <v>0.0048084907691468</v>
      </c>
      <c r="J453" s="16" t="n">
        <f aca="false">IF(C453=0,(1+Dic2024!$M$6)^(-B453),EXP(LN(INDEX(Dic2024!$N$6:$N$205,C453))+(LN(INDEX(Dic2024!$N$6:$N$205,MIN(C453+1,200)))-LN(INDEX(Dic2024!$N$6:$N$205,C453)))*(A453-6*C453)/6))</f>
        <v>0.11603793215363</v>
      </c>
      <c r="K453" s="12" t="n">
        <f aca="false">J453^(-1/B453)-1</f>
        <v>0.0592526399999997</v>
      </c>
      <c r="L453" s="12" t="n">
        <f aca="false">(1+K453)^(1/12)-1</f>
        <v>0.0048084907691468</v>
      </c>
    </row>
    <row r="454" customFormat="false" ht="15" hidden="false" customHeight="false" outlineLevel="0" collapsed="false">
      <c r="A454" s="4" t="n">
        <v>450</v>
      </c>
      <c r="B454" s="14" t="n">
        <f aca="false">A454/12</f>
        <v>37.5</v>
      </c>
      <c r="C454" s="15" t="n">
        <f aca="false">INT(A454/6)</f>
        <v>75</v>
      </c>
      <c r="D454" s="16" t="n">
        <f aca="false">IF(C454=0,(1+Dic2024!$G$6)^(-B454),EXP(LN(INDEX(Dic2024!$H$6:$H$205,C454))+(LN(INDEX(Dic2024!$H$6:$H$205,MIN(C454+1,200)))-LN(INDEX(Dic2024!$H$6:$H$205,C454)))*(A454-6*C454)/6))</f>
        <v>0.115482634969383</v>
      </c>
      <c r="E454" s="12" t="n">
        <f aca="false">D454^(-1/B454)-1</f>
        <v>0.0592526399999997</v>
      </c>
      <c r="F454" s="12" t="n">
        <f aca="false">(1+E454)^(1/12)-1</f>
        <v>0.0048084907691468</v>
      </c>
      <c r="G454" s="16" t="n">
        <f aca="false">IF(C454=0,(1+Dic2024!$J$6)^(-B454),EXP(LN(INDEX(Dic2024!$K$6:$K$205,C454))+(LN(INDEX(Dic2024!$K$6:$K$205,MIN(C454+1,200)))-LN(INDEX(Dic2024!$K$6:$K$205,C454)))*(A454-6*C454)/6))</f>
        <v>0.115482634969383</v>
      </c>
      <c r="H454" s="12" t="n">
        <f aca="false">G454^(-1/B454)-1</f>
        <v>0.0592526399999997</v>
      </c>
      <c r="I454" s="12" t="n">
        <f aca="false">(1+H454)^(1/12)-1</f>
        <v>0.0048084907691468</v>
      </c>
      <c r="J454" s="16" t="n">
        <f aca="false">IF(C454=0,(1+Dic2024!$M$6)^(-B454),EXP(LN(INDEX(Dic2024!$N$6:$N$205,C454))+(LN(INDEX(Dic2024!$N$6:$N$205,MIN(C454+1,200)))-LN(INDEX(Dic2024!$N$6:$N$205,C454)))*(A454-6*C454)/6))</f>
        <v>0.115482634969383</v>
      </c>
      <c r="K454" s="12" t="n">
        <f aca="false">J454^(-1/B454)-1</f>
        <v>0.0592526399999997</v>
      </c>
      <c r="L454" s="12" t="n">
        <f aca="false">(1+K454)^(1/12)-1</f>
        <v>0.0048084907691468</v>
      </c>
    </row>
    <row r="455" customFormat="false" ht="15" hidden="false" customHeight="false" outlineLevel="0" collapsed="false">
      <c r="A455" s="4" t="n">
        <v>451</v>
      </c>
      <c r="B455" s="14" t="n">
        <f aca="false">A455/12</f>
        <v>37.5833333333333</v>
      </c>
      <c r="C455" s="15" t="n">
        <f aca="false">INT(A455/6)</f>
        <v>75</v>
      </c>
      <c r="D455" s="16" t="n">
        <f aca="false">IF(C455=0,(1+Dic2024!$G$6)^(-B455),EXP(LN(INDEX(Dic2024!$H$6:$H$205,C455))+(LN(INDEX(Dic2024!$H$6:$H$205,MIN(C455+1,200)))-LN(INDEX(Dic2024!$H$6:$H$205,C455)))*(A455-6*C455)/6))</f>
        <v>0.114929995148613</v>
      </c>
      <c r="E455" s="12" t="n">
        <f aca="false">D455^(-1/B455)-1</f>
        <v>0.0592526399999997</v>
      </c>
      <c r="F455" s="12" t="n">
        <f aca="false">(1+E455)^(1/12)-1</f>
        <v>0.0048084907691468</v>
      </c>
      <c r="G455" s="16" t="n">
        <f aca="false">IF(C455=0,(1+Dic2024!$J$6)^(-B455),EXP(LN(INDEX(Dic2024!$K$6:$K$205,C455))+(LN(INDEX(Dic2024!$K$6:$K$205,MIN(C455+1,200)))-LN(INDEX(Dic2024!$K$6:$K$205,C455)))*(A455-6*C455)/6))</f>
        <v>0.114929995148613</v>
      </c>
      <c r="H455" s="12" t="n">
        <f aca="false">G455^(-1/B455)-1</f>
        <v>0.0592526399999997</v>
      </c>
      <c r="I455" s="12" t="n">
        <f aca="false">(1+H455)^(1/12)-1</f>
        <v>0.0048084907691468</v>
      </c>
      <c r="J455" s="16" t="n">
        <f aca="false">IF(C455=0,(1+Dic2024!$M$6)^(-B455),EXP(LN(INDEX(Dic2024!$N$6:$N$205,C455))+(LN(INDEX(Dic2024!$N$6:$N$205,MIN(C455+1,200)))-LN(INDEX(Dic2024!$N$6:$N$205,C455)))*(A455-6*C455)/6))</f>
        <v>0.114929995148613</v>
      </c>
      <c r="K455" s="12" t="n">
        <f aca="false">J455^(-1/B455)-1</f>
        <v>0.0592526399999997</v>
      </c>
      <c r="L455" s="12" t="n">
        <f aca="false">(1+K455)^(1/12)-1</f>
        <v>0.0048084907691468</v>
      </c>
    </row>
    <row r="456" customFormat="false" ht="15" hidden="false" customHeight="false" outlineLevel="0" collapsed="false">
      <c r="A456" s="4" t="n">
        <v>452</v>
      </c>
      <c r="B456" s="14" t="n">
        <f aca="false">A456/12</f>
        <v>37.6666666666667</v>
      </c>
      <c r="C456" s="15" t="n">
        <f aca="false">INT(A456/6)</f>
        <v>75</v>
      </c>
      <c r="D456" s="16" t="n">
        <f aca="false">IF(C456=0,(1+Dic2024!$G$6)^(-B456),EXP(LN(INDEX(Dic2024!$H$6:$H$205,C456))+(LN(INDEX(Dic2024!$H$6:$H$205,MIN(C456+1,200)))-LN(INDEX(Dic2024!$H$6:$H$205,C456)))*(A456-6*C456)/6))</f>
        <v>0.114379999974561</v>
      </c>
      <c r="E456" s="12" t="n">
        <f aca="false">D456^(-1/B456)-1</f>
        <v>0.0592526399999997</v>
      </c>
      <c r="F456" s="12" t="n">
        <f aca="false">(1+E456)^(1/12)-1</f>
        <v>0.0048084907691468</v>
      </c>
      <c r="G456" s="16" t="n">
        <f aca="false">IF(C456=0,(1+Dic2024!$J$6)^(-B456),EXP(LN(INDEX(Dic2024!$K$6:$K$205,C456))+(LN(INDEX(Dic2024!$K$6:$K$205,MIN(C456+1,200)))-LN(INDEX(Dic2024!$K$6:$K$205,C456)))*(A456-6*C456)/6))</f>
        <v>0.114379999974561</v>
      </c>
      <c r="H456" s="12" t="n">
        <f aca="false">G456^(-1/B456)-1</f>
        <v>0.0592526399999997</v>
      </c>
      <c r="I456" s="12" t="n">
        <f aca="false">(1+H456)^(1/12)-1</f>
        <v>0.0048084907691468</v>
      </c>
      <c r="J456" s="16" t="n">
        <f aca="false">IF(C456=0,(1+Dic2024!$M$6)^(-B456),EXP(LN(INDEX(Dic2024!$N$6:$N$205,C456))+(LN(INDEX(Dic2024!$N$6:$N$205,MIN(C456+1,200)))-LN(INDEX(Dic2024!$N$6:$N$205,C456)))*(A456-6*C456)/6))</f>
        <v>0.114379999974561</v>
      </c>
      <c r="K456" s="12" t="n">
        <f aca="false">J456^(-1/B456)-1</f>
        <v>0.0592526399999997</v>
      </c>
      <c r="L456" s="12" t="n">
        <f aca="false">(1+K456)^(1/12)-1</f>
        <v>0.0048084907691468</v>
      </c>
    </row>
    <row r="457" customFormat="false" ht="15" hidden="false" customHeight="false" outlineLevel="0" collapsed="false">
      <c r="A457" s="4" t="n">
        <v>453</v>
      </c>
      <c r="B457" s="14" t="n">
        <f aca="false">A457/12</f>
        <v>37.75</v>
      </c>
      <c r="C457" s="15" t="n">
        <f aca="false">INT(A457/6)</f>
        <v>75</v>
      </c>
      <c r="D457" s="16" t="n">
        <f aca="false">IF(C457=0,(1+Dic2024!$G$6)^(-B457),EXP(LN(INDEX(Dic2024!$H$6:$H$205,C457))+(LN(INDEX(Dic2024!$H$6:$H$205,MIN(C457+1,200)))-LN(INDEX(Dic2024!$H$6:$H$205,C457)))*(A457-6*C457)/6))</f>
        <v>0.113832636791322</v>
      </c>
      <c r="E457" s="12" t="n">
        <f aca="false">D457^(-1/B457)-1</f>
        <v>0.0592526399999997</v>
      </c>
      <c r="F457" s="12" t="n">
        <f aca="false">(1+E457)^(1/12)-1</f>
        <v>0.0048084907691468</v>
      </c>
      <c r="G457" s="16" t="n">
        <f aca="false">IF(C457=0,(1+Dic2024!$J$6)^(-B457),EXP(LN(INDEX(Dic2024!$K$6:$K$205,C457))+(LN(INDEX(Dic2024!$K$6:$K$205,MIN(C457+1,200)))-LN(INDEX(Dic2024!$K$6:$K$205,C457)))*(A457-6*C457)/6))</f>
        <v>0.113832636791322</v>
      </c>
      <c r="H457" s="12" t="n">
        <f aca="false">G457^(-1/B457)-1</f>
        <v>0.0592526399999997</v>
      </c>
      <c r="I457" s="12" t="n">
        <f aca="false">(1+H457)^(1/12)-1</f>
        <v>0.0048084907691468</v>
      </c>
      <c r="J457" s="16" t="n">
        <f aca="false">IF(C457=0,(1+Dic2024!$M$6)^(-B457),EXP(LN(INDEX(Dic2024!$N$6:$N$205,C457))+(LN(INDEX(Dic2024!$N$6:$N$205,MIN(C457+1,200)))-LN(INDEX(Dic2024!$N$6:$N$205,C457)))*(A457-6*C457)/6))</f>
        <v>0.113832636791322</v>
      </c>
      <c r="K457" s="12" t="n">
        <f aca="false">J457^(-1/B457)-1</f>
        <v>0.0592526399999997</v>
      </c>
      <c r="L457" s="12" t="n">
        <f aca="false">(1+K457)^(1/12)-1</f>
        <v>0.0048084907691468</v>
      </c>
    </row>
    <row r="458" customFormat="false" ht="15" hidden="false" customHeight="false" outlineLevel="0" collapsed="false">
      <c r="A458" s="4" t="n">
        <v>454</v>
      </c>
      <c r="B458" s="14" t="n">
        <f aca="false">A458/12</f>
        <v>37.8333333333333</v>
      </c>
      <c r="C458" s="15" t="n">
        <f aca="false">INT(A458/6)</f>
        <v>75</v>
      </c>
      <c r="D458" s="16" t="n">
        <f aca="false">IF(C458=0,(1+Dic2024!$G$6)^(-B458),EXP(LN(INDEX(Dic2024!$H$6:$H$205,C458))+(LN(INDEX(Dic2024!$H$6:$H$205,MIN(C458+1,200)))-LN(INDEX(Dic2024!$H$6:$H$205,C458)))*(A458-6*C458)/6))</f>
        <v>0.113287893003558</v>
      </c>
      <c r="E458" s="12" t="n">
        <f aca="false">D458^(-1/B458)-1</f>
        <v>0.0592526399999997</v>
      </c>
      <c r="F458" s="12" t="n">
        <f aca="false">(1+E458)^(1/12)-1</f>
        <v>0.0048084907691468</v>
      </c>
      <c r="G458" s="16" t="n">
        <f aca="false">IF(C458=0,(1+Dic2024!$J$6)^(-B458),EXP(LN(INDEX(Dic2024!$K$6:$K$205,C458))+(LN(INDEX(Dic2024!$K$6:$K$205,MIN(C458+1,200)))-LN(INDEX(Dic2024!$K$6:$K$205,C458)))*(A458-6*C458)/6))</f>
        <v>0.113287893003558</v>
      </c>
      <c r="H458" s="12" t="n">
        <f aca="false">G458^(-1/B458)-1</f>
        <v>0.0592526399999997</v>
      </c>
      <c r="I458" s="12" t="n">
        <f aca="false">(1+H458)^(1/12)-1</f>
        <v>0.0048084907691468</v>
      </c>
      <c r="J458" s="16" t="n">
        <f aca="false">IF(C458=0,(1+Dic2024!$M$6)^(-B458),EXP(LN(INDEX(Dic2024!$N$6:$N$205,C458))+(LN(INDEX(Dic2024!$N$6:$N$205,MIN(C458+1,200)))-LN(INDEX(Dic2024!$N$6:$N$205,C458)))*(A458-6*C458)/6))</f>
        <v>0.113287893003558</v>
      </c>
      <c r="K458" s="12" t="n">
        <f aca="false">J458^(-1/B458)-1</f>
        <v>0.0592526399999997</v>
      </c>
      <c r="L458" s="12" t="n">
        <f aca="false">(1+K458)^(1/12)-1</f>
        <v>0.0048084907691468</v>
      </c>
    </row>
    <row r="459" customFormat="false" ht="15" hidden="false" customHeight="false" outlineLevel="0" collapsed="false">
      <c r="A459" s="4" t="n">
        <v>455</v>
      </c>
      <c r="B459" s="14" t="n">
        <f aca="false">A459/12</f>
        <v>37.9166666666667</v>
      </c>
      <c r="C459" s="15" t="n">
        <f aca="false">INT(A459/6)</f>
        <v>75</v>
      </c>
      <c r="D459" s="16" t="n">
        <f aca="false">IF(C459=0,(1+Dic2024!$G$6)^(-B459),EXP(LN(INDEX(Dic2024!$H$6:$H$205,C459))+(LN(INDEX(Dic2024!$H$6:$H$205,MIN(C459+1,200)))-LN(INDEX(Dic2024!$H$6:$H$205,C459)))*(A459-6*C459)/6))</f>
        <v>0.112745756076205</v>
      </c>
      <c r="E459" s="12" t="n">
        <f aca="false">D459^(-1/B459)-1</f>
        <v>0.0592526399999997</v>
      </c>
      <c r="F459" s="12" t="n">
        <f aca="false">(1+E459)^(1/12)-1</f>
        <v>0.0048084907691468</v>
      </c>
      <c r="G459" s="16" t="n">
        <f aca="false">IF(C459=0,(1+Dic2024!$J$6)^(-B459),EXP(LN(INDEX(Dic2024!$K$6:$K$205,C459))+(LN(INDEX(Dic2024!$K$6:$K$205,MIN(C459+1,200)))-LN(INDEX(Dic2024!$K$6:$K$205,C459)))*(A459-6*C459)/6))</f>
        <v>0.112745756076205</v>
      </c>
      <c r="H459" s="12" t="n">
        <f aca="false">G459^(-1/B459)-1</f>
        <v>0.0592526399999997</v>
      </c>
      <c r="I459" s="12" t="n">
        <f aca="false">(1+H459)^(1/12)-1</f>
        <v>0.0048084907691468</v>
      </c>
      <c r="J459" s="16" t="n">
        <f aca="false">IF(C459=0,(1+Dic2024!$M$6)^(-B459),EXP(LN(INDEX(Dic2024!$N$6:$N$205,C459))+(LN(INDEX(Dic2024!$N$6:$N$205,MIN(C459+1,200)))-LN(INDEX(Dic2024!$N$6:$N$205,C459)))*(A459-6*C459)/6))</f>
        <v>0.112745756076205</v>
      </c>
      <c r="K459" s="12" t="n">
        <f aca="false">J459^(-1/B459)-1</f>
        <v>0.0592526399999997</v>
      </c>
      <c r="L459" s="12" t="n">
        <f aca="false">(1+K459)^(1/12)-1</f>
        <v>0.0048084907691468</v>
      </c>
    </row>
    <row r="460" customFormat="false" ht="15" hidden="false" customHeight="false" outlineLevel="0" collapsed="false">
      <c r="A460" s="4" t="n">
        <v>456</v>
      </c>
      <c r="B460" s="14" t="n">
        <f aca="false">A460/12</f>
        <v>38</v>
      </c>
      <c r="C460" s="15" t="n">
        <f aca="false">INT(A460/6)</f>
        <v>76</v>
      </c>
      <c r="D460" s="16" t="n">
        <f aca="false">IF(C460=0,(1+Dic2024!$G$6)^(-B460),EXP(LN(INDEX(Dic2024!$H$6:$H$205,C460))+(LN(INDEX(Dic2024!$H$6:$H$205,MIN(C460+1,200)))-LN(INDEX(Dic2024!$H$6:$H$205,C460)))*(A460-6*C460)/6))</f>
        <v>0.112206213534185</v>
      </c>
      <c r="E460" s="12" t="n">
        <f aca="false">D460^(-1/B460)-1</f>
        <v>0.0592526399999997</v>
      </c>
      <c r="F460" s="12" t="n">
        <f aca="false">(1+E460)^(1/12)-1</f>
        <v>0.0048084907691468</v>
      </c>
      <c r="G460" s="16" t="n">
        <f aca="false">IF(C460=0,(1+Dic2024!$J$6)^(-B460),EXP(LN(INDEX(Dic2024!$K$6:$K$205,C460))+(LN(INDEX(Dic2024!$K$6:$K$205,MIN(C460+1,200)))-LN(INDEX(Dic2024!$K$6:$K$205,C460)))*(A460-6*C460)/6))</f>
        <v>0.112206213534185</v>
      </c>
      <c r="H460" s="12" t="n">
        <f aca="false">G460^(-1/B460)-1</f>
        <v>0.0592526399999997</v>
      </c>
      <c r="I460" s="12" t="n">
        <f aca="false">(1+H460)^(1/12)-1</f>
        <v>0.0048084907691468</v>
      </c>
      <c r="J460" s="16" t="n">
        <f aca="false">IF(C460=0,(1+Dic2024!$M$6)^(-B460),EXP(LN(INDEX(Dic2024!$N$6:$N$205,C460))+(LN(INDEX(Dic2024!$N$6:$N$205,MIN(C460+1,200)))-LN(INDEX(Dic2024!$N$6:$N$205,C460)))*(A460-6*C460)/6))</f>
        <v>0.112206213534185</v>
      </c>
      <c r="K460" s="12" t="n">
        <f aca="false">J460^(-1/B460)-1</f>
        <v>0.0592526399999997</v>
      </c>
      <c r="L460" s="12" t="n">
        <f aca="false">(1+K460)^(1/12)-1</f>
        <v>0.0048084907691468</v>
      </c>
    </row>
    <row r="461" customFormat="false" ht="15" hidden="false" customHeight="false" outlineLevel="0" collapsed="false">
      <c r="A461" s="4" t="n">
        <v>457</v>
      </c>
      <c r="B461" s="14" t="n">
        <f aca="false">A461/12</f>
        <v>38.0833333333333</v>
      </c>
      <c r="C461" s="15" t="n">
        <f aca="false">INT(A461/6)</f>
        <v>76</v>
      </c>
      <c r="D461" s="16" t="n">
        <f aca="false">IF(C461=0,(1+Dic2024!$G$6)^(-B461),EXP(LN(INDEX(Dic2024!$H$6:$H$205,C461))+(LN(INDEX(Dic2024!$H$6:$H$205,MIN(C461+1,200)))-LN(INDEX(Dic2024!$H$6:$H$205,C461)))*(A461-6*C461)/6))</f>
        <v>0.111669252962119</v>
      </c>
      <c r="E461" s="12" t="n">
        <f aca="false">D461^(-1/B461)-1</f>
        <v>0.0592526399999997</v>
      </c>
      <c r="F461" s="12" t="n">
        <f aca="false">(1+E461)^(1/12)-1</f>
        <v>0.0048084907691468</v>
      </c>
      <c r="G461" s="16" t="n">
        <f aca="false">IF(C461=0,(1+Dic2024!$J$6)^(-B461),EXP(LN(INDEX(Dic2024!$K$6:$K$205,C461))+(LN(INDEX(Dic2024!$K$6:$K$205,MIN(C461+1,200)))-LN(INDEX(Dic2024!$K$6:$K$205,C461)))*(A461-6*C461)/6))</f>
        <v>0.111669252962119</v>
      </c>
      <c r="H461" s="12" t="n">
        <f aca="false">G461^(-1/B461)-1</f>
        <v>0.0592526399999997</v>
      </c>
      <c r="I461" s="12" t="n">
        <f aca="false">(1+H461)^(1/12)-1</f>
        <v>0.0048084907691468</v>
      </c>
      <c r="J461" s="16" t="n">
        <f aca="false">IF(C461=0,(1+Dic2024!$M$6)^(-B461),EXP(LN(INDEX(Dic2024!$N$6:$N$205,C461))+(LN(INDEX(Dic2024!$N$6:$N$205,MIN(C461+1,200)))-LN(INDEX(Dic2024!$N$6:$N$205,C461)))*(A461-6*C461)/6))</f>
        <v>0.111669252962119</v>
      </c>
      <c r="K461" s="12" t="n">
        <f aca="false">J461^(-1/B461)-1</f>
        <v>0.0592526399999997</v>
      </c>
      <c r="L461" s="12" t="n">
        <f aca="false">(1+K461)^(1/12)-1</f>
        <v>0.0048084907691468</v>
      </c>
    </row>
    <row r="462" customFormat="false" ht="15" hidden="false" customHeight="false" outlineLevel="0" collapsed="false">
      <c r="A462" s="4" t="n">
        <v>458</v>
      </c>
      <c r="B462" s="14" t="n">
        <f aca="false">A462/12</f>
        <v>38.1666666666667</v>
      </c>
      <c r="C462" s="15" t="n">
        <f aca="false">INT(A462/6)</f>
        <v>76</v>
      </c>
      <c r="D462" s="16" t="n">
        <f aca="false">IF(C462=0,(1+Dic2024!$G$6)^(-B462),EXP(LN(INDEX(Dic2024!$H$6:$H$205,C462))+(LN(INDEX(Dic2024!$H$6:$H$205,MIN(C462+1,200)))-LN(INDEX(Dic2024!$H$6:$H$205,C462)))*(A462-6*C462)/6))</f>
        <v>0.111134862004043</v>
      </c>
      <c r="E462" s="12" t="n">
        <f aca="false">D462^(-1/B462)-1</f>
        <v>0.0592526399999997</v>
      </c>
      <c r="F462" s="12" t="n">
        <f aca="false">(1+E462)^(1/12)-1</f>
        <v>0.0048084907691468</v>
      </c>
      <c r="G462" s="16" t="n">
        <f aca="false">IF(C462=0,(1+Dic2024!$J$6)^(-B462),EXP(LN(INDEX(Dic2024!$K$6:$K$205,C462))+(LN(INDEX(Dic2024!$K$6:$K$205,MIN(C462+1,200)))-LN(INDEX(Dic2024!$K$6:$K$205,C462)))*(A462-6*C462)/6))</f>
        <v>0.111134862004043</v>
      </c>
      <c r="H462" s="12" t="n">
        <f aca="false">G462^(-1/B462)-1</f>
        <v>0.0592526399999997</v>
      </c>
      <c r="I462" s="12" t="n">
        <f aca="false">(1+H462)^(1/12)-1</f>
        <v>0.0048084907691468</v>
      </c>
      <c r="J462" s="16" t="n">
        <f aca="false">IF(C462=0,(1+Dic2024!$M$6)^(-B462),EXP(LN(INDEX(Dic2024!$N$6:$N$205,C462))+(LN(INDEX(Dic2024!$N$6:$N$205,MIN(C462+1,200)))-LN(INDEX(Dic2024!$N$6:$N$205,C462)))*(A462-6*C462)/6))</f>
        <v>0.111134862004043</v>
      </c>
      <c r="K462" s="12" t="n">
        <f aca="false">J462^(-1/B462)-1</f>
        <v>0.0592526399999997</v>
      </c>
      <c r="L462" s="12" t="n">
        <f aca="false">(1+K462)^(1/12)-1</f>
        <v>0.0048084907691468</v>
      </c>
    </row>
    <row r="463" customFormat="false" ht="15" hidden="false" customHeight="false" outlineLevel="0" collapsed="false">
      <c r="A463" s="4" t="n">
        <v>459</v>
      </c>
      <c r="B463" s="14" t="n">
        <f aca="false">A463/12</f>
        <v>38.25</v>
      </c>
      <c r="C463" s="15" t="n">
        <f aca="false">INT(A463/6)</f>
        <v>76</v>
      </c>
      <c r="D463" s="16" t="n">
        <f aca="false">IF(C463=0,(1+Dic2024!$G$6)^(-B463),EXP(LN(INDEX(Dic2024!$H$6:$H$205,C463))+(LN(INDEX(Dic2024!$H$6:$H$205,MIN(C463+1,200)))-LN(INDEX(Dic2024!$H$6:$H$205,C463)))*(A463-6*C463)/6))</f>
        <v>0.110603028363119</v>
      </c>
      <c r="E463" s="12" t="n">
        <f aca="false">D463^(-1/B463)-1</f>
        <v>0.0592526399999997</v>
      </c>
      <c r="F463" s="12" t="n">
        <f aca="false">(1+E463)^(1/12)-1</f>
        <v>0.0048084907691468</v>
      </c>
      <c r="G463" s="16" t="n">
        <f aca="false">IF(C463=0,(1+Dic2024!$J$6)^(-B463),EXP(LN(INDEX(Dic2024!$K$6:$K$205,C463))+(LN(INDEX(Dic2024!$K$6:$K$205,MIN(C463+1,200)))-LN(INDEX(Dic2024!$K$6:$K$205,C463)))*(A463-6*C463)/6))</f>
        <v>0.110603028363119</v>
      </c>
      <c r="H463" s="12" t="n">
        <f aca="false">G463^(-1/B463)-1</f>
        <v>0.0592526399999997</v>
      </c>
      <c r="I463" s="12" t="n">
        <f aca="false">(1+H463)^(1/12)-1</f>
        <v>0.0048084907691468</v>
      </c>
      <c r="J463" s="16" t="n">
        <f aca="false">IF(C463=0,(1+Dic2024!$M$6)^(-B463),EXP(LN(INDEX(Dic2024!$N$6:$N$205,C463))+(LN(INDEX(Dic2024!$N$6:$N$205,MIN(C463+1,200)))-LN(INDEX(Dic2024!$N$6:$N$205,C463)))*(A463-6*C463)/6))</f>
        <v>0.110603028363119</v>
      </c>
      <c r="K463" s="12" t="n">
        <f aca="false">J463^(-1/B463)-1</f>
        <v>0.0592526399999997</v>
      </c>
      <c r="L463" s="12" t="n">
        <f aca="false">(1+K463)^(1/12)-1</f>
        <v>0.0048084907691468</v>
      </c>
    </row>
    <row r="464" customFormat="false" ht="15" hidden="false" customHeight="false" outlineLevel="0" collapsed="false">
      <c r="A464" s="4" t="n">
        <v>460</v>
      </c>
      <c r="B464" s="14" t="n">
        <f aca="false">A464/12</f>
        <v>38.3333333333333</v>
      </c>
      <c r="C464" s="15" t="n">
        <f aca="false">INT(A464/6)</f>
        <v>76</v>
      </c>
      <c r="D464" s="16" t="n">
        <f aca="false">IF(C464=0,(1+Dic2024!$G$6)^(-B464),EXP(LN(INDEX(Dic2024!$H$6:$H$205,C464))+(LN(INDEX(Dic2024!$H$6:$H$205,MIN(C464+1,200)))-LN(INDEX(Dic2024!$H$6:$H$205,C464)))*(A464-6*C464)/6))</f>
        <v>0.110073739801358</v>
      </c>
      <c r="E464" s="12" t="n">
        <f aca="false">D464^(-1/B464)-1</f>
        <v>0.0592526399999997</v>
      </c>
      <c r="F464" s="12" t="n">
        <f aca="false">(1+E464)^(1/12)-1</f>
        <v>0.0048084907691468</v>
      </c>
      <c r="G464" s="16" t="n">
        <f aca="false">IF(C464=0,(1+Dic2024!$J$6)^(-B464),EXP(LN(INDEX(Dic2024!$K$6:$K$205,C464))+(LN(INDEX(Dic2024!$K$6:$K$205,MIN(C464+1,200)))-LN(INDEX(Dic2024!$K$6:$K$205,C464)))*(A464-6*C464)/6))</f>
        <v>0.110073739801358</v>
      </c>
      <c r="H464" s="12" t="n">
        <f aca="false">G464^(-1/B464)-1</f>
        <v>0.0592526399999997</v>
      </c>
      <c r="I464" s="12" t="n">
        <f aca="false">(1+H464)^(1/12)-1</f>
        <v>0.0048084907691468</v>
      </c>
      <c r="J464" s="16" t="n">
        <f aca="false">IF(C464=0,(1+Dic2024!$M$6)^(-B464),EXP(LN(INDEX(Dic2024!$N$6:$N$205,C464))+(LN(INDEX(Dic2024!$N$6:$N$205,MIN(C464+1,200)))-LN(INDEX(Dic2024!$N$6:$N$205,C464)))*(A464-6*C464)/6))</f>
        <v>0.110073739801358</v>
      </c>
      <c r="K464" s="12" t="n">
        <f aca="false">J464^(-1/B464)-1</f>
        <v>0.0592526399999997</v>
      </c>
      <c r="L464" s="12" t="n">
        <f aca="false">(1+K464)^(1/12)-1</f>
        <v>0.0048084907691468</v>
      </c>
    </row>
    <row r="465" customFormat="false" ht="15" hidden="false" customHeight="false" outlineLevel="0" collapsed="false">
      <c r="A465" s="4" t="n">
        <v>461</v>
      </c>
      <c r="B465" s="14" t="n">
        <f aca="false">A465/12</f>
        <v>38.4166666666667</v>
      </c>
      <c r="C465" s="15" t="n">
        <f aca="false">INT(A465/6)</f>
        <v>76</v>
      </c>
      <c r="D465" s="16" t="n">
        <f aca="false">IF(C465=0,(1+Dic2024!$G$6)^(-B465),EXP(LN(INDEX(Dic2024!$H$6:$H$205,C465))+(LN(INDEX(Dic2024!$H$6:$H$205,MIN(C465+1,200)))-LN(INDEX(Dic2024!$H$6:$H$205,C465)))*(A465-6*C465)/6))</f>
        <v>0.109546984139337</v>
      </c>
      <c r="E465" s="12" t="n">
        <f aca="false">D465^(-1/B465)-1</f>
        <v>0.0592526399999997</v>
      </c>
      <c r="F465" s="12" t="n">
        <f aca="false">(1+E465)^(1/12)-1</f>
        <v>0.0048084907691468</v>
      </c>
      <c r="G465" s="16" t="n">
        <f aca="false">IF(C465=0,(1+Dic2024!$J$6)^(-B465),EXP(LN(INDEX(Dic2024!$K$6:$K$205,C465))+(LN(INDEX(Dic2024!$K$6:$K$205,MIN(C465+1,200)))-LN(INDEX(Dic2024!$K$6:$K$205,C465)))*(A465-6*C465)/6))</f>
        <v>0.109546984139337</v>
      </c>
      <c r="H465" s="12" t="n">
        <f aca="false">G465^(-1/B465)-1</f>
        <v>0.0592526399999997</v>
      </c>
      <c r="I465" s="12" t="n">
        <f aca="false">(1+H465)^(1/12)-1</f>
        <v>0.0048084907691468</v>
      </c>
      <c r="J465" s="16" t="n">
        <f aca="false">IF(C465=0,(1+Dic2024!$M$6)^(-B465),EXP(LN(INDEX(Dic2024!$N$6:$N$205,C465))+(LN(INDEX(Dic2024!$N$6:$N$205,MIN(C465+1,200)))-LN(INDEX(Dic2024!$N$6:$N$205,C465)))*(A465-6*C465)/6))</f>
        <v>0.109546984139337</v>
      </c>
      <c r="K465" s="12" t="n">
        <f aca="false">J465^(-1/B465)-1</f>
        <v>0.0592526399999997</v>
      </c>
      <c r="L465" s="12" t="n">
        <f aca="false">(1+K465)^(1/12)-1</f>
        <v>0.0048084907691468</v>
      </c>
    </row>
    <row r="466" customFormat="false" ht="15" hidden="false" customHeight="false" outlineLevel="0" collapsed="false">
      <c r="A466" s="4" t="n">
        <v>462</v>
      </c>
      <c r="B466" s="14" t="n">
        <f aca="false">A466/12</f>
        <v>38.5</v>
      </c>
      <c r="C466" s="15" t="n">
        <f aca="false">INT(A466/6)</f>
        <v>77</v>
      </c>
      <c r="D466" s="16" t="n">
        <f aca="false">IF(C466=0,(1+Dic2024!$G$6)^(-B466),EXP(LN(INDEX(Dic2024!$H$6:$H$205,C466))+(LN(INDEX(Dic2024!$H$6:$H$205,MIN(C466+1,200)))-LN(INDEX(Dic2024!$H$6:$H$205,C466)))*(A466-6*C466)/6))</f>
        <v>0.109022749255913</v>
      </c>
      <c r="E466" s="12" t="n">
        <f aca="false">D466^(-1/B466)-1</f>
        <v>0.0592526399999997</v>
      </c>
      <c r="F466" s="12" t="n">
        <f aca="false">(1+E466)^(1/12)-1</f>
        <v>0.0048084907691468</v>
      </c>
      <c r="G466" s="16" t="n">
        <f aca="false">IF(C466=0,(1+Dic2024!$J$6)^(-B466),EXP(LN(INDEX(Dic2024!$K$6:$K$205,C466))+(LN(INDEX(Dic2024!$K$6:$K$205,MIN(C466+1,200)))-LN(INDEX(Dic2024!$K$6:$K$205,C466)))*(A466-6*C466)/6))</f>
        <v>0.109022749255913</v>
      </c>
      <c r="H466" s="12" t="n">
        <f aca="false">G466^(-1/B466)-1</f>
        <v>0.0592526399999997</v>
      </c>
      <c r="I466" s="12" t="n">
        <f aca="false">(1+H466)^(1/12)-1</f>
        <v>0.0048084907691468</v>
      </c>
      <c r="J466" s="16" t="n">
        <f aca="false">IF(C466=0,(1+Dic2024!$M$6)^(-B466),EXP(LN(INDEX(Dic2024!$N$6:$N$205,C466))+(LN(INDEX(Dic2024!$N$6:$N$205,MIN(C466+1,200)))-LN(INDEX(Dic2024!$N$6:$N$205,C466)))*(A466-6*C466)/6))</f>
        <v>0.109022749255913</v>
      </c>
      <c r="K466" s="12" t="n">
        <f aca="false">J466^(-1/B466)-1</f>
        <v>0.0592526399999997</v>
      </c>
      <c r="L466" s="12" t="n">
        <f aca="false">(1+K466)^(1/12)-1</f>
        <v>0.0048084907691468</v>
      </c>
    </row>
    <row r="467" customFormat="false" ht="15" hidden="false" customHeight="false" outlineLevel="0" collapsed="false">
      <c r="A467" s="4" t="n">
        <v>463</v>
      </c>
      <c r="B467" s="14" t="n">
        <f aca="false">A467/12</f>
        <v>38.5833333333333</v>
      </c>
      <c r="C467" s="15" t="n">
        <f aca="false">INT(A467/6)</f>
        <v>77</v>
      </c>
      <c r="D467" s="16" t="n">
        <f aca="false">IF(C467=0,(1+Dic2024!$G$6)^(-B467),EXP(LN(INDEX(Dic2024!$H$6:$H$205,C467))+(LN(INDEX(Dic2024!$H$6:$H$205,MIN(C467+1,200)))-LN(INDEX(Dic2024!$H$6:$H$205,C467)))*(A467-6*C467)/6))</f>
        <v>0.108432521642972</v>
      </c>
      <c r="E467" s="12" t="n">
        <f aca="false">D467^(-1/B467)-1</f>
        <v>0.0592699782952599</v>
      </c>
      <c r="F467" s="12" t="n">
        <f aca="false">(1+E467)^(1/12)-1</f>
        <v>0.00480986135306405</v>
      </c>
      <c r="G467" s="16" t="n">
        <f aca="false">IF(C467=0,(1+Dic2024!$J$6)^(-B467),EXP(LN(INDEX(Dic2024!$K$6:$K$205,C467))+(LN(INDEX(Dic2024!$K$6:$K$205,MIN(C467+1,200)))-LN(INDEX(Dic2024!$K$6:$K$205,C467)))*(A467-6*C467)/6))</f>
        <v>0.108432521642972</v>
      </c>
      <c r="H467" s="12" t="n">
        <f aca="false">G467^(-1/B467)-1</f>
        <v>0.0592699782952599</v>
      </c>
      <c r="I467" s="12" t="n">
        <f aca="false">(1+H467)^(1/12)-1</f>
        <v>0.00480986135306405</v>
      </c>
      <c r="J467" s="16" t="n">
        <f aca="false">IF(C467=0,(1+Dic2024!$M$6)^(-B467),EXP(LN(INDEX(Dic2024!$N$6:$N$205,C467))+(LN(INDEX(Dic2024!$N$6:$N$205,MIN(C467+1,200)))-LN(INDEX(Dic2024!$N$6:$N$205,C467)))*(A467-6*C467)/6))</f>
        <v>0.108432521642972</v>
      </c>
      <c r="K467" s="12" t="n">
        <f aca="false">J467^(-1/B467)-1</f>
        <v>0.0592699782952599</v>
      </c>
      <c r="L467" s="12" t="n">
        <f aca="false">(1+K467)^(1/12)-1</f>
        <v>0.00480986135306405</v>
      </c>
    </row>
    <row r="468" customFormat="false" ht="15" hidden="false" customHeight="false" outlineLevel="0" collapsed="false">
      <c r="A468" s="4" t="n">
        <v>464</v>
      </c>
      <c r="B468" s="14" t="n">
        <f aca="false">A468/12</f>
        <v>38.6666666666667</v>
      </c>
      <c r="C468" s="15" t="n">
        <f aca="false">INT(A468/6)</f>
        <v>77</v>
      </c>
      <c r="D468" s="16" t="n">
        <f aca="false">IF(C468=0,(1+Dic2024!$G$6)^(-B468),EXP(LN(INDEX(Dic2024!$H$6:$H$205,C468))+(LN(INDEX(Dic2024!$H$6:$H$205,MIN(C468+1,200)))-LN(INDEX(Dic2024!$H$6:$H$205,C468)))*(A468-6*C468)/6))</f>
        <v>0.107845489405653</v>
      </c>
      <c r="E468" s="12" t="n">
        <f aca="false">D468^(-1/B468)-1</f>
        <v>0.0592872421384569</v>
      </c>
      <c r="F468" s="12" t="n">
        <f aca="false">(1+E468)^(1/12)-1</f>
        <v>0.00481122603114947</v>
      </c>
      <c r="G468" s="16" t="n">
        <f aca="false">IF(C468=0,(1+Dic2024!$J$6)^(-B468),EXP(LN(INDEX(Dic2024!$K$6:$K$205,C468))+(LN(INDEX(Dic2024!$K$6:$K$205,MIN(C468+1,200)))-LN(INDEX(Dic2024!$K$6:$K$205,C468)))*(A468-6*C468)/6))</f>
        <v>0.107845489405653</v>
      </c>
      <c r="H468" s="12" t="n">
        <f aca="false">G468^(-1/B468)-1</f>
        <v>0.0592872421384569</v>
      </c>
      <c r="I468" s="12" t="n">
        <f aca="false">(1+H468)^(1/12)-1</f>
        <v>0.00481122603114947</v>
      </c>
      <c r="J468" s="16" t="n">
        <f aca="false">IF(C468=0,(1+Dic2024!$M$6)^(-B468),EXP(LN(INDEX(Dic2024!$N$6:$N$205,C468))+(LN(INDEX(Dic2024!$N$6:$N$205,MIN(C468+1,200)))-LN(INDEX(Dic2024!$N$6:$N$205,C468)))*(A468-6*C468)/6))</f>
        <v>0.107845489405653</v>
      </c>
      <c r="K468" s="12" t="n">
        <f aca="false">J468^(-1/B468)-1</f>
        <v>0.0592872421384569</v>
      </c>
      <c r="L468" s="12" t="n">
        <f aca="false">(1+K468)^(1/12)-1</f>
        <v>0.00481122603114947</v>
      </c>
    </row>
    <row r="469" customFormat="false" ht="15" hidden="false" customHeight="false" outlineLevel="0" collapsed="false">
      <c r="A469" s="4" t="n">
        <v>465</v>
      </c>
      <c r="B469" s="14" t="n">
        <f aca="false">A469/12</f>
        <v>38.75</v>
      </c>
      <c r="C469" s="15" t="n">
        <f aca="false">INT(A469/6)</f>
        <v>77</v>
      </c>
      <c r="D469" s="16" t="n">
        <f aca="false">IF(C469=0,(1+Dic2024!$G$6)^(-B469),EXP(LN(INDEX(Dic2024!$H$6:$H$205,C469))+(LN(INDEX(Dic2024!$H$6:$H$205,MIN(C469+1,200)))-LN(INDEX(Dic2024!$H$6:$H$205,C469)))*(A469-6*C469)/6))</f>
        <v>0.107261635244822</v>
      </c>
      <c r="E469" s="12" t="n">
        <f aca="false">D469^(-1/B469)-1</f>
        <v>0.0593044320081162</v>
      </c>
      <c r="F469" s="12" t="n">
        <f aca="false">(1+E469)^(1/12)-1</f>
        <v>0.00481258484149327</v>
      </c>
      <c r="G469" s="16" t="n">
        <f aca="false">IF(C469=0,(1+Dic2024!$J$6)^(-B469),EXP(LN(INDEX(Dic2024!$K$6:$K$205,C469))+(LN(INDEX(Dic2024!$K$6:$K$205,MIN(C469+1,200)))-LN(INDEX(Dic2024!$K$6:$K$205,C469)))*(A469-6*C469)/6))</f>
        <v>0.107261635244822</v>
      </c>
      <c r="H469" s="12" t="n">
        <f aca="false">G469^(-1/B469)-1</f>
        <v>0.0593044320081162</v>
      </c>
      <c r="I469" s="12" t="n">
        <f aca="false">(1+H469)^(1/12)-1</f>
        <v>0.00481258484149327</v>
      </c>
      <c r="J469" s="16" t="n">
        <f aca="false">IF(C469=0,(1+Dic2024!$M$6)^(-B469),EXP(LN(INDEX(Dic2024!$N$6:$N$205,C469))+(LN(INDEX(Dic2024!$N$6:$N$205,MIN(C469+1,200)))-LN(INDEX(Dic2024!$N$6:$N$205,C469)))*(A469-6*C469)/6))</f>
        <v>0.107261635244822</v>
      </c>
      <c r="K469" s="12" t="n">
        <f aca="false">J469^(-1/B469)-1</f>
        <v>0.0593044320081162</v>
      </c>
      <c r="L469" s="12" t="n">
        <f aca="false">(1+K469)^(1/12)-1</f>
        <v>0.00481258484149327</v>
      </c>
    </row>
    <row r="470" customFormat="false" ht="15" hidden="false" customHeight="false" outlineLevel="0" collapsed="false">
      <c r="A470" s="4" t="n">
        <v>466</v>
      </c>
      <c r="B470" s="14" t="n">
        <f aca="false">A470/12</f>
        <v>38.8333333333333</v>
      </c>
      <c r="C470" s="15" t="n">
        <f aca="false">INT(A470/6)</f>
        <v>77</v>
      </c>
      <c r="D470" s="16" t="n">
        <f aca="false">IF(C470=0,(1+Dic2024!$G$6)^(-B470),EXP(LN(INDEX(Dic2024!$H$6:$H$205,C470))+(LN(INDEX(Dic2024!$H$6:$H$205,MIN(C470+1,200)))-LN(INDEX(Dic2024!$H$6:$H$205,C470)))*(A470-6*C470)/6))</f>
        <v>0.106680941955003</v>
      </c>
      <c r="E470" s="12" t="n">
        <f aca="false">D470^(-1/B470)-1</f>
        <v>0.0593215483786709</v>
      </c>
      <c r="F470" s="12" t="n">
        <f aca="false">(1+E470)^(1/12)-1</f>
        <v>0.00481393782185879</v>
      </c>
      <c r="G470" s="16" t="n">
        <f aca="false">IF(C470=0,(1+Dic2024!$J$6)^(-B470),EXP(LN(INDEX(Dic2024!$K$6:$K$205,C470))+(LN(INDEX(Dic2024!$K$6:$K$205,MIN(C470+1,200)))-LN(INDEX(Dic2024!$K$6:$K$205,C470)))*(A470-6*C470)/6))</f>
        <v>0.106680941955003</v>
      </c>
      <c r="H470" s="12" t="n">
        <f aca="false">G470^(-1/B470)-1</f>
        <v>0.0593215483786709</v>
      </c>
      <c r="I470" s="12" t="n">
        <f aca="false">(1+H470)^(1/12)-1</f>
        <v>0.00481393782185879</v>
      </c>
      <c r="J470" s="16" t="n">
        <f aca="false">IF(C470=0,(1+Dic2024!$M$6)^(-B470),EXP(LN(INDEX(Dic2024!$N$6:$N$205,C470))+(LN(INDEX(Dic2024!$N$6:$N$205,MIN(C470+1,200)))-LN(INDEX(Dic2024!$N$6:$N$205,C470)))*(A470-6*C470)/6))</f>
        <v>0.106680941955003</v>
      </c>
      <c r="K470" s="12" t="n">
        <f aca="false">J470^(-1/B470)-1</f>
        <v>0.0593215483786709</v>
      </c>
      <c r="L470" s="12" t="n">
        <f aca="false">(1+K470)^(1/12)-1</f>
        <v>0.00481393782185879</v>
      </c>
    </row>
    <row r="471" customFormat="false" ht="15" hidden="false" customHeight="false" outlineLevel="0" collapsed="false">
      <c r="A471" s="4" t="n">
        <v>467</v>
      </c>
      <c r="B471" s="14" t="n">
        <f aca="false">A471/12</f>
        <v>38.9166666666667</v>
      </c>
      <c r="C471" s="15" t="n">
        <f aca="false">INT(A471/6)</f>
        <v>77</v>
      </c>
      <c r="D471" s="16" t="n">
        <f aca="false">IF(C471=0,(1+Dic2024!$G$6)^(-B471),EXP(LN(INDEX(Dic2024!$H$6:$H$205,C471))+(LN(INDEX(Dic2024!$H$6:$H$205,MIN(C471+1,200)))-LN(INDEX(Dic2024!$H$6:$H$205,C471)))*(A471-6*C471)/6))</f>
        <v>0.106103392423863</v>
      </c>
      <c r="E471" s="12" t="n">
        <f aca="false">D471^(-1/B471)-1</f>
        <v>0.0593385917205056</v>
      </c>
      <c r="F471" s="12" t="n">
        <f aca="false">(1+E471)^(1/12)-1</f>
        <v>0.00481528500968587</v>
      </c>
      <c r="G471" s="16" t="n">
        <f aca="false">IF(C471=0,(1+Dic2024!$J$6)^(-B471),EXP(LN(INDEX(Dic2024!$K$6:$K$205,C471))+(LN(INDEX(Dic2024!$K$6:$K$205,MIN(C471+1,200)))-LN(INDEX(Dic2024!$K$6:$K$205,C471)))*(A471-6*C471)/6))</f>
        <v>0.106103392423863</v>
      </c>
      <c r="H471" s="12" t="n">
        <f aca="false">G471^(-1/B471)-1</f>
        <v>0.0593385917205056</v>
      </c>
      <c r="I471" s="12" t="n">
        <f aca="false">(1+H471)^(1/12)-1</f>
        <v>0.00481528500968587</v>
      </c>
      <c r="J471" s="16" t="n">
        <f aca="false">IF(C471=0,(1+Dic2024!$M$6)^(-B471),EXP(LN(INDEX(Dic2024!$N$6:$N$205,C471))+(LN(INDEX(Dic2024!$N$6:$N$205,MIN(C471+1,200)))-LN(INDEX(Dic2024!$N$6:$N$205,C471)))*(A471-6*C471)/6))</f>
        <v>0.106103392423863</v>
      </c>
      <c r="K471" s="12" t="n">
        <f aca="false">J471^(-1/B471)-1</f>
        <v>0.0593385917205056</v>
      </c>
      <c r="L471" s="12" t="n">
        <f aca="false">(1+K471)^(1/12)-1</f>
        <v>0.00481528500968587</v>
      </c>
    </row>
    <row r="472" customFormat="false" ht="15" hidden="false" customHeight="false" outlineLevel="0" collapsed="false">
      <c r="A472" s="4" t="n">
        <v>468</v>
      </c>
      <c r="B472" s="14" t="n">
        <f aca="false">A472/12</f>
        <v>39</v>
      </c>
      <c r="C472" s="15" t="n">
        <f aca="false">INT(A472/6)</f>
        <v>78</v>
      </c>
      <c r="D472" s="16" t="n">
        <f aca="false">IF(C472=0,(1+Dic2024!$G$6)^(-B472),EXP(LN(INDEX(Dic2024!$H$6:$H$205,C472))+(LN(INDEX(Dic2024!$H$6:$H$205,MIN(C472+1,200)))-LN(INDEX(Dic2024!$H$6:$H$205,C472)))*(A472-6*C472)/6))</f>
        <v>0.105528969631716</v>
      </c>
      <c r="E472" s="12" t="n">
        <f aca="false">D472^(-1/B472)-1</f>
        <v>0.0593555625</v>
      </c>
      <c r="F472" s="12" t="n">
        <f aca="false">(1+E472)^(1/12)-1</f>
        <v>0.0048166264420948</v>
      </c>
      <c r="G472" s="16" t="n">
        <f aca="false">IF(C472=0,(1+Dic2024!$J$6)^(-B472),EXP(LN(INDEX(Dic2024!$K$6:$K$205,C472))+(LN(INDEX(Dic2024!$K$6:$K$205,MIN(C472+1,200)))-LN(INDEX(Dic2024!$K$6:$K$205,C472)))*(A472-6*C472)/6))</f>
        <v>0.105528969631716</v>
      </c>
      <c r="H472" s="12" t="n">
        <f aca="false">G472^(-1/B472)-1</f>
        <v>0.0593555625</v>
      </c>
      <c r="I472" s="12" t="n">
        <f aca="false">(1+H472)^(1/12)-1</f>
        <v>0.0048166264420948</v>
      </c>
      <c r="J472" s="16" t="n">
        <f aca="false">IF(C472=0,(1+Dic2024!$M$6)^(-B472),EXP(LN(INDEX(Dic2024!$N$6:$N$205,C472))+(LN(INDEX(Dic2024!$N$6:$N$205,MIN(C472+1,200)))-LN(INDEX(Dic2024!$N$6:$N$205,C472)))*(A472-6*C472)/6))</f>
        <v>0.105528969631716</v>
      </c>
      <c r="K472" s="12" t="n">
        <f aca="false">J472^(-1/B472)-1</f>
        <v>0.0593555625</v>
      </c>
      <c r="L472" s="12" t="n">
        <f aca="false">(1+K472)^(1/12)-1</f>
        <v>0.0048166264420948</v>
      </c>
    </row>
    <row r="473" customFormat="false" ht="15" hidden="false" customHeight="false" outlineLevel="0" collapsed="false">
      <c r="A473" s="4" t="n">
        <v>469</v>
      </c>
      <c r="B473" s="14" t="n">
        <f aca="false">A473/12</f>
        <v>39.0833333333333</v>
      </c>
      <c r="C473" s="15" t="n">
        <f aca="false">INT(A473/6)</f>
        <v>78</v>
      </c>
      <c r="D473" s="16" t="n">
        <f aca="false">IF(C473=0,(1+Dic2024!$G$6)^(-B473),EXP(LN(INDEX(Dic2024!$H$6:$H$205,C473))+(LN(INDEX(Dic2024!$H$6:$H$205,MIN(C473+1,200)))-LN(INDEX(Dic2024!$H$6:$H$205,C473)))*(A473-6*C473)/6))</f>
        <v>0.105023112530868</v>
      </c>
      <c r="E473" s="12" t="n">
        <f aca="false">D473^(-1/B473)-1</f>
        <v>0.0593555625</v>
      </c>
      <c r="F473" s="12" t="n">
        <f aca="false">(1+E473)^(1/12)-1</f>
        <v>0.0048166264420948</v>
      </c>
      <c r="G473" s="16" t="n">
        <f aca="false">IF(C473=0,(1+Dic2024!$J$6)^(-B473),EXP(LN(INDEX(Dic2024!$K$6:$K$205,C473))+(LN(INDEX(Dic2024!$K$6:$K$205,MIN(C473+1,200)))-LN(INDEX(Dic2024!$K$6:$K$205,C473)))*(A473-6*C473)/6))</f>
        <v>0.105023112530868</v>
      </c>
      <c r="H473" s="12" t="n">
        <f aca="false">G473^(-1/B473)-1</f>
        <v>0.0593555625</v>
      </c>
      <c r="I473" s="12" t="n">
        <f aca="false">(1+H473)^(1/12)-1</f>
        <v>0.0048166264420948</v>
      </c>
      <c r="J473" s="16" t="n">
        <f aca="false">IF(C473=0,(1+Dic2024!$M$6)^(-B473),EXP(LN(INDEX(Dic2024!$N$6:$N$205,C473))+(LN(INDEX(Dic2024!$N$6:$N$205,MIN(C473+1,200)))-LN(INDEX(Dic2024!$N$6:$N$205,C473)))*(A473-6*C473)/6))</f>
        <v>0.105023112530868</v>
      </c>
      <c r="K473" s="12" t="n">
        <f aca="false">J473^(-1/B473)-1</f>
        <v>0.0593555625</v>
      </c>
      <c r="L473" s="12" t="n">
        <f aca="false">(1+K473)^(1/12)-1</f>
        <v>0.0048166264420948</v>
      </c>
    </row>
    <row r="474" customFormat="false" ht="15" hidden="false" customHeight="false" outlineLevel="0" collapsed="false">
      <c r="A474" s="4" t="n">
        <v>470</v>
      </c>
      <c r="B474" s="14" t="n">
        <f aca="false">A474/12</f>
        <v>39.1666666666667</v>
      </c>
      <c r="C474" s="15" t="n">
        <f aca="false">INT(A474/6)</f>
        <v>78</v>
      </c>
      <c r="D474" s="16" t="n">
        <f aca="false">IF(C474=0,(1+Dic2024!$G$6)^(-B474),EXP(LN(INDEX(Dic2024!$H$6:$H$205,C474))+(LN(INDEX(Dic2024!$H$6:$H$205,MIN(C474+1,200)))-LN(INDEX(Dic2024!$H$6:$H$205,C474)))*(A474-6*C474)/6))</f>
        <v>0.104519680275136</v>
      </c>
      <c r="E474" s="12" t="n">
        <f aca="false">D474^(-1/B474)-1</f>
        <v>0.0593555625</v>
      </c>
      <c r="F474" s="12" t="n">
        <f aca="false">(1+E474)^(1/12)-1</f>
        <v>0.0048166264420948</v>
      </c>
      <c r="G474" s="16" t="n">
        <f aca="false">IF(C474=0,(1+Dic2024!$J$6)^(-B474),EXP(LN(INDEX(Dic2024!$K$6:$K$205,C474))+(LN(INDEX(Dic2024!$K$6:$K$205,MIN(C474+1,200)))-LN(INDEX(Dic2024!$K$6:$K$205,C474)))*(A474-6*C474)/6))</f>
        <v>0.104519680275136</v>
      </c>
      <c r="H474" s="12" t="n">
        <f aca="false">G474^(-1/B474)-1</f>
        <v>0.0593555625</v>
      </c>
      <c r="I474" s="12" t="n">
        <f aca="false">(1+H474)^(1/12)-1</f>
        <v>0.0048166264420948</v>
      </c>
      <c r="J474" s="16" t="n">
        <f aca="false">IF(C474=0,(1+Dic2024!$M$6)^(-B474),EXP(LN(INDEX(Dic2024!$N$6:$N$205,C474))+(LN(INDEX(Dic2024!$N$6:$N$205,MIN(C474+1,200)))-LN(INDEX(Dic2024!$N$6:$N$205,C474)))*(A474-6*C474)/6))</f>
        <v>0.104519680275136</v>
      </c>
      <c r="K474" s="12" t="n">
        <f aca="false">J474^(-1/B474)-1</f>
        <v>0.0593555625</v>
      </c>
      <c r="L474" s="12" t="n">
        <f aca="false">(1+K474)^(1/12)-1</f>
        <v>0.0048166264420948</v>
      </c>
    </row>
    <row r="475" customFormat="false" ht="15" hidden="false" customHeight="false" outlineLevel="0" collapsed="false">
      <c r="A475" s="4" t="n">
        <v>471</v>
      </c>
      <c r="B475" s="14" t="n">
        <f aca="false">A475/12</f>
        <v>39.25</v>
      </c>
      <c r="C475" s="15" t="n">
        <f aca="false">INT(A475/6)</f>
        <v>78</v>
      </c>
      <c r="D475" s="16" t="n">
        <f aca="false">IF(C475=0,(1+Dic2024!$G$6)^(-B475),EXP(LN(INDEX(Dic2024!$H$6:$H$205,C475))+(LN(INDEX(Dic2024!$H$6:$H$205,MIN(C475+1,200)))-LN(INDEX(Dic2024!$H$6:$H$205,C475)))*(A475-6*C475)/6))</f>
        <v>0.104018661240931</v>
      </c>
      <c r="E475" s="12" t="n">
        <f aca="false">D475^(-1/B475)-1</f>
        <v>0.0593555625</v>
      </c>
      <c r="F475" s="12" t="n">
        <f aca="false">(1+E475)^(1/12)-1</f>
        <v>0.0048166264420948</v>
      </c>
      <c r="G475" s="16" t="n">
        <f aca="false">IF(C475=0,(1+Dic2024!$J$6)^(-B475),EXP(LN(INDEX(Dic2024!$K$6:$K$205,C475))+(LN(INDEX(Dic2024!$K$6:$K$205,MIN(C475+1,200)))-LN(INDEX(Dic2024!$K$6:$K$205,C475)))*(A475-6*C475)/6))</f>
        <v>0.104018661240931</v>
      </c>
      <c r="H475" s="12" t="n">
        <f aca="false">G475^(-1/B475)-1</f>
        <v>0.0593555625</v>
      </c>
      <c r="I475" s="12" t="n">
        <f aca="false">(1+H475)^(1/12)-1</f>
        <v>0.0048166264420948</v>
      </c>
      <c r="J475" s="16" t="n">
        <f aca="false">IF(C475=0,(1+Dic2024!$M$6)^(-B475),EXP(LN(INDEX(Dic2024!$N$6:$N$205,C475))+(LN(INDEX(Dic2024!$N$6:$N$205,MIN(C475+1,200)))-LN(INDEX(Dic2024!$N$6:$N$205,C475)))*(A475-6*C475)/6))</f>
        <v>0.104018661240931</v>
      </c>
      <c r="K475" s="12" t="n">
        <f aca="false">J475^(-1/B475)-1</f>
        <v>0.0593555625</v>
      </c>
      <c r="L475" s="12" t="n">
        <f aca="false">(1+K475)^(1/12)-1</f>
        <v>0.0048166264420948</v>
      </c>
    </row>
    <row r="476" customFormat="false" ht="15" hidden="false" customHeight="false" outlineLevel="0" collapsed="false">
      <c r="A476" s="4" t="n">
        <v>472</v>
      </c>
      <c r="B476" s="14" t="n">
        <f aca="false">A476/12</f>
        <v>39.3333333333333</v>
      </c>
      <c r="C476" s="15" t="n">
        <f aca="false">INT(A476/6)</f>
        <v>78</v>
      </c>
      <c r="D476" s="16" t="n">
        <f aca="false">IF(C476=0,(1+Dic2024!$G$6)^(-B476),EXP(LN(INDEX(Dic2024!$H$6:$H$205,C476))+(LN(INDEX(Dic2024!$H$6:$H$205,MIN(C476+1,200)))-LN(INDEX(Dic2024!$H$6:$H$205,C476)))*(A476-6*C476)/6))</f>
        <v>0.103520043860387</v>
      </c>
      <c r="E476" s="12" t="n">
        <f aca="false">D476^(-1/B476)-1</f>
        <v>0.0593555625</v>
      </c>
      <c r="F476" s="12" t="n">
        <f aca="false">(1+E476)^(1/12)-1</f>
        <v>0.0048166264420948</v>
      </c>
      <c r="G476" s="16" t="n">
        <f aca="false">IF(C476=0,(1+Dic2024!$J$6)^(-B476),EXP(LN(INDEX(Dic2024!$K$6:$K$205,C476))+(LN(INDEX(Dic2024!$K$6:$K$205,MIN(C476+1,200)))-LN(INDEX(Dic2024!$K$6:$K$205,C476)))*(A476-6*C476)/6))</f>
        <v>0.103520043860387</v>
      </c>
      <c r="H476" s="12" t="n">
        <f aca="false">G476^(-1/B476)-1</f>
        <v>0.0593555625</v>
      </c>
      <c r="I476" s="12" t="n">
        <f aca="false">(1+H476)^(1/12)-1</f>
        <v>0.0048166264420948</v>
      </c>
      <c r="J476" s="16" t="n">
        <f aca="false">IF(C476=0,(1+Dic2024!$M$6)^(-B476),EXP(LN(INDEX(Dic2024!$N$6:$N$205,C476))+(LN(INDEX(Dic2024!$N$6:$N$205,MIN(C476+1,200)))-LN(INDEX(Dic2024!$N$6:$N$205,C476)))*(A476-6*C476)/6))</f>
        <v>0.103520043860387</v>
      </c>
      <c r="K476" s="12" t="n">
        <f aca="false">J476^(-1/B476)-1</f>
        <v>0.0593555625</v>
      </c>
      <c r="L476" s="12" t="n">
        <f aca="false">(1+K476)^(1/12)-1</f>
        <v>0.0048166264420948</v>
      </c>
    </row>
    <row r="477" customFormat="false" ht="15" hidden="false" customHeight="false" outlineLevel="0" collapsed="false">
      <c r="A477" s="4" t="n">
        <v>473</v>
      </c>
      <c r="B477" s="14" t="n">
        <f aca="false">A477/12</f>
        <v>39.4166666666667</v>
      </c>
      <c r="C477" s="15" t="n">
        <f aca="false">INT(A477/6)</f>
        <v>78</v>
      </c>
      <c r="D477" s="16" t="n">
        <f aca="false">IF(C477=0,(1+Dic2024!$G$6)^(-B477),EXP(LN(INDEX(Dic2024!$H$6:$H$205,C477))+(LN(INDEX(Dic2024!$H$6:$H$205,MIN(C477+1,200)))-LN(INDEX(Dic2024!$H$6:$H$205,C477)))*(A477-6*C477)/6))</f>
        <v>0.103023816621084</v>
      </c>
      <c r="E477" s="12" t="n">
        <f aca="false">D477^(-1/B477)-1</f>
        <v>0.0593555625</v>
      </c>
      <c r="F477" s="12" t="n">
        <f aca="false">(1+E477)^(1/12)-1</f>
        <v>0.0048166264420948</v>
      </c>
      <c r="G477" s="16" t="n">
        <f aca="false">IF(C477=0,(1+Dic2024!$J$6)^(-B477),EXP(LN(INDEX(Dic2024!$K$6:$K$205,C477))+(LN(INDEX(Dic2024!$K$6:$K$205,MIN(C477+1,200)))-LN(INDEX(Dic2024!$K$6:$K$205,C477)))*(A477-6*C477)/6))</f>
        <v>0.103023816621084</v>
      </c>
      <c r="H477" s="12" t="n">
        <f aca="false">G477^(-1/B477)-1</f>
        <v>0.0593555625</v>
      </c>
      <c r="I477" s="12" t="n">
        <f aca="false">(1+H477)^(1/12)-1</f>
        <v>0.0048166264420948</v>
      </c>
      <c r="J477" s="16" t="n">
        <f aca="false">IF(C477=0,(1+Dic2024!$M$6)^(-B477),EXP(LN(INDEX(Dic2024!$N$6:$N$205,C477))+(LN(INDEX(Dic2024!$N$6:$N$205,MIN(C477+1,200)))-LN(INDEX(Dic2024!$N$6:$N$205,C477)))*(A477-6*C477)/6))</f>
        <v>0.103023816621084</v>
      </c>
      <c r="K477" s="12" t="n">
        <f aca="false">J477^(-1/B477)-1</f>
        <v>0.0593555625</v>
      </c>
      <c r="L477" s="12" t="n">
        <f aca="false">(1+K477)^(1/12)-1</f>
        <v>0.0048166264420948</v>
      </c>
    </row>
    <row r="478" customFormat="false" ht="15" hidden="false" customHeight="false" outlineLevel="0" collapsed="false">
      <c r="A478" s="4" t="n">
        <v>474</v>
      </c>
      <c r="B478" s="14" t="n">
        <f aca="false">A478/12</f>
        <v>39.5</v>
      </c>
      <c r="C478" s="15" t="n">
        <f aca="false">INT(A478/6)</f>
        <v>79</v>
      </c>
      <c r="D478" s="16" t="n">
        <f aca="false">IF(C478=0,(1+Dic2024!$G$6)^(-B478),EXP(LN(INDEX(Dic2024!$H$6:$H$205,C478))+(LN(INDEX(Dic2024!$H$6:$H$205,MIN(C478+1,200)))-LN(INDEX(Dic2024!$H$6:$H$205,C478)))*(A478-6*C478)/6))</f>
        <v>0.102529968065791</v>
      </c>
      <c r="E478" s="12" t="n">
        <f aca="false">D478^(-1/B478)-1</f>
        <v>0.0593555625</v>
      </c>
      <c r="F478" s="12" t="n">
        <f aca="false">(1+E478)^(1/12)-1</f>
        <v>0.0048166264420948</v>
      </c>
      <c r="G478" s="16" t="n">
        <f aca="false">IF(C478=0,(1+Dic2024!$J$6)^(-B478),EXP(LN(INDEX(Dic2024!$K$6:$K$205,C478))+(LN(INDEX(Dic2024!$K$6:$K$205,MIN(C478+1,200)))-LN(INDEX(Dic2024!$K$6:$K$205,C478)))*(A478-6*C478)/6))</f>
        <v>0.102529968065791</v>
      </c>
      <c r="H478" s="12" t="n">
        <f aca="false">G478^(-1/B478)-1</f>
        <v>0.0593555625</v>
      </c>
      <c r="I478" s="12" t="n">
        <f aca="false">(1+H478)^(1/12)-1</f>
        <v>0.0048166264420948</v>
      </c>
      <c r="J478" s="16" t="n">
        <f aca="false">IF(C478=0,(1+Dic2024!$M$6)^(-B478),EXP(LN(INDEX(Dic2024!$N$6:$N$205,C478))+(LN(INDEX(Dic2024!$N$6:$N$205,MIN(C478+1,200)))-LN(INDEX(Dic2024!$N$6:$N$205,C478)))*(A478-6*C478)/6))</f>
        <v>0.102529968065791</v>
      </c>
      <c r="K478" s="12" t="n">
        <f aca="false">J478^(-1/B478)-1</f>
        <v>0.0593555625</v>
      </c>
      <c r="L478" s="12" t="n">
        <f aca="false">(1+K478)^(1/12)-1</f>
        <v>0.0048166264420948</v>
      </c>
    </row>
    <row r="479" customFormat="false" ht="15" hidden="false" customHeight="false" outlineLevel="0" collapsed="false">
      <c r="A479" s="4" t="n">
        <v>475</v>
      </c>
      <c r="B479" s="14" t="n">
        <f aca="false">A479/12</f>
        <v>39.5833333333333</v>
      </c>
      <c r="C479" s="15" t="n">
        <f aca="false">INT(A479/6)</f>
        <v>79</v>
      </c>
      <c r="D479" s="16" t="n">
        <f aca="false">IF(C479=0,(1+Dic2024!$G$6)^(-B479),EXP(LN(INDEX(Dic2024!$H$6:$H$205,C479))+(LN(INDEX(Dic2024!$H$6:$H$205,MIN(C479+1,200)))-LN(INDEX(Dic2024!$H$6:$H$205,C479)))*(A479-6*C479)/6))</f>
        <v>0.102038486792197</v>
      </c>
      <c r="E479" s="12" t="n">
        <f aca="false">D479^(-1/B479)-1</f>
        <v>0.0593555625</v>
      </c>
      <c r="F479" s="12" t="n">
        <f aca="false">(1+E479)^(1/12)-1</f>
        <v>0.0048166264420948</v>
      </c>
      <c r="G479" s="16" t="n">
        <f aca="false">IF(C479=0,(1+Dic2024!$J$6)^(-B479),EXP(LN(INDEX(Dic2024!$K$6:$K$205,C479))+(LN(INDEX(Dic2024!$K$6:$K$205,MIN(C479+1,200)))-LN(INDEX(Dic2024!$K$6:$K$205,C479)))*(A479-6*C479)/6))</f>
        <v>0.102038486792197</v>
      </c>
      <c r="H479" s="12" t="n">
        <f aca="false">G479^(-1/B479)-1</f>
        <v>0.0593555625</v>
      </c>
      <c r="I479" s="12" t="n">
        <f aca="false">(1+H479)^(1/12)-1</f>
        <v>0.0048166264420948</v>
      </c>
      <c r="J479" s="16" t="n">
        <f aca="false">IF(C479=0,(1+Dic2024!$M$6)^(-B479),EXP(LN(INDEX(Dic2024!$N$6:$N$205,C479))+(LN(INDEX(Dic2024!$N$6:$N$205,MIN(C479+1,200)))-LN(INDEX(Dic2024!$N$6:$N$205,C479)))*(A479-6*C479)/6))</f>
        <v>0.102038486792197</v>
      </c>
      <c r="K479" s="12" t="n">
        <f aca="false">J479^(-1/B479)-1</f>
        <v>0.0593555625</v>
      </c>
      <c r="L479" s="12" t="n">
        <f aca="false">(1+K479)^(1/12)-1</f>
        <v>0.0048166264420948</v>
      </c>
    </row>
    <row r="480" customFormat="false" ht="15" hidden="false" customHeight="false" outlineLevel="0" collapsed="false">
      <c r="A480" s="4" t="n">
        <v>476</v>
      </c>
      <c r="B480" s="14" t="n">
        <f aca="false">A480/12</f>
        <v>39.6666666666667</v>
      </c>
      <c r="C480" s="15" t="n">
        <f aca="false">INT(A480/6)</f>
        <v>79</v>
      </c>
      <c r="D480" s="16" t="n">
        <f aca="false">IF(C480=0,(1+Dic2024!$G$6)^(-B480),EXP(LN(INDEX(Dic2024!$H$6:$H$205,C480))+(LN(INDEX(Dic2024!$H$6:$H$205,MIN(C480+1,200)))-LN(INDEX(Dic2024!$H$6:$H$205,C480)))*(A480-6*C480)/6))</f>
        <v>0.101549361452646</v>
      </c>
      <c r="E480" s="12" t="n">
        <f aca="false">D480^(-1/B480)-1</f>
        <v>0.0593555625</v>
      </c>
      <c r="F480" s="12" t="n">
        <f aca="false">(1+E480)^(1/12)-1</f>
        <v>0.0048166264420948</v>
      </c>
      <c r="G480" s="16" t="n">
        <f aca="false">IF(C480=0,(1+Dic2024!$J$6)^(-B480),EXP(LN(INDEX(Dic2024!$K$6:$K$205,C480))+(LN(INDEX(Dic2024!$K$6:$K$205,MIN(C480+1,200)))-LN(INDEX(Dic2024!$K$6:$K$205,C480)))*(A480-6*C480)/6))</f>
        <v>0.101549361452646</v>
      </c>
      <c r="H480" s="12" t="n">
        <f aca="false">G480^(-1/B480)-1</f>
        <v>0.0593555625</v>
      </c>
      <c r="I480" s="12" t="n">
        <f aca="false">(1+H480)^(1/12)-1</f>
        <v>0.0048166264420948</v>
      </c>
      <c r="J480" s="16" t="n">
        <f aca="false">IF(C480=0,(1+Dic2024!$M$6)^(-B480),EXP(LN(INDEX(Dic2024!$N$6:$N$205,C480))+(LN(INDEX(Dic2024!$N$6:$N$205,MIN(C480+1,200)))-LN(INDEX(Dic2024!$N$6:$N$205,C480)))*(A480-6*C480)/6))</f>
        <v>0.101549361452646</v>
      </c>
      <c r="K480" s="12" t="n">
        <f aca="false">J480^(-1/B480)-1</f>
        <v>0.0593555625</v>
      </c>
      <c r="L480" s="12" t="n">
        <f aca="false">(1+K480)^(1/12)-1</f>
        <v>0.0048166264420948</v>
      </c>
    </row>
    <row r="481" customFormat="false" ht="15" hidden="false" customHeight="false" outlineLevel="0" collapsed="false">
      <c r="A481" s="4" t="n">
        <v>477</v>
      </c>
      <c r="B481" s="14" t="n">
        <f aca="false">A481/12</f>
        <v>39.75</v>
      </c>
      <c r="C481" s="15" t="n">
        <f aca="false">INT(A481/6)</f>
        <v>79</v>
      </c>
      <c r="D481" s="16" t="n">
        <f aca="false">IF(C481=0,(1+Dic2024!$G$6)^(-B481),EXP(LN(INDEX(Dic2024!$H$6:$H$205,C481))+(LN(INDEX(Dic2024!$H$6:$H$205,MIN(C481+1,200)))-LN(INDEX(Dic2024!$H$6:$H$205,C481)))*(A481-6*C481)/6))</f>
        <v>0.10106258075388</v>
      </c>
      <c r="E481" s="12" t="n">
        <f aca="false">D481^(-1/B481)-1</f>
        <v>0.0593555625</v>
      </c>
      <c r="F481" s="12" t="n">
        <f aca="false">(1+E481)^(1/12)-1</f>
        <v>0.0048166264420948</v>
      </c>
      <c r="G481" s="16" t="n">
        <f aca="false">IF(C481=0,(1+Dic2024!$J$6)^(-B481),EXP(LN(INDEX(Dic2024!$K$6:$K$205,C481))+(LN(INDEX(Dic2024!$K$6:$K$205,MIN(C481+1,200)))-LN(INDEX(Dic2024!$K$6:$K$205,C481)))*(A481-6*C481)/6))</f>
        <v>0.10106258075388</v>
      </c>
      <c r="H481" s="12" t="n">
        <f aca="false">G481^(-1/B481)-1</f>
        <v>0.0593555625</v>
      </c>
      <c r="I481" s="12" t="n">
        <f aca="false">(1+H481)^(1/12)-1</f>
        <v>0.0048166264420948</v>
      </c>
      <c r="J481" s="16" t="n">
        <f aca="false">IF(C481=0,(1+Dic2024!$M$6)^(-B481),EXP(LN(INDEX(Dic2024!$N$6:$N$205,C481))+(LN(INDEX(Dic2024!$N$6:$N$205,MIN(C481+1,200)))-LN(INDEX(Dic2024!$N$6:$N$205,C481)))*(A481-6*C481)/6))</f>
        <v>0.10106258075388</v>
      </c>
      <c r="K481" s="12" t="n">
        <f aca="false">J481^(-1/B481)-1</f>
        <v>0.0593555625</v>
      </c>
      <c r="L481" s="12" t="n">
        <f aca="false">(1+K481)^(1/12)-1</f>
        <v>0.0048166264420948</v>
      </c>
    </row>
    <row r="482" customFormat="false" ht="15" hidden="false" customHeight="false" outlineLevel="0" collapsed="false">
      <c r="A482" s="4" t="n">
        <v>478</v>
      </c>
      <c r="B482" s="14" t="n">
        <f aca="false">A482/12</f>
        <v>39.8333333333333</v>
      </c>
      <c r="C482" s="15" t="n">
        <f aca="false">INT(A482/6)</f>
        <v>79</v>
      </c>
      <c r="D482" s="16" t="n">
        <f aca="false">IF(C482=0,(1+Dic2024!$G$6)^(-B482),EXP(LN(INDEX(Dic2024!$H$6:$H$205,C482))+(LN(INDEX(Dic2024!$H$6:$H$205,MIN(C482+1,200)))-LN(INDEX(Dic2024!$H$6:$H$205,C482)))*(A482-6*C482)/6))</f>
        <v>0.100578133456776</v>
      </c>
      <c r="E482" s="12" t="n">
        <f aca="false">D482^(-1/B482)-1</f>
        <v>0.0593555625</v>
      </c>
      <c r="F482" s="12" t="n">
        <f aca="false">(1+E482)^(1/12)-1</f>
        <v>0.0048166264420948</v>
      </c>
      <c r="G482" s="16" t="n">
        <f aca="false">IF(C482=0,(1+Dic2024!$J$6)^(-B482),EXP(LN(INDEX(Dic2024!$K$6:$K$205,C482))+(LN(INDEX(Dic2024!$K$6:$K$205,MIN(C482+1,200)))-LN(INDEX(Dic2024!$K$6:$K$205,C482)))*(A482-6*C482)/6))</f>
        <v>0.100578133456776</v>
      </c>
      <c r="H482" s="12" t="n">
        <f aca="false">G482^(-1/B482)-1</f>
        <v>0.0593555625</v>
      </c>
      <c r="I482" s="12" t="n">
        <f aca="false">(1+H482)^(1/12)-1</f>
        <v>0.0048166264420948</v>
      </c>
      <c r="J482" s="16" t="n">
        <f aca="false">IF(C482=0,(1+Dic2024!$M$6)^(-B482),EXP(LN(INDEX(Dic2024!$N$6:$N$205,C482))+(LN(INDEX(Dic2024!$N$6:$N$205,MIN(C482+1,200)))-LN(INDEX(Dic2024!$N$6:$N$205,C482)))*(A482-6*C482)/6))</f>
        <v>0.100578133456776</v>
      </c>
      <c r="K482" s="12" t="n">
        <f aca="false">J482^(-1/B482)-1</f>
        <v>0.0593555625</v>
      </c>
      <c r="L482" s="12" t="n">
        <f aca="false">(1+K482)^(1/12)-1</f>
        <v>0.0048166264420948</v>
      </c>
    </row>
    <row r="483" customFormat="false" ht="15" hidden="false" customHeight="false" outlineLevel="0" collapsed="false">
      <c r="A483" s="4" t="n">
        <v>479</v>
      </c>
      <c r="B483" s="14" t="n">
        <f aca="false">A483/12</f>
        <v>39.9166666666667</v>
      </c>
      <c r="C483" s="15" t="n">
        <f aca="false">INT(A483/6)</f>
        <v>79</v>
      </c>
      <c r="D483" s="16" t="n">
        <f aca="false">IF(C483=0,(1+Dic2024!$G$6)^(-B483),EXP(LN(INDEX(Dic2024!$H$6:$H$205,C483))+(LN(INDEX(Dic2024!$H$6:$H$205,MIN(C483+1,200)))-LN(INDEX(Dic2024!$H$6:$H$205,C483)))*(A483-6*C483)/6))</f>
        <v>0.100096008376084</v>
      </c>
      <c r="E483" s="12" t="n">
        <f aca="false">D483^(-1/B483)-1</f>
        <v>0.0593555625</v>
      </c>
      <c r="F483" s="12" t="n">
        <f aca="false">(1+E483)^(1/12)-1</f>
        <v>0.0048166264420948</v>
      </c>
      <c r="G483" s="16" t="n">
        <f aca="false">IF(C483=0,(1+Dic2024!$J$6)^(-B483),EXP(LN(INDEX(Dic2024!$K$6:$K$205,C483))+(LN(INDEX(Dic2024!$K$6:$K$205,MIN(C483+1,200)))-LN(INDEX(Dic2024!$K$6:$K$205,C483)))*(A483-6*C483)/6))</f>
        <v>0.100096008376084</v>
      </c>
      <c r="H483" s="12" t="n">
        <f aca="false">G483^(-1/B483)-1</f>
        <v>0.0593555625</v>
      </c>
      <c r="I483" s="12" t="n">
        <f aca="false">(1+H483)^(1/12)-1</f>
        <v>0.0048166264420948</v>
      </c>
      <c r="J483" s="16" t="n">
        <f aca="false">IF(C483=0,(1+Dic2024!$M$6)^(-B483),EXP(LN(INDEX(Dic2024!$N$6:$N$205,C483))+(LN(INDEX(Dic2024!$N$6:$N$205,MIN(C483+1,200)))-LN(INDEX(Dic2024!$N$6:$N$205,C483)))*(A483-6*C483)/6))</f>
        <v>0.100096008376084</v>
      </c>
      <c r="K483" s="12" t="n">
        <f aca="false">J483^(-1/B483)-1</f>
        <v>0.0593555625</v>
      </c>
      <c r="L483" s="12" t="n">
        <f aca="false">(1+K483)^(1/12)-1</f>
        <v>0.0048166264420948</v>
      </c>
    </row>
    <row r="484" customFormat="false" ht="15" hidden="false" customHeight="false" outlineLevel="0" collapsed="false">
      <c r="A484" s="4" t="n">
        <v>480</v>
      </c>
      <c r="B484" s="14" t="n">
        <f aca="false">A484/12</f>
        <v>40</v>
      </c>
      <c r="C484" s="15" t="n">
        <f aca="false">INT(A484/6)</f>
        <v>80</v>
      </c>
      <c r="D484" s="16" t="n">
        <f aca="false">IF(C484=0,(1+Dic2024!$G$6)^(-B484),EXP(LN(INDEX(Dic2024!$H$6:$H$205,C484))+(LN(INDEX(Dic2024!$H$6:$H$205,MIN(C484+1,200)))-LN(INDEX(Dic2024!$H$6:$H$205,C484)))*(A484-6*C484)/6))</f>
        <v>0.0996161943801712</v>
      </c>
      <c r="E484" s="12" t="n">
        <f aca="false">D484^(-1/B484)-1</f>
        <v>0.0593555625</v>
      </c>
      <c r="F484" s="12" t="n">
        <f aca="false">(1+E484)^(1/12)-1</f>
        <v>0.0048166264420948</v>
      </c>
      <c r="G484" s="16" t="n">
        <f aca="false">IF(C484=0,(1+Dic2024!$J$6)^(-B484),EXP(LN(INDEX(Dic2024!$K$6:$K$205,C484))+(LN(INDEX(Dic2024!$K$6:$K$205,MIN(C484+1,200)))-LN(INDEX(Dic2024!$K$6:$K$205,C484)))*(A484-6*C484)/6))</f>
        <v>0.0996161943801712</v>
      </c>
      <c r="H484" s="12" t="n">
        <f aca="false">G484^(-1/B484)-1</f>
        <v>0.0593555625</v>
      </c>
      <c r="I484" s="12" t="n">
        <f aca="false">(1+H484)^(1/12)-1</f>
        <v>0.0048166264420948</v>
      </c>
      <c r="J484" s="16" t="n">
        <f aca="false">IF(C484=0,(1+Dic2024!$M$6)^(-B484),EXP(LN(INDEX(Dic2024!$N$6:$N$205,C484))+(LN(INDEX(Dic2024!$N$6:$N$205,MIN(C484+1,200)))-LN(INDEX(Dic2024!$N$6:$N$205,C484)))*(A484-6*C484)/6))</f>
        <v>0.0996161943801712</v>
      </c>
      <c r="K484" s="12" t="n">
        <f aca="false">J484^(-1/B484)-1</f>
        <v>0.0593555625</v>
      </c>
      <c r="L484" s="12" t="n">
        <f aca="false">(1+K484)^(1/12)-1</f>
        <v>0.0048166264420948</v>
      </c>
    </row>
    <row r="485" customFormat="false" ht="15" hidden="false" customHeight="false" outlineLevel="0" collapsed="false">
      <c r="A485" s="4" t="n">
        <v>481</v>
      </c>
      <c r="B485" s="14" t="n">
        <f aca="false">A485/12</f>
        <v>40.0833333333333</v>
      </c>
      <c r="C485" s="15" t="n">
        <f aca="false">INT(A485/6)</f>
        <v>80</v>
      </c>
      <c r="D485" s="16" t="n">
        <f aca="false">IF(C485=0,(1+Dic2024!$G$6)^(-B485),EXP(LN(INDEX(Dic2024!$H$6:$H$205,C485))+(LN(INDEX(Dic2024!$H$6:$H$205,MIN(C485+1,200)))-LN(INDEX(Dic2024!$H$6:$H$205,C485)))*(A485-6*C485)/6))</f>
        <v>0.0991386803907666</v>
      </c>
      <c r="E485" s="12" t="n">
        <f aca="false">D485^(-1/B485)-1</f>
        <v>0.0593555625</v>
      </c>
      <c r="F485" s="12" t="n">
        <f aca="false">(1+E485)^(1/12)-1</f>
        <v>0.0048166264420948</v>
      </c>
      <c r="G485" s="16" t="n">
        <f aca="false">IF(C485=0,(1+Dic2024!$J$6)^(-B485),EXP(LN(INDEX(Dic2024!$K$6:$K$205,C485))+(LN(INDEX(Dic2024!$K$6:$K$205,MIN(C485+1,200)))-LN(INDEX(Dic2024!$K$6:$K$205,C485)))*(A485-6*C485)/6))</f>
        <v>0.0991386803907666</v>
      </c>
      <c r="H485" s="12" t="n">
        <f aca="false">G485^(-1/B485)-1</f>
        <v>0.0593555625</v>
      </c>
      <c r="I485" s="12" t="n">
        <f aca="false">(1+H485)^(1/12)-1</f>
        <v>0.0048166264420948</v>
      </c>
      <c r="J485" s="16" t="n">
        <f aca="false">IF(C485=0,(1+Dic2024!$M$6)^(-B485),EXP(LN(INDEX(Dic2024!$N$6:$N$205,C485))+(LN(INDEX(Dic2024!$N$6:$N$205,MIN(C485+1,200)))-LN(INDEX(Dic2024!$N$6:$N$205,C485)))*(A485-6*C485)/6))</f>
        <v>0.0991386803907666</v>
      </c>
      <c r="K485" s="12" t="n">
        <f aca="false">J485^(-1/B485)-1</f>
        <v>0.0593555625</v>
      </c>
      <c r="L485" s="12" t="n">
        <f aca="false">(1+K485)^(1/12)-1</f>
        <v>0.0048166264420948</v>
      </c>
    </row>
    <row r="486" customFormat="false" ht="15" hidden="false" customHeight="false" outlineLevel="0" collapsed="false">
      <c r="A486" s="4" t="n">
        <v>482</v>
      </c>
      <c r="B486" s="14" t="n">
        <f aca="false">A486/12</f>
        <v>40.1666666666667</v>
      </c>
      <c r="C486" s="15" t="n">
        <f aca="false">INT(A486/6)</f>
        <v>80</v>
      </c>
      <c r="D486" s="16" t="n">
        <f aca="false">IF(C486=0,(1+Dic2024!$G$6)^(-B486),EXP(LN(INDEX(Dic2024!$H$6:$H$205,C486))+(LN(INDEX(Dic2024!$H$6:$H$205,MIN(C486+1,200)))-LN(INDEX(Dic2024!$H$6:$H$205,C486)))*(A486-6*C486)/6))</f>
        <v>0.0986634553827019</v>
      </c>
      <c r="E486" s="12" t="n">
        <f aca="false">D486^(-1/B486)-1</f>
        <v>0.0593555625</v>
      </c>
      <c r="F486" s="12" t="n">
        <f aca="false">(1+E486)^(1/12)-1</f>
        <v>0.0048166264420948</v>
      </c>
      <c r="G486" s="16" t="n">
        <f aca="false">IF(C486=0,(1+Dic2024!$J$6)^(-B486),EXP(LN(INDEX(Dic2024!$K$6:$K$205,C486))+(LN(INDEX(Dic2024!$K$6:$K$205,MIN(C486+1,200)))-LN(INDEX(Dic2024!$K$6:$K$205,C486)))*(A486-6*C486)/6))</f>
        <v>0.0986634553827019</v>
      </c>
      <c r="H486" s="12" t="n">
        <f aca="false">G486^(-1/B486)-1</f>
        <v>0.0593555625</v>
      </c>
      <c r="I486" s="12" t="n">
        <f aca="false">(1+H486)^(1/12)-1</f>
        <v>0.0048166264420948</v>
      </c>
      <c r="J486" s="16" t="n">
        <f aca="false">IF(C486=0,(1+Dic2024!$M$6)^(-B486),EXP(LN(INDEX(Dic2024!$N$6:$N$205,C486))+(LN(INDEX(Dic2024!$N$6:$N$205,MIN(C486+1,200)))-LN(INDEX(Dic2024!$N$6:$N$205,C486)))*(A486-6*C486)/6))</f>
        <v>0.0986634553827019</v>
      </c>
      <c r="K486" s="12" t="n">
        <f aca="false">J486^(-1/B486)-1</f>
        <v>0.0593555625</v>
      </c>
      <c r="L486" s="12" t="n">
        <f aca="false">(1+K486)^(1/12)-1</f>
        <v>0.0048166264420948</v>
      </c>
    </row>
    <row r="487" customFormat="false" ht="15" hidden="false" customHeight="false" outlineLevel="0" collapsed="false">
      <c r="A487" s="4" t="n">
        <v>483</v>
      </c>
      <c r="B487" s="14" t="n">
        <f aca="false">A487/12</f>
        <v>40.25</v>
      </c>
      <c r="C487" s="15" t="n">
        <f aca="false">INT(A487/6)</f>
        <v>80</v>
      </c>
      <c r="D487" s="16" t="n">
        <f aca="false">IF(C487=0,(1+Dic2024!$G$6)^(-B487),EXP(LN(INDEX(Dic2024!$H$6:$H$205,C487))+(LN(INDEX(Dic2024!$H$6:$H$205,MIN(C487+1,200)))-LN(INDEX(Dic2024!$H$6:$H$205,C487)))*(A487-6*C487)/6))</f>
        <v>0.0981905083836584</v>
      </c>
      <c r="E487" s="12" t="n">
        <f aca="false">D487^(-1/B487)-1</f>
        <v>0.0593555625</v>
      </c>
      <c r="F487" s="12" t="n">
        <f aca="false">(1+E487)^(1/12)-1</f>
        <v>0.0048166264420948</v>
      </c>
      <c r="G487" s="16" t="n">
        <f aca="false">IF(C487=0,(1+Dic2024!$J$6)^(-B487),EXP(LN(INDEX(Dic2024!$K$6:$K$205,C487))+(LN(INDEX(Dic2024!$K$6:$K$205,MIN(C487+1,200)))-LN(INDEX(Dic2024!$K$6:$K$205,C487)))*(A487-6*C487)/6))</f>
        <v>0.0981905083836584</v>
      </c>
      <c r="H487" s="12" t="n">
        <f aca="false">G487^(-1/B487)-1</f>
        <v>0.0593555625</v>
      </c>
      <c r="I487" s="12" t="n">
        <f aca="false">(1+H487)^(1/12)-1</f>
        <v>0.0048166264420948</v>
      </c>
      <c r="J487" s="16" t="n">
        <f aca="false">IF(C487=0,(1+Dic2024!$M$6)^(-B487),EXP(LN(INDEX(Dic2024!$N$6:$N$205,C487))+(LN(INDEX(Dic2024!$N$6:$N$205,MIN(C487+1,200)))-LN(INDEX(Dic2024!$N$6:$N$205,C487)))*(A487-6*C487)/6))</f>
        <v>0.0981905083836584</v>
      </c>
      <c r="K487" s="12" t="n">
        <f aca="false">J487^(-1/B487)-1</f>
        <v>0.0593555625</v>
      </c>
      <c r="L487" s="12" t="n">
        <f aca="false">(1+K487)^(1/12)-1</f>
        <v>0.0048166264420948</v>
      </c>
    </row>
    <row r="488" customFormat="false" ht="15" hidden="false" customHeight="false" outlineLevel="0" collapsed="false">
      <c r="A488" s="4" t="n">
        <v>484</v>
      </c>
      <c r="B488" s="14" t="n">
        <f aca="false">A488/12</f>
        <v>40.3333333333333</v>
      </c>
      <c r="C488" s="15" t="n">
        <f aca="false">INT(A488/6)</f>
        <v>80</v>
      </c>
      <c r="D488" s="16" t="n">
        <f aca="false">IF(C488=0,(1+Dic2024!$G$6)^(-B488),EXP(LN(INDEX(Dic2024!$H$6:$H$205,C488))+(LN(INDEX(Dic2024!$H$6:$H$205,MIN(C488+1,200)))-LN(INDEX(Dic2024!$H$6:$H$205,C488)))*(A488-6*C488)/6))</f>
        <v>0.097719828473914</v>
      </c>
      <c r="E488" s="12" t="n">
        <f aca="false">D488^(-1/B488)-1</f>
        <v>0.0593555625</v>
      </c>
      <c r="F488" s="12" t="n">
        <f aca="false">(1+E488)^(1/12)-1</f>
        <v>0.0048166264420948</v>
      </c>
      <c r="G488" s="16" t="n">
        <f aca="false">IF(C488=0,(1+Dic2024!$J$6)^(-B488),EXP(LN(INDEX(Dic2024!$K$6:$K$205,C488))+(LN(INDEX(Dic2024!$K$6:$K$205,MIN(C488+1,200)))-LN(INDEX(Dic2024!$K$6:$K$205,C488)))*(A488-6*C488)/6))</f>
        <v>0.097719828473914</v>
      </c>
      <c r="H488" s="12" t="n">
        <f aca="false">G488^(-1/B488)-1</f>
        <v>0.0593555625</v>
      </c>
      <c r="I488" s="12" t="n">
        <f aca="false">(1+H488)^(1/12)-1</f>
        <v>0.0048166264420948</v>
      </c>
      <c r="J488" s="16" t="n">
        <f aca="false">IF(C488=0,(1+Dic2024!$M$6)^(-B488),EXP(LN(INDEX(Dic2024!$N$6:$N$205,C488))+(LN(INDEX(Dic2024!$N$6:$N$205,MIN(C488+1,200)))-LN(INDEX(Dic2024!$N$6:$N$205,C488)))*(A488-6*C488)/6))</f>
        <v>0.097719828473914</v>
      </c>
      <c r="K488" s="12" t="n">
        <f aca="false">J488^(-1/B488)-1</f>
        <v>0.0593555625</v>
      </c>
      <c r="L488" s="12" t="n">
        <f aca="false">(1+K488)^(1/12)-1</f>
        <v>0.0048166264420948</v>
      </c>
    </row>
    <row r="489" customFormat="false" ht="15" hidden="false" customHeight="false" outlineLevel="0" collapsed="false">
      <c r="A489" s="4" t="n">
        <v>485</v>
      </c>
      <c r="B489" s="14" t="n">
        <f aca="false">A489/12</f>
        <v>40.4166666666667</v>
      </c>
      <c r="C489" s="15" t="n">
        <f aca="false">INT(A489/6)</f>
        <v>80</v>
      </c>
      <c r="D489" s="16" t="n">
        <f aca="false">IF(C489=0,(1+Dic2024!$G$6)^(-B489),EXP(LN(INDEX(Dic2024!$H$6:$H$205,C489))+(LN(INDEX(Dic2024!$H$6:$H$205,MIN(C489+1,200)))-LN(INDEX(Dic2024!$H$6:$H$205,C489)))*(A489-6*C489)/6))</f>
        <v>0.0972514047860904</v>
      </c>
      <c r="E489" s="12" t="n">
        <f aca="false">D489^(-1/B489)-1</f>
        <v>0.0593555625</v>
      </c>
      <c r="F489" s="12" t="n">
        <f aca="false">(1+E489)^(1/12)-1</f>
        <v>0.0048166264420948</v>
      </c>
      <c r="G489" s="16" t="n">
        <f aca="false">IF(C489=0,(1+Dic2024!$J$6)^(-B489),EXP(LN(INDEX(Dic2024!$K$6:$K$205,C489))+(LN(INDEX(Dic2024!$K$6:$K$205,MIN(C489+1,200)))-LN(INDEX(Dic2024!$K$6:$K$205,C489)))*(A489-6*C489)/6))</f>
        <v>0.0972514047860904</v>
      </c>
      <c r="H489" s="12" t="n">
        <f aca="false">G489^(-1/B489)-1</f>
        <v>0.0593555625</v>
      </c>
      <c r="I489" s="12" t="n">
        <f aca="false">(1+H489)^(1/12)-1</f>
        <v>0.0048166264420948</v>
      </c>
      <c r="J489" s="16" t="n">
        <f aca="false">IF(C489=0,(1+Dic2024!$M$6)^(-B489),EXP(LN(INDEX(Dic2024!$N$6:$N$205,C489))+(LN(INDEX(Dic2024!$N$6:$N$205,MIN(C489+1,200)))-LN(INDEX(Dic2024!$N$6:$N$205,C489)))*(A489-6*C489)/6))</f>
        <v>0.0972514047860904</v>
      </c>
      <c r="K489" s="12" t="n">
        <f aca="false">J489^(-1/B489)-1</f>
        <v>0.0593555625</v>
      </c>
      <c r="L489" s="12" t="n">
        <f aca="false">(1+K489)^(1/12)-1</f>
        <v>0.0048166264420948</v>
      </c>
    </row>
    <row r="490" customFormat="false" ht="15" hidden="false" customHeight="false" outlineLevel="0" collapsed="false">
      <c r="A490" s="4" t="n">
        <v>486</v>
      </c>
      <c r="B490" s="14" t="n">
        <f aca="false">A490/12</f>
        <v>40.5</v>
      </c>
      <c r="C490" s="15" t="n">
        <f aca="false">INT(A490/6)</f>
        <v>81</v>
      </c>
      <c r="D490" s="16" t="n">
        <f aca="false">IF(C490=0,(1+Dic2024!$G$6)^(-B490),EXP(LN(INDEX(Dic2024!$H$6:$H$205,C490))+(LN(INDEX(Dic2024!$H$6:$H$205,MIN(C490+1,200)))-LN(INDEX(Dic2024!$H$6:$H$205,C490)))*(A490-6*C490)/6))</f>
        <v>0.0967852265049028</v>
      </c>
      <c r="E490" s="12" t="n">
        <f aca="false">D490^(-1/B490)-1</f>
        <v>0.0593555625</v>
      </c>
      <c r="F490" s="12" t="n">
        <f aca="false">(1+E490)^(1/12)-1</f>
        <v>0.0048166264420948</v>
      </c>
      <c r="G490" s="16" t="n">
        <f aca="false">IF(C490=0,(1+Dic2024!$J$6)^(-B490),EXP(LN(INDEX(Dic2024!$K$6:$K$205,C490))+(LN(INDEX(Dic2024!$K$6:$K$205,MIN(C490+1,200)))-LN(INDEX(Dic2024!$K$6:$K$205,C490)))*(A490-6*C490)/6))</f>
        <v>0.0967852265049028</v>
      </c>
      <c r="H490" s="12" t="n">
        <f aca="false">G490^(-1/B490)-1</f>
        <v>0.0593555625</v>
      </c>
      <c r="I490" s="12" t="n">
        <f aca="false">(1+H490)^(1/12)-1</f>
        <v>0.0048166264420948</v>
      </c>
      <c r="J490" s="16" t="n">
        <f aca="false">IF(C490=0,(1+Dic2024!$M$6)^(-B490),EXP(LN(INDEX(Dic2024!$N$6:$N$205,C490))+(LN(INDEX(Dic2024!$N$6:$N$205,MIN(C490+1,200)))-LN(INDEX(Dic2024!$N$6:$N$205,C490)))*(A490-6*C490)/6))</f>
        <v>0.0967852265049028</v>
      </c>
      <c r="K490" s="12" t="n">
        <f aca="false">J490^(-1/B490)-1</f>
        <v>0.0593555625</v>
      </c>
      <c r="L490" s="12" t="n">
        <f aca="false">(1+K490)^(1/12)-1</f>
        <v>0.0048166264420948</v>
      </c>
    </row>
    <row r="491" customFormat="false" ht="15" hidden="false" customHeight="false" outlineLevel="0" collapsed="false">
      <c r="A491" s="4" t="n">
        <v>487</v>
      </c>
      <c r="B491" s="14" t="n">
        <f aca="false">A491/12</f>
        <v>40.5833333333333</v>
      </c>
      <c r="C491" s="15" t="n">
        <f aca="false">INT(A491/6)</f>
        <v>81</v>
      </c>
      <c r="D491" s="16" t="n">
        <f aca="false">IF(C491=0,(1+Dic2024!$G$6)^(-B491),EXP(LN(INDEX(Dic2024!$H$6:$H$205,C491))+(LN(INDEX(Dic2024!$H$6:$H$205,MIN(C491+1,200)))-LN(INDEX(Dic2024!$H$6:$H$205,C491)))*(A491-6*C491)/6))</f>
        <v>0.0963212828669095</v>
      </c>
      <c r="E491" s="12" t="n">
        <f aca="false">D491^(-1/B491)-1</f>
        <v>0.0593555625</v>
      </c>
      <c r="F491" s="12" t="n">
        <f aca="false">(1+E491)^(1/12)-1</f>
        <v>0.0048166264420948</v>
      </c>
      <c r="G491" s="16" t="n">
        <f aca="false">IF(C491=0,(1+Dic2024!$J$6)^(-B491),EXP(LN(INDEX(Dic2024!$K$6:$K$205,C491))+(LN(INDEX(Dic2024!$K$6:$K$205,MIN(C491+1,200)))-LN(INDEX(Dic2024!$K$6:$K$205,C491)))*(A491-6*C491)/6))</f>
        <v>0.0963212828669095</v>
      </c>
      <c r="H491" s="12" t="n">
        <f aca="false">G491^(-1/B491)-1</f>
        <v>0.0593555625</v>
      </c>
      <c r="I491" s="12" t="n">
        <f aca="false">(1+H491)^(1/12)-1</f>
        <v>0.0048166264420948</v>
      </c>
      <c r="J491" s="16" t="n">
        <f aca="false">IF(C491=0,(1+Dic2024!$M$6)^(-B491),EXP(LN(INDEX(Dic2024!$N$6:$N$205,C491))+(LN(INDEX(Dic2024!$N$6:$N$205,MIN(C491+1,200)))-LN(INDEX(Dic2024!$N$6:$N$205,C491)))*(A491-6*C491)/6))</f>
        <v>0.0963212828669095</v>
      </c>
      <c r="K491" s="12" t="n">
        <f aca="false">J491^(-1/B491)-1</f>
        <v>0.0593555625</v>
      </c>
      <c r="L491" s="12" t="n">
        <f aca="false">(1+K491)^(1/12)-1</f>
        <v>0.0048166264420948</v>
      </c>
    </row>
    <row r="492" customFormat="false" ht="15" hidden="false" customHeight="false" outlineLevel="0" collapsed="false">
      <c r="A492" s="4" t="n">
        <v>488</v>
      </c>
      <c r="B492" s="14" t="n">
        <f aca="false">A492/12</f>
        <v>40.6666666666667</v>
      </c>
      <c r="C492" s="15" t="n">
        <f aca="false">INT(A492/6)</f>
        <v>81</v>
      </c>
      <c r="D492" s="16" t="n">
        <f aca="false">IF(C492=0,(1+Dic2024!$G$6)^(-B492),EXP(LN(INDEX(Dic2024!$H$6:$H$205,C492))+(LN(INDEX(Dic2024!$H$6:$H$205,MIN(C492+1,200)))-LN(INDEX(Dic2024!$H$6:$H$205,C492)))*(A492-6*C492)/6))</f>
        <v>0.0958595631602641</v>
      </c>
      <c r="E492" s="12" t="n">
        <f aca="false">D492^(-1/B492)-1</f>
        <v>0.0593555625</v>
      </c>
      <c r="F492" s="12" t="n">
        <f aca="false">(1+E492)^(1/12)-1</f>
        <v>0.0048166264420948</v>
      </c>
      <c r="G492" s="16" t="n">
        <f aca="false">IF(C492=0,(1+Dic2024!$J$6)^(-B492),EXP(LN(INDEX(Dic2024!$K$6:$K$205,C492))+(LN(INDEX(Dic2024!$K$6:$K$205,MIN(C492+1,200)))-LN(INDEX(Dic2024!$K$6:$K$205,C492)))*(A492-6*C492)/6))</f>
        <v>0.0958595631602641</v>
      </c>
      <c r="H492" s="12" t="n">
        <f aca="false">G492^(-1/B492)-1</f>
        <v>0.0593555625</v>
      </c>
      <c r="I492" s="12" t="n">
        <f aca="false">(1+H492)^(1/12)-1</f>
        <v>0.0048166264420948</v>
      </c>
      <c r="J492" s="16" t="n">
        <f aca="false">IF(C492=0,(1+Dic2024!$M$6)^(-B492),EXP(LN(INDEX(Dic2024!$N$6:$N$205,C492))+(LN(INDEX(Dic2024!$N$6:$N$205,MIN(C492+1,200)))-LN(INDEX(Dic2024!$N$6:$N$205,C492)))*(A492-6*C492)/6))</f>
        <v>0.0958595631602641</v>
      </c>
      <c r="K492" s="12" t="n">
        <f aca="false">J492^(-1/B492)-1</f>
        <v>0.0593555625</v>
      </c>
      <c r="L492" s="12" t="n">
        <f aca="false">(1+K492)^(1/12)-1</f>
        <v>0.0048166264420948</v>
      </c>
    </row>
    <row r="493" customFormat="false" ht="15" hidden="false" customHeight="false" outlineLevel="0" collapsed="false">
      <c r="A493" s="4" t="n">
        <v>489</v>
      </c>
      <c r="B493" s="14" t="n">
        <f aca="false">A493/12</f>
        <v>40.75</v>
      </c>
      <c r="C493" s="15" t="n">
        <f aca="false">INT(A493/6)</f>
        <v>81</v>
      </c>
      <c r="D493" s="16" t="n">
        <f aca="false">IF(C493=0,(1+Dic2024!$G$6)^(-B493),EXP(LN(INDEX(Dic2024!$H$6:$H$205,C493))+(LN(INDEX(Dic2024!$H$6:$H$205,MIN(C493+1,200)))-LN(INDEX(Dic2024!$H$6:$H$205,C493)))*(A493-6*C493)/6))</f>
        <v>0.0954000567244677</v>
      </c>
      <c r="E493" s="12" t="n">
        <f aca="false">D493^(-1/B493)-1</f>
        <v>0.0593555625</v>
      </c>
      <c r="F493" s="12" t="n">
        <f aca="false">(1+E493)^(1/12)-1</f>
        <v>0.0048166264420948</v>
      </c>
      <c r="G493" s="16" t="n">
        <f aca="false">IF(C493=0,(1+Dic2024!$J$6)^(-B493),EXP(LN(INDEX(Dic2024!$K$6:$K$205,C493))+(LN(INDEX(Dic2024!$K$6:$K$205,MIN(C493+1,200)))-LN(INDEX(Dic2024!$K$6:$K$205,C493)))*(A493-6*C493)/6))</f>
        <v>0.0954000567244677</v>
      </c>
      <c r="H493" s="12" t="n">
        <f aca="false">G493^(-1/B493)-1</f>
        <v>0.0593555625</v>
      </c>
      <c r="I493" s="12" t="n">
        <f aca="false">(1+H493)^(1/12)-1</f>
        <v>0.0048166264420948</v>
      </c>
      <c r="J493" s="16" t="n">
        <f aca="false">IF(C493=0,(1+Dic2024!$M$6)^(-B493),EXP(LN(INDEX(Dic2024!$N$6:$N$205,C493))+(LN(INDEX(Dic2024!$N$6:$N$205,MIN(C493+1,200)))-LN(INDEX(Dic2024!$N$6:$N$205,C493)))*(A493-6*C493)/6))</f>
        <v>0.0954000567244677</v>
      </c>
      <c r="K493" s="12" t="n">
        <f aca="false">J493^(-1/B493)-1</f>
        <v>0.0593555625</v>
      </c>
      <c r="L493" s="12" t="n">
        <f aca="false">(1+K493)^(1/12)-1</f>
        <v>0.0048166264420948</v>
      </c>
    </row>
    <row r="494" customFormat="false" ht="15" hidden="false" customHeight="false" outlineLevel="0" collapsed="false">
      <c r="A494" s="4" t="n">
        <v>490</v>
      </c>
      <c r="B494" s="14" t="n">
        <f aca="false">A494/12</f>
        <v>40.8333333333333</v>
      </c>
      <c r="C494" s="15" t="n">
        <f aca="false">INT(A494/6)</f>
        <v>81</v>
      </c>
      <c r="D494" s="16" t="n">
        <f aca="false">IF(C494=0,(1+Dic2024!$G$6)^(-B494),EXP(LN(INDEX(Dic2024!$H$6:$H$205,C494))+(LN(INDEX(Dic2024!$H$6:$H$205,MIN(C494+1,200)))-LN(INDEX(Dic2024!$H$6:$H$205,C494)))*(A494-6*C494)/6))</f>
        <v>0.0949427529501229</v>
      </c>
      <c r="E494" s="12" t="n">
        <f aca="false">D494^(-1/B494)-1</f>
        <v>0.0593555625</v>
      </c>
      <c r="F494" s="12" t="n">
        <f aca="false">(1+E494)^(1/12)-1</f>
        <v>0.0048166264420948</v>
      </c>
      <c r="G494" s="16" t="n">
        <f aca="false">IF(C494=0,(1+Dic2024!$J$6)^(-B494),EXP(LN(INDEX(Dic2024!$K$6:$K$205,C494))+(LN(INDEX(Dic2024!$K$6:$K$205,MIN(C494+1,200)))-LN(INDEX(Dic2024!$K$6:$K$205,C494)))*(A494-6*C494)/6))</f>
        <v>0.0949427529501229</v>
      </c>
      <c r="H494" s="12" t="n">
        <f aca="false">G494^(-1/B494)-1</f>
        <v>0.0593555625</v>
      </c>
      <c r="I494" s="12" t="n">
        <f aca="false">(1+H494)^(1/12)-1</f>
        <v>0.0048166264420948</v>
      </c>
      <c r="J494" s="16" t="n">
        <f aca="false">IF(C494=0,(1+Dic2024!$M$6)^(-B494),EXP(LN(INDEX(Dic2024!$N$6:$N$205,C494))+(LN(INDEX(Dic2024!$N$6:$N$205,MIN(C494+1,200)))-LN(INDEX(Dic2024!$N$6:$N$205,C494)))*(A494-6*C494)/6))</f>
        <v>0.0949427529501229</v>
      </c>
      <c r="K494" s="12" t="n">
        <f aca="false">J494^(-1/B494)-1</f>
        <v>0.0593555625</v>
      </c>
      <c r="L494" s="12" t="n">
        <f aca="false">(1+K494)^(1/12)-1</f>
        <v>0.0048166264420948</v>
      </c>
    </row>
    <row r="495" customFormat="false" ht="15" hidden="false" customHeight="false" outlineLevel="0" collapsed="false">
      <c r="A495" s="4" t="n">
        <v>491</v>
      </c>
      <c r="B495" s="14" t="n">
        <f aca="false">A495/12</f>
        <v>40.9166666666667</v>
      </c>
      <c r="C495" s="15" t="n">
        <f aca="false">INT(A495/6)</f>
        <v>81</v>
      </c>
      <c r="D495" s="16" t="n">
        <f aca="false">IF(C495=0,(1+Dic2024!$G$6)^(-B495),EXP(LN(INDEX(Dic2024!$H$6:$H$205,C495))+(LN(INDEX(Dic2024!$H$6:$H$205,MIN(C495+1,200)))-LN(INDEX(Dic2024!$H$6:$H$205,C495)))*(A495-6*C495)/6))</f>
        <v>0.0944876412786888</v>
      </c>
      <c r="E495" s="12" t="n">
        <f aca="false">D495^(-1/B495)-1</f>
        <v>0.0593555625</v>
      </c>
      <c r="F495" s="12" t="n">
        <f aca="false">(1+E495)^(1/12)-1</f>
        <v>0.0048166264420948</v>
      </c>
      <c r="G495" s="16" t="n">
        <f aca="false">IF(C495=0,(1+Dic2024!$J$6)^(-B495),EXP(LN(INDEX(Dic2024!$K$6:$K$205,C495))+(LN(INDEX(Dic2024!$K$6:$K$205,MIN(C495+1,200)))-LN(INDEX(Dic2024!$K$6:$K$205,C495)))*(A495-6*C495)/6))</f>
        <v>0.0944876412786888</v>
      </c>
      <c r="H495" s="12" t="n">
        <f aca="false">G495^(-1/B495)-1</f>
        <v>0.0593555625</v>
      </c>
      <c r="I495" s="12" t="n">
        <f aca="false">(1+H495)^(1/12)-1</f>
        <v>0.0048166264420948</v>
      </c>
      <c r="J495" s="16" t="n">
        <f aca="false">IF(C495=0,(1+Dic2024!$M$6)^(-B495),EXP(LN(INDEX(Dic2024!$N$6:$N$205,C495))+(LN(INDEX(Dic2024!$N$6:$N$205,MIN(C495+1,200)))-LN(INDEX(Dic2024!$N$6:$N$205,C495)))*(A495-6*C495)/6))</f>
        <v>0.0944876412786888</v>
      </c>
      <c r="K495" s="12" t="n">
        <f aca="false">J495^(-1/B495)-1</f>
        <v>0.0593555625</v>
      </c>
      <c r="L495" s="12" t="n">
        <f aca="false">(1+K495)^(1/12)-1</f>
        <v>0.0048166264420948</v>
      </c>
    </row>
    <row r="496" customFormat="false" ht="15" hidden="false" customHeight="false" outlineLevel="0" collapsed="false">
      <c r="A496" s="4" t="n">
        <v>492</v>
      </c>
      <c r="B496" s="14" t="n">
        <f aca="false">A496/12</f>
        <v>41</v>
      </c>
      <c r="C496" s="15" t="n">
        <f aca="false">INT(A496/6)</f>
        <v>82</v>
      </c>
      <c r="D496" s="16" t="n">
        <f aca="false">IF(C496=0,(1+Dic2024!$G$6)^(-B496),EXP(LN(INDEX(Dic2024!$H$6:$H$205,C496))+(LN(INDEX(Dic2024!$H$6:$H$205,MIN(C496+1,200)))-LN(INDEX(Dic2024!$H$6:$H$205,C496)))*(A496-6*C496)/6))</f>
        <v>0.0940347112022373</v>
      </c>
      <c r="E496" s="12" t="n">
        <f aca="false">D496^(-1/B496)-1</f>
        <v>0.0593555625</v>
      </c>
      <c r="F496" s="12" t="n">
        <f aca="false">(1+E496)^(1/12)-1</f>
        <v>0.0048166264420948</v>
      </c>
      <c r="G496" s="16" t="n">
        <f aca="false">IF(C496=0,(1+Dic2024!$J$6)^(-B496),EXP(LN(INDEX(Dic2024!$K$6:$K$205,C496))+(LN(INDEX(Dic2024!$K$6:$K$205,MIN(C496+1,200)))-LN(INDEX(Dic2024!$K$6:$K$205,C496)))*(A496-6*C496)/6))</f>
        <v>0.0940347112022373</v>
      </c>
      <c r="H496" s="12" t="n">
        <f aca="false">G496^(-1/B496)-1</f>
        <v>0.0593555625</v>
      </c>
      <c r="I496" s="12" t="n">
        <f aca="false">(1+H496)^(1/12)-1</f>
        <v>0.0048166264420948</v>
      </c>
      <c r="J496" s="16" t="n">
        <f aca="false">IF(C496=0,(1+Dic2024!$M$6)^(-B496),EXP(LN(INDEX(Dic2024!$N$6:$N$205,C496))+(LN(INDEX(Dic2024!$N$6:$N$205,MIN(C496+1,200)))-LN(INDEX(Dic2024!$N$6:$N$205,C496)))*(A496-6*C496)/6))</f>
        <v>0.0940347112022373</v>
      </c>
      <c r="K496" s="12" t="n">
        <f aca="false">J496^(-1/B496)-1</f>
        <v>0.0593555625</v>
      </c>
      <c r="L496" s="12" t="n">
        <f aca="false">(1+K496)^(1/12)-1</f>
        <v>0.0048166264420948</v>
      </c>
    </row>
    <row r="497" customFormat="false" ht="15" hidden="false" customHeight="false" outlineLevel="0" collapsed="false">
      <c r="A497" s="4" t="n">
        <v>493</v>
      </c>
      <c r="B497" s="14" t="n">
        <f aca="false">A497/12</f>
        <v>41.0833333333333</v>
      </c>
      <c r="C497" s="15" t="n">
        <f aca="false">INT(A497/6)</f>
        <v>82</v>
      </c>
      <c r="D497" s="16" t="n">
        <f aca="false">IF(C497=0,(1+Dic2024!$G$6)^(-B497),EXP(LN(INDEX(Dic2024!$H$6:$H$205,C497))+(LN(INDEX(Dic2024!$H$6:$H$205,MIN(C497+1,200)))-LN(INDEX(Dic2024!$H$6:$H$205,C497)))*(A497-6*C497)/6))</f>
        <v>0.0935210855303342</v>
      </c>
      <c r="E497" s="12" t="n">
        <f aca="false">D497^(-1/B497)-1</f>
        <v>0.0593728903648516</v>
      </c>
      <c r="F497" s="12" t="n">
        <f aca="false">(1+E497)^(1/12)-1</f>
        <v>0.00481799607951006</v>
      </c>
      <c r="G497" s="16" t="n">
        <f aca="false">IF(C497=0,(1+Dic2024!$J$6)^(-B497),EXP(LN(INDEX(Dic2024!$K$6:$K$205,C497))+(LN(INDEX(Dic2024!$K$6:$K$205,MIN(C497+1,200)))-LN(INDEX(Dic2024!$K$6:$K$205,C497)))*(A497-6*C497)/6))</f>
        <v>0.0935210855303342</v>
      </c>
      <c r="H497" s="12" t="n">
        <f aca="false">G497^(-1/B497)-1</f>
        <v>0.0593728903648516</v>
      </c>
      <c r="I497" s="12" t="n">
        <f aca="false">(1+H497)^(1/12)-1</f>
        <v>0.00481799607951006</v>
      </c>
      <c r="J497" s="16" t="n">
        <f aca="false">IF(C497=0,(1+Dic2024!$M$6)^(-B497),EXP(LN(INDEX(Dic2024!$N$6:$N$205,C497))+(LN(INDEX(Dic2024!$N$6:$N$205,MIN(C497+1,200)))-LN(INDEX(Dic2024!$N$6:$N$205,C497)))*(A497-6*C497)/6))</f>
        <v>0.0935210855303342</v>
      </c>
      <c r="K497" s="12" t="n">
        <f aca="false">J497^(-1/B497)-1</f>
        <v>0.0593728903648516</v>
      </c>
      <c r="L497" s="12" t="n">
        <f aca="false">(1+K497)^(1/12)-1</f>
        <v>0.00481799607951006</v>
      </c>
    </row>
    <row r="498" customFormat="false" ht="15" hidden="false" customHeight="false" outlineLevel="0" collapsed="false">
      <c r="A498" s="4" t="n">
        <v>494</v>
      </c>
      <c r="B498" s="14" t="n">
        <f aca="false">A498/12</f>
        <v>41.1666666666667</v>
      </c>
      <c r="C498" s="15" t="n">
        <f aca="false">INT(A498/6)</f>
        <v>82</v>
      </c>
      <c r="D498" s="16" t="n">
        <f aca="false">IF(C498=0,(1+Dic2024!$G$6)^(-B498),EXP(LN(INDEX(Dic2024!$H$6:$H$205,C498))+(LN(INDEX(Dic2024!$H$6:$H$205,MIN(C498+1,200)))-LN(INDEX(Dic2024!$H$6:$H$205,C498)))*(A498-6*C498)/6))</f>
        <v>0.0930102653259808</v>
      </c>
      <c r="E498" s="12" t="n">
        <f aca="false">D498^(-1/B498)-1</f>
        <v>0.059390148358117</v>
      </c>
      <c r="F498" s="12" t="n">
        <f aca="false">(1+E498)^(1/12)-1</f>
        <v>0.00481936017369011</v>
      </c>
      <c r="G498" s="16" t="n">
        <f aca="false">IF(C498=0,(1+Dic2024!$J$6)^(-B498),EXP(LN(INDEX(Dic2024!$K$6:$K$205,C498))+(LN(INDEX(Dic2024!$K$6:$K$205,MIN(C498+1,200)))-LN(INDEX(Dic2024!$K$6:$K$205,C498)))*(A498-6*C498)/6))</f>
        <v>0.0930102653259808</v>
      </c>
      <c r="H498" s="12" t="n">
        <f aca="false">G498^(-1/B498)-1</f>
        <v>0.059390148358117</v>
      </c>
      <c r="I498" s="12" t="n">
        <f aca="false">(1+H498)^(1/12)-1</f>
        <v>0.00481936017369011</v>
      </c>
      <c r="J498" s="16" t="n">
        <f aca="false">IF(C498=0,(1+Dic2024!$M$6)^(-B498),EXP(LN(INDEX(Dic2024!$N$6:$N$205,C498))+(LN(INDEX(Dic2024!$N$6:$N$205,MIN(C498+1,200)))-LN(INDEX(Dic2024!$N$6:$N$205,C498)))*(A498-6*C498)/6))</f>
        <v>0.0930102653259808</v>
      </c>
      <c r="K498" s="12" t="n">
        <f aca="false">J498^(-1/B498)-1</f>
        <v>0.059390148358117</v>
      </c>
      <c r="L498" s="12" t="n">
        <f aca="false">(1+K498)^(1/12)-1</f>
        <v>0.00481936017369011</v>
      </c>
    </row>
    <row r="499" customFormat="false" ht="15" hidden="false" customHeight="false" outlineLevel="0" collapsed="false">
      <c r="A499" s="4" t="n">
        <v>495</v>
      </c>
      <c r="B499" s="14" t="n">
        <f aca="false">A499/12</f>
        <v>41.25</v>
      </c>
      <c r="C499" s="15" t="n">
        <f aca="false">INT(A499/6)</f>
        <v>82</v>
      </c>
      <c r="D499" s="16" t="n">
        <f aca="false">IF(C499=0,(1+Dic2024!$G$6)^(-B499),EXP(LN(INDEX(Dic2024!$H$6:$H$205,C499))+(LN(INDEX(Dic2024!$H$6:$H$205,MIN(C499+1,200)))-LN(INDEX(Dic2024!$H$6:$H$205,C499)))*(A499-6*C499)/6))</f>
        <v>0.0925022352654726</v>
      </c>
      <c r="E499" s="12" t="n">
        <f aca="false">D499^(-1/B499)-1</f>
        <v>0.0594073369015611</v>
      </c>
      <c r="F499" s="12" t="n">
        <f aca="false">(1+E499)^(1/12)-1</f>
        <v>0.00482071875821921</v>
      </c>
      <c r="G499" s="16" t="n">
        <f aca="false">IF(C499=0,(1+Dic2024!$J$6)^(-B499),EXP(LN(INDEX(Dic2024!$K$6:$K$205,C499))+(LN(INDEX(Dic2024!$K$6:$K$205,MIN(C499+1,200)))-LN(INDEX(Dic2024!$K$6:$K$205,C499)))*(A499-6*C499)/6))</f>
        <v>0.0925022352654726</v>
      </c>
      <c r="H499" s="12" t="n">
        <f aca="false">G499^(-1/B499)-1</f>
        <v>0.0594073369015611</v>
      </c>
      <c r="I499" s="12" t="n">
        <f aca="false">(1+H499)^(1/12)-1</f>
        <v>0.00482071875821921</v>
      </c>
      <c r="J499" s="16" t="n">
        <f aca="false">IF(C499=0,(1+Dic2024!$M$6)^(-B499),EXP(LN(INDEX(Dic2024!$N$6:$N$205,C499))+(LN(INDEX(Dic2024!$N$6:$N$205,MIN(C499+1,200)))-LN(INDEX(Dic2024!$N$6:$N$205,C499)))*(A499-6*C499)/6))</f>
        <v>0.0925022352654726</v>
      </c>
      <c r="K499" s="12" t="n">
        <f aca="false">J499^(-1/B499)-1</f>
        <v>0.0594073369015611</v>
      </c>
      <c r="L499" s="12" t="n">
        <f aca="false">(1+K499)^(1/12)-1</f>
        <v>0.00482071875821921</v>
      </c>
    </row>
    <row r="500" customFormat="false" ht="15" hidden="false" customHeight="false" outlineLevel="0" collapsed="false">
      <c r="A500" s="4" t="n">
        <v>496</v>
      </c>
      <c r="B500" s="14" t="n">
        <f aca="false">A500/12</f>
        <v>41.3333333333333</v>
      </c>
      <c r="C500" s="15" t="n">
        <f aca="false">INT(A500/6)</f>
        <v>82</v>
      </c>
      <c r="D500" s="16" t="n">
        <f aca="false">IF(C500=0,(1+Dic2024!$G$6)^(-B500),EXP(LN(INDEX(Dic2024!$H$6:$H$205,C500))+(LN(INDEX(Dic2024!$H$6:$H$205,MIN(C500+1,200)))-LN(INDEX(Dic2024!$H$6:$H$205,C500)))*(A500-6*C500)/6))</f>
        <v>0.0919969801088039</v>
      </c>
      <c r="E500" s="12" t="n">
        <f aca="false">D500^(-1/B500)-1</f>
        <v>0.0594244564135606</v>
      </c>
      <c r="F500" s="12" t="n">
        <f aca="false">(1+E500)^(1/12)-1</f>
        <v>0.0048220718664107</v>
      </c>
      <c r="G500" s="16" t="n">
        <f aca="false">IF(C500=0,(1+Dic2024!$J$6)^(-B500),EXP(LN(INDEX(Dic2024!$K$6:$K$205,C500))+(LN(INDEX(Dic2024!$K$6:$K$205,MIN(C500+1,200)))-LN(INDEX(Dic2024!$K$6:$K$205,C500)))*(A500-6*C500)/6))</f>
        <v>0.0919969801088039</v>
      </c>
      <c r="H500" s="12" t="n">
        <f aca="false">G500^(-1/B500)-1</f>
        <v>0.0594244564135606</v>
      </c>
      <c r="I500" s="12" t="n">
        <f aca="false">(1+H500)^(1/12)-1</f>
        <v>0.0048220718664107</v>
      </c>
      <c r="J500" s="16" t="n">
        <f aca="false">IF(C500=0,(1+Dic2024!$M$6)^(-B500),EXP(LN(INDEX(Dic2024!$N$6:$N$205,C500))+(LN(INDEX(Dic2024!$N$6:$N$205,MIN(C500+1,200)))-LN(INDEX(Dic2024!$N$6:$N$205,C500)))*(A500-6*C500)/6))</f>
        <v>0.0919969801088039</v>
      </c>
      <c r="K500" s="12" t="n">
        <f aca="false">J500^(-1/B500)-1</f>
        <v>0.0594244564135606</v>
      </c>
      <c r="L500" s="12" t="n">
        <f aca="false">(1+K500)^(1/12)-1</f>
        <v>0.0048220718664107</v>
      </c>
    </row>
    <row r="501" customFormat="false" ht="15" hidden="false" customHeight="false" outlineLevel="0" collapsed="false">
      <c r="A501" s="4" t="n">
        <v>497</v>
      </c>
      <c r="B501" s="14" t="n">
        <f aca="false">A501/12</f>
        <v>41.4166666666667</v>
      </c>
      <c r="C501" s="15" t="n">
        <f aca="false">INT(A501/6)</f>
        <v>82</v>
      </c>
      <c r="D501" s="16" t="n">
        <f aca="false">IF(C501=0,(1+Dic2024!$G$6)^(-B501),EXP(LN(INDEX(Dic2024!$H$6:$H$205,C501))+(LN(INDEX(Dic2024!$H$6:$H$205,MIN(C501+1,200)))-LN(INDEX(Dic2024!$H$6:$H$205,C501)))*(A501-6*C501)/6))</f>
        <v>0.0914944846992118</v>
      </c>
      <c r="E501" s="12" t="n">
        <f aca="false">D501^(-1/B501)-1</f>
        <v>0.0594415073091392</v>
      </c>
      <c r="F501" s="12" t="n">
        <f aca="false">(1+E501)^(1/12)-1</f>
        <v>0.00482341953130971</v>
      </c>
      <c r="G501" s="16" t="n">
        <f aca="false">IF(C501=0,(1+Dic2024!$J$6)^(-B501),EXP(LN(INDEX(Dic2024!$K$6:$K$205,C501))+(LN(INDEX(Dic2024!$K$6:$K$205,MIN(C501+1,200)))-LN(INDEX(Dic2024!$K$6:$K$205,C501)))*(A501-6*C501)/6))</f>
        <v>0.0914944846992118</v>
      </c>
      <c r="H501" s="12" t="n">
        <f aca="false">G501^(-1/B501)-1</f>
        <v>0.0594415073091392</v>
      </c>
      <c r="I501" s="12" t="n">
        <f aca="false">(1+H501)^(1/12)-1</f>
        <v>0.00482341953130971</v>
      </c>
      <c r="J501" s="16" t="n">
        <f aca="false">IF(C501=0,(1+Dic2024!$M$6)^(-B501),EXP(LN(INDEX(Dic2024!$N$6:$N$205,C501))+(LN(INDEX(Dic2024!$N$6:$N$205,MIN(C501+1,200)))-LN(INDEX(Dic2024!$N$6:$N$205,C501)))*(A501-6*C501)/6))</f>
        <v>0.0914944846992118</v>
      </c>
      <c r="K501" s="12" t="n">
        <f aca="false">J501^(-1/B501)-1</f>
        <v>0.0594415073091392</v>
      </c>
      <c r="L501" s="12" t="n">
        <f aca="false">(1+K501)^(1/12)-1</f>
        <v>0.00482341953130971</v>
      </c>
    </row>
    <row r="502" customFormat="false" ht="15" hidden="false" customHeight="false" outlineLevel="0" collapsed="false">
      <c r="A502" s="4" t="n">
        <v>498</v>
      </c>
      <c r="B502" s="14" t="n">
        <f aca="false">A502/12</f>
        <v>41.5</v>
      </c>
      <c r="C502" s="15" t="n">
        <f aca="false">INT(A502/6)</f>
        <v>83</v>
      </c>
      <c r="D502" s="16" t="n">
        <f aca="false">IF(C502=0,(1+Dic2024!$G$6)^(-B502),EXP(LN(INDEX(Dic2024!$H$6:$H$205,C502))+(LN(INDEX(Dic2024!$H$6:$H$205,MIN(C502+1,200)))-LN(INDEX(Dic2024!$H$6:$H$205,C502)))*(A502-6*C502)/6))</f>
        <v>0.0909947339627204</v>
      </c>
      <c r="E502" s="12" t="n">
        <f aca="false">D502^(-1/B502)-1</f>
        <v>0.0594584900000001</v>
      </c>
      <c r="F502" s="12" t="n">
        <f aca="false">(1+E502)^(1/12)-1</f>
        <v>0.00482476178569669</v>
      </c>
      <c r="G502" s="16" t="n">
        <f aca="false">IF(C502=0,(1+Dic2024!$J$6)^(-B502),EXP(LN(INDEX(Dic2024!$K$6:$K$205,C502))+(LN(INDEX(Dic2024!$K$6:$K$205,MIN(C502+1,200)))-LN(INDEX(Dic2024!$K$6:$K$205,C502)))*(A502-6*C502)/6))</f>
        <v>0.0909947339627204</v>
      </c>
      <c r="H502" s="12" t="n">
        <f aca="false">G502^(-1/B502)-1</f>
        <v>0.0594584900000001</v>
      </c>
      <c r="I502" s="12" t="n">
        <f aca="false">(1+H502)^(1/12)-1</f>
        <v>0.00482476178569669</v>
      </c>
      <c r="J502" s="16" t="n">
        <f aca="false">IF(C502=0,(1+Dic2024!$M$6)^(-B502),EXP(LN(INDEX(Dic2024!$N$6:$N$205,C502))+(LN(INDEX(Dic2024!$N$6:$N$205,MIN(C502+1,200)))-LN(INDEX(Dic2024!$N$6:$N$205,C502)))*(A502-6*C502)/6))</f>
        <v>0.0909947339627204</v>
      </c>
      <c r="K502" s="12" t="n">
        <f aca="false">J502^(-1/B502)-1</f>
        <v>0.0594584900000001</v>
      </c>
      <c r="L502" s="12" t="n">
        <f aca="false">(1+K502)^(1/12)-1</f>
        <v>0.00482476178569669</v>
      </c>
    </row>
    <row r="503" customFormat="false" ht="15" hidden="false" customHeight="false" outlineLevel="0" collapsed="false">
      <c r="A503" s="4" t="n">
        <v>499</v>
      </c>
      <c r="B503" s="14" t="n">
        <f aca="false">A503/12</f>
        <v>41.5833333333333</v>
      </c>
      <c r="C503" s="15" t="n">
        <f aca="false">INT(A503/6)</f>
        <v>83</v>
      </c>
      <c r="D503" s="16" t="n">
        <f aca="false">IF(C503=0,(1+Dic2024!$G$6)^(-B503),EXP(LN(INDEX(Dic2024!$H$6:$H$205,C503))+(LN(INDEX(Dic2024!$H$6:$H$205,MIN(C503+1,200)))-LN(INDEX(Dic2024!$H$6:$H$205,C503)))*(A503-6*C503)/6))</f>
        <v>0.0905578140819416</v>
      </c>
      <c r="E503" s="12" t="n">
        <f aca="false">D503^(-1/B503)-1</f>
        <v>0.0594584900000001</v>
      </c>
      <c r="F503" s="12" t="n">
        <f aca="false">(1+E503)^(1/12)-1</f>
        <v>0.00482476178569669</v>
      </c>
      <c r="G503" s="16" t="n">
        <f aca="false">IF(C503=0,(1+Dic2024!$J$6)^(-B503),EXP(LN(INDEX(Dic2024!$K$6:$K$205,C503))+(LN(INDEX(Dic2024!$K$6:$K$205,MIN(C503+1,200)))-LN(INDEX(Dic2024!$K$6:$K$205,C503)))*(A503-6*C503)/6))</f>
        <v>0.0905578140819416</v>
      </c>
      <c r="H503" s="12" t="n">
        <f aca="false">G503^(-1/B503)-1</f>
        <v>0.0594584900000001</v>
      </c>
      <c r="I503" s="12" t="n">
        <f aca="false">(1+H503)^(1/12)-1</f>
        <v>0.00482476178569669</v>
      </c>
      <c r="J503" s="16" t="n">
        <f aca="false">IF(C503=0,(1+Dic2024!$M$6)^(-B503),EXP(LN(INDEX(Dic2024!$N$6:$N$205,C503))+(LN(INDEX(Dic2024!$N$6:$N$205,MIN(C503+1,200)))-LN(INDEX(Dic2024!$N$6:$N$205,C503)))*(A503-6*C503)/6))</f>
        <v>0.0905578140819416</v>
      </c>
      <c r="K503" s="12" t="n">
        <f aca="false">J503^(-1/B503)-1</f>
        <v>0.0594584900000001</v>
      </c>
      <c r="L503" s="12" t="n">
        <f aca="false">(1+K503)^(1/12)-1</f>
        <v>0.00482476178569669</v>
      </c>
    </row>
    <row r="504" customFormat="false" ht="15" hidden="false" customHeight="false" outlineLevel="0" collapsed="false">
      <c r="A504" s="4" t="n">
        <v>500</v>
      </c>
      <c r="B504" s="14" t="n">
        <f aca="false">A504/12</f>
        <v>41.6666666666667</v>
      </c>
      <c r="C504" s="15" t="n">
        <f aca="false">INT(A504/6)</f>
        <v>83</v>
      </c>
      <c r="D504" s="16" t="n">
        <f aca="false">IF(C504=0,(1+Dic2024!$G$6)^(-B504),EXP(LN(INDEX(Dic2024!$H$6:$H$205,C504))+(LN(INDEX(Dic2024!$H$6:$H$205,MIN(C504+1,200)))-LN(INDEX(Dic2024!$H$6:$H$205,C504)))*(A504-6*C504)/6))</f>
        <v>0.0901229921135794</v>
      </c>
      <c r="E504" s="12" t="n">
        <f aca="false">D504^(-1/B504)-1</f>
        <v>0.0594584900000001</v>
      </c>
      <c r="F504" s="12" t="n">
        <f aca="false">(1+E504)^(1/12)-1</f>
        <v>0.00482476178569669</v>
      </c>
      <c r="G504" s="16" t="n">
        <f aca="false">IF(C504=0,(1+Dic2024!$J$6)^(-B504),EXP(LN(INDEX(Dic2024!$K$6:$K$205,C504))+(LN(INDEX(Dic2024!$K$6:$K$205,MIN(C504+1,200)))-LN(INDEX(Dic2024!$K$6:$K$205,C504)))*(A504-6*C504)/6))</f>
        <v>0.0901229921135794</v>
      </c>
      <c r="H504" s="12" t="n">
        <f aca="false">G504^(-1/B504)-1</f>
        <v>0.0594584900000001</v>
      </c>
      <c r="I504" s="12" t="n">
        <f aca="false">(1+H504)^(1/12)-1</f>
        <v>0.00482476178569669</v>
      </c>
      <c r="J504" s="16" t="n">
        <f aca="false">IF(C504=0,(1+Dic2024!$M$6)^(-B504),EXP(LN(INDEX(Dic2024!$N$6:$N$205,C504))+(LN(INDEX(Dic2024!$N$6:$N$205,MIN(C504+1,200)))-LN(INDEX(Dic2024!$N$6:$N$205,C504)))*(A504-6*C504)/6))</f>
        <v>0.0901229921135794</v>
      </c>
      <c r="K504" s="12" t="n">
        <f aca="false">J504^(-1/B504)-1</f>
        <v>0.0594584900000001</v>
      </c>
      <c r="L504" s="12" t="n">
        <f aca="false">(1+K504)^(1/12)-1</f>
        <v>0.00482476178569669</v>
      </c>
    </row>
    <row r="505" customFormat="false" ht="15" hidden="false" customHeight="false" outlineLevel="0" collapsed="false">
      <c r="A505" s="4" t="n">
        <v>501</v>
      </c>
      <c r="B505" s="14" t="n">
        <f aca="false">A505/12</f>
        <v>41.75</v>
      </c>
      <c r="C505" s="15" t="n">
        <f aca="false">INT(A505/6)</f>
        <v>83</v>
      </c>
      <c r="D505" s="16" t="n">
        <f aca="false">IF(C505=0,(1+Dic2024!$G$6)^(-B505),EXP(LN(INDEX(Dic2024!$H$6:$H$205,C505))+(LN(INDEX(Dic2024!$H$6:$H$205,MIN(C505+1,200)))-LN(INDEX(Dic2024!$H$6:$H$205,C505)))*(A505-6*C505)/6))</f>
        <v>0.0896902579843074</v>
      </c>
      <c r="E505" s="12" t="n">
        <f aca="false">D505^(-1/B505)-1</f>
        <v>0.0594584900000001</v>
      </c>
      <c r="F505" s="12" t="n">
        <f aca="false">(1+E505)^(1/12)-1</f>
        <v>0.00482476178569669</v>
      </c>
      <c r="G505" s="16" t="n">
        <f aca="false">IF(C505=0,(1+Dic2024!$J$6)^(-B505),EXP(LN(INDEX(Dic2024!$K$6:$K$205,C505))+(LN(INDEX(Dic2024!$K$6:$K$205,MIN(C505+1,200)))-LN(INDEX(Dic2024!$K$6:$K$205,C505)))*(A505-6*C505)/6))</f>
        <v>0.0896902579843074</v>
      </c>
      <c r="H505" s="12" t="n">
        <f aca="false">G505^(-1/B505)-1</f>
        <v>0.0594584900000001</v>
      </c>
      <c r="I505" s="12" t="n">
        <f aca="false">(1+H505)^(1/12)-1</f>
        <v>0.00482476178569669</v>
      </c>
      <c r="J505" s="16" t="n">
        <f aca="false">IF(C505=0,(1+Dic2024!$M$6)^(-B505),EXP(LN(INDEX(Dic2024!$N$6:$N$205,C505))+(LN(INDEX(Dic2024!$N$6:$N$205,MIN(C505+1,200)))-LN(INDEX(Dic2024!$N$6:$N$205,C505)))*(A505-6*C505)/6))</f>
        <v>0.0896902579843074</v>
      </c>
      <c r="K505" s="12" t="n">
        <f aca="false">J505^(-1/B505)-1</f>
        <v>0.0594584900000001</v>
      </c>
      <c r="L505" s="12" t="n">
        <f aca="false">(1+K505)^(1/12)-1</f>
        <v>0.00482476178569669</v>
      </c>
    </row>
    <row r="506" customFormat="false" ht="15" hidden="false" customHeight="false" outlineLevel="0" collapsed="false">
      <c r="A506" s="4" t="n">
        <v>502</v>
      </c>
      <c r="B506" s="14" t="n">
        <f aca="false">A506/12</f>
        <v>41.8333333333333</v>
      </c>
      <c r="C506" s="15" t="n">
        <f aca="false">INT(A506/6)</f>
        <v>83</v>
      </c>
      <c r="D506" s="16" t="n">
        <f aca="false">IF(C506=0,(1+Dic2024!$G$6)^(-B506),EXP(LN(INDEX(Dic2024!$H$6:$H$205,C506))+(LN(INDEX(Dic2024!$H$6:$H$205,MIN(C506+1,200)))-LN(INDEX(Dic2024!$H$6:$H$205,C506)))*(A506-6*C506)/6))</f>
        <v>0.0892596016691675</v>
      </c>
      <c r="E506" s="12" t="n">
        <f aca="false">D506^(-1/B506)-1</f>
        <v>0.0594584900000001</v>
      </c>
      <c r="F506" s="12" t="n">
        <f aca="false">(1+E506)^(1/12)-1</f>
        <v>0.00482476178569669</v>
      </c>
      <c r="G506" s="16" t="n">
        <f aca="false">IF(C506=0,(1+Dic2024!$J$6)^(-B506),EXP(LN(INDEX(Dic2024!$K$6:$K$205,C506))+(LN(INDEX(Dic2024!$K$6:$K$205,MIN(C506+1,200)))-LN(INDEX(Dic2024!$K$6:$K$205,C506)))*(A506-6*C506)/6))</f>
        <v>0.0892596016691675</v>
      </c>
      <c r="H506" s="12" t="n">
        <f aca="false">G506^(-1/B506)-1</f>
        <v>0.0594584900000001</v>
      </c>
      <c r="I506" s="12" t="n">
        <f aca="false">(1+H506)^(1/12)-1</f>
        <v>0.00482476178569669</v>
      </c>
      <c r="J506" s="16" t="n">
        <f aca="false">IF(C506=0,(1+Dic2024!$M$6)^(-B506),EXP(LN(INDEX(Dic2024!$N$6:$N$205,C506))+(LN(INDEX(Dic2024!$N$6:$N$205,MIN(C506+1,200)))-LN(INDEX(Dic2024!$N$6:$N$205,C506)))*(A506-6*C506)/6))</f>
        <v>0.0892596016691675</v>
      </c>
      <c r="K506" s="12" t="n">
        <f aca="false">J506^(-1/B506)-1</f>
        <v>0.0594584900000001</v>
      </c>
      <c r="L506" s="12" t="n">
        <f aca="false">(1+K506)^(1/12)-1</f>
        <v>0.00482476178569669</v>
      </c>
    </row>
    <row r="507" customFormat="false" ht="15" hidden="false" customHeight="false" outlineLevel="0" collapsed="false">
      <c r="A507" s="4" t="n">
        <v>503</v>
      </c>
      <c r="B507" s="14" t="n">
        <f aca="false">A507/12</f>
        <v>41.9166666666667</v>
      </c>
      <c r="C507" s="15" t="n">
        <f aca="false">INT(A507/6)</f>
        <v>83</v>
      </c>
      <c r="D507" s="16" t="n">
        <f aca="false">IF(C507=0,(1+Dic2024!$G$6)^(-B507),EXP(LN(INDEX(Dic2024!$H$6:$H$205,C507))+(LN(INDEX(Dic2024!$H$6:$H$205,MIN(C507+1,200)))-LN(INDEX(Dic2024!$H$6:$H$205,C507)))*(A507-6*C507)/6))</f>
        <v>0.0888310131913372</v>
      </c>
      <c r="E507" s="12" t="n">
        <f aca="false">D507^(-1/B507)-1</f>
        <v>0.0594584900000001</v>
      </c>
      <c r="F507" s="12" t="n">
        <f aca="false">(1+E507)^(1/12)-1</f>
        <v>0.00482476178569669</v>
      </c>
      <c r="G507" s="16" t="n">
        <f aca="false">IF(C507=0,(1+Dic2024!$J$6)^(-B507),EXP(LN(INDEX(Dic2024!$K$6:$K$205,C507))+(LN(INDEX(Dic2024!$K$6:$K$205,MIN(C507+1,200)))-LN(INDEX(Dic2024!$K$6:$K$205,C507)))*(A507-6*C507)/6))</f>
        <v>0.0888310131913372</v>
      </c>
      <c r="H507" s="12" t="n">
        <f aca="false">G507^(-1/B507)-1</f>
        <v>0.0594584900000001</v>
      </c>
      <c r="I507" s="12" t="n">
        <f aca="false">(1+H507)^(1/12)-1</f>
        <v>0.00482476178569669</v>
      </c>
      <c r="J507" s="16" t="n">
        <f aca="false">IF(C507=0,(1+Dic2024!$M$6)^(-B507),EXP(LN(INDEX(Dic2024!$N$6:$N$205,C507))+(LN(INDEX(Dic2024!$N$6:$N$205,MIN(C507+1,200)))-LN(INDEX(Dic2024!$N$6:$N$205,C507)))*(A507-6*C507)/6))</f>
        <v>0.0888310131913372</v>
      </c>
      <c r="K507" s="12" t="n">
        <f aca="false">J507^(-1/B507)-1</f>
        <v>0.0594584900000001</v>
      </c>
      <c r="L507" s="12" t="n">
        <f aca="false">(1+K507)^(1/12)-1</f>
        <v>0.00482476178569669</v>
      </c>
    </row>
    <row r="508" customFormat="false" ht="15" hidden="false" customHeight="false" outlineLevel="0" collapsed="false">
      <c r="A508" s="4" t="n">
        <v>504</v>
      </c>
      <c r="B508" s="14" t="n">
        <f aca="false">A508/12</f>
        <v>42</v>
      </c>
      <c r="C508" s="15" t="n">
        <f aca="false">INT(A508/6)</f>
        <v>84</v>
      </c>
      <c r="D508" s="16" t="n">
        <f aca="false">IF(C508=0,(1+Dic2024!$G$6)^(-B508),EXP(LN(INDEX(Dic2024!$H$6:$H$205,C508))+(LN(INDEX(Dic2024!$H$6:$H$205,MIN(C508+1,200)))-LN(INDEX(Dic2024!$H$6:$H$205,C508)))*(A508-6*C508)/6))</f>
        <v>0.0884044826218988</v>
      </c>
      <c r="E508" s="12" t="n">
        <f aca="false">D508^(-1/B508)-1</f>
        <v>0.0594584900000001</v>
      </c>
      <c r="F508" s="12" t="n">
        <f aca="false">(1+E508)^(1/12)-1</f>
        <v>0.00482476178569669</v>
      </c>
      <c r="G508" s="16" t="n">
        <f aca="false">IF(C508=0,(1+Dic2024!$J$6)^(-B508),EXP(LN(INDEX(Dic2024!$K$6:$K$205,C508))+(LN(INDEX(Dic2024!$K$6:$K$205,MIN(C508+1,200)))-LN(INDEX(Dic2024!$K$6:$K$205,C508)))*(A508-6*C508)/6))</f>
        <v>0.0884044826218988</v>
      </c>
      <c r="H508" s="12" t="n">
        <f aca="false">G508^(-1/B508)-1</f>
        <v>0.0594584900000001</v>
      </c>
      <c r="I508" s="12" t="n">
        <f aca="false">(1+H508)^(1/12)-1</f>
        <v>0.00482476178569669</v>
      </c>
      <c r="J508" s="16" t="n">
        <f aca="false">IF(C508=0,(1+Dic2024!$M$6)^(-B508),EXP(LN(INDEX(Dic2024!$N$6:$N$205,C508))+(LN(INDEX(Dic2024!$N$6:$N$205,MIN(C508+1,200)))-LN(INDEX(Dic2024!$N$6:$N$205,C508)))*(A508-6*C508)/6))</f>
        <v>0.0884044826218988</v>
      </c>
      <c r="K508" s="12" t="n">
        <f aca="false">J508^(-1/B508)-1</f>
        <v>0.0594584900000001</v>
      </c>
      <c r="L508" s="12" t="n">
        <f aca="false">(1+K508)^(1/12)-1</f>
        <v>0.00482476178569669</v>
      </c>
    </row>
    <row r="509" customFormat="false" ht="15" hidden="false" customHeight="false" outlineLevel="0" collapsed="false">
      <c r="A509" s="4" t="n">
        <v>505</v>
      </c>
      <c r="B509" s="14" t="n">
        <f aca="false">A509/12</f>
        <v>42.0833333333333</v>
      </c>
      <c r="C509" s="15" t="n">
        <f aca="false">INT(A509/6)</f>
        <v>84</v>
      </c>
      <c r="D509" s="16" t="n">
        <f aca="false">IF(C509=0,(1+Dic2024!$G$6)^(-B509),EXP(LN(INDEX(Dic2024!$H$6:$H$205,C509))+(LN(INDEX(Dic2024!$H$6:$H$205,MIN(C509+1,200)))-LN(INDEX(Dic2024!$H$6:$H$205,C509)))*(A509-6*C509)/6))</f>
        <v>0.0879800000796091</v>
      </c>
      <c r="E509" s="12" t="n">
        <f aca="false">D509^(-1/B509)-1</f>
        <v>0.0594584900000001</v>
      </c>
      <c r="F509" s="12" t="n">
        <f aca="false">(1+E509)^(1/12)-1</f>
        <v>0.00482476178569669</v>
      </c>
      <c r="G509" s="16" t="n">
        <f aca="false">IF(C509=0,(1+Dic2024!$J$6)^(-B509),EXP(LN(INDEX(Dic2024!$K$6:$K$205,C509))+(LN(INDEX(Dic2024!$K$6:$K$205,MIN(C509+1,200)))-LN(INDEX(Dic2024!$K$6:$K$205,C509)))*(A509-6*C509)/6))</f>
        <v>0.0879800000796091</v>
      </c>
      <c r="H509" s="12" t="n">
        <f aca="false">G509^(-1/B509)-1</f>
        <v>0.0594584900000001</v>
      </c>
      <c r="I509" s="12" t="n">
        <f aca="false">(1+H509)^(1/12)-1</f>
        <v>0.00482476178569669</v>
      </c>
      <c r="J509" s="16" t="n">
        <f aca="false">IF(C509=0,(1+Dic2024!$M$6)^(-B509),EXP(LN(INDEX(Dic2024!$N$6:$N$205,C509))+(LN(INDEX(Dic2024!$N$6:$N$205,MIN(C509+1,200)))-LN(INDEX(Dic2024!$N$6:$N$205,C509)))*(A509-6*C509)/6))</f>
        <v>0.0879800000796091</v>
      </c>
      <c r="K509" s="12" t="n">
        <f aca="false">J509^(-1/B509)-1</f>
        <v>0.0594584900000001</v>
      </c>
      <c r="L509" s="12" t="n">
        <f aca="false">(1+K509)^(1/12)-1</f>
        <v>0.00482476178569669</v>
      </c>
    </row>
    <row r="510" customFormat="false" ht="15" hidden="false" customHeight="false" outlineLevel="0" collapsed="false">
      <c r="A510" s="4" t="n">
        <v>506</v>
      </c>
      <c r="B510" s="14" t="n">
        <f aca="false">A510/12</f>
        <v>42.1666666666667</v>
      </c>
      <c r="C510" s="15" t="n">
        <f aca="false">INT(A510/6)</f>
        <v>84</v>
      </c>
      <c r="D510" s="16" t="n">
        <f aca="false">IF(C510=0,(1+Dic2024!$G$6)^(-B510),EXP(LN(INDEX(Dic2024!$H$6:$H$205,C510))+(LN(INDEX(Dic2024!$H$6:$H$205,MIN(C510+1,200)))-LN(INDEX(Dic2024!$H$6:$H$205,C510)))*(A510-6*C510)/6))</f>
        <v>0.0875575557306708</v>
      </c>
      <c r="E510" s="12" t="n">
        <f aca="false">D510^(-1/B510)-1</f>
        <v>0.0594584900000001</v>
      </c>
      <c r="F510" s="12" t="n">
        <f aca="false">(1+E510)^(1/12)-1</f>
        <v>0.00482476178569669</v>
      </c>
      <c r="G510" s="16" t="n">
        <f aca="false">IF(C510=0,(1+Dic2024!$J$6)^(-B510),EXP(LN(INDEX(Dic2024!$K$6:$K$205,C510))+(LN(INDEX(Dic2024!$K$6:$K$205,MIN(C510+1,200)))-LN(INDEX(Dic2024!$K$6:$K$205,C510)))*(A510-6*C510)/6))</f>
        <v>0.0875575557306708</v>
      </c>
      <c r="H510" s="12" t="n">
        <f aca="false">G510^(-1/B510)-1</f>
        <v>0.0594584900000001</v>
      </c>
      <c r="I510" s="12" t="n">
        <f aca="false">(1+H510)^(1/12)-1</f>
        <v>0.00482476178569669</v>
      </c>
      <c r="J510" s="16" t="n">
        <f aca="false">IF(C510=0,(1+Dic2024!$M$6)^(-B510),EXP(LN(INDEX(Dic2024!$N$6:$N$205,C510))+(LN(INDEX(Dic2024!$N$6:$N$205,MIN(C510+1,200)))-LN(INDEX(Dic2024!$N$6:$N$205,C510)))*(A510-6*C510)/6))</f>
        <v>0.0875575557306708</v>
      </c>
      <c r="K510" s="12" t="n">
        <f aca="false">J510^(-1/B510)-1</f>
        <v>0.0594584900000001</v>
      </c>
      <c r="L510" s="12" t="n">
        <f aca="false">(1+K510)^(1/12)-1</f>
        <v>0.00482476178569669</v>
      </c>
    </row>
    <row r="511" customFormat="false" ht="15" hidden="false" customHeight="false" outlineLevel="0" collapsed="false">
      <c r="A511" s="4" t="n">
        <v>507</v>
      </c>
      <c r="B511" s="14" t="n">
        <f aca="false">A511/12</f>
        <v>42.25</v>
      </c>
      <c r="C511" s="15" t="n">
        <f aca="false">INT(A511/6)</f>
        <v>84</v>
      </c>
      <c r="D511" s="16" t="n">
        <f aca="false">IF(C511=0,(1+Dic2024!$G$6)^(-B511),EXP(LN(INDEX(Dic2024!$H$6:$H$205,C511))+(LN(INDEX(Dic2024!$H$6:$H$205,MIN(C511+1,200)))-LN(INDEX(Dic2024!$H$6:$H$205,C511)))*(A511-6*C511)/6))</f>
        <v>0.0871371397885043</v>
      </c>
      <c r="E511" s="12" t="n">
        <f aca="false">D511^(-1/B511)-1</f>
        <v>0.0594584900000001</v>
      </c>
      <c r="F511" s="12" t="n">
        <f aca="false">(1+E511)^(1/12)-1</f>
        <v>0.00482476178569669</v>
      </c>
      <c r="G511" s="16" t="n">
        <f aca="false">IF(C511=0,(1+Dic2024!$J$6)^(-B511),EXP(LN(INDEX(Dic2024!$K$6:$K$205,C511))+(LN(INDEX(Dic2024!$K$6:$K$205,MIN(C511+1,200)))-LN(INDEX(Dic2024!$K$6:$K$205,C511)))*(A511-6*C511)/6))</f>
        <v>0.0871371397885043</v>
      </c>
      <c r="H511" s="12" t="n">
        <f aca="false">G511^(-1/B511)-1</f>
        <v>0.0594584900000001</v>
      </c>
      <c r="I511" s="12" t="n">
        <f aca="false">(1+H511)^(1/12)-1</f>
        <v>0.00482476178569669</v>
      </c>
      <c r="J511" s="16" t="n">
        <f aca="false">IF(C511=0,(1+Dic2024!$M$6)^(-B511),EXP(LN(INDEX(Dic2024!$N$6:$N$205,C511))+(LN(INDEX(Dic2024!$N$6:$N$205,MIN(C511+1,200)))-LN(INDEX(Dic2024!$N$6:$N$205,C511)))*(A511-6*C511)/6))</f>
        <v>0.0871371397885043</v>
      </c>
      <c r="K511" s="12" t="n">
        <f aca="false">J511^(-1/B511)-1</f>
        <v>0.0594584900000001</v>
      </c>
      <c r="L511" s="12" t="n">
        <f aca="false">(1+K511)^(1/12)-1</f>
        <v>0.00482476178569669</v>
      </c>
    </row>
    <row r="512" customFormat="false" ht="15" hidden="false" customHeight="false" outlineLevel="0" collapsed="false">
      <c r="A512" s="4" t="n">
        <v>508</v>
      </c>
      <c r="B512" s="14" t="n">
        <f aca="false">A512/12</f>
        <v>42.3333333333333</v>
      </c>
      <c r="C512" s="15" t="n">
        <f aca="false">INT(A512/6)</f>
        <v>84</v>
      </c>
      <c r="D512" s="16" t="n">
        <f aca="false">IF(C512=0,(1+Dic2024!$G$6)^(-B512),EXP(LN(INDEX(Dic2024!$H$6:$H$205,C512))+(LN(INDEX(Dic2024!$H$6:$H$205,MIN(C512+1,200)))-LN(INDEX(Dic2024!$H$6:$H$205,C512)))*(A512-6*C512)/6))</f>
        <v>0.0867187425135213</v>
      </c>
      <c r="E512" s="12" t="n">
        <f aca="false">D512^(-1/B512)-1</f>
        <v>0.0594584900000001</v>
      </c>
      <c r="F512" s="12" t="n">
        <f aca="false">(1+E512)^(1/12)-1</f>
        <v>0.00482476178569669</v>
      </c>
      <c r="G512" s="16" t="n">
        <f aca="false">IF(C512=0,(1+Dic2024!$J$6)^(-B512),EXP(LN(INDEX(Dic2024!$K$6:$K$205,C512))+(LN(INDEX(Dic2024!$K$6:$K$205,MIN(C512+1,200)))-LN(INDEX(Dic2024!$K$6:$K$205,C512)))*(A512-6*C512)/6))</f>
        <v>0.0867187425135213</v>
      </c>
      <c r="H512" s="12" t="n">
        <f aca="false">G512^(-1/B512)-1</f>
        <v>0.0594584900000001</v>
      </c>
      <c r="I512" s="12" t="n">
        <f aca="false">(1+H512)^(1/12)-1</f>
        <v>0.00482476178569669</v>
      </c>
      <c r="J512" s="16" t="n">
        <f aca="false">IF(C512=0,(1+Dic2024!$M$6)^(-B512),EXP(LN(INDEX(Dic2024!$N$6:$N$205,C512))+(LN(INDEX(Dic2024!$N$6:$N$205,MIN(C512+1,200)))-LN(INDEX(Dic2024!$N$6:$N$205,C512)))*(A512-6*C512)/6))</f>
        <v>0.0867187425135213</v>
      </c>
      <c r="K512" s="12" t="n">
        <f aca="false">J512^(-1/B512)-1</f>
        <v>0.0594584900000001</v>
      </c>
      <c r="L512" s="12" t="n">
        <f aca="false">(1+K512)^(1/12)-1</f>
        <v>0.00482476178569669</v>
      </c>
    </row>
    <row r="513" customFormat="false" ht="15" hidden="false" customHeight="false" outlineLevel="0" collapsed="false">
      <c r="A513" s="4" t="n">
        <v>509</v>
      </c>
      <c r="B513" s="14" t="n">
        <f aca="false">A513/12</f>
        <v>42.4166666666667</v>
      </c>
      <c r="C513" s="15" t="n">
        <f aca="false">INT(A513/6)</f>
        <v>84</v>
      </c>
      <c r="D513" s="16" t="n">
        <f aca="false">IF(C513=0,(1+Dic2024!$G$6)^(-B513),EXP(LN(INDEX(Dic2024!$H$6:$H$205,C513))+(LN(INDEX(Dic2024!$H$6:$H$205,MIN(C513+1,200)))-LN(INDEX(Dic2024!$H$6:$H$205,C513)))*(A513-6*C513)/6))</f>
        <v>0.0863023542128993</v>
      </c>
      <c r="E513" s="12" t="n">
        <f aca="false">D513^(-1/B513)-1</f>
        <v>0.0594584900000001</v>
      </c>
      <c r="F513" s="12" t="n">
        <f aca="false">(1+E513)^(1/12)-1</f>
        <v>0.00482476178569669</v>
      </c>
      <c r="G513" s="16" t="n">
        <f aca="false">IF(C513=0,(1+Dic2024!$J$6)^(-B513),EXP(LN(INDEX(Dic2024!$K$6:$K$205,C513))+(LN(INDEX(Dic2024!$K$6:$K$205,MIN(C513+1,200)))-LN(INDEX(Dic2024!$K$6:$K$205,C513)))*(A513-6*C513)/6))</f>
        <v>0.0863023542128993</v>
      </c>
      <c r="H513" s="12" t="n">
        <f aca="false">G513^(-1/B513)-1</f>
        <v>0.0594584900000001</v>
      </c>
      <c r="I513" s="12" t="n">
        <f aca="false">(1+H513)^(1/12)-1</f>
        <v>0.00482476178569669</v>
      </c>
      <c r="J513" s="16" t="n">
        <f aca="false">IF(C513=0,(1+Dic2024!$M$6)^(-B513),EXP(LN(INDEX(Dic2024!$N$6:$N$205,C513))+(LN(INDEX(Dic2024!$N$6:$N$205,MIN(C513+1,200)))-LN(INDEX(Dic2024!$N$6:$N$205,C513)))*(A513-6*C513)/6))</f>
        <v>0.0863023542128993</v>
      </c>
      <c r="K513" s="12" t="n">
        <f aca="false">J513^(-1/B513)-1</f>
        <v>0.0594584900000001</v>
      </c>
      <c r="L513" s="12" t="n">
        <f aca="false">(1+K513)^(1/12)-1</f>
        <v>0.00482476178569669</v>
      </c>
    </row>
    <row r="514" customFormat="false" ht="15" hidden="false" customHeight="false" outlineLevel="0" collapsed="false">
      <c r="A514" s="4" t="n">
        <v>510</v>
      </c>
      <c r="B514" s="14" t="n">
        <f aca="false">A514/12</f>
        <v>42.5</v>
      </c>
      <c r="C514" s="15" t="n">
        <f aca="false">INT(A514/6)</f>
        <v>85</v>
      </c>
      <c r="D514" s="16" t="n">
        <f aca="false">IF(C514=0,(1+Dic2024!$G$6)^(-B514),EXP(LN(INDEX(Dic2024!$H$6:$H$205,C514))+(LN(INDEX(Dic2024!$H$6:$H$205,MIN(C514+1,200)))-LN(INDEX(Dic2024!$H$6:$H$205,C514)))*(A514-6*C514)/6))</f>
        <v>0.0858879652403564</v>
      </c>
      <c r="E514" s="12" t="n">
        <f aca="false">D514^(-1/B514)-1</f>
        <v>0.0594584900000001</v>
      </c>
      <c r="F514" s="12" t="n">
        <f aca="false">(1+E514)^(1/12)-1</f>
        <v>0.00482476178569669</v>
      </c>
      <c r="G514" s="16" t="n">
        <f aca="false">IF(C514=0,(1+Dic2024!$J$6)^(-B514),EXP(LN(INDEX(Dic2024!$K$6:$K$205,C514))+(LN(INDEX(Dic2024!$K$6:$K$205,MIN(C514+1,200)))-LN(INDEX(Dic2024!$K$6:$K$205,C514)))*(A514-6*C514)/6))</f>
        <v>0.0858879652403564</v>
      </c>
      <c r="H514" s="12" t="n">
        <f aca="false">G514^(-1/B514)-1</f>
        <v>0.0594584900000001</v>
      </c>
      <c r="I514" s="12" t="n">
        <f aca="false">(1+H514)^(1/12)-1</f>
        <v>0.00482476178569669</v>
      </c>
      <c r="J514" s="16" t="n">
        <f aca="false">IF(C514=0,(1+Dic2024!$M$6)^(-B514),EXP(LN(INDEX(Dic2024!$N$6:$N$205,C514))+(LN(INDEX(Dic2024!$N$6:$N$205,MIN(C514+1,200)))-LN(INDEX(Dic2024!$N$6:$N$205,C514)))*(A514-6*C514)/6))</f>
        <v>0.0858879652403564</v>
      </c>
      <c r="K514" s="12" t="n">
        <f aca="false">J514^(-1/B514)-1</f>
        <v>0.0594584900000001</v>
      </c>
      <c r="L514" s="12" t="n">
        <f aca="false">(1+K514)^(1/12)-1</f>
        <v>0.00482476178569669</v>
      </c>
    </row>
    <row r="515" customFormat="false" ht="15" hidden="false" customHeight="false" outlineLevel="0" collapsed="false">
      <c r="A515" s="4" t="n">
        <v>511</v>
      </c>
      <c r="B515" s="14" t="n">
        <f aca="false">A515/12</f>
        <v>42.5833333333333</v>
      </c>
      <c r="C515" s="15" t="n">
        <f aca="false">INT(A515/6)</f>
        <v>85</v>
      </c>
      <c r="D515" s="16" t="n">
        <f aca="false">IF(C515=0,(1+Dic2024!$G$6)^(-B515),EXP(LN(INDEX(Dic2024!$H$6:$H$205,C515))+(LN(INDEX(Dic2024!$H$6:$H$205,MIN(C515+1,200)))-LN(INDEX(Dic2024!$H$6:$H$205,C515)))*(A515-6*C515)/6))</f>
        <v>0.0854755659959284</v>
      </c>
      <c r="E515" s="12" t="n">
        <f aca="false">D515^(-1/B515)-1</f>
        <v>0.0594584900000001</v>
      </c>
      <c r="F515" s="12" t="n">
        <f aca="false">(1+E515)^(1/12)-1</f>
        <v>0.00482476178569669</v>
      </c>
      <c r="G515" s="16" t="n">
        <f aca="false">IF(C515=0,(1+Dic2024!$J$6)^(-B515),EXP(LN(INDEX(Dic2024!$K$6:$K$205,C515))+(LN(INDEX(Dic2024!$K$6:$K$205,MIN(C515+1,200)))-LN(INDEX(Dic2024!$K$6:$K$205,C515)))*(A515-6*C515)/6))</f>
        <v>0.0854755659959284</v>
      </c>
      <c r="H515" s="12" t="n">
        <f aca="false">G515^(-1/B515)-1</f>
        <v>0.0594584900000001</v>
      </c>
      <c r="I515" s="12" t="n">
        <f aca="false">(1+H515)^(1/12)-1</f>
        <v>0.00482476178569669</v>
      </c>
      <c r="J515" s="16" t="n">
        <f aca="false">IF(C515=0,(1+Dic2024!$M$6)^(-B515),EXP(LN(INDEX(Dic2024!$N$6:$N$205,C515))+(LN(INDEX(Dic2024!$N$6:$N$205,MIN(C515+1,200)))-LN(INDEX(Dic2024!$N$6:$N$205,C515)))*(A515-6*C515)/6))</f>
        <v>0.0854755659959284</v>
      </c>
      <c r="K515" s="12" t="n">
        <f aca="false">J515^(-1/B515)-1</f>
        <v>0.0594584900000001</v>
      </c>
      <c r="L515" s="12" t="n">
        <f aca="false">(1+K515)^(1/12)-1</f>
        <v>0.00482476178569669</v>
      </c>
    </row>
    <row r="516" customFormat="false" ht="15" hidden="false" customHeight="false" outlineLevel="0" collapsed="false">
      <c r="A516" s="4" t="n">
        <v>512</v>
      </c>
      <c r="B516" s="14" t="n">
        <f aca="false">A516/12</f>
        <v>42.6666666666667</v>
      </c>
      <c r="C516" s="15" t="n">
        <f aca="false">INT(A516/6)</f>
        <v>85</v>
      </c>
      <c r="D516" s="16" t="n">
        <f aca="false">IF(C516=0,(1+Dic2024!$G$6)^(-B516),EXP(LN(INDEX(Dic2024!$H$6:$H$205,C516))+(LN(INDEX(Dic2024!$H$6:$H$205,MIN(C516+1,200)))-LN(INDEX(Dic2024!$H$6:$H$205,C516)))*(A516-6*C516)/6))</f>
        <v>0.0850651469257464</v>
      </c>
      <c r="E516" s="12" t="n">
        <f aca="false">D516^(-1/B516)-1</f>
        <v>0.0594584900000001</v>
      </c>
      <c r="F516" s="12" t="n">
        <f aca="false">(1+E516)^(1/12)-1</f>
        <v>0.00482476178569669</v>
      </c>
      <c r="G516" s="16" t="n">
        <f aca="false">IF(C516=0,(1+Dic2024!$J$6)^(-B516),EXP(LN(INDEX(Dic2024!$K$6:$K$205,C516))+(LN(INDEX(Dic2024!$K$6:$K$205,MIN(C516+1,200)))-LN(INDEX(Dic2024!$K$6:$K$205,C516)))*(A516-6*C516)/6))</f>
        <v>0.0850651469257464</v>
      </c>
      <c r="H516" s="12" t="n">
        <f aca="false">G516^(-1/B516)-1</f>
        <v>0.0594584900000001</v>
      </c>
      <c r="I516" s="12" t="n">
        <f aca="false">(1+H516)^(1/12)-1</f>
        <v>0.00482476178569669</v>
      </c>
      <c r="J516" s="16" t="n">
        <f aca="false">IF(C516=0,(1+Dic2024!$M$6)^(-B516),EXP(LN(INDEX(Dic2024!$N$6:$N$205,C516))+(LN(INDEX(Dic2024!$N$6:$N$205,MIN(C516+1,200)))-LN(INDEX(Dic2024!$N$6:$N$205,C516)))*(A516-6*C516)/6))</f>
        <v>0.0850651469257464</v>
      </c>
      <c r="K516" s="12" t="n">
        <f aca="false">J516^(-1/B516)-1</f>
        <v>0.0594584900000001</v>
      </c>
      <c r="L516" s="12" t="n">
        <f aca="false">(1+K516)^(1/12)-1</f>
        <v>0.00482476178569669</v>
      </c>
    </row>
    <row r="517" customFormat="false" ht="15" hidden="false" customHeight="false" outlineLevel="0" collapsed="false">
      <c r="A517" s="4" t="n">
        <v>513</v>
      </c>
      <c r="B517" s="14" t="n">
        <f aca="false">A517/12</f>
        <v>42.75</v>
      </c>
      <c r="C517" s="15" t="n">
        <f aca="false">INT(A517/6)</f>
        <v>85</v>
      </c>
      <c r="D517" s="16" t="n">
        <f aca="false">IF(C517=0,(1+Dic2024!$G$6)^(-B517),EXP(LN(INDEX(Dic2024!$H$6:$H$205,C517))+(LN(INDEX(Dic2024!$H$6:$H$205,MIN(C517+1,200)))-LN(INDEX(Dic2024!$H$6:$H$205,C517)))*(A517-6*C517)/6))</f>
        <v>0.0846566985218151</v>
      </c>
      <c r="E517" s="12" t="n">
        <f aca="false">D517^(-1/B517)-1</f>
        <v>0.0594584900000001</v>
      </c>
      <c r="F517" s="12" t="n">
        <f aca="false">(1+E517)^(1/12)-1</f>
        <v>0.00482476178569669</v>
      </c>
      <c r="G517" s="16" t="n">
        <f aca="false">IF(C517=0,(1+Dic2024!$J$6)^(-B517),EXP(LN(INDEX(Dic2024!$K$6:$K$205,C517))+(LN(INDEX(Dic2024!$K$6:$K$205,MIN(C517+1,200)))-LN(INDEX(Dic2024!$K$6:$K$205,C517)))*(A517-6*C517)/6))</f>
        <v>0.0846566985218151</v>
      </c>
      <c r="H517" s="12" t="n">
        <f aca="false">G517^(-1/B517)-1</f>
        <v>0.0594584900000001</v>
      </c>
      <c r="I517" s="12" t="n">
        <f aca="false">(1+H517)^(1/12)-1</f>
        <v>0.00482476178569669</v>
      </c>
      <c r="J517" s="16" t="n">
        <f aca="false">IF(C517=0,(1+Dic2024!$M$6)^(-B517),EXP(LN(INDEX(Dic2024!$N$6:$N$205,C517))+(LN(INDEX(Dic2024!$N$6:$N$205,MIN(C517+1,200)))-LN(INDEX(Dic2024!$N$6:$N$205,C517)))*(A517-6*C517)/6))</f>
        <v>0.0846566985218151</v>
      </c>
      <c r="K517" s="12" t="n">
        <f aca="false">J517^(-1/B517)-1</f>
        <v>0.0594584900000001</v>
      </c>
      <c r="L517" s="12" t="n">
        <f aca="false">(1+K517)^(1/12)-1</f>
        <v>0.00482476178569669</v>
      </c>
    </row>
    <row r="518" customFormat="false" ht="15" hidden="false" customHeight="false" outlineLevel="0" collapsed="false">
      <c r="A518" s="4" t="n">
        <v>514</v>
      </c>
      <c r="B518" s="14" t="n">
        <f aca="false">A518/12</f>
        <v>42.8333333333333</v>
      </c>
      <c r="C518" s="15" t="n">
        <f aca="false">INT(A518/6)</f>
        <v>85</v>
      </c>
      <c r="D518" s="16" t="n">
        <f aca="false">IF(C518=0,(1+Dic2024!$G$6)^(-B518),EXP(LN(INDEX(Dic2024!$H$6:$H$205,C518))+(LN(INDEX(Dic2024!$H$6:$H$205,MIN(C518+1,200)))-LN(INDEX(Dic2024!$H$6:$H$205,C518)))*(A518-6*C518)/6))</f>
        <v>0.0842502113217928</v>
      </c>
      <c r="E518" s="12" t="n">
        <f aca="false">D518^(-1/B518)-1</f>
        <v>0.0594584900000001</v>
      </c>
      <c r="F518" s="12" t="n">
        <f aca="false">(1+E518)^(1/12)-1</f>
        <v>0.00482476178569669</v>
      </c>
      <c r="G518" s="16" t="n">
        <f aca="false">IF(C518=0,(1+Dic2024!$J$6)^(-B518),EXP(LN(INDEX(Dic2024!$K$6:$K$205,C518))+(LN(INDEX(Dic2024!$K$6:$K$205,MIN(C518+1,200)))-LN(INDEX(Dic2024!$K$6:$K$205,C518)))*(A518-6*C518)/6))</f>
        <v>0.0842502113217928</v>
      </c>
      <c r="H518" s="12" t="n">
        <f aca="false">G518^(-1/B518)-1</f>
        <v>0.0594584900000001</v>
      </c>
      <c r="I518" s="12" t="n">
        <f aca="false">(1+H518)^(1/12)-1</f>
        <v>0.00482476178569669</v>
      </c>
      <c r="J518" s="16" t="n">
        <f aca="false">IF(C518=0,(1+Dic2024!$M$6)^(-B518),EXP(LN(INDEX(Dic2024!$N$6:$N$205,C518))+(LN(INDEX(Dic2024!$N$6:$N$205,MIN(C518+1,200)))-LN(INDEX(Dic2024!$N$6:$N$205,C518)))*(A518-6*C518)/6))</f>
        <v>0.0842502113217928</v>
      </c>
      <c r="K518" s="12" t="n">
        <f aca="false">J518^(-1/B518)-1</f>
        <v>0.0594584900000001</v>
      </c>
      <c r="L518" s="12" t="n">
        <f aca="false">(1+K518)^(1/12)-1</f>
        <v>0.00482476178569669</v>
      </c>
    </row>
    <row r="519" customFormat="false" ht="15" hidden="false" customHeight="false" outlineLevel="0" collapsed="false">
      <c r="A519" s="4" t="n">
        <v>515</v>
      </c>
      <c r="B519" s="14" t="n">
        <f aca="false">A519/12</f>
        <v>42.9166666666667</v>
      </c>
      <c r="C519" s="15" t="n">
        <f aca="false">INT(A519/6)</f>
        <v>85</v>
      </c>
      <c r="D519" s="16" t="n">
        <f aca="false">IF(C519=0,(1+Dic2024!$G$6)^(-B519),EXP(LN(INDEX(Dic2024!$H$6:$H$205,C519))+(LN(INDEX(Dic2024!$H$6:$H$205,MIN(C519+1,200)))-LN(INDEX(Dic2024!$H$6:$H$205,C519)))*(A519-6*C519)/6))</f>
        <v>0.0838456759087723</v>
      </c>
      <c r="E519" s="12" t="n">
        <f aca="false">D519^(-1/B519)-1</f>
        <v>0.0594584900000001</v>
      </c>
      <c r="F519" s="12" t="n">
        <f aca="false">(1+E519)^(1/12)-1</f>
        <v>0.00482476178569669</v>
      </c>
      <c r="G519" s="16" t="n">
        <f aca="false">IF(C519=0,(1+Dic2024!$J$6)^(-B519),EXP(LN(INDEX(Dic2024!$K$6:$K$205,C519))+(LN(INDEX(Dic2024!$K$6:$K$205,MIN(C519+1,200)))-LN(INDEX(Dic2024!$K$6:$K$205,C519)))*(A519-6*C519)/6))</f>
        <v>0.0838456759087723</v>
      </c>
      <c r="H519" s="12" t="n">
        <f aca="false">G519^(-1/B519)-1</f>
        <v>0.0594584900000001</v>
      </c>
      <c r="I519" s="12" t="n">
        <f aca="false">(1+H519)^(1/12)-1</f>
        <v>0.00482476178569669</v>
      </c>
      <c r="J519" s="16" t="n">
        <f aca="false">IF(C519=0,(1+Dic2024!$M$6)^(-B519),EXP(LN(INDEX(Dic2024!$N$6:$N$205,C519))+(LN(INDEX(Dic2024!$N$6:$N$205,MIN(C519+1,200)))-LN(INDEX(Dic2024!$N$6:$N$205,C519)))*(A519-6*C519)/6))</f>
        <v>0.0838456759087723</v>
      </c>
      <c r="K519" s="12" t="n">
        <f aca="false">J519^(-1/B519)-1</f>
        <v>0.0594584900000001</v>
      </c>
      <c r="L519" s="12" t="n">
        <f aca="false">(1+K519)^(1/12)-1</f>
        <v>0.00482476178569669</v>
      </c>
    </row>
    <row r="520" customFormat="false" ht="15" hidden="false" customHeight="false" outlineLevel="0" collapsed="false">
      <c r="A520" s="4" t="n">
        <v>516</v>
      </c>
      <c r="B520" s="14" t="n">
        <f aca="false">A520/12</f>
        <v>43</v>
      </c>
      <c r="C520" s="15" t="n">
        <f aca="false">INT(A520/6)</f>
        <v>86</v>
      </c>
      <c r="D520" s="16" t="n">
        <f aca="false">IF(C520=0,(1+Dic2024!$G$6)^(-B520),EXP(LN(INDEX(Dic2024!$H$6:$H$205,C520))+(LN(INDEX(Dic2024!$H$6:$H$205,MIN(C520+1,200)))-LN(INDEX(Dic2024!$H$6:$H$205,C520)))*(A520-6*C520)/6))</f>
        <v>0.0834430829110622</v>
      </c>
      <c r="E520" s="12" t="n">
        <f aca="false">D520^(-1/B520)-1</f>
        <v>0.0594584900000001</v>
      </c>
      <c r="F520" s="12" t="n">
        <f aca="false">(1+E520)^(1/12)-1</f>
        <v>0.00482476178569669</v>
      </c>
      <c r="G520" s="16" t="n">
        <f aca="false">IF(C520=0,(1+Dic2024!$J$6)^(-B520),EXP(LN(INDEX(Dic2024!$K$6:$K$205,C520))+(LN(INDEX(Dic2024!$K$6:$K$205,MIN(C520+1,200)))-LN(INDEX(Dic2024!$K$6:$K$205,C520)))*(A520-6*C520)/6))</f>
        <v>0.0834430829110622</v>
      </c>
      <c r="H520" s="12" t="n">
        <f aca="false">G520^(-1/B520)-1</f>
        <v>0.0594584900000001</v>
      </c>
      <c r="I520" s="12" t="n">
        <f aca="false">(1+H520)^(1/12)-1</f>
        <v>0.00482476178569669</v>
      </c>
      <c r="J520" s="16" t="n">
        <f aca="false">IF(C520=0,(1+Dic2024!$M$6)^(-B520),EXP(LN(INDEX(Dic2024!$N$6:$N$205,C520))+(LN(INDEX(Dic2024!$N$6:$N$205,MIN(C520+1,200)))-LN(INDEX(Dic2024!$N$6:$N$205,C520)))*(A520-6*C520)/6))</f>
        <v>0.0834430829110622</v>
      </c>
      <c r="K520" s="12" t="n">
        <f aca="false">J520^(-1/B520)-1</f>
        <v>0.0594584900000001</v>
      </c>
      <c r="L520" s="12" t="n">
        <f aca="false">(1+K520)^(1/12)-1</f>
        <v>0.00482476178569669</v>
      </c>
    </row>
    <row r="521" customFormat="false" ht="15" hidden="false" customHeight="false" outlineLevel="0" collapsed="false">
      <c r="A521" s="4" t="n">
        <v>517</v>
      </c>
      <c r="B521" s="14" t="n">
        <f aca="false">A521/12</f>
        <v>43.0833333333333</v>
      </c>
      <c r="C521" s="15" t="n">
        <f aca="false">INT(A521/6)</f>
        <v>86</v>
      </c>
      <c r="D521" s="16" t="n">
        <f aca="false">IF(C521=0,(1+Dic2024!$G$6)^(-B521),EXP(LN(INDEX(Dic2024!$H$6:$H$205,C521))+(LN(INDEX(Dic2024!$H$6:$H$205,MIN(C521+1,200)))-LN(INDEX(Dic2024!$H$6:$H$205,C521)))*(A521-6*C521)/6))</f>
        <v>0.0830424230019706</v>
      </c>
      <c r="E521" s="12" t="n">
        <f aca="false">D521^(-1/B521)-1</f>
        <v>0.0594584900000001</v>
      </c>
      <c r="F521" s="12" t="n">
        <f aca="false">(1+E521)^(1/12)-1</f>
        <v>0.00482476178569669</v>
      </c>
      <c r="G521" s="16" t="n">
        <f aca="false">IF(C521=0,(1+Dic2024!$J$6)^(-B521),EXP(LN(INDEX(Dic2024!$K$6:$K$205,C521))+(LN(INDEX(Dic2024!$K$6:$K$205,MIN(C521+1,200)))-LN(INDEX(Dic2024!$K$6:$K$205,C521)))*(A521-6*C521)/6))</f>
        <v>0.0830424230019706</v>
      </c>
      <c r="H521" s="12" t="n">
        <f aca="false">G521^(-1/B521)-1</f>
        <v>0.0594584900000001</v>
      </c>
      <c r="I521" s="12" t="n">
        <f aca="false">(1+H521)^(1/12)-1</f>
        <v>0.00482476178569669</v>
      </c>
      <c r="J521" s="16" t="n">
        <f aca="false">IF(C521=0,(1+Dic2024!$M$6)^(-B521),EXP(LN(INDEX(Dic2024!$N$6:$N$205,C521))+(LN(INDEX(Dic2024!$N$6:$N$205,MIN(C521+1,200)))-LN(INDEX(Dic2024!$N$6:$N$205,C521)))*(A521-6*C521)/6))</f>
        <v>0.0830424230019706</v>
      </c>
      <c r="K521" s="12" t="n">
        <f aca="false">J521^(-1/B521)-1</f>
        <v>0.0594584900000001</v>
      </c>
      <c r="L521" s="12" t="n">
        <f aca="false">(1+K521)^(1/12)-1</f>
        <v>0.00482476178569669</v>
      </c>
    </row>
    <row r="522" customFormat="false" ht="15" hidden="false" customHeight="false" outlineLevel="0" collapsed="false">
      <c r="A522" s="4" t="n">
        <v>518</v>
      </c>
      <c r="B522" s="14" t="n">
        <f aca="false">A522/12</f>
        <v>43.1666666666667</v>
      </c>
      <c r="C522" s="15" t="n">
        <f aca="false">INT(A522/6)</f>
        <v>86</v>
      </c>
      <c r="D522" s="16" t="n">
        <f aca="false">IF(C522=0,(1+Dic2024!$G$6)^(-B522),EXP(LN(INDEX(Dic2024!$H$6:$H$205,C522))+(LN(INDEX(Dic2024!$H$6:$H$205,MIN(C522+1,200)))-LN(INDEX(Dic2024!$H$6:$H$205,C522)))*(A522-6*C522)/6))</f>
        <v>0.0826436868995884</v>
      </c>
      <c r="E522" s="12" t="n">
        <f aca="false">D522^(-1/B522)-1</f>
        <v>0.0594584900000001</v>
      </c>
      <c r="F522" s="12" t="n">
        <f aca="false">(1+E522)^(1/12)-1</f>
        <v>0.00482476178569669</v>
      </c>
      <c r="G522" s="16" t="n">
        <f aca="false">IF(C522=0,(1+Dic2024!$J$6)^(-B522),EXP(LN(INDEX(Dic2024!$K$6:$K$205,C522))+(LN(INDEX(Dic2024!$K$6:$K$205,MIN(C522+1,200)))-LN(INDEX(Dic2024!$K$6:$K$205,C522)))*(A522-6*C522)/6))</f>
        <v>0.0826436868995884</v>
      </c>
      <c r="H522" s="12" t="n">
        <f aca="false">G522^(-1/B522)-1</f>
        <v>0.0594584900000001</v>
      </c>
      <c r="I522" s="12" t="n">
        <f aca="false">(1+H522)^(1/12)-1</f>
        <v>0.00482476178569669</v>
      </c>
      <c r="J522" s="16" t="n">
        <f aca="false">IF(C522=0,(1+Dic2024!$M$6)^(-B522),EXP(LN(INDEX(Dic2024!$N$6:$N$205,C522))+(LN(INDEX(Dic2024!$N$6:$N$205,MIN(C522+1,200)))-LN(INDEX(Dic2024!$N$6:$N$205,C522)))*(A522-6*C522)/6))</f>
        <v>0.0826436868995884</v>
      </c>
      <c r="K522" s="12" t="n">
        <f aca="false">J522^(-1/B522)-1</f>
        <v>0.0594584900000001</v>
      </c>
      <c r="L522" s="12" t="n">
        <f aca="false">(1+K522)^(1/12)-1</f>
        <v>0.00482476178569669</v>
      </c>
    </row>
    <row r="523" customFormat="false" ht="15" hidden="false" customHeight="false" outlineLevel="0" collapsed="false">
      <c r="A523" s="4" t="n">
        <v>519</v>
      </c>
      <c r="B523" s="14" t="n">
        <f aca="false">A523/12</f>
        <v>43.25</v>
      </c>
      <c r="C523" s="15" t="n">
        <f aca="false">INT(A523/6)</f>
        <v>86</v>
      </c>
      <c r="D523" s="16" t="n">
        <f aca="false">IF(C523=0,(1+Dic2024!$G$6)^(-B523),EXP(LN(INDEX(Dic2024!$H$6:$H$205,C523))+(LN(INDEX(Dic2024!$H$6:$H$205,MIN(C523+1,200)))-LN(INDEX(Dic2024!$H$6:$H$205,C523)))*(A523-6*C523)/6))</f>
        <v>0.0822468653665744</v>
      </c>
      <c r="E523" s="12" t="n">
        <f aca="false">D523^(-1/B523)-1</f>
        <v>0.0594584900000001</v>
      </c>
      <c r="F523" s="12" t="n">
        <f aca="false">(1+E523)^(1/12)-1</f>
        <v>0.00482476178569669</v>
      </c>
      <c r="G523" s="16" t="n">
        <f aca="false">IF(C523=0,(1+Dic2024!$J$6)^(-B523),EXP(LN(INDEX(Dic2024!$K$6:$K$205,C523))+(LN(INDEX(Dic2024!$K$6:$K$205,MIN(C523+1,200)))-LN(INDEX(Dic2024!$K$6:$K$205,C523)))*(A523-6*C523)/6))</f>
        <v>0.0822468653665744</v>
      </c>
      <c r="H523" s="12" t="n">
        <f aca="false">G523^(-1/B523)-1</f>
        <v>0.0594584900000001</v>
      </c>
      <c r="I523" s="12" t="n">
        <f aca="false">(1+H523)^(1/12)-1</f>
        <v>0.00482476178569669</v>
      </c>
      <c r="J523" s="16" t="n">
        <f aca="false">IF(C523=0,(1+Dic2024!$M$6)^(-B523),EXP(LN(INDEX(Dic2024!$N$6:$N$205,C523))+(LN(INDEX(Dic2024!$N$6:$N$205,MIN(C523+1,200)))-LN(INDEX(Dic2024!$N$6:$N$205,C523)))*(A523-6*C523)/6))</f>
        <v>0.0822468653665744</v>
      </c>
      <c r="K523" s="12" t="n">
        <f aca="false">J523^(-1/B523)-1</f>
        <v>0.0594584900000001</v>
      </c>
      <c r="L523" s="12" t="n">
        <f aca="false">(1+K523)^(1/12)-1</f>
        <v>0.00482476178569669</v>
      </c>
    </row>
    <row r="524" customFormat="false" ht="15" hidden="false" customHeight="false" outlineLevel="0" collapsed="false">
      <c r="A524" s="4" t="n">
        <v>520</v>
      </c>
      <c r="B524" s="14" t="n">
        <f aca="false">A524/12</f>
        <v>43.3333333333333</v>
      </c>
      <c r="C524" s="15" t="n">
        <f aca="false">INT(A524/6)</f>
        <v>86</v>
      </c>
      <c r="D524" s="16" t="n">
        <f aca="false">IF(C524=0,(1+Dic2024!$G$6)^(-B524),EXP(LN(INDEX(Dic2024!$H$6:$H$205,C524))+(LN(INDEX(Dic2024!$H$6:$H$205,MIN(C524+1,200)))-LN(INDEX(Dic2024!$H$6:$H$205,C524)))*(A524-6*C524)/6))</f>
        <v>0.0818519492099415</v>
      </c>
      <c r="E524" s="12" t="n">
        <f aca="false">D524^(-1/B524)-1</f>
        <v>0.0594584900000001</v>
      </c>
      <c r="F524" s="12" t="n">
        <f aca="false">(1+E524)^(1/12)-1</f>
        <v>0.00482476178569669</v>
      </c>
      <c r="G524" s="16" t="n">
        <f aca="false">IF(C524=0,(1+Dic2024!$J$6)^(-B524),EXP(LN(INDEX(Dic2024!$K$6:$K$205,C524))+(LN(INDEX(Dic2024!$K$6:$K$205,MIN(C524+1,200)))-LN(INDEX(Dic2024!$K$6:$K$205,C524)))*(A524-6*C524)/6))</f>
        <v>0.0818519492099415</v>
      </c>
      <c r="H524" s="12" t="n">
        <f aca="false">G524^(-1/B524)-1</f>
        <v>0.0594584900000001</v>
      </c>
      <c r="I524" s="12" t="n">
        <f aca="false">(1+H524)^(1/12)-1</f>
        <v>0.00482476178569669</v>
      </c>
      <c r="J524" s="16" t="n">
        <f aca="false">IF(C524=0,(1+Dic2024!$M$6)^(-B524),EXP(LN(INDEX(Dic2024!$N$6:$N$205,C524))+(LN(INDEX(Dic2024!$N$6:$N$205,MIN(C524+1,200)))-LN(INDEX(Dic2024!$N$6:$N$205,C524)))*(A524-6*C524)/6))</f>
        <v>0.0818519492099415</v>
      </c>
      <c r="K524" s="12" t="n">
        <f aca="false">J524^(-1/B524)-1</f>
        <v>0.0594584900000001</v>
      </c>
      <c r="L524" s="12" t="n">
        <f aca="false">(1+K524)^(1/12)-1</f>
        <v>0.00482476178569669</v>
      </c>
    </row>
    <row r="525" customFormat="false" ht="15" hidden="false" customHeight="false" outlineLevel="0" collapsed="false">
      <c r="A525" s="4" t="n">
        <v>521</v>
      </c>
      <c r="B525" s="14" t="n">
        <f aca="false">A525/12</f>
        <v>43.4166666666667</v>
      </c>
      <c r="C525" s="15" t="n">
        <f aca="false">INT(A525/6)</f>
        <v>86</v>
      </c>
      <c r="D525" s="16" t="n">
        <f aca="false">IF(C525=0,(1+Dic2024!$G$6)^(-B525),EXP(LN(INDEX(Dic2024!$H$6:$H$205,C525))+(LN(INDEX(Dic2024!$H$6:$H$205,MIN(C525+1,200)))-LN(INDEX(Dic2024!$H$6:$H$205,C525)))*(A525-6*C525)/6))</f>
        <v>0.0814589292808435</v>
      </c>
      <c r="E525" s="12" t="n">
        <f aca="false">D525^(-1/B525)-1</f>
        <v>0.0594584900000001</v>
      </c>
      <c r="F525" s="12" t="n">
        <f aca="false">(1+E525)^(1/12)-1</f>
        <v>0.00482476178569669</v>
      </c>
      <c r="G525" s="16" t="n">
        <f aca="false">IF(C525=0,(1+Dic2024!$J$6)^(-B525),EXP(LN(INDEX(Dic2024!$K$6:$K$205,C525))+(LN(INDEX(Dic2024!$K$6:$K$205,MIN(C525+1,200)))-LN(INDEX(Dic2024!$K$6:$K$205,C525)))*(A525-6*C525)/6))</f>
        <v>0.0814589292808435</v>
      </c>
      <c r="H525" s="12" t="n">
        <f aca="false">G525^(-1/B525)-1</f>
        <v>0.0594584900000001</v>
      </c>
      <c r="I525" s="12" t="n">
        <f aca="false">(1+H525)^(1/12)-1</f>
        <v>0.00482476178569669</v>
      </c>
      <c r="J525" s="16" t="n">
        <f aca="false">IF(C525=0,(1+Dic2024!$M$6)^(-B525),EXP(LN(INDEX(Dic2024!$N$6:$N$205,C525))+(LN(INDEX(Dic2024!$N$6:$N$205,MIN(C525+1,200)))-LN(INDEX(Dic2024!$N$6:$N$205,C525)))*(A525-6*C525)/6))</f>
        <v>0.0814589292808435</v>
      </c>
      <c r="K525" s="12" t="n">
        <f aca="false">J525^(-1/B525)-1</f>
        <v>0.0594584900000001</v>
      </c>
      <c r="L525" s="12" t="n">
        <f aca="false">(1+K525)^(1/12)-1</f>
        <v>0.00482476178569669</v>
      </c>
    </row>
    <row r="526" customFormat="false" ht="15" hidden="false" customHeight="false" outlineLevel="0" collapsed="false">
      <c r="A526" s="4" t="n">
        <v>522</v>
      </c>
      <c r="B526" s="14" t="n">
        <f aca="false">A526/12</f>
        <v>43.5</v>
      </c>
      <c r="C526" s="15" t="n">
        <f aca="false">INT(A526/6)</f>
        <v>87</v>
      </c>
      <c r="D526" s="16" t="n">
        <f aca="false">IF(C526=0,(1+Dic2024!$G$6)^(-B526),EXP(LN(INDEX(Dic2024!$H$6:$H$205,C526))+(LN(INDEX(Dic2024!$H$6:$H$205,MIN(C526+1,200)))-LN(INDEX(Dic2024!$H$6:$H$205,C526)))*(A526-6*C526)/6))</f>
        <v>0.0810677964743634</v>
      </c>
      <c r="E526" s="12" t="n">
        <f aca="false">D526^(-1/B526)-1</f>
        <v>0.0594584900000001</v>
      </c>
      <c r="F526" s="12" t="n">
        <f aca="false">(1+E526)^(1/12)-1</f>
        <v>0.00482476178569669</v>
      </c>
      <c r="G526" s="16" t="n">
        <f aca="false">IF(C526=0,(1+Dic2024!$J$6)^(-B526),EXP(LN(INDEX(Dic2024!$K$6:$K$205,C526))+(LN(INDEX(Dic2024!$K$6:$K$205,MIN(C526+1,200)))-LN(INDEX(Dic2024!$K$6:$K$205,C526)))*(A526-6*C526)/6))</f>
        <v>0.0810677964743634</v>
      </c>
      <c r="H526" s="12" t="n">
        <f aca="false">G526^(-1/B526)-1</f>
        <v>0.0594584900000001</v>
      </c>
      <c r="I526" s="12" t="n">
        <f aca="false">(1+H526)^(1/12)-1</f>
        <v>0.00482476178569669</v>
      </c>
      <c r="J526" s="16" t="n">
        <f aca="false">IF(C526=0,(1+Dic2024!$M$6)^(-B526),EXP(LN(INDEX(Dic2024!$N$6:$N$205,C526))+(LN(INDEX(Dic2024!$N$6:$N$205,MIN(C526+1,200)))-LN(INDEX(Dic2024!$N$6:$N$205,C526)))*(A526-6*C526)/6))</f>
        <v>0.0810677964743634</v>
      </c>
      <c r="K526" s="12" t="n">
        <f aca="false">J526^(-1/B526)-1</f>
        <v>0.0594584900000001</v>
      </c>
      <c r="L526" s="12" t="n">
        <f aca="false">(1+K526)^(1/12)-1</f>
        <v>0.00482476178569669</v>
      </c>
    </row>
    <row r="527" customFormat="false" ht="15" hidden="false" customHeight="false" outlineLevel="0" collapsed="false">
      <c r="A527" s="4" t="n">
        <v>523</v>
      </c>
      <c r="B527" s="14" t="n">
        <f aca="false">A527/12</f>
        <v>43.5833333333333</v>
      </c>
      <c r="C527" s="15" t="n">
        <f aca="false">INT(A527/6)</f>
        <v>87</v>
      </c>
      <c r="D527" s="16" t="n">
        <f aca="false">IF(C527=0,(1+Dic2024!$G$6)^(-B527),EXP(LN(INDEX(Dic2024!$H$6:$H$205,C527))+(LN(INDEX(Dic2024!$H$6:$H$205,MIN(C527+1,200)))-LN(INDEX(Dic2024!$H$6:$H$205,C527)))*(A527-6*C527)/6))</f>
        <v>0.0806210834984937</v>
      </c>
      <c r="E527" s="12" t="n">
        <f aca="false">D527^(-1/B527)-1</f>
        <v>0.0594758087266509</v>
      </c>
      <c r="F527" s="12" t="n">
        <f aca="false">(1+E527)^(1/12)-1</f>
        <v>0.00482613057890302</v>
      </c>
      <c r="G527" s="16" t="n">
        <f aca="false">IF(C527=0,(1+Dic2024!$J$6)^(-B527),EXP(LN(INDEX(Dic2024!$K$6:$K$205,C527))+(LN(INDEX(Dic2024!$K$6:$K$205,MIN(C527+1,200)))-LN(INDEX(Dic2024!$K$6:$K$205,C527)))*(A527-6*C527)/6))</f>
        <v>0.0806210834984937</v>
      </c>
      <c r="H527" s="12" t="n">
        <f aca="false">G527^(-1/B527)-1</f>
        <v>0.0594758087266509</v>
      </c>
      <c r="I527" s="12" t="n">
        <f aca="false">(1+H527)^(1/12)-1</f>
        <v>0.00482613057890302</v>
      </c>
      <c r="J527" s="16" t="n">
        <f aca="false">IF(C527=0,(1+Dic2024!$M$6)^(-B527),EXP(LN(INDEX(Dic2024!$N$6:$N$205,C527))+(LN(INDEX(Dic2024!$N$6:$N$205,MIN(C527+1,200)))-LN(INDEX(Dic2024!$N$6:$N$205,C527)))*(A527-6*C527)/6))</f>
        <v>0.0806210834984937</v>
      </c>
      <c r="K527" s="12" t="n">
        <f aca="false">J527^(-1/B527)-1</f>
        <v>0.0594758087266509</v>
      </c>
      <c r="L527" s="12" t="n">
        <f aca="false">(1+K527)^(1/12)-1</f>
        <v>0.00482613057890302</v>
      </c>
    </row>
    <row r="528" customFormat="false" ht="15" hidden="false" customHeight="false" outlineLevel="0" collapsed="false">
      <c r="A528" s="4" t="n">
        <v>524</v>
      </c>
      <c r="B528" s="14" t="n">
        <f aca="false">A528/12</f>
        <v>43.6666666666667</v>
      </c>
      <c r="C528" s="15" t="n">
        <f aca="false">INT(A528/6)</f>
        <v>87</v>
      </c>
      <c r="D528" s="16" t="n">
        <f aca="false">IF(C528=0,(1+Dic2024!$G$6)^(-B528),EXP(LN(INDEX(Dic2024!$H$6:$H$205,C528))+(LN(INDEX(Dic2024!$H$6:$H$205,MIN(C528+1,200)))-LN(INDEX(Dic2024!$H$6:$H$205,C528)))*(A528-6*C528)/6))</f>
        <v>0.0801768320732211</v>
      </c>
      <c r="E528" s="12" t="n">
        <f aca="false">D528^(-1/B528)-1</f>
        <v>0.059493061632778</v>
      </c>
      <c r="F528" s="12" t="n">
        <f aca="false">(1+E528)^(1/12)-1</f>
        <v>0.00482749414956141</v>
      </c>
      <c r="G528" s="16" t="n">
        <f aca="false">IF(C528=0,(1+Dic2024!$J$6)^(-B528),EXP(LN(INDEX(Dic2024!$K$6:$K$205,C528))+(LN(INDEX(Dic2024!$K$6:$K$205,MIN(C528+1,200)))-LN(INDEX(Dic2024!$K$6:$K$205,C528)))*(A528-6*C528)/6))</f>
        <v>0.0801768320732211</v>
      </c>
      <c r="H528" s="12" t="n">
        <f aca="false">G528^(-1/B528)-1</f>
        <v>0.059493061632778</v>
      </c>
      <c r="I528" s="12" t="n">
        <f aca="false">(1+H528)^(1/12)-1</f>
        <v>0.00482749414956141</v>
      </c>
      <c r="J528" s="16" t="n">
        <f aca="false">IF(C528=0,(1+Dic2024!$M$6)^(-B528),EXP(LN(INDEX(Dic2024!$N$6:$N$205,C528))+(LN(INDEX(Dic2024!$N$6:$N$205,MIN(C528+1,200)))-LN(INDEX(Dic2024!$N$6:$N$205,C528)))*(A528-6*C528)/6))</f>
        <v>0.0801768320732211</v>
      </c>
      <c r="K528" s="12" t="n">
        <f aca="false">J528^(-1/B528)-1</f>
        <v>0.059493061632778</v>
      </c>
      <c r="L528" s="12" t="n">
        <f aca="false">(1+K528)^(1/12)-1</f>
        <v>0.00482749414956141</v>
      </c>
    </row>
    <row r="529" customFormat="false" ht="15" hidden="false" customHeight="false" outlineLevel="0" collapsed="false">
      <c r="A529" s="4" t="n">
        <v>525</v>
      </c>
      <c r="B529" s="14" t="n">
        <f aca="false">A529/12</f>
        <v>43.75</v>
      </c>
      <c r="C529" s="15" t="n">
        <f aca="false">INT(A529/6)</f>
        <v>87</v>
      </c>
      <c r="D529" s="16" t="n">
        <f aca="false">IF(C529=0,(1+Dic2024!$G$6)^(-B529),EXP(LN(INDEX(Dic2024!$H$6:$H$205,C529))+(LN(INDEX(Dic2024!$H$6:$H$205,MIN(C529+1,200)))-LN(INDEX(Dic2024!$H$6:$H$205,C529)))*(A529-6*C529)/6))</f>
        <v>0.0797350286345085</v>
      </c>
      <c r="E529" s="12" t="n">
        <f aca="false">D529^(-1/B529)-1</f>
        <v>0.059510249092898</v>
      </c>
      <c r="F529" s="12" t="n">
        <f aca="false">(1+E529)^(1/12)-1</f>
        <v>0.00482885252750509</v>
      </c>
      <c r="G529" s="16" t="n">
        <f aca="false">IF(C529=0,(1+Dic2024!$J$6)^(-B529),EXP(LN(INDEX(Dic2024!$K$6:$K$205,C529))+(LN(INDEX(Dic2024!$K$6:$K$205,MIN(C529+1,200)))-LN(INDEX(Dic2024!$K$6:$K$205,C529)))*(A529-6*C529)/6))</f>
        <v>0.0797350286345085</v>
      </c>
      <c r="H529" s="12" t="n">
        <f aca="false">G529^(-1/B529)-1</f>
        <v>0.059510249092898</v>
      </c>
      <c r="I529" s="12" t="n">
        <f aca="false">(1+H529)^(1/12)-1</f>
        <v>0.00482885252750509</v>
      </c>
      <c r="J529" s="16" t="n">
        <f aca="false">IF(C529=0,(1+Dic2024!$M$6)^(-B529),EXP(LN(INDEX(Dic2024!$N$6:$N$205,C529))+(LN(INDEX(Dic2024!$N$6:$N$205,MIN(C529+1,200)))-LN(INDEX(Dic2024!$N$6:$N$205,C529)))*(A529-6*C529)/6))</f>
        <v>0.0797350286345085</v>
      </c>
      <c r="K529" s="12" t="n">
        <f aca="false">J529^(-1/B529)-1</f>
        <v>0.059510249092898</v>
      </c>
      <c r="L529" s="12" t="n">
        <f aca="false">(1+K529)^(1/12)-1</f>
        <v>0.00482885252750509</v>
      </c>
    </row>
    <row r="530" customFormat="false" ht="15" hidden="false" customHeight="false" outlineLevel="0" collapsed="false">
      <c r="A530" s="4" t="n">
        <v>526</v>
      </c>
      <c r="B530" s="14" t="n">
        <f aca="false">A530/12</f>
        <v>43.8333333333333</v>
      </c>
      <c r="C530" s="15" t="n">
        <f aca="false">INT(A530/6)</f>
        <v>87</v>
      </c>
      <c r="D530" s="16" t="n">
        <f aca="false">IF(C530=0,(1+Dic2024!$G$6)^(-B530),EXP(LN(INDEX(Dic2024!$H$6:$H$205,C530))+(LN(INDEX(Dic2024!$H$6:$H$205,MIN(C530+1,200)))-LN(INDEX(Dic2024!$H$6:$H$205,C530)))*(A530-6*C530)/6))</f>
        <v>0.0792956596930616</v>
      </c>
      <c r="E530" s="12" t="n">
        <f aca="false">D530^(-1/B530)-1</f>
        <v>0.059527371478691</v>
      </c>
      <c r="F530" s="12" t="n">
        <f aca="false">(1+E530)^(1/12)-1</f>
        <v>0.00483020574233928</v>
      </c>
      <c r="G530" s="16" t="n">
        <f aca="false">IF(C530=0,(1+Dic2024!$J$6)^(-B530),EXP(LN(INDEX(Dic2024!$K$6:$K$205,C530))+(LN(INDEX(Dic2024!$K$6:$K$205,MIN(C530+1,200)))-LN(INDEX(Dic2024!$K$6:$K$205,C530)))*(A530-6*C530)/6))</f>
        <v>0.0792956596930616</v>
      </c>
      <c r="H530" s="12" t="n">
        <f aca="false">G530^(-1/B530)-1</f>
        <v>0.059527371478691</v>
      </c>
      <c r="I530" s="12" t="n">
        <f aca="false">(1+H530)^(1/12)-1</f>
        <v>0.00483020574233928</v>
      </c>
      <c r="J530" s="16" t="n">
        <f aca="false">IF(C530=0,(1+Dic2024!$M$6)^(-B530),EXP(LN(INDEX(Dic2024!$N$6:$N$205,C530))+(LN(INDEX(Dic2024!$N$6:$N$205,MIN(C530+1,200)))-LN(INDEX(Dic2024!$N$6:$N$205,C530)))*(A530-6*C530)/6))</f>
        <v>0.0792956596930616</v>
      </c>
      <c r="K530" s="12" t="n">
        <f aca="false">J530^(-1/B530)-1</f>
        <v>0.059527371478691</v>
      </c>
      <c r="L530" s="12" t="n">
        <f aca="false">(1+K530)^(1/12)-1</f>
        <v>0.00483020574233928</v>
      </c>
    </row>
    <row r="531" customFormat="false" ht="15" hidden="false" customHeight="false" outlineLevel="0" collapsed="false">
      <c r="A531" s="4" t="n">
        <v>527</v>
      </c>
      <c r="B531" s="14" t="n">
        <f aca="false">A531/12</f>
        <v>43.9166666666667</v>
      </c>
      <c r="C531" s="15" t="n">
        <f aca="false">INT(A531/6)</f>
        <v>87</v>
      </c>
      <c r="D531" s="16" t="n">
        <f aca="false">IF(C531=0,(1+Dic2024!$G$6)^(-B531),EXP(LN(INDEX(Dic2024!$H$6:$H$205,C531))+(LN(INDEX(Dic2024!$H$6:$H$205,MIN(C531+1,200)))-LN(INDEX(Dic2024!$H$6:$H$205,C531)))*(A531-6*C531)/6))</f>
        <v>0.0788587118339171</v>
      </c>
      <c r="E531" s="12" t="n">
        <f aca="false">D531^(-1/B531)-1</f>
        <v>0.059544429159029</v>
      </c>
      <c r="F531" s="12" t="n">
        <f aca="false">(1+E531)^(1/12)-1</f>
        <v>0.00483155382344536</v>
      </c>
      <c r="G531" s="16" t="n">
        <f aca="false">IF(C531=0,(1+Dic2024!$J$6)^(-B531),EXP(LN(INDEX(Dic2024!$K$6:$K$205,C531))+(LN(INDEX(Dic2024!$K$6:$K$205,MIN(C531+1,200)))-LN(INDEX(Dic2024!$K$6:$K$205,C531)))*(A531-6*C531)/6))</f>
        <v>0.0788587118339171</v>
      </c>
      <c r="H531" s="12" t="n">
        <f aca="false">G531^(-1/B531)-1</f>
        <v>0.059544429159029</v>
      </c>
      <c r="I531" s="12" t="n">
        <f aca="false">(1+H531)^(1/12)-1</f>
        <v>0.00483155382344536</v>
      </c>
      <c r="J531" s="16" t="n">
        <f aca="false">IF(C531=0,(1+Dic2024!$M$6)^(-B531),EXP(LN(INDEX(Dic2024!$N$6:$N$205,C531))+(LN(INDEX(Dic2024!$N$6:$N$205,MIN(C531+1,200)))-LN(INDEX(Dic2024!$N$6:$N$205,C531)))*(A531-6*C531)/6))</f>
        <v>0.0788587118339171</v>
      </c>
      <c r="K531" s="12" t="n">
        <f aca="false">J531^(-1/B531)-1</f>
        <v>0.059544429159029</v>
      </c>
      <c r="L531" s="12" t="n">
        <f aca="false">(1+K531)^(1/12)-1</f>
        <v>0.00483155382344536</v>
      </c>
    </row>
    <row r="532" customFormat="false" ht="15" hidden="false" customHeight="false" outlineLevel="0" collapsed="false">
      <c r="A532" s="4" t="n">
        <v>528</v>
      </c>
      <c r="B532" s="14" t="n">
        <f aca="false">A532/12</f>
        <v>44</v>
      </c>
      <c r="C532" s="15" t="n">
        <f aca="false">INT(A532/6)</f>
        <v>88</v>
      </c>
      <c r="D532" s="16" t="n">
        <f aca="false">IF(C532=0,(1+Dic2024!$G$6)^(-B532),EXP(LN(INDEX(Dic2024!$H$6:$H$205,C532))+(LN(INDEX(Dic2024!$H$6:$H$205,MIN(C532+1,200)))-LN(INDEX(Dic2024!$H$6:$H$205,C532)))*(A532-6*C532)/6))</f>
        <v>0.0784241717160329</v>
      </c>
      <c r="E532" s="12" t="n">
        <f aca="false">D532^(-1/B532)-1</f>
        <v>0.0595614225000001</v>
      </c>
      <c r="F532" s="12" t="n">
        <f aca="false">(1+E532)^(1/12)-1</f>
        <v>0.004832896799982</v>
      </c>
      <c r="G532" s="16" t="n">
        <f aca="false">IF(C532=0,(1+Dic2024!$J$6)^(-B532),EXP(LN(INDEX(Dic2024!$K$6:$K$205,C532))+(LN(INDEX(Dic2024!$K$6:$K$205,MIN(C532+1,200)))-LN(INDEX(Dic2024!$K$6:$K$205,C532)))*(A532-6*C532)/6))</f>
        <v>0.0784241717160329</v>
      </c>
      <c r="H532" s="12" t="n">
        <f aca="false">G532^(-1/B532)-1</f>
        <v>0.0595614225000001</v>
      </c>
      <c r="I532" s="12" t="n">
        <f aca="false">(1+H532)^(1/12)-1</f>
        <v>0.004832896799982</v>
      </c>
      <c r="J532" s="16" t="n">
        <f aca="false">IF(C532=0,(1+Dic2024!$M$6)^(-B532),EXP(LN(INDEX(Dic2024!$N$6:$N$205,C532))+(LN(INDEX(Dic2024!$N$6:$N$205,MIN(C532+1,200)))-LN(INDEX(Dic2024!$N$6:$N$205,C532)))*(A532-6*C532)/6))</f>
        <v>0.0784241717160329</v>
      </c>
      <c r="K532" s="12" t="n">
        <f aca="false">J532^(-1/B532)-1</f>
        <v>0.0595614225000001</v>
      </c>
      <c r="L532" s="12" t="n">
        <f aca="false">(1+K532)^(1/12)-1</f>
        <v>0.004832896799982</v>
      </c>
    </row>
    <row r="533" customFormat="false" ht="15" hidden="false" customHeight="false" outlineLevel="0" collapsed="false">
      <c r="A533" s="4" t="n">
        <v>529</v>
      </c>
      <c r="B533" s="14" t="n">
        <f aca="false">A533/12</f>
        <v>44.0833333333333</v>
      </c>
      <c r="C533" s="15" t="n">
        <f aca="false">INT(A533/6)</f>
        <v>88</v>
      </c>
      <c r="D533" s="16" t="n">
        <f aca="false">IF(C533=0,(1+Dic2024!$G$6)^(-B533),EXP(LN(INDEX(Dic2024!$H$6:$H$205,C533))+(LN(INDEX(Dic2024!$H$6:$H$205,MIN(C533+1,200)))-LN(INDEX(Dic2024!$H$6:$H$205,C533)))*(A533-6*C533)/6))</f>
        <v>0.0780469787223176</v>
      </c>
      <c r="E533" s="12" t="n">
        <f aca="false">D533^(-1/B533)-1</f>
        <v>0.0595614225000001</v>
      </c>
      <c r="F533" s="12" t="n">
        <f aca="false">(1+E533)^(1/12)-1</f>
        <v>0.004832896799982</v>
      </c>
      <c r="G533" s="16" t="n">
        <f aca="false">IF(C533=0,(1+Dic2024!$J$6)^(-B533),EXP(LN(INDEX(Dic2024!$K$6:$K$205,C533))+(LN(INDEX(Dic2024!$K$6:$K$205,MIN(C533+1,200)))-LN(INDEX(Dic2024!$K$6:$K$205,C533)))*(A533-6*C533)/6))</f>
        <v>0.0780469787223176</v>
      </c>
      <c r="H533" s="12" t="n">
        <f aca="false">G533^(-1/B533)-1</f>
        <v>0.0595614225000001</v>
      </c>
      <c r="I533" s="12" t="n">
        <f aca="false">(1+H533)^(1/12)-1</f>
        <v>0.004832896799982</v>
      </c>
      <c r="J533" s="16" t="n">
        <f aca="false">IF(C533=0,(1+Dic2024!$M$6)^(-B533),EXP(LN(INDEX(Dic2024!$N$6:$N$205,C533))+(LN(INDEX(Dic2024!$N$6:$N$205,MIN(C533+1,200)))-LN(INDEX(Dic2024!$N$6:$N$205,C533)))*(A533-6*C533)/6))</f>
        <v>0.0780469787223176</v>
      </c>
      <c r="K533" s="12" t="n">
        <f aca="false">J533^(-1/B533)-1</f>
        <v>0.0595614225000001</v>
      </c>
      <c r="L533" s="12" t="n">
        <f aca="false">(1+K533)^(1/12)-1</f>
        <v>0.004832896799982</v>
      </c>
    </row>
    <row r="534" customFormat="false" ht="15" hidden="false" customHeight="false" outlineLevel="0" collapsed="false">
      <c r="A534" s="4" t="n">
        <v>530</v>
      </c>
      <c r="B534" s="14" t="n">
        <f aca="false">A534/12</f>
        <v>44.1666666666667</v>
      </c>
      <c r="C534" s="15" t="n">
        <f aca="false">INT(A534/6)</f>
        <v>88</v>
      </c>
      <c r="D534" s="16" t="n">
        <f aca="false">IF(C534=0,(1+Dic2024!$G$6)^(-B534),EXP(LN(INDEX(Dic2024!$H$6:$H$205,C534))+(LN(INDEX(Dic2024!$H$6:$H$205,MIN(C534+1,200)))-LN(INDEX(Dic2024!$H$6:$H$205,C534)))*(A534-6*C534)/6))</f>
        <v>0.077671599895732</v>
      </c>
      <c r="E534" s="12" t="n">
        <f aca="false">D534^(-1/B534)-1</f>
        <v>0.0595614225000001</v>
      </c>
      <c r="F534" s="12" t="n">
        <f aca="false">(1+E534)^(1/12)-1</f>
        <v>0.004832896799982</v>
      </c>
      <c r="G534" s="16" t="n">
        <f aca="false">IF(C534=0,(1+Dic2024!$J$6)^(-B534),EXP(LN(INDEX(Dic2024!$K$6:$K$205,C534))+(LN(INDEX(Dic2024!$K$6:$K$205,MIN(C534+1,200)))-LN(INDEX(Dic2024!$K$6:$K$205,C534)))*(A534-6*C534)/6))</f>
        <v>0.077671599895732</v>
      </c>
      <c r="H534" s="12" t="n">
        <f aca="false">G534^(-1/B534)-1</f>
        <v>0.0595614225000001</v>
      </c>
      <c r="I534" s="12" t="n">
        <f aca="false">(1+H534)^(1/12)-1</f>
        <v>0.004832896799982</v>
      </c>
      <c r="J534" s="16" t="n">
        <f aca="false">IF(C534=0,(1+Dic2024!$M$6)^(-B534),EXP(LN(INDEX(Dic2024!$N$6:$N$205,C534))+(LN(INDEX(Dic2024!$N$6:$N$205,MIN(C534+1,200)))-LN(INDEX(Dic2024!$N$6:$N$205,C534)))*(A534-6*C534)/6))</f>
        <v>0.077671599895732</v>
      </c>
      <c r="K534" s="12" t="n">
        <f aca="false">J534^(-1/B534)-1</f>
        <v>0.0595614225000001</v>
      </c>
      <c r="L534" s="12" t="n">
        <f aca="false">(1+K534)^(1/12)-1</f>
        <v>0.004832896799982</v>
      </c>
    </row>
    <row r="535" customFormat="false" ht="15" hidden="false" customHeight="false" outlineLevel="0" collapsed="false">
      <c r="A535" s="4" t="n">
        <v>531</v>
      </c>
      <c r="B535" s="14" t="n">
        <f aca="false">A535/12</f>
        <v>44.25</v>
      </c>
      <c r="C535" s="15" t="n">
        <f aca="false">INT(A535/6)</f>
        <v>88</v>
      </c>
      <c r="D535" s="16" t="n">
        <f aca="false">IF(C535=0,(1+Dic2024!$G$6)^(-B535),EXP(LN(INDEX(Dic2024!$H$6:$H$205,C535))+(LN(INDEX(Dic2024!$H$6:$H$205,MIN(C535+1,200)))-LN(INDEX(Dic2024!$H$6:$H$205,C535)))*(A535-6*C535)/6))</f>
        <v>0.0772980265107632</v>
      </c>
      <c r="E535" s="12" t="n">
        <f aca="false">D535^(-1/B535)-1</f>
        <v>0.0595614225000001</v>
      </c>
      <c r="F535" s="12" t="n">
        <f aca="false">(1+E535)^(1/12)-1</f>
        <v>0.004832896799982</v>
      </c>
      <c r="G535" s="16" t="n">
        <f aca="false">IF(C535=0,(1+Dic2024!$J$6)^(-B535),EXP(LN(INDEX(Dic2024!$K$6:$K$205,C535))+(LN(INDEX(Dic2024!$K$6:$K$205,MIN(C535+1,200)))-LN(INDEX(Dic2024!$K$6:$K$205,C535)))*(A535-6*C535)/6))</f>
        <v>0.0772980265107632</v>
      </c>
      <c r="H535" s="12" t="n">
        <f aca="false">G535^(-1/B535)-1</f>
        <v>0.0595614225000001</v>
      </c>
      <c r="I535" s="12" t="n">
        <f aca="false">(1+H535)^(1/12)-1</f>
        <v>0.004832896799982</v>
      </c>
      <c r="J535" s="16" t="n">
        <f aca="false">IF(C535=0,(1+Dic2024!$M$6)^(-B535),EXP(LN(INDEX(Dic2024!$N$6:$N$205,C535))+(LN(INDEX(Dic2024!$N$6:$N$205,MIN(C535+1,200)))-LN(INDEX(Dic2024!$N$6:$N$205,C535)))*(A535-6*C535)/6))</f>
        <v>0.0772980265107632</v>
      </c>
      <c r="K535" s="12" t="n">
        <f aca="false">J535^(-1/B535)-1</f>
        <v>0.0595614225000001</v>
      </c>
      <c r="L535" s="12" t="n">
        <f aca="false">(1+K535)^(1/12)-1</f>
        <v>0.004832896799982</v>
      </c>
    </row>
    <row r="536" customFormat="false" ht="15" hidden="false" customHeight="false" outlineLevel="0" collapsed="false">
      <c r="A536" s="4" t="n">
        <v>532</v>
      </c>
      <c r="B536" s="14" t="n">
        <f aca="false">A536/12</f>
        <v>44.3333333333333</v>
      </c>
      <c r="C536" s="15" t="n">
        <f aca="false">INT(A536/6)</f>
        <v>88</v>
      </c>
      <c r="D536" s="16" t="n">
        <f aca="false">IF(C536=0,(1+Dic2024!$G$6)^(-B536),EXP(LN(INDEX(Dic2024!$H$6:$H$205,C536))+(LN(INDEX(Dic2024!$H$6:$H$205,MIN(C536+1,200)))-LN(INDEX(Dic2024!$H$6:$H$205,C536)))*(A536-6*C536)/6))</f>
        <v>0.0769262498838649</v>
      </c>
      <c r="E536" s="12" t="n">
        <f aca="false">D536^(-1/B536)-1</f>
        <v>0.0595614225000001</v>
      </c>
      <c r="F536" s="12" t="n">
        <f aca="false">(1+E536)^(1/12)-1</f>
        <v>0.004832896799982</v>
      </c>
      <c r="G536" s="16" t="n">
        <f aca="false">IF(C536=0,(1+Dic2024!$J$6)^(-B536),EXP(LN(INDEX(Dic2024!$K$6:$K$205,C536))+(LN(INDEX(Dic2024!$K$6:$K$205,MIN(C536+1,200)))-LN(INDEX(Dic2024!$K$6:$K$205,C536)))*(A536-6*C536)/6))</f>
        <v>0.0769262498838649</v>
      </c>
      <c r="H536" s="12" t="n">
        <f aca="false">G536^(-1/B536)-1</f>
        <v>0.0595614225000001</v>
      </c>
      <c r="I536" s="12" t="n">
        <f aca="false">(1+H536)^(1/12)-1</f>
        <v>0.004832896799982</v>
      </c>
      <c r="J536" s="16" t="n">
        <f aca="false">IF(C536=0,(1+Dic2024!$M$6)^(-B536),EXP(LN(INDEX(Dic2024!$N$6:$N$205,C536))+(LN(INDEX(Dic2024!$N$6:$N$205,MIN(C536+1,200)))-LN(INDEX(Dic2024!$N$6:$N$205,C536)))*(A536-6*C536)/6))</f>
        <v>0.0769262498838649</v>
      </c>
      <c r="K536" s="12" t="n">
        <f aca="false">J536^(-1/B536)-1</f>
        <v>0.0595614225000001</v>
      </c>
      <c r="L536" s="12" t="n">
        <f aca="false">(1+K536)^(1/12)-1</f>
        <v>0.004832896799982</v>
      </c>
    </row>
    <row r="537" customFormat="false" ht="15" hidden="false" customHeight="false" outlineLevel="0" collapsed="false">
      <c r="A537" s="4" t="n">
        <v>533</v>
      </c>
      <c r="B537" s="14" t="n">
        <f aca="false">A537/12</f>
        <v>44.4166666666667</v>
      </c>
      <c r="C537" s="15" t="n">
        <f aca="false">INT(A537/6)</f>
        <v>88</v>
      </c>
      <c r="D537" s="16" t="n">
        <f aca="false">IF(C537=0,(1+Dic2024!$G$6)^(-B537),EXP(LN(INDEX(Dic2024!$H$6:$H$205,C537))+(LN(INDEX(Dic2024!$H$6:$H$205,MIN(C537+1,200)))-LN(INDEX(Dic2024!$H$6:$H$205,C537)))*(A537-6*C537)/6))</f>
        <v>0.0765562613732556</v>
      </c>
      <c r="E537" s="12" t="n">
        <f aca="false">D537^(-1/B537)-1</f>
        <v>0.0595614225000001</v>
      </c>
      <c r="F537" s="12" t="n">
        <f aca="false">(1+E537)^(1/12)-1</f>
        <v>0.004832896799982</v>
      </c>
      <c r="G537" s="16" t="n">
        <f aca="false">IF(C537=0,(1+Dic2024!$J$6)^(-B537),EXP(LN(INDEX(Dic2024!$K$6:$K$205,C537))+(LN(INDEX(Dic2024!$K$6:$K$205,MIN(C537+1,200)))-LN(INDEX(Dic2024!$K$6:$K$205,C537)))*(A537-6*C537)/6))</f>
        <v>0.0765562613732556</v>
      </c>
      <c r="H537" s="12" t="n">
        <f aca="false">G537^(-1/B537)-1</f>
        <v>0.0595614225000001</v>
      </c>
      <c r="I537" s="12" t="n">
        <f aca="false">(1+H537)^(1/12)-1</f>
        <v>0.004832896799982</v>
      </c>
      <c r="J537" s="16" t="n">
        <f aca="false">IF(C537=0,(1+Dic2024!$M$6)^(-B537),EXP(LN(INDEX(Dic2024!$N$6:$N$205,C537))+(LN(INDEX(Dic2024!$N$6:$N$205,MIN(C537+1,200)))-LN(INDEX(Dic2024!$N$6:$N$205,C537)))*(A537-6*C537)/6))</f>
        <v>0.0765562613732556</v>
      </c>
      <c r="K537" s="12" t="n">
        <f aca="false">J537^(-1/B537)-1</f>
        <v>0.0595614225000001</v>
      </c>
      <c r="L537" s="12" t="n">
        <f aca="false">(1+K537)^(1/12)-1</f>
        <v>0.004832896799982</v>
      </c>
    </row>
    <row r="538" customFormat="false" ht="15" hidden="false" customHeight="false" outlineLevel="0" collapsed="false">
      <c r="A538" s="4" t="n">
        <v>534</v>
      </c>
      <c r="B538" s="14" t="n">
        <f aca="false">A538/12</f>
        <v>44.5</v>
      </c>
      <c r="C538" s="15" t="n">
        <f aca="false">INT(A538/6)</f>
        <v>89</v>
      </c>
      <c r="D538" s="16" t="n">
        <f aca="false">IF(C538=0,(1+Dic2024!$G$6)^(-B538),EXP(LN(INDEX(Dic2024!$H$6:$H$205,C538))+(LN(INDEX(Dic2024!$H$6:$H$205,MIN(C538+1,200)))-LN(INDEX(Dic2024!$H$6:$H$205,C538)))*(A538-6*C538)/6))</f>
        <v>0.0761880523787176</v>
      </c>
      <c r="E538" s="12" t="n">
        <f aca="false">D538^(-1/B538)-1</f>
        <v>0.0595614225000001</v>
      </c>
      <c r="F538" s="12" t="n">
        <f aca="false">(1+E538)^(1/12)-1</f>
        <v>0.004832896799982</v>
      </c>
      <c r="G538" s="16" t="n">
        <f aca="false">IF(C538=0,(1+Dic2024!$J$6)^(-B538),EXP(LN(INDEX(Dic2024!$K$6:$K$205,C538))+(LN(INDEX(Dic2024!$K$6:$K$205,MIN(C538+1,200)))-LN(INDEX(Dic2024!$K$6:$K$205,C538)))*(A538-6*C538)/6))</f>
        <v>0.0761880523787176</v>
      </c>
      <c r="H538" s="12" t="n">
        <f aca="false">G538^(-1/B538)-1</f>
        <v>0.0595614225000001</v>
      </c>
      <c r="I538" s="12" t="n">
        <f aca="false">(1+H538)^(1/12)-1</f>
        <v>0.004832896799982</v>
      </c>
      <c r="J538" s="16" t="n">
        <f aca="false">IF(C538=0,(1+Dic2024!$M$6)^(-B538),EXP(LN(INDEX(Dic2024!$N$6:$N$205,C538))+(LN(INDEX(Dic2024!$N$6:$N$205,MIN(C538+1,200)))-LN(INDEX(Dic2024!$N$6:$N$205,C538)))*(A538-6*C538)/6))</f>
        <v>0.0761880523787176</v>
      </c>
      <c r="K538" s="12" t="n">
        <f aca="false">J538^(-1/B538)-1</f>
        <v>0.0595614225000001</v>
      </c>
      <c r="L538" s="12" t="n">
        <f aca="false">(1+K538)^(1/12)-1</f>
        <v>0.004832896799982</v>
      </c>
    </row>
    <row r="539" customFormat="false" ht="15" hidden="false" customHeight="false" outlineLevel="0" collapsed="false">
      <c r="A539" s="4" t="n">
        <v>535</v>
      </c>
      <c r="B539" s="14" t="n">
        <f aca="false">A539/12</f>
        <v>44.5833333333333</v>
      </c>
      <c r="C539" s="15" t="n">
        <f aca="false">INT(A539/6)</f>
        <v>89</v>
      </c>
      <c r="D539" s="16" t="n">
        <f aca="false">IF(C539=0,(1+Dic2024!$G$6)^(-B539),EXP(LN(INDEX(Dic2024!$H$6:$H$205,C539))+(LN(INDEX(Dic2024!$H$6:$H$205,MIN(C539+1,200)))-LN(INDEX(Dic2024!$H$6:$H$205,C539)))*(A539-6*C539)/6))</f>
        <v>0.0758216143413976</v>
      </c>
      <c r="E539" s="12" t="n">
        <f aca="false">D539^(-1/B539)-1</f>
        <v>0.0595614225000001</v>
      </c>
      <c r="F539" s="12" t="n">
        <f aca="false">(1+E539)^(1/12)-1</f>
        <v>0.004832896799982</v>
      </c>
      <c r="G539" s="16" t="n">
        <f aca="false">IF(C539=0,(1+Dic2024!$J$6)^(-B539),EXP(LN(INDEX(Dic2024!$K$6:$K$205,C539))+(LN(INDEX(Dic2024!$K$6:$K$205,MIN(C539+1,200)))-LN(INDEX(Dic2024!$K$6:$K$205,C539)))*(A539-6*C539)/6))</f>
        <v>0.0758216143413976</v>
      </c>
      <c r="H539" s="12" t="n">
        <f aca="false">G539^(-1/B539)-1</f>
        <v>0.0595614225000001</v>
      </c>
      <c r="I539" s="12" t="n">
        <f aca="false">(1+H539)^(1/12)-1</f>
        <v>0.004832896799982</v>
      </c>
      <c r="J539" s="16" t="n">
        <f aca="false">IF(C539=0,(1+Dic2024!$M$6)^(-B539),EXP(LN(INDEX(Dic2024!$N$6:$N$205,C539))+(LN(INDEX(Dic2024!$N$6:$N$205,MIN(C539+1,200)))-LN(INDEX(Dic2024!$N$6:$N$205,C539)))*(A539-6*C539)/6))</f>
        <v>0.0758216143413976</v>
      </c>
      <c r="K539" s="12" t="n">
        <f aca="false">J539^(-1/B539)-1</f>
        <v>0.0595614225000001</v>
      </c>
      <c r="L539" s="12" t="n">
        <f aca="false">(1+K539)^(1/12)-1</f>
        <v>0.004832896799982</v>
      </c>
    </row>
    <row r="540" customFormat="false" ht="15" hidden="false" customHeight="false" outlineLevel="0" collapsed="false">
      <c r="A540" s="4" t="n">
        <v>536</v>
      </c>
      <c r="B540" s="14" t="n">
        <f aca="false">A540/12</f>
        <v>44.6666666666667</v>
      </c>
      <c r="C540" s="15" t="n">
        <f aca="false">INT(A540/6)</f>
        <v>89</v>
      </c>
      <c r="D540" s="16" t="n">
        <f aca="false">IF(C540=0,(1+Dic2024!$G$6)^(-B540),EXP(LN(INDEX(Dic2024!$H$6:$H$205,C540))+(LN(INDEX(Dic2024!$H$6:$H$205,MIN(C540+1,200)))-LN(INDEX(Dic2024!$H$6:$H$205,C540)))*(A540-6*C540)/6))</f>
        <v>0.0754569387436072</v>
      </c>
      <c r="E540" s="12" t="n">
        <f aca="false">D540^(-1/B540)-1</f>
        <v>0.0595614225000001</v>
      </c>
      <c r="F540" s="12" t="n">
        <f aca="false">(1+E540)^(1/12)-1</f>
        <v>0.004832896799982</v>
      </c>
      <c r="G540" s="16" t="n">
        <f aca="false">IF(C540=0,(1+Dic2024!$J$6)^(-B540),EXP(LN(INDEX(Dic2024!$K$6:$K$205,C540))+(LN(INDEX(Dic2024!$K$6:$K$205,MIN(C540+1,200)))-LN(INDEX(Dic2024!$K$6:$K$205,C540)))*(A540-6*C540)/6))</f>
        <v>0.0754569387436072</v>
      </c>
      <c r="H540" s="12" t="n">
        <f aca="false">G540^(-1/B540)-1</f>
        <v>0.0595614225000001</v>
      </c>
      <c r="I540" s="12" t="n">
        <f aca="false">(1+H540)^(1/12)-1</f>
        <v>0.004832896799982</v>
      </c>
      <c r="J540" s="16" t="n">
        <f aca="false">IF(C540=0,(1+Dic2024!$M$6)^(-B540),EXP(LN(INDEX(Dic2024!$N$6:$N$205,C540))+(LN(INDEX(Dic2024!$N$6:$N$205,MIN(C540+1,200)))-LN(INDEX(Dic2024!$N$6:$N$205,C540)))*(A540-6*C540)/6))</f>
        <v>0.0754569387436072</v>
      </c>
      <c r="K540" s="12" t="n">
        <f aca="false">J540^(-1/B540)-1</f>
        <v>0.0595614225000001</v>
      </c>
      <c r="L540" s="12" t="n">
        <f aca="false">(1+K540)^(1/12)-1</f>
        <v>0.004832896799982</v>
      </c>
    </row>
    <row r="541" customFormat="false" ht="15" hidden="false" customHeight="false" outlineLevel="0" collapsed="false">
      <c r="A541" s="4" t="n">
        <v>537</v>
      </c>
      <c r="B541" s="14" t="n">
        <f aca="false">A541/12</f>
        <v>44.75</v>
      </c>
      <c r="C541" s="15" t="n">
        <f aca="false">INT(A541/6)</f>
        <v>89</v>
      </c>
      <c r="D541" s="16" t="n">
        <f aca="false">IF(C541=0,(1+Dic2024!$G$6)^(-B541),EXP(LN(INDEX(Dic2024!$H$6:$H$205,C541))+(LN(INDEX(Dic2024!$H$6:$H$205,MIN(C541+1,200)))-LN(INDEX(Dic2024!$H$6:$H$205,C541)))*(A541-6*C541)/6))</f>
        <v>0.0750940171086251</v>
      </c>
      <c r="E541" s="12" t="n">
        <f aca="false">D541^(-1/B541)-1</f>
        <v>0.0595614225000001</v>
      </c>
      <c r="F541" s="12" t="n">
        <f aca="false">(1+E541)^(1/12)-1</f>
        <v>0.004832896799982</v>
      </c>
      <c r="G541" s="16" t="n">
        <f aca="false">IF(C541=0,(1+Dic2024!$J$6)^(-B541),EXP(LN(INDEX(Dic2024!$K$6:$K$205,C541))+(LN(INDEX(Dic2024!$K$6:$K$205,MIN(C541+1,200)))-LN(INDEX(Dic2024!$K$6:$K$205,C541)))*(A541-6*C541)/6))</f>
        <v>0.0750940171086251</v>
      </c>
      <c r="H541" s="12" t="n">
        <f aca="false">G541^(-1/B541)-1</f>
        <v>0.0595614225000001</v>
      </c>
      <c r="I541" s="12" t="n">
        <f aca="false">(1+H541)^(1/12)-1</f>
        <v>0.004832896799982</v>
      </c>
      <c r="J541" s="16" t="n">
        <f aca="false">IF(C541=0,(1+Dic2024!$M$6)^(-B541),EXP(LN(INDEX(Dic2024!$N$6:$N$205,C541))+(LN(INDEX(Dic2024!$N$6:$N$205,MIN(C541+1,200)))-LN(INDEX(Dic2024!$N$6:$N$205,C541)))*(A541-6*C541)/6))</f>
        <v>0.0750940171086251</v>
      </c>
      <c r="K541" s="12" t="n">
        <f aca="false">J541^(-1/B541)-1</f>
        <v>0.0595614225000001</v>
      </c>
      <c r="L541" s="12" t="n">
        <f aca="false">(1+K541)^(1/12)-1</f>
        <v>0.004832896799982</v>
      </c>
    </row>
    <row r="542" customFormat="false" ht="15" hidden="false" customHeight="false" outlineLevel="0" collapsed="false">
      <c r="A542" s="4" t="n">
        <v>538</v>
      </c>
      <c r="B542" s="14" t="n">
        <f aca="false">A542/12</f>
        <v>44.8333333333333</v>
      </c>
      <c r="C542" s="15" t="n">
        <f aca="false">INT(A542/6)</f>
        <v>89</v>
      </c>
      <c r="D542" s="16" t="n">
        <f aca="false">IF(C542=0,(1+Dic2024!$G$6)^(-B542),EXP(LN(INDEX(Dic2024!$H$6:$H$205,C542))+(LN(INDEX(Dic2024!$H$6:$H$205,MIN(C542+1,200)))-LN(INDEX(Dic2024!$H$6:$H$205,C542)))*(A542-6*C542)/6))</f>
        <v>0.0747328410005002</v>
      </c>
      <c r="E542" s="12" t="n">
        <f aca="false">D542^(-1/B542)-1</f>
        <v>0.0595614225000001</v>
      </c>
      <c r="F542" s="12" t="n">
        <f aca="false">(1+E542)^(1/12)-1</f>
        <v>0.004832896799982</v>
      </c>
      <c r="G542" s="16" t="n">
        <f aca="false">IF(C542=0,(1+Dic2024!$J$6)^(-B542),EXP(LN(INDEX(Dic2024!$K$6:$K$205,C542))+(LN(INDEX(Dic2024!$K$6:$K$205,MIN(C542+1,200)))-LN(INDEX(Dic2024!$K$6:$K$205,C542)))*(A542-6*C542)/6))</f>
        <v>0.0747328410005002</v>
      </c>
      <c r="H542" s="12" t="n">
        <f aca="false">G542^(-1/B542)-1</f>
        <v>0.0595614225000001</v>
      </c>
      <c r="I542" s="12" t="n">
        <f aca="false">(1+H542)^(1/12)-1</f>
        <v>0.004832896799982</v>
      </c>
      <c r="J542" s="16" t="n">
        <f aca="false">IF(C542=0,(1+Dic2024!$M$6)^(-B542),EXP(LN(INDEX(Dic2024!$N$6:$N$205,C542))+(LN(INDEX(Dic2024!$N$6:$N$205,MIN(C542+1,200)))-LN(INDEX(Dic2024!$N$6:$N$205,C542)))*(A542-6*C542)/6))</f>
        <v>0.0747328410005002</v>
      </c>
      <c r="K542" s="12" t="n">
        <f aca="false">J542^(-1/B542)-1</f>
        <v>0.0595614225000001</v>
      </c>
      <c r="L542" s="12" t="n">
        <f aca="false">(1+K542)^(1/12)-1</f>
        <v>0.004832896799982</v>
      </c>
    </row>
    <row r="543" customFormat="false" ht="15" hidden="false" customHeight="false" outlineLevel="0" collapsed="false">
      <c r="A543" s="4" t="n">
        <v>539</v>
      </c>
      <c r="B543" s="14" t="n">
        <f aca="false">A543/12</f>
        <v>44.9166666666667</v>
      </c>
      <c r="C543" s="15" t="n">
        <f aca="false">INT(A543/6)</f>
        <v>89</v>
      </c>
      <c r="D543" s="16" t="n">
        <f aca="false">IF(C543=0,(1+Dic2024!$G$6)^(-B543),EXP(LN(INDEX(Dic2024!$H$6:$H$205,C543))+(LN(INDEX(Dic2024!$H$6:$H$205,MIN(C543+1,200)))-LN(INDEX(Dic2024!$H$6:$H$205,C543)))*(A543-6*C543)/6))</f>
        <v>0.0743734020238554</v>
      </c>
      <c r="E543" s="12" t="n">
        <f aca="false">D543^(-1/B543)-1</f>
        <v>0.0595614225000001</v>
      </c>
      <c r="F543" s="12" t="n">
        <f aca="false">(1+E543)^(1/12)-1</f>
        <v>0.004832896799982</v>
      </c>
      <c r="G543" s="16" t="n">
        <f aca="false">IF(C543=0,(1+Dic2024!$J$6)^(-B543),EXP(LN(INDEX(Dic2024!$K$6:$K$205,C543))+(LN(INDEX(Dic2024!$K$6:$K$205,MIN(C543+1,200)))-LN(INDEX(Dic2024!$K$6:$K$205,C543)))*(A543-6*C543)/6))</f>
        <v>0.0743734020238554</v>
      </c>
      <c r="H543" s="12" t="n">
        <f aca="false">G543^(-1/B543)-1</f>
        <v>0.0595614225000001</v>
      </c>
      <c r="I543" s="12" t="n">
        <f aca="false">(1+H543)^(1/12)-1</f>
        <v>0.004832896799982</v>
      </c>
      <c r="J543" s="16" t="n">
        <f aca="false">IF(C543=0,(1+Dic2024!$M$6)^(-B543),EXP(LN(INDEX(Dic2024!$N$6:$N$205,C543))+(LN(INDEX(Dic2024!$N$6:$N$205,MIN(C543+1,200)))-LN(INDEX(Dic2024!$N$6:$N$205,C543)))*(A543-6*C543)/6))</f>
        <v>0.0743734020238554</v>
      </c>
      <c r="K543" s="12" t="n">
        <f aca="false">J543^(-1/B543)-1</f>
        <v>0.0595614225000001</v>
      </c>
      <c r="L543" s="12" t="n">
        <f aca="false">(1+K543)^(1/12)-1</f>
        <v>0.004832896799982</v>
      </c>
    </row>
    <row r="544" customFormat="false" ht="15" hidden="false" customHeight="false" outlineLevel="0" collapsed="false">
      <c r="A544" s="4" t="n">
        <v>540</v>
      </c>
      <c r="B544" s="14" t="n">
        <f aca="false">A544/12</f>
        <v>45</v>
      </c>
      <c r="C544" s="15" t="n">
        <f aca="false">INT(A544/6)</f>
        <v>90</v>
      </c>
      <c r="D544" s="16" t="n">
        <f aca="false">IF(C544=0,(1+Dic2024!$G$6)^(-B544),EXP(LN(INDEX(Dic2024!$H$6:$H$205,C544))+(LN(INDEX(Dic2024!$H$6:$H$205,MIN(C544+1,200)))-LN(INDEX(Dic2024!$H$6:$H$205,C544)))*(A544-6*C544)/6))</f>
        <v>0.0740156918236922</v>
      </c>
      <c r="E544" s="12" t="n">
        <f aca="false">D544^(-1/B544)-1</f>
        <v>0.0595614225000001</v>
      </c>
      <c r="F544" s="12" t="n">
        <f aca="false">(1+E544)^(1/12)-1</f>
        <v>0.004832896799982</v>
      </c>
      <c r="G544" s="16" t="n">
        <f aca="false">IF(C544=0,(1+Dic2024!$J$6)^(-B544),EXP(LN(INDEX(Dic2024!$K$6:$K$205,C544))+(LN(INDEX(Dic2024!$K$6:$K$205,MIN(C544+1,200)))-LN(INDEX(Dic2024!$K$6:$K$205,C544)))*(A544-6*C544)/6))</f>
        <v>0.0740156918236922</v>
      </c>
      <c r="H544" s="12" t="n">
        <f aca="false">G544^(-1/B544)-1</f>
        <v>0.0595614225000001</v>
      </c>
      <c r="I544" s="12" t="n">
        <f aca="false">(1+H544)^(1/12)-1</f>
        <v>0.004832896799982</v>
      </c>
      <c r="J544" s="16" t="n">
        <f aca="false">IF(C544=0,(1+Dic2024!$M$6)^(-B544),EXP(LN(INDEX(Dic2024!$N$6:$N$205,C544))+(LN(INDEX(Dic2024!$N$6:$N$205,MIN(C544+1,200)))-LN(INDEX(Dic2024!$N$6:$N$205,C544)))*(A544-6*C544)/6))</f>
        <v>0.0740156918236922</v>
      </c>
      <c r="K544" s="12" t="n">
        <f aca="false">J544^(-1/B544)-1</f>
        <v>0.0595614225000001</v>
      </c>
      <c r="L544" s="12" t="n">
        <f aca="false">(1+K544)^(1/12)-1</f>
        <v>0.004832896799982</v>
      </c>
    </row>
    <row r="545" customFormat="false" ht="15" hidden="false" customHeight="false" outlineLevel="0" collapsed="false">
      <c r="A545" s="4" t="n">
        <v>541</v>
      </c>
      <c r="B545" s="14" t="n">
        <f aca="false">A545/12</f>
        <v>45.0833333333333</v>
      </c>
      <c r="C545" s="15" t="n">
        <f aca="false">INT(A545/6)</f>
        <v>90</v>
      </c>
      <c r="D545" s="16" t="n">
        <f aca="false">IF(C545=0,(1+Dic2024!$G$6)^(-B545),EXP(LN(INDEX(Dic2024!$H$6:$H$205,C545))+(LN(INDEX(Dic2024!$H$6:$H$205,MIN(C545+1,200)))-LN(INDEX(Dic2024!$H$6:$H$205,C545)))*(A545-6*C545)/6))</f>
        <v>0.0736597020851971</v>
      </c>
      <c r="E545" s="12" t="n">
        <f aca="false">D545^(-1/B545)-1</f>
        <v>0.0595614225000001</v>
      </c>
      <c r="F545" s="12" t="n">
        <f aca="false">(1+E545)^(1/12)-1</f>
        <v>0.004832896799982</v>
      </c>
      <c r="G545" s="16" t="n">
        <f aca="false">IF(C545=0,(1+Dic2024!$J$6)^(-B545),EXP(LN(INDEX(Dic2024!$K$6:$K$205,C545))+(LN(INDEX(Dic2024!$K$6:$K$205,MIN(C545+1,200)))-LN(INDEX(Dic2024!$K$6:$K$205,C545)))*(A545-6*C545)/6))</f>
        <v>0.0736597020851971</v>
      </c>
      <c r="H545" s="12" t="n">
        <f aca="false">G545^(-1/B545)-1</f>
        <v>0.0595614225000001</v>
      </c>
      <c r="I545" s="12" t="n">
        <f aca="false">(1+H545)^(1/12)-1</f>
        <v>0.004832896799982</v>
      </c>
      <c r="J545" s="16" t="n">
        <f aca="false">IF(C545=0,(1+Dic2024!$M$6)^(-B545),EXP(LN(INDEX(Dic2024!$N$6:$N$205,C545))+(LN(INDEX(Dic2024!$N$6:$N$205,MIN(C545+1,200)))-LN(INDEX(Dic2024!$N$6:$N$205,C545)))*(A545-6*C545)/6))</f>
        <v>0.0736597020851971</v>
      </c>
      <c r="K545" s="12" t="n">
        <f aca="false">J545^(-1/B545)-1</f>
        <v>0.0595614225000001</v>
      </c>
      <c r="L545" s="12" t="n">
        <f aca="false">(1+K545)^(1/12)-1</f>
        <v>0.004832896799982</v>
      </c>
    </row>
    <row r="546" customFormat="false" ht="15" hidden="false" customHeight="false" outlineLevel="0" collapsed="false">
      <c r="A546" s="4" t="n">
        <v>542</v>
      </c>
      <c r="B546" s="14" t="n">
        <f aca="false">A546/12</f>
        <v>45.1666666666667</v>
      </c>
      <c r="C546" s="15" t="n">
        <f aca="false">INT(A546/6)</f>
        <v>90</v>
      </c>
      <c r="D546" s="16" t="n">
        <f aca="false">IF(C546=0,(1+Dic2024!$G$6)^(-B546),EXP(LN(INDEX(Dic2024!$H$6:$H$205,C546))+(LN(INDEX(Dic2024!$H$6:$H$205,MIN(C546+1,200)))-LN(INDEX(Dic2024!$H$6:$H$205,C546)))*(A546-6*C546)/6))</f>
        <v>0.0733054245335476</v>
      </c>
      <c r="E546" s="12" t="n">
        <f aca="false">D546^(-1/B546)-1</f>
        <v>0.0595614225000001</v>
      </c>
      <c r="F546" s="12" t="n">
        <f aca="false">(1+E546)^(1/12)-1</f>
        <v>0.004832896799982</v>
      </c>
      <c r="G546" s="16" t="n">
        <f aca="false">IF(C546=0,(1+Dic2024!$J$6)^(-B546),EXP(LN(INDEX(Dic2024!$K$6:$K$205,C546))+(LN(INDEX(Dic2024!$K$6:$K$205,MIN(C546+1,200)))-LN(INDEX(Dic2024!$K$6:$K$205,C546)))*(A546-6*C546)/6))</f>
        <v>0.0733054245335476</v>
      </c>
      <c r="H546" s="12" t="n">
        <f aca="false">G546^(-1/B546)-1</f>
        <v>0.0595614225000001</v>
      </c>
      <c r="I546" s="12" t="n">
        <f aca="false">(1+H546)^(1/12)-1</f>
        <v>0.004832896799982</v>
      </c>
      <c r="J546" s="16" t="n">
        <f aca="false">IF(C546=0,(1+Dic2024!$M$6)^(-B546),EXP(LN(INDEX(Dic2024!$N$6:$N$205,C546))+(LN(INDEX(Dic2024!$N$6:$N$205,MIN(C546+1,200)))-LN(INDEX(Dic2024!$N$6:$N$205,C546)))*(A546-6*C546)/6))</f>
        <v>0.0733054245335476</v>
      </c>
      <c r="K546" s="12" t="n">
        <f aca="false">J546^(-1/B546)-1</f>
        <v>0.0595614225000001</v>
      </c>
      <c r="L546" s="12" t="n">
        <f aca="false">(1+K546)^(1/12)-1</f>
        <v>0.004832896799982</v>
      </c>
    </row>
    <row r="547" customFormat="false" ht="15" hidden="false" customHeight="false" outlineLevel="0" collapsed="false">
      <c r="A547" s="4" t="n">
        <v>543</v>
      </c>
      <c r="B547" s="14" t="n">
        <f aca="false">A547/12</f>
        <v>45.25</v>
      </c>
      <c r="C547" s="15" t="n">
        <f aca="false">INT(A547/6)</f>
        <v>90</v>
      </c>
      <c r="D547" s="16" t="n">
        <f aca="false">IF(C547=0,(1+Dic2024!$G$6)^(-B547),EXP(LN(INDEX(Dic2024!$H$6:$H$205,C547))+(LN(INDEX(Dic2024!$H$6:$H$205,MIN(C547+1,200)))-LN(INDEX(Dic2024!$H$6:$H$205,C547)))*(A547-6*C547)/6))</f>
        <v>0.0729528509337204</v>
      </c>
      <c r="E547" s="12" t="n">
        <f aca="false">D547^(-1/B547)-1</f>
        <v>0.0595614225000001</v>
      </c>
      <c r="F547" s="12" t="n">
        <f aca="false">(1+E547)^(1/12)-1</f>
        <v>0.004832896799982</v>
      </c>
      <c r="G547" s="16" t="n">
        <f aca="false">IF(C547=0,(1+Dic2024!$J$6)^(-B547),EXP(LN(INDEX(Dic2024!$K$6:$K$205,C547))+(LN(INDEX(Dic2024!$K$6:$K$205,MIN(C547+1,200)))-LN(INDEX(Dic2024!$K$6:$K$205,C547)))*(A547-6*C547)/6))</f>
        <v>0.0729528509337204</v>
      </c>
      <c r="H547" s="12" t="n">
        <f aca="false">G547^(-1/B547)-1</f>
        <v>0.0595614225000001</v>
      </c>
      <c r="I547" s="12" t="n">
        <f aca="false">(1+H547)^(1/12)-1</f>
        <v>0.004832896799982</v>
      </c>
      <c r="J547" s="16" t="n">
        <f aca="false">IF(C547=0,(1+Dic2024!$M$6)^(-B547),EXP(LN(INDEX(Dic2024!$N$6:$N$205,C547))+(LN(INDEX(Dic2024!$N$6:$N$205,MIN(C547+1,200)))-LN(INDEX(Dic2024!$N$6:$N$205,C547)))*(A547-6*C547)/6))</f>
        <v>0.0729528509337204</v>
      </c>
      <c r="K547" s="12" t="n">
        <f aca="false">J547^(-1/B547)-1</f>
        <v>0.0595614225000001</v>
      </c>
      <c r="L547" s="12" t="n">
        <f aca="false">(1+K547)^(1/12)-1</f>
        <v>0.004832896799982</v>
      </c>
    </row>
    <row r="548" customFormat="false" ht="15" hidden="false" customHeight="false" outlineLevel="0" collapsed="false">
      <c r="A548" s="4" t="n">
        <v>544</v>
      </c>
      <c r="B548" s="14" t="n">
        <f aca="false">A548/12</f>
        <v>45.3333333333333</v>
      </c>
      <c r="C548" s="15" t="n">
        <f aca="false">INT(A548/6)</f>
        <v>90</v>
      </c>
      <c r="D548" s="16" t="n">
        <f aca="false">IF(C548=0,(1+Dic2024!$G$6)^(-B548),EXP(LN(INDEX(Dic2024!$H$6:$H$205,C548))+(LN(INDEX(Dic2024!$H$6:$H$205,MIN(C548+1,200)))-LN(INDEX(Dic2024!$H$6:$H$205,C548)))*(A548-6*C548)/6))</f>
        <v>0.0726019730902999</v>
      </c>
      <c r="E548" s="12" t="n">
        <f aca="false">D548^(-1/B548)-1</f>
        <v>0.0595614225000001</v>
      </c>
      <c r="F548" s="12" t="n">
        <f aca="false">(1+E548)^(1/12)-1</f>
        <v>0.004832896799982</v>
      </c>
      <c r="G548" s="16" t="n">
        <f aca="false">IF(C548=0,(1+Dic2024!$J$6)^(-B548),EXP(LN(INDEX(Dic2024!$K$6:$K$205,C548))+(LN(INDEX(Dic2024!$K$6:$K$205,MIN(C548+1,200)))-LN(INDEX(Dic2024!$K$6:$K$205,C548)))*(A548-6*C548)/6))</f>
        <v>0.0726019730902999</v>
      </c>
      <c r="H548" s="12" t="n">
        <f aca="false">G548^(-1/B548)-1</f>
        <v>0.0595614225000001</v>
      </c>
      <c r="I548" s="12" t="n">
        <f aca="false">(1+H548)^(1/12)-1</f>
        <v>0.004832896799982</v>
      </c>
      <c r="J548" s="16" t="n">
        <f aca="false">IF(C548=0,(1+Dic2024!$M$6)^(-B548),EXP(LN(INDEX(Dic2024!$N$6:$N$205,C548))+(LN(INDEX(Dic2024!$N$6:$N$205,MIN(C548+1,200)))-LN(INDEX(Dic2024!$N$6:$N$205,C548)))*(A548-6*C548)/6))</f>
        <v>0.0726019730902999</v>
      </c>
      <c r="K548" s="12" t="n">
        <f aca="false">J548^(-1/B548)-1</f>
        <v>0.0595614225000001</v>
      </c>
      <c r="L548" s="12" t="n">
        <f aca="false">(1+K548)^(1/12)-1</f>
        <v>0.004832896799982</v>
      </c>
    </row>
    <row r="549" customFormat="false" ht="15" hidden="false" customHeight="false" outlineLevel="0" collapsed="false">
      <c r="A549" s="4" t="n">
        <v>545</v>
      </c>
      <c r="B549" s="14" t="n">
        <f aca="false">A549/12</f>
        <v>45.4166666666667</v>
      </c>
      <c r="C549" s="15" t="n">
        <f aca="false">INT(A549/6)</f>
        <v>90</v>
      </c>
      <c r="D549" s="16" t="n">
        <f aca="false">IF(C549=0,(1+Dic2024!$G$6)^(-B549),EXP(LN(INDEX(Dic2024!$H$6:$H$205,C549))+(LN(INDEX(Dic2024!$H$6:$H$205,MIN(C549+1,200)))-LN(INDEX(Dic2024!$H$6:$H$205,C549)))*(A549-6*C549)/6))</f>
        <v>0.0722527828472875</v>
      </c>
      <c r="E549" s="12" t="n">
        <f aca="false">D549^(-1/B549)-1</f>
        <v>0.0595614225000001</v>
      </c>
      <c r="F549" s="12" t="n">
        <f aca="false">(1+E549)^(1/12)-1</f>
        <v>0.004832896799982</v>
      </c>
      <c r="G549" s="16" t="n">
        <f aca="false">IF(C549=0,(1+Dic2024!$J$6)^(-B549),EXP(LN(INDEX(Dic2024!$K$6:$K$205,C549))+(LN(INDEX(Dic2024!$K$6:$K$205,MIN(C549+1,200)))-LN(INDEX(Dic2024!$K$6:$K$205,C549)))*(A549-6*C549)/6))</f>
        <v>0.0722527828472875</v>
      </c>
      <c r="H549" s="12" t="n">
        <f aca="false">G549^(-1/B549)-1</f>
        <v>0.0595614225000001</v>
      </c>
      <c r="I549" s="12" t="n">
        <f aca="false">(1+H549)^(1/12)-1</f>
        <v>0.004832896799982</v>
      </c>
      <c r="J549" s="16" t="n">
        <f aca="false">IF(C549=0,(1+Dic2024!$M$6)^(-B549),EXP(LN(INDEX(Dic2024!$N$6:$N$205,C549))+(LN(INDEX(Dic2024!$N$6:$N$205,MIN(C549+1,200)))-LN(INDEX(Dic2024!$N$6:$N$205,C549)))*(A549-6*C549)/6))</f>
        <v>0.0722527828472875</v>
      </c>
      <c r="K549" s="12" t="n">
        <f aca="false">J549^(-1/B549)-1</f>
        <v>0.0595614225000001</v>
      </c>
      <c r="L549" s="12" t="n">
        <f aca="false">(1+K549)^(1/12)-1</f>
        <v>0.004832896799982</v>
      </c>
    </row>
    <row r="550" customFormat="false" ht="15" hidden="false" customHeight="false" outlineLevel="0" collapsed="false">
      <c r="A550" s="4" t="n">
        <v>546</v>
      </c>
      <c r="B550" s="14" t="n">
        <f aca="false">A550/12</f>
        <v>45.5</v>
      </c>
      <c r="C550" s="15" t="n">
        <f aca="false">INT(A550/6)</f>
        <v>91</v>
      </c>
      <c r="D550" s="16" t="n">
        <f aca="false">IF(C550=0,(1+Dic2024!$G$6)^(-B550),EXP(LN(INDEX(Dic2024!$H$6:$H$205,C550))+(LN(INDEX(Dic2024!$H$6:$H$205,MIN(C550+1,200)))-LN(INDEX(Dic2024!$H$6:$H$205,C550)))*(A550-6*C550)/6))</f>
        <v>0.071905272087912</v>
      </c>
      <c r="E550" s="12" t="n">
        <f aca="false">D550^(-1/B550)-1</f>
        <v>0.0595614225000001</v>
      </c>
      <c r="F550" s="12" t="n">
        <f aca="false">(1+E550)^(1/12)-1</f>
        <v>0.004832896799982</v>
      </c>
      <c r="G550" s="16" t="n">
        <f aca="false">IF(C550=0,(1+Dic2024!$J$6)^(-B550),EXP(LN(INDEX(Dic2024!$K$6:$K$205,C550))+(LN(INDEX(Dic2024!$K$6:$K$205,MIN(C550+1,200)))-LN(INDEX(Dic2024!$K$6:$K$205,C550)))*(A550-6*C550)/6))</f>
        <v>0.071905272087912</v>
      </c>
      <c r="H550" s="12" t="n">
        <f aca="false">G550^(-1/B550)-1</f>
        <v>0.0595614225000001</v>
      </c>
      <c r="I550" s="12" t="n">
        <f aca="false">(1+H550)^(1/12)-1</f>
        <v>0.004832896799982</v>
      </c>
      <c r="J550" s="16" t="n">
        <f aca="false">IF(C550=0,(1+Dic2024!$M$6)^(-B550),EXP(LN(INDEX(Dic2024!$N$6:$N$205,C550))+(LN(INDEX(Dic2024!$N$6:$N$205,MIN(C550+1,200)))-LN(INDEX(Dic2024!$N$6:$N$205,C550)))*(A550-6*C550)/6))</f>
        <v>0.071905272087912</v>
      </c>
      <c r="K550" s="12" t="n">
        <f aca="false">J550^(-1/B550)-1</f>
        <v>0.0595614225000001</v>
      </c>
      <c r="L550" s="12" t="n">
        <f aca="false">(1+K550)^(1/12)-1</f>
        <v>0.004832896799982</v>
      </c>
    </row>
    <row r="551" customFormat="false" ht="15" hidden="false" customHeight="false" outlineLevel="0" collapsed="false">
      <c r="A551" s="4" t="n">
        <v>547</v>
      </c>
      <c r="B551" s="14" t="n">
        <f aca="false">A551/12</f>
        <v>45.5833333333333</v>
      </c>
      <c r="C551" s="15" t="n">
        <f aca="false">INT(A551/6)</f>
        <v>91</v>
      </c>
      <c r="D551" s="16" t="n">
        <f aca="false">IF(C551=0,(1+Dic2024!$G$6)^(-B551),EXP(LN(INDEX(Dic2024!$H$6:$H$205,C551))+(LN(INDEX(Dic2024!$H$6:$H$205,MIN(C551+1,200)))-LN(INDEX(Dic2024!$H$6:$H$205,C551)))*(A551-6*C551)/6))</f>
        <v>0.0715594327344412</v>
      </c>
      <c r="E551" s="12" t="n">
        <f aca="false">D551^(-1/B551)-1</f>
        <v>0.0595614225000001</v>
      </c>
      <c r="F551" s="12" t="n">
        <f aca="false">(1+E551)^(1/12)-1</f>
        <v>0.004832896799982</v>
      </c>
      <c r="G551" s="16" t="n">
        <f aca="false">IF(C551=0,(1+Dic2024!$J$6)^(-B551),EXP(LN(INDEX(Dic2024!$K$6:$K$205,C551))+(LN(INDEX(Dic2024!$K$6:$K$205,MIN(C551+1,200)))-LN(INDEX(Dic2024!$K$6:$K$205,C551)))*(A551-6*C551)/6))</f>
        <v>0.0715594327344412</v>
      </c>
      <c r="H551" s="12" t="n">
        <f aca="false">G551^(-1/B551)-1</f>
        <v>0.0595614225000001</v>
      </c>
      <c r="I551" s="12" t="n">
        <f aca="false">(1+H551)^(1/12)-1</f>
        <v>0.004832896799982</v>
      </c>
      <c r="J551" s="16" t="n">
        <f aca="false">IF(C551=0,(1+Dic2024!$M$6)^(-B551),EXP(LN(INDEX(Dic2024!$N$6:$N$205,C551))+(LN(INDEX(Dic2024!$N$6:$N$205,MIN(C551+1,200)))-LN(INDEX(Dic2024!$N$6:$N$205,C551)))*(A551-6*C551)/6))</f>
        <v>0.0715594327344412</v>
      </c>
      <c r="K551" s="12" t="n">
        <f aca="false">J551^(-1/B551)-1</f>
        <v>0.0595614225000001</v>
      </c>
      <c r="L551" s="12" t="n">
        <f aca="false">(1+K551)^(1/12)-1</f>
        <v>0.004832896799982</v>
      </c>
    </row>
    <row r="552" customFormat="false" ht="15" hidden="false" customHeight="false" outlineLevel="0" collapsed="false">
      <c r="A552" s="4" t="n">
        <v>548</v>
      </c>
      <c r="B552" s="14" t="n">
        <f aca="false">A552/12</f>
        <v>45.6666666666667</v>
      </c>
      <c r="C552" s="15" t="n">
        <f aca="false">INT(A552/6)</f>
        <v>91</v>
      </c>
      <c r="D552" s="16" t="n">
        <f aca="false">IF(C552=0,(1+Dic2024!$G$6)^(-B552),EXP(LN(INDEX(Dic2024!$H$6:$H$205,C552))+(LN(INDEX(Dic2024!$H$6:$H$205,MIN(C552+1,200)))-LN(INDEX(Dic2024!$H$6:$H$205,C552)))*(A552-6*C552)/6))</f>
        <v>0.0712152567479939</v>
      </c>
      <c r="E552" s="12" t="n">
        <f aca="false">D552^(-1/B552)-1</f>
        <v>0.0595614225000001</v>
      </c>
      <c r="F552" s="12" t="n">
        <f aca="false">(1+E552)^(1/12)-1</f>
        <v>0.004832896799982</v>
      </c>
      <c r="G552" s="16" t="n">
        <f aca="false">IF(C552=0,(1+Dic2024!$J$6)^(-B552),EXP(LN(INDEX(Dic2024!$K$6:$K$205,C552))+(LN(INDEX(Dic2024!$K$6:$K$205,MIN(C552+1,200)))-LN(INDEX(Dic2024!$K$6:$K$205,C552)))*(A552-6*C552)/6))</f>
        <v>0.0712152567479939</v>
      </c>
      <c r="H552" s="12" t="n">
        <f aca="false">G552^(-1/B552)-1</f>
        <v>0.0595614225000001</v>
      </c>
      <c r="I552" s="12" t="n">
        <f aca="false">(1+H552)^(1/12)-1</f>
        <v>0.004832896799982</v>
      </c>
      <c r="J552" s="16" t="n">
        <f aca="false">IF(C552=0,(1+Dic2024!$M$6)^(-B552),EXP(LN(INDEX(Dic2024!$N$6:$N$205,C552))+(LN(INDEX(Dic2024!$N$6:$N$205,MIN(C552+1,200)))-LN(INDEX(Dic2024!$N$6:$N$205,C552)))*(A552-6*C552)/6))</f>
        <v>0.0712152567479939</v>
      </c>
      <c r="K552" s="12" t="n">
        <f aca="false">J552^(-1/B552)-1</f>
        <v>0.0595614225000001</v>
      </c>
      <c r="L552" s="12" t="n">
        <f aca="false">(1+K552)^(1/12)-1</f>
        <v>0.004832896799982</v>
      </c>
    </row>
    <row r="553" customFormat="false" ht="15" hidden="false" customHeight="false" outlineLevel="0" collapsed="false">
      <c r="A553" s="4" t="n">
        <v>549</v>
      </c>
      <c r="B553" s="14" t="n">
        <f aca="false">A553/12</f>
        <v>45.75</v>
      </c>
      <c r="C553" s="15" t="n">
        <f aca="false">INT(A553/6)</f>
        <v>91</v>
      </c>
      <c r="D553" s="16" t="n">
        <f aca="false">IF(C553=0,(1+Dic2024!$G$6)^(-B553),EXP(LN(INDEX(Dic2024!$H$6:$H$205,C553))+(LN(INDEX(Dic2024!$H$6:$H$205,MIN(C553+1,200)))-LN(INDEX(Dic2024!$H$6:$H$205,C553)))*(A553-6*C553)/6))</f>
        <v>0.0708727361283533</v>
      </c>
      <c r="E553" s="12" t="n">
        <f aca="false">D553^(-1/B553)-1</f>
        <v>0.0595614225000001</v>
      </c>
      <c r="F553" s="12" t="n">
        <f aca="false">(1+E553)^(1/12)-1</f>
        <v>0.004832896799982</v>
      </c>
      <c r="G553" s="16" t="n">
        <f aca="false">IF(C553=0,(1+Dic2024!$J$6)^(-B553),EXP(LN(INDEX(Dic2024!$K$6:$K$205,C553))+(LN(INDEX(Dic2024!$K$6:$K$205,MIN(C553+1,200)))-LN(INDEX(Dic2024!$K$6:$K$205,C553)))*(A553-6*C553)/6))</f>
        <v>0.0708727361283533</v>
      </c>
      <c r="H553" s="12" t="n">
        <f aca="false">G553^(-1/B553)-1</f>
        <v>0.0595614225000001</v>
      </c>
      <c r="I553" s="12" t="n">
        <f aca="false">(1+H553)^(1/12)-1</f>
        <v>0.004832896799982</v>
      </c>
      <c r="J553" s="16" t="n">
        <f aca="false">IF(C553=0,(1+Dic2024!$M$6)^(-B553),EXP(LN(INDEX(Dic2024!$N$6:$N$205,C553))+(LN(INDEX(Dic2024!$N$6:$N$205,MIN(C553+1,200)))-LN(INDEX(Dic2024!$N$6:$N$205,C553)))*(A553-6*C553)/6))</f>
        <v>0.0708727361283533</v>
      </c>
      <c r="K553" s="12" t="n">
        <f aca="false">J553^(-1/B553)-1</f>
        <v>0.0595614225000001</v>
      </c>
      <c r="L553" s="12" t="n">
        <f aca="false">(1+K553)^(1/12)-1</f>
        <v>0.004832896799982</v>
      </c>
    </row>
    <row r="554" customFormat="false" ht="15" hidden="false" customHeight="false" outlineLevel="0" collapsed="false">
      <c r="A554" s="4" t="n">
        <v>550</v>
      </c>
      <c r="B554" s="14" t="n">
        <f aca="false">A554/12</f>
        <v>45.8333333333333</v>
      </c>
      <c r="C554" s="15" t="n">
        <f aca="false">INT(A554/6)</f>
        <v>91</v>
      </c>
      <c r="D554" s="16" t="n">
        <f aca="false">IF(C554=0,(1+Dic2024!$G$6)^(-B554),EXP(LN(INDEX(Dic2024!$H$6:$H$205,C554))+(LN(INDEX(Dic2024!$H$6:$H$205,MIN(C554+1,200)))-LN(INDEX(Dic2024!$H$6:$H$205,C554)))*(A554-6*C554)/6))</f>
        <v>0.0705318629137805</v>
      </c>
      <c r="E554" s="12" t="n">
        <f aca="false">D554^(-1/B554)-1</f>
        <v>0.0595614225000001</v>
      </c>
      <c r="F554" s="12" t="n">
        <f aca="false">(1+E554)^(1/12)-1</f>
        <v>0.004832896799982</v>
      </c>
      <c r="G554" s="16" t="n">
        <f aca="false">IF(C554=0,(1+Dic2024!$J$6)^(-B554),EXP(LN(INDEX(Dic2024!$K$6:$K$205,C554))+(LN(INDEX(Dic2024!$K$6:$K$205,MIN(C554+1,200)))-LN(INDEX(Dic2024!$K$6:$K$205,C554)))*(A554-6*C554)/6))</f>
        <v>0.0705318629137805</v>
      </c>
      <c r="H554" s="12" t="n">
        <f aca="false">G554^(-1/B554)-1</f>
        <v>0.0595614225000001</v>
      </c>
      <c r="I554" s="12" t="n">
        <f aca="false">(1+H554)^(1/12)-1</f>
        <v>0.004832896799982</v>
      </c>
      <c r="J554" s="16" t="n">
        <f aca="false">IF(C554=0,(1+Dic2024!$M$6)^(-B554),EXP(LN(INDEX(Dic2024!$N$6:$N$205,C554))+(LN(INDEX(Dic2024!$N$6:$N$205,MIN(C554+1,200)))-LN(INDEX(Dic2024!$N$6:$N$205,C554)))*(A554-6*C554)/6))</f>
        <v>0.0705318629137805</v>
      </c>
      <c r="K554" s="12" t="n">
        <f aca="false">J554^(-1/B554)-1</f>
        <v>0.0595614225000001</v>
      </c>
      <c r="L554" s="12" t="n">
        <f aca="false">(1+K554)^(1/12)-1</f>
        <v>0.004832896799982</v>
      </c>
    </row>
    <row r="555" customFormat="false" ht="15" hidden="false" customHeight="false" outlineLevel="0" collapsed="false">
      <c r="A555" s="4" t="n">
        <v>551</v>
      </c>
      <c r="B555" s="14" t="n">
        <f aca="false">A555/12</f>
        <v>45.9166666666667</v>
      </c>
      <c r="C555" s="15" t="n">
        <f aca="false">INT(A555/6)</f>
        <v>91</v>
      </c>
      <c r="D555" s="16" t="n">
        <f aca="false">IF(C555=0,(1+Dic2024!$G$6)^(-B555),EXP(LN(INDEX(Dic2024!$H$6:$H$205,C555))+(LN(INDEX(Dic2024!$H$6:$H$205,MIN(C555+1,200)))-LN(INDEX(Dic2024!$H$6:$H$205,C555)))*(A555-6*C555)/6))</f>
        <v>0.0701926291808301</v>
      </c>
      <c r="E555" s="12" t="n">
        <f aca="false">D555^(-1/B555)-1</f>
        <v>0.0595614225000001</v>
      </c>
      <c r="F555" s="12" t="n">
        <f aca="false">(1+E555)^(1/12)-1</f>
        <v>0.004832896799982</v>
      </c>
      <c r="G555" s="16" t="n">
        <f aca="false">IF(C555=0,(1+Dic2024!$J$6)^(-B555),EXP(LN(INDEX(Dic2024!$K$6:$K$205,C555))+(LN(INDEX(Dic2024!$K$6:$K$205,MIN(C555+1,200)))-LN(INDEX(Dic2024!$K$6:$K$205,C555)))*(A555-6*C555)/6))</f>
        <v>0.0701926291808301</v>
      </c>
      <c r="H555" s="12" t="n">
        <f aca="false">G555^(-1/B555)-1</f>
        <v>0.0595614225000001</v>
      </c>
      <c r="I555" s="12" t="n">
        <f aca="false">(1+H555)^(1/12)-1</f>
        <v>0.004832896799982</v>
      </c>
      <c r="J555" s="16" t="n">
        <f aca="false">IF(C555=0,(1+Dic2024!$M$6)^(-B555),EXP(LN(INDEX(Dic2024!$N$6:$N$205,C555))+(LN(INDEX(Dic2024!$N$6:$N$205,MIN(C555+1,200)))-LN(INDEX(Dic2024!$N$6:$N$205,C555)))*(A555-6*C555)/6))</f>
        <v>0.0701926291808301</v>
      </c>
      <c r="K555" s="12" t="n">
        <f aca="false">J555^(-1/B555)-1</f>
        <v>0.0595614225000001</v>
      </c>
      <c r="L555" s="12" t="n">
        <f aca="false">(1+K555)^(1/12)-1</f>
        <v>0.004832896799982</v>
      </c>
    </row>
    <row r="556" customFormat="false" ht="15" hidden="false" customHeight="false" outlineLevel="0" collapsed="false">
      <c r="A556" s="4" t="n">
        <v>552</v>
      </c>
      <c r="B556" s="14" t="n">
        <f aca="false">A556/12</f>
        <v>46</v>
      </c>
      <c r="C556" s="15" t="n">
        <f aca="false">INT(A556/6)</f>
        <v>92</v>
      </c>
      <c r="D556" s="16" t="n">
        <f aca="false">IF(C556=0,(1+Dic2024!$G$6)^(-B556),EXP(LN(INDEX(Dic2024!$H$6:$H$205,C556))+(LN(INDEX(Dic2024!$H$6:$H$205,MIN(C556+1,200)))-LN(INDEX(Dic2024!$H$6:$H$205,C556)))*(A556-6*C556)/6))</f>
        <v>0.0698550270441657</v>
      </c>
      <c r="E556" s="12" t="n">
        <f aca="false">D556^(-1/B556)-1</f>
        <v>0.0595614225000001</v>
      </c>
      <c r="F556" s="12" t="n">
        <f aca="false">(1+E556)^(1/12)-1</f>
        <v>0.004832896799982</v>
      </c>
      <c r="G556" s="16" t="n">
        <f aca="false">IF(C556=0,(1+Dic2024!$J$6)^(-B556),EXP(LN(INDEX(Dic2024!$K$6:$K$205,C556))+(LN(INDEX(Dic2024!$K$6:$K$205,MIN(C556+1,200)))-LN(INDEX(Dic2024!$K$6:$K$205,C556)))*(A556-6*C556)/6))</f>
        <v>0.0698550270441657</v>
      </c>
      <c r="H556" s="12" t="n">
        <f aca="false">G556^(-1/B556)-1</f>
        <v>0.0595614225000001</v>
      </c>
      <c r="I556" s="12" t="n">
        <f aca="false">(1+H556)^(1/12)-1</f>
        <v>0.004832896799982</v>
      </c>
      <c r="J556" s="16" t="n">
        <f aca="false">IF(C556=0,(1+Dic2024!$M$6)^(-B556),EXP(LN(INDEX(Dic2024!$N$6:$N$205,C556))+(LN(INDEX(Dic2024!$N$6:$N$205,MIN(C556+1,200)))-LN(INDEX(Dic2024!$N$6:$N$205,C556)))*(A556-6*C556)/6))</f>
        <v>0.0698550270441657</v>
      </c>
      <c r="K556" s="12" t="n">
        <f aca="false">J556^(-1/B556)-1</f>
        <v>0.0595614225000001</v>
      </c>
      <c r="L556" s="12" t="n">
        <f aca="false">(1+K556)^(1/12)-1</f>
        <v>0.004832896799982</v>
      </c>
    </row>
    <row r="557" customFormat="false" ht="15" hidden="false" customHeight="false" outlineLevel="0" collapsed="false">
      <c r="A557" s="4" t="n">
        <v>553</v>
      </c>
      <c r="B557" s="14" t="n">
        <f aca="false">A557/12</f>
        <v>46.0833333333333</v>
      </c>
      <c r="C557" s="15" t="n">
        <f aca="false">INT(A557/6)</f>
        <v>92</v>
      </c>
      <c r="D557" s="16" t="n">
        <f aca="false">IF(C557=0,(1+Dic2024!$G$6)^(-B557),EXP(LN(INDEX(Dic2024!$H$6:$H$205,C557))+(LN(INDEX(Dic2024!$H$6:$H$205,MIN(C557+1,200)))-LN(INDEX(Dic2024!$H$6:$H$205,C557)))*(A557-6*C557)/6))</f>
        <v>0.0695190486563766</v>
      </c>
      <c r="E557" s="12" t="n">
        <f aca="false">D557^(-1/B557)-1</f>
        <v>0.0595614225000001</v>
      </c>
      <c r="F557" s="12" t="n">
        <f aca="false">(1+E557)^(1/12)-1</f>
        <v>0.004832896799982</v>
      </c>
      <c r="G557" s="16" t="n">
        <f aca="false">IF(C557=0,(1+Dic2024!$J$6)^(-B557),EXP(LN(INDEX(Dic2024!$K$6:$K$205,C557))+(LN(INDEX(Dic2024!$K$6:$K$205,MIN(C557+1,200)))-LN(INDEX(Dic2024!$K$6:$K$205,C557)))*(A557-6*C557)/6))</f>
        <v>0.0695190486563766</v>
      </c>
      <c r="H557" s="12" t="n">
        <f aca="false">G557^(-1/B557)-1</f>
        <v>0.0595614225000001</v>
      </c>
      <c r="I557" s="12" t="n">
        <f aca="false">(1+H557)^(1/12)-1</f>
        <v>0.004832896799982</v>
      </c>
      <c r="J557" s="16" t="n">
        <f aca="false">IF(C557=0,(1+Dic2024!$M$6)^(-B557),EXP(LN(INDEX(Dic2024!$N$6:$N$205,C557))+(LN(INDEX(Dic2024!$N$6:$N$205,MIN(C557+1,200)))-LN(INDEX(Dic2024!$N$6:$N$205,C557)))*(A557-6*C557)/6))</f>
        <v>0.0695190486563766</v>
      </c>
      <c r="K557" s="12" t="n">
        <f aca="false">J557^(-1/B557)-1</f>
        <v>0.0595614225000001</v>
      </c>
      <c r="L557" s="12" t="n">
        <f aca="false">(1+K557)^(1/12)-1</f>
        <v>0.004832896799982</v>
      </c>
    </row>
    <row r="558" customFormat="false" ht="15" hidden="false" customHeight="false" outlineLevel="0" collapsed="false">
      <c r="A558" s="4" t="n">
        <v>554</v>
      </c>
      <c r="B558" s="14" t="n">
        <f aca="false">A558/12</f>
        <v>46.1666666666667</v>
      </c>
      <c r="C558" s="15" t="n">
        <f aca="false">INT(A558/6)</f>
        <v>92</v>
      </c>
      <c r="D558" s="16" t="n">
        <f aca="false">IF(C558=0,(1+Dic2024!$G$6)^(-B558),EXP(LN(INDEX(Dic2024!$H$6:$H$205,C558))+(LN(INDEX(Dic2024!$H$6:$H$205,MIN(C558+1,200)))-LN(INDEX(Dic2024!$H$6:$H$205,C558)))*(A558-6*C558)/6))</f>
        <v>0.0691846862077951</v>
      </c>
      <c r="E558" s="12" t="n">
        <f aca="false">D558^(-1/B558)-1</f>
        <v>0.0595614225000001</v>
      </c>
      <c r="F558" s="12" t="n">
        <f aca="false">(1+E558)^(1/12)-1</f>
        <v>0.004832896799982</v>
      </c>
      <c r="G558" s="16" t="n">
        <f aca="false">IF(C558=0,(1+Dic2024!$J$6)^(-B558),EXP(LN(INDEX(Dic2024!$K$6:$K$205,C558))+(LN(INDEX(Dic2024!$K$6:$K$205,MIN(C558+1,200)))-LN(INDEX(Dic2024!$K$6:$K$205,C558)))*(A558-6*C558)/6))</f>
        <v>0.0691846862077951</v>
      </c>
      <c r="H558" s="12" t="n">
        <f aca="false">G558^(-1/B558)-1</f>
        <v>0.0595614225000001</v>
      </c>
      <c r="I558" s="12" t="n">
        <f aca="false">(1+H558)^(1/12)-1</f>
        <v>0.004832896799982</v>
      </c>
      <c r="J558" s="16" t="n">
        <f aca="false">IF(C558=0,(1+Dic2024!$M$6)^(-B558),EXP(LN(INDEX(Dic2024!$N$6:$N$205,C558))+(LN(INDEX(Dic2024!$N$6:$N$205,MIN(C558+1,200)))-LN(INDEX(Dic2024!$N$6:$N$205,C558)))*(A558-6*C558)/6))</f>
        <v>0.0691846862077951</v>
      </c>
      <c r="K558" s="12" t="n">
        <f aca="false">J558^(-1/B558)-1</f>
        <v>0.0595614225000001</v>
      </c>
      <c r="L558" s="12" t="n">
        <f aca="false">(1+K558)^(1/12)-1</f>
        <v>0.004832896799982</v>
      </c>
    </row>
    <row r="559" customFormat="false" ht="15" hidden="false" customHeight="false" outlineLevel="0" collapsed="false">
      <c r="A559" s="4" t="n">
        <v>555</v>
      </c>
      <c r="B559" s="14" t="n">
        <f aca="false">A559/12</f>
        <v>46.25</v>
      </c>
      <c r="C559" s="15" t="n">
        <f aca="false">INT(A559/6)</f>
        <v>92</v>
      </c>
      <c r="D559" s="16" t="n">
        <f aca="false">IF(C559=0,(1+Dic2024!$G$6)^(-B559),EXP(LN(INDEX(Dic2024!$H$6:$H$205,C559))+(LN(INDEX(Dic2024!$H$6:$H$205,MIN(C559+1,200)))-LN(INDEX(Dic2024!$H$6:$H$205,C559)))*(A559-6*C559)/6))</f>
        <v>0.0688519319263159</v>
      </c>
      <c r="E559" s="12" t="n">
        <f aca="false">D559^(-1/B559)-1</f>
        <v>0.0595614225000001</v>
      </c>
      <c r="F559" s="12" t="n">
        <f aca="false">(1+E559)^(1/12)-1</f>
        <v>0.004832896799982</v>
      </c>
      <c r="G559" s="16" t="n">
        <f aca="false">IF(C559=0,(1+Dic2024!$J$6)^(-B559),EXP(LN(INDEX(Dic2024!$K$6:$K$205,C559))+(LN(INDEX(Dic2024!$K$6:$K$205,MIN(C559+1,200)))-LN(INDEX(Dic2024!$K$6:$K$205,C559)))*(A559-6*C559)/6))</f>
        <v>0.0688519319263159</v>
      </c>
      <c r="H559" s="12" t="n">
        <f aca="false">G559^(-1/B559)-1</f>
        <v>0.0595614225000001</v>
      </c>
      <c r="I559" s="12" t="n">
        <f aca="false">(1+H559)^(1/12)-1</f>
        <v>0.004832896799982</v>
      </c>
      <c r="J559" s="16" t="n">
        <f aca="false">IF(C559=0,(1+Dic2024!$M$6)^(-B559),EXP(LN(INDEX(Dic2024!$N$6:$N$205,C559))+(LN(INDEX(Dic2024!$N$6:$N$205,MIN(C559+1,200)))-LN(INDEX(Dic2024!$N$6:$N$205,C559)))*(A559-6*C559)/6))</f>
        <v>0.0688519319263159</v>
      </c>
      <c r="K559" s="12" t="n">
        <f aca="false">J559^(-1/B559)-1</f>
        <v>0.0595614225000001</v>
      </c>
      <c r="L559" s="12" t="n">
        <f aca="false">(1+K559)^(1/12)-1</f>
        <v>0.004832896799982</v>
      </c>
    </row>
    <row r="560" customFormat="false" ht="15" hidden="false" customHeight="false" outlineLevel="0" collapsed="false">
      <c r="A560" s="4" t="n">
        <v>556</v>
      </c>
      <c r="B560" s="14" t="n">
        <f aca="false">A560/12</f>
        <v>46.3333333333333</v>
      </c>
      <c r="C560" s="15" t="n">
        <f aca="false">INT(A560/6)</f>
        <v>92</v>
      </c>
      <c r="D560" s="16" t="n">
        <f aca="false">IF(C560=0,(1+Dic2024!$G$6)^(-B560),EXP(LN(INDEX(Dic2024!$H$6:$H$205,C560))+(LN(INDEX(Dic2024!$H$6:$H$205,MIN(C560+1,200)))-LN(INDEX(Dic2024!$H$6:$H$205,C560)))*(A560-6*C560)/6))</f>
        <v>0.0685207780772142</v>
      </c>
      <c r="E560" s="12" t="n">
        <f aca="false">D560^(-1/B560)-1</f>
        <v>0.0595614225000001</v>
      </c>
      <c r="F560" s="12" t="n">
        <f aca="false">(1+E560)^(1/12)-1</f>
        <v>0.004832896799982</v>
      </c>
      <c r="G560" s="16" t="n">
        <f aca="false">IF(C560=0,(1+Dic2024!$J$6)^(-B560),EXP(LN(INDEX(Dic2024!$K$6:$K$205,C560))+(LN(INDEX(Dic2024!$K$6:$K$205,MIN(C560+1,200)))-LN(INDEX(Dic2024!$K$6:$K$205,C560)))*(A560-6*C560)/6))</f>
        <v>0.0685207780772142</v>
      </c>
      <c r="H560" s="12" t="n">
        <f aca="false">G560^(-1/B560)-1</f>
        <v>0.0595614225000001</v>
      </c>
      <c r="I560" s="12" t="n">
        <f aca="false">(1+H560)^(1/12)-1</f>
        <v>0.004832896799982</v>
      </c>
      <c r="J560" s="16" t="n">
        <f aca="false">IF(C560=0,(1+Dic2024!$M$6)^(-B560),EXP(LN(INDEX(Dic2024!$N$6:$N$205,C560))+(LN(INDEX(Dic2024!$N$6:$N$205,MIN(C560+1,200)))-LN(INDEX(Dic2024!$N$6:$N$205,C560)))*(A560-6*C560)/6))</f>
        <v>0.0685207780772142</v>
      </c>
      <c r="K560" s="12" t="n">
        <f aca="false">J560^(-1/B560)-1</f>
        <v>0.0595614225000001</v>
      </c>
      <c r="L560" s="12" t="n">
        <f aca="false">(1+K560)^(1/12)-1</f>
        <v>0.004832896799982</v>
      </c>
    </row>
    <row r="561" customFormat="false" ht="15" hidden="false" customHeight="false" outlineLevel="0" collapsed="false">
      <c r="A561" s="4" t="n">
        <v>557</v>
      </c>
      <c r="B561" s="14" t="n">
        <f aca="false">A561/12</f>
        <v>46.4166666666667</v>
      </c>
      <c r="C561" s="15" t="n">
        <f aca="false">INT(A561/6)</f>
        <v>92</v>
      </c>
      <c r="D561" s="16" t="n">
        <f aca="false">IF(C561=0,(1+Dic2024!$G$6)^(-B561),EXP(LN(INDEX(Dic2024!$H$6:$H$205,C561))+(LN(INDEX(Dic2024!$H$6:$H$205,MIN(C561+1,200)))-LN(INDEX(Dic2024!$H$6:$H$205,C561)))*(A561-6*C561)/6))</f>
        <v>0.068191216962967</v>
      </c>
      <c r="E561" s="12" t="n">
        <f aca="false">D561^(-1/B561)-1</f>
        <v>0.0595614225000001</v>
      </c>
      <c r="F561" s="12" t="n">
        <f aca="false">(1+E561)^(1/12)-1</f>
        <v>0.004832896799982</v>
      </c>
      <c r="G561" s="16" t="n">
        <f aca="false">IF(C561=0,(1+Dic2024!$J$6)^(-B561),EXP(LN(INDEX(Dic2024!$K$6:$K$205,C561))+(LN(INDEX(Dic2024!$K$6:$K$205,MIN(C561+1,200)))-LN(INDEX(Dic2024!$K$6:$K$205,C561)))*(A561-6*C561)/6))</f>
        <v>0.068191216962967</v>
      </c>
      <c r="H561" s="12" t="n">
        <f aca="false">G561^(-1/B561)-1</f>
        <v>0.0595614225000001</v>
      </c>
      <c r="I561" s="12" t="n">
        <f aca="false">(1+H561)^(1/12)-1</f>
        <v>0.004832896799982</v>
      </c>
      <c r="J561" s="16" t="n">
        <f aca="false">IF(C561=0,(1+Dic2024!$M$6)^(-B561),EXP(LN(INDEX(Dic2024!$N$6:$N$205,C561))+(LN(INDEX(Dic2024!$N$6:$N$205,MIN(C561+1,200)))-LN(INDEX(Dic2024!$N$6:$N$205,C561)))*(A561-6*C561)/6))</f>
        <v>0.068191216962967</v>
      </c>
      <c r="K561" s="12" t="n">
        <f aca="false">J561^(-1/B561)-1</f>
        <v>0.0595614225000001</v>
      </c>
      <c r="L561" s="12" t="n">
        <f aca="false">(1+K561)^(1/12)-1</f>
        <v>0.004832896799982</v>
      </c>
    </row>
    <row r="562" customFormat="false" ht="15" hidden="false" customHeight="false" outlineLevel="0" collapsed="false">
      <c r="A562" s="4" t="n">
        <v>558</v>
      </c>
      <c r="B562" s="14" t="n">
        <f aca="false">A562/12</f>
        <v>46.5</v>
      </c>
      <c r="C562" s="15" t="n">
        <f aca="false">INT(A562/6)</f>
        <v>93</v>
      </c>
      <c r="D562" s="16" t="n">
        <f aca="false">IF(C562=0,(1+Dic2024!$G$6)^(-B562),EXP(LN(INDEX(Dic2024!$H$6:$H$205,C562))+(LN(INDEX(Dic2024!$H$6:$H$205,MIN(C562+1,200)))-LN(INDEX(Dic2024!$H$6:$H$205,C562)))*(A562-6*C562)/6))</f>
        <v>0.0678632409230735</v>
      </c>
      <c r="E562" s="12" t="n">
        <f aca="false">D562^(-1/B562)-1</f>
        <v>0.0595614225000001</v>
      </c>
      <c r="F562" s="12" t="n">
        <f aca="false">(1+E562)^(1/12)-1</f>
        <v>0.004832896799982</v>
      </c>
      <c r="G562" s="16" t="n">
        <f aca="false">IF(C562=0,(1+Dic2024!$J$6)^(-B562),EXP(LN(INDEX(Dic2024!$K$6:$K$205,C562))+(LN(INDEX(Dic2024!$K$6:$K$205,MIN(C562+1,200)))-LN(INDEX(Dic2024!$K$6:$K$205,C562)))*(A562-6*C562)/6))</f>
        <v>0.0678632409230735</v>
      </c>
      <c r="H562" s="12" t="n">
        <f aca="false">G562^(-1/B562)-1</f>
        <v>0.0595614225000001</v>
      </c>
      <c r="I562" s="12" t="n">
        <f aca="false">(1+H562)^(1/12)-1</f>
        <v>0.004832896799982</v>
      </c>
      <c r="J562" s="16" t="n">
        <f aca="false">IF(C562=0,(1+Dic2024!$M$6)^(-B562),EXP(LN(INDEX(Dic2024!$N$6:$N$205,C562))+(LN(INDEX(Dic2024!$N$6:$N$205,MIN(C562+1,200)))-LN(INDEX(Dic2024!$N$6:$N$205,C562)))*(A562-6*C562)/6))</f>
        <v>0.0678632409230735</v>
      </c>
      <c r="K562" s="12" t="n">
        <f aca="false">J562^(-1/B562)-1</f>
        <v>0.0595614225000001</v>
      </c>
      <c r="L562" s="12" t="n">
        <f aca="false">(1+K562)^(1/12)-1</f>
        <v>0.004832896799982</v>
      </c>
    </row>
    <row r="563" customFormat="false" ht="15" hidden="false" customHeight="false" outlineLevel="0" collapsed="false">
      <c r="A563" s="4" t="n">
        <v>559</v>
      </c>
      <c r="B563" s="14" t="n">
        <f aca="false">A563/12</f>
        <v>46.5833333333333</v>
      </c>
      <c r="C563" s="15" t="n">
        <f aca="false">INT(A563/6)</f>
        <v>93</v>
      </c>
      <c r="D563" s="16" t="n">
        <f aca="false">IF(C563=0,(1+Dic2024!$G$6)^(-B563),EXP(LN(INDEX(Dic2024!$H$6:$H$205,C563))+(LN(INDEX(Dic2024!$H$6:$H$205,MIN(C563+1,200)))-LN(INDEX(Dic2024!$H$6:$H$205,C563)))*(A563-6*C563)/6))</f>
        <v>0.0674854677273774</v>
      </c>
      <c r="E563" s="12" t="n">
        <f aca="false">D563^(-1/B563)-1</f>
        <v>0.059578731505435</v>
      </c>
      <c r="F563" s="12" t="n">
        <f aca="false">(1+E563)^(1/12)-1</f>
        <v>0.00483426470304993</v>
      </c>
      <c r="G563" s="16" t="n">
        <f aca="false">IF(C563=0,(1+Dic2024!$J$6)^(-B563),EXP(LN(INDEX(Dic2024!$K$6:$K$205,C563))+(LN(INDEX(Dic2024!$K$6:$K$205,MIN(C563+1,200)))-LN(INDEX(Dic2024!$K$6:$K$205,C563)))*(A563-6*C563)/6))</f>
        <v>0.0674854677273774</v>
      </c>
      <c r="H563" s="12" t="n">
        <f aca="false">G563^(-1/B563)-1</f>
        <v>0.059578731505435</v>
      </c>
      <c r="I563" s="12" t="n">
        <f aca="false">(1+H563)^(1/12)-1</f>
        <v>0.00483426470304993</v>
      </c>
      <c r="J563" s="16" t="n">
        <f aca="false">IF(C563=0,(1+Dic2024!$M$6)^(-B563),EXP(LN(INDEX(Dic2024!$N$6:$N$205,C563))+(LN(INDEX(Dic2024!$N$6:$N$205,MIN(C563+1,200)))-LN(INDEX(Dic2024!$N$6:$N$205,C563)))*(A563-6*C563)/6))</f>
        <v>0.0674854677273774</v>
      </c>
      <c r="K563" s="12" t="n">
        <f aca="false">J563^(-1/B563)-1</f>
        <v>0.059578731505435</v>
      </c>
      <c r="L563" s="12" t="n">
        <f aca="false">(1+K563)^(1/12)-1</f>
        <v>0.00483426470304993</v>
      </c>
    </row>
    <row r="564" customFormat="false" ht="15" hidden="false" customHeight="false" outlineLevel="0" collapsed="false">
      <c r="A564" s="4" t="n">
        <v>560</v>
      </c>
      <c r="B564" s="14" t="n">
        <f aca="false">A564/12</f>
        <v>46.6666666666667</v>
      </c>
      <c r="C564" s="15" t="n">
        <f aca="false">INT(A564/6)</f>
        <v>93</v>
      </c>
      <c r="D564" s="16" t="n">
        <f aca="false">IF(C564=0,(1+Dic2024!$G$6)^(-B564),EXP(LN(INDEX(Dic2024!$H$6:$H$205,C564))+(LN(INDEX(Dic2024!$H$6:$H$205,MIN(C564+1,200)))-LN(INDEX(Dic2024!$H$6:$H$205,C564)))*(A564-6*C564)/6))</f>
        <v>0.0671097974755644</v>
      </c>
      <c r="E564" s="12" t="n">
        <f aca="false">D564^(-1/B564)-1</f>
        <v>0.0595959789742409</v>
      </c>
      <c r="F564" s="12" t="n">
        <f aca="false">(1+E564)^(1/12)-1</f>
        <v>0.00483562772260227</v>
      </c>
      <c r="G564" s="16" t="n">
        <f aca="false">IF(C564=0,(1+Dic2024!$J$6)^(-B564),EXP(LN(INDEX(Dic2024!$K$6:$K$205,C564))+(LN(INDEX(Dic2024!$K$6:$K$205,MIN(C564+1,200)))-LN(INDEX(Dic2024!$K$6:$K$205,C564)))*(A564-6*C564)/6))</f>
        <v>0.0671097974755644</v>
      </c>
      <c r="H564" s="12" t="n">
        <f aca="false">G564^(-1/B564)-1</f>
        <v>0.0595959789742409</v>
      </c>
      <c r="I564" s="12" t="n">
        <f aca="false">(1+H564)^(1/12)-1</f>
        <v>0.00483562772260227</v>
      </c>
      <c r="J564" s="16" t="n">
        <f aca="false">IF(C564=0,(1+Dic2024!$M$6)^(-B564),EXP(LN(INDEX(Dic2024!$N$6:$N$205,C564))+(LN(INDEX(Dic2024!$N$6:$N$205,MIN(C564+1,200)))-LN(INDEX(Dic2024!$N$6:$N$205,C564)))*(A564-6*C564)/6))</f>
        <v>0.0671097974755644</v>
      </c>
      <c r="K564" s="12" t="n">
        <f aca="false">J564^(-1/B564)-1</f>
        <v>0.0595959789742409</v>
      </c>
      <c r="L564" s="12" t="n">
        <f aca="false">(1+K564)^(1/12)-1</f>
        <v>0.00483562772260227</v>
      </c>
    </row>
    <row r="565" customFormat="false" ht="15" hidden="false" customHeight="false" outlineLevel="0" collapsed="false">
      <c r="A565" s="4" t="n">
        <v>561</v>
      </c>
      <c r="B565" s="14" t="n">
        <f aca="false">A565/12</f>
        <v>46.75</v>
      </c>
      <c r="C565" s="15" t="n">
        <f aca="false">INT(A565/6)</f>
        <v>93</v>
      </c>
      <c r="D565" s="16" t="n">
        <f aca="false">IF(C565=0,(1+Dic2024!$G$6)^(-B565),EXP(LN(INDEX(Dic2024!$H$6:$H$205,C565))+(LN(INDEX(Dic2024!$H$6:$H$205,MIN(C565+1,200)))-LN(INDEX(Dic2024!$H$6:$H$205,C565)))*(A565-6*C565)/6))</f>
        <v>0.0667362184612111</v>
      </c>
      <c r="E565" s="12" t="n">
        <f aca="false">D565^(-1/B565)-1</f>
        <v>0.0596131652339931</v>
      </c>
      <c r="F565" s="12" t="n">
        <f aca="false">(1+E565)^(1/12)-1</f>
        <v>0.00483698588474368</v>
      </c>
      <c r="G565" s="16" t="n">
        <f aca="false">IF(C565=0,(1+Dic2024!$J$6)^(-B565),EXP(LN(INDEX(Dic2024!$K$6:$K$205,C565))+(LN(INDEX(Dic2024!$K$6:$K$205,MIN(C565+1,200)))-LN(INDEX(Dic2024!$K$6:$K$205,C565)))*(A565-6*C565)/6))</f>
        <v>0.0667362184612111</v>
      </c>
      <c r="H565" s="12" t="n">
        <f aca="false">G565^(-1/B565)-1</f>
        <v>0.0596131652339931</v>
      </c>
      <c r="I565" s="12" t="n">
        <f aca="false">(1+H565)^(1/12)-1</f>
        <v>0.00483698588474368</v>
      </c>
      <c r="J565" s="16" t="n">
        <f aca="false">IF(C565=0,(1+Dic2024!$M$6)^(-B565),EXP(LN(INDEX(Dic2024!$N$6:$N$205,C565))+(LN(INDEX(Dic2024!$N$6:$N$205,MIN(C565+1,200)))-LN(INDEX(Dic2024!$N$6:$N$205,C565)))*(A565-6*C565)/6))</f>
        <v>0.0667362184612111</v>
      </c>
      <c r="K565" s="12" t="n">
        <f aca="false">J565^(-1/B565)-1</f>
        <v>0.0596131652339931</v>
      </c>
      <c r="L565" s="12" t="n">
        <f aca="false">(1+K565)^(1/12)-1</f>
        <v>0.00483698588474368</v>
      </c>
    </row>
    <row r="566" customFormat="false" ht="15" hidden="false" customHeight="false" outlineLevel="0" collapsed="false">
      <c r="A566" s="4" t="n">
        <v>562</v>
      </c>
      <c r="B566" s="14" t="n">
        <f aca="false">A566/12</f>
        <v>46.8333333333333</v>
      </c>
      <c r="C566" s="15" t="n">
        <f aca="false">INT(A566/6)</f>
        <v>93</v>
      </c>
      <c r="D566" s="16" t="n">
        <f aca="false">IF(C566=0,(1+Dic2024!$G$6)^(-B566),EXP(LN(INDEX(Dic2024!$H$6:$H$205,C566))+(LN(INDEX(Dic2024!$H$6:$H$205,MIN(C566+1,200)))-LN(INDEX(Dic2024!$H$6:$H$205,C566)))*(A566-6*C566)/6))</f>
        <v>0.0663647190430601</v>
      </c>
      <c r="E566" s="12" t="n">
        <f aca="false">D566^(-1/B566)-1</f>
        <v>0.0596302906099471</v>
      </c>
      <c r="F566" s="12" t="n">
        <f aca="false">(1+E566)^(1/12)-1</f>
        <v>0.00483833921539389</v>
      </c>
      <c r="G566" s="16" t="n">
        <f aca="false">IF(C566=0,(1+Dic2024!$J$6)^(-B566),EXP(LN(INDEX(Dic2024!$K$6:$K$205,C566))+(LN(INDEX(Dic2024!$K$6:$K$205,MIN(C566+1,200)))-LN(INDEX(Dic2024!$K$6:$K$205,C566)))*(A566-6*C566)/6))</f>
        <v>0.0663647190430601</v>
      </c>
      <c r="H566" s="12" t="n">
        <f aca="false">G566^(-1/B566)-1</f>
        <v>0.0596302906099471</v>
      </c>
      <c r="I566" s="12" t="n">
        <f aca="false">(1+H566)^(1/12)-1</f>
        <v>0.00483833921539389</v>
      </c>
      <c r="J566" s="16" t="n">
        <f aca="false">IF(C566=0,(1+Dic2024!$M$6)^(-B566),EXP(LN(INDEX(Dic2024!$N$6:$N$205,C566))+(LN(INDEX(Dic2024!$N$6:$N$205,MIN(C566+1,200)))-LN(INDEX(Dic2024!$N$6:$N$205,C566)))*(A566-6*C566)/6))</f>
        <v>0.0663647190430601</v>
      </c>
      <c r="K566" s="12" t="n">
        <f aca="false">J566^(-1/B566)-1</f>
        <v>0.0596302906099471</v>
      </c>
      <c r="L566" s="12" t="n">
        <f aca="false">(1+K566)^(1/12)-1</f>
        <v>0.00483833921539389</v>
      </c>
    </row>
    <row r="567" customFormat="false" ht="15" hidden="false" customHeight="false" outlineLevel="0" collapsed="false">
      <c r="A567" s="4" t="n">
        <v>563</v>
      </c>
      <c r="B567" s="14" t="n">
        <f aca="false">A567/12</f>
        <v>46.9166666666667</v>
      </c>
      <c r="C567" s="15" t="n">
        <f aca="false">INT(A567/6)</f>
        <v>93</v>
      </c>
      <c r="D567" s="16" t="n">
        <f aca="false">IF(C567=0,(1+Dic2024!$G$6)^(-B567),EXP(LN(INDEX(Dic2024!$H$6:$H$205,C567))+(LN(INDEX(Dic2024!$H$6:$H$205,MIN(C567+1,200)))-LN(INDEX(Dic2024!$H$6:$H$205,C567)))*(A567-6*C567)/6))</f>
        <v>0.0659952876446571</v>
      </c>
      <c r="E567" s="12" t="n">
        <f aca="false">D567^(-1/B567)-1</f>
        <v>0.0596473554250578</v>
      </c>
      <c r="F567" s="12" t="n">
        <f aca="false">(1+E567)^(1/12)-1</f>
        <v>0.00483968774028831</v>
      </c>
      <c r="G567" s="16" t="n">
        <f aca="false">IF(C567=0,(1+Dic2024!$J$6)^(-B567),EXP(LN(INDEX(Dic2024!$K$6:$K$205,C567))+(LN(INDEX(Dic2024!$K$6:$K$205,MIN(C567+1,200)))-LN(INDEX(Dic2024!$K$6:$K$205,C567)))*(A567-6*C567)/6))</f>
        <v>0.0659952876446571</v>
      </c>
      <c r="H567" s="12" t="n">
        <f aca="false">G567^(-1/B567)-1</f>
        <v>0.0596473554250578</v>
      </c>
      <c r="I567" s="12" t="n">
        <f aca="false">(1+H567)^(1/12)-1</f>
        <v>0.00483968774028831</v>
      </c>
      <c r="J567" s="16" t="n">
        <f aca="false">IF(C567=0,(1+Dic2024!$M$6)^(-B567),EXP(LN(INDEX(Dic2024!$N$6:$N$205,C567))+(LN(INDEX(Dic2024!$N$6:$N$205,MIN(C567+1,200)))-LN(INDEX(Dic2024!$N$6:$N$205,C567)))*(A567-6*C567)/6))</f>
        <v>0.0659952876446571</v>
      </c>
      <c r="K567" s="12" t="n">
        <f aca="false">J567^(-1/B567)-1</f>
        <v>0.0596473554250578</v>
      </c>
      <c r="L567" s="12" t="n">
        <f aca="false">(1+K567)^(1/12)-1</f>
        <v>0.00483968774028831</v>
      </c>
    </row>
    <row r="568" customFormat="false" ht="15" hidden="false" customHeight="false" outlineLevel="0" collapsed="false">
      <c r="A568" s="4" t="n">
        <v>564</v>
      </c>
      <c r="B568" s="14" t="n">
        <f aca="false">A568/12</f>
        <v>47</v>
      </c>
      <c r="C568" s="15" t="n">
        <f aca="false">INT(A568/6)</f>
        <v>94</v>
      </c>
      <c r="D568" s="16" t="n">
        <f aca="false">IF(C568=0,(1+Dic2024!$G$6)^(-B568),EXP(LN(INDEX(Dic2024!$H$6:$H$205,C568))+(LN(INDEX(Dic2024!$H$6:$H$205,MIN(C568+1,200)))-LN(INDEX(Dic2024!$H$6:$H$205,C568)))*(A568-6*C568)/6))</f>
        <v>0.0656279127539904</v>
      </c>
      <c r="E568" s="12" t="n">
        <f aca="false">D568^(-1/B568)-1</f>
        <v>0.0596643600000002</v>
      </c>
      <c r="F568" s="12" t="n">
        <f aca="false">(1+E568)^(1/12)-1</f>
        <v>0.00484103148497961</v>
      </c>
      <c r="G568" s="16" t="n">
        <f aca="false">IF(C568=0,(1+Dic2024!$J$6)^(-B568),EXP(LN(INDEX(Dic2024!$K$6:$K$205,C568))+(LN(INDEX(Dic2024!$K$6:$K$205,MIN(C568+1,200)))-LN(INDEX(Dic2024!$K$6:$K$205,C568)))*(A568-6*C568)/6))</f>
        <v>0.0656279127539904</v>
      </c>
      <c r="H568" s="12" t="n">
        <f aca="false">G568^(-1/B568)-1</f>
        <v>0.0596643600000002</v>
      </c>
      <c r="I568" s="12" t="n">
        <f aca="false">(1+H568)^(1/12)-1</f>
        <v>0.00484103148497961</v>
      </c>
      <c r="J568" s="16" t="n">
        <f aca="false">IF(C568=0,(1+Dic2024!$M$6)^(-B568),EXP(LN(INDEX(Dic2024!$N$6:$N$205,C568))+(LN(INDEX(Dic2024!$N$6:$N$205,MIN(C568+1,200)))-LN(INDEX(Dic2024!$N$6:$N$205,C568)))*(A568-6*C568)/6))</f>
        <v>0.0656279127539904</v>
      </c>
      <c r="K568" s="12" t="n">
        <f aca="false">J568^(-1/B568)-1</f>
        <v>0.0596643600000002</v>
      </c>
      <c r="L568" s="12" t="n">
        <f aca="false">(1+K568)^(1/12)-1</f>
        <v>0.00484103148497961</v>
      </c>
    </row>
    <row r="569" customFormat="false" ht="15" hidden="false" customHeight="false" outlineLevel="0" collapsed="false">
      <c r="A569" s="4" t="n">
        <v>565</v>
      </c>
      <c r="B569" s="14" t="n">
        <f aca="false">A569/12</f>
        <v>47.0833333333333</v>
      </c>
      <c r="C569" s="15" t="n">
        <f aca="false">INT(A569/6)</f>
        <v>94</v>
      </c>
      <c r="D569" s="16" t="n">
        <f aca="false">IF(C569=0,(1+Dic2024!$G$6)^(-B569),EXP(LN(INDEX(Dic2024!$H$6:$H$205,C569))+(LN(INDEX(Dic2024!$H$6:$H$205,MIN(C569+1,200)))-LN(INDEX(Dic2024!$H$6:$H$205,C569)))*(A569-6*C569)/6))</f>
        <v>0.0653117365808637</v>
      </c>
      <c r="E569" s="12" t="n">
        <f aca="false">D569^(-1/B569)-1</f>
        <v>0.0596643600000002</v>
      </c>
      <c r="F569" s="12" t="n">
        <f aca="false">(1+E569)^(1/12)-1</f>
        <v>0.00484103148497961</v>
      </c>
      <c r="G569" s="16" t="n">
        <f aca="false">IF(C569=0,(1+Dic2024!$J$6)^(-B569),EXP(LN(INDEX(Dic2024!$K$6:$K$205,C569))+(LN(INDEX(Dic2024!$K$6:$K$205,MIN(C569+1,200)))-LN(INDEX(Dic2024!$K$6:$K$205,C569)))*(A569-6*C569)/6))</f>
        <v>0.0653117365808637</v>
      </c>
      <c r="H569" s="12" t="n">
        <f aca="false">G569^(-1/B569)-1</f>
        <v>0.0596643600000002</v>
      </c>
      <c r="I569" s="12" t="n">
        <f aca="false">(1+H569)^(1/12)-1</f>
        <v>0.00484103148497961</v>
      </c>
      <c r="J569" s="16" t="n">
        <f aca="false">IF(C569=0,(1+Dic2024!$M$6)^(-B569),EXP(LN(INDEX(Dic2024!$N$6:$N$205,C569))+(LN(INDEX(Dic2024!$N$6:$N$205,MIN(C569+1,200)))-LN(INDEX(Dic2024!$N$6:$N$205,C569)))*(A569-6*C569)/6))</f>
        <v>0.0653117365808637</v>
      </c>
      <c r="K569" s="12" t="n">
        <f aca="false">J569^(-1/B569)-1</f>
        <v>0.0596643600000002</v>
      </c>
      <c r="L569" s="12" t="n">
        <f aca="false">(1+K569)^(1/12)-1</f>
        <v>0.00484103148497961</v>
      </c>
    </row>
    <row r="570" customFormat="false" ht="15" hidden="false" customHeight="false" outlineLevel="0" collapsed="false">
      <c r="A570" s="4" t="n">
        <v>566</v>
      </c>
      <c r="B570" s="14" t="n">
        <f aca="false">A570/12</f>
        <v>47.1666666666667</v>
      </c>
      <c r="C570" s="15" t="n">
        <f aca="false">INT(A570/6)</f>
        <v>94</v>
      </c>
      <c r="D570" s="16" t="n">
        <f aca="false">IF(C570=0,(1+Dic2024!$G$6)^(-B570),EXP(LN(INDEX(Dic2024!$H$6:$H$205,C570))+(LN(INDEX(Dic2024!$H$6:$H$205,MIN(C570+1,200)))-LN(INDEX(Dic2024!$H$6:$H$205,C570)))*(A570-6*C570)/6))</f>
        <v>0.0649970836524703</v>
      </c>
      <c r="E570" s="12" t="n">
        <f aca="false">D570^(-1/B570)-1</f>
        <v>0.0596643600000002</v>
      </c>
      <c r="F570" s="12" t="n">
        <f aca="false">(1+E570)^(1/12)-1</f>
        <v>0.00484103148497961</v>
      </c>
      <c r="G570" s="16" t="n">
        <f aca="false">IF(C570=0,(1+Dic2024!$J$6)^(-B570),EXP(LN(INDEX(Dic2024!$K$6:$K$205,C570))+(LN(INDEX(Dic2024!$K$6:$K$205,MIN(C570+1,200)))-LN(INDEX(Dic2024!$K$6:$K$205,C570)))*(A570-6*C570)/6))</f>
        <v>0.0649970836524703</v>
      </c>
      <c r="H570" s="12" t="n">
        <f aca="false">G570^(-1/B570)-1</f>
        <v>0.0596643600000002</v>
      </c>
      <c r="I570" s="12" t="n">
        <f aca="false">(1+H570)^(1/12)-1</f>
        <v>0.00484103148497961</v>
      </c>
      <c r="J570" s="16" t="n">
        <f aca="false">IF(C570=0,(1+Dic2024!$M$6)^(-B570),EXP(LN(INDEX(Dic2024!$N$6:$N$205,C570))+(LN(INDEX(Dic2024!$N$6:$N$205,MIN(C570+1,200)))-LN(INDEX(Dic2024!$N$6:$N$205,C570)))*(A570-6*C570)/6))</f>
        <v>0.0649970836524703</v>
      </c>
      <c r="K570" s="12" t="n">
        <f aca="false">J570^(-1/B570)-1</f>
        <v>0.0596643600000002</v>
      </c>
      <c r="L570" s="12" t="n">
        <f aca="false">(1+K570)^(1/12)-1</f>
        <v>0.00484103148497961</v>
      </c>
    </row>
    <row r="571" customFormat="false" ht="15" hidden="false" customHeight="false" outlineLevel="0" collapsed="false">
      <c r="A571" s="4" t="n">
        <v>567</v>
      </c>
      <c r="B571" s="14" t="n">
        <f aca="false">A571/12</f>
        <v>47.25</v>
      </c>
      <c r="C571" s="15" t="n">
        <f aca="false">INT(A571/6)</f>
        <v>94</v>
      </c>
      <c r="D571" s="16" t="n">
        <f aca="false">IF(C571=0,(1+Dic2024!$G$6)^(-B571),EXP(LN(INDEX(Dic2024!$H$6:$H$205,C571))+(LN(INDEX(Dic2024!$H$6:$H$205,MIN(C571+1,200)))-LN(INDEX(Dic2024!$H$6:$H$205,C571)))*(A571-6*C571)/6))</f>
        <v>0.0646839466302604</v>
      </c>
      <c r="E571" s="12" t="n">
        <f aca="false">D571^(-1/B571)-1</f>
        <v>0.0596643600000002</v>
      </c>
      <c r="F571" s="12" t="n">
        <f aca="false">(1+E571)^(1/12)-1</f>
        <v>0.00484103148497961</v>
      </c>
      <c r="G571" s="16" t="n">
        <f aca="false">IF(C571=0,(1+Dic2024!$J$6)^(-B571),EXP(LN(INDEX(Dic2024!$K$6:$K$205,C571))+(LN(INDEX(Dic2024!$K$6:$K$205,MIN(C571+1,200)))-LN(INDEX(Dic2024!$K$6:$K$205,C571)))*(A571-6*C571)/6))</f>
        <v>0.0646839466302604</v>
      </c>
      <c r="H571" s="12" t="n">
        <f aca="false">G571^(-1/B571)-1</f>
        <v>0.0596643600000002</v>
      </c>
      <c r="I571" s="12" t="n">
        <f aca="false">(1+H571)^(1/12)-1</f>
        <v>0.00484103148497961</v>
      </c>
      <c r="J571" s="16" t="n">
        <f aca="false">IF(C571=0,(1+Dic2024!$M$6)^(-B571),EXP(LN(INDEX(Dic2024!$N$6:$N$205,C571))+(LN(INDEX(Dic2024!$N$6:$N$205,MIN(C571+1,200)))-LN(INDEX(Dic2024!$N$6:$N$205,C571)))*(A571-6*C571)/6))</f>
        <v>0.0646839466302604</v>
      </c>
      <c r="K571" s="12" t="n">
        <f aca="false">J571^(-1/B571)-1</f>
        <v>0.0596643600000002</v>
      </c>
      <c r="L571" s="12" t="n">
        <f aca="false">(1+K571)^(1/12)-1</f>
        <v>0.00484103148497961</v>
      </c>
    </row>
    <row r="572" customFormat="false" ht="15" hidden="false" customHeight="false" outlineLevel="0" collapsed="false">
      <c r="A572" s="4" t="n">
        <v>568</v>
      </c>
      <c r="B572" s="14" t="n">
        <f aca="false">A572/12</f>
        <v>47.3333333333333</v>
      </c>
      <c r="C572" s="15" t="n">
        <f aca="false">INT(A572/6)</f>
        <v>94</v>
      </c>
      <c r="D572" s="16" t="n">
        <f aca="false">IF(C572=0,(1+Dic2024!$G$6)^(-B572),EXP(LN(INDEX(Dic2024!$H$6:$H$205,C572))+(LN(INDEX(Dic2024!$H$6:$H$205,MIN(C572+1,200)))-LN(INDEX(Dic2024!$H$6:$H$205,C572)))*(A572-6*C572)/6))</f>
        <v>0.0643723182110397</v>
      </c>
      <c r="E572" s="12" t="n">
        <f aca="false">D572^(-1/B572)-1</f>
        <v>0.0596643600000002</v>
      </c>
      <c r="F572" s="12" t="n">
        <f aca="false">(1+E572)^(1/12)-1</f>
        <v>0.00484103148497961</v>
      </c>
      <c r="G572" s="16" t="n">
        <f aca="false">IF(C572=0,(1+Dic2024!$J$6)^(-B572),EXP(LN(INDEX(Dic2024!$K$6:$K$205,C572))+(LN(INDEX(Dic2024!$K$6:$K$205,MIN(C572+1,200)))-LN(INDEX(Dic2024!$K$6:$K$205,C572)))*(A572-6*C572)/6))</f>
        <v>0.0643723182110397</v>
      </c>
      <c r="H572" s="12" t="n">
        <f aca="false">G572^(-1/B572)-1</f>
        <v>0.0596643600000002</v>
      </c>
      <c r="I572" s="12" t="n">
        <f aca="false">(1+H572)^(1/12)-1</f>
        <v>0.00484103148497961</v>
      </c>
      <c r="J572" s="16" t="n">
        <f aca="false">IF(C572=0,(1+Dic2024!$M$6)^(-B572),EXP(LN(INDEX(Dic2024!$N$6:$N$205,C572))+(LN(INDEX(Dic2024!$N$6:$N$205,MIN(C572+1,200)))-LN(INDEX(Dic2024!$N$6:$N$205,C572)))*(A572-6*C572)/6))</f>
        <v>0.0643723182110397</v>
      </c>
      <c r="K572" s="12" t="n">
        <f aca="false">J572^(-1/B572)-1</f>
        <v>0.0596643600000002</v>
      </c>
      <c r="L572" s="12" t="n">
        <f aca="false">(1+K572)^(1/12)-1</f>
        <v>0.00484103148497961</v>
      </c>
    </row>
    <row r="573" customFormat="false" ht="15" hidden="false" customHeight="false" outlineLevel="0" collapsed="false">
      <c r="A573" s="4" t="n">
        <v>569</v>
      </c>
      <c r="B573" s="14" t="n">
        <f aca="false">A573/12</f>
        <v>47.4166666666667</v>
      </c>
      <c r="C573" s="15" t="n">
        <f aca="false">INT(A573/6)</f>
        <v>94</v>
      </c>
      <c r="D573" s="16" t="n">
        <f aca="false">IF(C573=0,(1+Dic2024!$G$6)^(-B573),EXP(LN(INDEX(Dic2024!$H$6:$H$205,C573))+(LN(INDEX(Dic2024!$H$6:$H$205,MIN(C573+1,200)))-LN(INDEX(Dic2024!$H$6:$H$205,C573)))*(A573-6*C573)/6))</f>
        <v>0.0640621911267981</v>
      </c>
      <c r="E573" s="12" t="n">
        <f aca="false">D573^(-1/B573)-1</f>
        <v>0.0596643600000002</v>
      </c>
      <c r="F573" s="12" t="n">
        <f aca="false">(1+E573)^(1/12)-1</f>
        <v>0.00484103148497961</v>
      </c>
      <c r="G573" s="16" t="n">
        <f aca="false">IF(C573=0,(1+Dic2024!$J$6)^(-B573),EXP(LN(INDEX(Dic2024!$K$6:$K$205,C573))+(LN(INDEX(Dic2024!$K$6:$K$205,MIN(C573+1,200)))-LN(INDEX(Dic2024!$K$6:$K$205,C573)))*(A573-6*C573)/6))</f>
        <v>0.0640621911267981</v>
      </c>
      <c r="H573" s="12" t="n">
        <f aca="false">G573^(-1/B573)-1</f>
        <v>0.0596643600000002</v>
      </c>
      <c r="I573" s="12" t="n">
        <f aca="false">(1+H573)^(1/12)-1</f>
        <v>0.00484103148497961</v>
      </c>
      <c r="J573" s="16" t="n">
        <f aca="false">IF(C573=0,(1+Dic2024!$M$6)^(-B573),EXP(LN(INDEX(Dic2024!$N$6:$N$205,C573))+(LN(INDEX(Dic2024!$N$6:$N$205,MIN(C573+1,200)))-LN(INDEX(Dic2024!$N$6:$N$205,C573)))*(A573-6*C573)/6))</f>
        <v>0.0640621911267981</v>
      </c>
      <c r="K573" s="12" t="n">
        <f aca="false">J573^(-1/B573)-1</f>
        <v>0.0596643600000002</v>
      </c>
      <c r="L573" s="12" t="n">
        <f aca="false">(1+K573)^(1/12)-1</f>
        <v>0.00484103148497961</v>
      </c>
    </row>
    <row r="574" customFormat="false" ht="15" hidden="false" customHeight="false" outlineLevel="0" collapsed="false">
      <c r="A574" s="4" t="n">
        <v>570</v>
      </c>
      <c r="B574" s="14" t="n">
        <f aca="false">A574/12</f>
        <v>47.5</v>
      </c>
      <c r="C574" s="15" t="n">
        <f aca="false">INT(A574/6)</f>
        <v>95</v>
      </c>
      <c r="D574" s="16" t="n">
        <f aca="false">IF(C574=0,(1+Dic2024!$G$6)^(-B574),EXP(LN(INDEX(Dic2024!$H$6:$H$205,C574))+(LN(INDEX(Dic2024!$H$6:$H$205,MIN(C574+1,200)))-LN(INDEX(Dic2024!$H$6:$H$205,C574)))*(A574-6*C574)/6))</f>
        <v>0.0637535581445409</v>
      </c>
      <c r="E574" s="12" t="n">
        <f aca="false">D574^(-1/B574)-1</f>
        <v>0.0596643600000002</v>
      </c>
      <c r="F574" s="12" t="n">
        <f aca="false">(1+E574)^(1/12)-1</f>
        <v>0.00484103148497961</v>
      </c>
      <c r="G574" s="16" t="n">
        <f aca="false">IF(C574=0,(1+Dic2024!$J$6)^(-B574),EXP(LN(INDEX(Dic2024!$K$6:$K$205,C574))+(LN(INDEX(Dic2024!$K$6:$K$205,MIN(C574+1,200)))-LN(INDEX(Dic2024!$K$6:$K$205,C574)))*(A574-6*C574)/6))</f>
        <v>0.0637535581445409</v>
      </c>
      <c r="H574" s="12" t="n">
        <f aca="false">G574^(-1/B574)-1</f>
        <v>0.0596643600000002</v>
      </c>
      <c r="I574" s="12" t="n">
        <f aca="false">(1+H574)^(1/12)-1</f>
        <v>0.00484103148497961</v>
      </c>
      <c r="J574" s="16" t="n">
        <f aca="false">IF(C574=0,(1+Dic2024!$M$6)^(-B574),EXP(LN(INDEX(Dic2024!$N$6:$N$205,C574))+(LN(INDEX(Dic2024!$N$6:$N$205,MIN(C574+1,200)))-LN(INDEX(Dic2024!$N$6:$N$205,C574)))*(A574-6*C574)/6))</f>
        <v>0.0637535581445409</v>
      </c>
      <c r="K574" s="12" t="n">
        <f aca="false">J574^(-1/B574)-1</f>
        <v>0.0596643600000002</v>
      </c>
      <c r="L574" s="12" t="n">
        <f aca="false">(1+K574)^(1/12)-1</f>
        <v>0.00484103148497961</v>
      </c>
    </row>
    <row r="575" customFormat="false" ht="15" hidden="false" customHeight="false" outlineLevel="0" collapsed="false">
      <c r="A575" s="4" t="n">
        <v>571</v>
      </c>
      <c r="B575" s="14" t="n">
        <f aca="false">A575/12</f>
        <v>47.5833333333333</v>
      </c>
      <c r="C575" s="15" t="n">
        <f aca="false">INT(A575/6)</f>
        <v>95</v>
      </c>
      <c r="D575" s="16" t="n">
        <f aca="false">IF(C575=0,(1+Dic2024!$G$6)^(-B575),EXP(LN(INDEX(Dic2024!$H$6:$H$205,C575))+(LN(INDEX(Dic2024!$H$6:$H$205,MIN(C575+1,200)))-LN(INDEX(Dic2024!$H$6:$H$205,C575)))*(A575-6*C575)/6))</f>
        <v>0.0634464120661198</v>
      </c>
      <c r="E575" s="12" t="n">
        <f aca="false">D575^(-1/B575)-1</f>
        <v>0.0596643600000002</v>
      </c>
      <c r="F575" s="12" t="n">
        <f aca="false">(1+E575)^(1/12)-1</f>
        <v>0.00484103148497961</v>
      </c>
      <c r="G575" s="16" t="n">
        <f aca="false">IF(C575=0,(1+Dic2024!$J$6)^(-B575),EXP(LN(INDEX(Dic2024!$K$6:$K$205,C575))+(LN(INDEX(Dic2024!$K$6:$K$205,MIN(C575+1,200)))-LN(INDEX(Dic2024!$K$6:$K$205,C575)))*(A575-6*C575)/6))</f>
        <v>0.0634464120661198</v>
      </c>
      <c r="H575" s="12" t="n">
        <f aca="false">G575^(-1/B575)-1</f>
        <v>0.0596643600000002</v>
      </c>
      <c r="I575" s="12" t="n">
        <f aca="false">(1+H575)^(1/12)-1</f>
        <v>0.00484103148497961</v>
      </c>
      <c r="J575" s="16" t="n">
        <f aca="false">IF(C575=0,(1+Dic2024!$M$6)^(-B575),EXP(LN(INDEX(Dic2024!$N$6:$N$205,C575))+(LN(INDEX(Dic2024!$N$6:$N$205,MIN(C575+1,200)))-LN(INDEX(Dic2024!$N$6:$N$205,C575)))*(A575-6*C575)/6))</f>
        <v>0.0634464120661198</v>
      </c>
      <c r="K575" s="12" t="n">
        <f aca="false">J575^(-1/B575)-1</f>
        <v>0.0596643600000002</v>
      </c>
      <c r="L575" s="12" t="n">
        <f aca="false">(1+K575)^(1/12)-1</f>
        <v>0.00484103148497961</v>
      </c>
    </row>
    <row r="576" customFormat="false" ht="15" hidden="false" customHeight="false" outlineLevel="0" collapsed="false">
      <c r="A576" s="4" t="n">
        <v>572</v>
      </c>
      <c r="B576" s="14" t="n">
        <f aca="false">A576/12</f>
        <v>47.6666666666667</v>
      </c>
      <c r="C576" s="15" t="n">
        <f aca="false">INT(A576/6)</f>
        <v>95</v>
      </c>
      <c r="D576" s="16" t="n">
        <f aca="false">IF(C576=0,(1+Dic2024!$G$6)^(-B576),EXP(LN(INDEX(Dic2024!$H$6:$H$205,C576))+(LN(INDEX(Dic2024!$H$6:$H$205,MIN(C576+1,200)))-LN(INDEX(Dic2024!$H$6:$H$205,C576)))*(A576-6*C576)/6))</f>
        <v>0.0631407457280651</v>
      </c>
      <c r="E576" s="12" t="n">
        <f aca="false">D576^(-1/B576)-1</f>
        <v>0.0596643600000002</v>
      </c>
      <c r="F576" s="12" t="n">
        <f aca="false">(1+E576)^(1/12)-1</f>
        <v>0.00484103148497961</v>
      </c>
      <c r="G576" s="16" t="n">
        <f aca="false">IF(C576=0,(1+Dic2024!$J$6)^(-B576),EXP(LN(INDEX(Dic2024!$K$6:$K$205,C576))+(LN(INDEX(Dic2024!$K$6:$K$205,MIN(C576+1,200)))-LN(INDEX(Dic2024!$K$6:$K$205,C576)))*(A576-6*C576)/6))</f>
        <v>0.0631407457280651</v>
      </c>
      <c r="H576" s="12" t="n">
        <f aca="false">G576^(-1/B576)-1</f>
        <v>0.0596643600000002</v>
      </c>
      <c r="I576" s="12" t="n">
        <f aca="false">(1+H576)^(1/12)-1</f>
        <v>0.00484103148497961</v>
      </c>
      <c r="J576" s="16" t="n">
        <f aca="false">IF(C576=0,(1+Dic2024!$M$6)^(-B576),EXP(LN(INDEX(Dic2024!$N$6:$N$205,C576))+(LN(INDEX(Dic2024!$N$6:$N$205,MIN(C576+1,200)))-LN(INDEX(Dic2024!$N$6:$N$205,C576)))*(A576-6*C576)/6))</f>
        <v>0.0631407457280651</v>
      </c>
      <c r="K576" s="12" t="n">
        <f aca="false">J576^(-1/B576)-1</f>
        <v>0.0596643600000002</v>
      </c>
      <c r="L576" s="12" t="n">
        <f aca="false">(1+K576)^(1/12)-1</f>
        <v>0.00484103148497961</v>
      </c>
    </row>
    <row r="577" customFormat="false" ht="15" hidden="false" customHeight="false" outlineLevel="0" collapsed="false">
      <c r="A577" s="4" t="n">
        <v>573</v>
      </c>
      <c r="B577" s="14" t="n">
        <f aca="false">A577/12</f>
        <v>47.75</v>
      </c>
      <c r="C577" s="15" t="n">
        <f aca="false">INT(A577/6)</f>
        <v>95</v>
      </c>
      <c r="D577" s="16" t="n">
        <f aca="false">IF(C577=0,(1+Dic2024!$G$6)^(-B577),EXP(LN(INDEX(Dic2024!$H$6:$H$205,C577))+(LN(INDEX(Dic2024!$H$6:$H$205,MIN(C577+1,200)))-LN(INDEX(Dic2024!$H$6:$H$205,C577)))*(A577-6*C577)/6))</f>
        <v>0.0628365520014187</v>
      </c>
      <c r="E577" s="12" t="n">
        <f aca="false">D577^(-1/B577)-1</f>
        <v>0.0596643600000002</v>
      </c>
      <c r="F577" s="12" t="n">
        <f aca="false">(1+E577)^(1/12)-1</f>
        <v>0.00484103148497961</v>
      </c>
      <c r="G577" s="16" t="n">
        <f aca="false">IF(C577=0,(1+Dic2024!$J$6)^(-B577),EXP(LN(INDEX(Dic2024!$K$6:$K$205,C577))+(LN(INDEX(Dic2024!$K$6:$K$205,MIN(C577+1,200)))-LN(INDEX(Dic2024!$K$6:$K$205,C577)))*(A577-6*C577)/6))</f>
        <v>0.0628365520014187</v>
      </c>
      <c r="H577" s="12" t="n">
        <f aca="false">G577^(-1/B577)-1</f>
        <v>0.0596643600000002</v>
      </c>
      <c r="I577" s="12" t="n">
        <f aca="false">(1+H577)^(1/12)-1</f>
        <v>0.00484103148497961</v>
      </c>
      <c r="J577" s="16" t="n">
        <f aca="false">IF(C577=0,(1+Dic2024!$M$6)^(-B577),EXP(LN(INDEX(Dic2024!$N$6:$N$205,C577))+(LN(INDEX(Dic2024!$N$6:$N$205,MIN(C577+1,200)))-LN(INDEX(Dic2024!$N$6:$N$205,C577)))*(A577-6*C577)/6))</f>
        <v>0.0628365520014187</v>
      </c>
      <c r="K577" s="12" t="n">
        <f aca="false">J577^(-1/B577)-1</f>
        <v>0.0596643600000002</v>
      </c>
      <c r="L577" s="12" t="n">
        <f aca="false">(1+K577)^(1/12)-1</f>
        <v>0.00484103148497961</v>
      </c>
    </row>
    <row r="578" customFormat="false" ht="15" hidden="false" customHeight="false" outlineLevel="0" collapsed="false">
      <c r="A578" s="4" t="n">
        <v>574</v>
      </c>
      <c r="B578" s="14" t="n">
        <f aca="false">A578/12</f>
        <v>47.8333333333333</v>
      </c>
      <c r="C578" s="15" t="n">
        <f aca="false">INT(A578/6)</f>
        <v>95</v>
      </c>
      <c r="D578" s="16" t="n">
        <f aca="false">IF(C578=0,(1+Dic2024!$G$6)^(-B578),EXP(LN(INDEX(Dic2024!$H$6:$H$205,C578))+(LN(INDEX(Dic2024!$H$6:$H$205,MIN(C578+1,200)))-LN(INDEX(Dic2024!$H$6:$H$205,C578)))*(A578-6*C578)/6))</f>
        <v>0.0625338237915676</v>
      </c>
      <c r="E578" s="12" t="n">
        <f aca="false">D578^(-1/B578)-1</f>
        <v>0.0596643600000002</v>
      </c>
      <c r="F578" s="12" t="n">
        <f aca="false">(1+E578)^(1/12)-1</f>
        <v>0.00484103148497961</v>
      </c>
      <c r="G578" s="16" t="n">
        <f aca="false">IF(C578=0,(1+Dic2024!$J$6)^(-B578),EXP(LN(INDEX(Dic2024!$K$6:$K$205,C578))+(LN(INDEX(Dic2024!$K$6:$K$205,MIN(C578+1,200)))-LN(INDEX(Dic2024!$K$6:$K$205,C578)))*(A578-6*C578)/6))</f>
        <v>0.0625338237915676</v>
      </c>
      <c r="H578" s="12" t="n">
        <f aca="false">G578^(-1/B578)-1</f>
        <v>0.0596643600000002</v>
      </c>
      <c r="I578" s="12" t="n">
        <f aca="false">(1+H578)^(1/12)-1</f>
        <v>0.00484103148497961</v>
      </c>
      <c r="J578" s="16" t="n">
        <f aca="false">IF(C578=0,(1+Dic2024!$M$6)^(-B578),EXP(LN(INDEX(Dic2024!$N$6:$N$205,C578))+(LN(INDEX(Dic2024!$N$6:$N$205,MIN(C578+1,200)))-LN(INDEX(Dic2024!$N$6:$N$205,C578)))*(A578-6*C578)/6))</f>
        <v>0.0625338237915676</v>
      </c>
      <c r="K578" s="12" t="n">
        <f aca="false">J578^(-1/B578)-1</f>
        <v>0.0596643600000002</v>
      </c>
      <c r="L578" s="12" t="n">
        <f aca="false">(1+K578)^(1/12)-1</f>
        <v>0.00484103148497961</v>
      </c>
    </row>
    <row r="579" customFormat="false" ht="15" hidden="false" customHeight="false" outlineLevel="0" collapsed="false">
      <c r="A579" s="4" t="n">
        <v>575</v>
      </c>
      <c r="B579" s="14" t="n">
        <f aca="false">A579/12</f>
        <v>47.9166666666667</v>
      </c>
      <c r="C579" s="15" t="n">
        <f aca="false">INT(A579/6)</f>
        <v>95</v>
      </c>
      <c r="D579" s="16" t="n">
        <f aca="false">IF(C579=0,(1+Dic2024!$G$6)^(-B579),EXP(LN(INDEX(Dic2024!$H$6:$H$205,C579))+(LN(INDEX(Dic2024!$H$6:$H$205,MIN(C579+1,200)))-LN(INDEX(Dic2024!$H$6:$H$205,C579)))*(A579-6*C579)/6))</f>
        <v>0.0622325540380785</v>
      </c>
      <c r="E579" s="12" t="n">
        <f aca="false">D579^(-1/B579)-1</f>
        <v>0.0596643600000002</v>
      </c>
      <c r="F579" s="12" t="n">
        <f aca="false">(1+E579)^(1/12)-1</f>
        <v>0.00484103148497961</v>
      </c>
      <c r="G579" s="16" t="n">
        <f aca="false">IF(C579=0,(1+Dic2024!$J$6)^(-B579),EXP(LN(INDEX(Dic2024!$K$6:$K$205,C579))+(LN(INDEX(Dic2024!$K$6:$K$205,MIN(C579+1,200)))-LN(INDEX(Dic2024!$K$6:$K$205,C579)))*(A579-6*C579)/6))</f>
        <v>0.0622325540380785</v>
      </c>
      <c r="H579" s="12" t="n">
        <f aca="false">G579^(-1/B579)-1</f>
        <v>0.0596643600000002</v>
      </c>
      <c r="I579" s="12" t="n">
        <f aca="false">(1+H579)^(1/12)-1</f>
        <v>0.00484103148497961</v>
      </c>
      <c r="J579" s="16" t="n">
        <f aca="false">IF(C579=0,(1+Dic2024!$M$6)^(-B579),EXP(LN(INDEX(Dic2024!$N$6:$N$205,C579))+(LN(INDEX(Dic2024!$N$6:$N$205,MIN(C579+1,200)))-LN(INDEX(Dic2024!$N$6:$N$205,C579)))*(A579-6*C579)/6))</f>
        <v>0.0622325540380785</v>
      </c>
      <c r="K579" s="12" t="n">
        <f aca="false">J579^(-1/B579)-1</f>
        <v>0.0596643600000002</v>
      </c>
      <c r="L579" s="12" t="n">
        <f aca="false">(1+K579)^(1/12)-1</f>
        <v>0.00484103148497961</v>
      </c>
    </row>
    <row r="580" customFormat="false" ht="15" hidden="false" customHeight="false" outlineLevel="0" collapsed="false">
      <c r="A580" s="4" t="n">
        <v>576</v>
      </c>
      <c r="B580" s="14" t="n">
        <f aca="false">A580/12</f>
        <v>48</v>
      </c>
      <c r="C580" s="15" t="n">
        <f aca="false">INT(A580/6)</f>
        <v>96</v>
      </c>
      <c r="D580" s="16" t="n">
        <f aca="false">IF(C580=0,(1+Dic2024!$G$6)^(-B580),EXP(LN(INDEX(Dic2024!$H$6:$H$205,C580))+(LN(INDEX(Dic2024!$H$6:$H$205,MIN(C580+1,200)))-LN(INDEX(Dic2024!$H$6:$H$205,C580)))*(A580-6*C580)/6))</f>
        <v>0.0619327357145336</v>
      </c>
      <c r="E580" s="12" t="n">
        <f aca="false">D580^(-1/B580)-1</f>
        <v>0.0596643600000002</v>
      </c>
      <c r="F580" s="12" t="n">
        <f aca="false">(1+E580)^(1/12)-1</f>
        <v>0.00484103148497961</v>
      </c>
      <c r="G580" s="16" t="n">
        <f aca="false">IF(C580=0,(1+Dic2024!$J$6)^(-B580),EXP(LN(INDEX(Dic2024!$K$6:$K$205,C580))+(LN(INDEX(Dic2024!$K$6:$K$205,MIN(C580+1,200)))-LN(INDEX(Dic2024!$K$6:$K$205,C580)))*(A580-6*C580)/6))</f>
        <v>0.0619327357145336</v>
      </c>
      <c r="H580" s="12" t="n">
        <f aca="false">G580^(-1/B580)-1</f>
        <v>0.0596643600000002</v>
      </c>
      <c r="I580" s="12" t="n">
        <f aca="false">(1+H580)^(1/12)-1</f>
        <v>0.00484103148497961</v>
      </c>
      <c r="J580" s="16" t="n">
        <f aca="false">IF(C580=0,(1+Dic2024!$M$6)^(-B580),EXP(LN(INDEX(Dic2024!$N$6:$N$205,C580))+(LN(INDEX(Dic2024!$N$6:$N$205,MIN(C580+1,200)))-LN(INDEX(Dic2024!$N$6:$N$205,C580)))*(A580-6*C580)/6))</f>
        <v>0.0619327357145336</v>
      </c>
      <c r="K580" s="12" t="n">
        <f aca="false">J580^(-1/B580)-1</f>
        <v>0.0596643600000002</v>
      </c>
      <c r="L580" s="12" t="n">
        <f aca="false">(1+K580)^(1/12)-1</f>
        <v>0.00484103148497961</v>
      </c>
    </row>
    <row r="581" customFormat="false" ht="15" hidden="false" customHeight="false" outlineLevel="0" collapsed="false">
      <c r="A581" s="4" t="n">
        <v>577</v>
      </c>
      <c r="B581" s="14" t="n">
        <f aca="false">A581/12</f>
        <v>48.0833333333333</v>
      </c>
      <c r="C581" s="15" t="n">
        <f aca="false">INT(A581/6)</f>
        <v>96</v>
      </c>
      <c r="D581" s="16" t="n">
        <f aca="false">IF(C581=0,(1+Dic2024!$G$6)^(-B581),EXP(LN(INDEX(Dic2024!$H$6:$H$205,C581))+(LN(INDEX(Dic2024!$H$6:$H$205,MIN(C581+1,200)))-LN(INDEX(Dic2024!$H$6:$H$205,C581)))*(A581-6*C581)/6))</f>
        <v>0.0616343618283659</v>
      </c>
      <c r="E581" s="12" t="n">
        <f aca="false">D581^(-1/B581)-1</f>
        <v>0.0596643600000002</v>
      </c>
      <c r="F581" s="12" t="n">
        <f aca="false">(1+E581)^(1/12)-1</f>
        <v>0.00484103148497961</v>
      </c>
      <c r="G581" s="16" t="n">
        <f aca="false">IF(C581=0,(1+Dic2024!$J$6)^(-B581),EXP(LN(INDEX(Dic2024!$K$6:$K$205,C581))+(LN(INDEX(Dic2024!$K$6:$K$205,MIN(C581+1,200)))-LN(INDEX(Dic2024!$K$6:$K$205,C581)))*(A581-6*C581)/6))</f>
        <v>0.0616343618283659</v>
      </c>
      <c r="H581" s="12" t="n">
        <f aca="false">G581^(-1/B581)-1</f>
        <v>0.0596643600000002</v>
      </c>
      <c r="I581" s="12" t="n">
        <f aca="false">(1+H581)^(1/12)-1</f>
        <v>0.00484103148497961</v>
      </c>
      <c r="J581" s="16" t="n">
        <f aca="false">IF(C581=0,(1+Dic2024!$M$6)^(-B581),EXP(LN(INDEX(Dic2024!$N$6:$N$205,C581))+(LN(INDEX(Dic2024!$N$6:$N$205,MIN(C581+1,200)))-LN(INDEX(Dic2024!$N$6:$N$205,C581)))*(A581-6*C581)/6))</f>
        <v>0.0616343618283659</v>
      </c>
      <c r="K581" s="12" t="n">
        <f aca="false">J581^(-1/B581)-1</f>
        <v>0.0596643600000002</v>
      </c>
      <c r="L581" s="12" t="n">
        <f aca="false">(1+K581)^(1/12)-1</f>
        <v>0.00484103148497961</v>
      </c>
    </row>
    <row r="582" customFormat="false" ht="15" hidden="false" customHeight="false" outlineLevel="0" collapsed="false">
      <c r="A582" s="4" t="n">
        <v>578</v>
      </c>
      <c r="B582" s="14" t="n">
        <f aca="false">A582/12</f>
        <v>48.1666666666667</v>
      </c>
      <c r="C582" s="15" t="n">
        <f aca="false">INT(A582/6)</f>
        <v>96</v>
      </c>
      <c r="D582" s="16" t="n">
        <f aca="false">IF(C582=0,(1+Dic2024!$G$6)^(-B582),EXP(LN(INDEX(Dic2024!$H$6:$H$205,C582))+(LN(INDEX(Dic2024!$H$6:$H$205,MIN(C582+1,200)))-LN(INDEX(Dic2024!$H$6:$H$205,C582)))*(A582-6*C582)/6))</f>
        <v>0.0613374254206967</v>
      </c>
      <c r="E582" s="12" t="n">
        <f aca="false">D582^(-1/B582)-1</f>
        <v>0.0596643600000002</v>
      </c>
      <c r="F582" s="12" t="n">
        <f aca="false">(1+E582)^(1/12)-1</f>
        <v>0.00484103148497961</v>
      </c>
      <c r="G582" s="16" t="n">
        <f aca="false">IF(C582=0,(1+Dic2024!$J$6)^(-B582),EXP(LN(INDEX(Dic2024!$K$6:$K$205,C582))+(LN(INDEX(Dic2024!$K$6:$K$205,MIN(C582+1,200)))-LN(INDEX(Dic2024!$K$6:$K$205,C582)))*(A582-6*C582)/6))</f>
        <v>0.0613374254206967</v>
      </c>
      <c r="H582" s="12" t="n">
        <f aca="false">G582^(-1/B582)-1</f>
        <v>0.0596643600000002</v>
      </c>
      <c r="I582" s="12" t="n">
        <f aca="false">(1+H582)^(1/12)-1</f>
        <v>0.00484103148497961</v>
      </c>
      <c r="J582" s="16" t="n">
        <f aca="false">IF(C582=0,(1+Dic2024!$M$6)^(-B582),EXP(LN(INDEX(Dic2024!$N$6:$N$205,C582))+(LN(INDEX(Dic2024!$N$6:$N$205,MIN(C582+1,200)))-LN(INDEX(Dic2024!$N$6:$N$205,C582)))*(A582-6*C582)/6))</f>
        <v>0.0613374254206967</v>
      </c>
      <c r="K582" s="12" t="n">
        <f aca="false">J582^(-1/B582)-1</f>
        <v>0.0596643600000002</v>
      </c>
      <c r="L582" s="12" t="n">
        <f aca="false">(1+K582)^(1/12)-1</f>
        <v>0.00484103148497961</v>
      </c>
    </row>
    <row r="583" customFormat="false" ht="15" hidden="false" customHeight="false" outlineLevel="0" collapsed="false">
      <c r="A583" s="4" t="n">
        <v>579</v>
      </c>
      <c r="B583" s="14" t="n">
        <f aca="false">A583/12</f>
        <v>48.25</v>
      </c>
      <c r="C583" s="15" t="n">
        <f aca="false">INT(A583/6)</f>
        <v>96</v>
      </c>
      <c r="D583" s="16" t="n">
        <f aca="false">IF(C583=0,(1+Dic2024!$G$6)^(-B583),EXP(LN(INDEX(Dic2024!$H$6:$H$205,C583))+(LN(INDEX(Dic2024!$H$6:$H$205,MIN(C583+1,200)))-LN(INDEX(Dic2024!$H$6:$H$205,C583)))*(A583-6*C583)/6))</f>
        <v>0.0610419195661732</v>
      </c>
      <c r="E583" s="12" t="n">
        <f aca="false">D583^(-1/B583)-1</f>
        <v>0.0596643600000002</v>
      </c>
      <c r="F583" s="12" t="n">
        <f aca="false">(1+E583)^(1/12)-1</f>
        <v>0.00484103148497961</v>
      </c>
      <c r="G583" s="16" t="n">
        <f aca="false">IF(C583=0,(1+Dic2024!$J$6)^(-B583),EXP(LN(INDEX(Dic2024!$K$6:$K$205,C583))+(LN(INDEX(Dic2024!$K$6:$K$205,MIN(C583+1,200)))-LN(INDEX(Dic2024!$K$6:$K$205,C583)))*(A583-6*C583)/6))</f>
        <v>0.0610419195661732</v>
      </c>
      <c r="H583" s="12" t="n">
        <f aca="false">G583^(-1/B583)-1</f>
        <v>0.0596643600000002</v>
      </c>
      <c r="I583" s="12" t="n">
        <f aca="false">(1+H583)^(1/12)-1</f>
        <v>0.00484103148497961</v>
      </c>
      <c r="J583" s="16" t="n">
        <f aca="false">IF(C583=0,(1+Dic2024!$M$6)^(-B583),EXP(LN(INDEX(Dic2024!$N$6:$N$205,C583))+(LN(INDEX(Dic2024!$N$6:$N$205,MIN(C583+1,200)))-LN(INDEX(Dic2024!$N$6:$N$205,C583)))*(A583-6*C583)/6))</f>
        <v>0.0610419195661732</v>
      </c>
      <c r="K583" s="12" t="n">
        <f aca="false">J583^(-1/B583)-1</f>
        <v>0.0596643600000002</v>
      </c>
      <c r="L583" s="12" t="n">
        <f aca="false">(1+K583)^(1/12)-1</f>
        <v>0.00484103148497961</v>
      </c>
    </row>
    <row r="584" customFormat="false" ht="15" hidden="false" customHeight="false" outlineLevel="0" collapsed="false">
      <c r="A584" s="4" t="n">
        <v>580</v>
      </c>
      <c r="B584" s="14" t="n">
        <f aca="false">A584/12</f>
        <v>48.3333333333333</v>
      </c>
      <c r="C584" s="15" t="n">
        <f aca="false">INT(A584/6)</f>
        <v>96</v>
      </c>
      <c r="D584" s="16" t="n">
        <f aca="false">IF(C584=0,(1+Dic2024!$G$6)^(-B584),EXP(LN(INDEX(Dic2024!$H$6:$H$205,C584))+(LN(INDEX(Dic2024!$H$6:$H$205,MIN(C584+1,200)))-LN(INDEX(Dic2024!$H$6:$H$205,C584)))*(A584-6*C584)/6))</f>
        <v>0.060747837372807</v>
      </c>
      <c r="E584" s="12" t="n">
        <f aca="false">D584^(-1/B584)-1</f>
        <v>0.0596643600000002</v>
      </c>
      <c r="F584" s="12" t="n">
        <f aca="false">(1+E584)^(1/12)-1</f>
        <v>0.00484103148497961</v>
      </c>
      <c r="G584" s="16" t="n">
        <f aca="false">IF(C584=0,(1+Dic2024!$J$6)^(-B584),EXP(LN(INDEX(Dic2024!$K$6:$K$205,C584))+(LN(INDEX(Dic2024!$K$6:$K$205,MIN(C584+1,200)))-LN(INDEX(Dic2024!$K$6:$K$205,C584)))*(A584-6*C584)/6))</f>
        <v>0.060747837372807</v>
      </c>
      <c r="H584" s="12" t="n">
        <f aca="false">G584^(-1/B584)-1</f>
        <v>0.0596643600000002</v>
      </c>
      <c r="I584" s="12" t="n">
        <f aca="false">(1+H584)^(1/12)-1</f>
        <v>0.00484103148497961</v>
      </c>
      <c r="J584" s="16" t="n">
        <f aca="false">IF(C584=0,(1+Dic2024!$M$6)^(-B584),EXP(LN(INDEX(Dic2024!$N$6:$N$205,C584))+(LN(INDEX(Dic2024!$N$6:$N$205,MIN(C584+1,200)))-LN(INDEX(Dic2024!$N$6:$N$205,C584)))*(A584-6*C584)/6))</f>
        <v>0.060747837372807</v>
      </c>
      <c r="K584" s="12" t="n">
        <f aca="false">J584^(-1/B584)-1</f>
        <v>0.0596643600000002</v>
      </c>
      <c r="L584" s="12" t="n">
        <f aca="false">(1+K584)^(1/12)-1</f>
        <v>0.00484103148497961</v>
      </c>
    </row>
    <row r="585" customFormat="false" ht="15" hidden="false" customHeight="false" outlineLevel="0" collapsed="false">
      <c r="A585" s="4" t="n">
        <v>581</v>
      </c>
      <c r="B585" s="14" t="n">
        <f aca="false">A585/12</f>
        <v>48.4166666666667</v>
      </c>
      <c r="C585" s="15" t="n">
        <f aca="false">INT(A585/6)</f>
        <v>96</v>
      </c>
      <c r="D585" s="16" t="n">
        <f aca="false">IF(C585=0,(1+Dic2024!$G$6)^(-B585),EXP(LN(INDEX(Dic2024!$H$6:$H$205,C585))+(LN(INDEX(Dic2024!$H$6:$H$205,MIN(C585+1,200)))-LN(INDEX(Dic2024!$H$6:$H$205,C585)))*(A585-6*C585)/6))</f>
        <v>0.0604551719818132</v>
      </c>
      <c r="E585" s="12" t="n">
        <f aca="false">D585^(-1/B585)-1</f>
        <v>0.0596643600000002</v>
      </c>
      <c r="F585" s="12" t="n">
        <f aca="false">(1+E585)^(1/12)-1</f>
        <v>0.00484103148497961</v>
      </c>
      <c r="G585" s="16" t="n">
        <f aca="false">IF(C585=0,(1+Dic2024!$J$6)^(-B585),EXP(LN(INDEX(Dic2024!$K$6:$K$205,C585))+(LN(INDEX(Dic2024!$K$6:$K$205,MIN(C585+1,200)))-LN(INDEX(Dic2024!$K$6:$K$205,C585)))*(A585-6*C585)/6))</f>
        <v>0.0604551719818132</v>
      </c>
      <c r="H585" s="12" t="n">
        <f aca="false">G585^(-1/B585)-1</f>
        <v>0.0596643600000002</v>
      </c>
      <c r="I585" s="12" t="n">
        <f aca="false">(1+H585)^(1/12)-1</f>
        <v>0.00484103148497961</v>
      </c>
      <c r="J585" s="16" t="n">
        <f aca="false">IF(C585=0,(1+Dic2024!$M$6)^(-B585),EXP(LN(INDEX(Dic2024!$N$6:$N$205,C585))+(LN(INDEX(Dic2024!$N$6:$N$205,MIN(C585+1,200)))-LN(INDEX(Dic2024!$N$6:$N$205,C585)))*(A585-6*C585)/6))</f>
        <v>0.0604551719818132</v>
      </c>
      <c r="K585" s="12" t="n">
        <f aca="false">J585^(-1/B585)-1</f>
        <v>0.0596643600000002</v>
      </c>
      <c r="L585" s="12" t="n">
        <f aca="false">(1+K585)^(1/12)-1</f>
        <v>0.00484103148497961</v>
      </c>
    </row>
    <row r="586" customFormat="false" ht="15" hidden="false" customHeight="false" outlineLevel="0" collapsed="false">
      <c r="A586" s="4" t="n">
        <v>582</v>
      </c>
      <c r="B586" s="14" t="n">
        <f aca="false">A586/12</f>
        <v>48.5</v>
      </c>
      <c r="C586" s="15" t="n">
        <f aca="false">INT(A586/6)</f>
        <v>97</v>
      </c>
      <c r="D586" s="16" t="n">
        <f aca="false">IF(C586=0,(1+Dic2024!$G$6)^(-B586),EXP(LN(INDEX(Dic2024!$H$6:$H$205,C586))+(LN(INDEX(Dic2024!$H$6:$H$205,MIN(C586+1,200)))-LN(INDEX(Dic2024!$H$6:$H$205,C586)))*(A586-6*C586)/6))</f>
        <v>0.0601639165674505</v>
      </c>
      <c r="E586" s="12" t="n">
        <f aca="false">D586^(-1/B586)-1</f>
        <v>0.0596643600000002</v>
      </c>
      <c r="F586" s="12" t="n">
        <f aca="false">(1+E586)^(1/12)-1</f>
        <v>0.00484103148497961</v>
      </c>
      <c r="G586" s="16" t="n">
        <f aca="false">IF(C586=0,(1+Dic2024!$J$6)^(-B586),EXP(LN(INDEX(Dic2024!$K$6:$K$205,C586))+(LN(INDEX(Dic2024!$K$6:$K$205,MIN(C586+1,200)))-LN(INDEX(Dic2024!$K$6:$K$205,C586)))*(A586-6*C586)/6))</f>
        <v>0.0601639165674505</v>
      </c>
      <c r="H586" s="12" t="n">
        <f aca="false">G586^(-1/B586)-1</f>
        <v>0.0596643600000002</v>
      </c>
      <c r="I586" s="12" t="n">
        <f aca="false">(1+H586)^(1/12)-1</f>
        <v>0.00484103148497961</v>
      </c>
      <c r="J586" s="16" t="n">
        <f aca="false">IF(C586=0,(1+Dic2024!$M$6)^(-B586),EXP(LN(INDEX(Dic2024!$N$6:$N$205,C586))+(LN(INDEX(Dic2024!$N$6:$N$205,MIN(C586+1,200)))-LN(INDEX(Dic2024!$N$6:$N$205,C586)))*(A586-6*C586)/6))</f>
        <v>0.0601639165674505</v>
      </c>
      <c r="K586" s="12" t="n">
        <f aca="false">J586^(-1/B586)-1</f>
        <v>0.0596643600000002</v>
      </c>
      <c r="L586" s="12" t="n">
        <f aca="false">(1+K586)^(1/12)-1</f>
        <v>0.00484103148497961</v>
      </c>
    </row>
    <row r="587" customFormat="false" ht="15" hidden="false" customHeight="false" outlineLevel="0" collapsed="false">
      <c r="A587" s="4" t="n">
        <v>583</v>
      </c>
      <c r="B587" s="14" t="n">
        <f aca="false">A587/12</f>
        <v>48.5833333333333</v>
      </c>
      <c r="C587" s="15" t="n">
        <f aca="false">INT(A587/6)</f>
        <v>97</v>
      </c>
      <c r="D587" s="16" t="n">
        <f aca="false">IF(C587=0,(1+Dic2024!$G$6)^(-B587),EXP(LN(INDEX(Dic2024!$H$6:$H$205,C587))+(LN(INDEX(Dic2024!$H$6:$H$205,MIN(C587+1,200)))-LN(INDEX(Dic2024!$H$6:$H$205,C587)))*(A587-6*C587)/6))</f>
        <v>0.0598740643368621</v>
      </c>
      <c r="E587" s="12" t="n">
        <f aca="false">D587^(-1/B587)-1</f>
        <v>0.0596643600000002</v>
      </c>
      <c r="F587" s="12" t="n">
        <f aca="false">(1+E587)^(1/12)-1</f>
        <v>0.00484103148497961</v>
      </c>
      <c r="G587" s="16" t="n">
        <f aca="false">IF(C587=0,(1+Dic2024!$J$6)^(-B587),EXP(LN(INDEX(Dic2024!$K$6:$K$205,C587))+(LN(INDEX(Dic2024!$K$6:$K$205,MIN(C587+1,200)))-LN(INDEX(Dic2024!$K$6:$K$205,C587)))*(A587-6*C587)/6))</f>
        <v>0.0598740643368621</v>
      </c>
      <c r="H587" s="12" t="n">
        <f aca="false">G587^(-1/B587)-1</f>
        <v>0.0596643600000002</v>
      </c>
      <c r="I587" s="12" t="n">
        <f aca="false">(1+H587)^(1/12)-1</f>
        <v>0.00484103148497961</v>
      </c>
      <c r="J587" s="16" t="n">
        <f aca="false">IF(C587=0,(1+Dic2024!$M$6)^(-B587),EXP(LN(INDEX(Dic2024!$N$6:$N$205,C587))+(LN(INDEX(Dic2024!$N$6:$N$205,MIN(C587+1,200)))-LN(INDEX(Dic2024!$N$6:$N$205,C587)))*(A587-6*C587)/6))</f>
        <v>0.0598740643368621</v>
      </c>
      <c r="K587" s="12" t="n">
        <f aca="false">J587^(-1/B587)-1</f>
        <v>0.0596643600000002</v>
      </c>
      <c r="L587" s="12" t="n">
        <f aca="false">(1+K587)^(1/12)-1</f>
        <v>0.00484103148497961</v>
      </c>
    </row>
    <row r="588" customFormat="false" ht="15" hidden="false" customHeight="false" outlineLevel="0" collapsed="false">
      <c r="A588" s="4" t="n">
        <v>584</v>
      </c>
      <c r="B588" s="14" t="n">
        <f aca="false">A588/12</f>
        <v>48.6666666666667</v>
      </c>
      <c r="C588" s="15" t="n">
        <f aca="false">INT(A588/6)</f>
        <v>97</v>
      </c>
      <c r="D588" s="16" t="n">
        <f aca="false">IF(C588=0,(1+Dic2024!$G$6)^(-B588),EXP(LN(INDEX(Dic2024!$H$6:$H$205,C588))+(LN(INDEX(Dic2024!$H$6:$H$205,MIN(C588+1,200)))-LN(INDEX(Dic2024!$H$6:$H$205,C588)))*(A588-6*C588)/6))</f>
        <v>0.0595856085299171</v>
      </c>
      <c r="E588" s="12" t="n">
        <f aca="false">D588^(-1/B588)-1</f>
        <v>0.0596643600000002</v>
      </c>
      <c r="F588" s="12" t="n">
        <f aca="false">(1+E588)^(1/12)-1</f>
        <v>0.00484103148497961</v>
      </c>
      <c r="G588" s="16" t="n">
        <f aca="false">IF(C588=0,(1+Dic2024!$J$6)^(-B588),EXP(LN(INDEX(Dic2024!$K$6:$K$205,C588))+(LN(INDEX(Dic2024!$K$6:$K$205,MIN(C588+1,200)))-LN(INDEX(Dic2024!$K$6:$K$205,C588)))*(A588-6*C588)/6))</f>
        <v>0.0595856085299171</v>
      </c>
      <c r="H588" s="12" t="n">
        <f aca="false">G588^(-1/B588)-1</f>
        <v>0.0596643600000002</v>
      </c>
      <c r="I588" s="12" t="n">
        <f aca="false">(1+H588)^(1/12)-1</f>
        <v>0.00484103148497961</v>
      </c>
      <c r="J588" s="16" t="n">
        <f aca="false">IF(C588=0,(1+Dic2024!$M$6)^(-B588),EXP(LN(INDEX(Dic2024!$N$6:$N$205,C588))+(LN(INDEX(Dic2024!$N$6:$N$205,MIN(C588+1,200)))-LN(INDEX(Dic2024!$N$6:$N$205,C588)))*(A588-6*C588)/6))</f>
        <v>0.0595856085299171</v>
      </c>
      <c r="K588" s="12" t="n">
        <f aca="false">J588^(-1/B588)-1</f>
        <v>0.0596643600000002</v>
      </c>
      <c r="L588" s="12" t="n">
        <f aca="false">(1+K588)^(1/12)-1</f>
        <v>0.00484103148497961</v>
      </c>
    </row>
    <row r="589" customFormat="false" ht="15" hidden="false" customHeight="false" outlineLevel="0" collapsed="false">
      <c r="A589" s="4" t="n">
        <v>585</v>
      </c>
      <c r="B589" s="14" t="n">
        <f aca="false">A589/12</f>
        <v>48.75</v>
      </c>
      <c r="C589" s="15" t="n">
        <f aca="false">INT(A589/6)</f>
        <v>97</v>
      </c>
      <c r="D589" s="16" t="n">
        <f aca="false">IF(C589=0,(1+Dic2024!$G$6)^(-B589),EXP(LN(INDEX(Dic2024!$H$6:$H$205,C589))+(LN(INDEX(Dic2024!$H$6:$H$205,MIN(C589+1,200)))-LN(INDEX(Dic2024!$H$6:$H$205,C589)))*(A589-6*C589)/6))</f>
        <v>0.0592985424190531</v>
      </c>
      <c r="E589" s="12" t="n">
        <f aca="false">D589^(-1/B589)-1</f>
        <v>0.0596643600000002</v>
      </c>
      <c r="F589" s="12" t="n">
        <f aca="false">(1+E589)^(1/12)-1</f>
        <v>0.00484103148497961</v>
      </c>
      <c r="G589" s="16" t="n">
        <f aca="false">IF(C589=0,(1+Dic2024!$J$6)^(-B589),EXP(LN(INDEX(Dic2024!$K$6:$K$205,C589))+(LN(INDEX(Dic2024!$K$6:$K$205,MIN(C589+1,200)))-LN(INDEX(Dic2024!$K$6:$K$205,C589)))*(A589-6*C589)/6))</f>
        <v>0.0592985424190531</v>
      </c>
      <c r="H589" s="12" t="n">
        <f aca="false">G589^(-1/B589)-1</f>
        <v>0.0596643600000002</v>
      </c>
      <c r="I589" s="12" t="n">
        <f aca="false">(1+H589)^(1/12)-1</f>
        <v>0.00484103148497961</v>
      </c>
      <c r="J589" s="16" t="n">
        <f aca="false">IF(C589=0,(1+Dic2024!$M$6)^(-B589),EXP(LN(INDEX(Dic2024!$N$6:$N$205,C589))+(LN(INDEX(Dic2024!$N$6:$N$205,MIN(C589+1,200)))-LN(INDEX(Dic2024!$N$6:$N$205,C589)))*(A589-6*C589)/6))</f>
        <v>0.0592985424190531</v>
      </c>
      <c r="K589" s="12" t="n">
        <f aca="false">J589^(-1/B589)-1</f>
        <v>0.0596643600000002</v>
      </c>
      <c r="L589" s="12" t="n">
        <f aca="false">(1+K589)^(1/12)-1</f>
        <v>0.00484103148497961</v>
      </c>
    </row>
    <row r="590" customFormat="false" ht="15" hidden="false" customHeight="false" outlineLevel="0" collapsed="false">
      <c r="A590" s="4" t="n">
        <v>586</v>
      </c>
      <c r="B590" s="14" t="n">
        <f aca="false">A590/12</f>
        <v>48.8333333333333</v>
      </c>
      <c r="C590" s="15" t="n">
        <f aca="false">INT(A590/6)</f>
        <v>97</v>
      </c>
      <c r="D590" s="16" t="n">
        <f aca="false">IF(C590=0,(1+Dic2024!$G$6)^(-B590),EXP(LN(INDEX(Dic2024!$H$6:$H$205,C590))+(LN(INDEX(Dic2024!$H$6:$H$205,MIN(C590+1,200)))-LN(INDEX(Dic2024!$H$6:$H$205,C590)))*(A590-6*C590)/6))</f>
        <v>0.0590128593091189</v>
      </c>
      <c r="E590" s="12" t="n">
        <f aca="false">D590^(-1/B590)-1</f>
        <v>0.0596643600000002</v>
      </c>
      <c r="F590" s="12" t="n">
        <f aca="false">(1+E590)^(1/12)-1</f>
        <v>0.00484103148497961</v>
      </c>
      <c r="G590" s="16" t="n">
        <f aca="false">IF(C590=0,(1+Dic2024!$J$6)^(-B590),EXP(LN(INDEX(Dic2024!$K$6:$K$205,C590))+(LN(INDEX(Dic2024!$K$6:$K$205,MIN(C590+1,200)))-LN(INDEX(Dic2024!$K$6:$K$205,C590)))*(A590-6*C590)/6))</f>
        <v>0.0590128593091189</v>
      </c>
      <c r="H590" s="12" t="n">
        <f aca="false">G590^(-1/B590)-1</f>
        <v>0.0596643600000002</v>
      </c>
      <c r="I590" s="12" t="n">
        <f aca="false">(1+H590)^(1/12)-1</f>
        <v>0.00484103148497961</v>
      </c>
      <c r="J590" s="16" t="n">
        <f aca="false">IF(C590=0,(1+Dic2024!$M$6)^(-B590),EXP(LN(INDEX(Dic2024!$N$6:$N$205,C590))+(LN(INDEX(Dic2024!$N$6:$N$205,MIN(C590+1,200)))-LN(INDEX(Dic2024!$N$6:$N$205,C590)))*(A590-6*C590)/6))</f>
        <v>0.0590128593091189</v>
      </c>
      <c r="K590" s="12" t="n">
        <f aca="false">J590^(-1/B590)-1</f>
        <v>0.0596643600000002</v>
      </c>
      <c r="L590" s="12" t="n">
        <f aca="false">(1+K590)^(1/12)-1</f>
        <v>0.00484103148497961</v>
      </c>
    </row>
    <row r="591" customFormat="false" ht="15" hidden="false" customHeight="false" outlineLevel="0" collapsed="false">
      <c r="A591" s="4" t="n">
        <v>587</v>
      </c>
      <c r="B591" s="14" t="n">
        <f aca="false">A591/12</f>
        <v>48.9166666666667</v>
      </c>
      <c r="C591" s="15" t="n">
        <f aca="false">INT(A591/6)</f>
        <v>97</v>
      </c>
      <c r="D591" s="16" t="n">
        <f aca="false">IF(C591=0,(1+Dic2024!$G$6)^(-B591),EXP(LN(INDEX(Dic2024!$H$6:$H$205,C591))+(LN(INDEX(Dic2024!$H$6:$H$205,MIN(C591+1,200)))-LN(INDEX(Dic2024!$H$6:$H$205,C591)))*(A591-6*C591)/6))</f>
        <v>0.058728552537219</v>
      </c>
      <c r="E591" s="12" t="n">
        <f aca="false">D591^(-1/B591)-1</f>
        <v>0.0596643600000002</v>
      </c>
      <c r="F591" s="12" t="n">
        <f aca="false">(1+E591)^(1/12)-1</f>
        <v>0.00484103148497961</v>
      </c>
      <c r="G591" s="16" t="n">
        <f aca="false">IF(C591=0,(1+Dic2024!$J$6)^(-B591),EXP(LN(INDEX(Dic2024!$K$6:$K$205,C591))+(LN(INDEX(Dic2024!$K$6:$K$205,MIN(C591+1,200)))-LN(INDEX(Dic2024!$K$6:$K$205,C591)))*(A591-6*C591)/6))</f>
        <v>0.058728552537219</v>
      </c>
      <c r="H591" s="12" t="n">
        <f aca="false">G591^(-1/B591)-1</f>
        <v>0.0596643600000002</v>
      </c>
      <c r="I591" s="12" t="n">
        <f aca="false">(1+H591)^(1/12)-1</f>
        <v>0.00484103148497961</v>
      </c>
      <c r="J591" s="16" t="n">
        <f aca="false">IF(C591=0,(1+Dic2024!$M$6)^(-B591),EXP(LN(INDEX(Dic2024!$N$6:$N$205,C591))+(LN(INDEX(Dic2024!$N$6:$N$205,MIN(C591+1,200)))-LN(INDEX(Dic2024!$N$6:$N$205,C591)))*(A591-6*C591)/6))</f>
        <v>0.058728552537219</v>
      </c>
      <c r="K591" s="12" t="n">
        <f aca="false">J591^(-1/B591)-1</f>
        <v>0.0596643600000002</v>
      </c>
      <c r="L591" s="12" t="n">
        <f aca="false">(1+K591)^(1/12)-1</f>
        <v>0.00484103148497961</v>
      </c>
    </row>
    <row r="592" customFormat="false" ht="15" hidden="false" customHeight="false" outlineLevel="0" collapsed="false">
      <c r="A592" s="4" t="n">
        <v>588</v>
      </c>
      <c r="B592" s="14" t="n">
        <f aca="false">A592/12</f>
        <v>49</v>
      </c>
      <c r="C592" s="15" t="n">
        <f aca="false">INT(A592/6)</f>
        <v>98</v>
      </c>
      <c r="D592" s="16" t="n">
        <f aca="false">IF(C592=0,(1+Dic2024!$G$6)^(-B592),EXP(LN(INDEX(Dic2024!$H$6:$H$205,C592))+(LN(INDEX(Dic2024!$H$6:$H$205,MIN(C592+1,200)))-LN(INDEX(Dic2024!$H$6:$H$205,C592)))*(A592-6*C592)/6))</f>
        <v>0.0584456154725573</v>
      </c>
      <c r="E592" s="12" t="n">
        <f aca="false">D592^(-1/B592)-1</f>
        <v>0.0596643600000002</v>
      </c>
      <c r="F592" s="12" t="n">
        <f aca="false">(1+E592)^(1/12)-1</f>
        <v>0.00484103148497961</v>
      </c>
      <c r="G592" s="16" t="n">
        <f aca="false">IF(C592=0,(1+Dic2024!$J$6)^(-B592),EXP(LN(INDEX(Dic2024!$K$6:$K$205,C592))+(LN(INDEX(Dic2024!$K$6:$K$205,MIN(C592+1,200)))-LN(INDEX(Dic2024!$K$6:$K$205,C592)))*(A592-6*C592)/6))</f>
        <v>0.0584456154725573</v>
      </c>
      <c r="H592" s="12" t="n">
        <f aca="false">G592^(-1/B592)-1</f>
        <v>0.0596643600000002</v>
      </c>
      <c r="I592" s="12" t="n">
        <f aca="false">(1+H592)^(1/12)-1</f>
        <v>0.00484103148497961</v>
      </c>
      <c r="J592" s="16" t="n">
        <f aca="false">IF(C592=0,(1+Dic2024!$M$6)^(-B592),EXP(LN(INDEX(Dic2024!$N$6:$N$205,C592))+(LN(INDEX(Dic2024!$N$6:$N$205,MIN(C592+1,200)))-LN(INDEX(Dic2024!$N$6:$N$205,C592)))*(A592-6*C592)/6))</f>
        <v>0.0584456154725573</v>
      </c>
      <c r="K592" s="12" t="n">
        <f aca="false">J592^(-1/B592)-1</f>
        <v>0.0596643600000002</v>
      </c>
      <c r="L592" s="12" t="n">
        <f aca="false">(1+K592)^(1/12)-1</f>
        <v>0.00484103148497961</v>
      </c>
    </row>
    <row r="593" customFormat="false" ht="15" hidden="false" customHeight="false" outlineLevel="0" collapsed="false">
      <c r="A593" s="4" t="n">
        <v>589</v>
      </c>
      <c r="B593" s="14" t="n">
        <f aca="false">A593/12</f>
        <v>49.0833333333333</v>
      </c>
      <c r="C593" s="15" t="n">
        <f aca="false">INT(A593/6)</f>
        <v>98</v>
      </c>
      <c r="D593" s="16" t="n">
        <f aca="false">IF(C593=0,(1+Dic2024!$G$6)^(-B593),EXP(LN(INDEX(Dic2024!$H$6:$H$205,C593))+(LN(INDEX(Dic2024!$H$6:$H$205,MIN(C593+1,200)))-LN(INDEX(Dic2024!$H$6:$H$205,C593)))*(A593-6*C593)/6))</f>
        <v>0.0581640415162834</v>
      </c>
      <c r="E593" s="12" t="n">
        <f aca="false">D593^(-1/B593)-1</f>
        <v>0.0596643600000002</v>
      </c>
      <c r="F593" s="12" t="n">
        <f aca="false">(1+E593)^(1/12)-1</f>
        <v>0.00484103148497961</v>
      </c>
      <c r="G593" s="16" t="n">
        <f aca="false">IF(C593=0,(1+Dic2024!$J$6)^(-B593),EXP(LN(INDEX(Dic2024!$K$6:$K$205,C593))+(LN(INDEX(Dic2024!$K$6:$K$205,MIN(C593+1,200)))-LN(INDEX(Dic2024!$K$6:$K$205,C593)))*(A593-6*C593)/6))</f>
        <v>0.0581640415162834</v>
      </c>
      <c r="H593" s="12" t="n">
        <f aca="false">G593^(-1/B593)-1</f>
        <v>0.0596643600000002</v>
      </c>
      <c r="I593" s="12" t="n">
        <f aca="false">(1+H593)^(1/12)-1</f>
        <v>0.00484103148497961</v>
      </c>
      <c r="J593" s="16" t="n">
        <f aca="false">IF(C593=0,(1+Dic2024!$M$6)^(-B593),EXP(LN(INDEX(Dic2024!$N$6:$N$205,C593))+(LN(INDEX(Dic2024!$N$6:$N$205,MIN(C593+1,200)))-LN(INDEX(Dic2024!$N$6:$N$205,C593)))*(A593-6*C593)/6))</f>
        <v>0.0581640415162834</v>
      </c>
      <c r="K593" s="12" t="n">
        <f aca="false">J593^(-1/B593)-1</f>
        <v>0.0596643600000002</v>
      </c>
      <c r="L593" s="12" t="n">
        <f aca="false">(1+K593)^(1/12)-1</f>
        <v>0.00484103148497961</v>
      </c>
    </row>
    <row r="594" customFormat="false" ht="15" hidden="false" customHeight="false" outlineLevel="0" collapsed="false">
      <c r="A594" s="4" t="n">
        <v>590</v>
      </c>
      <c r="B594" s="14" t="n">
        <f aca="false">A594/12</f>
        <v>49.1666666666667</v>
      </c>
      <c r="C594" s="15" t="n">
        <f aca="false">INT(A594/6)</f>
        <v>98</v>
      </c>
      <c r="D594" s="16" t="n">
        <f aca="false">IF(C594=0,(1+Dic2024!$G$6)^(-B594),EXP(LN(INDEX(Dic2024!$H$6:$H$205,C594))+(LN(INDEX(Dic2024!$H$6:$H$205,MIN(C594+1,200)))-LN(INDEX(Dic2024!$H$6:$H$205,C594)))*(A594-6*C594)/6))</f>
        <v>0.0578838241013378</v>
      </c>
      <c r="E594" s="12" t="n">
        <f aca="false">D594^(-1/B594)-1</f>
        <v>0.0596643600000002</v>
      </c>
      <c r="F594" s="12" t="n">
        <f aca="false">(1+E594)^(1/12)-1</f>
        <v>0.00484103148497961</v>
      </c>
      <c r="G594" s="16" t="n">
        <f aca="false">IF(C594=0,(1+Dic2024!$J$6)^(-B594),EXP(LN(INDEX(Dic2024!$K$6:$K$205,C594))+(LN(INDEX(Dic2024!$K$6:$K$205,MIN(C594+1,200)))-LN(INDEX(Dic2024!$K$6:$K$205,C594)))*(A594-6*C594)/6))</f>
        <v>0.0578838241013378</v>
      </c>
      <c r="H594" s="12" t="n">
        <f aca="false">G594^(-1/B594)-1</f>
        <v>0.0596643600000002</v>
      </c>
      <c r="I594" s="12" t="n">
        <f aca="false">(1+H594)^(1/12)-1</f>
        <v>0.00484103148497961</v>
      </c>
      <c r="J594" s="16" t="n">
        <f aca="false">IF(C594=0,(1+Dic2024!$M$6)^(-B594),EXP(LN(INDEX(Dic2024!$N$6:$N$205,C594))+(LN(INDEX(Dic2024!$N$6:$N$205,MIN(C594+1,200)))-LN(INDEX(Dic2024!$N$6:$N$205,C594)))*(A594-6*C594)/6))</f>
        <v>0.0578838241013378</v>
      </c>
      <c r="K594" s="12" t="n">
        <f aca="false">J594^(-1/B594)-1</f>
        <v>0.0596643600000002</v>
      </c>
      <c r="L594" s="12" t="n">
        <f aca="false">(1+K594)^(1/12)-1</f>
        <v>0.00484103148497961</v>
      </c>
    </row>
    <row r="595" customFormat="false" ht="15" hidden="false" customHeight="false" outlineLevel="0" collapsed="false">
      <c r="A595" s="4" t="n">
        <v>591</v>
      </c>
      <c r="B595" s="14" t="n">
        <f aca="false">A595/12</f>
        <v>49.25</v>
      </c>
      <c r="C595" s="15" t="n">
        <f aca="false">INT(A595/6)</f>
        <v>98</v>
      </c>
      <c r="D595" s="16" t="n">
        <f aca="false">IF(C595=0,(1+Dic2024!$G$6)^(-B595),EXP(LN(INDEX(Dic2024!$H$6:$H$205,C595))+(LN(INDEX(Dic2024!$H$6:$H$205,MIN(C595+1,200)))-LN(INDEX(Dic2024!$H$6:$H$205,C595)))*(A595-6*C595)/6))</f>
        <v>0.0576049566922994</v>
      </c>
      <c r="E595" s="12" t="n">
        <f aca="false">D595^(-1/B595)-1</f>
        <v>0.0596643600000002</v>
      </c>
      <c r="F595" s="12" t="n">
        <f aca="false">(1+E595)^(1/12)-1</f>
        <v>0.00484103148497961</v>
      </c>
      <c r="G595" s="16" t="n">
        <f aca="false">IF(C595=0,(1+Dic2024!$J$6)^(-B595),EXP(LN(INDEX(Dic2024!$K$6:$K$205,C595))+(LN(INDEX(Dic2024!$K$6:$K$205,MIN(C595+1,200)))-LN(INDEX(Dic2024!$K$6:$K$205,C595)))*(A595-6*C595)/6))</f>
        <v>0.0576049566922994</v>
      </c>
      <c r="H595" s="12" t="n">
        <f aca="false">G595^(-1/B595)-1</f>
        <v>0.0596643600000002</v>
      </c>
      <c r="I595" s="12" t="n">
        <f aca="false">(1+H595)^(1/12)-1</f>
        <v>0.00484103148497961</v>
      </c>
      <c r="J595" s="16" t="n">
        <f aca="false">IF(C595=0,(1+Dic2024!$M$6)^(-B595),EXP(LN(INDEX(Dic2024!$N$6:$N$205,C595))+(LN(INDEX(Dic2024!$N$6:$N$205,MIN(C595+1,200)))-LN(INDEX(Dic2024!$N$6:$N$205,C595)))*(A595-6*C595)/6))</f>
        <v>0.0576049566922994</v>
      </c>
      <c r="K595" s="12" t="n">
        <f aca="false">J595^(-1/B595)-1</f>
        <v>0.0596643600000002</v>
      </c>
      <c r="L595" s="12" t="n">
        <f aca="false">(1+K595)^(1/12)-1</f>
        <v>0.00484103148497961</v>
      </c>
    </row>
    <row r="596" customFormat="false" ht="15" hidden="false" customHeight="false" outlineLevel="0" collapsed="false">
      <c r="A596" s="4" t="n">
        <v>592</v>
      </c>
      <c r="B596" s="14" t="n">
        <f aca="false">A596/12</f>
        <v>49.3333333333333</v>
      </c>
      <c r="C596" s="15" t="n">
        <f aca="false">INT(A596/6)</f>
        <v>98</v>
      </c>
      <c r="D596" s="16" t="n">
        <f aca="false">IF(C596=0,(1+Dic2024!$G$6)^(-B596),EXP(LN(INDEX(Dic2024!$H$6:$H$205,C596))+(LN(INDEX(Dic2024!$H$6:$H$205,MIN(C596+1,200)))-LN(INDEX(Dic2024!$H$6:$H$205,C596)))*(A596-6*C596)/6))</f>
        <v>0.0573274327852331</v>
      </c>
      <c r="E596" s="12" t="n">
        <f aca="false">D596^(-1/B596)-1</f>
        <v>0.0596643600000002</v>
      </c>
      <c r="F596" s="12" t="n">
        <f aca="false">(1+E596)^(1/12)-1</f>
        <v>0.00484103148497961</v>
      </c>
      <c r="G596" s="16" t="n">
        <f aca="false">IF(C596=0,(1+Dic2024!$J$6)^(-B596),EXP(LN(INDEX(Dic2024!$K$6:$K$205,C596))+(LN(INDEX(Dic2024!$K$6:$K$205,MIN(C596+1,200)))-LN(INDEX(Dic2024!$K$6:$K$205,C596)))*(A596-6*C596)/6))</f>
        <v>0.0573274327852331</v>
      </c>
      <c r="H596" s="12" t="n">
        <f aca="false">G596^(-1/B596)-1</f>
        <v>0.0596643600000002</v>
      </c>
      <c r="I596" s="12" t="n">
        <f aca="false">(1+H596)^(1/12)-1</f>
        <v>0.00484103148497961</v>
      </c>
      <c r="J596" s="16" t="n">
        <f aca="false">IF(C596=0,(1+Dic2024!$M$6)^(-B596),EXP(LN(INDEX(Dic2024!$N$6:$N$205,C596))+(LN(INDEX(Dic2024!$N$6:$N$205,MIN(C596+1,200)))-LN(INDEX(Dic2024!$N$6:$N$205,C596)))*(A596-6*C596)/6))</f>
        <v>0.0573274327852331</v>
      </c>
      <c r="K596" s="12" t="n">
        <f aca="false">J596^(-1/B596)-1</f>
        <v>0.0596643600000002</v>
      </c>
      <c r="L596" s="12" t="n">
        <f aca="false">(1+K596)^(1/12)-1</f>
        <v>0.00484103148497961</v>
      </c>
    </row>
    <row r="597" customFormat="false" ht="15" hidden="false" customHeight="false" outlineLevel="0" collapsed="false">
      <c r="A597" s="4" t="n">
        <v>593</v>
      </c>
      <c r="B597" s="14" t="n">
        <f aca="false">A597/12</f>
        <v>49.4166666666667</v>
      </c>
      <c r="C597" s="15" t="n">
        <f aca="false">INT(A597/6)</f>
        <v>98</v>
      </c>
      <c r="D597" s="16" t="n">
        <f aca="false">IF(C597=0,(1+Dic2024!$G$6)^(-B597),EXP(LN(INDEX(Dic2024!$H$6:$H$205,C597))+(LN(INDEX(Dic2024!$H$6:$H$205,MIN(C597+1,200)))-LN(INDEX(Dic2024!$H$6:$H$205,C597)))*(A597-6*C597)/6))</f>
        <v>0.0570512459075374</v>
      </c>
      <c r="E597" s="12" t="n">
        <f aca="false">D597^(-1/B597)-1</f>
        <v>0.0596643600000002</v>
      </c>
      <c r="F597" s="12" t="n">
        <f aca="false">(1+E597)^(1/12)-1</f>
        <v>0.00484103148497961</v>
      </c>
      <c r="G597" s="16" t="n">
        <f aca="false">IF(C597=0,(1+Dic2024!$J$6)^(-B597),EXP(LN(INDEX(Dic2024!$K$6:$K$205,C597))+(LN(INDEX(Dic2024!$K$6:$K$205,MIN(C597+1,200)))-LN(INDEX(Dic2024!$K$6:$K$205,C597)))*(A597-6*C597)/6))</f>
        <v>0.0570512459075374</v>
      </c>
      <c r="H597" s="12" t="n">
        <f aca="false">G597^(-1/B597)-1</f>
        <v>0.0596643600000002</v>
      </c>
      <c r="I597" s="12" t="n">
        <f aca="false">(1+H597)^(1/12)-1</f>
        <v>0.00484103148497961</v>
      </c>
      <c r="J597" s="16" t="n">
        <f aca="false">IF(C597=0,(1+Dic2024!$M$6)^(-B597),EXP(LN(INDEX(Dic2024!$N$6:$N$205,C597))+(LN(INDEX(Dic2024!$N$6:$N$205,MIN(C597+1,200)))-LN(INDEX(Dic2024!$N$6:$N$205,C597)))*(A597-6*C597)/6))</f>
        <v>0.0570512459075374</v>
      </c>
      <c r="K597" s="12" t="n">
        <f aca="false">J597^(-1/B597)-1</f>
        <v>0.0596643600000002</v>
      </c>
      <c r="L597" s="12" t="n">
        <f aca="false">(1+K597)^(1/12)-1</f>
        <v>0.00484103148497961</v>
      </c>
    </row>
    <row r="598" customFormat="false" ht="15" hidden="false" customHeight="false" outlineLevel="0" collapsed="false">
      <c r="A598" s="4" t="n">
        <v>594</v>
      </c>
      <c r="B598" s="14" t="n">
        <f aca="false">A598/12</f>
        <v>49.5</v>
      </c>
      <c r="C598" s="15" t="n">
        <f aca="false">INT(A598/6)</f>
        <v>99</v>
      </c>
      <c r="D598" s="16" t="n">
        <f aca="false">IF(C598=0,(1+Dic2024!$G$6)^(-B598),EXP(LN(INDEX(Dic2024!$H$6:$H$205,C598))+(LN(INDEX(Dic2024!$H$6:$H$205,MIN(C598+1,200)))-LN(INDEX(Dic2024!$H$6:$H$205,C598)))*(A598-6*C598)/6))</f>
        <v>0.0567763896177942</v>
      </c>
      <c r="E598" s="12" t="n">
        <f aca="false">D598^(-1/B598)-1</f>
        <v>0.0596643600000002</v>
      </c>
      <c r="F598" s="12" t="n">
        <f aca="false">(1+E598)^(1/12)-1</f>
        <v>0.00484103148497961</v>
      </c>
      <c r="G598" s="16" t="n">
        <f aca="false">IF(C598=0,(1+Dic2024!$J$6)^(-B598),EXP(LN(INDEX(Dic2024!$K$6:$K$205,C598))+(LN(INDEX(Dic2024!$K$6:$K$205,MIN(C598+1,200)))-LN(INDEX(Dic2024!$K$6:$K$205,C598)))*(A598-6*C598)/6))</f>
        <v>0.0567763896177942</v>
      </c>
      <c r="H598" s="12" t="n">
        <f aca="false">G598^(-1/B598)-1</f>
        <v>0.0596643600000002</v>
      </c>
      <c r="I598" s="12" t="n">
        <f aca="false">(1+H598)^(1/12)-1</f>
        <v>0.00484103148497961</v>
      </c>
      <c r="J598" s="16" t="n">
        <f aca="false">IF(C598=0,(1+Dic2024!$M$6)^(-B598),EXP(LN(INDEX(Dic2024!$N$6:$N$205,C598))+(LN(INDEX(Dic2024!$N$6:$N$205,MIN(C598+1,200)))-LN(INDEX(Dic2024!$N$6:$N$205,C598)))*(A598-6*C598)/6))</f>
        <v>0.0567763896177942</v>
      </c>
      <c r="K598" s="12" t="n">
        <f aca="false">J598^(-1/B598)-1</f>
        <v>0.0596643600000002</v>
      </c>
      <c r="L598" s="12" t="n">
        <f aca="false">(1+K598)^(1/12)-1</f>
        <v>0.00484103148497961</v>
      </c>
    </row>
    <row r="599" customFormat="false" ht="15" hidden="false" customHeight="false" outlineLevel="0" collapsed="false">
      <c r="A599" s="4" t="n">
        <v>595</v>
      </c>
      <c r="B599" s="14" t="n">
        <f aca="false">A599/12</f>
        <v>49.5833333333333</v>
      </c>
      <c r="C599" s="15" t="n">
        <f aca="false">INT(A599/6)</f>
        <v>99</v>
      </c>
      <c r="D599" s="16" t="n">
        <f aca="false">IF(C599=0,(1+Dic2024!$G$6)^(-B599),EXP(LN(INDEX(Dic2024!$H$6:$H$205,C599))+(LN(INDEX(Dic2024!$H$6:$H$205,MIN(C599+1,200)))-LN(INDEX(Dic2024!$H$6:$H$205,C599)))*(A599-6*C599)/6))</f>
        <v>0.0565028575056182</v>
      </c>
      <c r="E599" s="12" t="n">
        <f aca="false">D599^(-1/B599)-1</f>
        <v>0.0596643600000002</v>
      </c>
      <c r="F599" s="12" t="n">
        <f aca="false">(1+E599)^(1/12)-1</f>
        <v>0.00484103148497961</v>
      </c>
      <c r="G599" s="16" t="n">
        <f aca="false">IF(C599=0,(1+Dic2024!$J$6)^(-B599),EXP(LN(INDEX(Dic2024!$K$6:$K$205,C599))+(LN(INDEX(Dic2024!$K$6:$K$205,MIN(C599+1,200)))-LN(INDEX(Dic2024!$K$6:$K$205,C599)))*(A599-6*C599)/6))</f>
        <v>0.0565028575056182</v>
      </c>
      <c r="H599" s="12" t="n">
        <f aca="false">G599^(-1/B599)-1</f>
        <v>0.0596643600000002</v>
      </c>
      <c r="I599" s="12" t="n">
        <f aca="false">(1+H599)^(1/12)-1</f>
        <v>0.00484103148497961</v>
      </c>
      <c r="J599" s="16" t="n">
        <f aca="false">IF(C599=0,(1+Dic2024!$M$6)^(-B599),EXP(LN(INDEX(Dic2024!$N$6:$N$205,C599))+(LN(INDEX(Dic2024!$N$6:$N$205,MIN(C599+1,200)))-LN(INDEX(Dic2024!$N$6:$N$205,C599)))*(A599-6*C599)/6))</f>
        <v>0.0565028575056182</v>
      </c>
      <c r="K599" s="12" t="n">
        <f aca="false">J599^(-1/B599)-1</f>
        <v>0.0596643600000002</v>
      </c>
      <c r="L599" s="12" t="n">
        <f aca="false">(1+K599)^(1/12)-1</f>
        <v>0.00484103148497961</v>
      </c>
    </row>
    <row r="600" customFormat="false" ht="15" hidden="false" customHeight="false" outlineLevel="0" collapsed="false">
      <c r="A600" s="4" t="n">
        <v>596</v>
      </c>
      <c r="B600" s="14" t="n">
        <f aca="false">A600/12</f>
        <v>49.6666666666667</v>
      </c>
      <c r="C600" s="15" t="n">
        <f aca="false">INT(A600/6)</f>
        <v>99</v>
      </c>
      <c r="D600" s="16" t="n">
        <f aca="false">IF(C600=0,(1+Dic2024!$G$6)^(-B600),EXP(LN(INDEX(Dic2024!$H$6:$H$205,C600))+(LN(INDEX(Dic2024!$H$6:$H$205,MIN(C600+1,200)))-LN(INDEX(Dic2024!$H$6:$H$205,C600)))*(A600-6*C600)/6))</f>
        <v>0.0562306431915074</v>
      </c>
      <c r="E600" s="12" t="n">
        <f aca="false">D600^(-1/B600)-1</f>
        <v>0.0596643600000002</v>
      </c>
      <c r="F600" s="12" t="n">
        <f aca="false">(1+E600)^(1/12)-1</f>
        <v>0.00484103148497961</v>
      </c>
      <c r="G600" s="16" t="n">
        <f aca="false">IF(C600=0,(1+Dic2024!$J$6)^(-B600),EXP(LN(INDEX(Dic2024!$K$6:$K$205,C600))+(LN(INDEX(Dic2024!$K$6:$K$205,MIN(C600+1,200)))-LN(INDEX(Dic2024!$K$6:$K$205,C600)))*(A600-6*C600)/6))</f>
        <v>0.0562306431915074</v>
      </c>
      <c r="H600" s="12" t="n">
        <f aca="false">G600^(-1/B600)-1</f>
        <v>0.0596643600000002</v>
      </c>
      <c r="I600" s="12" t="n">
        <f aca="false">(1+H600)^(1/12)-1</f>
        <v>0.00484103148497961</v>
      </c>
      <c r="J600" s="16" t="n">
        <f aca="false">IF(C600=0,(1+Dic2024!$M$6)^(-B600),EXP(LN(INDEX(Dic2024!$N$6:$N$205,C600))+(LN(INDEX(Dic2024!$N$6:$N$205,MIN(C600+1,200)))-LN(INDEX(Dic2024!$N$6:$N$205,C600)))*(A600-6*C600)/6))</f>
        <v>0.0562306431915074</v>
      </c>
      <c r="K600" s="12" t="n">
        <f aca="false">J600^(-1/B600)-1</f>
        <v>0.0596643600000002</v>
      </c>
      <c r="L600" s="12" t="n">
        <f aca="false">(1+K600)^(1/12)-1</f>
        <v>0.00484103148497961</v>
      </c>
    </row>
    <row r="601" customFormat="false" ht="15" hidden="false" customHeight="false" outlineLevel="0" collapsed="false">
      <c r="A601" s="4" t="n">
        <v>597</v>
      </c>
      <c r="B601" s="14" t="n">
        <f aca="false">A601/12</f>
        <v>49.75</v>
      </c>
      <c r="C601" s="15" t="n">
        <f aca="false">INT(A601/6)</f>
        <v>99</v>
      </c>
      <c r="D601" s="16" t="n">
        <f aca="false">IF(C601=0,(1+Dic2024!$G$6)^(-B601),EXP(LN(INDEX(Dic2024!$H$6:$H$205,C601))+(LN(INDEX(Dic2024!$H$6:$H$205,MIN(C601+1,200)))-LN(INDEX(Dic2024!$H$6:$H$205,C601)))*(A601-6*C601)/6))</f>
        <v>0.0559597403266946</v>
      </c>
      <c r="E601" s="12" t="n">
        <f aca="false">D601^(-1/B601)-1</f>
        <v>0.0596643600000002</v>
      </c>
      <c r="F601" s="12" t="n">
        <f aca="false">(1+E601)^(1/12)-1</f>
        <v>0.00484103148497961</v>
      </c>
      <c r="G601" s="16" t="n">
        <f aca="false">IF(C601=0,(1+Dic2024!$J$6)^(-B601),EXP(LN(INDEX(Dic2024!$K$6:$K$205,C601))+(LN(INDEX(Dic2024!$K$6:$K$205,MIN(C601+1,200)))-LN(INDEX(Dic2024!$K$6:$K$205,C601)))*(A601-6*C601)/6))</f>
        <v>0.0559597403266946</v>
      </c>
      <c r="H601" s="12" t="n">
        <f aca="false">G601^(-1/B601)-1</f>
        <v>0.0596643600000002</v>
      </c>
      <c r="I601" s="12" t="n">
        <f aca="false">(1+H601)^(1/12)-1</f>
        <v>0.00484103148497961</v>
      </c>
      <c r="J601" s="16" t="n">
        <f aca="false">IF(C601=0,(1+Dic2024!$M$6)^(-B601),EXP(LN(INDEX(Dic2024!$N$6:$N$205,C601))+(LN(INDEX(Dic2024!$N$6:$N$205,MIN(C601+1,200)))-LN(INDEX(Dic2024!$N$6:$N$205,C601)))*(A601-6*C601)/6))</f>
        <v>0.0559597403266946</v>
      </c>
      <c r="K601" s="12" t="n">
        <f aca="false">J601^(-1/B601)-1</f>
        <v>0.0596643600000002</v>
      </c>
      <c r="L601" s="12" t="n">
        <f aca="false">(1+K601)^(1/12)-1</f>
        <v>0.00484103148497961</v>
      </c>
    </row>
    <row r="602" customFormat="false" ht="15" hidden="false" customHeight="false" outlineLevel="0" collapsed="false">
      <c r="A602" s="4" t="n">
        <v>598</v>
      </c>
      <c r="B602" s="14" t="n">
        <f aca="false">A602/12</f>
        <v>49.8333333333333</v>
      </c>
      <c r="C602" s="15" t="n">
        <f aca="false">INT(A602/6)</f>
        <v>99</v>
      </c>
      <c r="D602" s="16" t="n">
        <f aca="false">IF(C602=0,(1+Dic2024!$G$6)^(-B602),EXP(LN(INDEX(Dic2024!$H$6:$H$205,C602))+(LN(INDEX(Dic2024!$H$6:$H$205,MIN(C602+1,200)))-LN(INDEX(Dic2024!$H$6:$H$205,C602)))*(A602-6*C602)/6))</f>
        <v>0.0556901425929989</v>
      </c>
      <c r="E602" s="12" t="n">
        <f aca="false">D602^(-1/B602)-1</f>
        <v>0.0596643600000002</v>
      </c>
      <c r="F602" s="12" t="n">
        <f aca="false">(1+E602)^(1/12)-1</f>
        <v>0.00484103148497961</v>
      </c>
      <c r="G602" s="16" t="n">
        <f aca="false">IF(C602=0,(1+Dic2024!$J$6)^(-B602),EXP(LN(INDEX(Dic2024!$K$6:$K$205,C602))+(LN(INDEX(Dic2024!$K$6:$K$205,MIN(C602+1,200)))-LN(INDEX(Dic2024!$K$6:$K$205,C602)))*(A602-6*C602)/6))</f>
        <v>0.0556901425929989</v>
      </c>
      <c r="H602" s="12" t="n">
        <f aca="false">G602^(-1/B602)-1</f>
        <v>0.0596643600000002</v>
      </c>
      <c r="I602" s="12" t="n">
        <f aca="false">(1+H602)^(1/12)-1</f>
        <v>0.00484103148497961</v>
      </c>
      <c r="J602" s="16" t="n">
        <f aca="false">IF(C602=0,(1+Dic2024!$M$6)^(-B602),EXP(LN(INDEX(Dic2024!$N$6:$N$205,C602))+(LN(INDEX(Dic2024!$N$6:$N$205,MIN(C602+1,200)))-LN(INDEX(Dic2024!$N$6:$N$205,C602)))*(A602-6*C602)/6))</f>
        <v>0.0556901425929989</v>
      </c>
      <c r="K602" s="12" t="n">
        <f aca="false">J602^(-1/B602)-1</f>
        <v>0.0596643600000002</v>
      </c>
      <c r="L602" s="12" t="n">
        <f aca="false">(1+K602)^(1/12)-1</f>
        <v>0.00484103148497961</v>
      </c>
    </row>
    <row r="603" customFormat="false" ht="15" hidden="false" customHeight="false" outlineLevel="0" collapsed="false">
      <c r="A603" s="4" t="n">
        <v>599</v>
      </c>
      <c r="B603" s="14" t="n">
        <f aca="false">A603/12</f>
        <v>49.9166666666667</v>
      </c>
      <c r="C603" s="15" t="n">
        <f aca="false">INT(A603/6)</f>
        <v>99</v>
      </c>
      <c r="D603" s="16" t="n">
        <f aca="false">IF(C603=0,(1+Dic2024!$G$6)^(-B603),EXP(LN(INDEX(Dic2024!$H$6:$H$205,C603))+(LN(INDEX(Dic2024!$H$6:$H$205,MIN(C603+1,200)))-LN(INDEX(Dic2024!$H$6:$H$205,C603)))*(A603-6*C603)/6))</f>
        <v>0.0554218437026786</v>
      </c>
      <c r="E603" s="12" t="n">
        <f aca="false">D603^(-1/B603)-1</f>
        <v>0.0596643600000002</v>
      </c>
      <c r="F603" s="12" t="n">
        <f aca="false">(1+E603)^(1/12)-1</f>
        <v>0.00484103148497961</v>
      </c>
      <c r="G603" s="16" t="n">
        <f aca="false">IF(C603=0,(1+Dic2024!$J$6)^(-B603),EXP(LN(INDEX(Dic2024!$K$6:$K$205,C603))+(LN(INDEX(Dic2024!$K$6:$K$205,MIN(C603+1,200)))-LN(INDEX(Dic2024!$K$6:$K$205,C603)))*(A603-6*C603)/6))</f>
        <v>0.0554218437026786</v>
      </c>
      <c r="H603" s="12" t="n">
        <f aca="false">G603^(-1/B603)-1</f>
        <v>0.0596643600000002</v>
      </c>
      <c r="I603" s="12" t="n">
        <f aca="false">(1+H603)^(1/12)-1</f>
        <v>0.00484103148497961</v>
      </c>
      <c r="J603" s="16" t="n">
        <f aca="false">IF(C603=0,(1+Dic2024!$M$6)^(-B603),EXP(LN(INDEX(Dic2024!$N$6:$N$205,C603))+(LN(INDEX(Dic2024!$N$6:$N$205,MIN(C603+1,200)))-LN(INDEX(Dic2024!$N$6:$N$205,C603)))*(A603-6*C603)/6))</f>
        <v>0.0554218437026786</v>
      </c>
      <c r="K603" s="12" t="n">
        <f aca="false">J603^(-1/B603)-1</f>
        <v>0.0596643600000002</v>
      </c>
      <c r="L603" s="12" t="n">
        <f aca="false">(1+K603)^(1/12)-1</f>
        <v>0.00484103148497961</v>
      </c>
    </row>
    <row r="604" customFormat="false" ht="15" hidden="false" customHeight="false" outlineLevel="0" collapsed="false">
      <c r="A604" s="4" t="n">
        <v>600</v>
      </c>
      <c r="B604" s="14" t="n">
        <f aca="false">A604/12</f>
        <v>50</v>
      </c>
      <c r="C604" s="15" t="n">
        <f aca="false">INT(A604/6)</f>
        <v>100</v>
      </c>
      <c r="D604" s="16" t="n">
        <f aca="false">IF(C604=0,(1+Dic2024!$G$6)^(-B604),EXP(LN(INDEX(Dic2024!$H$6:$H$205,C604))+(LN(INDEX(Dic2024!$H$6:$H$205,MIN(C604+1,200)))-LN(INDEX(Dic2024!$H$6:$H$205,C604)))*(A604-6*C604)/6))</f>
        <v>0.0551548373982846</v>
      </c>
      <c r="E604" s="12" t="n">
        <f aca="false">D604^(-1/B604)-1</f>
        <v>0.0596643600000002</v>
      </c>
      <c r="F604" s="12" t="n">
        <f aca="false">(1+E604)^(1/12)-1</f>
        <v>0.00484103148497961</v>
      </c>
      <c r="G604" s="16" t="n">
        <f aca="false">IF(C604=0,(1+Dic2024!$J$6)^(-B604),EXP(LN(INDEX(Dic2024!$K$6:$K$205,C604))+(LN(INDEX(Dic2024!$K$6:$K$205,MIN(C604+1,200)))-LN(INDEX(Dic2024!$K$6:$K$205,C604)))*(A604-6*C604)/6))</f>
        <v>0.0551548373982846</v>
      </c>
      <c r="H604" s="12" t="n">
        <f aca="false">G604^(-1/B604)-1</f>
        <v>0.0596643600000002</v>
      </c>
      <c r="I604" s="12" t="n">
        <f aca="false">(1+H604)^(1/12)-1</f>
        <v>0.00484103148497961</v>
      </c>
      <c r="J604" s="16" t="n">
        <f aca="false">IF(C604=0,(1+Dic2024!$M$6)^(-B604),EXP(LN(INDEX(Dic2024!$N$6:$N$205,C604))+(LN(INDEX(Dic2024!$N$6:$N$205,MIN(C604+1,200)))-LN(INDEX(Dic2024!$N$6:$N$205,C604)))*(A604-6*C604)/6))</f>
        <v>0.0551548373982846</v>
      </c>
      <c r="K604" s="12" t="n">
        <f aca="false">J604^(-1/B604)-1</f>
        <v>0.0596643600000002</v>
      </c>
      <c r="L604" s="12" t="n">
        <f aca="false">(1+K604)^(1/12)-1</f>
        <v>0.00484103148497961</v>
      </c>
    </row>
    <row r="605" customFormat="false" ht="15" hidden="false" customHeight="false" outlineLevel="0" collapsed="false">
      <c r="A605" s="4" t="n">
        <v>601</v>
      </c>
      <c r="B605" s="14" t="n">
        <f aca="false">A605/12</f>
        <v>50.0833333333333</v>
      </c>
      <c r="C605" s="15" t="n">
        <f aca="false">INT(A605/6)</f>
        <v>100</v>
      </c>
      <c r="D605" s="16" t="n">
        <f aca="false">IF(C605=0,(1+Dic2024!$G$6)^(-B605),EXP(LN(INDEX(Dic2024!$H$6:$H$205,C605))+(LN(INDEX(Dic2024!$H$6:$H$205,MIN(C605+1,200)))-LN(INDEX(Dic2024!$H$6:$H$205,C605)))*(A605-6*C605)/6))</f>
        <v>0.0548442579828115</v>
      </c>
      <c r="E605" s="12" t="n">
        <f aca="false">D605^(-1/B605)-1</f>
        <v>0.0596816591220823</v>
      </c>
      <c r="F605" s="12" t="n">
        <f aca="false">(1+E605)^(1/12)-1</f>
        <v>0.00484239848525103</v>
      </c>
      <c r="G605" s="16" t="n">
        <f aca="false">IF(C605=0,(1+Dic2024!$J$6)^(-B605),EXP(LN(INDEX(Dic2024!$K$6:$K$205,C605))+(LN(INDEX(Dic2024!$K$6:$K$205,MIN(C605+1,200)))-LN(INDEX(Dic2024!$K$6:$K$205,C605)))*(A605-6*C605)/6))</f>
        <v>0.0548442579828115</v>
      </c>
      <c r="H605" s="12" t="n">
        <f aca="false">G605^(-1/B605)-1</f>
        <v>0.0596816591220823</v>
      </c>
      <c r="I605" s="12" t="n">
        <f aca="false">(1+H605)^(1/12)-1</f>
        <v>0.00484239848525103</v>
      </c>
      <c r="J605" s="16" t="n">
        <f aca="false">IF(C605=0,(1+Dic2024!$M$6)^(-B605),EXP(LN(INDEX(Dic2024!$N$6:$N$205,C605))+(LN(INDEX(Dic2024!$N$6:$N$205,MIN(C605+1,200)))-LN(INDEX(Dic2024!$N$6:$N$205,C605)))*(A605-6*C605)/6))</f>
        <v>0.0548442579828115</v>
      </c>
      <c r="K605" s="12" t="n">
        <f aca="false">J605^(-1/B605)-1</f>
        <v>0.0596816591220823</v>
      </c>
      <c r="L605" s="12" t="n">
        <f aca="false">(1+K605)^(1/12)-1</f>
        <v>0.00484239848525103</v>
      </c>
    </row>
    <row r="606" customFormat="false" ht="15" hidden="false" customHeight="false" outlineLevel="0" collapsed="false">
      <c r="A606" s="4" t="n">
        <v>602</v>
      </c>
      <c r="B606" s="14" t="n">
        <f aca="false">A606/12</f>
        <v>50.1666666666667</v>
      </c>
      <c r="C606" s="15" t="n">
        <f aca="false">INT(A606/6)</f>
        <v>100</v>
      </c>
      <c r="D606" s="16" t="n">
        <f aca="false">IF(C606=0,(1+Dic2024!$G$6)^(-B606),EXP(LN(INDEX(Dic2024!$H$6:$H$205,C606))+(LN(INDEX(Dic2024!$H$6:$H$205,MIN(C606+1,200)))-LN(INDEX(Dic2024!$H$6:$H$205,C606)))*(A606-6*C606)/6))</f>
        <v>0.0545354274542514</v>
      </c>
      <c r="E606" s="12" t="n">
        <f aca="false">D606^(-1/B606)-1</f>
        <v>0.059698901053002</v>
      </c>
      <c r="F606" s="12" t="n">
        <f aca="false">(1+E606)^(1/12)-1</f>
        <v>0.00484376094584382</v>
      </c>
      <c r="G606" s="16" t="n">
        <f aca="false">IF(C606=0,(1+Dic2024!$J$6)^(-B606),EXP(LN(INDEX(Dic2024!$K$6:$K$205,C606))+(LN(INDEX(Dic2024!$K$6:$K$205,MIN(C606+1,200)))-LN(INDEX(Dic2024!$K$6:$K$205,C606)))*(A606-6*C606)/6))</f>
        <v>0.0545354274542514</v>
      </c>
      <c r="H606" s="12" t="n">
        <f aca="false">G606^(-1/B606)-1</f>
        <v>0.059698901053002</v>
      </c>
      <c r="I606" s="12" t="n">
        <f aca="false">(1+H606)^(1/12)-1</f>
        <v>0.00484376094584382</v>
      </c>
      <c r="J606" s="16" t="n">
        <f aca="false">IF(C606=0,(1+Dic2024!$M$6)^(-B606),EXP(LN(INDEX(Dic2024!$N$6:$N$205,C606))+(LN(INDEX(Dic2024!$N$6:$N$205,MIN(C606+1,200)))-LN(INDEX(Dic2024!$N$6:$N$205,C606)))*(A606-6*C606)/6))</f>
        <v>0.0545354274542514</v>
      </c>
      <c r="K606" s="12" t="n">
        <f aca="false">J606^(-1/B606)-1</f>
        <v>0.059698901053002</v>
      </c>
      <c r="L606" s="12" t="n">
        <f aca="false">(1+K606)^(1/12)-1</f>
        <v>0.00484376094584382</v>
      </c>
    </row>
    <row r="607" customFormat="false" ht="15" hidden="false" customHeight="false" outlineLevel="0" collapsed="false">
      <c r="A607" s="4" t="n">
        <v>603</v>
      </c>
      <c r="B607" s="14" t="n">
        <f aca="false">A607/12</f>
        <v>50.25</v>
      </c>
      <c r="C607" s="15" t="n">
        <f aca="false">INT(A607/6)</f>
        <v>100</v>
      </c>
      <c r="D607" s="16" t="n">
        <f aca="false">IF(C607=0,(1+Dic2024!$G$6)^(-B607),EXP(LN(INDEX(Dic2024!$H$6:$H$205,C607))+(LN(INDEX(Dic2024!$H$6:$H$205,MIN(C607+1,200)))-LN(INDEX(Dic2024!$H$6:$H$205,C607)))*(A607-6*C607)/6))</f>
        <v>0.054228335964542</v>
      </c>
      <c r="E607" s="12" t="n">
        <f aca="false">D607^(-1/B607)-1</f>
        <v>0.0597160860759014</v>
      </c>
      <c r="F607" s="12" t="n">
        <f aca="false">(1+E607)^(1/12)-1</f>
        <v>0.00484511888933414</v>
      </c>
      <c r="G607" s="16" t="n">
        <f aca="false">IF(C607=0,(1+Dic2024!$J$6)^(-B607),EXP(LN(INDEX(Dic2024!$K$6:$K$205,C607))+(LN(INDEX(Dic2024!$K$6:$K$205,MIN(C607+1,200)))-LN(INDEX(Dic2024!$K$6:$K$205,C607)))*(A607-6*C607)/6))</f>
        <v>0.054228335964542</v>
      </c>
      <c r="H607" s="12" t="n">
        <f aca="false">G607^(-1/B607)-1</f>
        <v>0.0597160860759014</v>
      </c>
      <c r="I607" s="12" t="n">
        <f aca="false">(1+H607)^(1/12)-1</f>
        <v>0.00484511888933414</v>
      </c>
      <c r="J607" s="16" t="n">
        <f aca="false">IF(C607=0,(1+Dic2024!$M$6)^(-B607),EXP(LN(INDEX(Dic2024!$N$6:$N$205,C607))+(LN(INDEX(Dic2024!$N$6:$N$205,MIN(C607+1,200)))-LN(INDEX(Dic2024!$N$6:$N$205,C607)))*(A607-6*C607)/6))</f>
        <v>0.054228335964542</v>
      </c>
      <c r="K607" s="12" t="n">
        <f aca="false">J607^(-1/B607)-1</f>
        <v>0.0597160860759014</v>
      </c>
      <c r="L607" s="12" t="n">
        <f aca="false">(1+K607)^(1/12)-1</f>
        <v>0.00484511888933414</v>
      </c>
    </row>
    <row r="608" customFormat="false" ht="15" hidden="false" customHeight="false" outlineLevel="0" collapsed="false">
      <c r="A608" s="4" t="n">
        <v>604</v>
      </c>
      <c r="B608" s="14" t="n">
        <f aca="false">A608/12</f>
        <v>50.3333333333333</v>
      </c>
      <c r="C608" s="15" t="n">
        <f aca="false">INT(A608/6)</f>
        <v>100</v>
      </c>
      <c r="D608" s="16" t="n">
        <f aca="false">IF(C608=0,(1+Dic2024!$G$6)^(-B608),EXP(LN(INDEX(Dic2024!$H$6:$H$205,C608))+(LN(INDEX(Dic2024!$H$6:$H$205,MIN(C608+1,200)))-LN(INDEX(Dic2024!$H$6:$H$205,C608)))*(A608-6*C608)/6))</f>
        <v>0.0539229737210759</v>
      </c>
      <c r="E608" s="12" t="n">
        <f aca="false">D608^(-1/B608)-1</f>
        <v>0.0597332144720566</v>
      </c>
      <c r="F608" s="12" t="n">
        <f aca="false">(1+E608)^(1/12)-1</f>
        <v>0.00484647233814894</v>
      </c>
      <c r="G608" s="16" t="n">
        <f aca="false">IF(C608=0,(1+Dic2024!$J$6)^(-B608),EXP(LN(INDEX(Dic2024!$K$6:$K$205,C608))+(LN(INDEX(Dic2024!$K$6:$K$205,MIN(C608+1,200)))-LN(INDEX(Dic2024!$K$6:$K$205,C608)))*(A608-6*C608)/6))</f>
        <v>0.0539229737210759</v>
      </c>
      <c r="H608" s="12" t="n">
        <f aca="false">G608^(-1/B608)-1</f>
        <v>0.0597332144720566</v>
      </c>
      <c r="I608" s="12" t="n">
        <f aca="false">(1+H608)^(1/12)-1</f>
        <v>0.00484647233814894</v>
      </c>
      <c r="J608" s="16" t="n">
        <f aca="false">IF(C608=0,(1+Dic2024!$M$6)^(-B608),EXP(LN(INDEX(Dic2024!$N$6:$N$205,C608))+(LN(INDEX(Dic2024!$N$6:$N$205,MIN(C608+1,200)))-LN(INDEX(Dic2024!$N$6:$N$205,C608)))*(A608-6*C608)/6))</f>
        <v>0.0539229737210759</v>
      </c>
      <c r="K608" s="12" t="n">
        <f aca="false">J608^(-1/B608)-1</f>
        <v>0.0597332144720566</v>
      </c>
      <c r="L608" s="12" t="n">
        <f aca="false">(1+K608)^(1/12)-1</f>
        <v>0.00484647233814894</v>
      </c>
    </row>
    <row r="609" customFormat="false" ht="15" hidden="false" customHeight="false" outlineLevel="0" collapsed="false">
      <c r="A609" s="4" t="n">
        <v>605</v>
      </c>
      <c r="B609" s="14" t="n">
        <f aca="false">A609/12</f>
        <v>50.4166666666667</v>
      </c>
      <c r="C609" s="15" t="n">
        <f aca="false">INT(A609/6)</f>
        <v>100</v>
      </c>
      <c r="D609" s="16" t="n">
        <f aca="false">IF(C609=0,(1+Dic2024!$G$6)^(-B609),EXP(LN(INDEX(Dic2024!$H$6:$H$205,C609))+(LN(INDEX(Dic2024!$H$6:$H$205,MIN(C609+1,200)))-LN(INDEX(Dic2024!$H$6:$H$205,C609)))*(A609-6*C609)/6))</f>
        <v>0.0536193309863883</v>
      </c>
      <c r="E609" s="12" t="n">
        <f aca="false">D609^(-1/B609)-1</f>
        <v>0.0597502865208925</v>
      </c>
      <c r="F609" s="12" t="n">
        <f aca="false">(1+E609)^(1/12)-1</f>
        <v>0.00484782131456663</v>
      </c>
      <c r="G609" s="16" t="n">
        <f aca="false">IF(C609=0,(1+Dic2024!$J$6)^(-B609),EXP(LN(INDEX(Dic2024!$K$6:$K$205,C609))+(LN(INDEX(Dic2024!$K$6:$K$205,MIN(C609+1,200)))-LN(INDEX(Dic2024!$K$6:$K$205,C609)))*(A609-6*C609)/6))</f>
        <v>0.0536193309863883</v>
      </c>
      <c r="H609" s="12" t="n">
        <f aca="false">G609^(-1/B609)-1</f>
        <v>0.0597502865208925</v>
      </c>
      <c r="I609" s="12" t="n">
        <f aca="false">(1+H609)^(1/12)-1</f>
        <v>0.00484782131456663</v>
      </c>
      <c r="J609" s="16" t="n">
        <f aca="false">IF(C609=0,(1+Dic2024!$M$6)^(-B609),EXP(LN(INDEX(Dic2024!$N$6:$N$205,C609))+(LN(INDEX(Dic2024!$N$6:$N$205,MIN(C609+1,200)))-LN(INDEX(Dic2024!$N$6:$N$205,C609)))*(A609-6*C609)/6))</f>
        <v>0.0536193309863883</v>
      </c>
      <c r="K609" s="12" t="n">
        <f aca="false">J609^(-1/B609)-1</f>
        <v>0.0597502865208925</v>
      </c>
      <c r="L609" s="12" t="n">
        <f aca="false">(1+K609)^(1/12)-1</f>
        <v>0.00484782131456663</v>
      </c>
    </row>
    <row r="610" customFormat="false" ht="15" hidden="false" customHeight="false" outlineLevel="0" collapsed="false">
      <c r="A610" s="4" t="n">
        <v>606</v>
      </c>
      <c r="B610" s="14" t="n">
        <f aca="false">A610/12</f>
        <v>50.5</v>
      </c>
      <c r="C610" s="15" t="n">
        <f aca="false">INT(A610/6)</f>
        <v>101</v>
      </c>
      <c r="D610" s="16" t="n">
        <f aca="false">IF(C610=0,(1+Dic2024!$G$6)^(-B610),EXP(LN(INDEX(Dic2024!$H$6:$H$205,C610))+(LN(INDEX(Dic2024!$H$6:$H$205,MIN(C610+1,200)))-LN(INDEX(Dic2024!$H$6:$H$205,C610)))*(A610-6*C610)/6))</f>
        <v>0.0533173980778465</v>
      </c>
      <c r="E610" s="12" t="n">
        <f aca="false">D610^(-1/B610)-1</f>
        <v>0.0597673024999998</v>
      </c>
      <c r="F610" s="12" t="n">
        <f aca="false">(1+E610)^(1/12)-1</f>
        <v>0.00484916584071904</v>
      </c>
      <c r="G610" s="16" t="n">
        <f aca="false">IF(C610=0,(1+Dic2024!$J$6)^(-B610),EXP(LN(INDEX(Dic2024!$K$6:$K$205,C610))+(LN(INDEX(Dic2024!$K$6:$K$205,MIN(C610+1,200)))-LN(INDEX(Dic2024!$K$6:$K$205,C610)))*(A610-6*C610)/6))</f>
        <v>0.0533173980778465</v>
      </c>
      <c r="H610" s="12" t="n">
        <f aca="false">G610^(-1/B610)-1</f>
        <v>0.0597673024999998</v>
      </c>
      <c r="I610" s="12" t="n">
        <f aca="false">(1+H610)^(1/12)-1</f>
        <v>0.00484916584071904</v>
      </c>
      <c r="J610" s="16" t="n">
        <f aca="false">IF(C610=0,(1+Dic2024!$M$6)^(-B610),EXP(LN(INDEX(Dic2024!$N$6:$N$205,C610))+(LN(INDEX(Dic2024!$N$6:$N$205,MIN(C610+1,200)))-LN(INDEX(Dic2024!$N$6:$N$205,C610)))*(A610-6*C610)/6))</f>
        <v>0.0533173980778465</v>
      </c>
      <c r="K610" s="12" t="n">
        <f aca="false">J610^(-1/B610)-1</f>
        <v>0.0597673024999998</v>
      </c>
      <c r="L610" s="12" t="n">
        <f aca="false">(1+K610)^(1/12)-1</f>
        <v>0.00484916584071904</v>
      </c>
    </row>
    <row r="611" customFormat="false" ht="15" hidden="false" customHeight="false" outlineLevel="0" collapsed="false">
      <c r="A611" s="4" t="n">
        <v>607</v>
      </c>
      <c r="B611" s="14" t="n">
        <f aca="false">A611/12</f>
        <v>50.5833333333333</v>
      </c>
      <c r="C611" s="15" t="n">
        <f aca="false">INT(A611/6)</f>
        <v>101</v>
      </c>
      <c r="D611" s="16" t="n">
        <f aca="false">IF(C611=0,(1+Dic2024!$G$6)^(-B611),EXP(LN(INDEX(Dic2024!$H$6:$H$205,C611))+(LN(INDEX(Dic2024!$H$6:$H$205,MIN(C611+1,200)))-LN(INDEX(Dic2024!$H$6:$H$205,C611)))*(A611-6*C611)/6))</f>
        <v>0.053060100849303</v>
      </c>
      <c r="E611" s="12" t="n">
        <f aca="false">D611^(-1/B611)-1</f>
        <v>0.0597673024999998</v>
      </c>
      <c r="F611" s="12" t="n">
        <f aca="false">(1+E611)^(1/12)-1</f>
        <v>0.00484916584071904</v>
      </c>
      <c r="G611" s="16" t="n">
        <f aca="false">IF(C611=0,(1+Dic2024!$J$6)^(-B611),EXP(LN(INDEX(Dic2024!$K$6:$K$205,C611))+(LN(INDEX(Dic2024!$K$6:$K$205,MIN(C611+1,200)))-LN(INDEX(Dic2024!$K$6:$K$205,C611)))*(A611-6*C611)/6))</f>
        <v>0.053060100849303</v>
      </c>
      <c r="H611" s="12" t="n">
        <f aca="false">G611^(-1/B611)-1</f>
        <v>0.0597673024999998</v>
      </c>
      <c r="I611" s="12" t="n">
        <f aca="false">(1+H611)^(1/12)-1</f>
        <v>0.00484916584071904</v>
      </c>
      <c r="J611" s="16" t="n">
        <f aca="false">IF(C611=0,(1+Dic2024!$M$6)^(-B611),EXP(LN(INDEX(Dic2024!$N$6:$N$205,C611))+(LN(INDEX(Dic2024!$N$6:$N$205,MIN(C611+1,200)))-LN(INDEX(Dic2024!$N$6:$N$205,C611)))*(A611-6*C611)/6))</f>
        <v>0.053060100849303</v>
      </c>
      <c r="K611" s="12" t="n">
        <f aca="false">J611^(-1/B611)-1</f>
        <v>0.0597673024999998</v>
      </c>
      <c r="L611" s="12" t="n">
        <f aca="false">(1+K611)^(1/12)-1</f>
        <v>0.00484916584071904</v>
      </c>
    </row>
    <row r="612" customFormat="false" ht="15" hidden="false" customHeight="false" outlineLevel="0" collapsed="false">
      <c r="A612" s="4" t="n">
        <v>608</v>
      </c>
      <c r="B612" s="14" t="n">
        <f aca="false">A612/12</f>
        <v>50.6666666666667</v>
      </c>
      <c r="C612" s="15" t="n">
        <f aca="false">INT(A612/6)</f>
        <v>101</v>
      </c>
      <c r="D612" s="16" t="n">
        <f aca="false">IF(C612=0,(1+Dic2024!$G$6)^(-B612),EXP(LN(INDEX(Dic2024!$H$6:$H$205,C612))+(LN(INDEX(Dic2024!$H$6:$H$205,MIN(C612+1,200)))-LN(INDEX(Dic2024!$H$6:$H$205,C612)))*(A612-6*C612)/6))</f>
        <v>0.0528040452766954</v>
      </c>
      <c r="E612" s="12" t="n">
        <f aca="false">D612^(-1/B612)-1</f>
        <v>0.0597673024999998</v>
      </c>
      <c r="F612" s="12" t="n">
        <f aca="false">(1+E612)^(1/12)-1</f>
        <v>0.00484916584071904</v>
      </c>
      <c r="G612" s="16" t="n">
        <f aca="false">IF(C612=0,(1+Dic2024!$J$6)^(-B612),EXP(LN(INDEX(Dic2024!$K$6:$K$205,C612))+(LN(INDEX(Dic2024!$K$6:$K$205,MIN(C612+1,200)))-LN(INDEX(Dic2024!$K$6:$K$205,C612)))*(A612-6*C612)/6))</f>
        <v>0.0528040452766954</v>
      </c>
      <c r="H612" s="12" t="n">
        <f aca="false">G612^(-1/B612)-1</f>
        <v>0.0597673024999998</v>
      </c>
      <c r="I612" s="12" t="n">
        <f aca="false">(1+H612)^(1/12)-1</f>
        <v>0.00484916584071904</v>
      </c>
      <c r="J612" s="16" t="n">
        <f aca="false">IF(C612=0,(1+Dic2024!$M$6)^(-B612),EXP(LN(INDEX(Dic2024!$N$6:$N$205,C612))+(LN(INDEX(Dic2024!$N$6:$N$205,MIN(C612+1,200)))-LN(INDEX(Dic2024!$N$6:$N$205,C612)))*(A612-6*C612)/6))</f>
        <v>0.0528040452766954</v>
      </c>
      <c r="K612" s="12" t="n">
        <f aca="false">J612^(-1/B612)-1</f>
        <v>0.0597673024999998</v>
      </c>
      <c r="L612" s="12" t="n">
        <f aca="false">(1+K612)^(1/12)-1</f>
        <v>0.00484916584071904</v>
      </c>
    </row>
    <row r="613" customFormat="false" ht="15" hidden="false" customHeight="false" outlineLevel="0" collapsed="false">
      <c r="A613" s="4" t="n">
        <v>609</v>
      </c>
      <c r="B613" s="14" t="n">
        <f aca="false">A613/12</f>
        <v>50.75</v>
      </c>
      <c r="C613" s="15" t="n">
        <f aca="false">INT(A613/6)</f>
        <v>101</v>
      </c>
      <c r="D613" s="16" t="n">
        <f aca="false">IF(C613=0,(1+Dic2024!$G$6)^(-B613),EXP(LN(INDEX(Dic2024!$H$6:$H$205,C613))+(LN(INDEX(Dic2024!$H$6:$H$205,MIN(C613+1,200)))-LN(INDEX(Dic2024!$H$6:$H$205,C613)))*(A613-6*C613)/6))</f>
        <v>0.0525492253680843</v>
      </c>
      <c r="E613" s="12" t="n">
        <f aca="false">D613^(-1/B613)-1</f>
        <v>0.0597673024999998</v>
      </c>
      <c r="F613" s="12" t="n">
        <f aca="false">(1+E613)^(1/12)-1</f>
        <v>0.00484916584071904</v>
      </c>
      <c r="G613" s="16" t="n">
        <f aca="false">IF(C613=0,(1+Dic2024!$J$6)^(-B613),EXP(LN(INDEX(Dic2024!$K$6:$K$205,C613))+(LN(INDEX(Dic2024!$K$6:$K$205,MIN(C613+1,200)))-LN(INDEX(Dic2024!$K$6:$K$205,C613)))*(A613-6*C613)/6))</f>
        <v>0.0525492253680843</v>
      </c>
      <c r="H613" s="12" t="n">
        <f aca="false">G613^(-1/B613)-1</f>
        <v>0.0597673024999998</v>
      </c>
      <c r="I613" s="12" t="n">
        <f aca="false">(1+H613)^(1/12)-1</f>
        <v>0.00484916584071904</v>
      </c>
      <c r="J613" s="16" t="n">
        <f aca="false">IF(C613=0,(1+Dic2024!$M$6)^(-B613),EXP(LN(INDEX(Dic2024!$N$6:$N$205,C613))+(LN(INDEX(Dic2024!$N$6:$N$205,MIN(C613+1,200)))-LN(INDEX(Dic2024!$N$6:$N$205,C613)))*(A613-6*C613)/6))</f>
        <v>0.0525492253680843</v>
      </c>
      <c r="K613" s="12" t="n">
        <f aca="false">J613^(-1/B613)-1</f>
        <v>0.0597673024999998</v>
      </c>
      <c r="L613" s="12" t="n">
        <f aca="false">(1+K613)^(1/12)-1</f>
        <v>0.00484916584071904</v>
      </c>
    </row>
    <row r="614" customFormat="false" ht="15" hidden="false" customHeight="false" outlineLevel="0" collapsed="false">
      <c r="A614" s="4" t="n">
        <v>610</v>
      </c>
      <c r="B614" s="14" t="n">
        <f aca="false">A614/12</f>
        <v>50.8333333333333</v>
      </c>
      <c r="C614" s="15" t="n">
        <f aca="false">INT(A614/6)</f>
        <v>101</v>
      </c>
      <c r="D614" s="16" t="n">
        <f aca="false">IF(C614=0,(1+Dic2024!$G$6)^(-B614),EXP(LN(INDEX(Dic2024!$H$6:$H$205,C614))+(LN(INDEX(Dic2024!$H$6:$H$205,MIN(C614+1,200)))-LN(INDEX(Dic2024!$H$6:$H$205,C614)))*(A614-6*C614)/6))</f>
        <v>0.0522956351604456</v>
      </c>
      <c r="E614" s="12" t="n">
        <f aca="false">D614^(-1/B614)-1</f>
        <v>0.0597673024999998</v>
      </c>
      <c r="F614" s="12" t="n">
        <f aca="false">(1+E614)^(1/12)-1</f>
        <v>0.00484916584071904</v>
      </c>
      <c r="G614" s="16" t="n">
        <f aca="false">IF(C614=0,(1+Dic2024!$J$6)^(-B614),EXP(LN(INDEX(Dic2024!$K$6:$K$205,C614))+(LN(INDEX(Dic2024!$K$6:$K$205,MIN(C614+1,200)))-LN(INDEX(Dic2024!$K$6:$K$205,C614)))*(A614-6*C614)/6))</f>
        <v>0.0522956351604456</v>
      </c>
      <c r="H614" s="12" t="n">
        <f aca="false">G614^(-1/B614)-1</f>
        <v>0.0597673024999998</v>
      </c>
      <c r="I614" s="12" t="n">
        <f aca="false">(1+H614)^(1/12)-1</f>
        <v>0.00484916584071904</v>
      </c>
      <c r="J614" s="16" t="n">
        <f aca="false">IF(C614=0,(1+Dic2024!$M$6)^(-B614),EXP(LN(INDEX(Dic2024!$N$6:$N$205,C614))+(LN(INDEX(Dic2024!$N$6:$N$205,MIN(C614+1,200)))-LN(INDEX(Dic2024!$N$6:$N$205,C614)))*(A614-6*C614)/6))</f>
        <v>0.0522956351604456</v>
      </c>
      <c r="K614" s="12" t="n">
        <f aca="false">J614^(-1/B614)-1</f>
        <v>0.0597673024999998</v>
      </c>
      <c r="L614" s="12" t="n">
        <f aca="false">(1+K614)^(1/12)-1</f>
        <v>0.00484916584071904</v>
      </c>
    </row>
    <row r="615" customFormat="false" ht="15" hidden="false" customHeight="false" outlineLevel="0" collapsed="false">
      <c r="A615" s="4" t="n">
        <v>611</v>
      </c>
      <c r="B615" s="14" t="n">
        <f aca="false">A615/12</f>
        <v>50.9166666666667</v>
      </c>
      <c r="C615" s="15" t="n">
        <f aca="false">INT(A615/6)</f>
        <v>101</v>
      </c>
      <c r="D615" s="16" t="n">
        <f aca="false">IF(C615=0,(1+Dic2024!$G$6)^(-B615),EXP(LN(INDEX(Dic2024!$H$6:$H$205,C615))+(LN(INDEX(Dic2024!$H$6:$H$205,MIN(C615+1,200)))-LN(INDEX(Dic2024!$H$6:$H$205,C615)))*(A615-6*C615)/6))</f>
        <v>0.0520432687195314</v>
      </c>
      <c r="E615" s="12" t="n">
        <f aca="false">D615^(-1/B615)-1</f>
        <v>0.0597673024999998</v>
      </c>
      <c r="F615" s="12" t="n">
        <f aca="false">(1+E615)^(1/12)-1</f>
        <v>0.00484916584071904</v>
      </c>
      <c r="G615" s="16" t="n">
        <f aca="false">IF(C615=0,(1+Dic2024!$J$6)^(-B615),EXP(LN(INDEX(Dic2024!$K$6:$K$205,C615))+(LN(INDEX(Dic2024!$K$6:$K$205,MIN(C615+1,200)))-LN(INDEX(Dic2024!$K$6:$K$205,C615)))*(A615-6*C615)/6))</f>
        <v>0.0520432687195314</v>
      </c>
      <c r="H615" s="12" t="n">
        <f aca="false">G615^(-1/B615)-1</f>
        <v>0.0597673024999998</v>
      </c>
      <c r="I615" s="12" t="n">
        <f aca="false">(1+H615)^(1/12)-1</f>
        <v>0.00484916584071904</v>
      </c>
      <c r="J615" s="16" t="n">
        <f aca="false">IF(C615=0,(1+Dic2024!$M$6)^(-B615),EXP(LN(INDEX(Dic2024!$N$6:$N$205,C615))+(LN(INDEX(Dic2024!$N$6:$N$205,MIN(C615+1,200)))-LN(INDEX(Dic2024!$N$6:$N$205,C615)))*(A615-6*C615)/6))</f>
        <v>0.0520432687195314</v>
      </c>
      <c r="K615" s="12" t="n">
        <f aca="false">J615^(-1/B615)-1</f>
        <v>0.0597673024999998</v>
      </c>
      <c r="L615" s="12" t="n">
        <f aca="false">(1+K615)^(1/12)-1</f>
        <v>0.00484916584071904</v>
      </c>
    </row>
    <row r="616" customFormat="false" ht="15" hidden="false" customHeight="false" outlineLevel="0" collapsed="false">
      <c r="A616" s="4" t="n">
        <v>612</v>
      </c>
      <c r="B616" s="14" t="n">
        <f aca="false">A616/12</f>
        <v>51</v>
      </c>
      <c r="C616" s="15" t="n">
        <f aca="false">INT(A616/6)</f>
        <v>102</v>
      </c>
      <c r="D616" s="16" t="n">
        <f aca="false">IF(C616=0,(1+Dic2024!$G$6)^(-B616),EXP(LN(INDEX(Dic2024!$H$6:$H$205,C616))+(LN(INDEX(Dic2024!$H$6:$H$205,MIN(C616+1,200)))-LN(INDEX(Dic2024!$H$6:$H$205,C616)))*(A616-6*C616)/6))</f>
        <v>0.0517921201397314</v>
      </c>
      <c r="E616" s="12" t="n">
        <f aca="false">D616^(-1/B616)-1</f>
        <v>0.0597673024999998</v>
      </c>
      <c r="F616" s="12" t="n">
        <f aca="false">(1+E616)^(1/12)-1</f>
        <v>0.00484916584071904</v>
      </c>
      <c r="G616" s="16" t="n">
        <f aca="false">IF(C616=0,(1+Dic2024!$J$6)^(-B616),EXP(LN(INDEX(Dic2024!$K$6:$K$205,C616))+(LN(INDEX(Dic2024!$K$6:$K$205,MIN(C616+1,200)))-LN(INDEX(Dic2024!$K$6:$K$205,C616)))*(A616-6*C616)/6))</f>
        <v>0.0517921201397314</v>
      </c>
      <c r="H616" s="12" t="n">
        <f aca="false">G616^(-1/B616)-1</f>
        <v>0.0597673024999998</v>
      </c>
      <c r="I616" s="12" t="n">
        <f aca="false">(1+H616)^(1/12)-1</f>
        <v>0.00484916584071904</v>
      </c>
      <c r="J616" s="16" t="n">
        <f aca="false">IF(C616=0,(1+Dic2024!$M$6)^(-B616),EXP(LN(INDEX(Dic2024!$N$6:$N$205,C616))+(LN(INDEX(Dic2024!$N$6:$N$205,MIN(C616+1,200)))-LN(INDEX(Dic2024!$N$6:$N$205,C616)))*(A616-6*C616)/6))</f>
        <v>0.0517921201397314</v>
      </c>
      <c r="K616" s="12" t="n">
        <f aca="false">J616^(-1/B616)-1</f>
        <v>0.0597673024999998</v>
      </c>
      <c r="L616" s="12" t="n">
        <f aca="false">(1+K616)^(1/12)-1</f>
        <v>0.00484916584071904</v>
      </c>
    </row>
    <row r="617" customFormat="false" ht="15" hidden="false" customHeight="false" outlineLevel="0" collapsed="false">
      <c r="A617" s="4" t="n">
        <v>613</v>
      </c>
      <c r="B617" s="14" t="n">
        <f aca="false">A617/12</f>
        <v>51.0833333333333</v>
      </c>
      <c r="C617" s="15" t="n">
        <f aca="false">INT(A617/6)</f>
        <v>102</v>
      </c>
      <c r="D617" s="16" t="n">
        <f aca="false">IF(C617=0,(1+Dic2024!$G$6)^(-B617),EXP(LN(INDEX(Dic2024!$H$6:$H$205,C617))+(LN(INDEX(Dic2024!$H$6:$H$205,MIN(C617+1,200)))-LN(INDEX(Dic2024!$H$6:$H$205,C617)))*(A617-6*C617)/6))</f>
        <v>0.0515421835439341</v>
      </c>
      <c r="E617" s="12" t="n">
        <f aca="false">D617^(-1/B617)-1</f>
        <v>0.0597673024999998</v>
      </c>
      <c r="F617" s="12" t="n">
        <f aca="false">(1+E617)^(1/12)-1</f>
        <v>0.00484916584071904</v>
      </c>
      <c r="G617" s="16" t="n">
        <f aca="false">IF(C617=0,(1+Dic2024!$J$6)^(-B617),EXP(LN(INDEX(Dic2024!$K$6:$K$205,C617))+(LN(INDEX(Dic2024!$K$6:$K$205,MIN(C617+1,200)))-LN(INDEX(Dic2024!$K$6:$K$205,C617)))*(A617-6*C617)/6))</f>
        <v>0.0515421835439341</v>
      </c>
      <c r="H617" s="12" t="n">
        <f aca="false">G617^(-1/B617)-1</f>
        <v>0.0597673024999998</v>
      </c>
      <c r="I617" s="12" t="n">
        <f aca="false">(1+H617)^(1/12)-1</f>
        <v>0.00484916584071904</v>
      </c>
      <c r="J617" s="16" t="n">
        <f aca="false">IF(C617=0,(1+Dic2024!$M$6)^(-B617),EXP(LN(INDEX(Dic2024!$N$6:$N$205,C617))+(LN(INDEX(Dic2024!$N$6:$N$205,MIN(C617+1,200)))-LN(INDEX(Dic2024!$N$6:$N$205,C617)))*(A617-6*C617)/6))</f>
        <v>0.0515421835439341</v>
      </c>
      <c r="K617" s="12" t="n">
        <f aca="false">J617^(-1/B617)-1</f>
        <v>0.0597673024999998</v>
      </c>
      <c r="L617" s="12" t="n">
        <f aca="false">(1+K617)^(1/12)-1</f>
        <v>0.00484916584071904</v>
      </c>
    </row>
    <row r="618" customFormat="false" ht="15" hidden="false" customHeight="false" outlineLevel="0" collapsed="false">
      <c r="A618" s="4" t="n">
        <v>614</v>
      </c>
      <c r="B618" s="14" t="n">
        <f aca="false">A618/12</f>
        <v>51.1666666666667</v>
      </c>
      <c r="C618" s="15" t="n">
        <f aca="false">INT(A618/6)</f>
        <v>102</v>
      </c>
      <c r="D618" s="16" t="n">
        <f aca="false">IF(C618=0,(1+Dic2024!$G$6)^(-B618),EXP(LN(INDEX(Dic2024!$H$6:$H$205,C618))+(LN(INDEX(Dic2024!$H$6:$H$205,MIN(C618+1,200)))-LN(INDEX(Dic2024!$H$6:$H$205,C618)))*(A618-6*C618)/6))</f>
        <v>0.0512934530833896</v>
      </c>
      <c r="E618" s="12" t="n">
        <f aca="false">D618^(-1/B618)-1</f>
        <v>0.0597673024999998</v>
      </c>
      <c r="F618" s="12" t="n">
        <f aca="false">(1+E618)^(1/12)-1</f>
        <v>0.00484916584071904</v>
      </c>
      <c r="G618" s="16" t="n">
        <f aca="false">IF(C618=0,(1+Dic2024!$J$6)^(-B618),EXP(LN(INDEX(Dic2024!$K$6:$K$205,C618))+(LN(INDEX(Dic2024!$K$6:$K$205,MIN(C618+1,200)))-LN(INDEX(Dic2024!$K$6:$K$205,C618)))*(A618-6*C618)/6))</f>
        <v>0.0512934530833896</v>
      </c>
      <c r="H618" s="12" t="n">
        <f aca="false">G618^(-1/B618)-1</f>
        <v>0.0597673024999998</v>
      </c>
      <c r="I618" s="12" t="n">
        <f aca="false">(1+H618)^(1/12)-1</f>
        <v>0.00484916584071904</v>
      </c>
      <c r="J618" s="16" t="n">
        <f aca="false">IF(C618=0,(1+Dic2024!$M$6)^(-B618),EXP(LN(INDEX(Dic2024!$N$6:$N$205,C618))+(LN(INDEX(Dic2024!$N$6:$N$205,MIN(C618+1,200)))-LN(INDEX(Dic2024!$N$6:$N$205,C618)))*(A618-6*C618)/6))</f>
        <v>0.0512934530833896</v>
      </c>
      <c r="K618" s="12" t="n">
        <f aca="false">J618^(-1/B618)-1</f>
        <v>0.0597673024999998</v>
      </c>
      <c r="L618" s="12" t="n">
        <f aca="false">(1+K618)^(1/12)-1</f>
        <v>0.00484916584071904</v>
      </c>
    </row>
    <row r="619" customFormat="false" ht="15" hidden="false" customHeight="false" outlineLevel="0" collapsed="false">
      <c r="A619" s="4" t="n">
        <v>615</v>
      </c>
      <c r="B619" s="14" t="n">
        <f aca="false">A619/12</f>
        <v>51.25</v>
      </c>
      <c r="C619" s="15" t="n">
        <f aca="false">INT(A619/6)</f>
        <v>102</v>
      </c>
      <c r="D619" s="16" t="n">
        <f aca="false">IF(C619=0,(1+Dic2024!$G$6)^(-B619),EXP(LN(INDEX(Dic2024!$H$6:$H$205,C619))+(LN(INDEX(Dic2024!$H$6:$H$205,MIN(C619+1,200)))-LN(INDEX(Dic2024!$H$6:$H$205,C619)))*(A619-6*C619)/6))</f>
        <v>0.0510459229375728</v>
      </c>
      <c r="E619" s="12" t="n">
        <f aca="false">D619^(-1/B619)-1</f>
        <v>0.0597673024999998</v>
      </c>
      <c r="F619" s="12" t="n">
        <f aca="false">(1+E619)^(1/12)-1</f>
        <v>0.00484916584071904</v>
      </c>
      <c r="G619" s="16" t="n">
        <f aca="false">IF(C619=0,(1+Dic2024!$J$6)^(-B619),EXP(LN(INDEX(Dic2024!$K$6:$K$205,C619))+(LN(INDEX(Dic2024!$K$6:$K$205,MIN(C619+1,200)))-LN(INDEX(Dic2024!$K$6:$K$205,C619)))*(A619-6*C619)/6))</f>
        <v>0.0510459229375728</v>
      </c>
      <c r="H619" s="12" t="n">
        <f aca="false">G619^(-1/B619)-1</f>
        <v>0.0597673024999998</v>
      </c>
      <c r="I619" s="12" t="n">
        <f aca="false">(1+H619)^(1/12)-1</f>
        <v>0.00484916584071904</v>
      </c>
      <c r="J619" s="16" t="n">
        <f aca="false">IF(C619=0,(1+Dic2024!$M$6)^(-B619),EXP(LN(INDEX(Dic2024!$N$6:$N$205,C619))+(LN(INDEX(Dic2024!$N$6:$N$205,MIN(C619+1,200)))-LN(INDEX(Dic2024!$N$6:$N$205,C619)))*(A619-6*C619)/6))</f>
        <v>0.0510459229375728</v>
      </c>
      <c r="K619" s="12" t="n">
        <f aca="false">J619^(-1/B619)-1</f>
        <v>0.0597673024999998</v>
      </c>
      <c r="L619" s="12" t="n">
        <f aca="false">(1+K619)^(1/12)-1</f>
        <v>0.00484916584071904</v>
      </c>
    </row>
    <row r="620" customFormat="false" ht="15" hidden="false" customHeight="false" outlineLevel="0" collapsed="false">
      <c r="A620" s="4" t="n">
        <v>616</v>
      </c>
      <c r="B620" s="14" t="n">
        <f aca="false">A620/12</f>
        <v>51.3333333333333</v>
      </c>
      <c r="C620" s="15" t="n">
        <f aca="false">INT(A620/6)</f>
        <v>102</v>
      </c>
      <c r="D620" s="16" t="n">
        <f aca="false">IF(C620=0,(1+Dic2024!$G$6)^(-B620),EXP(LN(INDEX(Dic2024!$H$6:$H$205,C620))+(LN(INDEX(Dic2024!$H$6:$H$205,MIN(C620+1,200)))-LN(INDEX(Dic2024!$H$6:$H$205,C620)))*(A620-6*C620)/6))</f>
        <v>0.0507995873140469</v>
      </c>
      <c r="E620" s="12" t="n">
        <f aca="false">D620^(-1/B620)-1</f>
        <v>0.0597673024999998</v>
      </c>
      <c r="F620" s="12" t="n">
        <f aca="false">(1+E620)^(1/12)-1</f>
        <v>0.00484916584071904</v>
      </c>
      <c r="G620" s="16" t="n">
        <f aca="false">IF(C620=0,(1+Dic2024!$J$6)^(-B620),EXP(LN(INDEX(Dic2024!$K$6:$K$205,C620))+(LN(INDEX(Dic2024!$K$6:$K$205,MIN(C620+1,200)))-LN(INDEX(Dic2024!$K$6:$K$205,C620)))*(A620-6*C620)/6))</f>
        <v>0.0507995873140469</v>
      </c>
      <c r="H620" s="12" t="n">
        <f aca="false">G620^(-1/B620)-1</f>
        <v>0.0597673024999998</v>
      </c>
      <c r="I620" s="12" t="n">
        <f aca="false">(1+H620)^(1/12)-1</f>
        <v>0.00484916584071904</v>
      </c>
      <c r="J620" s="16" t="n">
        <f aca="false">IF(C620=0,(1+Dic2024!$M$6)^(-B620),EXP(LN(INDEX(Dic2024!$N$6:$N$205,C620))+(LN(INDEX(Dic2024!$N$6:$N$205,MIN(C620+1,200)))-LN(INDEX(Dic2024!$N$6:$N$205,C620)))*(A620-6*C620)/6))</f>
        <v>0.0507995873140469</v>
      </c>
      <c r="K620" s="12" t="n">
        <f aca="false">J620^(-1/B620)-1</f>
        <v>0.0597673024999998</v>
      </c>
      <c r="L620" s="12" t="n">
        <f aca="false">(1+K620)^(1/12)-1</f>
        <v>0.00484916584071904</v>
      </c>
    </row>
    <row r="621" customFormat="false" ht="15" hidden="false" customHeight="false" outlineLevel="0" collapsed="false">
      <c r="A621" s="4" t="n">
        <v>617</v>
      </c>
      <c r="B621" s="14" t="n">
        <f aca="false">A621/12</f>
        <v>51.4166666666667</v>
      </c>
      <c r="C621" s="15" t="n">
        <f aca="false">INT(A621/6)</f>
        <v>102</v>
      </c>
      <c r="D621" s="16" t="n">
        <f aca="false">IF(C621=0,(1+Dic2024!$G$6)^(-B621),EXP(LN(INDEX(Dic2024!$H$6:$H$205,C621))+(LN(INDEX(Dic2024!$H$6:$H$205,MIN(C621+1,200)))-LN(INDEX(Dic2024!$H$6:$H$205,C621)))*(A621-6*C621)/6))</f>
        <v>0.0505544404483282</v>
      </c>
      <c r="E621" s="12" t="n">
        <f aca="false">D621^(-1/B621)-1</f>
        <v>0.0597673024999998</v>
      </c>
      <c r="F621" s="12" t="n">
        <f aca="false">(1+E621)^(1/12)-1</f>
        <v>0.00484916584071904</v>
      </c>
      <c r="G621" s="16" t="n">
        <f aca="false">IF(C621=0,(1+Dic2024!$J$6)^(-B621),EXP(LN(INDEX(Dic2024!$K$6:$K$205,C621))+(LN(INDEX(Dic2024!$K$6:$K$205,MIN(C621+1,200)))-LN(INDEX(Dic2024!$K$6:$K$205,C621)))*(A621-6*C621)/6))</f>
        <v>0.0505544404483282</v>
      </c>
      <c r="H621" s="12" t="n">
        <f aca="false">G621^(-1/B621)-1</f>
        <v>0.0597673024999998</v>
      </c>
      <c r="I621" s="12" t="n">
        <f aca="false">(1+H621)^(1/12)-1</f>
        <v>0.00484916584071904</v>
      </c>
      <c r="J621" s="16" t="n">
        <f aca="false">IF(C621=0,(1+Dic2024!$M$6)^(-B621),EXP(LN(INDEX(Dic2024!$N$6:$N$205,C621))+(LN(INDEX(Dic2024!$N$6:$N$205,MIN(C621+1,200)))-LN(INDEX(Dic2024!$N$6:$N$205,C621)))*(A621-6*C621)/6))</f>
        <v>0.0505544404483282</v>
      </c>
      <c r="K621" s="12" t="n">
        <f aca="false">J621^(-1/B621)-1</f>
        <v>0.0597673024999998</v>
      </c>
      <c r="L621" s="12" t="n">
        <f aca="false">(1+K621)^(1/12)-1</f>
        <v>0.00484916584071904</v>
      </c>
    </row>
    <row r="622" customFormat="false" ht="15" hidden="false" customHeight="false" outlineLevel="0" collapsed="false">
      <c r="A622" s="4" t="n">
        <v>618</v>
      </c>
      <c r="B622" s="14" t="n">
        <f aca="false">A622/12</f>
        <v>51.5</v>
      </c>
      <c r="C622" s="15" t="n">
        <f aca="false">INT(A622/6)</f>
        <v>103</v>
      </c>
      <c r="D622" s="16" t="n">
        <f aca="false">IF(C622=0,(1+Dic2024!$G$6)^(-B622),EXP(LN(INDEX(Dic2024!$H$6:$H$205,C622))+(LN(INDEX(Dic2024!$H$6:$H$205,MIN(C622+1,200)))-LN(INDEX(Dic2024!$H$6:$H$205,C622)))*(A622-6*C622)/6))</f>
        <v>0.050310476603751</v>
      </c>
      <c r="E622" s="12" t="n">
        <f aca="false">D622^(-1/B622)-1</f>
        <v>0.0597673024999998</v>
      </c>
      <c r="F622" s="12" t="n">
        <f aca="false">(1+E622)^(1/12)-1</f>
        <v>0.00484916584071904</v>
      </c>
      <c r="G622" s="16" t="n">
        <f aca="false">IF(C622=0,(1+Dic2024!$J$6)^(-B622),EXP(LN(INDEX(Dic2024!$K$6:$K$205,C622))+(LN(INDEX(Dic2024!$K$6:$K$205,MIN(C622+1,200)))-LN(INDEX(Dic2024!$K$6:$K$205,C622)))*(A622-6*C622)/6))</f>
        <v>0.050310476603751</v>
      </c>
      <c r="H622" s="12" t="n">
        <f aca="false">G622^(-1/B622)-1</f>
        <v>0.0597673024999998</v>
      </c>
      <c r="I622" s="12" t="n">
        <f aca="false">(1+H622)^(1/12)-1</f>
        <v>0.00484916584071904</v>
      </c>
      <c r="J622" s="16" t="n">
        <f aca="false">IF(C622=0,(1+Dic2024!$M$6)^(-B622),EXP(LN(INDEX(Dic2024!$N$6:$N$205,C622))+(LN(INDEX(Dic2024!$N$6:$N$205,MIN(C622+1,200)))-LN(INDEX(Dic2024!$N$6:$N$205,C622)))*(A622-6*C622)/6))</f>
        <v>0.050310476603751</v>
      </c>
      <c r="K622" s="12" t="n">
        <f aca="false">J622^(-1/B622)-1</f>
        <v>0.0597673024999998</v>
      </c>
      <c r="L622" s="12" t="n">
        <f aca="false">(1+K622)^(1/12)-1</f>
        <v>0.00484916584071904</v>
      </c>
    </row>
    <row r="623" customFormat="false" ht="15" hidden="false" customHeight="false" outlineLevel="0" collapsed="false">
      <c r="A623" s="4" t="n">
        <v>619</v>
      </c>
      <c r="B623" s="14" t="n">
        <f aca="false">A623/12</f>
        <v>51.5833333333333</v>
      </c>
      <c r="C623" s="15" t="n">
        <f aca="false">INT(A623/6)</f>
        <v>103</v>
      </c>
      <c r="D623" s="16" t="n">
        <f aca="false">IF(C623=0,(1+Dic2024!$G$6)^(-B623),EXP(LN(INDEX(Dic2024!$H$6:$H$205,C623))+(LN(INDEX(Dic2024!$H$6:$H$205,MIN(C623+1,200)))-LN(INDEX(Dic2024!$H$6:$H$205,C623)))*(A623-6*C623)/6))</f>
        <v>0.0500676900713334</v>
      </c>
      <c r="E623" s="12" t="n">
        <f aca="false">D623^(-1/B623)-1</f>
        <v>0.0597673024999998</v>
      </c>
      <c r="F623" s="12" t="n">
        <f aca="false">(1+E623)^(1/12)-1</f>
        <v>0.00484916584071904</v>
      </c>
      <c r="G623" s="16" t="n">
        <f aca="false">IF(C623=0,(1+Dic2024!$J$6)^(-B623),EXP(LN(INDEX(Dic2024!$K$6:$K$205,C623))+(LN(INDEX(Dic2024!$K$6:$K$205,MIN(C623+1,200)))-LN(INDEX(Dic2024!$K$6:$K$205,C623)))*(A623-6*C623)/6))</f>
        <v>0.0500676900713334</v>
      </c>
      <c r="H623" s="12" t="n">
        <f aca="false">G623^(-1/B623)-1</f>
        <v>0.0597673024999998</v>
      </c>
      <c r="I623" s="12" t="n">
        <f aca="false">(1+H623)^(1/12)-1</f>
        <v>0.00484916584071904</v>
      </c>
      <c r="J623" s="16" t="n">
        <f aca="false">IF(C623=0,(1+Dic2024!$M$6)^(-B623),EXP(LN(INDEX(Dic2024!$N$6:$N$205,C623))+(LN(INDEX(Dic2024!$N$6:$N$205,MIN(C623+1,200)))-LN(INDEX(Dic2024!$N$6:$N$205,C623)))*(A623-6*C623)/6))</f>
        <v>0.0500676900713334</v>
      </c>
      <c r="K623" s="12" t="n">
        <f aca="false">J623^(-1/B623)-1</f>
        <v>0.0597673024999998</v>
      </c>
      <c r="L623" s="12" t="n">
        <f aca="false">(1+K623)^(1/12)-1</f>
        <v>0.00484916584071904</v>
      </c>
    </row>
    <row r="624" customFormat="false" ht="15" hidden="false" customHeight="false" outlineLevel="0" collapsed="false">
      <c r="A624" s="4" t="n">
        <v>620</v>
      </c>
      <c r="B624" s="14" t="n">
        <f aca="false">A624/12</f>
        <v>51.6666666666667</v>
      </c>
      <c r="C624" s="15" t="n">
        <f aca="false">INT(A624/6)</f>
        <v>103</v>
      </c>
      <c r="D624" s="16" t="n">
        <f aca="false">IF(C624=0,(1+Dic2024!$G$6)^(-B624),EXP(LN(INDEX(Dic2024!$H$6:$H$205,C624))+(LN(INDEX(Dic2024!$H$6:$H$205,MIN(C624+1,200)))-LN(INDEX(Dic2024!$H$6:$H$205,C624)))*(A624-6*C624)/6))</f>
        <v>0.0498260751696436</v>
      </c>
      <c r="E624" s="12" t="n">
        <f aca="false">D624^(-1/B624)-1</f>
        <v>0.0597673024999998</v>
      </c>
      <c r="F624" s="12" t="n">
        <f aca="false">(1+E624)^(1/12)-1</f>
        <v>0.00484916584071904</v>
      </c>
      <c r="G624" s="16" t="n">
        <f aca="false">IF(C624=0,(1+Dic2024!$J$6)^(-B624),EXP(LN(INDEX(Dic2024!$K$6:$K$205,C624))+(LN(INDEX(Dic2024!$K$6:$K$205,MIN(C624+1,200)))-LN(INDEX(Dic2024!$K$6:$K$205,C624)))*(A624-6*C624)/6))</f>
        <v>0.0498260751696436</v>
      </c>
      <c r="H624" s="12" t="n">
        <f aca="false">G624^(-1/B624)-1</f>
        <v>0.0597673024999998</v>
      </c>
      <c r="I624" s="12" t="n">
        <f aca="false">(1+H624)^(1/12)-1</f>
        <v>0.00484916584071904</v>
      </c>
      <c r="J624" s="16" t="n">
        <f aca="false">IF(C624=0,(1+Dic2024!$M$6)^(-B624),EXP(LN(INDEX(Dic2024!$N$6:$N$205,C624))+(LN(INDEX(Dic2024!$N$6:$N$205,MIN(C624+1,200)))-LN(INDEX(Dic2024!$N$6:$N$205,C624)))*(A624-6*C624)/6))</f>
        <v>0.0498260751696436</v>
      </c>
      <c r="K624" s="12" t="n">
        <f aca="false">J624^(-1/B624)-1</f>
        <v>0.0597673024999998</v>
      </c>
      <c r="L624" s="12" t="n">
        <f aca="false">(1+K624)^(1/12)-1</f>
        <v>0.00484916584071904</v>
      </c>
    </row>
    <row r="625" customFormat="false" ht="15" hidden="false" customHeight="false" outlineLevel="0" collapsed="false">
      <c r="A625" s="4" t="n">
        <v>621</v>
      </c>
      <c r="B625" s="14" t="n">
        <f aca="false">A625/12</f>
        <v>51.75</v>
      </c>
      <c r="C625" s="15" t="n">
        <f aca="false">INT(A625/6)</f>
        <v>103</v>
      </c>
      <c r="D625" s="16" t="n">
        <f aca="false">IF(C625=0,(1+Dic2024!$G$6)^(-B625),EXP(LN(INDEX(Dic2024!$H$6:$H$205,C625))+(LN(INDEX(Dic2024!$H$6:$H$205,MIN(C625+1,200)))-LN(INDEX(Dic2024!$H$6:$H$205,C625)))*(A625-6*C625)/6))</f>
        <v>0.0495856262446673</v>
      </c>
      <c r="E625" s="12" t="n">
        <f aca="false">D625^(-1/B625)-1</f>
        <v>0.0597673024999998</v>
      </c>
      <c r="F625" s="12" t="n">
        <f aca="false">(1+E625)^(1/12)-1</f>
        <v>0.00484916584071904</v>
      </c>
      <c r="G625" s="16" t="n">
        <f aca="false">IF(C625=0,(1+Dic2024!$J$6)^(-B625),EXP(LN(INDEX(Dic2024!$K$6:$K$205,C625))+(LN(INDEX(Dic2024!$K$6:$K$205,MIN(C625+1,200)))-LN(INDEX(Dic2024!$K$6:$K$205,C625)))*(A625-6*C625)/6))</f>
        <v>0.0495856262446673</v>
      </c>
      <c r="H625" s="12" t="n">
        <f aca="false">G625^(-1/B625)-1</f>
        <v>0.0597673024999998</v>
      </c>
      <c r="I625" s="12" t="n">
        <f aca="false">(1+H625)^(1/12)-1</f>
        <v>0.00484916584071904</v>
      </c>
      <c r="J625" s="16" t="n">
        <f aca="false">IF(C625=0,(1+Dic2024!$M$6)^(-B625),EXP(LN(INDEX(Dic2024!$N$6:$N$205,C625))+(LN(INDEX(Dic2024!$N$6:$N$205,MIN(C625+1,200)))-LN(INDEX(Dic2024!$N$6:$N$205,C625)))*(A625-6*C625)/6))</f>
        <v>0.0495856262446673</v>
      </c>
      <c r="K625" s="12" t="n">
        <f aca="false">J625^(-1/B625)-1</f>
        <v>0.0597673024999998</v>
      </c>
      <c r="L625" s="12" t="n">
        <f aca="false">(1+K625)^(1/12)-1</f>
        <v>0.00484916584071904</v>
      </c>
    </row>
    <row r="626" customFormat="false" ht="15" hidden="false" customHeight="false" outlineLevel="0" collapsed="false">
      <c r="A626" s="4" t="n">
        <v>622</v>
      </c>
      <c r="B626" s="14" t="n">
        <f aca="false">A626/12</f>
        <v>51.8333333333333</v>
      </c>
      <c r="C626" s="15" t="n">
        <f aca="false">INT(A626/6)</f>
        <v>103</v>
      </c>
      <c r="D626" s="16" t="n">
        <f aca="false">IF(C626=0,(1+Dic2024!$G$6)^(-B626),EXP(LN(INDEX(Dic2024!$H$6:$H$205,C626))+(LN(INDEX(Dic2024!$H$6:$H$205,MIN(C626+1,200)))-LN(INDEX(Dic2024!$H$6:$H$205,C626)))*(A626-6*C626)/6))</f>
        <v>0.0493463376696749</v>
      </c>
      <c r="E626" s="12" t="n">
        <f aca="false">D626^(-1/B626)-1</f>
        <v>0.0597673024999998</v>
      </c>
      <c r="F626" s="12" t="n">
        <f aca="false">(1+E626)^(1/12)-1</f>
        <v>0.00484916584071904</v>
      </c>
      <c r="G626" s="16" t="n">
        <f aca="false">IF(C626=0,(1+Dic2024!$J$6)^(-B626),EXP(LN(INDEX(Dic2024!$K$6:$K$205,C626))+(LN(INDEX(Dic2024!$K$6:$K$205,MIN(C626+1,200)))-LN(INDEX(Dic2024!$K$6:$K$205,C626)))*(A626-6*C626)/6))</f>
        <v>0.0493463376696749</v>
      </c>
      <c r="H626" s="12" t="n">
        <f aca="false">G626^(-1/B626)-1</f>
        <v>0.0597673024999998</v>
      </c>
      <c r="I626" s="12" t="n">
        <f aca="false">(1+H626)^(1/12)-1</f>
        <v>0.00484916584071904</v>
      </c>
      <c r="J626" s="16" t="n">
        <f aca="false">IF(C626=0,(1+Dic2024!$M$6)^(-B626),EXP(LN(INDEX(Dic2024!$N$6:$N$205,C626))+(LN(INDEX(Dic2024!$N$6:$N$205,MIN(C626+1,200)))-LN(INDEX(Dic2024!$N$6:$N$205,C626)))*(A626-6*C626)/6))</f>
        <v>0.0493463376696749</v>
      </c>
      <c r="K626" s="12" t="n">
        <f aca="false">J626^(-1/B626)-1</f>
        <v>0.0597673024999998</v>
      </c>
      <c r="L626" s="12" t="n">
        <f aca="false">(1+K626)^(1/12)-1</f>
        <v>0.00484916584071904</v>
      </c>
    </row>
    <row r="627" customFormat="false" ht="15" hidden="false" customHeight="false" outlineLevel="0" collapsed="false">
      <c r="A627" s="4" t="n">
        <v>623</v>
      </c>
      <c r="B627" s="14" t="n">
        <f aca="false">A627/12</f>
        <v>51.9166666666667</v>
      </c>
      <c r="C627" s="15" t="n">
        <f aca="false">INT(A627/6)</f>
        <v>103</v>
      </c>
      <c r="D627" s="16" t="n">
        <f aca="false">IF(C627=0,(1+Dic2024!$G$6)^(-B627),EXP(LN(INDEX(Dic2024!$H$6:$H$205,C627))+(LN(INDEX(Dic2024!$H$6:$H$205,MIN(C627+1,200)))-LN(INDEX(Dic2024!$H$6:$H$205,C627)))*(A627-6*C627)/6))</f>
        <v>0.0491082038450903</v>
      </c>
      <c r="E627" s="12" t="n">
        <f aca="false">D627^(-1/B627)-1</f>
        <v>0.0597673024999998</v>
      </c>
      <c r="F627" s="12" t="n">
        <f aca="false">(1+E627)^(1/12)-1</f>
        <v>0.00484916584071904</v>
      </c>
      <c r="G627" s="16" t="n">
        <f aca="false">IF(C627=0,(1+Dic2024!$J$6)^(-B627),EXP(LN(INDEX(Dic2024!$K$6:$K$205,C627))+(LN(INDEX(Dic2024!$K$6:$K$205,MIN(C627+1,200)))-LN(INDEX(Dic2024!$K$6:$K$205,C627)))*(A627-6*C627)/6))</f>
        <v>0.0491082038450903</v>
      </c>
      <c r="H627" s="12" t="n">
        <f aca="false">G627^(-1/B627)-1</f>
        <v>0.0597673024999998</v>
      </c>
      <c r="I627" s="12" t="n">
        <f aca="false">(1+H627)^(1/12)-1</f>
        <v>0.00484916584071904</v>
      </c>
      <c r="J627" s="16" t="n">
        <f aca="false">IF(C627=0,(1+Dic2024!$M$6)^(-B627),EXP(LN(INDEX(Dic2024!$N$6:$N$205,C627))+(LN(INDEX(Dic2024!$N$6:$N$205,MIN(C627+1,200)))-LN(INDEX(Dic2024!$N$6:$N$205,C627)))*(A627-6*C627)/6))</f>
        <v>0.0491082038450903</v>
      </c>
      <c r="K627" s="12" t="n">
        <f aca="false">J627^(-1/B627)-1</f>
        <v>0.0597673024999998</v>
      </c>
      <c r="L627" s="12" t="n">
        <f aca="false">(1+K627)^(1/12)-1</f>
        <v>0.00484916584071904</v>
      </c>
    </row>
    <row r="628" customFormat="false" ht="15" hidden="false" customHeight="false" outlineLevel="0" collapsed="false">
      <c r="A628" s="4" t="n">
        <v>624</v>
      </c>
      <c r="B628" s="14" t="n">
        <f aca="false">A628/12</f>
        <v>52</v>
      </c>
      <c r="C628" s="15" t="n">
        <f aca="false">INT(A628/6)</f>
        <v>104</v>
      </c>
      <c r="D628" s="16" t="n">
        <f aca="false">IF(C628=0,(1+Dic2024!$G$6)^(-B628),EXP(LN(INDEX(Dic2024!$H$6:$H$205,C628))+(LN(INDEX(Dic2024!$H$6:$H$205,MIN(C628+1,200)))-LN(INDEX(Dic2024!$H$6:$H$205,C628)))*(A628-6*C628)/6))</f>
        <v>0.0488712191983593</v>
      </c>
      <c r="E628" s="12" t="n">
        <f aca="false">D628^(-1/B628)-1</f>
        <v>0.0597673024999998</v>
      </c>
      <c r="F628" s="12" t="n">
        <f aca="false">(1+E628)^(1/12)-1</f>
        <v>0.00484916584071904</v>
      </c>
      <c r="G628" s="16" t="n">
        <f aca="false">IF(C628=0,(1+Dic2024!$J$6)^(-B628),EXP(LN(INDEX(Dic2024!$K$6:$K$205,C628))+(LN(INDEX(Dic2024!$K$6:$K$205,MIN(C628+1,200)))-LN(INDEX(Dic2024!$K$6:$K$205,C628)))*(A628-6*C628)/6))</f>
        <v>0.0488712191983593</v>
      </c>
      <c r="H628" s="12" t="n">
        <f aca="false">G628^(-1/B628)-1</f>
        <v>0.0597673024999998</v>
      </c>
      <c r="I628" s="12" t="n">
        <f aca="false">(1+H628)^(1/12)-1</f>
        <v>0.00484916584071904</v>
      </c>
      <c r="J628" s="16" t="n">
        <f aca="false">IF(C628=0,(1+Dic2024!$M$6)^(-B628),EXP(LN(INDEX(Dic2024!$N$6:$N$205,C628))+(LN(INDEX(Dic2024!$N$6:$N$205,MIN(C628+1,200)))-LN(INDEX(Dic2024!$N$6:$N$205,C628)))*(A628-6*C628)/6))</f>
        <v>0.0488712191983593</v>
      </c>
      <c r="K628" s="12" t="n">
        <f aca="false">J628^(-1/B628)-1</f>
        <v>0.0597673024999998</v>
      </c>
      <c r="L628" s="12" t="n">
        <f aca="false">(1+K628)^(1/12)-1</f>
        <v>0.00484916584071904</v>
      </c>
    </row>
    <row r="629" customFormat="false" ht="15" hidden="false" customHeight="false" outlineLevel="0" collapsed="false">
      <c r="A629" s="4" t="n">
        <v>625</v>
      </c>
      <c r="B629" s="14" t="n">
        <f aca="false">A629/12</f>
        <v>52.0833333333333</v>
      </c>
      <c r="C629" s="15" t="n">
        <f aca="false">INT(A629/6)</f>
        <v>104</v>
      </c>
      <c r="D629" s="16" t="n">
        <f aca="false">IF(C629=0,(1+Dic2024!$G$6)^(-B629),EXP(LN(INDEX(Dic2024!$H$6:$H$205,C629))+(LN(INDEX(Dic2024!$H$6:$H$205,MIN(C629+1,200)))-LN(INDEX(Dic2024!$H$6:$H$205,C629)))*(A629-6*C629)/6))</f>
        <v>0.0486353781838199</v>
      </c>
      <c r="E629" s="12" t="n">
        <f aca="false">D629^(-1/B629)-1</f>
        <v>0.0597673024999998</v>
      </c>
      <c r="F629" s="12" t="n">
        <f aca="false">(1+E629)^(1/12)-1</f>
        <v>0.00484916584071904</v>
      </c>
      <c r="G629" s="16" t="n">
        <f aca="false">IF(C629=0,(1+Dic2024!$J$6)^(-B629),EXP(LN(INDEX(Dic2024!$K$6:$K$205,C629))+(LN(INDEX(Dic2024!$K$6:$K$205,MIN(C629+1,200)))-LN(INDEX(Dic2024!$K$6:$K$205,C629)))*(A629-6*C629)/6))</f>
        <v>0.0486353781838199</v>
      </c>
      <c r="H629" s="12" t="n">
        <f aca="false">G629^(-1/B629)-1</f>
        <v>0.0597673024999998</v>
      </c>
      <c r="I629" s="12" t="n">
        <f aca="false">(1+H629)^(1/12)-1</f>
        <v>0.00484916584071904</v>
      </c>
      <c r="J629" s="16" t="n">
        <f aca="false">IF(C629=0,(1+Dic2024!$M$6)^(-B629),EXP(LN(INDEX(Dic2024!$N$6:$N$205,C629))+(LN(INDEX(Dic2024!$N$6:$N$205,MIN(C629+1,200)))-LN(INDEX(Dic2024!$N$6:$N$205,C629)))*(A629-6*C629)/6))</f>
        <v>0.0486353781838199</v>
      </c>
      <c r="K629" s="12" t="n">
        <f aca="false">J629^(-1/B629)-1</f>
        <v>0.0597673024999998</v>
      </c>
      <c r="L629" s="12" t="n">
        <f aca="false">(1+K629)^(1/12)-1</f>
        <v>0.00484916584071904</v>
      </c>
    </row>
    <row r="630" customFormat="false" ht="15" hidden="false" customHeight="false" outlineLevel="0" collapsed="false">
      <c r="A630" s="4" t="n">
        <v>626</v>
      </c>
      <c r="B630" s="14" t="n">
        <f aca="false">A630/12</f>
        <v>52.1666666666667</v>
      </c>
      <c r="C630" s="15" t="n">
        <f aca="false">INT(A630/6)</f>
        <v>104</v>
      </c>
      <c r="D630" s="16" t="n">
        <f aca="false">IF(C630=0,(1+Dic2024!$G$6)^(-B630),EXP(LN(INDEX(Dic2024!$H$6:$H$205,C630))+(LN(INDEX(Dic2024!$H$6:$H$205,MIN(C630+1,200)))-LN(INDEX(Dic2024!$H$6:$H$205,C630)))*(A630-6*C630)/6))</f>
        <v>0.0484006752825719</v>
      </c>
      <c r="E630" s="12" t="n">
        <f aca="false">D630^(-1/B630)-1</f>
        <v>0.0597673024999998</v>
      </c>
      <c r="F630" s="12" t="n">
        <f aca="false">(1+E630)^(1/12)-1</f>
        <v>0.00484916584071904</v>
      </c>
      <c r="G630" s="16" t="n">
        <f aca="false">IF(C630=0,(1+Dic2024!$J$6)^(-B630),EXP(LN(INDEX(Dic2024!$K$6:$K$205,C630))+(LN(INDEX(Dic2024!$K$6:$K$205,MIN(C630+1,200)))-LN(INDEX(Dic2024!$K$6:$K$205,C630)))*(A630-6*C630)/6))</f>
        <v>0.0484006752825719</v>
      </c>
      <c r="H630" s="12" t="n">
        <f aca="false">G630^(-1/B630)-1</f>
        <v>0.0597673024999998</v>
      </c>
      <c r="I630" s="12" t="n">
        <f aca="false">(1+H630)^(1/12)-1</f>
        <v>0.00484916584071904</v>
      </c>
      <c r="J630" s="16" t="n">
        <f aca="false">IF(C630=0,(1+Dic2024!$M$6)^(-B630),EXP(LN(INDEX(Dic2024!$N$6:$N$205,C630))+(LN(INDEX(Dic2024!$N$6:$N$205,MIN(C630+1,200)))-LN(INDEX(Dic2024!$N$6:$N$205,C630)))*(A630-6*C630)/6))</f>
        <v>0.0484006752825719</v>
      </c>
      <c r="K630" s="12" t="n">
        <f aca="false">J630^(-1/B630)-1</f>
        <v>0.0597673024999998</v>
      </c>
      <c r="L630" s="12" t="n">
        <f aca="false">(1+K630)^(1/12)-1</f>
        <v>0.00484916584071904</v>
      </c>
    </row>
    <row r="631" customFormat="false" ht="15" hidden="false" customHeight="false" outlineLevel="0" collapsed="false">
      <c r="A631" s="4" t="n">
        <v>627</v>
      </c>
      <c r="B631" s="14" t="n">
        <f aca="false">A631/12</f>
        <v>52.25</v>
      </c>
      <c r="C631" s="15" t="n">
        <f aca="false">INT(A631/6)</f>
        <v>104</v>
      </c>
      <c r="D631" s="16" t="n">
        <f aca="false">IF(C631=0,(1+Dic2024!$G$6)^(-B631),EXP(LN(INDEX(Dic2024!$H$6:$H$205,C631))+(LN(INDEX(Dic2024!$H$6:$H$205,MIN(C631+1,200)))-LN(INDEX(Dic2024!$H$6:$H$205,C631)))*(A631-6*C631)/6))</f>
        <v>0.0481671050023482</v>
      </c>
      <c r="E631" s="12" t="n">
        <f aca="false">D631^(-1/B631)-1</f>
        <v>0.0597673024999998</v>
      </c>
      <c r="F631" s="12" t="n">
        <f aca="false">(1+E631)^(1/12)-1</f>
        <v>0.00484916584071904</v>
      </c>
      <c r="G631" s="16" t="n">
        <f aca="false">IF(C631=0,(1+Dic2024!$J$6)^(-B631),EXP(LN(INDEX(Dic2024!$K$6:$K$205,C631))+(LN(INDEX(Dic2024!$K$6:$K$205,MIN(C631+1,200)))-LN(INDEX(Dic2024!$K$6:$K$205,C631)))*(A631-6*C631)/6))</f>
        <v>0.0481671050023482</v>
      </c>
      <c r="H631" s="12" t="n">
        <f aca="false">G631^(-1/B631)-1</f>
        <v>0.0597673024999998</v>
      </c>
      <c r="I631" s="12" t="n">
        <f aca="false">(1+H631)^(1/12)-1</f>
        <v>0.00484916584071904</v>
      </c>
      <c r="J631" s="16" t="n">
        <f aca="false">IF(C631=0,(1+Dic2024!$M$6)^(-B631),EXP(LN(INDEX(Dic2024!$N$6:$N$205,C631))+(LN(INDEX(Dic2024!$N$6:$N$205,MIN(C631+1,200)))-LN(INDEX(Dic2024!$N$6:$N$205,C631)))*(A631-6*C631)/6))</f>
        <v>0.0481671050023482</v>
      </c>
      <c r="K631" s="12" t="n">
        <f aca="false">J631^(-1/B631)-1</f>
        <v>0.0597673024999998</v>
      </c>
      <c r="L631" s="12" t="n">
        <f aca="false">(1+K631)^(1/12)-1</f>
        <v>0.00484916584071904</v>
      </c>
    </row>
    <row r="632" customFormat="false" ht="15" hidden="false" customHeight="false" outlineLevel="0" collapsed="false">
      <c r="A632" s="4" t="n">
        <v>628</v>
      </c>
      <c r="B632" s="14" t="n">
        <f aca="false">A632/12</f>
        <v>52.3333333333333</v>
      </c>
      <c r="C632" s="15" t="n">
        <f aca="false">INT(A632/6)</f>
        <v>104</v>
      </c>
      <c r="D632" s="16" t="n">
        <f aca="false">IF(C632=0,(1+Dic2024!$G$6)^(-B632),EXP(LN(INDEX(Dic2024!$H$6:$H$205,C632))+(LN(INDEX(Dic2024!$H$6:$H$205,MIN(C632+1,200)))-LN(INDEX(Dic2024!$H$6:$H$205,C632)))*(A632-6*C632)/6))</f>
        <v>0.0479346618773859</v>
      </c>
      <c r="E632" s="12" t="n">
        <f aca="false">D632^(-1/B632)-1</f>
        <v>0.0597673024999998</v>
      </c>
      <c r="F632" s="12" t="n">
        <f aca="false">(1+E632)^(1/12)-1</f>
        <v>0.00484916584071904</v>
      </c>
      <c r="G632" s="16" t="n">
        <f aca="false">IF(C632=0,(1+Dic2024!$J$6)^(-B632),EXP(LN(INDEX(Dic2024!$K$6:$K$205,C632))+(LN(INDEX(Dic2024!$K$6:$K$205,MIN(C632+1,200)))-LN(INDEX(Dic2024!$K$6:$K$205,C632)))*(A632-6*C632)/6))</f>
        <v>0.0479346618773859</v>
      </c>
      <c r="H632" s="12" t="n">
        <f aca="false">G632^(-1/B632)-1</f>
        <v>0.0597673024999998</v>
      </c>
      <c r="I632" s="12" t="n">
        <f aca="false">(1+H632)^(1/12)-1</f>
        <v>0.00484916584071904</v>
      </c>
      <c r="J632" s="16" t="n">
        <f aca="false">IF(C632=0,(1+Dic2024!$M$6)^(-B632),EXP(LN(INDEX(Dic2024!$N$6:$N$205,C632))+(LN(INDEX(Dic2024!$N$6:$N$205,MIN(C632+1,200)))-LN(INDEX(Dic2024!$N$6:$N$205,C632)))*(A632-6*C632)/6))</f>
        <v>0.0479346618773859</v>
      </c>
      <c r="K632" s="12" t="n">
        <f aca="false">J632^(-1/B632)-1</f>
        <v>0.0597673024999998</v>
      </c>
      <c r="L632" s="12" t="n">
        <f aca="false">(1+K632)^(1/12)-1</f>
        <v>0.00484916584071904</v>
      </c>
    </row>
    <row r="633" customFormat="false" ht="15" hidden="false" customHeight="false" outlineLevel="0" collapsed="false">
      <c r="A633" s="4" t="n">
        <v>629</v>
      </c>
      <c r="B633" s="14" t="n">
        <f aca="false">A633/12</f>
        <v>52.4166666666667</v>
      </c>
      <c r="C633" s="15" t="n">
        <f aca="false">INT(A633/6)</f>
        <v>104</v>
      </c>
      <c r="D633" s="16" t="n">
        <f aca="false">IF(C633=0,(1+Dic2024!$G$6)^(-B633),EXP(LN(INDEX(Dic2024!$H$6:$H$205,C633))+(LN(INDEX(Dic2024!$H$6:$H$205,MIN(C633+1,200)))-LN(INDEX(Dic2024!$H$6:$H$205,C633)))*(A633-6*C633)/6))</f>
        <v>0.0477033404682989</v>
      </c>
      <c r="E633" s="12" t="n">
        <f aca="false">D633^(-1/B633)-1</f>
        <v>0.0597673024999998</v>
      </c>
      <c r="F633" s="12" t="n">
        <f aca="false">(1+E633)^(1/12)-1</f>
        <v>0.00484916584071904</v>
      </c>
      <c r="G633" s="16" t="n">
        <f aca="false">IF(C633=0,(1+Dic2024!$J$6)^(-B633),EXP(LN(INDEX(Dic2024!$K$6:$K$205,C633))+(LN(INDEX(Dic2024!$K$6:$K$205,MIN(C633+1,200)))-LN(INDEX(Dic2024!$K$6:$K$205,C633)))*(A633-6*C633)/6))</f>
        <v>0.0477033404682989</v>
      </c>
      <c r="H633" s="12" t="n">
        <f aca="false">G633^(-1/B633)-1</f>
        <v>0.0597673024999998</v>
      </c>
      <c r="I633" s="12" t="n">
        <f aca="false">(1+H633)^(1/12)-1</f>
        <v>0.00484916584071904</v>
      </c>
      <c r="J633" s="16" t="n">
        <f aca="false">IF(C633=0,(1+Dic2024!$M$6)^(-B633),EXP(LN(INDEX(Dic2024!$N$6:$N$205,C633))+(LN(INDEX(Dic2024!$N$6:$N$205,MIN(C633+1,200)))-LN(INDEX(Dic2024!$N$6:$N$205,C633)))*(A633-6*C633)/6))</f>
        <v>0.0477033404682989</v>
      </c>
      <c r="K633" s="12" t="n">
        <f aca="false">J633^(-1/B633)-1</f>
        <v>0.0597673024999998</v>
      </c>
      <c r="L633" s="12" t="n">
        <f aca="false">(1+K633)^(1/12)-1</f>
        <v>0.00484916584071904</v>
      </c>
    </row>
    <row r="634" customFormat="false" ht="15" hidden="false" customHeight="false" outlineLevel="0" collapsed="false">
      <c r="A634" s="4" t="n">
        <v>630</v>
      </c>
      <c r="B634" s="14" t="n">
        <f aca="false">A634/12</f>
        <v>52.5</v>
      </c>
      <c r="C634" s="15" t="n">
        <f aca="false">INT(A634/6)</f>
        <v>105</v>
      </c>
      <c r="D634" s="16" t="n">
        <f aca="false">IF(C634=0,(1+Dic2024!$G$6)^(-B634),EXP(LN(INDEX(Dic2024!$H$6:$H$205,C634))+(LN(INDEX(Dic2024!$H$6:$H$205,MIN(C634+1,200)))-LN(INDEX(Dic2024!$H$6:$H$205,C634)))*(A634-6*C634)/6))</f>
        <v>0.0474731353619499</v>
      </c>
      <c r="E634" s="12" t="n">
        <f aca="false">D634^(-1/B634)-1</f>
        <v>0.0597673024999998</v>
      </c>
      <c r="F634" s="12" t="n">
        <f aca="false">(1+E634)^(1/12)-1</f>
        <v>0.00484916584071904</v>
      </c>
      <c r="G634" s="16" t="n">
        <f aca="false">IF(C634=0,(1+Dic2024!$J$6)^(-B634),EXP(LN(INDEX(Dic2024!$K$6:$K$205,C634))+(LN(INDEX(Dic2024!$K$6:$K$205,MIN(C634+1,200)))-LN(INDEX(Dic2024!$K$6:$K$205,C634)))*(A634-6*C634)/6))</f>
        <v>0.0474731353619499</v>
      </c>
      <c r="H634" s="12" t="n">
        <f aca="false">G634^(-1/B634)-1</f>
        <v>0.0597673024999998</v>
      </c>
      <c r="I634" s="12" t="n">
        <f aca="false">(1+H634)^(1/12)-1</f>
        <v>0.00484916584071904</v>
      </c>
      <c r="J634" s="16" t="n">
        <f aca="false">IF(C634=0,(1+Dic2024!$M$6)^(-B634),EXP(LN(INDEX(Dic2024!$N$6:$N$205,C634))+(LN(INDEX(Dic2024!$N$6:$N$205,MIN(C634+1,200)))-LN(INDEX(Dic2024!$N$6:$N$205,C634)))*(A634-6*C634)/6))</f>
        <v>0.0474731353619499</v>
      </c>
      <c r="K634" s="12" t="n">
        <f aca="false">J634^(-1/B634)-1</f>
        <v>0.0597673024999998</v>
      </c>
      <c r="L634" s="12" t="n">
        <f aca="false">(1+K634)^(1/12)-1</f>
        <v>0.00484916584071904</v>
      </c>
    </row>
    <row r="635" customFormat="false" ht="15" hidden="false" customHeight="false" outlineLevel="0" collapsed="false">
      <c r="A635" s="4" t="n">
        <v>631</v>
      </c>
      <c r="B635" s="14" t="n">
        <f aca="false">A635/12</f>
        <v>52.5833333333333</v>
      </c>
      <c r="C635" s="15" t="n">
        <f aca="false">INT(A635/6)</f>
        <v>105</v>
      </c>
      <c r="D635" s="16" t="n">
        <f aca="false">IF(C635=0,(1+Dic2024!$G$6)^(-B635),EXP(LN(INDEX(Dic2024!$H$6:$H$205,C635))+(LN(INDEX(Dic2024!$H$6:$H$205,MIN(C635+1,200)))-LN(INDEX(Dic2024!$H$6:$H$205,C635)))*(A635-6*C635)/6))</f>
        <v>0.0472440411713244</v>
      </c>
      <c r="E635" s="12" t="n">
        <f aca="false">D635^(-1/B635)-1</f>
        <v>0.0597673024999998</v>
      </c>
      <c r="F635" s="12" t="n">
        <f aca="false">(1+E635)^(1/12)-1</f>
        <v>0.00484916584071904</v>
      </c>
      <c r="G635" s="16" t="n">
        <f aca="false">IF(C635=0,(1+Dic2024!$J$6)^(-B635),EXP(LN(INDEX(Dic2024!$K$6:$K$205,C635))+(LN(INDEX(Dic2024!$K$6:$K$205,MIN(C635+1,200)))-LN(INDEX(Dic2024!$K$6:$K$205,C635)))*(A635-6*C635)/6))</f>
        <v>0.0472440411713244</v>
      </c>
      <c r="H635" s="12" t="n">
        <f aca="false">G635^(-1/B635)-1</f>
        <v>0.0597673024999998</v>
      </c>
      <c r="I635" s="12" t="n">
        <f aca="false">(1+H635)^(1/12)-1</f>
        <v>0.00484916584071904</v>
      </c>
      <c r="J635" s="16" t="n">
        <f aca="false">IF(C635=0,(1+Dic2024!$M$6)^(-B635),EXP(LN(INDEX(Dic2024!$N$6:$N$205,C635))+(LN(INDEX(Dic2024!$N$6:$N$205,MIN(C635+1,200)))-LN(INDEX(Dic2024!$N$6:$N$205,C635)))*(A635-6*C635)/6))</f>
        <v>0.0472440411713244</v>
      </c>
      <c r="K635" s="12" t="n">
        <f aca="false">J635^(-1/B635)-1</f>
        <v>0.0597673024999998</v>
      </c>
      <c r="L635" s="12" t="n">
        <f aca="false">(1+K635)^(1/12)-1</f>
        <v>0.00484916584071904</v>
      </c>
    </row>
    <row r="636" customFormat="false" ht="15" hidden="false" customHeight="false" outlineLevel="0" collapsed="false">
      <c r="A636" s="4" t="n">
        <v>632</v>
      </c>
      <c r="B636" s="14" t="n">
        <f aca="false">A636/12</f>
        <v>52.6666666666667</v>
      </c>
      <c r="C636" s="15" t="n">
        <f aca="false">INT(A636/6)</f>
        <v>105</v>
      </c>
      <c r="D636" s="16" t="n">
        <f aca="false">IF(C636=0,(1+Dic2024!$G$6)^(-B636),EXP(LN(INDEX(Dic2024!$H$6:$H$205,C636))+(LN(INDEX(Dic2024!$H$6:$H$205,MIN(C636+1,200)))-LN(INDEX(Dic2024!$H$6:$H$205,C636)))*(A636-6*C636)/6))</f>
        <v>0.0470160525354042</v>
      </c>
      <c r="E636" s="12" t="n">
        <f aca="false">D636^(-1/B636)-1</f>
        <v>0.0597673024999998</v>
      </c>
      <c r="F636" s="12" t="n">
        <f aca="false">(1+E636)^(1/12)-1</f>
        <v>0.00484916584071904</v>
      </c>
      <c r="G636" s="16" t="n">
        <f aca="false">IF(C636=0,(1+Dic2024!$J$6)^(-B636),EXP(LN(INDEX(Dic2024!$K$6:$K$205,C636))+(LN(INDEX(Dic2024!$K$6:$K$205,MIN(C636+1,200)))-LN(INDEX(Dic2024!$K$6:$K$205,C636)))*(A636-6*C636)/6))</f>
        <v>0.0470160525354042</v>
      </c>
      <c r="H636" s="12" t="n">
        <f aca="false">G636^(-1/B636)-1</f>
        <v>0.0597673024999998</v>
      </c>
      <c r="I636" s="12" t="n">
        <f aca="false">(1+H636)^(1/12)-1</f>
        <v>0.00484916584071904</v>
      </c>
      <c r="J636" s="16" t="n">
        <f aca="false">IF(C636=0,(1+Dic2024!$M$6)^(-B636),EXP(LN(INDEX(Dic2024!$N$6:$N$205,C636))+(LN(INDEX(Dic2024!$N$6:$N$205,MIN(C636+1,200)))-LN(INDEX(Dic2024!$N$6:$N$205,C636)))*(A636-6*C636)/6))</f>
        <v>0.0470160525354042</v>
      </c>
      <c r="K636" s="12" t="n">
        <f aca="false">J636^(-1/B636)-1</f>
        <v>0.0597673024999998</v>
      </c>
      <c r="L636" s="12" t="n">
        <f aca="false">(1+K636)^(1/12)-1</f>
        <v>0.00484916584071904</v>
      </c>
    </row>
    <row r="637" customFormat="false" ht="15" hidden="false" customHeight="false" outlineLevel="0" collapsed="false">
      <c r="A637" s="4" t="n">
        <v>633</v>
      </c>
      <c r="B637" s="14" t="n">
        <f aca="false">A637/12</f>
        <v>52.75</v>
      </c>
      <c r="C637" s="15" t="n">
        <f aca="false">INT(A637/6)</f>
        <v>105</v>
      </c>
      <c r="D637" s="16" t="n">
        <f aca="false">IF(C637=0,(1+Dic2024!$G$6)^(-B637),EXP(LN(INDEX(Dic2024!$H$6:$H$205,C637))+(LN(INDEX(Dic2024!$H$6:$H$205,MIN(C637+1,200)))-LN(INDEX(Dic2024!$H$6:$H$205,C637)))*(A637-6*C637)/6))</f>
        <v>0.0467891641190424</v>
      </c>
      <c r="E637" s="12" t="n">
        <f aca="false">D637^(-1/B637)-1</f>
        <v>0.0597673024999998</v>
      </c>
      <c r="F637" s="12" t="n">
        <f aca="false">(1+E637)^(1/12)-1</f>
        <v>0.00484916584071904</v>
      </c>
      <c r="G637" s="16" t="n">
        <f aca="false">IF(C637=0,(1+Dic2024!$J$6)^(-B637),EXP(LN(INDEX(Dic2024!$K$6:$K$205,C637))+(LN(INDEX(Dic2024!$K$6:$K$205,MIN(C637+1,200)))-LN(INDEX(Dic2024!$K$6:$K$205,C637)))*(A637-6*C637)/6))</f>
        <v>0.0467891641190424</v>
      </c>
      <c r="H637" s="12" t="n">
        <f aca="false">G637^(-1/B637)-1</f>
        <v>0.0597673024999998</v>
      </c>
      <c r="I637" s="12" t="n">
        <f aca="false">(1+H637)^(1/12)-1</f>
        <v>0.00484916584071904</v>
      </c>
      <c r="J637" s="16" t="n">
        <f aca="false">IF(C637=0,(1+Dic2024!$M$6)^(-B637),EXP(LN(INDEX(Dic2024!$N$6:$N$205,C637))+(LN(INDEX(Dic2024!$N$6:$N$205,MIN(C637+1,200)))-LN(INDEX(Dic2024!$N$6:$N$205,C637)))*(A637-6*C637)/6))</f>
        <v>0.0467891641190424</v>
      </c>
      <c r="K637" s="12" t="n">
        <f aca="false">J637^(-1/B637)-1</f>
        <v>0.0597673024999998</v>
      </c>
      <c r="L637" s="12" t="n">
        <f aca="false">(1+K637)^(1/12)-1</f>
        <v>0.00484916584071904</v>
      </c>
    </row>
    <row r="638" customFormat="false" ht="15" hidden="false" customHeight="false" outlineLevel="0" collapsed="false">
      <c r="A638" s="4" t="n">
        <v>634</v>
      </c>
      <c r="B638" s="14" t="n">
        <f aca="false">A638/12</f>
        <v>52.8333333333333</v>
      </c>
      <c r="C638" s="15" t="n">
        <f aca="false">INT(A638/6)</f>
        <v>105</v>
      </c>
      <c r="D638" s="16" t="n">
        <f aca="false">IF(C638=0,(1+Dic2024!$G$6)^(-B638),EXP(LN(INDEX(Dic2024!$H$6:$H$205,C638))+(LN(INDEX(Dic2024!$H$6:$H$205,MIN(C638+1,200)))-LN(INDEX(Dic2024!$H$6:$H$205,C638)))*(A638-6*C638)/6))</f>
        <v>0.0465633706128379</v>
      </c>
      <c r="E638" s="12" t="n">
        <f aca="false">D638^(-1/B638)-1</f>
        <v>0.0597673024999998</v>
      </c>
      <c r="F638" s="12" t="n">
        <f aca="false">(1+E638)^(1/12)-1</f>
        <v>0.00484916584071904</v>
      </c>
      <c r="G638" s="16" t="n">
        <f aca="false">IF(C638=0,(1+Dic2024!$J$6)^(-B638),EXP(LN(INDEX(Dic2024!$K$6:$K$205,C638))+(LN(INDEX(Dic2024!$K$6:$K$205,MIN(C638+1,200)))-LN(INDEX(Dic2024!$K$6:$K$205,C638)))*(A638-6*C638)/6))</f>
        <v>0.0465633706128379</v>
      </c>
      <c r="H638" s="12" t="n">
        <f aca="false">G638^(-1/B638)-1</f>
        <v>0.0597673024999998</v>
      </c>
      <c r="I638" s="12" t="n">
        <f aca="false">(1+H638)^(1/12)-1</f>
        <v>0.00484916584071904</v>
      </c>
      <c r="J638" s="16" t="n">
        <f aca="false">IF(C638=0,(1+Dic2024!$M$6)^(-B638),EXP(LN(INDEX(Dic2024!$N$6:$N$205,C638))+(LN(INDEX(Dic2024!$N$6:$N$205,MIN(C638+1,200)))-LN(INDEX(Dic2024!$N$6:$N$205,C638)))*(A638-6*C638)/6))</f>
        <v>0.0465633706128379</v>
      </c>
      <c r="K638" s="12" t="n">
        <f aca="false">J638^(-1/B638)-1</f>
        <v>0.0597673024999998</v>
      </c>
      <c r="L638" s="12" t="n">
        <f aca="false">(1+K638)^(1/12)-1</f>
        <v>0.00484916584071904</v>
      </c>
    </row>
    <row r="639" customFormat="false" ht="15" hidden="false" customHeight="false" outlineLevel="0" collapsed="false">
      <c r="A639" s="4" t="n">
        <v>635</v>
      </c>
      <c r="B639" s="14" t="n">
        <f aca="false">A639/12</f>
        <v>52.9166666666667</v>
      </c>
      <c r="C639" s="15" t="n">
        <f aca="false">INT(A639/6)</f>
        <v>105</v>
      </c>
      <c r="D639" s="16" t="n">
        <f aca="false">IF(C639=0,(1+Dic2024!$G$6)^(-B639),EXP(LN(INDEX(Dic2024!$H$6:$H$205,C639))+(LN(INDEX(Dic2024!$H$6:$H$205,MIN(C639+1,200)))-LN(INDEX(Dic2024!$H$6:$H$205,C639)))*(A639-6*C639)/6))</f>
        <v>0.0463386667330117</v>
      </c>
      <c r="E639" s="12" t="n">
        <f aca="false">D639^(-1/B639)-1</f>
        <v>0.0597673024999998</v>
      </c>
      <c r="F639" s="12" t="n">
        <f aca="false">(1+E639)^(1/12)-1</f>
        <v>0.00484916584071904</v>
      </c>
      <c r="G639" s="16" t="n">
        <f aca="false">IF(C639=0,(1+Dic2024!$J$6)^(-B639),EXP(LN(INDEX(Dic2024!$K$6:$K$205,C639))+(LN(INDEX(Dic2024!$K$6:$K$205,MIN(C639+1,200)))-LN(INDEX(Dic2024!$K$6:$K$205,C639)))*(A639-6*C639)/6))</f>
        <v>0.0463386667330117</v>
      </c>
      <c r="H639" s="12" t="n">
        <f aca="false">G639^(-1/B639)-1</f>
        <v>0.0597673024999998</v>
      </c>
      <c r="I639" s="12" t="n">
        <f aca="false">(1+H639)^(1/12)-1</f>
        <v>0.00484916584071904</v>
      </c>
      <c r="J639" s="16" t="n">
        <f aca="false">IF(C639=0,(1+Dic2024!$M$6)^(-B639),EXP(LN(INDEX(Dic2024!$N$6:$N$205,C639))+(LN(INDEX(Dic2024!$N$6:$N$205,MIN(C639+1,200)))-LN(INDEX(Dic2024!$N$6:$N$205,C639)))*(A639-6*C639)/6))</f>
        <v>0.0463386667330117</v>
      </c>
      <c r="K639" s="12" t="n">
        <f aca="false">J639^(-1/B639)-1</f>
        <v>0.0597673024999998</v>
      </c>
      <c r="L639" s="12" t="n">
        <f aca="false">(1+K639)^(1/12)-1</f>
        <v>0.00484916584071904</v>
      </c>
    </row>
    <row r="640" customFormat="false" ht="15" hidden="false" customHeight="false" outlineLevel="0" collapsed="false">
      <c r="A640" s="4" t="n">
        <v>636</v>
      </c>
      <c r="B640" s="14" t="n">
        <f aca="false">A640/12</f>
        <v>53</v>
      </c>
      <c r="C640" s="15" t="n">
        <f aca="false">INT(A640/6)</f>
        <v>106</v>
      </c>
      <c r="D640" s="16" t="n">
        <f aca="false">IF(C640=0,(1+Dic2024!$G$6)^(-B640),EXP(LN(INDEX(Dic2024!$H$6:$H$205,C640))+(LN(INDEX(Dic2024!$H$6:$H$205,MIN(C640+1,200)))-LN(INDEX(Dic2024!$H$6:$H$205,C640)))*(A640-6*C640)/6))</f>
        <v>0.0461150472212831</v>
      </c>
      <c r="E640" s="12" t="n">
        <f aca="false">D640^(-1/B640)-1</f>
        <v>0.0597673024999998</v>
      </c>
      <c r="F640" s="12" t="n">
        <f aca="false">(1+E640)^(1/12)-1</f>
        <v>0.00484916584071904</v>
      </c>
      <c r="G640" s="16" t="n">
        <f aca="false">IF(C640=0,(1+Dic2024!$J$6)^(-B640),EXP(LN(INDEX(Dic2024!$K$6:$K$205,C640))+(LN(INDEX(Dic2024!$K$6:$K$205,MIN(C640+1,200)))-LN(INDEX(Dic2024!$K$6:$K$205,C640)))*(A640-6*C640)/6))</f>
        <v>0.0461150472212831</v>
      </c>
      <c r="H640" s="12" t="n">
        <f aca="false">G640^(-1/B640)-1</f>
        <v>0.0597673024999998</v>
      </c>
      <c r="I640" s="12" t="n">
        <f aca="false">(1+H640)^(1/12)-1</f>
        <v>0.00484916584071904</v>
      </c>
      <c r="J640" s="16" t="n">
        <f aca="false">IF(C640=0,(1+Dic2024!$M$6)^(-B640),EXP(LN(INDEX(Dic2024!$N$6:$N$205,C640))+(LN(INDEX(Dic2024!$N$6:$N$205,MIN(C640+1,200)))-LN(INDEX(Dic2024!$N$6:$N$205,C640)))*(A640-6*C640)/6))</f>
        <v>0.0461150472212831</v>
      </c>
      <c r="K640" s="12" t="n">
        <f aca="false">J640^(-1/B640)-1</f>
        <v>0.0597673024999998</v>
      </c>
      <c r="L640" s="12" t="n">
        <f aca="false">(1+K640)^(1/12)-1</f>
        <v>0.00484916584071904</v>
      </c>
    </row>
    <row r="641" customFormat="false" ht="15" hidden="false" customHeight="false" outlineLevel="0" collapsed="false">
      <c r="A641" s="4" t="n">
        <v>637</v>
      </c>
      <c r="B641" s="14" t="n">
        <f aca="false">A641/12</f>
        <v>53.0833333333333</v>
      </c>
      <c r="C641" s="15" t="n">
        <f aca="false">INT(A641/6)</f>
        <v>106</v>
      </c>
      <c r="D641" s="16" t="n">
        <f aca="false">IF(C641=0,(1+Dic2024!$G$6)^(-B641),EXP(LN(INDEX(Dic2024!$H$6:$H$205,C641))+(LN(INDEX(Dic2024!$H$6:$H$205,MIN(C641+1,200)))-LN(INDEX(Dic2024!$H$6:$H$205,C641)))*(A641-6*C641)/6))</f>
        <v>0.0458925068447466</v>
      </c>
      <c r="E641" s="12" t="n">
        <f aca="false">D641^(-1/B641)-1</f>
        <v>0.0597673024999998</v>
      </c>
      <c r="F641" s="12" t="n">
        <f aca="false">(1+E641)^(1/12)-1</f>
        <v>0.00484916584071904</v>
      </c>
      <c r="G641" s="16" t="n">
        <f aca="false">IF(C641=0,(1+Dic2024!$J$6)^(-B641),EXP(LN(INDEX(Dic2024!$K$6:$K$205,C641))+(LN(INDEX(Dic2024!$K$6:$K$205,MIN(C641+1,200)))-LN(INDEX(Dic2024!$K$6:$K$205,C641)))*(A641-6*C641)/6))</f>
        <v>0.0458925068447466</v>
      </c>
      <c r="H641" s="12" t="n">
        <f aca="false">G641^(-1/B641)-1</f>
        <v>0.0597673024999998</v>
      </c>
      <c r="I641" s="12" t="n">
        <f aca="false">(1+H641)^(1/12)-1</f>
        <v>0.00484916584071904</v>
      </c>
      <c r="J641" s="16" t="n">
        <f aca="false">IF(C641=0,(1+Dic2024!$M$6)^(-B641),EXP(LN(INDEX(Dic2024!$N$6:$N$205,C641))+(LN(INDEX(Dic2024!$N$6:$N$205,MIN(C641+1,200)))-LN(INDEX(Dic2024!$N$6:$N$205,C641)))*(A641-6*C641)/6))</f>
        <v>0.0458925068447466</v>
      </c>
      <c r="K641" s="12" t="n">
        <f aca="false">J641^(-1/B641)-1</f>
        <v>0.0597673024999998</v>
      </c>
      <c r="L641" s="12" t="n">
        <f aca="false">(1+K641)^(1/12)-1</f>
        <v>0.00484916584071904</v>
      </c>
    </row>
    <row r="642" customFormat="false" ht="15" hidden="false" customHeight="false" outlineLevel="0" collapsed="false">
      <c r="A642" s="4" t="n">
        <v>638</v>
      </c>
      <c r="B642" s="14" t="n">
        <f aca="false">A642/12</f>
        <v>53.1666666666667</v>
      </c>
      <c r="C642" s="15" t="n">
        <f aca="false">INT(A642/6)</f>
        <v>106</v>
      </c>
      <c r="D642" s="16" t="n">
        <f aca="false">IF(C642=0,(1+Dic2024!$G$6)^(-B642),EXP(LN(INDEX(Dic2024!$H$6:$H$205,C642))+(LN(INDEX(Dic2024!$H$6:$H$205,MIN(C642+1,200)))-LN(INDEX(Dic2024!$H$6:$H$205,C642)))*(A642-6*C642)/6))</f>
        <v>0.0456710403957494</v>
      </c>
      <c r="E642" s="12" t="n">
        <f aca="false">D642^(-1/B642)-1</f>
        <v>0.0597673024999998</v>
      </c>
      <c r="F642" s="12" t="n">
        <f aca="false">(1+E642)^(1/12)-1</f>
        <v>0.00484916584071904</v>
      </c>
      <c r="G642" s="16" t="n">
        <f aca="false">IF(C642=0,(1+Dic2024!$J$6)^(-B642),EXP(LN(INDEX(Dic2024!$K$6:$K$205,C642))+(LN(INDEX(Dic2024!$K$6:$K$205,MIN(C642+1,200)))-LN(INDEX(Dic2024!$K$6:$K$205,C642)))*(A642-6*C642)/6))</f>
        <v>0.0456710403957494</v>
      </c>
      <c r="H642" s="12" t="n">
        <f aca="false">G642^(-1/B642)-1</f>
        <v>0.0597673024999998</v>
      </c>
      <c r="I642" s="12" t="n">
        <f aca="false">(1+H642)^(1/12)-1</f>
        <v>0.00484916584071904</v>
      </c>
      <c r="J642" s="16" t="n">
        <f aca="false">IF(C642=0,(1+Dic2024!$M$6)^(-B642),EXP(LN(INDEX(Dic2024!$N$6:$N$205,C642))+(LN(INDEX(Dic2024!$N$6:$N$205,MIN(C642+1,200)))-LN(INDEX(Dic2024!$N$6:$N$205,C642)))*(A642-6*C642)/6))</f>
        <v>0.0456710403957494</v>
      </c>
      <c r="K642" s="12" t="n">
        <f aca="false">J642^(-1/B642)-1</f>
        <v>0.0597673024999998</v>
      </c>
      <c r="L642" s="12" t="n">
        <f aca="false">(1+K642)^(1/12)-1</f>
        <v>0.00484916584071904</v>
      </c>
    </row>
    <row r="643" customFormat="false" ht="15" hidden="false" customHeight="false" outlineLevel="0" collapsed="false">
      <c r="A643" s="4" t="n">
        <v>639</v>
      </c>
      <c r="B643" s="14" t="n">
        <f aca="false">A643/12</f>
        <v>53.25</v>
      </c>
      <c r="C643" s="15" t="n">
        <f aca="false">INT(A643/6)</f>
        <v>106</v>
      </c>
      <c r="D643" s="16" t="n">
        <f aca="false">IF(C643=0,(1+Dic2024!$G$6)^(-B643),EXP(LN(INDEX(Dic2024!$H$6:$H$205,C643))+(LN(INDEX(Dic2024!$H$6:$H$205,MIN(C643+1,200)))-LN(INDEX(Dic2024!$H$6:$H$205,C643)))*(A643-6*C643)/6))</f>
        <v>0.0454506426917698</v>
      </c>
      <c r="E643" s="12" t="n">
        <f aca="false">D643^(-1/B643)-1</f>
        <v>0.0597673024999998</v>
      </c>
      <c r="F643" s="12" t="n">
        <f aca="false">(1+E643)^(1/12)-1</f>
        <v>0.00484916584071904</v>
      </c>
      <c r="G643" s="16" t="n">
        <f aca="false">IF(C643=0,(1+Dic2024!$J$6)^(-B643),EXP(LN(INDEX(Dic2024!$K$6:$K$205,C643))+(LN(INDEX(Dic2024!$K$6:$K$205,MIN(C643+1,200)))-LN(INDEX(Dic2024!$K$6:$K$205,C643)))*(A643-6*C643)/6))</f>
        <v>0.0454506426917698</v>
      </c>
      <c r="H643" s="12" t="n">
        <f aca="false">G643^(-1/B643)-1</f>
        <v>0.0597673024999998</v>
      </c>
      <c r="I643" s="12" t="n">
        <f aca="false">(1+H643)^(1/12)-1</f>
        <v>0.00484916584071904</v>
      </c>
      <c r="J643" s="16" t="n">
        <f aca="false">IF(C643=0,(1+Dic2024!$M$6)^(-B643),EXP(LN(INDEX(Dic2024!$N$6:$N$205,C643))+(LN(INDEX(Dic2024!$N$6:$N$205,MIN(C643+1,200)))-LN(INDEX(Dic2024!$N$6:$N$205,C643)))*(A643-6*C643)/6))</f>
        <v>0.0454506426917698</v>
      </c>
      <c r="K643" s="12" t="n">
        <f aca="false">J643^(-1/B643)-1</f>
        <v>0.0597673024999998</v>
      </c>
      <c r="L643" s="12" t="n">
        <f aca="false">(1+K643)^(1/12)-1</f>
        <v>0.00484916584071904</v>
      </c>
    </row>
    <row r="644" customFormat="false" ht="15" hidden="false" customHeight="false" outlineLevel="0" collapsed="false">
      <c r="A644" s="4" t="n">
        <v>640</v>
      </c>
      <c r="B644" s="14" t="n">
        <f aca="false">A644/12</f>
        <v>53.3333333333333</v>
      </c>
      <c r="C644" s="15" t="n">
        <f aca="false">INT(A644/6)</f>
        <v>106</v>
      </c>
      <c r="D644" s="16" t="n">
        <f aca="false">IF(C644=0,(1+Dic2024!$G$6)^(-B644),EXP(LN(INDEX(Dic2024!$H$6:$H$205,C644))+(LN(INDEX(Dic2024!$H$6:$H$205,MIN(C644+1,200)))-LN(INDEX(Dic2024!$H$6:$H$205,C644)))*(A644-6*C644)/6))</f>
        <v>0.0452313085752954</v>
      </c>
      <c r="E644" s="12" t="n">
        <f aca="false">D644^(-1/B644)-1</f>
        <v>0.0597673024999998</v>
      </c>
      <c r="F644" s="12" t="n">
        <f aca="false">(1+E644)^(1/12)-1</f>
        <v>0.00484916584071904</v>
      </c>
      <c r="G644" s="16" t="n">
        <f aca="false">IF(C644=0,(1+Dic2024!$J$6)^(-B644),EXP(LN(INDEX(Dic2024!$K$6:$K$205,C644))+(LN(INDEX(Dic2024!$K$6:$K$205,MIN(C644+1,200)))-LN(INDEX(Dic2024!$K$6:$K$205,C644)))*(A644-6*C644)/6))</f>
        <v>0.0452313085752954</v>
      </c>
      <c r="H644" s="12" t="n">
        <f aca="false">G644^(-1/B644)-1</f>
        <v>0.0597673024999998</v>
      </c>
      <c r="I644" s="12" t="n">
        <f aca="false">(1+H644)^(1/12)-1</f>
        <v>0.00484916584071904</v>
      </c>
      <c r="J644" s="16" t="n">
        <f aca="false">IF(C644=0,(1+Dic2024!$M$6)^(-B644),EXP(LN(INDEX(Dic2024!$N$6:$N$205,C644))+(LN(INDEX(Dic2024!$N$6:$N$205,MIN(C644+1,200)))-LN(INDEX(Dic2024!$N$6:$N$205,C644)))*(A644-6*C644)/6))</f>
        <v>0.0452313085752954</v>
      </c>
      <c r="K644" s="12" t="n">
        <f aca="false">J644^(-1/B644)-1</f>
        <v>0.0597673024999998</v>
      </c>
      <c r="L644" s="12" t="n">
        <f aca="false">(1+K644)^(1/12)-1</f>
        <v>0.00484916584071904</v>
      </c>
    </row>
    <row r="645" customFormat="false" ht="15" hidden="false" customHeight="false" outlineLevel="0" collapsed="false">
      <c r="A645" s="4" t="n">
        <v>641</v>
      </c>
      <c r="B645" s="14" t="n">
        <f aca="false">A645/12</f>
        <v>53.4166666666667</v>
      </c>
      <c r="C645" s="15" t="n">
        <f aca="false">INT(A645/6)</f>
        <v>106</v>
      </c>
      <c r="D645" s="16" t="n">
        <f aca="false">IF(C645=0,(1+Dic2024!$G$6)^(-B645),EXP(LN(INDEX(Dic2024!$H$6:$H$205,C645))+(LN(INDEX(Dic2024!$H$6:$H$205,MIN(C645+1,200)))-LN(INDEX(Dic2024!$H$6:$H$205,C645)))*(A645-6*C645)/6))</f>
        <v>0.0450130329137031</v>
      </c>
      <c r="E645" s="12" t="n">
        <f aca="false">D645^(-1/B645)-1</f>
        <v>0.0597673024999998</v>
      </c>
      <c r="F645" s="12" t="n">
        <f aca="false">(1+E645)^(1/12)-1</f>
        <v>0.00484916584071904</v>
      </c>
      <c r="G645" s="16" t="n">
        <f aca="false">IF(C645=0,(1+Dic2024!$J$6)^(-B645),EXP(LN(INDEX(Dic2024!$K$6:$K$205,C645))+(LN(INDEX(Dic2024!$K$6:$K$205,MIN(C645+1,200)))-LN(INDEX(Dic2024!$K$6:$K$205,C645)))*(A645-6*C645)/6))</f>
        <v>0.0450130329137031</v>
      </c>
      <c r="H645" s="12" t="n">
        <f aca="false">G645^(-1/B645)-1</f>
        <v>0.0597673024999998</v>
      </c>
      <c r="I645" s="12" t="n">
        <f aca="false">(1+H645)^(1/12)-1</f>
        <v>0.00484916584071904</v>
      </c>
      <c r="J645" s="16" t="n">
        <f aca="false">IF(C645=0,(1+Dic2024!$M$6)^(-B645),EXP(LN(INDEX(Dic2024!$N$6:$N$205,C645))+(LN(INDEX(Dic2024!$N$6:$N$205,MIN(C645+1,200)))-LN(INDEX(Dic2024!$N$6:$N$205,C645)))*(A645-6*C645)/6))</f>
        <v>0.0450130329137031</v>
      </c>
      <c r="K645" s="12" t="n">
        <f aca="false">J645^(-1/B645)-1</f>
        <v>0.0597673024999998</v>
      </c>
      <c r="L645" s="12" t="n">
        <f aca="false">(1+K645)^(1/12)-1</f>
        <v>0.00484916584071904</v>
      </c>
    </row>
    <row r="646" customFormat="false" ht="15" hidden="false" customHeight="false" outlineLevel="0" collapsed="false">
      <c r="A646" s="4" t="n">
        <v>642</v>
      </c>
      <c r="B646" s="14" t="n">
        <f aca="false">A646/12</f>
        <v>53.5</v>
      </c>
      <c r="C646" s="15" t="n">
        <f aca="false">INT(A646/6)</f>
        <v>107</v>
      </c>
      <c r="D646" s="16" t="n">
        <f aca="false">IF(C646=0,(1+Dic2024!$G$6)^(-B646),EXP(LN(INDEX(Dic2024!$H$6:$H$205,C646))+(LN(INDEX(Dic2024!$H$6:$H$205,MIN(C646+1,200)))-LN(INDEX(Dic2024!$H$6:$H$205,C646)))*(A646-6*C646)/6))</f>
        <v>0.0447958105991385</v>
      </c>
      <c r="E646" s="12" t="n">
        <f aca="false">D646^(-1/B646)-1</f>
        <v>0.0597673024999998</v>
      </c>
      <c r="F646" s="12" t="n">
        <f aca="false">(1+E646)^(1/12)-1</f>
        <v>0.00484916584071904</v>
      </c>
      <c r="G646" s="16" t="n">
        <f aca="false">IF(C646=0,(1+Dic2024!$J$6)^(-B646),EXP(LN(INDEX(Dic2024!$K$6:$K$205,C646))+(LN(INDEX(Dic2024!$K$6:$K$205,MIN(C646+1,200)))-LN(INDEX(Dic2024!$K$6:$K$205,C646)))*(A646-6*C646)/6))</f>
        <v>0.0447958105991385</v>
      </c>
      <c r="H646" s="12" t="n">
        <f aca="false">G646^(-1/B646)-1</f>
        <v>0.0597673024999998</v>
      </c>
      <c r="I646" s="12" t="n">
        <f aca="false">(1+H646)^(1/12)-1</f>
        <v>0.00484916584071904</v>
      </c>
      <c r="J646" s="16" t="n">
        <f aca="false">IF(C646=0,(1+Dic2024!$M$6)^(-B646),EXP(LN(INDEX(Dic2024!$N$6:$N$205,C646))+(LN(INDEX(Dic2024!$N$6:$N$205,MIN(C646+1,200)))-LN(INDEX(Dic2024!$N$6:$N$205,C646)))*(A646-6*C646)/6))</f>
        <v>0.0447958105991385</v>
      </c>
      <c r="K646" s="12" t="n">
        <f aca="false">J646^(-1/B646)-1</f>
        <v>0.0597673024999998</v>
      </c>
      <c r="L646" s="12" t="n">
        <f aca="false">(1+K646)^(1/12)-1</f>
        <v>0.00484916584071904</v>
      </c>
    </row>
    <row r="647" customFormat="false" ht="15" hidden="false" customHeight="false" outlineLevel="0" collapsed="false">
      <c r="A647" s="4" t="n">
        <v>643</v>
      </c>
      <c r="B647" s="14" t="n">
        <f aca="false">A647/12</f>
        <v>53.5833333333333</v>
      </c>
      <c r="C647" s="15" t="n">
        <f aca="false">INT(A647/6)</f>
        <v>107</v>
      </c>
      <c r="D647" s="16" t="n">
        <f aca="false">IF(C647=0,(1+Dic2024!$G$6)^(-B647),EXP(LN(INDEX(Dic2024!$H$6:$H$205,C647))+(LN(INDEX(Dic2024!$H$6:$H$205,MIN(C647+1,200)))-LN(INDEX(Dic2024!$H$6:$H$205,C647)))*(A647-6*C647)/6))</f>
        <v>0.0445406806337935</v>
      </c>
      <c r="E647" s="12" t="n">
        <f aca="false">D647^(-1/B647)-1</f>
        <v>0.059784593138732</v>
      </c>
      <c r="F647" s="12" t="n">
        <f aca="false">(1+E647)^(1/12)-1</f>
        <v>0.00485053204896913</v>
      </c>
      <c r="G647" s="16" t="n">
        <f aca="false">IF(C647=0,(1+Dic2024!$J$6)^(-B647),EXP(LN(INDEX(Dic2024!$K$6:$K$205,C647))+(LN(INDEX(Dic2024!$K$6:$K$205,MIN(C647+1,200)))-LN(INDEX(Dic2024!$K$6:$K$205,C647)))*(A647-6*C647)/6))</f>
        <v>0.0445406806337935</v>
      </c>
      <c r="H647" s="12" t="n">
        <f aca="false">G647^(-1/B647)-1</f>
        <v>0.059784593138732</v>
      </c>
      <c r="I647" s="12" t="n">
        <f aca="false">(1+H647)^(1/12)-1</f>
        <v>0.00485053204896913</v>
      </c>
      <c r="J647" s="16" t="n">
        <f aca="false">IF(C647=0,(1+Dic2024!$M$6)^(-B647),EXP(LN(INDEX(Dic2024!$N$6:$N$205,C647))+(LN(INDEX(Dic2024!$N$6:$N$205,MIN(C647+1,200)))-LN(INDEX(Dic2024!$N$6:$N$205,C647)))*(A647-6*C647)/6))</f>
        <v>0.0445406806337935</v>
      </c>
      <c r="K647" s="12" t="n">
        <f aca="false">J647^(-1/B647)-1</f>
        <v>0.059784593138732</v>
      </c>
      <c r="L647" s="12" t="n">
        <f aca="false">(1+K647)^(1/12)-1</f>
        <v>0.00485053204896913</v>
      </c>
    </row>
    <row r="648" customFormat="false" ht="15" hidden="false" customHeight="false" outlineLevel="0" collapsed="false">
      <c r="A648" s="4" t="n">
        <v>644</v>
      </c>
      <c r="B648" s="14" t="n">
        <f aca="false">A648/12</f>
        <v>53.6666666666667</v>
      </c>
      <c r="C648" s="15" t="n">
        <f aca="false">INT(A648/6)</f>
        <v>107</v>
      </c>
      <c r="D648" s="16" t="n">
        <f aca="false">IF(C648=0,(1+Dic2024!$G$6)^(-B648),EXP(LN(INDEX(Dic2024!$H$6:$H$205,C648))+(LN(INDEX(Dic2024!$H$6:$H$205,MIN(C648+1,200)))-LN(INDEX(Dic2024!$H$6:$H$205,C648)))*(A648-6*C648)/6))</f>
        <v>0.0442870037351158</v>
      </c>
      <c r="E648" s="12" t="n">
        <f aca="false">D648^(-1/B648)-1</f>
        <v>0.0598018303606209</v>
      </c>
      <c r="F648" s="12" t="n">
        <f aca="false">(1+E648)^(1/12)-1</f>
        <v>0.00485189401618547</v>
      </c>
      <c r="G648" s="16" t="n">
        <f aca="false">IF(C648=0,(1+Dic2024!$J$6)^(-B648),EXP(LN(INDEX(Dic2024!$K$6:$K$205,C648))+(LN(INDEX(Dic2024!$K$6:$K$205,MIN(C648+1,200)))-LN(INDEX(Dic2024!$K$6:$K$205,C648)))*(A648-6*C648)/6))</f>
        <v>0.0442870037351158</v>
      </c>
      <c r="H648" s="12" t="n">
        <f aca="false">G648^(-1/B648)-1</f>
        <v>0.0598018303606209</v>
      </c>
      <c r="I648" s="12" t="n">
        <f aca="false">(1+H648)^(1/12)-1</f>
        <v>0.00485189401618547</v>
      </c>
      <c r="J648" s="16" t="n">
        <f aca="false">IF(C648=0,(1+Dic2024!$M$6)^(-B648),EXP(LN(INDEX(Dic2024!$N$6:$N$205,C648))+(LN(INDEX(Dic2024!$N$6:$N$205,MIN(C648+1,200)))-LN(INDEX(Dic2024!$N$6:$N$205,C648)))*(A648-6*C648)/6))</f>
        <v>0.0442870037351158</v>
      </c>
      <c r="K648" s="12" t="n">
        <f aca="false">J648^(-1/B648)-1</f>
        <v>0.0598018303606209</v>
      </c>
      <c r="L648" s="12" t="n">
        <f aca="false">(1+K648)^(1/12)-1</f>
        <v>0.00485189401618547</v>
      </c>
    </row>
    <row r="649" customFormat="false" ht="15" hidden="false" customHeight="false" outlineLevel="0" collapsed="false">
      <c r="A649" s="4" t="n">
        <v>645</v>
      </c>
      <c r="B649" s="14" t="n">
        <f aca="false">A649/12</f>
        <v>53.75</v>
      </c>
      <c r="C649" s="15" t="n">
        <f aca="false">INT(A649/6)</f>
        <v>107</v>
      </c>
      <c r="D649" s="16" t="n">
        <f aca="false">IF(C649=0,(1+Dic2024!$G$6)^(-B649),EXP(LN(INDEX(Dic2024!$H$6:$H$205,C649))+(LN(INDEX(Dic2024!$H$6:$H$205,MIN(C649+1,200)))-LN(INDEX(Dic2024!$H$6:$H$205,C649)))*(A649-6*C649)/6))</f>
        <v>0.0440347716273127</v>
      </c>
      <c r="E649" s="12" t="n">
        <f aca="false">D649^(-1/B649)-1</f>
        <v>0.0598190144128177</v>
      </c>
      <c r="F649" s="12" t="n">
        <f aca="false">(1+E649)^(1/12)-1</f>
        <v>0.00485325176208495</v>
      </c>
      <c r="G649" s="16" t="n">
        <f aca="false">IF(C649=0,(1+Dic2024!$J$6)^(-B649),EXP(LN(INDEX(Dic2024!$K$6:$K$205,C649))+(LN(INDEX(Dic2024!$K$6:$K$205,MIN(C649+1,200)))-LN(INDEX(Dic2024!$K$6:$K$205,C649)))*(A649-6*C649)/6))</f>
        <v>0.0440347716273127</v>
      </c>
      <c r="H649" s="12" t="n">
        <f aca="false">G649^(-1/B649)-1</f>
        <v>0.0598190144128177</v>
      </c>
      <c r="I649" s="12" t="n">
        <f aca="false">(1+H649)^(1/12)-1</f>
        <v>0.00485325176208495</v>
      </c>
      <c r="J649" s="16" t="n">
        <f aca="false">IF(C649=0,(1+Dic2024!$M$6)^(-B649),EXP(LN(INDEX(Dic2024!$N$6:$N$205,C649))+(LN(INDEX(Dic2024!$N$6:$N$205,MIN(C649+1,200)))-LN(INDEX(Dic2024!$N$6:$N$205,C649)))*(A649-6*C649)/6))</f>
        <v>0.0440347716273127</v>
      </c>
      <c r="K649" s="12" t="n">
        <f aca="false">J649^(-1/B649)-1</f>
        <v>0.0598190144128177</v>
      </c>
      <c r="L649" s="12" t="n">
        <f aca="false">(1+K649)^(1/12)-1</f>
        <v>0.00485325176208495</v>
      </c>
    </row>
    <row r="650" customFormat="false" ht="15" hidden="false" customHeight="false" outlineLevel="0" collapsed="false">
      <c r="A650" s="4" t="n">
        <v>646</v>
      </c>
      <c r="B650" s="14" t="n">
        <f aca="false">A650/12</f>
        <v>53.8333333333333</v>
      </c>
      <c r="C650" s="15" t="n">
        <f aca="false">INT(A650/6)</f>
        <v>107</v>
      </c>
      <c r="D650" s="16" t="n">
        <f aca="false">IF(C650=0,(1+Dic2024!$G$6)^(-B650),EXP(LN(INDEX(Dic2024!$H$6:$H$205,C650))+(LN(INDEX(Dic2024!$H$6:$H$205,MIN(C650+1,200)))-LN(INDEX(Dic2024!$H$6:$H$205,C650)))*(A650-6*C650)/6))</f>
        <v>0.043783976081725</v>
      </c>
      <c r="E650" s="12" t="n">
        <f aca="false">D650^(-1/B650)-1</f>
        <v>0.0598361455409509</v>
      </c>
      <c r="F650" s="12" t="n">
        <f aca="false">(1+E650)^(1/12)-1</f>
        <v>0.00485460530626281</v>
      </c>
      <c r="G650" s="16" t="n">
        <f aca="false">IF(C650=0,(1+Dic2024!$J$6)^(-B650),EXP(LN(INDEX(Dic2024!$K$6:$K$205,C650))+(LN(INDEX(Dic2024!$K$6:$K$205,MIN(C650+1,200)))-LN(INDEX(Dic2024!$K$6:$K$205,C650)))*(A650-6*C650)/6))</f>
        <v>0.043783976081725</v>
      </c>
      <c r="H650" s="12" t="n">
        <f aca="false">G650^(-1/B650)-1</f>
        <v>0.0598361455409509</v>
      </c>
      <c r="I650" s="12" t="n">
        <f aca="false">(1+H650)^(1/12)-1</f>
        <v>0.00485460530626281</v>
      </c>
      <c r="J650" s="16" t="n">
        <f aca="false">IF(C650=0,(1+Dic2024!$M$6)^(-B650),EXP(LN(INDEX(Dic2024!$N$6:$N$205,C650))+(LN(INDEX(Dic2024!$N$6:$N$205,MIN(C650+1,200)))-LN(INDEX(Dic2024!$N$6:$N$205,C650)))*(A650-6*C650)/6))</f>
        <v>0.043783976081725</v>
      </c>
      <c r="K650" s="12" t="n">
        <f aca="false">J650^(-1/B650)-1</f>
        <v>0.0598361455409509</v>
      </c>
      <c r="L650" s="12" t="n">
        <f aca="false">(1+K650)^(1/12)-1</f>
        <v>0.00485460530626281</v>
      </c>
    </row>
    <row r="651" customFormat="false" ht="15" hidden="false" customHeight="false" outlineLevel="0" collapsed="false">
      <c r="A651" s="4" t="n">
        <v>647</v>
      </c>
      <c r="B651" s="14" t="n">
        <f aca="false">A651/12</f>
        <v>53.9166666666667</v>
      </c>
      <c r="C651" s="15" t="n">
        <f aca="false">INT(A651/6)</f>
        <v>107</v>
      </c>
      <c r="D651" s="16" t="n">
        <f aca="false">IF(C651=0,(1+Dic2024!$G$6)^(-B651),EXP(LN(INDEX(Dic2024!$H$6:$H$205,C651))+(LN(INDEX(Dic2024!$H$6:$H$205,MIN(C651+1,200)))-LN(INDEX(Dic2024!$H$6:$H$205,C651)))*(A651-6*C651)/6))</f>
        <v>0.0435346089165596</v>
      </c>
      <c r="E651" s="12" t="n">
        <f aca="false">D651^(-1/B651)-1</f>
        <v>0.0598532239891387</v>
      </c>
      <c r="F651" s="12" t="n">
        <f aca="false">(1+E651)^(1/12)-1</f>
        <v>0.004855954668193</v>
      </c>
      <c r="G651" s="16" t="n">
        <f aca="false">IF(C651=0,(1+Dic2024!$J$6)^(-B651),EXP(LN(INDEX(Dic2024!$K$6:$K$205,C651))+(LN(INDEX(Dic2024!$K$6:$K$205,MIN(C651+1,200)))-LN(INDEX(Dic2024!$K$6:$K$205,C651)))*(A651-6*C651)/6))</f>
        <v>0.0435346089165596</v>
      </c>
      <c r="H651" s="12" t="n">
        <f aca="false">G651^(-1/B651)-1</f>
        <v>0.0598532239891387</v>
      </c>
      <c r="I651" s="12" t="n">
        <f aca="false">(1+H651)^(1/12)-1</f>
        <v>0.004855954668193</v>
      </c>
      <c r="J651" s="16" t="n">
        <f aca="false">IF(C651=0,(1+Dic2024!$M$6)^(-B651),EXP(LN(INDEX(Dic2024!$N$6:$N$205,C651))+(LN(INDEX(Dic2024!$N$6:$N$205,MIN(C651+1,200)))-LN(INDEX(Dic2024!$N$6:$N$205,C651)))*(A651-6*C651)/6))</f>
        <v>0.0435346089165596</v>
      </c>
      <c r="K651" s="12" t="n">
        <f aca="false">J651^(-1/B651)-1</f>
        <v>0.0598532239891387</v>
      </c>
      <c r="L651" s="12" t="n">
        <f aca="false">(1+K651)^(1/12)-1</f>
        <v>0.004855954668193</v>
      </c>
    </row>
    <row r="652" customFormat="false" ht="15" hidden="false" customHeight="false" outlineLevel="0" collapsed="false">
      <c r="A652" s="4" t="n">
        <v>648</v>
      </c>
      <c r="B652" s="14" t="n">
        <f aca="false">A652/12</f>
        <v>54</v>
      </c>
      <c r="C652" s="15" t="n">
        <f aca="false">INT(A652/6)</f>
        <v>108</v>
      </c>
      <c r="D652" s="16" t="n">
        <f aca="false">IF(C652=0,(1+Dic2024!$G$6)^(-B652),EXP(LN(INDEX(Dic2024!$H$6:$H$205,C652))+(LN(INDEX(Dic2024!$H$6:$H$205,MIN(C652+1,200)))-LN(INDEX(Dic2024!$H$6:$H$205,C652)))*(A652-6*C652)/6))</f>
        <v>0.0432866619966214</v>
      </c>
      <c r="E652" s="12" t="n">
        <f aca="false">D652^(-1/B652)-1</f>
        <v>0.0598702500000001</v>
      </c>
      <c r="F652" s="12" t="n">
        <f aca="false">(1+E652)^(1/12)-1</f>
        <v>0.0048572998672296</v>
      </c>
      <c r="G652" s="16" t="n">
        <f aca="false">IF(C652=0,(1+Dic2024!$J$6)^(-B652),EXP(LN(INDEX(Dic2024!$K$6:$K$205,C652))+(LN(INDEX(Dic2024!$K$6:$K$205,MIN(C652+1,200)))-LN(INDEX(Dic2024!$K$6:$K$205,C652)))*(A652-6*C652)/6))</f>
        <v>0.0432866619966214</v>
      </c>
      <c r="H652" s="12" t="n">
        <f aca="false">G652^(-1/B652)-1</f>
        <v>0.0598702500000001</v>
      </c>
      <c r="I652" s="12" t="n">
        <f aca="false">(1+H652)^(1/12)-1</f>
        <v>0.0048572998672296</v>
      </c>
      <c r="J652" s="16" t="n">
        <f aca="false">IF(C652=0,(1+Dic2024!$M$6)^(-B652),EXP(LN(INDEX(Dic2024!$N$6:$N$205,C652))+(LN(INDEX(Dic2024!$N$6:$N$205,MIN(C652+1,200)))-LN(INDEX(Dic2024!$N$6:$N$205,C652)))*(A652-6*C652)/6))</f>
        <v>0.0432866619966214</v>
      </c>
      <c r="K652" s="12" t="n">
        <f aca="false">J652^(-1/B652)-1</f>
        <v>0.0598702500000001</v>
      </c>
      <c r="L652" s="12" t="n">
        <f aca="false">(1+K652)^(1/12)-1</f>
        <v>0.0048572998672296</v>
      </c>
    </row>
    <row r="653" customFormat="false" ht="15" hidden="false" customHeight="false" outlineLevel="0" collapsed="false">
      <c r="A653" s="4" t="n">
        <v>649</v>
      </c>
      <c r="B653" s="14" t="n">
        <f aca="false">A653/12</f>
        <v>54.0833333333333</v>
      </c>
      <c r="C653" s="15" t="n">
        <f aca="false">INT(A653/6)</f>
        <v>108</v>
      </c>
      <c r="D653" s="16" t="n">
        <f aca="false">IF(C653=0,(1+Dic2024!$G$6)^(-B653),EXP(LN(INDEX(Dic2024!$H$6:$H$205,C653))+(LN(INDEX(Dic2024!$H$6:$H$205,MIN(C653+1,200)))-LN(INDEX(Dic2024!$H$6:$H$205,C653)))*(A653-6*C653)/6))</f>
        <v>0.0430774220402647</v>
      </c>
      <c r="E653" s="12" t="n">
        <f aca="false">D653^(-1/B653)-1</f>
        <v>0.0598702500000001</v>
      </c>
      <c r="F653" s="12" t="n">
        <f aca="false">(1+E653)^(1/12)-1</f>
        <v>0.0048572998672296</v>
      </c>
      <c r="G653" s="16" t="n">
        <f aca="false">IF(C653=0,(1+Dic2024!$J$6)^(-B653),EXP(LN(INDEX(Dic2024!$K$6:$K$205,C653))+(LN(INDEX(Dic2024!$K$6:$K$205,MIN(C653+1,200)))-LN(INDEX(Dic2024!$K$6:$K$205,C653)))*(A653-6*C653)/6))</f>
        <v>0.0430774220402647</v>
      </c>
      <c r="H653" s="12" t="n">
        <f aca="false">G653^(-1/B653)-1</f>
        <v>0.0598702500000001</v>
      </c>
      <c r="I653" s="12" t="n">
        <f aca="false">(1+H653)^(1/12)-1</f>
        <v>0.0048572998672296</v>
      </c>
      <c r="J653" s="16" t="n">
        <f aca="false">IF(C653=0,(1+Dic2024!$M$6)^(-B653),EXP(LN(INDEX(Dic2024!$N$6:$N$205,C653))+(LN(INDEX(Dic2024!$N$6:$N$205,MIN(C653+1,200)))-LN(INDEX(Dic2024!$N$6:$N$205,C653)))*(A653-6*C653)/6))</f>
        <v>0.0430774220402647</v>
      </c>
      <c r="K653" s="12" t="n">
        <f aca="false">J653^(-1/B653)-1</f>
        <v>0.0598702500000001</v>
      </c>
      <c r="L653" s="12" t="n">
        <f aca="false">(1+K653)^(1/12)-1</f>
        <v>0.0048572998672296</v>
      </c>
    </row>
    <row r="654" customFormat="false" ht="15" hidden="false" customHeight="false" outlineLevel="0" collapsed="false">
      <c r="A654" s="4" t="n">
        <v>650</v>
      </c>
      <c r="B654" s="14" t="n">
        <f aca="false">A654/12</f>
        <v>54.1666666666667</v>
      </c>
      <c r="C654" s="15" t="n">
        <f aca="false">INT(A654/6)</f>
        <v>108</v>
      </c>
      <c r="D654" s="16" t="n">
        <f aca="false">IF(C654=0,(1+Dic2024!$G$6)^(-B654),EXP(LN(INDEX(Dic2024!$H$6:$H$205,C654))+(LN(INDEX(Dic2024!$H$6:$H$205,MIN(C654+1,200)))-LN(INDEX(Dic2024!$H$6:$H$205,C654)))*(A654-6*C654)/6))</f>
        <v>0.0428691935123091</v>
      </c>
      <c r="E654" s="12" t="n">
        <f aca="false">D654^(-1/B654)-1</f>
        <v>0.0598702500000001</v>
      </c>
      <c r="F654" s="12" t="n">
        <f aca="false">(1+E654)^(1/12)-1</f>
        <v>0.0048572998672296</v>
      </c>
      <c r="G654" s="16" t="n">
        <f aca="false">IF(C654=0,(1+Dic2024!$J$6)^(-B654),EXP(LN(INDEX(Dic2024!$K$6:$K$205,C654))+(LN(INDEX(Dic2024!$K$6:$K$205,MIN(C654+1,200)))-LN(INDEX(Dic2024!$K$6:$K$205,C654)))*(A654-6*C654)/6))</f>
        <v>0.0428691935123091</v>
      </c>
      <c r="H654" s="12" t="n">
        <f aca="false">G654^(-1/B654)-1</f>
        <v>0.0598702500000001</v>
      </c>
      <c r="I654" s="12" t="n">
        <f aca="false">(1+H654)^(1/12)-1</f>
        <v>0.0048572998672296</v>
      </c>
      <c r="J654" s="16" t="n">
        <f aca="false">IF(C654=0,(1+Dic2024!$M$6)^(-B654),EXP(LN(INDEX(Dic2024!$N$6:$N$205,C654))+(LN(INDEX(Dic2024!$N$6:$N$205,MIN(C654+1,200)))-LN(INDEX(Dic2024!$N$6:$N$205,C654)))*(A654-6*C654)/6))</f>
        <v>0.0428691935123091</v>
      </c>
      <c r="K654" s="12" t="n">
        <f aca="false">J654^(-1/B654)-1</f>
        <v>0.0598702500000001</v>
      </c>
      <c r="L654" s="12" t="n">
        <f aca="false">(1+K654)^(1/12)-1</f>
        <v>0.0048572998672296</v>
      </c>
    </row>
    <row r="655" customFormat="false" ht="15" hidden="false" customHeight="false" outlineLevel="0" collapsed="false">
      <c r="A655" s="4" t="n">
        <v>651</v>
      </c>
      <c r="B655" s="14" t="n">
        <f aca="false">A655/12</f>
        <v>54.25</v>
      </c>
      <c r="C655" s="15" t="n">
        <f aca="false">INT(A655/6)</f>
        <v>108</v>
      </c>
      <c r="D655" s="16" t="n">
        <f aca="false">IF(C655=0,(1+Dic2024!$G$6)^(-B655),EXP(LN(INDEX(Dic2024!$H$6:$H$205,C655))+(LN(INDEX(Dic2024!$H$6:$H$205,MIN(C655+1,200)))-LN(INDEX(Dic2024!$H$6:$H$205,C655)))*(A655-6*C655)/6))</f>
        <v>0.0426619715236913</v>
      </c>
      <c r="E655" s="12" t="n">
        <f aca="false">D655^(-1/B655)-1</f>
        <v>0.0598702500000001</v>
      </c>
      <c r="F655" s="12" t="n">
        <f aca="false">(1+E655)^(1/12)-1</f>
        <v>0.0048572998672296</v>
      </c>
      <c r="G655" s="16" t="n">
        <f aca="false">IF(C655=0,(1+Dic2024!$J$6)^(-B655),EXP(LN(INDEX(Dic2024!$K$6:$K$205,C655))+(LN(INDEX(Dic2024!$K$6:$K$205,MIN(C655+1,200)))-LN(INDEX(Dic2024!$K$6:$K$205,C655)))*(A655-6*C655)/6))</f>
        <v>0.0426619715236913</v>
      </c>
      <c r="H655" s="12" t="n">
        <f aca="false">G655^(-1/B655)-1</f>
        <v>0.0598702500000001</v>
      </c>
      <c r="I655" s="12" t="n">
        <f aca="false">(1+H655)^(1/12)-1</f>
        <v>0.0048572998672296</v>
      </c>
      <c r="J655" s="16" t="n">
        <f aca="false">IF(C655=0,(1+Dic2024!$M$6)^(-B655),EXP(LN(INDEX(Dic2024!$N$6:$N$205,C655))+(LN(INDEX(Dic2024!$N$6:$N$205,MIN(C655+1,200)))-LN(INDEX(Dic2024!$N$6:$N$205,C655)))*(A655-6*C655)/6))</f>
        <v>0.0426619715236913</v>
      </c>
      <c r="K655" s="12" t="n">
        <f aca="false">J655^(-1/B655)-1</f>
        <v>0.0598702500000001</v>
      </c>
      <c r="L655" s="12" t="n">
        <f aca="false">(1+K655)^(1/12)-1</f>
        <v>0.0048572998672296</v>
      </c>
    </row>
    <row r="656" customFormat="false" ht="15" hidden="false" customHeight="false" outlineLevel="0" collapsed="false">
      <c r="A656" s="4" t="n">
        <v>652</v>
      </c>
      <c r="B656" s="14" t="n">
        <f aca="false">A656/12</f>
        <v>54.3333333333333</v>
      </c>
      <c r="C656" s="15" t="n">
        <f aca="false">INT(A656/6)</f>
        <v>108</v>
      </c>
      <c r="D656" s="16" t="n">
        <f aca="false">IF(C656=0,(1+Dic2024!$G$6)^(-B656),EXP(LN(INDEX(Dic2024!$H$6:$H$205,C656))+(LN(INDEX(Dic2024!$H$6:$H$205,MIN(C656+1,200)))-LN(INDEX(Dic2024!$H$6:$H$205,C656)))*(A656-6*C656)/6))</f>
        <v>0.0424557512089808</v>
      </c>
      <c r="E656" s="12" t="n">
        <f aca="false">D656^(-1/B656)-1</f>
        <v>0.0598702500000001</v>
      </c>
      <c r="F656" s="12" t="n">
        <f aca="false">(1+E656)^(1/12)-1</f>
        <v>0.0048572998672296</v>
      </c>
      <c r="G656" s="16" t="n">
        <f aca="false">IF(C656=0,(1+Dic2024!$J$6)^(-B656),EXP(LN(INDEX(Dic2024!$K$6:$K$205,C656))+(LN(INDEX(Dic2024!$K$6:$K$205,MIN(C656+1,200)))-LN(INDEX(Dic2024!$K$6:$K$205,C656)))*(A656-6*C656)/6))</f>
        <v>0.0424557512089808</v>
      </c>
      <c r="H656" s="12" t="n">
        <f aca="false">G656^(-1/B656)-1</f>
        <v>0.0598702500000001</v>
      </c>
      <c r="I656" s="12" t="n">
        <f aca="false">(1+H656)^(1/12)-1</f>
        <v>0.0048572998672296</v>
      </c>
      <c r="J656" s="16" t="n">
        <f aca="false">IF(C656=0,(1+Dic2024!$M$6)^(-B656),EXP(LN(INDEX(Dic2024!$N$6:$N$205,C656))+(LN(INDEX(Dic2024!$N$6:$N$205,MIN(C656+1,200)))-LN(INDEX(Dic2024!$N$6:$N$205,C656)))*(A656-6*C656)/6))</f>
        <v>0.0424557512089808</v>
      </c>
      <c r="K656" s="12" t="n">
        <f aca="false">J656^(-1/B656)-1</f>
        <v>0.0598702500000001</v>
      </c>
      <c r="L656" s="12" t="n">
        <f aca="false">(1+K656)^(1/12)-1</f>
        <v>0.0048572998672296</v>
      </c>
    </row>
    <row r="657" customFormat="false" ht="15" hidden="false" customHeight="false" outlineLevel="0" collapsed="false">
      <c r="A657" s="4" t="n">
        <v>653</v>
      </c>
      <c r="B657" s="14" t="n">
        <f aca="false">A657/12</f>
        <v>54.4166666666667</v>
      </c>
      <c r="C657" s="15" t="n">
        <f aca="false">INT(A657/6)</f>
        <v>108</v>
      </c>
      <c r="D657" s="16" t="n">
        <f aca="false">IF(C657=0,(1+Dic2024!$G$6)^(-B657),EXP(LN(INDEX(Dic2024!$H$6:$H$205,C657))+(LN(INDEX(Dic2024!$H$6:$H$205,MIN(C657+1,200)))-LN(INDEX(Dic2024!$H$6:$H$205,C657)))*(A657-6*C657)/6))</f>
        <v>0.0422505277262656</v>
      </c>
      <c r="E657" s="12" t="n">
        <f aca="false">D657^(-1/B657)-1</f>
        <v>0.0598702500000001</v>
      </c>
      <c r="F657" s="12" t="n">
        <f aca="false">(1+E657)^(1/12)-1</f>
        <v>0.0048572998672296</v>
      </c>
      <c r="G657" s="16" t="n">
        <f aca="false">IF(C657=0,(1+Dic2024!$J$6)^(-B657),EXP(LN(INDEX(Dic2024!$K$6:$K$205,C657))+(LN(INDEX(Dic2024!$K$6:$K$205,MIN(C657+1,200)))-LN(INDEX(Dic2024!$K$6:$K$205,C657)))*(A657-6*C657)/6))</f>
        <v>0.0422505277262656</v>
      </c>
      <c r="H657" s="12" t="n">
        <f aca="false">G657^(-1/B657)-1</f>
        <v>0.0598702500000001</v>
      </c>
      <c r="I657" s="12" t="n">
        <f aca="false">(1+H657)^(1/12)-1</f>
        <v>0.0048572998672296</v>
      </c>
      <c r="J657" s="16" t="n">
        <f aca="false">IF(C657=0,(1+Dic2024!$M$6)^(-B657),EXP(LN(INDEX(Dic2024!$N$6:$N$205,C657))+(LN(INDEX(Dic2024!$N$6:$N$205,MIN(C657+1,200)))-LN(INDEX(Dic2024!$N$6:$N$205,C657)))*(A657-6*C657)/6))</f>
        <v>0.0422505277262656</v>
      </c>
      <c r="K657" s="12" t="n">
        <f aca="false">J657^(-1/B657)-1</f>
        <v>0.0598702500000001</v>
      </c>
      <c r="L657" s="12" t="n">
        <f aca="false">(1+K657)^(1/12)-1</f>
        <v>0.0048572998672296</v>
      </c>
    </row>
    <row r="658" customFormat="false" ht="15" hidden="false" customHeight="false" outlineLevel="0" collapsed="false">
      <c r="A658" s="4" t="n">
        <v>654</v>
      </c>
      <c r="B658" s="14" t="n">
        <f aca="false">A658/12</f>
        <v>54.5</v>
      </c>
      <c r="C658" s="15" t="n">
        <f aca="false">INT(A658/6)</f>
        <v>109</v>
      </c>
      <c r="D658" s="16" t="n">
        <f aca="false">IF(C658=0,(1+Dic2024!$G$6)^(-B658),EXP(LN(INDEX(Dic2024!$H$6:$H$205,C658))+(LN(INDEX(Dic2024!$H$6:$H$205,MIN(C658+1,200)))-LN(INDEX(Dic2024!$H$6:$H$205,C658)))*(A658-6*C658)/6))</f>
        <v>0.0420462962570388</v>
      </c>
      <c r="E658" s="12" t="n">
        <f aca="false">D658^(-1/B658)-1</f>
        <v>0.0598702500000001</v>
      </c>
      <c r="F658" s="12" t="n">
        <f aca="false">(1+E658)^(1/12)-1</f>
        <v>0.0048572998672296</v>
      </c>
      <c r="G658" s="16" t="n">
        <f aca="false">IF(C658=0,(1+Dic2024!$J$6)^(-B658),EXP(LN(INDEX(Dic2024!$K$6:$K$205,C658))+(LN(INDEX(Dic2024!$K$6:$K$205,MIN(C658+1,200)))-LN(INDEX(Dic2024!$K$6:$K$205,C658)))*(A658-6*C658)/6))</f>
        <v>0.0420462962570388</v>
      </c>
      <c r="H658" s="12" t="n">
        <f aca="false">G658^(-1/B658)-1</f>
        <v>0.0598702500000001</v>
      </c>
      <c r="I658" s="12" t="n">
        <f aca="false">(1+H658)^(1/12)-1</f>
        <v>0.0048572998672296</v>
      </c>
      <c r="J658" s="16" t="n">
        <f aca="false">IF(C658=0,(1+Dic2024!$M$6)^(-B658),EXP(LN(INDEX(Dic2024!$N$6:$N$205,C658))+(LN(INDEX(Dic2024!$N$6:$N$205,MIN(C658+1,200)))-LN(INDEX(Dic2024!$N$6:$N$205,C658)))*(A658-6*C658)/6))</f>
        <v>0.0420462962570388</v>
      </c>
      <c r="K658" s="12" t="n">
        <f aca="false">J658^(-1/B658)-1</f>
        <v>0.0598702500000001</v>
      </c>
      <c r="L658" s="12" t="n">
        <f aca="false">(1+K658)^(1/12)-1</f>
        <v>0.0048572998672296</v>
      </c>
    </row>
    <row r="659" customFormat="false" ht="15" hidden="false" customHeight="false" outlineLevel="0" collapsed="false">
      <c r="A659" s="4" t="n">
        <v>655</v>
      </c>
      <c r="B659" s="14" t="n">
        <f aca="false">A659/12</f>
        <v>54.5833333333333</v>
      </c>
      <c r="C659" s="15" t="n">
        <f aca="false">INT(A659/6)</f>
        <v>109</v>
      </c>
      <c r="D659" s="16" t="n">
        <f aca="false">IF(C659=0,(1+Dic2024!$G$6)^(-B659),EXP(LN(INDEX(Dic2024!$H$6:$H$205,C659))+(LN(INDEX(Dic2024!$H$6:$H$205,MIN(C659+1,200)))-LN(INDEX(Dic2024!$H$6:$H$205,C659)))*(A659-6*C659)/6))</f>
        <v>0.0418430520060851</v>
      </c>
      <c r="E659" s="12" t="n">
        <f aca="false">D659^(-1/B659)-1</f>
        <v>0.0598702500000001</v>
      </c>
      <c r="F659" s="12" t="n">
        <f aca="false">(1+E659)^(1/12)-1</f>
        <v>0.0048572998672296</v>
      </c>
      <c r="G659" s="16" t="n">
        <f aca="false">IF(C659=0,(1+Dic2024!$J$6)^(-B659),EXP(LN(INDEX(Dic2024!$K$6:$K$205,C659))+(LN(INDEX(Dic2024!$K$6:$K$205,MIN(C659+1,200)))-LN(INDEX(Dic2024!$K$6:$K$205,C659)))*(A659-6*C659)/6))</f>
        <v>0.0418430520060851</v>
      </c>
      <c r="H659" s="12" t="n">
        <f aca="false">G659^(-1/B659)-1</f>
        <v>0.0598702500000001</v>
      </c>
      <c r="I659" s="12" t="n">
        <f aca="false">(1+H659)^(1/12)-1</f>
        <v>0.0048572998672296</v>
      </c>
      <c r="J659" s="16" t="n">
        <f aca="false">IF(C659=0,(1+Dic2024!$M$6)^(-B659),EXP(LN(INDEX(Dic2024!$N$6:$N$205,C659))+(LN(INDEX(Dic2024!$N$6:$N$205,MIN(C659+1,200)))-LN(INDEX(Dic2024!$N$6:$N$205,C659)))*(A659-6*C659)/6))</f>
        <v>0.0418430520060851</v>
      </c>
      <c r="K659" s="12" t="n">
        <f aca="false">J659^(-1/B659)-1</f>
        <v>0.0598702500000001</v>
      </c>
      <c r="L659" s="12" t="n">
        <f aca="false">(1+K659)^(1/12)-1</f>
        <v>0.0048572998672296</v>
      </c>
    </row>
    <row r="660" customFormat="false" ht="15" hidden="false" customHeight="false" outlineLevel="0" collapsed="false">
      <c r="A660" s="4" t="n">
        <v>656</v>
      </c>
      <c r="B660" s="14" t="n">
        <f aca="false">A660/12</f>
        <v>54.6666666666667</v>
      </c>
      <c r="C660" s="15" t="n">
        <f aca="false">INT(A660/6)</f>
        <v>109</v>
      </c>
      <c r="D660" s="16" t="n">
        <f aca="false">IF(C660=0,(1+Dic2024!$G$6)^(-B660),EXP(LN(INDEX(Dic2024!$H$6:$H$205,C660))+(LN(INDEX(Dic2024!$H$6:$H$205,MIN(C660+1,200)))-LN(INDEX(Dic2024!$H$6:$H$205,C660)))*(A660-6*C660)/6))</f>
        <v>0.0416407902013687</v>
      </c>
      <c r="E660" s="12" t="n">
        <f aca="false">D660^(-1/B660)-1</f>
        <v>0.0598702500000001</v>
      </c>
      <c r="F660" s="12" t="n">
        <f aca="false">(1+E660)^(1/12)-1</f>
        <v>0.0048572998672296</v>
      </c>
      <c r="G660" s="16" t="n">
        <f aca="false">IF(C660=0,(1+Dic2024!$J$6)^(-B660),EXP(LN(INDEX(Dic2024!$K$6:$K$205,C660))+(LN(INDEX(Dic2024!$K$6:$K$205,MIN(C660+1,200)))-LN(INDEX(Dic2024!$K$6:$K$205,C660)))*(A660-6*C660)/6))</f>
        <v>0.0416407902013687</v>
      </c>
      <c r="H660" s="12" t="n">
        <f aca="false">G660^(-1/B660)-1</f>
        <v>0.0598702500000001</v>
      </c>
      <c r="I660" s="12" t="n">
        <f aca="false">(1+H660)^(1/12)-1</f>
        <v>0.0048572998672296</v>
      </c>
      <c r="J660" s="16" t="n">
        <f aca="false">IF(C660=0,(1+Dic2024!$M$6)^(-B660),EXP(LN(INDEX(Dic2024!$N$6:$N$205,C660))+(LN(INDEX(Dic2024!$N$6:$N$205,MIN(C660+1,200)))-LN(INDEX(Dic2024!$N$6:$N$205,C660)))*(A660-6*C660)/6))</f>
        <v>0.0416407902013687</v>
      </c>
      <c r="K660" s="12" t="n">
        <f aca="false">J660^(-1/B660)-1</f>
        <v>0.0598702500000001</v>
      </c>
      <c r="L660" s="12" t="n">
        <f aca="false">(1+K660)^(1/12)-1</f>
        <v>0.0048572998672296</v>
      </c>
    </row>
    <row r="661" customFormat="false" ht="15" hidden="false" customHeight="false" outlineLevel="0" collapsed="false">
      <c r="A661" s="4" t="n">
        <v>657</v>
      </c>
      <c r="B661" s="14" t="n">
        <f aca="false">A661/12</f>
        <v>54.75</v>
      </c>
      <c r="C661" s="15" t="n">
        <f aca="false">INT(A661/6)</f>
        <v>109</v>
      </c>
      <c r="D661" s="16" t="n">
        <f aca="false">IF(C661=0,(1+Dic2024!$G$6)^(-B661),EXP(LN(INDEX(Dic2024!$H$6:$H$205,C661))+(LN(INDEX(Dic2024!$H$6:$H$205,MIN(C661+1,200)))-LN(INDEX(Dic2024!$H$6:$H$205,C661)))*(A661-6*C661)/6))</f>
        <v>0.0414395060939206</v>
      </c>
      <c r="E661" s="12" t="n">
        <f aca="false">D661^(-1/B661)-1</f>
        <v>0.0598702500000001</v>
      </c>
      <c r="F661" s="12" t="n">
        <f aca="false">(1+E661)^(1/12)-1</f>
        <v>0.0048572998672296</v>
      </c>
      <c r="G661" s="16" t="n">
        <f aca="false">IF(C661=0,(1+Dic2024!$J$6)^(-B661),EXP(LN(INDEX(Dic2024!$K$6:$K$205,C661))+(LN(INDEX(Dic2024!$K$6:$K$205,MIN(C661+1,200)))-LN(INDEX(Dic2024!$K$6:$K$205,C661)))*(A661-6*C661)/6))</f>
        <v>0.0414395060939206</v>
      </c>
      <c r="H661" s="12" t="n">
        <f aca="false">G661^(-1/B661)-1</f>
        <v>0.0598702500000001</v>
      </c>
      <c r="I661" s="12" t="n">
        <f aca="false">(1+H661)^(1/12)-1</f>
        <v>0.0048572998672296</v>
      </c>
      <c r="J661" s="16" t="n">
        <f aca="false">IF(C661=0,(1+Dic2024!$M$6)^(-B661),EXP(LN(INDEX(Dic2024!$N$6:$N$205,C661))+(LN(INDEX(Dic2024!$N$6:$N$205,MIN(C661+1,200)))-LN(INDEX(Dic2024!$N$6:$N$205,C661)))*(A661-6*C661)/6))</f>
        <v>0.0414395060939206</v>
      </c>
      <c r="K661" s="12" t="n">
        <f aca="false">J661^(-1/B661)-1</f>
        <v>0.0598702500000001</v>
      </c>
      <c r="L661" s="12" t="n">
        <f aca="false">(1+K661)^(1/12)-1</f>
        <v>0.0048572998672296</v>
      </c>
    </row>
    <row r="662" customFormat="false" ht="15" hidden="false" customHeight="false" outlineLevel="0" collapsed="false">
      <c r="A662" s="4" t="n">
        <v>658</v>
      </c>
      <c r="B662" s="14" t="n">
        <f aca="false">A662/12</f>
        <v>54.8333333333333</v>
      </c>
      <c r="C662" s="15" t="n">
        <f aca="false">INT(A662/6)</f>
        <v>109</v>
      </c>
      <c r="D662" s="16" t="n">
        <f aca="false">IF(C662=0,(1+Dic2024!$G$6)^(-B662),EXP(LN(INDEX(Dic2024!$H$6:$H$205,C662))+(LN(INDEX(Dic2024!$H$6:$H$205,MIN(C662+1,200)))-LN(INDEX(Dic2024!$H$6:$H$205,C662)))*(A662-6*C662)/6))</f>
        <v>0.0412391949577278</v>
      </c>
      <c r="E662" s="12" t="n">
        <f aca="false">D662^(-1/B662)-1</f>
        <v>0.0598702500000001</v>
      </c>
      <c r="F662" s="12" t="n">
        <f aca="false">(1+E662)^(1/12)-1</f>
        <v>0.0048572998672296</v>
      </c>
      <c r="G662" s="16" t="n">
        <f aca="false">IF(C662=0,(1+Dic2024!$J$6)^(-B662),EXP(LN(INDEX(Dic2024!$K$6:$K$205,C662))+(LN(INDEX(Dic2024!$K$6:$K$205,MIN(C662+1,200)))-LN(INDEX(Dic2024!$K$6:$K$205,C662)))*(A662-6*C662)/6))</f>
        <v>0.0412391949577278</v>
      </c>
      <c r="H662" s="12" t="n">
        <f aca="false">G662^(-1/B662)-1</f>
        <v>0.0598702500000001</v>
      </c>
      <c r="I662" s="12" t="n">
        <f aca="false">(1+H662)^(1/12)-1</f>
        <v>0.0048572998672296</v>
      </c>
      <c r="J662" s="16" t="n">
        <f aca="false">IF(C662=0,(1+Dic2024!$M$6)^(-B662),EXP(LN(INDEX(Dic2024!$N$6:$N$205,C662))+(LN(INDEX(Dic2024!$N$6:$N$205,MIN(C662+1,200)))-LN(INDEX(Dic2024!$N$6:$N$205,C662)))*(A662-6*C662)/6))</f>
        <v>0.0412391949577278</v>
      </c>
      <c r="K662" s="12" t="n">
        <f aca="false">J662^(-1/B662)-1</f>
        <v>0.0598702500000001</v>
      </c>
      <c r="L662" s="12" t="n">
        <f aca="false">(1+K662)^(1/12)-1</f>
        <v>0.0048572998672296</v>
      </c>
    </row>
    <row r="663" customFormat="false" ht="15" hidden="false" customHeight="false" outlineLevel="0" collapsed="false">
      <c r="A663" s="4" t="n">
        <v>659</v>
      </c>
      <c r="B663" s="14" t="n">
        <f aca="false">A663/12</f>
        <v>54.9166666666667</v>
      </c>
      <c r="C663" s="15" t="n">
        <f aca="false">INT(A663/6)</f>
        <v>109</v>
      </c>
      <c r="D663" s="16" t="n">
        <f aca="false">IF(C663=0,(1+Dic2024!$G$6)^(-B663),EXP(LN(INDEX(Dic2024!$H$6:$H$205,C663))+(LN(INDEX(Dic2024!$H$6:$H$205,MIN(C663+1,200)))-LN(INDEX(Dic2024!$H$6:$H$205,C663)))*(A663-6*C663)/6))</f>
        <v>0.0410398520896218</v>
      </c>
      <c r="E663" s="12" t="n">
        <f aca="false">D663^(-1/B663)-1</f>
        <v>0.0598702500000001</v>
      </c>
      <c r="F663" s="12" t="n">
        <f aca="false">(1+E663)^(1/12)-1</f>
        <v>0.0048572998672296</v>
      </c>
      <c r="G663" s="16" t="n">
        <f aca="false">IF(C663=0,(1+Dic2024!$J$6)^(-B663),EXP(LN(INDEX(Dic2024!$K$6:$K$205,C663))+(LN(INDEX(Dic2024!$K$6:$K$205,MIN(C663+1,200)))-LN(INDEX(Dic2024!$K$6:$K$205,C663)))*(A663-6*C663)/6))</f>
        <v>0.0410398520896218</v>
      </c>
      <c r="H663" s="12" t="n">
        <f aca="false">G663^(-1/B663)-1</f>
        <v>0.0598702500000001</v>
      </c>
      <c r="I663" s="12" t="n">
        <f aca="false">(1+H663)^(1/12)-1</f>
        <v>0.0048572998672296</v>
      </c>
      <c r="J663" s="16" t="n">
        <f aca="false">IF(C663=0,(1+Dic2024!$M$6)^(-B663),EXP(LN(INDEX(Dic2024!$N$6:$N$205,C663))+(LN(INDEX(Dic2024!$N$6:$N$205,MIN(C663+1,200)))-LN(INDEX(Dic2024!$N$6:$N$205,C663)))*(A663-6*C663)/6))</f>
        <v>0.0410398520896218</v>
      </c>
      <c r="K663" s="12" t="n">
        <f aca="false">J663^(-1/B663)-1</f>
        <v>0.0598702500000001</v>
      </c>
      <c r="L663" s="12" t="n">
        <f aca="false">(1+K663)^(1/12)-1</f>
        <v>0.0048572998672296</v>
      </c>
    </row>
    <row r="664" customFormat="false" ht="15" hidden="false" customHeight="false" outlineLevel="0" collapsed="false">
      <c r="A664" s="4" t="n">
        <v>660</v>
      </c>
      <c r="B664" s="14" t="n">
        <f aca="false">A664/12</f>
        <v>55</v>
      </c>
      <c r="C664" s="15" t="n">
        <f aca="false">INT(A664/6)</f>
        <v>110</v>
      </c>
      <c r="D664" s="16" t="n">
        <f aca="false">IF(C664=0,(1+Dic2024!$G$6)^(-B664),EXP(LN(INDEX(Dic2024!$H$6:$H$205,C664))+(LN(INDEX(Dic2024!$H$6:$H$205,MIN(C664+1,200)))-LN(INDEX(Dic2024!$H$6:$H$205,C664)))*(A664-6*C664)/6))</f>
        <v>0.0408414728091683</v>
      </c>
      <c r="E664" s="12" t="n">
        <f aca="false">D664^(-1/B664)-1</f>
        <v>0.0598702500000001</v>
      </c>
      <c r="F664" s="12" t="n">
        <f aca="false">(1+E664)^(1/12)-1</f>
        <v>0.0048572998672296</v>
      </c>
      <c r="G664" s="16" t="n">
        <f aca="false">IF(C664=0,(1+Dic2024!$J$6)^(-B664),EXP(LN(INDEX(Dic2024!$K$6:$K$205,C664))+(LN(INDEX(Dic2024!$K$6:$K$205,MIN(C664+1,200)))-LN(INDEX(Dic2024!$K$6:$K$205,C664)))*(A664-6*C664)/6))</f>
        <v>0.0408414728091683</v>
      </c>
      <c r="H664" s="12" t="n">
        <f aca="false">G664^(-1/B664)-1</f>
        <v>0.0598702500000001</v>
      </c>
      <c r="I664" s="12" t="n">
        <f aca="false">(1+H664)^(1/12)-1</f>
        <v>0.0048572998672296</v>
      </c>
      <c r="J664" s="16" t="n">
        <f aca="false">IF(C664=0,(1+Dic2024!$M$6)^(-B664),EXP(LN(INDEX(Dic2024!$N$6:$N$205,C664))+(LN(INDEX(Dic2024!$N$6:$N$205,MIN(C664+1,200)))-LN(INDEX(Dic2024!$N$6:$N$205,C664)))*(A664-6*C664)/6))</f>
        <v>0.0408414728091683</v>
      </c>
      <c r="K664" s="12" t="n">
        <f aca="false">J664^(-1/B664)-1</f>
        <v>0.0598702500000001</v>
      </c>
      <c r="L664" s="12" t="n">
        <f aca="false">(1+K664)^(1/12)-1</f>
        <v>0.0048572998672296</v>
      </c>
    </row>
    <row r="665" customFormat="false" ht="15" hidden="false" customHeight="false" outlineLevel="0" collapsed="false">
      <c r="A665" s="4" t="n">
        <v>661</v>
      </c>
      <c r="B665" s="14" t="n">
        <f aca="false">A665/12</f>
        <v>55.0833333333333</v>
      </c>
      <c r="C665" s="15" t="n">
        <f aca="false">INT(A665/6)</f>
        <v>110</v>
      </c>
      <c r="D665" s="16" t="n">
        <f aca="false">IF(C665=0,(1+Dic2024!$G$6)^(-B665),EXP(LN(INDEX(Dic2024!$H$6:$H$205,C665))+(LN(INDEX(Dic2024!$H$6:$H$205,MIN(C665+1,200)))-LN(INDEX(Dic2024!$H$6:$H$205,C665)))*(A665-6*C665)/6))</f>
        <v>0.0406440524585577</v>
      </c>
      <c r="E665" s="12" t="n">
        <f aca="false">D665^(-1/B665)-1</f>
        <v>0.0598702500000001</v>
      </c>
      <c r="F665" s="12" t="n">
        <f aca="false">(1+E665)^(1/12)-1</f>
        <v>0.0048572998672296</v>
      </c>
      <c r="G665" s="16" t="n">
        <f aca="false">IF(C665=0,(1+Dic2024!$J$6)^(-B665),EXP(LN(INDEX(Dic2024!$K$6:$K$205,C665))+(LN(INDEX(Dic2024!$K$6:$K$205,MIN(C665+1,200)))-LN(INDEX(Dic2024!$K$6:$K$205,C665)))*(A665-6*C665)/6))</f>
        <v>0.0406440524585577</v>
      </c>
      <c r="H665" s="12" t="n">
        <f aca="false">G665^(-1/B665)-1</f>
        <v>0.0598702500000001</v>
      </c>
      <c r="I665" s="12" t="n">
        <f aca="false">(1+H665)^(1/12)-1</f>
        <v>0.0048572998672296</v>
      </c>
      <c r="J665" s="16" t="n">
        <f aca="false">IF(C665=0,(1+Dic2024!$M$6)^(-B665),EXP(LN(INDEX(Dic2024!$N$6:$N$205,C665))+(LN(INDEX(Dic2024!$N$6:$N$205,MIN(C665+1,200)))-LN(INDEX(Dic2024!$N$6:$N$205,C665)))*(A665-6*C665)/6))</f>
        <v>0.0406440524585577</v>
      </c>
      <c r="K665" s="12" t="n">
        <f aca="false">J665^(-1/B665)-1</f>
        <v>0.0598702500000001</v>
      </c>
      <c r="L665" s="12" t="n">
        <f aca="false">(1+K665)^(1/12)-1</f>
        <v>0.0048572998672296</v>
      </c>
    </row>
    <row r="666" customFormat="false" ht="15" hidden="false" customHeight="false" outlineLevel="0" collapsed="false">
      <c r="A666" s="4" t="n">
        <v>662</v>
      </c>
      <c r="B666" s="14" t="n">
        <f aca="false">A666/12</f>
        <v>55.1666666666667</v>
      </c>
      <c r="C666" s="15" t="n">
        <f aca="false">INT(A666/6)</f>
        <v>110</v>
      </c>
      <c r="D666" s="16" t="n">
        <f aca="false">IF(C666=0,(1+Dic2024!$G$6)^(-B666),EXP(LN(INDEX(Dic2024!$H$6:$H$205,C666))+(LN(INDEX(Dic2024!$H$6:$H$205,MIN(C666+1,200)))-LN(INDEX(Dic2024!$H$6:$H$205,C666)))*(A666-6*C666)/6))</f>
        <v>0.0404475864024951</v>
      </c>
      <c r="E666" s="12" t="n">
        <f aca="false">D666^(-1/B666)-1</f>
        <v>0.0598702500000001</v>
      </c>
      <c r="F666" s="12" t="n">
        <f aca="false">(1+E666)^(1/12)-1</f>
        <v>0.0048572998672296</v>
      </c>
      <c r="G666" s="16" t="n">
        <f aca="false">IF(C666=0,(1+Dic2024!$J$6)^(-B666),EXP(LN(INDEX(Dic2024!$K$6:$K$205,C666))+(LN(INDEX(Dic2024!$K$6:$K$205,MIN(C666+1,200)))-LN(INDEX(Dic2024!$K$6:$K$205,C666)))*(A666-6*C666)/6))</f>
        <v>0.0404475864024951</v>
      </c>
      <c r="H666" s="12" t="n">
        <f aca="false">G666^(-1/B666)-1</f>
        <v>0.0598702500000001</v>
      </c>
      <c r="I666" s="12" t="n">
        <f aca="false">(1+H666)^(1/12)-1</f>
        <v>0.0048572998672296</v>
      </c>
      <c r="J666" s="16" t="n">
        <f aca="false">IF(C666=0,(1+Dic2024!$M$6)^(-B666),EXP(LN(INDEX(Dic2024!$N$6:$N$205,C666))+(LN(INDEX(Dic2024!$N$6:$N$205,MIN(C666+1,200)))-LN(INDEX(Dic2024!$N$6:$N$205,C666)))*(A666-6*C666)/6))</f>
        <v>0.0404475864024951</v>
      </c>
      <c r="K666" s="12" t="n">
        <f aca="false">J666^(-1/B666)-1</f>
        <v>0.0598702500000001</v>
      </c>
      <c r="L666" s="12" t="n">
        <f aca="false">(1+K666)^(1/12)-1</f>
        <v>0.0048572998672296</v>
      </c>
    </row>
    <row r="667" customFormat="false" ht="15" hidden="false" customHeight="false" outlineLevel="0" collapsed="false">
      <c r="A667" s="4" t="n">
        <v>663</v>
      </c>
      <c r="B667" s="14" t="n">
        <f aca="false">A667/12</f>
        <v>55.25</v>
      </c>
      <c r="C667" s="15" t="n">
        <f aca="false">INT(A667/6)</f>
        <v>110</v>
      </c>
      <c r="D667" s="16" t="n">
        <f aca="false">IF(C667=0,(1+Dic2024!$G$6)^(-B667),EXP(LN(INDEX(Dic2024!$H$6:$H$205,C667))+(LN(INDEX(Dic2024!$H$6:$H$205,MIN(C667+1,200)))-LN(INDEX(Dic2024!$H$6:$H$205,C667)))*(A667-6*C667)/6))</f>
        <v>0.0402520700280919</v>
      </c>
      <c r="E667" s="12" t="n">
        <f aca="false">D667^(-1/B667)-1</f>
        <v>0.0598702500000001</v>
      </c>
      <c r="F667" s="12" t="n">
        <f aca="false">(1+E667)^(1/12)-1</f>
        <v>0.0048572998672296</v>
      </c>
      <c r="G667" s="16" t="n">
        <f aca="false">IF(C667=0,(1+Dic2024!$J$6)^(-B667),EXP(LN(INDEX(Dic2024!$K$6:$K$205,C667))+(LN(INDEX(Dic2024!$K$6:$K$205,MIN(C667+1,200)))-LN(INDEX(Dic2024!$K$6:$K$205,C667)))*(A667-6*C667)/6))</f>
        <v>0.0402520700280919</v>
      </c>
      <c r="H667" s="12" t="n">
        <f aca="false">G667^(-1/B667)-1</f>
        <v>0.0598702500000001</v>
      </c>
      <c r="I667" s="12" t="n">
        <f aca="false">(1+H667)^(1/12)-1</f>
        <v>0.0048572998672296</v>
      </c>
      <c r="J667" s="16" t="n">
        <f aca="false">IF(C667=0,(1+Dic2024!$M$6)^(-B667),EXP(LN(INDEX(Dic2024!$N$6:$N$205,C667))+(LN(INDEX(Dic2024!$N$6:$N$205,MIN(C667+1,200)))-LN(INDEX(Dic2024!$N$6:$N$205,C667)))*(A667-6*C667)/6))</f>
        <v>0.0402520700280919</v>
      </c>
      <c r="K667" s="12" t="n">
        <f aca="false">J667^(-1/B667)-1</f>
        <v>0.0598702500000001</v>
      </c>
      <c r="L667" s="12" t="n">
        <f aca="false">(1+K667)^(1/12)-1</f>
        <v>0.0048572998672296</v>
      </c>
    </row>
    <row r="668" customFormat="false" ht="15" hidden="false" customHeight="false" outlineLevel="0" collapsed="false">
      <c r="A668" s="4" t="n">
        <v>664</v>
      </c>
      <c r="B668" s="14" t="n">
        <f aca="false">A668/12</f>
        <v>55.3333333333333</v>
      </c>
      <c r="C668" s="15" t="n">
        <f aca="false">INT(A668/6)</f>
        <v>110</v>
      </c>
      <c r="D668" s="16" t="n">
        <f aca="false">IF(C668=0,(1+Dic2024!$G$6)^(-B668),EXP(LN(INDEX(Dic2024!$H$6:$H$205,C668))+(LN(INDEX(Dic2024!$H$6:$H$205,MIN(C668+1,200)))-LN(INDEX(Dic2024!$H$6:$H$205,C668)))*(A668-6*C668)/6))</f>
        <v>0.0400574987447575</v>
      </c>
      <c r="E668" s="12" t="n">
        <f aca="false">D668^(-1/B668)-1</f>
        <v>0.0598702500000001</v>
      </c>
      <c r="F668" s="12" t="n">
        <f aca="false">(1+E668)^(1/12)-1</f>
        <v>0.0048572998672296</v>
      </c>
      <c r="G668" s="16" t="n">
        <f aca="false">IF(C668=0,(1+Dic2024!$J$6)^(-B668),EXP(LN(INDEX(Dic2024!$K$6:$K$205,C668))+(LN(INDEX(Dic2024!$K$6:$K$205,MIN(C668+1,200)))-LN(INDEX(Dic2024!$K$6:$K$205,C668)))*(A668-6*C668)/6))</f>
        <v>0.0400574987447575</v>
      </c>
      <c r="H668" s="12" t="n">
        <f aca="false">G668^(-1/B668)-1</f>
        <v>0.0598702500000001</v>
      </c>
      <c r="I668" s="12" t="n">
        <f aca="false">(1+H668)^(1/12)-1</f>
        <v>0.0048572998672296</v>
      </c>
      <c r="J668" s="16" t="n">
        <f aca="false">IF(C668=0,(1+Dic2024!$M$6)^(-B668),EXP(LN(INDEX(Dic2024!$N$6:$N$205,C668))+(LN(INDEX(Dic2024!$N$6:$N$205,MIN(C668+1,200)))-LN(INDEX(Dic2024!$N$6:$N$205,C668)))*(A668-6*C668)/6))</f>
        <v>0.0400574987447575</v>
      </c>
      <c r="K668" s="12" t="n">
        <f aca="false">J668^(-1/B668)-1</f>
        <v>0.0598702500000001</v>
      </c>
      <c r="L668" s="12" t="n">
        <f aca="false">(1+K668)^(1/12)-1</f>
        <v>0.0048572998672296</v>
      </c>
    </row>
    <row r="669" customFormat="false" ht="15" hidden="false" customHeight="false" outlineLevel="0" collapsed="false">
      <c r="A669" s="4" t="n">
        <v>665</v>
      </c>
      <c r="B669" s="14" t="n">
        <f aca="false">A669/12</f>
        <v>55.4166666666667</v>
      </c>
      <c r="C669" s="15" t="n">
        <f aca="false">INT(A669/6)</f>
        <v>110</v>
      </c>
      <c r="D669" s="16" t="n">
        <f aca="false">IF(C669=0,(1+Dic2024!$G$6)^(-B669),EXP(LN(INDEX(Dic2024!$H$6:$H$205,C669))+(LN(INDEX(Dic2024!$H$6:$H$205,MIN(C669+1,200)))-LN(INDEX(Dic2024!$H$6:$H$205,C669)))*(A669-6*C669)/6))</f>
        <v>0.0398638679840911</v>
      </c>
      <c r="E669" s="12" t="n">
        <f aca="false">D669^(-1/B669)-1</f>
        <v>0.0598702500000001</v>
      </c>
      <c r="F669" s="12" t="n">
        <f aca="false">(1+E669)^(1/12)-1</f>
        <v>0.0048572998672296</v>
      </c>
      <c r="G669" s="16" t="n">
        <f aca="false">IF(C669=0,(1+Dic2024!$J$6)^(-B669),EXP(LN(INDEX(Dic2024!$K$6:$K$205,C669))+(LN(INDEX(Dic2024!$K$6:$K$205,MIN(C669+1,200)))-LN(INDEX(Dic2024!$K$6:$K$205,C669)))*(A669-6*C669)/6))</f>
        <v>0.0398638679840911</v>
      </c>
      <c r="H669" s="12" t="n">
        <f aca="false">G669^(-1/B669)-1</f>
        <v>0.0598702500000001</v>
      </c>
      <c r="I669" s="12" t="n">
        <f aca="false">(1+H669)^(1/12)-1</f>
        <v>0.0048572998672296</v>
      </c>
      <c r="J669" s="16" t="n">
        <f aca="false">IF(C669=0,(1+Dic2024!$M$6)^(-B669),EXP(LN(INDEX(Dic2024!$N$6:$N$205,C669))+(LN(INDEX(Dic2024!$N$6:$N$205,MIN(C669+1,200)))-LN(INDEX(Dic2024!$N$6:$N$205,C669)))*(A669-6*C669)/6))</f>
        <v>0.0398638679840911</v>
      </c>
      <c r="K669" s="12" t="n">
        <f aca="false">J669^(-1/B669)-1</f>
        <v>0.0598702500000001</v>
      </c>
      <c r="L669" s="12" t="n">
        <f aca="false">(1+K669)^(1/12)-1</f>
        <v>0.0048572998672296</v>
      </c>
    </row>
    <row r="670" customFormat="false" ht="15" hidden="false" customHeight="false" outlineLevel="0" collapsed="false">
      <c r="A670" s="4" t="n">
        <v>666</v>
      </c>
      <c r="B670" s="14" t="n">
        <f aca="false">A670/12</f>
        <v>55.5</v>
      </c>
      <c r="C670" s="15" t="n">
        <f aca="false">INT(A670/6)</f>
        <v>111</v>
      </c>
      <c r="D670" s="16" t="n">
        <f aca="false">IF(C670=0,(1+Dic2024!$G$6)^(-B670),EXP(LN(INDEX(Dic2024!$H$6:$H$205,C670))+(LN(INDEX(Dic2024!$H$6:$H$205,MIN(C670+1,200)))-LN(INDEX(Dic2024!$H$6:$H$205,C670)))*(A670-6*C670)/6))</f>
        <v>0.039671173199775</v>
      </c>
      <c r="E670" s="12" t="n">
        <f aca="false">D670^(-1/B670)-1</f>
        <v>0.0598702500000001</v>
      </c>
      <c r="F670" s="12" t="n">
        <f aca="false">(1+E670)^(1/12)-1</f>
        <v>0.0048572998672296</v>
      </c>
      <c r="G670" s="16" t="n">
        <f aca="false">IF(C670=0,(1+Dic2024!$J$6)^(-B670),EXP(LN(INDEX(Dic2024!$K$6:$K$205,C670))+(LN(INDEX(Dic2024!$K$6:$K$205,MIN(C670+1,200)))-LN(INDEX(Dic2024!$K$6:$K$205,C670)))*(A670-6*C670)/6))</f>
        <v>0.039671173199775</v>
      </c>
      <c r="H670" s="12" t="n">
        <f aca="false">G670^(-1/B670)-1</f>
        <v>0.0598702500000001</v>
      </c>
      <c r="I670" s="12" t="n">
        <f aca="false">(1+H670)^(1/12)-1</f>
        <v>0.0048572998672296</v>
      </c>
      <c r="J670" s="16" t="n">
        <f aca="false">IF(C670=0,(1+Dic2024!$M$6)^(-B670),EXP(LN(INDEX(Dic2024!$N$6:$N$205,C670))+(LN(INDEX(Dic2024!$N$6:$N$205,MIN(C670+1,200)))-LN(INDEX(Dic2024!$N$6:$N$205,C670)))*(A670-6*C670)/6))</f>
        <v>0.039671173199775</v>
      </c>
      <c r="K670" s="12" t="n">
        <f aca="false">J670^(-1/B670)-1</f>
        <v>0.0598702500000001</v>
      </c>
      <c r="L670" s="12" t="n">
        <f aca="false">(1+K670)^(1/12)-1</f>
        <v>0.0048572998672296</v>
      </c>
    </row>
    <row r="671" customFormat="false" ht="15" hidden="false" customHeight="false" outlineLevel="0" collapsed="false">
      <c r="A671" s="4" t="n">
        <v>667</v>
      </c>
      <c r="B671" s="14" t="n">
        <f aca="false">A671/12</f>
        <v>55.5833333333333</v>
      </c>
      <c r="C671" s="15" t="n">
        <f aca="false">INT(A671/6)</f>
        <v>111</v>
      </c>
      <c r="D671" s="16" t="n">
        <f aca="false">IF(C671=0,(1+Dic2024!$G$6)^(-B671),EXP(LN(INDEX(Dic2024!$H$6:$H$205,C671))+(LN(INDEX(Dic2024!$H$6:$H$205,MIN(C671+1,200)))-LN(INDEX(Dic2024!$H$6:$H$205,C671)))*(A671-6*C671)/6))</f>
        <v>0.0394794098674674</v>
      </c>
      <c r="E671" s="12" t="n">
        <f aca="false">D671^(-1/B671)-1</f>
        <v>0.0598702500000001</v>
      </c>
      <c r="F671" s="12" t="n">
        <f aca="false">(1+E671)^(1/12)-1</f>
        <v>0.0048572998672296</v>
      </c>
      <c r="G671" s="16" t="n">
        <f aca="false">IF(C671=0,(1+Dic2024!$J$6)^(-B671),EXP(LN(INDEX(Dic2024!$K$6:$K$205,C671))+(LN(INDEX(Dic2024!$K$6:$K$205,MIN(C671+1,200)))-LN(INDEX(Dic2024!$K$6:$K$205,C671)))*(A671-6*C671)/6))</f>
        <v>0.0394794098674674</v>
      </c>
      <c r="H671" s="12" t="n">
        <f aca="false">G671^(-1/B671)-1</f>
        <v>0.0598702500000001</v>
      </c>
      <c r="I671" s="12" t="n">
        <f aca="false">(1+H671)^(1/12)-1</f>
        <v>0.0048572998672296</v>
      </c>
      <c r="J671" s="16" t="n">
        <f aca="false">IF(C671=0,(1+Dic2024!$M$6)^(-B671),EXP(LN(INDEX(Dic2024!$N$6:$N$205,C671))+(LN(INDEX(Dic2024!$N$6:$N$205,MIN(C671+1,200)))-LN(INDEX(Dic2024!$N$6:$N$205,C671)))*(A671-6*C671)/6))</f>
        <v>0.0394794098674674</v>
      </c>
      <c r="K671" s="12" t="n">
        <f aca="false">J671^(-1/B671)-1</f>
        <v>0.0598702500000001</v>
      </c>
      <c r="L671" s="12" t="n">
        <f aca="false">(1+K671)^(1/12)-1</f>
        <v>0.0048572998672296</v>
      </c>
    </row>
    <row r="672" customFormat="false" ht="15" hidden="false" customHeight="false" outlineLevel="0" collapsed="false">
      <c r="A672" s="4" t="n">
        <v>668</v>
      </c>
      <c r="B672" s="14" t="n">
        <f aca="false">A672/12</f>
        <v>55.6666666666667</v>
      </c>
      <c r="C672" s="15" t="n">
        <f aca="false">INT(A672/6)</f>
        <v>111</v>
      </c>
      <c r="D672" s="16" t="n">
        <f aca="false">IF(C672=0,(1+Dic2024!$G$6)^(-B672),EXP(LN(INDEX(Dic2024!$H$6:$H$205,C672))+(LN(INDEX(Dic2024!$H$6:$H$205,MIN(C672+1,200)))-LN(INDEX(Dic2024!$H$6:$H$205,C672)))*(A672-6*C672)/6))</f>
        <v>0.0392885734846965</v>
      </c>
      <c r="E672" s="12" t="n">
        <f aca="false">D672^(-1/B672)-1</f>
        <v>0.0598702500000001</v>
      </c>
      <c r="F672" s="12" t="n">
        <f aca="false">(1+E672)^(1/12)-1</f>
        <v>0.0048572998672296</v>
      </c>
      <c r="G672" s="16" t="n">
        <f aca="false">IF(C672=0,(1+Dic2024!$J$6)^(-B672),EXP(LN(INDEX(Dic2024!$K$6:$K$205,C672))+(LN(INDEX(Dic2024!$K$6:$K$205,MIN(C672+1,200)))-LN(INDEX(Dic2024!$K$6:$K$205,C672)))*(A672-6*C672)/6))</f>
        <v>0.0392885734846965</v>
      </c>
      <c r="H672" s="12" t="n">
        <f aca="false">G672^(-1/B672)-1</f>
        <v>0.0598702500000001</v>
      </c>
      <c r="I672" s="12" t="n">
        <f aca="false">(1+H672)^(1/12)-1</f>
        <v>0.0048572998672296</v>
      </c>
      <c r="J672" s="16" t="n">
        <f aca="false">IF(C672=0,(1+Dic2024!$M$6)^(-B672),EXP(LN(INDEX(Dic2024!$N$6:$N$205,C672))+(LN(INDEX(Dic2024!$N$6:$N$205,MIN(C672+1,200)))-LN(INDEX(Dic2024!$N$6:$N$205,C672)))*(A672-6*C672)/6))</f>
        <v>0.0392885734846965</v>
      </c>
      <c r="K672" s="12" t="n">
        <f aca="false">J672^(-1/B672)-1</f>
        <v>0.0598702500000001</v>
      </c>
      <c r="L672" s="12" t="n">
        <f aca="false">(1+K672)^(1/12)-1</f>
        <v>0.0048572998672296</v>
      </c>
    </row>
    <row r="673" customFormat="false" ht="15" hidden="false" customHeight="false" outlineLevel="0" collapsed="false">
      <c r="A673" s="4" t="n">
        <v>669</v>
      </c>
      <c r="B673" s="14" t="n">
        <f aca="false">A673/12</f>
        <v>55.75</v>
      </c>
      <c r="C673" s="15" t="n">
        <f aca="false">INT(A673/6)</f>
        <v>111</v>
      </c>
      <c r="D673" s="16" t="n">
        <f aca="false">IF(C673=0,(1+Dic2024!$G$6)^(-B673),EXP(LN(INDEX(Dic2024!$H$6:$H$205,C673))+(LN(INDEX(Dic2024!$H$6:$H$205,MIN(C673+1,200)))-LN(INDEX(Dic2024!$H$6:$H$205,C673)))*(A673-6*C673)/6))</f>
        <v>0.0390986595707547</v>
      </c>
      <c r="E673" s="12" t="n">
        <f aca="false">D673^(-1/B673)-1</f>
        <v>0.0598702500000001</v>
      </c>
      <c r="F673" s="12" t="n">
        <f aca="false">(1+E673)^(1/12)-1</f>
        <v>0.0048572998672296</v>
      </c>
      <c r="G673" s="16" t="n">
        <f aca="false">IF(C673=0,(1+Dic2024!$J$6)^(-B673),EXP(LN(INDEX(Dic2024!$K$6:$K$205,C673))+(LN(INDEX(Dic2024!$K$6:$K$205,MIN(C673+1,200)))-LN(INDEX(Dic2024!$K$6:$K$205,C673)))*(A673-6*C673)/6))</f>
        <v>0.0390986595707547</v>
      </c>
      <c r="H673" s="12" t="n">
        <f aca="false">G673^(-1/B673)-1</f>
        <v>0.0598702500000001</v>
      </c>
      <c r="I673" s="12" t="n">
        <f aca="false">(1+H673)^(1/12)-1</f>
        <v>0.0048572998672296</v>
      </c>
      <c r="J673" s="16" t="n">
        <f aca="false">IF(C673=0,(1+Dic2024!$M$6)^(-B673),EXP(LN(INDEX(Dic2024!$N$6:$N$205,C673))+(LN(INDEX(Dic2024!$N$6:$N$205,MIN(C673+1,200)))-LN(INDEX(Dic2024!$N$6:$N$205,C673)))*(A673-6*C673)/6))</f>
        <v>0.0390986595707547</v>
      </c>
      <c r="K673" s="12" t="n">
        <f aca="false">J673^(-1/B673)-1</f>
        <v>0.0598702500000001</v>
      </c>
      <c r="L673" s="12" t="n">
        <f aca="false">(1+K673)^(1/12)-1</f>
        <v>0.0048572998672296</v>
      </c>
    </row>
    <row r="674" customFormat="false" ht="15" hidden="false" customHeight="false" outlineLevel="0" collapsed="false">
      <c r="A674" s="4" t="n">
        <v>670</v>
      </c>
      <c r="B674" s="14" t="n">
        <f aca="false">A674/12</f>
        <v>55.8333333333333</v>
      </c>
      <c r="C674" s="15" t="n">
        <f aca="false">INT(A674/6)</f>
        <v>111</v>
      </c>
      <c r="D674" s="16" t="n">
        <f aca="false">IF(C674=0,(1+Dic2024!$G$6)^(-B674),EXP(LN(INDEX(Dic2024!$H$6:$H$205,C674))+(LN(INDEX(Dic2024!$H$6:$H$205,MIN(C674+1,200)))-LN(INDEX(Dic2024!$H$6:$H$205,C674)))*(A674-6*C674)/6))</f>
        <v>0.038909663666593</v>
      </c>
      <c r="E674" s="12" t="n">
        <f aca="false">D674^(-1/B674)-1</f>
        <v>0.0598702500000001</v>
      </c>
      <c r="F674" s="12" t="n">
        <f aca="false">(1+E674)^(1/12)-1</f>
        <v>0.0048572998672296</v>
      </c>
      <c r="G674" s="16" t="n">
        <f aca="false">IF(C674=0,(1+Dic2024!$J$6)^(-B674),EXP(LN(INDEX(Dic2024!$K$6:$K$205,C674))+(LN(INDEX(Dic2024!$K$6:$K$205,MIN(C674+1,200)))-LN(INDEX(Dic2024!$K$6:$K$205,C674)))*(A674-6*C674)/6))</f>
        <v>0.038909663666593</v>
      </c>
      <c r="H674" s="12" t="n">
        <f aca="false">G674^(-1/B674)-1</f>
        <v>0.0598702500000001</v>
      </c>
      <c r="I674" s="12" t="n">
        <f aca="false">(1+H674)^(1/12)-1</f>
        <v>0.0048572998672296</v>
      </c>
      <c r="J674" s="16" t="n">
        <f aca="false">IF(C674=0,(1+Dic2024!$M$6)^(-B674),EXP(LN(INDEX(Dic2024!$N$6:$N$205,C674))+(LN(INDEX(Dic2024!$N$6:$N$205,MIN(C674+1,200)))-LN(INDEX(Dic2024!$N$6:$N$205,C674)))*(A674-6*C674)/6))</f>
        <v>0.038909663666593</v>
      </c>
      <c r="K674" s="12" t="n">
        <f aca="false">J674^(-1/B674)-1</f>
        <v>0.0598702500000001</v>
      </c>
      <c r="L674" s="12" t="n">
        <f aca="false">(1+K674)^(1/12)-1</f>
        <v>0.0048572998672296</v>
      </c>
    </row>
    <row r="675" customFormat="false" ht="15" hidden="false" customHeight="false" outlineLevel="0" collapsed="false">
      <c r="A675" s="4" t="n">
        <v>671</v>
      </c>
      <c r="B675" s="14" t="n">
        <f aca="false">A675/12</f>
        <v>55.9166666666667</v>
      </c>
      <c r="C675" s="15" t="n">
        <f aca="false">INT(A675/6)</f>
        <v>111</v>
      </c>
      <c r="D675" s="16" t="n">
        <f aca="false">IF(C675=0,(1+Dic2024!$G$6)^(-B675),EXP(LN(INDEX(Dic2024!$H$6:$H$205,C675))+(LN(INDEX(Dic2024!$H$6:$H$205,MIN(C675+1,200)))-LN(INDEX(Dic2024!$H$6:$H$205,C675)))*(A675-6*C675)/6))</f>
        <v>0.0387215813347169</v>
      </c>
      <c r="E675" s="12" t="n">
        <f aca="false">D675^(-1/B675)-1</f>
        <v>0.0598702500000001</v>
      </c>
      <c r="F675" s="12" t="n">
        <f aca="false">(1+E675)^(1/12)-1</f>
        <v>0.0048572998672296</v>
      </c>
      <c r="G675" s="16" t="n">
        <f aca="false">IF(C675=0,(1+Dic2024!$J$6)^(-B675),EXP(LN(INDEX(Dic2024!$K$6:$K$205,C675))+(LN(INDEX(Dic2024!$K$6:$K$205,MIN(C675+1,200)))-LN(INDEX(Dic2024!$K$6:$K$205,C675)))*(A675-6*C675)/6))</f>
        <v>0.0387215813347169</v>
      </c>
      <c r="H675" s="12" t="n">
        <f aca="false">G675^(-1/B675)-1</f>
        <v>0.0598702500000001</v>
      </c>
      <c r="I675" s="12" t="n">
        <f aca="false">(1+H675)^(1/12)-1</f>
        <v>0.0048572998672296</v>
      </c>
      <c r="J675" s="16" t="n">
        <f aca="false">IF(C675=0,(1+Dic2024!$M$6)^(-B675),EXP(LN(INDEX(Dic2024!$N$6:$N$205,C675))+(LN(INDEX(Dic2024!$N$6:$N$205,MIN(C675+1,200)))-LN(INDEX(Dic2024!$N$6:$N$205,C675)))*(A675-6*C675)/6))</f>
        <v>0.0387215813347169</v>
      </c>
      <c r="K675" s="12" t="n">
        <f aca="false">J675^(-1/B675)-1</f>
        <v>0.0598702500000001</v>
      </c>
      <c r="L675" s="12" t="n">
        <f aca="false">(1+K675)^(1/12)-1</f>
        <v>0.0048572998672296</v>
      </c>
    </row>
    <row r="676" customFormat="false" ht="15" hidden="false" customHeight="false" outlineLevel="0" collapsed="false">
      <c r="A676" s="4" t="n">
        <v>672</v>
      </c>
      <c r="B676" s="14" t="n">
        <f aca="false">A676/12</f>
        <v>56</v>
      </c>
      <c r="C676" s="15" t="n">
        <f aca="false">INT(A676/6)</f>
        <v>112</v>
      </c>
      <c r="D676" s="16" t="n">
        <f aca="false">IF(C676=0,(1+Dic2024!$G$6)^(-B676),EXP(LN(INDEX(Dic2024!$H$6:$H$205,C676))+(LN(INDEX(Dic2024!$H$6:$H$205,MIN(C676+1,200)))-LN(INDEX(Dic2024!$H$6:$H$205,C676)))*(A676-6*C676)/6))</f>
        <v>0.038534408159082</v>
      </c>
      <c r="E676" s="12" t="n">
        <f aca="false">D676^(-1/B676)-1</f>
        <v>0.0598702500000001</v>
      </c>
      <c r="F676" s="12" t="n">
        <f aca="false">(1+E676)^(1/12)-1</f>
        <v>0.0048572998672296</v>
      </c>
      <c r="G676" s="16" t="n">
        <f aca="false">IF(C676=0,(1+Dic2024!$J$6)^(-B676),EXP(LN(INDEX(Dic2024!$K$6:$K$205,C676))+(LN(INDEX(Dic2024!$K$6:$K$205,MIN(C676+1,200)))-LN(INDEX(Dic2024!$K$6:$K$205,C676)))*(A676-6*C676)/6))</f>
        <v>0.038534408159082</v>
      </c>
      <c r="H676" s="12" t="n">
        <f aca="false">G676^(-1/B676)-1</f>
        <v>0.0598702500000001</v>
      </c>
      <c r="I676" s="12" t="n">
        <f aca="false">(1+H676)^(1/12)-1</f>
        <v>0.0048572998672296</v>
      </c>
      <c r="J676" s="16" t="n">
        <f aca="false">IF(C676=0,(1+Dic2024!$M$6)^(-B676),EXP(LN(INDEX(Dic2024!$N$6:$N$205,C676))+(LN(INDEX(Dic2024!$N$6:$N$205,MIN(C676+1,200)))-LN(INDEX(Dic2024!$N$6:$N$205,C676)))*(A676-6*C676)/6))</f>
        <v>0.038534408159082</v>
      </c>
      <c r="K676" s="12" t="n">
        <f aca="false">J676^(-1/B676)-1</f>
        <v>0.0598702500000001</v>
      </c>
      <c r="L676" s="12" t="n">
        <f aca="false">(1+K676)^(1/12)-1</f>
        <v>0.0048572998672296</v>
      </c>
    </row>
    <row r="677" customFormat="false" ht="15" hidden="false" customHeight="false" outlineLevel="0" collapsed="false">
      <c r="A677" s="4" t="n">
        <v>673</v>
      </c>
      <c r="B677" s="14" t="n">
        <f aca="false">A677/12</f>
        <v>56.0833333333333</v>
      </c>
      <c r="C677" s="15" t="n">
        <f aca="false">INT(A677/6)</f>
        <v>112</v>
      </c>
      <c r="D677" s="16" t="n">
        <f aca="false">IF(C677=0,(1+Dic2024!$G$6)^(-B677),EXP(LN(INDEX(Dic2024!$H$6:$H$205,C677))+(LN(INDEX(Dic2024!$H$6:$H$205,MIN(C677+1,200)))-LN(INDEX(Dic2024!$H$6:$H$205,C677)))*(A677-6*C677)/6))</f>
        <v>0.0383481397449902</v>
      </c>
      <c r="E677" s="12" t="n">
        <f aca="false">D677^(-1/B677)-1</f>
        <v>0.0598702500000001</v>
      </c>
      <c r="F677" s="12" t="n">
        <f aca="false">(1+E677)^(1/12)-1</f>
        <v>0.0048572998672296</v>
      </c>
      <c r="G677" s="16" t="n">
        <f aca="false">IF(C677=0,(1+Dic2024!$J$6)^(-B677),EXP(LN(INDEX(Dic2024!$K$6:$K$205,C677))+(LN(INDEX(Dic2024!$K$6:$K$205,MIN(C677+1,200)))-LN(INDEX(Dic2024!$K$6:$K$205,C677)))*(A677-6*C677)/6))</f>
        <v>0.0383481397449902</v>
      </c>
      <c r="H677" s="12" t="n">
        <f aca="false">G677^(-1/B677)-1</f>
        <v>0.0598702500000001</v>
      </c>
      <c r="I677" s="12" t="n">
        <f aca="false">(1+H677)^(1/12)-1</f>
        <v>0.0048572998672296</v>
      </c>
      <c r="J677" s="16" t="n">
        <f aca="false">IF(C677=0,(1+Dic2024!$M$6)^(-B677),EXP(LN(INDEX(Dic2024!$N$6:$N$205,C677))+(LN(INDEX(Dic2024!$N$6:$N$205,MIN(C677+1,200)))-LN(INDEX(Dic2024!$N$6:$N$205,C677)))*(A677-6*C677)/6))</f>
        <v>0.0383481397449902</v>
      </c>
      <c r="K677" s="12" t="n">
        <f aca="false">J677^(-1/B677)-1</f>
        <v>0.0598702500000001</v>
      </c>
      <c r="L677" s="12" t="n">
        <f aca="false">(1+K677)^(1/12)-1</f>
        <v>0.0048572998672296</v>
      </c>
    </row>
    <row r="678" customFormat="false" ht="15" hidden="false" customHeight="false" outlineLevel="0" collapsed="false">
      <c r="A678" s="4" t="n">
        <v>674</v>
      </c>
      <c r="B678" s="14" t="n">
        <f aca="false">A678/12</f>
        <v>56.1666666666667</v>
      </c>
      <c r="C678" s="15" t="n">
        <f aca="false">INT(A678/6)</f>
        <v>112</v>
      </c>
      <c r="D678" s="16" t="n">
        <f aca="false">IF(C678=0,(1+Dic2024!$G$6)^(-B678),EXP(LN(INDEX(Dic2024!$H$6:$H$205,C678))+(LN(INDEX(Dic2024!$H$6:$H$205,MIN(C678+1,200)))-LN(INDEX(Dic2024!$H$6:$H$205,C678)))*(A678-6*C678)/6))</f>
        <v>0.0381627717189864</v>
      </c>
      <c r="E678" s="12" t="n">
        <f aca="false">D678^(-1/B678)-1</f>
        <v>0.0598702500000001</v>
      </c>
      <c r="F678" s="12" t="n">
        <f aca="false">(1+E678)^(1/12)-1</f>
        <v>0.0048572998672296</v>
      </c>
      <c r="G678" s="16" t="n">
        <f aca="false">IF(C678=0,(1+Dic2024!$J$6)^(-B678),EXP(LN(INDEX(Dic2024!$K$6:$K$205,C678))+(LN(INDEX(Dic2024!$K$6:$K$205,MIN(C678+1,200)))-LN(INDEX(Dic2024!$K$6:$K$205,C678)))*(A678-6*C678)/6))</f>
        <v>0.0381627717189864</v>
      </c>
      <c r="H678" s="12" t="n">
        <f aca="false">G678^(-1/B678)-1</f>
        <v>0.0598702500000001</v>
      </c>
      <c r="I678" s="12" t="n">
        <f aca="false">(1+H678)^(1/12)-1</f>
        <v>0.0048572998672296</v>
      </c>
      <c r="J678" s="16" t="n">
        <f aca="false">IF(C678=0,(1+Dic2024!$M$6)^(-B678),EXP(LN(INDEX(Dic2024!$N$6:$N$205,C678))+(LN(INDEX(Dic2024!$N$6:$N$205,MIN(C678+1,200)))-LN(INDEX(Dic2024!$N$6:$N$205,C678)))*(A678-6*C678)/6))</f>
        <v>0.0381627717189864</v>
      </c>
      <c r="K678" s="12" t="n">
        <f aca="false">J678^(-1/B678)-1</f>
        <v>0.0598702500000001</v>
      </c>
      <c r="L678" s="12" t="n">
        <f aca="false">(1+K678)^(1/12)-1</f>
        <v>0.0048572998672296</v>
      </c>
    </row>
    <row r="679" customFormat="false" ht="15" hidden="false" customHeight="false" outlineLevel="0" collapsed="false">
      <c r="A679" s="4" t="n">
        <v>675</v>
      </c>
      <c r="B679" s="14" t="n">
        <f aca="false">A679/12</f>
        <v>56.25</v>
      </c>
      <c r="C679" s="15" t="n">
        <f aca="false">INT(A679/6)</f>
        <v>112</v>
      </c>
      <c r="D679" s="16" t="n">
        <f aca="false">IF(C679=0,(1+Dic2024!$G$6)^(-B679),EXP(LN(INDEX(Dic2024!$H$6:$H$205,C679))+(LN(INDEX(Dic2024!$H$6:$H$205,MIN(C679+1,200)))-LN(INDEX(Dic2024!$H$6:$H$205,C679)))*(A679-6*C679)/6))</f>
        <v>0.0379782997287564</v>
      </c>
      <c r="E679" s="12" t="n">
        <f aca="false">D679^(-1/B679)-1</f>
        <v>0.0598702500000001</v>
      </c>
      <c r="F679" s="12" t="n">
        <f aca="false">(1+E679)^(1/12)-1</f>
        <v>0.0048572998672296</v>
      </c>
      <c r="G679" s="16" t="n">
        <f aca="false">IF(C679=0,(1+Dic2024!$J$6)^(-B679),EXP(LN(INDEX(Dic2024!$K$6:$K$205,C679))+(LN(INDEX(Dic2024!$K$6:$K$205,MIN(C679+1,200)))-LN(INDEX(Dic2024!$K$6:$K$205,C679)))*(A679-6*C679)/6))</f>
        <v>0.0379782997287564</v>
      </c>
      <c r="H679" s="12" t="n">
        <f aca="false">G679^(-1/B679)-1</f>
        <v>0.0598702500000001</v>
      </c>
      <c r="I679" s="12" t="n">
        <f aca="false">(1+H679)^(1/12)-1</f>
        <v>0.0048572998672296</v>
      </c>
      <c r="J679" s="16" t="n">
        <f aca="false">IF(C679=0,(1+Dic2024!$M$6)^(-B679),EXP(LN(INDEX(Dic2024!$N$6:$N$205,C679))+(LN(INDEX(Dic2024!$N$6:$N$205,MIN(C679+1,200)))-LN(INDEX(Dic2024!$N$6:$N$205,C679)))*(A679-6*C679)/6))</f>
        <v>0.0379782997287564</v>
      </c>
      <c r="K679" s="12" t="n">
        <f aca="false">J679^(-1/B679)-1</f>
        <v>0.0598702500000001</v>
      </c>
      <c r="L679" s="12" t="n">
        <f aca="false">(1+K679)^(1/12)-1</f>
        <v>0.0048572998672296</v>
      </c>
    </row>
    <row r="680" customFormat="false" ht="15" hidden="false" customHeight="false" outlineLevel="0" collapsed="false">
      <c r="A680" s="4" t="n">
        <v>676</v>
      </c>
      <c r="B680" s="14" t="n">
        <f aca="false">A680/12</f>
        <v>56.3333333333333</v>
      </c>
      <c r="C680" s="15" t="n">
        <f aca="false">INT(A680/6)</f>
        <v>112</v>
      </c>
      <c r="D680" s="16" t="n">
        <f aca="false">IF(C680=0,(1+Dic2024!$G$6)^(-B680),EXP(LN(INDEX(Dic2024!$H$6:$H$205,C680))+(LN(INDEX(Dic2024!$H$6:$H$205,MIN(C680+1,200)))-LN(INDEX(Dic2024!$H$6:$H$205,C680)))*(A680-6*C680)/6))</f>
        <v>0.0377947194430238</v>
      </c>
      <c r="E680" s="12" t="n">
        <f aca="false">D680^(-1/B680)-1</f>
        <v>0.0598702500000001</v>
      </c>
      <c r="F680" s="12" t="n">
        <f aca="false">(1+E680)^(1/12)-1</f>
        <v>0.0048572998672296</v>
      </c>
      <c r="G680" s="16" t="n">
        <f aca="false">IF(C680=0,(1+Dic2024!$J$6)^(-B680),EXP(LN(INDEX(Dic2024!$K$6:$K$205,C680))+(LN(INDEX(Dic2024!$K$6:$K$205,MIN(C680+1,200)))-LN(INDEX(Dic2024!$K$6:$K$205,C680)))*(A680-6*C680)/6))</f>
        <v>0.0377947194430238</v>
      </c>
      <c r="H680" s="12" t="n">
        <f aca="false">G680^(-1/B680)-1</f>
        <v>0.0598702500000001</v>
      </c>
      <c r="I680" s="12" t="n">
        <f aca="false">(1+H680)^(1/12)-1</f>
        <v>0.0048572998672296</v>
      </c>
      <c r="J680" s="16" t="n">
        <f aca="false">IF(C680=0,(1+Dic2024!$M$6)^(-B680),EXP(LN(INDEX(Dic2024!$N$6:$N$205,C680))+(LN(INDEX(Dic2024!$N$6:$N$205,MIN(C680+1,200)))-LN(INDEX(Dic2024!$N$6:$N$205,C680)))*(A680-6*C680)/6))</f>
        <v>0.0377947194430238</v>
      </c>
      <c r="K680" s="12" t="n">
        <f aca="false">J680^(-1/B680)-1</f>
        <v>0.0598702500000001</v>
      </c>
      <c r="L680" s="12" t="n">
        <f aca="false">(1+K680)^(1/12)-1</f>
        <v>0.0048572998672296</v>
      </c>
    </row>
    <row r="681" customFormat="false" ht="15" hidden="false" customHeight="false" outlineLevel="0" collapsed="false">
      <c r="A681" s="4" t="n">
        <v>677</v>
      </c>
      <c r="B681" s="14" t="n">
        <f aca="false">A681/12</f>
        <v>56.4166666666667</v>
      </c>
      <c r="C681" s="15" t="n">
        <f aca="false">INT(A681/6)</f>
        <v>112</v>
      </c>
      <c r="D681" s="16" t="n">
        <f aca="false">IF(C681=0,(1+Dic2024!$G$6)^(-B681),EXP(LN(INDEX(Dic2024!$H$6:$H$205,C681))+(LN(INDEX(Dic2024!$H$6:$H$205,MIN(C681+1,200)))-LN(INDEX(Dic2024!$H$6:$H$205,C681)))*(A681-6*C681)/6))</f>
        <v>0.0376120265514492</v>
      </c>
      <c r="E681" s="12" t="n">
        <f aca="false">D681^(-1/B681)-1</f>
        <v>0.0598702500000001</v>
      </c>
      <c r="F681" s="12" t="n">
        <f aca="false">(1+E681)^(1/12)-1</f>
        <v>0.0048572998672296</v>
      </c>
      <c r="G681" s="16" t="n">
        <f aca="false">IF(C681=0,(1+Dic2024!$J$6)^(-B681),EXP(LN(INDEX(Dic2024!$K$6:$K$205,C681))+(LN(INDEX(Dic2024!$K$6:$K$205,MIN(C681+1,200)))-LN(INDEX(Dic2024!$K$6:$K$205,C681)))*(A681-6*C681)/6))</f>
        <v>0.0376120265514492</v>
      </c>
      <c r="H681" s="12" t="n">
        <f aca="false">G681^(-1/B681)-1</f>
        <v>0.0598702500000001</v>
      </c>
      <c r="I681" s="12" t="n">
        <f aca="false">(1+H681)^(1/12)-1</f>
        <v>0.0048572998672296</v>
      </c>
      <c r="J681" s="16" t="n">
        <f aca="false">IF(C681=0,(1+Dic2024!$M$6)^(-B681),EXP(LN(INDEX(Dic2024!$N$6:$N$205,C681))+(LN(INDEX(Dic2024!$N$6:$N$205,MIN(C681+1,200)))-LN(INDEX(Dic2024!$N$6:$N$205,C681)))*(A681-6*C681)/6))</f>
        <v>0.0376120265514492</v>
      </c>
      <c r="K681" s="12" t="n">
        <f aca="false">J681^(-1/B681)-1</f>
        <v>0.0598702500000001</v>
      </c>
      <c r="L681" s="12" t="n">
        <f aca="false">(1+K681)^(1/12)-1</f>
        <v>0.0048572998672296</v>
      </c>
    </row>
    <row r="682" customFormat="false" ht="15" hidden="false" customHeight="false" outlineLevel="0" collapsed="false">
      <c r="A682" s="4" t="n">
        <v>678</v>
      </c>
      <c r="B682" s="14" t="n">
        <f aca="false">A682/12</f>
        <v>56.5</v>
      </c>
      <c r="C682" s="15" t="n">
        <f aca="false">INT(A682/6)</f>
        <v>113</v>
      </c>
      <c r="D682" s="16" t="n">
        <f aca="false">IF(C682=0,(1+Dic2024!$G$6)^(-B682),EXP(LN(INDEX(Dic2024!$H$6:$H$205,C682))+(LN(INDEX(Dic2024!$H$6:$H$205,MIN(C682+1,200)))-LN(INDEX(Dic2024!$H$6:$H$205,C682)))*(A682-6*C682)/6))</f>
        <v>0.0374302167645285</v>
      </c>
      <c r="E682" s="12" t="n">
        <f aca="false">D682^(-1/B682)-1</f>
        <v>0.0598702500000001</v>
      </c>
      <c r="F682" s="12" t="n">
        <f aca="false">(1+E682)^(1/12)-1</f>
        <v>0.0048572998672296</v>
      </c>
      <c r="G682" s="16" t="n">
        <f aca="false">IF(C682=0,(1+Dic2024!$J$6)^(-B682),EXP(LN(INDEX(Dic2024!$K$6:$K$205,C682))+(LN(INDEX(Dic2024!$K$6:$K$205,MIN(C682+1,200)))-LN(INDEX(Dic2024!$K$6:$K$205,C682)))*(A682-6*C682)/6))</f>
        <v>0.0374302167645285</v>
      </c>
      <c r="H682" s="12" t="n">
        <f aca="false">G682^(-1/B682)-1</f>
        <v>0.0598702500000001</v>
      </c>
      <c r="I682" s="12" t="n">
        <f aca="false">(1+H682)^(1/12)-1</f>
        <v>0.0048572998672296</v>
      </c>
      <c r="J682" s="16" t="n">
        <f aca="false">IF(C682=0,(1+Dic2024!$M$6)^(-B682),EXP(LN(INDEX(Dic2024!$N$6:$N$205,C682))+(LN(INDEX(Dic2024!$N$6:$N$205,MIN(C682+1,200)))-LN(INDEX(Dic2024!$N$6:$N$205,C682)))*(A682-6*C682)/6))</f>
        <v>0.0374302167645285</v>
      </c>
      <c r="K682" s="12" t="n">
        <f aca="false">J682^(-1/B682)-1</f>
        <v>0.0598702500000001</v>
      </c>
      <c r="L682" s="12" t="n">
        <f aca="false">(1+K682)^(1/12)-1</f>
        <v>0.0048572998672296</v>
      </c>
    </row>
    <row r="683" customFormat="false" ht="15" hidden="false" customHeight="false" outlineLevel="0" collapsed="false">
      <c r="A683" s="4" t="n">
        <v>679</v>
      </c>
      <c r="B683" s="14" t="n">
        <f aca="false">A683/12</f>
        <v>56.5833333333333</v>
      </c>
      <c r="C683" s="15" t="n">
        <f aca="false">INT(A683/6)</f>
        <v>113</v>
      </c>
      <c r="D683" s="16" t="n">
        <f aca="false">IF(C683=0,(1+Dic2024!$G$6)^(-B683),EXP(LN(INDEX(Dic2024!$H$6:$H$205,C683))+(LN(INDEX(Dic2024!$H$6:$H$205,MIN(C683+1,200)))-LN(INDEX(Dic2024!$H$6:$H$205,C683)))*(A683-6*C683)/6))</f>
        <v>0.0372492858134922</v>
      </c>
      <c r="E683" s="12" t="n">
        <f aca="false">D683^(-1/B683)-1</f>
        <v>0.0598702500000001</v>
      </c>
      <c r="F683" s="12" t="n">
        <f aca="false">(1+E683)^(1/12)-1</f>
        <v>0.0048572998672296</v>
      </c>
      <c r="G683" s="16" t="n">
        <f aca="false">IF(C683=0,(1+Dic2024!$J$6)^(-B683),EXP(LN(INDEX(Dic2024!$K$6:$K$205,C683))+(LN(INDEX(Dic2024!$K$6:$K$205,MIN(C683+1,200)))-LN(INDEX(Dic2024!$K$6:$K$205,C683)))*(A683-6*C683)/6))</f>
        <v>0.0372492858134922</v>
      </c>
      <c r="H683" s="12" t="n">
        <f aca="false">G683^(-1/B683)-1</f>
        <v>0.0598702500000001</v>
      </c>
      <c r="I683" s="12" t="n">
        <f aca="false">(1+H683)^(1/12)-1</f>
        <v>0.0048572998672296</v>
      </c>
      <c r="J683" s="16" t="n">
        <f aca="false">IF(C683=0,(1+Dic2024!$M$6)^(-B683),EXP(LN(INDEX(Dic2024!$N$6:$N$205,C683))+(LN(INDEX(Dic2024!$N$6:$N$205,MIN(C683+1,200)))-LN(INDEX(Dic2024!$N$6:$N$205,C683)))*(A683-6*C683)/6))</f>
        <v>0.0372492858134922</v>
      </c>
      <c r="K683" s="12" t="n">
        <f aca="false">J683^(-1/B683)-1</f>
        <v>0.0598702500000001</v>
      </c>
      <c r="L683" s="12" t="n">
        <f aca="false">(1+K683)^(1/12)-1</f>
        <v>0.0048572998672296</v>
      </c>
    </row>
    <row r="684" customFormat="false" ht="15" hidden="false" customHeight="false" outlineLevel="0" collapsed="false">
      <c r="A684" s="4" t="n">
        <v>680</v>
      </c>
      <c r="B684" s="14" t="n">
        <f aca="false">A684/12</f>
        <v>56.6666666666667</v>
      </c>
      <c r="C684" s="15" t="n">
        <f aca="false">INT(A684/6)</f>
        <v>113</v>
      </c>
      <c r="D684" s="16" t="n">
        <f aca="false">IF(C684=0,(1+Dic2024!$G$6)^(-B684),EXP(LN(INDEX(Dic2024!$H$6:$H$205,C684))+(LN(INDEX(Dic2024!$H$6:$H$205,MIN(C684+1,200)))-LN(INDEX(Dic2024!$H$6:$H$205,C684)))*(A684-6*C684)/6))</f>
        <v>0.0370692294502054</v>
      </c>
      <c r="E684" s="12" t="n">
        <f aca="false">D684^(-1/B684)-1</f>
        <v>0.0598702500000001</v>
      </c>
      <c r="F684" s="12" t="n">
        <f aca="false">(1+E684)^(1/12)-1</f>
        <v>0.0048572998672296</v>
      </c>
      <c r="G684" s="16" t="n">
        <f aca="false">IF(C684=0,(1+Dic2024!$J$6)^(-B684),EXP(LN(INDEX(Dic2024!$K$6:$K$205,C684))+(LN(INDEX(Dic2024!$K$6:$K$205,MIN(C684+1,200)))-LN(INDEX(Dic2024!$K$6:$K$205,C684)))*(A684-6*C684)/6))</f>
        <v>0.0370692294502054</v>
      </c>
      <c r="H684" s="12" t="n">
        <f aca="false">G684^(-1/B684)-1</f>
        <v>0.0598702500000001</v>
      </c>
      <c r="I684" s="12" t="n">
        <f aca="false">(1+H684)^(1/12)-1</f>
        <v>0.0048572998672296</v>
      </c>
      <c r="J684" s="16" t="n">
        <f aca="false">IF(C684=0,(1+Dic2024!$M$6)^(-B684),EXP(LN(INDEX(Dic2024!$N$6:$N$205,C684))+(LN(INDEX(Dic2024!$N$6:$N$205,MIN(C684+1,200)))-LN(INDEX(Dic2024!$N$6:$N$205,C684)))*(A684-6*C684)/6))</f>
        <v>0.0370692294502054</v>
      </c>
      <c r="K684" s="12" t="n">
        <f aca="false">J684^(-1/B684)-1</f>
        <v>0.0598702500000001</v>
      </c>
      <c r="L684" s="12" t="n">
        <f aca="false">(1+K684)^(1/12)-1</f>
        <v>0.0048572998672296</v>
      </c>
    </row>
    <row r="685" customFormat="false" ht="15" hidden="false" customHeight="false" outlineLevel="0" collapsed="false">
      <c r="A685" s="4" t="n">
        <v>681</v>
      </c>
      <c r="B685" s="14" t="n">
        <f aca="false">A685/12</f>
        <v>56.75</v>
      </c>
      <c r="C685" s="15" t="n">
        <f aca="false">INT(A685/6)</f>
        <v>113</v>
      </c>
      <c r="D685" s="16" t="n">
        <f aca="false">IF(C685=0,(1+Dic2024!$G$6)^(-B685),EXP(LN(INDEX(Dic2024!$H$6:$H$205,C685))+(LN(INDEX(Dic2024!$H$6:$H$205,MIN(C685+1,200)))-LN(INDEX(Dic2024!$H$6:$H$205,C685)))*(A685-6*C685)/6))</f>
        <v>0.0368900434470678</v>
      </c>
      <c r="E685" s="12" t="n">
        <f aca="false">D685^(-1/B685)-1</f>
        <v>0.0598702500000001</v>
      </c>
      <c r="F685" s="12" t="n">
        <f aca="false">(1+E685)^(1/12)-1</f>
        <v>0.0048572998672296</v>
      </c>
      <c r="G685" s="16" t="n">
        <f aca="false">IF(C685=0,(1+Dic2024!$J$6)^(-B685),EXP(LN(INDEX(Dic2024!$K$6:$K$205,C685))+(LN(INDEX(Dic2024!$K$6:$K$205,MIN(C685+1,200)))-LN(INDEX(Dic2024!$K$6:$K$205,C685)))*(A685-6*C685)/6))</f>
        <v>0.0368900434470678</v>
      </c>
      <c r="H685" s="12" t="n">
        <f aca="false">G685^(-1/B685)-1</f>
        <v>0.0598702500000001</v>
      </c>
      <c r="I685" s="12" t="n">
        <f aca="false">(1+H685)^(1/12)-1</f>
        <v>0.0048572998672296</v>
      </c>
      <c r="J685" s="16" t="n">
        <f aca="false">IF(C685=0,(1+Dic2024!$M$6)^(-B685),EXP(LN(INDEX(Dic2024!$N$6:$N$205,C685))+(LN(INDEX(Dic2024!$N$6:$N$205,MIN(C685+1,200)))-LN(INDEX(Dic2024!$N$6:$N$205,C685)))*(A685-6*C685)/6))</f>
        <v>0.0368900434470678</v>
      </c>
      <c r="K685" s="12" t="n">
        <f aca="false">J685^(-1/B685)-1</f>
        <v>0.0598702500000001</v>
      </c>
      <c r="L685" s="12" t="n">
        <f aca="false">(1+K685)^(1/12)-1</f>
        <v>0.0048572998672296</v>
      </c>
    </row>
    <row r="686" customFormat="false" ht="15" hidden="false" customHeight="false" outlineLevel="0" collapsed="false">
      <c r="A686" s="4" t="n">
        <v>682</v>
      </c>
      <c r="B686" s="14" t="n">
        <f aca="false">A686/12</f>
        <v>56.8333333333333</v>
      </c>
      <c r="C686" s="15" t="n">
        <f aca="false">INT(A686/6)</f>
        <v>113</v>
      </c>
      <c r="D686" s="16" t="n">
        <f aca="false">IF(C686=0,(1+Dic2024!$G$6)^(-B686),EXP(LN(INDEX(Dic2024!$H$6:$H$205,C686))+(LN(INDEX(Dic2024!$H$6:$H$205,MIN(C686+1,200)))-LN(INDEX(Dic2024!$H$6:$H$205,C686)))*(A686-6*C686)/6))</f>
        <v>0.0367117235969148</v>
      </c>
      <c r="E686" s="12" t="n">
        <f aca="false">D686^(-1/B686)-1</f>
        <v>0.0598702500000001</v>
      </c>
      <c r="F686" s="12" t="n">
        <f aca="false">(1+E686)^(1/12)-1</f>
        <v>0.0048572998672296</v>
      </c>
      <c r="G686" s="16" t="n">
        <f aca="false">IF(C686=0,(1+Dic2024!$J$6)^(-B686),EXP(LN(INDEX(Dic2024!$K$6:$K$205,C686))+(LN(INDEX(Dic2024!$K$6:$K$205,MIN(C686+1,200)))-LN(INDEX(Dic2024!$K$6:$K$205,C686)))*(A686-6*C686)/6))</f>
        <v>0.0367117235969148</v>
      </c>
      <c r="H686" s="12" t="n">
        <f aca="false">G686^(-1/B686)-1</f>
        <v>0.0598702500000001</v>
      </c>
      <c r="I686" s="12" t="n">
        <f aca="false">(1+H686)^(1/12)-1</f>
        <v>0.0048572998672296</v>
      </c>
      <c r="J686" s="16" t="n">
        <f aca="false">IF(C686=0,(1+Dic2024!$M$6)^(-B686),EXP(LN(INDEX(Dic2024!$N$6:$N$205,C686))+(LN(INDEX(Dic2024!$N$6:$N$205,MIN(C686+1,200)))-LN(INDEX(Dic2024!$N$6:$N$205,C686)))*(A686-6*C686)/6))</f>
        <v>0.0367117235969148</v>
      </c>
      <c r="K686" s="12" t="n">
        <f aca="false">J686^(-1/B686)-1</f>
        <v>0.0598702500000001</v>
      </c>
      <c r="L686" s="12" t="n">
        <f aca="false">(1+K686)^(1/12)-1</f>
        <v>0.0048572998672296</v>
      </c>
    </row>
    <row r="687" customFormat="false" ht="15" hidden="false" customHeight="false" outlineLevel="0" collapsed="false">
      <c r="A687" s="4" t="n">
        <v>683</v>
      </c>
      <c r="B687" s="14" t="n">
        <f aca="false">A687/12</f>
        <v>56.9166666666667</v>
      </c>
      <c r="C687" s="15" t="n">
        <f aca="false">INT(A687/6)</f>
        <v>113</v>
      </c>
      <c r="D687" s="16" t="n">
        <f aca="false">IF(C687=0,(1+Dic2024!$G$6)^(-B687),EXP(LN(INDEX(Dic2024!$H$6:$H$205,C687))+(LN(INDEX(Dic2024!$H$6:$H$205,MIN(C687+1,200)))-LN(INDEX(Dic2024!$H$6:$H$205,C687)))*(A687-6*C687)/6))</f>
        <v>0.0365342657129181</v>
      </c>
      <c r="E687" s="12" t="n">
        <f aca="false">D687^(-1/B687)-1</f>
        <v>0.0598702500000001</v>
      </c>
      <c r="F687" s="12" t="n">
        <f aca="false">(1+E687)^(1/12)-1</f>
        <v>0.0048572998672296</v>
      </c>
      <c r="G687" s="16" t="n">
        <f aca="false">IF(C687=0,(1+Dic2024!$J$6)^(-B687),EXP(LN(INDEX(Dic2024!$K$6:$K$205,C687))+(LN(INDEX(Dic2024!$K$6:$K$205,MIN(C687+1,200)))-LN(INDEX(Dic2024!$K$6:$K$205,C687)))*(A687-6*C687)/6))</f>
        <v>0.0365342657129181</v>
      </c>
      <c r="H687" s="12" t="n">
        <f aca="false">G687^(-1/B687)-1</f>
        <v>0.0598702500000001</v>
      </c>
      <c r="I687" s="12" t="n">
        <f aca="false">(1+H687)^(1/12)-1</f>
        <v>0.0048572998672296</v>
      </c>
      <c r="J687" s="16" t="n">
        <f aca="false">IF(C687=0,(1+Dic2024!$M$6)^(-B687),EXP(LN(INDEX(Dic2024!$N$6:$N$205,C687))+(LN(INDEX(Dic2024!$N$6:$N$205,MIN(C687+1,200)))-LN(INDEX(Dic2024!$N$6:$N$205,C687)))*(A687-6*C687)/6))</f>
        <v>0.0365342657129181</v>
      </c>
      <c r="K687" s="12" t="n">
        <f aca="false">J687^(-1/B687)-1</f>
        <v>0.0598702500000001</v>
      </c>
      <c r="L687" s="12" t="n">
        <f aca="false">(1+K687)^(1/12)-1</f>
        <v>0.0048572998672296</v>
      </c>
    </row>
    <row r="688" customFormat="false" ht="15" hidden="false" customHeight="false" outlineLevel="0" collapsed="false">
      <c r="A688" s="4" t="n">
        <v>684</v>
      </c>
      <c r="B688" s="14" t="n">
        <f aca="false">A688/12</f>
        <v>57</v>
      </c>
      <c r="C688" s="15" t="n">
        <f aca="false">INT(A688/6)</f>
        <v>114</v>
      </c>
      <c r="D688" s="16" t="n">
        <f aca="false">IF(C688=0,(1+Dic2024!$G$6)^(-B688),EXP(LN(INDEX(Dic2024!$H$6:$H$205,C688))+(LN(INDEX(Dic2024!$H$6:$H$205,MIN(C688+1,200)))-LN(INDEX(Dic2024!$H$6:$H$205,C688)))*(A688-6*C688)/6))</f>
        <v>0.0363576656284881</v>
      </c>
      <c r="E688" s="12" t="n">
        <f aca="false">D688^(-1/B688)-1</f>
        <v>0.0598702500000001</v>
      </c>
      <c r="F688" s="12" t="n">
        <f aca="false">(1+E688)^(1/12)-1</f>
        <v>0.0048572998672296</v>
      </c>
      <c r="G688" s="16" t="n">
        <f aca="false">IF(C688=0,(1+Dic2024!$J$6)^(-B688),EXP(LN(INDEX(Dic2024!$K$6:$K$205,C688))+(LN(INDEX(Dic2024!$K$6:$K$205,MIN(C688+1,200)))-LN(INDEX(Dic2024!$K$6:$K$205,C688)))*(A688-6*C688)/6))</f>
        <v>0.0363576656284881</v>
      </c>
      <c r="H688" s="12" t="n">
        <f aca="false">G688^(-1/B688)-1</f>
        <v>0.0598702500000001</v>
      </c>
      <c r="I688" s="12" t="n">
        <f aca="false">(1+H688)^(1/12)-1</f>
        <v>0.0048572998672296</v>
      </c>
      <c r="J688" s="16" t="n">
        <f aca="false">IF(C688=0,(1+Dic2024!$M$6)^(-B688),EXP(LN(INDEX(Dic2024!$N$6:$N$205,C688))+(LN(INDEX(Dic2024!$N$6:$N$205,MIN(C688+1,200)))-LN(INDEX(Dic2024!$N$6:$N$205,C688)))*(A688-6*C688)/6))</f>
        <v>0.0363576656284881</v>
      </c>
      <c r="K688" s="12" t="n">
        <f aca="false">J688^(-1/B688)-1</f>
        <v>0.0598702500000001</v>
      </c>
      <c r="L688" s="12" t="n">
        <f aca="false">(1+K688)^(1/12)-1</f>
        <v>0.0048572998672296</v>
      </c>
    </row>
    <row r="689" customFormat="false" ht="15" hidden="false" customHeight="false" outlineLevel="0" collapsed="false">
      <c r="A689" s="4" t="n">
        <v>685</v>
      </c>
      <c r="B689" s="14" t="n">
        <f aca="false">A689/12</f>
        <v>57.0833333333333</v>
      </c>
      <c r="C689" s="15" t="n">
        <f aca="false">INT(A689/6)</f>
        <v>114</v>
      </c>
      <c r="D689" s="16" t="n">
        <f aca="false">IF(C689=0,(1+Dic2024!$G$6)^(-B689),EXP(LN(INDEX(Dic2024!$H$6:$H$205,C689))+(LN(INDEX(Dic2024!$H$6:$H$205,MIN(C689+1,200)))-LN(INDEX(Dic2024!$H$6:$H$205,C689)))*(A689-6*C689)/6))</f>
        <v>0.0361819191971755</v>
      </c>
      <c r="E689" s="12" t="n">
        <f aca="false">D689^(-1/B689)-1</f>
        <v>0.0598702500000001</v>
      </c>
      <c r="F689" s="12" t="n">
        <f aca="false">(1+E689)^(1/12)-1</f>
        <v>0.0048572998672296</v>
      </c>
      <c r="G689" s="16" t="n">
        <f aca="false">IF(C689=0,(1+Dic2024!$J$6)^(-B689),EXP(LN(INDEX(Dic2024!$K$6:$K$205,C689))+(LN(INDEX(Dic2024!$K$6:$K$205,MIN(C689+1,200)))-LN(INDEX(Dic2024!$K$6:$K$205,C689)))*(A689-6*C689)/6))</f>
        <v>0.0361819191971755</v>
      </c>
      <c r="H689" s="12" t="n">
        <f aca="false">G689^(-1/B689)-1</f>
        <v>0.0598702500000001</v>
      </c>
      <c r="I689" s="12" t="n">
        <f aca="false">(1+H689)^(1/12)-1</f>
        <v>0.0048572998672296</v>
      </c>
      <c r="J689" s="16" t="n">
        <f aca="false">IF(C689=0,(1+Dic2024!$M$6)^(-B689),EXP(LN(INDEX(Dic2024!$N$6:$N$205,C689))+(LN(INDEX(Dic2024!$N$6:$N$205,MIN(C689+1,200)))-LN(INDEX(Dic2024!$N$6:$N$205,C689)))*(A689-6*C689)/6))</f>
        <v>0.0361819191971755</v>
      </c>
      <c r="K689" s="12" t="n">
        <f aca="false">J689^(-1/B689)-1</f>
        <v>0.0598702500000001</v>
      </c>
      <c r="L689" s="12" t="n">
        <f aca="false">(1+K689)^(1/12)-1</f>
        <v>0.0048572998672296</v>
      </c>
    </row>
    <row r="690" customFormat="false" ht="15" hidden="false" customHeight="false" outlineLevel="0" collapsed="false">
      <c r="A690" s="4" t="n">
        <v>686</v>
      </c>
      <c r="B690" s="14" t="n">
        <f aca="false">A690/12</f>
        <v>57.1666666666667</v>
      </c>
      <c r="C690" s="15" t="n">
        <f aca="false">INT(A690/6)</f>
        <v>114</v>
      </c>
      <c r="D690" s="16" t="n">
        <f aca="false">IF(C690=0,(1+Dic2024!$G$6)^(-B690),EXP(LN(INDEX(Dic2024!$H$6:$H$205,C690))+(LN(INDEX(Dic2024!$H$6:$H$205,MIN(C690+1,200)))-LN(INDEX(Dic2024!$H$6:$H$205,C690)))*(A690-6*C690)/6))</f>
        <v>0.0360070222925744</v>
      </c>
      <c r="E690" s="12" t="n">
        <f aca="false">D690^(-1/B690)-1</f>
        <v>0.0598702500000001</v>
      </c>
      <c r="F690" s="12" t="n">
        <f aca="false">(1+E690)^(1/12)-1</f>
        <v>0.0048572998672296</v>
      </c>
      <c r="G690" s="16" t="n">
        <f aca="false">IF(C690=0,(1+Dic2024!$J$6)^(-B690),EXP(LN(INDEX(Dic2024!$K$6:$K$205,C690))+(LN(INDEX(Dic2024!$K$6:$K$205,MIN(C690+1,200)))-LN(INDEX(Dic2024!$K$6:$K$205,C690)))*(A690-6*C690)/6))</f>
        <v>0.0360070222925744</v>
      </c>
      <c r="H690" s="12" t="n">
        <f aca="false">G690^(-1/B690)-1</f>
        <v>0.0598702500000001</v>
      </c>
      <c r="I690" s="12" t="n">
        <f aca="false">(1+H690)^(1/12)-1</f>
        <v>0.0048572998672296</v>
      </c>
      <c r="J690" s="16" t="n">
        <f aca="false">IF(C690=0,(1+Dic2024!$M$6)^(-B690),EXP(LN(INDEX(Dic2024!$N$6:$N$205,C690))+(LN(INDEX(Dic2024!$N$6:$N$205,MIN(C690+1,200)))-LN(INDEX(Dic2024!$N$6:$N$205,C690)))*(A690-6*C690)/6))</f>
        <v>0.0360070222925744</v>
      </c>
      <c r="K690" s="12" t="n">
        <f aca="false">J690^(-1/B690)-1</f>
        <v>0.0598702500000001</v>
      </c>
      <c r="L690" s="12" t="n">
        <f aca="false">(1+K690)^(1/12)-1</f>
        <v>0.0048572998672296</v>
      </c>
    </row>
    <row r="691" customFormat="false" ht="15" hidden="false" customHeight="false" outlineLevel="0" collapsed="false">
      <c r="A691" s="4" t="n">
        <v>687</v>
      </c>
      <c r="B691" s="14" t="n">
        <f aca="false">A691/12</f>
        <v>57.25</v>
      </c>
      <c r="C691" s="15" t="n">
        <f aca="false">INT(A691/6)</f>
        <v>114</v>
      </c>
      <c r="D691" s="16" t="n">
        <f aca="false">IF(C691=0,(1+Dic2024!$G$6)^(-B691),EXP(LN(INDEX(Dic2024!$H$6:$H$205,C691))+(LN(INDEX(Dic2024!$H$6:$H$205,MIN(C691+1,200)))-LN(INDEX(Dic2024!$H$6:$H$205,C691)))*(A691-6*C691)/6))</f>
        <v>0.0358329708082252</v>
      </c>
      <c r="E691" s="12" t="n">
        <f aca="false">D691^(-1/B691)-1</f>
        <v>0.0598702500000001</v>
      </c>
      <c r="F691" s="12" t="n">
        <f aca="false">(1+E691)^(1/12)-1</f>
        <v>0.0048572998672296</v>
      </c>
      <c r="G691" s="16" t="n">
        <f aca="false">IF(C691=0,(1+Dic2024!$J$6)^(-B691),EXP(LN(INDEX(Dic2024!$K$6:$K$205,C691))+(LN(INDEX(Dic2024!$K$6:$K$205,MIN(C691+1,200)))-LN(INDEX(Dic2024!$K$6:$K$205,C691)))*(A691-6*C691)/6))</f>
        <v>0.0358329708082252</v>
      </c>
      <c r="H691" s="12" t="n">
        <f aca="false">G691^(-1/B691)-1</f>
        <v>0.0598702500000001</v>
      </c>
      <c r="I691" s="12" t="n">
        <f aca="false">(1+H691)^(1/12)-1</f>
        <v>0.0048572998672296</v>
      </c>
      <c r="J691" s="16" t="n">
        <f aca="false">IF(C691=0,(1+Dic2024!$M$6)^(-B691),EXP(LN(INDEX(Dic2024!$N$6:$N$205,C691))+(LN(INDEX(Dic2024!$N$6:$N$205,MIN(C691+1,200)))-LN(INDEX(Dic2024!$N$6:$N$205,C691)))*(A691-6*C691)/6))</f>
        <v>0.0358329708082252</v>
      </c>
      <c r="K691" s="12" t="n">
        <f aca="false">J691^(-1/B691)-1</f>
        <v>0.0598702500000001</v>
      </c>
      <c r="L691" s="12" t="n">
        <f aca="false">(1+K691)^(1/12)-1</f>
        <v>0.0048572998672296</v>
      </c>
    </row>
    <row r="692" customFormat="false" ht="15" hidden="false" customHeight="false" outlineLevel="0" collapsed="false">
      <c r="A692" s="4" t="n">
        <v>688</v>
      </c>
      <c r="B692" s="14" t="n">
        <f aca="false">A692/12</f>
        <v>57.3333333333333</v>
      </c>
      <c r="C692" s="15" t="n">
        <f aca="false">INT(A692/6)</f>
        <v>114</v>
      </c>
      <c r="D692" s="16" t="n">
        <f aca="false">IF(C692=0,(1+Dic2024!$G$6)^(-B692),EXP(LN(INDEX(Dic2024!$H$6:$H$205,C692))+(LN(INDEX(Dic2024!$H$6:$H$205,MIN(C692+1,200)))-LN(INDEX(Dic2024!$H$6:$H$205,C692)))*(A692-6*C692)/6))</f>
        <v>0.035659760657518</v>
      </c>
      <c r="E692" s="12" t="n">
        <f aca="false">D692^(-1/B692)-1</f>
        <v>0.0598702500000001</v>
      </c>
      <c r="F692" s="12" t="n">
        <f aca="false">(1+E692)^(1/12)-1</f>
        <v>0.0048572998672296</v>
      </c>
      <c r="G692" s="16" t="n">
        <f aca="false">IF(C692=0,(1+Dic2024!$J$6)^(-B692),EXP(LN(INDEX(Dic2024!$K$6:$K$205,C692))+(LN(INDEX(Dic2024!$K$6:$K$205,MIN(C692+1,200)))-LN(INDEX(Dic2024!$K$6:$K$205,C692)))*(A692-6*C692)/6))</f>
        <v>0.035659760657518</v>
      </c>
      <c r="H692" s="12" t="n">
        <f aca="false">G692^(-1/B692)-1</f>
        <v>0.0598702500000001</v>
      </c>
      <c r="I692" s="12" t="n">
        <f aca="false">(1+H692)^(1/12)-1</f>
        <v>0.0048572998672296</v>
      </c>
      <c r="J692" s="16" t="n">
        <f aca="false">IF(C692=0,(1+Dic2024!$M$6)^(-B692),EXP(LN(INDEX(Dic2024!$N$6:$N$205,C692))+(LN(INDEX(Dic2024!$N$6:$N$205,MIN(C692+1,200)))-LN(INDEX(Dic2024!$N$6:$N$205,C692)))*(A692-6*C692)/6))</f>
        <v>0.035659760657518</v>
      </c>
      <c r="K692" s="12" t="n">
        <f aca="false">J692^(-1/B692)-1</f>
        <v>0.0598702500000001</v>
      </c>
      <c r="L692" s="12" t="n">
        <f aca="false">(1+K692)^(1/12)-1</f>
        <v>0.0048572998672296</v>
      </c>
    </row>
    <row r="693" customFormat="false" ht="15" hidden="false" customHeight="false" outlineLevel="0" collapsed="false">
      <c r="A693" s="4" t="n">
        <v>689</v>
      </c>
      <c r="B693" s="14" t="n">
        <f aca="false">A693/12</f>
        <v>57.4166666666667</v>
      </c>
      <c r="C693" s="15" t="n">
        <f aca="false">INT(A693/6)</f>
        <v>114</v>
      </c>
      <c r="D693" s="16" t="n">
        <f aca="false">IF(C693=0,(1+Dic2024!$G$6)^(-B693),EXP(LN(INDEX(Dic2024!$H$6:$H$205,C693))+(LN(INDEX(Dic2024!$H$6:$H$205,MIN(C693+1,200)))-LN(INDEX(Dic2024!$H$6:$H$205,C693)))*(A693-6*C693)/6))</f>
        <v>0.035487387773597</v>
      </c>
      <c r="E693" s="12" t="n">
        <f aca="false">D693^(-1/B693)-1</f>
        <v>0.0598702500000001</v>
      </c>
      <c r="F693" s="12" t="n">
        <f aca="false">(1+E693)^(1/12)-1</f>
        <v>0.0048572998672296</v>
      </c>
      <c r="G693" s="16" t="n">
        <f aca="false">IF(C693=0,(1+Dic2024!$J$6)^(-B693),EXP(LN(INDEX(Dic2024!$K$6:$K$205,C693))+(LN(INDEX(Dic2024!$K$6:$K$205,MIN(C693+1,200)))-LN(INDEX(Dic2024!$K$6:$K$205,C693)))*(A693-6*C693)/6))</f>
        <v>0.035487387773597</v>
      </c>
      <c r="H693" s="12" t="n">
        <f aca="false">G693^(-1/B693)-1</f>
        <v>0.0598702500000001</v>
      </c>
      <c r="I693" s="12" t="n">
        <f aca="false">(1+H693)^(1/12)-1</f>
        <v>0.0048572998672296</v>
      </c>
      <c r="J693" s="16" t="n">
        <f aca="false">IF(C693=0,(1+Dic2024!$M$6)^(-B693),EXP(LN(INDEX(Dic2024!$N$6:$N$205,C693))+(LN(INDEX(Dic2024!$N$6:$N$205,MIN(C693+1,200)))-LN(INDEX(Dic2024!$N$6:$N$205,C693)))*(A693-6*C693)/6))</f>
        <v>0.035487387773597</v>
      </c>
      <c r="K693" s="12" t="n">
        <f aca="false">J693^(-1/B693)-1</f>
        <v>0.0598702500000001</v>
      </c>
      <c r="L693" s="12" t="n">
        <f aca="false">(1+K693)^(1/12)-1</f>
        <v>0.0048572998672296</v>
      </c>
    </row>
    <row r="694" customFormat="false" ht="15" hidden="false" customHeight="false" outlineLevel="0" collapsed="false">
      <c r="A694" s="4" t="n">
        <v>690</v>
      </c>
      <c r="B694" s="14" t="n">
        <f aca="false">A694/12</f>
        <v>57.5</v>
      </c>
      <c r="C694" s="15" t="n">
        <f aca="false">INT(A694/6)</f>
        <v>115</v>
      </c>
      <c r="D694" s="16" t="n">
        <f aca="false">IF(C694=0,(1+Dic2024!$G$6)^(-B694),EXP(LN(INDEX(Dic2024!$H$6:$H$205,C694))+(LN(INDEX(Dic2024!$H$6:$H$205,MIN(C694+1,200)))-LN(INDEX(Dic2024!$H$6:$H$205,C694)))*(A694-6*C694)/6))</f>
        <v>0.0353158481092647</v>
      </c>
      <c r="E694" s="12" t="n">
        <f aca="false">D694^(-1/B694)-1</f>
        <v>0.0598702500000001</v>
      </c>
      <c r="F694" s="12" t="n">
        <f aca="false">(1+E694)^(1/12)-1</f>
        <v>0.0048572998672296</v>
      </c>
      <c r="G694" s="16" t="n">
        <f aca="false">IF(C694=0,(1+Dic2024!$J$6)^(-B694),EXP(LN(INDEX(Dic2024!$K$6:$K$205,C694))+(LN(INDEX(Dic2024!$K$6:$K$205,MIN(C694+1,200)))-LN(INDEX(Dic2024!$K$6:$K$205,C694)))*(A694-6*C694)/6))</f>
        <v>0.0353158481092647</v>
      </c>
      <c r="H694" s="12" t="n">
        <f aca="false">G694^(-1/B694)-1</f>
        <v>0.0598702500000001</v>
      </c>
      <c r="I694" s="12" t="n">
        <f aca="false">(1+H694)^(1/12)-1</f>
        <v>0.0048572998672296</v>
      </c>
      <c r="J694" s="16" t="n">
        <f aca="false">IF(C694=0,(1+Dic2024!$M$6)^(-B694),EXP(LN(INDEX(Dic2024!$N$6:$N$205,C694))+(LN(INDEX(Dic2024!$N$6:$N$205,MIN(C694+1,200)))-LN(INDEX(Dic2024!$N$6:$N$205,C694)))*(A694-6*C694)/6))</f>
        <v>0.0353158481092647</v>
      </c>
      <c r="K694" s="12" t="n">
        <f aca="false">J694^(-1/B694)-1</f>
        <v>0.0598702500000001</v>
      </c>
      <c r="L694" s="12" t="n">
        <f aca="false">(1+K694)^(1/12)-1</f>
        <v>0.0048572998672296</v>
      </c>
    </row>
    <row r="695" customFormat="false" ht="15" hidden="false" customHeight="false" outlineLevel="0" collapsed="false">
      <c r="A695" s="4" t="n">
        <v>691</v>
      </c>
      <c r="B695" s="14" t="n">
        <f aca="false">A695/12</f>
        <v>57.5833333333333</v>
      </c>
      <c r="C695" s="15" t="n">
        <f aca="false">INT(A695/6)</f>
        <v>115</v>
      </c>
      <c r="D695" s="16" t="n">
        <f aca="false">IF(C695=0,(1+Dic2024!$G$6)^(-B695),EXP(LN(INDEX(Dic2024!$H$6:$H$205,C695))+(LN(INDEX(Dic2024!$H$6:$H$205,MIN(C695+1,200)))-LN(INDEX(Dic2024!$H$6:$H$205,C695)))*(A695-6*C695)/6))</f>
        <v>0.0351451376368873</v>
      </c>
      <c r="E695" s="12" t="n">
        <f aca="false">D695^(-1/B695)-1</f>
        <v>0.0598702500000001</v>
      </c>
      <c r="F695" s="12" t="n">
        <f aca="false">(1+E695)^(1/12)-1</f>
        <v>0.0048572998672296</v>
      </c>
      <c r="G695" s="16" t="n">
        <f aca="false">IF(C695=0,(1+Dic2024!$J$6)^(-B695),EXP(LN(INDEX(Dic2024!$K$6:$K$205,C695))+(LN(INDEX(Dic2024!$K$6:$K$205,MIN(C695+1,200)))-LN(INDEX(Dic2024!$K$6:$K$205,C695)))*(A695-6*C695)/6))</f>
        <v>0.0351451376368873</v>
      </c>
      <c r="H695" s="12" t="n">
        <f aca="false">G695^(-1/B695)-1</f>
        <v>0.0598702500000001</v>
      </c>
      <c r="I695" s="12" t="n">
        <f aca="false">(1+H695)^(1/12)-1</f>
        <v>0.0048572998672296</v>
      </c>
      <c r="J695" s="16" t="n">
        <f aca="false">IF(C695=0,(1+Dic2024!$M$6)^(-B695),EXP(LN(INDEX(Dic2024!$N$6:$N$205,C695))+(LN(INDEX(Dic2024!$N$6:$N$205,MIN(C695+1,200)))-LN(INDEX(Dic2024!$N$6:$N$205,C695)))*(A695-6*C695)/6))</f>
        <v>0.0351451376368873</v>
      </c>
      <c r="K695" s="12" t="n">
        <f aca="false">J695^(-1/B695)-1</f>
        <v>0.0598702500000001</v>
      </c>
      <c r="L695" s="12" t="n">
        <f aca="false">(1+K695)^(1/12)-1</f>
        <v>0.0048572998672296</v>
      </c>
    </row>
    <row r="696" customFormat="false" ht="15" hidden="false" customHeight="false" outlineLevel="0" collapsed="false">
      <c r="A696" s="4" t="n">
        <v>692</v>
      </c>
      <c r="B696" s="14" t="n">
        <f aca="false">A696/12</f>
        <v>57.6666666666667</v>
      </c>
      <c r="C696" s="15" t="n">
        <f aca="false">INT(A696/6)</f>
        <v>115</v>
      </c>
      <c r="D696" s="16" t="n">
        <f aca="false">IF(C696=0,(1+Dic2024!$G$6)^(-B696),EXP(LN(INDEX(Dic2024!$H$6:$H$205,C696))+(LN(INDEX(Dic2024!$H$6:$H$205,MIN(C696+1,200)))-LN(INDEX(Dic2024!$H$6:$H$205,C696)))*(A696-6*C696)/6))</f>
        <v>0.0349752523482996</v>
      </c>
      <c r="E696" s="12" t="n">
        <f aca="false">D696^(-1/B696)-1</f>
        <v>0.0598702500000001</v>
      </c>
      <c r="F696" s="12" t="n">
        <f aca="false">(1+E696)^(1/12)-1</f>
        <v>0.0048572998672296</v>
      </c>
      <c r="G696" s="16" t="n">
        <f aca="false">IF(C696=0,(1+Dic2024!$J$6)^(-B696),EXP(LN(INDEX(Dic2024!$K$6:$K$205,C696))+(LN(INDEX(Dic2024!$K$6:$K$205,MIN(C696+1,200)))-LN(INDEX(Dic2024!$K$6:$K$205,C696)))*(A696-6*C696)/6))</f>
        <v>0.0349752523482996</v>
      </c>
      <c r="H696" s="12" t="n">
        <f aca="false">G696^(-1/B696)-1</f>
        <v>0.0598702500000001</v>
      </c>
      <c r="I696" s="12" t="n">
        <f aca="false">(1+H696)^(1/12)-1</f>
        <v>0.0048572998672296</v>
      </c>
      <c r="J696" s="16" t="n">
        <f aca="false">IF(C696=0,(1+Dic2024!$M$6)^(-B696),EXP(LN(INDEX(Dic2024!$N$6:$N$205,C696))+(LN(INDEX(Dic2024!$N$6:$N$205,MIN(C696+1,200)))-LN(INDEX(Dic2024!$N$6:$N$205,C696)))*(A696-6*C696)/6))</f>
        <v>0.0349752523482996</v>
      </c>
      <c r="K696" s="12" t="n">
        <f aca="false">J696^(-1/B696)-1</f>
        <v>0.0598702500000001</v>
      </c>
      <c r="L696" s="12" t="n">
        <f aca="false">(1+K696)^(1/12)-1</f>
        <v>0.0048572998672296</v>
      </c>
    </row>
    <row r="697" customFormat="false" ht="15" hidden="false" customHeight="false" outlineLevel="0" collapsed="false">
      <c r="A697" s="4" t="n">
        <v>693</v>
      </c>
      <c r="B697" s="14" t="n">
        <f aca="false">A697/12</f>
        <v>57.75</v>
      </c>
      <c r="C697" s="15" t="n">
        <f aca="false">INT(A697/6)</f>
        <v>115</v>
      </c>
      <c r="D697" s="16" t="n">
        <f aca="false">IF(C697=0,(1+Dic2024!$G$6)^(-B697),EXP(LN(INDEX(Dic2024!$H$6:$H$205,C697))+(LN(INDEX(Dic2024!$H$6:$H$205,MIN(C697+1,200)))-LN(INDEX(Dic2024!$H$6:$H$205,C697)))*(A697-6*C697)/6))</f>
        <v>0.0348061882547112</v>
      </c>
      <c r="E697" s="12" t="n">
        <f aca="false">D697^(-1/B697)-1</f>
        <v>0.0598702500000001</v>
      </c>
      <c r="F697" s="12" t="n">
        <f aca="false">(1+E697)^(1/12)-1</f>
        <v>0.0048572998672296</v>
      </c>
      <c r="G697" s="16" t="n">
        <f aca="false">IF(C697=0,(1+Dic2024!$J$6)^(-B697),EXP(LN(INDEX(Dic2024!$K$6:$K$205,C697))+(LN(INDEX(Dic2024!$K$6:$K$205,MIN(C697+1,200)))-LN(INDEX(Dic2024!$K$6:$K$205,C697)))*(A697-6*C697)/6))</f>
        <v>0.0348061882547112</v>
      </c>
      <c r="H697" s="12" t="n">
        <f aca="false">G697^(-1/B697)-1</f>
        <v>0.0598702500000001</v>
      </c>
      <c r="I697" s="12" t="n">
        <f aca="false">(1+H697)^(1/12)-1</f>
        <v>0.0048572998672296</v>
      </c>
      <c r="J697" s="16" t="n">
        <f aca="false">IF(C697=0,(1+Dic2024!$M$6)^(-B697),EXP(LN(INDEX(Dic2024!$N$6:$N$205,C697))+(LN(INDEX(Dic2024!$N$6:$N$205,MIN(C697+1,200)))-LN(INDEX(Dic2024!$N$6:$N$205,C697)))*(A697-6*C697)/6))</f>
        <v>0.0348061882547112</v>
      </c>
      <c r="K697" s="12" t="n">
        <f aca="false">J697^(-1/B697)-1</f>
        <v>0.0598702500000001</v>
      </c>
      <c r="L697" s="12" t="n">
        <f aca="false">(1+K697)^(1/12)-1</f>
        <v>0.0048572998672296</v>
      </c>
    </row>
    <row r="698" customFormat="false" ht="15" hidden="false" customHeight="false" outlineLevel="0" collapsed="false">
      <c r="A698" s="4" t="n">
        <v>694</v>
      </c>
      <c r="B698" s="14" t="n">
        <f aca="false">A698/12</f>
        <v>57.8333333333333</v>
      </c>
      <c r="C698" s="15" t="n">
        <f aca="false">INT(A698/6)</f>
        <v>115</v>
      </c>
      <c r="D698" s="16" t="n">
        <f aca="false">IF(C698=0,(1+Dic2024!$G$6)^(-B698),EXP(LN(INDEX(Dic2024!$H$6:$H$205,C698))+(LN(INDEX(Dic2024!$H$6:$H$205,MIN(C698+1,200)))-LN(INDEX(Dic2024!$H$6:$H$205,C698)))*(A698-6*C698)/6))</f>
        <v>0.0346379413866129</v>
      </c>
      <c r="E698" s="12" t="n">
        <f aca="false">D698^(-1/B698)-1</f>
        <v>0.0598702500000001</v>
      </c>
      <c r="F698" s="12" t="n">
        <f aca="false">(1+E698)^(1/12)-1</f>
        <v>0.0048572998672296</v>
      </c>
      <c r="G698" s="16" t="n">
        <f aca="false">IF(C698=0,(1+Dic2024!$J$6)^(-B698),EXP(LN(INDEX(Dic2024!$K$6:$K$205,C698))+(LN(INDEX(Dic2024!$K$6:$K$205,MIN(C698+1,200)))-LN(INDEX(Dic2024!$K$6:$K$205,C698)))*(A698-6*C698)/6))</f>
        <v>0.0346379413866129</v>
      </c>
      <c r="H698" s="12" t="n">
        <f aca="false">G698^(-1/B698)-1</f>
        <v>0.0598702500000001</v>
      </c>
      <c r="I698" s="12" t="n">
        <f aca="false">(1+H698)^(1/12)-1</f>
        <v>0.0048572998672296</v>
      </c>
      <c r="J698" s="16" t="n">
        <f aca="false">IF(C698=0,(1+Dic2024!$M$6)^(-B698),EXP(LN(INDEX(Dic2024!$N$6:$N$205,C698))+(LN(INDEX(Dic2024!$N$6:$N$205,MIN(C698+1,200)))-LN(INDEX(Dic2024!$N$6:$N$205,C698)))*(A698-6*C698)/6))</f>
        <v>0.0346379413866129</v>
      </c>
      <c r="K698" s="12" t="n">
        <f aca="false">J698^(-1/B698)-1</f>
        <v>0.0598702500000001</v>
      </c>
      <c r="L698" s="12" t="n">
        <f aca="false">(1+K698)^(1/12)-1</f>
        <v>0.0048572998672296</v>
      </c>
    </row>
    <row r="699" customFormat="false" ht="15" hidden="false" customHeight="false" outlineLevel="0" collapsed="false">
      <c r="A699" s="4" t="n">
        <v>695</v>
      </c>
      <c r="B699" s="14" t="n">
        <f aca="false">A699/12</f>
        <v>57.9166666666667</v>
      </c>
      <c r="C699" s="15" t="n">
        <f aca="false">INT(A699/6)</f>
        <v>115</v>
      </c>
      <c r="D699" s="16" t="n">
        <f aca="false">IF(C699=0,(1+Dic2024!$G$6)^(-B699),EXP(LN(INDEX(Dic2024!$H$6:$H$205,C699))+(LN(INDEX(Dic2024!$H$6:$H$205,MIN(C699+1,200)))-LN(INDEX(Dic2024!$H$6:$H$205,C699)))*(A699-6*C699)/6))</f>
        <v>0.0344705077936833</v>
      </c>
      <c r="E699" s="12" t="n">
        <f aca="false">D699^(-1/B699)-1</f>
        <v>0.0598702500000001</v>
      </c>
      <c r="F699" s="12" t="n">
        <f aca="false">(1+E699)^(1/12)-1</f>
        <v>0.0048572998672296</v>
      </c>
      <c r="G699" s="16" t="n">
        <f aca="false">IF(C699=0,(1+Dic2024!$J$6)^(-B699),EXP(LN(INDEX(Dic2024!$K$6:$K$205,C699))+(LN(INDEX(Dic2024!$K$6:$K$205,MIN(C699+1,200)))-LN(INDEX(Dic2024!$K$6:$K$205,C699)))*(A699-6*C699)/6))</f>
        <v>0.0344705077936833</v>
      </c>
      <c r="H699" s="12" t="n">
        <f aca="false">G699^(-1/B699)-1</f>
        <v>0.0598702500000001</v>
      </c>
      <c r="I699" s="12" t="n">
        <f aca="false">(1+H699)^(1/12)-1</f>
        <v>0.0048572998672296</v>
      </c>
      <c r="J699" s="16" t="n">
        <f aca="false">IF(C699=0,(1+Dic2024!$M$6)^(-B699),EXP(LN(INDEX(Dic2024!$N$6:$N$205,C699))+(LN(INDEX(Dic2024!$N$6:$N$205,MIN(C699+1,200)))-LN(INDEX(Dic2024!$N$6:$N$205,C699)))*(A699-6*C699)/6))</f>
        <v>0.0344705077936833</v>
      </c>
      <c r="K699" s="12" t="n">
        <f aca="false">J699^(-1/B699)-1</f>
        <v>0.0598702500000001</v>
      </c>
      <c r="L699" s="12" t="n">
        <f aca="false">(1+K699)^(1/12)-1</f>
        <v>0.0048572998672296</v>
      </c>
    </row>
    <row r="700" customFormat="false" ht="15" hidden="false" customHeight="false" outlineLevel="0" collapsed="false">
      <c r="A700" s="4" t="n">
        <v>696</v>
      </c>
      <c r="B700" s="14" t="n">
        <f aca="false">A700/12</f>
        <v>58</v>
      </c>
      <c r="C700" s="15" t="n">
        <f aca="false">INT(A700/6)</f>
        <v>116</v>
      </c>
      <c r="D700" s="16" t="n">
        <f aca="false">IF(C700=0,(1+Dic2024!$G$6)^(-B700),EXP(LN(INDEX(Dic2024!$H$6:$H$205,C700))+(LN(INDEX(Dic2024!$H$6:$H$205,MIN(C700+1,200)))-LN(INDEX(Dic2024!$H$6:$H$205,C700)))*(A700-6*C700)/6))</f>
        <v>0.0343038835446962</v>
      </c>
      <c r="E700" s="12" t="n">
        <f aca="false">D700^(-1/B700)-1</f>
        <v>0.0598702500000001</v>
      </c>
      <c r="F700" s="12" t="n">
        <f aca="false">(1+E700)^(1/12)-1</f>
        <v>0.0048572998672296</v>
      </c>
      <c r="G700" s="16" t="n">
        <f aca="false">IF(C700=0,(1+Dic2024!$J$6)^(-B700),EXP(LN(INDEX(Dic2024!$K$6:$K$205,C700))+(LN(INDEX(Dic2024!$K$6:$K$205,MIN(C700+1,200)))-LN(INDEX(Dic2024!$K$6:$K$205,C700)))*(A700-6*C700)/6))</f>
        <v>0.0343038835446962</v>
      </c>
      <c r="H700" s="12" t="n">
        <f aca="false">G700^(-1/B700)-1</f>
        <v>0.0598702500000001</v>
      </c>
      <c r="I700" s="12" t="n">
        <f aca="false">(1+H700)^(1/12)-1</f>
        <v>0.0048572998672296</v>
      </c>
      <c r="J700" s="16" t="n">
        <f aca="false">IF(C700=0,(1+Dic2024!$M$6)^(-B700),EXP(LN(INDEX(Dic2024!$N$6:$N$205,C700))+(LN(INDEX(Dic2024!$N$6:$N$205,MIN(C700+1,200)))-LN(INDEX(Dic2024!$N$6:$N$205,C700)))*(A700-6*C700)/6))</f>
        <v>0.0343038835446962</v>
      </c>
      <c r="K700" s="12" t="n">
        <f aca="false">J700^(-1/B700)-1</f>
        <v>0.0598702500000001</v>
      </c>
      <c r="L700" s="12" t="n">
        <f aca="false">(1+K700)^(1/12)-1</f>
        <v>0.0048572998672296</v>
      </c>
    </row>
    <row r="701" customFormat="false" ht="15" hidden="false" customHeight="false" outlineLevel="0" collapsed="false">
      <c r="A701" s="4" t="n">
        <v>697</v>
      </c>
      <c r="B701" s="14" t="n">
        <f aca="false">A701/12</f>
        <v>58.0833333333333</v>
      </c>
      <c r="C701" s="15" t="n">
        <f aca="false">INT(A701/6)</f>
        <v>116</v>
      </c>
      <c r="D701" s="16" t="n">
        <f aca="false">IF(C701=0,(1+Dic2024!$G$6)^(-B701),EXP(LN(INDEX(Dic2024!$H$6:$H$205,C701))+(LN(INDEX(Dic2024!$H$6:$H$205,MIN(C701+1,200)))-LN(INDEX(Dic2024!$H$6:$H$205,C701)))*(A701-6*C701)/6))</f>
        <v>0.0341380647274282</v>
      </c>
      <c r="E701" s="12" t="n">
        <f aca="false">D701^(-1/B701)-1</f>
        <v>0.0598702500000001</v>
      </c>
      <c r="F701" s="12" t="n">
        <f aca="false">(1+E701)^(1/12)-1</f>
        <v>0.0048572998672296</v>
      </c>
      <c r="G701" s="16" t="n">
        <f aca="false">IF(C701=0,(1+Dic2024!$J$6)^(-B701),EXP(LN(INDEX(Dic2024!$K$6:$K$205,C701))+(LN(INDEX(Dic2024!$K$6:$K$205,MIN(C701+1,200)))-LN(INDEX(Dic2024!$K$6:$K$205,C701)))*(A701-6*C701)/6))</f>
        <v>0.0341380647274282</v>
      </c>
      <c r="H701" s="12" t="n">
        <f aca="false">G701^(-1/B701)-1</f>
        <v>0.0598702500000001</v>
      </c>
      <c r="I701" s="12" t="n">
        <f aca="false">(1+H701)^(1/12)-1</f>
        <v>0.0048572998672296</v>
      </c>
      <c r="J701" s="16" t="n">
        <f aca="false">IF(C701=0,(1+Dic2024!$M$6)^(-B701),EXP(LN(INDEX(Dic2024!$N$6:$N$205,C701))+(LN(INDEX(Dic2024!$N$6:$N$205,MIN(C701+1,200)))-LN(INDEX(Dic2024!$N$6:$N$205,C701)))*(A701-6*C701)/6))</f>
        <v>0.0341380647274282</v>
      </c>
      <c r="K701" s="12" t="n">
        <f aca="false">J701^(-1/B701)-1</f>
        <v>0.0598702500000001</v>
      </c>
      <c r="L701" s="12" t="n">
        <f aca="false">(1+K701)^(1/12)-1</f>
        <v>0.0048572998672296</v>
      </c>
    </row>
    <row r="702" customFormat="false" ht="15" hidden="false" customHeight="false" outlineLevel="0" collapsed="false">
      <c r="A702" s="4" t="n">
        <v>698</v>
      </c>
      <c r="B702" s="14" t="n">
        <f aca="false">A702/12</f>
        <v>58.1666666666667</v>
      </c>
      <c r="C702" s="15" t="n">
        <f aca="false">INT(A702/6)</f>
        <v>116</v>
      </c>
      <c r="D702" s="16" t="n">
        <f aca="false">IF(C702=0,(1+Dic2024!$G$6)^(-B702),EXP(LN(INDEX(Dic2024!$H$6:$H$205,C702))+(LN(INDEX(Dic2024!$H$6:$H$205,MIN(C702+1,200)))-LN(INDEX(Dic2024!$H$6:$H$205,C702)))*(A702-6*C702)/6))</f>
        <v>0.0339730474485669</v>
      </c>
      <c r="E702" s="12" t="n">
        <f aca="false">D702^(-1/B702)-1</f>
        <v>0.0598702500000001</v>
      </c>
      <c r="F702" s="12" t="n">
        <f aca="false">(1+E702)^(1/12)-1</f>
        <v>0.0048572998672296</v>
      </c>
      <c r="G702" s="16" t="n">
        <f aca="false">IF(C702=0,(1+Dic2024!$J$6)^(-B702),EXP(LN(INDEX(Dic2024!$K$6:$K$205,C702))+(LN(INDEX(Dic2024!$K$6:$K$205,MIN(C702+1,200)))-LN(INDEX(Dic2024!$K$6:$K$205,C702)))*(A702-6*C702)/6))</f>
        <v>0.0339730474485669</v>
      </c>
      <c r="H702" s="12" t="n">
        <f aca="false">G702^(-1/B702)-1</f>
        <v>0.0598702500000001</v>
      </c>
      <c r="I702" s="12" t="n">
        <f aca="false">(1+H702)^(1/12)-1</f>
        <v>0.0048572998672296</v>
      </c>
      <c r="J702" s="16" t="n">
        <f aca="false">IF(C702=0,(1+Dic2024!$M$6)^(-B702),EXP(LN(INDEX(Dic2024!$N$6:$N$205,C702))+(LN(INDEX(Dic2024!$N$6:$N$205,MIN(C702+1,200)))-LN(INDEX(Dic2024!$N$6:$N$205,C702)))*(A702-6*C702)/6))</f>
        <v>0.0339730474485669</v>
      </c>
      <c r="K702" s="12" t="n">
        <f aca="false">J702^(-1/B702)-1</f>
        <v>0.0598702500000001</v>
      </c>
      <c r="L702" s="12" t="n">
        <f aca="false">(1+K702)^(1/12)-1</f>
        <v>0.0048572998672296</v>
      </c>
    </row>
    <row r="703" customFormat="false" ht="15" hidden="false" customHeight="false" outlineLevel="0" collapsed="false">
      <c r="A703" s="4" t="n">
        <v>699</v>
      </c>
      <c r="B703" s="14" t="n">
        <f aca="false">A703/12</f>
        <v>58.25</v>
      </c>
      <c r="C703" s="15" t="n">
        <f aca="false">INT(A703/6)</f>
        <v>116</v>
      </c>
      <c r="D703" s="16" t="n">
        <f aca="false">IF(C703=0,(1+Dic2024!$G$6)^(-B703),EXP(LN(INDEX(Dic2024!$H$6:$H$205,C703))+(LN(INDEX(Dic2024!$H$6:$H$205,MIN(C703+1,200)))-LN(INDEX(Dic2024!$H$6:$H$205,C703)))*(A703-6*C703)/6))</f>
        <v>0.0338088278336194</v>
      </c>
      <c r="E703" s="12" t="n">
        <f aca="false">D703^(-1/B703)-1</f>
        <v>0.0598702500000001</v>
      </c>
      <c r="F703" s="12" t="n">
        <f aca="false">(1+E703)^(1/12)-1</f>
        <v>0.0048572998672296</v>
      </c>
      <c r="G703" s="16" t="n">
        <f aca="false">IF(C703=0,(1+Dic2024!$J$6)^(-B703),EXP(LN(INDEX(Dic2024!$K$6:$K$205,C703))+(LN(INDEX(Dic2024!$K$6:$K$205,MIN(C703+1,200)))-LN(INDEX(Dic2024!$K$6:$K$205,C703)))*(A703-6*C703)/6))</f>
        <v>0.0338088278336194</v>
      </c>
      <c r="H703" s="12" t="n">
        <f aca="false">G703^(-1/B703)-1</f>
        <v>0.0598702500000001</v>
      </c>
      <c r="I703" s="12" t="n">
        <f aca="false">(1+H703)^(1/12)-1</f>
        <v>0.0048572998672296</v>
      </c>
      <c r="J703" s="16" t="n">
        <f aca="false">IF(C703=0,(1+Dic2024!$M$6)^(-B703),EXP(LN(INDEX(Dic2024!$N$6:$N$205,C703))+(LN(INDEX(Dic2024!$N$6:$N$205,MIN(C703+1,200)))-LN(INDEX(Dic2024!$N$6:$N$205,C703)))*(A703-6*C703)/6))</f>
        <v>0.0338088278336194</v>
      </c>
      <c r="K703" s="12" t="n">
        <f aca="false">J703^(-1/B703)-1</f>
        <v>0.0598702500000001</v>
      </c>
      <c r="L703" s="12" t="n">
        <f aca="false">(1+K703)^(1/12)-1</f>
        <v>0.0048572998672296</v>
      </c>
    </row>
    <row r="704" customFormat="false" ht="15" hidden="false" customHeight="false" outlineLevel="0" collapsed="false">
      <c r="A704" s="4" t="n">
        <v>700</v>
      </c>
      <c r="B704" s="14" t="n">
        <f aca="false">A704/12</f>
        <v>58.3333333333333</v>
      </c>
      <c r="C704" s="15" t="n">
        <f aca="false">INT(A704/6)</f>
        <v>116</v>
      </c>
      <c r="D704" s="16" t="n">
        <f aca="false">IF(C704=0,(1+Dic2024!$G$6)^(-B704),EXP(LN(INDEX(Dic2024!$H$6:$H$205,C704))+(LN(INDEX(Dic2024!$H$6:$H$205,MIN(C704+1,200)))-LN(INDEX(Dic2024!$H$6:$H$205,C704)))*(A704-6*C704)/6))</f>
        <v>0.0336454020268217</v>
      </c>
      <c r="E704" s="12" t="n">
        <f aca="false">D704^(-1/B704)-1</f>
        <v>0.0598702500000001</v>
      </c>
      <c r="F704" s="12" t="n">
        <f aca="false">(1+E704)^(1/12)-1</f>
        <v>0.0048572998672296</v>
      </c>
      <c r="G704" s="16" t="n">
        <f aca="false">IF(C704=0,(1+Dic2024!$J$6)^(-B704),EXP(LN(INDEX(Dic2024!$K$6:$K$205,C704))+(LN(INDEX(Dic2024!$K$6:$K$205,MIN(C704+1,200)))-LN(INDEX(Dic2024!$K$6:$K$205,C704)))*(A704-6*C704)/6))</f>
        <v>0.0336454020268217</v>
      </c>
      <c r="H704" s="12" t="n">
        <f aca="false">G704^(-1/B704)-1</f>
        <v>0.0598702500000001</v>
      </c>
      <c r="I704" s="12" t="n">
        <f aca="false">(1+H704)^(1/12)-1</f>
        <v>0.0048572998672296</v>
      </c>
      <c r="J704" s="16" t="n">
        <f aca="false">IF(C704=0,(1+Dic2024!$M$6)^(-B704),EXP(LN(INDEX(Dic2024!$N$6:$N$205,C704))+(LN(INDEX(Dic2024!$N$6:$N$205,MIN(C704+1,200)))-LN(INDEX(Dic2024!$N$6:$N$205,C704)))*(A704-6*C704)/6))</f>
        <v>0.0336454020268217</v>
      </c>
      <c r="K704" s="12" t="n">
        <f aca="false">J704^(-1/B704)-1</f>
        <v>0.0598702500000001</v>
      </c>
      <c r="L704" s="12" t="n">
        <f aca="false">(1+K704)^(1/12)-1</f>
        <v>0.0048572998672296</v>
      </c>
    </row>
    <row r="705" customFormat="false" ht="15" hidden="false" customHeight="false" outlineLevel="0" collapsed="false">
      <c r="A705" s="4" t="n">
        <v>701</v>
      </c>
      <c r="B705" s="14" t="n">
        <f aca="false">A705/12</f>
        <v>58.4166666666667</v>
      </c>
      <c r="C705" s="15" t="n">
        <f aca="false">INT(A705/6)</f>
        <v>116</v>
      </c>
      <c r="D705" s="16" t="n">
        <f aca="false">IF(C705=0,(1+Dic2024!$G$6)^(-B705),EXP(LN(INDEX(Dic2024!$H$6:$H$205,C705))+(LN(INDEX(Dic2024!$H$6:$H$205,MIN(C705+1,200)))-LN(INDEX(Dic2024!$H$6:$H$205,C705)))*(A705-6*C705)/6))</f>
        <v>0.0334827661910474</v>
      </c>
      <c r="E705" s="12" t="n">
        <f aca="false">D705^(-1/B705)-1</f>
        <v>0.0598702500000001</v>
      </c>
      <c r="F705" s="12" t="n">
        <f aca="false">(1+E705)^(1/12)-1</f>
        <v>0.0048572998672296</v>
      </c>
      <c r="G705" s="16" t="n">
        <f aca="false">IF(C705=0,(1+Dic2024!$J$6)^(-B705),EXP(LN(INDEX(Dic2024!$K$6:$K$205,C705))+(LN(INDEX(Dic2024!$K$6:$K$205,MIN(C705+1,200)))-LN(INDEX(Dic2024!$K$6:$K$205,C705)))*(A705-6*C705)/6))</f>
        <v>0.0334827661910474</v>
      </c>
      <c r="H705" s="12" t="n">
        <f aca="false">G705^(-1/B705)-1</f>
        <v>0.0598702500000001</v>
      </c>
      <c r="I705" s="12" t="n">
        <f aca="false">(1+H705)^(1/12)-1</f>
        <v>0.0048572998672296</v>
      </c>
      <c r="J705" s="16" t="n">
        <f aca="false">IF(C705=0,(1+Dic2024!$M$6)^(-B705),EXP(LN(INDEX(Dic2024!$N$6:$N$205,C705))+(LN(INDEX(Dic2024!$N$6:$N$205,MIN(C705+1,200)))-LN(INDEX(Dic2024!$N$6:$N$205,C705)))*(A705-6*C705)/6))</f>
        <v>0.0334827661910474</v>
      </c>
      <c r="K705" s="12" t="n">
        <f aca="false">J705^(-1/B705)-1</f>
        <v>0.0598702500000001</v>
      </c>
      <c r="L705" s="12" t="n">
        <f aca="false">(1+K705)^(1/12)-1</f>
        <v>0.0048572998672296</v>
      </c>
    </row>
    <row r="706" customFormat="false" ht="15" hidden="false" customHeight="false" outlineLevel="0" collapsed="false">
      <c r="A706" s="4" t="n">
        <v>702</v>
      </c>
      <c r="B706" s="14" t="n">
        <f aca="false">A706/12</f>
        <v>58.5</v>
      </c>
      <c r="C706" s="15" t="n">
        <f aca="false">INT(A706/6)</f>
        <v>117</v>
      </c>
      <c r="D706" s="16" t="n">
        <f aca="false">IF(C706=0,(1+Dic2024!$G$6)^(-B706),EXP(LN(INDEX(Dic2024!$H$6:$H$205,C706))+(LN(INDEX(Dic2024!$H$6:$H$205,MIN(C706+1,200)))-LN(INDEX(Dic2024!$H$6:$H$205,C706)))*(A706-6*C706)/6))</f>
        <v>0.0333209165077185</v>
      </c>
      <c r="E706" s="12" t="n">
        <f aca="false">D706^(-1/B706)-1</f>
        <v>0.0598702500000001</v>
      </c>
      <c r="F706" s="12" t="n">
        <f aca="false">(1+E706)^(1/12)-1</f>
        <v>0.0048572998672296</v>
      </c>
      <c r="G706" s="16" t="n">
        <f aca="false">IF(C706=0,(1+Dic2024!$J$6)^(-B706),EXP(LN(INDEX(Dic2024!$K$6:$K$205,C706))+(LN(INDEX(Dic2024!$K$6:$K$205,MIN(C706+1,200)))-LN(INDEX(Dic2024!$K$6:$K$205,C706)))*(A706-6*C706)/6))</f>
        <v>0.0333209165077185</v>
      </c>
      <c r="H706" s="12" t="n">
        <f aca="false">G706^(-1/B706)-1</f>
        <v>0.0598702500000001</v>
      </c>
      <c r="I706" s="12" t="n">
        <f aca="false">(1+H706)^(1/12)-1</f>
        <v>0.0048572998672296</v>
      </c>
      <c r="J706" s="16" t="n">
        <f aca="false">IF(C706=0,(1+Dic2024!$M$6)^(-B706),EXP(LN(INDEX(Dic2024!$N$6:$N$205,C706))+(LN(INDEX(Dic2024!$N$6:$N$205,MIN(C706+1,200)))-LN(INDEX(Dic2024!$N$6:$N$205,C706)))*(A706-6*C706)/6))</f>
        <v>0.0333209165077185</v>
      </c>
      <c r="K706" s="12" t="n">
        <f aca="false">J706^(-1/B706)-1</f>
        <v>0.0598702500000001</v>
      </c>
      <c r="L706" s="12" t="n">
        <f aca="false">(1+K706)^(1/12)-1</f>
        <v>0.0048572998672296</v>
      </c>
    </row>
    <row r="707" customFormat="false" ht="15" hidden="false" customHeight="false" outlineLevel="0" collapsed="false">
      <c r="A707" s="4" t="n">
        <v>703</v>
      </c>
      <c r="B707" s="14" t="n">
        <f aca="false">A707/12</f>
        <v>58.5833333333333</v>
      </c>
      <c r="C707" s="15" t="n">
        <f aca="false">INT(A707/6)</f>
        <v>117</v>
      </c>
      <c r="D707" s="16" t="n">
        <f aca="false">IF(C707=0,(1+Dic2024!$G$6)^(-B707),EXP(LN(INDEX(Dic2024!$H$6:$H$205,C707))+(LN(INDEX(Dic2024!$H$6:$H$205,MIN(C707+1,200)))-LN(INDEX(Dic2024!$H$6:$H$205,C707)))*(A707-6*C707)/6))</f>
        <v>0.0331281922301747</v>
      </c>
      <c r="E707" s="12" t="n">
        <f aca="false">D707^(-1/B707)-1</f>
        <v>0.0598875300910926</v>
      </c>
      <c r="F707" s="12" t="n">
        <f aca="false">(1+E707)^(1/12)-1</f>
        <v>0.00485866512050182</v>
      </c>
      <c r="G707" s="16" t="n">
        <f aca="false">IF(C707=0,(1+Dic2024!$J$6)^(-B707),EXP(LN(INDEX(Dic2024!$K$6:$K$205,C707))+(LN(INDEX(Dic2024!$K$6:$K$205,MIN(C707+1,200)))-LN(INDEX(Dic2024!$K$6:$K$205,C707)))*(A707-6*C707)/6))</f>
        <v>0.0331281922301747</v>
      </c>
      <c r="H707" s="12" t="n">
        <f aca="false">G707^(-1/B707)-1</f>
        <v>0.0598875300910926</v>
      </c>
      <c r="I707" s="12" t="n">
        <f aca="false">(1+H707)^(1/12)-1</f>
        <v>0.00485866512050182</v>
      </c>
      <c r="J707" s="16" t="n">
        <f aca="false">IF(C707=0,(1+Dic2024!$M$6)^(-B707),EXP(LN(INDEX(Dic2024!$N$6:$N$205,C707))+(LN(INDEX(Dic2024!$N$6:$N$205,MIN(C707+1,200)))-LN(INDEX(Dic2024!$N$6:$N$205,C707)))*(A707-6*C707)/6))</f>
        <v>0.0331281922301747</v>
      </c>
      <c r="K707" s="12" t="n">
        <f aca="false">J707^(-1/B707)-1</f>
        <v>0.0598875300910926</v>
      </c>
      <c r="L707" s="12" t="n">
        <f aca="false">(1+K707)^(1/12)-1</f>
        <v>0.00485866512050182</v>
      </c>
    </row>
    <row r="708" customFormat="false" ht="15" hidden="false" customHeight="false" outlineLevel="0" collapsed="false">
      <c r="A708" s="4" t="n">
        <v>704</v>
      </c>
      <c r="B708" s="14" t="n">
        <f aca="false">A708/12</f>
        <v>58.6666666666667</v>
      </c>
      <c r="C708" s="15" t="n">
        <f aca="false">INT(A708/6)</f>
        <v>117</v>
      </c>
      <c r="D708" s="16" t="n">
        <f aca="false">IF(C708=0,(1+Dic2024!$G$6)^(-B708),EXP(LN(INDEX(Dic2024!$H$6:$H$205,C708))+(LN(INDEX(Dic2024!$H$6:$H$205,MIN(C708+1,200)))-LN(INDEX(Dic2024!$H$6:$H$205,C708)))*(A708-6*C708)/6))</f>
        <v>0.0329365826472746</v>
      </c>
      <c r="E708" s="12" t="n">
        <f aca="false">D708^(-1/B708)-1</f>
        <v>0.0599047613715518</v>
      </c>
      <c r="F708" s="12" t="n">
        <f aca="false">(1+E708)^(1/12)-1</f>
        <v>0.00486002649706063</v>
      </c>
      <c r="G708" s="16" t="n">
        <f aca="false">IF(C708=0,(1+Dic2024!$J$6)^(-B708),EXP(LN(INDEX(Dic2024!$K$6:$K$205,C708))+(LN(INDEX(Dic2024!$K$6:$K$205,MIN(C708+1,200)))-LN(INDEX(Dic2024!$K$6:$K$205,C708)))*(A708-6*C708)/6))</f>
        <v>0.0329365826472746</v>
      </c>
      <c r="H708" s="12" t="n">
        <f aca="false">G708^(-1/B708)-1</f>
        <v>0.0599047613715518</v>
      </c>
      <c r="I708" s="12" t="n">
        <f aca="false">(1+H708)^(1/12)-1</f>
        <v>0.00486002649706063</v>
      </c>
      <c r="J708" s="16" t="n">
        <f aca="false">IF(C708=0,(1+Dic2024!$M$6)^(-B708),EXP(LN(INDEX(Dic2024!$N$6:$N$205,C708))+(LN(INDEX(Dic2024!$N$6:$N$205,MIN(C708+1,200)))-LN(INDEX(Dic2024!$N$6:$N$205,C708)))*(A708-6*C708)/6))</f>
        <v>0.0329365826472746</v>
      </c>
      <c r="K708" s="12" t="n">
        <f aca="false">J708^(-1/B708)-1</f>
        <v>0.0599047613715518</v>
      </c>
      <c r="L708" s="12" t="n">
        <f aca="false">(1+K708)^(1/12)-1</f>
        <v>0.00486002649706063</v>
      </c>
    </row>
    <row r="709" customFormat="false" ht="15" hidden="false" customHeight="false" outlineLevel="0" collapsed="false">
      <c r="A709" s="4" t="n">
        <v>705</v>
      </c>
      <c r="B709" s="14" t="n">
        <f aca="false">A709/12</f>
        <v>58.75</v>
      </c>
      <c r="C709" s="15" t="n">
        <f aca="false">INT(A709/6)</f>
        <v>117</v>
      </c>
      <c r="D709" s="16" t="n">
        <f aca="false">IF(C709=0,(1+Dic2024!$G$6)^(-B709),EXP(LN(INDEX(Dic2024!$H$6:$H$205,C709))+(LN(INDEX(Dic2024!$H$6:$H$205,MIN(C709+1,200)))-LN(INDEX(Dic2024!$H$6:$H$205,C709)))*(A709-6*C709)/6))</f>
        <v>0.032746081311755</v>
      </c>
      <c r="E709" s="12" t="n">
        <f aca="false">D709^(-1/B709)-1</f>
        <v>0.0599219440478949</v>
      </c>
      <c r="F709" s="12" t="n">
        <f aca="false">(1+E709)^(1/12)-1</f>
        <v>0.00486138401339464</v>
      </c>
      <c r="G709" s="16" t="n">
        <f aca="false">IF(C709=0,(1+Dic2024!$J$6)^(-B709),EXP(LN(INDEX(Dic2024!$K$6:$K$205,C709))+(LN(INDEX(Dic2024!$K$6:$K$205,MIN(C709+1,200)))-LN(INDEX(Dic2024!$K$6:$K$205,C709)))*(A709-6*C709)/6))</f>
        <v>0.032746081311755</v>
      </c>
      <c r="H709" s="12" t="n">
        <f aca="false">G709^(-1/B709)-1</f>
        <v>0.0599219440478949</v>
      </c>
      <c r="I709" s="12" t="n">
        <f aca="false">(1+H709)^(1/12)-1</f>
        <v>0.00486138401339464</v>
      </c>
      <c r="J709" s="16" t="n">
        <f aca="false">IF(C709=0,(1+Dic2024!$M$6)^(-B709),EXP(LN(INDEX(Dic2024!$N$6:$N$205,C709))+(LN(INDEX(Dic2024!$N$6:$N$205,MIN(C709+1,200)))-LN(INDEX(Dic2024!$N$6:$N$205,C709)))*(A709-6*C709)/6))</f>
        <v>0.032746081311755</v>
      </c>
      <c r="K709" s="12" t="n">
        <f aca="false">J709^(-1/B709)-1</f>
        <v>0.0599219440478949</v>
      </c>
      <c r="L709" s="12" t="n">
        <f aca="false">(1+K709)^(1/12)-1</f>
        <v>0.00486138401339464</v>
      </c>
    </row>
    <row r="710" customFormat="false" ht="15" hidden="false" customHeight="false" outlineLevel="0" collapsed="false">
      <c r="A710" s="4" t="n">
        <v>706</v>
      </c>
      <c r="B710" s="14" t="n">
        <f aca="false">A710/12</f>
        <v>58.8333333333333</v>
      </c>
      <c r="C710" s="15" t="n">
        <f aca="false">INT(A710/6)</f>
        <v>117</v>
      </c>
      <c r="D710" s="16" t="n">
        <f aca="false">IF(C710=0,(1+Dic2024!$G$6)^(-B710),EXP(LN(INDEX(Dic2024!$H$6:$H$205,C710))+(LN(INDEX(Dic2024!$H$6:$H$205,MIN(C710+1,200)))-LN(INDEX(Dic2024!$H$6:$H$205,C710)))*(A710-6*C710)/6))</f>
        <v>0.0325566818136428</v>
      </c>
      <c r="E710" s="12" t="n">
        <f aca="false">D710^(-1/B710)-1</f>
        <v>0.0599390783254761</v>
      </c>
      <c r="F710" s="12" t="n">
        <f aca="false">(1+E710)^(1/12)-1</f>
        <v>0.00486273768589962</v>
      </c>
      <c r="G710" s="16" t="n">
        <f aca="false">IF(C710=0,(1+Dic2024!$J$6)^(-B710),EXP(LN(INDEX(Dic2024!$K$6:$K$205,C710))+(LN(INDEX(Dic2024!$K$6:$K$205,MIN(C710+1,200)))-LN(INDEX(Dic2024!$K$6:$K$205,C710)))*(A710-6*C710)/6))</f>
        <v>0.0325566818136428</v>
      </c>
      <c r="H710" s="12" t="n">
        <f aca="false">G710^(-1/B710)-1</f>
        <v>0.0599390783254761</v>
      </c>
      <c r="I710" s="12" t="n">
        <f aca="false">(1+H710)^(1/12)-1</f>
        <v>0.00486273768589962</v>
      </c>
      <c r="J710" s="16" t="n">
        <f aca="false">IF(C710=0,(1+Dic2024!$M$6)^(-B710),EXP(LN(INDEX(Dic2024!$N$6:$N$205,C710))+(LN(INDEX(Dic2024!$N$6:$N$205,MIN(C710+1,200)))-LN(INDEX(Dic2024!$N$6:$N$205,C710)))*(A710-6*C710)/6))</f>
        <v>0.0325566818136428</v>
      </c>
      <c r="K710" s="12" t="n">
        <f aca="false">J710^(-1/B710)-1</f>
        <v>0.0599390783254761</v>
      </c>
      <c r="L710" s="12" t="n">
        <f aca="false">(1+K710)^(1/12)-1</f>
        <v>0.00486273768589962</v>
      </c>
    </row>
    <row r="711" customFormat="false" ht="15" hidden="false" customHeight="false" outlineLevel="0" collapsed="false">
      <c r="A711" s="4" t="n">
        <v>707</v>
      </c>
      <c r="B711" s="14" t="n">
        <f aca="false">A711/12</f>
        <v>58.9166666666667</v>
      </c>
      <c r="C711" s="15" t="n">
        <f aca="false">INT(A711/6)</f>
        <v>117</v>
      </c>
      <c r="D711" s="16" t="n">
        <f aca="false">IF(C711=0,(1+Dic2024!$G$6)^(-B711),EXP(LN(INDEX(Dic2024!$H$6:$H$205,C711))+(LN(INDEX(Dic2024!$H$6:$H$205,MIN(C711+1,200)))-LN(INDEX(Dic2024!$H$6:$H$205,C711)))*(A711-6*C711)/6))</f>
        <v>0.0323683777800396</v>
      </c>
      <c r="E711" s="12" t="n">
        <f aca="false">D711^(-1/B711)-1</f>
        <v>0.0599561644084938</v>
      </c>
      <c r="F711" s="12" t="n">
        <f aca="false">(1+E711)^(1/12)-1</f>
        <v>0.00486408753087808</v>
      </c>
      <c r="G711" s="16" t="n">
        <f aca="false">IF(C711=0,(1+Dic2024!$J$6)^(-B711),EXP(LN(INDEX(Dic2024!$K$6:$K$205,C711))+(LN(INDEX(Dic2024!$K$6:$K$205,MIN(C711+1,200)))-LN(INDEX(Dic2024!$K$6:$K$205,C711)))*(A711-6*C711)/6))</f>
        <v>0.0323683777800396</v>
      </c>
      <c r="H711" s="12" t="n">
        <f aca="false">G711^(-1/B711)-1</f>
        <v>0.0599561644084938</v>
      </c>
      <c r="I711" s="12" t="n">
        <f aca="false">(1+H711)^(1/12)-1</f>
        <v>0.00486408753087808</v>
      </c>
      <c r="J711" s="16" t="n">
        <f aca="false">IF(C711=0,(1+Dic2024!$M$6)^(-B711),EXP(LN(INDEX(Dic2024!$N$6:$N$205,C711))+(LN(INDEX(Dic2024!$N$6:$N$205,MIN(C711+1,200)))-LN(INDEX(Dic2024!$N$6:$N$205,C711)))*(A711-6*C711)/6))</f>
        <v>0.0323683777800396</v>
      </c>
      <c r="K711" s="12" t="n">
        <f aca="false">J711^(-1/B711)-1</f>
        <v>0.0599561644084938</v>
      </c>
      <c r="L711" s="12" t="n">
        <f aca="false">(1+K711)^(1/12)-1</f>
        <v>0.00486408753087808</v>
      </c>
    </row>
    <row r="712" customFormat="false" ht="15" hidden="false" customHeight="false" outlineLevel="0" collapsed="false">
      <c r="A712" s="4" t="n">
        <v>708</v>
      </c>
      <c r="B712" s="14" t="n">
        <f aca="false">A712/12</f>
        <v>59</v>
      </c>
      <c r="C712" s="15" t="n">
        <f aca="false">INT(A712/6)</f>
        <v>118</v>
      </c>
      <c r="D712" s="16" t="n">
        <f aca="false">IF(C712=0,(1+Dic2024!$G$6)^(-B712),EXP(LN(INDEX(Dic2024!$H$6:$H$205,C712))+(LN(INDEX(Dic2024!$H$6:$H$205,MIN(C712+1,200)))-LN(INDEX(Dic2024!$H$6:$H$205,C712)))*(A712-6*C712)/6))</f>
        <v>0.032181162874907</v>
      </c>
      <c r="E712" s="12" t="n">
        <f aca="false">D712^(-1/B712)-1</f>
        <v>0.0599732024999999</v>
      </c>
      <c r="F712" s="12" t="n">
        <f aca="false">(1+E712)^(1/12)-1</f>
        <v>0.00486543356454083</v>
      </c>
      <c r="G712" s="16" t="n">
        <f aca="false">IF(C712=0,(1+Dic2024!$J$6)^(-B712),EXP(LN(INDEX(Dic2024!$K$6:$K$205,C712))+(LN(INDEX(Dic2024!$K$6:$K$205,MIN(C712+1,200)))-LN(INDEX(Dic2024!$K$6:$K$205,C712)))*(A712-6*C712)/6))</f>
        <v>0.032181162874907</v>
      </c>
      <c r="H712" s="12" t="n">
        <f aca="false">G712^(-1/B712)-1</f>
        <v>0.0599732024999999</v>
      </c>
      <c r="I712" s="12" t="n">
        <f aca="false">(1+H712)^(1/12)-1</f>
        <v>0.00486543356454083</v>
      </c>
      <c r="J712" s="16" t="n">
        <f aca="false">IF(C712=0,(1+Dic2024!$M$6)^(-B712),EXP(LN(INDEX(Dic2024!$N$6:$N$205,C712))+(LN(INDEX(Dic2024!$N$6:$N$205,MIN(C712+1,200)))-LN(INDEX(Dic2024!$N$6:$N$205,C712)))*(A712-6*C712)/6))</f>
        <v>0.032181162874907</v>
      </c>
      <c r="K712" s="12" t="n">
        <f aca="false">J712^(-1/B712)-1</f>
        <v>0.0599732024999999</v>
      </c>
      <c r="L712" s="12" t="n">
        <f aca="false">(1+K712)^(1/12)-1</f>
        <v>0.00486543356454083</v>
      </c>
    </row>
    <row r="713" customFormat="false" ht="15" hidden="false" customHeight="false" outlineLevel="0" collapsed="false">
      <c r="A713" s="4" t="n">
        <v>709</v>
      </c>
      <c r="B713" s="14" t="n">
        <f aca="false">A713/12</f>
        <v>59.0833333333333</v>
      </c>
      <c r="C713" s="15" t="n">
        <f aca="false">INT(A713/6)</f>
        <v>118</v>
      </c>
      <c r="D713" s="16" t="n">
        <f aca="false">IF(C713=0,(1+Dic2024!$G$6)^(-B713),EXP(LN(INDEX(Dic2024!$H$6:$H$205,C713))+(LN(INDEX(Dic2024!$H$6:$H$205,MIN(C713+1,200)))-LN(INDEX(Dic2024!$H$6:$H$205,C713)))*(A713-6*C713)/6))</f>
        <v>0.0320253456831044</v>
      </c>
      <c r="E713" s="12" t="n">
        <f aca="false">D713^(-1/B713)-1</f>
        <v>0.0599732024999999</v>
      </c>
      <c r="F713" s="12" t="n">
        <f aca="false">(1+E713)^(1/12)-1</f>
        <v>0.00486543356454083</v>
      </c>
      <c r="G713" s="16" t="n">
        <f aca="false">IF(C713=0,(1+Dic2024!$J$6)^(-B713),EXP(LN(INDEX(Dic2024!$K$6:$K$205,C713))+(LN(INDEX(Dic2024!$K$6:$K$205,MIN(C713+1,200)))-LN(INDEX(Dic2024!$K$6:$K$205,C713)))*(A713-6*C713)/6))</f>
        <v>0.0320253456831044</v>
      </c>
      <c r="H713" s="12" t="n">
        <f aca="false">G713^(-1/B713)-1</f>
        <v>0.0599732024999999</v>
      </c>
      <c r="I713" s="12" t="n">
        <f aca="false">(1+H713)^(1/12)-1</f>
        <v>0.00486543356454083</v>
      </c>
      <c r="J713" s="16" t="n">
        <f aca="false">IF(C713=0,(1+Dic2024!$M$6)^(-B713),EXP(LN(INDEX(Dic2024!$N$6:$N$205,C713))+(LN(INDEX(Dic2024!$N$6:$N$205,MIN(C713+1,200)))-LN(INDEX(Dic2024!$N$6:$N$205,C713)))*(A713-6*C713)/6))</f>
        <v>0.0320253456831044</v>
      </c>
      <c r="K713" s="12" t="n">
        <f aca="false">J713^(-1/B713)-1</f>
        <v>0.0599732024999999</v>
      </c>
      <c r="L713" s="12" t="n">
        <f aca="false">(1+K713)^(1/12)-1</f>
        <v>0.00486543356454083</v>
      </c>
    </row>
    <row r="714" customFormat="false" ht="15" hidden="false" customHeight="false" outlineLevel="0" collapsed="false">
      <c r="A714" s="4" t="n">
        <v>710</v>
      </c>
      <c r="B714" s="14" t="n">
        <f aca="false">A714/12</f>
        <v>59.1666666666667</v>
      </c>
      <c r="C714" s="15" t="n">
        <f aca="false">INT(A714/6)</f>
        <v>118</v>
      </c>
      <c r="D714" s="16" t="n">
        <f aca="false">IF(C714=0,(1+Dic2024!$G$6)^(-B714),EXP(LN(INDEX(Dic2024!$H$6:$H$205,C714))+(LN(INDEX(Dic2024!$H$6:$H$205,MIN(C714+1,200)))-LN(INDEX(Dic2024!$H$6:$H$205,C714)))*(A714-6*C714)/6))</f>
        <v>0.0318702829387827</v>
      </c>
      <c r="E714" s="12" t="n">
        <f aca="false">D714^(-1/B714)-1</f>
        <v>0.0599732024999999</v>
      </c>
      <c r="F714" s="12" t="n">
        <f aca="false">(1+E714)^(1/12)-1</f>
        <v>0.00486543356454083</v>
      </c>
      <c r="G714" s="16" t="n">
        <f aca="false">IF(C714=0,(1+Dic2024!$J$6)^(-B714),EXP(LN(INDEX(Dic2024!$K$6:$K$205,C714))+(LN(INDEX(Dic2024!$K$6:$K$205,MIN(C714+1,200)))-LN(INDEX(Dic2024!$K$6:$K$205,C714)))*(A714-6*C714)/6))</f>
        <v>0.0318702829387827</v>
      </c>
      <c r="H714" s="12" t="n">
        <f aca="false">G714^(-1/B714)-1</f>
        <v>0.0599732024999999</v>
      </c>
      <c r="I714" s="12" t="n">
        <f aca="false">(1+H714)^(1/12)-1</f>
        <v>0.00486543356454083</v>
      </c>
      <c r="J714" s="16" t="n">
        <f aca="false">IF(C714=0,(1+Dic2024!$M$6)^(-B714),EXP(LN(INDEX(Dic2024!$N$6:$N$205,C714))+(LN(INDEX(Dic2024!$N$6:$N$205,MIN(C714+1,200)))-LN(INDEX(Dic2024!$N$6:$N$205,C714)))*(A714-6*C714)/6))</f>
        <v>0.0318702829387827</v>
      </c>
      <c r="K714" s="12" t="n">
        <f aca="false">J714^(-1/B714)-1</f>
        <v>0.0599732024999999</v>
      </c>
      <c r="L714" s="12" t="n">
        <f aca="false">(1+K714)^(1/12)-1</f>
        <v>0.00486543356454083</v>
      </c>
    </row>
    <row r="715" customFormat="false" ht="15" hidden="false" customHeight="false" outlineLevel="0" collapsed="false">
      <c r="A715" s="4" t="n">
        <v>711</v>
      </c>
      <c r="B715" s="14" t="n">
        <f aca="false">A715/12</f>
        <v>59.25</v>
      </c>
      <c r="C715" s="15" t="n">
        <f aca="false">INT(A715/6)</f>
        <v>118</v>
      </c>
      <c r="D715" s="16" t="n">
        <f aca="false">IF(C715=0,(1+Dic2024!$G$6)^(-B715),EXP(LN(INDEX(Dic2024!$H$6:$H$205,C715))+(LN(INDEX(Dic2024!$H$6:$H$205,MIN(C715+1,200)))-LN(INDEX(Dic2024!$H$6:$H$205,C715)))*(A715-6*C715)/6))</f>
        <v>0.0317159709890008</v>
      </c>
      <c r="E715" s="12" t="n">
        <f aca="false">D715^(-1/B715)-1</f>
        <v>0.0599732024999999</v>
      </c>
      <c r="F715" s="12" t="n">
        <f aca="false">(1+E715)^(1/12)-1</f>
        <v>0.00486543356454083</v>
      </c>
      <c r="G715" s="16" t="n">
        <f aca="false">IF(C715=0,(1+Dic2024!$J$6)^(-B715),EXP(LN(INDEX(Dic2024!$K$6:$K$205,C715))+(LN(INDEX(Dic2024!$K$6:$K$205,MIN(C715+1,200)))-LN(INDEX(Dic2024!$K$6:$K$205,C715)))*(A715-6*C715)/6))</f>
        <v>0.0317159709890008</v>
      </c>
      <c r="H715" s="12" t="n">
        <f aca="false">G715^(-1/B715)-1</f>
        <v>0.0599732024999999</v>
      </c>
      <c r="I715" s="12" t="n">
        <f aca="false">(1+H715)^(1/12)-1</f>
        <v>0.00486543356454083</v>
      </c>
      <c r="J715" s="16" t="n">
        <f aca="false">IF(C715=0,(1+Dic2024!$M$6)^(-B715),EXP(LN(INDEX(Dic2024!$N$6:$N$205,C715))+(LN(INDEX(Dic2024!$N$6:$N$205,MIN(C715+1,200)))-LN(INDEX(Dic2024!$N$6:$N$205,C715)))*(A715-6*C715)/6))</f>
        <v>0.0317159709890008</v>
      </c>
      <c r="K715" s="12" t="n">
        <f aca="false">J715^(-1/B715)-1</f>
        <v>0.0599732024999999</v>
      </c>
      <c r="L715" s="12" t="n">
        <f aca="false">(1+K715)^(1/12)-1</f>
        <v>0.00486543356454083</v>
      </c>
    </row>
    <row r="716" customFormat="false" ht="15" hidden="false" customHeight="false" outlineLevel="0" collapsed="false">
      <c r="A716" s="4" t="n">
        <v>712</v>
      </c>
      <c r="B716" s="14" t="n">
        <f aca="false">A716/12</f>
        <v>59.3333333333333</v>
      </c>
      <c r="C716" s="15" t="n">
        <f aca="false">INT(A716/6)</f>
        <v>118</v>
      </c>
      <c r="D716" s="16" t="n">
        <f aca="false">IF(C716=0,(1+Dic2024!$G$6)^(-B716),EXP(LN(INDEX(Dic2024!$H$6:$H$205,C716))+(LN(INDEX(Dic2024!$H$6:$H$205,MIN(C716+1,200)))-LN(INDEX(Dic2024!$H$6:$H$205,C716)))*(A716-6*C716)/6))</f>
        <v>0.0315624061985049</v>
      </c>
      <c r="E716" s="12" t="n">
        <f aca="false">D716^(-1/B716)-1</f>
        <v>0.0599732024999999</v>
      </c>
      <c r="F716" s="12" t="n">
        <f aca="false">(1+E716)^(1/12)-1</f>
        <v>0.00486543356454083</v>
      </c>
      <c r="G716" s="16" t="n">
        <f aca="false">IF(C716=0,(1+Dic2024!$J$6)^(-B716),EXP(LN(INDEX(Dic2024!$K$6:$K$205,C716))+(LN(INDEX(Dic2024!$K$6:$K$205,MIN(C716+1,200)))-LN(INDEX(Dic2024!$K$6:$K$205,C716)))*(A716-6*C716)/6))</f>
        <v>0.0315624061985049</v>
      </c>
      <c r="H716" s="12" t="n">
        <f aca="false">G716^(-1/B716)-1</f>
        <v>0.0599732024999999</v>
      </c>
      <c r="I716" s="12" t="n">
        <f aca="false">(1+H716)^(1/12)-1</f>
        <v>0.00486543356454083</v>
      </c>
      <c r="J716" s="16" t="n">
        <f aca="false">IF(C716=0,(1+Dic2024!$M$6)^(-B716),EXP(LN(INDEX(Dic2024!$N$6:$N$205,C716))+(LN(INDEX(Dic2024!$N$6:$N$205,MIN(C716+1,200)))-LN(INDEX(Dic2024!$N$6:$N$205,C716)))*(A716-6*C716)/6))</f>
        <v>0.0315624061985049</v>
      </c>
      <c r="K716" s="12" t="n">
        <f aca="false">J716^(-1/B716)-1</f>
        <v>0.0599732024999999</v>
      </c>
      <c r="L716" s="12" t="n">
        <f aca="false">(1+K716)^(1/12)-1</f>
        <v>0.00486543356454083</v>
      </c>
    </row>
    <row r="717" customFormat="false" ht="15" hidden="false" customHeight="false" outlineLevel="0" collapsed="false">
      <c r="A717" s="4" t="n">
        <v>713</v>
      </c>
      <c r="B717" s="14" t="n">
        <f aca="false">A717/12</f>
        <v>59.4166666666667</v>
      </c>
      <c r="C717" s="15" t="n">
        <f aca="false">INT(A717/6)</f>
        <v>118</v>
      </c>
      <c r="D717" s="16" t="n">
        <f aca="false">IF(C717=0,(1+Dic2024!$G$6)^(-B717),EXP(LN(INDEX(Dic2024!$H$6:$H$205,C717))+(LN(INDEX(Dic2024!$H$6:$H$205,MIN(C717+1,200)))-LN(INDEX(Dic2024!$H$6:$H$205,C717)))*(A717-6*C717)/6))</f>
        <v>0.0314095849496426</v>
      </c>
      <c r="E717" s="12" t="n">
        <f aca="false">D717^(-1/B717)-1</f>
        <v>0.0599732024999999</v>
      </c>
      <c r="F717" s="12" t="n">
        <f aca="false">(1+E717)^(1/12)-1</f>
        <v>0.00486543356454083</v>
      </c>
      <c r="G717" s="16" t="n">
        <f aca="false">IF(C717=0,(1+Dic2024!$J$6)^(-B717),EXP(LN(INDEX(Dic2024!$K$6:$K$205,C717))+(LN(INDEX(Dic2024!$K$6:$K$205,MIN(C717+1,200)))-LN(INDEX(Dic2024!$K$6:$K$205,C717)))*(A717-6*C717)/6))</f>
        <v>0.0314095849496426</v>
      </c>
      <c r="H717" s="12" t="n">
        <f aca="false">G717^(-1/B717)-1</f>
        <v>0.0599732024999999</v>
      </c>
      <c r="I717" s="12" t="n">
        <f aca="false">(1+H717)^(1/12)-1</f>
        <v>0.00486543356454083</v>
      </c>
      <c r="J717" s="16" t="n">
        <f aca="false">IF(C717=0,(1+Dic2024!$M$6)^(-B717),EXP(LN(INDEX(Dic2024!$N$6:$N$205,C717))+(LN(INDEX(Dic2024!$N$6:$N$205,MIN(C717+1,200)))-LN(INDEX(Dic2024!$N$6:$N$205,C717)))*(A717-6*C717)/6))</f>
        <v>0.0314095849496426</v>
      </c>
      <c r="K717" s="12" t="n">
        <f aca="false">J717^(-1/B717)-1</f>
        <v>0.0599732024999999</v>
      </c>
      <c r="L717" s="12" t="n">
        <f aca="false">(1+K717)^(1/12)-1</f>
        <v>0.00486543356454083</v>
      </c>
    </row>
    <row r="718" customFormat="false" ht="15" hidden="false" customHeight="false" outlineLevel="0" collapsed="false">
      <c r="A718" s="4" t="n">
        <v>714</v>
      </c>
      <c r="B718" s="14" t="n">
        <f aca="false">A718/12</f>
        <v>59.5</v>
      </c>
      <c r="C718" s="15" t="n">
        <f aca="false">INT(A718/6)</f>
        <v>119</v>
      </c>
      <c r="D718" s="16" t="n">
        <f aca="false">IF(C718=0,(1+Dic2024!$G$6)^(-B718),EXP(LN(INDEX(Dic2024!$H$6:$H$205,C718))+(LN(INDEX(Dic2024!$H$6:$H$205,MIN(C718+1,200)))-LN(INDEX(Dic2024!$H$6:$H$205,C718)))*(A718-6*C718)/6))</f>
        <v>0.0312575036422777</v>
      </c>
      <c r="E718" s="12" t="n">
        <f aca="false">D718^(-1/B718)-1</f>
        <v>0.0599732024999999</v>
      </c>
      <c r="F718" s="12" t="n">
        <f aca="false">(1+E718)^(1/12)-1</f>
        <v>0.00486543356454083</v>
      </c>
      <c r="G718" s="16" t="n">
        <f aca="false">IF(C718=0,(1+Dic2024!$J$6)^(-B718),EXP(LN(INDEX(Dic2024!$K$6:$K$205,C718))+(LN(INDEX(Dic2024!$K$6:$K$205,MIN(C718+1,200)))-LN(INDEX(Dic2024!$K$6:$K$205,C718)))*(A718-6*C718)/6))</f>
        <v>0.0312575036422777</v>
      </c>
      <c r="H718" s="12" t="n">
        <f aca="false">G718^(-1/B718)-1</f>
        <v>0.0599732024999999</v>
      </c>
      <c r="I718" s="12" t="n">
        <f aca="false">(1+H718)^(1/12)-1</f>
        <v>0.00486543356454083</v>
      </c>
      <c r="J718" s="16" t="n">
        <f aca="false">IF(C718=0,(1+Dic2024!$M$6)^(-B718),EXP(LN(INDEX(Dic2024!$N$6:$N$205,C718))+(LN(INDEX(Dic2024!$N$6:$N$205,MIN(C718+1,200)))-LN(INDEX(Dic2024!$N$6:$N$205,C718)))*(A718-6*C718)/6))</f>
        <v>0.0312575036422777</v>
      </c>
      <c r="K718" s="12" t="n">
        <f aca="false">J718^(-1/B718)-1</f>
        <v>0.0599732024999999</v>
      </c>
      <c r="L718" s="12" t="n">
        <f aca="false">(1+K718)^(1/12)-1</f>
        <v>0.00486543356454083</v>
      </c>
    </row>
    <row r="719" customFormat="false" ht="15" hidden="false" customHeight="false" outlineLevel="0" collapsed="false">
      <c r="A719" s="4" t="n">
        <v>715</v>
      </c>
      <c r="B719" s="14" t="n">
        <f aca="false">A719/12</f>
        <v>59.5833333333333</v>
      </c>
      <c r="C719" s="15" t="n">
        <f aca="false">INT(A719/6)</f>
        <v>119</v>
      </c>
      <c r="D719" s="16" t="n">
        <f aca="false">IF(C719=0,(1+Dic2024!$G$6)^(-B719),EXP(LN(INDEX(Dic2024!$H$6:$H$205,C719))+(LN(INDEX(Dic2024!$H$6:$H$205,MIN(C719+1,200)))-LN(INDEX(Dic2024!$H$6:$H$205,C719)))*(A719-6*C719)/6))</f>
        <v>0.0311061586937054</v>
      </c>
      <c r="E719" s="12" t="n">
        <f aca="false">D719^(-1/B719)-1</f>
        <v>0.0599732024999999</v>
      </c>
      <c r="F719" s="12" t="n">
        <f aca="false">(1+E719)^(1/12)-1</f>
        <v>0.00486543356454083</v>
      </c>
      <c r="G719" s="16" t="n">
        <f aca="false">IF(C719=0,(1+Dic2024!$J$6)^(-B719),EXP(LN(INDEX(Dic2024!$K$6:$K$205,C719))+(LN(INDEX(Dic2024!$K$6:$K$205,MIN(C719+1,200)))-LN(INDEX(Dic2024!$K$6:$K$205,C719)))*(A719-6*C719)/6))</f>
        <v>0.0311061586937054</v>
      </c>
      <c r="H719" s="12" t="n">
        <f aca="false">G719^(-1/B719)-1</f>
        <v>0.0599732024999999</v>
      </c>
      <c r="I719" s="12" t="n">
        <f aca="false">(1+H719)^(1/12)-1</f>
        <v>0.00486543356454083</v>
      </c>
      <c r="J719" s="16" t="n">
        <f aca="false">IF(C719=0,(1+Dic2024!$M$6)^(-B719),EXP(LN(INDEX(Dic2024!$N$6:$N$205,C719))+(LN(INDEX(Dic2024!$N$6:$N$205,MIN(C719+1,200)))-LN(INDEX(Dic2024!$N$6:$N$205,C719)))*(A719-6*C719)/6))</f>
        <v>0.0311061586937054</v>
      </c>
      <c r="K719" s="12" t="n">
        <f aca="false">J719^(-1/B719)-1</f>
        <v>0.0599732024999999</v>
      </c>
      <c r="L719" s="12" t="n">
        <f aca="false">(1+K719)^(1/12)-1</f>
        <v>0.00486543356454083</v>
      </c>
    </row>
    <row r="720" customFormat="false" ht="15" hidden="false" customHeight="false" outlineLevel="0" collapsed="false">
      <c r="A720" s="4" t="n">
        <v>716</v>
      </c>
      <c r="B720" s="14" t="n">
        <f aca="false">A720/12</f>
        <v>59.6666666666667</v>
      </c>
      <c r="C720" s="15" t="n">
        <f aca="false">INT(A720/6)</f>
        <v>119</v>
      </c>
      <c r="D720" s="16" t="n">
        <f aca="false">IF(C720=0,(1+Dic2024!$G$6)^(-B720),EXP(LN(INDEX(Dic2024!$H$6:$H$205,C720))+(LN(INDEX(Dic2024!$H$6:$H$205,MIN(C720+1,200)))-LN(INDEX(Dic2024!$H$6:$H$205,C720)))*(A720-6*C720)/6))</f>
        <v>0.030955546538568</v>
      </c>
      <c r="E720" s="12" t="n">
        <f aca="false">D720^(-1/B720)-1</f>
        <v>0.0599732024999999</v>
      </c>
      <c r="F720" s="12" t="n">
        <f aca="false">(1+E720)^(1/12)-1</f>
        <v>0.00486543356454083</v>
      </c>
      <c r="G720" s="16" t="n">
        <f aca="false">IF(C720=0,(1+Dic2024!$J$6)^(-B720),EXP(LN(INDEX(Dic2024!$K$6:$K$205,C720))+(LN(INDEX(Dic2024!$K$6:$K$205,MIN(C720+1,200)))-LN(INDEX(Dic2024!$K$6:$K$205,C720)))*(A720-6*C720)/6))</f>
        <v>0.030955546538568</v>
      </c>
      <c r="H720" s="12" t="n">
        <f aca="false">G720^(-1/B720)-1</f>
        <v>0.0599732024999999</v>
      </c>
      <c r="I720" s="12" t="n">
        <f aca="false">(1+H720)^(1/12)-1</f>
        <v>0.00486543356454083</v>
      </c>
      <c r="J720" s="16" t="n">
        <f aca="false">IF(C720=0,(1+Dic2024!$M$6)^(-B720),EXP(LN(INDEX(Dic2024!$N$6:$N$205,C720))+(LN(INDEX(Dic2024!$N$6:$N$205,MIN(C720+1,200)))-LN(INDEX(Dic2024!$N$6:$N$205,C720)))*(A720-6*C720)/6))</f>
        <v>0.030955546538568</v>
      </c>
      <c r="K720" s="12" t="n">
        <f aca="false">J720^(-1/B720)-1</f>
        <v>0.0599732024999999</v>
      </c>
      <c r="L720" s="12" t="n">
        <f aca="false">(1+K720)^(1/12)-1</f>
        <v>0.00486543356454083</v>
      </c>
    </row>
    <row r="721" customFormat="false" ht="15" hidden="false" customHeight="false" outlineLevel="0" collapsed="false">
      <c r="A721" s="4" t="n">
        <v>717</v>
      </c>
      <c r="B721" s="14" t="n">
        <f aca="false">A721/12</f>
        <v>59.75</v>
      </c>
      <c r="C721" s="15" t="n">
        <f aca="false">INT(A721/6)</f>
        <v>119</v>
      </c>
      <c r="D721" s="16" t="n">
        <f aca="false">IF(C721=0,(1+Dic2024!$G$6)^(-B721),EXP(LN(INDEX(Dic2024!$H$6:$H$205,C721))+(LN(INDEX(Dic2024!$H$6:$H$205,MIN(C721+1,200)))-LN(INDEX(Dic2024!$H$6:$H$205,C721)))*(A721-6*C721)/6))</f>
        <v>0.0308056636287706</v>
      </c>
      <c r="E721" s="12" t="n">
        <f aca="false">D721^(-1/B721)-1</f>
        <v>0.0599732024999999</v>
      </c>
      <c r="F721" s="12" t="n">
        <f aca="false">(1+E721)^(1/12)-1</f>
        <v>0.00486543356454083</v>
      </c>
      <c r="G721" s="16" t="n">
        <f aca="false">IF(C721=0,(1+Dic2024!$J$6)^(-B721),EXP(LN(INDEX(Dic2024!$K$6:$K$205,C721))+(LN(INDEX(Dic2024!$K$6:$K$205,MIN(C721+1,200)))-LN(INDEX(Dic2024!$K$6:$K$205,C721)))*(A721-6*C721)/6))</f>
        <v>0.0308056636287706</v>
      </c>
      <c r="H721" s="12" t="n">
        <f aca="false">G721^(-1/B721)-1</f>
        <v>0.0599732024999999</v>
      </c>
      <c r="I721" s="12" t="n">
        <f aca="false">(1+H721)^(1/12)-1</f>
        <v>0.00486543356454083</v>
      </c>
      <c r="J721" s="16" t="n">
        <f aca="false">IF(C721=0,(1+Dic2024!$M$6)^(-B721),EXP(LN(INDEX(Dic2024!$N$6:$N$205,C721))+(LN(INDEX(Dic2024!$N$6:$N$205,MIN(C721+1,200)))-LN(INDEX(Dic2024!$N$6:$N$205,C721)))*(A721-6*C721)/6))</f>
        <v>0.0308056636287706</v>
      </c>
      <c r="K721" s="12" t="n">
        <f aca="false">J721^(-1/B721)-1</f>
        <v>0.0599732024999999</v>
      </c>
      <c r="L721" s="12" t="n">
        <f aca="false">(1+K721)^(1/12)-1</f>
        <v>0.00486543356454083</v>
      </c>
    </row>
    <row r="722" customFormat="false" ht="15" hidden="false" customHeight="false" outlineLevel="0" collapsed="false">
      <c r="A722" s="4" t="n">
        <v>718</v>
      </c>
      <c r="B722" s="14" t="n">
        <f aca="false">A722/12</f>
        <v>59.8333333333333</v>
      </c>
      <c r="C722" s="15" t="n">
        <f aca="false">INT(A722/6)</f>
        <v>119</v>
      </c>
      <c r="D722" s="16" t="n">
        <f aca="false">IF(C722=0,(1+Dic2024!$G$6)^(-B722),EXP(LN(INDEX(Dic2024!$H$6:$H$205,C722))+(LN(INDEX(Dic2024!$H$6:$H$205,MIN(C722+1,200)))-LN(INDEX(Dic2024!$H$6:$H$205,C722)))*(A722-6*C722)/6))</f>
        <v>0.030656506433398</v>
      </c>
      <c r="E722" s="12" t="n">
        <f aca="false">D722^(-1/B722)-1</f>
        <v>0.0599732024999999</v>
      </c>
      <c r="F722" s="12" t="n">
        <f aca="false">(1+E722)^(1/12)-1</f>
        <v>0.00486543356454083</v>
      </c>
      <c r="G722" s="16" t="n">
        <f aca="false">IF(C722=0,(1+Dic2024!$J$6)^(-B722),EXP(LN(INDEX(Dic2024!$K$6:$K$205,C722))+(LN(INDEX(Dic2024!$K$6:$K$205,MIN(C722+1,200)))-LN(INDEX(Dic2024!$K$6:$K$205,C722)))*(A722-6*C722)/6))</f>
        <v>0.030656506433398</v>
      </c>
      <c r="H722" s="12" t="n">
        <f aca="false">G722^(-1/B722)-1</f>
        <v>0.0599732024999999</v>
      </c>
      <c r="I722" s="12" t="n">
        <f aca="false">(1+H722)^(1/12)-1</f>
        <v>0.00486543356454083</v>
      </c>
      <c r="J722" s="16" t="n">
        <f aca="false">IF(C722=0,(1+Dic2024!$M$6)^(-B722),EXP(LN(INDEX(Dic2024!$N$6:$N$205,C722))+(LN(INDEX(Dic2024!$N$6:$N$205,MIN(C722+1,200)))-LN(INDEX(Dic2024!$N$6:$N$205,C722)))*(A722-6*C722)/6))</f>
        <v>0.030656506433398</v>
      </c>
      <c r="K722" s="12" t="n">
        <f aca="false">J722^(-1/B722)-1</f>
        <v>0.0599732024999999</v>
      </c>
      <c r="L722" s="12" t="n">
        <f aca="false">(1+K722)^(1/12)-1</f>
        <v>0.00486543356454083</v>
      </c>
    </row>
    <row r="723" customFormat="false" ht="15" hidden="false" customHeight="false" outlineLevel="0" collapsed="false">
      <c r="A723" s="4" t="n">
        <v>719</v>
      </c>
      <c r="B723" s="14" t="n">
        <f aca="false">A723/12</f>
        <v>59.9166666666667</v>
      </c>
      <c r="C723" s="15" t="n">
        <f aca="false">INT(A723/6)</f>
        <v>119</v>
      </c>
      <c r="D723" s="16" t="n">
        <f aca="false">IF(C723=0,(1+Dic2024!$G$6)^(-B723),EXP(LN(INDEX(Dic2024!$H$6:$H$205,C723))+(LN(INDEX(Dic2024!$H$6:$H$205,MIN(C723+1,200)))-LN(INDEX(Dic2024!$H$6:$H$205,C723)))*(A723-6*C723)/6))</f>
        <v>0.0305080714386311</v>
      </c>
      <c r="E723" s="12" t="n">
        <f aca="false">D723^(-1/B723)-1</f>
        <v>0.0599732024999999</v>
      </c>
      <c r="F723" s="12" t="n">
        <f aca="false">(1+E723)^(1/12)-1</f>
        <v>0.00486543356454083</v>
      </c>
      <c r="G723" s="16" t="n">
        <f aca="false">IF(C723=0,(1+Dic2024!$J$6)^(-B723),EXP(LN(INDEX(Dic2024!$K$6:$K$205,C723))+(LN(INDEX(Dic2024!$K$6:$K$205,MIN(C723+1,200)))-LN(INDEX(Dic2024!$K$6:$K$205,C723)))*(A723-6*C723)/6))</f>
        <v>0.0305080714386311</v>
      </c>
      <c r="H723" s="12" t="n">
        <f aca="false">G723^(-1/B723)-1</f>
        <v>0.0599732024999999</v>
      </c>
      <c r="I723" s="12" t="n">
        <f aca="false">(1+H723)^(1/12)-1</f>
        <v>0.00486543356454083</v>
      </c>
      <c r="J723" s="16" t="n">
        <f aca="false">IF(C723=0,(1+Dic2024!$M$6)^(-B723),EXP(LN(INDEX(Dic2024!$N$6:$N$205,C723))+(LN(INDEX(Dic2024!$N$6:$N$205,MIN(C723+1,200)))-LN(INDEX(Dic2024!$N$6:$N$205,C723)))*(A723-6*C723)/6))</f>
        <v>0.0305080714386311</v>
      </c>
      <c r="K723" s="12" t="n">
        <f aca="false">J723^(-1/B723)-1</f>
        <v>0.0599732024999999</v>
      </c>
      <c r="L723" s="12" t="n">
        <f aca="false">(1+K723)^(1/12)-1</f>
        <v>0.00486543356454083</v>
      </c>
    </row>
    <row r="724" customFormat="false" ht="15" hidden="false" customHeight="false" outlineLevel="0" collapsed="false">
      <c r="A724" s="4" t="n">
        <v>720</v>
      </c>
      <c r="B724" s="14" t="n">
        <f aca="false">A724/12</f>
        <v>60</v>
      </c>
      <c r="C724" s="15" t="n">
        <f aca="false">INT(A724/6)</f>
        <v>120</v>
      </c>
      <c r="D724" s="16" t="n">
        <f aca="false">IF(C724=0,(1+Dic2024!$G$6)^(-B724),EXP(LN(INDEX(Dic2024!$H$6:$H$205,C724))+(LN(INDEX(Dic2024!$H$6:$H$205,MIN(C724+1,200)))-LN(INDEX(Dic2024!$H$6:$H$205,C724)))*(A724-6*C724)/6))</f>
        <v>0.0303603551476642</v>
      </c>
      <c r="E724" s="12" t="n">
        <f aca="false">D724^(-1/B724)-1</f>
        <v>0.0599732024999999</v>
      </c>
      <c r="F724" s="12" t="n">
        <f aca="false">(1+E724)^(1/12)-1</f>
        <v>0.00486543356454083</v>
      </c>
      <c r="G724" s="16" t="n">
        <f aca="false">IF(C724=0,(1+Dic2024!$J$6)^(-B724),EXP(LN(INDEX(Dic2024!$K$6:$K$205,C724))+(LN(INDEX(Dic2024!$K$6:$K$205,MIN(C724+1,200)))-LN(INDEX(Dic2024!$K$6:$K$205,C724)))*(A724-6*C724)/6))</f>
        <v>0.0303603551476642</v>
      </c>
      <c r="H724" s="12" t="n">
        <f aca="false">G724^(-1/B724)-1</f>
        <v>0.0599732024999999</v>
      </c>
      <c r="I724" s="12" t="n">
        <f aca="false">(1+H724)^(1/12)-1</f>
        <v>0.00486543356454083</v>
      </c>
      <c r="J724" s="16" t="n">
        <f aca="false">IF(C724=0,(1+Dic2024!$M$6)^(-B724),EXP(LN(INDEX(Dic2024!$N$6:$N$205,C724))+(LN(INDEX(Dic2024!$N$6:$N$205,MIN(C724+1,200)))-LN(INDEX(Dic2024!$N$6:$N$205,C724)))*(A724-6*C724)/6))</f>
        <v>0.0303603551476642</v>
      </c>
      <c r="K724" s="12" t="n">
        <f aca="false">J724^(-1/B724)-1</f>
        <v>0.0599732024999999</v>
      </c>
      <c r="L724" s="12" t="n">
        <f aca="false">(1+K724)^(1/12)-1</f>
        <v>0.00486543356454083</v>
      </c>
    </row>
    <row r="725" customFormat="false" ht="15" hidden="false" customHeight="false" outlineLevel="0" collapsed="false">
      <c r="A725" s="4" t="n">
        <v>721</v>
      </c>
      <c r="B725" s="14" t="n">
        <f aca="false">A725/12</f>
        <v>60.0833333333333</v>
      </c>
      <c r="C725" s="15" t="n">
        <f aca="false">INT(A725/6)</f>
        <v>120</v>
      </c>
      <c r="D725" s="16" t="n">
        <f aca="false">IF(C725=0,(1+Dic2024!$G$6)^(-B725),EXP(LN(INDEX(Dic2024!$H$6:$H$205,C725))+(LN(INDEX(Dic2024!$H$6:$H$205,MIN(C725+1,200)))-LN(INDEX(Dic2024!$H$6:$H$205,C725)))*(A725-6*C725)/6))</f>
        <v>0.030213354080623</v>
      </c>
      <c r="E725" s="12" t="n">
        <f aca="false">D725^(-1/B725)-1</f>
        <v>0.0599732024999999</v>
      </c>
      <c r="F725" s="12" t="n">
        <f aca="false">(1+E725)^(1/12)-1</f>
        <v>0.00486543356454083</v>
      </c>
      <c r="G725" s="16" t="n">
        <f aca="false">IF(C725=0,(1+Dic2024!$J$6)^(-B725),EXP(LN(INDEX(Dic2024!$K$6:$K$205,C725))+(LN(INDEX(Dic2024!$K$6:$K$205,MIN(C725+1,200)))-LN(INDEX(Dic2024!$K$6:$K$205,C725)))*(A725-6*C725)/6))</f>
        <v>0.030213354080623</v>
      </c>
      <c r="H725" s="12" t="n">
        <f aca="false">G725^(-1/B725)-1</f>
        <v>0.0599732024999999</v>
      </c>
      <c r="I725" s="12" t="n">
        <f aca="false">(1+H725)^(1/12)-1</f>
        <v>0.00486543356454083</v>
      </c>
      <c r="J725" s="16" t="n">
        <f aca="false">IF(C725=0,(1+Dic2024!$M$6)^(-B725),EXP(LN(INDEX(Dic2024!$N$6:$N$205,C725))+(LN(INDEX(Dic2024!$N$6:$N$205,MIN(C725+1,200)))-LN(INDEX(Dic2024!$N$6:$N$205,C725)))*(A725-6*C725)/6))</f>
        <v>0.030213354080623</v>
      </c>
      <c r="K725" s="12" t="n">
        <f aca="false">J725^(-1/B725)-1</f>
        <v>0.0599732024999999</v>
      </c>
      <c r="L725" s="12" t="n">
        <f aca="false">(1+K725)^(1/12)-1</f>
        <v>0.00486543356454083</v>
      </c>
    </row>
    <row r="726" customFormat="false" ht="15" hidden="false" customHeight="false" outlineLevel="0" collapsed="false">
      <c r="A726" s="4" t="n">
        <v>722</v>
      </c>
      <c r="B726" s="14" t="n">
        <f aca="false">A726/12</f>
        <v>60.1666666666667</v>
      </c>
      <c r="C726" s="15" t="n">
        <f aca="false">INT(A726/6)</f>
        <v>120</v>
      </c>
      <c r="D726" s="16" t="n">
        <f aca="false">IF(C726=0,(1+Dic2024!$G$6)^(-B726),EXP(LN(INDEX(Dic2024!$H$6:$H$205,C726))+(LN(INDEX(Dic2024!$H$6:$H$205,MIN(C726+1,200)))-LN(INDEX(Dic2024!$H$6:$H$205,C726)))*(A726-6*C726)/6))</f>
        <v>0.030067064774482</v>
      </c>
      <c r="E726" s="12" t="n">
        <f aca="false">D726^(-1/B726)-1</f>
        <v>0.0599732024999999</v>
      </c>
      <c r="F726" s="12" t="n">
        <f aca="false">(1+E726)^(1/12)-1</f>
        <v>0.00486543356454083</v>
      </c>
      <c r="G726" s="16" t="n">
        <f aca="false">IF(C726=0,(1+Dic2024!$J$6)^(-B726),EXP(LN(INDEX(Dic2024!$K$6:$K$205,C726))+(LN(INDEX(Dic2024!$K$6:$K$205,MIN(C726+1,200)))-LN(INDEX(Dic2024!$K$6:$K$205,C726)))*(A726-6*C726)/6))</f>
        <v>0.030067064774482</v>
      </c>
      <c r="H726" s="12" t="n">
        <f aca="false">G726^(-1/B726)-1</f>
        <v>0.0599732024999999</v>
      </c>
      <c r="I726" s="12" t="n">
        <f aca="false">(1+H726)^(1/12)-1</f>
        <v>0.00486543356454083</v>
      </c>
      <c r="J726" s="16" t="n">
        <f aca="false">IF(C726=0,(1+Dic2024!$M$6)^(-B726),EXP(LN(INDEX(Dic2024!$N$6:$N$205,C726))+(LN(INDEX(Dic2024!$N$6:$N$205,MIN(C726+1,200)))-LN(INDEX(Dic2024!$N$6:$N$205,C726)))*(A726-6*C726)/6))</f>
        <v>0.030067064774482</v>
      </c>
      <c r="K726" s="12" t="n">
        <f aca="false">J726^(-1/B726)-1</f>
        <v>0.0599732024999999</v>
      </c>
      <c r="L726" s="12" t="n">
        <f aca="false">(1+K726)^(1/12)-1</f>
        <v>0.00486543356454083</v>
      </c>
    </row>
    <row r="727" customFormat="false" ht="15" hidden="false" customHeight="false" outlineLevel="0" collapsed="false">
      <c r="A727" s="4" t="n">
        <v>723</v>
      </c>
      <c r="B727" s="14" t="n">
        <f aca="false">A727/12</f>
        <v>60.25</v>
      </c>
      <c r="C727" s="15" t="n">
        <f aca="false">INT(A727/6)</f>
        <v>120</v>
      </c>
      <c r="D727" s="16" t="n">
        <f aca="false">IF(C727=0,(1+Dic2024!$G$6)^(-B727),EXP(LN(INDEX(Dic2024!$H$6:$H$205,C727))+(LN(INDEX(Dic2024!$H$6:$H$205,MIN(C727+1,200)))-LN(INDEX(Dic2024!$H$6:$H$205,C727)))*(A727-6*C727)/6))</f>
        <v>0.0299214837829834</v>
      </c>
      <c r="E727" s="12" t="n">
        <f aca="false">D727^(-1/B727)-1</f>
        <v>0.0599732024999999</v>
      </c>
      <c r="F727" s="12" t="n">
        <f aca="false">(1+E727)^(1/12)-1</f>
        <v>0.00486543356454083</v>
      </c>
      <c r="G727" s="16" t="n">
        <f aca="false">IF(C727=0,(1+Dic2024!$J$6)^(-B727),EXP(LN(INDEX(Dic2024!$K$6:$K$205,C727))+(LN(INDEX(Dic2024!$K$6:$K$205,MIN(C727+1,200)))-LN(INDEX(Dic2024!$K$6:$K$205,C727)))*(A727-6*C727)/6))</f>
        <v>0.0299214837829834</v>
      </c>
      <c r="H727" s="12" t="n">
        <f aca="false">G727^(-1/B727)-1</f>
        <v>0.0599732024999999</v>
      </c>
      <c r="I727" s="12" t="n">
        <f aca="false">(1+H727)^(1/12)-1</f>
        <v>0.00486543356454083</v>
      </c>
      <c r="J727" s="16" t="n">
        <f aca="false">IF(C727=0,(1+Dic2024!$M$6)^(-B727),EXP(LN(INDEX(Dic2024!$N$6:$N$205,C727))+(LN(INDEX(Dic2024!$N$6:$N$205,MIN(C727+1,200)))-LN(INDEX(Dic2024!$N$6:$N$205,C727)))*(A727-6*C727)/6))</f>
        <v>0.0299214837829834</v>
      </c>
      <c r="K727" s="12" t="n">
        <f aca="false">J727^(-1/B727)-1</f>
        <v>0.0599732024999999</v>
      </c>
      <c r="L727" s="12" t="n">
        <f aca="false">(1+K727)^(1/12)-1</f>
        <v>0.00486543356454083</v>
      </c>
    </row>
    <row r="728" customFormat="false" ht="15" hidden="false" customHeight="false" outlineLevel="0" collapsed="false">
      <c r="A728" s="4" t="n">
        <v>724</v>
      </c>
      <c r="B728" s="14" t="n">
        <f aca="false">A728/12</f>
        <v>60.3333333333333</v>
      </c>
      <c r="C728" s="15" t="n">
        <f aca="false">INT(A728/6)</f>
        <v>120</v>
      </c>
      <c r="D728" s="16" t="n">
        <f aca="false">IF(C728=0,(1+Dic2024!$G$6)^(-B728),EXP(LN(INDEX(Dic2024!$H$6:$H$205,C728))+(LN(INDEX(Dic2024!$H$6:$H$205,MIN(C728+1,200)))-LN(INDEX(Dic2024!$H$6:$H$205,C728)))*(A728-6*C728)/6))</f>
        <v>0.0297766076765557</v>
      </c>
      <c r="E728" s="12" t="n">
        <f aca="false">D728^(-1/B728)-1</f>
        <v>0.0599732024999999</v>
      </c>
      <c r="F728" s="12" t="n">
        <f aca="false">(1+E728)^(1/12)-1</f>
        <v>0.00486543356454083</v>
      </c>
      <c r="G728" s="16" t="n">
        <f aca="false">IF(C728=0,(1+Dic2024!$J$6)^(-B728),EXP(LN(INDEX(Dic2024!$K$6:$K$205,C728))+(LN(INDEX(Dic2024!$K$6:$K$205,MIN(C728+1,200)))-LN(INDEX(Dic2024!$K$6:$K$205,C728)))*(A728-6*C728)/6))</f>
        <v>0.0297766076765557</v>
      </c>
      <c r="H728" s="12" t="n">
        <f aca="false">G728^(-1/B728)-1</f>
        <v>0.0599732024999999</v>
      </c>
      <c r="I728" s="12" t="n">
        <f aca="false">(1+H728)^(1/12)-1</f>
        <v>0.00486543356454083</v>
      </c>
      <c r="J728" s="16" t="n">
        <f aca="false">IF(C728=0,(1+Dic2024!$M$6)^(-B728),EXP(LN(INDEX(Dic2024!$N$6:$N$205,C728))+(LN(INDEX(Dic2024!$N$6:$N$205,MIN(C728+1,200)))-LN(INDEX(Dic2024!$N$6:$N$205,C728)))*(A728-6*C728)/6))</f>
        <v>0.0297766076765557</v>
      </c>
      <c r="K728" s="12" t="n">
        <f aca="false">J728^(-1/B728)-1</f>
        <v>0.0599732024999999</v>
      </c>
      <c r="L728" s="12" t="n">
        <f aca="false">(1+K728)^(1/12)-1</f>
        <v>0.00486543356454083</v>
      </c>
    </row>
    <row r="729" customFormat="false" ht="15" hidden="false" customHeight="false" outlineLevel="0" collapsed="false">
      <c r="A729" s="4" t="n">
        <v>725</v>
      </c>
      <c r="B729" s="14" t="n">
        <f aca="false">A729/12</f>
        <v>60.4166666666667</v>
      </c>
      <c r="C729" s="15" t="n">
        <f aca="false">INT(A729/6)</f>
        <v>120</v>
      </c>
      <c r="D729" s="16" t="n">
        <f aca="false">IF(C729=0,(1+Dic2024!$G$6)^(-B729),EXP(LN(INDEX(Dic2024!$H$6:$H$205,C729))+(LN(INDEX(Dic2024!$H$6:$H$205,MIN(C729+1,200)))-LN(INDEX(Dic2024!$H$6:$H$205,C729)))*(A729-6*C729)/6))</f>
        <v>0.0296324330422331</v>
      </c>
      <c r="E729" s="12" t="n">
        <f aca="false">D729^(-1/B729)-1</f>
        <v>0.0599732024999999</v>
      </c>
      <c r="F729" s="12" t="n">
        <f aca="false">(1+E729)^(1/12)-1</f>
        <v>0.00486543356454083</v>
      </c>
      <c r="G729" s="16" t="n">
        <f aca="false">IF(C729=0,(1+Dic2024!$J$6)^(-B729),EXP(LN(INDEX(Dic2024!$K$6:$K$205,C729))+(LN(INDEX(Dic2024!$K$6:$K$205,MIN(C729+1,200)))-LN(INDEX(Dic2024!$K$6:$K$205,C729)))*(A729-6*C729)/6))</f>
        <v>0.0296324330422331</v>
      </c>
      <c r="H729" s="12" t="n">
        <f aca="false">G729^(-1/B729)-1</f>
        <v>0.0599732024999999</v>
      </c>
      <c r="I729" s="12" t="n">
        <f aca="false">(1+H729)^(1/12)-1</f>
        <v>0.00486543356454083</v>
      </c>
      <c r="J729" s="16" t="n">
        <f aca="false">IF(C729=0,(1+Dic2024!$M$6)^(-B729),EXP(LN(INDEX(Dic2024!$N$6:$N$205,C729))+(LN(INDEX(Dic2024!$N$6:$N$205,MIN(C729+1,200)))-LN(INDEX(Dic2024!$N$6:$N$205,C729)))*(A729-6*C729)/6))</f>
        <v>0.0296324330422331</v>
      </c>
      <c r="K729" s="12" t="n">
        <f aca="false">J729^(-1/B729)-1</f>
        <v>0.0599732024999999</v>
      </c>
      <c r="L729" s="12" t="n">
        <f aca="false">(1+K729)^(1/12)-1</f>
        <v>0.00486543356454083</v>
      </c>
    </row>
    <row r="730" customFormat="false" ht="15" hidden="false" customHeight="false" outlineLevel="0" collapsed="false">
      <c r="A730" s="4" t="n">
        <v>726</v>
      </c>
      <c r="B730" s="14" t="n">
        <f aca="false">A730/12</f>
        <v>60.5</v>
      </c>
      <c r="C730" s="15" t="n">
        <f aca="false">INT(A730/6)</f>
        <v>121</v>
      </c>
      <c r="D730" s="16" t="n">
        <f aca="false">IF(C730=0,(1+Dic2024!$G$6)^(-B730),EXP(LN(INDEX(Dic2024!$H$6:$H$205,C730))+(LN(INDEX(Dic2024!$H$6:$H$205,MIN(C730+1,200)))-LN(INDEX(Dic2024!$H$6:$H$205,C730)))*(A730-6*C730)/6))</f>
        <v>0.0294889564835746</v>
      </c>
      <c r="E730" s="12" t="n">
        <f aca="false">D730^(-1/B730)-1</f>
        <v>0.0599732024999999</v>
      </c>
      <c r="F730" s="12" t="n">
        <f aca="false">(1+E730)^(1/12)-1</f>
        <v>0.00486543356454083</v>
      </c>
      <c r="G730" s="16" t="n">
        <f aca="false">IF(C730=0,(1+Dic2024!$J$6)^(-B730),EXP(LN(INDEX(Dic2024!$K$6:$K$205,C730))+(LN(INDEX(Dic2024!$K$6:$K$205,MIN(C730+1,200)))-LN(INDEX(Dic2024!$K$6:$K$205,C730)))*(A730-6*C730)/6))</f>
        <v>0.0294889564835746</v>
      </c>
      <c r="H730" s="12" t="n">
        <f aca="false">G730^(-1/B730)-1</f>
        <v>0.0599732024999999</v>
      </c>
      <c r="I730" s="12" t="n">
        <f aca="false">(1+H730)^(1/12)-1</f>
        <v>0.00486543356454083</v>
      </c>
      <c r="J730" s="16" t="n">
        <f aca="false">IF(C730=0,(1+Dic2024!$M$6)^(-B730),EXP(LN(INDEX(Dic2024!$N$6:$N$205,C730))+(LN(INDEX(Dic2024!$N$6:$N$205,MIN(C730+1,200)))-LN(INDEX(Dic2024!$N$6:$N$205,C730)))*(A730-6*C730)/6))</f>
        <v>0.0294889564835746</v>
      </c>
      <c r="K730" s="12" t="n">
        <f aca="false">J730^(-1/B730)-1</f>
        <v>0.0599732024999999</v>
      </c>
      <c r="L730" s="12" t="n">
        <f aca="false">(1+K730)^(1/12)-1</f>
        <v>0.00486543356454083</v>
      </c>
    </row>
    <row r="731" customFormat="false" ht="15" hidden="false" customHeight="false" outlineLevel="0" collapsed="false">
      <c r="A731" s="4" t="n">
        <v>727</v>
      </c>
      <c r="B731" s="14" t="n">
        <f aca="false">A731/12</f>
        <v>60.5833333333333</v>
      </c>
      <c r="C731" s="15" t="n">
        <f aca="false">INT(A731/6)</f>
        <v>121</v>
      </c>
      <c r="D731" s="16" t="n">
        <f aca="false">IF(C731=0,(1+Dic2024!$G$6)^(-B731),EXP(LN(INDEX(Dic2024!$H$6:$H$205,C731))+(LN(INDEX(Dic2024!$H$6:$H$205,MIN(C731+1,200)))-LN(INDEX(Dic2024!$H$6:$H$205,C731)))*(A731-6*C731)/6))</f>
        <v>0.0293461746205847</v>
      </c>
      <c r="E731" s="12" t="n">
        <f aca="false">D731^(-1/B731)-1</f>
        <v>0.0599732024999999</v>
      </c>
      <c r="F731" s="12" t="n">
        <f aca="false">(1+E731)^(1/12)-1</f>
        <v>0.00486543356454083</v>
      </c>
      <c r="G731" s="16" t="n">
        <f aca="false">IF(C731=0,(1+Dic2024!$J$6)^(-B731),EXP(LN(INDEX(Dic2024!$K$6:$K$205,C731))+(LN(INDEX(Dic2024!$K$6:$K$205,MIN(C731+1,200)))-LN(INDEX(Dic2024!$K$6:$K$205,C731)))*(A731-6*C731)/6))</f>
        <v>0.0293461746205847</v>
      </c>
      <c r="H731" s="12" t="n">
        <f aca="false">G731^(-1/B731)-1</f>
        <v>0.0599732024999999</v>
      </c>
      <c r="I731" s="12" t="n">
        <f aca="false">(1+H731)^(1/12)-1</f>
        <v>0.00486543356454083</v>
      </c>
      <c r="J731" s="16" t="n">
        <f aca="false">IF(C731=0,(1+Dic2024!$M$6)^(-B731),EXP(LN(INDEX(Dic2024!$N$6:$N$205,C731))+(LN(INDEX(Dic2024!$N$6:$N$205,MIN(C731+1,200)))-LN(INDEX(Dic2024!$N$6:$N$205,C731)))*(A731-6*C731)/6))</f>
        <v>0.0293461746205847</v>
      </c>
      <c r="K731" s="12" t="n">
        <f aca="false">J731^(-1/B731)-1</f>
        <v>0.0599732024999999</v>
      </c>
      <c r="L731" s="12" t="n">
        <f aca="false">(1+K731)^(1/12)-1</f>
        <v>0.00486543356454083</v>
      </c>
    </row>
    <row r="732" customFormat="false" ht="15" hidden="false" customHeight="false" outlineLevel="0" collapsed="false">
      <c r="A732" s="4" t="n">
        <v>728</v>
      </c>
      <c r="B732" s="14" t="n">
        <f aca="false">A732/12</f>
        <v>60.6666666666667</v>
      </c>
      <c r="C732" s="15" t="n">
        <f aca="false">INT(A732/6)</f>
        <v>121</v>
      </c>
      <c r="D732" s="16" t="n">
        <f aca="false">IF(C732=0,(1+Dic2024!$G$6)^(-B732),EXP(LN(INDEX(Dic2024!$H$6:$H$205,C732))+(LN(INDEX(Dic2024!$H$6:$H$205,MIN(C732+1,200)))-LN(INDEX(Dic2024!$H$6:$H$205,C732)))*(A732-6*C732)/6))</f>
        <v>0.0292040840896334</v>
      </c>
      <c r="E732" s="12" t="n">
        <f aca="false">D732^(-1/B732)-1</f>
        <v>0.0599732024999999</v>
      </c>
      <c r="F732" s="12" t="n">
        <f aca="false">(1+E732)^(1/12)-1</f>
        <v>0.00486543356454083</v>
      </c>
      <c r="G732" s="16" t="n">
        <f aca="false">IF(C732=0,(1+Dic2024!$J$6)^(-B732),EXP(LN(INDEX(Dic2024!$K$6:$K$205,C732))+(LN(INDEX(Dic2024!$K$6:$K$205,MIN(C732+1,200)))-LN(INDEX(Dic2024!$K$6:$K$205,C732)))*(A732-6*C732)/6))</f>
        <v>0.0292040840896334</v>
      </c>
      <c r="H732" s="12" t="n">
        <f aca="false">G732^(-1/B732)-1</f>
        <v>0.0599732024999999</v>
      </c>
      <c r="I732" s="12" t="n">
        <f aca="false">(1+H732)^(1/12)-1</f>
        <v>0.00486543356454083</v>
      </c>
      <c r="J732" s="16" t="n">
        <f aca="false">IF(C732=0,(1+Dic2024!$M$6)^(-B732),EXP(LN(INDEX(Dic2024!$N$6:$N$205,C732))+(LN(INDEX(Dic2024!$N$6:$N$205,MIN(C732+1,200)))-LN(INDEX(Dic2024!$N$6:$N$205,C732)))*(A732-6*C732)/6))</f>
        <v>0.0292040840896334</v>
      </c>
      <c r="K732" s="12" t="n">
        <f aca="false">J732^(-1/B732)-1</f>
        <v>0.0599732024999999</v>
      </c>
      <c r="L732" s="12" t="n">
        <f aca="false">(1+K732)^(1/12)-1</f>
        <v>0.00486543356454083</v>
      </c>
    </row>
    <row r="733" customFormat="false" ht="15" hidden="false" customHeight="false" outlineLevel="0" collapsed="false">
      <c r="A733" s="4" t="n">
        <v>729</v>
      </c>
      <c r="B733" s="14" t="n">
        <f aca="false">A733/12</f>
        <v>60.75</v>
      </c>
      <c r="C733" s="15" t="n">
        <f aca="false">INT(A733/6)</f>
        <v>121</v>
      </c>
      <c r="D733" s="16" t="n">
        <f aca="false">IF(C733=0,(1+Dic2024!$G$6)^(-B733),EXP(LN(INDEX(Dic2024!$H$6:$H$205,C733))+(LN(INDEX(Dic2024!$H$6:$H$205,MIN(C733+1,200)))-LN(INDEX(Dic2024!$H$6:$H$205,C733)))*(A733-6*C733)/6))</f>
        <v>0.0290626815433766</v>
      </c>
      <c r="E733" s="12" t="n">
        <f aca="false">D733^(-1/B733)-1</f>
        <v>0.0599732024999999</v>
      </c>
      <c r="F733" s="12" t="n">
        <f aca="false">(1+E733)^(1/12)-1</f>
        <v>0.00486543356454083</v>
      </c>
      <c r="G733" s="16" t="n">
        <f aca="false">IF(C733=0,(1+Dic2024!$J$6)^(-B733),EXP(LN(INDEX(Dic2024!$K$6:$K$205,C733))+(LN(INDEX(Dic2024!$K$6:$K$205,MIN(C733+1,200)))-LN(INDEX(Dic2024!$K$6:$K$205,C733)))*(A733-6*C733)/6))</f>
        <v>0.0290626815433766</v>
      </c>
      <c r="H733" s="12" t="n">
        <f aca="false">G733^(-1/B733)-1</f>
        <v>0.0599732024999999</v>
      </c>
      <c r="I733" s="12" t="n">
        <f aca="false">(1+H733)^(1/12)-1</f>
        <v>0.00486543356454083</v>
      </c>
      <c r="J733" s="16" t="n">
        <f aca="false">IF(C733=0,(1+Dic2024!$M$6)^(-B733),EXP(LN(INDEX(Dic2024!$N$6:$N$205,C733))+(LN(INDEX(Dic2024!$N$6:$N$205,MIN(C733+1,200)))-LN(INDEX(Dic2024!$N$6:$N$205,C733)))*(A733-6*C733)/6))</f>
        <v>0.0290626815433766</v>
      </c>
      <c r="K733" s="12" t="n">
        <f aca="false">J733^(-1/B733)-1</f>
        <v>0.0599732024999999</v>
      </c>
      <c r="L733" s="12" t="n">
        <f aca="false">(1+K733)^(1/12)-1</f>
        <v>0.00486543356454083</v>
      </c>
    </row>
    <row r="734" customFormat="false" ht="15" hidden="false" customHeight="false" outlineLevel="0" collapsed="false">
      <c r="A734" s="4" t="n">
        <v>730</v>
      </c>
      <c r="B734" s="14" t="n">
        <f aca="false">A734/12</f>
        <v>60.8333333333333</v>
      </c>
      <c r="C734" s="15" t="n">
        <f aca="false">INT(A734/6)</f>
        <v>121</v>
      </c>
      <c r="D734" s="16" t="n">
        <f aca="false">IF(C734=0,(1+Dic2024!$G$6)^(-B734),EXP(LN(INDEX(Dic2024!$H$6:$H$205,C734))+(LN(INDEX(Dic2024!$H$6:$H$205,MIN(C734+1,200)))-LN(INDEX(Dic2024!$H$6:$H$205,C734)))*(A734-6*C734)/6))</f>
        <v>0.0289219636506782</v>
      </c>
      <c r="E734" s="12" t="n">
        <f aca="false">D734^(-1/B734)-1</f>
        <v>0.0599732024999999</v>
      </c>
      <c r="F734" s="12" t="n">
        <f aca="false">(1+E734)^(1/12)-1</f>
        <v>0.00486543356454083</v>
      </c>
      <c r="G734" s="16" t="n">
        <f aca="false">IF(C734=0,(1+Dic2024!$J$6)^(-B734),EXP(LN(INDEX(Dic2024!$K$6:$K$205,C734))+(LN(INDEX(Dic2024!$K$6:$K$205,MIN(C734+1,200)))-LN(INDEX(Dic2024!$K$6:$K$205,C734)))*(A734-6*C734)/6))</f>
        <v>0.0289219636506782</v>
      </c>
      <c r="H734" s="12" t="n">
        <f aca="false">G734^(-1/B734)-1</f>
        <v>0.0599732024999999</v>
      </c>
      <c r="I734" s="12" t="n">
        <f aca="false">(1+H734)^(1/12)-1</f>
        <v>0.00486543356454083</v>
      </c>
      <c r="J734" s="16" t="n">
        <f aca="false">IF(C734=0,(1+Dic2024!$M$6)^(-B734),EXP(LN(INDEX(Dic2024!$N$6:$N$205,C734))+(LN(INDEX(Dic2024!$N$6:$N$205,MIN(C734+1,200)))-LN(INDEX(Dic2024!$N$6:$N$205,C734)))*(A734-6*C734)/6))</f>
        <v>0.0289219636506782</v>
      </c>
      <c r="K734" s="12" t="n">
        <f aca="false">J734^(-1/B734)-1</f>
        <v>0.0599732024999999</v>
      </c>
      <c r="L734" s="12" t="n">
        <f aca="false">(1+K734)^(1/12)-1</f>
        <v>0.00486543356454083</v>
      </c>
    </row>
    <row r="735" customFormat="false" ht="15" hidden="false" customHeight="false" outlineLevel="0" collapsed="false">
      <c r="A735" s="4" t="n">
        <v>731</v>
      </c>
      <c r="B735" s="14" t="n">
        <f aca="false">A735/12</f>
        <v>60.9166666666667</v>
      </c>
      <c r="C735" s="15" t="n">
        <f aca="false">INT(A735/6)</f>
        <v>121</v>
      </c>
      <c r="D735" s="16" t="n">
        <f aca="false">IF(C735=0,(1+Dic2024!$G$6)^(-B735),EXP(LN(INDEX(Dic2024!$H$6:$H$205,C735))+(LN(INDEX(Dic2024!$H$6:$H$205,MIN(C735+1,200)))-LN(INDEX(Dic2024!$H$6:$H$205,C735)))*(A735-6*C735)/6))</f>
        <v>0.0287819270965306</v>
      </c>
      <c r="E735" s="12" t="n">
        <f aca="false">D735^(-1/B735)-1</f>
        <v>0.0599732024999999</v>
      </c>
      <c r="F735" s="12" t="n">
        <f aca="false">(1+E735)^(1/12)-1</f>
        <v>0.00486543356454083</v>
      </c>
      <c r="G735" s="16" t="n">
        <f aca="false">IF(C735=0,(1+Dic2024!$J$6)^(-B735),EXP(LN(INDEX(Dic2024!$K$6:$K$205,C735))+(LN(INDEX(Dic2024!$K$6:$K$205,MIN(C735+1,200)))-LN(INDEX(Dic2024!$K$6:$K$205,C735)))*(A735-6*C735)/6))</f>
        <v>0.0287819270965306</v>
      </c>
      <c r="H735" s="12" t="n">
        <f aca="false">G735^(-1/B735)-1</f>
        <v>0.0599732024999999</v>
      </c>
      <c r="I735" s="12" t="n">
        <f aca="false">(1+H735)^(1/12)-1</f>
        <v>0.00486543356454083</v>
      </c>
      <c r="J735" s="16" t="n">
        <f aca="false">IF(C735=0,(1+Dic2024!$M$6)^(-B735),EXP(LN(INDEX(Dic2024!$N$6:$N$205,C735))+(LN(INDEX(Dic2024!$N$6:$N$205,MIN(C735+1,200)))-LN(INDEX(Dic2024!$N$6:$N$205,C735)))*(A735-6*C735)/6))</f>
        <v>0.0287819270965306</v>
      </c>
      <c r="K735" s="12" t="n">
        <f aca="false">J735^(-1/B735)-1</f>
        <v>0.0599732024999999</v>
      </c>
      <c r="L735" s="12" t="n">
        <f aca="false">(1+K735)^(1/12)-1</f>
        <v>0.00486543356454083</v>
      </c>
    </row>
    <row r="736" customFormat="false" ht="15" hidden="false" customHeight="false" outlineLevel="0" collapsed="false">
      <c r="A736" s="4" t="n">
        <v>732</v>
      </c>
      <c r="B736" s="14" t="n">
        <f aca="false">A736/12</f>
        <v>61</v>
      </c>
      <c r="C736" s="15" t="n">
        <f aca="false">INT(A736/6)</f>
        <v>122</v>
      </c>
      <c r="D736" s="16" t="n">
        <f aca="false">IF(C736=0,(1+Dic2024!$G$6)^(-B736),EXP(LN(INDEX(Dic2024!$H$6:$H$205,C736))+(LN(INDEX(Dic2024!$H$6:$H$205,MIN(C736+1,200)))-LN(INDEX(Dic2024!$H$6:$H$205,C736)))*(A736-6*C736)/6))</f>
        <v>0.0286425685819772</v>
      </c>
      <c r="E736" s="12" t="n">
        <f aca="false">D736^(-1/B736)-1</f>
        <v>0.0599732024999999</v>
      </c>
      <c r="F736" s="12" t="n">
        <f aca="false">(1+E736)^(1/12)-1</f>
        <v>0.00486543356454083</v>
      </c>
      <c r="G736" s="16" t="n">
        <f aca="false">IF(C736=0,(1+Dic2024!$J$6)^(-B736),EXP(LN(INDEX(Dic2024!$K$6:$K$205,C736))+(LN(INDEX(Dic2024!$K$6:$K$205,MIN(C736+1,200)))-LN(INDEX(Dic2024!$K$6:$K$205,C736)))*(A736-6*C736)/6))</f>
        <v>0.0286425685819772</v>
      </c>
      <c r="H736" s="12" t="n">
        <f aca="false">G736^(-1/B736)-1</f>
        <v>0.0599732024999999</v>
      </c>
      <c r="I736" s="12" t="n">
        <f aca="false">(1+H736)^(1/12)-1</f>
        <v>0.00486543356454083</v>
      </c>
      <c r="J736" s="16" t="n">
        <f aca="false">IF(C736=0,(1+Dic2024!$M$6)^(-B736),EXP(LN(INDEX(Dic2024!$N$6:$N$205,C736))+(LN(INDEX(Dic2024!$N$6:$N$205,MIN(C736+1,200)))-LN(INDEX(Dic2024!$N$6:$N$205,C736)))*(A736-6*C736)/6))</f>
        <v>0.0286425685819772</v>
      </c>
      <c r="K736" s="12" t="n">
        <f aca="false">J736^(-1/B736)-1</f>
        <v>0.0599732024999999</v>
      </c>
      <c r="L736" s="12" t="n">
        <f aca="false">(1+K736)^(1/12)-1</f>
        <v>0.00486543356454083</v>
      </c>
    </row>
    <row r="737" customFormat="false" ht="15" hidden="false" customHeight="false" outlineLevel="0" collapsed="false">
      <c r="A737" s="4" t="n">
        <v>733</v>
      </c>
      <c r="B737" s="14" t="n">
        <f aca="false">A737/12</f>
        <v>61.0833333333333</v>
      </c>
      <c r="C737" s="15" t="n">
        <f aca="false">INT(A737/6)</f>
        <v>122</v>
      </c>
      <c r="D737" s="16" t="n">
        <f aca="false">IF(C737=0,(1+Dic2024!$G$6)^(-B737),EXP(LN(INDEX(Dic2024!$H$6:$H$205,C737))+(LN(INDEX(Dic2024!$H$6:$H$205,MIN(C737+1,200)))-LN(INDEX(Dic2024!$H$6:$H$205,C737)))*(A737-6*C737)/6))</f>
        <v>0.0285038848240345</v>
      </c>
      <c r="E737" s="12" t="n">
        <f aca="false">D737^(-1/B737)-1</f>
        <v>0.0599732024999999</v>
      </c>
      <c r="F737" s="12" t="n">
        <f aca="false">(1+E737)^(1/12)-1</f>
        <v>0.00486543356454083</v>
      </c>
      <c r="G737" s="16" t="n">
        <f aca="false">IF(C737=0,(1+Dic2024!$J$6)^(-B737),EXP(LN(INDEX(Dic2024!$K$6:$K$205,C737))+(LN(INDEX(Dic2024!$K$6:$K$205,MIN(C737+1,200)))-LN(INDEX(Dic2024!$K$6:$K$205,C737)))*(A737-6*C737)/6))</f>
        <v>0.0285038848240345</v>
      </c>
      <c r="H737" s="12" t="n">
        <f aca="false">G737^(-1/B737)-1</f>
        <v>0.0599732024999999</v>
      </c>
      <c r="I737" s="12" t="n">
        <f aca="false">(1+H737)^(1/12)-1</f>
        <v>0.00486543356454083</v>
      </c>
      <c r="J737" s="16" t="n">
        <f aca="false">IF(C737=0,(1+Dic2024!$M$6)^(-B737),EXP(LN(INDEX(Dic2024!$N$6:$N$205,C737))+(LN(INDEX(Dic2024!$N$6:$N$205,MIN(C737+1,200)))-LN(INDEX(Dic2024!$N$6:$N$205,C737)))*(A737-6*C737)/6))</f>
        <v>0.0285038848240345</v>
      </c>
      <c r="K737" s="12" t="n">
        <f aca="false">J737^(-1/B737)-1</f>
        <v>0.0599732024999999</v>
      </c>
      <c r="L737" s="12" t="n">
        <f aca="false">(1+K737)^(1/12)-1</f>
        <v>0.00486543356454083</v>
      </c>
    </row>
    <row r="738" customFormat="false" ht="15" hidden="false" customHeight="false" outlineLevel="0" collapsed="false">
      <c r="A738" s="4" t="n">
        <v>734</v>
      </c>
      <c r="B738" s="14" t="n">
        <f aca="false">A738/12</f>
        <v>61.1666666666667</v>
      </c>
      <c r="C738" s="15" t="n">
        <f aca="false">INT(A738/6)</f>
        <v>122</v>
      </c>
      <c r="D738" s="16" t="n">
        <f aca="false">IF(C738=0,(1+Dic2024!$G$6)^(-B738),EXP(LN(INDEX(Dic2024!$H$6:$H$205,C738))+(LN(INDEX(Dic2024!$H$6:$H$205,MIN(C738+1,200)))-LN(INDEX(Dic2024!$H$6:$H$205,C738)))*(A738-6*C738)/6))</f>
        <v>0.0283658725556149</v>
      </c>
      <c r="E738" s="12" t="n">
        <f aca="false">D738^(-1/B738)-1</f>
        <v>0.0599732024999999</v>
      </c>
      <c r="F738" s="12" t="n">
        <f aca="false">(1+E738)^(1/12)-1</f>
        <v>0.00486543356454083</v>
      </c>
      <c r="G738" s="16" t="n">
        <f aca="false">IF(C738=0,(1+Dic2024!$J$6)^(-B738),EXP(LN(INDEX(Dic2024!$K$6:$K$205,C738))+(LN(INDEX(Dic2024!$K$6:$K$205,MIN(C738+1,200)))-LN(INDEX(Dic2024!$K$6:$K$205,C738)))*(A738-6*C738)/6))</f>
        <v>0.0283658725556149</v>
      </c>
      <c r="H738" s="12" t="n">
        <f aca="false">G738^(-1/B738)-1</f>
        <v>0.0599732024999999</v>
      </c>
      <c r="I738" s="12" t="n">
        <f aca="false">(1+H738)^(1/12)-1</f>
        <v>0.00486543356454083</v>
      </c>
      <c r="J738" s="16" t="n">
        <f aca="false">IF(C738=0,(1+Dic2024!$M$6)^(-B738),EXP(LN(INDEX(Dic2024!$N$6:$N$205,C738))+(LN(INDEX(Dic2024!$N$6:$N$205,MIN(C738+1,200)))-LN(INDEX(Dic2024!$N$6:$N$205,C738)))*(A738-6*C738)/6))</f>
        <v>0.0283658725556149</v>
      </c>
      <c r="K738" s="12" t="n">
        <f aca="false">J738^(-1/B738)-1</f>
        <v>0.0599732024999999</v>
      </c>
      <c r="L738" s="12" t="n">
        <f aca="false">(1+K738)^(1/12)-1</f>
        <v>0.00486543356454083</v>
      </c>
    </row>
    <row r="739" customFormat="false" ht="15" hidden="false" customHeight="false" outlineLevel="0" collapsed="false">
      <c r="A739" s="4" t="n">
        <v>735</v>
      </c>
      <c r="B739" s="14" t="n">
        <f aca="false">A739/12</f>
        <v>61.25</v>
      </c>
      <c r="C739" s="15" t="n">
        <f aca="false">INT(A739/6)</f>
        <v>122</v>
      </c>
      <c r="D739" s="16" t="n">
        <f aca="false">IF(C739=0,(1+Dic2024!$G$6)^(-B739),EXP(LN(INDEX(Dic2024!$H$6:$H$205,C739))+(LN(INDEX(Dic2024!$H$6:$H$205,MIN(C739+1,200)))-LN(INDEX(Dic2024!$H$6:$H$205,C739)))*(A739-6*C739)/6))</f>
        <v>0.0282285285254496</v>
      </c>
      <c r="E739" s="12" t="n">
        <f aca="false">D739^(-1/B739)-1</f>
        <v>0.0599732024999999</v>
      </c>
      <c r="F739" s="12" t="n">
        <f aca="false">(1+E739)^(1/12)-1</f>
        <v>0.00486543356454083</v>
      </c>
      <c r="G739" s="16" t="n">
        <f aca="false">IF(C739=0,(1+Dic2024!$J$6)^(-B739),EXP(LN(INDEX(Dic2024!$K$6:$K$205,C739))+(LN(INDEX(Dic2024!$K$6:$K$205,MIN(C739+1,200)))-LN(INDEX(Dic2024!$K$6:$K$205,C739)))*(A739-6*C739)/6))</f>
        <v>0.0282285285254496</v>
      </c>
      <c r="H739" s="12" t="n">
        <f aca="false">G739^(-1/B739)-1</f>
        <v>0.0599732024999999</v>
      </c>
      <c r="I739" s="12" t="n">
        <f aca="false">(1+H739)^(1/12)-1</f>
        <v>0.00486543356454083</v>
      </c>
      <c r="J739" s="16" t="n">
        <f aca="false">IF(C739=0,(1+Dic2024!$M$6)^(-B739),EXP(LN(INDEX(Dic2024!$N$6:$N$205,C739))+(LN(INDEX(Dic2024!$N$6:$N$205,MIN(C739+1,200)))-LN(INDEX(Dic2024!$N$6:$N$205,C739)))*(A739-6*C739)/6))</f>
        <v>0.0282285285254496</v>
      </c>
      <c r="K739" s="12" t="n">
        <f aca="false">J739^(-1/B739)-1</f>
        <v>0.0599732024999999</v>
      </c>
      <c r="L739" s="12" t="n">
        <f aca="false">(1+K739)^(1/12)-1</f>
        <v>0.00486543356454083</v>
      </c>
    </row>
    <row r="740" customFormat="false" ht="15" hidden="false" customHeight="false" outlineLevel="0" collapsed="false">
      <c r="A740" s="4" t="n">
        <v>736</v>
      </c>
      <c r="B740" s="14" t="n">
        <f aca="false">A740/12</f>
        <v>61.3333333333333</v>
      </c>
      <c r="C740" s="15" t="n">
        <f aca="false">INT(A740/6)</f>
        <v>122</v>
      </c>
      <c r="D740" s="16" t="n">
        <f aca="false">IF(C740=0,(1+Dic2024!$G$6)^(-B740),EXP(LN(INDEX(Dic2024!$H$6:$H$205,C740))+(LN(INDEX(Dic2024!$H$6:$H$205,MIN(C740+1,200)))-LN(INDEX(Dic2024!$H$6:$H$205,C740)))*(A740-6*C740)/6))</f>
        <v>0.0280918494980119</v>
      </c>
      <c r="E740" s="12" t="n">
        <f aca="false">D740^(-1/B740)-1</f>
        <v>0.0599732024999999</v>
      </c>
      <c r="F740" s="12" t="n">
        <f aca="false">(1+E740)^(1/12)-1</f>
        <v>0.00486543356454083</v>
      </c>
      <c r="G740" s="16" t="n">
        <f aca="false">IF(C740=0,(1+Dic2024!$J$6)^(-B740),EXP(LN(INDEX(Dic2024!$K$6:$K$205,C740))+(LN(INDEX(Dic2024!$K$6:$K$205,MIN(C740+1,200)))-LN(INDEX(Dic2024!$K$6:$K$205,C740)))*(A740-6*C740)/6))</f>
        <v>0.0280918494980119</v>
      </c>
      <c r="H740" s="12" t="n">
        <f aca="false">G740^(-1/B740)-1</f>
        <v>0.0599732024999999</v>
      </c>
      <c r="I740" s="12" t="n">
        <f aca="false">(1+H740)^(1/12)-1</f>
        <v>0.00486543356454083</v>
      </c>
      <c r="J740" s="16" t="n">
        <f aca="false">IF(C740=0,(1+Dic2024!$M$6)^(-B740),EXP(LN(INDEX(Dic2024!$N$6:$N$205,C740))+(LN(INDEX(Dic2024!$N$6:$N$205,MIN(C740+1,200)))-LN(INDEX(Dic2024!$N$6:$N$205,C740)))*(A740-6*C740)/6))</f>
        <v>0.0280918494980119</v>
      </c>
      <c r="K740" s="12" t="n">
        <f aca="false">J740^(-1/B740)-1</f>
        <v>0.0599732024999999</v>
      </c>
      <c r="L740" s="12" t="n">
        <f aca="false">(1+K740)^(1/12)-1</f>
        <v>0.00486543356454083</v>
      </c>
    </row>
    <row r="741" customFormat="false" ht="15" hidden="false" customHeight="false" outlineLevel="0" collapsed="false">
      <c r="A741" s="4" t="n">
        <v>737</v>
      </c>
      <c r="B741" s="14" t="n">
        <f aca="false">A741/12</f>
        <v>61.4166666666667</v>
      </c>
      <c r="C741" s="15" t="n">
        <f aca="false">INT(A741/6)</f>
        <v>122</v>
      </c>
      <c r="D741" s="16" t="n">
        <f aca="false">IF(C741=0,(1+Dic2024!$G$6)^(-B741),EXP(LN(INDEX(Dic2024!$H$6:$H$205,C741))+(LN(INDEX(Dic2024!$H$6:$H$205,MIN(C741+1,200)))-LN(INDEX(Dic2024!$H$6:$H$205,C741)))*(A741-6*C741)/6))</f>
        <v>0.0279558322534414</v>
      </c>
      <c r="E741" s="12" t="n">
        <f aca="false">D741^(-1/B741)-1</f>
        <v>0.0599732024999999</v>
      </c>
      <c r="F741" s="12" t="n">
        <f aca="false">(1+E741)^(1/12)-1</f>
        <v>0.00486543356454083</v>
      </c>
      <c r="G741" s="16" t="n">
        <f aca="false">IF(C741=0,(1+Dic2024!$J$6)^(-B741),EXP(LN(INDEX(Dic2024!$K$6:$K$205,C741))+(LN(INDEX(Dic2024!$K$6:$K$205,MIN(C741+1,200)))-LN(INDEX(Dic2024!$K$6:$K$205,C741)))*(A741-6*C741)/6))</f>
        <v>0.0279558322534414</v>
      </c>
      <c r="H741" s="12" t="n">
        <f aca="false">G741^(-1/B741)-1</f>
        <v>0.0599732024999999</v>
      </c>
      <c r="I741" s="12" t="n">
        <f aca="false">(1+H741)^(1/12)-1</f>
        <v>0.00486543356454083</v>
      </c>
      <c r="J741" s="16" t="n">
        <f aca="false">IF(C741=0,(1+Dic2024!$M$6)^(-B741),EXP(LN(INDEX(Dic2024!$N$6:$N$205,C741))+(LN(INDEX(Dic2024!$N$6:$N$205,MIN(C741+1,200)))-LN(INDEX(Dic2024!$N$6:$N$205,C741)))*(A741-6*C741)/6))</f>
        <v>0.0279558322534414</v>
      </c>
      <c r="K741" s="12" t="n">
        <f aca="false">J741^(-1/B741)-1</f>
        <v>0.0599732024999999</v>
      </c>
      <c r="L741" s="12" t="n">
        <f aca="false">(1+K741)^(1/12)-1</f>
        <v>0.00486543356454083</v>
      </c>
    </row>
    <row r="742" customFormat="false" ht="15" hidden="false" customHeight="false" outlineLevel="0" collapsed="false">
      <c r="A742" s="4" t="n">
        <v>738</v>
      </c>
      <c r="B742" s="14" t="n">
        <f aca="false">A742/12</f>
        <v>61.5</v>
      </c>
      <c r="C742" s="15" t="n">
        <f aca="false">INT(A742/6)</f>
        <v>123</v>
      </c>
      <c r="D742" s="16" t="n">
        <f aca="false">IF(C742=0,(1+Dic2024!$G$6)^(-B742),EXP(LN(INDEX(Dic2024!$H$6:$H$205,C742))+(LN(INDEX(Dic2024!$H$6:$H$205,MIN(C742+1,200)))-LN(INDEX(Dic2024!$H$6:$H$205,C742)))*(A742-6*C742)/6))</f>
        <v>0.0278204735874675</v>
      </c>
      <c r="E742" s="12" t="n">
        <f aca="false">D742^(-1/B742)-1</f>
        <v>0.0599732024999999</v>
      </c>
      <c r="F742" s="12" t="n">
        <f aca="false">(1+E742)^(1/12)-1</f>
        <v>0.00486543356454083</v>
      </c>
      <c r="G742" s="16" t="n">
        <f aca="false">IF(C742=0,(1+Dic2024!$J$6)^(-B742),EXP(LN(INDEX(Dic2024!$K$6:$K$205,C742))+(LN(INDEX(Dic2024!$K$6:$K$205,MIN(C742+1,200)))-LN(INDEX(Dic2024!$K$6:$K$205,C742)))*(A742-6*C742)/6))</f>
        <v>0.0278204735874675</v>
      </c>
      <c r="H742" s="12" t="n">
        <f aca="false">G742^(-1/B742)-1</f>
        <v>0.0599732024999999</v>
      </c>
      <c r="I742" s="12" t="n">
        <f aca="false">(1+H742)^(1/12)-1</f>
        <v>0.00486543356454083</v>
      </c>
      <c r="J742" s="16" t="n">
        <f aca="false">IF(C742=0,(1+Dic2024!$M$6)^(-B742),EXP(LN(INDEX(Dic2024!$N$6:$N$205,C742))+(LN(INDEX(Dic2024!$N$6:$N$205,MIN(C742+1,200)))-LN(INDEX(Dic2024!$N$6:$N$205,C742)))*(A742-6*C742)/6))</f>
        <v>0.0278204735874675</v>
      </c>
      <c r="K742" s="12" t="n">
        <f aca="false">J742^(-1/B742)-1</f>
        <v>0.0599732024999999</v>
      </c>
      <c r="L742" s="12" t="n">
        <f aca="false">(1+K742)^(1/12)-1</f>
        <v>0.00486543356454083</v>
      </c>
    </row>
    <row r="743" customFormat="false" ht="15" hidden="false" customHeight="false" outlineLevel="0" collapsed="false">
      <c r="A743" s="4" t="n">
        <v>739</v>
      </c>
      <c r="B743" s="14" t="n">
        <f aca="false">A743/12</f>
        <v>61.5833333333333</v>
      </c>
      <c r="C743" s="15" t="n">
        <f aca="false">INT(A743/6)</f>
        <v>123</v>
      </c>
      <c r="D743" s="16" t="n">
        <f aca="false">IF(C743=0,(1+Dic2024!$G$6)^(-B743),EXP(LN(INDEX(Dic2024!$H$6:$H$205,C743))+(LN(INDEX(Dic2024!$H$6:$H$205,MIN(C743+1,200)))-LN(INDEX(Dic2024!$H$6:$H$205,C743)))*(A743-6*C743)/6))</f>
        <v>0.0276857703113346</v>
      </c>
      <c r="E743" s="12" t="n">
        <f aca="false">D743^(-1/B743)-1</f>
        <v>0.0599732024999999</v>
      </c>
      <c r="F743" s="12" t="n">
        <f aca="false">(1+E743)^(1/12)-1</f>
        <v>0.00486543356454083</v>
      </c>
      <c r="G743" s="16" t="n">
        <f aca="false">IF(C743=0,(1+Dic2024!$J$6)^(-B743),EXP(LN(INDEX(Dic2024!$K$6:$K$205,C743))+(LN(INDEX(Dic2024!$K$6:$K$205,MIN(C743+1,200)))-LN(INDEX(Dic2024!$K$6:$K$205,C743)))*(A743-6*C743)/6))</f>
        <v>0.0276857703113346</v>
      </c>
      <c r="H743" s="12" t="n">
        <f aca="false">G743^(-1/B743)-1</f>
        <v>0.0599732024999999</v>
      </c>
      <c r="I743" s="12" t="n">
        <f aca="false">(1+H743)^(1/12)-1</f>
        <v>0.00486543356454083</v>
      </c>
      <c r="J743" s="16" t="n">
        <f aca="false">IF(C743=0,(1+Dic2024!$M$6)^(-B743),EXP(LN(INDEX(Dic2024!$N$6:$N$205,C743))+(LN(INDEX(Dic2024!$N$6:$N$205,MIN(C743+1,200)))-LN(INDEX(Dic2024!$N$6:$N$205,C743)))*(A743-6*C743)/6))</f>
        <v>0.0276857703113346</v>
      </c>
      <c r="K743" s="12" t="n">
        <f aca="false">J743^(-1/B743)-1</f>
        <v>0.0599732024999999</v>
      </c>
      <c r="L743" s="12" t="n">
        <f aca="false">(1+K743)^(1/12)-1</f>
        <v>0.00486543356454083</v>
      </c>
    </row>
    <row r="744" customFormat="false" ht="15" hidden="false" customHeight="false" outlineLevel="0" collapsed="false">
      <c r="A744" s="4" t="n">
        <v>740</v>
      </c>
      <c r="B744" s="14" t="n">
        <f aca="false">A744/12</f>
        <v>61.6666666666667</v>
      </c>
      <c r="C744" s="15" t="n">
        <f aca="false">INT(A744/6)</f>
        <v>123</v>
      </c>
      <c r="D744" s="16" t="n">
        <f aca="false">IF(C744=0,(1+Dic2024!$G$6)^(-B744),EXP(LN(INDEX(Dic2024!$H$6:$H$205,C744))+(LN(INDEX(Dic2024!$H$6:$H$205,MIN(C744+1,200)))-LN(INDEX(Dic2024!$H$6:$H$205,C744)))*(A744-6*C744)/6))</f>
        <v>0.0275517192517264</v>
      </c>
      <c r="E744" s="12" t="n">
        <f aca="false">D744^(-1/B744)-1</f>
        <v>0.0599732024999999</v>
      </c>
      <c r="F744" s="12" t="n">
        <f aca="false">(1+E744)^(1/12)-1</f>
        <v>0.00486543356454083</v>
      </c>
      <c r="G744" s="16" t="n">
        <f aca="false">IF(C744=0,(1+Dic2024!$J$6)^(-B744),EXP(LN(INDEX(Dic2024!$K$6:$K$205,C744))+(LN(INDEX(Dic2024!$K$6:$K$205,MIN(C744+1,200)))-LN(INDEX(Dic2024!$K$6:$K$205,C744)))*(A744-6*C744)/6))</f>
        <v>0.0275517192517264</v>
      </c>
      <c r="H744" s="12" t="n">
        <f aca="false">G744^(-1/B744)-1</f>
        <v>0.0599732024999999</v>
      </c>
      <c r="I744" s="12" t="n">
        <f aca="false">(1+H744)^(1/12)-1</f>
        <v>0.00486543356454083</v>
      </c>
      <c r="J744" s="16" t="n">
        <f aca="false">IF(C744=0,(1+Dic2024!$M$6)^(-B744),EXP(LN(INDEX(Dic2024!$N$6:$N$205,C744))+(LN(INDEX(Dic2024!$N$6:$N$205,MIN(C744+1,200)))-LN(INDEX(Dic2024!$N$6:$N$205,C744)))*(A744-6*C744)/6))</f>
        <v>0.0275517192517264</v>
      </c>
      <c r="K744" s="12" t="n">
        <f aca="false">J744^(-1/B744)-1</f>
        <v>0.0599732024999999</v>
      </c>
      <c r="L744" s="12" t="n">
        <f aca="false">(1+K744)^(1/12)-1</f>
        <v>0.00486543356454083</v>
      </c>
    </row>
    <row r="745" customFormat="false" ht="15" hidden="false" customHeight="false" outlineLevel="0" collapsed="false">
      <c r="A745" s="4" t="n">
        <v>741</v>
      </c>
      <c r="B745" s="14" t="n">
        <f aca="false">A745/12</f>
        <v>61.75</v>
      </c>
      <c r="C745" s="15" t="n">
        <f aca="false">INT(A745/6)</f>
        <v>123</v>
      </c>
      <c r="D745" s="16" t="n">
        <f aca="false">IF(C745=0,(1+Dic2024!$G$6)^(-B745),EXP(LN(INDEX(Dic2024!$H$6:$H$205,C745))+(LN(INDEX(Dic2024!$H$6:$H$205,MIN(C745+1,200)))-LN(INDEX(Dic2024!$H$6:$H$205,C745)))*(A745-6*C745)/6))</f>
        <v>0.0274183172506917</v>
      </c>
      <c r="E745" s="12" t="n">
        <f aca="false">D745^(-1/B745)-1</f>
        <v>0.0599732024999999</v>
      </c>
      <c r="F745" s="12" t="n">
        <f aca="false">(1+E745)^(1/12)-1</f>
        <v>0.00486543356454083</v>
      </c>
      <c r="G745" s="16" t="n">
        <f aca="false">IF(C745=0,(1+Dic2024!$J$6)^(-B745),EXP(LN(INDEX(Dic2024!$K$6:$K$205,C745))+(LN(INDEX(Dic2024!$K$6:$K$205,MIN(C745+1,200)))-LN(INDEX(Dic2024!$K$6:$K$205,C745)))*(A745-6*C745)/6))</f>
        <v>0.0274183172506917</v>
      </c>
      <c r="H745" s="12" t="n">
        <f aca="false">G745^(-1/B745)-1</f>
        <v>0.0599732024999999</v>
      </c>
      <c r="I745" s="12" t="n">
        <f aca="false">(1+H745)^(1/12)-1</f>
        <v>0.00486543356454083</v>
      </c>
      <c r="J745" s="16" t="n">
        <f aca="false">IF(C745=0,(1+Dic2024!$M$6)^(-B745),EXP(LN(INDEX(Dic2024!$N$6:$N$205,C745))+(LN(INDEX(Dic2024!$N$6:$N$205,MIN(C745+1,200)))-LN(INDEX(Dic2024!$N$6:$N$205,C745)))*(A745-6*C745)/6))</f>
        <v>0.0274183172506917</v>
      </c>
      <c r="K745" s="12" t="n">
        <f aca="false">J745^(-1/B745)-1</f>
        <v>0.0599732024999999</v>
      </c>
      <c r="L745" s="12" t="n">
        <f aca="false">(1+K745)^(1/12)-1</f>
        <v>0.00486543356454083</v>
      </c>
    </row>
    <row r="746" customFormat="false" ht="15" hidden="false" customHeight="false" outlineLevel="0" collapsed="false">
      <c r="A746" s="4" t="n">
        <v>742</v>
      </c>
      <c r="B746" s="14" t="n">
        <f aca="false">A746/12</f>
        <v>61.8333333333333</v>
      </c>
      <c r="C746" s="15" t="n">
        <f aca="false">INT(A746/6)</f>
        <v>123</v>
      </c>
      <c r="D746" s="16" t="n">
        <f aca="false">IF(C746=0,(1+Dic2024!$G$6)^(-B746),EXP(LN(INDEX(Dic2024!$H$6:$H$205,C746))+(LN(INDEX(Dic2024!$H$6:$H$205,MIN(C746+1,200)))-LN(INDEX(Dic2024!$H$6:$H$205,C746)))*(A746-6*C746)/6))</f>
        <v>0.0272855611655694</v>
      </c>
      <c r="E746" s="12" t="n">
        <f aca="false">D746^(-1/B746)-1</f>
        <v>0.0599732024999999</v>
      </c>
      <c r="F746" s="12" t="n">
        <f aca="false">(1+E746)^(1/12)-1</f>
        <v>0.00486543356454083</v>
      </c>
      <c r="G746" s="16" t="n">
        <f aca="false">IF(C746=0,(1+Dic2024!$J$6)^(-B746),EXP(LN(INDEX(Dic2024!$K$6:$K$205,C746))+(LN(INDEX(Dic2024!$K$6:$K$205,MIN(C746+1,200)))-LN(INDEX(Dic2024!$K$6:$K$205,C746)))*(A746-6*C746)/6))</f>
        <v>0.0272855611655694</v>
      </c>
      <c r="H746" s="12" t="n">
        <f aca="false">G746^(-1/B746)-1</f>
        <v>0.0599732024999999</v>
      </c>
      <c r="I746" s="12" t="n">
        <f aca="false">(1+H746)^(1/12)-1</f>
        <v>0.00486543356454083</v>
      </c>
      <c r="J746" s="16" t="n">
        <f aca="false">IF(C746=0,(1+Dic2024!$M$6)^(-B746),EXP(LN(INDEX(Dic2024!$N$6:$N$205,C746))+(LN(INDEX(Dic2024!$N$6:$N$205,MIN(C746+1,200)))-LN(INDEX(Dic2024!$N$6:$N$205,C746)))*(A746-6*C746)/6))</f>
        <v>0.0272855611655694</v>
      </c>
      <c r="K746" s="12" t="n">
        <f aca="false">J746^(-1/B746)-1</f>
        <v>0.0599732024999999</v>
      </c>
      <c r="L746" s="12" t="n">
        <f aca="false">(1+K746)^(1/12)-1</f>
        <v>0.00486543356454083</v>
      </c>
    </row>
    <row r="747" customFormat="false" ht="15" hidden="false" customHeight="false" outlineLevel="0" collapsed="false">
      <c r="A747" s="4" t="n">
        <v>743</v>
      </c>
      <c r="B747" s="14" t="n">
        <f aca="false">A747/12</f>
        <v>61.9166666666667</v>
      </c>
      <c r="C747" s="15" t="n">
        <f aca="false">INT(A747/6)</f>
        <v>123</v>
      </c>
      <c r="D747" s="16" t="n">
        <f aca="false">IF(C747=0,(1+Dic2024!$G$6)^(-B747),EXP(LN(INDEX(Dic2024!$H$6:$H$205,C747))+(LN(INDEX(Dic2024!$H$6:$H$205,MIN(C747+1,200)))-LN(INDEX(Dic2024!$H$6:$H$205,C747)))*(A747-6*C747)/6))</f>
        <v>0.027153447868915</v>
      </c>
      <c r="E747" s="12" t="n">
        <f aca="false">D747^(-1/B747)-1</f>
        <v>0.0599732024999999</v>
      </c>
      <c r="F747" s="12" t="n">
        <f aca="false">(1+E747)^(1/12)-1</f>
        <v>0.00486543356454083</v>
      </c>
      <c r="G747" s="16" t="n">
        <f aca="false">IF(C747=0,(1+Dic2024!$J$6)^(-B747),EXP(LN(INDEX(Dic2024!$K$6:$K$205,C747))+(LN(INDEX(Dic2024!$K$6:$K$205,MIN(C747+1,200)))-LN(INDEX(Dic2024!$K$6:$K$205,C747)))*(A747-6*C747)/6))</f>
        <v>0.027153447868915</v>
      </c>
      <c r="H747" s="12" t="n">
        <f aca="false">G747^(-1/B747)-1</f>
        <v>0.0599732024999999</v>
      </c>
      <c r="I747" s="12" t="n">
        <f aca="false">(1+H747)^(1/12)-1</f>
        <v>0.00486543356454083</v>
      </c>
      <c r="J747" s="16" t="n">
        <f aca="false">IF(C747=0,(1+Dic2024!$M$6)^(-B747),EXP(LN(INDEX(Dic2024!$N$6:$N$205,C747))+(LN(INDEX(Dic2024!$N$6:$N$205,MIN(C747+1,200)))-LN(INDEX(Dic2024!$N$6:$N$205,C747)))*(A747-6*C747)/6))</f>
        <v>0.027153447868915</v>
      </c>
      <c r="K747" s="12" t="n">
        <f aca="false">J747^(-1/B747)-1</f>
        <v>0.0599732024999999</v>
      </c>
      <c r="L747" s="12" t="n">
        <f aca="false">(1+K747)^(1/12)-1</f>
        <v>0.00486543356454083</v>
      </c>
    </row>
    <row r="748" customFormat="false" ht="15" hidden="false" customHeight="false" outlineLevel="0" collapsed="false">
      <c r="A748" s="4" t="n">
        <v>744</v>
      </c>
      <c r="B748" s="14" t="n">
        <f aca="false">A748/12</f>
        <v>62</v>
      </c>
      <c r="C748" s="15" t="n">
        <f aca="false">INT(A748/6)</f>
        <v>124</v>
      </c>
      <c r="D748" s="16" t="n">
        <f aca="false">IF(C748=0,(1+Dic2024!$G$6)^(-B748),EXP(LN(INDEX(Dic2024!$H$6:$H$205,C748))+(LN(INDEX(Dic2024!$H$6:$H$205,MIN(C748+1,200)))-LN(INDEX(Dic2024!$H$6:$H$205,C748)))*(A748-6*C748)/6))</f>
        <v>0.0270219742484265</v>
      </c>
      <c r="E748" s="12" t="n">
        <f aca="false">D748^(-1/B748)-1</f>
        <v>0.0599732024999999</v>
      </c>
      <c r="F748" s="12" t="n">
        <f aca="false">(1+E748)^(1/12)-1</f>
        <v>0.00486543356454083</v>
      </c>
      <c r="G748" s="16" t="n">
        <f aca="false">IF(C748=0,(1+Dic2024!$J$6)^(-B748),EXP(LN(INDEX(Dic2024!$K$6:$K$205,C748))+(LN(INDEX(Dic2024!$K$6:$K$205,MIN(C748+1,200)))-LN(INDEX(Dic2024!$K$6:$K$205,C748)))*(A748-6*C748)/6))</f>
        <v>0.0270219742484265</v>
      </c>
      <c r="H748" s="12" t="n">
        <f aca="false">G748^(-1/B748)-1</f>
        <v>0.0599732024999999</v>
      </c>
      <c r="I748" s="12" t="n">
        <f aca="false">(1+H748)^(1/12)-1</f>
        <v>0.00486543356454083</v>
      </c>
      <c r="J748" s="16" t="n">
        <f aca="false">IF(C748=0,(1+Dic2024!$M$6)^(-B748),EXP(LN(INDEX(Dic2024!$N$6:$N$205,C748))+(LN(INDEX(Dic2024!$N$6:$N$205,MIN(C748+1,200)))-LN(INDEX(Dic2024!$N$6:$N$205,C748)))*(A748-6*C748)/6))</f>
        <v>0.0270219742484265</v>
      </c>
      <c r="K748" s="12" t="n">
        <f aca="false">J748^(-1/B748)-1</f>
        <v>0.0599732024999999</v>
      </c>
      <c r="L748" s="12" t="n">
        <f aca="false">(1+K748)^(1/12)-1</f>
        <v>0.00486543356454083</v>
      </c>
    </row>
    <row r="749" customFormat="false" ht="15" hidden="false" customHeight="false" outlineLevel="0" collapsed="false">
      <c r="A749" s="4" t="n">
        <v>745</v>
      </c>
      <c r="B749" s="14" t="n">
        <f aca="false">A749/12</f>
        <v>62.0833333333333</v>
      </c>
      <c r="C749" s="15" t="n">
        <f aca="false">INT(A749/6)</f>
        <v>124</v>
      </c>
      <c r="D749" s="16" t="n">
        <f aca="false">IF(C749=0,(1+Dic2024!$G$6)^(-B749),EXP(LN(INDEX(Dic2024!$H$6:$H$205,C749))+(LN(INDEX(Dic2024!$H$6:$H$205,MIN(C749+1,200)))-LN(INDEX(Dic2024!$H$6:$H$205,C749)))*(A749-6*C749)/6))</f>
        <v>0.0268911372068715</v>
      </c>
      <c r="E749" s="12" t="n">
        <f aca="false">D749^(-1/B749)-1</f>
        <v>0.0599732024999999</v>
      </c>
      <c r="F749" s="12" t="n">
        <f aca="false">(1+E749)^(1/12)-1</f>
        <v>0.00486543356454083</v>
      </c>
      <c r="G749" s="16" t="n">
        <f aca="false">IF(C749=0,(1+Dic2024!$J$6)^(-B749),EXP(LN(INDEX(Dic2024!$K$6:$K$205,C749))+(LN(INDEX(Dic2024!$K$6:$K$205,MIN(C749+1,200)))-LN(INDEX(Dic2024!$K$6:$K$205,C749)))*(A749-6*C749)/6))</f>
        <v>0.0268911372068715</v>
      </c>
      <c r="H749" s="12" t="n">
        <f aca="false">G749^(-1/B749)-1</f>
        <v>0.0599732024999999</v>
      </c>
      <c r="I749" s="12" t="n">
        <f aca="false">(1+H749)^(1/12)-1</f>
        <v>0.00486543356454083</v>
      </c>
      <c r="J749" s="16" t="n">
        <f aca="false">IF(C749=0,(1+Dic2024!$M$6)^(-B749),EXP(LN(INDEX(Dic2024!$N$6:$N$205,C749))+(LN(INDEX(Dic2024!$N$6:$N$205,MIN(C749+1,200)))-LN(INDEX(Dic2024!$N$6:$N$205,C749)))*(A749-6*C749)/6))</f>
        <v>0.0268911372068715</v>
      </c>
      <c r="K749" s="12" t="n">
        <f aca="false">J749^(-1/B749)-1</f>
        <v>0.0599732024999999</v>
      </c>
      <c r="L749" s="12" t="n">
        <f aca="false">(1+K749)^(1/12)-1</f>
        <v>0.00486543356454083</v>
      </c>
    </row>
    <row r="750" customFormat="false" ht="15" hidden="false" customHeight="false" outlineLevel="0" collapsed="false">
      <c r="A750" s="4" t="n">
        <v>746</v>
      </c>
      <c r="B750" s="14" t="n">
        <f aca="false">A750/12</f>
        <v>62.1666666666667</v>
      </c>
      <c r="C750" s="15" t="n">
        <f aca="false">INT(A750/6)</f>
        <v>124</v>
      </c>
      <c r="D750" s="16" t="n">
        <f aca="false">IF(C750=0,(1+Dic2024!$G$6)^(-B750),EXP(LN(INDEX(Dic2024!$H$6:$H$205,C750))+(LN(INDEX(Dic2024!$H$6:$H$205,MIN(C750+1,200)))-LN(INDEX(Dic2024!$H$6:$H$205,C750)))*(A750-6*C750)/6))</f>
        <v>0.0267609336620139</v>
      </c>
      <c r="E750" s="12" t="n">
        <f aca="false">D750^(-1/B750)-1</f>
        <v>0.0599732024999999</v>
      </c>
      <c r="F750" s="12" t="n">
        <f aca="false">(1+E750)^(1/12)-1</f>
        <v>0.00486543356454083</v>
      </c>
      <c r="G750" s="16" t="n">
        <f aca="false">IF(C750=0,(1+Dic2024!$J$6)^(-B750),EXP(LN(INDEX(Dic2024!$K$6:$K$205,C750))+(LN(INDEX(Dic2024!$K$6:$K$205,MIN(C750+1,200)))-LN(INDEX(Dic2024!$K$6:$K$205,C750)))*(A750-6*C750)/6))</f>
        <v>0.0267609336620139</v>
      </c>
      <c r="H750" s="12" t="n">
        <f aca="false">G750^(-1/B750)-1</f>
        <v>0.0599732024999999</v>
      </c>
      <c r="I750" s="12" t="n">
        <f aca="false">(1+H750)^(1/12)-1</f>
        <v>0.00486543356454083</v>
      </c>
      <c r="J750" s="16" t="n">
        <f aca="false">IF(C750=0,(1+Dic2024!$M$6)^(-B750),EXP(LN(INDEX(Dic2024!$N$6:$N$205,C750))+(LN(INDEX(Dic2024!$N$6:$N$205,MIN(C750+1,200)))-LN(INDEX(Dic2024!$N$6:$N$205,C750)))*(A750-6*C750)/6))</f>
        <v>0.0267609336620139</v>
      </c>
      <c r="K750" s="12" t="n">
        <f aca="false">J750^(-1/B750)-1</f>
        <v>0.0599732024999999</v>
      </c>
      <c r="L750" s="12" t="n">
        <f aca="false">(1+K750)^(1/12)-1</f>
        <v>0.00486543356454083</v>
      </c>
    </row>
    <row r="751" customFormat="false" ht="15" hidden="false" customHeight="false" outlineLevel="0" collapsed="false">
      <c r="A751" s="4" t="n">
        <v>747</v>
      </c>
      <c r="B751" s="14" t="n">
        <f aca="false">A751/12</f>
        <v>62.25</v>
      </c>
      <c r="C751" s="15" t="n">
        <f aca="false">INT(A751/6)</f>
        <v>124</v>
      </c>
      <c r="D751" s="16" t="n">
        <f aca="false">IF(C751=0,(1+Dic2024!$G$6)^(-B751),EXP(LN(INDEX(Dic2024!$H$6:$H$205,C751))+(LN(INDEX(Dic2024!$H$6:$H$205,MIN(C751+1,200)))-LN(INDEX(Dic2024!$H$6:$H$205,C751)))*(A751-6*C751)/6))</f>
        <v>0.0266313605465414</v>
      </c>
      <c r="E751" s="12" t="n">
        <f aca="false">D751^(-1/B751)-1</f>
        <v>0.0599732024999999</v>
      </c>
      <c r="F751" s="12" t="n">
        <f aca="false">(1+E751)^(1/12)-1</f>
        <v>0.00486543356454083</v>
      </c>
      <c r="G751" s="16" t="n">
        <f aca="false">IF(C751=0,(1+Dic2024!$J$6)^(-B751),EXP(LN(INDEX(Dic2024!$K$6:$K$205,C751))+(LN(INDEX(Dic2024!$K$6:$K$205,MIN(C751+1,200)))-LN(INDEX(Dic2024!$K$6:$K$205,C751)))*(A751-6*C751)/6))</f>
        <v>0.0266313605465414</v>
      </c>
      <c r="H751" s="12" t="n">
        <f aca="false">G751^(-1/B751)-1</f>
        <v>0.0599732024999999</v>
      </c>
      <c r="I751" s="12" t="n">
        <f aca="false">(1+H751)^(1/12)-1</f>
        <v>0.00486543356454083</v>
      </c>
      <c r="J751" s="16" t="n">
        <f aca="false">IF(C751=0,(1+Dic2024!$M$6)^(-B751),EXP(LN(INDEX(Dic2024!$N$6:$N$205,C751))+(LN(INDEX(Dic2024!$N$6:$N$205,MIN(C751+1,200)))-LN(INDEX(Dic2024!$N$6:$N$205,C751)))*(A751-6*C751)/6))</f>
        <v>0.0266313605465414</v>
      </c>
      <c r="K751" s="12" t="n">
        <f aca="false">J751^(-1/B751)-1</f>
        <v>0.0599732024999999</v>
      </c>
      <c r="L751" s="12" t="n">
        <f aca="false">(1+K751)^(1/12)-1</f>
        <v>0.00486543356454083</v>
      </c>
    </row>
    <row r="752" customFormat="false" ht="15" hidden="false" customHeight="false" outlineLevel="0" collapsed="false">
      <c r="A752" s="4" t="n">
        <v>748</v>
      </c>
      <c r="B752" s="14" t="n">
        <f aca="false">A752/12</f>
        <v>62.3333333333333</v>
      </c>
      <c r="C752" s="15" t="n">
        <f aca="false">INT(A752/6)</f>
        <v>124</v>
      </c>
      <c r="D752" s="16" t="n">
        <f aca="false">IF(C752=0,(1+Dic2024!$G$6)^(-B752),EXP(LN(INDEX(Dic2024!$H$6:$H$205,C752))+(LN(INDEX(Dic2024!$H$6:$H$205,MIN(C752+1,200)))-LN(INDEX(Dic2024!$H$6:$H$205,C752)))*(A752-6*C752)/6))</f>
        <v>0.0265024148079932</v>
      </c>
      <c r="E752" s="12" t="n">
        <f aca="false">D752^(-1/B752)-1</f>
        <v>0.0599732024999999</v>
      </c>
      <c r="F752" s="12" t="n">
        <f aca="false">(1+E752)^(1/12)-1</f>
        <v>0.00486543356454083</v>
      </c>
      <c r="G752" s="16" t="n">
        <f aca="false">IF(C752=0,(1+Dic2024!$J$6)^(-B752),EXP(LN(INDEX(Dic2024!$K$6:$K$205,C752))+(LN(INDEX(Dic2024!$K$6:$K$205,MIN(C752+1,200)))-LN(INDEX(Dic2024!$K$6:$K$205,C752)))*(A752-6*C752)/6))</f>
        <v>0.0265024148079932</v>
      </c>
      <c r="H752" s="12" t="n">
        <f aca="false">G752^(-1/B752)-1</f>
        <v>0.0599732024999999</v>
      </c>
      <c r="I752" s="12" t="n">
        <f aca="false">(1+H752)^(1/12)-1</f>
        <v>0.00486543356454083</v>
      </c>
      <c r="J752" s="16" t="n">
        <f aca="false">IF(C752=0,(1+Dic2024!$M$6)^(-B752),EXP(LN(INDEX(Dic2024!$N$6:$N$205,C752))+(LN(INDEX(Dic2024!$N$6:$N$205,MIN(C752+1,200)))-LN(INDEX(Dic2024!$N$6:$N$205,C752)))*(A752-6*C752)/6))</f>
        <v>0.0265024148079932</v>
      </c>
      <c r="K752" s="12" t="n">
        <f aca="false">J752^(-1/B752)-1</f>
        <v>0.0599732024999999</v>
      </c>
      <c r="L752" s="12" t="n">
        <f aca="false">(1+K752)^(1/12)-1</f>
        <v>0.00486543356454083</v>
      </c>
    </row>
    <row r="753" customFormat="false" ht="15" hidden="false" customHeight="false" outlineLevel="0" collapsed="false">
      <c r="A753" s="4" t="n">
        <v>749</v>
      </c>
      <c r="B753" s="14" t="n">
        <f aca="false">A753/12</f>
        <v>62.4166666666667</v>
      </c>
      <c r="C753" s="15" t="n">
        <f aca="false">INT(A753/6)</f>
        <v>124</v>
      </c>
      <c r="D753" s="16" t="n">
        <f aca="false">IF(C753=0,(1+Dic2024!$G$6)^(-B753),EXP(LN(INDEX(Dic2024!$H$6:$H$205,C753))+(LN(INDEX(Dic2024!$H$6:$H$205,MIN(C753+1,200)))-LN(INDEX(Dic2024!$H$6:$H$205,C753)))*(A753-6*C753)/6))</f>
        <v>0.0263740934086882</v>
      </c>
      <c r="E753" s="12" t="n">
        <f aca="false">D753^(-1/B753)-1</f>
        <v>0.0599732024999999</v>
      </c>
      <c r="F753" s="12" t="n">
        <f aca="false">(1+E753)^(1/12)-1</f>
        <v>0.00486543356454083</v>
      </c>
      <c r="G753" s="16" t="n">
        <f aca="false">IF(C753=0,(1+Dic2024!$J$6)^(-B753),EXP(LN(INDEX(Dic2024!$K$6:$K$205,C753))+(LN(INDEX(Dic2024!$K$6:$K$205,MIN(C753+1,200)))-LN(INDEX(Dic2024!$K$6:$K$205,C753)))*(A753-6*C753)/6))</f>
        <v>0.0263740934086882</v>
      </c>
      <c r="H753" s="12" t="n">
        <f aca="false">G753^(-1/B753)-1</f>
        <v>0.0599732024999999</v>
      </c>
      <c r="I753" s="12" t="n">
        <f aca="false">(1+H753)^(1/12)-1</f>
        <v>0.00486543356454083</v>
      </c>
      <c r="J753" s="16" t="n">
        <f aca="false">IF(C753=0,(1+Dic2024!$M$6)^(-B753),EXP(LN(INDEX(Dic2024!$N$6:$N$205,C753))+(LN(INDEX(Dic2024!$N$6:$N$205,MIN(C753+1,200)))-LN(INDEX(Dic2024!$N$6:$N$205,C753)))*(A753-6*C753)/6))</f>
        <v>0.0263740934086882</v>
      </c>
      <c r="K753" s="12" t="n">
        <f aca="false">J753^(-1/B753)-1</f>
        <v>0.0599732024999999</v>
      </c>
      <c r="L753" s="12" t="n">
        <f aca="false">(1+K753)^(1/12)-1</f>
        <v>0.00486543356454083</v>
      </c>
    </row>
    <row r="754" customFormat="false" ht="15" hidden="false" customHeight="false" outlineLevel="0" collapsed="false">
      <c r="A754" s="4" t="n">
        <v>750</v>
      </c>
      <c r="B754" s="14" t="n">
        <f aca="false">A754/12</f>
        <v>62.5</v>
      </c>
      <c r="C754" s="15" t="n">
        <f aca="false">INT(A754/6)</f>
        <v>125</v>
      </c>
      <c r="D754" s="16" t="n">
        <f aca="false">IF(C754=0,(1+Dic2024!$G$6)^(-B754),EXP(LN(INDEX(Dic2024!$H$6:$H$205,C754))+(LN(INDEX(Dic2024!$H$6:$H$205,MIN(C754+1,200)))-LN(INDEX(Dic2024!$H$6:$H$205,C754)))*(A754-6*C754)/6))</f>
        <v>0.0262463933256534</v>
      </c>
      <c r="E754" s="12" t="n">
        <f aca="false">D754^(-1/B754)-1</f>
        <v>0.0599732024999999</v>
      </c>
      <c r="F754" s="12" t="n">
        <f aca="false">(1+E754)^(1/12)-1</f>
        <v>0.00486543356454083</v>
      </c>
      <c r="G754" s="16" t="n">
        <f aca="false">IF(C754=0,(1+Dic2024!$J$6)^(-B754),EXP(LN(INDEX(Dic2024!$K$6:$K$205,C754))+(LN(INDEX(Dic2024!$K$6:$K$205,MIN(C754+1,200)))-LN(INDEX(Dic2024!$K$6:$K$205,C754)))*(A754-6*C754)/6))</f>
        <v>0.0262463933256534</v>
      </c>
      <c r="H754" s="12" t="n">
        <f aca="false">G754^(-1/B754)-1</f>
        <v>0.0599732024999999</v>
      </c>
      <c r="I754" s="12" t="n">
        <f aca="false">(1+H754)^(1/12)-1</f>
        <v>0.00486543356454083</v>
      </c>
      <c r="J754" s="16" t="n">
        <f aca="false">IF(C754=0,(1+Dic2024!$M$6)^(-B754),EXP(LN(INDEX(Dic2024!$N$6:$N$205,C754))+(LN(INDEX(Dic2024!$N$6:$N$205,MIN(C754+1,200)))-LN(INDEX(Dic2024!$N$6:$N$205,C754)))*(A754-6*C754)/6))</f>
        <v>0.0262463933256534</v>
      </c>
      <c r="K754" s="12" t="n">
        <f aca="false">J754^(-1/B754)-1</f>
        <v>0.0599732024999999</v>
      </c>
      <c r="L754" s="12" t="n">
        <f aca="false">(1+K754)^(1/12)-1</f>
        <v>0.00486543356454083</v>
      </c>
    </row>
    <row r="755" customFormat="false" ht="15" hidden="false" customHeight="false" outlineLevel="0" collapsed="false">
      <c r="A755" s="4" t="n">
        <v>751</v>
      </c>
      <c r="B755" s="14" t="n">
        <f aca="false">A755/12</f>
        <v>62.5833333333333</v>
      </c>
      <c r="C755" s="15" t="n">
        <f aca="false">INT(A755/6)</f>
        <v>125</v>
      </c>
      <c r="D755" s="16" t="n">
        <f aca="false">IF(C755=0,(1+Dic2024!$G$6)^(-B755),EXP(LN(INDEX(Dic2024!$H$6:$H$205,C755))+(LN(INDEX(Dic2024!$H$6:$H$205,MIN(C755+1,200)))-LN(INDEX(Dic2024!$H$6:$H$205,C755)))*(A755-6*C755)/6))</f>
        <v>0.0261193115505527</v>
      </c>
      <c r="E755" s="12" t="n">
        <f aca="false">D755^(-1/B755)-1</f>
        <v>0.0599732024999999</v>
      </c>
      <c r="F755" s="12" t="n">
        <f aca="false">(1+E755)^(1/12)-1</f>
        <v>0.00486543356454083</v>
      </c>
      <c r="G755" s="16" t="n">
        <f aca="false">IF(C755=0,(1+Dic2024!$J$6)^(-B755),EXP(LN(INDEX(Dic2024!$K$6:$K$205,C755))+(LN(INDEX(Dic2024!$K$6:$K$205,MIN(C755+1,200)))-LN(INDEX(Dic2024!$K$6:$K$205,C755)))*(A755-6*C755)/6))</f>
        <v>0.0261193115505527</v>
      </c>
      <c r="H755" s="12" t="n">
        <f aca="false">G755^(-1/B755)-1</f>
        <v>0.0599732024999999</v>
      </c>
      <c r="I755" s="12" t="n">
        <f aca="false">(1+H755)^(1/12)-1</f>
        <v>0.00486543356454083</v>
      </c>
      <c r="J755" s="16" t="n">
        <f aca="false">IF(C755=0,(1+Dic2024!$M$6)^(-B755),EXP(LN(INDEX(Dic2024!$N$6:$N$205,C755))+(LN(INDEX(Dic2024!$N$6:$N$205,MIN(C755+1,200)))-LN(INDEX(Dic2024!$N$6:$N$205,C755)))*(A755-6*C755)/6))</f>
        <v>0.0261193115505527</v>
      </c>
      <c r="K755" s="12" t="n">
        <f aca="false">J755^(-1/B755)-1</f>
        <v>0.0599732024999999</v>
      </c>
      <c r="L755" s="12" t="n">
        <f aca="false">(1+K755)^(1/12)-1</f>
        <v>0.00486543356454083</v>
      </c>
    </row>
    <row r="756" customFormat="false" ht="15" hidden="false" customHeight="false" outlineLevel="0" collapsed="false">
      <c r="A756" s="4" t="n">
        <v>752</v>
      </c>
      <c r="B756" s="14" t="n">
        <f aca="false">A756/12</f>
        <v>62.6666666666667</v>
      </c>
      <c r="C756" s="15" t="n">
        <f aca="false">INT(A756/6)</f>
        <v>125</v>
      </c>
      <c r="D756" s="16" t="n">
        <f aca="false">IF(C756=0,(1+Dic2024!$G$6)^(-B756),EXP(LN(INDEX(Dic2024!$H$6:$H$205,C756))+(LN(INDEX(Dic2024!$H$6:$H$205,MIN(C756+1,200)))-LN(INDEX(Dic2024!$H$6:$H$205,C756)))*(A756-6*C756)/6))</f>
        <v>0.0259928450896158</v>
      </c>
      <c r="E756" s="12" t="n">
        <f aca="false">D756^(-1/B756)-1</f>
        <v>0.0599732024999999</v>
      </c>
      <c r="F756" s="12" t="n">
        <f aca="false">(1+E756)^(1/12)-1</f>
        <v>0.00486543356454083</v>
      </c>
      <c r="G756" s="16" t="n">
        <f aca="false">IF(C756=0,(1+Dic2024!$J$6)^(-B756),EXP(LN(INDEX(Dic2024!$K$6:$K$205,C756))+(LN(INDEX(Dic2024!$K$6:$K$205,MIN(C756+1,200)))-LN(INDEX(Dic2024!$K$6:$K$205,C756)))*(A756-6*C756)/6))</f>
        <v>0.0259928450896158</v>
      </c>
      <c r="H756" s="12" t="n">
        <f aca="false">G756^(-1/B756)-1</f>
        <v>0.0599732024999999</v>
      </c>
      <c r="I756" s="12" t="n">
        <f aca="false">(1+H756)^(1/12)-1</f>
        <v>0.00486543356454083</v>
      </c>
      <c r="J756" s="16" t="n">
        <f aca="false">IF(C756=0,(1+Dic2024!$M$6)^(-B756),EXP(LN(INDEX(Dic2024!$N$6:$N$205,C756))+(LN(INDEX(Dic2024!$N$6:$N$205,MIN(C756+1,200)))-LN(INDEX(Dic2024!$N$6:$N$205,C756)))*(A756-6*C756)/6))</f>
        <v>0.0259928450896158</v>
      </c>
      <c r="K756" s="12" t="n">
        <f aca="false">J756^(-1/B756)-1</f>
        <v>0.0599732024999999</v>
      </c>
      <c r="L756" s="12" t="n">
        <f aca="false">(1+K756)^(1/12)-1</f>
        <v>0.00486543356454083</v>
      </c>
    </row>
    <row r="757" customFormat="false" ht="15" hidden="false" customHeight="false" outlineLevel="0" collapsed="false">
      <c r="A757" s="4" t="n">
        <v>753</v>
      </c>
      <c r="B757" s="14" t="n">
        <f aca="false">A757/12</f>
        <v>62.75</v>
      </c>
      <c r="C757" s="15" t="n">
        <f aca="false">INT(A757/6)</f>
        <v>125</v>
      </c>
      <c r="D757" s="16" t="n">
        <f aca="false">IF(C757=0,(1+Dic2024!$G$6)^(-B757),EXP(LN(INDEX(Dic2024!$H$6:$H$205,C757))+(LN(INDEX(Dic2024!$H$6:$H$205,MIN(C757+1,200)))-LN(INDEX(Dic2024!$H$6:$H$205,C757)))*(A757-6*C757)/6))</f>
        <v>0.0258669909635679</v>
      </c>
      <c r="E757" s="12" t="n">
        <f aca="false">D757^(-1/B757)-1</f>
        <v>0.0599732024999999</v>
      </c>
      <c r="F757" s="12" t="n">
        <f aca="false">(1+E757)^(1/12)-1</f>
        <v>0.00486543356454083</v>
      </c>
      <c r="G757" s="16" t="n">
        <f aca="false">IF(C757=0,(1+Dic2024!$J$6)^(-B757),EXP(LN(INDEX(Dic2024!$K$6:$K$205,C757))+(LN(INDEX(Dic2024!$K$6:$K$205,MIN(C757+1,200)))-LN(INDEX(Dic2024!$K$6:$K$205,C757)))*(A757-6*C757)/6))</f>
        <v>0.0258669909635679</v>
      </c>
      <c r="H757" s="12" t="n">
        <f aca="false">G757^(-1/B757)-1</f>
        <v>0.0599732024999999</v>
      </c>
      <c r="I757" s="12" t="n">
        <f aca="false">(1+H757)^(1/12)-1</f>
        <v>0.00486543356454083</v>
      </c>
      <c r="J757" s="16" t="n">
        <f aca="false">IF(C757=0,(1+Dic2024!$M$6)^(-B757),EXP(LN(INDEX(Dic2024!$N$6:$N$205,C757))+(LN(INDEX(Dic2024!$N$6:$N$205,MIN(C757+1,200)))-LN(INDEX(Dic2024!$N$6:$N$205,C757)))*(A757-6*C757)/6))</f>
        <v>0.0258669909635679</v>
      </c>
      <c r="K757" s="12" t="n">
        <f aca="false">J757^(-1/B757)-1</f>
        <v>0.0599732024999999</v>
      </c>
      <c r="L757" s="12" t="n">
        <f aca="false">(1+K757)^(1/12)-1</f>
        <v>0.00486543356454083</v>
      </c>
    </row>
    <row r="758" customFormat="false" ht="15" hidden="false" customHeight="false" outlineLevel="0" collapsed="false">
      <c r="A758" s="4" t="n">
        <v>754</v>
      </c>
      <c r="B758" s="14" t="n">
        <f aca="false">A758/12</f>
        <v>62.8333333333333</v>
      </c>
      <c r="C758" s="15" t="n">
        <f aca="false">INT(A758/6)</f>
        <v>125</v>
      </c>
      <c r="D758" s="16" t="n">
        <f aca="false">IF(C758=0,(1+Dic2024!$G$6)^(-B758),EXP(LN(INDEX(Dic2024!$H$6:$H$205,C758))+(LN(INDEX(Dic2024!$H$6:$H$205,MIN(C758+1,200)))-LN(INDEX(Dic2024!$H$6:$H$205,C758)))*(A758-6*C758)/6))</f>
        <v>0.0257417462075598</v>
      </c>
      <c r="E758" s="12" t="n">
        <f aca="false">D758^(-1/B758)-1</f>
        <v>0.0599732024999999</v>
      </c>
      <c r="F758" s="12" t="n">
        <f aca="false">(1+E758)^(1/12)-1</f>
        <v>0.00486543356454083</v>
      </c>
      <c r="G758" s="16" t="n">
        <f aca="false">IF(C758=0,(1+Dic2024!$J$6)^(-B758),EXP(LN(INDEX(Dic2024!$K$6:$K$205,C758))+(LN(INDEX(Dic2024!$K$6:$K$205,MIN(C758+1,200)))-LN(INDEX(Dic2024!$K$6:$K$205,C758)))*(A758-6*C758)/6))</f>
        <v>0.0257417462075598</v>
      </c>
      <c r="H758" s="12" t="n">
        <f aca="false">G758^(-1/B758)-1</f>
        <v>0.0599732024999999</v>
      </c>
      <c r="I758" s="12" t="n">
        <f aca="false">(1+H758)^(1/12)-1</f>
        <v>0.00486543356454083</v>
      </c>
      <c r="J758" s="16" t="n">
        <f aca="false">IF(C758=0,(1+Dic2024!$M$6)^(-B758),EXP(LN(INDEX(Dic2024!$N$6:$N$205,C758))+(LN(INDEX(Dic2024!$N$6:$N$205,MIN(C758+1,200)))-LN(INDEX(Dic2024!$N$6:$N$205,C758)))*(A758-6*C758)/6))</f>
        <v>0.0257417462075598</v>
      </c>
      <c r="K758" s="12" t="n">
        <f aca="false">J758^(-1/B758)-1</f>
        <v>0.0599732024999999</v>
      </c>
      <c r="L758" s="12" t="n">
        <f aca="false">(1+K758)^(1/12)-1</f>
        <v>0.00486543356454083</v>
      </c>
    </row>
    <row r="759" customFormat="false" ht="15" hidden="false" customHeight="false" outlineLevel="0" collapsed="false">
      <c r="A759" s="4" t="n">
        <v>755</v>
      </c>
      <c r="B759" s="14" t="n">
        <f aca="false">A759/12</f>
        <v>62.9166666666667</v>
      </c>
      <c r="C759" s="15" t="n">
        <f aca="false">INT(A759/6)</f>
        <v>125</v>
      </c>
      <c r="D759" s="16" t="n">
        <f aca="false">IF(C759=0,(1+Dic2024!$G$6)^(-B759),EXP(LN(INDEX(Dic2024!$H$6:$H$205,C759))+(LN(INDEX(Dic2024!$H$6:$H$205,MIN(C759+1,200)))-LN(INDEX(Dic2024!$H$6:$H$205,C759)))*(A759-6*C759)/6))</f>
        <v>0.0256171078710973</v>
      </c>
      <c r="E759" s="12" t="n">
        <f aca="false">D759^(-1/B759)-1</f>
        <v>0.0599732024999999</v>
      </c>
      <c r="F759" s="12" t="n">
        <f aca="false">(1+E759)^(1/12)-1</f>
        <v>0.00486543356454083</v>
      </c>
      <c r="G759" s="16" t="n">
        <f aca="false">IF(C759=0,(1+Dic2024!$J$6)^(-B759),EXP(LN(INDEX(Dic2024!$K$6:$K$205,C759))+(LN(INDEX(Dic2024!$K$6:$K$205,MIN(C759+1,200)))-LN(INDEX(Dic2024!$K$6:$K$205,C759)))*(A759-6*C759)/6))</f>
        <v>0.0256171078710973</v>
      </c>
      <c r="H759" s="12" t="n">
        <f aca="false">G759^(-1/B759)-1</f>
        <v>0.0599732024999999</v>
      </c>
      <c r="I759" s="12" t="n">
        <f aca="false">(1+H759)^(1/12)-1</f>
        <v>0.00486543356454083</v>
      </c>
      <c r="J759" s="16" t="n">
        <f aca="false">IF(C759=0,(1+Dic2024!$M$6)^(-B759),EXP(LN(INDEX(Dic2024!$N$6:$N$205,C759))+(LN(INDEX(Dic2024!$N$6:$N$205,MIN(C759+1,200)))-LN(INDEX(Dic2024!$N$6:$N$205,C759)))*(A759-6*C759)/6))</f>
        <v>0.0256171078710973</v>
      </c>
      <c r="K759" s="12" t="n">
        <f aca="false">J759^(-1/B759)-1</f>
        <v>0.0599732024999999</v>
      </c>
      <c r="L759" s="12" t="n">
        <f aca="false">(1+K759)^(1/12)-1</f>
        <v>0.00486543356454083</v>
      </c>
    </row>
    <row r="760" customFormat="false" ht="15" hidden="false" customHeight="false" outlineLevel="0" collapsed="false">
      <c r="A760" s="4" t="n">
        <v>756</v>
      </c>
      <c r="B760" s="14" t="n">
        <f aca="false">A760/12</f>
        <v>63</v>
      </c>
      <c r="C760" s="15" t="n">
        <f aca="false">INT(A760/6)</f>
        <v>126</v>
      </c>
      <c r="D760" s="16" t="n">
        <f aca="false">IF(C760=0,(1+Dic2024!$G$6)^(-B760),EXP(LN(INDEX(Dic2024!$H$6:$H$205,C760))+(LN(INDEX(Dic2024!$H$6:$H$205,MIN(C760+1,200)))-LN(INDEX(Dic2024!$H$6:$H$205,C760)))*(A760-6*C760)/6))</f>
        <v>0.0254930730179724</v>
      </c>
      <c r="E760" s="12" t="n">
        <f aca="false">D760^(-1/B760)-1</f>
        <v>0.0599732024999999</v>
      </c>
      <c r="F760" s="12" t="n">
        <f aca="false">(1+E760)^(1/12)-1</f>
        <v>0.00486543356454083</v>
      </c>
      <c r="G760" s="16" t="n">
        <f aca="false">IF(C760=0,(1+Dic2024!$J$6)^(-B760),EXP(LN(INDEX(Dic2024!$K$6:$K$205,C760))+(LN(INDEX(Dic2024!$K$6:$K$205,MIN(C760+1,200)))-LN(INDEX(Dic2024!$K$6:$K$205,C760)))*(A760-6*C760)/6))</f>
        <v>0.0254930730179724</v>
      </c>
      <c r="H760" s="12" t="n">
        <f aca="false">G760^(-1/B760)-1</f>
        <v>0.0599732024999999</v>
      </c>
      <c r="I760" s="12" t="n">
        <f aca="false">(1+H760)^(1/12)-1</f>
        <v>0.00486543356454083</v>
      </c>
      <c r="J760" s="16" t="n">
        <f aca="false">IF(C760=0,(1+Dic2024!$M$6)^(-B760),EXP(LN(INDEX(Dic2024!$N$6:$N$205,C760))+(LN(INDEX(Dic2024!$N$6:$N$205,MIN(C760+1,200)))-LN(INDEX(Dic2024!$N$6:$N$205,C760)))*(A760-6*C760)/6))</f>
        <v>0.0254930730179724</v>
      </c>
      <c r="K760" s="12" t="n">
        <f aca="false">J760^(-1/B760)-1</f>
        <v>0.0599732024999999</v>
      </c>
      <c r="L760" s="12" t="n">
        <f aca="false">(1+K760)^(1/12)-1</f>
        <v>0.00486543356454083</v>
      </c>
    </row>
    <row r="761" customFormat="false" ht="15" hidden="false" customHeight="false" outlineLevel="0" collapsed="false">
      <c r="A761" s="4" t="n">
        <v>757</v>
      </c>
      <c r="B761" s="14" t="n">
        <f aca="false">A761/12</f>
        <v>63.0833333333333</v>
      </c>
      <c r="C761" s="15" t="n">
        <f aca="false">INT(A761/6)</f>
        <v>126</v>
      </c>
      <c r="D761" s="16" t="n">
        <f aca="false">IF(C761=0,(1+Dic2024!$G$6)^(-B761),EXP(LN(INDEX(Dic2024!$H$6:$H$205,C761))+(LN(INDEX(Dic2024!$H$6:$H$205,MIN(C761+1,200)))-LN(INDEX(Dic2024!$H$6:$H$205,C761)))*(A761-6*C761)/6))</f>
        <v>0.0253696387261937</v>
      </c>
      <c r="E761" s="12" t="n">
        <f aca="false">D761^(-1/B761)-1</f>
        <v>0.0599732024999999</v>
      </c>
      <c r="F761" s="12" t="n">
        <f aca="false">(1+E761)^(1/12)-1</f>
        <v>0.00486543356454083</v>
      </c>
      <c r="G761" s="16" t="n">
        <f aca="false">IF(C761=0,(1+Dic2024!$J$6)^(-B761),EXP(LN(INDEX(Dic2024!$K$6:$K$205,C761))+(LN(INDEX(Dic2024!$K$6:$K$205,MIN(C761+1,200)))-LN(INDEX(Dic2024!$K$6:$K$205,C761)))*(A761-6*C761)/6))</f>
        <v>0.0253696387261937</v>
      </c>
      <c r="H761" s="12" t="n">
        <f aca="false">G761^(-1/B761)-1</f>
        <v>0.0599732024999999</v>
      </c>
      <c r="I761" s="12" t="n">
        <f aca="false">(1+H761)^(1/12)-1</f>
        <v>0.00486543356454083</v>
      </c>
      <c r="J761" s="16" t="n">
        <f aca="false">IF(C761=0,(1+Dic2024!$M$6)^(-B761),EXP(LN(INDEX(Dic2024!$N$6:$N$205,C761))+(LN(INDEX(Dic2024!$N$6:$N$205,MIN(C761+1,200)))-LN(INDEX(Dic2024!$N$6:$N$205,C761)))*(A761-6*C761)/6))</f>
        <v>0.0253696387261937</v>
      </c>
      <c r="K761" s="12" t="n">
        <f aca="false">J761^(-1/B761)-1</f>
        <v>0.0599732024999999</v>
      </c>
      <c r="L761" s="12" t="n">
        <f aca="false">(1+K761)^(1/12)-1</f>
        <v>0.00486543356454083</v>
      </c>
    </row>
    <row r="762" customFormat="false" ht="15" hidden="false" customHeight="false" outlineLevel="0" collapsed="false">
      <c r="A762" s="4" t="n">
        <v>758</v>
      </c>
      <c r="B762" s="14" t="n">
        <f aca="false">A762/12</f>
        <v>63.1666666666667</v>
      </c>
      <c r="C762" s="15" t="n">
        <f aca="false">INT(A762/6)</f>
        <v>126</v>
      </c>
      <c r="D762" s="16" t="n">
        <f aca="false">IF(C762=0,(1+Dic2024!$G$6)^(-B762),EXP(LN(INDEX(Dic2024!$H$6:$H$205,C762))+(LN(INDEX(Dic2024!$H$6:$H$205,MIN(C762+1,200)))-LN(INDEX(Dic2024!$H$6:$H$205,C762)))*(A762-6*C762)/6))</f>
        <v>0.0252468020879178</v>
      </c>
      <c r="E762" s="12" t="n">
        <f aca="false">D762^(-1/B762)-1</f>
        <v>0.0599732024999999</v>
      </c>
      <c r="F762" s="12" t="n">
        <f aca="false">(1+E762)^(1/12)-1</f>
        <v>0.00486543356454083</v>
      </c>
      <c r="G762" s="16" t="n">
        <f aca="false">IF(C762=0,(1+Dic2024!$J$6)^(-B762),EXP(LN(INDEX(Dic2024!$K$6:$K$205,C762))+(LN(INDEX(Dic2024!$K$6:$K$205,MIN(C762+1,200)))-LN(INDEX(Dic2024!$K$6:$K$205,C762)))*(A762-6*C762)/6))</f>
        <v>0.0252468020879178</v>
      </c>
      <c r="H762" s="12" t="n">
        <f aca="false">G762^(-1/B762)-1</f>
        <v>0.0599732024999999</v>
      </c>
      <c r="I762" s="12" t="n">
        <f aca="false">(1+H762)^(1/12)-1</f>
        <v>0.00486543356454083</v>
      </c>
      <c r="J762" s="16" t="n">
        <f aca="false">IF(C762=0,(1+Dic2024!$M$6)^(-B762),EXP(LN(INDEX(Dic2024!$N$6:$N$205,C762))+(LN(INDEX(Dic2024!$N$6:$N$205,MIN(C762+1,200)))-LN(INDEX(Dic2024!$N$6:$N$205,C762)))*(A762-6*C762)/6))</f>
        <v>0.0252468020879178</v>
      </c>
      <c r="K762" s="12" t="n">
        <f aca="false">J762^(-1/B762)-1</f>
        <v>0.0599732024999999</v>
      </c>
      <c r="L762" s="12" t="n">
        <f aca="false">(1+K762)^(1/12)-1</f>
        <v>0.00486543356454083</v>
      </c>
    </row>
    <row r="763" customFormat="false" ht="15" hidden="false" customHeight="false" outlineLevel="0" collapsed="false">
      <c r="A763" s="4" t="n">
        <v>759</v>
      </c>
      <c r="B763" s="14" t="n">
        <f aca="false">A763/12</f>
        <v>63.25</v>
      </c>
      <c r="C763" s="15" t="n">
        <f aca="false">INT(A763/6)</f>
        <v>126</v>
      </c>
      <c r="D763" s="16" t="n">
        <f aca="false">IF(C763=0,(1+Dic2024!$G$6)^(-B763),EXP(LN(INDEX(Dic2024!$H$6:$H$205,C763))+(LN(INDEX(Dic2024!$H$6:$H$205,MIN(C763+1,200)))-LN(INDEX(Dic2024!$H$6:$H$205,C763)))*(A763-6*C763)/6))</f>
        <v>0.0251245602093807</v>
      </c>
      <c r="E763" s="12" t="n">
        <f aca="false">D763^(-1/B763)-1</f>
        <v>0.0599732024999999</v>
      </c>
      <c r="F763" s="12" t="n">
        <f aca="false">(1+E763)^(1/12)-1</f>
        <v>0.00486543356454083</v>
      </c>
      <c r="G763" s="16" t="n">
        <f aca="false">IF(C763=0,(1+Dic2024!$J$6)^(-B763),EXP(LN(INDEX(Dic2024!$K$6:$K$205,C763))+(LN(INDEX(Dic2024!$K$6:$K$205,MIN(C763+1,200)))-LN(INDEX(Dic2024!$K$6:$K$205,C763)))*(A763-6*C763)/6))</f>
        <v>0.0251245602093807</v>
      </c>
      <c r="H763" s="12" t="n">
        <f aca="false">G763^(-1/B763)-1</f>
        <v>0.0599732024999999</v>
      </c>
      <c r="I763" s="12" t="n">
        <f aca="false">(1+H763)^(1/12)-1</f>
        <v>0.00486543356454083</v>
      </c>
      <c r="J763" s="16" t="n">
        <f aca="false">IF(C763=0,(1+Dic2024!$M$6)^(-B763),EXP(LN(INDEX(Dic2024!$N$6:$N$205,C763))+(LN(INDEX(Dic2024!$N$6:$N$205,MIN(C763+1,200)))-LN(INDEX(Dic2024!$N$6:$N$205,C763)))*(A763-6*C763)/6))</f>
        <v>0.0251245602093807</v>
      </c>
      <c r="K763" s="12" t="n">
        <f aca="false">J763^(-1/B763)-1</f>
        <v>0.0599732024999999</v>
      </c>
      <c r="L763" s="12" t="n">
        <f aca="false">(1+K763)^(1/12)-1</f>
        <v>0.00486543356454083</v>
      </c>
    </row>
    <row r="764" customFormat="false" ht="15" hidden="false" customHeight="false" outlineLevel="0" collapsed="false">
      <c r="A764" s="4" t="n">
        <v>760</v>
      </c>
      <c r="B764" s="14" t="n">
        <f aca="false">A764/12</f>
        <v>63.3333333333333</v>
      </c>
      <c r="C764" s="15" t="n">
        <f aca="false">INT(A764/6)</f>
        <v>126</v>
      </c>
      <c r="D764" s="16" t="n">
        <f aca="false">IF(C764=0,(1+Dic2024!$G$6)^(-B764),EXP(LN(INDEX(Dic2024!$H$6:$H$205,C764))+(LN(INDEX(Dic2024!$H$6:$H$205,MIN(C764+1,200)))-LN(INDEX(Dic2024!$H$6:$H$205,C764)))*(A764-6*C764)/6))</f>
        <v>0.0250029102108298</v>
      </c>
      <c r="E764" s="12" t="n">
        <f aca="false">D764^(-1/B764)-1</f>
        <v>0.0599732024999999</v>
      </c>
      <c r="F764" s="12" t="n">
        <f aca="false">(1+E764)^(1/12)-1</f>
        <v>0.00486543356454083</v>
      </c>
      <c r="G764" s="16" t="n">
        <f aca="false">IF(C764=0,(1+Dic2024!$J$6)^(-B764),EXP(LN(INDEX(Dic2024!$K$6:$K$205,C764))+(LN(INDEX(Dic2024!$K$6:$K$205,MIN(C764+1,200)))-LN(INDEX(Dic2024!$K$6:$K$205,C764)))*(A764-6*C764)/6))</f>
        <v>0.0250029102108298</v>
      </c>
      <c r="H764" s="12" t="n">
        <f aca="false">G764^(-1/B764)-1</f>
        <v>0.0599732024999999</v>
      </c>
      <c r="I764" s="12" t="n">
        <f aca="false">(1+H764)^(1/12)-1</f>
        <v>0.00486543356454083</v>
      </c>
      <c r="J764" s="16" t="n">
        <f aca="false">IF(C764=0,(1+Dic2024!$M$6)^(-B764),EXP(LN(INDEX(Dic2024!$N$6:$N$205,C764))+(LN(INDEX(Dic2024!$N$6:$N$205,MIN(C764+1,200)))-LN(INDEX(Dic2024!$N$6:$N$205,C764)))*(A764-6*C764)/6))</f>
        <v>0.0250029102108298</v>
      </c>
      <c r="K764" s="12" t="n">
        <f aca="false">J764^(-1/B764)-1</f>
        <v>0.0599732024999999</v>
      </c>
      <c r="L764" s="12" t="n">
        <f aca="false">(1+K764)^(1/12)-1</f>
        <v>0.00486543356454083</v>
      </c>
    </row>
    <row r="765" customFormat="false" ht="15" hidden="false" customHeight="false" outlineLevel="0" collapsed="false">
      <c r="A765" s="4" t="n">
        <v>761</v>
      </c>
      <c r="B765" s="14" t="n">
        <f aca="false">A765/12</f>
        <v>63.4166666666667</v>
      </c>
      <c r="C765" s="15" t="n">
        <f aca="false">INT(A765/6)</f>
        <v>126</v>
      </c>
      <c r="D765" s="16" t="n">
        <f aca="false">IF(C765=0,(1+Dic2024!$G$6)^(-B765),EXP(LN(INDEX(Dic2024!$H$6:$H$205,C765))+(LN(INDEX(Dic2024!$H$6:$H$205,MIN(C765+1,200)))-LN(INDEX(Dic2024!$H$6:$H$205,C765)))*(A765-6*C765)/6))</f>
        <v>0.0248818492264555</v>
      </c>
      <c r="E765" s="12" t="n">
        <f aca="false">D765^(-1/B765)-1</f>
        <v>0.0599732024999999</v>
      </c>
      <c r="F765" s="12" t="n">
        <f aca="false">(1+E765)^(1/12)-1</f>
        <v>0.00486543356454083</v>
      </c>
      <c r="G765" s="16" t="n">
        <f aca="false">IF(C765=0,(1+Dic2024!$J$6)^(-B765),EXP(LN(INDEX(Dic2024!$K$6:$K$205,C765))+(LN(INDEX(Dic2024!$K$6:$K$205,MIN(C765+1,200)))-LN(INDEX(Dic2024!$K$6:$K$205,C765)))*(A765-6*C765)/6))</f>
        <v>0.0248818492264555</v>
      </c>
      <c r="H765" s="12" t="n">
        <f aca="false">G765^(-1/B765)-1</f>
        <v>0.0599732024999999</v>
      </c>
      <c r="I765" s="12" t="n">
        <f aca="false">(1+H765)^(1/12)-1</f>
        <v>0.00486543356454083</v>
      </c>
      <c r="J765" s="16" t="n">
        <f aca="false">IF(C765=0,(1+Dic2024!$M$6)^(-B765),EXP(LN(INDEX(Dic2024!$N$6:$N$205,C765))+(LN(INDEX(Dic2024!$N$6:$N$205,MIN(C765+1,200)))-LN(INDEX(Dic2024!$N$6:$N$205,C765)))*(A765-6*C765)/6))</f>
        <v>0.0248818492264555</v>
      </c>
      <c r="K765" s="12" t="n">
        <f aca="false">J765^(-1/B765)-1</f>
        <v>0.0599732024999999</v>
      </c>
      <c r="L765" s="12" t="n">
        <f aca="false">(1+K765)^(1/12)-1</f>
        <v>0.00486543356454083</v>
      </c>
    </row>
    <row r="766" customFormat="false" ht="15" hidden="false" customHeight="false" outlineLevel="0" collapsed="false">
      <c r="A766" s="4" t="n">
        <v>762</v>
      </c>
      <c r="B766" s="14" t="n">
        <f aca="false">A766/12</f>
        <v>63.5</v>
      </c>
      <c r="C766" s="15" t="n">
        <f aca="false">INT(A766/6)</f>
        <v>127</v>
      </c>
      <c r="D766" s="16" t="n">
        <f aca="false">IF(C766=0,(1+Dic2024!$G$6)^(-B766),EXP(LN(INDEX(Dic2024!$H$6:$H$205,C766))+(LN(INDEX(Dic2024!$H$6:$H$205,MIN(C766+1,200)))-LN(INDEX(Dic2024!$H$6:$H$205,C766)))*(A766-6*C766)/6))</f>
        <v>0.0247613744043246</v>
      </c>
      <c r="E766" s="12" t="n">
        <f aca="false">D766^(-1/B766)-1</f>
        <v>0.0599732024999999</v>
      </c>
      <c r="F766" s="12" t="n">
        <f aca="false">(1+E766)^(1/12)-1</f>
        <v>0.00486543356454083</v>
      </c>
      <c r="G766" s="16" t="n">
        <f aca="false">IF(C766=0,(1+Dic2024!$J$6)^(-B766),EXP(LN(INDEX(Dic2024!$K$6:$K$205,C766))+(LN(INDEX(Dic2024!$K$6:$K$205,MIN(C766+1,200)))-LN(INDEX(Dic2024!$K$6:$K$205,C766)))*(A766-6*C766)/6))</f>
        <v>0.0247613744043246</v>
      </c>
      <c r="H766" s="12" t="n">
        <f aca="false">G766^(-1/B766)-1</f>
        <v>0.0599732024999999</v>
      </c>
      <c r="I766" s="12" t="n">
        <f aca="false">(1+H766)^(1/12)-1</f>
        <v>0.00486543356454083</v>
      </c>
      <c r="J766" s="16" t="n">
        <f aca="false">IF(C766=0,(1+Dic2024!$M$6)^(-B766),EXP(LN(INDEX(Dic2024!$N$6:$N$205,C766))+(LN(INDEX(Dic2024!$N$6:$N$205,MIN(C766+1,200)))-LN(INDEX(Dic2024!$N$6:$N$205,C766)))*(A766-6*C766)/6))</f>
        <v>0.0247613744043246</v>
      </c>
      <c r="K766" s="12" t="n">
        <f aca="false">J766^(-1/B766)-1</f>
        <v>0.0599732024999999</v>
      </c>
      <c r="L766" s="12" t="n">
        <f aca="false">(1+K766)^(1/12)-1</f>
        <v>0.00486543356454083</v>
      </c>
    </row>
    <row r="767" customFormat="false" ht="15" hidden="false" customHeight="false" outlineLevel="0" collapsed="false">
      <c r="A767" s="4" t="n">
        <v>763</v>
      </c>
      <c r="B767" s="14" t="n">
        <f aca="false">A767/12</f>
        <v>63.5833333333333</v>
      </c>
      <c r="C767" s="15" t="n">
        <f aca="false">INT(A767/6)</f>
        <v>127</v>
      </c>
      <c r="D767" s="16" t="n">
        <f aca="false">IF(C767=0,(1+Dic2024!$G$6)^(-B767),EXP(LN(INDEX(Dic2024!$H$6:$H$205,C767))+(LN(INDEX(Dic2024!$H$6:$H$205,MIN(C767+1,200)))-LN(INDEX(Dic2024!$H$6:$H$205,C767)))*(A767-6*C767)/6))</f>
        <v>0.0246159669045109</v>
      </c>
      <c r="E767" s="12" t="n">
        <f aca="false">D767^(-1/B767)-1</f>
        <v>0.0599904738333832</v>
      </c>
      <c r="F767" s="12" t="n">
        <f aca="false">(1+E767)^(1/12)-1</f>
        <v>0.00486679800440393</v>
      </c>
      <c r="G767" s="16" t="n">
        <f aca="false">IF(C767=0,(1+Dic2024!$J$6)^(-B767),EXP(LN(INDEX(Dic2024!$K$6:$K$205,C767))+(LN(INDEX(Dic2024!$K$6:$K$205,MIN(C767+1,200)))-LN(INDEX(Dic2024!$K$6:$K$205,C767)))*(A767-6*C767)/6))</f>
        <v>0.0246159669045109</v>
      </c>
      <c r="H767" s="12" t="n">
        <f aca="false">G767^(-1/B767)-1</f>
        <v>0.0599904738333832</v>
      </c>
      <c r="I767" s="12" t="n">
        <f aca="false">(1+H767)^(1/12)-1</f>
        <v>0.00486679800440393</v>
      </c>
      <c r="J767" s="16" t="n">
        <f aca="false">IF(C767=0,(1+Dic2024!$M$6)^(-B767),EXP(LN(INDEX(Dic2024!$N$6:$N$205,C767))+(LN(INDEX(Dic2024!$N$6:$N$205,MIN(C767+1,200)))-LN(INDEX(Dic2024!$N$6:$N$205,C767)))*(A767-6*C767)/6))</f>
        <v>0.0246159669045109</v>
      </c>
      <c r="K767" s="12" t="n">
        <f aca="false">J767^(-1/B767)-1</f>
        <v>0.0599904738333832</v>
      </c>
      <c r="L767" s="12" t="n">
        <f aca="false">(1+K767)^(1/12)-1</f>
        <v>0.00486679800440393</v>
      </c>
    </row>
    <row r="768" customFormat="false" ht="15" hidden="false" customHeight="false" outlineLevel="0" collapsed="false">
      <c r="A768" s="4" t="n">
        <v>764</v>
      </c>
      <c r="B768" s="14" t="n">
        <f aca="false">A768/12</f>
        <v>63.6666666666667</v>
      </c>
      <c r="C768" s="15" t="n">
        <f aca="false">INT(A768/6)</f>
        <v>127</v>
      </c>
      <c r="D768" s="16" t="n">
        <f aca="false">IF(C768=0,(1+Dic2024!$G$6)^(-B768),EXP(LN(INDEX(Dic2024!$H$6:$H$205,C768))+(LN(INDEX(Dic2024!$H$6:$H$205,MIN(C768+1,200)))-LN(INDEX(Dic2024!$H$6:$H$205,C768)))*(A768-6*C768)/6))</f>
        <v>0.0244714132886803</v>
      </c>
      <c r="E768" s="12" t="n">
        <f aca="false">D768^(-1/B768)-1</f>
        <v>0.060007700234169</v>
      </c>
      <c r="F768" s="12" t="n">
        <f aca="false">(1+E768)^(1/12)-1</f>
        <v>0.00486815887428049</v>
      </c>
      <c r="G768" s="16" t="n">
        <f aca="false">IF(C768=0,(1+Dic2024!$J$6)^(-B768),EXP(LN(INDEX(Dic2024!$K$6:$K$205,C768))+(LN(INDEX(Dic2024!$K$6:$K$205,MIN(C768+1,200)))-LN(INDEX(Dic2024!$K$6:$K$205,C768)))*(A768-6*C768)/6))</f>
        <v>0.0244714132886803</v>
      </c>
      <c r="H768" s="12" t="n">
        <f aca="false">G768^(-1/B768)-1</f>
        <v>0.060007700234169</v>
      </c>
      <c r="I768" s="12" t="n">
        <f aca="false">(1+H768)^(1/12)-1</f>
        <v>0.00486815887428049</v>
      </c>
      <c r="J768" s="16" t="n">
        <f aca="false">IF(C768=0,(1+Dic2024!$M$6)^(-B768),EXP(LN(INDEX(Dic2024!$N$6:$N$205,C768))+(LN(INDEX(Dic2024!$N$6:$N$205,MIN(C768+1,200)))-LN(INDEX(Dic2024!$N$6:$N$205,C768)))*(A768-6*C768)/6))</f>
        <v>0.0244714132886803</v>
      </c>
      <c r="K768" s="12" t="n">
        <f aca="false">J768^(-1/B768)-1</f>
        <v>0.060007700234169</v>
      </c>
      <c r="L768" s="12" t="n">
        <f aca="false">(1+K768)^(1/12)-1</f>
        <v>0.00486815887428049</v>
      </c>
    </row>
    <row r="769" customFormat="false" ht="15" hidden="false" customHeight="false" outlineLevel="0" collapsed="false">
      <c r="A769" s="4" t="n">
        <v>765</v>
      </c>
      <c r="B769" s="14" t="n">
        <f aca="false">A769/12</f>
        <v>63.75</v>
      </c>
      <c r="C769" s="15" t="n">
        <f aca="false">INT(A769/6)</f>
        <v>127</v>
      </c>
      <c r="D769" s="16" t="n">
        <f aca="false">IF(C769=0,(1+Dic2024!$G$6)^(-B769),EXP(LN(INDEX(Dic2024!$H$6:$H$205,C769))+(LN(INDEX(Dic2024!$H$6:$H$205,MIN(C769+1,200)))-LN(INDEX(Dic2024!$H$6:$H$205,C769)))*(A769-6*C769)/6))</f>
        <v>0.0243277085425256</v>
      </c>
      <c r="E769" s="12" t="n">
        <f aca="false">D769^(-1/B769)-1</f>
        <v>0.0600248818774702</v>
      </c>
      <c r="F769" s="12" t="n">
        <f aca="false">(1+E769)^(1/12)-1</f>
        <v>0.00486951618816311</v>
      </c>
      <c r="G769" s="16" t="n">
        <f aca="false">IF(C769=0,(1+Dic2024!$J$6)^(-B769),EXP(LN(INDEX(Dic2024!$K$6:$K$205,C769))+(LN(INDEX(Dic2024!$K$6:$K$205,MIN(C769+1,200)))-LN(INDEX(Dic2024!$K$6:$K$205,C769)))*(A769-6*C769)/6))</f>
        <v>0.0243277085425256</v>
      </c>
      <c r="H769" s="12" t="n">
        <f aca="false">G769^(-1/B769)-1</f>
        <v>0.0600248818774702</v>
      </c>
      <c r="I769" s="12" t="n">
        <f aca="false">(1+H769)^(1/12)-1</f>
        <v>0.00486951618816311</v>
      </c>
      <c r="J769" s="16" t="n">
        <f aca="false">IF(C769=0,(1+Dic2024!$M$6)^(-B769),EXP(LN(INDEX(Dic2024!$N$6:$N$205,C769))+(LN(INDEX(Dic2024!$N$6:$N$205,MIN(C769+1,200)))-LN(INDEX(Dic2024!$N$6:$N$205,C769)))*(A769-6*C769)/6))</f>
        <v>0.0243277085425256</v>
      </c>
      <c r="K769" s="12" t="n">
        <f aca="false">J769^(-1/B769)-1</f>
        <v>0.0600248818774702</v>
      </c>
      <c r="L769" s="12" t="n">
        <f aca="false">(1+K769)^(1/12)-1</f>
        <v>0.00486951618816311</v>
      </c>
    </row>
    <row r="770" customFormat="false" ht="15" hidden="false" customHeight="false" outlineLevel="0" collapsed="false">
      <c r="A770" s="4" t="n">
        <v>766</v>
      </c>
      <c r="B770" s="14" t="n">
        <f aca="false">A770/12</f>
        <v>63.8333333333333</v>
      </c>
      <c r="C770" s="15" t="n">
        <f aca="false">INT(A770/6)</f>
        <v>127</v>
      </c>
      <c r="D770" s="16" t="n">
        <f aca="false">IF(C770=0,(1+Dic2024!$G$6)^(-B770),EXP(LN(INDEX(Dic2024!$H$6:$H$205,C770))+(LN(INDEX(Dic2024!$H$6:$H$205,MIN(C770+1,200)))-LN(INDEX(Dic2024!$H$6:$H$205,C770)))*(A770-6*C770)/6))</f>
        <v>0.0241848476811856</v>
      </c>
      <c r="E770" s="12" t="n">
        <f aca="false">D770^(-1/B770)-1</f>
        <v>0.0600420189374911</v>
      </c>
      <c r="F770" s="12" t="n">
        <f aca="false">(1+E770)^(1/12)-1</f>
        <v>0.00487086995997155</v>
      </c>
      <c r="G770" s="16" t="n">
        <f aca="false">IF(C770=0,(1+Dic2024!$J$6)^(-B770),EXP(LN(INDEX(Dic2024!$K$6:$K$205,C770))+(LN(INDEX(Dic2024!$K$6:$K$205,MIN(C770+1,200)))-LN(INDEX(Dic2024!$K$6:$K$205,C770)))*(A770-6*C770)/6))</f>
        <v>0.0241848476811856</v>
      </c>
      <c r="H770" s="12" t="n">
        <f aca="false">G770^(-1/B770)-1</f>
        <v>0.0600420189374911</v>
      </c>
      <c r="I770" s="12" t="n">
        <f aca="false">(1+H770)^(1/12)-1</f>
        <v>0.00487086995997155</v>
      </c>
      <c r="J770" s="16" t="n">
        <f aca="false">IF(C770=0,(1+Dic2024!$M$6)^(-B770),EXP(LN(INDEX(Dic2024!$N$6:$N$205,C770))+(LN(INDEX(Dic2024!$N$6:$N$205,MIN(C770+1,200)))-LN(INDEX(Dic2024!$N$6:$N$205,C770)))*(A770-6*C770)/6))</f>
        <v>0.0241848476811856</v>
      </c>
      <c r="K770" s="12" t="n">
        <f aca="false">J770^(-1/B770)-1</f>
        <v>0.0600420189374911</v>
      </c>
      <c r="L770" s="12" t="n">
        <f aca="false">(1+K770)^(1/12)-1</f>
        <v>0.00487086995997155</v>
      </c>
    </row>
    <row r="771" customFormat="false" ht="15" hidden="false" customHeight="false" outlineLevel="0" collapsed="false">
      <c r="A771" s="4" t="n">
        <v>767</v>
      </c>
      <c r="B771" s="14" t="n">
        <f aca="false">A771/12</f>
        <v>63.9166666666667</v>
      </c>
      <c r="C771" s="15" t="n">
        <f aca="false">INT(A771/6)</f>
        <v>127</v>
      </c>
      <c r="D771" s="16" t="n">
        <f aca="false">IF(C771=0,(1+Dic2024!$G$6)^(-B771),EXP(LN(INDEX(Dic2024!$H$6:$H$205,C771))+(LN(INDEX(Dic2024!$H$6:$H$205,MIN(C771+1,200)))-LN(INDEX(Dic2024!$H$6:$H$205,C771)))*(A771-6*C771)/6))</f>
        <v>0.0240428257490717</v>
      </c>
      <c r="E771" s="12" t="n">
        <f aca="false">D771^(-1/B771)-1</f>
        <v>0.0600591115875329</v>
      </c>
      <c r="F771" s="12" t="n">
        <f aca="false">(1+E771)^(1/12)-1</f>
        <v>0.00487222020355271</v>
      </c>
      <c r="G771" s="16" t="n">
        <f aca="false">IF(C771=0,(1+Dic2024!$J$6)^(-B771),EXP(LN(INDEX(Dic2024!$K$6:$K$205,C771))+(LN(INDEX(Dic2024!$K$6:$K$205,MIN(C771+1,200)))-LN(INDEX(Dic2024!$K$6:$K$205,C771)))*(A771-6*C771)/6))</f>
        <v>0.0240428257490717</v>
      </c>
      <c r="H771" s="12" t="n">
        <f aca="false">G771^(-1/B771)-1</f>
        <v>0.0600591115875329</v>
      </c>
      <c r="I771" s="12" t="n">
        <f aca="false">(1+H771)^(1/12)-1</f>
        <v>0.00487222020355271</v>
      </c>
      <c r="J771" s="16" t="n">
        <f aca="false">IF(C771=0,(1+Dic2024!$M$6)^(-B771),EXP(LN(INDEX(Dic2024!$N$6:$N$205,C771))+(LN(INDEX(Dic2024!$N$6:$N$205,MIN(C771+1,200)))-LN(INDEX(Dic2024!$N$6:$N$205,C771)))*(A771-6*C771)/6))</f>
        <v>0.0240428257490717</v>
      </c>
      <c r="K771" s="12" t="n">
        <f aca="false">J771^(-1/B771)-1</f>
        <v>0.0600591115875329</v>
      </c>
      <c r="L771" s="12" t="n">
        <f aca="false">(1+K771)^(1/12)-1</f>
        <v>0.00487222020355271</v>
      </c>
    </row>
    <row r="772" customFormat="false" ht="15" hidden="false" customHeight="false" outlineLevel="0" collapsed="false">
      <c r="A772" s="4" t="n">
        <v>768</v>
      </c>
      <c r="B772" s="14" t="n">
        <f aca="false">A772/12</f>
        <v>64</v>
      </c>
      <c r="C772" s="15" t="n">
        <f aca="false">INT(A772/6)</f>
        <v>128</v>
      </c>
      <c r="D772" s="16" t="n">
        <f aca="false">IF(C772=0,(1+Dic2024!$G$6)^(-B772),EXP(LN(INDEX(Dic2024!$H$6:$H$205,C772))+(LN(INDEX(Dic2024!$H$6:$H$205,MIN(C772+1,200)))-LN(INDEX(Dic2024!$H$6:$H$205,C772)))*(A772-6*C772)/6))</f>
        <v>0.0239016378196966</v>
      </c>
      <c r="E772" s="12" t="n">
        <f aca="false">D772^(-1/B772)-1</f>
        <v>0.0600761600000002</v>
      </c>
      <c r="F772" s="12" t="n">
        <f aca="false">(1+E772)^(1/12)-1</f>
        <v>0.00487356693268182</v>
      </c>
      <c r="G772" s="16" t="n">
        <f aca="false">IF(C772=0,(1+Dic2024!$J$6)^(-B772),EXP(LN(INDEX(Dic2024!$K$6:$K$205,C772))+(LN(INDEX(Dic2024!$K$6:$K$205,MIN(C772+1,200)))-LN(INDEX(Dic2024!$K$6:$K$205,C772)))*(A772-6*C772)/6))</f>
        <v>0.0239016378196966</v>
      </c>
      <c r="H772" s="12" t="n">
        <f aca="false">G772^(-1/B772)-1</f>
        <v>0.0600761600000002</v>
      </c>
      <c r="I772" s="12" t="n">
        <f aca="false">(1+H772)^(1/12)-1</f>
        <v>0.00487356693268182</v>
      </c>
      <c r="J772" s="16" t="n">
        <f aca="false">IF(C772=0,(1+Dic2024!$M$6)^(-B772),EXP(LN(INDEX(Dic2024!$N$6:$N$205,C772))+(LN(INDEX(Dic2024!$N$6:$N$205,MIN(C772+1,200)))-LN(INDEX(Dic2024!$N$6:$N$205,C772)))*(A772-6*C772)/6))</f>
        <v>0.0239016378196966</v>
      </c>
      <c r="K772" s="12" t="n">
        <f aca="false">J772^(-1/B772)-1</f>
        <v>0.0600761600000002</v>
      </c>
      <c r="L772" s="12" t="n">
        <f aca="false">(1+K772)^(1/12)-1</f>
        <v>0.00487356693268182</v>
      </c>
    </row>
    <row r="773" customFormat="false" ht="15" hidden="false" customHeight="false" outlineLevel="0" collapsed="false">
      <c r="A773" s="4" t="n">
        <v>769</v>
      </c>
      <c r="B773" s="14" t="n">
        <f aca="false">A773/12</f>
        <v>64.0833333333333</v>
      </c>
      <c r="C773" s="15" t="n">
        <f aca="false">INT(A773/6)</f>
        <v>128</v>
      </c>
      <c r="D773" s="16" t="n">
        <f aca="false">IF(C773=0,(1+Dic2024!$G$6)^(-B773),EXP(LN(INDEX(Dic2024!$H$6:$H$205,C773))+(LN(INDEX(Dic2024!$H$6:$H$205,MIN(C773+1,200)))-LN(INDEX(Dic2024!$H$6:$H$205,C773)))*(A773-6*C773)/6))</f>
        <v>0.0237857165381064</v>
      </c>
      <c r="E773" s="12" t="n">
        <f aca="false">D773^(-1/B773)-1</f>
        <v>0.0600761600000002</v>
      </c>
      <c r="F773" s="12" t="n">
        <f aca="false">(1+E773)^(1/12)-1</f>
        <v>0.00487356693268182</v>
      </c>
      <c r="G773" s="16" t="n">
        <f aca="false">IF(C773=0,(1+Dic2024!$J$6)^(-B773),EXP(LN(INDEX(Dic2024!$K$6:$K$205,C773))+(LN(INDEX(Dic2024!$K$6:$K$205,MIN(C773+1,200)))-LN(INDEX(Dic2024!$K$6:$K$205,C773)))*(A773-6*C773)/6))</f>
        <v>0.0237857165381064</v>
      </c>
      <c r="H773" s="12" t="n">
        <f aca="false">G773^(-1/B773)-1</f>
        <v>0.0600761600000002</v>
      </c>
      <c r="I773" s="12" t="n">
        <f aca="false">(1+H773)^(1/12)-1</f>
        <v>0.00487356693268182</v>
      </c>
      <c r="J773" s="16" t="n">
        <f aca="false">IF(C773=0,(1+Dic2024!$M$6)^(-B773),EXP(LN(INDEX(Dic2024!$N$6:$N$205,C773))+(LN(INDEX(Dic2024!$N$6:$N$205,MIN(C773+1,200)))-LN(INDEX(Dic2024!$N$6:$N$205,C773)))*(A773-6*C773)/6))</f>
        <v>0.0237857165381064</v>
      </c>
      <c r="K773" s="12" t="n">
        <f aca="false">J773^(-1/B773)-1</f>
        <v>0.0600761600000002</v>
      </c>
      <c r="L773" s="12" t="n">
        <f aca="false">(1+K773)^(1/12)-1</f>
        <v>0.00487356693268182</v>
      </c>
    </row>
    <row r="774" customFormat="false" ht="15" hidden="false" customHeight="false" outlineLevel="0" collapsed="false">
      <c r="A774" s="4" t="n">
        <v>770</v>
      </c>
      <c r="B774" s="14" t="n">
        <f aca="false">A774/12</f>
        <v>64.1666666666667</v>
      </c>
      <c r="C774" s="15" t="n">
        <f aca="false">INT(A774/6)</f>
        <v>128</v>
      </c>
      <c r="D774" s="16" t="n">
        <f aca="false">IF(C774=0,(1+Dic2024!$G$6)^(-B774),EXP(LN(INDEX(Dic2024!$H$6:$H$205,C774))+(LN(INDEX(Dic2024!$H$6:$H$205,MIN(C774+1,200)))-LN(INDEX(Dic2024!$H$6:$H$205,C774)))*(A774-6*C774)/6))</f>
        <v>0.023670357466672</v>
      </c>
      <c r="E774" s="12" t="n">
        <f aca="false">D774^(-1/B774)-1</f>
        <v>0.0600761600000002</v>
      </c>
      <c r="F774" s="12" t="n">
        <f aca="false">(1+E774)^(1/12)-1</f>
        <v>0.00487356693268182</v>
      </c>
      <c r="G774" s="16" t="n">
        <f aca="false">IF(C774=0,(1+Dic2024!$J$6)^(-B774),EXP(LN(INDEX(Dic2024!$K$6:$K$205,C774))+(LN(INDEX(Dic2024!$K$6:$K$205,MIN(C774+1,200)))-LN(INDEX(Dic2024!$K$6:$K$205,C774)))*(A774-6*C774)/6))</f>
        <v>0.023670357466672</v>
      </c>
      <c r="H774" s="12" t="n">
        <f aca="false">G774^(-1/B774)-1</f>
        <v>0.0600761600000002</v>
      </c>
      <c r="I774" s="12" t="n">
        <f aca="false">(1+H774)^(1/12)-1</f>
        <v>0.00487356693268182</v>
      </c>
      <c r="J774" s="16" t="n">
        <f aca="false">IF(C774=0,(1+Dic2024!$M$6)^(-B774),EXP(LN(INDEX(Dic2024!$N$6:$N$205,C774))+(LN(INDEX(Dic2024!$N$6:$N$205,MIN(C774+1,200)))-LN(INDEX(Dic2024!$N$6:$N$205,C774)))*(A774-6*C774)/6))</f>
        <v>0.023670357466672</v>
      </c>
      <c r="K774" s="12" t="n">
        <f aca="false">J774^(-1/B774)-1</f>
        <v>0.0600761600000002</v>
      </c>
      <c r="L774" s="12" t="n">
        <f aca="false">(1+K774)^(1/12)-1</f>
        <v>0.00487356693268182</v>
      </c>
    </row>
    <row r="775" customFormat="false" ht="15" hidden="false" customHeight="false" outlineLevel="0" collapsed="false">
      <c r="A775" s="4" t="n">
        <v>771</v>
      </c>
      <c r="B775" s="14" t="n">
        <f aca="false">A775/12</f>
        <v>64.25</v>
      </c>
      <c r="C775" s="15" t="n">
        <f aca="false">INT(A775/6)</f>
        <v>128</v>
      </c>
      <c r="D775" s="16" t="n">
        <f aca="false">IF(C775=0,(1+Dic2024!$G$6)^(-B775),EXP(LN(INDEX(Dic2024!$H$6:$H$205,C775))+(LN(INDEX(Dic2024!$H$6:$H$205,MIN(C775+1,200)))-LN(INDEX(Dic2024!$H$6:$H$205,C775)))*(A775-6*C775)/6))</f>
        <v>0.0235555578787135</v>
      </c>
      <c r="E775" s="12" t="n">
        <f aca="false">D775^(-1/B775)-1</f>
        <v>0.0600761600000002</v>
      </c>
      <c r="F775" s="12" t="n">
        <f aca="false">(1+E775)^(1/12)-1</f>
        <v>0.00487356693268182</v>
      </c>
      <c r="G775" s="16" t="n">
        <f aca="false">IF(C775=0,(1+Dic2024!$J$6)^(-B775),EXP(LN(INDEX(Dic2024!$K$6:$K$205,C775))+(LN(INDEX(Dic2024!$K$6:$K$205,MIN(C775+1,200)))-LN(INDEX(Dic2024!$K$6:$K$205,C775)))*(A775-6*C775)/6))</f>
        <v>0.0235555578787135</v>
      </c>
      <c r="H775" s="12" t="n">
        <f aca="false">G775^(-1/B775)-1</f>
        <v>0.0600761600000002</v>
      </c>
      <c r="I775" s="12" t="n">
        <f aca="false">(1+H775)^(1/12)-1</f>
        <v>0.00487356693268182</v>
      </c>
      <c r="J775" s="16" t="n">
        <f aca="false">IF(C775=0,(1+Dic2024!$M$6)^(-B775),EXP(LN(INDEX(Dic2024!$N$6:$N$205,C775))+(LN(INDEX(Dic2024!$N$6:$N$205,MIN(C775+1,200)))-LN(INDEX(Dic2024!$N$6:$N$205,C775)))*(A775-6*C775)/6))</f>
        <v>0.0235555578787135</v>
      </c>
      <c r="K775" s="12" t="n">
        <f aca="false">J775^(-1/B775)-1</f>
        <v>0.0600761600000002</v>
      </c>
      <c r="L775" s="12" t="n">
        <f aca="false">(1+K775)^(1/12)-1</f>
        <v>0.00487356693268182</v>
      </c>
    </row>
    <row r="776" customFormat="false" ht="15" hidden="false" customHeight="false" outlineLevel="0" collapsed="false">
      <c r="A776" s="4" t="n">
        <v>772</v>
      </c>
      <c r="B776" s="14" t="n">
        <f aca="false">A776/12</f>
        <v>64.3333333333333</v>
      </c>
      <c r="C776" s="15" t="n">
        <f aca="false">INT(A776/6)</f>
        <v>128</v>
      </c>
      <c r="D776" s="16" t="n">
        <f aca="false">IF(C776=0,(1+Dic2024!$G$6)^(-B776),EXP(LN(INDEX(Dic2024!$H$6:$H$205,C776))+(LN(INDEX(Dic2024!$H$6:$H$205,MIN(C776+1,200)))-LN(INDEX(Dic2024!$H$6:$H$205,C776)))*(A776-6*C776)/6))</f>
        <v>0.0234413150607747</v>
      </c>
      <c r="E776" s="12" t="n">
        <f aca="false">D776^(-1/B776)-1</f>
        <v>0.0600761600000002</v>
      </c>
      <c r="F776" s="12" t="n">
        <f aca="false">(1+E776)^(1/12)-1</f>
        <v>0.00487356693268182</v>
      </c>
      <c r="G776" s="16" t="n">
        <f aca="false">IF(C776=0,(1+Dic2024!$J$6)^(-B776),EXP(LN(INDEX(Dic2024!$K$6:$K$205,C776))+(LN(INDEX(Dic2024!$K$6:$K$205,MIN(C776+1,200)))-LN(INDEX(Dic2024!$K$6:$K$205,C776)))*(A776-6*C776)/6))</f>
        <v>0.0234413150607747</v>
      </c>
      <c r="H776" s="12" t="n">
        <f aca="false">G776^(-1/B776)-1</f>
        <v>0.0600761600000002</v>
      </c>
      <c r="I776" s="12" t="n">
        <f aca="false">(1+H776)^(1/12)-1</f>
        <v>0.00487356693268182</v>
      </c>
      <c r="J776" s="16" t="n">
        <f aca="false">IF(C776=0,(1+Dic2024!$M$6)^(-B776),EXP(LN(INDEX(Dic2024!$N$6:$N$205,C776))+(LN(INDEX(Dic2024!$N$6:$N$205,MIN(C776+1,200)))-LN(INDEX(Dic2024!$N$6:$N$205,C776)))*(A776-6*C776)/6))</f>
        <v>0.0234413150607747</v>
      </c>
      <c r="K776" s="12" t="n">
        <f aca="false">J776^(-1/B776)-1</f>
        <v>0.0600761600000002</v>
      </c>
      <c r="L776" s="12" t="n">
        <f aca="false">(1+K776)^(1/12)-1</f>
        <v>0.00487356693268182</v>
      </c>
    </row>
    <row r="777" customFormat="false" ht="15" hidden="false" customHeight="false" outlineLevel="0" collapsed="false">
      <c r="A777" s="4" t="n">
        <v>773</v>
      </c>
      <c r="B777" s="14" t="n">
        <f aca="false">A777/12</f>
        <v>64.4166666666667</v>
      </c>
      <c r="C777" s="15" t="n">
        <f aca="false">INT(A777/6)</f>
        <v>128</v>
      </c>
      <c r="D777" s="16" t="n">
        <f aca="false">IF(C777=0,(1+Dic2024!$G$6)^(-B777),EXP(LN(INDEX(Dic2024!$H$6:$H$205,C777))+(LN(INDEX(Dic2024!$H$6:$H$205,MIN(C777+1,200)))-LN(INDEX(Dic2024!$H$6:$H$205,C777)))*(A777-6*C777)/6))</f>
        <v>0.0233276263125598</v>
      </c>
      <c r="E777" s="12" t="n">
        <f aca="false">D777^(-1/B777)-1</f>
        <v>0.0600761600000002</v>
      </c>
      <c r="F777" s="12" t="n">
        <f aca="false">(1+E777)^(1/12)-1</f>
        <v>0.00487356693268182</v>
      </c>
      <c r="G777" s="16" t="n">
        <f aca="false">IF(C777=0,(1+Dic2024!$J$6)^(-B777),EXP(LN(INDEX(Dic2024!$K$6:$K$205,C777))+(LN(INDEX(Dic2024!$K$6:$K$205,MIN(C777+1,200)))-LN(INDEX(Dic2024!$K$6:$K$205,C777)))*(A777-6*C777)/6))</f>
        <v>0.0233276263125598</v>
      </c>
      <c r="H777" s="12" t="n">
        <f aca="false">G777^(-1/B777)-1</f>
        <v>0.0600761600000002</v>
      </c>
      <c r="I777" s="12" t="n">
        <f aca="false">(1+H777)^(1/12)-1</f>
        <v>0.00487356693268182</v>
      </c>
      <c r="J777" s="16" t="n">
        <f aca="false">IF(C777=0,(1+Dic2024!$M$6)^(-B777),EXP(LN(INDEX(Dic2024!$N$6:$N$205,C777))+(LN(INDEX(Dic2024!$N$6:$N$205,MIN(C777+1,200)))-LN(INDEX(Dic2024!$N$6:$N$205,C777)))*(A777-6*C777)/6))</f>
        <v>0.0233276263125598</v>
      </c>
      <c r="K777" s="12" t="n">
        <f aca="false">J777^(-1/B777)-1</f>
        <v>0.0600761600000002</v>
      </c>
      <c r="L777" s="12" t="n">
        <f aca="false">(1+K777)^(1/12)-1</f>
        <v>0.00487356693268182</v>
      </c>
    </row>
    <row r="778" customFormat="false" ht="15" hidden="false" customHeight="false" outlineLevel="0" collapsed="false">
      <c r="A778" s="4" t="n">
        <v>774</v>
      </c>
      <c r="B778" s="14" t="n">
        <f aca="false">A778/12</f>
        <v>64.5</v>
      </c>
      <c r="C778" s="15" t="n">
        <f aca="false">INT(A778/6)</f>
        <v>129</v>
      </c>
      <c r="D778" s="16" t="n">
        <f aca="false">IF(C778=0,(1+Dic2024!$G$6)^(-B778),EXP(LN(INDEX(Dic2024!$H$6:$H$205,C778))+(LN(INDEX(Dic2024!$H$6:$H$205,MIN(C778+1,200)))-LN(INDEX(Dic2024!$H$6:$H$205,C778)))*(A778-6*C778)/6))</f>
        <v>0.0232144889468693</v>
      </c>
      <c r="E778" s="12" t="n">
        <f aca="false">D778^(-1/B778)-1</f>
        <v>0.0600761600000002</v>
      </c>
      <c r="F778" s="12" t="n">
        <f aca="false">(1+E778)^(1/12)-1</f>
        <v>0.00487356693268182</v>
      </c>
      <c r="G778" s="16" t="n">
        <f aca="false">IF(C778=0,(1+Dic2024!$J$6)^(-B778),EXP(LN(INDEX(Dic2024!$K$6:$K$205,C778))+(LN(INDEX(Dic2024!$K$6:$K$205,MIN(C778+1,200)))-LN(INDEX(Dic2024!$K$6:$K$205,C778)))*(A778-6*C778)/6))</f>
        <v>0.0232144889468693</v>
      </c>
      <c r="H778" s="12" t="n">
        <f aca="false">G778^(-1/B778)-1</f>
        <v>0.0600761600000002</v>
      </c>
      <c r="I778" s="12" t="n">
        <f aca="false">(1+H778)^(1/12)-1</f>
        <v>0.00487356693268182</v>
      </c>
      <c r="J778" s="16" t="n">
        <f aca="false">IF(C778=0,(1+Dic2024!$M$6)^(-B778),EXP(LN(INDEX(Dic2024!$N$6:$N$205,C778))+(LN(INDEX(Dic2024!$N$6:$N$205,MIN(C778+1,200)))-LN(INDEX(Dic2024!$N$6:$N$205,C778)))*(A778-6*C778)/6))</f>
        <v>0.0232144889468693</v>
      </c>
      <c r="K778" s="12" t="n">
        <f aca="false">J778^(-1/B778)-1</f>
        <v>0.0600761600000002</v>
      </c>
      <c r="L778" s="12" t="n">
        <f aca="false">(1+K778)^(1/12)-1</f>
        <v>0.00487356693268182</v>
      </c>
    </row>
    <row r="779" customFormat="false" ht="15" hidden="false" customHeight="false" outlineLevel="0" collapsed="false">
      <c r="A779" s="4" t="n">
        <v>775</v>
      </c>
      <c r="B779" s="14" t="n">
        <f aca="false">A779/12</f>
        <v>64.5833333333333</v>
      </c>
      <c r="C779" s="15" t="n">
        <f aca="false">INT(A779/6)</f>
        <v>129</v>
      </c>
      <c r="D779" s="16" t="n">
        <f aca="false">IF(C779=0,(1+Dic2024!$G$6)^(-B779),EXP(LN(INDEX(Dic2024!$H$6:$H$205,C779))+(LN(INDEX(Dic2024!$H$6:$H$205,MIN(C779+1,200)))-LN(INDEX(Dic2024!$H$6:$H$205,C779)))*(A779-6*C779)/6))</f>
        <v>0.0231019002895361</v>
      </c>
      <c r="E779" s="12" t="n">
        <f aca="false">D779^(-1/B779)-1</f>
        <v>0.0600761600000002</v>
      </c>
      <c r="F779" s="12" t="n">
        <f aca="false">(1+E779)^(1/12)-1</f>
        <v>0.00487356693268182</v>
      </c>
      <c r="G779" s="16" t="n">
        <f aca="false">IF(C779=0,(1+Dic2024!$J$6)^(-B779),EXP(LN(INDEX(Dic2024!$K$6:$K$205,C779))+(LN(INDEX(Dic2024!$K$6:$K$205,MIN(C779+1,200)))-LN(INDEX(Dic2024!$K$6:$K$205,C779)))*(A779-6*C779)/6))</f>
        <v>0.0231019002895361</v>
      </c>
      <c r="H779" s="12" t="n">
        <f aca="false">G779^(-1/B779)-1</f>
        <v>0.0600761600000002</v>
      </c>
      <c r="I779" s="12" t="n">
        <f aca="false">(1+H779)^(1/12)-1</f>
        <v>0.00487356693268182</v>
      </c>
      <c r="J779" s="16" t="n">
        <f aca="false">IF(C779=0,(1+Dic2024!$M$6)^(-B779),EXP(LN(INDEX(Dic2024!$N$6:$N$205,C779))+(LN(INDEX(Dic2024!$N$6:$N$205,MIN(C779+1,200)))-LN(INDEX(Dic2024!$N$6:$N$205,C779)))*(A779-6*C779)/6))</f>
        <v>0.0231019002895361</v>
      </c>
      <c r="K779" s="12" t="n">
        <f aca="false">J779^(-1/B779)-1</f>
        <v>0.0600761600000002</v>
      </c>
      <c r="L779" s="12" t="n">
        <f aca="false">(1+K779)^(1/12)-1</f>
        <v>0.00487356693268182</v>
      </c>
    </row>
    <row r="780" customFormat="false" ht="15" hidden="false" customHeight="false" outlineLevel="0" collapsed="false">
      <c r="A780" s="4" t="n">
        <v>776</v>
      </c>
      <c r="B780" s="14" t="n">
        <f aca="false">A780/12</f>
        <v>64.6666666666667</v>
      </c>
      <c r="C780" s="15" t="n">
        <f aca="false">INT(A780/6)</f>
        <v>129</v>
      </c>
      <c r="D780" s="16" t="n">
        <f aca="false">IF(C780=0,(1+Dic2024!$G$6)^(-B780),EXP(LN(INDEX(Dic2024!$H$6:$H$205,C780))+(LN(INDEX(Dic2024!$H$6:$H$205,MIN(C780+1,200)))-LN(INDEX(Dic2024!$H$6:$H$205,C780)))*(A780-6*C780)/6))</f>
        <v>0.0229898576793629</v>
      </c>
      <c r="E780" s="12" t="n">
        <f aca="false">D780^(-1/B780)-1</f>
        <v>0.0600761600000002</v>
      </c>
      <c r="F780" s="12" t="n">
        <f aca="false">(1+E780)^(1/12)-1</f>
        <v>0.00487356693268182</v>
      </c>
      <c r="G780" s="16" t="n">
        <f aca="false">IF(C780=0,(1+Dic2024!$J$6)^(-B780),EXP(LN(INDEX(Dic2024!$K$6:$K$205,C780))+(LN(INDEX(Dic2024!$K$6:$K$205,MIN(C780+1,200)))-LN(INDEX(Dic2024!$K$6:$K$205,C780)))*(A780-6*C780)/6))</f>
        <v>0.0229898576793629</v>
      </c>
      <c r="H780" s="12" t="n">
        <f aca="false">G780^(-1/B780)-1</f>
        <v>0.0600761600000002</v>
      </c>
      <c r="I780" s="12" t="n">
        <f aca="false">(1+H780)^(1/12)-1</f>
        <v>0.00487356693268182</v>
      </c>
      <c r="J780" s="16" t="n">
        <f aca="false">IF(C780=0,(1+Dic2024!$M$6)^(-B780),EXP(LN(INDEX(Dic2024!$N$6:$N$205,C780))+(LN(INDEX(Dic2024!$N$6:$N$205,MIN(C780+1,200)))-LN(INDEX(Dic2024!$N$6:$N$205,C780)))*(A780-6*C780)/6))</f>
        <v>0.0229898576793629</v>
      </c>
      <c r="K780" s="12" t="n">
        <f aca="false">J780^(-1/B780)-1</f>
        <v>0.0600761600000002</v>
      </c>
      <c r="L780" s="12" t="n">
        <f aca="false">(1+K780)^(1/12)-1</f>
        <v>0.00487356693268182</v>
      </c>
    </row>
    <row r="781" customFormat="false" ht="15" hidden="false" customHeight="false" outlineLevel="0" collapsed="false">
      <c r="A781" s="4" t="n">
        <v>777</v>
      </c>
      <c r="B781" s="14" t="n">
        <f aca="false">A781/12</f>
        <v>64.75</v>
      </c>
      <c r="C781" s="15" t="n">
        <f aca="false">INT(A781/6)</f>
        <v>129</v>
      </c>
      <c r="D781" s="16" t="n">
        <f aca="false">IF(C781=0,(1+Dic2024!$G$6)^(-B781),EXP(LN(INDEX(Dic2024!$H$6:$H$205,C781))+(LN(INDEX(Dic2024!$H$6:$H$205,MIN(C781+1,200)))-LN(INDEX(Dic2024!$H$6:$H$205,C781)))*(A781-6*C781)/6))</f>
        <v>0.0228783584680589</v>
      </c>
      <c r="E781" s="12" t="n">
        <f aca="false">D781^(-1/B781)-1</f>
        <v>0.0600761600000002</v>
      </c>
      <c r="F781" s="12" t="n">
        <f aca="false">(1+E781)^(1/12)-1</f>
        <v>0.00487356693268182</v>
      </c>
      <c r="G781" s="16" t="n">
        <f aca="false">IF(C781=0,(1+Dic2024!$J$6)^(-B781),EXP(LN(INDEX(Dic2024!$K$6:$K$205,C781))+(LN(INDEX(Dic2024!$K$6:$K$205,MIN(C781+1,200)))-LN(INDEX(Dic2024!$K$6:$K$205,C781)))*(A781-6*C781)/6))</f>
        <v>0.0228783584680589</v>
      </c>
      <c r="H781" s="12" t="n">
        <f aca="false">G781^(-1/B781)-1</f>
        <v>0.0600761600000002</v>
      </c>
      <c r="I781" s="12" t="n">
        <f aca="false">(1+H781)^(1/12)-1</f>
        <v>0.00487356693268182</v>
      </c>
      <c r="J781" s="16" t="n">
        <f aca="false">IF(C781=0,(1+Dic2024!$M$6)^(-B781),EXP(LN(INDEX(Dic2024!$N$6:$N$205,C781))+(LN(INDEX(Dic2024!$N$6:$N$205,MIN(C781+1,200)))-LN(INDEX(Dic2024!$N$6:$N$205,C781)))*(A781-6*C781)/6))</f>
        <v>0.0228783584680589</v>
      </c>
      <c r="K781" s="12" t="n">
        <f aca="false">J781^(-1/B781)-1</f>
        <v>0.0600761600000002</v>
      </c>
      <c r="L781" s="12" t="n">
        <f aca="false">(1+K781)^(1/12)-1</f>
        <v>0.00487356693268182</v>
      </c>
    </row>
    <row r="782" customFormat="false" ht="15" hidden="false" customHeight="false" outlineLevel="0" collapsed="false">
      <c r="A782" s="4" t="n">
        <v>778</v>
      </c>
      <c r="B782" s="14" t="n">
        <f aca="false">A782/12</f>
        <v>64.8333333333333</v>
      </c>
      <c r="C782" s="15" t="n">
        <f aca="false">INT(A782/6)</f>
        <v>129</v>
      </c>
      <c r="D782" s="16" t="n">
        <f aca="false">IF(C782=0,(1+Dic2024!$G$6)^(-B782),EXP(LN(INDEX(Dic2024!$H$6:$H$205,C782))+(LN(INDEX(Dic2024!$H$6:$H$205,MIN(C782+1,200)))-LN(INDEX(Dic2024!$H$6:$H$205,C782)))*(A782-6*C782)/6))</f>
        <v>0.0227674000201774</v>
      </c>
      <c r="E782" s="12" t="n">
        <f aca="false">D782^(-1/B782)-1</f>
        <v>0.0600761600000002</v>
      </c>
      <c r="F782" s="12" t="n">
        <f aca="false">(1+E782)^(1/12)-1</f>
        <v>0.00487356693268182</v>
      </c>
      <c r="G782" s="16" t="n">
        <f aca="false">IF(C782=0,(1+Dic2024!$J$6)^(-B782),EXP(LN(INDEX(Dic2024!$K$6:$K$205,C782))+(LN(INDEX(Dic2024!$K$6:$K$205,MIN(C782+1,200)))-LN(INDEX(Dic2024!$K$6:$K$205,C782)))*(A782-6*C782)/6))</f>
        <v>0.0227674000201774</v>
      </c>
      <c r="H782" s="12" t="n">
        <f aca="false">G782^(-1/B782)-1</f>
        <v>0.0600761600000002</v>
      </c>
      <c r="I782" s="12" t="n">
        <f aca="false">(1+H782)^(1/12)-1</f>
        <v>0.00487356693268182</v>
      </c>
      <c r="J782" s="16" t="n">
        <f aca="false">IF(C782=0,(1+Dic2024!$M$6)^(-B782),EXP(LN(INDEX(Dic2024!$N$6:$N$205,C782))+(LN(INDEX(Dic2024!$N$6:$N$205,MIN(C782+1,200)))-LN(INDEX(Dic2024!$N$6:$N$205,C782)))*(A782-6*C782)/6))</f>
        <v>0.0227674000201774</v>
      </c>
      <c r="K782" s="12" t="n">
        <f aca="false">J782^(-1/B782)-1</f>
        <v>0.0600761600000002</v>
      </c>
      <c r="L782" s="12" t="n">
        <f aca="false">(1+K782)^(1/12)-1</f>
        <v>0.00487356693268182</v>
      </c>
    </row>
    <row r="783" customFormat="false" ht="15" hidden="false" customHeight="false" outlineLevel="0" collapsed="false">
      <c r="A783" s="4" t="n">
        <v>779</v>
      </c>
      <c r="B783" s="14" t="n">
        <f aca="false">A783/12</f>
        <v>64.9166666666667</v>
      </c>
      <c r="C783" s="15" t="n">
        <f aca="false">INT(A783/6)</f>
        <v>129</v>
      </c>
      <c r="D783" s="16" t="n">
        <f aca="false">IF(C783=0,(1+Dic2024!$G$6)^(-B783),EXP(LN(INDEX(Dic2024!$H$6:$H$205,C783))+(LN(INDEX(Dic2024!$H$6:$H$205,MIN(C783+1,200)))-LN(INDEX(Dic2024!$H$6:$H$205,C783)))*(A783-6*C783)/6))</f>
        <v>0.0226569797130535</v>
      </c>
      <c r="E783" s="12" t="n">
        <f aca="false">D783^(-1/B783)-1</f>
        <v>0.0600761600000002</v>
      </c>
      <c r="F783" s="12" t="n">
        <f aca="false">(1+E783)^(1/12)-1</f>
        <v>0.00487356693268182</v>
      </c>
      <c r="G783" s="16" t="n">
        <f aca="false">IF(C783=0,(1+Dic2024!$J$6)^(-B783),EXP(LN(INDEX(Dic2024!$K$6:$K$205,C783))+(LN(INDEX(Dic2024!$K$6:$K$205,MIN(C783+1,200)))-LN(INDEX(Dic2024!$K$6:$K$205,C783)))*(A783-6*C783)/6))</f>
        <v>0.0226569797130535</v>
      </c>
      <c r="H783" s="12" t="n">
        <f aca="false">G783^(-1/B783)-1</f>
        <v>0.0600761600000002</v>
      </c>
      <c r="I783" s="12" t="n">
        <f aca="false">(1+H783)^(1/12)-1</f>
        <v>0.00487356693268182</v>
      </c>
      <c r="J783" s="16" t="n">
        <f aca="false">IF(C783=0,(1+Dic2024!$M$6)^(-B783),EXP(LN(INDEX(Dic2024!$N$6:$N$205,C783))+(LN(INDEX(Dic2024!$N$6:$N$205,MIN(C783+1,200)))-LN(INDEX(Dic2024!$N$6:$N$205,C783)))*(A783-6*C783)/6))</f>
        <v>0.0226569797130535</v>
      </c>
      <c r="K783" s="12" t="n">
        <f aca="false">J783^(-1/B783)-1</f>
        <v>0.0600761600000002</v>
      </c>
      <c r="L783" s="12" t="n">
        <f aca="false">(1+K783)^(1/12)-1</f>
        <v>0.00487356693268182</v>
      </c>
    </row>
    <row r="784" customFormat="false" ht="15" hidden="false" customHeight="false" outlineLevel="0" collapsed="false">
      <c r="A784" s="4" t="n">
        <v>780</v>
      </c>
      <c r="B784" s="14" t="n">
        <f aca="false">A784/12</f>
        <v>65</v>
      </c>
      <c r="C784" s="15" t="n">
        <f aca="false">INT(A784/6)</f>
        <v>130</v>
      </c>
      <c r="D784" s="16" t="n">
        <f aca="false">IF(C784=0,(1+Dic2024!$G$6)^(-B784),EXP(LN(INDEX(Dic2024!$H$6:$H$205,C784))+(LN(INDEX(Dic2024!$H$6:$H$205,MIN(C784+1,200)))-LN(INDEX(Dic2024!$H$6:$H$205,C784)))*(A784-6*C784)/6))</f>
        <v>0.0225470949367417</v>
      </c>
      <c r="E784" s="12" t="n">
        <f aca="false">D784^(-1/B784)-1</f>
        <v>0.0600761600000002</v>
      </c>
      <c r="F784" s="12" t="n">
        <f aca="false">(1+E784)^(1/12)-1</f>
        <v>0.00487356693268182</v>
      </c>
      <c r="G784" s="16" t="n">
        <f aca="false">IF(C784=0,(1+Dic2024!$J$6)^(-B784),EXP(LN(INDEX(Dic2024!$K$6:$K$205,C784))+(LN(INDEX(Dic2024!$K$6:$K$205,MIN(C784+1,200)))-LN(INDEX(Dic2024!$K$6:$K$205,C784)))*(A784-6*C784)/6))</f>
        <v>0.0225470949367417</v>
      </c>
      <c r="H784" s="12" t="n">
        <f aca="false">G784^(-1/B784)-1</f>
        <v>0.0600761600000002</v>
      </c>
      <c r="I784" s="12" t="n">
        <f aca="false">(1+H784)^(1/12)-1</f>
        <v>0.00487356693268182</v>
      </c>
      <c r="J784" s="16" t="n">
        <f aca="false">IF(C784=0,(1+Dic2024!$M$6)^(-B784),EXP(LN(INDEX(Dic2024!$N$6:$N$205,C784))+(LN(INDEX(Dic2024!$N$6:$N$205,MIN(C784+1,200)))-LN(INDEX(Dic2024!$N$6:$N$205,C784)))*(A784-6*C784)/6))</f>
        <v>0.0225470949367417</v>
      </c>
      <c r="K784" s="12" t="n">
        <f aca="false">J784^(-1/B784)-1</f>
        <v>0.0600761600000002</v>
      </c>
      <c r="L784" s="12" t="n">
        <f aca="false">(1+K784)^(1/12)-1</f>
        <v>0.00487356693268182</v>
      </c>
    </row>
    <row r="785" customFormat="false" ht="15" hidden="false" customHeight="false" outlineLevel="0" collapsed="false">
      <c r="A785" s="4" t="n">
        <v>781</v>
      </c>
      <c r="B785" s="14" t="n">
        <f aca="false">A785/12</f>
        <v>65.0833333333333</v>
      </c>
      <c r="C785" s="15" t="n">
        <f aca="false">INT(A785/6)</f>
        <v>130</v>
      </c>
      <c r="D785" s="16" t="n">
        <f aca="false">IF(C785=0,(1+Dic2024!$G$6)^(-B785),EXP(LN(INDEX(Dic2024!$H$6:$H$205,C785))+(LN(INDEX(Dic2024!$H$6:$H$205,MIN(C785+1,200)))-LN(INDEX(Dic2024!$H$6:$H$205,C785)))*(A785-6*C785)/6))</f>
        <v>0.022437743093955</v>
      </c>
      <c r="E785" s="12" t="n">
        <f aca="false">D785^(-1/B785)-1</f>
        <v>0.0600761600000002</v>
      </c>
      <c r="F785" s="12" t="n">
        <f aca="false">(1+E785)^(1/12)-1</f>
        <v>0.00487356693268182</v>
      </c>
      <c r="G785" s="16" t="n">
        <f aca="false">IF(C785=0,(1+Dic2024!$J$6)^(-B785),EXP(LN(INDEX(Dic2024!$K$6:$K$205,C785))+(LN(INDEX(Dic2024!$K$6:$K$205,MIN(C785+1,200)))-LN(INDEX(Dic2024!$K$6:$K$205,C785)))*(A785-6*C785)/6))</f>
        <v>0.022437743093955</v>
      </c>
      <c r="H785" s="12" t="n">
        <f aca="false">G785^(-1/B785)-1</f>
        <v>0.0600761600000002</v>
      </c>
      <c r="I785" s="12" t="n">
        <f aca="false">(1+H785)^(1/12)-1</f>
        <v>0.00487356693268182</v>
      </c>
      <c r="J785" s="16" t="n">
        <f aca="false">IF(C785=0,(1+Dic2024!$M$6)^(-B785),EXP(LN(INDEX(Dic2024!$N$6:$N$205,C785))+(LN(INDEX(Dic2024!$N$6:$N$205,MIN(C785+1,200)))-LN(INDEX(Dic2024!$N$6:$N$205,C785)))*(A785-6*C785)/6))</f>
        <v>0.022437743093955</v>
      </c>
      <c r="K785" s="12" t="n">
        <f aca="false">J785^(-1/B785)-1</f>
        <v>0.0600761600000002</v>
      </c>
      <c r="L785" s="12" t="n">
        <f aca="false">(1+K785)^(1/12)-1</f>
        <v>0.00487356693268182</v>
      </c>
    </row>
    <row r="786" customFormat="false" ht="15" hidden="false" customHeight="false" outlineLevel="0" collapsed="false">
      <c r="A786" s="4" t="n">
        <v>782</v>
      </c>
      <c r="B786" s="14" t="n">
        <f aca="false">A786/12</f>
        <v>65.1666666666667</v>
      </c>
      <c r="C786" s="15" t="n">
        <f aca="false">INT(A786/6)</f>
        <v>130</v>
      </c>
      <c r="D786" s="16" t="n">
        <f aca="false">IF(C786=0,(1+Dic2024!$G$6)^(-B786),EXP(LN(INDEX(Dic2024!$H$6:$H$205,C786))+(LN(INDEX(Dic2024!$H$6:$H$205,MIN(C786+1,200)))-LN(INDEX(Dic2024!$H$6:$H$205,C786)))*(A786-6*C786)/6))</f>
        <v>0.0223289216000028</v>
      </c>
      <c r="E786" s="12" t="n">
        <f aca="false">D786^(-1/B786)-1</f>
        <v>0.0600761600000002</v>
      </c>
      <c r="F786" s="12" t="n">
        <f aca="false">(1+E786)^(1/12)-1</f>
        <v>0.00487356693268182</v>
      </c>
      <c r="G786" s="16" t="n">
        <f aca="false">IF(C786=0,(1+Dic2024!$J$6)^(-B786),EXP(LN(INDEX(Dic2024!$K$6:$K$205,C786))+(LN(INDEX(Dic2024!$K$6:$K$205,MIN(C786+1,200)))-LN(INDEX(Dic2024!$K$6:$K$205,C786)))*(A786-6*C786)/6))</f>
        <v>0.0223289216000028</v>
      </c>
      <c r="H786" s="12" t="n">
        <f aca="false">G786^(-1/B786)-1</f>
        <v>0.0600761600000002</v>
      </c>
      <c r="I786" s="12" t="n">
        <f aca="false">(1+H786)^(1/12)-1</f>
        <v>0.00487356693268182</v>
      </c>
      <c r="J786" s="16" t="n">
        <f aca="false">IF(C786=0,(1+Dic2024!$M$6)^(-B786),EXP(LN(INDEX(Dic2024!$N$6:$N$205,C786))+(LN(INDEX(Dic2024!$N$6:$N$205,MIN(C786+1,200)))-LN(INDEX(Dic2024!$N$6:$N$205,C786)))*(A786-6*C786)/6))</f>
        <v>0.0223289216000028</v>
      </c>
      <c r="K786" s="12" t="n">
        <f aca="false">J786^(-1/B786)-1</f>
        <v>0.0600761600000002</v>
      </c>
      <c r="L786" s="12" t="n">
        <f aca="false">(1+K786)^(1/12)-1</f>
        <v>0.00487356693268182</v>
      </c>
    </row>
    <row r="787" customFormat="false" ht="15" hidden="false" customHeight="false" outlineLevel="0" collapsed="false">
      <c r="A787" s="4" t="n">
        <v>783</v>
      </c>
      <c r="B787" s="14" t="n">
        <f aca="false">A787/12</f>
        <v>65.25</v>
      </c>
      <c r="C787" s="15" t="n">
        <f aca="false">INT(A787/6)</f>
        <v>130</v>
      </c>
      <c r="D787" s="16" t="n">
        <f aca="false">IF(C787=0,(1+Dic2024!$G$6)^(-B787),EXP(LN(INDEX(Dic2024!$H$6:$H$205,C787))+(LN(INDEX(Dic2024!$H$6:$H$205,MIN(C787+1,200)))-LN(INDEX(Dic2024!$H$6:$H$205,C787)))*(A787-6*C787)/6))</f>
        <v>0.0222206278827301</v>
      </c>
      <c r="E787" s="12" t="n">
        <f aca="false">D787^(-1/B787)-1</f>
        <v>0.0600761600000002</v>
      </c>
      <c r="F787" s="12" t="n">
        <f aca="false">(1+E787)^(1/12)-1</f>
        <v>0.00487356693268182</v>
      </c>
      <c r="G787" s="16" t="n">
        <f aca="false">IF(C787=0,(1+Dic2024!$J$6)^(-B787),EXP(LN(INDEX(Dic2024!$K$6:$K$205,C787))+(LN(INDEX(Dic2024!$K$6:$K$205,MIN(C787+1,200)))-LN(INDEX(Dic2024!$K$6:$K$205,C787)))*(A787-6*C787)/6))</f>
        <v>0.0222206278827301</v>
      </c>
      <c r="H787" s="12" t="n">
        <f aca="false">G787^(-1/B787)-1</f>
        <v>0.0600761600000002</v>
      </c>
      <c r="I787" s="12" t="n">
        <f aca="false">(1+H787)^(1/12)-1</f>
        <v>0.00487356693268182</v>
      </c>
      <c r="J787" s="16" t="n">
        <f aca="false">IF(C787=0,(1+Dic2024!$M$6)^(-B787),EXP(LN(INDEX(Dic2024!$N$6:$N$205,C787))+(LN(INDEX(Dic2024!$N$6:$N$205,MIN(C787+1,200)))-LN(INDEX(Dic2024!$N$6:$N$205,C787)))*(A787-6*C787)/6))</f>
        <v>0.0222206278827301</v>
      </c>
      <c r="K787" s="12" t="n">
        <f aca="false">J787^(-1/B787)-1</f>
        <v>0.0600761600000002</v>
      </c>
      <c r="L787" s="12" t="n">
        <f aca="false">(1+K787)^(1/12)-1</f>
        <v>0.00487356693268182</v>
      </c>
    </row>
    <row r="788" customFormat="false" ht="15" hidden="false" customHeight="false" outlineLevel="0" collapsed="false">
      <c r="A788" s="4" t="n">
        <v>784</v>
      </c>
      <c r="B788" s="14" t="n">
        <f aca="false">A788/12</f>
        <v>65.3333333333333</v>
      </c>
      <c r="C788" s="15" t="n">
        <f aca="false">INT(A788/6)</f>
        <v>130</v>
      </c>
      <c r="D788" s="16" t="n">
        <f aca="false">IF(C788=0,(1+Dic2024!$G$6)^(-B788),EXP(LN(INDEX(Dic2024!$H$6:$H$205,C788))+(LN(INDEX(Dic2024!$H$6:$H$205,MIN(C788+1,200)))-LN(INDEX(Dic2024!$H$6:$H$205,C788)))*(A788-6*C788)/6))</f>
        <v>0.0221128593824567</v>
      </c>
      <c r="E788" s="12" t="n">
        <f aca="false">D788^(-1/B788)-1</f>
        <v>0.0600761600000002</v>
      </c>
      <c r="F788" s="12" t="n">
        <f aca="false">(1+E788)^(1/12)-1</f>
        <v>0.00487356693268182</v>
      </c>
      <c r="G788" s="16" t="n">
        <f aca="false">IF(C788=0,(1+Dic2024!$J$6)^(-B788),EXP(LN(INDEX(Dic2024!$K$6:$K$205,C788))+(LN(INDEX(Dic2024!$K$6:$K$205,MIN(C788+1,200)))-LN(INDEX(Dic2024!$K$6:$K$205,C788)))*(A788-6*C788)/6))</f>
        <v>0.0221128593824567</v>
      </c>
      <c r="H788" s="12" t="n">
        <f aca="false">G788^(-1/B788)-1</f>
        <v>0.0600761600000002</v>
      </c>
      <c r="I788" s="12" t="n">
        <f aca="false">(1+H788)^(1/12)-1</f>
        <v>0.00487356693268182</v>
      </c>
      <c r="J788" s="16" t="n">
        <f aca="false">IF(C788=0,(1+Dic2024!$M$6)^(-B788),EXP(LN(INDEX(Dic2024!$N$6:$N$205,C788))+(LN(INDEX(Dic2024!$N$6:$N$205,MIN(C788+1,200)))-LN(INDEX(Dic2024!$N$6:$N$205,C788)))*(A788-6*C788)/6))</f>
        <v>0.0221128593824567</v>
      </c>
      <c r="K788" s="12" t="n">
        <f aca="false">J788^(-1/B788)-1</f>
        <v>0.0600761600000002</v>
      </c>
      <c r="L788" s="12" t="n">
        <f aca="false">(1+K788)^(1/12)-1</f>
        <v>0.00487356693268182</v>
      </c>
    </row>
    <row r="789" customFormat="false" ht="15" hidden="false" customHeight="false" outlineLevel="0" collapsed="false">
      <c r="A789" s="4" t="n">
        <v>785</v>
      </c>
      <c r="B789" s="14" t="n">
        <f aca="false">A789/12</f>
        <v>65.4166666666667</v>
      </c>
      <c r="C789" s="15" t="n">
        <f aca="false">INT(A789/6)</f>
        <v>130</v>
      </c>
      <c r="D789" s="16" t="n">
        <f aca="false">IF(C789=0,(1+Dic2024!$G$6)^(-B789),EXP(LN(INDEX(Dic2024!$H$6:$H$205,C789))+(LN(INDEX(Dic2024!$H$6:$H$205,MIN(C789+1,200)))-LN(INDEX(Dic2024!$H$6:$H$205,C789)))*(A789-6*C789)/6))</f>
        <v>0.0220056135519167</v>
      </c>
      <c r="E789" s="12" t="n">
        <f aca="false">D789^(-1/B789)-1</f>
        <v>0.0600761600000002</v>
      </c>
      <c r="F789" s="12" t="n">
        <f aca="false">(1+E789)^(1/12)-1</f>
        <v>0.00487356693268182</v>
      </c>
      <c r="G789" s="16" t="n">
        <f aca="false">IF(C789=0,(1+Dic2024!$J$6)^(-B789),EXP(LN(INDEX(Dic2024!$K$6:$K$205,C789))+(LN(INDEX(Dic2024!$K$6:$K$205,MIN(C789+1,200)))-LN(INDEX(Dic2024!$K$6:$K$205,C789)))*(A789-6*C789)/6))</f>
        <v>0.0220056135519167</v>
      </c>
      <c r="H789" s="12" t="n">
        <f aca="false">G789^(-1/B789)-1</f>
        <v>0.0600761600000002</v>
      </c>
      <c r="I789" s="12" t="n">
        <f aca="false">(1+H789)^(1/12)-1</f>
        <v>0.00487356693268182</v>
      </c>
      <c r="J789" s="16" t="n">
        <f aca="false">IF(C789=0,(1+Dic2024!$M$6)^(-B789),EXP(LN(INDEX(Dic2024!$N$6:$N$205,C789))+(LN(INDEX(Dic2024!$N$6:$N$205,MIN(C789+1,200)))-LN(INDEX(Dic2024!$N$6:$N$205,C789)))*(A789-6*C789)/6))</f>
        <v>0.0220056135519167</v>
      </c>
      <c r="K789" s="12" t="n">
        <f aca="false">J789^(-1/B789)-1</f>
        <v>0.0600761600000002</v>
      </c>
      <c r="L789" s="12" t="n">
        <f aca="false">(1+K789)^(1/12)-1</f>
        <v>0.00487356693268182</v>
      </c>
    </row>
    <row r="790" customFormat="false" ht="15" hidden="false" customHeight="false" outlineLevel="0" collapsed="false">
      <c r="A790" s="4" t="n">
        <v>786</v>
      </c>
      <c r="B790" s="14" t="n">
        <f aca="false">A790/12</f>
        <v>65.5</v>
      </c>
      <c r="C790" s="15" t="n">
        <f aca="false">INT(A790/6)</f>
        <v>131</v>
      </c>
      <c r="D790" s="16" t="n">
        <f aca="false">IF(C790=0,(1+Dic2024!$G$6)^(-B790),EXP(LN(INDEX(Dic2024!$H$6:$H$205,C790))+(LN(INDEX(Dic2024!$H$6:$H$205,MIN(C790+1,200)))-LN(INDEX(Dic2024!$H$6:$H$205,C790)))*(A790-6*C790)/6))</f>
        <v>0.0218988878561983</v>
      </c>
      <c r="E790" s="12" t="n">
        <f aca="false">D790^(-1/B790)-1</f>
        <v>0.0600761600000002</v>
      </c>
      <c r="F790" s="12" t="n">
        <f aca="false">(1+E790)^(1/12)-1</f>
        <v>0.00487356693268182</v>
      </c>
      <c r="G790" s="16" t="n">
        <f aca="false">IF(C790=0,(1+Dic2024!$J$6)^(-B790),EXP(LN(INDEX(Dic2024!$K$6:$K$205,C790))+(LN(INDEX(Dic2024!$K$6:$K$205,MIN(C790+1,200)))-LN(INDEX(Dic2024!$K$6:$K$205,C790)))*(A790-6*C790)/6))</f>
        <v>0.0218988878561983</v>
      </c>
      <c r="H790" s="12" t="n">
        <f aca="false">G790^(-1/B790)-1</f>
        <v>0.0600761600000002</v>
      </c>
      <c r="I790" s="12" t="n">
        <f aca="false">(1+H790)^(1/12)-1</f>
        <v>0.00487356693268182</v>
      </c>
      <c r="J790" s="16" t="n">
        <f aca="false">IF(C790=0,(1+Dic2024!$M$6)^(-B790),EXP(LN(INDEX(Dic2024!$N$6:$N$205,C790))+(LN(INDEX(Dic2024!$N$6:$N$205,MIN(C790+1,200)))-LN(INDEX(Dic2024!$N$6:$N$205,C790)))*(A790-6*C790)/6))</f>
        <v>0.0218988878561983</v>
      </c>
      <c r="K790" s="12" t="n">
        <f aca="false">J790^(-1/B790)-1</f>
        <v>0.0600761600000002</v>
      </c>
      <c r="L790" s="12" t="n">
        <f aca="false">(1+K790)^(1/12)-1</f>
        <v>0.00487356693268182</v>
      </c>
    </row>
    <row r="791" customFormat="false" ht="15" hidden="false" customHeight="false" outlineLevel="0" collapsed="false">
      <c r="A791" s="4" t="n">
        <v>787</v>
      </c>
      <c r="B791" s="14" t="n">
        <f aca="false">A791/12</f>
        <v>65.5833333333333</v>
      </c>
      <c r="C791" s="15" t="n">
        <f aca="false">INT(A791/6)</f>
        <v>131</v>
      </c>
      <c r="D791" s="16" t="n">
        <f aca="false">IF(C791=0,(1+Dic2024!$G$6)^(-B791),EXP(LN(INDEX(Dic2024!$H$6:$H$205,C791))+(LN(INDEX(Dic2024!$H$6:$H$205,MIN(C791+1,200)))-LN(INDEX(Dic2024!$H$6:$H$205,C791)))*(A791-6*C791)/6))</f>
        <v>0.0217926797726836</v>
      </c>
      <c r="E791" s="12" t="n">
        <f aca="false">D791^(-1/B791)-1</f>
        <v>0.0600761600000002</v>
      </c>
      <c r="F791" s="12" t="n">
        <f aca="false">(1+E791)^(1/12)-1</f>
        <v>0.00487356693268182</v>
      </c>
      <c r="G791" s="16" t="n">
        <f aca="false">IF(C791=0,(1+Dic2024!$J$6)^(-B791),EXP(LN(INDEX(Dic2024!$K$6:$K$205,C791))+(LN(INDEX(Dic2024!$K$6:$K$205,MIN(C791+1,200)))-LN(INDEX(Dic2024!$K$6:$K$205,C791)))*(A791-6*C791)/6))</f>
        <v>0.0217926797726836</v>
      </c>
      <c r="H791" s="12" t="n">
        <f aca="false">G791^(-1/B791)-1</f>
        <v>0.0600761600000002</v>
      </c>
      <c r="I791" s="12" t="n">
        <f aca="false">(1+H791)^(1/12)-1</f>
        <v>0.00487356693268182</v>
      </c>
      <c r="J791" s="16" t="n">
        <f aca="false">IF(C791=0,(1+Dic2024!$M$6)^(-B791),EXP(LN(INDEX(Dic2024!$N$6:$N$205,C791))+(LN(INDEX(Dic2024!$N$6:$N$205,MIN(C791+1,200)))-LN(INDEX(Dic2024!$N$6:$N$205,C791)))*(A791-6*C791)/6))</f>
        <v>0.0217926797726836</v>
      </c>
      <c r="K791" s="12" t="n">
        <f aca="false">J791^(-1/B791)-1</f>
        <v>0.0600761600000002</v>
      </c>
      <c r="L791" s="12" t="n">
        <f aca="false">(1+K791)^(1/12)-1</f>
        <v>0.00487356693268182</v>
      </c>
    </row>
    <row r="792" customFormat="false" ht="15" hidden="false" customHeight="false" outlineLevel="0" collapsed="false">
      <c r="A792" s="4" t="n">
        <v>788</v>
      </c>
      <c r="B792" s="14" t="n">
        <f aca="false">A792/12</f>
        <v>65.6666666666667</v>
      </c>
      <c r="C792" s="15" t="n">
        <f aca="false">INT(A792/6)</f>
        <v>131</v>
      </c>
      <c r="D792" s="16" t="n">
        <f aca="false">IF(C792=0,(1+Dic2024!$G$6)^(-B792),EXP(LN(INDEX(Dic2024!$H$6:$H$205,C792))+(LN(INDEX(Dic2024!$H$6:$H$205,MIN(C792+1,200)))-LN(INDEX(Dic2024!$H$6:$H$205,C792)))*(A792-6*C792)/6))</f>
        <v>0.0216869867909895</v>
      </c>
      <c r="E792" s="12" t="n">
        <f aca="false">D792^(-1/B792)-1</f>
        <v>0.0600761600000002</v>
      </c>
      <c r="F792" s="12" t="n">
        <f aca="false">(1+E792)^(1/12)-1</f>
        <v>0.00487356693268182</v>
      </c>
      <c r="G792" s="16" t="n">
        <f aca="false">IF(C792=0,(1+Dic2024!$J$6)^(-B792),EXP(LN(INDEX(Dic2024!$K$6:$K$205,C792))+(LN(INDEX(Dic2024!$K$6:$K$205,MIN(C792+1,200)))-LN(INDEX(Dic2024!$K$6:$K$205,C792)))*(A792-6*C792)/6))</f>
        <v>0.0216869867909895</v>
      </c>
      <c r="H792" s="12" t="n">
        <f aca="false">G792^(-1/B792)-1</f>
        <v>0.0600761600000002</v>
      </c>
      <c r="I792" s="12" t="n">
        <f aca="false">(1+H792)^(1/12)-1</f>
        <v>0.00487356693268182</v>
      </c>
      <c r="J792" s="16" t="n">
        <f aca="false">IF(C792=0,(1+Dic2024!$M$6)^(-B792),EXP(LN(INDEX(Dic2024!$N$6:$N$205,C792))+(LN(INDEX(Dic2024!$N$6:$N$205,MIN(C792+1,200)))-LN(INDEX(Dic2024!$N$6:$N$205,C792)))*(A792-6*C792)/6))</f>
        <v>0.0216869867909895</v>
      </c>
      <c r="K792" s="12" t="n">
        <f aca="false">J792^(-1/B792)-1</f>
        <v>0.0600761600000002</v>
      </c>
      <c r="L792" s="12" t="n">
        <f aca="false">(1+K792)^(1/12)-1</f>
        <v>0.00487356693268182</v>
      </c>
    </row>
    <row r="793" customFormat="false" ht="15" hidden="false" customHeight="false" outlineLevel="0" collapsed="false">
      <c r="A793" s="4" t="n">
        <v>789</v>
      </c>
      <c r="B793" s="14" t="n">
        <f aca="false">A793/12</f>
        <v>65.75</v>
      </c>
      <c r="C793" s="15" t="n">
        <f aca="false">INT(A793/6)</f>
        <v>131</v>
      </c>
      <c r="D793" s="16" t="n">
        <f aca="false">IF(C793=0,(1+Dic2024!$G$6)^(-B793),EXP(LN(INDEX(Dic2024!$H$6:$H$205,C793))+(LN(INDEX(Dic2024!$H$6:$H$205,MIN(C793+1,200)))-LN(INDEX(Dic2024!$H$6:$H$205,C793)))*(A793-6*C793)/6))</f>
        <v>0.021581806412908</v>
      </c>
      <c r="E793" s="12" t="n">
        <f aca="false">D793^(-1/B793)-1</f>
        <v>0.0600761600000002</v>
      </c>
      <c r="F793" s="12" t="n">
        <f aca="false">(1+E793)^(1/12)-1</f>
        <v>0.00487356693268182</v>
      </c>
      <c r="G793" s="16" t="n">
        <f aca="false">IF(C793=0,(1+Dic2024!$J$6)^(-B793),EXP(LN(INDEX(Dic2024!$K$6:$K$205,C793))+(LN(INDEX(Dic2024!$K$6:$K$205,MIN(C793+1,200)))-LN(INDEX(Dic2024!$K$6:$K$205,C793)))*(A793-6*C793)/6))</f>
        <v>0.021581806412908</v>
      </c>
      <c r="H793" s="12" t="n">
        <f aca="false">G793^(-1/B793)-1</f>
        <v>0.0600761600000002</v>
      </c>
      <c r="I793" s="12" t="n">
        <f aca="false">(1+H793)^(1/12)-1</f>
        <v>0.00487356693268182</v>
      </c>
      <c r="J793" s="16" t="n">
        <f aca="false">IF(C793=0,(1+Dic2024!$M$6)^(-B793),EXP(LN(INDEX(Dic2024!$N$6:$N$205,C793))+(LN(INDEX(Dic2024!$N$6:$N$205,MIN(C793+1,200)))-LN(INDEX(Dic2024!$N$6:$N$205,C793)))*(A793-6*C793)/6))</f>
        <v>0.021581806412908</v>
      </c>
      <c r="K793" s="12" t="n">
        <f aca="false">J793^(-1/B793)-1</f>
        <v>0.0600761600000002</v>
      </c>
      <c r="L793" s="12" t="n">
        <f aca="false">(1+K793)^(1/12)-1</f>
        <v>0.00487356693268182</v>
      </c>
    </row>
    <row r="794" customFormat="false" ht="15" hidden="false" customHeight="false" outlineLevel="0" collapsed="false">
      <c r="A794" s="4" t="n">
        <v>790</v>
      </c>
      <c r="B794" s="14" t="n">
        <f aca="false">A794/12</f>
        <v>65.8333333333333</v>
      </c>
      <c r="C794" s="15" t="n">
        <f aca="false">INT(A794/6)</f>
        <v>131</v>
      </c>
      <c r="D794" s="16" t="n">
        <f aca="false">IF(C794=0,(1+Dic2024!$G$6)^(-B794),EXP(LN(INDEX(Dic2024!$H$6:$H$205,C794))+(LN(INDEX(Dic2024!$H$6:$H$205,MIN(C794+1,200)))-LN(INDEX(Dic2024!$H$6:$H$205,C794)))*(A794-6*C794)/6))</f>
        <v>0.0214771361523472</v>
      </c>
      <c r="E794" s="12" t="n">
        <f aca="false">D794^(-1/B794)-1</f>
        <v>0.0600761600000002</v>
      </c>
      <c r="F794" s="12" t="n">
        <f aca="false">(1+E794)^(1/12)-1</f>
        <v>0.00487356693268182</v>
      </c>
      <c r="G794" s="16" t="n">
        <f aca="false">IF(C794=0,(1+Dic2024!$J$6)^(-B794),EXP(LN(INDEX(Dic2024!$K$6:$K$205,C794))+(LN(INDEX(Dic2024!$K$6:$K$205,MIN(C794+1,200)))-LN(INDEX(Dic2024!$K$6:$K$205,C794)))*(A794-6*C794)/6))</f>
        <v>0.0214771361523472</v>
      </c>
      <c r="H794" s="12" t="n">
        <f aca="false">G794^(-1/B794)-1</f>
        <v>0.0600761600000002</v>
      </c>
      <c r="I794" s="12" t="n">
        <f aca="false">(1+H794)^(1/12)-1</f>
        <v>0.00487356693268182</v>
      </c>
      <c r="J794" s="16" t="n">
        <f aca="false">IF(C794=0,(1+Dic2024!$M$6)^(-B794),EXP(LN(INDEX(Dic2024!$N$6:$N$205,C794))+(LN(INDEX(Dic2024!$N$6:$N$205,MIN(C794+1,200)))-LN(INDEX(Dic2024!$N$6:$N$205,C794)))*(A794-6*C794)/6))</f>
        <v>0.0214771361523472</v>
      </c>
      <c r="K794" s="12" t="n">
        <f aca="false">J794^(-1/B794)-1</f>
        <v>0.0600761600000002</v>
      </c>
      <c r="L794" s="12" t="n">
        <f aca="false">(1+K794)^(1/12)-1</f>
        <v>0.00487356693268182</v>
      </c>
    </row>
    <row r="795" customFormat="false" ht="15" hidden="false" customHeight="false" outlineLevel="0" collapsed="false">
      <c r="A795" s="4" t="n">
        <v>791</v>
      </c>
      <c r="B795" s="14" t="n">
        <f aca="false">A795/12</f>
        <v>65.9166666666667</v>
      </c>
      <c r="C795" s="15" t="n">
        <f aca="false">INT(A795/6)</f>
        <v>131</v>
      </c>
      <c r="D795" s="16" t="n">
        <f aca="false">IF(C795=0,(1+Dic2024!$G$6)^(-B795),EXP(LN(INDEX(Dic2024!$H$6:$H$205,C795))+(LN(INDEX(Dic2024!$H$6:$H$205,MIN(C795+1,200)))-LN(INDEX(Dic2024!$H$6:$H$205,C795)))*(A795-6*C795)/6))</f>
        <v>0.0213729735352727</v>
      </c>
      <c r="E795" s="12" t="n">
        <f aca="false">D795^(-1/B795)-1</f>
        <v>0.0600761600000002</v>
      </c>
      <c r="F795" s="12" t="n">
        <f aca="false">(1+E795)^(1/12)-1</f>
        <v>0.00487356693268182</v>
      </c>
      <c r="G795" s="16" t="n">
        <f aca="false">IF(C795=0,(1+Dic2024!$J$6)^(-B795),EXP(LN(INDEX(Dic2024!$K$6:$K$205,C795))+(LN(INDEX(Dic2024!$K$6:$K$205,MIN(C795+1,200)))-LN(INDEX(Dic2024!$K$6:$K$205,C795)))*(A795-6*C795)/6))</f>
        <v>0.0213729735352727</v>
      </c>
      <c r="H795" s="12" t="n">
        <f aca="false">G795^(-1/B795)-1</f>
        <v>0.0600761600000002</v>
      </c>
      <c r="I795" s="12" t="n">
        <f aca="false">(1+H795)^(1/12)-1</f>
        <v>0.00487356693268182</v>
      </c>
      <c r="J795" s="16" t="n">
        <f aca="false">IF(C795=0,(1+Dic2024!$M$6)^(-B795),EXP(LN(INDEX(Dic2024!$N$6:$N$205,C795))+(LN(INDEX(Dic2024!$N$6:$N$205,MIN(C795+1,200)))-LN(INDEX(Dic2024!$N$6:$N$205,C795)))*(A795-6*C795)/6))</f>
        <v>0.0213729735352727</v>
      </c>
      <c r="K795" s="12" t="n">
        <f aca="false">J795^(-1/B795)-1</f>
        <v>0.0600761600000002</v>
      </c>
      <c r="L795" s="12" t="n">
        <f aca="false">(1+K795)^(1/12)-1</f>
        <v>0.00487356693268182</v>
      </c>
    </row>
    <row r="796" customFormat="false" ht="15" hidden="false" customHeight="false" outlineLevel="0" collapsed="false">
      <c r="A796" s="4" t="n">
        <v>792</v>
      </c>
      <c r="B796" s="14" t="n">
        <f aca="false">A796/12</f>
        <v>66</v>
      </c>
      <c r="C796" s="15" t="n">
        <f aca="false">INT(A796/6)</f>
        <v>132</v>
      </c>
      <c r="D796" s="16" t="n">
        <f aca="false">IF(C796=0,(1+Dic2024!$G$6)^(-B796),EXP(LN(INDEX(Dic2024!$H$6:$H$205,C796))+(LN(INDEX(Dic2024!$H$6:$H$205,MIN(C796+1,200)))-LN(INDEX(Dic2024!$H$6:$H$205,C796)))*(A796-6*C796)/6))</f>
        <v>0.0212693160996486</v>
      </c>
      <c r="E796" s="12" t="n">
        <f aca="false">D796^(-1/B796)-1</f>
        <v>0.0600761600000002</v>
      </c>
      <c r="F796" s="12" t="n">
        <f aca="false">(1+E796)^(1/12)-1</f>
        <v>0.00487356693268182</v>
      </c>
      <c r="G796" s="16" t="n">
        <f aca="false">IF(C796=0,(1+Dic2024!$J$6)^(-B796),EXP(LN(INDEX(Dic2024!$K$6:$K$205,C796))+(LN(INDEX(Dic2024!$K$6:$K$205,MIN(C796+1,200)))-LN(INDEX(Dic2024!$K$6:$K$205,C796)))*(A796-6*C796)/6))</f>
        <v>0.0212693160996486</v>
      </c>
      <c r="H796" s="12" t="n">
        <f aca="false">G796^(-1/B796)-1</f>
        <v>0.0600761600000002</v>
      </c>
      <c r="I796" s="12" t="n">
        <f aca="false">(1+H796)^(1/12)-1</f>
        <v>0.00487356693268182</v>
      </c>
      <c r="J796" s="16" t="n">
        <f aca="false">IF(C796=0,(1+Dic2024!$M$6)^(-B796),EXP(LN(INDEX(Dic2024!$N$6:$N$205,C796))+(LN(INDEX(Dic2024!$N$6:$N$205,MIN(C796+1,200)))-LN(INDEX(Dic2024!$N$6:$N$205,C796)))*(A796-6*C796)/6))</f>
        <v>0.0212693160996486</v>
      </c>
      <c r="K796" s="12" t="n">
        <f aca="false">J796^(-1/B796)-1</f>
        <v>0.0600761600000002</v>
      </c>
      <c r="L796" s="12" t="n">
        <f aca="false">(1+K796)^(1/12)-1</f>
        <v>0.00487356693268182</v>
      </c>
    </row>
    <row r="797" customFormat="false" ht="15" hidden="false" customHeight="false" outlineLevel="0" collapsed="false">
      <c r="A797" s="4" t="n">
        <v>793</v>
      </c>
      <c r="B797" s="14" t="n">
        <f aca="false">A797/12</f>
        <v>66.0833333333333</v>
      </c>
      <c r="C797" s="15" t="n">
        <f aca="false">INT(A797/6)</f>
        <v>132</v>
      </c>
      <c r="D797" s="16" t="n">
        <f aca="false">IF(C797=0,(1+Dic2024!$G$6)^(-B797),EXP(LN(INDEX(Dic2024!$H$6:$H$205,C797))+(LN(INDEX(Dic2024!$H$6:$H$205,MIN(C797+1,200)))-LN(INDEX(Dic2024!$H$6:$H$205,C797)))*(A797-6*C797)/6))</f>
        <v>0.0211661613953803</v>
      </c>
      <c r="E797" s="12" t="n">
        <f aca="false">D797^(-1/B797)-1</f>
        <v>0.0600761600000002</v>
      </c>
      <c r="F797" s="12" t="n">
        <f aca="false">(1+E797)^(1/12)-1</f>
        <v>0.00487356693268182</v>
      </c>
      <c r="G797" s="16" t="n">
        <f aca="false">IF(C797=0,(1+Dic2024!$J$6)^(-B797),EXP(LN(INDEX(Dic2024!$K$6:$K$205,C797))+(LN(INDEX(Dic2024!$K$6:$K$205,MIN(C797+1,200)))-LN(INDEX(Dic2024!$K$6:$K$205,C797)))*(A797-6*C797)/6))</f>
        <v>0.0211661613953803</v>
      </c>
      <c r="H797" s="12" t="n">
        <f aca="false">G797^(-1/B797)-1</f>
        <v>0.0600761600000002</v>
      </c>
      <c r="I797" s="12" t="n">
        <f aca="false">(1+H797)^(1/12)-1</f>
        <v>0.00487356693268182</v>
      </c>
      <c r="J797" s="16" t="n">
        <f aca="false">IF(C797=0,(1+Dic2024!$M$6)^(-B797),EXP(LN(INDEX(Dic2024!$N$6:$N$205,C797))+(LN(INDEX(Dic2024!$N$6:$N$205,MIN(C797+1,200)))-LN(INDEX(Dic2024!$N$6:$N$205,C797)))*(A797-6*C797)/6))</f>
        <v>0.0211661613953803</v>
      </c>
      <c r="K797" s="12" t="n">
        <f aca="false">J797^(-1/B797)-1</f>
        <v>0.0600761600000002</v>
      </c>
      <c r="L797" s="12" t="n">
        <f aca="false">(1+K797)^(1/12)-1</f>
        <v>0.00487356693268182</v>
      </c>
    </row>
    <row r="798" customFormat="false" ht="15" hidden="false" customHeight="false" outlineLevel="0" collapsed="false">
      <c r="A798" s="4" t="n">
        <v>794</v>
      </c>
      <c r="B798" s="14" t="n">
        <f aca="false">A798/12</f>
        <v>66.1666666666667</v>
      </c>
      <c r="C798" s="15" t="n">
        <f aca="false">INT(A798/6)</f>
        <v>132</v>
      </c>
      <c r="D798" s="16" t="n">
        <f aca="false">IF(C798=0,(1+Dic2024!$G$6)^(-B798),EXP(LN(INDEX(Dic2024!$H$6:$H$205,C798))+(LN(INDEX(Dic2024!$H$6:$H$205,MIN(C798+1,200)))-LN(INDEX(Dic2024!$H$6:$H$205,C798)))*(A798-6*C798)/6))</f>
        <v>0.0210635069842555</v>
      </c>
      <c r="E798" s="12" t="n">
        <f aca="false">D798^(-1/B798)-1</f>
        <v>0.0600761600000002</v>
      </c>
      <c r="F798" s="12" t="n">
        <f aca="false">(1+E798)^(1/12)-1</f>
        <v>0.00487356693268182</v>
      </c>
      <c r="G798" s="16" t="n">
        <f aca="false">IF(C798=0,(1+Dic2024!$J$6)^(-B798),EXP(LN(INDEX(Dic2024!$K$6:$K$205,C798))+(LN(INDEX(Dic2024!$K$6:$K$205,MIN(C798+1,200)))-LN(INDEX(Dic2024!$K$6:$K$205,C798)))*(A798-6*C798)/6))</f>
        <v>0.0210635069842555</v>
      </c>
      <c r="H798" s="12" t="n">
        <f aca="false">G798^(-1/B798)-1</f>
        <v>0.0600761600000002</v>
      </c>
      <c r="I798" s="12" t="n">
        <f aca="false">(1+H798)^(1/12)-1</f>
        <v>0.00487356693268182</v>
      </c>
      <c r="J798" s="16" t="n">
        <f aca="false">IF(C798=0,(1+Dic2024!$M$6)^(-B798),EXP(LN(INDEX(Dic2024!$N$6:$N$205,C798))+(LN(INDEX(Dic2024!$N$6:$N$205,MIN(C798+1,200)))-LN(INDEX(Dic2024!$N$6:$N$205,C798)))*(A798-6*C798)/6))</f>
        <v>0.0210635069842555</v>
      </c>
      <c r="K798" s="12" t="n">
        <f aca="false">J798^(-1/B798)-1</f>
        <v>0.0600761600000002</v>
      </c>
      <c r="L798" s="12" t="n">
        <f aca="false">(1+K798)^(1/12)-1</f>
        <v>0.00487356693268182</v>
      </c>
    </row>
    <row r="799" customFormat="false" ht="15" hidden="false" customHeight="false" outlineLevel="0" collapsed="false">
      <c r="A799" s="4" t="n">
        <v>795</v>
      </c>
      <c r="B799" s="14" t="n">
        <f aca="false">A799/12</f>
        <v>66.25</v>
      </c>
      <c r="C799" s="15" t="n">
        <f aca="false">INT(A799/6)</f>
        <v>132</v>
      </c>
      <c r="D799" s="16" t="n">
        <f aca="false">IF(C799=0,(1+Dic2024!$G$6)^(-B799),EXP(LN(INDEX(Dic2024!$H$6:$H$205,C799))+(LN(INDEX(Dic2024!$H$6:$H$205,MIN(C799+1,200)))-LN(INDEX(Dic2024!$H$6:$H$205,C799)))*(A799-6*C799)/6))</f>
        <v>0.0209613504398874</v>
      </c>
      <c r="E799" s="12" t="n">
        <f aca="false">D799^(-1/B799)-1</f>
        <v>0.0600761600000002</v>
      </c>
      <c r="F799" s="12" t="n">
        <f aca="false">(1+E799)^(1/12)-1</f>
        <v>0.00487356693268182</v>
      </c>
      <c r="G799" s="16" t="n">
        <f aca="false">IF(C799=0,(1+Dic2024!$J$6)^(-B799),EXP(LN(INDEX(Dic2024!$K$6:$K$205,C799))+(LN(INDEX(Dic2024!$K$6:$K$205,MIN(C799+1,200)))-LN(INDEX(Dic2024!$K$6:$K$205,C799)))*(A799-6*C799)/6))</f>
        <v>0.0209613504398874</v>
      </c>
      <c r="H799" s="12" t="n">
        <f aca="false">G799^(-1/B799)-1</f>
        <v>0.0600761600000002</v>
      </c>
      <c r="I799" s="12" t="n">
        <f aca="false">(1+H799)^(1/12)-1</f>
        <v>0.00487356693268182</v>
      </c>
      <c r="J799" s="16" t="n">
        <f aca="false">IF(C799=0,(1+Dic2024!$M$6)^(-B799),EXP(LN(INDEX(Dic2024!$N$6:$N$205,C799))+(LN(INDEX(Dic2024!$N$6:$N$205,MIN(C799+1,200)))-LN(INDEX(Dic2024!$N$6:$N$205,C799)))*(A799-6*C799)/6))</f>
        <v>0.0209613504398874</v>
      </c>
      <c r="K799" s="12" t="n">
        <f aca="false">J799^(-1/B799)-1</f>
        <v>0.0600761600000002</v>
      </c>
      <c r="L799" s="12" t="n">
        <f aca="false">(1+K799)^(1/12)-1</f>
        <v>0.00487356693268182</v>
      </c>
    </row>
    <row r="800" customFormat="false" ht="15" hidden="false" customHeight="false" outlineLevel="0" collapsed="false">
      <c r="A800" s="4" t="n">
        <v>796</v>
      </c>
      <c r="B800" s="14" t="n">
        <f aca="false">A800/12</f>
        <v>66.3333333333333</v>
      </c>
      <c r="C800" s="15" t="n">
        <f aca="false">INT(A800/6)</f>
        <v>132</v>
      </c>
      <c r="D800" s="16" t="n">
        <f aca="false">IF(C800=0,(1+Dic2024!$G$6)^(-B800),EXP(LN(INDEX(Dic2024!$H$6:$H$205,C800))+(LN(INDEX(Dic2024!$H$6:$H$205,MIN(C800+1,200)))-LN(INDEX(Dic2024!$H$6:$H$205,C800)))*(A800-6*C800)/6))</f>
        <v>0.0208596893476566</v>
      </c>
      <c r="E800" s="12" t="n">
        <f aca="false">D800^(-1/B800)-1</f>
        <v>0.0600761600000002</v>
      </c>
      <c r="F800" s="12" t="n">
        <f aca="false">(1+E800)^(1/12)-1</f>
        <v>0.00487356693268182</v>
      </c>
      <c r="G800" s="16" t="n">
        <f aca="false">IF(C800=0,(1+Dic2024!$J$6)^(-B800),EXP(LN(INDEX(Dic2024!$K$6:$K$205,C800))+(LN(INDEX(Dic2024!$K$6:$K$205,MIN(C800+1,200)))-LN(INDEX(Dic2024!$K$6:$K$205,C800)))*(A800-6*C800)/6))</f>
        <v>0.0208596893476566</v>
      </c>
      <c r="H800" s="12" t="n">
        <f aca="false">G800^(-1/B800)-1</f>
        <v>0.0600761600000002</v>
      </c>
      <c r="I800" s="12" t="n">
        <f aca="false">(1+H800)^(1/12)-1</f>
        <v>0.00487356693268182</v>
      </c>
      <c r="J800" s="16" t="n">
        <f aca="false">IF(C800=0,(1+Dic2024!$M$6)^(-B800),EXP(LN(INDEX(Dic2024!$N$6:$N$205,C800))+(LN(INDEX(Dic2024!$N$6:$N$205,MIN(C800+1,200)))-LN(INDEX(Dic2024!$N$6:$N$205,C800)))*(A800-6*C800)/6))</f>
        <v>0.0208596893476566</v>
      </c>
      <c r="K800" s="12" t="n">
        <f aca="false">J800^(-1/B800)-1</f>
        <v>0.0600761600000002</v>
      </c>
      <c r="L800" s="12" t="n">
        <f aca="false">(1+K800)^(1/12)-1</f>
        <v>0.00487356693268182</v>
      </c>
    </row>
    <row r="801" customFormat="false" ht="15" hidden="false" customHeight="false" outlineLevel="0" collapsed="false">
      <c r="A801" s="4" t="n">
        <v>797</v>
      </c>
      <c r="B801" s="14" t="n">
        <f aca="false">A801/12</f>
        <v>66.4166666666667</v>
      </c>
      <c r="C801" s="15" t="n">
        <f aca="false">INT(A801/6)</f>
        <v>132</v>
      </c>
      <c r="D801" s="16" t="n">
        <f aca="false">IF(C801=0,(1+Dic2024!$G$6)^(-B801),EXP(LN(INDEX(Dic2024!$H$6:$H$205,C801))+(LN(INDEX(Dic2024!$H$6:$H$205,MIN(C801+1,200)))-LN(INDEX(Dic2024!$H$6:$H$205,C801)))*(A801-6*C801)/6))</f>
        <v>0.0207585213046549</v>
      </c>
      <c r="E801" s="12" t="n">
        <f aca="false">D801^(-1/B801)-1</f>
        <v>0.0600761600000002</v>
      </c>
      <c r="F801" s="12" t="n">
        <f aca="false">(1+E801)^(1/12)-1</f>
        <v>0.00487356693268182</v>
      </c>
      <c r="G801" s="16" t="n">
        <f aca="false">IF(C801=0,(1+Dic2024!$J$6)^(-B801),EXP(LN(INDEX(Dic2024!$K$6:$K$205,C801))+(LN(INDEX(Dic2024!$K$6:$K$205,MIN(C801+1,200)))-LN(INDEX(Dic2024!$K$6:$K$205,C801)))*(A801-6*C801)/6))</f>
        <v>0.0207585213046549</v>
      </c>
      <c r="H801" s="12" t="n">
        <f aca="false">G801^(-1/B801)-1</f>
        <v>0.0600761600000002</v>
      </c>
      <c r="I801" s="12" t="n">
        <f aca="false">(1+H801)^(1/12)-1</f>
        <v>0.00487356693268182</v>
      </c>
      <c r="J801" s="16" t="n">
        <f aca="false">IF(C801=0,(1+Dic2024!$M$6)^(-B801),EXP(LN(INDEX(Dic2024!$N$6:$N$205,C801))+(LN(INDEX(Dic2024!$N$6:$N$205,MIN(C801+1,200)))-LN(INDEX(Dic2024!$N$6:$N$205,C801)))*(A801-6*C801)/6))</f>
        <v>0.0207585213046549</v>
      </c>
      <c r="K801" s="12" t="n">
        <f aca="false">J801^(-1/B801)-1</f>
        <v>0.0600761600000002</v>
      </c>
      <c r="L801" s="12" t="n">
        <f aca="false">(1+K801)^(1/12)-1</f>
        <v>0.00487356693268182</v>
      </c>
    </row>
    <row r="802" customFormat="false" ht="15" hidden="false" customHeight="false" outlineLevel="0" collapsed="false">
      <c r="A802" s="4" t="n">
        <v>798</v>
      </c>
      <c r="B802" s="14" t="n">
        <f aca="false">A802/12</f>
        <v>66.5</v>
      </c>
      <c r="C802" s="15" t="n">
        <f aca="false">INT(A802/6)</f>
        <v>133</v>
      </c>
      <c r="D802" s="16" t="n">
        <f aca="false">IF(C802=0,(1+Dic2024!$G$6)^(-B802),EXP(LN(INDEX(Dic2024!$H$6:$H$205,C802))+(LN(INDEX(Dic2024!$H$6:$H$205,MIN(C802+1,200)))-LN(INDEX(Dic2024!$H$6:$H$205,C802)))*(A802-6*C802)/6))</f>
        <v>0.0206578439196277</v>
      </c>
      <c r="E802" s="12" t="n">
        <f aca="false">D802^(-1/B802)-1</f>
        <v>0.0600761600000002</v>
      </c>
      <c r="F802" s="12" t="n">
        <f aca="false">(1+E802)^(1/12)-1</f>
        <v>0.00487356693268182</v>
      </c>
      <c r="G802" s="16" t="n">
        <f aca="false">IF(C802=0,(1+Dic2024!$J$6)^(-B802),EXP(LN(INDEX(Dic2024!$K$6:$K$205,C802))+(LN(INDEX(Dic2024!$K$6:$K$205,MIN(C802+1,200)))-LN(INDEX(Dic2024!$K$6:$K$205,C802)))*(A802-6*C802)/6))</f>
        <v>0.0206578439196277</v>
      </c>
      <c r="H802" s="12" t="n">
        <f aca="false">G802^(-1/B802)-1</f>
        <v>0.0600761600000002</v>
      </c>
      <c r="I802" s="12" t="n">
        <f aca="false">(1+H802)^(1/12)-1</f>
        <v>0.00487356693268182</v>
      </c>
      <c r="J802" s="16" t="n">
        <f aca="false">IF(C802=0,(1+Dic2024!$M$6)^(-B802),EXP(LN(INDEX(Dic2024!$N$6:$N$205,C802))+(LN(INDEX(Dic2024!$N$6:$N$205,MIN(C802+1,200)))-LN(INDEX(Dic2024!$N$6:$N$205,C802)))*(A802-6*C802)/6))</f>
        <v>0.0206578439196277</v>
      </c>
      <c r="K802" s="12" t="n">
        <f aca="false">J802^(-1/B802)-1</f>
        <v>0.0600761600000002</v>
      </c>
      <c r="L802" s="12" t="n">
        <f aca="false">(1+K802)^(1/12)-1</f>
        <v>0.00487356693268182</v>
      </c>
    </row>
    <row r="803" customFormat="false" ht="15" hidden="false" customHeight="false" outlineLevel="0" collapsed="false">
      <c r="A803" s="4" t="n">
        <v>799</v>
      </c>
      <c r="B803" s="14" t="n">
        <f aca="false">A803/12</f>
        <v>66.5833333333333</v>
      </c>
      <c r="C803" s="15" t="n">
        <f aca="false">INT(A803/6)</f>
        <v>133</v>
      </c>
      <c r="D803" s="16" t="n">
        <f aca="false">IF(C803=0,(1+Dic2024!$G$6)^(-B803),EXP(LN(INDEX(Dic2024!$H$6:$H$205,C803))+(LN(INDEX(Dic2024!$H$6:$H$205,MIN(C803+1,200)))-LN(INDEX(Dic2024!$H$6:$H$205,C803)))*(A803-6*C803)/6))</f>
        <v>0.020557654812918</v>
      </c>
      <c r="E803" s="12" t="n">
        <f aca="false">D803^(-1/B803)-1</f>
        <v>0.0600761600000002</v>
      </c>
      <c r="F803" s="12" t="n">
        <f aca="false">(1+E803)^(1/12)-1</f>
        <v>0.00487356693268182</v>
      </c>
      <c r="G803" s="16" t="n">
        <f aca="false">IF(C803=0,(1+Dic2024!$J$6)^(-B803),EXP(LN(INDEX(Dic2024!$K$6:$K$205,C803))+(LN(INDEX(Dic2024!$K$6:$K$205,MIN(C803+1,200)))-LN(INDEX(Dic2024!$K$6:$K$205,C803)))*(A803-6*C803)/6))</f>
        <v>0.020557654812918</v>
      </c>
      <c r="H803" s="12" t="n">
        <f aca="false">G803^(-1/B803)-1</f>
        <v>0.0600761600000002</v>
      </c>
      <c r="I803" s="12" t="n">
        <f aca="false">(1+H803)^(1/12)-1</f>
        <v>0.00487356693268182</v>
      </c>
      <c r="J803" s="16" t="n">
        <f aca="false">IF(C803=0,(1+Dic2024!$M$6)^(-B803),EXP(LN(INDEX(Dic2024!$N$6:$N$205,C803))+(LN(INDEX(Dic2024!$N$6:$N$205,MIN(C803+1,200)))-LN(INDEX(Dic2024!$N$6:$N$205,C803)))*(A803-6*C803)/6))</f>
        <v>0.020557654812918</v>
      </c>
      <c r="K803" s="12" t="n">
        <f aca="false">J803^(-1/B803)-1</f>
        <v>0.0600761600000002</v>
      </c>
      <c r="L803" s="12" t="n">
        <f aca="false">(1+K803)^(1/12)-1</f>
        <v>0.00487356693268182</v>
      </c>
    </row>
    <row r="804" customFormat="false" ht="15" hidden="false" customHeight="false" outlineLevel="0" collapsed="false">
      <c r="A804" s="4" t="n">
        <v>800</v>
      </c>
      <c r="B804" s="14" t="n">
        <f aca="false">A804/12</f>
        <v>66.6666666666667</v>
      </c>
      <c r="C804" s="15" t="n">
        <f aca="false">INT(A804/6)</f>
        <v>133</v>
      </c>
      <c r="D804" s="16" t="n">
        <f aca="false">IF(C804=0,(1+Dic2024!$G$6)^(-B804),EXP(LN(INDEX(Dic2024!$H$6:$H$205,C804))+(LN(INDEX(Dic2024!$H$6:$H$205,MIN(C804+1,200)))-LN(INDEX(Dic2024!$H$6:$H$205,C804)))*(A804-6*C804)/6))</f>
        <v>0.0204579516164098</v>
      </c>
      <c r="E804" s="12" t="n">
        <f aca="false">D804^(-1/B804)-1</f>
        <v>0.0600761600000002</v>
      </c>
      <c r="F804" s="12" t="n">
        <f aca="false">(1+E804)^(1/12)-1</f>
        <v>0.00487356693268182</v>
      </c>
      <c r="G804" s="16" t="n">
        <f aca="false">IF(C804=0,(1+Dic2024!$J$6)^(-B804),EXP(LN(INDEX(Dic2024!$K$6:$K$205,C804))+(LN(INDEX(Dic2024!$K$6:$K$205,MIN(C804+1,200)))-LN(INDEX(Dic2024!$K$6:$K$205,C804)))*(A804-6*C804)/6))</f>
        <v>0.0204579516164098</v>
      </c>
      <c r="H804" s="12" t="n">
        <f aca="false">G804^(-1/B804)-1</f>
        <v>0.0600761600000002</v>
      </c>
      <c r="I804" s="12" t="n">
        <f aca="false">(1+H804)^(1/12)-1</f>
        <v>0.00487356693268182</v>
      </c>
      <c r="J804" s="16" t="n">
        <f aca="false">IF(C804=0,(1+Dic2024!$M$6)^(-B804),EXP(LN(INDEX(Dic2024!$N$6:$N$205,C804))+(LN(INDEX(Dic2024!$N$6:$N$205,MIN(C804+1,200)))-LN(INDEX(Dic2024!$N$6:$N$205,C804)))*(A804-6*C804)/6))</f>
        <v>0.0204579516164098</v>
      </c>
      <c r="K804" s="12" t="n">
        <f aca="false">J804^(-1/B804)-1</f>
        <v>0.0600761600000002</v>
      </c>
      <c r="L804" s="12" t="n">
        <f aca="false">(1+K804)^(1/12)-1</f>
        <v>0.00487356693268182</v>
      </c>
    </row>
    <row r="805" customFormat="false" ht="15" hidden="false" customHeight="false" outlineLevel="0" collapsed="false">
      <c r="A805" s="4" t="n">
        <v>801</v>
      </c>
      <c r="B805" s="14" t="n">
        <f aca="false">A805/12</f>
        <v>66.75</v>
      </c>
      <c r="C805" s="15" t="n">
        <f aca="false">INT(A805/6)</f>
        <v>133</v>
      </c>
      <c r="D805" s="16" t="n">
        <f aca="false">IF(C805=0,(1+Dic2024!$G$6)^(-B805),EXP(LN(INDEX(Dic2024!$H$6:$H$205,C805))+(LN(INDEX(Dic2024!$H$6:$H$205,MIN(C805+1,200)))-LN(INDEX(Dic2024!$H$6:$H$205,C805)))*(A805-6*C805)/6))</f>
        <v>0.0203587319734726</v>
      </c>
      <c r="E805" s="12" t="n">
        <f aca="false">D805^(-1/B805)-1</f>
        <v>0.0600761600000002</v>
      </c>
      <c r="F805" s="12" t="n">
        <f aca="false">(1+E805)^(1/12)-1</f>
        <v>0.00487356693268182</v>
      </c>
      <c r="G805" s="16" t="n">
        <f aca="false">IF(C805=0,(1+Dic2024!$J$6)^(-B805),EXP(LN(INDEX(Dic2024!$K$6:$K$205,C805))+(LN(INDEX(Dic2024!$K$6:$K$205,MIN(C805+1,200)))-LN(INDEX(Dic2024!$K$6:$K$205,C805)))*(A805-6*C805)/6))</f>
        <v>0.0203587319734726</v>
      </c>
      <c r="H805" s="12" t="n">
        <f aca="false">G805^(-1/B805)-1</f>
        <v>0.0600761600000002</v>
      </c>
      <c r="I805" s="12" t="n">
        <f aca="false">(1+H805)^(1/12)-1</f>
        <v>0.00487356693268182</v>
      </c>
      <c r="J805" s="16" t="n">
        <f aca="false">IF(C805=0,(1+Dic2024!$M$6)^(-B805),EXP(LN(INDEX(Dic2024!$N$6:$N$205,C805))+(LN(INDEX(Dic2024!$N$6:$N$205,MIN(C805+1,200)))-LN(INDEX(Dic2024!$N$6:$N$205,C805)))*(A805-6*C805)/6))</f>
        <v>0.0203587319734726</v>
      </c>
      <c r="K805" s="12" t="n">
        <f aca="false">J805^(-1/B805)-1</f>
        <v>0.0600761600000002</v>
      </c>
      <c r="L805" s="12" t="n">
        <f aca="false">(1+K805)^(1/12)-1</f>
        <v>0.00487356693268182</v>
      </c>
    </row>
    <row r="806" customFormat="false" ht="15" hidden="false" customHeight="false" outlineLevel="0" collapsed="false">
      <c r="A806" s="4" t="n">
        <v>802</v>
      </c>
      <c r="B806" s="14" t="n">
        <f aca="false">A806/12</f>
        <v>66.8333333333333</v>
      </c>
      <c r="C806" s="15" t="n">
        <f aca="false">INT(A806/6)</f>
        <v>133</v>
      </c>
      <c r="D806" s="16" t="n">
        <f aca="false">IF(C806=0,(1+Dic2024!$G$6)^(-B806),EXP(LN(INDEX(Dic2024!$H$6:$H$205,C806))+(LN(INDEX(Dic2024!$H$6:$H$205,MIN(C806+1,200)))-LN(INDEX(Dic2024!$H$6:$H$205,C806)))*(A806-6*C806)/6))</f>
        <v>0.020259993538905</v>
      </c>
      <c r="E806" s="12" t="n">
        <f aca="false">D806^(-1/B806)-1</f>
        <v>0.0600761600000002</v>
      </c>
      <c r="F806" s="12" t="n">
        <f aca="false">(1+E806)^(1/12)-1</f>
        <v>0.00487356693268182</v>
      </c>
      <c r="G806" s="16" t="n">
        <f aca="false">IF(C806=0,(1+Dic2024!$J$6)^(-B806),EXP(LN(INDEX(Dic2024!$K$6:$K$205,C806))+(LN(INDEX(Dic2024!$K$6:$K$205,MIN(C806+1,200)))-LN(INDEX(Dic2024!$K$6:$K$205,C806)))*(A806-6*C806)/6))</f>
        <v>0.020259993538905</v>
      </c>
      <c r="H806" s="12" t="n">
        <f aca="false">G806^(-1/B806)-1</f>
        <v>0.0600761600000002</v>
      </c>
      <c r="I806" s="12" t="n">
        <f aca="false">(1+H806)^(1/12)-1</f>
        <v>0.00487356693268182</v>
      </c>
      <c r="J806" s="16" t="n">
        <f aca="false">IF(C806=0,(1+Dic2024!$M$6)^(-B806),EXP(LN(INDEX(Dic2024!$N$6:$N$205,C806))+(LN(INDEX(Dic2024!$N$6:$N$205,MIN(C806+1,200)))-LN(INDEX(Dic2024!$N$6:$N$205,C806)))*(A806-6*C806)/6))</f>
        <v>0.020259993538905</v>
      </c>
      <c r="K806" s="12" t="n">
        <f aca="false">J806^(-1/B806)-1</f>
        <v>0.0600761600000002</v>
      </c>
      <c r="L806" s="12" t="n">
        <f aca="false">(1+K806)^(1/12)-1</f>
        <v>0.00487356693268182</v>
      </c>
    </row>
    <row r="807" customFormat="false" ht="15" hidden="false" customHeight="false" outlineLevel="0" collapsed="false">
      <c r="A807" s="4" t="n">
        <v>803</v>
      </c>
      <c r="B807" s="14" t="n">
        <f aca="false">A807/12</f>
        <v>66.9166666666667</v>
      </c>
      <c r="C807" s="15" t="n">
        <f aca="false">INT(A807/6)</f>
        <v>133</v>
      </c>
      <c r="D807" s="16" t="n">
        <f aca="false">IF(C807=0,(1+Dic2024!$G$6)^(-B807),EXP(LN(INDEX(Dic2024!$H$6:$H$205,C807))+(LN(INDEX(Dic2024!$H$6:$H$205,MIN(C807+1,200)))-LN(INDEX(Dic2024!$H$6:$H$205,C807)))*(A807-6*C807)/6))</f>
        <v>0.02016173397888</v>
      </c>
      <c r="E807" s="12" t="n">
        <f aca="false">D807^(-1/B807)-1</f>
        <v>0.0600761600000002</v>
      </c>
      <c r="F807" s="12" t="n">
        <f aca="false">(1+E807)^(1/12)-1</f>
        <v>0.00487356693268182</v>
      </c>
      <c r="G807" s="16" t="n">
        <f aca="false">IF(C807=0,(1+Dic2024!$J$6)^(-B807),EXP(LN(INDEX(Dic2024!$K$6:$K$205,C807))+(LN(INDEX(Dic2024!$K$6:$K$205,MIN(C807+1,200)))-LN(INDEX(Dic2024!$K$6:$K$205,C807)))*(A807-6*C807)/6))</f>
        <v>0.02016173397888</v>
      </c>
      <c r="H807" s="12" t="n">
        <f aca="false">G807^(-1/B807)-1</f>
        <v>0.0600761600000002</v>
      </c>
      <c r="I807" s="12" t="n">
        <f aca="false">(1+H807)^(1/12)-1</f>
        <v>0.00487356693268182</v>
      </c>
      <c r="J807" s="16" t="n">
        <f aca="false">IF(C807=0,(1+Dic2024!$M$6)^(-B807),EXP(LN(INDEX(Dic2024!$N$6:$N$205,C807))+(LN(INDEX(Dic2024!$N$6:$N$205,MIN(C807+1,200)))-LN(INDEX(Dic2024!$N$6:$N$205,C807)))*(A807-6*C807)/6))</f>
        <v>0.02016173397888</v>
      </c>
      <c r="K807" s="12" t="n">
        <f aca="false">J807^(-1/B807)-1</f>
        <v>0.0600761600000002</v>
      </c>
      <c r="L807" s="12" t="n">
        <f aca="false">(1+K807)^(1/12)-1</f>
        <v>0.00487356693268182</v>
      </c>
    </row>
    <row r="808" customFormat="false" ht="15" hidden="false" customHeight="false" outlineLevel="0" collapsed="false">
      <c r="A808" s="4" t="n">
        <v>804</v>
      </c>
      <c r="B808" s="14" t="n">
        <f aca="false">A808/12</f>
        <v>67</v>
      </c>
      <c r="C808" s="15" t="n">
        <f aca="false">INT(A808/6)</f>
        <v>134</v>
      </c>
      <c r="D808" s="16" t="n">
        <f aca="false">IF(C808=0,(1+Dic2024!$G$6)^(-B808),EXP(LN(INDEX(Dic2024!$H$6:$H$205,C808))+(LN(INDEX(Dic2024!$H$6:$H$205,MIN(C808+1,200)))-LN(INDEX(Dic2024!$H$6:$H$205,C808)))*(A808-6*C808)/6))</f>
        <v>0.0200639509708894</v>
      </c>
      <c r="E808" s="12" t="n">
        <f aca="false">D808^(-1/B808)-1</f>
        <v>0.0600761600000002</v>
      </c>
      <c r="F808" s="12" t="n">
        <f aca="false">(1+E808)^(1/12)-1</f>
        <v>0.00487356693268182</v>
      </c>
      <c r="G808" s="16" t="n">
        <f aca="false">IF(C808=0,(1+Dic2024!$J$6)^(-B808),EXP(LN(INDEX(Dic2024!$K$6:$K$205,C808))+(LN(INDEX(Dic2024!$K$6:$K$205,MIN(C808+1,200)))-LN(INDEX(Dic2024!$K$6:$K$205,C808)))*(A808-6*C808)/6))</f>
        <v>0.0200639509708894</v>
      </c>
      <c r="H808" s="12" t="n">
        <f aca="false">G808^(-1/B808)-1</f>
        <v>0.0600761600000002</v>
      </c>
      <c r="I808" s="12" t="n">
        <f aca="false">(1+H808)^(1/12)-1</f>
        <v>0.00487356693268182</v>
      </c>
      <c r="J808" s="16" t="n">
        <f aca="false">IF(C808=0,(1+Dic2024!$M$6)^(-B808),EXP(LN(INDEX(Dic2024!$N$6:$N$205,C808))+(LN(INDEX(Dic2024!$N$6:$N$205,MIN(C808+1,200)))-LN(INDEX(Dic2024!$N$6:$N$205,C808)))*(A808-6*C808)/6))</f>
        <v>0.0200639509708894</v>
      </c>
      <c r="K808" s="12" t="n">
        <f aca="false">J808^(-1/B808)-1</f>
        <v>0.0600761600000002</v>
      </c>
      <c r="L808" s="12" t="n">
        <f aca="false">(1+K808)^(1/12)-1</f>
        <v>0.00487356693268182</v>
      </c>
    </row>
    <row r="809" customFormat="false" ht="15" hidden="false" customHeight="false" outlineLevel="0" collapsed="false">
      <c r="A809" s="4" t="n">
        <v>805</v>
      </c>
      <c r="B809" s="14" t="n">
        <f aca="false">A809/12</f>
        <v>67.0833333333333</v>
      </c>
      <c r="C809" s="15" t="n">
        <f aca="false">INT(A809/6)</f>
        <v>134</v>
      </c>
      <c r="D809" s="16" t="n">
        <f aca="false">IF(C809=0,(1+Dic2024!$G$6)^(-B809),EXP(LN(INDEX(Dic2024!$H$6:$H$205,C809))+(LN(INDEX(Dic2024!$H$6:$H$205,MIN(C809+1,200)))-LN(INDEX(Dic2024!$H$6:$H$205,C809)))*(A809-6*C809)/6))</f>
        <v>0.0199666422036888</v>
      </c>
      <c r="E809" s="12" t="n">
        <f aca="false">D809^(-1/B809)-1</f>
        <v>0.0600761600000002</v>
      </c>
      <c r="F809" s="12" t="n">
        <f aca="false">(1+E809)^(1/12)-1</f>
        <v>0.00487356693268182</v>
      </c>
      <c r="G809" s="16" t="n">
        <f aca="false">IF(C809=0,(1+Dic2024!$J$6)^(-B809),EXP(LN(INDEX(Dic2024!$K$6:$K$205,C809))+(LN(INDEX(Dic2024!$K$6:$K$205,MIN(C809+1,200)))-LN(INDEX(Dic2024!$K$6:$K$205,C809)))*(A809-6*C809)/6))</f>
        <v>0.0199666422036888</v>
      </c>
      <c r="H809" s="12" t="n">
        <f aca="false">G809^(-1/B809)-1</f>
        <v>0.0600761600000002</v>
      </c>
      <c r="I809" s="12" t="n">
        <f aca="false">(1+H809)^(1/12)-1</f>
        <v>0.00487356693268182</v>
      </c>
      <c r="J809" s="16" t="n">
        <f aca="false">IF(C809=0,(1+Dic2024!$M$6)^(-B809),EXP(LN(INDEX(Dic2024!$N$6:$N$205,C809))+(LN(INDEX(Dic2024!$N$6:$N$205,MIN(C809+1,200)))-LN(INDEX(Dic2024!$N$6:$N$205,C809)))*(A809-6*C809)/6))</f>
        <v>0.0199666422036888</v>
      </c>
      <c r="K809" s="12" t="n">
        <f aca="false">J809^(-1/B809)-1</f>
        <v>0.0600761600000002</v>
      </c>
      <c r="L809" s="12" t="n">
        <f aca="false">(1+K809)^(1/12)-1</f>
        <v>0.00487356693268182</v>
      </c>
    </row>
    <row r="810" customFormat="false" ht="15" hidden="false" customHeight="false" outlineLevel="0" collapsed="false">
      <c r="A810" s="4" t="n">
        <v>806</v>
      </c>
      <c r="B810" s="14" t="n">
        <f aca="false">A810/12</f>
        <v>67.1666666666667</v>
      </c>
      <c r="C810" s="15" t="n">
        <f aca="false">INT(A810/6)</f>
        <v>134</v>
      </c>
      <c r="D810" s="16" t="n">
        <f aca="false">IF(C810=0,(1+Dic2024!$G$6)^(-B810),EXP(LN(INDEX(Dic2024!$H$6:$H$205,C810))+(LN(INDEX(Dic2024!$H$6:$H$205,MIN(C810+1,200)))-LN(INDEX(Dic2024!$H$6:$H$205,C810)))*(A810-6*C810)/6))</f>
        <v>0.0198698053772434</v>
      </c>
      <c r="E810" s="12" t="n">
        <f aca="false">D810^(-1/B810)-1</f>
        <v>0.0600761600000002</v>
      </c>
      <c r="F810" s="12" t="n">
        <f aca="false">(1+E810)^(1/12)-1</f>
        <v>0.00487356693268182</v>
      </c>
      <c r="G810" s="16" t="n">
        <f aca="false">IF(C810=0,(1+Dic2024!$J$6)^(-B810),EXP(LN(INDEX(Dic2024!$K$6:$K$205,C810))+(LN(INDEX(Dic2024!$K$6:$K$205,MIN(C810+1,200)))-LN(INDEX(Dic2024!$K$6:$K$205,C810)))*(A810-6*C810)/6))</f>
        <v>0.0198698053772434</v>
      </c>
      <c r="H810" s="12" t="n">
        <f aca="false">G810^(-1/B810)-1</f>
        <v>0.0600761600000002</v>
      </c>
      <c r="I810" s="12" t="n">
        <f aca="false">(1+H810)^(1/12)-1</f>
        <v>0.00487356693268182</v>
      </c>
      <c r="J810" s="16" t="n">
        <f aca="false">IF(C810=0,(1+Dic2024!$M$6)^(-B810),EXP(LN(INDEX(Dic2024!$N$6:$N$205,C810))+(LN(INDEX(Dic2024!$N$6:$N$205,MIN(C810+1,200)))-LN(INDEX(Dic2024!$N$6:$N$205,C810)))*(A810-6*C810)/6))</f>
        <v>0.0198698053772434</v>
      </c>
      <c r="K810" s="12" t="n">
        <f aca="false">J810^(-1/B810)-1</f>
        <v>0.0600761600000002</v>
      </c>
      <c r="L810" s="12" t="n">
        <f aca="false">(1+K810)^(1/12)-1</f>
        <v>0.00487356693268182</v>
      </c>
    </row>
    <row r="811" customFormat="false" ht="15" hidden="false" customHeight="false" outlineLevel="0" collapsed="false">
      <c r="A811" s="4" t="n">
        <v>807</v>
      </c>
      <c r="B811" s="14" t="n">
        <f aca="false">A811/12</f>
        <v>67.25</v>
      </c>
      <c r="C811" s="15" t="n">
        <f aca="false">INT(A811/6)</f>
        <v>134</v>
      </c>
      <c r="D811" s="16" t="n">
        <f aca="false">IF(C811=0,(1+Dic2024!$G$6)^(-B811),EXP(LN(INDEX(Dic2024!$H$6:$H$205,C811))+(LN(INDEX(Dic2024!$H$6:$H$205,MIN(C811+1,200)))-LN(INDEX(Dic2024!$H$6:$H$205,C811)))*(A811-6*C811)/6))</f>
        <v>0.0197734382026734</v>
      </c>
      <c r="E811" s="12" t="n">
        <f aca="false">D811^(-1/B811)-1</f>
        <v>0.0600761600000002</v>
      </c>
      <c r="F811" s="12" t="n">
        <f aca="false">(1+E811)^(1/12)-1</f>
        <v>0.00487356693268182</v>
      </c>
      <c r="G811" s="16" t="n">
        <f aca="false">IF(C811=0,(1+Dic2024!$J$6)^(-B811),EXP(LN(INDEX(Dic2024!$K$6:$K$205,C811))+(LN(INDEX(Dic2024!$K$6:$K$205,MIN(C811+1,200)))-LN(INDEX(Dic2024!$K$6:$K$205,C811)))*(A811-6*C811)/6))</f>
        <v>0.0197734382026734</v>
      </c>
      <c r="H811" s="12" t="n">
        <f aca="false">G811^(-1/B811)-1</f>
        <v>0.0600761600000002</v>
      </c>
      <c r="I811" s="12" t="n">
        <f aca="false">(1+H811)^(1/12)-1</f>
        <v>0.00487356693268182</v>
      </c>
      <c r="J811" s="16" t="n">
        <f aca="false">IF(C811=0,(1+Dic2024!$M$6)^(-B811),EXP(LN(INDEX(Dic2024!$N$6:$N$205,C811))+(LN(INDEX(Dic2024!$N$6:$N$205,MIN(C811+1,200)))-LN(INDEX(Dic2024!$N$6:$N$205,C811)))*(A811-6*C811)/6))</f>
        <v>0.0197734382026734</v>
      </c>
      <c r="K811" s="12" t="n">
        <f aca="false">J811^(-1/B811)-1</f>
        <v>0.0600761600000002</v>
      </c>
      <c r="L811" s="12" t="n">
        <f aca="false">(1+K811)^(1/12)-1</f>
        <v>0.00487356693268182</v>
      </c>
    </row>
    <row r="812" customFormat="false" ht="15" hidden="false" customHeight="false" outlineLevel="0" collapsed="false">
      <c r="A812" s="4" t="n">
        <v>808</v>
      </c>
      <c r="B812" s="14" t="n">
        <f aca="false">A812/12</f>
        <v>67.3333333333333</v>
      </c>
      <c r="C812" s="15" t="n">
        <f aca="false">INT(A812/6)</f>
        <v>134</v>
      </c>
      <c r="D812" s="16" t="n">
        <f aca="false">IF(C812=0,(1+Dic2024!$G$6)^(-B812),EXP(LN(INDEX(Dic2024!$H$6:$H$205,C812))+(LN(INDEX(Dic2024!$H$6:$H$205,MIN(C812+1,200)))-LN(INDEX(Dic2024!$H$6:$H$205,C812)))*(A812-6*C812)/6))</f>
        <v>0.0196775384021999</v>
      </c>
      <c r="E812" s="12" t="n">
        <f aca="false">D812^(-1/B812)-1</f>
        <v>0.0600761600000002</v>
      </c>
      <c r="F812" s="12" t="n">
        <f aca="false">(1+E812)^(1/12)-1</f>
        <v>0.00487356693268182</v>
      </c>
      <c r="G812" s="16" t="n">
        <f aca="false">IF(C812=0,(1+Dic2024!$J$6)^(-B812),EXP(LN(INDEX(Dic2024!$K$6:$K$205,C812))+(LN(INDEX(Dic2024!$K$6:$K$205,MIN(C812+1,200)))-LN(INDEX(Dic2024!$K$6:$K$205,C812)))*(A812-6*C812)/6))</f>
        <v>0.0196775384021999</v>
      </c>
      <c r="H812" s="12" t="n">
        <f aca="false">G812^(-1/B812)-1</f>
        <v>0.0600761600000002</v>
      </c>
      <c r="I812" s="12" t="n">
        <f aca="false">(1+H812)^(1/12)-1</f>
        <v>0.00487356693268182</v>
      </c>
      <c r="J812" s="16" t="n">
        <f aca="false">IF(C812=0,(1+Dic2024!$M$6)^(-B812),EXP(LN(INDEX(Dic2024!$N$6:$N$205,C812))+(LN(INDEX(Dic2024!$N$6:$N$205,MIN(C812+1,200)))-LN(INDEX(Dic2024!$N$6:$N$205,C812)))*(A812-6*C812)/6))</f>
        <v>0.0196775384021999</v>
      </c>
      <c r="K812" s="12" t="n">
        <f aca="false">J812^(-1/B812)-1</f>
        <v>0.0600761600000002</v>
      </c>
      <c r="L812" s="12" t="n">
        <f aca="false">(1+K812)^(1/12)-1</f>
        <v>0.00487356693268182</v>
      </c>
    </row>
    <row r="813" customFormat="false" ht="15" hidden="false" customHeight="false" outlineLevel="0" collapsed="false">
      <c r="A813" s="4" t="n">
        <v>809</v>
      </c>
      <c r="B813" s="14" t="n">
        <f aca="false">A813/12</f>
        <v>67.4166666666667</v>
      </c>
      <c r="C813" s="15" t="n">
        <f aca="false">INT(A813/6)</f>
        <v>134</v>
      </c>
      <c r="D813" s="16" t="n">
        <f aca="false">IF(C813=0,(1+Dic2024!$G$6)^(-B813),EXP(LN(INDEX(Dic2024!$H$6:$H$205,C813))+(LN(INDEX(Dic2024!$H$6:$H$205,MIN(C813+1,200)))-LN(INDEX(Dic2024!$H$6:$H$205,C813)))*(A813-6*C813)/6))</f>
        <v>0.0195821037090909</v>
      </c>
      <c r="E813" s="12" t="n">
        <f aca="false">D813^(-1/B813)-1</f>
        <v>0.0600761600000002</v>
      </c>
      <c r="F813" s="12" t="n">
        <f aca="false">(1+E813)^(1/12)-1</f>
        <v>0.00487356693268182</v>
      </c>
      <c r="G813" s="16" t="n">
        <f aca="false">IF(C813=0,(1+Dic2024!$J$6)^(-B813),EXP(LN(INDEX(Dic2024!$K$6:$K$205,C813))+(LN(INDEX(Dic2024!$K$6:$K$205,MIN(C813+1,200)))-LN(INDEX(Dic2024!$K$6:$K$205,C813)))*(A813-6*C813)/6))</f>
        <v>0.0195821037090909</v>
      </c>
      <c r="H813" s="12" t="n">
        <f aca="false">G813^(-1/B813)-1</f>
        <v>0.0600761600000002</v>
      </c>
      <c r="I813" s="12" t="n">
        <f aca="false">(1+H813)^(1/12)-1</f>
        <v>0.00487356693268182</v>
      </c>
      <c r="J813" s="16" t="n">
        <f aca="false">IF(C813=0,(1+Dic2024!$M$6)^(-B813),EXP(LN(INDEX(Dic2024!$N$6:$N$205,C813))+(LN(INDEX(Dic2024!$N$6:$N$205,MIN(C813+1,200)))-LN(INDEX(Dic2024!$N$6:$N$205,C813)))*(A813-6*C813)/6))</f>
        <v>0.0195821037090909</v>
      </c>
      <c r="K813" s="12" t="n">
        <f aca="false">J813^(-1/B813)-1</f>
        <v>0.0600761600000002</v>
      </c>
      <c r="L813" s="12" t="n">
        <f aca="false">(1+K813)^(1/12)-1</f>
        <v>0.00487356693268182</v>
      </c>
    </row>
    <row r="814" customFormat="false" ht="15" hidden="false" customHeight="false" outlineLevel="0" collapsed="false">
      <c r="A814" s="4" t="n">
        <v>810</v>
      </c>
      <c r="B814" s="14" t="n">
        <f aca="false">A814/12</f>
        <v>67.5</v>
      </c>
      <c r="C814" s="15" t="n">
        <f aca="false">INT(A814/6)</f>
        <v>135</v>
      </c>
      <c r="D814" s="16" t="n">
        <f aca="false">IF(C814=0,(1+Dic2024!$G$6)^(-B814),EXP(LN(INDEX(Dic2024!$H$6:$H$205,C814))+(LN(INDEX(Dic2024!$H$6:$H$205,MIN(C814+1,200)))-LN(INDEX(Dic2024!$H$6:$H$205,C814)))*(A814-6*C814)/6))</f>
        <v>0.0194871318676081</v>
      </c>
      <c r="E814" s="12" t="n">
        <f aca="false">D814^(-1/B814)-1</f>
        <v>0.0600761600000002</v>
      </c>
      <c r="F814" s="12" t="n">
        <f aca="false">(1+E814)^(1/12)-1</f>
        <v>0.00487356693268182</v>
      </c>
      <c r="G814" s="16" t="n">
        <f aca="false">IF(C814=0,(1+Dic2024!$J$6)^(-B814),EXP(LN(INDEX(Dic2024!$K$6:$K$205,C814))+(LN(INDEX(Dic2024!$K$6:$K$205,MIN(C814+1,200)))-LN(INDEX(Dic2024!$K$6:$K$205,C814)))*(A814-6*C814)/6))</f>
        <v>0.0194871318676081</v>
      </c>
      <c r="H814" s="12" t="n">
        <f aca="false">G814^(-1/B814)-1</f>
        <v>0.0600761600000002</v>
      </c>
      <c r="I814" s="12" t="n">
        <f aca="false">(1+H814)^(1/12)-1</f>
        <v>0.00487356693268182</v>
      </c>
      <c r="J814" s="16" t="n">
        <f aca="false">IF(C814=0,(1+Dic2024!$M$6)^(-B814),EXP(LN(INDEX(Dic2024!$N$6:$N$205,C814))+(LN(INDEX(Dic2024!$N$6:$N$205,MIN(C814+1,200)))-LN(INDEX(Dic2024!$N$6:$N$205,C814)))*(A814-6*C814)/6))</f>
        <v>0.0194871318676081</v>
      </c>
      <c r="K814" s="12" t="n">
        <f aca="false">J814^(-1/B814)-1</f>
        <v>0.0600761600000002</v>
      </c>
      <c r="L814" s="12" t="n">
        <f aca="false">(1+K814)^(1/12)-1</f>
        <v>0.00487356693268182</v>
      </c>
    </row>
    <row r="815" customFormat="false" ht="15" hidden="false" customHeight="false" outlineLevel="0" collapsed="false">
      <c r="A815" s="4" t="n">
        <v>811</v>
      </c>
      <c r="B815" s="14" t="n">
        <f aca="false">A815/12</f>
        <v>67.5833333333333</v>
      </c>
      <c r="C815" s="15" t="n">
        <f aca="false">INT(A815/6)</f>
        <v>135</v>
      </c>
      <c r="D815" s="16" t="n">
        <f aca="false">IF(C815=0,(1+Dic2024!$G$6)^(-B815),EXP(LN(INDEX(Dic2024!$H$6:$H$205,C815))+(LN(INDEX(Dic2024!$H$6:$H$205,MIN(C815+1,200)))-LN(INDEX(Dic2024!$H$6:$H$205,C815)))*(A815-6*C815)/6))</f>
        <v>0.0193926206329533</v>
      </c>
      <c r="E815" s="12" t="n">
        <f aca="false">D815^(-1/B815)-1</f>
        <v>0.0600761600000002</v>
      </c>
      <c r="F815" s="12" t="n">
        <f aca="false">(1+E815)^(1/12)-1</f>
        <v>0.00487356693268182</v>
      </c>
      <c r="G815" s="16" t="n">
        <f aca="false">IF(C815=0,(1+Dic2024!$J$6)^(-B815),EXP(LN(INDEX(Dic2024!$K$6:$K$205,C815))+(LN(INDEX(Dic2024!$K$6:$K$205,MIN(C815+1,200)))-LN(INDEX(Dic2024!$K$6:$K$205,C815)))*(A815-6*C815)/6))</f>
        <v>0.0193926206329533</v>
      </c>
      <c r="H815" s="12" t="n">
        <f aca="false">G815^(-1/B815)-1</f>
        <v>0.0600761600000002</v>
      </c>
      <c r="I815" s="12" t="n">
        <f aca="false">(1+H815)^(1/12)-1</f>
        <v>0.00487356693268182</v>
      </c>
      <c r="J815" s="16" t="n">
        <f aca="false">IF(C815=0,(1+Dic2024!$M$6)^(-B815),EXP(LN(INDEX(Dic2024!$N$6:$N$205,C815))+(LN(INDEX(Dic2024!$N$6:$N$205,MIN(C815+1,200)))-LN(INDEX(Dic2024!$N$6:$N$205,C815)))*(A815-6*C815)/6))</f>
        <v>0.0193926206329533</v>
      </c>
      <c r="K815" s="12" t="n">
        <f aca="false">J815^(-1/B815)-1</f>
        <v>0.0600761600000002</v>
      </c>
      <c r="L815" s="12" t="n">
        <f aca="false">(1+K815)^(1/12)-1</f>
        <v>0.00487356693268182</v>
      </c>
    </row>
    <row r="816" customFormat="false" ht="15" hidden="false" customHeight="false" outlineLevel="0" collapsed="false">
      <c r="A816" s="4" t="n">
        <v>812</v>
      </c>
      <c r="B816" s="14" t="n">
        <f aca="false">A816/12</f>
        <v>67.6666666666667</v>
      </c>
      <c r="C816" s="15" t="n">
        <f aca="false">INT(A816/6)</f>
        <v>135</v>
      </c>
      <c r="D816" s="16" t="n">
        <f aca="false">IF(C816=0,(1+Dic2024!$G$6)^(-B816),EXP(LN(INDEX(Dic2024!$H$6:$H$205,C816))+(LN(INDEX(Dic2024!$H$6:$H$205,MIN(C816+1,200)))-LN(INDEX(Dic2024!$H$6:$H$205,C816)))*(A816-6*C816)/6))</f>
        <v>0.0192985677712154</v>
      </c>
      <c r="E816" s="12" t="n">
        <f aca="false">D816^(-1/B816)-1</f>
        <v>0.0600761600000002</v>
      </c>
      <c r="F816" s="12" t="n">
        <f aca="false">(1+E816)^(1/12)-1</f>
        <v>0.00487356693268182</v>
      </c>
      <c r="G816" s="16" t="n">
        <f aca="false">IF(C816=0,(1+Dic2024!$J$6)^(-B816),EXP(LN(INDEX(Dic2024!$K$6:$K$205,C816))+(LN(INDEX(Dic2024!$K$6:$K$205,MIN(C816+1,200)))-LN(INDEX(Dic2024!$K$6:$K$205,C816)))*(A816-6*C816)/6))</f>
        <v>0.0192985677712154</v>
      </c>
      <c r="H816" s="12" t="n">
        <f aca="false">G816^(-1/B816)-1</f>
        <v>0.0600761600000002</v>
      </c>
      <c r="I816" s="12" t="n">
        <f aca="false">(1+H816)^(1/12)-1</f>
        <v>0.00487356693268182</v>
      </c>
      <c r="J816" s="16" t="n">
        <f aca="false">IF(C816=0,(1+Dic2024!$M$6)^(-B816),EXP(LN(INDEX(Dic2024!$N$6:$N$205,C816))+(LN(INDEX(Dic2024!$N$6:$N$205,MIN(C816+1,200)))-LN(INDEX(Dic2024!$N$6:$N$205,C816)))*(A816-6*C816)/6))</f>
        <v>0.0192985677712154</v>
      </c>
      <c r="K816" s="12" t="n">
        <f aca="false">J816^(-1/B816)-1</f>
        <v>0.0600761600000002</v>
      </c>
      <c r="L816" s="12" t="n">
        <f aca="false">(1+K816)^(1/12)-1</f>
        <v>0.00487356693268182</v>
      </c>
    </row>
    <row r="817" customFormat="false" ht="15" hidden="false" customHeight="false" outlineLevel="0" collapsed="false">
      <c r="A817" s="4" t="n">
        <v>813</v>
      </c>
      <c r="B817" s="14" t="n">
        <f aca="false">A817/12</f>
        <v>67.75</v>
      </c>
      <c r="C817" s="15" t="n">
        <f aca="false">INT(A817/6)</f>
        <v>135</v>
      </c>
      <c r="D817" s="16" t="n">
        <f aca="false">IF(C817=0,(1+Dic2024!$G$6)^(-B817),EXP(LN(INDEX(Dic2024!$H$6:$H$205,C817))+(LN(INDEX(Dic2024!$H$6:$H$205,MIN(C817+1,200)))-LN(INDEX(Dic2024!$H$6:$H$205,C817)))*(A817-6*C817)/6))</f>
        <v>0.0192049710593176</v>
      </c>
      <c r="E817" s="12" t="n">
        <f aca="false">D817^(-1/B817)-1</f>
        <v>0.0600761600000002</v>
      </c>
      <c r="F817" s="12" t="n">
        <f aca="false">(1+E817)^(1/12)-1</f>
        <v>0.00487356693268182</v>
      </c>
      <c r="G817" s="16" t="n">
        <f aca="false">IF(C817=0,(1+Dic2024!$J$6)^(-B817),EXP(LN(INDEX(Dic2024!$K$6:$K$205,C817))+(LN(INDEX(Dic2024!$K$6:$K$205,MIN(C817+1,200)))-LN(INDEX(Dic2024!$K$6:$K$205,C817)))*(A817-6*C817)/6))</f>
        <v>0.0192049710593176</v>
      </c>
      <c r="H817" s="12" t="n">
        <f aca="false">G817^(-1/B817)-1</f>
        <v>0.0600761600000002</v>
      </c>
      <c r="I817" s="12" t="n">
        <f aca="false">(1+H817)^(1/12)-1</f>
        <v>0.00487356693268182</v>
      </c>
      <c r="J817" s="16" t="n">
        <f aca="false">IF(C817=0,(1+Dic2024!$M$6)^(-B817),EXP(LN(INDEX(Dic2024!$N$6:$N$205,C817))+(LN(INDEX(Dic2024!$N$6:$N$205,MIN(C817+1,200)))-LN(INDEX(Dic2024!$N$6:$N$205,C817)))*(A817-6*C817)/6))</f>
        <v>0.0192049710593176</v>
      </c>
      <c r="K817" s="12" t="n">
        <f aca="false">J817^(-1/B817)-1</f>
        <v>0.0600761600000002</v>
      </c>
      <c r="L817" s="12" t="n">
        <f aca="false">(1+K817)^(1/12)-1</f>
        <v>0.00487356693268182</v>
      </c>
    </row>
    <row r="818" customFormat="false" ht="15" hidden="false" customHeight="false" outlineLevel="0" collapsed="false">
      <c r="A818" s="4" t="n">
        <v>814</v>
      </c>
      <c r="B818" s="14" t="n">
        <f aca="false">A818/12</f>
        <v>67.8333333333333</v>
      </c>
      <c r="C818" s="15" t="n">
        <f aca="false">INT(A818/6)</f>
        <v>135</v>
      </c>
      <c r="D818" s="16" t="n">
        <f aca="false">IF(C818=0,(1+Dic2024!$G$6)^(-B818),EXP(LN(INDEX(Dic2024!$H$6:$H$205,C818))+(LN(INDEX(Dic2024!$H$6:$H$205,MIN(C818+1,200)))-LN(INDEX(Dic2024!$H$6:$H$205,C818)))*(A818-6*C818)/6))</f>
        <v>0.0191118282849649</v>
      </c>
      <c r="E818" s="12" t="n">
        <f aca="false">D818^(-1/B818)-1</f>
        <v>0.0600761600000002</v>
      </c>
      <c r="F818" s="12" t="n">
        <f aca="false">(1+E818)^(1/12)-1</f>
        <v>0.00487356693268182</v>
      </c>
      <c r="G818" s="16" t="n">
        <f aca="false">IF(C818=0,(1+Dic2024!$J$6)^(-B818),EXP(LN(INDEX(Dic2024!$K$6:$K$205,C818))+(LN(INDEX(Dic2024!$K$6:$K$205,MIN(C818+1,200)))-LN(INDEX(Dic2024!$K$6:$K$205,C818)))*(A818-6*C818)/6))</f>
        <v>0.0191118282849649</v>
      </c>
      <c r="H818" s="12" t="n">
        <f aca="false">G818^(-1/B818)-1</f>
        <v>0.0600761600000002</v>
      </c>
      <c r="I818" s="12" t="n">
        <f aca="false">(1+H818)^(1/12)-1</f>
        <v>0.00487356693268182</v>
      </c>
      <c r="J818" s="16" t="n">
        <f aca="false">IF(C818=0,(1+Dic2024!$M$6)^(-B818),EXP(LN(INDEX(Dic2024!$N$6:$N$205,C818))+(LN(INDEX(Dic2024!$N$6:$N$205,MIN(C818+1,200)))-LN(INDEX(Dic2024!$N$6:$N$205,C818)))*(A818-6*C818)/6))</f>
        <v>0.0191118282849649</v>
      </c>
      <c r="K818" s="12" t="n">
        <f aca="false">J818^(-1/B818)-1</f>
        <v>0.0600761600000002</v>
      </c>
      <c r="L818" s="12" t="n">
        <f aca="false">(1+K818)^(1/12)-1</f>
        <v>0.00487356693268182</v>
      </c>
    </row>
    <row r="819" customFormat="false" ht="15" hidden="false" customHeight="false" outlineLevel="0" collapsed="false">
      <c r="A819" s="4" t="n">
        <v>815</v>
      </c>
      <c r="B819" s="14" t="n">
        <f aca="false">A819/12</f>
        <v>67.9166666666667</v>
      </c>
      <c r="C819" s="15" t="n">
        <f aca="false">INT(A819/6)</f>
        <v>135</v>
      </c>
      <c r="D819" s="16" t="n">
        <f aca="false">IF(C819=0,(1+Dic2024!$G$6)^(-B819),EXP(LN(INDEX(Dic2024!$H$6:$H$205,C819))+(LN(INDEX(Dic2024!$H$6:$H$205,MIN(C819+1,200)))-LN(INDEX(Dic2024!$H$6:$H$205,C819)))*(A819-6*C819)/6))</f>
        <v>0.0190191372465918</v>
      </c>
      <c r="E819" s="12" t="n">
        <f aca="false">D819^(-1/B819)-1</f>
        <v>0.0600761600000002</v>
      </c>
      <c r="F819" s="12" t="n">
        <f aca="false">(1+E819)^(1/12)-1</f>
        <v>0.00487356693268182</v>
      </c>
      <c r="G819" s="16" t="n">
        <f aca="false">IF(C819=0,(1+Dic2024!$J$6)^(-B819),EXP(LN(INDEX(Dic2024!$K$6:$K$205,C819))+(LN(INDEX(Dic2024!$K$6:$K$205,MIN(C819+1,200)))-LN(INDEX(Dic2024!$K$6:$K$205,C819)))*(A819-6*C819)/6))</f>
        <v>0.0190191372465918</v>
      </c>
      <c r="H819" s="12" t="n">
        <f aca="false">G819^(-1/B819)-1</f>
        <v>0.0600761600000002</v>
      </c>
      <c r="I819" s="12" t="n">
        <f aca="false">(1+H819)^(1/12)-1</f>
        <v>0.00487356693268182</v>
      </c>
      <c r="J819" s="16" t="n">
        <f aca="false">IF(C819=0,(1+Dic2024!$M$6)^(-B819),EXP(LN(INDEX(Dic2024!$N$6:$N$205,C819))+(LN(INDEX(Dic2024!$N$6:$N$205,MIN(C819+1,200)))-LN(INDEX(Dic2024!$N$6:$N$205,C819)))*(A819-6*C819)/6))</f>
        <v>0.0190191372465918</v>
      </c>
      <c r="K819" s="12" t="n">
        <f aca="false">J819^(-1/B819)-1</f>
        <v>0.0600761600000002</v>
      </c>
      <c r="L819" s="12" t="n">
        <f aca="false">(1+K819)^(1/12)-1</f>
        <v>0.00487356693268182</v>
      </c>
    </row>
    <row r="820" customFormat="false" ht="15" hidden="false" customHeight="false" outlineLevel="0" collapsed="false">
      <c r="A820" s="4" t="n">
        <v>816</v>
      </c>
      <c r="B820" s="14" t="n">
        <f aca="false">A820/12</f>
        <v>68</v>
      </c>
      <c r="C820" s="15" t="n">
        <f aca="false">INT(A820/6)</f>
        <v>136</v>
      </c>
      <c r="D820" s="16" t="n">
        <f aca="false">IF(C820=0,(1+Dic2024!$G$6)^(-B820),EXP(LN(INDEX(Dic2024!$H$6:$H$205,C820))+(LN(INDEX(Dic2024!$H$6:$H$205,MIN(C820+1,200)))-LN(INDEX(Dic2024!$H$6:$H$205,C820)))*(A820-6*C820)/6))</f>
        <v>0.0189268957533102</v>
      </c>
      <c r="E820" s="12" t="n">
        <f aca="false">D820^(-1/B820)-1</f>
        <v>0.0600761600000002</v>
      </c>
      <c r="F820" s="12" t="n">
        <f aca="false">(1+E820)^(1/12)-1</f>
        <v>0.00487356693268182</v>
      </c>
      <c r="G820" s="16" t="n">
        <f aca="false">IF(C820=0,(1+Dic2024!$J$6)^(-B820),EXP(LN(INDEX(Dic2024!$K$6:$K$205,C820))+(LN(INDEX(Dic2024!$K$6:$K$205,MIN(C820+1,200)))-LN(INDEX(Dic2024!$K$6:$K$205,C820)))*(A820-6*C820)/6))</f>
        <v>0.0189268957533102</v>
      </c>
      <c r="H820" s="12" t="n">
        <f aca="false">G820^(-1/B820)-1</f>
        <v>0.0600761600000002</v>
      </c>
      <c r="I820" s="12" t="n">
        <f aca="false">(1+H820)^(1/12)-1</f>
        <v>0.00487356693268182</v>
      </c>
      <c r="J820" s="16" t="n">
        <f aca="false">IF(C820=0,(1+Dic2024!$M$6)^(-B820),EXP(LN(INDEX(Dic2024!$N$6:$N$205,C820))+(LN(INDEX(Dic2024!$N$6:$N$205,MIN(C820+1,200)))-LN(INDEX(Dic2024!$N$6:$N$205,C820)))*(A820-6*C820)/6))</f>
        <v>0.0189268957533102</v>
      </c>
      <c r="K820" s="12" t="n">
        <f aca="false">J820^(-1/B820)-1</f>
        <v>0.0600761600000002</v>
      </c>
      <c r="L820" s="12" t="n">
        <f aca="false">(1+K820)^(1/12)-1</f>
        <v>0.00487356693268182</v>
      </c>
    </row>
    <row r="821" customFormat="false" ht="15" hidden="false" customHeight="false" outlineLevel="0" collapsed="false">
      <c r="A821" s="4" t="n">
        <v>817</v>
      </c>
      <c r="B821" s="14" t="n">
        <f aca="false">A821/12</f>
        <v>68.0833333333333</v>
      </c>
      <c r="C821" s="15" t="n">
        <f aca="false">INT(A821/6)</f>
        <v>136</v>
      </c>
      <c r="D821" s="16" t="n">
        <f aca="false">IF(C821=0,(1+Dic2024!$G$6)^(-B821),EXP(LN(INDEX(Dic2024!$H$6:$H$205,C821))+(LN(INDEX(Dic2024!$H$6:$H$205,MIN(C821+1,200)))-LN(INDEX(Dic2024!$H$6:$H$205,C821)))*(A821-6*C821)/6))</f>
        <v>0.0188351016248576</v>
      </c>
      <c r="E821" s="12" t="n">
        <f aca="false">D821^(-1/B821)-1</f>
        <v>0.0600761600000002</v>
      </c>
      <c r="F821" s="12" t="n">
        <f aca="false">(1+E821)^(1/12)-1</f>
        <v>0.00487356693268182</v>
      </c>
      <c r="G821" s="16" t="n">
        <f aca="false">IF(C821=0,(1+Dic2024!$J$6)^(-B821),EXP(LN(INDEX(Dic2024!$K$6:$K$205,C821))+(LN(INDEX(Dic2024!$K$6:$K$205,MIN(C821+1,200)))-LN(INDEX(Dic2024!$K$6:$K$205,C821)))*(A821-6*C821)/6))</f>
        <v>0.0188351016248576</v>
      </c>
      <c r="H821" s="12" t="n">
        <f aca="false">G821^(-1/B821)-1</f>
        <v>0.0600761600000002</v>
      </c>
      <c r="I821" s="12" t="n">
        <f aca="false">(1+H821)^(1/12)-1</f>
        <v>0.00487356693268182</v>
      </c>
      <c r="J821" s="16" t="n">
        <f aca="false">IF(C821=0,(1+Dic2024!$M$6)^(-B821),EXP(LN(INDEX(Dic2024!$N$6:$N$205,C821))+(LN(INDEX(Dic2024!$N$6:$N$205,MIN(C821+1,200)))-LN(INDEX(Dic2024!$N$6:$N$205,C821)))*(A821-6*C821)/6))</f>
        <v>0.0188351016248576</v>
      </c>
      <c r="K821" s="12" t="n">
        <f aca="false">J821^(-1/B821)-1</f>
        <v>0.0600761600000002</v>
      </c>
      <c r="L821" s="12" t="n">
        <f aca="false">(1+K821)^(1/12)-1</f>
        <v>0.00487356693268182</v>
      </c>
    </row>
    <row r="822" customFormat="false" ht="15" hidden="false" customHeight="false" outlineLevel="0" collapsed="false">
      <c r="A822" s="4" t="n">
        <v>818</v>
      </c>
      <c r="B822" s="14" t="n">
        <f aca="false">A822/12</f>
        <v>68.1666666666667</v>
      </c>
      <c r="C822" s="15" t="n">
        <f aca="false">INT(A822/6)</f>
        <v>136</v>
      </c>
      <c r="D822" s="16" t="n">
        <f aca="false">IF(C822=0,(1+Dic2024!$G$6)^(-B822),EXP(LN(INDEX(Dic2024!$H$6:$H$205,C822))+(LN(INDEX(Dic2024!$H$6:$H$205,MIN(C822+1,200)))-LN(INDEX(Dic2024!$H$6:$H$205,C822)))*(A822-6*C822)/6))</f>
        <v>0.0187437526915457</v>
      </c>
      <c r="E822" s="12" t="n">
        <f aca="false">D822^(-1/B822)-1</f>
        <v>0.0600761600000002</v>
      </c>
      <c r="F822" s="12" t="n">
        <f aca="false">(1+E822)^(1/12)-1</f>
        <v>0.00487356693268182</v>
      </c>
      <c r="G822" s="16" t="n">
        <f aca="false">IF(C822=0,(1+Dic2024!$J$6)^(-B822),EXP(LN(INDEX(Dic2024!$K$6:$K$205,C822))+(LN(INDEX(Dic2024!$K$6:$K$205,MIN(C822+1,200)))-LN(INDEX(Dic2024!$K$6:$K$205,C822)))*(A822-6*C822)/6))</f>
        <v>0.0187437526915457</v>
      </c>
      <c r="H822" s="12" t="n">
        <f aca="false">G822^(-1/B822)-1</f>
        <v>0.0600761600000002</v>
      </c>
      <c r="I822" s="12" t="n">
        <f aca="false">(1+H822)^(1/12)-1</f>
        <v>0.00487356693268182</v>
      </c>
      <c r="J822" s="16" t="n">
        <f aca="false">IF(C822=0,(1+Dic2024!$M$6)^(-B822),EXP(LN(INDEX(Dic2024!$N$6:$N$205,C822))+(LN(INDEX(Dic2024!$N$6:$N$205,MIN(C822+1,200)))-LN(INDEX(Dic2024!$N$6:$N$205,C822)))*(A822-6*C822)/6))</f>
        <v>0.0187437526915457</v>
      </c>
      <c r="K822" s="12" t="n">
        <f aca="false">J822^(-1/B822)-1</f>
        <v>0.0600761600000002</v>
      </c>
      <c r="L822" s="12" t="n">
        <f aca="false">(1+K822)^(1/12)-1</f>
        <v>0.00487356693268182</v>
      </c>
    </row>
    <row r="823" customFormat="false" ht="15" hidden="false" customHeight="false" outlineLevel="0" collapsed="false">
      <c r="A823" s="4" t="n">
        <v>819</v>
      </c>
      <c r="B823" s="14" t="n">
        <f aca="false">A823/12</f>
        <v>68.25</v>
      </c>
      <c r="C823" s="15" t="n">
        <f aca="false">INT(A823/6)</f>
        <v>136</v>
      </c>
      <c r="D823" s="16" t="n">
        <f aca="false">IF(C823=0,(1+Dic2024!$G$6)^(-B823),EXP(LN(INDEX(Dic2024!$H$6:$H$205,C823))+(LN(INDEX(Dic2024!$H$6:$H$205,MIN(C823+1,200)))-LN(INDEX(Dic2024!$H$6:$H$205,C823)))*(A823-6*C823)/6))</f>
        <v>0.018652846794209</v>
      </c>
      <c r="E823" s="12" t="n">
        <f aca="false">D823^(-1/B823)-1</f>
        <v>0.0600761600000002</v>
      </c>
      <c r="F823" s="12" t="n">
        <f aca="false">(1+E823)^(1/12)-1</f>
        <v>0.00487356693268182</v>
      </c>
      <c r="G823" s="16" t="n">
        <f aca="false">IF(C823=0,(1+Dic2024!$J$6)^(-B823),EXP(LN(INDEX(Dic2024!$K$6:$K$205,C823))+(LN(INDEX(Dic2024!$K$6:$K$205,MIN(C823+1,200)))-LN(INDEX(Dic2024!$K$6:$K$205,C823)))*(A823-6*C823)/6))</f>
        <v>0.018652846794209</v>
      </c>
      <c r="H823" s="12" t="n">
        <f aca="false">G823^(-1/B823)-1</f>
        <v>0.0600761600000002</v>
      </c>
      <c r="I823" s="12" t="n">
        <f aca="false">(1+H823)^(1/12)-1</f>
        <v>0.00487356693268182</v>
      </c>
      <c r="J823" s="16" t="n">
        <f aca="false">IF(C823=0,(1+Dic2024!$M$6)^(-B823),EXP(LN(INDEX(Dic2024!$N$6:$N$205,C823))+(LN(INDEX(Dic2024!$N$6:$N$205,MIN(C823+1,200)))-LN(INDEX(Dic2024!$N$6:$N$205,C823)))*(A823-6*C823)/6))</f>
        <v>0.018652846794209</v>
      </c>
      <c r="K823" s="12" t="n">
        <f aca="false">J823^(-1/B823)-1</f>
        <v>0.0600761600000002</v>
      </c>
      <c r="L823" s="12" t="n">
        <f aca="false">(1+K823)^(1/12)-1</f>
        <v>0.00487356693268182</v>
      </c>
    </row>
    <row r="824" customFormat="false" ht="15" hidden="false" customHeight="false" outlineLevel="0" collapsed="false">
      <c r="A824" s="4" t="n">
        <v>820</v>
      </c>
      <c r="B824" s="14" t="n">
        <f aca="false">A824/12</f>
        <v>68.3333333333333</v>
      </c>
      <c r="C824" s="15" t="n">
        <f aca="false">INT(A824/6)</f>
        <v>136</v>
      </c>
      <c r="D824" s="16" t="n">
        <f aca="false">IF(C824=0,(1+Dic2024!$G$6)^(-B824),EXP(LN(INDEX(Dic2024!$H$6:$H$205,C824))+(LN(INDEX(Dic2024!$H$6:$H$205,MIN(C824+1,200)))-LN(INDEX(Dic2024!$H$6:$H$205,C824)))*(A824-6*C824)/6))</f>
        <v>0.018562381784154</v>
      </c>
      <c r="E824" s="12" t="n">
        <f aca="false">D824^(-1/B824)-1</f>
        <v>0.0600761600000002</v>
      </c>
      <c r="F824" s="12" t="n">
        <f aca="false">(1+E824)^(1/12)-1</f>
        <v>0.00487356693268182</v>
      </c>
      <c r="G824" s="16" t="n">
        <f aca="false">IF(C824=0,(1+Dic2024!$J$6)^(-B824),EXP(LN(INDEX(Dic2024!$K$6:$K$205,C824))+(LN(INDEX(Dic2024!$K$6:$K$205,MIN(C824+1,200)))-LN(INDEX(Dic2024!$K$6:$K$205,C824)))*(A824-6*C824)/6))</f>
        <v>0.018562381784154</v>
      </c>
      <c r="H824" s="12" t="n">
        <f aca="false">G824^(-1/B824)-1</f>
        <v>0.0600761600000002</v>
      </c>
      <c r="I824" s="12" t="n">
        <f aca="false">(1+H824)^(1/12)-1</f>
        <v>0.00487356693268182</v>
      </c>
      <c r="J824" s="16" t="n">
        <f aca="false">IF(C824=0,(1+Dic2024!$M$6)^(-B824),EXP(LN(INDEX(Dic2024!$N$6:$N$205,C824))+(LN(INDEX(Dic2024!$N$6:$N$205,MIN(C824+1,200)))-LN(INDEX(Dic2024!$N$6:$N$205,C824)))*(A824-6*C824)/6))</f>
        <v>0.018562381784154</v>
      </c>
      <c r="K824" s="12" t="n">
        <f aca="false">J824^(-1/B824)-1</f>
        <v>0.0600761600000002</v>
      </c>
      <c r="L824" s="12" t="n">
        <f aca="false">(1+K824)^(1/12)-1</f>
        <v>0.00487356693268182</v>
      </c>
    </row>
    <row r="825" customFormat="false" ht="15" hidden="false" customHeight="false" outlineLevel="0" collapsed="false">
      <c r="A825" s="4" t="n">
        <v>821</v>
      </c>
      <c r="B825" s="14" t="n">
        <f aca="false">A825/12</f>
        <v>68.4166666666667</v>
      </c>
      <c r="C825" s="15" t="n">
        <f aca="false">INT(A825/6)</f>
        <v>136</v>
      </c>
      <c r="D825" s="16" t="n">
        <f aca="false">IF(C825=0,(1+Dic2024!$G$6)^(-B825),EXP(LN(INDEX(Dic2024!$H$6:$H$205,C825))+(LN(INDEX(Dic2024!$H$6:$H$205,MIN(C825+1,200)))-LN(INDEX(Dic2024!$H$6:$H$205,C825)))*(A825-6*C825)/6))</f>
        <v>0.0184723555231078</v>
      </c>
      <c r="E825" s="12" t="n">
        <f aca="false">D825^(-1/B825)-1</f>
        <v>0.0600761600000002</v>
      </c>
      <c r="F825" s="12" t="n">
        <f aca="false">(1+E825)^(1/12)-1</f>
        <v>0.00487356693268182</v>
      </c>
      <c r="G825" s="16" t="n">
        <f aca="false">IF(C825=0,(1+Dic2024!$J$6)^(-B825),EXP(LN(INDEX(Dic2024!$K$6:$K$205,C825))+(LN(INDEX(Dic2024!$K$6:$K$205,MIN(C825+1,200)))-LN(INDEX(Dic2024!$K$6:$K$205,C825)))*(A825-6*C825)/6))</f>
        <v>0.0184723555231078</v>
      </c>
      <c r="H825" s="12" t="n">
        <f aca="false">G825^(-1/B825)-1</f>
        <v>0.0600761600000002</v>
      </c>
      <c r="I825" s="12" t="n">
        <f aca="false">(1+H825)^(1/12)-1</f>
        <v>0.00487356693268182</v>
      </c>
      <c r="J825" s="16" t="n">
        <f aca="false">IF(C825=0,(1+Dic2024!$M$6)^(-B825),EXP(LN(INDEX(Dic2024!$N$6:$N$205,C825))+(LN(INDEX(Dic2024!$N$6:$N$205,MIN(C825+1,200)))-LN(INDEX(Dic2024!$N$6:$N$205,C825)))*(A825-6*C825)/6))</f>
        <v>0.0184723555231078</v>
      </c>
      <c r="K825" s="12" t="n">
        <f aca="false">J825^(-1/B825)-1</f>
        <v>0.0600761600000002</v>
      </c>
      <c r="L825" s="12" t="n">
        <f aca="false">(1+K825)^(1/12)-1</f>
        <v>0.00487356693268182</v>
      </c>
    </row>
    <row r="826" customFormat="false" ht="15" hidden="false" customHeight="false" outlineLevel="0" collapsed="false">
      <c r="A826" s="4" t="n">
        <v>822</v>
      </c>
      <c r="B826" s="14" t="n">
        <f aca="false">A826/12</f>
        <v>68.5</v>
      </c>
      <c r="C826" s="15" t="n">
        <f aca="false">INT(A826/6)</f>
        <v>137</v>
      </c>
      <c r="D826" s="16" t="n">
        <f aca="false">IF(C826=0,(1+Dic2024!$G$6)^(-B826),EXP(LN(INDEX(Dic2024!$H$6:$H$205,C826))+(LN(INDEX(Dic2024!$H$6:$H$205,MIN(C826+1,200)))-LN(INDEX(Dic2024!$H$6:$H$205,C826)))*(A826-6*C826)/6))</f>
        <v>0.0183827658831684</v>
      </c>
      <c r="E826" s="12" t="n">
        <f aca="false">D826^(-1/B826)-1</f>
        <v>0.0600761600000002</v>
      </c>
      <c r="F826" s="12" t="n">
        <f aca="false">(1+E826)^(1/12)-1</f>
        <v>0.00487356693268182</v>
      </c>
      <c r="G826" s="16" t="n">
        <f aca="false">IF(C826=0,(1+Dic2024!$J$6)^(-B826),EXP(LN(INDEX(Dic2024!$K$6:$K$205,C826))+(LN(INDEX(Dic2024!$K$6:$K$205,MIN(C826+1,200)))-LN(INDEX(Dic2024!$K$6:$K$205,C826)))*(A826-6*C826)/6))</f>
        <v>0.0183827658831684</v>
      </c>
      <c r="H826" s="12" t="n">
        <f aca="false">G826^(-1/B826)-1</f>
        <v>0.0600761600000002</v>
      </c>
      <c r="I826" s="12" t="n">
        <f aca="false">(1+H826)^(1/12)-1</f>
        <v>0.00487356693268182</v>
      </c>
      <c r="J826" s="16" t="n">
        <f aca="false">IF(C826=0,(1+Dic2024!$M$6)^(-B826),EXP(LN(INDEX(Dic2024!$N$6:$N$205,C826))+(LN(INDEX(Dic2024!$N$6:$N$205,MIN(C826+1,200)))-LN(INDEX(Dic2024!$N$6:$N$205,C826)))*(A826-6*C826)/6))</f>
        <v>0.0183827658831684</v>
      </c>
      <c r="K826" s="12" t="n">
        <f aca="false">J826^(-1/B826)-1</f>
        <v>0.0600761600000002</v>
      </c>
      <c r="L826" s="12" t="n">
        <f aca="false">(1+K826)^(1/12)-1</f>
        <v>0.00487356693268182</v>
      </c>
    </row>
    <row r="827" customFormat="false" ht="15" hidden="false" customHeight="false" outlineLevel="0" collapsed="false">
      <c r="A827" s="4" t="n">
        <v>823</v>
      </c>
      <c r="B827" s="14" t="n">
        <f aca="false">A827/12</f>
        <v>68.5833333333333</v>
      </c>
      <c r="C827" s="15" t="n">
        <f aca="false">INT(A827/6)</f>
        <v>137</v>
      </c>
      <c r="D827" s="16" t="n">
        <f aca="false">IF(C827=0,(1+Dic2024!$G$6)^(-B827),EXP(LN(INDEX(Dic2024!$H$6:$H$205,C827))+(LN(INDEX(Dic2024!$H$6:$H$205,MIN(C827+1,200)))-LN(INDEX(Dic2024!$H$6:$H$205,C827)))*(A827-6*C827)/6))</f>
        <v>0.0182936107467536</v>
      </c>
      <c r="E827" s="12" t="n">
        <f aca="false">D827^(-1/B827)-1</f>
        <v>0.0600761600000002</v>
      </c>
      <c r="F827" s="12" t="n">
        <f aca="false">(1+E827)^(1/12)-1</f>
        <v>0.00487356693268182</v>
      </c>
      <c r="G827" s="16" t="n">
        <f aca="false">IF(C827=0,(1+Dic2024!$J$6)^(-B827),EXP(LN(INDEX(Dic2024!$K$6:$K$205,C827))+(LN(INDEX(Dic2024!$K$6:$K$205,MIN(C827+1,200)))-LN(INDEX(Dic2024!$K$6:$K$205,C827)))*(A827-6*C827)/6))</f>
        <v>0.0182936107467536</v>
      </c>
      <c r="H827" s="12" t="n">
        <f aca="false">G827^(-1/B827)-1</f>
        <v>0.0600761600000002</v>
      </c>
      <c r="I827" s="12" t="n">
        <f aca="false">(1+H827)^(1/12)-1</f>
        <v>0.00487356693268182</v>
      </c>
      <c r="J827" s="16" t="n">
        <f aca="false">IF(C827=0,(1+Dic2024!$M$6)^(-B827),EXP(LN(INDEX(Dic2024!$N$6:$N$205,C827))+(LN(INDEX(Dic2024!$N$6:$N$205,MIN(C827+1,200)))-LN(INDEX(Dic2024!$N$6:$N$205,C827)))*(A827-6*C827)/6))</f>
        <v>0.0182936107467536</v>
      </c>
      <c r="K827" s="12" t="n">
        <f aca="false">J827^(-1/B827)-1</f>
        <v>0.0600761600000002</v>
      </c>
      <c r="L827" s="12" t="n">
        <f aca="false">(1+K827)^(1/12)-1</f>
        <v>0.00487356693268182</v>
      </c>
    </row>
    <row r="828" customFormat="false" ht="15" hidden="false" customHeight="false" outlineLevel="0" collapsed="false">
      <c r="A828" s="4" t="n">
        <v>824</v>
      </c>
      <c r="B828" s="14" t="n">
        <f aca="false">A828/12</f>
        <v>68.6666666666667</v>
      </c>
      <c r="C828" s="15" t="n">
        <f aca="false">INT(A828/6)</f>
        <v>137</v>
      </c>
      <c r="D828" s="16" t="n">
        <f aca="false">IF(C828=0,(1+Dic2024!$G$6)^(-B828),EXP(LN(INDEX(Dic2024!$H$6:$H$205,C828))+(LN(INDEX(Dic2024!$H$6:$H$205,MIN(C828+1,200)))-LN(INDEX(Dic2024!$H$6:$H$205,C828)))*(A828-6*C828)/6))</f>
        <v>0.0182048880065517</v>
      </c>
      <c r="E828" s="12" t="n">
        <f aca="false">D828^(-1/B828)-1</f>
        <v>0.0600761600000002</v>
      </c>
      <c r="F828" s="12" t="n">
        <f aca="false">(1+E828)^(1/12)-1</f>
        <v>0.00487356693268182</v>
      </c>
      <c r="G828" s="16" t="n">
        <f aca="false">IF(C828=0,(1+Dic2024!$J$6)^(-B828),EXP(LN(INDEX(Dic2024!$K$6:$K$205,C828))+(LN(INDEX(Dic2024!$K$6:$K$205,MIN(C828+1,200)))-LN(INDEX(Dic2024!$K$6:$K$205,C828)))*(A828-6*C828)/6))</f>
        <v>0.0182048880065517</v>
      </c>
      <c r="H828" s="12" t="n">
        <f aca="false">G828^(-1/B828)-1</f>
        <v>0.0600761600000002</v>
      </c>
      <c r="I828" s="12" t="n">
        <f aca="false">(1+H828)^(1/12)-1</f>
        <v>0.00487356693268182</v>
      </c>
      <c r="J828" s="16" t="n">
        <f aca="false">IF(C828=0,(1+Dic2024!$M$6)^(-B828),EXP(LN(INDEX(Dic2024!$N$6:$N$205,C828))+(LN(INDEX(Dic2024!$N$6:$N$205,MIN(C828+1,200)))-LN(INDEX(Dic2024!$N$6:$N$205,C828)))*(A828-6*C828)/6))</f>
        <v>0.0182048880065517</v>
      </c>
      <c r="K828" s="12" t="n">
        <f aca="false">J828^(-1/B828)-1</f>
        <v>0.0600761600000002</v>
      </c>
      <c r="L828" s="12" t="n">
        <f aca="false">(1+K828)^(1/12)-1</f>
        <v>0.00487356693268182</v>
      </c>
    </row>
    <row r="829" customFormat="false" ht="15" hidden="false" customHeight="false" outlineLevel="0" collapsed="false">
      <c r="A829" s="4" t="n">
        <v>825</v>
      </c>
      <c r="B829" s="14" t="n">
        <f aca="false">A829/12</f>
        <v>68.75</v>
      </c>
      <c r="C829" s="15" t="n">
        <f aca="false">INT(A829/6)</f>
        <v>137</v>
      </c>
      <c r="D829" s="16" t="n">
        <f aca="false">IF(C829=0,(1+Dic2024!$G$6)^(-B829),EXP(LN(INDEX(Dic2024!$H$6:$H$205,C829))+(LN(INDEX(Dic2024!$H$6:$H$205,MIN(C829+1,200)))-LN(INDEX(Dic2024!$H$6:$H$205,C829)))*(A829-6*C829)/6))</f>
        <v>0.0181165955654711</v>
      </c>
      <c r="E829" s="12" t="n">
        <f aca="false">D829^(-1/B829)-1</f>
        <v>0.0600761600000002</v>
      </c>
      <c r="F829" s="12" t="n">
        <f aca="false">(1+E829)^(1/12)-1</f>
        <v>0.00487356693268182</v>
      </c>
      <c r="G829" s="16" t="n">
        <f aca="false">IF(C829=0,(1+Dic2024!$J$6)^(-B829),EXP(LN(INDEX(Dic2024!$K$6:$K$205,C829))+(LN(INDEX(Dic2024!$K$6:$K$205,MIN(C829+1,200)))-LN(INDEX(Dic2024!$K$6:$K$205,C829)))*(A829-6*C829)/6))</f>
        <v>0.0181165955654711</v>
      </c>
      <c r="H829" s="12" t="n">
        <f aca="false">G829^(-1/B829)-1</f>
        <v>0.0600761600000002</v>
      </c>
      <c r="I829" s="12" t="n">
        <f aca="false">(1+H829)^(1/12)-1</f>
        <v>0.00487356693268182</v>
      </c>
      <c r="J829" s="16" t="n">
        <f aca="false">IF(C829=0,(1+Dic2024!$M$6)^(-B829),EXP(LN(INDEX(Dic2024!$N$6:$N$205,C829))+(LN(INDEX(Dic2024!$N$6:$N$205,MIN(C829+1,200)))-LN(INDEX(Dic2024!$N$6:$N$205,C829)))*(A829-6*C829)/6))</f>
        <v>0.0181165955654711</v>
      </c>
      <c r="K829" s="12" t="n">
        <f aca="false">J829^(-1/B829)-1</f>
        <v>0.0600761600000002</v>
      </c>
      <c r="L829" s="12" t="n">
        <f aca="false">(1+K829)^(1/12)-1</f>
        <v>0.00487356693268182</v>
      </c>
    </row>
    <row r="830" customFormat="false" ht="15" hidden="false" customHeight="false" outlineLevel="0" collapsed="false">
      <c r="A830" s="4" t="n">
        <v>826</v>
      </c>
      <c r="B830" s="14" t="n">
        <f aca="false">A830/12</f>
        <v>68.8333333333333</v>
      </c>
      <c r="C830" s="15" t="n">
        <f aca="false">INT(A830/6)</f>
        <v>137</v>
      </c>
      <c r="D830" s="16" t="n">
        <f aca="false">IF(C830=0,(1+Dic2024!$G$6)^(-B830),EXP(LN(INDEX(Dic2024!$H$6:$H$205,C830))+(LN(INDEX(Dic2024!$H$6:$H$205,MIN(C830+1,200)))-LN(INDEX(Dic2024!$H$6:$H$205,C830)))*(A830-6*C830)/6))</f>
        <v>0.0180287313365909</v>
      </c>
      <c r="E830" s="12" t="n">
        <f aca="false">D830^(-1/B830)-1</f>
        <v>0.0600761600000002</v>
      </c>
      <c r="F830" s="12" t="n">
        <f aca="false">(1+E830)^(1/12)-1</f>
        <v>0.00487356693268182</v>
      </c>
      <c r="G830" s="16" t="n">
        <f aca="false">IF(C830=0,(1+Dic2024!$J$6)^(-B830),EXP(LN(INDEX(Dic2024!$K$6:$K$205,C830))+(LN(INDEX(Dic2024!$K$6:$K$205,MIN(C830+1,200)))-LN(INDEX(Dic2024!$K$6:$K$205,C830)))*(A830-6*C830)/6))</f>
        <v>0.0180287313365909</v>
      </c>
      <c r="H830" s="12" t="n">
        <f aca="false">G830^(-1/B830)-1</f>
        <v>0.0600761600000002</v>
      </c>
      <c r="I830" s="12" t="n">
        <f aca="false">(1+H830)^(1/12)-1</f>
        <v>0.00487356693268182</v>
      </c>
      <c r="J830" s="16" t="n">
        <f aca="false">IF(C830=0,(1+Dic2024!$M$6)^(-B830),EXP(LN(INDEX(Dic2024!$N$6:$N$205,C830))+(LN(INDEX(Dic2024!$N$6:$N$205,MIN(C830+1,200)))-LN(INDEX(Dic2024!$N$6:$N$205,C830)))*(A830-6*C830)/6))</f>
        <v>0.0180287313365909</v>
      </c>
      <c r="K830" s="12" t="n">
        <f aca="false">J830^(-1/B830)-1</f>
        <v>0.0600761600000002</v>
      </c>
      <c r="L830" s="12" t="n">
        <f aca="false">(1+K830)^(1/12)-1</f>
        <v>0.00487356693268182</v>
      </c>
    </row>
    <row r="831" customFormat="false" ht="15" hidden="false" customHeight="false" outlineLevel="0" collapsed="false">
      <c r="A831" s="4" t="n">
        <v>827</v>
      </c>
      <c r="B831" s="14" t="n">
        <f aca="false">A831/12</f>
        <v>68.9166666666667</v>
      </c>
      <c r="C831" s="15" t="n">
        <f aca="false">INT(A831/6)</f>
        <v>137</v>
      </c>
      <c r="D831" s="16" t="n">
        <f aca="false">IF(C831=0,(1+Dic2024!$G$6)^(-B831),EXP(LN(INDEX(Dic2024!$H$6:$H$205,C831))+(LN(INDEX(Dic2024!$H$6:$H$205,MIN(C831+1,200)))-LN(INDEX(Dic2024!$H$6:$H$205,C831)))*(A831-6*C831)/6))</f>
        <v>0.0179412932431117</v>
      </c>
      <c r="E831" s="12" t="n">
        <f aca="false">D831^(-1/B831)-1</f>
        <v>0.0600761600000002</v>
      </c>
      <c r="F831" s="12" t="n">
        <f aca="false">(1+E831)^(1/12)-1</f>
        <v>0.00487356693268182</v>
      </c>
      <c r="G831" s="16" t="n">
        <f aca="false">IF(C831=0,(1+Dic2024!$J$6)^(-B831),EXP(LN(INDEX(Dic2024!$K$6:$K$205,C831))+(LN(INDEX(Dic2024!$K$6:$K$205,MIN(C831+1,200)))-LN(INDEX(Dic2024!$K$6:$K$205,C831)))*(A831-6*C831)/6))</f>
        <v>0.0179412932431117</v>
      </c>
      <c r="H831" s="12" t="n">
        <f aca="false">G831^(-1/B831)-1</f>
        <v>0.0600761600000002</v>
      </c>
      <c r="I831" s="12" t="n">
        <f aca="false">(1+H831)^(1/12)-1</f>
        <v>0.00487356693268182</v>
      </c>
      <c r="J831" s="16" t="n">
        <f aca="false">IF(C831=0,(1+Dic2024!$M$6)^(-B831),EXP(LN(INDEX(Dic2024!$N$6:$N$205,C831))+(LN(INDEX(Dic2024!$N$6:$N$205,MIN(C831+1,200)))-LN(INDEX(Dic2024!$N$6:$N$205,C831)))*(A831-6*C831)/6))</f>
        <v>0.0179412932431117</v>
      </c>
      <c r="K831" s="12" t="n">
        <f aca="false">J831^(-1/B831)-1</f>
        <v>0.0600761600000002</v>
      </c>
      <c r="L831" s="12" t="n">
        <f aca="false">(1+K831)^(1/12)-1</f>
        <v>0.00487356693268182</v>
      </c>
    </row>
    <row r="832" customFormat="false" ht="15" hidden="false" customHeight="false" outlineLevel="0" collapsed="false">
      <c r="A832" s="4" t="n">
        <v>828</v>
      </c>
      <c r="B832" s="14" t="n">
        <f aca="false">A832/12</f>
        <v>69</v>
      </c>
      <c r="C832" s="15" t="n">
        <f aca="false">INT(A832/6)</f>
        <v>138</v>
      </c>
      <c r="D832" s="16" t="n">
        <f aca="false">IF(C832=0,(1+Dic2024!$G$6)^(-B832),EXP(LN(INDEX(Dic2024!$H$6:$H$205,C832))+(LN(INDEX(Dic2024!$H$6:$H$205,MIN(C832+1,200)))-LN(INDEX(Dic2024!$H$6:$H$205,C832)))*(A832-6*C832)/6))</f>
        <v>0.0178542792183065</v>
      </c>
      <c r="E832" s="12" t="n">
        <f aca="false">D832^(-1/B832)-1</f>
        <v>0.0600761600000002</v>
      </c>
      <c r="F832" s="12" t="n">
        <f aca="false">(1+E832)^(1/12)-1</f>
        <v>0.00487356693268182</v>
      </c>
      <c r="G832" s="16" t="n">
        <f aca="false">IF(C832=0,(1+Dic2024!$J$6)^(-B832),EXP(LN(INDEX(Dic2024!$K$6:$K$205,C832))+(LN(INDEX(Dic2024!$K$6:$K$205,MIN(C832+1,200)))-LN(INDEX(Dic2024!$K$6:$K$205,C832)))*(A832-6*C832)/6))</f>
        <v>0.0178542792183065</v>
      </c>
      <c r="H832" s="12" t="n">
        <f aca="false">G832^(-1/B832)-1</f>
        <v>0.0600761600000002</v>
      </c>
      <c r="I832" s="12" t="n">
        <f aca="false">(1+H832)^(1/12)-1</f>
        <v>0.00487356693268182</v>
      </c>
      <c r="J832" s="16" t="n">
        <f aca="false">IF(C832=0,(1+Dic2024!$M$6)^(-B832),EXP(LN(INDEX(Dic2024!$N$6:$N$205,C832))+(LN(INDEX(Dic2024!$N$6:$N$205,MIN(C832+1,200)))-LN(INDEX(Dic2024!$N$6:$N$205,C832)))*(A832-6*C832)/6))</f>
        <v>0.0178542792183065</v>
      </c>
      <c r="K832" s="12" t="n">
        <f aca="false">J832^(-1/B832)-1</f>
        <v>0.0600761600000002</v>
      </c>
      <c r="L832" s="12" t="n">
        <f aca="false">(1+K832)^(1/12)-1</f>
        <v>0.00487356693268182</v>
      </c>
    </row>
    <row r="833" customFormat="false" ht="15" hidden="false" customHeight="false" outlineLevel="0" collapsed="false">
      <c r="A833" s="4" t="n">
        <v>829</v>
      </c>
      <c r="B833" s="14" t="n">
        <f aca="false">A833/12</f>
        <v>69.0833333333333</v>
      </c>
      <c r="C833" s="15" t="n">
        <f aca="false">INT(A833/6)</f>
        <v>138</v>
      </c>
      <c r="D833" s="16" t="n">
        <f aca="false">IF(C833=0,(1+Dic2024!$G$6)^(-B833),EXP(LN(INDEX(Dic2024!$H$6:$H$205,C833))+(LN(INDEX(Dic2024!$H$6:$H$205,MIN(C833+1,200)))-LN(INDEX(Dic2024!$H$6:$H$205,C833)))*(A833-6*C833)/6))</f>
        <v>0.0177676872054717</v>
      </c>
      <c r="E833" s="12" t="n">
        <f aca="false">D833^(-1/B833)-1</f>
        <v>0.0600761600000002</v>
      </c>
      <c r="F833" s="12" t="n">
        <f aca="false">(1+E833)^(1/12)-1</f>
        <v>0.00487356693268182</v>
      </c>
      <c r="G833" s="16" t="n">
        <f aca="false">IF(C833=0,(1+Dic2024!$J$6)^(-B833),EXP(LN(INDEX(Dic2024!$K$6:$K$205,C833))+(LN(INDEX(Dic2024!$K$6:$K$205,MIN(C833+1,200)))-LN(INDEX(Dic2024!$K$6:$K$205,C833)))*(A833-6*C833)/6))</f>
        <v>0.0177676872054717</v>
      </c>
      <c r="H833" s="12" t="n">
        <f aca="false">G833^(-1/B833)-1</f>
        <v>0.0600761600000002</v>
      </c>
      <c r="I833" s="12" t="n">
        <f aca="false">(1+H833)^(1/12)-1</f>
        <v>0.00487356693268182</v>
      </c>
      <c r="J833" s="16" t="n">
        <f aca="false">IF(C833=0,(1+Dic2024!$M$6)^(-B833),EXP(LN(INDEX(Dic2024!$N$6:$N$205,C833))+(LN(INDEX(Dic2024!$N$6:$N$205,MIN(C833+1,200)))-LN(INDEX(Dic2024!$N$6:$N$205,C833)))*(A833-6*C833)/6))</f>
        <v>0.0177676872054717</v>
      </c>
      <c r="K833" s="12" t="n">
        <f aca="false">J833^(-1/B833)-1</f>
        <v>0.0600761600000002</v>
      </c>
      <c r="L833" s="12" t="n">
        <f aca="false">(1+K833)^(1/12)-1</f>
        <v>0.00487356693268182</v>
      </c>
    </row>
    <row r="834" customFormat="false" ht="15" hidden="false" customHeight="false" outlineLevel="0" collapsed="false">
      <c r="A834" s="4" t="n">
        <v>830</v>
      </c>
      <c r="B834" s="14" t="n">
        <f aca="false">A834/12</f>
        <v>69.1666666666667</v>
      </c>
      <c r="C834" s="15" t="n">
        <f aca="false">INT(A834/6)</f>
        <v>138</v>
      </c>
      <c r="D834" s="16" t="n">
        <f aca="false">IF(C834=0,(1+Dic2024!$G$6)^(-B834),EXP(LN(INDEX(Dic2024!$H$6:$H$205,C834))+(LN(INDEX(Dic2024!$H$6:$H$205,MIN(C834+1,200)))-LN(INDEX(Dic2024!$H$6:$H$205,C834)))*(A834-6*C834)/6))</f>
        <v>0.0176815151578785</v>
      </c>
      <c r="E834" s="12" t="n">
        <f aca="false">D834^(-1/B834)-1</f>
        <v>0.0600761600000002</v>
      </c>
      <c r="F834" s="12" t="n">
        <f aca="false">(1+E834)^(1/12)-1</f>
        <v>0.00487356693268182</v>
      </c>
      <c r="G834" s="16" t="n">
        <f aca="false">IF(C834=0,(1+Dic2024!$J$6)^(-B834),EXP(LN(INDEX(Dic2024!$K$6:$K$205,C834))+(LN(INDEX(Dic2024!$K$6:$K$205,MIN(C834+1,200)))-LN(INDEX(Dic2024!$K$6:$K$205,C834)))*(A834-6*C834)/6))</f>
        <v>0.0176815151578785</v>
      </c>
      <c r="H834" s="12" t="n">
        <f aca="false">G834^(-1/B834)-1</f>
        <v>0.0600761600000002</v>
      </c>
      <c r="I834" s="12" t="n">
        <f aca="false">(1+H834)^(1/12)-1</f>
        <v>0.00487356693268182</v>
      </c>
      <c r="J834" s="16" t="n">
        <f aca="false">IF(C834=0,(1+Dic2024!$M$6)^(-B834),EXP(LN(INDEX(Dic2024!$N$6:$N$205,C834))+(LN(INDEX(Dic2024!$N$6:$N$205,MIN(C834+1,200)))-LN(INDEX(Dic2024!$N$6:$N$205,C834)))*(A834-6*C834)/6))</f>
        <v>0.0176815151578785</v>
      </c>
      <c r="K834" s="12" t="n">
        <f aca="false">J834^(-1/B834)-1</f>
        <v>0.0600761600000002</v>
      </c>
      <c r="L834" s="12" t="n">
        <f aca="false">(1+K834)^(1/12)-1</f>
        <v>0.00487356693268182</v>
      </c>
    </row>
    <row r="835" customFormat="false" ht="15" hidden="false" customHeight="false" outlineLevel="0" collapsed="false">
      <c r="A835" s="4" t="n">
        <v>831</v>
      </c>
      <c r="B835" s="14" t="n">
        <f aca="false">A835/12</f>
        <v>69.25</v>
      </c>
      <c r="C835" s="15" t="n">
        <f aca="false">INT(A835/6)</f>
        <v>138</v>
      </c>
      <c r="D835" s="16" t="n">
        <f aca="false">IF(C835=0,(1+Dic2024!$G$6)^(-B835),EXP(LN(INDEX(Dic2024!$H$6:$H$205,C835))+(LN(INDEX(Dic2024!$H$6:$H$205,MIN(C835+1,200)))-LN(INDEX(Dic2024!$H$6:$H$205,C835)))*(A835-6*C835)/6))</f>
        <v>0.0175957610387248</v>
      </c>
      <c r="E835" s="12" t="n">
        <f aca="false">D835^(-1/B835)-1</f>
        <v>0.0600761600000002</v>
      </c>
      <c r="F835" s="12" t="n">
        <f aca="false">(1+E835)^(1/12)-1</f>
        <v>0.00487356693268182</v>
      </c>
      <c r="G835" s="16" t="n">
        <f aca="false">IF(C835=0,(1+Dic2024!$J$6)^(-B835),EXP(LN(INDEX(Dic2024!$K$6:$K$205,C835))+(LN(INDEX(Dic2024!$K$6:$K$205,MIN(C835+1,200)))-LN(INDEX(Dic2024!$K$6:$K$205,C835)))*(A835-6*C835)/6))</f>
        <v>0.0175957610387248</v>
      </c>
      <c r="H835" s="12" t="n">
        <f aca="false">G835^(-1/B835)-1</f>
        <v>0.0600761600000002</v>
      </c>
      <c r="I835" s="12" t="n">
        <f aca="false">(1+H835)^(1/12)-1</f>
        <v>0.00487356693268182</v>
      </c>
      <c r="J835" s="16" t="n">
        <f aca="false">IF(C835=0,(1+Dic2024!$M$6)^(-B835),EXP(LN(INDEX(Dic2024!$N$6:$N$205,C835))+(LN(INDEX(Dic2024!$N$6:$N$205,MIN(C835+1,200)))-LN(INDEX(Dic2024!$N$6:$N$205,C835)))*(A835-6*C835)/6))</f>
        <v>0.0175957610387248</v>
      </c>
      <c r="K835" s="12" t="n">
        <f aca="false">J835^(-1/B835)-1</f>
        <v>0.0600761600000002</v>
      </c>
      <c r="L835" s="12" t="n">
        <f aca="false">(1+K835)^(1/12)-1</f>
        <v>0.00487356693268182</v>
      </c>
    </row>
    <row r="836" customFormat="false" ht="15" hidden="false" customHeight="false" outlineLevel="0" collapsed="false">
      <c r="A836" s="4" t="n">
        <v>832</v>
      </c>
      <c r="B836" s="14" t="n">
        <f aca="false">A836/12</f>
        <v>69.3333333333333</v>
      </c>
      <c r="C836" s="15" t="n">
        <f aca="false">INT(A836/6)</f>
        <v>138</v>
      </c>
      <c r="D836" s="16" t="n">
        <f aca="false">IF(C836=0,(1+Dic2024!$G$6)^(-B836),EXP(LN(INDEX(Dic2024!$H$6:$H$205,C836))+(LN(INDEX(Dic2024!$H$6:$H$205,MIN(C836+1,200)))-LN(INDEX(Dic2024!$H$6:$H$205,C836)))*(A836-6*C836)/6))</f>
        <v>0.0175104228210867</v>
      </c>
      <c r="E836" s="12" t="n">
        <f aca="false">D836^(-1/B836)-1</f>
        <v>0.0600761600000002</v>
      </c>
      <c r="F836" s="12" t="n">
        <f aca="false">(1+E836)^(1/12)-1</f>
        <v>0.00487356693268182</v>
      </c>
      <c r="G836" s="16" t="n">
        <f aca="false">IF(C836=0,(1+Dic2024!$J$6)^(-B836),EXP(LN(INDEX(Dic2024!$K$6:$K$205,C836))+(LN(INDEX(Dic2024!$K$6:$K$205,MIN(C836+1,200)))-LN(INDEX(Dic2024!$K$6:$K$205,C836)))*(A836-6*C836)/6))</f>
        <v>0.0175104228210867</v>
      </c>
      <c r="H836" s="12" t="n">
        <f aca="false">G836^(-1/B836)-1</f>
        <v>0.0600761600000002</v>
      </c>
      <c r="I836" s="12" t="n">
        <f aca="false">(1+H836)^(1/12)-1</f>
        <v>0.00487356693268182</v>
      </c>
      <c r="J836" s="16" t="n">
        <f aca="false">IF(C836=0,(1+Dic2024!$M$6)^(-B836),EXP(LN(INDEX(Dic2024!$N$6:$N$205,C836))+(LN(INDEX(Dic2024!$N$6:$N$205,MIN(C836+1,200)))-LN(INDEX(Dic2024!$N$6:$N$205,C836)))*(A836-6*C836)/6))</f>
        <v>0.0175104228210867</v>
      </c>
      <c r="K836" s="12" t="n">
        <f aca="false">J836^(-1/B836)-1</f>
        <v>0.0600761600000002</v>
      </c>
      <c r="L836" s="12" t="n">
        <f aca="false">(1+K836)^(1/12)-1</f>
        <v>0.00487356693268182</v>
      </c>
    </row>
    <row r="837" customFormat="false" ht="15" hidden="false" customHeight="false" outlineLevel="0" collapsed="false">
      <c r="A837" s="4" t="n">
        <v>833</v>
      </c>
      <c r="B837" s="14" t="n">
        <f aca="false">A837/12</f>
        <v>69.4166666666667</v>
      </c>
      <c r="C837" s="15" t="n">
        <f aca="false">INT(A837/6)</f>
        <v>138</v>
      </c>
      <c r="D837" s="16" t="n">
        <f aca="false">IF(C837=0,(1+Dic2024!$G$6)^(-B837),EXP(LN(INDEX(Dic2024!$H$6:$H$205,C837))+(LN(INDEX(Dic2024!$H$6:$H$205,MIN(C837+1,200)))-LN(INDEX(Dic2024!$H$6:$H$205,C837)))*(A837-6*C837)/6))</f>
        <v>0.0174254984878707</v>
      </c>
      <c r="E837" s="12" t="n">
        <f aca="false">D837^(-1/B837)-1</f>
        <v>0.0600761600000002</v>
      </c>
      <c r="F837" s="12" t="n">
        <f aca="false">(1+E837)^(1/12)-1</f>
        <v>0.00487356693268182</v>
      </c>
      <c r="G837" s="16" t="n">
        <f aca="false">IF(C837=0,(1+Dic2024!$J$6)^(-B837),EXP(LN(INDEX(Dic2024!$K$6:$K$205,C837))+(LN(INDEX(Dic2024!$K$6:$K$205,MIN(C837+1,200)))-LN(INDEX(Dic2024!$K$6:$K$205,C837)))*(A837-6*C837)/6))</f>
        <v>0.0174254984878707</v>
      </c>
      <c r="H837" s="12" t="n">
        <f aca="false">G837^(-1/B837)-1</f>
        <v>0.0600761600000002</v>
      </c>
      <c r="I837" s="12" t="n">
        <f aca="false">(1+H837)^(1/12)-1</f>
        <v>0.00487356693268182</v>
      </c>
      <c r="J837" s="16" t="n">
        <f aca="false">IF(C837=0,(1+Dic2024!$M$6)^(-B837),EXP(LN(INDEX(Dic2024!$N$6:$N$205,C837))+(LN(INDEX(Dic2024!$N$6:$N$205,MIN(C837+1,200)))-LN(INDEX(Dic2024!$N$6:$N$205,C837)))*(A837-6*C837)/6))</f>
        <v>0.0174254984878707</v>
      </c>
      <c r="K837" s="12" t="n">
        <f aca="false">J837^(-1/B837)-1</f>
        <v>0.0600761600000002</v>
      </c>
      <c r="L837" s="12" t="n">
        <f aca="false">(1+K837)^(1/12)-1</f>
        <v>0.00487356693268182</v>
      </c>
    </row>
    <row r="838" customFormat="false" ht="15" hidden="false" customHeight="false" outlineLevel="0" collapsed="false">
      <c r="A838" s="4" t="n">
        <v>834</v>
      </c>
      <c r="B838" s="14" t="n">
        <f aca="false">A838/12</f>
        <v>69.5</v>
      </c>
      <c r="C838" s="15" t="n">
        <f aca="false">INT(A838/6)</f>
        <v>139</v>
      </c>
      <c r="D838" s="16" t="n">
        <f aca="false">IF(C838=0,(1+Dic2024!$G$6)^(-B838),EXP(LN(INDEX(Dic2024!$H$6:$H$205,C838))+(LN(INDEX(Dic2024!$H$6:$H$205,MIN(C838+1,200)))-LN(INDEX(Dic2024!$H$6:$H$205,C838)))*(A838-6*C838)/6))</f>
        <v>0.0173409860317662</v>
      </c>
      <c r="E838" s="12" t="n">
        <f aca="false">D838^(-1/B838)-1</f>
        <v>0.0600761600000002</v>
      </c>
      <c r="F838" s="12" t="n">
        <f aca="false">(1+E838)^(1/12)-1</f>
        <v>0.00487356693268182</v>
      </c>
      <c r="G838" s="16" t="n">
        <f aca="false">IF(C838=0,(1+Dic2024!$J$6)^(-B838),EXP(LN(INDEX(Dic2024!$K$6:$K$205,C838))+(LN(INDEX(Dic2024!$K$6:$K$205,MIN(C838+1,200)))-LN(INDEX(Dic2024!$K$6:$K$205,C838)))*(A838-6*C838)/6))</f>
        <v>0.0173409860317662</v>
      </c>
      <c r="H838" s="12" t="n">
        <f aca="false">G838^(-1/B838)-1</f>
        <v>0.0600761600000002</v>
      </c>
      <c r="I838" s="12" t="n">
        <f aca="false">(1+H838)^(1/12)-1</f>
        <v>0.00487356693268182</v>
      </c>
      <c r="J838" s="16" t="n">
        <f aca="false">IF(C838=0,(1+Dic2024!$M$6)^(-B838),EXP(LN(INDEX(Dic2024!$N$6:$N$205,C838))+(LN(INDEX(Dic2024!$N$6:$N$205,MIN(C838+1,200)))-LN(INDEX(Dic2024!$N$6:$N$205,C838)))*(A838-6*C838)/6))</f>
        <v>0.0173409860317662</v>
      </c>
      <c r="K838" s="12" t="n">
        <f aca="false">J838^(-1/B838)-1</f>
        <v>0.0600761600000002</v>
      </c>
      <c r="L838" s="12" t="n">
        <f aca="false">(1+K838)^(1/12)-1</f>
        <v>0.00487356693268182</v>
      </c>
    </row>
    <row r="839" customFormat="false" ht="15" hidden="false" customHeight="false" outlineLevel="0" collapsed="false">
      <c r="A839" s="4" t="n">
        <v>835</v>
      </c>
      <c r="B839" s="14" t="n">
        <f aca="false">A839/12</f>
        <v>69.5833333333333</v>
      </c>
      <c r="C839" s="15" t="n">
        <f aca="false">INT(A839/6)</f>
        <v>139</v>
      </c>
      <c r="D839" s="16" t="n">
        <f aca="false">IF(C839=0,(1+Dic2024!$G$6)^(-B839),EXP(LN(INDEX(Dic2024!$H$6:$H$205,C839))+(LN(INDEX(Dic2024!$H$6:$H$205,MIN(C839+1,200)))-LN(INDEX(Dic2024!$H$6:$H$205,C839)))*(A839-6*C839)/6))</f>
        <v>0.0172568834551978</v>
      </c>
      <c r="E839" s="12" t="n">
        <f aca="false">D839^(-1/B839)-1</f>
        <v>0.0600761600000002</v>
      </c>
      <c r="F839" s="12" t="n">
        <f aca="false">(1+E839)^(1/12)-1</f>
        <v>0.00487356693268182</v>
      </c>
      <c r="G839" s="16" t="n">
        <f aca="false">IF(C839=0,(1+Dic2024!$J$6)^(-B839),EXP(LN(INDEX(Dic2024!$K$6:$K$205,C839))+(LN(INDEX(Dic2024!$K$6:$K$205,MIN(C839+1,200)))-LN(INDEX(Dic2024!$K$6:$K$205,C839)))*(A839-6*C839)/6))</f>
        <v>0.0172568834551978</v>
      </c>
      <c r="H839" s="12" t="n">
        <f aca="false">G839^(-1/B839)-1</f>
        <v>0.0600761600000002</v>
      </c>
      <c r="I839" s="12" t="n">
        <f aca="false">(1+H839)^(1/12)-1</f>
        <v>0.00487356693268182</v>
      </c>
      <c r="J839" s="16" t="n">
        <f aca="false">IF(C839=0,(1+Dic2024!$M$6)^(-B839),EXP(LN(INDEX(Dic2024!$N$6:$N$205,C839))+(LN(INDEX(Dic2024!$N$6:$N$205,MIN(C839+1,200)))-LN(INDEX(Dic2024!$N$6:$N$205,C839)))*(A839-6*C839)/6))</f>
        <v>0.0172568834551978</v>
      </c>
      <c r="K839" s="12" t="n">
        <f aca="false">J839^(-1/B839)-1</f>
        <v>0.0600761600000002</v>
      </c>
      <c r="L839" s="12" t="n">
        <f aca="false">(1+K839)^(1/12)-1</f>
        <v>0.00487356693268182</v>
      </c>
    </row>
    <row r="840" customFormat="false" ht="15" hidden="false" customHeight="false" outlineLevel="0" collapsed="false">
      <c r="A840" s="4" t="n">
        <v>836</v>
      </c>
      <c r="B840" s="14" t="n">
        <f aca="false">A840/12</f>
        <v>69.6666666666667</v>
      </c>
      <c r="C840" s="15" t="n">
        <f aca="false">INT(A840/6)</f>
        <v>139</v>
      </c>
      <c r="D840" s="16" t="n">
        <f aca="false">IF(C840=0,(1+Dic2024!$G$6)^(-B840),EXP(LN(INDEX(Dic2024!$H$6:$H$205,C840))+(LN(INDEX(Dic2024!$H$6:$H$205,MIN(C840+1,200)))-LN(INDEX(Dic2024!$H$6:$H$205,C840)))*(A840-6*C840)/6))</f>
        <v>0.0171731887702783</v>
      </c>
      <c r="E840" s="12" t="n">
        <f aca="false">D840^(-1/B840)-1</f>
        <v>0.0600761600000002</v>
      </c>
      <c r="F840" s="12" t="n">
        <f aca="false">(1+E840)^(1/12)-1</f>
        <v>0.00487356693268182</v>
      </c>
      <c r="G840" s="16" t="n">
        <f aca="false">IF(C840=0,(1+Dic2024!$J$6)^(-B840),EXP(LN(INDEX(Dic2024!$K$6:$K$205,C840))+(LN(INDEX(Dic2024!$K$6:$K$205,MIN(C840+1,200)))-LN(INDEX(Dic2024!$K$6:$K$205,C840)))*(A840-6*C840)/6))</f>
        <v>0.0171731887702783</v>
      </c>
      <c r="H840" s="12" t="n">
        <f aca="false">G840^(-1/B840)-1</f>
        <v>0.0600761600000002</v>
      </c>
      <c r="I840" s="12" t="n">
        <f aca="false">(1+H840)^(1/12)-1</f>
        <v>0.00487356693268182</v>
      </c>
      <c r="J840" s="16" t="n">
        <f aca="false">IF(C840=0,(1+Dic2024!$M$6)^(-B840),EXP(LN(INDEX(Dic2024!$N$6:$N$205,C840))+(LN(INDEX(Dic2024!$N$6:$N$205,MIN(C840+1,200)))-LN(INDEX(Dic2024!$N$6:$N$205,C840)))*(A840-6*C840)/6))</f>
        <v>0.0171731887702783</v>
      </c>
      <c r="K840" s="12" t="n">
        <f aca="false">J840^(-1/B840)-1</f>
        <v>0.0600761600000002</v>
      </c>
      <c r="L840" s="12" t="n">
        <f aca="false">(1+K840)^(1/12)-1</f>
        <v>0.00487356693268182</v>
      </c>
    </row>
    <row r="841" customFormat="false" ht="15" hidden="false" customHeight="false" outlineLevel="0" collapsed="false">
      <c r="A841" s="4" t="n">
        <v>837</v>
      </c>
      <c r="B841" s="14" t="n">
        <f aca="false">A841/12</f>
        <v>69.75</v>
      </c>
      <c r="C841" s="15" t="n">
        <f aca="false">INT(A841/6)</f>
        <v>139</v>
      </c>
      <c r="D841" s="16" t="n">
        <f aca="false">IF(C841=0,(1+Dic2024!$G$6)^(-B841),EXP(LN(INDEX(Dic2024!$H$6:$H$205,C841))+(LN(INDEX(Dic2024!$H$6:$H$205,MIN(C841+1,200)))-LN(INDEX(Dic2024!$H$6:$H$205,C841)))*(A841-6*C841)/6))</f>
        <v>0.0170898999987615</v>
      </c>
      <c r="E841" s="12" t="n">
        <f aca="false">D841^(-1/B841)-1</f>
        <v>0.0600761600000002</v>
      </c>
      <c r="F841" s="12" t="n">
        <f aca="false">(1+E841)^(1/12)-1</f>
        <v>0.00487356693268182</v>
      </c>
      <c r="G841" s="16" t="n">
        <f aca="false">IF(C841=0,(1+Dic2024!$J$6)^(-B841),EXP(LN(INDEX(Dic2024!$K$6:$K$205,C841))+(LN(INDEX(Dic2024!$K$6:$K$205,MIN(C841+1,200)))-LN(INDEX(Dic2024!$K$6:$K$205,C841)))*(A841-6*C841)/6))</f>
        <v>0.0170898999987615</v>
      </c>
      <c r="H841" s="12" t="n">
        <f aca="false">G841^(-1/B841)-1</f>
        <v>0.0600761600000002</v>
      </c>
      <c r="I841" s="12" t="n">
        <f aca="false">(1+H841)^(1/12)-1</f>
        <v>0.00487356693268182</v>
      </c>
      <c r="J841" s="16" t="n">
        <f aca="false">IF(C841=0,(1+Dic2024!$M$6)^(-B841),EXP(LN(INDEX(Dic2024!$N$6:$N$205,C841))+(LN(INDEX(Dic2024!$N$6:$N$205,MIN(C841+1,200)))-LN(INDEX(Dic2024!$N$6:$N$205,C841)))*(A841-6*C841)/6))</f>
        <v>0.0170898999987615</v>
      </c>
      <c r="K841" s="12" t="n">
        <f aca="false">J841^(-1/B841)-1</f>
        <v>0.0600761600000002</v>
      </c>
      <c r="L841" s="12" t="n">
        <f aca="false">(1+K841)^(1/12)-1</f>
        <v>0.00487356693268182</v>
      </c>
    </row>
    <row r="842" customFormat="false" ht="15" hidden="false" customHeight="false" outlineLevel="0" collapsed="false">
      <c r="A842" s="4" t="n">
        <v>838</v>
      </c>
      <c r="B842" s="14" t="n">
        <f aca="false">A842/12</f>
        <v>69.8333333333333</v>
      </c>
      <c r="C842" s="15" t="n">
        <f aca="false">INT(A842/6)</f>
        <v>139</v>
      </c>
      <c r="D842" s="16" t="n">
        <f aca="false">IF(C842=0,(1+Dic2024!$G$6)^(-B842),EXP(LN(INDEX(Dic2024!$H$6:$H$205,C842))+(LN(INDEX(Dic2024!$H$6:$H$205,MIN(C842+1,200)))-LN(INDEX(Dic2024!$H$6:$H$205,C842)))*(A842-6*C842)/6))</f>
        <v>0.0170070151719956</v>
      </c>
      <c r="E842" s="12" t="n">
        <f aca="false">D842^(-1/B842)-1</f>
        <v>0.0600761600000002</v>
      </c>
      <c r="F842" s="12" t="n">
        <f aca="false">(1+E842)^(1/12)-1</f>
        <v>0.00487356693268182</v>
      </c>
      <c r="G842" s="16" t="n">
        <f aca="false">IF(C842=0,(1+Dic2024!$J$6)^(-B842),EXP(LN(INDEX(Dic2024!$K$6:$K$205,C842))+(LN(INDEX(Dic2024!$K$6:$K$205,MIN(C842+1,200)))-LN(INDEX(Dic2024!$K$6:$K$205,C842)))*(A842-6*C842)/6))</f>
        <v>0.0170070151719956</v>
      </c>
      <c r="H842" s="12" t="n">
        <f aca="false">G842^(-1/B842)-1</f>
        <v>0.0600761600000002</v>
      </c>
      <c r="I842" s="12" t="n">
        <f aca="false">(1+H842)^(1/12)-1</f>
        <v>0.00487356693268182</v>
      </c>
      <c r="J842" s="16" t="n">
        <f aca="false">IF(C842=0,(1+Dic2024!$M$6)^(-B842),EXP(LN(INDEX(Dic2024!$N$6:$N$205,C842))+(LN(INDEX(Dic2024!$N$6:$N$205,MIN(C842+1,200)))-LN(INDEX(Dic2024!$N$6:$N$205,C842)))*(A842-6*C842)/6))</f>
        <v>0.0170070151719956</v>
      </c>
      <c r="K842" s="12" t="n">
        <f aca="false">J842^(-1/B842)-1</f>
        <v>0.0600761600000002</v>
      </c>
      <c r="L842" s="12" t="n">
        <f aca="false">(1+K842)^(1/12)-1</f>
        <v>0.00487356693268182</v>
      </c>
    </row>
    <row r="843" customFormat="false" ht="15" hidden="false" customHeight="false" outlineLevel="0" collapsed="false">
      <c r="A843" s="4" t="n">
        <v>839</v>
      </c>
      <c r="B843" s="14" t="n">
        <f aca="false">A843/12</f>
        <v>69.9166666666667</v>
      </c>
      <c r="C843" s="15" t="n">
        <f aca="false">INT(A843/6)</f>
        <v>139</v>
      </c>
      <c r="D843" s="16" t="n">
        <f aca="false">IF(C843=0,(1+Dic2024!$G$6)^(-B843),EXP(LN(INDEX(Dic2024!$H$6:$H$205,C843))+(LN(INDEX(Dic2024!$H$6:$H$205,MIN(C843+1,200)))-LN(INDEX(Dic2024!$H$6:$H$205,C843)))*(A843-6*C843)/6))</f>
        <v>0.0169245323308768</v>
      </c>
      <c r="E843" s="12" t="n">
        <f aca="false">D843^(-1/B843)-1</f>
        <v>0.0600761600000002</v>
      </c>
      <c r="F843" s="12" t="n">
        <f aca="false">(1+E843)^(1/12)-1</f>
        <v>0.00487356693268182</v>
      </c>
      <c r="G843" s="16" t="n">
        <f aca="false">IF(C843=0,(1+Dic2024!$J$6)^(-B843),EXP(LN(INDEX(Dic2024!$K$6:$K$205,C843))+(LN(INDEX(Dic2024!$K$6:$K$205,MIN(C843+1,200)))-LN(INDEX(Dic2024!$K$6:$K$205,C843)))*(A843-6*C843)/6))</f>
        <v>0.0169245323308768</v>
      </c>
      <c r="H843" s="12" t="n">
        <f aca="false">G843^(-1/B843)-1</f>
        <v>0.0600761600000002</v>
      </c>
      <c r="I843" s="12" t="n">
        <f aca="false">(1+H843)^(1/12)-1</f>
        <v>0.00487356693268182</v>
      </c>
      <c r="J843" s="16" t="n">
        <f aca="false">IF(C843=0,(1+Dic2024!$M$6)^(-B843),EXP(LN(INDEX(Dic2024!$N$6:$N$205,C843))+(LN(INDEX(Dic2024!$N$6:$N$205,MIN(C843+1,200)))-LN(INDEX(Dic2024!$N$6:$N$205,C843)))*(A843-6*C843)/6))</f>
        <v>0.0169245323308768</v>
      </c>
      <c r="K843" s="12" t="n">
        <f aca="false">J843^(-1/B843)-1</f>
        <v>0.0600761600000002</v>
      </c>
      <c r="L843" s="12" t="n">
        <f aca="false">(1+K843)^(1/12)-1</f>
        <v>0.00487356693268182</v>
      </c>
    </row>
    <row r="844" customFormat="false" ht="15" hidden="false" customHeight="false" outlineLevel="0" collapsed="false">
      <c r="A844" s="4" t="n">
        <v>840</v>
      </c>
      <c r="B844" s="14" t="n">
        <f aca="false">A844/12</f>
        <v>70</v>
      </c>
      <c r="C844" s="15" t="n">
        <f aca="false">INT(A844/6)</f>
        <v>140</v>
      </c>
      <c r="D844" s="16" t="n">
        <f aca="false">IF(C844=0,(1+Dic2024!$G$6)^(-B844),EXP(LN(INDEX(Dic2024!$H$6:$H$205,C844))+(LN(INDEX(Dic2024!$H$6:$H$205,MIN(C844+1,200)))-LN(INDEX(Dic2024!$H$6:$H$205,C844)))*(A844-6*C844)/6))</f>
        <v>0.0168424495258025</v>
      </c>
      <c r="E844" s="12" t="n">
        <f aca="false">D844^(-1/B844)-1</f>
        <v>0.0600761600000002</v>
      </c>
      <c r="F844" s="12" t="n">
        <f aca="false">(1+E844)^(1/12)-1</f>
        <v>0.00487356693268182</v>
      </c>
      <c r="G844" s="16" t="n">
        <f aca="false">IF(C844=0,(1+Dic2024!$J$6)^(-B844),EXP(LN(INDEX(Dic2024!$K$6:$K$205,C844))+(LN(INDEX(Dic2024!$K$6:$K$205,MIN(C844+1,200)))-LN(INDEX(Dic2024!$K$6:$K$205,C844)))*(A844-6*C844)/6))</f>
        <v>0.0168424495258025</v>
      </c>
      <c r="H844" s="12" t="n">
        <f aca="false">G844^(-1/B844)-1</f>
        <v>0.0600761600000002</v>
      </c>
      <c r="I844" s="12" t="n">
        <f aca="false">(1+H844)^(1/12)-1</f>
        <v>0.00487356693268182</v>
      </c>
      <c r="J844" s="16" t="n">
        <f aca="false">IF(C844=0,(1+Dic2024!$M$6)^(-B844),EXP(LN(INDEX(Dic2024!$N$6:$N$205,C844))+(LN(INDEX(Dic2024!$N$6:$N$205,MIN(C844+1,200)))-LN(INDEX(Dic2024!$N$6:$N$205,C844)))*(A844-6*C844)/6))</f>
        <v>0.0168424495258025</v>
      </c>
      <c r="K844" s="12" t="n">
        <f aca="false">J844^(-1/B844)-1</f>
        <v>0.0600761600000002</v>
      </c>
      <c r="L844" s="12" t="n">
        <f aca="false">(1+K844)^(1/12)-1</f>
        <v>0.00487356693268182</v>
      </c>
    </row>
    <row r="845" customFormat="false" ht="15" hidden="false" customHeight="false" outlineLevel="0" collapsed="false">
      <c r="A845" s="4" t="n">
        <v>841</v>
      </c>
      <c r="B845" s="14" t="n">
        <f aca="false">A845/12</f>
        <v>70.0833333333333</v>
      </c>
      <c r="C845" s="15" t="n">
        <f aca="false">INT(A845/6)</f>
        <v>140</v>
      </c>
      <c r="D845" s="16" t="n">
        <f aca="false">IF(C845=0,(1+Dic2024!$G$6)^(-B845),EXP(LN(INDEX(Dic2024!$H$6:$H$205,C845))+(LN(INDEX(Dic2024!$H$6:$H$205,MIN(C845+1,200)))-LN(INDEX(Dic2024!$H$6:$H$205,C845)))*(A845-6*C845)/6))</f>
        <v>0.0167607648166257</v>
      </c>
      <c r="E845" s="12" t="n">
        <f aca="false">D845^(-1/B845)-1</f>
        <v>0.0600761600000002</v>
      </c>
      <c r="F845" s="12" t="n">
        <f aca="false">(1+E845)^(1/12)-1</f>
        <v>0.00487356693268182</v>
      </c>
      <c r="G845" s="16" t="n">
        <f aca="false">IF(C845=0,(1+Dic2024!$J$6)^(-B845),EXP(LN(INDEX(Dic2024!$K$6:$K$205,C845))+(LN(INDEX(Dic2024!$K$6:$K$205,MIN(C845+1,200)))-LN(INDEX(Dic2024!$K$6:$K$205,C845)))*(A845-6*C845)/6))</f>
        <v>0.0167607648166257</v>
      </c>
      <c r="H845" s="12" t="n">
        <f aca="false">G845^(-1/B845)-1</f>
        <v>0.0600761600000002</v>
      </c>
      <c r="I845" s="12" t="n">
        <f aca="false">(1+H845)^(1/12)-1</f>
        <v>0.00487356693268182</v>
      </c>
      <c r="J845" s="16" t="n">
        <f aca="false">IF(C845=0,(1+Dic2024!$M$6)^(-B845),EXP(LN(INDEX(Dic2024!$N$6:$N$205,C845))+(LN(INDEX(Dic2024!$N$6:$N$205,MIN(C845+1,200)))-LN(INDEX(Dic2024!$N$6:$N$205,C845)))*(A845-6*C845)/6))</f>
        <v>0.0167607648166257</v>
      </c>
      <c r="K845" s="12" t="n">
        <f aca="false">J845^(-1/B845)-1</f>
        <v>0.0600761600000002</v>
      </c>
      <c r="L845" s="12" t="n">
        <f aca="false">(1+K845)^(1/12)-1</f>
        <v>0.00487356693268182</v>
      </c>
    </row>
    <row r="846" customFormat="false" ht="15" hidden="false" customHeight="false" outlineLevel="0" collapsed="false">
      <c r="A846" s="4" t="n">
        <v>842</v>
      </c>
      <c r="B846" s="14" t="n">
        <f aca="false">A846/12</f>
        <v>70.1666666666667</v>
      </c>
      <c r="C846" s="15" t="n">
        <f aca="false">INT(A846/6)</f>
        <v>140</v>
      </c>
      <c r="D846" s="16" t="n">
        <f aca="false">IF(C846=0,(1+Dic2024!$G$6)^(-B846),EXP(LN(INDEX(Dic2024!$H$6:$H$205,C846))+(LN(INDEX(Dic2024!$H$6:$H$205,MIN(C846+1,200)))-LN(INDEX(Dic2024!$H$6:$H$205,C846)))*(A846-6*C846)/6))</f>
        <v>0.0166794762726091</v>
      </c>
      <c r="E846" s="12" t="n">
        <f aca="false">D846^(-1/B846)-1</f>
        <v>0.0600761600000002</v>
      </c>
      <c r="F846" s="12" t="n">
        <f aca="false">(1+E846)^(1/12)-1</f>
        <v>0.00487356693268182</v>
      </c>
      <c r="G846" s="16" t="n">
        <f aca="false">IF(C846=0,(1+Dic2024!$J$6)^(-B846),EXP(LN(INDEX(Dic2024!$K$6:$K$205,C846))+(LN(INDEX(Dic2024!$K$6:$K$205,MIN(C846+1,200)))-LN(INDEX(Dic2024!$K$6:$K$205,C846)))*(A846-6*C846)/6))</f>
        <v>0.0166794762726091</v>
      </c>
      <c r="H846" s="12" t="n">
        <f aca="false">G846^(-1/B846)-1</f>
        <v>0.0600761600000002</v>
      </c>
      <c r="I846" s="12" t="n">
        <f aca="false">(1+H846)^(1/12)-1</f>
        <v>0.00487356693268182</v>
      </c>
      <c r="J846" s="16" t="n">
        <f aca="false">IF(C846=0,(1+Dic2024!$M$6)^(-B846),EXP(LN(INDEX(Dic2024!$N$6:$N$205,C846))+(LN(INDEX(Dic2024!$N$6:$N$205,MIN(C846+1,200)))-LN(INDEX(Dic2024!$N$6:$N$205,C846)))*(A846-6*C846)/6))</f>
        <v>0.0166794762726091</v>
      </c>
      <c r="K846" s="12" t="n">
        <f aca="false">J846^(-1/B846)-1</f>
        <v>0.0600761600000002</v>
      </c>
      <c r="L846" s="12" t="n">
        <f aca="false">(1+K846)^(1/12)-1</f>
        <v>0.00487356693268182</v>
      </c>
    </row>
    <row r="847" customFormat="false" ht="15" hidden="false" customHeight="false" outlineLevel="0" collapsed="false">
      <c r="A847" s="4" t="n">
        <v>843</v>
      </c>
      <c r="B847" s="14" t="n">
        <f aca="false">A847/12</f>
        <v>70.25</v>
      </c>
      <c r="C847" s="15" t="n">
        <f aca="false">INT(A847/6)</f>
        <v>140</v>
      </c>
      <c r="D847" s="16" t="n">
        <f aca="false">IF(C847=0,(1+Dic2024!$G$6)^(-B847),EXP(LN(INDEX(Dic2024!$H$6:$H$205,C847))+(LN(INDEX(Dic2024!$H$6:$H$205,MIN(C847+1,200)))-LN(INDEX(Dic2024!$H$6:$H$205,C847)))*(A847-6*C847)/6))</f>
        <v>0.0165985819723791</v>
      </c>
      <c r="E847" s="12" t="n">
        <f aca="false">D847^(-1/B847)-1</f>
        <v>0.0600761600000002</v>
      </c>
      <c r="F847" s="12" t="n">
        <f aca="false">(1+E847)^(1/12)-1</f>
        <v>0.00487356693268182</v>
      </c>
      <c r="G847" s="16" t="n">
        <f aca="false">IF(C847=0,(1+Dic2024!$J$6)^(-B847),EXP(LN(INDEX(Dic2024!$K$6:$K$205,C847))+(LN(INDEX(Dic2024!$K$6:$K$205,MIN(C847+1,200)))-LN(INDEX(Dic2024!$K$6:$K$205,C847)))*(A847-6*C847)/6))</f>
        <v>0.0165985819723791</v>
      </c>
      <c r="H847" s="12" t="n">
        <f aca="false">G847^(-1/B847)-1</f>
        <v>0.0600761600000002</v>
      </c>
      <c r="I847" s="12" t="n">
        <f aca="false">(1+H847)^(1/12)-1</f>
        <v>0.00487356693268182</v>
      </c>
      <c r="J847" s="16" t="n">
        <f aca="false">IF(C847=0,(1+Dic2024!$M$6)^(-B847),EXP(LN(INDEX(Dic2024!$N$6:$N$205,C847))+(LN(INDEX(Dic2024!$N$6:$N$205,MIN(C847+1,200)))-LN(INDEX(Dic2024!$N$6:$N$205,C847)))*(A847-6*C847)/6))</f>
        <v>0.0165985819723791</v>
      </c>
      <c r="K847" s="12" t="n">
        <f aca="false">J847^(-1/B847)-1</f>
        <v>0.0600761600000002</v>
      </c>
      <c r="L847" s="12" t="n">
        <f aca="false">(1+K847)^(1/12)-1</f>
        <v>0.00487356693268182</v>
      </c>
    </row>
    <row r="848" customFormat="false" ht="15" hidden="false" customHeight="false" outlineLevel="0" collapsed="false">
      <c r="A848" s="4" t="n">
        <v>844</v>
      </c>
      <c r="B848" s="14" t="n">
        <f aca="false">A848/12</f>
        <v>70.3333333333333</v>
      </c>
      <c r="C848" s="15" t="n">
        <f aca="false">INT(A848/6)</f>
        <v>140</v>
      </c>
      <c r="D848" s="16" t="n">
        <f aca="false">IF(C848=0,(1+Dic2024!$G$6)^(-B848),EXP(LN(INDEX(Dic2024!$H$6:$H$205,C848))+(LN(INDEX(Dic2024!$H$6:$H$205,MIN(C848+1,200)))-LN(INDEX(Dic2024!$H$6:$H$205,C848)))*(A848-6*C848)/6))</f>
        <v>0.0165180800038808</v>
      </c>
      <c r="E848" s="12" t="n">
        <f aca="false">D848^(-1/B848)-1</f>
        <v>0.0600761600000002</v>
      </c>
      <c r="F848" s="12" t="n">
        <f aca="false">(1+E848)^(1/12)-1</f>
        <v>0.00487356693268182</v>
      </c>
      <c r="G848" s="16" t="n">
        <f aca="false">IF(C848=0,(1+Dic2024!$J$6)^(-B848),EXP(LN(INDEX(Dic2024!$K$6:$K$205,C848))+(LN(INDEX(Dic2024!$K$6:$K$205,MIN(C848+1,200)))-LN(INDEX(Dic2024!$K$6:$K$205,C848)))*(A848-6*C848)/6))</f>
        <v>0.0165180800038808</v>
      </c>
      <c r="H848" s="12" t="n">
        <f aca="false">G848^(-1/B848)-1</f>
        <v>0.0600761600000002</v>
      </c>
      <c r="I848" s="12" t="n">
        <f aca="false">(1+H848)^(1/12)-1</f>
        <v>0.00487356693268182</v>
      </c>
      <c r="J848" s="16" t="n">
        <f aca="false">IF(C848=0,(1+Dic2024!$M$6)^(-B848),EXP(LN(INDEX(Dic2024!$N$6:$N$205,C848))+(LN(INDEX(Dic2024!$N$6:$N$205,MIN(C848+1,200)))-LN(INDEX(Dic2024!$N$6:$N$205,C848)))*(A848-6*C848)/6))</f>
        <v>0.0165180800038808</v>
      </c>
      <c r="K848" s="12" t="n">
        <f aca="false">J848^(-1/B848)-1</f>
        <v>0.0600761600000002</v>
      </c>
      <c r="L848" s="12" t="n">
        <f aca="false">(1+K848)^(1/12)-1</f>
        <v>0.00487356693268182</v>
      </c>
    </row>
    <row r="849" customFormat="false" ht="15" hidden="false" customHeight="false" outlineLevel="0" collapsed="false">
      <c r="A849" s="4" t="n">
        <v>845</v>
      </c>
      <c r="B849" s="14" t="n">
        <f aca="false">A849/12</f>
        <v>70.4166666666667</v>
      </c>
      <c r="C849" s="15" t="n">
        <f aca="false">INT(A849/6)</f>
        <v>140</v>
      </c>
      <c r="D849" s="16" t="n">
        <f aca="false">IF(C849=0,(1+Dic2024!$G$6)^(-B849),EXP(LN(INDEX(Dic2024!$H$6:$H$205,C849))+(LN(INDEX(Dic2024!$H$6:$H$205,MIN(C849+1,200)))-LN(INDEX(Dic2024!$H$6:$H$205,C849)))*(A849-6*C849)/6))</f>
        <v>0.0164379684643325</v>
      </c>
      <c r="E849" s="12" t="n">
        <f aca="false">D849^(-1/B849)-1</f>
        <v>0.0600761600000002</v>
      </c>
      <c r="F849" s="12" t="n">
        <f aca="false">(1+E849)^(1/12)-1</f>
        <v>0.00487356693268182</v>
      </c>
      <c r="G849" s="16" t="n">
        <f aca="false">IF(C849=0,(1+Dic2024!$J$6)^(-B849),EXP(LN(INDEX(Dic2024!$K$6:$K$205,C849))+(LN(INDEX(Dic2024!$K$6:$K$205,MIN(C849+1,200)))-LN(INDEX(Dic2024!$K$6:$K$205,C849)))*(A849-6*C849)/6))</f>
        <v>0.0164379684643325</v>
      </c>
      <c r="H849" s="12" t="n">
        <f aca="false">G849^(-1/B849)-1</f>
        <v>0.0600761600000002</v>
      </c>
      <c r="I849" s="12" t="n">
        <f aca="false">(1+H849)^(1/12)-1</f>
        <v>0.00487356693268182</v>
      </c>
      <c r="J849" s="16" t="n">
        <f aca="false">IF(C849=0,(1+Dic2024!$M$6)^(-B849),EXP(LN(INDEX(Dic2024!$N$6:$N$205,C849))+(LN(INDEX(Dic2024!$N$6:$N$205,MIN(C849+1,200)))-LN(INDEX(Dic2024!$N$6:$N$205,C849)))*(A849-6*C849)/6))</f>
        <v>0.0164379684643325</v>
      </c>
      <c r="K849" s="12" t="n">
        <f aca="false">J849^(-1/B849)-1</f>
        <v>0.0600761600000002</v>
      </c>
      <c r="L849" s="12" t="n">
        <f aca="false">(1+K849)^(1/12)-1</f>
        <v>0.00487356693268182</v>
      </c>
    </row>
    <row r="850" customFormat="false" ht="15" hidden="false" customHeight="false" outlineLevel="0" collapsed="false">
      <c r="A850" s="4" t="n">
        <v>846</v>
      </c>
      <c r="B850" s="14" t="n">
        <f aca="false">A850/12</f>
        <v>70.5</v>
      </c>
      <c r="C850" s="15" t="n">
        <f aca="false">INT(A850/6)</f>
        <v>141</v>
      </c>
      <c r="D850" s="16" t="n">
        <f aca="false">IF(C850=0,(1+Dic2024!$G$6)^(-B850),EXP(LN(INDEX(Dic2024!$H$6:$H$205,C850))+(LN(INDEX(Dic2024!$H$6:$H$205,MIN(C850+1,200)))-LN(INDEX(Dic2024!$H$6:$H$205,C850)))*(A850-6*C850)/6))</f>
        <v>0.0163582454601811</v>
      </c>
      <c r="E850" s="12" t="n">
        <f aca="false">D850^(-1/B850)-1</f>
        <v>0.0600761600000002</v>
      </c>
      <c r="F850" s="12" t="n">
        <f aca="false">(1+E850)^(1/12)-1</f>
        <v>0.00487356693268182</v>
      </c>
      <c r="G850" s="16" t="n">
        <f aca="false">IF(C850=0,(1+Dic2024!$J$6)^(-B850),EXP(LN(INDEX(Dic2024!$K$6:$K$205,C850))+(LN(INDEX(Dic2024!$K$6:$K$205,MIN(C850+1,200)))-LN(INDEX(Dic2024!$K$6:$K$205,C850)))*(A850-6*C850)/6))</f>
        <v>0.0163582454601811</v>
      </c>
      <c r="H850" s="12" t="n">
        <f aca="false">G850^(-1/B850)-1</f>
        <v>0.0600761600000002</v>
      </c>
      <c r="I850" s="12" t="n">
        <f aca="false">(1+H850)^(1/12)-1</f>
        <v>0.00487356693268182</v>
      </c>
      <c r="J850" s="16" t="n">
        <f aca="false">IF(C850=0,(1+Dic2024!$M$6)^(-B850),EXP(LN(INDEX(Dic2024!$N$6:$N$205,C850))+(LN(INDEX(Dic2024!$N$6:$N$205,MIN(C850+1,200)))-LN(INDEX(Dic2024!$N$6:$N$205,C850)))*(A850-6*C850)/6))</f>
        <v>0.0163582454601811</v>
      </c>
      <c r="K850" s="12" t="n">
        <f aca="false">J850^(-1/B850)-1</f>
        <v>0.0600761600000002</v>
      </c>
      <c r="L850" s="12" t="n">
        <f aca="false">(1+K850)^(1/12)-1</f>
        <v>0.00487356693268182</v>
      </c>
    </row>
    <row r="851" customFormat="false" ht="15" hidden="false" customHeight="false" outlineLevel="0" collapsed="false">
      <c r="A851" s="4" t="n">
        <v>847</v>
      </c>
      <c r="B851" s="14" t="n">
        <f aca="false">A851/12</f>
        <v>70.5833333333333</v>
      </c>
      <c r="C851" s="15" t="n">
        <f aca="false">INT(A851/6)</f>
        <v>141</v>
      </c>
      <c r="D851" s="16" t="n">
        <f aca="false">IF(C851=0,(1+Dic2024!$G$6)^(-B851),EXP(LN(INDEX(Dic2024!$H$6:$H$205,C851))+(LN(INDEX(Dic2024!$H$6:$H$205,MIN(C851+1,200)))-LN(INDEX(Dic2024!$H$6:$H$205,C851)))*(A851-6*C851)/6))</f>
        <v>0.0162602107358456</v>
      </c>
      <c r="E851" s="12" t="n">
        <f aca="false">D851^(-1/B851)-1</f>
        <v>0.0600934210201161</v>
      </c>
      <c r="F851" s="12" t="n">
        <f aca="false">(1+E851)^(1/12)-1</f>
        <v>0.0048749304363982</v>
      </c>
      <c r="G851" s="16" t="n">
        <f aca="false">IF(C851=0,(1+Dic2024!$J$6)^(-B851),EXP(LN(INDEX(Dic2024!$K$6:$K$205,C851))+(LN(INDEX(Dic2024!$K$6:$K$205,MIN(C851+1,200)))-LN(INDEX(Dic2024!$K$6:$K$205,C851)))*(A851-6*C851)/6))</f>
        <v>0.0162602107358456</v>
      </c>
      <c r="H851" s="12" t="n">
        <f aca="false">G851^(-1/B851)-1</f>
        <v>0.0600934210201161</v>
      </c>
      <c r="I851" s="12" t="n">
        <f aca="false">(1+H851)^(1/12)-1</f>
        <v>0.0048749304363982</v>
      </c>
      <c r="J851" s="16" t="n">
        <f aca="false">IF(C851=0,(1+Dic2024!$M$6)^(-B851),EXP(LN(INDEX(Dic2024!$N$6:$N$205,C851))+(LN(INDEX(Dic2024!$N$6:$N$205,MIN(C851+1,200)))-LN(INDEX(Dic2024!$N$6:$N$205,C851)))*(A851-6*C851)/6))</f>
        <v>0.0162602107358456</v>
      </c>
      <c r="K851" s="12" t="n">
        <f aca="false">J851^(-1/B851)-1</f>
        <v>0.0600934210201161</v>
      </c>
      <c r="L851" s="12" t="n">
        <f aca="false">(1+K851)^(1/12)-1</f>
        <v>0.0048749304363982</v>
      </c>
    </row>
    <row r="852" customFormat="false" ht="15" hidden="false" customHeight="false" outlineLevel="0" collapsed="false">
      <c r="A852" s="4" t="n">
        <v>848</v>
      </c>
      <c r="B852" s="14" t="n">
        <f aca="false">A852/12</f>
        <v>70.6666666666667</v>
      </c>
      <c r="C852" s="15" t="n">
        <f aca="false">INT(A852/6)</f>
        <v>141</v>
      </c>
      <c r="D852" s="16" t="n">
        <f aca="false">IF(C852=0,(1+Dic2024!$G$6)^(-B852),EXP(LN(INDEX(Dic2024!$H$6:$H$205,C852))+(LN(INDEX(Dic2024!$H$6:$H$205,MIN(C852+1,200)))-LN(INDEX(Dic2024!$H$6:$H$205,C852)))*(A852-6*C852)/6))</f>
        <v>0.0161627635321705</v>
      </c>
      <c r="E852" s="12" t="n">
        <f aca="false">D852^(-1/B852)-1</f>
        <v>0.0601106416103434</v>
      </c>
      <c r="F852" s="12" t="n">
        <f aca="false">(1+E852)^(1/12)-1</f>
        <v>0.0048762907261477</v>
      </c>
      <c r="G852" s="16" t="n">
        <f aca="false">IF(C852=0,(1+Dic2024!$J$6)^(-B852),EXP(LN(INDEX(Dic2024!$K$6:$K$205,C852))+(LN(INDEX(Dic2024!$K$6:$K$205,MIN(C852+1,200)))-LN(INDEX(Dic2024!$K$6:$K$205,C852)))*(A852-6*C852)/6))</f>
        <v>0.0161627635321705</v>
      </c>
      <c r="H852" s="12" t="n">
        <f aca="false">G852^(-1/B852)-1</f>
        <v>0.0601106416103434</v>
      </c>
      <c r="I852" s="12" t="n">
        <f aca="false">(1+H852)^(1/12)-1</f>
        <v>0.0048762907261477</v>
      </c>
      <c r="J852" s="16" t="n">
        <f aca="false">IF(C852=0,(1+Dic2024!$M$6)^(-B852),EXP(LN(INDEX(Dic2024!$N$6:$N$205,C852))+(LN(INDEX(Dic2024!$N$6:$N$205,MIN(C852+1,200)))-LN(INDEX(Dic2024!$N$6:$N$205,C852)))*(A852-6*C852)/6))</f>
        <v>0.0161627635321705</v>
      </c>
      <c r="K852" s="12" t="n">
        <f aca="false">J852^(-1/B852)-1</f>
        <v>0.0601106416103434</v>
      </c>
      <c r="L852" s="12" t="n">
        <f aca="false">(1+K852)^(1/12)-1</f>
        <v>0.0048762907261477</v>
      </c>
    </row>
    <row r="853" customFormat="false" ht="15" hidden="false" customHeight="false" outlineLevel="0" collapsed="false">
      <c r="A853" s="4" t="n">
        <v>849</v>
      </c>
      <c r="B853" s="14" t="n">
        <f aca="false">A853/12</f>
        <v>70.75</v>
      </c>
      <c r="C853" s="15" t="n">
        <f aca="false">INT(A853/6)</f>
        <v>141</v>
      </c>
      <c r="D853" s="16" t="n">
        <f aca="false">IF(C853=0,(1+Dic2024!$G$6)^(-B853),EXP(LN(INDEX(Dic2024!$H$6:$H$205,C853))+(LN(INDEX(Dic2024!$H$6:$H$205,MIN(C853+1,200)))-LN(INDEX(Dic2024!$H$6:$H$205,C853)))*(A853-6*C853)/6))</f>
        <v>0.0160659003281532</v>
      </c>
      <c r="E853" s="12" t="n">
        <f aca="false">D853^(-1/B853)-1</f>
        <v>0.0601278219125598</v>
      </c>
      <c r="F853" s="12" t="n">
        <f aca="false">(1+E853)^(1/12)-1</f>
        <v>0.00487764781328059</v>
      </c>
      <c r="G853" s="16" t="n">
        <f aca="false">IF(C853=0,(1+Dic2024!$J$6)^(-B853),EXP(LN(INDEX(Dic2024!$K$6:$K$205,C853))+(LN(INDEX(Dic2024!$K$6:$K$205,MIN(C853+1,200)))-LN(INDEX(Dic2024!$K$6:$K$205,C853)))*(A853-6*C853)/6))</f>
        <v>0.0160659003281532</v>
      </c>
      <c r="H853" s="12" t="n">
        <f aca="false">G853^(-1/B853)-1</f>
        <v>0.0601278219125598</v>
      </c>
      <c r="I853" s="12" t="n">
        <f aca="false">(1+H853)^(1/12)-1</f>
        <v>0.00487764781328059</v>
      </c>
      <c r="J853" s="16" t="n">
        <f aca="false">IF(C853=0,(1+Dic2024!$M$6)^(-B853),EXP(LN(INDEX(Dic2024!$N$6:$N$205,C853))+(LN(INDEX(Dic2024!$N$6:$N$205,MIN(C853+1,200)))-LN(INDEX(Dic2024!$N$6:$N$205,C853)))*(A853-6*C853)/6))</f>
        <v>0.0160659003281532</v>
      </c>
      <c r="K853" s="12" t="n">
        <f aca="false">J853^(-1/B853)-1</f>
        <v>0.0601278219125598</v>
      </c>
      <c r="L853" s="12" t="n">
        <f aca="false">(1+K853)^(1/12)-1</f>
        <v>0.00487764781328059</v>
      </c>
    </row>
    <row r="854" customFormat="false" ht="15" hidden="false" customHeight="false" outlineLevel="0" collapsed="false">
      <c r="A854" s="4" t="n">
        <v>850</v>
      </c>
      <c r="B854" s="14" t="n">
        <f aca="false">A854/12</f>
        <v>70.8333333333333</v>
      </c>
      <c r="C854" s="15" t="n">
        <f aca="false">INT(A854/6)</f>
        <v>141</v>
      </c>
      <c r="D854" s="16" t="n">
        <f aca="false">IF(C854=0,(1+Dic2024!$G$6)^(-B854),EXP(LN(INDEX(Dic2024!$H$6:$H$205,C854))+(LN(INDEX(Dic2024!$H$6:$H$205,MIN(C854+1,200)))-LN(INDEX(Dic2024!$H$6:$H$205,C854)))*(A854-6*C854)/6))</f>
        <v>0.0159696176238922</v>
      </c>
      <c r="E854" s="12" t="n">
        <f aca="false">D854^(-1/B854)-1</f>
        <v>0.0601449620679801</v>
      </c>
      <c r="F854" s="12" t="n">
        <f aca="false">(1+E854)^(1/12)-1</f>
        <v>0.00487900170909339</v>
      </c>
      <c r="G854" s="16" t="n">
        <f aca="false">IF(C854=0,(1+Dic2024!$J$6)^(-B854),EXP(LN(INDEX(Dic2024!$K$6:$K$205,C854))+(LN(INDEX(Dic2024!$K$6:$K$205,MIN(C854+1,200)))-LN(INDEX(Dic2024!$K$6:$K$205,C854)))*(A854-6*C854)/6))</f>
        <v>0.0159696176238922</v>
      </c>
      <c r="H854" s="12" t="n">
        <f aca="false">G854^(-1/B854)-1</f>
        <v>0.0601449620679801</v>
      </c>
      <c r="I854" s="12" t="n">
        <f aca="false">(1+H854)^(1/12)-1</f>
        <v>0.00487900170909339</v>
      </c>
      <c r="J854" s="16" t="n">
        <f aca="false">IF(C854=0,(1+Dic2024!$M$6)^(-B854),EXP(LN(INDEX(Dic2024!$N$6:$N$205,C854))+(LN(INDEX(Dic2024!$N$6:$N$205,MIN(C854+1,200)))-LN(INDEX(Dic2024!$N$6:$N$205,C854)))*(A854-6*C854)/6))</f>
        <v>0.0159696176238922</v>
      </c>
      <c r="K854" s="12" t="n">
        <f aca="false">J854^(-1/B854)-1</f>
        <v>0.0601449620679801</v>
      </c>
      <c r="L854" s="12" t="n">
        <f aca="false">(1+K854)^(1/12)-1</f>
        <v>0.00487900170909339</v>
      </c>
    </row>
    <row r="855" customFormat="false" ht="15" hidden="false" customHeight="false" outlineLevel="0" collapsed="false">
      <c r="A855" s="4" t="n">
        <v>851</v>
      </c>
      <c r="B855" s="14" t="n">
        <f aca="false">A855/12</f>
        <v>70.9166666666667</v>
      </c>
      <c r="C855" s="15" t="n">
        <f aca="false">INT(A855/6)</f>
        <v>141</v>
      </c>
      <c r="D855" s="16" t="n">
        <f aca="false">IF(C855=0,(1+Dic2024!$G$6)^(-B855),EXP(LN(INDEX(Dic2024!$H$6:$H$205,C855))+(LN(INDEX(Dic2024!$H$6:$H$205,MIN(C855+1,200)))-LN(INDEX(Dic2024!$H$6:$H$205,C855)))*(A855-6*C855)/6))</f>
        <v>0.015873911940461</v>
      </c>
      <c r="E855" s="12" t="n">
        <f aca="false">D855^(-1/B855)-1</f>
        <v>0.0601620622171601</v>
      </c>
      <c r="F855" s="12" t="n">
        <f aca="false">(1+E855)^(1/12)-1</f>
        <v>0.00488035242482998</v>
      </c>
      <c r="G855" s="16" t="n">
        <f aca="false">IF(C855=0,(1+Dic2024!$J$6)^(-B855),EXP(LN(INDEX(Dic2024!$K$6:$K$205,C855))+(LN(INDEX(Dic2024!$K$6:$K$205,MIN(C855+1,200)))-LN(INDEX(Dic2024!$K$6:$K$205,C855)))*(A855-6*C855)/6))</f>
        <v>0.015873911940461</v>
      </c>
      <c r="H855" s="12" t="n">
        <f aca="false">G855^(-1/B855)-1</f>
        <v>0.0601620622171601</v>
      </c>
      <c r="I855" s="12" t="n">
        <f aca="false">(1+H855)^(1/12)-1</f>
        <v>0.00488035242482998</v>
      </c>
      <c r="J855" s="16" t="n">
        <f aca="false">IF(C855=0,(1+Dic2024!$M$6)^(-B855),EXP(LN(INDEX(Dic2024!$N$6:$N$205,C855))+(LN(INDEX(Dic2024!$N$6:$N$205,MIN(C855+1,200)))-LN(INDEX(Dic2024!$N$6:$N$205,C855)))*(A855-6*C855)/6))</f>
        <v>0.015873911940461</v>
      </c>
      <c r="K855" s="12" t="n">
        <f aca="false">J855^(-1/B855)-1</f>
        <v>0.0601620622171601</v>
      </c>
      <c r="L855" s="12" t="n">
        <f aca="false">(1+K855)^(1/12)-1</f>
        <v>0.00488035242482998</v>
      </c>
    </row>
    <row r="856" customFormat="false" ht="15" hidden="false" customHeight="false" outlineLevel="0" collapsed="false">
      <c r="A856" s="4" t="n">
        <v>852</v>
      </c>
      <c r="B856" s="14" t="n">
        <f aca="false">A856/12</f>
        <v>71</v>
      </c>
      <c r="C856" s="15" t="n">
        <f aca="false">INT(A856/6)</f>
        <v>142</v>
      </c>
      <c r="D856" s="16" t="n">
        <f aca="false">IF(C856=0,(1+Dic2024!$G$6)^(-B856),EXP(LN(INDEX(Dic2024!$H$6:$H$205,C856))+(LN(INDEX(Dic2024!$H$6:$H$205,MIN(C856+1,200)))-LN(INDEX(Dic2024!$H$6:$H$205,C856)))*(A856-6*C856)/6))</f>
        <v>0.0157787798197824</v>
      </c>
      <c r="E856" s="12" t="n">
        <f aca="false">D856^(-1/B856)-1</f>
        <v>0.0601791224999999</v>
      </c>
      <c r="F856" s="12" t="n">
        <f aca="false">(1+E856)^(1/12)-1</f>
        <v>0.00488169997168164</v>
      </c>
      <c r="G856" s="16" t="n">
        <f aca="false">IF(C856=0,(1+Dic2024!$J$6)^(-B856),EXP(LN(INDEX(Dic2024!$K$6:$K$205,C856))+(LN(INDEX(Dic2024!$K$6:$K$205,MIN(C856+1,200)))-LN(INDEX(Dic2024!$K$6:$K$205,C856)))*(A856-6*C856)/6))</f>
        <v>0.0157787798197824</v>
      </c>
      <c r="H856" s="12" t="n">
        <f aca="false">G856^(-1/B856)-1</f>
        <v>0.0601791224999999</v>
      </c>
      <c r="I856" s="12" t="n">
        <f aca="false">(1+H856)^(1/12)-1</f>
        <v>0.00488169997168164</v>
      </c>
      <c r="J856" s="16" t="n">
        <f aca="false">IF(C856=0,(1+Dic2024!$M$6)^(-B856),EXP(LN(INDEX(Dic2024!$N$6:$N$205,C856))+(LN(INDEX(Dic2024!$N$6:$N$205,MIN(C856+1,200)))-LN(INDEX(Dic2024!$N$6:$N$205,C856)))*(A856-6*C856)/6))</f>
        <v>0.0157787798197824</v>
      </c>
      <c r="K856" s="12" t="n">
        <f aca="false">J856^(-1/B856)-1</f>
        <v>0.0601791224999999</v>
      </c>
      <c r="L856" s="12" t="n">
        <f aca="false">(1+K856)^(1/12)-1</f>
        <v>0.00488169997168164</v>
      </c>
    </row>
    <row r="857" customFormat="false" ht="15" hidden="false" customHeight="false" outlineLevel="0" collapsed="false">
      <c r="A857" s="4" t="n">
        <v>853</v>
      </c>
      <c r="B857" s="14" t="n">
        <f aca="false">A857/12</f>
        <v>71.0833333333333</v>
      </c>
      <c r="C857" s="15" t="n">
        <f aca="false">INT(A857/6)</f>
        <v>142</v>
      </c>
      <c r="D857" s="16" t="n">
        <f aca="false">IF(C857=0,(1+Dic2024!$G$6)^(-B857),EXP(LN(INDEX(Dic2024!$H$6:$H$205,C857))+(LN(INDEX(Dic2024!$H$6:$H$205,MIN(C857+1,200)))-LN(INDEX(Dic2024!$H$6:$H$205,C857)))*(A857-6*C857)/6))</f>
        <v>0.0157021267480809</v>
      </c>
      <c r="E857" s="12" t="n">
        <f aca="false">D857^(-1/B857)-1</f>
        <v>0.0601791224999999</v>
      </c>
      <c r="F857" s="12" t="n">
        <f aca="false">(1+E857)^(1/12)-1</f>
        <v>0.00488169997168164</v>
      </c>
      <c r="G857" s="16" t="n">
        <f aca="false">IF(C857=0,(1+Dic2024!$J$6)^(-B857),EXP(LN(INDEX(Dic2024!$K$6:$K$205,C857))+(LN(INDEX(Dic2024!$K$6:$K$205,MIN(C857+1,200)))-LN(INDEX(Dic2024!$K$6:$K$205,C857)))*(A857-6*C857)/6))</f>
        <v>0.0157021267480809</v>
      </c>
      <c r="H857" s="12" t="n">
        <f aca="false">G857^(-1/B857)-1</f>
        <v>0.0601791224999999</v>
      </c>
      <c r="I857" s="12" t="n">
        <f aca="false">(1+H857)^(1/12)-1</f>
        <v>0.00488169997168164</v>
      </c>
      <c r="J857" s="16" t="n">
        <f aca="false">IF(C857=0,(1+Dic2024!$M$6)^(-B857),EXP(LN(INDEX(Dic2024!$N$6:$N$205,C857))+(LN(INDEX(Dic2024!$N$6:$N$205,MIN(C857+1,200)))-LN(INDEX(Dic2024!$N$6:$N$205,C857)))*(A857-6*C857)/6))</f>
        <v>0.0157021267480809</v>
      </c>
      <c r="K857" s="12" t="n">
        <f aca="false">J857^(-1/B857)-1</f>
        <v>0.0601791224999999</v>
      </c>
      <c r="L857" s="12" t="n">
        <f aca="false">(1+K857)^(1/12)-1</f>
        <v>0.00488169997168164</v>
      </c>
    </row>
    <row r="858" customFormat="false" ht="15" hidden="false" customHeight="false" outlineLevel="0" collapsed="false">
      <c r="A858" s="4" t="n">
        <v>854</v>
      </c>
      <c r="B858" s="14" t="n">
        <f aca="false">A858/12</f>
        <v>71.1666666666667</v>
      </c>
      <c r="C858" s="15" t="n">
        <f aca="false">INT(A858/6)</f>
        <v>142</v>
      </c>
      <c r="D858" s="16" t="n">
        <f aca="false">IF(C858=0,(1+Dic2024!$G$6)^(-B858),EXP(LN(INDEX(Dic2024!$H$6:$H$205,C858))+(LN(INDEX(Dic2024!$H$6:$H$205,MIN(C858+1,200)))-LN(INDEX(Dic2024!$H$6:$H$205,C858)))*(A858-6*C858)/6))</f>
        <v>0.0156258460558327</v>
      </c>
      <c r="E858" s="12" t="n">
        <f aca="false">D858^(-1/B858)-1</f>
        <v>0.0601791224999999</v>
      </c>
      <c r="F858" s="12" t="n">
        <f aca="false">(1+E858)^(1/12)-1</f>
        <v>0.00488169997168164</v>
      </c>
      <c r="G858" s="16" t="n">
        <f aca="false">IF(C858=0,(1+Dic2024!$J$6)^(-B858),EXP(LN(INDEX(Dic2024!$K$6:$K$205,C858))+(LN(INDEX(Dic2024!$K$6:$K$205,MIN(C858+1,200)))-LN(INDEX(Dic2024!$K$6:$K$205,C858)))*(A858-6*C858)/6))</f>
        <v>0.0156258460558327</v>
      </c>
      <c r="H858" s="12" t="n">
        <f aca="false">G858^(-1/B858)-1</f>
        <v>0.0601791224999999</v>
      </c>
      <c r="I858" s="12" t="n">
        <f aca="false">(1+H858)^(1/12)-1</f>
        <v>0.00488169997168164</v>
      </c>
      <c r="J858" s="16" t="n">
        <f aca="false">IF(C858=0,(1+Dic2024!$M$6)^(-B858),EXP(LN(INDEX(Dic2024!$N$6:$N$205,C858))+(LN(INDEX(Dic2024!$N$6:$N$205,MIN(C858+1,200)))-LN(INDEX(Dic2024!$N$6:$N$205,C858)))*(A858-6*C858)/6))</f>
        <v>0.0156258460558327</v>
      </c>
      <c r="K858" s="12" t="n">
        <f aca="false">J858^(-1/B858)-1</f>
        <v>0.0601791224999999</v>
      </c>
      <c r="L858" s="12" t="n">
        <f aca="false">(1+K858)^(1/12)-1</f>
        <v>0.00488169997168164</v>
      </c>
    </row>
    <row r="859" customFormat="false" ht="15" hidden="false" customHeight="false" outlineLevel="0" collapsed="false">
      <c r="A859" s="4" t="n">
        <v>855</v>
      </c>
      <c r="B859" s="14" t="n">
        <f aca="false">A859/12</f>
        <v>71.25</v>
      </c>
      <c r="C859" s="15" t="n">
        <f aca="false">INT(A859/6)</f>
        <v>142</v>
      </c>
      <c r="D859" s="16" t="n">
        <f aca="false">IF(C859=0,(1+Dic2024!$G$6)^(-B859),EXP(LN(INDEX(Dic2024!$H$6:$H$205,C859))+(LN(INDEX(Dic2024!$H$6:$H$205,MIN(C859+1,200)))-LN(INDEX(Dic2024!$H$6:$H$205,C859)))*(A859-6*C859)/6))</f>
        <v>0.0155499359340239</v>
      </c>
      <c r="E859" s="12" t="n">
        <f aca="false">D859^(-1/B859)-1</f>
        <v>0.0601791224999999</v>
      </c>
      <c r="F859" s="12" t="n">
        <f aca="false">(1+E859)^(1/12)-1</f>
        <v>0.00488169997168164</v>
      </c>
      <c r="G859" s="16" t="n">
        <f aca="false">IF(C859=0,(1+Dic2024!$J$6)^(-B859),EXP(LN(INDEX(Dic2024!$K$6:$K$205,C859))+(LN(INDEX(Dic2024!$K$6:$K$205,MIN(C859+1,200)))-LN(INDEX(Dic2024!$K$6:$K$205,C859)))*(A859-6*C859)/6))</f>
        <v>0.0155499359340239</v>
      </c>
      <c r="H859" s="12" t="n">
        <f aca="false">G859^(-1/B859)-1</f>
        <v>0.0601791224999999</v>
      </c>
      <c r="I859" s="12" t="n">
        <f aca="false">(1+H859)^(1/12)-1</f>
        <v>0.00488169997168164</v>
      </c>
      <c r="J859" s="16" t="n">
        <f aca="false">IF(C859=0,(1+Dic2024!$M$6)^(-B859),EXP(LN(INDEX(Dic2024!$N$6:$N$205,C859))+(LN(INDEX(Dic2024!$N$6:$N$205,MIN(C859+1,200)))-LN(INDEX(Dic2024!$N$6:$N$205,C859)))*(A859-6*C859)/6))</f>
        <v>0.0155499359340239</v>
      </c>
      <c r="K859" s="12" t="n">
        <f aca="false">J859^(-1/B859)-1</f>
        <v>0.0601791224999999</v>
      </c>
      <c r="L859" s="12" t="n">
        <f aca="false">(1+K859)^(1/12)-1</f>
        <v>0.00488169997168164</v>
      </c>
    </row>
    <row r="860" customFormat="false" ht="15" hidden="false" customHeight="false" outlineLevel="0" collapsed="false">
      <c r="A860" s="4" t="n">
        <v>856</v>
      </c>
      <c r="B860" s="14" t="n">
        <f aca="false">A860/12</f>
        <v>71.3333333333333</v>
      </c>
      <c r="C860" s="15" t="n">
        <f aca="false">INT(A860/6)</f>
        <v>142</v>
      </c>
      <c r="D860" s="16" t="n">
        <f aca="false">IF(C860=0,(1+Dic2024!$G$6)^(-B860),EXP(LN(INDEX(Dic2024!$H$6:$H$205,C860))+(LN(INDEX(Dic2024!$H$6:$H$205,MIN(C860+1,200)))-LN(INDEX(Dic2024!$H$6:$H$205,C860)))*(A860-6*C860)/6))</f>
        <v>0.015474394582429</v>
      </c>
      <c r="E860" s="12" t="n">
        <f aca="false">D860^(-1/B860)-1</f>
        <v>0.0601791224999999</v>
      </c>
      <c r="F860" s="12" t="n">
        <f aca="false">(1+E860)^(1/12)-1</f>
        <v>0.00488169997168164</v>
      </c>
      <c r="G860" s="16" t="n">
        <f aca="false">IF(C860=0,(1+Dic2024!$J$6)^(-B860),EXP(LN(INDEX(Dic2024!$K$6:$K$205,C860))+(LN(INDEX(Dic2024!$K$6:$K$205,MIN(C860+1,200)))-LN(INDEX(Dic2024!$K$6:$K$205,C860)))*(A860-6*C860)/6))</f>
        <v>0.015474394582429</v>
      </c>
      <c r="H860" s="12" t="n">
        <f aca="false">G860^(-1/B860)-1</f>
        <v>0.0601791224999999</v>
      </c>
      <c r="I860" s="12" t="n">
        <f aca="false">(1+H860)^(1/12)-1</f>
        <v>0.00488169997168164</v>
      </c>
      <c r="J860" s="16" t="n">
        <f aca="false">IF(C860=0,(1+Dic2024!$M$6)^(-B860),EXP(LN(INDEX(Dic2024!$N$6:$N$205,C860))+(LN(INDEX(Dic2024!$N$6:$N$205,MIN(C860+1,200)))-LN(INDEX(Dic2024!$N$6:$N$205,C860)))*(A860-6*C860)/6))</f>
        <v>0.015474394582429</v>
      </c>
      <c r="K860" s="12" t="n">
        <f aca="false">J860^(-1/B860)-1</f>
        <v>0.0601791224999999</v>
      </c>
      <c r="L860" s="12" t="n">
        <f aca="false">(1+K860)^(1/12)-1</f>
        <v>0.00488169997168164</v>
      </c>
    </row>
    <row r="861" customFormat="false" ht="15" hidden="false" customHeight="false" outlineLevel="0" collapsed="false">
      <c r="A861" s="4" t="n">
        <v>857</v>
      </c>
      <c r="B861" s="14" t="n">
        <f aca="false">A861/12</f>
        <v>71.4166666666667</v>
      </c>
      <c r="C861" s="15" t="n">
        <f aca="false">INT(A861/6)</f>
        <v>142</v>
      </c>
      <c r="D861" s="16" t="n">
        <f aca="false">IF(C861=0,(1+Dic2024!$G$6)^(-B861),EXP(LN(INDEX(Dic2024!$H$6:$H$205,C861))+(LN(INDEX(Dic2024!$H$6:$H$205,MIN(C861+1,200)))-LN(INDEX(Dic2024!$H$6:$H$205,C861)))*(A861-6*C861)/6))</f>
        <v>0.0153992202095681</v>
      </c>
      <c r="E861" s="12" t="n">
        <f aca="false">D861^(-1/B861)-1</f>
        <v>0.0601791224999999</v>
      </c>
      <c r="F861" s="12" t="n">
        <f aca="false">(1+E861)^(1/12)-1</f>
        <v>0.00488169997168164</v>
      </c>
      <c r="G861" s="16" t="n">
        <f aca="false">IF(C861=0,(1+Dic2024!$J$6)^(-B861),EXP(LN(INDEX(Dic2024!$K$6:$K$205,C861))+(LN(INDEX(Dic2024!$K$6:$K$205,MIN(C861+1,200)))-LN(INDEX(Dic2024!$K$6:$K$205,C861)))*(A861-6*C861)/6))</f>
        <v>0.0153992202095681</v>
      </c>
      <c r="H861" s="12" t="n">
        <f aca="false">G861^(-1/B861)-1</f>
        <v>0.0601791224999999</v>
      </c>
      <c r="I861" s="12" t="n">
        <f aca="false">(1+H861)^(1/12)-1</f>
        <v>0.00488169997168164</v>
      </c>
      <c r="J861" s="16" t="n">
        <f aca="false">IF(C861=0,(1+Dic2024!$M$6)^(-B861),EXP(LN(INDEX(Dic2024!$N$6:$N$205,C861))+(LN(INDEX(Dic2024!$N$6:$N$205,MIN(C861+1,200)))-LN(INDEX(Dic2024!$N$6:$N$205,C861)))*(A861-6*C861)/6))</f>
        <v>0.0153992202095681</v>
      </c>
      <c r="K861" s="12" t="n">
        <f aca="false">J861^(-1/B861)-1</f>
        <v>0.0601791224999999</v>
      </c>
      <c r="L861" s="12" t="n">
        <f aca="false">(1+K861)^(1/12)-1</f>
        <v>0.00488169997168164</v>
      </c>
    </row>
    <row r="862" customFormat="false" ht="15" hidden="false" customHeight="false" outlineLevel="0" collapsed="false">
      <c r="A862" s="4" t="n">
        <v>858</v>
      </c>
      <c r="B862" s="14" t="n">
        <f aca="false">A862/12</f>
        <v>71.5</v>
      </c>
      <c r="C862" s="15" t="n">
        <f aca="false">INT(A862/6)</f>
        <v>143</v>
      </c>
      <c r="D862" s="16" t="n">
        <f aca="false">IF(C862=0,(1+Dic2024!$G$6)^(-B862),EXP(LN(INDEX(Dic2024!$H$6:$H$205,C862))+(LN(INDEX(Dic2024!$H$6:$H$205,MIN(C862+1,200)))-LN(INDEX(Dic2024!$H$6:$H$205,C862)))*(A862-6*C862)/6))</f>
        <v>0.0153244110326639</v>
      </c>
      <c r="E862" s="12" t="n">
        <f aca="false">D862^(-1/B862)-1</f>
        <v>0.0601791224999999</v>
      </c>
      <c r="F862" s="12" t="n">
        <f aca="false">(1+E862)^(1/12)-1</f>
        <v>0.00488169997168164</v>
      </c>
      <c r="G862" s="16" t="n">
        <f aca="false">IF(C862=0,(1+Dic2024!$J$6)^(-B862),EXP(LN(INDEX(Dic2024!$K$6:$K$205,C862))+(LN(INDEX(Dic2024!$K$6:$K$205,MIN(C862+1,200)))-LN(INDEX(Dic2024!$K$6:$K$205,C862)))*(A862-6*C862)/6))</f>
        <v>0.0153244110326639</v>
      </c>
      <c r="H862" s="12" t="n">
        <f aca="false">G862^(-1/B862)-1</f>
        <v>0.0601791224999999</v>
      </c>
      <c r="I862" s="12" t="n">
        <f aca="false">(1+H862)^(1/12)-1</f>
        <v>0.00488169997168164</v>
      </c>
      <c r="J862" s="16" t="n">
        <f aca="false">IF(C862=0,(1+Dic2024!$M$6)^(-B862),EXP(LN(INDEX(Dic2024!$N$6:$N$205,C862))+(LN(INDEX(Dic2024!$N$6:$N$205,MIN(C862+1,200)))-LN(INDEX(Dic2024!$N$6:$N$205,C862)))*(A862-6*C862)/6))</f>
        <v>0.0153244110326639</v>
      </c>
      <c r="K862" s="12" t="n">
        <f aca="false">J862^(-1/B862)-1</f>
        <v>0.0601791224999999</v>
      </c>
      <c r="L862" s="12" t="n">
        <f aca="false">(1+K862)^(1/12)-1</f>
        <v>0.00488169997168164</v>
      </c>
    </row>
    <row r="863" customFormat="false" ht="15" hidden="false" customHeight="false" outlineLevel="0" collapsed="false">
      <c r="A863" s="4" t="n">
        <v>859</v>
      </c>
      <c r="B863" s="14" t="n">
        <f aca="false">A863/12</f>
        <v>71.5833333333333</v>
      </c>
      <c r="C863" s="15" t="n">
        <f aca="false">INT(A863/6)</f>
        <v>143</v>
      </c>
      <c r="D863" s="16" t="n">
        <f aca="false">IF(C863=0,(1+Dic2024!$G$6)^(-B863),EXP(LN(INDEX(Dic2024!$H$6:$H$205,C863))+(LN(INDEX(Dic2024!$H$6:$H$205,MIN(C863+1,200)))-LN(INDEX(Dic2024!$H$6:$H$205,C863)))*(A863-6*C863)/6))</f>
        <v>0.0152499652776001</v>
      </c>
      <c r="E863" s="12" t="n">
        <f aca="false">D863^(-1/B863)-1</f>
        <v>0.0601791224999999</v>
      </c>
      <c r="F863" s="12" t="n">
        <f aca="false">(1+E863)^(1/12)-1</f>
        <v>0.00488169997168164</v>
      </c>
      <c r="G863" s="16" t="n">
        <f aca="false">IF(C863=0,(1+Dic2024!$J$6)^(-B863),EXP(LN(INDEX(Dic2024!$K$6:$K$205,C863))+(LN(INDEX(Dic2024!$K$6:$K$205,MIN(C863+1,200)))-LN(INDEX(Dic2024!$K$6:$K$205,C863)))*(A863-6*C863)/6))</f>
        <v>0.0152499652776001</v>
      </c>
      <c r="H863" s="12" t="n">
        <f aca="false">G863^(-1/B863)-1</f>
        <v>0.0601791224999999</v>
      </c>
      <c r="I863" s="12" t="n">
        <f aca="false">(1+H863)^(1/12)-1</f>
        <v>0.00488169997168164</v>
      </c>
      <c r="J863" s="16" t="n">
        <f aca="false">IF(C863=0,(1+Dic2024!$M$6)^(-B863),EXP(LN(INDEX(Dic2024!$N$6:$N$205,C863))+(LN(INDEX(Dic2024!$N$6:$N$205,MIN(C863+1,200)))-LN(INDEX(Dic2024!$N$6:$N$205,C863)))*(A863-6*C863)/6))</f>
        <v>0.0152499652776001</v>
      </c>
      <c r="K863" s="12" t="n">
        <f aca="false">J863^(-1/B863)-1</f>
        <v>0.0601791224999999</v>
      </c>
      <c r="L863" s="12" t="n">
        <f aca="false">(1+K863)^(1/12)-1</f>
        <v>0.00488169997168164</v>
      </c>
    </row>
    <row r="864" customFormat="false" ht="15" hidden="false" customHeight="false" outlineLevel="0" collapsed="false">
      <c r="A864" s="4" t="n">
        <v>860</v>
      </c>
      <c r="B864" s="14" t="n">
        <f aca="false">A864/12</f>
        <v>71.6666666666667</v>
      </c>
      <c r="C864" s="15" t="n">
        <f aca="false">INT(A864/6)</f>
        <v>143</v>
      </c>
      <c r="D864" s="16" t="n">
        <f aca="false">IF(C864=0,(1+Dic2024!$G$6)^(-B864),EXP(LN(INDEX(Dic2024!$H$6:$H$205,C864))+(LN(INDEX(Dic2024!$H$6:$H$205,MIN(C864+1,200)))-LN(INDEX(Dic2024!$H$6:$H$205,C864)))*(A864-6*C864)/6))</f>
        <v>0.0151758811788789</v>
      </c>
      <c r="E864" s="12" t="n">
        <f aca="false">D864^(-1/B864)-1</f>
        <v>0.0601791224999999</v>
      </c>
      <c r="F864" s="12" t="n">
        <f aca="false">(1+E864)^(1/12)-1</f>
        <v>0.00488169997168164</v>
      </c>
      <c r="G864" s="16" t="n">
        <f aca="false">IF(C864=0,(1+Dic2024!$J$6)^(-B864),EXP(LN(INDEX(Dic2024!$K$6:$K$205,C864))+(LN(INDEX(Dic2024!$K$6:$K$205,MIN(C864+1,200)))-LN(INDEX(Dic2024!$K$6:$K$205,C864)))*(A864-6*C864)/6))</f>
        <v>0.0151758811788789</v>
      </c>
      <c r="H864" s="12" t="n">
        <f aca="false">G864^(-1/B864)-1</f>
        <v>0.0601791224999999</v>
      </c>
      <c r="I864" s="12" t="n">
        <f aca="false">(1+H864)^(1/12)-1</f>
        <v>0.00488169997168164</v>
      </c>
      <c r="J864" s="16" t="n">
        <f aca="false">IF(C864=0,(1+Dic2024!$M$6)^(-B864),EXP(LN(INDEX(Dic2024!$N$6:$N$205,C864))+(LN(INDEX(Dic2024!$N$6:$N$205,MIN(C864+1,200)))-LN(INDEX(Dic2024!$N$6:$N$205,C864)))*(A864-6*C864)/6))</f>
        <v>0.0151758811788789</v>
      </c>
      <c r="K864" s="12" t="n">
        <f aca="false">J864^(-1/B864)-1</f>
        <v>0.0601791224999999</v>
      </c>
      <c r="L864" s="12" t="n">
        <f aca="false">(1+K864)^(1/12)-1</f>
        <v>0.00488169997168164</v>
      </c>
    </row>
    <row r="865" customFormat="false" ht="15" hidden="false" customHeight="false" outlineLevel="0" collapsed="false">
      <c r="A865" s="4" t="n">
        <v>861</v>
      </c>
      <c r="B865" s="14" t="n">
        <f aca="false">A865/12</f>
        <v>71.75</v>
      </c>
      <c r="C865" s="15" t="n">
        <f aca="false">INT(A865/6)</f>
        <v>143</v>
      </c>
      <c r="D865" s="16" t="n">
        <f aca="false">IF(C865=0,(1+Dic2024!$G$6)^(-B865),EXP(LN(INDEX(Dic2024!$H$6:$H$205,C865))+(LN(INDEX(Dic2024!$H$6:$H$205,MIN(C865+1,200)))-LN(INDEX(Dic2024!$H$6:$H$205,C865)))*(A865-6*C865)/6))</f>
        <v>0.0151021569795793</v>
      </c>
      <c r="E865" s="12" t="n">
        <f aca="false">D865^(-1/B865)-1</f>
        <v>0.0601791224999999</v>
      </c>
      <c r="F865" s="12" t="n">
        <f aca="false">(1+E865)^(1/12)-1</f>
        <v>0.00488169997168164</v>
      </c>
      <c r="G865" s="16" t="n">
        <f aca="false">IF(C865=0,(1+Dic2024!$J$6)^(-B865),EXP(LN(INDEX(Dic2024!$K$6:$K$205,C865))+(LN(INDEX(Dic2024!$K$6:$K$205,MIN(C865+1,200)))-LN(INDEX(Dic2024!$K$6:$K$205,C865)))*(A865-6*C865)/6))</f>
        <v>0.0151021569795793</v>
      </c>
      <c r="H865" s="12" t="n">
        <f aca="false">G865^(-1/B865)-1</f>
        <v>0.0601791224999999</v>
      </c>
      <c r="I865" s="12" t="n">
        <f aca="false">(1+H865)^(1/12)-1</f>
        <v>0.00488169997168164</v>
      </c>
      <c r="J865" s="16" t="n">
        <f aca="false">IF(C865=0,(1+Dic2024!$M$6)^(-B865),EXP(LN(INDEX(Dic2024!$N$6:$N$205,C865))+(LN(INDEX(Dic2024!$N$6:$N$205,MIN(C865+1,200)))-LN(INDEX(Dic2024!$N$6:$N$205,C865)))*(A865-6*C865)/6))</f>
        <v>0.0151021569795793</v>
      </c>
      <c r="K865" s="12" t="n">
        <f aca="false">J865^(-1/B865)-1</f>
        <v>0.0601791224999999</v>
      </c>
      <c r="L865" s="12" t="n">
        <f aca="false">(1+K865)^(1/12)-1</f>
        <v>0.00488169997168164</v>
      </c>
    </row>
    <row r="866" customFormat="false" ht="15" hidden="false" customHeight="false" outlineLevel="0" collapsed="false">
      <c r="A866" s="4" t="n">
        <v>862</v>
      </c>
      <c r="B866" s="14" t="n">
        <f aca="false">A866/12</f>
        <v>71.8333333333333</v>
      </c>
      <c r="C866" s="15" t="n">
        <f aca="false">INT(A866/6)</f>
        <v>143</v>
      </c>
      <c r="D866" s="16" t="n">
        <f aca="false">IF(C866=0,(1+Dic2024!$G$6)^(-B866),EXP(LN(INDEX(Dic2024!$H$6:$H$205,C866))+(LN(INDEX(Dic2024!$H$6:$H$205,MIN(C866+1,200)))-LN(INDEX(Dic2024!$H$6:$H$205,C866)))*(A866-6*C866)/6))</f>
        <v>0.0150287909313155</v>
      </c>
      <c r="E866" s="12" t="n">
        <f aca="false">D866^(-1/B866)-1</f>
        <v>0.0601791224999999</v>
      </c>
      <c r="F866" s="12" t="n">
        <f aca="false">(1+E866)^(1/12)-1</f>
        <v>0.00488169997168164</v>
      </c>
      <c r="G866" s="16" t="n">
        <f aca="false">IF(C866=0,(1+Dic2024!$J$6)^(-B866),EXP(LN(INDEX(Dic2024!$K$6:$K$205,C866))+(LN(INDEX(Dic2024!$K$6:$K$205,MIN(C866+1,200)))-LN(INDEX(Dic2024!$K$6:$K$205,C866)))*(A866-6*C866)/6))</f>
        <v>0.0150287909313155</v>
      </c>
      <c r="H866" s="12" t="n">
        <f aca="false">G866^(-1/B866)-1</f>
        <v>0.0601791224999999</v>
      </c>
      <c r="I866" s="12" t="n">
        <f aca="false">(1+H866)^(1/12)-1</f>
        <v>0.00488169997168164</v>
      </c>
      <c r="J866" s="16" t="n">
        <f aca="false">IF(C866=0,(1+Dic2024!$M$6)^(-B866),EXP(LN(INDEX(Dic2024!$N$6:$N$205,C866))+(LN(INDEX(Dic2024!$N$6:$N$205,MIN(C866+1,200)))-LN(INDEX(Dic2024!$N$6:$N$205,C866)))*(A866-6*C866)/6))</f>
        <v>0.0150287909313155</v>
      </c>
      <c r="K866" s="12" t="n">
        <f aca="false">J866^(-1/B866)-1</f>
        <v>0.0601791224999999</v>
      </c>
      <c r="L866" s="12" t="n">
        <f aca="false">(1+K866)^(1/12)-1</f>
        <v>0.00488169997168164</v>
      </c>
    </row>
    <row r="867" customFormat="false" ht="15" hidden="false" customHeight="false" outlineLevel="0" collapsed="false">
      <c r="A867" s="4" t="n">
        <v>863</v>
      </c>
      <c r="B867" s="14" t="n">
        <f aca="false">A867/12</f>
        <v>71.9166666666667</v>
      </c>
      <c r="C867" s="15" t="n">
        <f aca="false">INT(A867/6)</f>
        <v>143</v>
      </c>
      <c r="D867" s="16" t="n">
        <f aca="false">IF(C867=0,(1+Dic2024!$G$6)^(-B867),EXP(LN(INDEX(Dic2024!$H$6:$H$205,C867))+(LN(INDEX(Dic2024!$H$6:$H$205,MIN(C867+1,200)))-LN(INDEX(Dic2024!$H$6:$H$205,C867)))*(A867-6*C867)/6))</f>
        <v>0.0149557812941952</v>
      </c>
      <c r="E867" s="12" t="n">
        <f aca="false">D867^(-1/B867)-1</f>
        <v>0.0601791224999999</v>
      </c>
      <c r="F867" s="12" t="n">
        <f aca="false">(1+E867)^(1/12)-1</f>
        <v>0.00488169997168164</v>
      </c>
      <c r="G867" s="16" t="n">
        <f aca="false">IF(C867=0,(1+Dic2024!$J$6)^(-B867),EXP(LN(INDEX(Dic2024!$K$6:$K$205,C867))+(LN(INDEX(Dic2024!$K$6:$K$205,MIN(C867+1,200)))-LN(INDEX(Dic2024!$K$6:$K$205,C867)))*(A867-6*C867)/6))</f>
        <v>0.0149557812941952</v>
      </c>
      <c r="H867" s="12" t="n">
        <f aca="false">G867^(-1/B867)-1</f>
        <v>0.0601791224999999</v>
      </c>
      <c r="I867" s="12" t="n">
        <f aca="false">(1+H867)^(1/12)-1</f>
        <v>0.00488169997168164</v>
      </c>
      <c r="J867" s="16" t="n">
        <f aca="false">IF(C867=0,(1+Dic2024!$M$6)^(-B867),EXP(LN(INDEX(Dic2024!$N$6:$N$205,C867))+(LN(INDEX(Dic2024!$N$6:$N$205,MIN(C867+1,200)))-LN(INDEX(Dic2024!$N$6:$N$205,C867)))*(A867-6*C867)/6))</f>
        <v>0.0149557812941952</v>
      </c>
      <c r="K867" s="12" t="n">
        <f aca="false">J867^(-1/B867)-1</f>
        <v>0.0601791224999999</v>
      </c>
      <c r="L867" s="12" t="n">
        <f aca="false">(1+K867)^(1/12)-1</f>
        <v>0.00488169997168164</v>
      </c>
    </row>
    <row r="868" customFormat="false" ht="15" hidden="false" customHeight="false" outlineLevel="0" collapsed="false">
      <c r="A868" s="4" t="n">
        <v>864</v>
      </c>
      <c r="B868" s="14" t="n">
        <f aca="false">A868/12</f>
        <v>72</v>
      </c>
      <c r="C868" s="15" t="n">
        <f aca="false">INT(A868/6)</f>
        <v>144</v>
      </c>
      <c r="D868" s="16" t="n">
        <f aca="false">IF(C868=0,(1+Dic2024!$G$6)^(-B868),EXP(LN(INDEX(Dic2024!$H$6:$H$205,C868))+(LN(INDEX(Dic2024!$H$6:$H$205,MIN(C868+1,200)))-LN(INDEX(Dic2024!$H$6:$H$205,C868)))*(A868-6*C868)/6))</f>
        <v>0.0148831263367784</v>
      </c>
      <c r="E868" s="12" t="n">
        <f aca="false">D868^(-1/B868)-1</f>
        <v>0.0601791224999999</v>
      </c>
      <c r="F868" s="12" t="n">
        <f aca="false">(1+E868)^(1/12)-1</f>
        <v>0.00488169997168164</v>
      </c>
      <c r="G868" s="16" t="n">
        <f aca="false">IF(C868=0,(1+Dic2024!$J$6)^(-B868),EXP(LN(INDEX(Dic2024!$K$6:$K$205,C868))+(LN(INDEX(Dic2024!$K$6:$K$205,MIN(C868+1,200)))-LN(INDEX(Dic2024!$K$6:$K$205,C868)))*(A868-6*C868)/6))</f>
        <v>0.0148831263367784</v>
      </c>
      <c r="H868" s="12" t="n">
        <f aca="false">G868^(-1/B868)-1</f>
        <v>0.0601791224999999</v>
      </c>
      <c r="I868" s="12" t="n">
        <f aca="false">(1+H868)^(1/12)-1</f>
        <v>0.00488169997168164</v>
      </c>
      <c r="J868" s="16" t="n">
        <f aca="false">IF(C868=0,(1+Dic2024!$M$6)^(-B868),EXP(LN(INDEX(Dic2024!$N$6:$N$205,C868))+(LN(INDEX(Dic2024!$N$6:$N$205,MIN(C868+1,200)))-LN(INDEX(Dic2024!$N$6:$N$205,C868)))*(A868-6*C868)/6))</f>
        <v>0.0148831263367784</v>
      </c>
      <c r="K868" s="12" t="n">
        <f aca="false">J868^(-1/B868)-1</f>
        <v>0.0601791224999999</v>
      </c>
      <c r="L868" s="12" t="n">
        <f aca="false">(1+K868)^(1/12)-1</f>
        <v>0.00488169997168164</v>
      </c>
    </row>
    <row r="869" customFormat="false" ht="15" hidden="false" customHeight="false" outlineLevel="0" collapsed="false">
      <c r="A869" s="4" t="n">
        <v>865</v>
      </c>
      <c r="B869" s="14" t="n">
        <f aca="false">A869/12</f>
        <v>72.0833333333333</v>
      </c>
      <c r="C869" s="15" t="n">
        <f aca="false">INT(A869/6)</f>
        <v>144</v>
      </c>
      <c r="D869" s="16" t="n">
        <f aca="false">IF(C869=0,(1+Dic2024!$G$6)^(-B869),EXP(LN(INDEX(Dic2024!$H$6:$H$205,C869))+(LN(INDEX(Dic2024!$H$6:$H$205,MIN(C869+1,200)))-LN(INDEX(Dic2024!$H$6:$H$205,C869)))*(A869-6*C869)/6))</f>
        <v>0.0148108243360366</v>
      </c>
      <c r="E869" s="12" t="n">
        <f aca="false">D869^(-1/B869)-1</f>
        <v>0.0601791224999999</v>
      </c>
      <c r="F869" s="12" t="n">
        <f aca="false">(1+E869)^(1/12)-1</f>
        <v>0.00488169997168164</v>
      </c>
      <c r="G869" s="16" t="n">
        <f aca="false">IF(C869=0,(1+Dic2024!$J$6)^(-B869),EXP(LN(INDEX(Dic2024!$K$6:$K$205,C869))+(LN(INDEX(Dic2024!$K$6:$K$205,MIN(C869+1,200)))-LN(INDEX(Dic2024!$K$6:$K$205,C869)))*(A869-6*C869)/6))</f>
        <v>0.0148108243360366</v>
      </c>
      <c r="H869" s="12" t="n">
        <f aca="false">G869^(-1/B869)-1</f>
        <v>0.0601791224999999</v>
      </c>
      <c r="I869" s="12" t="n">
        <f aca="false">(1+H869)^(1/12)-1</f>
        <v>0.00488169997168164</v>
      </c>
      <c r="J869" s="16" t="n">
        <f aca="false">IF(C869=0,(1+Dic2024!$M$6)^(-B869),EXP(LN(INDEX(Dic2024!$N$6:$N$205,C869))+(LN(INDEX(Dic2024!$N$6:$N$205,MIN(C869+1,200)))-LN(INDEX(Dic2024!$N$6:$N$205,C869)))*(A869-6*C869)/6))</f>
        <v>0.0148108243360366</v>
      </c>
      <c r="K869" s="12" t="n">
        <f aca="false">J869^(-1/B869)-1</f>
        <v>0.0601791224999999</v>
      </c>
      <c r="L869" s="12" t="n">
        <f aca="false">(1+K869)^(1/12)-1</f>
        <v>0.00488169997168164</v>
      </c>
    </row>
    <row r="870" customFormat="false" ht="15" hidden="false" customHeight="false" outlineLevel="0" collapsed="false">
      <c r="A870" s="4" t="n">
        <v>866</v>
      </c>
      <c r="B870" s="14" t="n">
        <f aca="false">A870/12</f>
        <v>72.1666666666667</v>
      </c>
      <c r="C870" s="15" t="n">
        <f aca="false">INT(A870/6)</f>
        <v>144</v>
      </c>
      <c r="D870" s="16" t="n">
        <f aca="false">IF(C870=0,(1+Dic2024!$G$6)^(-B870),EXP(LN(INDEX(Dic2024!$H$6:$H$205,C870))+(LN(INDEX(Dic2024!$H$6:$H$205,MIN(C870+1,200)))-LN(INDEX(Dic2024!$H$6:$H$205,C870)))*(A870-6*C870)/6))</f>
        <v>0.0147388735773116</v>
      </c>
      <c r="E870" s="12" t="n">
        <f aca="false">D870^(-1/B870)-1</f>
        <v>0.0601791224999999</v>
      </c>
      <c r="F870" s="12" t="n">
        <f aca="false">(1+E870)^(1/12)-1</f>
        <v>0.00488169997168164</v>
      </c>
      <c r="G870" s="16" t="n">
        <f aca="false">IF(C870=0,(1+Dic2024!$J$6)^(-B870),EXP(LN(INDEX(Dic2024!$K$6:$K$205,C870))+(LN(INDEX(Dic2024!$K$6:$K$205,MIN(C870+1,200)))-LN(INDEX(Dic2024!$K$6:$K$205,C870)))*(A870-6*C870)/6))</f>
        <v>0.0147388735773116</v>
      </c>
      <c r="H870" s="12" t="n">
        <f aca="false">G870^(-1/B870)-1</f>
        <v>0.0601791224999999</v>
      </c>
      <c r="I870" s="12" t="n">
        <f aca="false">(1+H870)^(1/12)-1</f>
        <v>0.00488169997168164</v>
      </c>
      <c r="J870" s="16" t="n">
        <f aca="false">IF(C870=0,(1+Dic2024!$M$6)^(-B870),EXP(LN(INDEX(Dic2024!$N$6:$N$205,C870))+(LN(INDEX(Dic2024!$N$6:$N$205,MIN(C870+1,200)))-LN(INDEX(Dic2024!$N$6:$N$205,C870)))*(A870-6*C870)/6))</f>
        <v>0.0147388735773116</v>
      </c>
      <c r="K870" s="12" t="n">
        <f aca="false">J870^(-1/B870)-1</f>
        <v>0.0601791224999999</v>
      </c>
      <c r="L870" s="12" t="n">
        <f aca="false">(1+K870)^(1/12)-1</f>
        <v>0.00488169997168164</v>
      </c>
    </row>
    <row r="871" customFormat="false" ht="15" hidden="false" customHeight="false" outlineLevel="0" collapsed="false">
      <c r="A871" s="4" t="n">
        <v>867</v>
      </c>
      <c r="B871" s="14" t="n">
        <f aca="false">A871/12</f>
        <v>72.25</v>
      </c>
      <c r="C871" s="15" t="n">
        <f aca="false">INT(A871/6)</f>
        <v>144</v>
      </c>
      <c r="D871" s="16" t="n">
        <f aca="false">IF(C871=0,(1+Dic2024!$G$6)^(-B871),EXP(LN(INDEX(Dic2024!$H$6:$H$205,C871))+(LN(INDEX(Dic2024!$H$6:$H$205,MIN(C871+1,200)))-LN(INDEX(Dic2024!$H$6:$H$205,C871)))*(A871-6*C871)/6))</f>
        <v>0.0146672723542751</v>
      </c>
      <c r="E871" s="12" t="n">
        <f aca="false">D871^(-1/B871)-1</f>
        <v>0.0601791224999999</v>
      </c>
      <c r="F871" s="12" t="n">
        <f aca="false">(1+E871)^(1/12)-1</f>
        <v>0.00488169997168164</v>
      </c>
      <c r="G871" s="16" t="n">
        <f aca="false">IF(C871=0,(1+Dic2024!$J$6)^(-B871),EXP(LN(INDEX(Dic2024!$K$6:$K$205,C871))+(LN(INDEX(Dic2024!$K$6:$K$205,MIN(C871+1,200)))-LN(INDEX(Dic2024!$K$6:$K$205,C871)))*(A871-6*C871)/6))</f>
        <v>0.0146672723542751</v>
      </c>
      <c r="H871" s="12" t="n">
        <f aca="false">G871^(-1/B871)-1</f>
        <v>0.0601791224999999</v>
      </c>
      <c r="I871" s="12" t="n">
        <f aca="false">(1+H871)^(1/12)-1</f>
        <v>0.00488169997168164</v>
      </c>
      <c r="J871" s="16" t="n">
        <f aca="false">IF(C871=0,(1+Dic2024!$M$6)^(-B871),EXP(LN(INDEX(Dic2024!$N$6:$N$205,C871))+(LN(INDEX(Dic2024!$N$6:$N$205,MIN(C871+1,200)))-LN(INDEX(Dic2024!$N$6:$N$205,C871)))*(A871-6*C871)/6))</f>
        <v>0.0146672723542751</v>
      </c>
      <c r="K871" s="12" t="n">
        <f aca="false">J871^(-1/B871)-1</f>
        <v>0.0601791224999999</v>
      </c>
      <c r="L871" s="12" t="n">
        <f aca="false">(1+K871)^(1/12)-1</f>
        <v>0.00488169997168164</v>
      </c>
    </row>
    <row r="872" customFormat="false" ht="15" hidden="false" customHeight="false" outlineLevel="0" collapsed="false">
      <c r="A872" s="4" t="n">
        <v>868</v>
      </c>
      <c r="B872" s="14" t="n">
        <f aca="false">A872/12</f>
        <v>72.3333333333333</v>
      </c>
      <c r="C872" s="15" t="n">
        <f aca="false">INT(A872/6)</f>
        <v>144</v>
      </c>
      <c r="D872" s="16" t="n">
        <f aca="false">IF(C872=0,(1+Dic2024!$G$6)^(-B872),EXP(LN(INDEX(Dic2024!$H$6:$H$205,C872))+(LN(INDEX(Dic2024!$H$6:$H$205,MIN(C872+1,200)))-LN(INDEX(Dic2024!$H$6:$H$205,C872)))*(A872-6*C872)/6))</f>
        <v>0.014596018968888</v>
      </c>
      <c r="E872" s="12" t="n">
        <f aca="false">D872^(-1/B872)-1</f>
        <v>0.0601791224999999</v>
      </c>
      <c r="F872" s="12" t="n">
        <f aca="false">(1+E872)^(1/12)-1</f>
        <v>0.00488169997168164</v>
      </c>
      <c r="G872" s="16" t="n">
        <f aca="false">IF(C872=0,(1+Dic2024!$J$6)^(-B872),EXP(LN(INDEX(Dic2024!$K$6:$K$205,C872))+(LN(INDEX(Dic2024!$K$6:$K$205,MIN(C872+1,200)))-LN(INDEX(Dic2024!$K$6:$K$205,C872)))*(A872-6*C872)/6))</f>
        <v>0.014596018968888</v>
      </c>
      <c r="H872" s="12" t="n">
        <f aca="false">G872^(-1/B872)-1</f>
        <v>0.0601791224999999</v>
      </c>
      <c r="I872" s="12" t="n">
        <f aca="false">(1+H872)^(1/12)-1</f>
        <v>0.00488169997168164</v>
      </c>
      <c r="J872" s="16" t="n">
        <f aca="false">IF(C872=0,(1+Dic2024!$M$6)^(-B872),EXP(LN(INDEX(Dic2024!$N$6:$N$205,C872))+(LN(INDEX(Dic2024!$N$6:$N$205,MIN(C872+1,200)))-LN(INDEX(Dic2024!$N$6:$N$205,C872)))*(A872-6*C872)/6))</f>
        <v>0.014596018968888</v>
      </c>
      <c r="K872" s="12" t="n">
        <f aca="false">J872^(-1/B872)-1</f>
        <v>0.0601791224999999</v>
      </c>
      <c r="L872" s="12" t="n">
        <f aca="false">(1+K872)^(1/12)-1</f>
        <v>0.00488169997168164</v>
      </c>
    </row>
    <row r="873" customFormat="false" ht="15" hidden="false" customHeight="false" outlineLevel="0" collapsed="false">
      <c r="A873" s="4" t="n">
        <v>869</v>
      </c>
      <c r="B873" s="14" t="n">
        <f aca="false">A873/12</f>
        <v>72.4166666666667</v>
      </c>
      <c r="C873" s="15" t="n">
        <f aca="false">INT(A873/6)</f>
        <v>144</v>
      </c>
      <c r="D873" s="16" t="n">
        <f aca="false">IF(C873=0,(1+Dic2024!$G$6)^(-B873),EXP(LN(INDEX(Dic2024!$H$6:$H$205,C873))+(LN(INDEX(Dic2024!$H$6:$H$205,MIN(C873+1,200)))-LN(INDEX(Dic2024!$H$6:$H$205,C873)))*(A873-6*C873)/6))</f>
        <v>0.0145251117313603</v>
      </c>
      <c r="E873" s="12" t="n">
        <f aca="false">D873^(-1/B873)-1</f>
        <v>0.0601791224999999</v>
      </c>
      <c r="F873" s="12" t="n">
        <f aca="false">(1+E873)^(1/12)-1</f>
        <v>0.00488169997168164</v>
      </c>
      <c r="G873" s="16" t="n">
        <f aca="false">IF(C873=0,(1+Dic2024!$J$6)^(-B873),EXP(LN(INDEX(Dic2024!$K$6:$K$205,C873))+(LN(INDEX(Dic2024!$K$6:$K$205,MIN(C873+1,200)))-LN(INDEX(Dic2024!$K$6:$K$205,C873)))*(A873-6*C873)/6))</f>
        <v>0.0145251117313603</v>
      </c>
      <c r="H873" s="12" t="n">
        <f aca="false">G873^(-1/B873)-1</f>
        <v>0.0601791224999999</v>
      </c>
      <c r="I873" s="12" t="n">
        <f aca="false">(1+H873)^(1/12)-1</f>
        <v>0.00488169997168164</v>
      </c>
      <c r="J873" s="16" t="n">
        <f aca="false">IF(C873=0,(1+Dic2024!$M$6)^(-B873),EXP(LN(INDEX(Dic2024!$N$6:$N$205,C873))+(LN(INDEX(Dic2024!$N$6:$N$205,MIN(C873+1,200)))-LN(INDEX(Dic2024!$N$6:$N$205,C873)))*(A873-6*C873)/6))</f>
        <v>0.0145251117313603</v>
      </c>
      <c r="K873" s="12" t="n">
        <f aca="false">J873^(-1/B873)-1</f>
        <v>0.0601791224999999</v>
      </c>
      <c r="L873" s="12" t="n">
        <f aca="false">(1+K873)^(1/12)-1</f>
        <v>0.00488169997168164</v>
      </c>
    </row>
    <row r="874" customFormat="false" ht="15" hidden="false" customHeight="false" outlineLevel="0" collapsed="false">
      <c r="A874" s="4" t="n">
        <v>870</v>
      </c>
      <c r="B874" s="14" t="n">
        <f aca="false">A874/12</f>
        <v>72.5</v>
      </c>
      <c r="C874" s="15" t="n">
        <f aca="false">INT(A874/6)</f>
        <v>145</v>
      </c>
      <c r="D874" s="16" t="n">
        <f aca="false">IF(C874=0,(1+Dic2024!$G$6)^(-B874),EXP(LN(INDEX(Dic2024!$H$6:$H$205,C874))+(LN(INDEX(Dic2024!$H$6:$H$205,MIN(C874+1,200)))-LN(INDEX(Dic2024!$H$6:$H$205,C874)))*(A874-6*C874)/6))</f>
        <v>0.0144545489601111</v>
      </c>
      <c r="E874" s="12" t="n">
        <f aca="false">D874^(-1/B874)-1</f>
        <v>0.0601791224999999</v>
      </c>
      <c r="F874" s="12" t="n">
        <f aca="false">(1+E874)^(1/12)-1</f>
        <v>0.00488169997168164</v>
      </c>
      <c r="G874" s="16" t="n">
        <f aca="false">IF(C874=0,(1+Dic2024!$J$6)^(-B874),EXP(LN(INDEX(Dic2024!$K$6:$K$205,C874))+(LN(INDEX(Dic2024!$K$6:$K$205,MIN(C874+1,200)))-LN(INDEX(Dic2024!$K$6:$K$205,C874)))*(A874-6*C874)/6))</f>
        <v>0.0144545489601111</v>
      </c>
      <c r="H874" s="12" t="n">
        <f aca="false">G874^(-1/B874)-1</f>
        <v>0.0601791224999999</v>
      </c>
      <c r="I874" s="12" t="n">
        <f aca="false">(1+H874)^(1/12)-1</f>
        <v>0.00488169997168164</v>
      </c>
      <c r="J874" s="16" t="n">
        <f aca="false">IF(C874=0,(1+Dic2024!$M$6)^(-B874),EXP(LN(INDEX(Dic2024!$N$6:$N$205,C874))+(LN(INDEX(Dic2024!$N$6:$N$205,MIN(C874+1,200)))-LN(INDEX(Dic2024!$N$6:$N$205,C874)))*(A874-6*C874)/6))</f>
        <v>0.0144545489601111</v>
      </c>
      <c r="K874" s="12" t="n">
        <f aca="false">J874^(-1/B874)-1</f>
        <v>0.0601791224999999</v>
      </c>
      <c r="L874" s="12" t="n">
        <f aca="false">(1+K874)^(1/12)-1</f>
        <v>0.00488169997168164</v>
      </c>
    </row>
    <row r="875" customFormat="false" ht="15" hidden="false" customHeight="false" outlineLevel="0" collapsed="false">
      <c r="A875" s="4" t="n">
        <v>871</v>
      </c>
      <c r="B875" s="14" t="n">
        <f aca="false">A875/12</f>
        <v>72.5833333333333</v>
      </c>
      <c r="C875" s="15" t="n">
        <f aca="false">INT(A875/6)</f>
        <v>145</v>
      </c>
      <c r="D875" s="16" t="n">
        <f aca="false">IF(C875=0,(1+Dic2024!$G$6)^(-B875),EXP(LN(INDEX(Dic2024!$H$6:$H$205,C875))+(LN(INDEX(Dic2024!$H$6:$H$205,MIN(C875+1,200)))-LN(INDEX(Dic2024!$H$6:$H$205,C875)))*(A875-6*C875)/6))</f>
        <v>0.0143843289817283</v>
      </c>
      <c r="E875" s="12" t="n">
        <f aca="false">D875^(-1/B875)-1</f>
        <v>0.0601791224999999</v>
      </c>
      <c r="F875" s="12" t="n">
        <f aca="false">(1+E875)^(1/12)-1</f>
        <v>0.00488169997168164</v>
      </c>
      <c r="G875" s="16" t="n">
        <f aca="false">IF(C875=0,(1+Dic2024!$J$6)^(-B875),EXP(LN(INDEX(Dic2024!$K$6:$K$205,C875))+(LN(INDEX(Dic2024!$K$6:$K$205,MIN(C875+1,200)))-LN(INDEX(Dic2024!$K$6:$K$205,C875)))*(A875-6*C875)/6))</f>
        <v>0.0143843289817283</v>
      </c>
      <c r="H875" s="12" t="n">
        <f aca="false">G875^(-1/B875)-1</f>
        <v>0.0601791224999999</v>
      </c>
      <c r="I875" s="12" t="n">
        <f aca="false">(1+H875)^(1/12)-1</f>
        <v>0.00488169997168164</v>
      </c>
      <c r="J875" s="16" t="n">
        <f aca="false">IF(C875=0,(1+Dic2024!$M$6)^(-B875),EXP(LN(INDEX(Dic2024!$N$6:$N$205,C875))+(LN(INDEX(Dic2024!$N$6:$N$205,MIN(C875+1,200)))-LN(INDEX(Dic2024!$N$6:$N$205,C875)))*(A875-6*C875)/6))</f>
        <v>0.0143843289817283</v>
      </c>
      <c r="K875" s="12" t="n">
        <f aca="false">J875^(-1/B875)-1</f>
        <v>0.0601791224999999</v>
      </c>
      <c r="L875" s="12" t="n">
        <f aca="false">(1+K875)^(1/12)-1</f>
        <v>0.00488169997168164</v>
      </c>
    </row>
    <row r="876" customFormat="false" ht="15" hidden="false" customHeight="false" outlineLevel="0" collapsed="false">
      <c r="A876" s="4" t="n">
        <v>872</v>
      </c>
      <c r="B876" s="14" t="n">
        <f aca="false">A876/12</f>
        <v>72.6666666666667</v>
      </c>
      <c r="C876" s="15" t="n">
        <f aca="false">INT(A876/6)</f>
        <v>145</v>
      </c>
      <c r="D876" s="16" t="n">
        <f aca="false">IF(C876=0,(1+Dic2024!$G$6)^(-B876),EXP(LN(INDEX(Dic2024!$H$6:$H$205,C876))+(LN(INDEX(Dic2024!$H$6:$H$205,MIN(C876+1,200)))-LN(INDEX(Dic2024!$H$6:$H$205,C876)))*(A876-6*C876)/6))</f>
        <v>0.0143144501309295</v>
      </c>
      <c r="E876" s="12" t="n">
        <f aca="false">D876^(-1/B876)-1</f>
        <v>0.0601791224999999</v>
      </c>
      <c r="F876" s="12" t="n">
        <f aca="false">(1+E876)^(1/12)-1</f>
        <v>0.00488169997168164</v>
      </c>
      <c r="G876" s="16" t="n">
        <f aca="false">IF(C876=0,(1+Dic2024!$J$6)^(-B876),EXP(LN(INDEX(Dic2024!$K$6:$K$205,C876))+(LN(INDEX(Dic2024!$K$6:$K$205,MIN(C876+1,200)))-LN(INDEX(Dic2024!$K$6:$K$205,C876)))*(A876-6*C876)/6))</f>
        <v>0.0143144501309295</v>
      </c>
      <c r="H876" s="12" t="n">
        <f aca="false">G876^(-1/B876)-1</f>
        <v>0.0601791224999999</v>
      </c>
      <c r="I876" s="12" t="n">
        <f aca="false">(1+H876)^(1/12)-1</f>
        <v>0.00488169997168164</v>
      </c>
      <c r="J876" s="16" t="n">
        <f aca="false">IF(C876=0,(1+Dic2024!$M$6)^(-B876),EXP(LN(INDEX(Dic2024!$N$6:$N$205,C876))+(LN(INDEX(Dic2024!$N$6:$N$205,MIN(C876+1,200)))-LN(INDEX(Dic2024!$N$6:$N$205,C876)))*(A876-6*C876)/6))</f>
        <v>0.0143144501309295</v>
      </c>
      <c r="K876" s="12" t="n">
        <f aca="false">J876^(-1/B876)-1</f>
        <v>0.0601791224999999</v>
      </c>
      <c r="L876" s="12" t="n">
        <f aca="false">(1+K876)^(1/12)-1</f>
        <v>0.00488169997168164</v>
      </c>
    </row>
    <row r="877" customFormat="false" ht="15" hidden="false" customHeight="false" outlineLevel="0" collapsed="false">
      <c r="A877" s="4" t="n">
        <v>873</v>
      </c>
      <c r="B877" s="14" t="n">
        <f aca="false">A877/12</f>
        <v>72.75</v>
      </c>
      <c r="C877" s="15" t="n">
        <f aca="false">INT(A877/6)</f>
        <v>145</v>
      </c>
      <c r="D877" s="16" t="n">
        <f aca="false">IF(C877=0,(1+Dic2024!$G$6)^(-B877),EXP(LN(INDEX(Dic2024!$H$6:$H$205,C877))+(LN(INDEX(Dic2024!$H$6:$H$205,MIN(C877+1,200)))-LN(INDEX(Dic2024!$H$6:$H$205,C877)))*(A877-6*C877)/6))</f>
        <v>0.0142449107505221</v>
      </c>
      <c r="E877" s="12" t="n">
        <f aca="false">D877^(-1/B877)-1</f>
        <v>0.0601791224999999</v>
      </c>
      <c r="F877" s="12" t="n">
        <f aca="false">(1+E877)^(1/12)-1</f>
        <v>0.00488169997168164</v>
      </c>
      <c r="G877" s="16" t="n">
        <f aca="false">IF(C877=0,(1+Dic2024!$J$6)^(-B877),EXP(LN(INDEX(Dic2024!$K$6:$K$205,C877))+(LN(INDEX(Dic2024!$K$6:$K$205,MIN(C877+1,200)))-LN(INDEX(Dic2024!$K$6:$K$205,C877)))*(A877-6*C877)/6))</f>
        <v>0.0142449107505221</v>
      </c>
      <c r="H877" s="12" t="n">
        <f aca="false">G877^(-1/B877)-1</f>
        <v>0.0601791224999999</v>
      </c>
      <c r="I877" s="12" t="n">
        <f aca="false">(1+H877)^(1/12)-1</f>
        <v>0.00488169997168164</v>
      </c>
      <c r="J877" s="16" t="n">
        <f aca="false">IF(C877=0,(1+Dic2024!$M$6)^(-B877),EXP(LN(INDEX(Dic2024!$N$6:$N$205,C877))+(LN(INDEX(Dic2024!$N$6:$N$205,MIN(C877+1,200)))-LN(INDEX(Dic2024!$N$6:$N$205,C877)))*(A877-6*C877)/6))</f>
        <v>0.0142449107505221</v>
      </c>
      <c r="K877" s="12" t="n">
        <f aca="false">J877^(-1/B877)-1</f>
        <v>0.0601791224999999</v>
      </c>
      <c r="L877" s="12" t="n">
        <f aca="false">(1+K877)^(1/12)-1</f>
        <v>0.00488169997168164</v>
      </c>
    </row>
    <row r="878" customFormat="false" ht="15" hidden="false" customHeight="false" outlineLevel="0" collapsed="false">
      <c r="A878" s="4" t="n">
        <v>874</v>
      </c>
      <c r="B878" s="14" t="n">
        <f aca="false">A878/12</f>
        <v>72.8333333333333</v>
      </c>
      <c r="C878" s="15" t="n">
        <f aca="false">INT(A878/6)</f>
        <v>145</v>
      </c>
      <c r="D878" s="16" t="n">
        <f aca="false">IF(C878=0,(1+Dic2024!$G$6)^(-B878),EXP(LN(INDEX(Dic2024!$H$6:$H$205,C878))+(LN(INDEX(Dic2024!$H$6:$H$205,MIN(C878+1,200)))-LN(INDEX(Dic2024!$H$6:$H$205,C878)))*(A878-6*C878)/6))</f>
        <v>0.0141757091913641</v>
      </c>
      <c r="E878" s="12" t="n">
        <f aca="false">D878^(-1/B878)-1</f>
        <v>0.0601791224999999</v>
      </c>
      <c r="F878" s="12" t="n">
        <f aca="false">(1+E878)^(1/12)-1</f>
        <v>0.00488169997168164</v>
      </c>
      <c r="G878" s="16" t="n">
        <f aca="false">IF(C878=0,(1+Dic2024!$J$6)^(-B878),EXP(LN(INDEX(Dic2024!$K$6:$K$205,C878))+(LN(INDEX(Dic2024!$K$6:$K$205,MIN(C878+1,200)))-LN(INDEX(Dic2024!$K$6:$K$205,C878)))*(A878-6*C878)/6))</f>
        <v>0.0141757091913641</v>
      </c>
      <c r="H878" s="12" t="n">
        <f aca="false">G878^(-1/B878)-1</f>
        <v>0.0601791224999999</v>
      </c>
      <c r="I878" s="12" t="n">
        <f aca="false">(1+H878)^(1/12)-1</f>
        <v>0.00488169997168164</v>
      </c>
      <c r="J878" s="16" t="n">
        <f aca="false">IF(C878=0,(1+Dic2024!$M$6)^(-B878),EXP(LN(INDEX(Dic2024!$N$6:$N$205,C878))+(LN(INDEX(Dic2024!$N$6:$N$205,MIN(C878+1,200)))-LN(INDEX(Dic2024!$N$6:$N$205,C878)))*(A878-6*C878)/6))</f>
        <v>0.0141757091913641</v>
      </c>
      <c r="K878" s="12" t="n">
        <f aca="false">J878^(-1/B878)-1</f>
        <v>0.0601791224999999</v>
      </c>
      <c r="L878" s="12" t="n">
        <f aca="false">(1+K878)^(1/12)-1</f>
        <v>0.00488169997168164</v>
      </c>
    </row>
    <row r="879" customFormat="false" ht="15" hidden="false" customHeight="false" outlineLevel="0" collapsed="false">
      <c r="A879" s="4" t="n">
        <v>875</v>
      </c>
      <c r="B879" s="14" t="n">
        <f aca="false">A879/12</f>
        <v>72.9166666666667</v>
      </c>
      <c r="C879" s="15" t="n">
        <f aca="false">INT(A879/6)</f>
        <v>145</v>
      </c>
      <c r="D879" s="16" t="n">
        <f aca="false">IF(C879=0,(1+Dic2024!$G$6)^(-B879),EXP(LN(INDEX(Dic2024!$H$6:$H$205,C879))+(LN(INDEX(Dic2024!$H$6:$H$205,MIN(C879+1,200)))-LN(INDEX(Dic2024!$H$6:$H$205,C879)))*(A879-6*C879)/6))</f>
        <v>0.0141068438123249</v>
      </c>
      <c r="E879" s="12" t="n">
        <f aca="false">D879^(-1/B879)-1</f>
        <v>0.0601791224999999</v>
      </c>
      <c r="F879" s="12" t="n">
        <f aca="false">(1+E879)^(1/12)-1</f>
        <v>0.00488169997168164</v>
      </c>
      <c r="G879" s="16" t="n">
        <f aca="false">IF(C879=0,(1+Dic2024!$J$6)^(-B879),EXP(LN(INDEX(Dic2024!$K$6:$K$205,C879))+(LN(INDEX(Dic2024!$K$6:$K$205,MIN(C879+1,200)))-LN(INDEX(Dic2024!$K$6:$K$205,C879)))*(A879-6*C879)/6))</f>
        <v>0.0141068438123249</v>
      </c>
      <c r="H879" s="12" t="n">
        <f aca="false">G879^(-1/B879)-1</f>
        <v>0.0601791224999999</v>
      </c>
      <c r="I879" s="12" t="n">
        <f aca="false">(1+H879)^(1/12)-1</f>
        <v>0.00488169997168164</v>
      </c>
      <c r="J879" s="16" t="n">
        <f aca="false">IF(C879=0,(1+Dic2024!$M$6)^(-B879),EXP(LN(INDEX(Dic2024!$N$6:$N$205,C879))+(LN(INDEX(Dic2024!$N$6:$N$205,MIN(C879+1,200)))-LN(INDEX(Dic2024!$N$6:$N$205,C879)))*(A879-6*C879)/6))</f>
        <v>0.0141068438123249</v>
      </c>
      <c r="K879" s="12" t="n">
        <f aca="false">J879^(-1/B879)-1</f>
        <v>0.0601791224999999</v>
      </c>
      <c r="L879" s="12" t="n">
        <f aca="false">(1+K879)^(1/12)-1</f>
        <v>0.00488169997168164</v>
      </c>
    </row>
    <row r="880" customFormat="false" ht="15" hidden="false" customHeight="false" outlineLevel="0" collapsed="false">
      <c r="A880" s="4" t="n">
        <v>876</v>
      </c>
      <c r="B880" s="14" t="n">
        <f aca="false">A880/12</f>
        <v>73</v>
      </c>
      <c r="C880" s="15" t="n">
        <f aca="false">INT(A880/6)</f>
        <v>146</v>
      </c>
      <c r="D880" s="16" t="n">
        <f aca="false">IF(C880=0,(1+Dic2024!$G$6)^(-B880),EXP(LN(INDEX(Dic2024!$H$6:$H$205,C880))+(LN(INDEX(Dic2024!$H$6:$H$205,MIN(C880+1,200)))-LN(INDEX(Dic2024!$H$6:$H$205,C880)))*(A880-6*C880)/6))</f>
        <v>0.0140383129802468</v>
      </c>
      <c r="E880" s="12" t="n">
        <f aca="false">D880^(-1/B880)-1</f>
        <v>0.0601791224999999</v>
      </c>
      <c r="F880" s="12" t="n">
        <f aca="false">(1+E880)^(1/12)-1</f>
        <v>0.00488169997168164</v>
      </c>
      <c r="G880" s="16" t="n">
        <f aca="false">IF(C880=0,(1+Dic2024!$J$6)^(-B880),EXP(LN(INDEX(Dic2024!$K$6:$K$205,C880))+(LN(INDEX(Dic2024!$K$6:$K$205,MIN(C880+1,200)))-LN(INDEX(Dic2024!$K$6:$K$205,C880)))*(A880-6*C880)/6))</f>
        <v>0.0140383129802468</v>
      </c>
      <c r="H880" s="12" t="n">
        <f aca="false">G880^(-1/B880)-1</f>
        <v>0.0601791224999999</v>
      </c>
      <c r="I880" s="12" t="n">
        <f aca="false">(1+H880)^(1/12)-1</f>
        <v>0.00488169997168164</v>
      </c>
      <c r="J880" s="16" t="n">
        <f aca="false">IF(C880=0,(1+Dic2024!$M$6)^(-B880),EXP(LN(INDEX(Dic2024!$N$6:$N$205,C880))+(LN(INDEX(Dic2024!$N$6:$N$205,MIN(C880+1,200)))-LN(INDEX(Dic2024!$N$6:$N$205,C880)))*(A880-6*C880)/6))</f>
        <v>0.0140383129802468</v>
      </c>
      <c r="K880" s="12" t="n">
        <f aca="false">J880^(-1/B880)-1</f>
        <v>0.0601791224999999</v>
      </c>
      <c r="L880" s="12" t="n">
        <f aca="false">(1+K880)^(1/12)-1</f>
        <v>0.00488169997168164</v>
      </c>
    </row>
    <row r="881" customFormat="false" ht="15" hidden="false" customHeight="false" outlineLevel="0" collapsed="false">
      <c r="A881" s="4" t="n">
        <v>877</v>
      </c>
      <c r="B881" s="14" t="n">
        <f aca="false">A881/12</f>
        <v>73.0833333333333</v>
      </c>
      <c r="C881" s="15" t="n">
        <f aca="false">INT(A881/6)</f>
        <v>146</v>
      </c>
      <c r="D881" s="16" t="n">
        <f aca="false">IF(C881=0,(1+Dic2024!$G$6)^(-B881),EXP(LN(INDEX(Dic2024!$H$6:$H$205,C881))+(LN(INDEX(Dic2024!$H$6:$H$205,MIN(C881+1,200)))-LN(INDEX(Dic2024!$H$6:$H$205,C881)))*(A881-6*C881)/6))</f>
        <v>0.0139701150699056</v>
      </c>
      <c r="E881" s="12" t="n">
        <f aca="false">D881^(-1/B881)-1</f>
        <v>0.0601791224999999</v>
      </c>
      <c r="F881" s="12" t="n">
        <f aca="false">(1+E881)^(1/12)-1</f>
        <v>0.00488169997168164</v>
      </c>
      <c r="G881" s="16" t="n">
        <f aca="false">IF(C881=0,(1+Dic2024!$J$6)^(-B881),EXP(LN(INDEX(Dic2024!$K$6:$K$205,C881))+(LN(INDEX(Dic2024!$K$6:$K$205,MIN(C881+1,200)))-LN(INDEX(Dic2024!$K$6:$K$205,C881)))*(A881-6*C881)/6))</f>
        <v>0.0139701150699056</v>
      </c>
      <c r="H881" s="12" t="n">
        <f aca="false">G881^(-1/B881)-1</f>
        <v>0.0601791224999999</v>
      </c>
      <c r="I881" s="12" t="n">
        <f aca="false">(1+H881)^(1/12)-1</f>
        <v>0.00488169997168164</v>
      </c>
      <c r="J881" s="16" t="n">
        <f aca="false">IF(C881=0,(1+Dic2024!$M$6)^(-B881),EXP(LN(INDEX(Dic2024!$N$6:$N$205,C881))+(LN(INDEX(Dic2024!$N$6:$N$205,MIN(C881+1,200)))-LN(INDEX(Dic2024!$N$6:$N$205,C881)))*(A881-6*C881)/6))</f>
        <v>0.0139701150699056</v>
      </c>
      <c r="K881" s="12" t="n">
        <f aca="false">J881^(-1/B881)-1</f>
        <v>0.0601791224999999</v>
      </c>
      <c r="L881" s="12" t="n">
        <f aca="false">(1+K881)^(1/12)-1</f>
        <v>0.00488169997168164</v>
      </c>
    </row>
    <row r="882" customFormat="false" ht="15" hidden="false" customHeight="false" outlineLevel="0" collapsed="false">
      <c r="A882" s="4" t="n">
        <v>878</v>
      </c>
      <c r="B882" s="14" t="n">
        <f aca="false">A882/12</f>
        <v>73.1666666666667</v>
      </c>
      <c r="C882" s="15" t="n">
        <f aca="false">INT(A882/6)</f>
        <v>146</v>
      </c>
      <c r="D882" s="16" t="n">
        <f aca="false">IF(C882=0,(1+Dic2024!$G$6)^(-B882),EXP(LN(INDEX(Dic2024!$H$6:$H$205,C882))+(LN(INDEX(Dic2024!$H$6:$H$205,MIN(C882+1,200)))-LN(INDEX(Dic2024!$H$6:$H$205,C882)))*(A882-6*C882)/6))</f>
        <v>0.0139022484639728</v>
      </c>
      <c r="E882" s="12" t="n">
        <f aca="false">D882^(-1/B882)-1</f>
        <v>0.0601791224999999</v>
      </c>
      <c r="F882" s="12" t="n">
        <f aca="false">(1+E882)^(1/12)-1</f>
        <v>0.00488169997168164</v>
      </c>
      <c r="G882" s="16" t="n">
        <f aca="false">IF(C882=0,(1+Dic2024!$J$6)^(-B882),EXP(LN(INDEX(Dic2024!$K$6:$K$205,C882))+(LN(INDEX(Dic2024!$K$6:$K$205,MIN(C882+1,200)))-LN(INDEX(Dic2024!$K$6:$K$205,C882)))*(A882-6*C882)/6))</f>
        <v>0.0139022484639728</v>
      </c>
      <c r="H882" s="12" t="n">
        <f aca="false">G882^(-1/B882)-1</f>
        <v>0.0601791224999999</v>
      </c>
      <c r="I882" s="12" t="n">
        <f aca="false">(1+H882)^(1/12)-1</f>
        <v>0.00488169997168164</v>
      </c>
      <c r="J882" s="16" t="n">
        <f aca="false">IF(C882=0,(1+Dic2024!$M$6)^(-B882),EXP(LN(INDEX(Dic2024!$N$6:$N$205,C882))+(LN(INDEX(Dic2024!$N$6:$N$205,MIN(C882+1,200)))-LN(INDEX(Dic2024!$N$6:$N$205,C882)))*(A882-6*C882)/6))</f>
        <v>0.0139022484639728</v>
      </c>
      <c r="K882" s="12" t="n">
        <f aca="false">J882^(-1/B882)-1</f>
        <v>0.0601791224999999</v>
      </c>
      <c r="L882" s="12" t="n">
        <f aca="false">(1+K882)^(1/12)-1</f>
        <v>0.00488169997168164</v>
      </c>
    </row>
    <row r="883" customFormat="false" ht="15" hidden="false" customHeight="false" outlineLevel="0" collapsed="false">
      <c r="A883" s="4" t="n">
        <v>879</v>
      </c>
      <c r="B883" s="14" t="n">
        <f aca="false">A883/12</f>
        <v>73.25</v>
      </c>
      <c r="C883" s="15" t="n">
        <f aca="false">INT(A883/6)</f>
        <v>146</v>
      </c>
      <c r="D883" s="16" t="n">
        <f aca="false">IF(C883=0,(1+Dic2024!$G$6)^(-B883),EXP(LN(INDEX(Dic2024!$H$6:$H$205,C883))+(LN(INDEX(Dic2024!$H$6:$H$205,MIN(C883+1,200)))-LN(INDEX(Dic2024!$H$6:$H$205,C883)))*(A883-6*C883)/6))</f>
        <v>0.0138347115529764</v>
      </c>
      <c r="E883" s="12" t="n">
        <f aca="false">D883^(-1/B883)-1</f>
        <v>0.0601791224999999</v>
      </c>
      <c r="F883" s="12" t="n">
        <f aca="false">(1+E883)^(1/12)-1</f>
        <v>0.00488169997168164</v>
      </c>
      <c r="G883" s="16" t="n">
        <f aca="false">IF(C883=0,(1+Dic2024!$J$6)^(-B883),EXP(LN(INDEX(Dic2024!$K$6:$K$205,C883))+(LN(INDEX(Dic2024!$K$6:$K$205,MIN(C883+1,200)))-LN(INDEX(Dic2024!$K$6:$K$205,C883)))*(A883-6*C883)/6))</f>
        <v>0.0138347115529764</v>
      </c>
      <c r="H883" s="12" t="n">
        <f aca="false">G883^(-1/B883)-1</f>
        <v>0.0601791224999999</v>
      </c>
      <c r="I883" s="12" t="n">
        <f aca="false">(1+H883)^(1/12)-1</f>
        <v>0.00488169997168164</v>
      </c>
      <c r="J883" s="16" t="n">
        <f aca="false">IF(C883=0,(1+Dic2024!$M$6)^(-B883),EXP(LN(INDEX(Dic2024!$N$6:$N$205,C883))+(LN(INDEX(Dic2024!$N$6:$N$205,MIN(C883+1,200)))-LN(INDEX(Dic2024!$N$6:$N$205,C883)))*(A883-6*C883)/6))</f>
        <v>0.0138347115529764</v>
      </c>
      <c r="K883" s="12" t="n">
        <f aca="false">J883^(-1/B883)-1</f>
        <v>0.0601791224999999</v>
      </c>
      <c r="L883" s="12" t="n">
        <f aca="false">(1+K883)^(1/12)-1</f>
        <v>0.00488169997168164</v>
      </c>
    </row>
    <row r="884" customFormat="false" ht="15" hidden="false" customHeight="false" outlineLevel="0" collapsed="false">
      <c r="A884" s="4" t="n">
        <v>880</v>
      </c>
      <c r="B884" s="14" t="n">
        <f aca="false">A884/12</f>
        <v>73.3333333333333</v>
      </c>
      <c r="C884" s="15" t="n">
        <f aca="false">INT(A884/6)</f>
        <v>146</v>
      </c>
      <c r="D884" s="16" t="n">
        <f aca="false">IF(C884=0,(1+Dic2024!$G$6)^(-B884),EXP(LN(INDEX(Dic2024!$H$6:$H$205,C884))+(LN(INDEX(Dic2024!$H$6:$H$205,MIN(C884+1,200)))-LN(INDEX(Dic2024!$H$6:$H$205,C884)))*(A884-6*C884)/6))</f>
        <v>0.0137675027352635</v>
      </c>
      <c r="E884" s="12" t="n">
        <f aca="false">D884^(-1/B884)-1</f>
        <v>0.0601791224999999</v>
      </c>
      <c r="F884" s="12" t="n">
        <f aca="false">(1+E884)^(1/12)-1</f>
        <v>0.00488169997168164</v>
      </c>
      <c r="G884" s="16" t="n">
        <f aca="false">IF(C884=0,(1+Dic2024!$J$6)^(-B884),EXP(LN(INDEX(Dic2024!$K$6:$K$205,C884))+(LN(INDEX(Dic2024!$K$6:$K$205,MIN(C884+1,200)))-LN(INDEX(Dic2024!$K$6:$K$205,C884)))*(A884-6*C884)/6))</f>
        <v>0.0137675027352635</v>
      </c>
      <c r="H884" s="12" t="n">
        <f aca="false">G884^(-1/B884)-1</f>
        <v>0.0601791224999999</v>
      </c>
      <c r="I884" s="12" t="n">
        <f aca="false">(1+H884)^(1/12)-1</f>
        <v>0.00488169997168164</v>
      </c>
      <c r="J884" s="16" t="n">
        <f aca="false">IF(C884=0,(1+Dic2024!$M$6)^(-B884),EXP(LN(INDEX(Dic2024!$N$6:$N$205,C884))+(LN(INDEX(Dic2024!$N$6:$N$205,MIN(C884+1,200)))-LN(INDEX(Dic2024!$N$6:$N$205,C884)))*(A884-6*C884)/6))</f>
        <v>0.0137675027352635</v>
      </c>
      <c r="K884" s="12" t="n">
        <f aca="false">J884^(-1/B884)-1</f>
        <v>0.0601791224999999</v>
      </c>
      <c r="L884" s="12" t="n">
        <f aca="false">(1+K884)^(1/12)-1</f>
        <v>0.00488169997168164</v>
      </c>
    </row>
    <row r="885" customFormat="false" ht="15" hidden="false" customHeight="false" outlineLevel="0" collapsed="false">
      <c r="A885" s="4" t="n">
        <v>881</v>
      </c>
      <c r="B885" s="14" t="n">
        <f aca="false">A885/12</f>
        <v>73.4166666666667</v>
      </c>
      <c r="C885" s="15" t="n">
        <f aca="false">INT(A885/6)</f>
        <v>146</v>
      </c>
      <c r="D885" s="16" t="n">
        <f aca="false">IF(C885=0,(1+Dic2024!$G$6)^(-B885),EXP(LN(INDEX(Dic2024!$H$6:$H$205,C885))+(LN(INDEX(Dic2024!$H$6:$H$205,MIN(C885+1,200)))-LN(INDEX(Dic2024!$H$6:$H$205,C885)))*(A885-6*C885)/6))</f>
        <v>0.013700620416962</v>
      </c>
      <c r="E885" s="12" t="n">
        <f aca="false">D885^(-1/B885)-1</f>
        <v>0.0601791224999999</v>
      </c>
      <c r="F885" s="12" t="n">
        <f aca="false">(1+E885)^(1/12)-1</f>
        <v>0.00488169997168164</v>
      </c>
      <c r="G885" s="16" t="n">
        <f aca="false">IF(C885=0,(1+Dic2024!$J$6)^(-B885),EXP(LN(INDEX(Dic2024!$K$6:$K$205,C885))+(LN(INDEX(Dic2024!$K$6:$K$205,MIN(C885+1,200)))-LN(INDEX(Dic2024!$K$6:$K$205,C885)))*(A885-6*C885)/6))</f>
        <v>0.013700620416962</v>
      </c>
      <c r="H885" s="12" t="n">
        <f aca="false">G885^(-1/B885)-1</f>
        <v>0.0601791224999999</v>
      </c>
      <c r="I885" s="12" t="n">
        <f aca="false">(1+H885)^(1/12)-1</f>
        <v>0.00488169997168164</v>
      </c>
      <c r="J885" s="16" t="n">
        <f aca="false">IF(C885=0,(1+Dic2024!$M$6)^(-B885),EXP(LN(INDEX(Dic2024!$N$6:$N$205,C885))+(LN(INDEX(Dic2024!$N$6:$N$205,MIN(C885+1,200)))-LN(INDEX(Dic2024!$N$6:$N$205,C885)))*(A885-6*C885)/6))</f>
        <v>0.013700620416962</v>
      </c>
      <c r="K885" s="12" t="n">
        <f aca="false">J885^(-1/B885)-1</f>
        <v>0.0601791224999999</v>
      </c>
      <c r="L885" s="12" t="n">
        <f aca="false">(1+K885)^(1/12)-1</f>
        <v>0.00488169997168164</v>
      </c>
    </row>
    <row r="886" customFormat="false" ht="15" hidden="false" customHeight="false" outlineLevel="0" collapsed="false">
      <c r="A886" s="4" t="n">
        <v>882</v>
      </c>
      <c r="B886" s="14" t="n">
        <f aca="false">A886/12</f>
        <v>73.5</v>
      </c>
      <c r="C886" s="15" t="n">
        <f aca="false">INT(A886/6)</f>
        <v>147</v>
      </c>
      <c r="D886" s="16" t="n">
        <f aca="false">IF(C886=0,(1+Dic2024!$G$6)^(-B886),EXP(LN(INDEX(Dic2024!$H$6:$H$205,C886))+(LN(INDEX(Dic2024!$H$6:$H$205,MIN(C886+1,200)))-LN(INDEX(Dic2024!$H$6:$H$205,C886)))*(A886-6*C886)/6))</f>
        <v>0.0136340630119427</v>
      </c>
      <c r="E886" s="12" t="n">
        <f aca="false">D886^(-1/B886)-1</f>
        <v>0.0601791224999999</v>
      </c>
      <c r="F886" s="12" t="n">
        <f aca="false">(1+E886)^(1/12)-1</f>
        <v>0.00488169997168164</v>
      </c>
      <c r="G886" s="16" t="n">
        <f aca="false">IF(C886=0,(1+Dic2024!$J$6)^(-B886),EXP(LN(INDEX(Dic2024!$K$6:$K$205,C886))+(LN(INDEX(Dic2024!$K$6:$K$205,MIN(C886+1,200)))-LN(INDEX(Dic2024!$K$6:$K$205,C886)))*(A886-6*C886)/6))</f>
        <v>0.0136340630119427</v>
      </c>
      <c r="H886" s="12" t="n">
        <f aca="false">G886^(-1/B886)-1</f>
        <v>0.0601791224999999</v>
      </c>
      <c r="I886" s="12" t="n">
        <f aca="false">(1+H886)^(1/12)-1</f>
        <v>0.00488169997168164</v>
      </c>
      <c r="J886" s="16" t="n">
        <f aca="false">IF(C886=0,(1+Dic2024!$M$6)^(-B886),EXP(LN(INDEX(Dic2024!$N$6:$N$205,C886))+(LN(INDEX(Dic2024!$N$6:$N$205,MIN(C886+1,200)))-LN(INDEX(Dic2024!$N$6:$N$205,C886)))*(A886-6*C886)/6))</f>
        <v>0.0136340630119427</v>
      </c>
      <c r="K886" s="12" t="n">
        <f aca="false">J886^(-1/B886)-1</f>
        <v>0.0601791224999999</v>
      </c>
      <c r="L886" s="12" t="n">
        <f aca="false">(1+K886)^(1/12)-1</f>
        <v>0.00488169997168164</v>
      </c>
    </row>
    <row r="887" customFormat="false" ht="15" hidden="false" customHeight="false" outlineLevel="0" collapsed="false">
      <c r="A887" s="4" t="n">
        <v>883</v>
      </c>
      <c r="B887" s="14" t="n">
        <f aca="false">A887/12</f>
        <v>73.5833333333333</v>
      </c>
      <c r="C887" s="15" t="n">
        <f aca="false">INT(A887/6)</f>
        <v>147</v>
      </c>
      <c r="D887" s="16" t="n">
        <f aca="false">IF(C887=0,(1+Dic2024!$G$6)^(-B887),EXP(LN(INDEX(Dic2024!$H$6:$H$205,C887))+(LN(INDEX(Dic2024!$H$6:$H$205,MIN(C887+1,200)))-LN(INDEX(Dic2024!$H$6:$H$205,C887)))*(A887-6*C887)/6))</f>
        <v>0.0135678289417818</v>
      </c>
      <c r="E887" s="12" t="n">
        <f aca="false">D887^(-1/B887)-1</f>
        <v>0.0601791224999999</v>
      </c>
      <c r="F887" s="12" t="n">
        <f aca="false">(1+E887)^(1/12)-1</f>
        <v>0.00488169997168164</v>
      </c>
      <c r="G887" s="16" t="n">
        <f aca="false">IF(C887=0,(1+Dic2024!$J$6)^(-B887),EXP(LN(INDEX(Dic2024!$K$6:$K$205,C887))+(LN(INDEX(Dic2024!$K$6:$K$205,MIN(C887+1,200)))-LN(INDEX(Dic2024!$K$6:$K$205,C887)))*(A887-6*C887)/6))</f>
        <v>0.0135678289417818</v>
      </c>
      <c r="H887" s="12" t="n">
        <f aca="false">G887^(-1/B887)-1</f>
        <v>0.0601791224999999</v>
      </c>
      <c r="I887" s="12" t="n">
        <f aca="false">(1+H887)^(1/12)-1</f>
        <v>0.00488169997168164</v>
      </c>
      <c r="J887" s="16" t="n">
        <f aca="false">IF(C887=0,(1+Dic2024!$M$6)^(-B887),EXP(LN(INDEX(Dic2024!$N$6:$N$205,C887))+(LN(INDEX(Dic2024!$N$6:$N$205,MIN(C887+1,200)))-LN(INDEX(Dic2024!$N$6:$N$205,C887)))*(A887-6*C887)/6))</f>
        <v>0.0135678289417818</v>
      </c>
      <c r="K887" s="12" t="n">
        <f aca="false">J887^(-1/B887)-1</f>
        <v>0.0601791224999999</v>
      </c>
      <c r="L887" s="12" t="n">
        <f aca="false">(1+K887)^(1/12)-1</f>
        <v>0.00488169997168164</v>
      </c>
    </row>
    <row r="888" customFormat="false" ht="15" hidden="false" customHeight="false" outlineLevel="0" collapsed="false">
      <c r="A888" s="4" t="n">
        <v>884</v>
      </c>
      <c r="B888" s="14" t="n">
        <f aca="false">A888/12</f>
        <v>73.6666666666667</v>
      </c>
      <c r="C888" s="15" t="n">
        <f aca="false">INT(A888/6)</f>
        <v>147</v>
      </c>
      <c r="D888" s="16" t="n">
        <f aca="false">IF(C888=0,(1+Dic2024!$G$6)^(-B888),EXP(LN(INDEX(Dic2024!$H$6:$H$205,C888))+(LN(INDEX(Dic2024!$H$6:$H$205,MIN(C888+1,200)))-LN(INDEX(Dic2024!$H$6:$H$205,C888)))*(A888-6*C888)/6))</f>
        <v>0.0135019166357236</v>
      </c>
      <c r="E888" s="12" t="n">
        <f aca="false">D888^(-1/B888)-1</f>
        <v>0.0601791224999999</v>
      </c>
      <c r="F888" s="12" t="n">
        <f aca="false">(1+E888)^(1/12)-1</f>
        <v>0.00488169997168164</v>
      </c>
      <c r="G888" s="16" t="n">
        <f aca="false">IF(C888=0,(1+Dic2024!$J$6)^(-B888),EXP(LN(INDEX(Dic2024!$K$6:$K$205,C888))+(LN(INDEX(Dic2024!$K$6:$K$205,MIN(C888+1,200)))-LN(INDEX(Dic2024!$K$6:$K$205,C888)))*(A888-6*C888)/6))</f>
        <v>0.0135019166357236</v>
      </c>
      <c r="H888" s="12" t="n">
        <f aca="false">G888^(-1/B888)-1</f>
        <v>0.0601791224999999</v>
      </c>
      <c r="I888" s="12" t="n">
        <f aca="false">(1+H888)^(1/12)-1</f>
        <v>0.00488169997168164</v>
      </c>
      <c r="J888" s="16" t="n">
        <f aca="false">IF(C888=0,(1+Dic2024!$M$6)^(-B888),EXP(LN(INDEX(Dic2024!$N$6:$N$205,C888))+(LN(INDEX(Dic2024!$N$6:$N$205,MIN(C888+1,200)))-LN(INDEX(Dic2024!$N$6:$N$205,C888)))*(A888-6*C888)/6))</f>
        <v>0.0135019166357236</v>
      </c>
      <c r="K888" s="12" t="n">
        <f aca="false">J888^(-1/B888)-1</f>
        <v>0.0601791224999999</v>
      </c>
      <c r="L888" s="12" t="n">
        <f aca="false">(1+K888)^(1/12)-1</f>
        <v>0.00488169997168164</v>
      </c>
    </row>
    <row r="889" customFormat="false" ht="15" hidden="false" customHeight="false" outlineLevel="0" collapsed="false">
      <c r="A889" s="4" t="n">
        <v>885</v>
      </c>
      <c r="B889" s="14" t="n">
        <f aca="false">A889/12</f>
        <v>73.75</v>
      </c>
      <c r="C889" s="15" t="n">
        <f aca="false">INT(A889/6)</f>
        <v>147</v>
      </c>
      <c r="D889" s="16" t="n">
        <f aca="false">IF(C889=0,(1+Dic2024!$G$6)^(-B889),EXP(LN(INDEX(Dic2024!$H$6:$H$205,C889))+(LN(INDEX(Dic2024!$H$6:$H$205,MIN(C889+1,200)))-LN(INDEX(Dic2024!$H$6:$H$205,C889)))*(A889-6*C889)/6))</f>
        <v>0.0134363245306428</v>
      </c>
      <c r="E889" s="12" t="n">
        <f aca="false">D889^(-1/B889)-1</f>
        <v>0.0601791224999999</v>
      </c>
      <c r="F889" s="12" t="n">
        <f aca="false">(1+E889)^(1/12)-1</f>
        <v>0.00488169997168164</v>
      </c>
      <c r="G889" s="16" t="n">
        <f aca="false">IF(C889=0,(1+Dic2024!$J$6)^(-B889),EXP(LN(INDEX(Dic2024!$K$6:$K$205,C889))+(LN(INDEX(Dic2024!$K$6:$K$205,MIN(C889+1,200)))-LN(INDEX(Dic2024!$K$6:$K$205,C889)))*(A889-6*C889)/6))</f>
        <v>0.0134363245306428</v>
      </c>
      <c r="H889" s="12" t="n">
        <f aca="false">G889^(-1/B889)-1</f>
        <v>0.0601791224999999</v>
      </c>
      <c r="I889" s="12" t="n">
        <f aca="false">(1+H889)^(1/12)-1</f>
        <v>0.00488169997168164</v>
      </c>
      <c r="J889" s="16" t="n">
        <f aca="false">IF(C889=0,(1+Dic2024!$M$6)^(-B889),EXP(LN(INDEX(Dic2024!$N$6:$N$205,C889))+(LN(INDEX(Dic2024!$N$6:$N$205,MIN(C889+1,200)))-LN(INDEX(Dic2024!$N$6:$N$205,C889)))*(A889-6*C889)/6))</f>
        <v>0.0134363245306428</v>
      </c>
      <c r="K889" s="12" t="n">
        <f aca="false">J889^(-1/B889)-1</f>
        <v>0.0601791224999999</v>
      </c>
      <c r="L889" s="12" t="n">
        <f aca="false">(1+K889)^(1/12)-1</f>
        <v>0.00488169997168164</v>
      </c>
    </row>
    <row r="890" customFormat="false" ht="15" hidden="false" customHeight="false" outlineLevel="0" collapsed="false">
      <c r="A890" s="4" t="n">
        <v>886</v>
      </c>
      <c r="B890" s="14" t="n">
        <f aca="false">A890/12</f>
        <v>73.8333333333333</v>
      </c>
      <c r="C890" s="15" t="n">
        <f aca="false">INT(A890/6)</f>
        <v>147</v>
      </c>
      <c r="D890" s="16" t="n">
        <f aca="false">IF(C890=0,(1+Dic2024!$G$6)^(-B890),EXP(LN(INDEX(Dic2024!$H$6:$H$205,C890))+(LN(INDEX(Dic2024!$H$6:$H$205,MIN(C890+1,200)))-LN(INDEX(Dic2024!$H$6:$H$205,C890)))*(A890-6*C890)/6))</f>
        <v>0.0133710510710081</v>
      </c>
      <c r="E890" s="12" t="n">
        <f aca="false">D890^(-1/B890)-1</f>
        <v>0.0601791224999999</v>
      </c>
      <c r="F890" s="12" t="n">
        <f aca="false">(1+E890)^(1/12)-1</f>
        <v>0.00488169997168164</v>
      </c>
      <c r="G890" s="16" t="n">
        <f aca="false">IF(C890=0,(1+Dic2024!$J$6)^(-B890),EXP(LN(INDEX(Dic2024!$K$6:$K$205,C890))+(LN(INDEX(Dic2024!$K$6:$K$205,MIN(C890+1,200)))-LN(INDEX(Dic2024!$K$6:$K$205,C890)))*(A890-6*C890)/6))</f>
        <v>0.0133710510710081</v>
      </c>
      <c r="H890" s="12" t="n">
        <f aca="false">G890^(-1/B890)-1</f>
        <v>0.0601791224999999</v>
      </c>
      <c r="I890" s="12" t="n">
        <f aca="false">(1+H890)^(1/12)-1</f>
        <v>0.00488169997168164</v>
      </c>
      <c r="J890" s="16" t="n">
        <f aca="false">IF(C890=0,(1+Dic2024!$M$6)^(-B890),EXP(LN(INDEX(Dic2024!$N$6:$N$205,C890))+(LN(INDEX(Dic2024!$N$6:$N$205,MIN(C890+1,200)))-LN(INDEX(Dic2024!$N$6:$N$205,C890)))*(A890-6*C890)/6))</f>
        <v>0.0133710510710081</v>
      </c>
      <c r="K890" s="12" t="n">
        <f aca="false">J890^(-1/B890)-1</f>
        <v>0.0601791224999999</v>
      </c>
      <c r="L890" s="12" t="n">
        <f aca="false">(1+K890)^(1/12)-1</f>
        <v>0.00488169997168164</v>
      </c>
    </row>
    <row r="891" customFormat="false" ht="15" hidden="false" customHeight="false" outlineLevel="0" collapsed="false">
      <c r="A891" s="4" t="n">
        <v>887</v>
      </c>
      <c r="B891" s="14" t="n">
        <f aca="false">A891/12</f>
        <v>73.9166666666667</v>
      </c>
      <c r="C891" s="15" t="n">
        <f aca="false">INT(A891/6)</f>
        <v>147</v>
      </c>
      <c r="D891" s="16" t="n">
        <f aca="false">IF(C891=0,(1+Dic2024!$G$6)^(-B891),EXP(LN(INDEX(Dic2024!$H$6:$H$205,C891))+(LN(INDEX(Dic2024!$H$6:$H$205,MIN(C891+1,200)))-LN(INDEX(Dic2024!$H$6:$H$205,C891)))*(A891-6*C891)/6))</f>
        <v>0.0133060947088447</v>
      </c>
      <c r="E891" s="12" t="n">
        <f aca="false">D891^(-1/B891)-1</f>
        <v>0.0601791224999999</v>
      </c>
      <c r="F891" s="12" t="n">
        <f aca="false">(1+E891)^(1/12)-1</f>
        <v>0.00488169997168164</v>
      </c>
      <c r="G891" s="16" t="n">
        <f aca="false">IF(C891=0,(1+Dic2024!$J$6)^(-B891),EXP(LN(INDEX(Dic2024!$K$6:$K$205,C891))+(LN(INDEX(Dic2024!$K$6:$K$205,MIN(C891+1,200)))-LN(INDEX(Dic2024!$K$6:$K$205,C891)))*(A891-6*C891)/6))</f>
        <v>0.0133060947088447</v>
      </c>
      <c r="H891" s="12" t="n">
        <f aca="false">G891^(-1/B891)-1</f>
        <v>0.0601791224999999</v>
      </c>
      <c r="I891" s="12" t="n">
        <f aca="false">(1+H891)^(1/12)-1</f>
        <v>0.00488169997168164</v>
      </c>
      <c r="J891" s="16" t="n">
        <f aca="false">IF(C891=0,(1+Dic2024!$M$6)^(-B891),EXP(LN(INDEX(Dic2024!$N$6:$N$205,C891))+(LN(INDEX(Dic2024!$N$6:$N$205,MIN(C891+1,200)))-LN(INDEX(Dic2024!$N$6:$N$205,C891)))*(A891-6*C891)/6))</f>
        <v>0.0133060947088447</v>
      </c>
      <c r="K891" s="12" t="n">
        <f aca="false">J891^(-1/B891)-1</f>
        <v>0.0601791224999999</v>
      </c>
      <c r="L891" s="12" t="n">
        <f aca="false">(1+K891)^(1/12)-1</f>
        <v>0.00488169997168164</v>
      </c>
    </row>
    <row r="892" customFormat="false" ht="15" hidden="false" customHeight="false" outlineLevel="0" collapsed="false">
      <c r="A892" s="4" t="n">
        <v>888</v>
      </c>
      <c r="B892" s="14" t="n">
        <f aca="false">A892/12</f>
        <v>74</v>
      </c>
      <c r="C892" s="15" t="n">
        <f aca="false">INT(A892/6)</f>
        <v>148</v>
      </c>
      <c r="D892" s="16" t="n">
        <f aca="false">IF(C892=0,(1+Dic2024!$G$6)^(-B892),EXP(LN(INDEX(Dic2024!$H$6:$H$205,C892))+(LN(INDEX(Dic2024!$H$6:$H$205,MIN(C892+1,200)))-LN(INDEX(Dic2024!$H$6:$H$205,C892)))*(A892-6*C892)/6))</f>
        <v>0.013241453903698</v>
      </c>
      <c r="E892" s="12" t="n">
        <f aca="false">D892^(-1/B892)-1</f>
        <v>0.0601791224999999</v>
      </c>
      <c r="F892" s="12" t="n">
        <f aca="false">(1+E892)^(1/12)-1</f>
        <v>0.00488169997168164</v>
      </c>
      <c r="G892" s="16" t="n">
        <f aca="false">IF(C892=0,(1+Dic2024!$J$6)^(-B892),EXP(LN(INDEX(Dic2024!$K$6:$K$205,C892))+(LN(INDEX(Dic2024!$K$6:$K$205,MIN(C892+1,200)))-LN(INDEX(Dic2024!$K$6:$K$205,C892)))*(A892-6*C892)/6))</f>
        <v>0.013241453903698</v>
      </c>
      <c r="H892" s="12" t="n">
        <f aca="false">G892^(-1/B892)-1</f>
        <v>0.0601791224999999</v>
      </c>
      <c r="I892" s="12" t="n">
        <f aca="false">(1+H892)^(1/12)-1</f>
        <v>0.00488169997168164</v>
      </c>
      <c r="J892" s="16" t="n">
        <f aca="false">IF(C892=0,(1+Dic2024!$M$6)^(-B892),EXP(LN(INDEX(Dic2024!$N$6:$N$205,C892))+(LN(INDEX(Dic2024!$N$6:$N$205,MIN(C892+1,200)))-LN(INDEX(Dic2024!$N$6:$N$205,C892)))*(A892-6*C892)/6))</f>
        <v>0.013241453903698</v>
      </c>
      <c r="K892" s="12" t="n">
        <f aca="false">J892^(-1/B892)-1</f>
        <v>0.0601791224999999</v>
      </c>
      <c r="L892" s="12" t="n">
        <f aca="false">(1+K892)^(1/12)-1</f>
        <v>0.00488169997168164</v>
      </c>
    </row>
    <row r="893" customFormat="false" ht="15" hidden="false" customHeight="false" outlineLevel="0" collapsed="false">
      <c r="A893" s="4" t="n">
        <v>889</v>
      </c>
      <c r="B893" s="14" t="n">
        <f aca="false">A893/12</f>
        <v>74.0833333333333</v>
      </c>
      <c r="C893" s="15" t="n">
        <f aca="false">INT(A893/6)</f>
        <v>148</v>
      </c>
      <c r="D893" s="16" t="n">
        <f aca="false">IF(C893=0,(1+Dic2024!$G$6)^(-B893),EXP(LN(INDEX(Dic2024!$H$6:$H$205,C893))+(LN(INDEX(Dic2024!$H$6:$H$205,MIN(C893+1,200)))-LN(INDEX(Dic2024!$H$6:$H$205,C893)))*(A893-6*C893)/6))</f>
        <v>0.0131771271225968</v>
      </c>
      <c r="E893" s="12" t="n">
        <f aca="false">D893^(-1/B893)-1</f>
        <v>0.0601791224999999</v>
      </c>
      <c r="F893" s="12" t="n">
        <f aca="false">(1+E893)^(1/12)-1</f>
        <v>0.00488169997168164</v>
      </c>
      <c r="G893" s="16" t="n">
        <f aca="false">IF(C893=0,(1+Dic2024!$J$6)^(-B893),EXP(LN(INDEX(Dic2024!$K$6:$K$205,C893))+(LN(INDEX(Dic2024!$K$6:$K$205,MIN(C893+1,200)))-LN(INDEX(Dic2024!$K$6:$K$205,C893)))*(A893-6*C893)/6))</f>
        <v>0.0131771271225968</v>
      </c>
      <c r="H893" s="12" t="n">
        <f aca="false">G893^(-1/B893)-1</f>
        <v>0.0601791224999999</v>
      </c>
      <c r="I893" s="12" t="n">
        <f aca="false">(1+H893)^(1/12)-1</f>
        <v>0.00488169997168164</v>
      </c>
      <c r="J893" s="16" t="n">
        <f aca="false">IF(C893=0,(1+Dic2024!$M$6)^(-B893),EXP(LN(INDEX(Dic2024!$N$6:$N$205,C893))+(LN(INDEX(Dic2024!$N$6:$N$205,MIN(C893+1,200)))-LN(INDEX(Dic2024!$N$6:$N$205,C893)))*(A893-6*C893)/6))</f>
        <v>0.0131771271225968</v>
      </c>
      <c r="K893" s="12" t="n">
        <f aca="false">J893^(-1/B893)-1</f>
        <v>0.0601791224999999</v>
      </c>
      <c r="L893" s="12" t="n">
        <f aca="false">(1+K893)^(1/12)-1</f>
        <v>0.00488169997168164</v>
      </c>
    </row>
    <row r="894" customFormat="false" ht="15" hidden="false" customHeight="false" outlineLevel="0" collapsed="false">
      <c r="A894" s="4" t="n">
        <v>890</v>
      </c>
      <c r="B894" s="14" t="n">
        <f aca="false">A894/12</f>
        <v>74.1666666666667</v>
      </c>
      <c r="C894" s="15" t="n">
        <f aca="false">INT(A894/6)</f>
        <v>148</v>
      </c>
      <c r="D894" s="16" t="n">
        <f aca="false">IF(C894=0,(1+Dic2024!$G$6)^(-B894),EXP(LN(INDEX(Dic2024!$H$6:$H$205,C894))+(LN(INDEX(Dic2024!$H$6:$H$205,MIN(C894+1,200)))-LN(INDEX(Dic2024!$H$6:$H$205,C894)))*(A894-6*C894)/6))</f>
        <v>0.0131131128400171</v>
      </c>
      <c r="E894" s="12" t="n">
        <f aca="false">D894^(-1/B894)-1</f>
        <v>0.0601791224999999</v>
      </c>
      <c r="F894" s="12" t="n">
        <f aca="false">(1+E894)^(1/12)-1</f>
        <v>0.00488169997168164</v>
      </c>
      <c r="G894" s="16" t="n">
        <f aca="false">IF(C894=0,(1+Dic2024!$J$6)^(-B894),EXP(LN(INDEX(Dic2024!$K$6:$K$205,C894))+(LN(INDEX(Dic2024!$K$6:$K$205,MIN(C894+1,200)))-LN(INDEX(Dic2024!$K$6:$K$205,C894)))*(A894-6*C894)/6))</f>
        <v>0.0131131128400171</v>
      </c>
      <c r="H894" s="12" t="n">
        <f aca="false">G894^(-1/B894)-1</f>
        <v>0.0601791224999999</v>
      </c>
      <c r="I894" s="12" t="n">
        <f aca="false">(1+H894)^(1/12)-1</f>
        <v>0.00488169997168164</v>
      </c>
      <c r="J894" s="16" t="n">
        <f aca="false">IF(C894=0,(1+Dic2024!$M$6)^(-B894),EXP(LN(INDEX(Dic2024!$N$6:$N$205,C894))+(LN(INDEX(Dic2024!$N$6:$N$205,MIN(C894+1,200)))-LN(INDEX(Dic2024!$N$6:$N$205,C894)))*(A894-6*C894)/6))</f>
        <v>0.0131131128400171</v>
      </c>
      <c r="K894" s="12" t="n">
        <f aca="false">J894^(-1/B894)-1</f>
        <v>0.0601791224999999</v>
      </c>
      <c r="L894" s="12" t="n">
        <f aca="false">(1+K894)^(1/12)-1</f>
        <v>0.00488169997168164</v>
      </c>
    </row>
    <row r="895" customFormat="false" ht="15" hidden="false" customHeight="false" outlineLevel="0" collapsed="false">
      <c r="A895" s="4" t="n">
        <v>891</v>
      </c>
      <c r="B895" s="14" t="n">
        <f aca="false">A895/12</f>
        <v>74.25</v>
      </c>
      <c r="C895" s="15" t="n">
        <f aca="false">INT(A895/6)</f>
        <v>148</v>
      </c>
      <c r="D895" s="16" t="n">
        <f aca="false">IF(C895=0,(1+Dic2024!$G$6)^(-B895),EXP(LN(INDEX(Dic2024!$H$6:$H$205,C895))+(LN(INDEX(Dic2024!$H$6:$H$205,MIN(C895+1,200)))-LN(INDEX(Dic2024!$H$6:$H$205,C895)))*(A895-6*C895)/6))</f>
        <v>0.0130494095378457</v>
      </c>
      <c r="E895" s="12" t="n">
        <f aca="false">D895^(-1/B895)-1</f>
        <v>0.0601791224999999</v>
      </c>
      <c r="F895" s="12" t="n">
        <f aca="false">(1+E895)^(1/12)-1</f>
        <v>0.00488169997168164</v>
      </c>
      <c r="G895" s="16" t="n">
        <f aca="false">IF(C895=0,(1+Dic2024!$J$6)^(-B895),EXP(LN(INDEX(Dic2024!$K$6:$K$205,C895))+(LN(INDEX(Dic2024!$K$6:$K$205,MIN(C895+1,200)))-LN(INDEX(Dic2024!$K$6:$K$205,C895)))*(A895-6*C895)/6))</f>
        <v>0.0130494095378457</v>
      </c>
      <c r="H895" s="12" t="n">
        <f aca="false">G895^(-1/B895)-1</f>
        <v>0.0601791224999999</v>
      </c>
      <c r="I895" s="12" t="n">
        <f aca="false">(1+H895)^(1/12)-1</f>
        <v>0.00488169997168164</v>
      </c>
      <c r="J895" s="16" t="n">
        <f aca="false">IF(C895=0,(1+Dic2024!$M$6)^(-B895),EXP(LN(INDEX(Dic2024!$N$6:$N$205,C895))+(LN(INDEX(Dic2024!$N$6:$N$205,MIN(C895+1,200)))-LN(INDEX(Dic2024!$N$6:$N$205,C895)))*(A895-6*C895)/6))</f>
        <v>0.0130494095378457</v>
      </c>
      <c r="K895" s="12" t="n">
        <f aca="false">J895^(-1/B895)-1</f>
        <v>0.0601791224999999</v>
      </c>
      <c r="L895" s="12" t="n">
        <f aca="false">(1+K895)^(1/12)-1</f>
        <v>0.00488169997168164</v>
      </c>
    </row>
    <row r="896" customFormat="false" ht="15" hidden="false" customHeight="false" outlineLevel="0" collapsed="false">
      <c r="A896" s="4" t="n">
        <v>892</v>
      </c>
      <c r="B896" s="14" t="n">
        <f aca="false">A896/12</f>
        <v>74.3333333333333</v>
      </c>
      <c r="C896" s="15" t="n">
        <f aca="false">INT(A896/6)</f>
        <v>148</v>
      </c>
      <c r="D896" s="16" t="n">
        <f aca="false">IF(C896=0,(1+Dic2024!$G$6)^(-B896),EXP(LN(INDEX(Dic2024!$H$6:$H$205,C896))+(LN(INDEX(Dic2024!$H$6:$H$205,MIN(C896+1,200)))-LN(INDEX(Dic2024!$H$6:$H$205,C896)))*(A896-6*C896)/6))</f>
        <v>0.0129860157053446</v>
      </c>
      <c r="E896" s="12" t="n">
        <f aca="false">D896^(-1/B896)-1</f>
        <v>0.0601791224999999</v>
      </c>
      <c r="F896" s="12" t="n">
        <f aca="false">(1+E896)^(1/12)-1</f>
        <v>0.00488169997168164</v>
      </c>
      <c r="G896" s="16" t="n">
        <f aca="false">IF(C896=0,(1+Dic2024!$J$6)^(-B896),EXP(LN(INDEX(Dic2024!$K$6:$K$205,C896))+(LN(INDEX(Dic2024!$K$6:$K$205,MIN(C896+1,200)))-LN(INDEX(Dic2024!$K$6:$K$205,C896)))*(A896-6*C896)/6))</f>
        <v>0.0129860157053446</v>
      </c>
      <c r="H896" s="12" t="n">
        <f aca="false">G896^(-1/B896)-1</f>
        <v>0.0601791224999999</v>
      </c>
      <c r="I896" s="12" t="n">
        <f aca="false">(1+H896)^(1/12)-1</f>
        <v>0.00488169997168164</v>
      </c>
      <c r="J896" s="16" t="n">
        <f aca="false">IF(C896=0,(1+Dic2024!$M$6)^(-B896),EXP(LN(INDEX(Dic2024!$N$6:$N$205,C896))+(LN(INDEX(Dic2024!$N$6:$N$205,MIN(C896+1,200)))-LN(INDEX(Dic2024!$N$6:$N$205,C896)))*(A896-6*C896)/6))</f>
        <v>0.0129860157053446</v>
      </c>
      <c r="K896" s="12" t="n">
        <f aca="false">J896^(-1/B896)-1</f>
        <v>0.0601791224999999</v>
      </c>
      <c r="L896" s="12" t="n">
        <f aca="false">(1+K896)^(1/12)-1</f>
        <v>0.00488169997168164</v>
      </c>
    </row>
    <row r="897" customFormat="false" ht="15" hidden="false" customHeight="false" outlineLevel="0" collapsed="false">
      <c r="A897" s="4" t="n">
        <v>893</v>
      </c>
      <c r="B897" s="14" t="n">
        <f aca="false">A897/12</f>
        <v>74.4166666666667</v>
      </c>
      <c r="C897" s="15" t="n">
        <f aca="false">INT(A897/6)</f>
        <v>148</v>
      </c>
      <c r="D897" s="16" t="n">
        <f aca="false">IF(C897=0,(1+Dic2024!$G$6)^(-B897),EXP(LN(INDEX(Dic2024!$H$6:$H$205,C897))+(LN(INDEX(Dic2024!$H$6:$H$205,MIN(C897+1,200)))-LN(INDEX(Dic2024!$H$6:$H$205,C897)))*(A897-6*C897)/6))</f>
        <v>0.012922929839115</v>
      </c>
      <c r="E897" s="12" t="n">
        <f aca="false">D897^(-1/B897)-1</f>
        <v>0.0601791224999999</v>
      </c>
      <c r="F897" s="12" t="n">
        <f aca="false">(1+E897)^(1/12)-1</f>
        <v>0.00488169997168164</v>
      </c>
      <c r="G897" s="16" t="n">
        <f aca="false">IF(C897=0,(1+Dic2024!$J$6)^(-B897),EXP(LN(INDEX(Dic2024!$K$6:$K$205,C897))+(LN(INDEX(Dic2024!$K$6:$K$205,MIN(C897+1,200)))-LN(INDEX(Dic2024!$K$6:$K$205,C897)))*(A897-6*C897)/6))</f>
        <v>0.012922929839115</v>
      </c>
      <c r="H897" s="12" t="n">
        <f aca="false">G897^(-1/B897)-1</f>
        <v>0.0601791224999999</v>
      </c>
      <c r="I897" s="12" t="n">
        <f aca="false">(1+H897)^(1/12)-1</f>
        <v>0.00488169997168164</v>
      </c>
      <c r="J897" s="16" t="n">
        <f aca="false">IF(C897=0,(1+Dic2024!$M$6)^(-B897),EXP(LN(INDEX(Dic2024!$N$6:$N$205,C897))+(LN(INDEX(Dic2024!$N$6:$N$205,MIN(C897+1,200)))-LN(INDEX(Dic2024!$N$6:$N$205,C897)))*(A897-6*C897)/6))</f>
        <v>0.012922929839115</v>
      </c>
      <c r="K897" s="12" t="n">
        <f aca="false">J897^(-1/B897)-1</f>
        <v>0.0601791224999999</v>
      </c>
      <c r="L897" s="12" t="n">
        <f aca="false">(1+K897)^(1/12)-1</f>
        <v>0.00488169997168164</v>
      </c>
    </row>
    <row r="898" customFormat="false" ht="15" hidden="false" customHeight="false" outlineLevel="0" collapsed="false">
      <c r="A898" s="4" t="n">
        <v>894</v>
      </c>
      <c r="B898" s="14" t="n">
        <f aca="false">A898/12</f>
        <v>74.5</v>
      </c>
      <c r="C898" s="15" t="n">
        <f aca="false">INT(A898/6)</f>
        <v>149</v>
      </c>
      <c r="D898" s="16" t="n">
        <f aca="false">IF(C898=0,(1+Dic2024!$G$6)^(-B898),EXP(LN(INDEX(Dic2024!$H$6:$H$205,C898))+(LN(INDEX(Dic2024!$H$6:$H$205,MIN(C898+1,200)))-LN(INDEX(Dic2024!$H$6:$H$205,C898)))*(A898-6*C898)/6))</f>
        <v>0.0128601504430613</v>
      </c>
      <c r="E898" s="12" t="n">
        <f aca="false">D898^(-1/B898)-1</f>
        <v>0.0601791224999999</v>
      </c>
      <c r="F898" s="12" t="n">
        <f aca="false">(1+E898)^(1/12)-1</f>
        <v>0.00488169997168164</v>
      </c>
      <c r="G898" s="16" t="n">
        <f aca="false">IF(C898=0,(1+Dic2024!$J$6)^(-B898),EXP(LN(INDEX(Dic2024!$K$6:$K$205,C898))+(LN(INDEX(Dic2024!$K$6:$K$205,MIN(C898+1,200)))-LN(INDEX(Dic2024!$K$6:$K$205,C898)))*(A898-6*C898)/6))</f>
        <v>0.0128601504430613</v>
      </c>
      <c r="H898" s="12" t="n">
        <f aca="false">G898^(-1/B898)-1</f>
        <v>0.0601791224999999</v>
      </c>
      <c r="I898" s="12" t="n">
        <f aca="false">(1+H898)^(1/12)-1</f>
        <v>0.00488169997168164</v>
      </c>
      <c r="J898" s="16" t="n">
        <f aca="false">IF(C898=0,(1+Dic2024!$M$6)^(-B898),EXP(LN(INDEX(Dic2024!$N$6:$N$205,C898))+(LN(INDEX(Dic2024!$N$6:$N$205,MIN(C898+1,200)))-LN(INDEX(Dic2024!$N$6:$N$205,C898)))*(A898-6*C898)/6))</f>
        <v>0.0128601504430613</v>
      </c>
      <c r="K898" s="12" t="n">
        <f aca="false">J898^(-1/B898)-1</f>
        <v>0.0601791224999999</v>
      </c>
      <c r="L898" s="12" t="n">
        <f aca="false">(1+K898)^(1/12)-1</f>
        <v>0.00488169997168164</v>
      </c>
    </row>
    <row r="899" customFormat="false" ht="15" hidden="false" customHeight="false" outlineLevel="0" collapsed="false">
      <c r="A899" s="4" t="n">
        <v>895</v>
      </c>
      <c r="B899" s="14" t="n">
        <f aca="false">A899/12</f>
        <v>74.5833333333333</v>
      </c>
      <c r="C899" s="15" t="n">
        <f aca="false">INT(A899/6)</f>
        <v>149</v>
      </c>
      <c r="D899" s="16" t="n">
        <f aca="false">IF(C899=0,(1+Dic2024!$G$6)^(-B899),EXP(LN(INDEX(Dic2024!$H$6:$H$205,C899))+(LN(INDEX(Dic2024!$H$6:$H$205,MIN(C899+1,200)))-LN(INDEX(Dic2024!$H$6:$H$205,C899)))*(A899-6*C899)/6))</f>
        <v>0.0127976760283561</v>
      </c>
      <c r="E899" s="12" t="n">
        <f aca="false">D899^(-1/B899)-1</f>
        <v>0.0601791224999999</v>
      </c>
      <c r="F899" s="12" t="n">
        <f aca="false">(1+E899)^(1/12)-1</f>
        <v>0.00488169997168164</v>
      </c>
      <c r="G899" s="16" t="n">
        <f aca="false">IF(C899=0,(1+Dic2024!$J$6)^(-B899),EXP(LN(INDEX(Dic2024!$K$6:$K$205,C899))+(LN(INDEX(Dic2024!$K$6:$K$205,MIN(C899+1,200)))-LN(INDEX(Dic2024!$K$6:$K$205,C899)))*(A899-6*C899)/6))</f>
        <v>0.0127976760283561</v>
      </c>
      <c r="H899" s="12" t="n">
        <f aca="false">G899^(-1/B899)-1</f>
        <v>0.0601791224999999</v>
      </c>
      <c r="I899" s="12" t="n">
        <f aca="false">(1+H899)^(1/12)-1</f>
        <v>0.00488169997168164</v>
      </c>
      <c r="J899" s="16" t="n">
        <f aca="false">IF(C899=0,(1+Dic2024!$M$6)^(-B899),EXP(LN(INDEX(Dic2024!$N$6:$N$205,C899))+(LN(INDEX(Dic2024!$N$6:$N$205,MIN(C899+1,200)))-LN(INDEX(Dic2024!$N$6:$N$205,C899)))*(A899-6*C899)/6))</f>
        <v>0.0127976760283561</v>
      </c>
      <c r="K899" s="12" t="n">
        <f aca="false">J899^(-1/B899)-1</f>
        <v>0.0601791224999999</v>
      </c>
      <c r="L899" s="12" t="n">
        <f aca="false">(1+K899)^(1/12)-1</f>
        <v>0.00488169997168164</v>
      </c>
    </row>
    <row r="900" customFormat="false" ht="15" hidden="false" customHeight="false" outlineLevel="0" collapsed="false">
      <c r="A900" s="4" t="n">
        <v>896</v>
      </c>
      <c r="B900" s="14" t="n">
        <f aca="false">A900/12</f>
        <v>74.6666666666667</v>
      </c>
      <c r="C900" s="15" t="n">
        <f aca="false">INT(A900/6)</f>
        <v>149</v>
      </c>
      <c r="D900" s="16" t="n">
        <f aca="false">IF(C900=0,(1+Dic2024!$G$6)^(-B900),EXP(LN(INDEX(Dic2024!$H$6:$H$205,C900))+(LN(INDEX(Dic2024!$H$6:$H$205,MIN(C900+1,200)))-LN(INDEX(Dic2024!$H$6:$H$205,C900)))*(A900-6*C900)/6))</f>
        <v>0.0127355051134046</v>
      </c>
      <c r="E900" s="12" t="n">
        <f aca="false">D900^(-1/B900)-1</f>
        <v>0.0601791224999999</v>
      </c>
      <c r="F900" s="12" t="n">
        <f aca="false">(1+E900)^(1/12)-1</f>
        <v>0.00488169997168164</v>
      </c>
      <c r="G900" s="16" t="n">
        <f aca="false">IF(C900=0,(1+Dic2024!$J$6)^(-B900),EXP(LN(INDEX(Dic2024!$K$6:$K$205,C900))+(LN(INDEX(Dic2024!$K$6:$K$205,MIN(C900+1,200)))-LN(INDEX(Dic2024!$K$6:$K$205,C900)))*(A900-6*C900)/6))</f>
        <v>0.0127355051134046</v>
      </c>
      <c r="H900" s="12" t="n">
        <f aca="false">G900^(-1/B900)-1</f>
        <v>0.0601791224999999</v>
      </c>
      <c r="I900" s="12" t="n">
        <f aca="false">(1+H900)^(1/12)-1</f>
        <v>0.00488169997168164</v>
      </c>
      <c r="J900" s="16" t="n">
        <f aca="false">IF(C900=0,(1+Dic2024!$M$6)^(-B900),EXP(LN(INDEX(Dic2024!$N$6:$N$205,C900))+(LN(INDEX(Dic2024!$N$6:$N$205,MIN(C900+1,200)))-LN(INDEX(Dic2024!$N$6:$N$205,C900)))*(A900-6*C900)/6))</f>
        <v>0.0127355051134046</v>
      </c>
      <c r="K900" s="12" t="n">
        <f aca="false">J900^(-1/B900)-1</f>
        <v>0.0601791224999999</v>
      </c>
      <c r="L900" s="12" t="n">
        <f aca="false">(1+K900)^(1/12)-1</f>
        <v>0.00488169997168164</v>
      </c>
    </row>
    <row r="901" customFormat="false" ht="15" hidden="false" customHeight="false" outlineLevel="0" collapsed="false">
      <c r="A901" s="4" t="n">
        <v>897</v>
      </c>
      <c r="B901" s="14" t="n">
        <f aca="false">A901/12</f>
        <v>74.75</v>
      </c>
      <c r="C901" s="15" t="n">
        <f aca="false">INT(A901/6)</f>
        <v>149</v>
      </c>
      <c r="D901" s="16" t="n">
        <f aca="false">IF(C901=0,(1+Dic2024!$G$6)^(-B901),EXP(LN(INDEX(Dic2024!$H$6:$H$205,C901))+(LN(INDEX(Dic2024!$H$6:$H$205,MIN(C901+1,200)))-LN(INDEX(Dic2024!$H$6:$H$205,C901)))*(A901-6*C901)/6))</f>
        <v>0.0126736362238097</v>
      </c>
      <c r="E901" s="12" t="n">
        <f aca="false">D901^(-1/B901)-1</f>
        <v>0.0601791224999999</v>
      </c>
      <c r="F901" s="12" t="n">
        <f aca="false">(1+E901)^(1/12)-1</f>
        <v>0.00488169997168164</v>
      </c>
      <c r="G901" s="16" t="n">
        <f aca="false">IF(C901=0,(1+Dic2024!$J$6)^(-B901),EXP(LN(INDEX(Dic2024!$K$6:$K$205,C901))+(LN(INDEX(Dic2024!$K$6:$K$205,MIN(C901+1,200)))-LN(INDEX(Dic2024!$K$6:$K$205,C901)))*(A901-6*C901)/6))</f>
        <v>0.0126736362238097</v>
      </c>
      <c r="H901" s="12" t="n">
        <f aca="false">G901^(-1/B901)-1</f>
        <v>0.0601791224999999</v>
      </c>
      <c r="I901" s="12" t="n">
        <f aca="false">(1+H901)^(1/12)-1</f>
        <v>0.00488169997168164</v>
      </c>
      <c r="J901" s="16" t="n">
        <f aca="false">IF(C901=0,(1+Dic2024!$M$6)^(-B901),EXP(LN(INDEX(Dic2024!$N$6:$N$205,C901))+(LN(INDEX(Dic2024!$N$6:$N$205,MIN(C901+1,200)))-LN(INDEX(Dic2024!$N$6:$N$205,C901)))*(A901-6*C901)/6))</f>
        <v>0.0126736362238097</v>
      </c>
      <c r="K901" s="12" t="n">
        <f aca="false">J901^(-1/B901)-1</f>
        <v>0.0601791224999999</v>
      </c>
      <c r="L901" s="12" t="n">
        <f aca="false">(1+K901)^(1/12)-1</f>
        <v>0.00488169997168164</v>
      </c>
    </row>
    <row r="902" customFormat="false" ht="15" hidden="false" customHeight="false" outlineLevel="0" collapsed="false">
      <c r="A902" s="4" t="n">
        <v>898</v>
      </c>
      <c r="B902" s="14" t="n">
        <f aca="false">A902/12</f>
        <v>74.8333333333333</v>
      </c>
      <c r="C902" s="15" t="n">
        <f aca="false">INT(A902/6)</f>
        <v>149</v>
      </c>
      <c r="D902" s="16" t="n">
        <f aca="false">IF(C902=0,(1+Dic2024!$G$6)^(-B902),EXP(LN(INDEX(Dic2024!$H$6:$H$205,C902))+(LN(INDEX(Dic2024!$H$6:$H$205,MIN(C902+1,200)))-LN(INDEX(Dic2024!$H$6:$H$205,C902)))*(A902-6*C902)/6))</f>
        <v>0.0126120678923369</v>
      </c>
      <c r="E902" s="12" t="n">
        <f aca="false">D902^(-1/B902)-1</f>
        <v>0.0601791224999999</v>
      </c>
      <c r="F902" s="12" t="n">
        <f aca="false">(1+E902)^(1/12)-1</f>
        <v>0.00488169997168164</v>
      </c>
      <c r="G902" s="16" t="n">
        <f aca="false">IF(C902=0,(1+Dic2024!$J$6)^(-B902),EXP(LN(INDEX(Dic2024!$K$6:$K$205,C902))+(LN(INDEX(Dic2024!$K$6:$K$205,MIN(C902+1,200)))-LN(INDEX(Dic2024!$K$6:$K$205,C902)))*(A902-6*C902)/6))</f>
        <v>0.0126120678923369</v>
      </c>
      <c r="H902" s="12" t="n">
        <f aca="false">G902^(-1/B902)-1</f>
        <v>0.0601791224999999</v>
      </c>
      <c r="I902" s="12" t="n">
        <f aca="false">(1+H902)^(1/12)-1</f>
        <v>0.00488169997168164</v>
      </c>
      <c r="J902" s="16" t="n">
        <f aca="false">IF(C902=0,(1+Dic2024!$M$6)^(-B902),EXP(LN(INDEX(Dic2024!$N$6:$N$205,C902))+(LN(INDEX(Dic2024!$N$6:$N$205,MIN(C902+1,200)))-LN(INDEX(Dic2024!$N$6:$N$205,C902)))*(A902-6*C902)/6))</f>
        <v>0.0126120678923369</v>
      </c>
      <c r="K902" s="12" t="n">
        <f aca="false">J902^(-1/B902)-1</f>
        <v>0.0601791224999999</v>
      </c>
      <c r="L902" s="12" t="n">
        <f aca="false">(1+K902)^(1/12)-1</f>
        <v>0.00488169997168164</v>
      </c>
    </row>
    <row r="903" customFormat="false" ht="15" hidden="false" customHeight="false" outlineLevel="0" collapsed="false">
      <c r="A903" s="4" t="n">
        <v>899</v>
      </c>
      <c r="B903" s="14" t="n">
        <f aca="false">A903/12</f>
        <v>74.9166666666667</v>
      </c>
      <c r="C903" s="15" t="n">
        <f aca="false">INT(A903/6)</f>
        <v>149</v>
      </c>
      <c r="D903" s="16" t="n">
        <f aca="false">IF(C903=0,(1+Dic2024!$G$6)^(-B903),EXP(LN(INDEX(Dic2024!$H$6:$H$205,C903))+(LN(INDEX(Dic2024!$H$6:$H$205,MIN(C903+1,200)))-LN(INDEX(Dic2024!$H$6:$H$205,C903)))*(A903-6*C903)/6))</f>
        <v>0.0125507986588792</v>
      </c>
      <c r="E903" s="12" t="n">
        <f aca="false">D903^(-1/B903)-1</f>
        <v>0.0601791224999999</v>
      </c>
      <c r="F903" s="12" t="n">
        <f aca="false">(1+E903)^(1/12)-1</f>
        <v>0.00488169997168164</v>
      </c>
      <c r="G903" s="16" t="n">
        <f aca="false">IF(C903=0,(1+Dic2024!$J$6)^(-B903),EXP(LN(INDEX(Dic2024!$K$6:$K$205,C903))+(LN(INDEX(Dic2024!$K$6:$K$205,MIN(C903+1,200)))-LN(INDEX(Dic2024!$K$6:$K$205,C903)))*(A903-6*C903)/6))</f>
        <v>0.0125507986588792</v>
      </c>
      <c r="H903" s="12" t="n">
        <f aca="false">G903^(-1/B903)-1</f>
        <v>0.0601791224999999</v>
      </c>
      <c r="I903" s="12" t="n">
        <f aca="false">(1+H903)^(1/12)-1</f>
        <v>0.00488169997168164</v>
      </c>
      <c r="J903" s="16" t="n">
        <f aca="false">IF(C903=0,(1+Dic2024!$M$6)^(-B903),EXP(LN(INDEX(Dic2024!$N$6:$N$205,C903))+(LN(INDEX(Dic2024!$N$6:$N$205,MIN(C903+1,200)))-LN(INDEX(Dic2024!$N$6:$N$205,C903)))*(A903-6*C903)/6))</f>
        <v>0.0125507986588792</v>
      </c>
      <c r="K903" s="12" t="n">
        <f aca="false">J903^(-1/B903)-1</f>
        <v>0.0601791224999999</v>
      </c>
      <c r="L903" s="12" t="n">
        <f aca="false">(1+K903)^(1/12)-1</f>
        <v>0.00488169997168164</v>
      </c>
    </row>
    <row r="904" customFormat="false" ht="15" hidden="false" customHeight="false" outlineLevel="0" collapsed="false">
      <c r="A904" s="4" t="n">
        <v>900</v>
      </c>
      <c r="B904" s="14" t="n">
        <f aca="false">A904/12</f>
        <v>75</v>
      </c>
      <c r="C904" s="15" t="n">
        <f aca="false">INT(A904/6)</f>
        <v>150</v>
      </c>
      <c r="D904" s="16" t="n">
        <f aca="false">IF(C904=0,(1+Dic2024!$G$6)^(-B904),EXP(LN(INDEX(Dic2024!$H$6:$H$205,C904))+(LN(INDEX(Dic2024!$H$6:$H$205,MIN(C904+1,200)))-LN(INDEX(Dic2024!$H$6:$H$205,C904)))*(A904-6*C904)/6))</f>
        <v>0.0124898270704232</v>
      </c>
      <c r="E904" s="12" t="n">
        <f aca="false">D904^(-1/B904)-1</f>
        <v>0.0601791224999999</v>
      </c>
      <c r="F904" s="12" t="n">
        <f aca="false">(1+E904)^(1/12)-1</f>
        <v>0.00488169997168164</v>
      </c>
      <c r="G904" s="16" t="n">
        <f aca="false">IF(C904=0,(1+Dic2024!$J$6)^(-B904),EXP(LN(INDEX(Dic2024!$K$6:$K$205,C904))+(LN(INDEX(Dic2024!$K$6:$K$205,MIN(C904+1,200)))-LN(INDEX(Dic2024!$K$6:$K$205,C904)))*(A904-6*C904)/6))</f>
        <v>0.0124898270704232</v>
      </c>
      <c r="H904" s="12" t="n">
        <f aca="false">G904^(-1/B904)-1</f>
        <v>0.0601791224999999</v>
      </c>
      <c r="I904" s="12" t="n">
        <f aca="false">(1+H904)^(1/12)-1</f>
        <v>0.00488169997168164</v>
      </c>
      <c r="J904" s="16" t="n">
        <f aca="false">IF(C904=0,(1+Dic2024!$M$6)^(-B904),EXP(LN(INDEX(Dic2024!$N$6:$N$205,C904))+(LN(INDEX(Dic2024!$N$6:$N$205,MIN(C904+1,200)))-LN(INDEX(Dic2024!$N$6:$N$205,C904)))*(A904-6*C904)/6))</f>
        <v>0.0124898270704232</v>
      </c>
      <c r="K904" s="12" t="n">
        <f aca="false">J904^(-1/B904)-1</f>
        <v>0.0601791224999999</v>
      </c>
      <c r="L904" s="12" t="n">
        <f aca="false">(1+K904)^(1/12)-1</f>
        <v>0.00488169997168164</v>
      </c>
    </row>
    <row r="905" customFormat="false" ht="15" hidden="false" customHeight="false" outlineLevel="0" collapsed="false">
      <c r="A905" s="4" t="n">
        <v>901</v>
      </c>
      <c r="B905" s="14" t="n">
        <f aca="false">A905/12</f>
        <v>75.0833333333333</v>
      </c>
      <c r="C905" s="15" t="n">
        <f aca="false">INT(A905/6)</f>
        <v>150</v>
      </c>
      <c r="D905" s="16" t="n">
        <f aca="false">IF(C905=0,(1+Dic2024!$G$6)^(-B905),EXP(LN(INDEX(Dic2024!$H$6:$H$205,C905))+(LN(INDEX(Dic2024!$H$6:$H$205,MIN(C905+1,200)))-LN(INDEX(Dic2024!$H$6:$H$205,C905)))*(A905-6*C905)/6))</f>
        <v>0.012429151681014</v>
      </c>
      <c r="E905" s="12" t="n">
        <f aca="false">D905^(-1/B905)-1</f>
        <v>0.0601791224999999</v>
      </c>
      <c r="F905" s="12" t="n">
        <f aca="false">(1+E905)^(1/12)-1</f>
        <v>0.00488169997168164</v>
      </c>
      <c r="G905" s="16" t="n">
        <f aca="false">IF(C905=0,(1+Dic2024!$J$6)^(-B905),EXP(LN(INDEX(Dic2024!$K$6:$K$205,C905))+(LN(INDEX(Dic2024!$K$6:$K$205,MIN(C905+1,200)))-LN(INDEX(Dic2024!$K$6:$K$205,C905)))*(A905-6*C905)/6))</f>
        <v>0.012429151681014</v>
      </c>
      <c r="H905" s="12" t="n">
        <f aca="false">G905^(-1/B905)-1</f>
        <v>0.0601791224999999</v>
      </c>
      <c r="I905" s="12" t="n">
        <f aca="false">(1+H905)^(1/12)-1</f>
        <v>0.00488169997168164</v>
      </c>
      <c r="J905" s="16" t="n">
        <f aca="false">IF(C905=0,(1+Dic2024!$M$6)^(-B905),EXP(LN(INDEX(Dic2024!$N$6:$N$205,C905))+(LN(INDEX(Dic2024!$N$6:$N$205,MIN(C905+1,200)))-LN(INDEX(Dic2024!$N$6:$N$205,C905)))*(A905-6*C905)/6))</f>
        <v>0.012429151681014</v>
      </c>
      <c r="K905" s="12" t="n">
        <f aca="false">J905^(-1/B905)-1</f>
        <v>0.0601791224999999</v>
      </c>
      <c r="L905" s="12" t="n">
        <f aca="false">(1+K905)^(1/12)-1</f>
        <v>0.00488169997168164</v>
      </c>
    </row>
    <row r="906" customFormat="false" ht="15" hidden="false" customHeight="false" outlineLevel="0" collapsed="false">
      <c r="A906" s="4" t="n">
        <v>902</v>
      </c>
      <c r="B906" s="14" t="n">
        <f aca="false">A906/12</f>
        <v>75.1666666666667</v>
      </c>
      <c r="C906" s="15" t="n">
        <f aca="false">INT(A906/6)</f>
        <v>150</v>
      </c>
      <c r="D906" s="16" t="n">
        <f aca="false">IF(C906=0,(1+Dic2024!$G$6)^(-B906),EXP(LN(INDEX(Dic2024!$H$6:$H$205,C906))+(LN(INDEX(Dic2024!$H$6:$H$205,MIN(C906+1,200)))-LN(INDEX(Dic2024!$H$6:$H$205,C906)))*(A906-6*C906)/6))</f>
        <v>0.0123687710517211</v>
      </c>
      <c r="E906" s="12" t="n">
        <f aca="false">D906^(-1/B906)-1</f>
        <v>0.0601791224999999</v>
      </c>
      <c r="F906" s="12" t="n">
        <f aca="false">(1+E906)^(1/12)-1</f>
        <v>0.00488169997168164</v>
      </c>
      <c r="G906" s="16" t="n">
        <f aca="false">IF(C906=0,(1+Dic2024!$J$6)^(-B906),EXP(LN(INDEX(Dic2024!$K$6:$K$205,C906))+(LN(INDEX(Dic2024!$K$6:$K$205,MIN(C906+1,200)))-LN(INDEX(Dic2024!$K$6:$K$205,C906)))*(A906-6*C906)/6))</f>
        <v>0.0123687710517211</v>
      </c>
      <c r="H906" s="12" t="n">
        <f aca="false">G906^(-1/B906)-1</f>
        <v>0.0601791224999999</v>
      </c>
      <c r="I906" s="12" t="n">
        <f aca="false">(1+H906)^(1/12)-1</f>
        <v>0.00488169997168164</v>
      </c>
      <c r="J906" s="16" t="n">
        <f aca="false">IF(C906=0,(1+Dic2024!$M$6)^(-B906),EXP(LN(INDEX(Dic2024!$N$6:$N$205,C906))+(LN(INDEX(Dic2024!$N$6:$N$205,MIN(C906+1,200)))-LN(INDEX(Dic2024!$N$6:$N$205,C906)))*(A906-6*C906)/6))</f>
        <v>0.0123687710517211</v>
      </c>
      <c r="K906" s="12" t="n">
        <f aca="false">J906^(-1/B906)-1</f>
        <v>0.0601791224999999</v>
      </c>
      <c r="L906" s="12" t="n">
        <f aca="false">(1+K906)^(1/12)-1</f>
        <v>0.00488169997168164</v>
      </c>
    </row>
    <row r="907" customFormat="false" ht="15" hidden="false" customHeight="false" outlineLevel="0" collapsed="false">
      <c r="A907" s="4" t="n">
        <v>903</v>
      </c>
      <c r="B907" s="14" t="n">
        <f aca="false">A907/12</f>
        <v>75.25</v>
      </c>
      <c r="C907" s="15" t="n">
        <f aca="false">INT(A907/6)</f>
        <v>150</v>
      </c>
      <c r="D907" s="16" t="n">
        <f aca="false">IF(C907=0,(1+Dic2024!$G$6)^(-B907),EXP(LN(INDEX(Dic2024!$H$6:$H$205,C907))+(LN(INDEX(Dic2024!$H$6:$H$205,MIN(C907+1,200)))-LN(INDEX(Dic2024!$H$6:$H$205,C907)))*(A907-6*C907)/6))</f>
        <v>0.0123086837506043</v>
      </c>
      <c r="E907" s="12" t="n">
        <f aca="false">D907^(-1/B907)-1</f>
        <v>0.0601791224999999</v>
      </c>
      <c r="F907" s="12" t="n">
        <f aca="false">(1+E907)^(1/12)-1</f>
        <v>0.00488169997168164</v>
      </c>
      <c r="G907" s="16" t="n">
        <f aca="false">IF(C907=0,(1+Dic2024!$J$6)^(-B907),EXP(LN(INDEX(Dic2024!$K$6:$K$205,C907))+(LN(INDEX(Dic2024!$K$6:$K$205,MIN(C907+1,200)))-LN(INDEX(Dic2024!$K$6:$K$205,C907)))*(A907-6*C907)/6))</f>
        <v>0.0123086837506043</v>
      </c>
      <c r="H907" s="12" t="n">
        <f aca="false">G907^(-1/B907)-1</f>
        <v>0.0601791224999999</v>
      </c>
      <c r="I907" s="12" t="n">
        <f aca="false">(1+H907)^(1/12)-1</f>
        <v>0.00488169997168164</v>
      </c>
      <c r="J907" s="16" t="n">
        <f aca="false">IF(C907=0,(1+Dic2024!$M$6)^(-B907),EXP(LN(INDEX(Dic2024!$N$6:$N$205,C907))+(LN(INDEX(Dic2024!$N$6:$N$205,MIN(C907+1,200)))-LN(INDEX(Dic2024!$N$6:$N$205,C907)))*(A907-6*C907)/6))</f>
        <v>0.0123086837506043</v>
      </c>
      <c r="K907" s="12" t="n">
        <f aca="false">J907^(-1/B907)-1</f>
        <v>0.0601791224999999</v>
      </c>
      <c r="L907" s="12" t="n">
        <f aca="false">(1+K907)^(1/12)-1</f>
        <v>0.00488169997168164</v>
      </c>
    </row>
    <row r="908" customFormat="false" ht="15" hidden="false" customHeight="false" outlineLevel="0" collapsed="false">
      <c r="A908" s="4" t="n">
        <v>904</v>
      </c>
      <c r="B908" s="14" t="n">
        <f aca="false">A908/12</f>
        <v>75.3333333333333</v>
      </c>
      <c r="C908" s="15" t="n">
        <f aca="false">INT(A908/6)</f>
        <v>150</v>
      </c>
      <c r="D908" s="16" t="n">
        <f aca="false">IF(C908=0,(1+Dic2024!$G$6)^(-B908),EXP(LN(INDEX(Dic2024!$H$6:$H$205,C908))+(LN(INDEX(Dic2024!$H$6:$H$205,MIN(C908+1,200)))-LN(INDEX(Dic2024!$H$6:$H$205,C908)))*(A908-6*C908)/6))</f>
        <v>0.0122488883526799</v>
      </c>
      <c r="E908" s="12" t="n">
        <f aca="false">D908^(-1/B908)-1</f>
        <v>0.0601791224999999</v>
      </c>
      <c r="F908" s="12" t="n">
        <f aca="false">(1+E908)^(1/12)-1</f>
        <v>0.00488169997168164</v>
      </c>
      <c r="G908" s="16" t="n">
        <f aca="false">IF(C908=0,(1+Dic2024!$J$6)^(-B908),EXP(LN(INDEX(Dic2024!$K$6:$K$205,C908))+(LN(INDEX(Dic2024!$K$6:$K$205,MIN(C908+1,200)))-LN(INDEX(Dic2024!$K$6:$K$205,C908)))*(A908-6*C908)/6))</f>
        <v>0.0122488883526799</v>
      </c>
      <c r="H908" s="12" t="n">
        <f aca="false">G908^(-1/B908)-1</f>
        <v>0.0601791224999999</v>
      </c>
      <c r="I908" s="12" t="n">
        <f aca="false">(1+H908)^(1/12)-1</f>
        <v>0.00488169997168164</v>
      </c>
      <c r="J908" s="16" t="n">
        <f aca="false">IF(C908=0,(1+Dic2024!$M$6)^(-B908),EXP(LN(INDEX(Dic2024!$N$6:$N$205,C908))+(LN(INDEX(Dic2024!$N$6:$N$205,MIN(C908+1,200)))-LN(INDEX(Dic2024!$N$6:$N$205,C908)))*(A908-6*C908)/6))</f>
        <v>0.0122488883526799</v>
      </c>
      <c r="K908" s="12" t="n">
        <f aca="false">J908^(-1/B908)-1</f>
        <v>0.0601791224999999</v>
      </c>
      <c r="L908" s="12" t="n">
        <f aca="false">(1+K908)^(1/12)-1</f>
        <v>0.00488169997168164</v>
      </c>
    </row>
    <row r="909" customFormat="false" ht="15" hidden="false" customHeight="false" outlineLevel="0" collapsed="false">
      <c r="A909" s="4" t="n">
        <v>905</v>
      </c>
      <c r="B909" s="14" t="n">
        <f aca="false">A909/12</f>
        <v>75.4166666666667</v>
      </c>
      <c r="C909" s="15" t="n">
        <f aca="false">INT(A909/6)</f>
        <v>150</v>
      </c>
      <c r="D909" s="16" t="n">
        <f aca="false">IF(C909=0,(1+Dic2024!$G$6)^(-B909),EXP(LN(INDEX(Dic2024!$H$6:$H$205,C909))+(LN(INDEX(Dic2024!$H$6:$H$205,MIN(C909+1,200)))-LN(INDEX(Dic2024!$H$6:$H$205,C909)))*(A909-6*C909)/6))</f>
        <v>0.0121893834398866</v>
      </c>
      <c r="E909" s="12" t="n">
        <f aca="false">D909^(-1/B909)-1</f>
        <v>0.0601791224999999</v>
      </c>
      <c r="F909" s="12" t="n">
        <f aca="false">(1+E909)^(1/12)-1</f>
        <v>0.00488169997168164</v>
      </c>
      <c r="G909" s="16" t="n">
        <f aca="false">IF(C909=0,(1+Dic2024!$J$6)^(-B909),EXP(LN(INDEX(Dic2024!$K$6:$K$205,C909))+(LN(INDEX(Dic2024!$K$6:$K$205,MIN(C909+1,200)))-LN(INDEX(Dic2024!$K$6:$K$205,C909)))*(A909-6*C909)/6))</f>
        <v>0.0121893834398866</v>
      </c>
      <c r="H909" s="12" t="n">
        <f aca="false">G909^(-1/B909)-1</f>
        <v>0.0601791224999999</v>
      </c>
      <c r="I909" s="12" t="n">
        <f aca="false">(1+H909)^(1/12)-1</f>
        <v>0.00488169997168164</v>
      </c>
      <c r="J909" s="16" t="n">
        <f aca="false">IF(C909=0,(1+Dic2024!$M$6)^(-B909),EXP(LN(INDEX(Dic2024!$N$6:$N$205,C909))+(LN(INDEX(Dic2024!$N$6:$N$205,MIN(C909+1,200)))-LN(INDEX(Dic2024!$N$6:$N$205,C909)))*(A909-6*C909)/6))</f>
        <v>0.0121893834398866</v>
      </c>
      <c r="K909" s="12" t="n">
        <f aca="false">J909^(-1/B909)-1</f>
        <v>0.0601791224999999</v>
      </c>
      <c r="L909" s="12" t="n">
        <f aca="false">(1+K909)^(1/12)-1</f>
        <v>0.00488169997168164</v>
      </c>
    </row>
    <row r="910" customFormat="false" ht="15" hidden="false" customHeight="false" outlineLevel="0" collapsed="false">
      <c r="A910" s="4" t="n">
        <v>906</v>
      </c>
      <c r="B910" s="14" t="n">
        <f aca="false">A910/12</f>
        <v>75.5</v>
      </c>
      <c r="C910" s="15" t="n">
        <f aca="false">INT(A910/6)</f>
        <v>151</v>
      </c>
      <c r="D910" s="16" t="n">
        <f aca="false">IF(C910=0,(1+Dic2024!$G$6)^(-B910),EXP(LN(INDEX(Dic2024!$H$6:$H$205,C910))+(LN(INDEX(Dic2024!$H$6:$H$205,MIN(C910+1,200)))-LN(INDEX(Dic2024!$H$6:$H$205,C910)))*(A910-6*C910)/6))</f>
        <v>0.012130167601052</v>
      </c>
      <c r="E910" s="12" t="n">
        <f aca="false">D910^(-1/B910)-1</f>
        <v>0.0601791224999999</v>
      </c>
      <c r="F910" s="12" t="n">
        <f aca="false">(1+E910)^(1/12)-1</f>
        <v>0.00488169997168164</v>
      </c>
      <c r="G910" s="16" t="n">
        <f aca="false">IF(C910=0,(1+Dic2024!$J$6)^(-B910),EXP(LN(INDEX(Dic2024!$K$6:$K$205,C910))+(LN(INDEX(Dic2024!$K$6:$K$205,MIN(C910+1,200)))-LN(INDEX(Dic2024!$K$6:$K$205,C910)))*(A910-6*C910)/6))</f>
        <v>0.012130167601052</v>
      </c>
      <c r="H910" s="12" t="n">
        <f aca="false">G910^(-1/B910)-1</f>
        <v>0.0601791224999999</v>
      </c>
      <c r="I910" s="12" t="n">
        <f aca="false">(1+H910)^(1/12)-1</f>
        <v>0.00488169997168164</v>
      </c>
      <c r="J910" s="16" t="n">
        <f aca="false">IF(C910=0,(1+Dic2024!$M$6)^(-B910),EXP(LN(INDEX(Dic2024!$N$6:$N$205,C910))+(LN(INDEX(Dic2024!$N$6:$N$205,MIN(C910+1,200)))-LN(INDEX(Dic2024!$N$6:$N$205,C910)))*(A910-6*C910)/6))</f>
        <v>0.012130167601052</v>
      </c>
      <c r="K910" s="12" t="n">
        <f aca="false">J910^(-1/B910)-1</f>
        <v>0.0601791224999999</v>
      </c>
      <c r="L910" s="12" t="n">
        <f aca="false">(1+K910)^(1/12)-1</f>
        <v>0.00488169997168164</v>
      </c>
    </row>
    <row r="911" customFormat="false" ht="15" hidden="false" customHeight="false" outlineLevel="0" collapsed="false">
      <c r="A911" s="4" t="n">
        <v>907</v>
      </c>
      <c r="B911" s="14" t="n">
        <f aca="false">A911/12</f>
        <v>75.5833333333333</v>
      </c>
      <c r="C911" s="15" t="n">
        <f aca="false">INT(A911/6)</f>
        <v>151</v>
      </c>
      <c r="D911" s="16" t="n">
        <f aca="false">IF(C911=0,(1+Dic2024!$G$6)^(-B911),EXP(LN(INDEX(Dic2024!$H$6:$H$205,C911))+(LN(INDEX(Dic2024!$H$6:$H$205,MIN(C911+1,200)))-LN(INDEX(Dic2024!$H$6:$H$205,C911)))*(A911-6*C911)/6))</f>
        <v>0.0120712394318594</v>
      </c>
      <c r="E911" s="12" t="n">
        <f aca="false">D911^(-1/B911)-1</f>
        <v>0.0601791224999999</v>
      </c>
      <c r="F911" s="12" t="n">
        <f aca="false">(1+E911)^(1/12)-1</f>
        <v>0.00488169997168164</v>
      </c>
      <c r="G911" s="16" t="n">
        <f aca="false">IF(C911=0,(1+Dic2024!$J$6)^(-B911),EXP(LN(INDEX(Dic2024!$K$6:$K$205,C911))+(LN(INDEX(Dic2024!$K$6:$K$205,MIN(C911+1,200)))-LN(INDEX(Dic2024!$K$6:$K$205,C911)))*(A911-6*C911)/6))</f>
        <v>0.0120712394318594</v>
      </c>
      <c r="H911" s="12" t="n">
        <f aca="false">G911^(-1/B911)-1</f>
        <v>0.0601791224999999</v>
      </c>
      <c r="I911" s="12" t="n">
        <f aca="false">(1+H911)^(1/12)-1</f>
        <v>0.00488169997168164</v>
      </c>
      <c r="J911" s="16" t="n">
        <f aca="false">IF(C911=0,(1+Dic2024!$M$6)^(-B911),EXP(LN(INDEX(Dic2024!$N$6:$N$205,C911))+(LN(INDEX(Dic2024!$N$6:$N$205,MIN(C911+1,200)))-LN(INDEX(Dic2024!$N$6:$N$205,C911)))*(A911-6*C911)/6))</f>
        <v>0.0120712394318594</v>
      </c>
      <c r="K911" s="12" t="n">
        <f aca="false">J911^(-1/B911)-1</f>
        <v>0.0601791224999999</v>
      </c>
      <c r="L911" s="12" t="n">
        <f aca="false">(1+K911)^(1/12)-1</f>
        <v>0.00488169997168164</v>
      </c>
    </row>
    <row r="912" customFormat="false" ht="15" hidden="false" customHeight="false" outlineLevel="0" collapsed="false">
      <c r="A912" s="4" t="n">
        <v>908</v>
      </c>
      <c r="B912" s="14" t="n">
        <f aca="false">A912/12</f>
        <v>75.6666666666667</v>
      </c>
      <c r="C912" s="15" t="n">
        <f aca="false">INT(A912/6)</f>
        <v>151</v>
      </c>
      <c r="D912" s="16" t="n">
        <f aca="false">IF(C912=0,(1+Dic2024!$G$6)^(-B912),EXP(LN(INDEX(Dic2024!$H$6:$H$205,C912))+(LN(INDEX(Dic2024!$H$6:$H$205,MIN(C912+1,200)))-LN(INDEX(Dic2024!$H$6:$H$205,C912)))*(A912-6*C912)/6))</f>
        <v>0.0120125975348138</v>
      </c>
      <c r="E912" s="12" t="n">
        <f aca="false">D912^(-1/B912)-1</f>
        <v>0.0601791224999999</v>
      </c>
      <c r="F912" s="12" t="n">
        <f aca="false">(1+E912)^(1/12)-1</f>
        <v>0.00488169997168164</v>
      </c>
      <c r="G912" s="16" t="n">
        <f aca="false">IF(C912=0,(1+Dic2024!$J$6)^(-B912),EXP(LN(INDEX(Dic2024!$K$6:$K$205,C912))+(LN(INDEX(Dic2024!$K$6:$K$205,MIN(C912+1,200)))-LN(INDEX(Dic2024!$K$6:$K$205,C912)))*(A912-6*C912)/6))</f>
        <v>0.0120125975348138</v>
      </c>
      <c r="H912" s="12" t="n">
        <f aca="false">G912^(-1/B912)-1</f>
        <v>0.0601791224999999</v>
      </c>
      <c r="I912" s="12" t="n">
        <f aca="false">(1+H912)^(1/12)-1</f>
        <v>0.00488169997168164</v>
      </c>
      <c r="J912" s="16" t="n">
        <f aca="false">IF(C912=0,(1+Dic2024!$M$6)^(-B912),EXP(LN(INDEX(Dic2024!$N$6:$N$205,C912))+(LN(INDEX(Dic2024!$N$6:$N$205,MIN(C912+1,200)))-LN(INDEX(Dic2024!$N$6:$N$205,C912)))*(A912-6*C912)/6))</f>
        <v>0.0120125975348138</v>
      </c>
      <c r="K912" s="12" t="n">
        <f aca="false">J912^(-1/B912)-1</f>
        <v>0.0601791224999999</v>
      </c>
      <c r="L912" s="12" t="n">
        <f aca="false">(1+K912)^(1/12)-1</f>
        <v>0.00488169997168164</v>
      </c>
    </row>
    <row r="913" customFormat="false" ht="15" hidden="false" customHeight="false" outlineLevel="0" collapsed="false">
      <c r="A913" s="4" t="n">
        <v>909</v>
      </c>
      <c r="B913" s="14" t="n">
        <f aca="false">A913/12</f>
        <v>75.75</v>
      </c>
      <c r="C913" s="15" t="n">
        <f aca="false">INT(A913/6)</f>
        <v>151</v>
      </c>
      <c r="D913" s="16" t="n">
        <f aca="false">IF(C913=0,(1+Dic2024!$G$6)^(-B913),EXP(LN(INDEX(Dic2024!$H$6:$H$205,C913))+(LN(INDEX(Dic2024!$H$6:$H$205,MIN(C913+1,200)))-LN(INDEX(Dic2024!$H$6:$H$205,C913)))*(A913-6*C913)/6))</f>
        <v>0.0119542405192097</v>
      </c>
      <c r="E913" s="12" t="n">
        <f aca="false">D913^(-1/B913)-1</f>
        <v>0.0601791224999999</v>
      </c>
      <c r="F913" s="12" t="n">
        <f aca="false">(1+E913)^(1/12)-1</f>
        <v>0.00488169997168164</v>
      </c>
      <c r="G913" s="16" t="n">
        <f aca="false">IF(C913=0,(1+Dic2024!$J$6)^(-B913),EXP(LN(INDEX(Dic2024!$K$6:$K$205,C913))+(LN(INDEX(Dic2024!$K$6:$K$205,MIN(C913+1,200)))-LN(INDEX(Dic2024!$K$6:$K$205,C913)))*(A913-6*C913)/6))</f>
        <v>0.0119542405192097</v>
      </c>
      <c r="H913" s="12" t="n">
        <f aca="false">G913^(-1/B913)-1</f>
        <v>0.0601791224999999</v>
      </c>
      <c r="I913" s="12" t="n">
        <f aca="false">(1+H913)^(1/12)-1</f>
        <v>0.00488169997168164</v>
      </c>
      <c r="J913" s="16" t="n">
        <f aca="false">IF(C913=0,(1+Dic2024!$M$6)^(-B913),EXP(LN(INDEX(Dic2024!$N$6:$N$205,C913))+(LN(INDEX(Dic2024!$N$6:$N$205,MIN(C913+1,200)))-LN(INDEX(Dic2024!$N$6:$N$205,C913)))*(A913-6*C913)/6))</f>
        <v>0.0119542405192097</v>
      </c>
      <c r="K913" s="12" t="n">
        <f aca="false">J913^(-1/B913)-1</f>
        <v>0.0601791224999999</v>
      </c>
      <c r="L913" s="12" t="n">
        <f aca="false">(1+K913)^(1/12)-1</f>
        <v>0.00488169997168164</v>
      </c>
    </row>
    <row r="914" customFormat="false" ht="15" hidden="false" customHeight="false" outlineLevel="0" collapsed="false">
      <c r="A914" s="4" t="n">
        <v>910</v>
      </c>
      <c r="B914" s="14" t="n">
        <f aca="false">A914/12</f>
        <v>75.8333333333333</v>
      </c>
      <c r="C914" s="15" t="n">
        <f aca="false">INT(A914/6)</f>
        <v>151</v>
      </c>
      <c r="D914" s="16" t="n">
        <f aca="false">IF(C914=0,(1+Dic2024!$G$6)^(-B914),EXP(LN(INDEX(Dic2024!$H$6:$H$205,C914))+(LN(INDEX(Dic2024!$H$6:$H$205,MIN(C914+1,200)))-LN(INDEX(Dic2024!$H$6:$H$205,C914)))*(A914-6*C914)/6))</f>
        <v>0.0118961670010974</v>
      </c>
      <c r="E914" s="12" t="n">
        <f aca="false">D914^(-1/B914)-1</f>
        <v>0.0601791224999999</v>
      </c>
      <c r="F914" s="12" t="n">
        <f aca="false">(1+E914)^(1/12)-1</f>
        <v>0.00488169997168164</v>
      </c>
      <c r="G914" s="16" t="n">
        <f aca="false">IF(C914=0,(1+Dic2024!$J$6)^(-B914),EXP(LN(INDEX(Dic2024!$K$6:$K$205,C914))+(LN(INDEX(Dic2024!$K$6:$K$205,MIN(C914+1,200)))-LN(INDEX(Dic2024!$K$6:$K$205,C914)))*(A914-6*C914)/6))</f>
        <v>0.0118961670010974</v>
      </c>
      <c r="H914" s="12" t="n">
        <f aca="false">G914^(-1/B914)-1</f>
        <v>0.0601791224999999</v>
      </c>
      <c r="I914" s="12" t="n">
        <f aca="false">(1+H914)^(1/12)-1</f>
        <v>0.00488169997168164</v>
      </c>
      <c r="J914" s="16" t="n">
        <f aca="false">IF(C914=0,(1+Dic2024!$M$6)^(-B914),EXP(LN(INDEX(Dic2024!$N$6:$N$205,C914))+(LN(INDEX(Dic2024!$N$6:$N$205,MIN(C914+1,200)))-LN(INDEX(Dic2024!$N$6:$N$205,C914)))*(A914-6*C914)/6))</f>
        <v>0.0118961670010974</v>
      </c>
      <c r="K914" s="12" t="n">
        <f aca="false">J914^(-1/B914)-1</f>
        <v>0.0601791224999999</v>
      </c>
      <c r="L914" s="12" t="n">
        <f aca="false">(1+K914)^(1/12)-1</f>
        <v>0.00488169997168164</v>
      </c>
    </row>
    <row r="915" customFormat="false" ht="15" hidden="false" customHeight="false" outlineLevel="0" collapsed="false">
      <c r="A915" s="4" t="n">
        <v>911</v>
      </c>
      <c r="B915" s="14" t="n">
        <f aca="false">A915/12</f>
        <v>75.9166666666667</v>
      </c>
      <c r="C915" s="15" t="n">
        <f aca="false">INT(A915/6)</f>
        <v>151</v>
      </c>
      <c r="D915" s="16" t="n">
        <f aca="false">IF(C915=0,(1+Dic2024!$G$6)^(-B915),EXP(LN(INDEX(Dic2024!$H$6:$H$205,C915))+(LN(INDEX(Dic2024!$H$6:$H$205,MIN(C915+1,200)))-LN(INDEX(Dic2024!$H$6:$H$205,C915)))*(A915-6*C915)/6))</f>
        <v>0.0118383756032502</v>
      </c>
      <c r="E915" s="12" t="n">
        <f aca="false">D915^(-1/B915)-1</f>
        <v>0.0601791224999999</v>
      </c>
      <c r="F915" s="12" t="n">
        <f aca="false">(1+E915)^(1/12)-1</f>
        <v>0.00488169997168164</v>
      </c>
      <c r="G915" s="16" t="n">
        <f aca="false">IF(C915=0,(1+Dic2024!$J$6)^(-B915),EXP(LN(INDEX(Dic2024!$K$6:$K$205,C915))+(LN(INDEX(Dic2024!$K$6:$K$205,MIN(C915+1,200)))-LN(INDEX(Dic2024!$K$6:$K$205,C915)))*(A915-6*C915)/6))</f>
        <v>0.0118383756032502</v>
      </c>
      <c r="H915" s="12" t="n">
        <f aca="false">G915^(-1/B915)-1</f>
        <v>0.0601791224999999</v>
      </c>
      <c r="I915" s="12" t="n">
        <f aca="false">(1+H915)^(1/12)-1</f>
        <v>0.00488169997168164</v>
      </c>
      <c r="J915" s="16" t="n">
        <f aca="false">IF(C915=0,(1+Dic2024!$M$6)^(-B915),EXP(LN(INDEX(Dic2024!$N$6:$N$205,C915))+(LN(INDEX(Dic2024!$N$6:$N$205,MIN(C915+1,200)))-LN(INDEX(Dic2024!$N$6:$N$205,C915)))*(A915-6*C915)/6))</f>
        <v>0.0118383756032502</v>
      </c>
      <c r="K915" s="12" t="n">
        <f aca="false">J915^(-1/B915)-1</f>
        <v>0.0601791224999999</v>
      </c>
      <c r="L915" s="12" t="n">
        <f aca="false">(1+K915)^(1/12)-1</f>
        <v>0.00488169997168164</v>
      </c>
    </row>
    <row r="916" customFormat="false" ht="15" hidden="false" customHeight="false" outlineLevel="0" collapsed="false">
      <c r="A916" s="4" t="n">
        <v>912</v>
      </c>
      <c r="B916" s="14" t="n">
        <f aca="false">A916/12</f>
        <v>76</v>
      </c>
      <c r="C916" s="15" t="n">
        <f aca="false">INT(A916/6)</f>
        <v>152</v>
      </c>
      <c r="D916" s="16" t="n">
        <f aca="false">IF(C916=0,(1+Dic2024!$G$6)^(-B916),EXP(LN(INDEX(Dic2024!$H$6:$H$205,C916))+(LN(INDEX(Dic2024!$H$6:$H$205,MIN(C916+1,200)))-LN(INDEX(Dic2024!$H$6:$H$205,C916)))*(A916-6*C916)/6))</f>
        <v>0.0117808649551324</v>
      </c>
      <c r="E916" s="12" t="n">
        <f aca="false">D916^(-1/B916)-1</f>
        <v>0.0601791224999999</v>
      </c>
      <c r="F916" s="12" t="n">
        <f aca="false">(1+E916)^(1/12)-1</f>
        <v>0.00488169997168164</v>
      </c>
      <c r="G916" s="16" t="n">
        <f aca="false">IF(C916=0,(1+Dic2024!$J$6)^(-B916),EXP(LN(INDEX(Dic2024!$K$6:$K$205,C916))+(LN(INDEX(Dic2024!$K$6:$K$205,MIN(C916+1,200)))-LN(INDEX(Dic2024!$K$6:$K$205,C916)))*(A916-6*C916)/6))</f>
        <v>0.0117808649551324</v>
      </c>
      <c r="H916" s="12" t="n">
        <f aca="false">G916^(-1/B916)-1</f>
        <v>0.0601791224999999</v>
      </c>
      <c r="I916" s="12" t="n">
        <f aca="false">(1+H916)^(1/12)-1</f>
        <v>0.00488169997168164</v>
      </c>
      <c r="J916" s="16" t="n">
        <f aca="false">IF(C916=0,(1+Dic2024!$M$6)^(-B916),EXP(LN(INDEX(Dic2024!$N$6:$N$205,C916))+(LN(INDEX(Dic2024!$N$6:$N$205,MIN(C916+1,200)))-LN(INDEX(Dic2024!$N$6:$N$205,C916)))*(A916-6*C916)/6))</f>
        <v>0.0117808649551324</v>
      </c>
      <c r="K916" s="12" t="n">
        <f aca="false">J916^(-1/B916)-1</f>
        <v>0.0601791224999999</v>
      </c>
      <c r="L916" s="12" t="n">
        <f aca="false">(1+K916)^(1/12)-1</f>
        <v>0.00488169997168164</v>
      </c>
    </row>
    <row r="917" customFormat="false" ht="15" hidden="false" customHeight="false" outlineLevel="0" collapsed="false">
      <c r="A917" s="4" t="n">
        <v>913</v>
      </c>
      <c r="B917" s="14" t="n">
        <f aca="false">A917/12</f>
        <v>76.0833333333333</v>
      </c>
      <c r="C917" s="15" t="n">
        <f aca="false">INT(A917/6)</f>
        <v>152</v>
      </c>
      <c r="D917" s="16" t="n">
        <f aca="false">IF(C917=0,(1+Dic2024!$G$6)^(-B917),EXP(LN(INDEX(Dic2024!$H$6:$H$205,C917))+(LN(INDEX(Dic2024!$H$6:$H$205,MIN(C917+1,200)))-LN(INDEX(Dic2024!$H$6:$H$205,C917)))*(A917-6*C917)/6))</f>
        <v>0.0117236336928659</v>
      </c>
      <c r="E917" s="12" t="n">
        <f aca="false">D917^(-1/B917)-1</f>
        <v>0.0601791224999999</v>
      </c>
      <c r="F917" s="12" t="n">
        <f aca="false">(1+E917)^(1/12)-1</f>
        <v>0.00488169997168164</v>
      </c>
      <c r="G917" s="16" t="n">
        <f aca="false">IF(C917=0,(1+Dic2024!$J$6)^(-B917),EXP(LN(INDEX(Dic2024!$K$6:$K$205,C917))+(LN(INDEX(Dic2024!$K$6:$K$205,MIN(C917+1,200)))-LN(INDEX(Dic2024!$K$6:$K$205,C917)))*(A917-6*C917)/6))</f>
        <v>0.0117236336928659</v>
      </c>
      <c r="H917" s="12" t="n">
        <f aca="false">G917^(-1/B917)-1</f>
        <v>0.0601791224999999</v>
      </c>
      <c r="I917" s="12" t="n">
        <f aca="false">(1+H917)^(1/12)-1</f>
        <v>0.00488169997168164</v>
      </c>
      <c r="J917" s="16" t="n">
        <f aca="false">IF(C917=0,(1+Dic2024!$M$6)^(-B917),EXP(LN(INDEX(Dic2024!$N$6:$N$205,C917))+(LN(INDEX(Dic2024!$N$6:$N$205,MIN(C917+1,200)))-LN(INDEX(Dic2024!$N$6:$N$205,C917)))*(A917-6*C917)/6))</f>
        <v>0.0117236336928659</v>
      </c>
      <c r="K917" s="12" t="n">
        <f aca="false">J917^(-1/B917)-1</f>
        <v>0.0601791224999999</v>
      </c>
      <c r="L917" s="12" t="n">
        <f aca="false">(1+K917)^(1/12)-1</f>
        <v>0.00488169997168164</v>
      </c>
    </row>
    <row r="918" customFormat="false" ht="15" hidden="false" customHeight="false" outlineLevel="0" collapsed="false">
      <c r="A918" s="4" t="n">
        <v>914</v>
      </c>
      <c r="B918" s="14" t="n">
        <f aca="false">A918/12</f>
        <v>76.1666666666667</v>
      </c>
      <c r="C918" s="15" t="n">
        <f aca="false">INT(A918/6)</f>
        <v>152</v>
      </c>
      <c r="D918" s="16" t="n">
        <f aca="false">IF(C918=0,(1+Dic2024!$G$6)^(-B918),EXP(LN(INDEX(Dic2024!$H$6:$H$205,C918))+(LN(INDEX(Dic2024!$H$6:$H$205,MIN(C918+1,200)))-LN(INDEX(Dic2024!$H$6:$H$205,C918)))*(A918-6*C918)/6))</f>
        <v>0.0116666804591986</v>
      </c>
      <c r="E918" s="12" t="n">
        <f aca="false">D918^(-1/B918)-1</f>
        <v>0.0601791224999999</v>
      </c>
      <c r="F918" s="12" t="n">
        <f aca="false">(1+E918)^(1/12)-1</f>
        <v>0.00488169997168164</v>
      </c>
      <c r="G918" s="16" t="n">
        <f aca="false">IF(C918=0,(1+Dic2024!$J$6)^(-B918),EXP(LN(INDEX(Dic2024!$K$6:$K$205,C918))+(LN(INDEX(Dic2024!$K$6:$K$205,MIN(C918+1,200)))-LN(INDEX(Dic2024!$K$6:$K$205,C918)))*(A918-6*C918)/6))</f>
        <v>0.0116666804591986</v>
      </c>
      <c r="H918" s="12" t="n">
        <f aca="false">G918^(-1/B918)-1</f>
        <v>0.0601791224999999</v>
      </c>
      <c r="I918" s="12" t="n">
        <f aca="false">(1+H918)^(1/12)-1</f>
        <v>0.00488169997168164</v>
      </c>
      <c r="J918" s="16" t="n">
        <f aca="false">IF(C918=0,(1+Dic2024!$M$6)^(-B918),EXP(LN(INDEX(Dic2024!$N$6:$N$205,C918))+(LN(INDEX(Dic2024!$N$6:$N$205,MIN(C918+1,200)))-LN(INDEX(Dic2024!$N$6:$N$205,C918)))*(A918-6*C918)/6))</f>
        <v>0.0116666804591986</v>
      </c>
      <c r="K918" s="12" t="n">
        <f aca="false">J918^(-1/B918)-1</f>
        <v>0.0601791224999999</v>
      </c>
      <c r="L918" s="12" t="n">
        <f aca="false">(1+K918)^(1/12)-1</f>
        <v>0.00488169997168164</v>
      </c>
    </row>
    <row r="919" customFormat="false" ht="15" hidden="false" customHeight="false" outlineLevel="0" collapsed="false">
      <c r="A919" s="4" t="n">
        <v>915</v>
      </c>
      <c r="B919" s="14" t="n">
        <f aca="false">A919/12</f>
        <v>76.25</v>
      </c>
      <c r="C919" s="15" t="n">
        <f aca="false">INT(A919/6)</f>
        <v>152</v>
      </c>
      <c r="D919" s="16" t="n">
        <f aca="false">IF(C919=0,(1+Dic2024!$G$6)^(-B919),EXP(LN(INDEX(Dic2024!$H$6:$H$205,C919))+(LN(INDEX(Dic2024!$H$6:$H$205,MIN(C919+1,200)))-LN(INDEX(Dic2024!$H$6:$H$205,C919)))*(A919-6*C919)/6))</f>
        <v>0.0116100039034718</v>
      </c>
      <c r="E919" s="12" t="n">
        <f aca="false">D919^(-1/B919)-1</f>
        <v>0.0601791224999999</v>
      </c>
      <c r="F919" s="12" t="n">
        <f aca="false">(1+E919)^(1/12)-1</f>
        <v>0.00488169997168164</v>
      </c>
      <c r="G919" s="16" t="n">
        <f aca="false">IF(C919=0,(1+Dic2024!$J$6)^(-B919),EXP(LN(INDEX(Dic2024!$K$6:$K$205,C919))+(LN(INDEX(Dic2024!$K$6:$K$205,MIN(C919+1,200)))-LN(INDEX(Dic2024!$K$6:$K$205,C919)))*(A919-6*C919)/6))</f>
        <v>0.0116100039034718</v>
      </c>
      <c r="H919" s="12" t="n">
        <f aca="false">G919^(-1/B919)-1</f>
        <v>0.0601791224999999</v>
      </c>
      <c r="I919" s="12" t="n">
        <f aca="false">(1+H919)^(1/12)-1</f>
        <v>0.00488169997168164</v>
      </c>
      <c r="J919" s="16" t="n">
        <f aca="false">IF(C919=0,(1+Dic2024!$M$6)^(-B919),EXP(LN(INDEX(Dic2024!$N$6:$N$205,C919))+(LN(INDEX(Dic2024!$N$6:$N$205,MIN(C919+1,200)))-LN(INDEX(Dic2024!$N$6:$N$205,C919)))*(A919-6*C919)/6))</f>
        <v>0.0116100039034718</v>
      </c>
      <c r="K919" s="12" t="n">
        <f aca="false">J919^(-1/B919)-1</f>
        <v>0.0601791224999999</v>
      </c>
      <c r="L919" s="12" t="n">
        <f aca="false">(1+K919)^(1/12)-1</f>
        <v>0.00488169997168164</v>
      </c>
    </row>
    <row r="920" customFormat="false" ht="15" hidden="false" customHeight="false" outlineLevel="0" collapsed="false">
      <c r="A920" s="4" t="n">
        <v>916</v>
      </c>
      <c r="B920" s="14" t="n">
        <f aca="false">A920/12</f>
        <v>76.3333333333333</v>
      </c>
      <c r="C920" s="15" t="n">
        <f aca="false">INT(A920/6)</f>
        <v>152</v>
      </c>
      <c r="D920" s="16" t="n">
        <f aca="false">IF(C920=0,(1+Dic2024!$G$6)^(-B920),EXP(LN(INDEX(Dic2024!$H$6:$H$205,C920))+(LN(INDEX(Dic2024!$H$6:$H$205,MIN(C920+1,200)))-LN(INDEX(Dic2024!$H$6:$H$205,C920)))*(A920-6*C920)/6))</f>
        <v>0.0115536026815883</v>
      </c>
      <c r="E920" s="12" t="n">
        <f aca="false">D920^(-1/B920)-1</f>
        <v>0.0601791224999999</v>
      </c>
      <c r="F920" s="12" t="n">
        <f aca="false">(1+E920)^(1/12)-1</f>
        <v>0.00488169997168164</v>
      </c>
      <c r="G920" s="16" t="n">
        <f aca="false">IF(C920=0,(1+Dic2024!$J$6)^(-B920),EXP(LN(INDEX(Dic2024!$K$6:$K$205,C920))+(LN(INDEX(Dic2024!$K$6:$K$205,MIN(C920+1,200)))-LN(INDEX(Dic2024!$K$6:$K$205,C920)))*(A920-6*C920)/6))</f>
        <v>0.0115536026815883</v>
      </c>
      <c r="H920" s="12" t="n">
        <f aca="false">G920^(-1/B920)-1</f>
        <v>0.0601791224999999</v>
      </c>
      <c r="I920" s="12" t="n">
        <f aca="false">(1+H920)^(1/12)-1</f>
        <v>0.00488169997168164</v>
      </c>
      <c r="J920" s="16" t="n">
        <f aca="false">IF(C920=0,(1+Dic2024!$M$6)^(-B920),EXP(LN(INDEX(Dic2024!$N$6:$N$205,C920))+(LN(INDEX(Dic2024!$N$6:$N$205,MIN(C920+1,200)))-LN(INDEX(Dic2024!$N$6:$N$205,C920)))*(A920-6*C920)/6))</f>
        <v>0.0115536026815883</v>
      </c>
      <c r="K920" s="12" t="n">
        <f aca="false">J920^(-1/B920)-1</f>
        <v>0.0601791224999999</v>
      </c>
      <c r="L920" s="12" t="n">
        <f aca="false">(1+K920)^(1/12)-1</f>
        <v>0.00488169997168164</v>
      </c>
    </row>
    <row r="921" customFormat="false" ht="15" hidden="false" customHeight="false" outlineLevel="0" collapsed="false">
      <c r="A921" s="4" t="n">
        <v>917</v>
      </c>
      <c r="B921" s="14" t="n">
        <f aca="false">A921/12</f>
        <v>76.4166666666667</v>
      </c>
      <c r="C921" s="15" t="n">
        <f aca="false">INT(A921/6)</f>
        <v>152</v>
      </c>
      <c r="D921" s="16" t="n">
        <f aca="false">IF(C921=0,(1+Dic2024!$G$6)^(-B921),EXP(LN(INDEX(Dic2024!$H$6:$H$205,C921))+(LN(INDEX(Dic2024!$H$6:$H$205,MIN(C921+1,200)))-LN(INDEX(Dic2024!$H$6:$H$205,C921)))*(A921-6*C921)/6))</f>
        <v>0.0114974754559804</v>
      </c>
      <c r="E921" s="12" t="n">
        <f aca="false">D921^(-1/B921)-1</f>
        <v>0.0601791224999999</v>
      </c>
      <c r="F921" s="12" t="n">
        <f aca="false">(1+E921)^(1/12)-1</f>
        <v>0.00488169997168164</v>
      </c>
      <c r="G921" s="16" t="n">
        <f aca="false">IF(C921=0,(1+Dic2024!$J$6)^(-B921),EXP(LN(INDEX(Dic2024!$K$6:$K$205,C921))+(LN(INDEX(Dic2024!$K$6:$K$205,MIN(C921+1,200)))-LN(INDEX(Dic2024!$K$6:$K$205,C921)))*(A921-6*C921)/6))</f>
        <v>0.0114974754559804</v>
      </c>
      <c r="H921" s="12" t="n">
        <f aca="false">G921^(-1/B921)-1</f>
        <v>0.0601791224999999</v>
      </c>
      <c r="I921" s="12" t="n">
        <f aca="false">(1+H921)^(1/12)-1</f>
        <v>0.00488169997168164</v>
      </c>
      <c r="J921" s="16" t="n">
        <f aca="false">IF(C921=0,(1+Dic2024!$M$6)^(-B921),EXP(LN(INDEX(Dic2024!$N$6:$N$205,C921))+(LN(INDEX(Dic2024!$N$6:$N$205,MIN(C921+1,200)))-LN(INDEX(Dic2024!$N$6:$N$205,C921)))*(A921-6*C921)/6))</f>
        <v>0.0114974754559804</v>
      </c>
      <c r="K921" s="12" t="n">
        <f aca="false">J921^(-1/B921)-1</f>
        <v>0.0601791224999999</v>
      </c>
      <c r="L921" s="12" t="n">
        <f aca="false">(1+K921)^(1/12)-1</f>
        <v>0.00488169997168164</v>
      </c>
    </row>
    <row r="922" customFormat="false" ht="15" hidden="false" customHeight="false" outlineLevel="0" collapsed="false">
      <c r="A922" s="4" t="n">
        <v>918</v>
      </c>
      <c r="B922" s="14" t="n">
        <f aca="false">A922/12</f>
        <v>76.5</v>
      </c>
      <c r="C922" s="15" t="n">
        <f aca="false">INT(A922/6)</f>
        <v>153</v>
      </c>
      <c r="D922" s="16" t="n">
        <f aca="false">IF(C922=0,(1+Dic2024!$G$6)^(-B922),EXP(LN(INDEX(Dic2024!$H$6:$H$205,C922))+(LN(INDEX(Dic2024!$H$6:$H$205,MIN(C922+1,200)))-LN(INDEX(Dic2024!$H$6:$H$205,C922)))*(A922-6*C922)/6))</f>
        <v>0.0114416208955785</v>
      </c>
      <c r="E922" s="12" t="n">
        <f aca="false">D922^(-1/B922)-1</f>
        <v>0.0601791224999999</v>
      </c>
      <c r="F922" s="12" t="n">
        <f aca="false">(1+E922)^(1/12)-1</f>
        <v>0.00488169997168164</v>
      </c>
      <c r="G922" s="16" t="n">
        <f aca="false">IF(C922=0,(1+Dic2024!$J$6)^(-B922),EXP(LN(INDEX(Dic2024!$K$6:$K$205,C922))+(LN(INDEX(Dic2024!$K$6:$K$205,MIN(C922+1,200)))-LN(INDEX(Dic2024!$K$6:$K$205,C922)))*(A922-6*C922)/6))</f>
        <v>0.0114416208955785</v>
      </c>
      <c r="H922" s="12" t="n">
        <f aca="false">G922^(-1/B922)-1</f>
        <v>0.0601791224999999</v>
      </c>
      <c r="I922" s="12" t="n">
        <f aca="false">(1+H922)^(1/12)-1</f>
        <v>0.00488169997168164</v>
      </c>
      <c r="J922" s="16" t="n">
        <f aca="false">IF(C922=0,(1+Dic2024!$M$6)^(-B922),EXP(LN(INDEX(Dic2024!$N$6:$N$205,C922))+(LN(INDEX(Dic2024!$N$6:$N$205,MIN(C922+1,200)))-LN(INDEX(Dic2024!$N$6:$N$205,C922)))*(A922-6*C922)/6))</f>
        <v>0.0114416208955785</v>
      </c>
      <c r="K922" s="12" t="n">
        <f aca="false">J922^(-1/B922)-1</f>
        <v>0.0601791224999999</v>
      </c>
      <c r="L922" s="12" t="n">
        <f aca="false">(1+K922)^(1/12)-1</f>
        <v>0.00488169997168164</v>
      </c>
    </row>
    <row r="923" customFormat="false" ht="15" hidden="false" customHeight="false" outlineLevel="0" collapsed="false">
      <c r="A923" s="4" t="n">
        <v>919</v>
      </c>
      <c r="B923" s="14" t="n">
        <f aca="false">A923/12</f>
        <v>76.5833333333333</v>
      </c>
      <c r="C923" s="15" t="n">
        <f aca="false">INT(A923/6)</f>
        <v>153</v>
      </c>
      <c r="D923" s="16" t="n">
        <f aca="false">IF(C923=0,(1+Dic2024!$G$6)^(-B923),EXP(LN(INDEX(Dic2024!$H$6:$H$205,C923))+(LN(INDEX(Dic2024!$H$6:$H$205,MIN(C923+1,200)))-LN(INDEX(Dic2024!$H$6:$H$205,C923)))*(A923-6*C923)/6))</f>
        <v>0.011386037675779</v>
      </c>
      <c r="E923" s="12" t="n">
        <f aca="false">D923^(-1/B923)-1</f>
        <v>0.0601791224999999</v>
      </c>
      <c r="F923" s="12" t="n">
        <f aca="false">(1+E923)^(1/12)-1</f>
        <v>0.00488169997168164</v>
      </c>
      <c r="G923" s="16" t="n">
        <f aca="false">IF(C923=0,(1+Dic2024!$J$6)^(-B923),EXP(LN(INDEX(Dic2024!$K$6:$K$205,C923))+(LN(INDEX(Dic2024!$K$6:$K$205,MIN(C923+1,200)))-LN(INDEX(Dic2024!$K$6:$K$205,C923)))*(A923-6*C923)/6))</f>
        <v>0.011386037675779</v>
      </c>
      <c r="H923" s="12" t="n">
        <f aca="false">G923^(-1/B923)-1</f>
        <v>0.0601791224999999</v>
      </c>
      <c r="I923" s="12" t="n">
        <f aca="false">(1+H923)^(1/12)-1</f>
        <v>0.00488169997168164</v>
      </c>
      <c r="J923" s="16" t="n">
        <f aca="false">IF(C923=0,(1+Dic2024!$M$6)^(-B923),EXP(LN(INDEX(Dic2024!$N$6:$N$205,C923))+(LN(INDEX(Dic2024!$N$6:$N$205,MIN(C923+1,200)))-LN(INDEX(Dic2024!$N$6:$N$205,C923)))*(A923-6*C923)/6))</f>
        <v>0.011386037675779</v>
      </c>
      <c r="K923" s="12" t="n">
        <f aca="false">J923^(-1/B923)-1</f>
        <v>0.0601791224999999</v>
      </c>
      <c r="L923" s="12" t="n">
        <f aca="false">(1+K923)^(1/12)-1</f>
        <v>0.00488169997168164</v>
      </c>
    </row>
    <row r="924" customFormat="false" ht="15" hidden="false" customHeight="false" outlineLevel="0" collapsed="false">
      <c r="A924" s="4" t="n">
        <v>920</v>
      </c>
      <c r="B924" s="14" t="n">
        <f aca="false">A924/12</f>
        <v>76.6666666666667</v>
      </c>
      <c r="C924" s="15" t="n">
        <f aca="false">INT(A924/6)</f>
        <v>153</v>
      </c>
      <c r="D924" s="16" t="n">
        <f aca="false">IF(C924=0,(1+Dic2024!$G$6)^(-B924),EXP(LN(INDEX(Dic2024!$H$6:$H$205,C924))+(LN(INDEX(Dic2024!$H$6:$H$205,MIN(C924+1,200)))-LN(INDEX(Dic2024!$H$6:$H$205,C924)))*(A924-6*C924)/6))</f>
        <v>0.0113307244784136</v>
      </c>
      <c r="E924" s="12" t="n">
        <f aca="false">D924^(-1/B924)-1</f>
        <v>0.0601791224999999</v>
      </c>
      <c r="F924" s="12" t="n">
        <f aca="false">(1+E924)^(1/12)-1</f>
        <v>0.00488169997168164</v>
      </c>
      <c r="G924" s="16" t="n">
        <f aca="false">IF(C924=0,(1+Dic2024!$J$6)^(-B924),EXP(LN(INDEX(Dic2024!$K$6:$K$205,C924))+(LN(INDEX(Dic2024!$K$6:$K$205,MIN(C924+1,200)))-LN(INDEX(Dic2024!$K$6:$K$205,C924)))*(A924-6*C924)/6))</f>
        <v>0.0113307244784136</v>
      </c>
      <c r="H924" s="12" t="n">
        <f aca="false">G924^(-1/B924)-1</f>
        <v>0.0601791224999999</v>
      </c>
      <c r="I924" s="12" t="n">
        <f aca="false">(1+H924)^(1/12)-1</f>
        <v>0.00488169997168164</v>
      </c>
      <c r="J924" s="16" t="n">
        <f aca="false">IF(C924=0,(1+Dic2024!$M$6)^(-B924),EXP(LN(INDEX(Dic2024!$N$6:$N$205,C924))+(LN(INDEX(Dic2024!$N$6:$N$205,MIN(C924+1,200)))-LN(INDEX(Dic2024!$N$6:$N$205,C924)))*(A924-6*C924)/6))</f>
        <v>0.0113307244784136</v>
      </c>
      <c r="K924" s="12" t="n">
        <f aca="false">J924^(-1/B924)-1</f>
        <v>0.0601791224999999</v>
      </c>
      <c r="L924" s="12" t="n">
        <f aca="false">(1+K924)^(1/12)-1</f>
        <v>0.00488169997168164</v>
      </c>
    </row>
    <row r="925" customFormat="false" ht="15" hidden="false" customHeight="false" outlineLevel="0" collapsed="false">
      <c r="A925" s="4" t="n">
        <v>921</v>
      </c>
      <c r="B925" s="14" t="n">
        <f aca="false">A925/12</f>
        <v>76.75</v>
      </c>
      <c r="C925" s="15" t="n">
        <f aca="false">INT(A925/6)</f>
        <v>153</v>
      </c>
      <c r="D925" s="16" t="n">
        <f aca="false">IF(C925=0,(1+Dic2024!$G$6)^(-B925),EXP(LN(INDEX(Dic2024!$H$6:$H$205,C925))+(LN(INDEX(Dic2024!$H$6:$H$205,MIN(C925+1,200)))-LN(INDEX(Dic2024!$H$6:$H$205,C925)))*(A925-6*C925)/6))</f>
        <v>0.0112756799917174</v>
      </c>
      <c r="E925" s="12" t="n">
        <f aca="false">D925^(-1/B925)-1</f>
        <v>0.0601791224999999</v>
      </c>
      <c r="F925" s="12" t="n">
        <f aca="false">(1+E925)^(1/12)-1</f>
        <v>0.00488169997168164</v>
      </c>
      <c r="G925" s="16" t="n">
        <f aca="false">IF(C925=0,(1+Dic2024!$J$6)^(-B925),EXP(LN(INDEX(Dic2024!$K$6:$K$205,C925))+(LN(INDEX(Dic2024!$K$6:$K$205,MIN(C925+1,200)))-LN(INDEX(Dic2024!$K$6:$K$205,C925)))*(A925-6*C925)/6))</f>
        <v>0.0112756799917174</v>
      </c>
      <c r="H925" s="12" t="n">
        <f aca="false">G925^(-1/B925)-1</f>
        <v>0.0601791224999999</v>
      </c>
      <c r="I925" s="12" t="n">
        <f aca="false">(1+H925)^(1/12)-1</f>
        <v>0.00488169997168164</v>
      </c>
      <c r="J925" s="16" t="n">
        <f aca="false">IF(C925=0,(1+Dic2024!$M$6)^(-B925),EXP(LN(INDEX(Dic2024!$N$6:$N$205,C925))+(LN(INDEX(Dic2024!$N$6:$N$205,MIN(C925+1,200)))-LN(INDEX(Dic2024!$N$6:$N$205,C925)))*(A925-6*C925)/6))</f>
        <v>0.0112756799917174</v>
      </c>
      <c r="K925" s="12" t="n">
        <f aca="false">J925^(-1/B925)-1</f>
        <v>0.0601791224999999</v>
      </c>
      <c r="L925" s="12" t="n">
        <f aca="false">(1+K925)^(1/12)-1</f>
        <v>0.00488169997168164</v>
      </c>
    </row>
    <row r="926" customFormat="false" ht="15" hidden="false" customHeight="false" outlineLevel="0" collapsed="false">
      <c r="A926" s="4" t="n">
        <v>922</v>
      </c>
      <c r="B926" s="14" t="n">
        <f aca="false">A926/12</f>
        <v>76.8333333333333</v>
      </c>
      <c r="C926" s="15" t="n">
        <f aca="false">INT(A926/6)</f>
        <v>153</v>
      </c>
      <c r="D926" s="16" t="n">
        <f aca="false">IF(C926=0,(1+Dic2024!$G$6)^(-B926),EXP(LN(INDEX(Dic2024!$H$6:$H$205,C926))+(LN(INDEX(Dic2024!$H$6:$H$205,MIN(C926+1,200)))-LN(INDEX(Dic2024!$H$6:$H$205,C926)))*(A926-6*C926)/6))</f>
        <v>0.0112209029102979</v>
      </c>
      <c r="E926" s="12" t="n">
        <f aca="false">D926^(-1/B926)-1</f>
        <v>0.0601791224999999</v>
      </c>
      <c r="F926" s="12" t="n">
        <f aca="false">(1+E926)^(1/12)-1</f>
        <v>0.00488169997168164</v>
      </c>
      <c r="G926" s="16" t="n">
        <f aca="false">IF(C926=0,(1+Dic2024!$J$6)^(-B926),EXP(LN(INDEX(Dic2024!$K$6:$K$205,C926))+(LN(INDEX(Dic2024!$K$6:$K$205,MIN(C926+1,200)))-LN(INDEX(Dic2024!$K$6:$K$205,C926)))*(A926-6*C926)/6))</f>
        <v>0.0112209029102979</v>
      </c>
      <c r="H926" s="12" t="n">
        <f aca="false">G926^(-1/B926)-1</f>
        <v>0.0601791224999999</v>
      </c>
      <c r="I926" s="12" t="n">
        <f aca="false">(1+H926)^(1/12)-1</f>
        <v>0.00488169997168164</v>
      </c>
      <c r="J926" s="16" t="n">
        <f aca="false">IF(C926=0,(1+Dic2024!$M$6)^(-B926),EXP(LN(INDEX(Dic2024!$N$6:$N$205,C926))+(LN(INDEX(Dic2024!$N$6:$N$205,MIN(C926+1,200)))-LN(INDEX(Dic2024!$N$6:$N$205,C926)))*(A926-6*C926)/6))</f>
        <v>0.0112209029102979</v>
      </c>
      <c r="K926" s="12" t="n">
        <f aca="false">J926^(-1/B926)-1</f>
        <v>0.0601791224999999</v>
      </c>
      <c r="L926" s="12" t="n">
        <f aca="false">(1+K926)^(1/12)-1</f>
        <v>0.00488169997168164</v>
      </c>
    </row>
    <row r="927" customFormat="false" ht="15" hidden="false" customHeight="false" outlineLevel="0" collapsed="false">
      <c r="A927" s="4" t="n">
        <v>923</v>
      </c>
      <c r="B927" s="14" t="n">
        <f aca="false">A927/12</f>
        <v>76.9166666666667</v>
      </c>
      <c r="C927" s="15" t="n">
        <f aca="false">INT(A927/6)</f>
        <v>153</v>
      </c>
      <c r="D927" s="16" t="n">
        <f aca="false">IF(C927=0,(1+Dic2024!$G$6)^(-B927),EXP(LN(INDEX(Dic2024!$H$6:$H$205,C927))+(LN(INDEX(Dic2024!$H$6:$H$205,MIN(C927+1,200)))-LN(INDEX(Dic2024!$H$6:$H$205,C927)))*(A927-6*C927)/6))</f>
        <v>0.0111663919351045</v>
      </c>
      <c r="E927" s="12" t="n">
        <f aca="false">D927^(-1/B927)-1</f>
        <v>0.0601791224999999</v>
      </c>
      <c r="F927" s="12" t="n">
        <f aca="false">(1+E927)^(1/12)-1</f>
        <v>0.00488169997168164</v>
      </c>
      <c r="G927" s="16" t="n">
        <f aca="false">IF(C927=0,(1+Dic2024!$J$6)^(-B927),EXP(LN(INDEX(Dic2024!$K$6:$K$205,C927))+(LN(INDEX(Dic2024!$K$6:$K$205,MIN(C927+1,200)))-LN(INDEX(Dic2024!$K$6:$K$205,C927)))*(A927-6*C927)/6))</f>
        <v>0.0111663919351045</v>
      </c>
      <c r="H927" s="12" t="n">
        <f aca="false">G927^(-1/B927)-1</f>
        <v>0.0601791224999999</v>
      </c>
      <c r="I927" s="12" t="n">
        <f aca="false">(1+H927)^(1/12)-1</f>
        <v>0.00488169997168164</v>
      </c>
      <c r="J927" s="16" t="n">
        <f aca="false">IF(C927=0,(1+Dic2024!$M$6)^(-B927),EXP(LN(INDEX(Dic2024!$N$6:$N$205,C927))+(LN(INDEX(Dic2024!$N$6:$N$205,MIN(C927+1,200)))-LN(INDEX(Dic2024!$N$6:$N$205,C927)))*(A927-6*C927)/6))</f>
        <v>0.0111663919351045</v>
      </c>
      <c r="K927" s="12" t="n">
        <f aca="false">J927^(-1/B927)-1</f>
        <v>0.0601791224999999</v>
      </c>
      <c r="L927" s="12" t="n">
        <f aca="false">(1+K927)^(1/12)-1</f>
        <v>0.00488169997168164</v>
      </c>
    </row>
    <row r="928" customFormat="false" ht="15" hidden="false" customHeight="false" outlineLevel="0" collapsed="false">
      <c r="A928" s="4" t="n">
        <v>924</v>
      </c>
      <c r="B928" s="14" t="n">
        <f aca="false">A928/12</f>
        <v>77</v>
      </c>
      <c r="C928" s="15" t="n">
        <f aca="false">INT(A928/6)</f>
        <v>154</v>
      </c>
      <c r="D928" s="16" t="n">
        <f aca="false">IF(C928=0,(1+Dic2024!$G$6)^(-B928),EXP(LN(INDEX(Dic2024!$H$6:$H$205,C928))+(LN(INDEX(Dic2024!$H$6:$H$205,MIN(C928+1,200)))-LN(INDEX(Dic2024!$H$6:$H$205,C928)))*(A928-6*C928)/6))</f>
        <v>0.0111121457733972</v>
      </c>
      <c r="E928" s="12" t="n">
        <f aca="false">D928^(-1/B928)-1</f>
        <v>0.0601791224999999</v>
      </c>
      <c r="F928" s="12" t="n">
        <f aca="false">(1+E928)^(1/12)-1</f>
        <v>0.00488169997168164</v>
      </c>
      <c r="G928" s="16" t="n">
        <f aca="false">IF(C928=0,(1+Dic2024!$J$6)^(-B928),EXP(LN(INDEX(Dic2024!$K$6:$K$205,C928))+(LN(INDEX(Dic2024!$K$6:$K$205,MIN(C928+1,200)))-LN(INDEX(Dic2024!$K$6:$K$205,C928)))*(A928-6*C928)/6))</f>
        <v>0.0111121457733972</v>
      </c>
      <c r="H928" s="12" t="n">
        <f aca="false">G928^(-1/B928)-1</f>
        <v>0.0601791224999999</v>
      </c>
      <c r="I928" s="12" t="n">
        <f aca="false">(1+H928)^(1/12)-1</f>
        <v>0.00488169997168164</v>
      </c>
      <c r="J928" s="16" t="n">
        <f aca="false">IF(C928=0,(1+Dic2024!$M$6)^(-B928),EXP(LN(INDEX(Dic2024!$N$6:$N$205,C928))+(LN(INDEX(Dic2024!$N$6:$N$205,MIN(C928+1,200)))-LN(INDEX(Dic2024!$N$6:$N$205,C928)))*(A928-6*C928)/6))</f>
        <v>0.0111121457733972</v>
      </c>
      <c r="K928" s="12" t="n">
        <f aca="false">J928^(-1/B928)-1</f>
        <v>0.0601791224999999</v>
      </c>
      <c r="L928" s="12" t="n">
        <f aca="false">(1+K928)^(1/12)-1</f>
        <v>0.00488169997168164</v>
      </c>
    </row>
    <row r="929" customFormat="false" ht="15" hidden="false" customHeight="false" outlineLevel="0" collapsed="false">
      <c r="A929" s="4" t="n">
        <v>925</v>
      </c>
      <c r="B929" s="14" t="n">
        <f aca="false">A929/12</f>
        <v>77.0833333333333</v>
      </c>
      <c r="C929" s="15" t="n">
        <f aca="false">INT(A929/6)</f>
        <v>154</v>
      </c>
      <c r="D929" s="16" t="n">
        <f aca="false">IF(C929=0,(1+Dic2024!$G$6)^(-B929),EXP(LN(INDEX(Dic2024!$H$6:$H$205,C929))+(LN(INDEX(Dic2024!$H$6:$H$205,MIN(C929+1,200)))-LN(INDEX(Dic2024!$H$6:$H$205,C929)))*(A929-6*C929)/6))</f>
        <v>0.0110581631387161</v>
      </c>
      <c r="E929" s="12" t="n">
        <f aca="false">D929^(-1/B929)-1</f>
        <v>0.0601791224999999</v>
      </c>
      <c r="F929" s="12" t="n">
        <f aca="false">(1+E929)^(1/12)-1</f>
        <v>0.00488169997168164</v>
      </c>
      <c r="G929" s="16" t="n">
        <f aca="false">IF(C929=0,(1+Dic2024!$J$6)^(-B929),EXP(LN(INDEX(Dic2024!$K$6:$K$205,C929))+(LN(INDEX(Dic2024!$K$6:$K$205,MIN(C929+1,200)))-LN(INDEX(Dic2024!$K$6:$K$205,C929)))*(A929-6*C929)/6))</f>
        <v>0.0110581631387161</v>
      </c>
      <c r="H929" s="12" t="n">
        <f aca="false">G929^(-1/B929)-1</f>
        <v>0.0601791224999999</v>
      </c>
      <c r="I929" s="12" t="n">
        <f aca="false">(1+H929)^(1/12)-1</f>
        <v>0.00488169997168164</v>
      </c>
      <c r="J929" s="16" t="n">
        <f aca="false">IF(C929=0,(1+Dic2024!$M$6)^(-B929),EXP(LN(INDEX(Dic2024!$N$6:$N$205,C929))+(LN(INDEX(Dic2024!$N$6:$N$205,MIN(C929+1,200)))-LN(INDEX(Dic2024!$N$6:$N$205,C929)))*(A929-6*C929)/6))</f>
        <v>0.0110581631387161</v>
      </c>
      <c r="K929" s="12" t="n">
        <f aca="false">J929^(-1/B929)-1</f>
        <v>0.0601791224999999</v>
      </c>
      <c r="L929" s="12" t="n">
        <f aca="false">(1+K929)^(1/12)-1</f>
        <v>0.00488169997168164</v>
      </c>
    </row>
    <row r="930" customFormat="false" ht="15" hidden="false" customHeight="false" outlineLevel="0" collapsed="false">
      <c r="A930" s="4" t="n">
        <v>926</v>
      </c>
      <c r="B930" s="14" t="n">
        <f aca="false">A930/12</f>
        <v>77.1666666666667</v>
      </c>
      <c r="C930" s="15" t="n">
        <f aca="false">INT(A930/6)</f>
        <v>154</v>
      </c>
      <c r="D930" s="16" t="n">
        <f aca="false">IF(C930=0,(1+Dic2024!$G$6)^(-B930),EXP(LN(INDEX(Dic2024!$H$6:$H$205,C930))+(LN(INDEX(Dic2024!$H$6:$H$205,MIN(C930+1,200)))-LN(INDEX(Dic2024!$H$6:$H$205,C930)))*(A930-6*C930)/6))</f>
        <v>0.0110044427508509</v>
      </c>
      <c r="E930" s="12" t="n">
        <f aca="false">D930^(-1/B930)-1</f>
        <v>0.0601791224999999</v>
      </c>
      <c r="F930" s="12" t="n">
        <f aca="false">(1+E930)^(1/12)-1</f>
        <v>0.00488169997168164</v>
      </c>
      <c r="G930" s="16" t="n">
        <f aca="false">IF(C930=0,(1+Dic2024!$J$6)^(-B930),EXP(LN(INDEX(Dic2024!$K$6:$K$205,C930))+(LN(INDEX(Dic2024!$K$6:$K$205,MIN(C930+1,200)))-LN(INDEX(Dic2024!$K$6:$K$205,C930)))*(A930-6*C930)/6))</f>
        <v>0.0110044427508509</v>
      </c>
      <c r="H930" s="12" t="n">
        <f aca="false">G930^(-1/B930)-1</f>
        <v>0.0601791224999999</v>
      </c>
      <c r="I930" s="12" t="n">
        <f aca="false">(1+H930)^(1/12)-1</f>
        <v>0.00488169997168164</v>
      </c>
      <c r="J930" s="16" t="n">
        <f aca="false">IF(C930=0,(1+Dic2024!$M$6)^(-B930),EXP(LN(INDEX(Dic2024!$N$6:$N$205,C930))+(LN(INDEX(Dic2024!$N$6:$N$205,MIN(C930+1,200)))-LN(INDEX(Dic2024!$N$6:$N$205,C930)))*(A930-6*C930)/6))</f>
        <v>0.0110044427508509</v>
      </c>
      <c r="K930" s="12" t="n">
        <f aca="false">J930^(-1/B930)-1</f>
        <v>0.0601791224999999</v>
      </c>
      <c r="L930" s="12" t="n">
        <f aca="false">(1+K930)^(1/12)-1</f>
        <v>0.00488169997168164</v>
      </c>
    </row>
    <row r="931" customFormat="false" ht="15" hidden="false" customHeight="false" outlineLevel="0" collapsed="false">
      <c r="A931" s="4" t="n">
        <v>927</v>
      </c>
      <c r="B931" s="14" t="n">
        <f aca="false">A931/12</f>
        <v>77.25</v>
      </c>
      <c r="C931" s="15" t="n">
        <f aca="false">INT(A931/6)</f>
        <v>154</v>
      </c>
      <c r="D931" s="16" t="n">
        <f aca="false">IF(C931=0,(1+Dic2024!$G$6)^(-B931),EXP(LN(INDEX(Dic2024!$H$6:$H$205,C931))+(LN(INDEX(Dic2024!$H$6:$H$205,MIN(C931+1,200)))-LN(INDEX(Dic2024!$H$6:$H$205,C931)))*(A931-6*C931)/6))</f>
        <v>0.0109509833358106</v>
      </c>
      <c r="E931" s="12" t="n">
        <f aca="false">D931^(-1/B931)-1</f>
        <v>0.0601791224999999</v>
      </c>
      <c r="F931" s="12" t="n">
        <f aca="false">(1+E931)^(1/12)-1</f>
        <v>0.00488169997168164</v>
      </c>
      <c r="G931" s="16" t="n">
        <f aca="false">IF(C931=0,(1+Dic2024!$J$6)^(-B931),EXP(LN(INDEX(Dic2024!$K$6:$K$205,C931))+(LN(INDEX(Dic2024!$K$6:$K$205,MIN(C931+1,200)))-LN(INDEX(Dic2024!$K$6:$K$205,C931)))*(A931-6*C931)/6))</f>
        <v>0.0109509833358106</v>
      </c>
      <c r="H931" s="12" t="n">
        <f aca="false">G931^(-1/B931)-1</f>
        <v>0.0601791224999999</v>
      </c>
      <c r="I931" s="12" t="n">
        <f aca="false">(1+H931)^(1/12)-1</f>
        <v>0.00488169997168164</v>
      </c>
      <c r="J931" s="16" t="n">
        <f aca="false">IF(C931=0,(1+Dic2024!$M$6)^(-B931),EXP(LN(INDEX(Dic2024!$N$6:$N$205,C931))+(LN(INDEX(Dic2024!$N$6:$N$205,MIN(C931+1,200)))-LN(INDEX(Dic2024!$N$6:$N$205,C931)))*(A931-6*C931)/6))</f>
        <v>0.0109509833358106</v>
      </c>
      <c r="K931" s="12" t="n">
        <f aca="false">J931^(-1/B931)-1</f>
        <v>0.0601791224999999</v>
      </c>
      <c r="L931" s="12" t="n">
        <f aca="false">(1+K931)^(1/12)-1</f>
        <v>0.00488169997168164</v>
      </c>
    </row>
    <row r="932" customFormat="false" ht="15" hidden="false" customHeight="false" outlineLevel="0" collapsed="false">
      <c r="A932" s="4" t="n">
        <v>928</v>
      </c>
      <c r="B932" s="14" t="n">
        <f aca="false">A932/12</f>
        <v>77.3333333333333</v>
      </c>
      <c r="C932" s="15" t="n">
        <f aca="false">INT(A932/6)</f>
        <v>154</v>
      </c>
      <c r="D932" s="16" t="n">
        <f aca="false">IF(C932=0,(1+Dic2024!$G$6)^(-B932),EXP(LN(INDEX(Dic2024!$H$6:$H$205,C932))+(LN(INDEX(Dic2024!$H$6:$H$205,MIN(C932+1,200)))-LN(INDEX(Dic2024!$H$6:$H$205,C932)))*(A932-6*C932)/6))</f>
        <v>0.0108977836257932</v>
      </c>
      <c r="E932" s="12" t="n">
        <f aca="false">D932^(-1/B932)-1</f>
        <v>0.0601791224999999</v>
      </c>
      <c r="F932" s="12" t="n">
        <f aca="false">(1+E932)^(1/12)-1</f>
        <v>0.00488169997168164</v>
      </c>
      <c r="G932" s="16" t="n">
        <f aca="false">IF(C932=0,(1+Dic2024!$J$6)^(-B932),EXP(LN(INDEX(Dic2024!$K$6:$K$205,C932))+(LN(INDEX(Dic2024!$K$6:$K$205,MIN(C932+1,200)))-LN(INDEX(Dic2024!$K$6:$K$205,C932)))*(A932-6*C932)/6))</f>
        <v>0.0108977836257932</v>
      </c>
      <c r="H932" s="12" t="n">
        <f aca="false">G932^(-1/B932)-1</f>
        <v>0.0601791224999999</v>
      </c>
      <c r="I932" s="12" t="n">
        <f aca="false">(1+H932)^(1/12)-1</f>
        <v>0.00488169997168164</v>
      </c>
      <c r="J932" s="16" t="n">
        <f aca="false">IF(C932=0,(1+Dic2024!$M$6)^(-B932),EXP(LN(INDEX(Dic2024!$N$6:$N$205,C932))+(LN(INDEX(Dic2024!$N$6:$N$205,MIN(C932+1,200)))-LN(INDEX(Dic2024!$N$6:$N$205,C932)))*(A932-6*C932)/6))</f>
        <v>0.0108977836257932</v>
      </c>
      <c r="K932" s="12" t="n">
        <f aca="false">J932^(-1/B932)-1</f>
        <v>0.0601791224999999</v>
      </c>
      <c r="L932" s="12" t="n">
        <f aca="false">(1+K932)^(1/12)-1</f>
        <v>0.00488169997168164</v>
      </c>
    </row>
    <row r="933" customFormat="false" ht="15" hidden="false" customHeight="false" outlineLevel="0" collapsed="false">
      <c r="A933" s="4" t="n">
        <v>929</v>
      </c>
      <c r="B933" s="14" t="n">
        <f aca="false">A933/12</f>
        <v>77.4166666666667</v>
      </c>
      <c r="C933" s="15" t="n">
        <f aca="false">INT(A933/6)</f>
        <v>154</v>
      </c>
      <c r="D933" s="16" t="n">
        <f aca="false">IF(C933=0,(1+Dic2024!$G$6)^(-B933),EXP(LN(INDEX(Dic2024!$H$6:$H$205,C933))+(LN(INDEX(Dic2024!$H$6:$H$205,MIN(C933+1,200)))-LN(INDEX(Dic2024!$H$6:$H$205,C933)))*(A933-6*C933)/6))</f>
        <v>0.0108448423591556</v>
      </c>
      <c r="E933" s="12" t="n">
        <f aca="false">D933^(-1/B933)-1</f>
        <v>0.0601791224999999</v>
      </c>
      <c r="F933" s="12" t="n">
        <f aca="false">(1+E933)^(1/12)-1</f>
        <v>0.00488169997168164</v>
      </c>
      <c r="G933" s="16" t="n">
        <f aca="false">IF(C933=0,(1+Dic2024!$J$6)^(-B933),EXP(LN(INDEX(Dic2024!$K$6:$K$205,C933))+(LN(INDEX(Dic2024!$K$6:$K$205,MIN(C933+1,200)))-LN(INDEX(Dic2024!$K$6:$K$205,C933)))*(A933-6*C933)/6))</f>
        <v>0.0108448423591556</v>
      </c>
      <c r="H933" s="12" t="n">
        <f aca="false">G933^(-1/B933)-1</f>
        <v>0.0601791224999999</v>
      </c>
      <c r="I933" s="12" t="n">
        <f aca="false">(1+H933)^(1/12)-1</f>
        <v>0.00488169997168164</v>
      </c>
      <c r="J933" s="16" t="n">
        <f aca="false">IF(C933=0,(1+Dic2024!$M$6)^(-B933),EXP(LN(INDEX(Dic2024!$N$6:$N$205,C933))+(LN(INDEX(Dic2024!$N$6:$N$205,MIN(C933+1,200)))-LN(INDEX(Dic2024!$N$6:$N$205,C933)))*(A933-6*C933)/6))</f>
        <v>0.0108448423591556</v>
      </c>
      <c r="K933" s="12" t="n">
        <f aca="false">J933^(-1/B933)-1</f>
        <v>0.0601791224999999</v>
      </c>
      <c r="L933" s="12" t="n">
        <f aca="false">(1+K933)^(1/12)-1</f>
        <v>0.00488169997168164</v>
      </c>
    </row>
    <row r="934" customFormat="false" ht="15" hidden="false" customHeight="false" outlineLevel="0" collapsed="false">
      <c r="A934" s="4" t="n">
        <v>930</v>
      </c>
      <c r="B934" s="14" t="n">
        <f aca="false">A934/12</f>
        <v>77.5</v>
      </c>
      <c r="C934" s="15" t="n">
        <f aca="false">INT(A934/6)</f>
        <v>155</v>
      </c>
      <c r="D934" s="16" t="n">
        <f aca="false">IF(C934=0,(1+Dic2024!$G$6)^(-B934),EXP(LN(INDEX(Dic2024!$H$6:$H$205,C934))+(LN(INDEX(Dic2024!$H$6:$H$205,MIN(C934+1,200)))-LN(INDEX(Dic2024!$H$6:$H$205,C934)))*(A934-6*C934)/6))</f>
        <v>0.0107921582803839</v>
      </c>
      <c r="E934" s="12" t="n">
        <f aca="false">D934^(-1/B934)-1</f>
        <v>0.0601791224999999</v>
      </c>
      <c r="F934" s="12" t="n">
        <f aca="false">(1+E934)^(1/12)-1</f>
        <v>0.00488169997168164</v>
      </c>
      <c r="G934" s="16" t="n">
        <f aca="false">IF(C934=0,(1+Dic2024!$J$6)^(-B934),EXP(LN(INDEX(Dic2024!$K$6:$K$205,C934))+(LN(INDEX(Dic2024!$K$6:$K$205,MIN(C934+1,200)))-LN(INDEX(Dic2024!$K$6:$K$205,C934)))*(A934-6*C934)/6))</f>
        <v>0.0107921582803839</v>
      </c>
      <c r="H934" s="12" t="n">
        <f aca="false">G934^(-1/B934)-1</f>
        <v>0.0601791224999999</v>
      </c>
      <c r="I934" s="12" t="n">
        <f aca="false">(1+H934)^(1/12)-1</f>
        <v>0.00488169997168164</v>
      </c>
      <c r="J934" s="16" t="n">
        <f aca="false">IF(C934=0,(1+Dic2024!$M$6)^(-B934),EXP(LN(INDEX(Dic2024!$N$6:$N$205,C934))+(LN(INDEX(Dic2024!$N$6:$N$205,MIN(C934+1,200)))-LN(INDEX(Dic2024!$N$6:$N$205,C934)))*(A934-6*C934)/6))</f>
        <v>0.0107921582803839</v>
      </c>
      <c r="K934" s="12" t="n">
        <f aca="false">J934^(-1/B934)-1</f>
        <v>0.0601791224999999</v>
      </c>
      <c r="L934" s="12" t="n">
        <f aca="false">(1+K934)^(1/12)-1</f>
        <v>0.00488169997168164</v>
      </c>
    </row>
    <row r="935" customFormat="false" ht="15" hidden="false" customHeight="false" outlineLevel="0" collapsed="false">
      <c r="A935" s="4" t="n">
        <v>931</v>
      </c>
      <c r="B935" s="14" t="n">
        <f aca="false">A935/12</f>
        <v>77.5833333333333</v>
      </c>
      <c r="C935" s="15" t="n">
        <f aca="false">INT(A935/6)</f>
        <v>155</v>
      </c>
      <c r="D935" s="16" t="n">
        <f aca="false">IF(C935=0,(1+Dic2024!$G$6)^(-B935),EXP(LN(INDEX(Dic2024!$H$6:$H$205,C935))+(LN(INDEX(Dic2024!$H$6:$H$205,MIN(C935+1,200)))-LN(INDEX(Dic2024!$H$6:$H$205,C935)))*(A935-6*C935)/6))</f>
        <v>0.0107397301400632</v>
      </c>
      <c r="E935" s="12" t="n">
        <f aca="false">D935^(-1/B935)-1</f>
        <v>0.0601791224999999</v>
      </c>
      <c r="F935" s="12" t="n">
        <f aca="false">(1+E935)^(1/12)-1</f>
        <v>0.00488169997168164</v>
      </c>
      <c r="G935" s="16" t="n">
        <f aca="false">IF(C935=0,(1+Dic2024!$J$6)^(-B935),EXP(LN(INDEX(Dic2024!$K$6:$K$205,C935))+(LN(INDEX(Dic2024!$K$6:$K$205,MIN(C935+1,200)))-LN(INDEX(Dic2024!$K$6:$K$205,C935)))*(A935-6*C935)/6))</f>
        <v>0.0107397301400632</v>
      </c>
      <c r="H935" s="12" t="n">
        <f aca="false">G935^(-1/B935)-1</f>
        <v>0.0601791224999999</v>
      </c>
      <c r="I935" s="12" t="n">
        <f aca="false">(1+H935)^(1/12)-1</f>
        <v>0.00488169997168164</v>
      </c>
      <c r="J935" s="16" t="n">
        <f aca="false">IF(C935=0,(1+Dic2024!$M$6)^(-B935),EXP(LN(INDEX(Dic2024!$N$6:$N$205,C935))+(LN(INDEX(Dic2024!$N$6:$N$205,MIN(C935+1,200)))-LN(INDEX(Dic2024!$N$6:$N$205,C935)))*(A935-6*C935)/6))</f>
        <v>0.0107397301400632</v>
      </c>
      <c r="K935" s="12" t="n">
        <f aca="false">J935^(-1/B935)-1</f>
        <v>0.0601791224999999</v>
      </c>
      <c r="L935" s="12" t="n">
        <f aca="false">(1+K935)^(1/12)-1</f>
        <v>0.00488169997168164</v>
      </c>
    </row>
    <row r="936" customFormat="false" ht="15" hidden="false" customHeight="false" outlineLevel="0" collapsed="false">
      <c r="A936" s="4" t="n">
        <v>932</v>
      </c>
      <c r="B936" s="14" t="n">
        <f aca="false">A936/12</f>
        <v>77.6666666666667</v>
      </c>
      <c r="C936" s="15" t="n">
        <f aca="false">INT(A936/6)</f>
        <v>155</v>
      </c>
      <c r="D936" s="16" t="n">
        <f aca="false">IF(C936=0,(1+Dic2024!$G$6)^(-B936),EXP(LN(INDEX(Dic2024!$H$6:$H$205,C936))+(LN(INDEX(Dic2024!$H$6:$H$205,MIN(C936+1,200)))-LN(INDEX(Dic2024!$H$6:$H$205,C936)))*(A936-6*C936)/6))</f>
        <v>0.0106875566948487</v>
      </c>
      <c r="E936" s="12" t="n">
        <f aca="false">D936^(-1/B936)-1</f>
        <v>0.0601791224999999</v>
      </c>
      <c r="F936" s="12" t="n">
        <f aca="false">(1+E936)^(1/12)-1</f>
        <v>0.00488169997168164</v>
      </c>
      <c r="G936" s="16" t="n">
        <f aca="false">IF(C936=0,(1+Dic2024!$J$6)^(-B936),EXP(LN(INDEX(Dic2024!$K$6:$K$205,C936))+(LN(INDEX(Dic2024!$K$6:$K$205,MIN(C936+1,200)))-LN(INDEX(Dic2024!$K$6:$K$205,C936)))*(A936-6*C936)/6))</f>
        <v>0.0106875566948487</v>
      </c>
      <c r="H936" s="12" t="n">
        <f aca="false">G936^(-1/B936)-1</f>
        <v>0.0601791224999999</v>
      </c>
      <c r="I936" s="12" t="n">
        <f aca="false">(1+H936)^(1/12)-1</f>
        <v>0.00488169997168164</v>
      </c>
      <c r="J936" s="16" t="n">
        <f aca="false">IF(C936=0,(1+Dic2024!$M$6)^(-B936),EXP(LN(INDEX(Dic2024!$N$6:$N$205,C936))+(LN(INDEX(Dic2024!$N$6:$N$205,MIN(C936+1,200)))-LN(INDEX(Dic2024!$N$6:$N$205,C936)))*(A936-6*C936)/6))</f>
        <v>0.0106875566948487</v>
      </c>
      <c r="K936" s="12" t="n">
        <f aca="false">J936^(-1/B936)-1</f>
        <v>0.0601791224999999</v>
      </c>
      <c r="L936" s="12" t="n">
        <f aca="false">(1+K936)^(1/12)-1</f>
        <v>0.00488169997168164</v>
      </c>
    </row>
    <row r="937" customFormat="false" ht="15" hidden="false" customHeight="false" outlineLevel="0" collapsed="false">
      <c r="A937" s="4" t="n">
        <v>933</v>
      </c>
      <c r="B937" s="14" t="n">
        <f aca="false">A937/12</f>
        <v>77.75</v>
      </c>
      <c r="C937" s="15" t="n">
        <f aca="false">INT(A937/6)</f>
        <v>155</v>
      </c>
      <c r="D937" s="16" t="n">
        <f aca="false">IF(C937=0,(1+Dic2024!$G$6)^(-B937),EXP(LN(INDEX(Dic2024!$H$6:$H$205,C937))+(LN(INDEX(Dic2024!$H$6:$H$205,MIN(C937+1,200)))-LN(INDEX(Dic2024!$H$6:$H$205,C937)))*(A937-6*C937)/6))</f>
        <v>0.0106356367074351</v>
      </c>
      <c r="E937" s="12" t="n">
        <f aca="false">D937^(-1/B937)-1</f>
        <v>0.0601791224999999</v>
      </c>
      <c r="F937" s="12" t="n">
        <f aca="false">(1+E937)^(1/12)-1</f>
        <v>0.00488169997168164</v>
      </c>
      <c r="G937" s="16" t="n">
        <f aca="false">IF(C937=0,(1+Dic2024!$J$6)^(-B937),EXP(LN(INDEX(Dic2024!$K$6:$K$205,C937))+(LN(INDEX(Dic2024!$K$6:$K$205,MIN(C937+1,200)))-LN(INDEX(Dic2024!$K$6:$K$205,C937)))*(A937-6*C937)/6))</f>
        <v>0.0106356367074351</v>
      </c>
      <c r="H937" s="12" t="n">
        <f aca="false">G937^(-1/B937)-1</f>
        <v>0.0601791224999999</v>
      </c>
      <c r="I937" s="12" t="n">
        <f aca="false">(1+H937)^(1/12)-1</f>
        <v>0.00488169997168164</v>
      </c>
      <c r="J937" s="16" t="n">
        <f aca="false">IF(C937=0,(1+Dic2024!$M$6)^(-B937),EXP(LN(INDEX(Dic2024!$N$6:$N$205,C937))+(LN(INDEX(Dic2024!$N$6:$N$205,MIN(C937+1,200)))-LN(INDEX(Dic2024!$N$6:$N$205,C937)))*(A937-6*C937)/6))</f>
        <v>0.0106356367074351</v>
      </c>
      <c r="K937" s="12" t="n">
        <f aca="false">J937^(-1/B937)-1</f>
        <v>0.0601791224999999</v>
      </c>
      <c r="L937" s="12" t="n">
        <f aca="false">(1+K937)^(1/12)-1</f>
        <v>0.00488169997168164</v>
      </c>
    </row>
    <row r="938" customFormat="false" ht="15" hidden="false" customHeight="false" outlineLevel="0" collapsed="false">
      <c r="A938" s="4" t="n">
        <v>934</v>
      </c>
      <c r="B938" s="14" t="n">
        <f aca="false">A938/12</f>
        <v>77.8333333333333</v>
      </c>
      <c r="C938" s="15" t="n">
        <f aca="false">INT(A938/6)</f>
        <v>155</v>
      </c>
      <c r="D938" s="16" t="n">
        <f aca="false">IF(C938=0,(1+Dic2024!$G$6)^(-B938),EXP(LN(INDEX(Dic2024!$H$6:$H$205,C938))+(LN(INDEX(Dic2024!$H$6:$H$205,MIN(C938+1,200)))-LN(INDEX(Dic2024!$H$6:$H$205,C938)))*(A938-6*C938)/6))</f>
        <v>0.0105839689465286</v>
      </c>
      <c r="E938" s="12" t="n">
        <f aca="false">D938^(-1/B938)-1</f>
        <v>0.0601791224999999</v>
      </c>
      <c r="F938" s="12" t="n">
        <f aca="false">(1+E938)^(1/12)-1</f>
        <v>0.00488169997168164</v>
      </c>
      <c r="G938" s="16" t="n">
        <f aca="false">IF(C938=0,(1+Dic2024!$J$6)^(-B938),EXP(LN(INDEX(Dic2024!$K$6:$K$205,C938))+(LN(INDEX(Dic2024!$K$6:$K$205,MIN(C938+1,200)))-LN(INDEX(Dic2024!$K$6:$K$205,C938)))*(A938-6*C938)/6))</f>
        <v>0.0105839689465286</v>
      </c>
      <c r="H938" s="12" t="n">
        <f aca="false">G938^(-1/B938)-1</f>
        <v>0.0601791224999999</v>
      </c>
      <c r="I938" s="12" t="n">
        <f aca="false">(1+H938)^(1/12)-1</f>
        <v>0.00488169997168164</v>
      </c>
      <c r="J938" s="16" t="n">
        <f aca="false">IF(C938=0,(1+Dic2024!$M$6)^(-B938),EXP(LN(INDEX(Dic2024!$N$6:$N$205,C938))+(LN(INDEX(Dic2024!$N$6:$N$205,MIN(C938+1,200)))-LN(INDEX(Dic2024!$N$6:$N$205,C938)))*(A938-6*C938)/6))</f>
        <v>0.0105839689465286</v>
      </c>
      <c r="K938" s="12" t="n">
        <f aca="false">J938^(-1/B938)-1</f>
        <v>0.0601791224999999</v>
      </c>
      <c r="L938" s="12" t="n">
        <f aca="false">(1+K938)^(1/12)-1</f>
        <v>0.00488169997168164</v>
      </c>
    </row>
    <row r="939" customFormat="false" ht="15" hidden="false" customHeight="false" outlineLevel="0" collapsed="false">
      <c r="A939" s="4" t="n">
        <v>935</v>
      </c>
      <c r="B939" s="14" t="n">
        <f aca="false">A939/12</f>
        <v>77.9166666666667</v>
      </c>
      <c r="C939" s="15" t="n">
        <f aca="false">INT(A939/6)</f>
        <v>155</v>
      </c>
      <c r="D939" s="16" t="n">
        <f aca="false">IF(C939=0,(1+Dic2024!$G$6)^(-B939),EXP(LN(INDEX(Dic2024!$H$6:$H$205,C939))+(LN(INDEX(Dic2024!$H$6:$H$205,MIN(C939+1,200)))-LN(INDEX(Dic2024!$H$6:$H$205,C939)))*(A939-6*C939)/6))</f>
        <v>0.0105325521868165</v>
      </c>
      <c r="E939" s="12" t="n">
        <f aca="false">D939^(-1/B939)-1</f>
        <v>0.0601791224999999</v>
      </c>
      <c r="F939" s="12" t="n">
        <f aca="false">(1+E939)^(1/12)-1</f>
        <v>0.00488169997168164</v>
      </c>
      <c r="G939" s="16" t="n">
        <f aca="false">IF(C939=0,(1+Dic2024!$J$6)^(-B939),EXP(LN(INDEX(Dic2024!$K$6:$K$205,C939))+(LN(INDEX(Dic2024!$K$6:$K$205,MIN(C939+1,200)))-LN(INDEX(Dic2024!$K$6:$K$205,C939)))*(A939-6*C939)/6))</f>
        <v>0.0105325521868165</v>
      </c>
      <c r="H939" s="12" t="n">
        <f aca="false">G939^(-1/B939)-1</f>
        <v>0.0601791224999999</v>
      </c>
      <c r="I939" s="12" t="n">
        <f aca="false">(1+H939)^(1/12)-1</f>
        <v>0.00488169997168164</v>
      </c>
      <c r="J939" s="16" t="n">
        <f aca="false">IF(C939=0,(1+Dic2024!$M$6)^(-B939),EXP(LN(INDEX(Dic2024!$N$6:$N$205,C939))+(LN(INDEX(Dic2024!$N$6:$N$205,MIN(C939+1,200)))-LN(INDEX(Dic2024!$N$6:$N$205,C939)))*(A939-6*C939)/6))</f>
        <v>0.0105325521868165</v>
      </c>
      <c r="K939" s="12" t="n">
        <f aca="false">J939^(-1/B939)-1</f>
        <v>0.0601791224999999</v>
      </c>
      <c r="L939" s="12" t="n">
        <f aca="false">(1+K939)^(1/12)-1</f>
        <v>0.00488169997168164</v>
      </c>
    </row>
    <row r="940" customFormat="false" ht="15" hidden="false" customHeight="false" outlineLevel="0" collapsed="false">
      <c r="A940" s="4" t="n">
        <v>936</v>
      </c>
      <c r="B940" s="14" t="n">
        <f aca="false">A940/12</f>
        <v>78</v>
      </c>
      <c r="C940" s="15" t="n">
        <f aca="false">INT(A940/6)</f>
        <v>156</v>
      </c>
      <c r="D940" s="16" t="n">
        <f aca="false">IF(C940=0,(1+Dic2024!$G$6)^(-B940),EXP(LN(INDEX(Dic2024!$H$6:$H$205,C940))+(LN(INDEX(Dic2024!$H$6:$H$205,MIN(C940+1,200)))-LN(INDEX(Dic2024!$H$6:$H$205,C940)))*(A940-6*C940)/6))</f>
        <v>0.0104813852089388</v>
      </c>
      <c r="E940" s="12" t="n">
        <f aca="false">D940^(-1/B940)-1</f>
        <v>0.0601791224999999</v>
      </c>
      <c r="F940" s="12" t="n">
        <f aca="false">(1+E940)^(1/12)-1</f>
        <v>0.00488169997168164</v>
      </c>
      <c r="G940" s="16" t="n">
        <f aca="false">IF(C940=0,(1+Dic2024!$J$6)^(-B940),EXP(LN(INDEX(Dic2024!$K$6:$K$205,C940))+(LN(INDEX(Dic2024!$K$6:$K$205,MIN(C940+1,200)))-LN(INDEX(Dic2024!$K$6:$K$205,C940)))*(A940-6*C940)/6))</f>
        <v>0.0104813852089388</v>
      </c>
      <c r="H940" s="12" t="n">
        <f aca="false">G940^(-1/B940)-1</f>
        <v>0.0601791224999999</v>
      </c>
      <c r="I940" s="12" t="n">
        <f aca="false">(1+H940)^(1/12)-1</f>
        <v>0.00488169997168164</v>
      </c>
      <c r="J940" s="16" t="n">
        <f aca="false">IF(C940=0,(1+Dic2024!$M$6)^(-B940),EXP(LN(INDEX(Dic2024!$N$6:$N$205,C940))+(LN(INDEX(Dic2024!$N$6:$N$205,MIN(C940+1,200)))-LN(INDEX(Dic2024!$N$6:$N$205,C940)))*(A940-6*C940)/6))</f>
        <v>0.0104813852089388</v>
      </c>
      <c r="K940" s="12" t="n">
        <f aca="false">J940^(-1/B940)-1</f>
        <v>0.0601791224999999</v>
      </c>
      <c r="L940" s="12" t="n">
        <f aca="false">(1+K940)^(1/12)-1</f>
        <v>0.00488169997168164</v>
      </c>
    </row>
    <row r="941" customFormat="false" ht="15" hidden="false" customHeight="false" outlineLevel="0" collapsed="false">
      <c r="A941" s="4" t="n">
        <v>937</v>
      </c>
      <c r="B941" s="14" t="n">
        <f aca="false">A941/12</f>
        <v>78.0833333333333</v>
      </c>
      <c r="C941" s="15" t="n">
        <f aca="false">INT(A941/6)</f>
        <v>156</v>
      </c>
      <c r="D941" s="16" t="n">
        <f aca="false">IF(C941=0,(1+Dic2024!$G$6)^(-B941),EXP(LN(INDEX(Dic2024!$H$6:$H$205,C941))+(LN(INDEX(Dic2024!$H$6:$H$205,MIN(C941+1,200)))-LN(INDEX(Dic2024!$H$6:$H$205,C941)))*(A941-6*C941)/6))</f>
        <v>0.0104304667994593</v>
      </c>
      <c r="E941" s="12" t="n">
        <f aca="false">D941^(-1/B941)-1</f>
        <v>0.0601791224999999</v>
      </c>
      <c r="F941" s="12" t="n">
        <f aca="false">(1+E941)^(1/12)-1</f>
        <v>0.00488169997168164</v>
      </c>
      <c r="G941" s="16" t="n">
        <f aca="false">IF(C941=0,(1+Dic2024!$J$6)^(-B941),EXP(LN(INDEX(Dic2024!$K$6:$K$205,C941))+(LN(INDEX(Dic2024!$K$6:$K$205,MIN(C941+1,200)))-LN(INDEX(Dic2024!$K$6:$K$205,C941)))*(A941-6*C941)/6))</f>
        <v>0.0104304667994593</v>
      </c>
      <c r="H941" s="12" t="n">
        <f aca="false">G941^(-1/B941)-1</f>
        <v>0.0601791224999999</v>
      </c>
      <c r="I941" s="12" t="n">
        <f aca="false">(1+H941)^(1/12)-1</f>
        <v>0.00488169997168164</v>
      </c>
      <c r="J941" s="16" t="n">
        <f aca="false">IF(C941=0,(1+Dic2024!$M$6)^(-B941),EXP(LN(INDEX(Dic2024!$N$6:$N$205,C941))+(LN(INDEX(Dic2024!$N$6:$N$205,MIN(C941+1,200)))-LN(INDEX(Dic2024!$N$6:$N$205,C941)))*(A941-6*C941)/6))</f>
        <v>0.0104304667994593</v>
      </c>
      <c r="K941" s="12" t="n">
        <f aca="false">J941^(-1/B941)-1</f>
        <v>0.0601791224999999</v>
      </c>
      <c r="L941" s="12" t="n">
        <f aca="false">(1+K941)^(1/12)-1</f>
        <v>0.00488169997168164</v>
      </c>
    </row>
    <row r="942" customFormat="false" ht="15" hidden="false" customHeight="false" outlineLevel="0" collapsed="false">
      <c r="A942" s="4" t="n">
        <v>938</v>
      </c>
      <c r="B942" s="14" t="n">
        <f aca="false">A942/12</f>
        <v>78.1666666666667</v>
      </c>
      <c r="C942" s="15" t="n">
        <f aca="false">INT(A942/6)</f>
        <v>156</v>
      </c>
      <c r="D942" s="16" t="n">
        <f aca="false">IF(C942=0,(1+Dic2024!$G$6)^(-B942),EXP(LN(INDEX(Dic2024!$H$6:$H$205,C942))+(LN(INDEX(Dic2024!$H$6:$H$205,MIN(C942+1,200)))-LN(INDEX(Dic2024!$H$6:$H$205,C942)))*(A942-6*C942)/6))</f>
        <v>0.0103797957508364</v>
      </c>
      <c r="E942" s="12" t="n">
        <f aca="false">D942^(-1/B942)-1</f>
        <v>0.0601791224999999</v>
      </c>
      <c r="F942" s="12" t="n">
        <f aca="false">(1+E942)^(1/12)-1</f>
        <v>0.00488169997168164</v>
      </c>
      <c r="G942" s="16" t="n">
        <f aca="false">IF(C942=0,(1+Dic2024!$J$6)^(-B942),EXP(LN(INDEX(Dic2024!$K$6:$K$205,C942))+(LN(INDEX(Dic2024!$K$6:$K$205,MIN(C942+1,200)))-LN(INDEX(Dic2024!$K$6:$K$205,C942)))*(A942-6*C942)/6))</f>
        <v>0.0103797957508364</v>
      </c>
      <c r="H942" s="12" t="n">
        <f aca="false">G942^(-1/B942)-1</f>
        <v>0.0601791224999999</v>
      </c>
      <c r="I942" s="12" t="n">
        <f aca="false">(1+H942)^(1/12)-1</f>
        <v>0.00488169997168164</v>
      </c>
      <c r="J942" s="16" t="n">
        <f aca="false">IF(C942=0,(1+Dic2024!$M$6)^(-B942),EXP(LN(INDEX(Dic2024!$N$6:$N$205,C942))+(LN(INDEX(Dic2024!$N$6:$N$205,MIN(C942+1,200)))-LN(INDEX(Dic2024!$N$6:$N$205,C942)))*(A942-6*C942)/6))</f>
        <v>0.0103797957508364</v>
      </c>
      <c r="K942" s="12" t="n">
        <f aca="false">J942^(-1/B942)-1</f>
        <v>0.0601791224999999</v>
      </c>
      <c r="L942" s="12" t="n">
        <f aca="false">(1+K942)^(1/12)-1</f>
        <v>0.00488169997168164</v>
      </c>
    </row>
    <row r="943" customFormat="false" ht="15" hidden="false" customHeight="false" outlineLevel="0" collapsed="false">
      <c r="A943" s="4" t="n">
        <v>939</v>
      </c>
      <c r="B943" s="14" t="n">
        <f aca="false">A943/12</f>
        <v>78.25</v>
      </c>
      <c r="C943" s="15" t="n">
        <f aca="false">INT(A943/6)</f>
        <v>156</v>
      </c>
      <c r="D943" s="16" t="n">
        <f aca="false">IF(C943=0,(1+Dic2024!$G$6)^(-B943),EXP(LN(INDEX(Dic2024!$H$6:$H$205,C943))+(LN(INDEX(Dic2024!$H$6:$H$205,MIN(C943+1,200)))-LN(INDEX(Dic2024!$H$6:$H$205,C943)))*(A943-6*C943)/6))</f>
        <v>0.0103293708613948</v>
      </c>
      <c r="E943" s="12" t="n">
        <f aca="false">D943^(-1/B943)-1</f>
        <v>0.0601791224999999</v>
      </c>
      <c r="F943" s="12" t="n">
        <f aca="false">(1+E943)^(1/12)-1</f>
        <v>0.00488169997168164</v>
      </c>
      <c r="G943" s="16" t="n">
        <f aca="false">IF(C943=0,(1+Dic2024!$J$6)^(-B943),EXP(LN(INDEX(Dic2024!$K$6:$K$205,C943))+(LN(INDEX(Dic2024!$K$6:$K$205,MIN(C943+1,200)))-LN(INDEX(Dic2024!$K$6:$K$205,C943)))*(A943-6*C943)/6))</f>
        <v>0.0103293708613948</v>
      </c>
      <c r="H943" s="12" t="n">
        <f aca="false">G943^(-1/B943)-1</f>
        <v>0.0601791224999999</v>
      </c>
      <c r="I943" s="12" t="n">
        <f aca="false">(1+H943)^(1/12)-1</f>
        <v>0.00488169997168164</v>
      </c>
      <c r="J943" s="16" t="n">
        <f aca="false">IF(C943=0,(1+Dic2024!$M$6)^(-B943),EXP(LN(INDEX(Dic2024!$N$6:$N$205,C943))+(LN(INDEX(Dic2024!$N$6:$N$205,MIN(C943+1,200)))-LN(INDEX(Dic2024!$N$6:$N$205,C943)))*(A943-6*C943)/6))</f>
        <v>0.0103293708613948</v>
      </c>
      <c r="K943" s="12" t="n">
        <f aca="false">J943^(-1/B943)-1</f>
        <v>0.0601791224999999</v>
      </c>
      <c r="L943" s="12" t="n">
        <f aca="false">(1+K943)^(1/12)-1</f>
        <v>0.00488169997168164</v>
      </c>
    </row>
    <row r="944" customFormat="false" ht="15" hidden="false" customHeight="false" outlineLevel="0" collapsed="false">
      <c r="A944" s="4" t="n">
        <v>940</v>
      </c>
      <c r="B944" s="14" t="n">
        <f aca="false">A944/12</f>
        <v>78.3333333333333</v>
      </c>
      <c r="C944" s="15" t="n">
        <f aca="false">INT(A944/6)</f>
        <v>156</v>
      </c>
      <c r="D944" s="16" t="n">
        <f aca="false">IF(C944=0,(1+Dic2024!$G$6)^(-B944),EXP(LN(INDEX(Dic2024!$H$6:$H$205,C944))+(LN(INDEX(Dic2024!$H$6:$H$205,MIN(C944+1,200)))-LN(INDEX(Dic2024!$H$6:$H$205,C944)))*(A944-6*C944)/6))</f>
        <v>0.010279190935297</v>
      </c>
      <c r="E944" s="12" t="n">
        <f aca="false">D944^(-1/B944)-1</f>
        <v>0.0601791224999999</v>
      </c>
      <c r="F944" s="12" t="n">
        <f aca="false">(1+E944)^(1/12)-1</f>
        <v>0.00488169997168164</v>
      </c>
      <c r="G944" s="16" t="n">
        <f aca="false">IF(C944=0,(1+Dic2024!$J$6)^(-B944),EXP(LN(INDEX(Dic2024!$K$6:$K$205,C944))+(LN(INDEX(Dic2024!$K$6:$K$205,MIN(C944+1,200)))-LN(INDEX(Dic2024!$K$6:$K$205,C944)))*(A944-6*C944)/6))</f>
        <v>0.010279190935297</v>
      </c>
      <c r="H944" s="12" t="n">
        <f aca="false">G944^(-1/B944)-1</f>
        <v>0.0601791224999999</v>
      </c>
      <c r="I944" s="12" t="n">
        <f aca="false">(1+H944)^(1/12)-1</f>
        <v>0.00488169997168164</v>
      </c>
      <c r="J944" s="16" t="n">
        <f aca="false">IF(C944=0,(1+Dic2024!$M$6)^(-B944),EXP(LN(INDEX(Dic2024!$N$6:$N$205,C944))+(LN(INDEX(Dic2024!$N$6:$N$205,MIN(C944+1,200)))-LN(INDEX(Dic2024!$N$6:$N$205,C944)))*(A944-6*C944)/6))</f>
        <v>0.010279190935297</v>
      </c>
      <c r="K944" s="12" t="n">
        <f aca="false">J944^(-1/B944)-1</f>
        <v>0.0601791224999999</v>
      </c>
      <c r="L944" s="12" t="n">
        <f aca="false">(1+K944)^(1/12)-1</f>
        <v>0.00488169997168164</v>
      </c>
    </row>
    <row r="945" customFormat="false" ht="15" hidden="false" customHeight="false" outlineLevel="0" collapsed="false">
      <c r="A945" s="4" t="n">
        <v>941</v>
      </c>
      <c r="B945" s="14" t="n">
        <f aca="false">A945/12</f>
        <v>78.4166666666667</v>
      </c>
      <c r="C945" s="15" t="n">
        <f aca="false">INT(A945/6)</f>
        <v>156</v>
      </c>
      <c r="D945" s="16" t="n">
        <f aca="false">IF(C945=0,(1+Dic2024!$G$6)^(-B945),EXP(LN(INDEX(Dic2024!$H$6:$H$205,C945))+(LN(INDEX(Dic2024!$H$6:$H$205,MIN(C945+1,200)))-LN(INDEX(Dic2024!$H$6:$H$205,C945)))*(A945-6*C945)/6))</f>
        <v>0.0102292547825149</v>
      </c>
      <c r="E945" s="12" t="n">
        <f aca="false">D945^(-1/B945)-1</f>
        <v>0.0601791224999999</v>
      </c>
      <c r="F945" s="12" t="n">
        <f aca="false">(1+E945)^(1/12)-1</f>
        <v>0.00488169997168164</v>
      </c>
      <c r="G945" s="16" t="n">
        <f aca="false">IF(C945=0,(1+Dic2024!$J$6)^(-B945),EXP(LN(INDEX(Dic2024!$K$6:$K$205,C945))+(LN(INDEX(Dic2024!$K$6:$K$205,MIN(C945+1,200)))-LN(INDEX(Dic2024!$K$6:$K$205,C945)))*(A945-6*C945)/6))</f>
        <v>0.0102292547825149</v>
      </c>
      <c r="H945" s="12" t="n">
        <f aca="false">G945^(-1/B945)-1</f>
        <v>0.0601791224999999</v>
      </c>
      <c r="I945" s="12" t="n">
        <f aca="false">(1+H945)^(1/12)-1</f>
        <v>0.00488169997168164</v>
      </c>
      <c r="J945" s="16" t="n">
        <f aca="false">IF(C945=0,(1+Dic2024!$M$6)^(-B945),EXP(LN(INDEX(Dic2024!$N$6:$N$205,C945))+(LN(INDEX(Dic2024!$N$6:$N$205,MIN(C945+1,200)))-LN(INDEX(Dic2024!$N$6:$N$205,C945)))*(A945-6*C945)/6))</f>
        <v>0.0102292547825149</v>
      </c>
      <c r="K945" s="12" t="n">
        <f aca="false">J945^(-1/B945)-1</f>
        <v>0.0601791224999999</v>
      </c>
      <c r="L945" s="12" t="n">
        <f aca="false">(1+K945)^(1/12)-1</f>
        <v>0.00488169997168164</v>
      </c>
    </row>
    <row r="946" customFormat="false" ht="15" hidden="false" customHeight="false" outlineLevel="0" collapsed="false">
      <c r="A946" s="4" t="n">
        <v>942</v>
      </c>
      <c r="B946" s="14" t="n">
        <f aca="false">A946/12</f>
        <v>78.5</v>
      </c>
      <c r="C946" s="15" t="n">
        <f aca="false">INT(A946/6)</f>
        <v>157</v>
      </c>
      <c r="D946" s="16" t="n">
        <f aca="false">IF(C946=0,(1+Dic2024!$G$6)^(-B946),EXP(LN(INDEX(Dic2024!$H$6:$H$205,C946))+(LN(INDEX(Dic2024!$H$6:$H$205,MIN(C946+1,200)))-LN(INDEX(Dic2024!$H$6:$H$205,C946)))*(A946-6*C946)/6))</f>
        <v>0.0101795612188014</v>
      </c>
      <c r="E946" s="12" t="n">
        <f aca="false">D946^(-1/B946)-1</f>
        <v>0.0601791224999999</v>
      </c>
      <c r="F946" s="12" t="n">
        <f aca="false">(1+E946)^(1/12)-1</f>
        <v>0.00488169997168164</v>
      </c>
      <c r="G946" s="16" t="n">
        <f aca="false">IF(C946=0,(1+Dic2024!$J$6)^(-B946),EXP(LN(INDEX(Dic2024!$K$6:$K$205,C946))+(LN(INDEX(Dic2024!$K$6:$K$205,MIN(C946+1,200)))-LN(INDEX(Dic2024!$K$6:$K$205,C946)))*(A946-6*C946)/6))</f>
        <v>0.0101795612188014</v>
      </c>
      <c r="H946" s="12" t="n">
        <f aca="false">G946^(-1/B946)-1</f>
        <v>0.0601791224999999</v>
      </c>
      <c r="I946" s="12" t="n">
        <f aca="false">(1+H946)^(1/12)-1</f>
        <v>0.00488169997168164</v>
      </c>
      <c r="J946" s="16" t="n">
        <f aca="false">IF(C946=0,(1+Dic2024!$M$6)^(-B946),EXP(LN(INDEX(Dic2024!$N$6:$N$205,C946))+(LN(INDEX(Dic2024!$N$6:$N$205,MIN(C946+1,200)))-LN(INDEX(Dic2024!$N$6:$N$205,C946)))*(A946-6*C946)/6))</f>
        <v>0.0101795612188014</v>
      </c>
      <c r="K946" s="12" t="n">
        <f aca="false">J946^(-1/B946)-1</f>
        <v>0.0601791224999999</v>
      </c>
      <c r="L946" s="12" t="n">
        <f aca="false">(1+K946)^(1/12)-1</f>
        <v>0.00488169997168164</v>
      </c>
    </row>
    <row r="947" customFormat="false" ht="15" hidden="false" customHeight="false" outlineLevel="0" collapsed="false">
      <c r="A947" s="4" t="n">
        <v>943</v>
      </c>
      <c r="B947" s="14" t="n">
        <f aca="false">A947/12</f>
        <v>78.5833333333333</v>
      </c>
      <c r="C947" s="15" t="n">
        <f aca="false">INT(A947/6)</f>
        <v>157</v>
      </c>
      <c r="D947" s="16" t="n">
        <f aca="false">IF(C947=0,(1+Dic2024!$G$6)^(-B947),EXP(LN(INDEX(Dic2024!$H$6:$H$205,C947))+(LN(INDEX(Dic2024!$H$6:$H$205,MIN(C947+1,200)))-LN(INDEX(Dic2024!$H$6:$H$205,C947)))*(A947-6*C947)/6))</f>
        <v>0.0101171637646697</v>
      </c>
      <c r="E947" s="12" t="n">
        <f aca="false">D947^(-1/B947)-1</f>
        <v>0.0601963740454632</v>
      </c>
      <c r="F947" s="12" t="n">
        <f aca="false">(1+E947)^(1/12)-1</f>
        <v>0.00488306260565174</v>
      </c>
      <c r="G947" s="16" t="n">
        <f aca="false">IF(C947=0,(1+Dic2024!$J$6)^(-B947),EXP(LN(INDEX(Dic2024!$K$6:$K$205,C947))+(LN(INDEX(Dic2024!$K$6:$K$205,MIN(C947+1,200)))-LN(INDEX(Dic2024!$K$6:$K$205,C947)))*(A947-6*C947)/6))</f>
        <v>0.0101171637646697</v>
      </c>
      <c r="H947" s="12" t="n">
        <f aca="false">G947^(-1/B947)-1</f>
        <v>0.0601963740454632</v>
      </c>
      <c r="I947" s="12" t="n">
        <f aca="false">(1+H947)^(1/12)-1</f>
        <v>0.00488306260565174</v>
      </c>
      <c r="J947" s="16" t="n">
        <f aca="false">IF(C947=0,(1+Dic2024!$M$6)^(-B947),EXP(LN(INDEX(Dic2024!$N$6:$N$205,C947))+(LN(INDEX(Dic2024!$N$6:$N$205,MIN(C947+1,200)))-LN(INDEX(Dic2024!$N$6:$N$205,C947)))*(A947-6*C947)/6))</f>
        <v>0.0101171637646697</v>
      </c>
      <c r="K947" s="12" t="n">
        <f aca="false">J947^(-1/B947)-1</f>
        <v>0.0601963740454632</v>
      </c>
      <c r="L947" s="12" t="n">
        <f aca="false">(1+K947)^(1/12)-1</f>
        <v>0.00488306260565174</v>
      </c>
    </row>
    <row r="948" customFormat="false" ht="15" hidden="false" customHeight="false" outlineLevel="0" collapsed="false">
      <c r="A948" s="4" t="n">
        <v>944</v>
      </c>
      <c r="B948" s="14" t="n">
        <f aca="false">A948/12</f>
        <v>78.6666666666667</v>
      </c>
      <c r="C948" s="15" t="n">
        <f aca="false">INT(A948/6)</f>
        <v>157</v>
      </c>
      <c r="D948" s="16" t="n">
        <f aca="false">IF(C948=0,(1+Dic2024!$G$6)^(-B948),EXP(LN(INDEX(Dic2024!$H$6:$H$205,C948))+(LN(INDEX(Dic2024!$H$6:$H$205,MIN(C948+1,200)))-LN(INDEX(Dic2024!$H$6:$H$205,C948)))*(A948-6*C948)/6))</f>
        <v>0.0100551487869727</v>
      </c>
      <c r="E948" s="12" t="n">
        <f aca="false">D948^(-1/B948)-1</f>
        <v>0.0602135893208728</v>
      </c>
      <c r="F948" s="12" t="n">
        <f aca="false">(1+E948)^(1/12)-1</f>
        <v>0.00488442235452746</v>
      </c>
      <c r="G948" s="16" t="n">
        <f aca="false">IF(C948=0,(1+Dic2024!$J$6)^(-B948),EXP(LN(INDEX(Dic2024!$K$6:$K$205,C948))+(LN(INDEX(Dic2024!$K$6:$K$205,MIN(C948+1,200)))-LN(INDEX(Dic2024!$K$6:$K$205,C948)))*(A948-6*C948)/6))</f>
        <v>0.0100551487869727</v>
      </c>
      <c r="H948" s="12" t="n">
        <f aca="false">G948^(-1/B948)-1</f>
        <v>0.0602135893208728</v>
      </c>
      <c r="I948" s="12" t="n">
        <f aca="false">(1+H948)^(1/12)-1</f>
        <v>0.00488442235452746</v>
      </c>
      <c r="J948" s="16" t="n">
        <f aca="false">IF(C948=0,(1+Dic2024!$M$6)^(-B948),EXP(LN(INDEX(Dic2024!$N$6:$N$205,C948))+(LN(INDEX(Dic2024!$N$6:$N$205,MIN(C948+1,200)))-LN(INDEX(Dic2024!$N$6:$N$205,C948)))*(A948-6*C948)/6))</f>
        <v>0.0100551487869727</v>
      </c>
      <c r="K948" s="12" t="n">
        <f aca="false">J948^(-1/B948)-1</f>
        <v>0.0602135893208728</v>
      </c>
      <c r="L948" s="12" t="n">
        <f aca="false">(1+K948)^(1/12)-1</f>
        <v>0.00488442235452746</v>
      </c>
    </row>
    <row r="949" customFormat="false" ht="15" hidden="false" customHeight="false" outlineLevel="0" collapsed="false">
      <c r="A949" s="4" t="n">
        <v>945</v>
      </c>
      <c r="B949" s="14" t="n">
        <f aca="false">A949/12</f>
        <v>78.75</v>
      </c>
      <c r="C949" s="15" t="n">
        <f aca="false">INT(A949/6)</f>
        <v>157</v>
      </c>
      <c r="D949" s="16" t="n">
        <f aca="false">IF(C949=0,(1+Dic2024!$G$6)^(-B949),EXP(LN(INDEX(Dic2024!$H$6:$H$205,C949))+(LN(INDEX(Dic2024!$H$6:$H$205,MIN(C949+1,200)))-LN(INDEX(Dic2024!$H$6:$H$205,C949)))*(A949-6*C949)/6))</f>
        <v>0.00999351394125231</v>
      </c>
      <c r="E949" s="12" t="n">
        <f aca="false">D949^(-1/B949)-1</f>
        <v>0.0602307684404888</v>
      </c>
      <c r="F949" s="12" t="n">
        <f aca="false">(1+E949)^(1/12)-1</f>
        <v>0.00488577922746192</v>
      </c>
      <c r="G949" s="16" t="n">
        <f aca="false">IF(C949=0,(1+Dic2024!$J$6)^(-B949),EXP(LN(INDEX(Dic2024!$K$6:$K$205,C949))+(LN(INDEX(Dic2024!$K$6:$K$205,MIN(C949+1,200)))-LN(INDEX(Dic2024!$K$6:$K$205,C949)))*(A949-6*C949)/6))</f>
        <v>0.00999351394125231</v>
      </c>
      <c r="H949" s="12" t="n">
        <f aca="false">G949^(-1/B949)-1</f>
        <v>0.0602307684404888</v>
      </c>
      <c r="I949" s="12" t="n">
        <f aca="false">(1+H949)^(1/12)-1</f>
        <v>0.00488577922746192</v>
      </c>
      <c r="J949" s="16" t="n">
        <f aca="false">IF(C949=0,(1+Dic2024!$M$6)^(-B949),EXP(LN(INDEX(Dic2024!$N$6:$N$205,C949))+(LN(INDEX(Dic2024!$N$6:$N$205,MIN(C949+1,200)))-LN(INDEX(Dic2024!$N$6:$N$205,C949)))*(A949-6*C949)/6))</f>
        <v>0.00999351394125231</v>
      </c>
      <c r="K949" s="12" t="n">
        <f aca="false">J949^(-1/B949)-1</f>
        <v>0.0602307684404888</v>
      </c>
      <c r="L949" s="12" t="n">
        <f aca="false">(1+K949)^(1/12)-1</f>
        <v>0.00488577922746192</v>
      </c>
    </row>
    <row r="950" customFormat="false" ht="15" hidden="false" customHeight="false" outlineLevel="0" collapsed="false">
      <c r="A950" s="4" t="n">
        <v>946</v>
      </c>
      <c r="B950" s="14" t="n">
        <f aca="false">A950/12</f>
        <v>78.8333333333333</v>
      </c>
      <c r="C950" s="15" t="n">
        <f aca="false">INT(A950/6)</f>
        <v>157</v>
      </c>
      <c r="D950" s="16" t="n">
        <f aca="false">IF(C950=0,(1+Dic2024!$G$6)^(-B950),EXP(LN(INDEX(Dic2024!$H$6:$H$205,C950))+(LN(INDEX(Dic2024!$H$6:$H$205,MIN(C950+1,200)))-LN(INDEX(Dic2024!$H$6:$H$205,C950)))*(A950-6*C950)/6))</f>
        <v>0.009932256897421</v>
      </c>
      <c r="E950" s="12" t="n">
        <f aca="false">D950^(-1/B950)-1</f>
        <v>0.0602479115180918</v>
      </c>
      <c r="F950" s="12" t="n">
        <f aca="false">(1+E950)^(1/12)-1</f>
        <v>0.00488713323356937</v>
      </c>
      <c r="G950" s="16" t="n">
        <f aca="false">IF(C950=0,(1+Dic2024!$J$6)^(-B950),EXP(LN(INDEX(Dic2024!$K$6:$K$205,C950))+(LN(INDEX(Dic2024!$K$6:$K$205,MIN(C950+1,200)))-LN(INDEX(Dic2024!$K$6:$K$205,C950)))*(A950-6*C950)/6))</f>
        <v>0.009932256897421</v>
      </c>
      <c r="H950" s="12" t="n">
        <f aca="false">G950^(-1/B950)-1</f>
        <v>0.0602479115180918</v>
      </c>
      <c r="I950" s="12" t="n">
        <f aca="false">(1+H950)^(1/12)-1</f>
        <v>0.00488713323356937</v>
      </c>
      <c r="J950" s="16" t="n">
        <f aca="false">IF(C950=0,(1+Dic2024!$M$6)^(-B950),EXP(LN(INDEX(Dic2024!$N$6:$N$205,C950))+(LN(INDEX(Dic2024!$N$6:$N$205,MIN(C950+1,200)))-LN(INDEX(Dic2024!$N$6:$N$205,C950)))*(A950-6*C950)/6))</f>
        <v>0.009932256897421</v>
      </c>
      <c r="K950" s="12" t="n">
        <f aca="false">J950^(-1/B950)-1</f>
        <v>0.0602479115180918</v>
      </c>
      <c r="L950" s="12" t="n">
        <f aca="false">(1+K950)^(1/12)-1</f>
        <v>0.00488713323356937</v>
      </c>
    </row>
    <row r="951" customFormat="false" ht="15" hidden="false" customHeight="false" outlineLevel="0" collapsed="false">
      <c r="A951" s="4" t="n">
        <v>947</v>
      </c>
      <c r="B951" s="14" t="n">
        <f aca="false">A951/12</f>
        <v>78.9166666666667</v>
      </c>
      <c r="C951" s="15" t="n">
        <f aca="false">INT(A951/6)</f>
        <v>157</v>
      </c>
      <c r="D951" s="16" t="n">
        <f aca="false">IF(C951=0,(1+Dic2024!$G$6)^(-B951),EXP(LN(INDEX(Dic2024!$H$6:$H$205,C951))+(LN(INDEX(Dic2024!$H$6:$H$205,MIN(C951+1,200)))-LN(INDEX(Dic2024!$H$6:$H$205,C951)))*(A951-6*C951)/6))</f>
        <v>0.00987137533967407</v>
      </c>
      <c r="E951" s="12" t="n">
        <f aca="false">D951^(-1/B951)-1</f>
        <v>0.0602650186669858</v>
      </c>
      <c r="F951" s="12" t="n">
        <f aca="false">(1+E951)^(1/12)-1</f>
        <v>0.00488848438192635</v>
      </c>
      <c r="G951" s="16" t="n">
        <f aca="false">IF(C951=0,(1+Dic2024!$J$6)^(-B951),EXP(LN(INDEX(Dic2024!$K$6:$K$205,C951))+(LN(INDEX(Dic2024!$K$6:$K$205,MIN(C951+1,200)))-LN(INDEX(Dic2024!$K$6:$K$205,C951)))*(A951-6*C951)/6))</f>
        <v>0.00987137533967407</v>
      </c>
      <c r="H951" s="12" t="n">
        <f aca="false">G951^(-1/B951)-1</f>
        <v>0.0602650186669858</v>
      </c>
      <c r="I951" s="12" t="n">
        <f aca="false">(1+H951)^(1/12)-1</f>
        <v>0.00488848438192635</v>
      </c>
      <c r="J951" s="16" t="n">
        <f aca="false">IF(C951=0,(1+Dic2024!$M$6)^(-B951),EXP(LN(INDEX(Dic2024!$N$6:$N$205,C951))+(LN(INDEX(Dic2024!$N$6:$N$205,MIN(C951+1,200)))-LN(INDEX(Dic2024!$N$6:$N$205,C951)))*(A951-6*C951)/6))</f>
        <v>0.00987137533967407</v>
      </c>
      <c r="K951" s="12" t="n">
        <f aca="false">J951^(-1/B951)-1</f>
        <v>0.0602650186669858</v>
      </c>
      <c r="L951" s="12" t="n">
        <f aca="false">(1+K951)^(1/12)-1</f>
        <v>0.00488848438192635</v>
      </c>
    </row>
    <row r="952" customFormat="false" ht="15" hidden="false" customHeight="false" outlineLevel="0" collapsed="false">
      <c r="A952" s="4" t="n">
        <v>948</v>
      </c>
      <c r="B952" s="14" t="n">
        <f aca="false">A952/12</f>
        <v>79</v>
      </c>
      <c r="C952" s="15" t="n">
        <f aca="false">INT(A952/6)</f>
        <v>158</v>
      </c>
      <c r="D952" s="16" t="n">
        <f aca="false">IF(C952=0,(1+Dic2024!$G$6)^(-B952),EXP(LN(INDEX(Dic2024!$H$6:$H$205,C952))+(LN(INDEX(Dic2024!$H$6:$H$205,MIN(C952+1,200)))-LN(INDEX(Dic2024!$H$6:$H$205,C952)))*(A952-6*C952)/6))</f>
        <v>0.00981086696640191</v>
      </c>
      <c r="E952" s="12" t="n">
        <f aca="false">D952^(-1/B952)-1</f>
        <v>0.0602820900000001</v>
      </c>
      <c r="F952" s="12" t="n">
        <f aca="false">(1+E952)^(1/12)-1</f>
        <v>0.00488983268157006</v>
      </c>
      <c r="G952" s="16" t="n">
        <f aca="false">IF(C952=0,(1+Dic2024!$J$6)^(-B952),EXP(LN(INDEX(Dic2024!$K$6:$K$205,C952))+(LN(INDEX(Dic2024!$K$6:$K$205,MIN(C952+1,200)))-LN(INDEX(Dic2024!$K$6:$K$205,C952)))*(A952-6*C952)/6))</f>
        <v>0.00981086696640191</v>
      </c>
      <c r="H952" s="12" t="n">
        <f aca="false">G952^(-1/B952)-1</f>
        <v>0.0602820900000001</v>
      </c>
      <c r="I952" s="12" t="n">
        <f aca="false">(1+H952)^(1/12)-1</f>
        <v>0.00488983268157006</v>
      </c>
      <c r="J952" s="16" t="n">
        <f aca="false">IF(C952=0,(1+Dic2024!$M$6)^(-B952),EXP(LN(INDEX(Dic2024!$N$6:$N$205,C952))+(LN(INDEX(Dic2024!$N$6:$N$205,MIN(C952+1,200)))-LN(INDEX(Dic2024!$N$6:$N$205,C952)))*(A952-6*C952)/6))</f>
        <v>0.00981086696640191</v>
      </c>
      <c r="K952" s="12" t="n">
        <f aca="false">J952^(-1/B952)-1</f>
        <v>0.0602820900000001</v>
      </c>
      <c r="L952" s="12" t="n">
        <f aca="false">(1+K952)^(1/12)-1</f>
        <v>0.00488983268157006</v>
      </c>
    </row>
    <row r="953" customFormat="false" ht="15" hidden="false" customHeight="false" outlineLevel="0" collapsed="false">
      <c r="A953" s="4" t="n">
        <v>949</v>
      </c>
      <c r="B953" s="14" t="n">
        <f aca="false">A953/12</f>
        <v>79.0833333333333</v>
      </c>
      <c r="C953" s="15" t="n">
        <f aca="false">INT(A953/6)</f>
        <v>158</v>
      </c>
      <c r="D953" s="16" t="n">
        <f aca="false">IF(C953=0,(1+Dic2024!$G$6)^(-B953),EXP(LN(INDEX(Dic2024!$H$6:$H$205,C953))+(LN(INDEX(Dic2024!$H$6:$H$205,MIN(C953+1,200)))-LN(INDEX(Dic2024!$H$6:$H$205,C953)))*(A953-6*C953)/6))</f>
        <v>0.00976312690936618</v>
      </c>
      <c r="E953" s="12" t="n">
        <f aca="false">D953^(-1/B953)-1</f>
        <v>0.0602820900000001</v>
      </c>
      <c r="F953" s="12" t="n">
        <f aca="false">(1+E953)^(1/12)-1</f>
        <v>0.00488983268157006</v>
      </c>
      <c r="G953" s="16" t="n">
        <f aca="false">IF(C953=0,(1+Dic2024!$J$6)^(-B953),EXP(LN(INDEX(Dic2024!$K$6:$K$205,C953))+(LN(INDEX(Dic2024!$K$6:$K$205,MIN(C953+1,200)))-LN(INDEX(Dic2024!$K$6:$K$205,C953)))*(A953-6*C953)/6))</f>
        <v>0.00976312690936618</v>
      </c>
      <c r="H953" s="12" t="n">
        <f aca="false">G953^(-1/B953)-1</f>
        <v>0.0602820900000001</v>
      </c>
      <c r="I953" s="12" t="n">
        <f aca="false">(1+H953)^(1/12)-1</f>
        <v>0.00488983268157006</v>
      </c>
      <c r="J953" s="16" t="n">
        <f aca="false">IF(C953=0,(1+Dic2024!$M$6)^(-B953),EXP(LN(INDEX(Dic2024!$N$6:$N$205,C953))+(LN(INDEX(Dic2024!$N$6:$N$205,MIN(C953+1,200)))-LN(INDEX(Dic2024!$N$6:$N$205,C953)))*(A953-6*C953)/6))</f>
        <v>0.00976312690936618</v>
      </c>
      <c r="K953" s="12" t="n">
        <f aca="false">J953^(-1/B953)-1</f>
        <v>0.0602820900000001</v>
      </c>
      <c r="L953" s="12" t="n">
        <f aca="false">(1+K953)^(1/12)-1</f>
        <v>0.00488983268157006</v>
      </c>
    </row>
    <row r="954" customFormat="false" ht="15" hidden="false" customHeight="false" outlineLevel="0" collapsed="false">
      <c r="A954" s="4" t="n">
        <v>950</v>
      </c>
      <c r="B954" s="14" t="n">
        <f aca="false">A954/12</f>
        <v>79.1666666666667</v>
      </c>
      <c r="C954" s="15" t="n">
        <f aca="false">INT(A954/6)</f>
        <v>158</v>
      </c>
      <c r="D954" s="16" t="n">
        <f aca="false">IF(C954=0,(1+Dic2024!$G$6)^(-B954),EXP(LN(INDEX(Dic2024!$H$6:$H$205,C954))+(LN(INDEX(Dic2024!$H$6:$H$205,MIN(C954+1,200)))-LN(INDEX(Dic2024!$H$6:$H$205,C954)))*(A954-6*C954)/6))</f>
        <v>0.00971561915728918</v>
      </c>
      <c r="E954" s="12" t="n">
        <f aca="false">D954^(-1/B954)-1</f>
        <v>0.0602820900000001</v>
      </c>
      <c r="F954" s="12" t="n">
        <f aca="false">(1+E954)^(1/12)-1</f>
        <v>0.00488983268157006</v>
      </c>
      <c r="G954" s="16" t="n">
        <f aca="false">IF(C954=0,(1+Dic2024!$J$6)^(-B954),EXP(LN(INDEX(Dic2024!$K$6:$K$205,C954))+(LN(INDEX(Dic2024!$K$6:$K$205,MIN(C954+1,200)))-LN(INDEX(Dic2024!$K$6:$K$205,C954)))*(A954-6*C954)/6))</f>
        <v>0.00971561915728918</v>
      </c>
      <c r="H954" s="12" t="n">
        <f aca="false">G954^(-1/B954)-1</f>
        <v>0.0602820900000001</v>
      </c>
      <c r="I954" s="12" t="n">
        <f aca="false">(1+H954)^(1/12)-1</f>
        <v>0.00488983268157006</v>
      </c>
      <c r="J954" s="16" t="n">
        <f aca="false">IF(C954=0,(1+Dic2024!$M$6)^(-B954),EXP(LN(INDEX(Dic2024!$N$6:$N$205,C954))+(LN(INDEX(Dic2024!$N$6:$N$205,MIN(C954+1,200)))-LN(INDEX(Dic2024!$N$6:$N$205,C954)))*(A954-6*C954)/6))</f>
        <v>0.00971561915728918</v>
      </c>
      <c r="K954" s="12" t="n">
        <f aca="false">J954^(-1/B954)-1</f>
        <v>0.0602820900000001</v>
      </c>
      <c r="L954" s="12" t="n">
        <f aca="false">(1+K954)^(1/12)-1</f>
        <v>0.00488983268157006</v>
      </c>
    </row>
    <row r="955" customFormat="false" ht="15" hidden="false" customHeight="false" outlineLevel="0" collapsed="false">
      <c r="A955" s="4" t="n">
        <v>951</v>
      </c>
      <c r="B955" s="14" t="n">
        <f aca="false">A955/12</f>
        <v>79.25</v>
      </c>
      <c r="C955" s="15" t="n">
        <f aca="false">INT(A955/6)</f>
        <v>158</v>
      </c>
      <c r="D955" s="16" t="n">
        <f aca="false">IF(C955=0,(1+Dic2024!$G$6)^(-B955),EXP(LN(INDEX(Dic2024!$H$6:$H$205,C955))+(LN(INDEX(Dic2024!$H$6:$H$205,MIN(C955+1,200)))-LN(INDEX(Dic2024!$H$6:$H$205,C955)))*(A955-6*C955)/6))</f>
        <v>0.00966834257976602</v>
      </c>
      <c r="E955" s="12" t="n">
        <f aca="false">D955^(-1/B955)-1</f>
        <v>0.0602820900000001</v>
      </c>
      <c r="F955" s="12" t="n">
        <f aca="false">(1+E955)^(1/12)-1</f>
        <v>0.00488983268157006</v>
      </c>
      <c r="G955" s="16" t="n">
        <f aca="false">IF(C955=0,(1+Dic2024!$J$6)^(-B955),EXP(LN(INDEX(Dic2024!$K$6:$K$205,C955))+(LN(INDEX(Dic2024!$K$6:$K$205,MIN(C955+1,200)))-LN(INDEX(Dic2024!$K$6:$K$205,C955)))*(A955-6*C955)/6))</f>
        <v>0.00966834257976602</v>
      </c>
      <c r="H955" s="12" t="n">
        <f aca="false">G955^(-1/B955)-1</f>
        <v>0.0602820900000001</v>
      </c>
      <c r="I955" s="12" t="n">
        <f aca="false">(1+H955)^(1/12)-1</f>
        <v>0.00488983268157006</v>
      </c>
      <c r="J955" s="16" t="n">
        <f aca="false">IF(C955=0,(1+Dic2024!$M$6)^(-B955),EXP(LN(INDEX(Dic2024!$N$6:$N$205,C955))+(LN(INDEX(Dic2024!$N$6:$N$205,MIN(C955+1,200)))-LN(INDEX(Dic2024!$N$6:$N$205,C955)))*(A955-6*C955)/6))</f>
        <v>0.00966834257976602</v>
      </c>
      <c r="K955" s="12" t="n">
        <f aca="false">J955^(-1/B955)-1</f>
        <v>0.0602820900000001</v>
      </c>
      <c r="L955" s="12" t="n">
        <f aca="false">(1+K955)^(1/12)-1</f>
        <v>0.00488983268157006</v>
      </c>
    </row>
    <row r="956" customFormat="false" ht="15" hidden="false" customHeight="false" outlineLevel="0" collapsed="false">
      <c r="A956" s="4" t="n">
        <v>952</v>
      </c>
      <c r="B956" s="14" t="n">
        <f aca="false">A956/12</f>
        <v>79.3333333333333</v>
      </c>
      <c r="C956" s="15" t="n">
        <f aca="false">INT(A956/6)</f>
        <v>158</v>
      </c>
      <c r="D956" s="16" t="n">
        <f aca="false">IF(C956=0,(1+Dic2024!$G$6)^(-B956),EXP(LN(INDEX(Dic2024!$H$6:$H$205,C956))+(LN(INDEX(Dic2024!$H$6:$H$205,MIN(C956+1,200)))-LN(INDEX(Dic2024!$H$6:$H$205,C956)))*(A956-6*C956)/6))</f>
        <v>0.00962129605189242</v>
      </c>
      <c r="E956" s="12" t="n">
        <f aca="false">D956^(-1/B956)-1</f>
        <v>0.0602820900000001</v>
      </c>
      <c r="F956" s="12" t="n">
        <f aca="false">(1+E956)^(1/12)-1</f>
        <v>0.00488983268157006</v>
      </c>
      <c r="G956" s="16" t="n">
        <f aca="false">IF(C956=0,(1+Dic2024!$J$6)^(-B956),EXP(LN(INDEX(Dic2024!$K$6:$K$205,C956))+(LN(INDEX(Dic2024!$K$6:$K$205,MIN(C956+1,200)))-LN(INDEX(Dic2024!$K$6:$K$205,C956)))*(A956-6*C956)/6))</f>
        <v>0.00962129605189242</v>
      </c>
      <c r="H956" s="12" t="n">
        <f aca="false">G956^(-1/B956)-1</f>
        <v>0.0602820900000001</v>
      </c>
      <c r="I956" s="12" t="n">
        <f aca="false">(1+H956)^(1/12)-1</f>
        <v>0.00488983268157006</v>
      </c>
      <c r="J956" s="16" t="n">
        <f aca="false">IF(C956=0,(1+Dic2024!$M$6)^(-B956),EXP(LN(INDEX(Dic2024!$N$6:$N$205,C956))+(LN(INDEX(Dic2024!$N$6:$N$205,MIN(C956+1,200)))-LN(INDEX(Dic2024!$N$6:$N$205,C956)))*(A956-6*C956)/6))</f>
        <v>0.00962129605189242</v>
      </c>
      <c r="K956" s="12" t="n">
        <f aca="false">J956^(-1/B956)-1</f>
        <v>0.0602820900000001</v>
      </c>
      <c r="L956" s="12" t="n">
        <f aca="false">(1+K956)^(1/12)-1</f>
        <v>0.00488983268157006</v>
      </c>
    </row>
    <row r="957" customFormat="false" ht="15" hidden="false" customHeight="false" outlineLevel="0" collapsed="false">
      <c r="A957" s="4" t="n">
        <v>953</v>
      </c>
      <c r="B957" s="14" t="n">
        <f aca="false">A957/12</f>
        <v>79.4166666666667</v>
      </c>
      <c r="C957" s="15" t="n">
        <f aca="false">INT(A957/6)</f>
        <v>158</v>
      </c>
      <c r="D957" s="16" t="n">
        <f aca="false">IF(C957=0,(1+Dic2024!$G$6)^(-B957),EXP(LN(INDEX(Dic2024!$H$6:$H$205,C957))+(LN(INDEX(Dic2024!$H$6:$H$205,MIN(C957+1,200)))-LN(INDEX(Dic2024!$H$6:$H$205,C957)))*(A957-6*C957)/6))</f>
        <v>0.0095744784542379</v>
      </c>
      <c r="E957" s="12" t="n">
        <f aca="false">D957^(-1/B957)-1</f>
        <v>0.0602820900000001</v>
      </c>
      <c r="F957" s="12" t="n">
        <f aca="false">(1+E957)^(1/12)-1</f>
        <v>0.00488983268157006</v>
      </c>
      <c r="G957" s="16" t="n">
        <f aca="false">IF(C957=0,(1+Dic2024!$J$6)^(-B957),EXP(LN(INDEX(Dic2024!$K$6:$K$205,C957))+(LN(INDEX(Dic2024!$K$6:$K$205,MIN(C957+1,200)))-LN(INDEX(Dic2024!$K$6:$K$205,C957)))*(A957-6*C957)/6))</f>
        <v>0.0095744784542379</v>
      </c>
      <c r="H957" s="12" t="n">
        <f aca="false">G957^(-1/B957)-1</f>
        <v>0.0602820900000001</v>
      </c>
      <c r="I957" s="12" t="n">
        <f aca="false">(1+H957)^(1/12)-1</f>
        <v>0.00488983268157006</v>
      </c>
      <c r="J957" s="16" t="n">
        <f aca="false">IF(C957=0,(1+Dic2024!$M$6)^(-B957),EXP(LN(INDEX(Dic2024!$N$6:$N$205,C957))+(LN(INDEX(Dic2024!$N$6:$N$205,MIN(C957+1,200)))-LN(INDEX(Dic2024!$N$6:$N$205,C957)))*(A957-6*C957)/6))</f>
        <v>0.0095744784542379</v>
      </c>
      <c r="K957" s="12" t="n">
        <f aca="false">J957^(-1/B957)-1</f>
        <v>0.0602820900000001</v>
      </c>
      <c r="L957" s="12" t="n">
        <f aca="false">(1+K957)^(1/12)-1</f>
        <v>0.00488983268157006</v>
      </c>
    </row>
    <row r="958" customFormat="false" ht="15" hidden="false" customHeight="false" outlineLevel="0" collapsed="false">
      <c r="A958" s="4" t="n">
        <v>954</v>
      </c>
      <c r="B958" s="14" t="n">
        <f aca="false">A958/12</f>
        <v>79.5</v>
      </c>
      <c r="C958" s="15" t="n">
        <f aca="false">INT(A958/6)</f>
        <v>159</v>
      </c>
      <c r="D958" s="16" t="n">
        <f aca="false">IF(C958=0,(1+Dic2024!$G$6)^(-B958),EXP(LN(INDEX(Dic2024!$H$6:$H$205,C958))+(LN(INDEX(Dic2024!$H$6:$H$205,MIN(C958+1,200)))-LN(INDEX(Dic2024!$H$6:$H$205,C958)))*(A958-6*C958)/6))</f>
        <v>0.00952788867281919</v>
      </c>
      <c r="E958" s="12" t="n">
        <f aca="false">D958^(-1/B958)-1</f>
        <v>0.0602820900000001</v>
      </c>
      <c r="F958" s="12" t="n">
        <f aca="false">(1+E958)^(1/12)-1</f>
        <v>0.00488983268157006</v>
      </c>
      <c r="G958" s="16" t="n">
        <f aca="false">IF(C958=0,(1+Dic2024!$J$6)^(-B958),EXP(LN(INDEX(Dic2024!$K$6:$K$205,C958))+(LN(INDEX(Dic2024!$K$6:$K$205,MIN(C958+1,200)))-LN(INDEX(Dic2024!$K$6:$K$205,C958)))*(A958-6*C958)/6))</f>
        <v>0.00952788867281919</v>
      </c>
      <c r="H958" s="12" t="n">
        <f aca="false">G958^(-1/B958)-1</f>
        <v>0.0602820900000001</v>
      </c>
      <c r="I958" s="12" t="n">
        <f aca="false">(1+H958)^(1/12)-1</f>
        <v>0.00488983268157006</v>
      </c>
      <c r="J958" s="16" t="n">
        <f aca="false">IF(C958=0,(1+Dic2024!$M$6)^(-B958),EXP(LN(INDEX(Dic2024!$N$6:$N$205,C958))+(LN(INDEX(Dic2024!$N$6:$N$205,MIN(C958+1,200)))-LN(INDEX(Dic2024!$N$6:$N$205,C958)))*(A958-6*C958)/6))</f>
        <v>0.00952788867281919</v>
      </c>
      <c r="K958" s="12" t="n">
        <f aca="false">J958^(-1/B958)-1</f>
        <v>0.0602820900000001</v>
      </c>
      <c r="L958" s="12" t="n">
        <f aca="false">(1+K958)^(1/12)-1</f>
        <v>0.00488983268157006</v>
      </c>
    </row>
    <row r="959" customFormat="false" ht="15" hidden="false" customHeight="false" outlineLevel="0" collapsed="false">
      <c r="A959" s="4" t="n">
        <v>955</v>
      </c>
      <c r="B959" s="14" t="n">
        <f aca="false">A959/12</f>
        <v>79.5833333333333</v>
      </c>
      <c r="C959" s="15" t="n">
        <f aca="false">INT(A959/6)</f>
        <v>159</v>
      </c>
      <c r="D959" s="16" t="n">
        <f aca="false">IF(C959=0,(1+Dic2024!$G$6)^(-B959),EXP(LN(INDEX(Dic2024!$H$6:$H$205,C959))+(LN(INDEX(Dic2024!$H$6:$H$205,MIN(C959+1,200)))-LN(INDEX(Dic2024!$H$6:$H$205,C959)))*(A959-6*C959)/6))</f>
        <v>0.00948152559907369</v>
      </c>
      <c r="E959" s="12" t="n">
        <f aca="false">D959^(-1/B959)-1</f>
        <v>0.0602820900000001</v>
      </c>
      <c r="F959" s="12" t="n">
        <f aca="false">(1+E959)^(1/12)-1</f>
        <v>0.00488983268157006</v>
      </c>
      <c r="G959" s="16" t="n">
        <f aca="false">IF(C959=0,(1+Dic2024!$J$6)^(-B959),EXP(LN(INDEX(Dic2024!$K$6:$K$205,C959))+(LN(INDEX(Dic2024!$K$6:$K$205,MIN(C959+1,200)))-LN(INDEX(Dic2024!$K$6:$K$205,C959)))*(A959-6*C959)/6))</f>
        <v>0.00948152559907369</v>
      </c>
      <c r="H959" s="12" t="n">
        <f aca="false">G959^(-1/B959)-1</f>
        <v>0.0602820900000001</v>
      </c>
      <c r="I959" s="12" t="n">
        <f aca="false">(1+H959)^(1/12)-1</f>
        <v>0.00488983268157006</v>
      </c>
      <c r="J959" s="16" t="n">
        <f aca="false">IF(C959=0,(1+Dic2024!$M$6)^(-B959),EXP(LN(INDEX(Dic2024!$N$6:$N$205,C959))+(LN(INDEX(Dic2024!$N$6:$N$205,MIN(C959+1,200)))-LN(INDEX(Dic2024!$N$6:$N$205,C959)))*(A959-6*C959)/6))</f>
        <v>0.00948152559907369</v>
      </c>
      <c r="K959" s="12" t="n">
        <f aca="false">J959^(-1/B959)-1</f>
        <v>0.0602820900000001</v>
      </c>
      <c r="L959" s="12" t="n">
        <f aca="false">(1+K959)^(1/12)-1</f>
        <v>0.00488983268157006</v>
      </c>
    </row>
    <row r="960" customFormat="false" ht="15" hidden="false" customHeight="false" outlineLevel="0" collapsed="false">
      <c r="A960" s="4" t="n">
        <v>956</v>
      </c>
      <c r="B960" s="14" t="n">
        <f aca="false">A960/12</f>
        <v>79.6666666666667</v>
      </c>
      <c r="C960" s="15" t="n">
        <f aca="false">INT(A960/6)</f>
        <v>159</v>
      </c>
      <c r="D960" s="16" t="n">
        <f aca="false">IF(C960=0,(1+Dic2024!$G$6)^(-B960),EXP(LN(INDEX(Dic2024!$H$6:$H$205,C960))+(LN(INDEX(Dic2024!$H$6:$H$205,MIN(C960+1,200)))-LN(INDEX(Dic2024!$H$6:$H$205,C960)))*(A960-6*C960)/6))</f>
        <v>0.00943538812983314</v>
      </c>
      <c r="E960" s="12" t="n">
        <f aca="false">D960^(-1/B960)-1</f>
        <v>0.0602820900000001</v>
      </c>
      <c r="F960" s="12" t="n">
        <f aca="false">(1+E960)^(1/12)-1</f>
        <v>0.00488983268157006</v>
      </c>
      <c r="G960" s="16" t="n">
        <f aca="false">IF(C960=0,(1+Dic2024!$J$6)^(-B960),EXP(LN(INDEX(Dic2024!$K$6:$K$205,C960))+(LN(INDEX(Dic2024!$K$6:$K$205,MIN(C960+1,200)))-LN(INDEX(Dic2024!$K$6:$K$205,C960)))*(A960-6*C960)/6))</f>
        <v>0.00943538812983314</v>
      </c>
      <c r="H960" s="12" t="n">
        <f aca="false">G960^(-1/B960)-1</f>
        <v>0.0602820900000001</v>
      </c>
      <c r="I960" s="12" t="n">
        <f aca="false">(1+H960)^(1/12)-1</f>
        <v>0.00488983268157006</v>
      </c>
      <c r="J960" s="16" t="n">
        <f aca="false">IF(C960=0,(1+Dic2024!$M$6)^(-B960),EXP(LN(INDEX(Dic2024!$N$6:$N$205,C960))+(LN(INDEX(Dic2024!$N$6:$N$205,MIN(C960+1,200)))-LN(INDEX(Dic2024!$N$6:$N$205,C960)))*(A960-6*C960)/6))</f>
        <v>0.00943538812983314</v>
      </c>
      <c r="K960" s="12" t="n">
        <f aca="false">J960^(-1/B960)-1</f>
        <v>0.0602820900000001</v>
      </c>
      <c r="L960" s="12" t="n">
        <f aca="false">(1+K960)^(1/12)-1</f>
        <v>0.00488983268157006</v>
      </c>
    </row>
    <row r="961" customFormat="false" ht="15" hidden="false" customHeight="false" outlineLevel="0" collapsed="false">
      <c r="A961" s="4" t="n">
        <v>957</v>
      </c>
      <c r="B961" s="14" t="n">
        <f aca="false">A961/12</f>
        <v>79.75</v>
      </c>
      <c r="C961" s="15" t="n">
        <f aca="false">INT(A961/6)</f>
        <v>159</v>
      </c>
      <c r="D961" s="16" t="n">
        <f aca="false">IF(C961=0,(1+Dic2024!$G$6)^(-B961),EXP(LN(INDEX(Dic2024!$H$6:$H$205,C961))+(LN(INDEX(Dic2024!$H$6:$H$205,MIN(C961+1,200)))-LN(INDEX(Dic2024!$H$6:$H$205,C961)))*(A961-6*C961)/6))</f>
        <v>0.0093894751672973</v>
      </c>
      <c r="E961" s="12" t="n">
        <f aca="false">D961^(-1/B961)-1</f>
        <v>0.0602820900000001</v>
      </c>
      <c r="F961" s="12" t="n">
        <f aca="false">(1+E961)^(1/12)-1</f>
        <v>0.00488983268157006</v>
      </c>
      <c r="G961" s="16" t="n">
        <f aca="false">IF(C961=0,(1+Dic2024!$J$6)^(-B961),EXP(LN(INDEX(Dic2024!$K$6:$K$205,C961))+(LN(INDEX(Dic2024!$K$6:$K$205,MIN(C961+1,200)))-LN(INDEX(Dic2024!$K$6:$K$205,C961)))*(A961-6*C961)/6))</f>
        <v>0.0093894751672973</v>
      </c>
      <c r="H961" s="12" t="n">
        <f aca="false">G961^(-1/B961)-1</f>
        <v>0.0602820900000001</v>
      </c>
      <c r="I961" s="12" t="n">
        <f aca="false">(1+H961)^(1/12)-1</f>
        <v>0.00488983268157006</v>
      </c>
      <c r="J961" s="16" t="n">
        <f aca="false">IF(C961=0,(1+Dic2024!$M$6)^(-B961),EXP(LN(INDEX(Dic2024!$N$6:$N$205,C961))+(LN(INDEX(Dic2024!$N$6:$N$205,MIN(C961+1,200)))-LN(INDEX(Dic2024!$N$6:$N$205,C961)))*(A961-6*C961)/6))</f>
        <v>0.0093894751672973</v>
      </c>
      <c r="K961" s="12" t="n">
        <f aca="false">J961^(-1/B961)-1</f>
        <v>0.0602820900000001</v>
      </c>
      <c r="L961" s="12" t="n">
        <f aca="false">(1+K961)^(1/12)-1</f>
        <v>0.00488983268157006</v>
      </c>
    </row>
    <row r="962" customFormat="false" ht="15" hidden="false" customHeight="false" outlineLevel="0" collapsed="false">
      <c r="A962" s="4" t="n">
        <v>958</v>
      </c>
      <c r="B962" s="14" t="n">
        <f aca="false">A962/12</f>
        <v>79.8333333333333</v>
      </c>
      <c r="C962" s="15" t="n">
        <f aca="false">INT(A962/6)</f>
        <v>159</v>
      </c>
      <c r="D962" s="16" t="n">
        <f aca="false">IF(C962=0,(1+Dic2024!$G$6)^(-B962),EXP(LN(INDEX(Dic2024!$H$6:$H$205,C962))+(LN(INDEX(Dic2024!$H$6:$H$205,MIN(C962+1,200)))-LN(INDEX(Dic2024!$H$6:$H$205,C962)))*(A962-6*C962)/6))</f>
        <v>0.00934378561900788</v>
      </c>
      <c r="E962" s="12" t="n">
        <f aca="false">D962^(-1/B962)-1</f>
        <v>0.0602820900000001</v>
      </c>
      <c r="F962" s="12" t="n">
        <f aca="false">(1+E962)^(1/12)-1</f>
        <v>0.00488983268157006</v>
      </c>
      <c r="G962" s="16" t="n">
        <f aca="false">IF(C962=0,(1+Dic2024!$J$6)^(-B962),EXP(LN(INDEX(Dic2024!$K$6:$K$205,C962))+(LN(INDEX(Dic2024!$K$6:$K$205,MIN(C962+1,200)))-LN(INDEX(Dic2024!$K$6:$K$205,C962)))*(A962-6*C962)/6))</f>
        <v>0.00934378561900788</v>
      </c>
      <c r="H962" s="12" t="n">
        <f aca="false">G962^(-1/B962)-1</f>
        <v>0.0602820900000001</v>
      </c>
      <c r="I962" s="12" t="n">
        <f aca="false">(1+H962)^(1/12)-1</f>
        <v>0.00488983268157006</v>
      </c>
      <c r="J962" s="16" t="n">
        <f aca="false">IF(C962=0,(1+Dic2024!$M$6)^(-B962),EXP(LN(INDEX(Dic2024!$N$6:$N$205,C962))+(LN(INDEX(Dic2024!$N$6:$N$205,MIN(C962+1,200)))-LN(INDEX(Dic2024!$N$6:$N$205,C962)))*(A962-6*C962)/6))</f>
        <v>0.00934378561900788</v>
      </c>
      <c r="K962" s="12" t="n">
        <f aca="false">J962^(-1/B962)-1</f>
        <v>0.0602820900000001</v>
      </c>
      <c r="L962" s="12" t="n">
        <f aca="false">(1+K962)^(1/12)-1</f>
        <v>0.00488983268157006</v>
      </c>
    </row>
    <row r="963" customFormat="false" ht="15" hidden="false" customHeight="false" outlineLevel="0" collapsed="false">
      <c r="A963" s="4" t="n">
        <v>959</v>
      </c>
      <c r="B963" s="14" t="n">
        <f aca="false">A963/12</f>
        <v>79.9166666666667</v>
      </c>
      <c r="C963" s="15" t="n">
        <f aca="false">INT(A963/6)</f>
        <v>159</v>
      </c>
      <c r="D963" s="16" t="n">
        <f aca="false">IF(C963=0,(1+Dic2024!$G$6)^(-B963),EXP(LN(INDEX(Dic2024!$H$6:$H$205,C963))+(LN(INDEX(Dic2024!$H$6:$H$205,MIN(C963+1,200)))-LN(INDEX(Dic2024!$H$6:$H$205,C963)))*(A963-6*C963)/6))</f>
        <v>0.00929831839782257</v>
      </c>
      <c r="E963" s="12" t="n">
        <f aca="false">D963^(-1/B963)-1</f>
        <v>0.0602820900000001</v>
      </c>
      <c r="F963" s="12" t="n">
        <f aca="false">(1+E963)^(1/12)-1</f>
        <v>0.00488983268157006</v>
      </c>
      <c r="G963" s="16" t="n">
        <f aca="false">IF(C963=0,(1+Dic2024!$J$6)^(-B963),EXP(LN(INDEX(Dic2024!$K$6:$K$205,C963))+(LN(INDEX(Dic2024!$K$6:$K$205,MIN(C963+1,200)))-LN(INDEX(Dic2024!$K$6:$K$205,C963)))*(A963-6*C963)/6))</f>
        <v>0.00929831839782257</v>
      </c>
      <c r="H963" s="12" t="n">
        <f aca="false">G963^(-1/B963)-1</f>
        <v>0.0602820900000001</v>
      </c>
      <c r="I963" s="12" t="n">
        <f aca="false">(1+H963)^(1/12)-1</f>
        <v>0.00488983268157006</v>
      </c>
      <c r="J963" s="16" t="n">
        <f aca="false">IF(C963=0,(1+Dic2024!$M$6)^(-B963),EXP(LN(INDEX(Dic2024!$N$6:$N$205,C963))+(LN(INDEX(Dic2024!$N$6:$N$205,MIN(C963+1,200)))-LN(INDEX(Dic2024!$N$6:$N$205,C963)))*(A963-6*C963)/6))</f>
        <v>0.00929831839782257</v>
      </c>
      <c r="K963" s="12" t="n">
        <f aca="false">J963^(-1/B963)-1</f>
        <v>0.0602820900000001</v>
      </c>
      <c r="L963" s="12" t="n">
        <f aca="false">(1+K963)^(1/12)-1</f>
        <v>0.00488983268157006</v>
      </c>
    </row>
    <row r="964" customFormat="false" ht="15" hidden="false" customHeight="false" outlineLevel="0" collapsed="false">
      <c r="A964" s="4" t="n">
        <v>960</v>
      </c>
      <c r="B964" s="14" t="n">
        <f aca="false">A964/12</f>
        <v>80</v>
      </c>
      <c r="C964" s="15" t="n">
        <f aca="false">INT(A964/6)</f>
        <v>160</v>
      </c>
      <c r="D964" s="16" t="n">
        <f aca="false">IF(C964=0,(1+Dic2024!$G$6)^(-B964),EXP(LN(INDEX(Dic2024!$H$6:$H$205,C964))+(LN(INDEX(Dic2024!$H$6:$H$205,MIN(C964+1,200)))-LN(INDEX(Dic2024!$H$6:$H$205,C964)))*(A964-6*C964)/6))</f>
        <v>0.00925307242188908</v>
      </c>
      <c r="E964" s="12" t="n">
        <f aca="false">D964^(-1/B964)-1</f>
        <v>0.0602820900000001</v>
      </c>
      <c r="F964" s="12" t="n">
        <f aca="false">(1+E964)^(1/12)-1</f>
        <v>0.00488983268157006</v>
      </c>
      <c r="G964" s="16" t="n">
        <f aca="false">IF(C964=0,(1+Dic2024!$J$6)^(-B964),EXP(LN(INDEX(Dic2024!$K$6:$K$205,C964))+(LN(INDEX(Dic2024!$K$6:$K$205,MIN(C964+1,200)))-LN(INDEX(Dic2024!$K$6:$K$205,C964)))*(A964-6*C964)/6))</f>
        <v>0.00925307242188908</v>
      </c>
      <c r="H964" s="12" t="n">
        <f aca="false">G964^(-1/B964)-1</f>
        <v>0.0602820900000001</v>
      </c>
      <c r="I964" s="12" t="n">
        <f aca="false">(1+H964)^(1/12)-1</f>
        <v>0.00488983268157006</v>
      </c>
      <c r="J964" s="16" t="n">
        <f aca="false">IF(C964=0,(1+Dic2024!$M$6)^(-B964),EXP(LN(INDEX(Dic2024!$N$6:$N$205,C964))+(LN(INDEX(Dic2024!$N$6:$N$205,MIN(C964+1,200)))-LN(INDEX(Dic2024!$N$6:$N$205,C964)))*(A964-6*C964)/6))</f>
        <v>0.00925307242188908</v>
      </c>
      <c r="K964" s="12" t="n">
        <f aca="false">J964^(-1/B964)-1</f>
        <v>0.0602820900000001</v>
      </c>
      <c r="L964" s="12" t="n">
        <f aca="false">(1+K964)^(1/12)-1</f>
        <v>0.00488983268157006</v>
      </c>
    </row>
    <row r="965" customFormat="false" ht="15" hidden="false" customHeight="false" outlineLevel="0" collapsed="false">
      <c r="A965" s="4" t="n">
        <v>961</v>
      </c>
      <c r="B965" s="14" t="n">
        <f aca="false">A965/12</f>
        <v>80.0833333333333</v>
      </c>
      <c r="C965" s="15" t="n">
        <f aca="false">INT(A965/6)</f>
        <v>160</v>
      </c>
      <c r="D965" s="16" t="n">
        <f aca="false">IF(C965=0,(1+Dic2024!$G$6)^(-B965),EXP(LN(INDEX(Dic2024!$H$6:$H$205,C965))+(LN(INDEX(Dic2024!$H$6:$H$205,MIN(C965+1,200)))-LN(INDEX(Dic2024!$H$6:$H$205,C965)))*(A965-6*C965)/6))</f>
        <v>0.00920804661461949</v>
      </c>
      <c r="E965" s="12" t="n">
        <f aca="false">D965^(-1/B965)-1</f>
        <v>0.0602820900000001</v>
      </c>
      <c r="F965" s="12" t="n">
        <f aca="false">(1+E965)^(1/12)-1</f>
        <v>0.00488983268157006</v>
      </c>
      <c r="G965" s="16" t="n">
        <f aca="false">IF(C965=0,(1+Dic2024!$J$6)^(-B965),EXP(LN(INDEX(Dic2024!$K$6:$K$205,C965))+(LN(INDEX(Dic2024!$K$6:$K$205,MIN(C965+1,200)))-LN(INDEX(Dic2024!$K$6:$K$205,C965)))*(A965-6*C965)/6))</f>
        <v>0.00920804661461949</v>
      </c>
      <c r="H965" s="12" t="n">
        <f aca="false">G965^(-1/B965)-1</f>
        <v>0.0602820900000001</v>
      </c>
      <c r="I965" s="12" t="n">
        <f aca="false">(1+H965)^(1/12)-1</f>
        <v>0.00488983268157006</v>
      </c>
      <c r="J965" s="16" t="n">
        <f aca="false">IF(C965=0,(1+Dic2024!$M$6)^(-B965),EXP(LN(INDEX(Dic2024!$N$6:$N$205,C965))+(LN(INDEX(Dic2024!$N$6:$N$205,MIN(C965+1,200)))-LN(INDEX(Dic2024!$N$6:$N$205,C965)))*(A965-6*C965)/6))</f>
        <v>0.00920804661461949</v>
      </c>
      <c r="K965" s="12" t="n">
        <f aca="false">J965^(-1/B965)-1</f>
        <v>0.0602820900000001</v>
      </c>
      <c r="L965" s="12" t="n">
        <f aca="false">(1+K965)^(1/12)-1</f>
        <v>0.00488983268157006</v>
      </c>
    </row>
    <row r="966" customFormat="false" ht="15" hidden="false" customHeight="false" outlineLevel="0" collapsed="false">
      <c r="A966" s="4" t="n">
        <v>962</v>
      </c>
      <c r="B966" s="14" t="n">
        <f aca="false">A966/12</f>
        <v>80.1666666666667</v>
      </c>
      <c r="C966" s="15" t="n">
        <f aca="false">INT(A966/6)</f>
        <v>160</v>
      </c>
      <c r="D966" s="16" t="n">
        <f aca="false">IF(C966=0,(1+Dic2024!$G$6)^(-B966),EXP(LN(INDEX(Dic2024!$H$6:$H$205,C966))+(LN(INDEX(Dic2024!$H$6:$H$205,MIN(C966+1,200)))-LN(INDEX(Dic2024!$H$6:$H$205,C966)))*(A966-6*C966)/6))</f>
        <v>0.0091632399046646</v>
      </c>
      <c r="E966" s="12" t="n">
        <f aca="false">D966^(-1/B966)-1</f>
        <v>0.0602820900000001</v>
      </c>
      <c r="F966" s="12" t="n">
        <f aca="false">(1+E966)^(1/12)-1</f>
        <v>0.00488983268157006</v>
      </c>
      <c r="G966" s="16" t="n">
        <f aca="false">IF(C966=0,(1+Dic2024!$J$6)^(-B966),EXP(LN(INDEX(Dic2024!$K$6:$K$205,C966))+(LN(INDEX(Dic2024!$K$6:$K$205,MIN(C966+1,200)))-LN(INDEX(Dic2024!$K$6:$K$205,C966)))*(A966-6*C966)/6))</f>
        <v>0.0091632399046646</v>
      </c>
      <c r="H966" s="12" t="n">
        <f aca="false">G966^(-1/B966)-1</f>
        <v>0.0602820900000001</v>
      </c>
      <c r="I966" s="12" t="n">
        <f aca="false">(1+H966)^(1/12)-1</f>
        <v>0.00488983268157006</v>
      </c>
      <c r="J966" s="16" t="n">
        <f aca="false">IF(C966=0,(1+Dic2024!$M$6)^(-B966),EXP(LN(INDEX(Dic2024!$N$6:$N$205,C966))+(LN(INDEX(Dic2024!$N$6:$N$205,MIN(C966+1,200)))-LN(INDEX(Dic2024!$N$6:$N$205,C966)))*(A966-6*C966)/6))</f>
        <v>0.0091632399046646</v>
      </c>
      <c r="K966" s="12" t="n">
        <f aca="false">J966^(-1/B966)-1</f>
        <v>0.0602820900000001</v>
      </c>
      <c r="L966" s="12" t="n">
        <f aca="false">(1+K966)^(1/12)-1</f>
        <v>0.00488983268157006</v>
      </c>
    </row>
    <row r="967" customFormat="false" ht="15" hidden="false" customHeight="false" outlineLevel="0" collapsed="false">
      <c r="A967" s="4" t="n">
        <v>963</v>
      </c>
      <c r="B967" s="14" t="n">
        <f aca="false">A967/12</f>
        <v>80.25</v>
      </c>
      <c r="C967" s="15" t="n">
        <f aca="false">INT(A967/6)</f>
        <v>160</v>
      </c>
      <c r="D967" s="16" t="n">
        <f aca="false">IF(C967=0,(1+Dic2024!$G$6)^(-B967),EXP(LN(INDEX(Dic2024!$H$6:$H$205,C967))+(LN(INDEX(Dic2024!$H$6:$H$205,MIN(C967+1,200)))-LN(INDEX(Dic2024!$H$6:$H$205,C967)))*(A967-6*C967)/6))</f>
        <v>0.00911865122588841</v>
      </c>
      <c r="E967" s="12" t="n">
        <f aca="false">D967^(-1/B967)-1</f>
        <v>0.0602820900000001</v>
      </c>
      <c r="F967" s="12" t="n">
        <f aca="false">(1+E967)^(1/12)-1</f>
        <v>0.00488983268157006</v>
      </c>
      <c r="G967" s="16" t="n">
        <f aca="false">IF(C967=0,(1+Dic2024!$J$6)^(-B967),EXP(LN(INDEX(Dic2024!$K$6:$K$205,C967))+(LN(INDEX(Dic2024!$K$6:$K$205,MIN(C967+1,200)))-LN(INDEX(Dic2024!$K$6:$K$205,C967)))*(A967-6*C967)/6))</f>
        <v>0.00911865122588841</v>
      </c>
      <c r="H967" s="12" t="n">
        <f aca="false">G967^(-1/B967)-1</f>
        <v>0.0602820900000001</v>
      </c>
      <c r="I967" s="12" t="n">
        <f aca="false">(1+H967)^(1/12)-1</f>
        <v>0.00488983268157006</v>
      </c>
      <c r="J967" s="16" t="n">
        <f aca="false">IF(C967=0,(1+Dic2024!$M$6)^(-B967),EXP(LN(INDEX(Dic2024!$N$6:$N$205,C967))+(LN(INDEX(Dic2024!$N$6:$N$205,MIN(C967+1,200)))-LN(INDEX(Dic2024!$N$6:$N$205,C967)))*(A967-6*C967)/6))</f>
        <v>0.00911865122588841</v>
      </c>
      <c r="K967" s="12" t="n">
        <f aca="false">J967^(-1/B967)-1</f>
        <v>0.0602820900000001</v>
      </c>
      <c r="L967" s="12" t="n">
        <f aca="false">(1+K967)^(1/12)-1</f>
        <v>0.00488983268157006</v>
      </c>
    </row>
    <row r="968" customFormat="false" ht="15" hidden="false" customHeight="false" outlineLevel="0" collapsed="false">
      <c r="A968" s="4" t="n">
        <v>964</v>
      </c>
      <c r="B968" s="14" t="n">
        <f aca="false">A968/12</f>
        <v>80.3333333333333</v>
      </c>
      <c r="C968" s="15" t="n">
        <f aca="false">INT(A968/6)</f>
        <v>160</v>
      </c>
      <c r="D968" s="16" t="n">
        <f aca="false">IF(C968=0,(1+Dic2024!$G$6)^(-B968),EXP(LN(INDEX(Dic2024!$H$6:$H$205,C968))+(LN(INDEX(Dic2024!$H$6:$H$205,MIN(C968+1,200)))-LN(INDEX(Dic2024!$H$6:$H$205,C968)))*(A968-6*C968)/6))</f>
        <v>0.00907427951734281</v>
      </c>
      <c r="E968" s="12" t="n">
        <f aca="false">D968^(-1/B968)-1</f>
        <v>0.0602820900000001</v>
      </c>
      <c r="F968" s="12" t="n">
        <f aca="false">(1+E968)^(1/12)-1</f>
        <v>0.00488983268157006</v>
      </c>
      <c r="G968" s="16" t="n">
        <f aca="false">IF(C968=0,(1+Dic2024!$J$6)^(-B968),EXP(LN(INDEX(Dic2024!$K$6:$K$205,C968))+(LN(INDEX(Dic2024!$K$6:$K$205,MIN(C968+1,200)))-LN(INDEX(Dic2024!$K$6:$K$205,C968)))*(A968-6*C968)/6))</f>
        <v>0.00907427951734281</v>
      </c>
      <c r="H968" s="12" t="n">
        <f aca="false">G968^(-1/B968)-1</f>
        <v>0.0602820900000001</v>
      </c>
      <c r="I968" s="12" t="n">
        <f aca="false">(1+H968)^(1/12)-1</f>
        <v>0.00488983268157006</v>
      </c>
      <c r="J968" s="16" t="n">
        <f aca="false">IF(C968=0,(1+Dic2024!$M$6)^(-B968),EXP(LN(INDEX(Dic2024!$N$6:$N$205,C968))+(LN(INDEX(Dic2024!$N$6:$N$205,MIN(C968+1,200)))-LN(INDEX(Dic2024!$N$6:$N$205,C968)))*(A968-6*C968)/6))</f>
        <v>0.00907427951734281</v>
      </c>
      <c r="K968" s="12" t="n">
        <f aca="false">J968^(-1/B968)-1</f>
        <v>0.0602820900000001</v>
      </c>
      <c r="L968" s="12" t="n">
        <f aca="false">(1+K968)^(1/12)-1</f>
        <v>0.00488983268157006</v>
      </c>
    </row>
    <row r="969" customFormat="false" ht="15" hidden="false" customHeight="false" outlineLevel="0" collapsed="false">
      <c r="A969" s="4" t="n">
        <v>965</v>
      </c>
      <c r="B969" s="14" t="n">
        <f aca="false">A969/12</f>
        <v>80.4166666666667</v>
      </c>
      <c r="C969" s="15" t="n">
        <f aca="false">INT(A969/6)</f>
        <v>160</v>
      </c>
      <c r="D969" s="16" t="n">
        <f aca="false">IF(C969=0,(1+Dic2024!$G$6)^(-B969),EXP(LN(INDEX(Dic2024!$H$6:$H$205,C969))+(LN(INDEX(Dic2024!$H$6:$H$205,MIN(C969+1,200)))-LN(INDEX(Dic2024!$H$6:$H$205,C969)))*(A969-6*C969)/6))</f>
        <v>0.00903012372324227</v>
      </c>
      <c r="E969" s="12" t="n">
        <f aca="false">D969^(-1/B969)-1</f>
        <v>0.0602820900000001</v>
      </c>
      <c r="F969" s="12" t="n">
        <f aca="false">(1+E969)^(1/12)-1</f>
        <v>0.00488983268157006</v>
      </c>
      <c r="G969" s="16" t="n">
        <f aca="false">IF(C969=0,(1+Dic2024!$J$6)^(-B969),EXP(LN(INDEX(Dic2024!$K$6:$K$205,C969))+(LN(INDEX(Dic2024!$K$6:$K$205,MIN(C969+1,200)))-LN(INDEX(Dic2024!$K$6:$K$205,C969)))*(A969-6*C969)/6))</f>
        <v>0.00903012372324227</v>
      </c>
      <c r="H969" s="12" t="n">
        <f aca="false">G969^(-1/B969)-1</f>
        <v>0.0602820900000001</v>
      </c>
      <c r="I969" s="12" t="n">
        <f aca="false">(1+H969)^(1/12)-1</f>
        <v>0.00488983268157006</v>
      </c>
      <c r="J969" s="16" t="n">
        <f aca="false">IF(C969=0,(1+Dic2024!$M$6)^(-B969),EXP(LN(INDEX(Dic2024!$N$6:$N$205,C969))+(LN(INDEX(Dic2024!$N$6:$N$205,MIN(C969+1,200)))-LN(INDEX(Dic2024!$N$6:$N$205,C969)))*(A969-6*C969)/6))</f>
        <v>0.00903012372324227</v>
      </c>
      <c r="K969" s="12" t="n">
        <f aca="false">J969^(-1/B969)-1</f>
        <v>0.0602820900000001</v>
      </c>
      <c r="L969" s="12" t="n">
        <f aca="false">(1+K969)^(1/12)-1</f>
        <v>0.00488983268157006</v>
      </c>
    </row>
    <row r="970" customFormat="false" ht="15" hidden="false" customHeight="false" outlineLevel="0" collapsed="false">
      <c r="A970" s="4" t="n">
        <v>966</v>
      </c>
      <c r="B970" s="14" t="n">
        <f aca="false">A970/12</f>
        <v>80.5</v>
      </c>
      <c r="C970" s="15" t="n">
        <f aca="false">INT(A970/6)</f>
        <v>161</v>
      </c>
      <c r="D970" s="16" t="n">
        <f aca="false">IF(C970=0,(1+Dic2024!$G$6)^(-B970),EXP(LN(INDEX(Dic2024!$H$6:$H$205,C970))+(LN(INDEX(Dic2024!$H$6:$H$205,MIN(C970+1,200)))-LN(INDEX(Dic2024!$H$6:$H$205,C970)))*(A970-6*C970)/6))</f>
        <v>0.0089861827929388</v>
      </c>
      <c r="E970" s="12" t="n">
        <f aca="false">D970^(-1/B970)-1</f>
        <v>0.0602820900000001</v>
      </c>
      <c r="F970" s="12" t="n">
        <f aca="false">(1+E970)^(1/12)-1</f>
        <v>0.00488983268157006</v>
      </c>
      <c r="G970" s="16" t="n">
        <f aca="false">IF(C970=0,(1+Dic2024!$J$6)^(-B970),EXP(LN(INDEX(Dic2024!$K$6:$K$205,C970))+(LN(INDEX(Dic2024!$K$6:$K$205,MIN(C970+1,200)))-LN(INDEX(Dic2024!$K$6:$K$205,C970)))*(A970-6*C970)/6))</f>
        <v>0.0089861827929388</v>
      </c>
      <c r="H970" s="12" t="n">
        <f aca="false">G970^(-1/B970)-1</f>
        <v>0.0602820900000001</v>
      </c>
      <c r="I970" s="12" t="n">
        <f aca="false">(1+H970)^(1/12)-1</f>
        <v>0.00488983268157006</v>
      </c>
      <c r="J970" s="16" t="n">
        <f aca="false">IF(C970=0,(1+Dic2024!$M$6)^(-B970),EXP(LN(INDEX(Dic2024!$N$6:$N$205,C970))+(LN(INDEX(Dic2024!$N$6:$N$205,MIN(C970+1,200)))-LN(INDEX(Dic2024!$N$6:$N$205,C970)))*(A970-6*C970)/6))</f>
        <v>0.0089861827929388</v>
      </c>
      <c r="K970" s="12" t="n">
        <f aca="false">J970^(-1/B970)-1</f>
        <v>0.0602820900000001</v>
      </c>
      <c r="L970" s="12" t="n">
        <f aca="false">(1+K970)^(1/12)-1</f>
        <v>0.00488983268157006</v>
      </c>
    </row>
    <row r="971" customFormat="false" ht="15" hidden="false" customHeight="false" outlineLevel="0" collapsed="false">
      <c r="A971" s="4" t="n">
        <v>967</v>
      </c>
      <c r="B971" s="14" t="n">
        <f aca="false">A971/12</f>
        <v>80.5833333333333</v>
      </c>
      <c r="C971" s="15" t="n">
        <f aca="false">INT(A971/6)</f>
        <v>161</v>
      </c>
      <c r="D971" s="16" t="n">
        <f aca="false">IF(C971=0,(1+Dic2024!$G$6)^(-B971),EXP(LN(INDEX(Dic2024!$H$6:$H$205,C971))+(LN(INDEX(Dic2024!$H$6:$H$205,MIN(C971+1,200)))-LN(INDEX(Dic2024!$H$6:$H$205,C971)))*(A971-6*C971)/6))</f>
        <v>0.00894245568089685</v>
      </c>
      <c r="E971" s="12" t="n">
        <f aca="false">D971^(-1/B971)-1</f>
        <v>0.0602820900000001</v>
      </c>
      <c r="F971" s="12" t="n">
        <f aca="false">(1+E971)^(1/12)-1</f>
        <v>0.00488983268157006</v>
      </c>
      <c r="G971" s="16" t="n">
        <f aca="false">IF(C971=0,(1+Dic2024!$J$6)^(-B971),EXP(LN(INDEX(Dic2024!$K$6:$K$205,C971))+(LN(INDEX(Dic2024!$K$6:$K$205,MIN(C971+1,200)))-LN(INDEX(Dic2024!$K$6:$K$205,C971)))*(A971-6*C971)/6))</f>
        <v>0.00894245568089685</v>
      </c>
      <c r="H971" s="12" t="n">
        <f aca="false">G971^(-1/B971)-1</f>
        <v>0.0602820900000001</v>
      </c>
      <c r="I971" s="12" t="n">
        <f aca="false">(1+H971)^(1/12)-1</f>
        <v>0.00488983268157006</v>
      </c>
      <c r="J971" s="16" t="n">
        <f aca="false">IF(C971=0,(1+Dic2024!$M$6)^(-B971),EXP(LN(INDEX(Dic2024!$N$6:$N$205,C971))+(LN(INDEX(Dic2024!$N$6:$N$205,MIN(C971+1,200)))-LN(INDEX(Dic2024!$N$6:$N$205,C971)))*(A971-6*C971)/6))</f>
        <v>0.00894245568089685</v>
      </c>
      <c r="K971" s="12" t="n">
        <f aca="false">J971^(-1/B971)-1</f>
        <v>0.0602820900000001</v>
      </c>
      <c r="L971" s="12" t="n">
        <f aca="false">(1+K971)^(1/12)-1</f>
        <v>0.00488983268157006</v>
      </c>
    </row>
    <row r="972" customFormat="false" ht="15" hidden="false" customHeight="false" outlineLevel="0" collapsed="false">
      <c r="A972" s="4" t="n">
        <v>968</v>
      </c>
      <c r="B972" s="14" t="n">
        <f aca="false">A972/12</f>
        <v>80.6666666666667</v>
      </c>
      <c r="C972" s="15" t="n">
        <f aca="false">INT(A972/6)</f>
        <v>161</v>
      </c>
      <c r="D972" s="16" t="n">
        <f aca="false">IF(C972=0,(1+Dic2024!$G$6)^(-B972),EXP(LN(INDEX(Dic2024!$H$6:$H$205,C972))+(LN(INDEX(Dic2024!$H$6:$H$205,MIN(C972+1,200)))-LN(INDEX(Dic2024!$H$6:$H$205,C972)))*(A972-6*C972)/6))</f>
        <v>0.00889894134666854</v>
      </c>
      <c r="E972" s="12" t="n">
        <f aca="false">D972^(-1/B972)-1</f>
        <v>0.0602820900000001</v>
      </c>
      <c r="F972" s="12" t="n">
        <f aca="false">(1+E972)^(1/12)-1</f>
        <v>0.00488983268157006</v>
      </c>
      <c r="G972" s="16" t="n">
        <f aca="false">IF(C972=0,(1+Dic2024!$J$6)^(-B972),EXP(LN(INDEX(Dic2024!$K$6:$K$205,C972))+(LN(INDEX(Dic2024!$K$6:$K$205,MIN(C972+1,200)))-LN(INDEX(Dic2024!$K$6:$K$205,C972)))*(A972-6*C972)/6))</f>
        <v>0.00889894134666854</v>
      </c>
      <c r="H972" s="12" t="n">
        <f aca="false">G972^(-1/B972)-1</f>
        <v>0.0602820900000001</v>
      </c>
      <c r="I972" s="12" t="n">
        <f aca="false">(1+H972)^(1/12)-1</f>
        <v>0.00488983268157006</v>
      </c>
      <c r="J972" s="16" t="n">
        <f aca="false">IF(C972=0,(1+Dic2024!$M$6)^(-B972),EXP(LN(INDEX(Dic2024!$N$6:$N$205,C972))+(LN(INDEX(Dic2024!$N$6:$N$205,MIN(C972+1,200)))-LN(INDEX(Dic2024!$N$6:$N$205,C972)))*(A972-6*C972)/6))</f>
        <v>0.00889894134666854</v>
      </c>
      <c r="K972" s="12" t="n">
        <f aca="false">J972^(-1/B972)-1</f>
        <v>0.0602820900000001</v>
      </c>
      <c r="L972" s="12" t="n">
        <f aca="false">(1+K972)^(1/12)-1</f>
        <v>0.00488983268157006</v>
      </c>
    </row>
    <row r="973" customFormat="false" ht="15" hidden="false" customHeight="false" outlineLevel="0" collapsed="false">
      <c r="A973" s="4" t="n">
        <v>969</v>
      </c>
      <c r="B973" s="14" t="n">
        <f aca="false">A973/12</f>
        <v>80.75</v>
      </c>
      <c r="C973" s="15" t="n">
        <f aca="false">INT(A973/6)</f>
        <v>161</v>
      </c>
      <c r="D973" s="16" t="n">
        <f aca="false">IF(C973=0,(1+Dic2024!$G$6)^(-B973),EXP(LN(INDEX(Dic2024!$H$6:$H$205,C973))+(LN(INDEX(Dic2024!$H$6:$H$205,MIN(C973+1,200)))-LN(INDEX(Dic2024!$H$6:$H$205,C973)))*(A973-6*C973)/6))</f>
        <v>0.0088556387548688</v>
      </c>
      <c r="E973" s="12" t="n">
        <f aca="false">D973^(-1/B973)-1</f>
        <v>0.0602820900000001</v>
      </c>
      <c r="F973" s="12" t="n">
        <f aca="false">(1+E973)^(1/12)-1</f>
        <v>0.00488983268157006</v>
      </c>
      <c r="G973" s="16" t="n">
        <f aca="false">IF(C973=0,(1+Dic2024!$J$6)^(-B973),EXP(LN(INDEX(Dic2024!$K$6:$K$205,C973))+(LN(INDEX(Dic2024!$K$6:$K$205,MIN(C973+1,200)))-LN(INDEX(Dic2024!$K$6:$K$205,C973)))*(A973-6*C973)/6))</f>
        <v>0.0088556387548688</v>
      </c>
      <c r="H973" s="12" t="n">
        <f aca="false">G973^(-1/B973)-1</f>
        <v>0.0602820900000001</v>
      </c>
      <c r="I973" s="12" t="n">
        <f aca="false">(1+H973)^(1/12)-1</f>
        <v>0.00488983268157006</v>
      </c>
      <c r="J973" s="16" t="n">
        <f aca="false">IF(C973=0,(1+Dic2024!$M$6)^(-B973),EXP(LN(INDEX(Dic2024!$N$6:$N$205,C973))+(LN(INDEX(Dic2024!$N$6:$N$205,MIN(C973+1,200)))-LN(INDEX(Dic2024!$N$6:$N$205,C973)))*(A973-6*C973)/6))</f>
        <v>0.0088556387548688</v>
      </c>
      <c r="K973" s="12" t="n">
        <f aca="false">J973^(-1/B973)-1</f>
        <v>0.0602820900000001</v>
      </c>
      <c r="L973" s="12" t="n">
        <f aca="false">(1+K973)^(1/12)-1</f>
        <v>0.00488983268157006</v>
      </c>
    </row>
    <row r="974" customFormat="false" ht="15" hidden="false" customHeight="false" outlineLevel="0" collapsed="false">
      <c r="A974" s="4" t="n">
        <v>970</v>
      </c>
      <c r="B974" s="14" t="n">
        <f aca="false">A974/12</f>
        <v>80.8333333333333</v>
      </c>
      <c r="C974" s="15" t="n">
        <f aca="false">INT(A974/6)</f>
        <v>161</v>
      </c>
      <c r="D974" s="16" t="n">
        <f aca="false">IF(C974=0,(1+Dic2024!$G$6)^(-B974),EXP(LN(INDEX(Dic2024!$H$6:$H$205,C974))+(LN(INDEX(Dic2024!$H$6:$H$205,MIN(C974+1,200)))-LN(INDEX(Dic2024!$H$6:$H$205,C974)))*(A974-6*C974)/6))</f>
        <v>0.00881254687515082</v>
      </c>
      <c r="E974" s="12" t="n">
        <f aca="false">D974^(-1/B974)-1</f>
        <v>0.0602820900000001</v>
      </c>
      <c r="F974" s="12" t="n">
        <f aca="false">(1+E974)^(1/12)-1</f>
        <v>0.00488983268157006</v>
      </c>
      <c r="G974" s="16" t="n">
        <f aca="false">IF(C974=0,(1+Dic2024!$J$6)^(-B974),EXP(LN(INDEX(Dic2024!$K$6:$K$205,C974))+(LN(INDEX(Dic2024!$K$6:$K$205,MIN(C974+1,200)))-LN(INDEX(Dic2024!$K$6:$K$205,C974)))*(A974-6*C974)/6))</f>
        <v>0.00881254687515082</v>
      </c>
      <c r="H974" s="12" t="n">
        <f aca="false">G974^(-1/B974)-1</f>
        <v>0.0602820900000001</v>
      </c>
      <c r="I974" s="12" t="n">
        <f aca="false">(1+H974)^(1/12)-1</f>
        <v>0.00488983268157006</v>
      </c>
      <c r="J974" s="16" t="n">
        <f aca="false">IF(C974=0,(1+Dic2024!$M$6)^(-B974),EXP(LN(INDEX(Dic2024!$N$6:$N$205,C974))+(LN(INDEX(Dic2024!$N$6:$N$205,MIN(C974+1,200)))-LN(INDEX(Dic2024!$N$6:$N$205,C974)))*(A974-6*C974)/6))</f>
        <v>0.00881254687515082</v>
      </c>
      <c r="K974" s="12" t="n">
        <f aca="false">J974^(-1/B974)-1</f>
        <v>0.0602820900000001</v>
      </c>
      <c r="L974" s="12" t="n">
        <f aca="false">(1+K974)^(1/12)-1</f>
        <v>0.00488983268157006</v>
      </c>
    </row>
    <row r="975" customFormat="false" ht="15" hidden="false" customHeight="false" outlineLevel="0" collapsed="false">
      <c r="A975" s="4" t="n">
        <v>971</v>
      </c>
      <c r="B975" s="14" t="n">
        <f aca="false">A975/12</f>
        <v>80.9166666666667</v>
      </c>
      <c r="C975" s="15" t="n">
        <f aca="false">INT(A975/6)</f>
        <v>161</v>
      </c>
      <c r="D975" s="16" t="n">
        <f aca="false">IF(C975=0,(1+Dic2024!$G$6)^(-B975),EXP(LN(INDEX(Dic2024!$H$6:$H$205,C975))+(LN(INDEX(Dic2024!$H$6:$H$205,MIN(C975+1,200)))-LN(INDEX(Dic2024!$H$6:$H$205,C975)))*(A975-6*C975)/6))</f>
        <v>0.00876966468218149</v>
      </c>
      <c r="E975" s="12" t="n">
        <f aca="false">D975^(-1/B975)-1</f>
        <v>0.0602820900000001</v>
      </c>
      <c r="F975" s="12" t="n">
        <f aca="false">(1+E975)^(1/12)-1</f>
        <v>0.00488983268157006</v>
      </c>
      <c r="G975" s="16" t="n">
        <f aca="false">IF(C975=0,(1+Dic2024!$J$6)^(-B975),EXP(LN(INDEX(Dic2024!$K$6:$K$205,C975))+(LN(INDEX(Dic2024!$K$6:$K$205,MIN(C975+1,200)))-LN(INDEX(Dic2024!$K$6:$K$205,C975)))*(A975-6*C975)/6))</f>
        <v>0.00876966468218149</v>
      </c>
      <c r="H975" s="12" t="n">
        <f aca="false">G975^(-1/B975)-1</f>
        <v>0.0602820900000001</v>
      </c>
      <c r="I975" s="12" t="n">
        <f aca="false">(1+H975)^(1/12)-1</f>
        <v>0.00488983268157006</v>
      </c>
      <c r="J975" s="16" t="n">
        <f aca="false">IF(C975=0,(1+Dic2024!$M$6)^(-B975),EXP(LN(INDEX(Dic2024!$N$6:$N$205,C975))+(LN(INDEX(Dic2024!$N$6:$N$205,MIN(C975+1,200)))-LN(INDEX(Dic2024!$N$6:$N$205,C975)))*(A975-6*C975)/6))</f>
        <v>0.00876966468218149</v>
      </c>
      <c r="K975" s="12" t="n">
        <f aca="false">J975^(-1/B975)-1</f>
        <v>0.0602820900000001</v>
      </c>
      <c r="L975" s="12" t="n">
        <f aca="false">(1+K975)^(1/12)-1</f>
        <v>0.00488983268157006</v>
      </c>
    </row>
    <row r="976" customFormat="false" ht="15" hidden="false" customHeight="false" outlineLevel="0" collapsed="false">
      <c r="A976" s="4" t="n">
        <v>972</v>
      </c>
      <c r="B976" s="14" t="n">
        <f aca="false">A976/12</f>
        <v>81</v>
      </c>
      <c r="C976" s="15" t="n">
        <f aca="false">INT(A976/6)</f>
        <v>162</v>
      </c>
      <c r="D976" s="16" t="n">
        <f aca="false">IF(C976=0,(1+Dic2024!$G$6)^(-B976),EXP(LN(INDEX(Dic2024!$H$6:$H$205,C976))+(LN(INDEX(Dic2024!$H$6:$H$205,MIN(C976+1,200)))-LN(INDEX(Dic2024!$H$6:$H$205,C976)))*(A976-6*C976)/6))</f>
        <v>0.00872699115561697</v>
      </c>
      <c r="E976" s="12" t="n">
        <f aca="false">D976^(-1/B976)-1</f>
        <v>0.0602820900000001</v>
      </c>
      <c r="F976" s="12" t="n">
        <f aca="false">(1+E976)^(1/12)-1</f>
        <v>0.00488983268157006</v>
      </c>
      <c r="G976" s="16" t="n">
        <f aca="false">IF(C976=0,(1+Dic2024!$J$6)^(-B976),EXP(LN(INDEX(Dic2024!$K$6:$K$205,C976))+(LN(INDEX(Dic2024!$K$6:$K$205,MIN(C976+1,200)))-LN(INDEX(Dic2024!$K$6:$K$205,C976)))*(A976-6*C976)/6))</f>
        <v>0.00872699115561697</v>
      </c>
      <c r="H976" s="12" t="n">
        <f aca="false">G976^(-1/B976)-1</f>
        <v>0.0602820900000001</v>
      </c>
      <c r="I976" s="12" t="n">
        <f aca="false">(1+H976)^(1/12)-1</f>
        <v>0.00488983268157006</v>
      </c>
      <c r="J976" s="16" t="n">
        <f aca="false">IF(C976=0,(1+Dic2024!$M$6)^(-B976),EXP(LN(INDEX(Dic2024!$N$6:$N$205,C976))+(LN(INDEX(Dic2024!$N$6:$N$205,MIN(C976+1,200)))-LN(INDEX(Dic2024!$N$6:$N$205,C976)))*(A976-6*C976)/6))</f>
        <v>0.00872699115561697</v>
      </c>
      <c r="K976" s="12" t="n">
        <f aca="false">J976^(-1/B976)-1</f>
        <v>0.0602820900000001</v>
      </c>
      <c r="L976" s="12" t="n">
        <f aca="false">(1+K976)^(1/12)-1</f>
        <v>0.00488983268157006</v>
      </c>
    </row>
    <row r="977" customFormat="false" ht="15" hidden="false" customHeight="false" outlineLevel="0" collapsed="false">
      <c r="A977" s="4" t="n">
        <v>973</v>
      </c>
      <c r="B977" s="14" t="n">
        <f aca="false">A977/12</f>
        <v>81.0833333333333</v>
      </c>
      <c r="C977" s="15" t="n">
        <f aca="false">INT(A977/6)</f>
        <v>162</v>
      </c>
      <c r="D977" s="16" t="n">
        <f aca="false">IF(C977=0,(1+Dic2024!$G$6)^(-B977),EXP(LN(INDEX(Dic2024!$H$6:$H$205,C977))+(LN(INDEX(Dic2024!$H$6:$H$205,MIN(C977+1,200)))-LN(INDEX(Dic2024!$H$6:$H$205,C977)))*(A977-6*C977)/6))</f>
        <v>0.00868452528007852</v>
      </c>
      <c r="E977" s="12" t="n">
        <f aca="false">D977^(-1/B977)-1</f>
        <v>0.0602820900000001</v>
      </c>
      <c r="F977" s="12" t="n">
        <f aca="false">(1+E977)^(1/12)-1</f>
        <v>0.00488983268157006</v>
      </c>
      <c r="G977" s="16" t="n">
        <f aca="false">IF(C977=0,(1+Dic2024!$J$6)^(-B977),EXP(LN(INDEX(Dic2024!$K$6:$K$205,C977))+(LN(INDEX(Dic2024!$K$6:$K$205,MIN(C977+1,200)))-LN(INDEX(Dic2024!$K$6:$K$205,C977)))*(A977-6*C977)/6))</f>
        <v>0.00868452528007852</v>
      </c>
      <c r="H977" s="12" t="n">
        <f aca="false">G977^(-1/B977)-1</f>
        <v>0.0602820900000001</v>
      </c>
      <c r="I977" s="12" t="n">
        <f aca="false">(1+H977)^(1/12)-1</f>
        <v>0.00488983268157006</v>
      </c>
      <c r="J977" s="16" t="n">
        <f aca="false">IF(C977=0,(1+Dic2024!$M$6)^(-B977),EXP(LN(INDEX(Dic2024!$N$6:$N$205,C977))+(LN(INDEX(Dic2024!$N$6:$N$205,MIN(C977+1,200)))-LN(INDEX(Dic2024!$N$6:$N$205,C977)))*(A977-6*C977)/6))</f>
        <v>0.00868452528007852</v>
      </c>
      <c r="K977" s="12" t="n">
        <f aca="false">J977^(-1/B977)-1</f>
        <v>0.0602820900000001</v>
      </c>
      <c r="L977" s="12" t="n">
        <f aca="false">(1+K977)^(1/12)-1</f>
        <v>0.00488983268157006</v>
      </c>
    </row>
    <row r="978" customFormat="false" ht="15" hidden="false" customHeight="false" outlineLevel="0" collapsed="false">
      <c r="A978" s="4" t="n">
        <v>974</v>
      </c>
      <c r="B978" s="14" t="n">
        <f aca="false">A978/12</f>
        <v>81.1666666666667</v>
      </c>
      <c r="C978" s="15" t="n">
        <f aca="false">INT(A978/6)</f>
        <v>162</v>
      </c>
      <c r="D978" s="16" t="n">
        <f aca="false">IF(C978=0,(1+Dic2024!$G$6)^(-B978),EXP(LN(INDEX(Dic2024!$H$6:$H$205,C978))+(LN(INDEX(Dic2024!$H$6:$H$205,MIN(C978+1,200)))-LN(INDEX(Dic2024!$H$6:$H$205,C978)))*(A978-6*C978)/6))</f>
        <v>0.00864226604512824</v>
      </c>
      <c r="E978" s="12" t="n">
        <f aca="false">D978^(-1/B978)-1</f>
        <v>0.0602820900000001</v>
      </c>
      <c r="F978" s="12" t="n">
        <f aca="false">(1+E978)^(1/12)-1</f>
        <v>0.00488983268157006</v>
      </c>
      <c r="G978" s="16" t="n">
        <f aca="false">IF(C978=0,(1+Dic2024!$J$6)^(-B978),EXP(LN(INDEX(Dic2024!$K$6:$K$205,C978))+(LN(INDEX(Dic2024!$K$6:$K$205,MIN(C978+1,200)))-LN(INDEX(Dic2024!$K$6:$K$205,C978)))*(A978-6*C978)/6))</f>
        <v>0.00864226604512824</v>
      </c>
      <c r="H978" s="12" t="n">
        <f aca="false">G978^(-1/B978)-1</f>
        <v>0.0602820900000001</v>
      </c>
      <c r="I978" s="12" t="n">
        <f aca="false">(1+H978)^(1/12)-1</f>
        <v>0.00488983268157006</v>
      </c>
      <c r="J978" s="16" t="n">
        <f aca="false">IF(C978=0,(1+Dic2024!$M$6)^(-B978),EXP(LN(INDEX(Dic2024!$N$6:$N$205,C978))+(LN(INDEX(Dic2024!$N$6:$N$205,MIN(C978+1,200)))-LN(INDEX(Dic2024!$N$6:$N$205,C978)))*(A978-6*C978)/6))</f>
        <v>0.00864226604512824</v>
      </c>
      <c r="K978" s="12" t="n">
        <f aca="false">J978^(-1/B978)-1</f>
        <v>0.0602820900000001</v>
      </c>
      <c r="L978" s="12" t="n">
        <f aca="false">(1+K978)^(1/12)-1</f>
        <v>0.00488983268157006</v>
      </c>
    </row>
    <row r="979" customFormat="false" ht="15" hidden="false" customHeight="false" outlineLevel="0" collapsed="false">
      <c r="A979" s="4" t="n">
        <v>975</v>
      </c>
      <c r="B979" s="14" t="n">
        <f aca="false">A979/12</f>
        <v>81.25</v>
      </c>
      <c r="C979" s="15" t="n">
        <f aca="false">INT(A979/6)</f>
        <v>162</v>
      </c>
      <c r="D979" s="16" t="n">
        <f aca="false">IF(C979=0,(1+Dic2024!$G$6)^(-B979),EXP(LN(INDEX(Dic2024!$H$6:$H$205,C979))+(LN(INDEX(Dic2024!$H$6:$H$205,MIN(C979+1,200)))-LN(INDEX(Dic2024!$H$6:$H$205,C979)))*(A979-6*C979)/6))</f>
        <v>0.00860021244524503</v>
      </c>
      <c r="E979" s="12" t="n">
        <f aca="false">D979^(-1/B979)-1</f>
        <v>0.0602820900000001</v>
      </c>
      <c r="F979" s="12" t="n">
        <f aca="false">(1+E979)^(1/12)-1</f>
        <v>0.00488983268157006</v>
      </c>
      <c r="G979" s="16" t="n">
        <f aca="false">IF(C979=0,(1+Dic2024!$J$6)^(-B979),EXP(LN(INDEX(Dic2024!$K$6:$K$205,C979))+(LN(INDEX(Dic2024!$K$6:$K$205,MIN(C979+1,200)))-LN(INDEX(Dic2024!$K$6:$K$205,C979)))*(A979-6*C979)/6))</f>
        <v>0.00860021244524503</v>
      </c>
      <c r="H979" s="12" t="n">
        <f aca="false">G979^(-1/B979)-1</f>
        <v>0.0602820900000001</v>
      </c>
      <c r="I979" s="12" t="n">
        <f aca="false">(1+H979)^(1/12)-1</f>
        <v>0.00488983268157006</v>
      </c>
      <c r="J979" s="16" t="n">
        <f aca="false">IF(C979=0,(1+Dic2024!$M$6)^(-B979),EXP(LN(INDEX(Dic2024!$N$6:$N$205,C979))+(LN(INDEX(Dic2024!$N$6:$N$205,MIN(C979+1,200)))-LN(INDEX(Dic2024!$N$6:$N$205,C979)))*(A979-6*C979)/6))</f>
        <v>0.00860021244524503</v>
      </c>
      <c r="K979" s="12" t="n">
        <f aca="false">J979^(-1/B979)-1</f>
        <v>0.0602820900000001</v>
      </c>
      <c r="L979" s="12" t="n">
        <f aca="false">(1+K979)^(1/12)-1</f>
        <v>0.00488983268157006</v>
      </c>
    </row>
    <row r="980" customFormat="false" ht="15" hidden="false" customHeight="false" outlineLevel="0" collapsed="false">
      <c r="A980" s="4" t="n">
        <v>976</v>
      </c>
      <c r="B980" s="14" t="n">
        <f aca="false">A980/12</f>
        <v>81.3333333333333</v>
      </c>
      <c r="C980" s="15" t="n">
        <f aca="false">INT(A980/6)</f>
        <v>162</v>
      </c>
      <c r="D980" s="16" t="n">
        <f aca="false">IF(C980=0,(1+Dic2024!$G$6)^(-B980),EXP(LN(INDEX(Dic2024!$H$6:$H$205,C980))+(LN(INDEX(Dic2024!$H$6:$H$205,MIN(C980+1,200)))-LN(INDEX(Dic2024!$H$6:$H$205,C980)))*(A980-6*C980)/6))</f>
        <v>0.00855836347980074</v>
      </c>
      <c r="E980" s="12" t="n">
        <f aca="false">D980^(-1/B980)-1</f>
        <v>0.0602820900000001</v>
      </c>
      <c r="F980" s="12" t="n">
        <f aca="false">(1+E980)^(1/12)-1</f>
        <v>0.00488983268157006</v>
      </c>
      <c r="G980" s="16" t="n">
        <f aca="false">IF(C980=0,(1+Dic2024!$J$6)^(-B980),EXP(LN(INDEX(Dic2024!$K$6:$K$205,C980))+(LN(INDEX(Dic2024!$K$6:$K$205,MIN(C980+1,200)))-LN(INDEX(Dic2024!$K$6:$K$205,C980)))*(A980-6*C980)/6))</f>
        <v>0.00855836347980074</v>
      </c>
      <c r="H980" s="12" t="n">
        <f aca="false">G980^(-1/B980)-1</f>
        <v>0.0602820900000001</v>
      </c>
      <c r="I980" s="12" t="n">
        <f aca="false">(1+H980)^(1/12)-1</f>
        <v>0.00488983268157006</v>
      </c>
      <c r="J980" s="16" t="n">
        <f aca="false">IF(C980=0,(1+Dic2024!$M$6)^(-B980),EXP(LN(INDEX(Dic2024!$N$6:$N$205,C980))+(LN(INDEX(Dic2024!$N$6:$N$205,MIN(C980+1,200)))-LN(INDEX(Dic2024!$N$6:$N$205,C980)))*(A980-6*C980)/6))</f>
        <v>0.00855836347980074</v>
      </c>
      <c r="K980" s="12" t="n">
        <f aca="false">J980^(-1/B980)-1</f>
        <v>0.0602820900000001</v>
      </c>
      <c r="L980" s="12" t="n">
        <f aca="false">(1+K980)^(1/12)-1</f>
        <v>0.00488983268157006</v>
      </c>
    </row>
    <row r="981" customFormat="false" ht="15" hidden="false" customHeight="false" outlineLevel="0" collapsed="false">
      <c r="A981" s="4" t="n">
        <v>977</v>
      </c>
      <c r="B981" s="14" t="n">
        <f aca="false">A981/12</f>
        <v>81.4166666666667</v>
      </c>
      <c r="C981" s="15" t="n">
        <f aca="false">INT(A981/6)</f>
        <v>162</v>
      </c>
      <c r="D981" s="16" t="n">
        <f aca="false">IF(C981=0,(1+Dic2024!$G$6)^(-B981),EXP(LN(INDEX(Dic2024!$H$6:$H$205,C981))+(LN(INDEX(Dic2024!$H$6:$H$205,MIN(C981+1,200)))-LN(INDEX(Dic2024!$H$6:$H$205,C981)))*(A981-6*C981)/6))</f>
        <v>0.00851671815303631</v>
      </c>
      <c r="E981" s="12" t="n">
        <f aca="false">D981^(-1/B981)-1</f>
        <v>0.0602820900000001</v>
      </c>
      <c r="F981" s="12" t="n">
        <f aca="false">(1+E981)^(1/12)-1</f>
        <v>0.00488983268157006</v>
      </c>
      <c r="G981" s="16" t="n">
        <f aca="false">IF(C981=0,(1+Dic2024!$J$6)^(-B981),EXP(LN(INDEX(Dic2024!$K$6:$K$205,C981))+(LN(INDEX(Dic2024!$K$6:$K$205,MIN(C981+1,200)))-LN(INDEX(Dic2024!$K$6:$K$205,C981)))*(A981-6*C981)/6))</f>
        <v>0.00851671815303631</v>
      </c>
      <c r="H981" s="12" t="n">
        <f aca="false">G981^(-1/B981)-1</f>
        <v>0.0602820900000001</v>
      </c>
      <c r="I981" s="12" t="n">
        <f aca="false">(1+H981)^(1/12)-1</f>
        <v>0.00488983268157006</v>
      </c>
      <c r="J981" s="16" t="n">
        <f aca="false">IF(C981=0,(1+Dic2024!$M$6)^(-B981),EXP(LN(INDEX(Dic2024!$N$6:$N$205,C981))+(LN(INDEX(Dic2024!$N$6:$N$205,MIN(C981+1,200)))-LN(INDEX(Dic2024!$N$6:$N$205,C981)))*(A981-6*C981)/6))</f>
        <v>0.00851671815303631</v>
      </c>
      <c r="K981" s="12" t="n">
        <f aca="false">J981^(-1/B981)-1</f>
        <v>0.0602820900000001</v>
      </c>
      <c r="L981" s="12" t="n">
        <f aca="false">(1+K981)^(1/12)-1</f>
        <v>0.00488983268157006</v>
      </c>
    </row>
    <row r="982" customFormat="false" ht="15" hidden="false" customHeight="false" outlineLevel="0" collapsed="false">
      <c r="A982" s="4" t="n">
        <v>978</v>
      </c>
      <c r="B982" s="14" t="n">
        <f aca="false">A982/12</f>
        <v>81.5</v>
      </c>
      <c r="C982" s="15" t="n">
        <f aca="false">INT(A982/6)</f>
        <v>163</v>
      </c>
      <c r="D982" s="16" t="n">
        <f aca="false">IF(C982=0,(1+Dic2024!$G$6)^(-B982),EXP(LN(INDEX(Dic2024!$H$6:$H$205,C982))+(LN(INDEX(Dic2024!$H$6:$H$205,MIN(C982+1,200)))-LN(INDEX(Dic2024!$H$6:$H$205,C982)))*(A982-6*C982)/6))</f>
        <v>0.00847527547403805</v>
      </c>
      <c r="E982" s="12" t="n">
        <f aca="false">D982^(-1/B982)-1</f>
        <v>0.0602820900000001</v>
      </c>
      <c r="F982" s="12" t="n">
        <f aca="false">(1+E982)^(1/12)-1</f>
        <v>0.00488983268157006</v>
      </c>
      <c r="G982" s="16" t="n">
        <f aca="false">IF(C982=0,(1+Dic2024!$J$6)^(-B982),EXP(LN(INDEX(Dic2024!$K$6:$K$205,C982))+(LN(INDEX(Dic2024!$K$6:$K$205,MIN(C982+1,200)))-LN(INDEX(Dic2024!$K$6:$K$205,C982)))*(A982-6*C982)/6))</f>
        <v>0.00847527547403805</v>
      </c>
      <c r="H982" s="12" t="n">
        <f aca="false">G982^(-1/B982)-1</f>
        <v>0.0602820900000001</v>
      </c>
      <c r="I982" s="12" t="n">
        <f aca="false">(1+H982)^(1/12)-1</f>
        <v>0.00488983268157006</v>
      </c>
      <c r="J982" s="16" t="n">
        <f aca="false">IF(C982=0,(1+Dic2024!$M$6)^(-B982),EXP(LN(INDEX(Dic2024!$N$6:$N$205,C982))+(LN(INDEX(Dic2024!$N$6:$N$205,MIN(C982+1,200)))-LN(INDEX(Dic2024!$N$6:$N$205,C982)))*(A982-6*C982)/6))</f>
        <v>0.00847527547403805</v>
      </c>
      <c r="K982" s="12" t="n">
        <f aca="false">J982^(-1/B982)-1</f>
        <v>0.0602820900000001</v>
      </c>
      <c r="L982" s="12" t="n">
        <f aca="false">(1+K982)^(1/12)-1</f>
        <v>0.00488983268157006</v>
      </c>
    </row>
    <row r="983" customFormat="false" ht="15" hidden="false" customHeight="false" outlineLevel="0" collapsed="false">
      <c r="A983" s="4" t="n">
        <v>979</v>
      </c>
      <c r="B983" s="14" t="n">
        <f aca="false">A983/12</f>
        <v>81.5833333333333</v>
      </c>
      <c r="C983" s="15" t="n">
        <f aca="false">INT(A983/6)</f>
        <v>163</v>
      </c>
      <c r="D983" s="16" t="n">
        <f aca="false">IF(C983=0,(1+Dic2024!$G$6)^(-B983),EXP(LN(INDEX(Dic2024!$H$6:$H$205,C983))+(LN(INDEX(Dic2024!$H$6:$H$205,MIN(C983+1,200)))-LN(INDEX(Dic2024!$H$6:$H$205,C983)))*(A983-6*C983)/6))</f>
        <v>0.00843403445671411</v>
      </c>
      <c r="E983" s="12" t="n">
        <f aca="false">D983^(-1/B983)-1</f>
        <v>0.0602820900000001</v>
      </c>
      <c r="F983" s="12" t="n">
        <f aca="false">(1+E983)^(1/12)-1</f>
        <v>0.00488983268157006</v>
      </c>
      <c r="G983" s="16" t="n">
        <f aca="false">IF(C983=0,(1+Dic2024!$J$6)^(-B983),EXP(LN(INDEX(Dic2024!$K$6:$K$205,C983))+(LN(INDEX(Dic2024!$K$6:$K$205,MIN(C983+1,200)))-LN(INDEX(Dic2024!$K$6:$K$205,C983)))*(A983-6*C983)/6))</f>
        <v>0.00843403445671411</v>
      </c>
      <c r="H983" s="12" t="n">
        <f aca="false">G983^(-1/B983)-1</f>
        <v>0.0602820900000001</v>
      </c>
      <c r="I983" s="12" t="n">
        <f aca="false">(1+H983)^(1/12)-1</f>
        <v>0.00488983268157006</v>
      </c>
      <c r="J983" s="16" t="n">
        <f aca="false">IF(C983=0,(1+Dic2024!$M$6)^(-B983),EXP(LN(INDEX(Dic2024!$N$6:$N$205,C983))+(LN(INDEX(Dic2024!$N$6:$N$205,MIN(C983+1,200)))-LN(INDEX(Dic2024!$N$6:$N$205,C983)))*(A983-6*C983)/6))</f>
        <v>0.00843403445671411</v>
      </c>
      <c r="K983" s="12" t="n">
        <f aca="false">J983^(-1/B983)-1</f>
        <v>0.0602820900000001</v>
      </c>
      <c r="L983" s="12" t="n">
        <f aca="false">(1+K983)^(1/12)-1</f>
        <v>0.00488983268157006</v>
      </c>
    </row>
    <row r="984" customFormat="false" ht="15" hidden="false" customHeight="false" outlineLevel="0" collapsed="false">
      <c r="A984" s="4" t="n">
        <v>980</v>
      </c>
      <c r="B984" s="14" t="n">
        <f aca="false">A984/12</f>
        <v>81.6666666666667</v>
      </c>
      <c r="C984" s="15" t="n">
        <f aca="false">INT(A984/6)</f>
        <v>163</v>
      </c>
      <c r="D984" s="16" t="n">
        <f aca="false">IF(C984=0,(1+Dic2024!$G$6)^(-B984),EXP(LN(INDEX(Dic2024!$H$6:$H$205,C984))+(LN(INDEX(Dic2024!$H$6:$H$205,MIN(C984+1,200)))-LN(INDEX(Dic2024!$H$6:$H$205,C984)))*(A984-6*C984)/6))</f>
        <v>0.00839299411977103</v>
      </c>
      <c r="E984" s="12" t="n">
        <f aca="false">D984^(-1/B984)-1</f>
        <v>0.0602820900000001</v>
      </c>
      <c r="F984" s="12" t="n">
        <f aca="false">(1+E984)^(1/12)-1</f>
        <v>0.00488983268157006</v>
      </c>
      <c r="G984" s="16" t="n">
        <f aca="false">IF(C984=0,(1+Dic2024!$J$6)^(-B984),EXP(LN(INDEX(Dic2024!$K$6:$K$205,C984))+(LN(INDEX(Dic2024!$K$6:$K$205,MIN(C984+1,200)))-LN(INDEX(Dic2024!$K$6:$K$205,C984)))*(A984-6*C984)/6))</f>
        <v>0.00839299411977103</v>
      </c>
      <c r="H984" s="12" t="n">
        <f aca="false">G984^(-1/B984)-1</f>
        <v>0.0602820900000001</v>
      </c>
      <c r="I984" s="12" t="n">
        <f aca="false">(1+H984)^(1/12)-1</f>
        <v>0.00488983268157006</v>
      </c>
      <c r="J984" s="16" t="n">
        <f aca="false">IF(C984=0,(1+Dic2024!$M$6)^(-B984),EXP(LN(INDEX(Dic2024!$N$6:$N$205,C984))+(LN(INDEX(Dic2024!$N$6:$N$205,MIN(C984+1,200)))-LN(INDEX(Dic2024!$N$6:$N$205,C984)))*(A984-6*C984)/6))</f>
        <v>0.00839299411977103</v>
      </c>
      <c r="K984" s="12" t="n">
        <f aca="false">J984^(-1/B984)-1</f>
        <v>0.0602820900000001</v>
      </c>
      <c r="L984" s="12" t="n">
        <f aca="false">(1+K984)^(1/12)-1</f>
        <v>0.00488983268157006</v>
      </c>
    </row>
    <row r="985" customFormat="false" ht="15" hidden="false" customHeight="false" outlineLevel="0" collapsed="false">
      <c r="A985" s="4" t="n">
        <v>981</v>
      </c>
      <c r="B985" s="14" t="n">
        <f aca="false">A985/12</f>
        <v>81.75</v>
      </c>
      <c r="C985" s="15" t="n">
        <f aca="false">INT(A985/6)</f>
        <v>163</v>
      </c>
      <c r="D985" s="16" t="n">
        <f aca="false">IF(C985=0,(1+Dic2024!$G$6)^(-B985),EXP(LN(INDEX(Dic2024!$H$6:$H$205,C985))+(LN(INDEX(Dic2024!$H$6:$H$205,MIN(C985+1,200)))-LN(INDEX(Dic2024!$H$6:$H$205,C985)))*(A985-6*C985)/6))</f>
        <v>0.00835215348669033</v>
      </c>
      <c r="E985" s="12" t="n">
        <f aca="false">D985^(-1/B985)-1</f>
        <v>0.0602820900000001</v>
      </c>
      <c r="F985" s="12" t="n">
        <f aca="false">(1+E985)^(1/12)-1</f>
        <v>0.00488983268157006</v>
      </c>
      <c r="G985" s="16" t="n">
        <f aca="false">IF(C985=0,(1+Dic2024!$J$6)^(-B985),EXP(LN(INDEX(Dic2024!$K$6:$K$205,C985))+(LN(INDEX(Dic2024!$K$6:$K$205,MIN(C985+1,200)))-LN(INDEX(Dic2024!$K$6:$K$205,C985)))*(A985-6*C985)/6))</f>
        <v>0.00835215348669033</v>
      </c>
      <c r="H985" s="12" t="n">
        <f aca="false">G985^(-1/B985)-1</f>
        <v>0.0602820900000001</v>
      </c>
      <c r="I985" s="12" t="n">
        <f aca="false">(1+H985)^(1/12)-1</f>
        <v>0.00488983268157006</v>
      </c>
      <c r="J985" s="16" t="n">
        <f aca="false">IF(C985=0,(1+Dic2024!$M$6)^(-B985),EXP(LN(INDEX(Dic2024!$N$6:$N$205,C985))+(LN(INDEX(Dic2024!$N$6:$N$205,MIN(C985+1,200)))-LN(INDEX(Dic2024!$N$6:$N$205,C985)))*(A985-6*C985)/6))</f>
        <v>0.00835215348669033</v>
      </c>
      <c r="K985" s="12" t="n">
        <f aca="false">J985^(-1/B985)-1</f>
        <v>0.0602820900000001</v>
      </c>
      <c r="L985" s="12" t="n">
        <f aca="false">(1+K985)^(1/12)-1</f>
        <v>0.00488983268157006</v>
      </c>
    </row>
    <row r="986" customFormat="false" ht="15" hidden="false" customHeight="false" outlineLevel="0" collapsed="false">
      <c r="A986" s="4" t="n">
        <v>982</v>
      </c>
      <c r="B986" s="14" t="n">
        <f aca="false">A986/12</f>
        <v>81.8333333333333</v>
      </c>
      <c r="C986" s="15" t="n">
        <f aca="false">INT(A986/6)</f>
        <v>163</v>
      </c>
      <c r="D986" s="16" t="n">
        <f aca="false">IF(C986=0,(1+Dic2024!$G$6)^(-B986),EXP(LN(INDEX(Dic2024!$H$6:$H$205,C986))+(LN(INDEX(Dic2024!$H$6:$H$205,MIN(C986+1,200)))-LN(INDEX(Dic2024!$H$6:$H$205,C986)))*(A986-6*C986)/6))</f>
        <v>0.0083115115857053</v>
      </c>
      <c r="E986" s="12" t="n">
        <f aca="false">D986^(-1/B986)-1</f>
        <v>0.0602820900000001</v>
      </c>
      <c r="F986" s="12" t="n">
        <f aca="false">(1+E986)^(1/12)-1</f>
        <v>0.00488983268157006</v>
      </c>
      <c r="G986" s="16" t="n">
        <f aca="false">IF(C986=0,(1+Dic2024!$J$6)^(-B986),EXP(LN(INDEX(Dic2024!$K$6:$K$205,C986))+(LN(INDEX(Dic2024!$K$6:$K$205,MIN(C986+1,200)))-LN(INDEX(Dic2024!$K$6:$K$205,C986)))*(A986-6*C986)/6))</f>
        <v>0.0083115115857053</v>
      </c>
      <c r="H986" s="12" t="n">
        <f aca="false">G986^(-1/B986)-1</f>
        <v>0.0602820900000001</v>
      </c>
      <c r="I986" s="12" t="n">
        <f aca="false">(1+H986)^(1/12)-1</f>
        <v>0.00488983268157006</v>
      </c>
      <c r="J986" s="16" t="n">
        <f aca="false">IF(C986=0,(1+Dic2024!$M$6)^(-B986),EXP(LN(INDEX(Dic2024!$N$6:$N$205,C986))+(LN(INDEX(Dic2024!$N$6:$N$205,MIN(C986+1,200)))-LN(INDEX(Dic2024!$N$6:$N$205,C986)))*(A986-6*C986)/6))</f>
        <v>0.0083115115857053</v>
      </c>
      <c r="K986" s="12" t="n">
        <f aca="false">J986^(-1/B986)-1</f>
        <v>0.0602820900000001</v>
      </c>
      <c r="L986" s="12" t="n">
        <f aca="false">(1+K986)^(1/12)-1</f>
        <v>0.00488983268157006</v>
      </c>
    </row>
    <row r="987" customFormat="false" ht="15" hidden="false" customHeight="false" outlineLevel="0" collapsed="false">
      <c r="A987" s="4" t="n">
        <v>983</v>
      </c>
      <c r="B987" s="14" t="n">
        <f aca="false">A987/12</f>
        <v>81.9166666666667</v>
      </c>
      <c r="C987" s="15" t="n">
        <f aca="false">INT(A987/6)</f>
        <v>163</v>
      </c>
      <c r="D987" s="16" t="n">
        <f aca="false">IF(C987=0,(1+Dic2024!$G$6)^(-B987),EXP(LN(INDEX(Dic2024!$H$6:$H$205,C987))+(LN(INDEX(Dic2024!$H$6:$H$205,MIN(C987+1,200)))-LN(INDEX(Dic2024!$H$6:$H$205,C987)))*(A987-6*C987)/6))</f>
        <v>0.0082710674497779</v>
      </c>
      <c r="E987" s="12" t="n">
        <f aca="false">D987^(-1/B987)-1</f>
        <v>0.0602820900000001</v>
      </c>
      <c r="F987" s="12" t="n">
        <f aca="false">(1+E987)^(1/12)-1</f>
        <v>0.00488983268157006</v>
      </c>
      <c r="G987" s="16" t="n">
        <f aca="false">IF(C987=0,(1+Dic2024!$J$6)^(-B987),EXP(LN(INDEX(Dic2024!$K$6:$K$205,C987))+(LN(INDEX(Dic2024!$K$6:$K$205,MIN(C987+1,200)))-LN(INDEX(Dic2024!$K$6:$K$205,C987)))*(A987-6*C987)/6))</f>
        <v>0.0082710674497779</v>
      </c>
      <c r="H987" s="12" t="n">
        <f aca="false">G987^(-1/B987)-1</f>
        <v>0.0602820900000001</v>
      </c>
      <c r="I987" s="12" t="n">
        <f aca="false">(1+H987)^(1/12)-1</f>
        <v>0.00488983268157006</v>
      </c>
      <c r="J987" s="16" t="n">
        <f aca="false">IF(C987=0,(1+Dic2024!$M$6)^(-B987),EXP(LN(INDEX(Dic2024!$N$6:$N$205,C987))+(LN(INDEX(Dic2024!$N$6:$N$205,MIN(C987+1,200)))-LN(INDEX(Dic2024!$N$6:$N$205,C987)))*(A987-6*C987)/6))</f>
        <v>0.0082710674497779</v>
      </c>
      <c r="K987" s="12" t="n">
        <f aca="false">J987^(-1/B987)-1</f>
        <v>0.0602820900000001</v>
      </c>
      <c r="L987" s="12" t="n">
        <f aca="false">(1+K987)^(1/12)-1</f>
        <v>0.00488983268157006</v>
      </c>
    </row>
    <row r="988" customFormat="false" ht="15" hidden="false" customHeight="false" outlineLevel="0" collapsed="false">
      <c r="A988" s="4" t="n">
        <v>984</v>
      </c>
      <c r="B988" s="14" t="n">
        <f aca="false">A988/12</f>
        <v>82</v>
      </c>
      <c r="C988" s="15" t="n">
        <f aca="false">INT(A988/6)</f>
        <v>164</v>
      </c>
      <c r="D988" s="16" t="n">
        <f aca="false">IF(C988=0,(1+Dic2024!$G$6)^(-B988),EXP(LN(INDEX(Dic2024!$H$6:$H$205,C988))+(LN(INDEX(Dic2024!$H$6:$H$205,MIN(C988+1,200)))-LN(INDEX(Dic2024!$H$6:$H$205,C988)))*(A988-6*C988)/6))</f>
        <v>0.00823082011657574</v>
      </c>
      <c r="E988" s="12" t="n">
        <f aca="false">D988^(-1/B988)-1</f>
        <v>0.0602820900000001</v>
      </c>
      <c r="F988" s="12" t="n">
        <f aca="false">(1+E988)^(1/12)-1</f>
        <v>0.00488983268157006</v>
      </c>
      <c r="G988" s="16" t="n">
        <f aca="false">IF(C988=0,(1+Dic2024!$J$6)^(-B988),EXP(LN(INDEX(Dic2024!$K$6:$K$205,C988))+(LN(INDEX(Dic2024!$K$6:$K$205,MIN(C988+1,200)))-LN(INDEX(Dic2024!$K$6:$K$205,C988)))*(A988-6*C988)/6))</f>
        <v>0.00823082011657574</v>
      </c>
      <c r="H988" s="12" t="n">
        <f aca="false">G988^(-1/B988)-1</f>
        <v>0.0602820900000001</v>
      </c>
      <c r="I988" s="12" t="n">
        <f aca="false">(1+H988)^(1/12)-1</f>
        <v>0.00488983268157006</v>
      </c>
      <c r="J988" s="16" t="n">
        <f aca="false">IF(C988=0,(1+Dic2024!$M$6)^(-B988),EXP(LN(INDEX(Dic2024!$N$6:$N$205,C988))+(LN(INDEX(Dic2024!$N$6:$N$205,MIN(C988+1,200)))-LN(INDEX(Dic2024!$N$6:$N$205,C988)))*(A988-6*C988)/6))</f>
        <v>0.00823082011657574</v>
      </c>
      <c r="K988" s="12" t="n">
        <f aca="false">J988^(-1/B988)-1</f>
        <v>0.0602820900000001</v>
      </c>
      <c r="L988" s="12" t="n">
        <f aca="false">(1+K988)^(1/12)-1</f>
        <v>0.00488983268157006</v>
      </c>
    </row>
    <row r="989" customFormat="false" ht="15" hidden="false" customHeight="false" outlineLevel="0" collapsed="false">
      <c r="A989" s="4" t="n">
        <v>985</v>
      </c>
      <c r="B989" s="14" t="n">
        <f aca="false">A989/12</f>
        <v>82.0833333333333</v>
      </c>
      <c r="C989" s="15" t="n">
        <f aca="false">INT(A989/6)</f>
        <v>164</v>
      </c>
      <c r="D989" s="16" t="n">
        <f aca="false">IF(C989=0,(1+Dic2024!$G$6)^(-B989),EXP(LN(INDEX(Dic2024!$H$6:$H$205,C989))+(LN(INDEX(Dic2024!$H$6:$H$205,MIN(C989+1,200)))-LN(INDEX(Dic2024!$H$6:$H$205,C989)))*(A989-6*C989)/6))</f>
        <v>0.00819076862844917</v>
      </c>
      <c r="E989" s="12" t="n">
        <f aca="false">D989^(-1/B989)-1</f>
        <v>0.0602820900000001</v>
      </c>
      <c r="F989" s="12" t="n">
        <f aca="false">(1+E989)^(1/12)-1</f>
        <v>0.00488983268157006</v>
      </c>
      <c r="G989" s="16" t="n">
        <f aca="false">IF(C989=0,(1+Dic2024!$J$6)^(-B989),EXP(LN(INDEX(Dic2024!$K$6:$K$205,C989))+(LN(INDEX(Dic2024!$K$6:$K$205,MIN(C989+1,200)))-LN(INDEX(Dic2024!$K$6:$K$205,C989)))*(A989-6*C989)/6))</f>
        <v>0.00819076862844917</v>
      </c>
      <c r="H989" s="12" t="n">
        <f aca="false">G989^(-1/B989)-1</f>
        <v>0.0602820900000001</v>
      </c>
      <c r="I989" s="12" t="n">
        <f aca="false">(1+H989)^(1/12)-1</f>
        <v>0.00488983268157006</v>
      </c>
      <c r="J989" s="16" t="n">
        <f aca="false">IF(C989=0,(1+Dic2024!$M$6)^(-B989),EXP(LN(INDEX(Dic2024!$N$6:$N$205,C989))+(LN(INDEX(Dic2024!$N$6:$N$205,MIN(C989+1,200)))-LN(INDEX(Dic2024!$N$6:$N$205,C989)))*(A989-6*C989)/6))</f>
        <v>0.00819076862844917</v>
      </c>
      <c r="K989" s="12" t="n">
        <f aca="false">J989^(-1/B989)-1</f>
        <v>0.0602820900000001</v>
      </c>
      <c r="L989" s="12" t="n">
        <f aca="false">(1+K989)^(1/12)-1</f>
        <v>0.00488983268157006</v>
      </c>
    </row>
    <row r="990" customFormat="false" ht="15" hidden="false" customHeight="false" outlineLevel="0" collapsed="false">
      <c r="A990" s="4" t="n">
        <v>986</v>
      </c>
      <c r="B990" s="14" t="n">
        <f aca="false">A990/12</f>
        <v>82.1666666666667</v>
      </c>
      <c r="C990" s="15" t="n">
        <f aca="false">INT(A990/6)</f>
        <v>164</v>
      </c>
      <c r="D990" s="16" t="n">
        <f aca="false">IF(C990=0,(1+Dic2024!$G$6)^(-B990),EXP(LN(INDEX(Dic2024!$H$6:$H$205,C990))+(LN(INDEX(Dic2024!$H$6:$H$205,MIN(C990+1,200)))-LN(INDEX(Dic2024!$H$6:$H$205,C990)))*(A990-6*C990)/6))</f>
        <v>0.0081509120324085</v>
      </c>
      <c r="E990" s="12" t="n">
        <f aca="false">D990^(-1/B990)-1</f>
        <v>0.0602820900000001</v>
      </c>
      <c r="F990" s="12" t="n">
        <f aca="false">(1+E990)^(1/12)-1</f>
        <v>0.00488983268157006</v>
      </c>
      <c r="G990" s="16" t="n">
        <f aca="false">IF(C990=0,(1+Dic2024!$J$6)^(-B990),EXP(LN(INDEX(Dic2024!$K$6:$K$205,C990))+(LN(INDEX(Dic2024!$K$6:$K$205,MIN(C990+1,200)))-LN(INDEX(Dic2024!$K$6:$K$205,C990)))*(A990-6*C990)/6))</f>
        <v>0.0081509120324085</v>
      </c>
      <c r="H990" s="12" t="n">
        <f aca="false">G990^(-1/B990)-1</f>
        <v>0.0602820900000001</v>
      </c>
      <c r="I990" s="12" t="n">
        <f aca="false">(1+H990)^(1/12)-1</f>
        <v>0.00488983268157006</v>
      </c>
      <c r="J990" s="16" t="n">
        <f aca="false">IF(C990=0,(1+Dic2024!$M$6)^(-B990),EXP(LN(INDEX(Dic2024!$N$6:$N$205,C990))+(LN(INDEX(Dic2024!$N$6:$N$205,MIN(C990+1,200)))-LN(INDEX(Dic2024!$N$6:$N$205,C990)))*(A990-6*C990)/6))</f>
        <v>0.0081509120324085</v>
      </c>
      <c r="K990" s="12" t="n">
        <f aca="false">J990^(-1/B990)-1</f>
        <v>0.0602820900000001</v>
      </c>
      <c r="L990" s="12" t="n">
        <f aca="false">(1+K990)^(1/12)-1</f>
        <v>0.00488983268157006</v>
      </c>
    </row>
    <row r="991" customFormat="false" ht="15" hidden="false" customHeight="false" outlineLevel="0" collapsed="false">
      <c r="A991" s="4" t="n">
        <v>987</v>
      </c>
      <c r="B991" s="14" t="n">
        <f aca="false">A991/12</f>
        <v>82.25</v>
      </c>
      <c r="C991" s="15" t="n">
        <f aca="false">INT(A991/6)</f>
        <v>164</v>
      </c>
      <c r="D991" s="16" t="n">
        <f aca="false">IF(C991=0,(1+Dic2024!$G$6)^(-B991),EXP(LN(INDEX(Dic2024!$H$6:$H$205,C991))+(LN(INDEX(Dic2024!$H$6:$H$205,MIN(C991+1,200)))-LN(INDEX(Dic2024!$H$6:$H$205,C991)))*(A991-6*C991)/6))</f>
        <v>0.00811124938010131</v>
      </c>
      <c r="E991" s="12" t="n">
        <f aca="false">D991^(-1/B991)-1</f>
        <v>0.0602820900000001</v>
      </c>
      <c r="F991" s="12" t="n">
        <f aca="false">(1+E991)^(1/12)-1</f>
        <v>0.00488983268157006</v>
      </c>
      <c r="G991" s="16" t="n">
        <f aca="false">IF(C991=0,(1+Dic2024!$J$6)^(-B991),EXP(LN(INDEX(Dic2024!$K$6:$K$205,C991))+(LN(INDEX(Dic2024!$K$6:$K$205,MIN(C991+1,200)))-LN(INDEX(Dic2024!$K$6:$K$205,C991)))*(A991-6*C991)/6))</f>
        <v>0.00811124938010131</v>
      </c>
      <c r="H991" s="12" t="n">
        <f aca="false">G991^(-1/B991)-1</f>
        <v>0.0602820900000001</v>
      </c>
      <c r="I991" s="12" t="n">
        <f aca="false">(1+H991)^(1/12)-1</f>
        <v>0.00488983268157006</v>
      </c>
      <c r="J991" s="16" t="n">
        <f aca="false">IF(C991=0,(1+Dic2024!$M$6)^(-B991),EXP(LN(INDEX(Dic2024!$N$6:$N$205,C991))+(LN(INDEX(Dic2024!$N$6:$N$205,MIN(C991+1,200)))-LN(INDEX(Dic2024!$N$6:$N$205,C991)))*(A991-6*C991)/6))</f>
        <v>0.00811124938010131</v>
      </c>
      <c r="K991" s="12" t="n">
        <f aca="false">J991^(-1/B991)-1</f>
        <v>0.0602820900000001</v>
      </c>
      <c r="L991" s="12" t="n">
        <f aca="false">(1+K991)^(1/12)-1</f>
        <v>0.00488983268157006</v>
      </c>
    </row>
    <row r="992" customFormat="false" ht="15" hidden="false" customHeight="false" outlineLevel="0" collapsed="false">
      <c r="A992" s="4" t="n">
        <v>988</v>
      </c>
      <c r="B992" s="14" t="n">
        <f aca="false">A992/12</f>
        <v>82.3333333333333</v>
      </c>
      <c r="C992" s="15" t="n">
        <f aca="false">INT(A992/6)</f>
        <v>164</v>
      </c>
      <c r="D992" s="16" t="n">
        <f aca="false">IF(C992=0,(1+Dic2024!$G$6)^(-B992),EXP(LN(INDEX(Dic2024!$H$6:$H$205,C992))+(LN(INDEX(Dic2024!$H$6:$H$205,MIN(C992+1,200)))-LN(INDEX(Dic2024!$H$6:$H$205,C992)))*(A992-6*C992)/6))</f>
        <v>0.00807177972778993</v>
      </c>
      <c r="E992" s="12" t="n">
        <f aca="false">D992^(-1/B992)-1</f>
        <v>0.0602820900000001</v>
      </c>
      <c r="F992" s="12" t="n">
        <f aca="false">(1+E992)^(1/12)-1</f>
        <v>0.00488983268157006</v>
      </c>
      <c r="G992" s="16" t="n">
        <f aca="false">IF(C992=0,(1+Dic2024!$J$6)^(-B992),EXP(LN(INDEX(Dic2024!$K$6:$K$205,C992))+(LN(INDEX(Dic2024!$K$6:$K$205,MIN(C992+1,200)))-LN(INDEX(Dic2024!$K$6:$K$205,C992)))*(A992-6*C992)/6))</f>
        <v>0.00807177972778993</v>
      </c>
      <c r="H992" s="12" t="n">
        <f aca="false">G992^(-1/B992)-1</f>
        <v>0.0602820900000001</v>
      </c>
      <c r="I992" s="12" t="n">
        <f aca="false">(1+H992)^(1/12)-1</f>
        <v>0.00488983268157006</v>
      </c>
      <c r="J992" s="16" t="n">
        <f aca="false">IF(C992=0,(1+Dic2024!$M$6)^(-B992),EXP(LN(INDEX(Dic2024!$N$6:$N$205,C992))+(LN(INDEX(Dic2024!$N$6:$N$205,MIN(C992+1,200)))-LN(INDEX(Dic2024!$N$6:$N$205,C992)))*(A992-6*C992)/6))</f>
        <v>0.00807177972778993</v>
      </c>
      <c r="K992" s="12" t="n">
        <f aca="false">J992^(-1/B992)-1</f>
        <v>0.0602820900000001</v>
      </c>
      <c r="L992" s="12" t="n">
        <f aca="false">(1+K992)^(1/12)-1</f>
        <v>0.00488983268157006</v>
      </c>
    </row>
    <row r="993" customFormat="false" ht="15" hidden="false" customHeight="false" outlineLevel="0" collapsed="false">
      <c r="A993" s="4" t="n">
        <v>989</v>
      </c>
      <c r="B993" s="14" t="n">
        <f aca="false">A993/12</f>
        <v>82.4166666666667</v>
      </c>
      <c r="C993" s="15" t="n">
        <f aca="false">INT(A993/6)</f>
        <v>164</v>
      </c>
      <c r="D993" s="16" t="n">
        <f aca="false">IF(C993=0,(1+Dic2024!$G$6)^(-B993),EXP(LN(INDEX(Dic2024!$H$6:$H$205,C993))+(LN(INDEX(Dic2024!$H$6:$H$205,MIN(C993+1,200)))-LN(INDEX(Dic2024!$H$6:$H$205,C993)))*(A993-6*C993)/6))</f>
        <v>0.00803250213632893</v>
      </c>
      <c r="E993" s="12" t="n">
        <f aca="false">D993^(-1/B993)-1</f>
        <v>0.0602820900000001</v>
      </c>
      <c r="F993" s="12" t="n">
        <f aca="false">(1+E993)^(1/12)-1</f>
        <v>0.00488983268157006</v>
      </c>
      <c r="G993" s="16" t="n">
        <f aca="false">IF(C993=0,(1+Dic2024!$J$6)^(-B993),EXP(LN(INDEX(Dic2024!$K$6:$K$205,C993))+(LN(INDEX(Dic2024!$K$6:$K$205,MIN(C993+1,200)))-LN(INDEX(Dic2024!$K$6:$K$205,C993)))*(A993-6*C993)/6))</f>
        <v>0.00803250213632893</v>
      </c>
      <c r="H993" s="12" t="n">
        <f aca="false">G993^(-1/B993)-1</f>
        <v>0.0602820900000001</v>
      </c>
      <c r="I993" s="12" t="n">
        <f aca="false">(1+H993)^(1/12)-1</f>
        <v>0.00488983268157006</v>
      </c>
      <c r="J993" s="16" t="n">
        <f aca="false">IF(C993=0,(1+Dic2024!$M$6)^(-B993),EXP(LN(INDEX(Dic2024!$N$6:$N$205,C993))+(LN(INDEX(Dic2024!$N$6:$N$205,MIN(C993+1,200)))-LN(INDEX(Dic2024!$N$6:$N$205,C993)))*(A993-6*C993)/6))</f>
        <v>0.00803250213632893</v>
      </c>
      <c r="K993" s="12" t="n">
        <f aca="false">J993^(-1/B993)-1</f>
        <v>0.0602820900000001</v>
      </c>
      <c r="L993" s="12" t="n">
        <f aca="false">(1+K993)^(1/12)-1</f>
        <v>0.00488983268157006</v>
      </c>
    </row>
    <row r="994" customFormat="false" ht="15" hidden="false" customHeight="false" outlineLevel="0" collapsed="false">
      <c r="A994" s="4" t="n">
        <v>990</v>
      </c>
      <c r="B994" s="14" t="n">
        <f aca="false">A994/12</f>
        <v>82.5</v>
      </c>
      <c r="C994" s="15" t="n">
        <f aca="false">INT(A994/6)</f>
        <v>165</v>
      </c>
      <c r="D994" s="16" t="n">
        <f aca="false">IF(C994=0,(1+Dic2024!$G$6)^(-B994),EXP(LN(INDEX(Dic2024!$H$6:$H$205,C994))+(LN(INDEX(Dic2024!$H$6:$H$205,MIN(C994+1,200)))-LN(INDEX(Dic2024!$H$6:$H$205,C994)))*(A994-6*C994)/6))</f>
        <v>0.0079934156711428</v>
      </c>
      <c r="E994" s="12" t="n">
        <f aca="false">D994^(-1/B994)-1</f>
        <v>0.0602820900000001</v>
      </c>
      <c r="F994" s="12" t="n">
        <f aca="false">(1+E994)^(1/12)-1</f>
        <v>0.00488983268157006</v>
      </c>
      <c r="G994" s="16" t="n">
        <f aca="false">IF(C994=0,(1+Dic2024!$J$6)^(-B994),EXP(LN(INDEX(Dic2024!$K$6:$K$205,C994))+(LN(INDEX(Dic2024!$K$6:$K$205,MIN(C994+1,200)))-LN(INDEX(Dic2024!$K$6:$K$205,C994)))*(A994-6*C994)/6))</f>
        <v>0.0079934156711428</v>
      </c>
      <c r="H994" s="12" t="n">
        <f aca="false">G994^(-1/B994)-1</f>
        <v>0.0602820900000001</v>
      </c>
      <c r="I994" s="12" t="n">
        <f aca="false">(1+H994)^(1/12)-1</f>
        <v>0.00488983268157006</v>
      </c>
      <c r="J994" s="16" t="n">
        <f aca="false">IF(C994=0,(1+Dic2024!$M$6)^(-B994),EXP(LN(INDEX(Dic2024!$N$6:$N$205,C994))+(LN(INDEX(Dic2024!$N$6:$N$205,MIN(C994+1,200)))-LN(INDEX(Dic2024!$N$6:$N$205,C994)))*(A994-6*C994)/6))</f>
        <v>0.0079934156711428</v>
      </c>
      <c r="K994" s="12" t="n">
        <f aca="false">J994^(-1/B994)-1</f>
        <v>0.0602820900000001</v>
      </c>
      <c r="L994" s="12" t="n">
        <f aca="false">(1+K994)^(1/12)-1</f>
        <v>0.00488983268157006</v>
      </c>
    </row>
    <row r="995" customFormat="false" ht="15" hidden="false" customHeight="false" outlineLevel="0" collapsed="false">
      <c r="A995" s="4" t="n">
        <v>991</v>
      </c>
      <c r="B995" s="14" t="n">
        <f aca="false">A995/12</f>
        <v>82.5833333333333</v>
      </c>
      <c r="C995" s="15" t="n">
        <f aca="false">INT(A995/6)</f>
        <v>165</v>
      </c>
      <c r="D995" s="16" t="n">
        <f aca="false">IF(C995=0,(1+Dic2024!$G$6)^(-B995),EXP(LN(INDEX(Dic2024!$H$6:$H$205,C995))+(LN(INDEX(Dic2024!$H$6:$H$205,MIN(C995+1,200)))-LN(INDEX(Dic2024!$H$6:$H$205,C995)))*(A995-6*C995)/6))</f>
        <v>0.00795451940220372</v>
      </c>
      <c r="E995" s="12" t="n">
        <f aca="false">D995^(-1/B995)-1</f>
        <v>0.0602820900000001</v>
      </c>
      <c r="F995" s="12" t="n">
        <f aca="false">(1+E995)^(1/12)-1</f>
        <v>0.00488983268157006</v>
      </c>
      <c r="G995" s="16" t="n">
        <f aca="false">IF(C995=0,(1+Dic2024!$J$6)^(-B995),EXP(LN(INDEX(Dic2024!$K$6:$K$205,C995))+(LN(INDEX(Dic2024!$K$6:$K$205,MIN(C995+1,200)))-LN(INDEX(Dic2024!$K$6:$K$205,C995)))*(A995-6*C995)/6))</f>
        <v>0.00795451940220372</v>
      </c>
      <c r="H995" s="12" t="n">
        <f aca="false">G995^(-1/B995)-1</f>
        <v>0.0602820900000001</v>
      </c>
      <c r="I995" s="12" t="n">
        <f aca="false">(1+H995)^(1/12)-1</f>
        <v>0.00488983268157006</v>
      </c>
      <c r="J995" s="16" t="n">
        <f aca="false">IF(C995=0,(1+Dic2024!$M$6)^(-B995),EXP(LN(INDEX(Dic2024!$N$6:$N$205,C995))+(LN(INDEX(Dic2024!$N$6:$N$205,MIN(C995+1,200)))-LN(INDEX(Dic2024!$N$6:$N$205,C995)))*(A995-6*C995)/6))</f>
        <v>0.00795451940220372</v>
      </c>
      <c r="K995" s="12" t="n">
        <f aca="false">J995^(-1/B995)-1</f>
        <v>0.0602820900000001</v>
      </c>
      <c r="L995" s="12" t="n">
        <f aca="false">(1+K995)^(1/12)-1</f>
        <v>0.00488983268157006</v>
      </c>
    </row>
    <row r="996" customFormat="false" ht="15" hidden="false" customHeight="false" outlineLevel="0" collapsed="false">
      <c r="A996" s="4" t="n">
        <v>992</v>
      </c>
      <c r="B996" s="14" t="n">
        <f aca="false">A996/12</f>
        <v>82.6666666666667</v>
      </c>
      <c r="C996" s="15" t="n">
        <f aca="false">INT(A996/6)</f>
        <v>165</v>
      </c>
      <c r="D996" s="16" t="n">
        <f aca="false">IF(C996=0,(1+Dic2024!$G$6)^(-B996),EXP(LN(INDEX(Dic2024!$H$6:$H$205,C996))+(LN(INDEX(Dic2024!$H$6:$H$205,MIN(C996+1,200)))-LN(INDEX(Dic2024!$H$6:$H$205,C996)))*(A996-6*C996)/6))</f>
        <v>0.00791581240400942</v>
      </c>
      <c r="E996" s="12" t="n">
        <f aca="false">D996^(-1/B996)-1</f>
        <v>0.0602820900000001</v>
      </c>
      <c r="F996" s="12" t="n">
        <f aca="false">(1+E996)^(1/12)-1</f>
        <v>0.00488983268157006</v>
      </c>
      <c r="G996" s="16" t="n">
        <f aca="false">IF(C996=0,(1+Dic2024!$J$6)^(-B996),EXP(LN(INDEX(Dic2024!$K$6:$K$205,C996))+(LN(INDEX(Dic2024!$K$6:$K$205,MIN(C996+1,200)))-LN(INDEX(Dic2024!$K$6:$K$205,C996)))*(A996-6*C996)/6))</f>
        <v>0.00791581240400942</v>
      </c>
      <c r="H996" s="12" t="n">
        <f aca="false">G996^(-1/B996)-1</f>
        <v>0.0602820900000001</v>
      </c>
      <c r="I996" s="12" t="n">
        <f aca="false">(1+H996)^(1/12)-1</f>
        <v>0.00488983268157006</v>
      </c>
      <c r="J996" s="16" t="n">
        <f aca="false">IF(C996=0,(1+Dic2024!$M$6)^(-B996),EXP(LN(INDEX(Dic2024!$N$6:$N$205,C996))+(LN(INDEX(Dic2024!$N$6:$N$205,MIN(C996+1,200)))-LN(INDEX(Dic2024!$N$6:$N$205,C996)))*(A996-6*C996)/6))</f>
        <v>0.00791581240400942</v>
      </c>
      <c r="K996" s="12" t="n">
        <f aca="false">J996^(-1/B996)-1</f>
        <v>0.0602820900000001</v>
      </c>
      <c r="L996" s="12" t="n">
        <f aca="false">(1+K996)^(1/12)-1</f>
        <v>0.00488983268157006</v>
      </c>
    </row>
    <row r="997" customFormat="false" ht="15" hidden="false" customHeight="false" outlineLevel="0" collapsed="false">
      <c r="A997" s="4" t="n">
        <v>993</v>
      </c>
      <c r="B997" s="14" t="n">
        <f aca="false">A997/12</f>
        <v>82.75</v>
      </c>
      <c r="C997" s="15" t="n">
        <f aca="false">INT(A997/6)</f>
        <v>165</v>
      </c>
      <c r="D997" s="16" t="n">
        <f aca="false">IF(C997=0,(1+Dic2024!$G$6)^(-B997),EXP(LN(INDEX(Dic2024!$H$6:$H$205,C997))+(LN(INDEX(Dic2024!$H$6:$H$205,MIN(C997+1,200)))-LN(INDEX(Dic2024!$H$6:$H$205,C997)))*(A997-6*C997)/6))</f>
        <v>0.00787729375556115</v>
      </c>
      <c r="E997" s="12" t="n">
        <f aca="false">D997^(-1/B997)-1</f>
        <v>0.0602820900000001</v>
      </c>
      <c r="F997" s="12" t="n">
        <f aca="false">(1+E997)^(1/12)-1</f>
        <v>0.00488983268157006</v>
      </c>
      <c r="G997" s="16" t="n">
        <f aca="false">IF(C997=0,(1+Dic2024!$J$6)^(-B997),EXP(LN(INDEX(Dic2024!$K$6:$K$205,C997))+(LN(INDEX(Dic2024!$K$6:$K$205,MIN(C997+1,200)))-LN(INDEX(Dic2024!$K$6:$K$205,C997)))*(A997-6*C997)/6))</f>
        <v>0.00787729375556115</v>
      </c>
      <c r="H997" s="12" t="n">
        <f aca="false">G997^(-1/B997)-1</f>
        <v>0.0602820900000001</v>
      </c>
      <c r="I997" s="12" t="n">
        <f aca="false">(1+H997)^(1/12)-1</f>
        <v>0.00488983268157006</v>
      </c>
      <c r="J997" s="16" t="n">
        <f aca="false">IF(C997=0,(1+Dic2024!$M$6)^(-B997),EXP(LN(INDEX(Dic2024!$N$6:$N$205,C997))+(LN(INDEX(Dic2024!$N$6:$N$205,MIN(C997+1,200)))-LN(INDEX(Dic2024!$N$6:$N$205,C997)))*(A997-6*C997)/6))</f>
        <v>0.00787729375556115</v>
      </c>
      <c r="K997" s="12" t="n">
        <f aca="false">J997^(-1/B997)-1</f>
        <v>0.0602820900000001</v>
      </c>
      <c r="L997" s="12" t="n">
        <f aca="false">(1+K997)^(1/12)-1</f>
        <v>0.00488983268157006</v>
      </c>
    </row>
    <row r="998" customFormat="false" ht="15" hidden="false" customHeight="false" outlineLevel="0" collapsed="false">
      <c r="A998" s="4" t="n">
        <v>994</v>
      </c>
      <c r="B998" s="14" t="n">
        <f aca="false">A998/12</f>
        <v>82.8333333333333</v>
      </c>
      <c r="C998" s="15" t="n">
        <f aca="false">INT(A998/6)</f>
        <v>165</v>
      </c>
      <c r="D998" s="16" t="n">
        <f aca="false">IF(C998=0,(1+Dic2024!$G$6)^(-B998),EXP(LN(INDEX(Dic2024!$H$6:$H$205,C998))+(LN(INDEX(Dic2024!$H$6:$H$205,MIN(C998+1,200)))-LN(INDEX(Dic2024!$H$6:$H$205,C998)))*(A998-6*C998)/6))</f>
        <v>0.00783896254034178</v>
      </c>
      <c r="E998" s="12" t="n">
        <f aca="false">D998^(-1/B998)-1</f>
        <v>0.0602820900000001</v>
      </c>
      <c r="F998" s="12" t="n">
        <f aca="false">(1+E998)^(1/12)-1</f>
        <v>0.00488983268157006</v>
      </c>
      <c r="G998" s="16" t="n">
        <f aca="false">IF(C998=0,(1+Dic2024!$J$6)^(-B998),EXP(LN(INDEX(Dic2024!$K$6:$K$205,C998))+(LN(INDEX(Dic2024!$K$6:$K$205,MIN(C998+1,200)))-LN(INDEX(Dic2024!$K$6:$K$205,C998)))*(A998-6*C998)/6))</f>
        <v>0.00783896254034178</v>
      </c>
      <c r="H998" s="12" t="n">
        <f aca="false">G998^(-1/B998)-1</f>
        <v>0.0602820900000001</v>
      </c>
      <c r="I998" s="12" t="n">
        <f aca="false">(1+H998)^(1/12)-1</f>
        <v>0.00488983268157006</v>
      </c>
      <c r="J998" s="16" t="n">
        <f aca="false">IF(C998=0,(1+Dic2024!$M$6)^(-B998),EXP(LN(INDEX(Dic2024!$N$6:$N$205,C998))+(LN(INDEX(Dic2024!$N$6:$N$205,MIN(C998+1,200)))-LN(INDEX(Dic2024!$N$6:$N$205,C998)))*(A998-6*C998)/6))</f>
        <v>0.00783896254034178</v>
      </c>
      <c r="K998" s="12" t="n">
        <f aca="false">J998^(-1/B998)-1</f>
        <v>0.0602820900000001</v>
      </c>
      <c r="L998" s="12" t="n">
        <f aca="false">(1+K998)^(1/12)-1</f>
        <v>0.00488983268157006</v>
      </c>
    </row>
    <row r="999" customFormat="false" ht="15" hidden="false" customHeight="false" outlineLevel="0" collapsed="false">
      <c r="A999" s="4" t="n">
        <v>995</v>
      </c>
      <c r="B999" s="14" t="n">
        <f aca="false">A999/12</f>
        <v>82.9166666666667</v>
      </c>
      <c r="C999" s="15" t="n">
        <f aca="false">INT(A999/6)</f>
        <v>165</v>
      </c>
      <c r="D999" s="16" t="n">
        <f aca="false">IF(C999=0,(1+Dic2024!$G$6)^(-B999),EXP(LN(INDEX(Dic2024!$H$6:$H$205,C999))+(LN(INDEX(Dic2024!$H$6:$H$205,MIN(C999+1,200)))-LN(INDEX(Dic2024!$H$6:$H$205,C999)))*(A999-6*C999)/6))</f>
        <v>0.007800817846294</v>
      </c>
      <c r="E999" s="12" t="n">
        <f aca="false">D999^(-1/B999)-1</f>
        <v>0.0602820900000001</v>
      </c>
      <c r="F999" s="12" t="n">
        <f aca="false">(1+E999)^(1/12)-1</f>
        <v>0.00488983268157006</v>
      </c>
      <c r="G999" s="16" t="n">
        <f aca="false">IF(C999=0,(1+Dic2024!$J$6)^(-B999),EXP(LN(INDEX(Dic2024!$K$6:$K$205,C999))+(LN(INDEX(Dic2024!$K$6:$K$205,MIN(C999+1,200)))-LN(INDEX(Dic2024!$K$6:$K$205,C999)))*(A999-6*C999)/6))</f>
        <v>0.007800817846294</v>
      </c>
      <c r="H999" s="12" t="n">
        <f aca="false">G999^(-1/B999)-1</f>
        <v>0.0602820900000001</v>
      </c>
      <c r="I999" s="12" t="n">
        <f aca="false">(1+H999)^(1/12)-1</f>
        <v>0.00488983268157006</v>
      </c>
      <c r="J999" s="16" t="n">
        <f aca="false">IF(C999=0,(1+Dic2024!$M$6)^(-B999),EXP(LN(INDEX(Dic2024!$N$6:$N$205,C999))+(LN(INDEX(Dic2024!$N$6:$N$205,MIN(C999+1,200)))-LN(INDEX(Dic2024!$N$6:$N$205,C999)))*(A999-6*C999)/6))</f>
        <v>0.007800817846294</v>
      </c>
      <c r="K999" s="12" t="n">
        <f aca="false">J999^(-1/B999)-1</f>
        <v>0.0602820900000001</v>
      </c>
      <c r="L999" s="12" t="n">
        <f aca="false">(1+K999)^(1/12)-1</f>
        <v>0.00488983268157006</v>
      </c>
    </row>
    <row r="1000" customFormat="false" ht="15" hidden="false" customHeight="false" outlineLevel="0" collapsed="false">
      <c r="A1000" s="4" t="n">
        <v>996</v>
      </c>
      <c r="B1000" s="14" t="n">
        <f aca="false">A1000/12</f>
        <v>83</v>
      </c>
      <c r="C1000" s="15" t="n">
        <f aca="false">INT(A1000/6)</f>
        <v>166</v>
      </c>
      <c r="D1000" s="16" t="n">
        <f aca="false">IF(C1000=0,(1+Dic2024!$G$6)^(-B1000),EXP(LN(INDEX(Dic2024!$H$6:$H$205,C1000))+(LN(INDEX(Dic2024!$H$6:$H$205,MIN(C1000+1,200)))-LN(INDEX(Dic2024!$H$6:$H$205,C1000)))*(A1000-6*C1000)/6))</f>
        <v>0.00776285876579859</v>
      </c>
      <c r="E1000" s="12" t="n">
        <f aca="false">D1000^(-1/B1000)-1</f>
        <v>0.0602820900000001</v>
      </c>
      <c r="F1000" s="12" t="n">
        <f aca="false">(1+E1000)^(1/12)-1</f>
        <v>0.00488983268157006</v>
      </c>
      <c r="G1000" s="16" t="n">
        <f aca="false">IF(C1000=0,(1+Dic2024!$J$6)^(-B1000),EXP(LN(INDEX(Dic2024!$K$6:$K$205,C1000))+(LN(INDEX(Dic2024!$K$6:$K$205,MIN(C1000+1,200)))-LN(INDEX(Dic2024!$K$6:$K$205,C1000)))*(A1000-6*C1000)/6))</f>
        <v>0.00776285876579859</v>
      </c>
      <c r="H1000" s="12" t="n">
        <f aca="false">G1000^(-1/B1000)-1</f>
        <v>0.0602820900000001</v>
      </c>
      <c r="I1000" s="12" t="n">
        <f aca="false">(1+H1000)^(1/12)-1</f>
        <v>0.00488983268157006</v>
      </c>
      <c r="J1000" s="16" t="n">
        <f aca="false">IF(C1000=0,(1+Dic2024!$M$6)^(-B1000),EXP(LN(INDEX(Dic2024!$N$6:$N$205,C1000))+(LN(INDEX(Dic2024!$N$6:$N$205,MIN(C1000+1,200)))-LN(INDEX(Dic2024!$N$6:$N$205,C1000)))*(A1000-6*C1000)/6))</f>
        <v>0.00776285876579859</v>
      </c>
      <c r="K1000" s="12" t="n">
        <f aca="false">J1000^(-1/B1000)-1</f>
        <v>0.0602820900000001</v>
      </c>
      <c r="L1000" s="12" t="n">
        <f aca="false">(1+K1000)^(1/12)-1</f>
        <v>0.00488983268157006</v>
      </c>
    </row>
    <row r="1001" customFormat="false" ht="15" hidden="false" customHeight="false" outlineLevel="0" collapsed="false">
      <c r="A1001" s="4" t="n">
        <v>997</v>
      </c>
      <c r="B1001" s="14" t="n">
        <f aca="false">A1001/12</f>
        <v>83.0833333333333</v>
      </c>
      <c r="C1001" s="15" t="n">
        <f aca="false">INT(A1001/6)</f>
        <v>166</v>
      </c>
      <c r="D1001" s="16" t="n">
        <f aca="false">IF(C1001=0,(1+Dic2024!$G$6)^(-B1001),EXP(LN(INDEX(Dic2024!$H$6:$H$205,C1001))+(LN(INDEX(Dic2024!$H$6:$H$205,MIN(C1001+1,200)))-LN(INDEX(Dic2024!$H$6:$H$205,C1001)))*(A1001-6*C1001)/6))</f>
        <v>0.00772508439565283</v>
      </c>
      <c r="E1001" s="12" t="n">
        <f aca="false">D1001^(-1/B1001)-1</f>
        <v>0.0602820900000001</v>
      </c>
      <c r="F1001" s="12" t="n">
        <f aca="false">(1+E1001)^(1/12)-1</f>
        <v>0.00488983268157006</v>
      </c>
      <c r="G1001" s="16" t="n">
        <f aca="false">IF(C1001=0,(1+Dic2024!$J$6)^(-B1001),EXP(LN(INDEX(Dic2024!$K$6:$K$205,C1001))+(LN(INDEX(Dic2024!$K$6:$K$205,MIN(C1001+1,200)))-LN(INDEX(Dic2024!$K$6:$K$205,C1001)))*(A1001-6*C1001)/6))</f>
        <v>0.00772508439565283</v>
      </c>
      <c r="H1001" s="12" t="n">
        <f aca="false">G1001^(-1/B1001)-1</f>
        <v>0.0602820900000001</v>
      </c>
      <c r="I1001" s="12" t="n">
        <f aca="false">(1+H1001)^(1/12)-1</f>
        <v>0.00488983268157006</v>
      </c>
      <c r="J1001" s="16" t="n">
        <f aca="false">IF(C1001=0,(1+Dic2024!$M$6)^(-B1001),EXP(LN(INDEX(Dic2024!$N$6:$N$205,C1001))+(LN(INDEX(Dic2024!$N$6:$N$205,MIN(C1001+1,200)))-LN(INDEX(Dic2024!$N$6:$N$205,C1001)))*(A1001-6*C1001)/6))</f>
        <v>0.00772508439565283</v>
      </c>
      <c r="K1001" s="12" t="n">
        <f aca="false">J1001^(-1/B1001)-1</f>
        <v>0.0602820900000001</v>
      </c>
      <c r="L1001" s="12" t="n">
        <f aca="false">(1+K1001)^(1/12)-1</f>
        <v>0.00488983268157006</v>
      </c>
    </row>
    <row r="1002" customFormat="false" ht="15" hidden="false" customHeight="false" outlineLevel="0" collapsed="false">
      <c r="A1002" s="4" t="n">
        <v>998</v>
      </c>
      <c r="B1002" s="14" t="n">
        <f aca="false">A1002/12</f>
        <v>83.1666666666667</v>
      </c>
      <c r="C1002" s="15" t="n">
        <f aca="false">INT(A1002/6)</f>
        <v>166</v>
      </c>
      <c r="D1002" s="16" t="n">
        <f aca="false">IF(C1002=0,(1+Dic2024!$G$6)^(-B1002),EXP(LN(INDEX(Dic2024!$H$6:$H$205,C1002))+(LN(INDEX(Dic2024!$H$6:$H$205,MIN(C1002+1,200)))-LN(INDEX(Dic2024!$H$6:$H$205,C1002)))*(A1002-6*C1002)/6))</f>
        <v>0.00768749383704906</v>
      </c>
      <c r="E1002" s="12" t="n">
        <f aca="false">D1002^(-1/B1002)-1</f>
        <v>0.0602820900000001</v>
      </c>
      <c r="F1002" s="12" t="n">
        <f aca="false">(1+E1002)^(1/12)-1</f>
        <v>0.00488983268157006</v>
      </c>
      <c r="G1002" s="16" t="n">
        <f aca="false">IF(C1002=0,(1+Dic2024!$J$6)^(-B1002),EXP(LN(INDEX(Dic2024!$K$6:$K$205,C1002))+(LN(INDEX(Dic2024!$K$6:$K$205,MIN(C1002+1,200)))-LN(INDEX(Dic2024!$K$6:$K$205,C1002)))*(A1002-6*C1002)/6))</f>
        <v>0.00768749383704906</v>
      </c>
      <c r="H1002" s="12" t="n">
        <f aca="false">G1002^(-1/B1002)-1</f>
        <v>0.0602820900000001</v>
      </c>
      <c r="I1002" s="12" t="n">
        <f aca="false">(1+H1002)^(1/12)-1</f>
        <v>0.00488983268157006</v>
      </c>
      <c r="J1002" s="16" t="n">
        <f aca="false">IF(C1002=0,(1+Dic2024!$M$6)^(-B1002),EXP(LN(INDEX(Dic2024!$N$6:$N$205,C1002))+(LN(INDEX(Dic2024!$N$6:$N$205,MIN(C1002+1,200)))-LN(INDEX(Dic2024!$N$6:$N$205,C1002)))*(A1002-6*C1002)/6))</f>
        <v>0.00768749383704906</v>
      </c>
      <c r="K1002" s="12" t="n">
        <f aca="false">J1002^(-1/B1002)-1</f>
        <v>0.0602820900000001</v>
      </c>
      <c r="L1002" s="12" t="n">
        <f aca="false">(1+K1002)^(1/12)-1</f>
        <v>0.00488983268157006</v>
      </c>
    </row>
    <row r="1003" customFormat="false" ht="15" hidden="false" customHeight="false" outlineLevel="0" collapsed="false">
      <c r="A1003" s="4" t="n">
        <v>999</v>
      </c>
      <c r="B1003" s="14" t="n">
        <f aca="false">A1003/12</f>
        <v>83.25</v>
      </c>
      <c r="C1003" s="15" t="n">
        <f aca="false">INT(A1003/6)</f>
        <v>166</v>
      </c>
      <c r="D1003" s="16" t="n">
        <f aca="false">IF(C1003=0,(1+Dic2024!$G$6)^(-B1003),EXP(LN(INDEX(Dic2024!$H$6:$H$205,C1003))+(LN(INDEX(Dic2024!$H$6:$H$205,MIN(C1003+1,200)))-LN(INDEX(Dic2024!$H$6:$H$205,C1003)))*(A1003-6*C1003)/6))</f>
        <v>0.00765008619555322</v>
      </c>
      <c r="E1003" s="12" t="n">
        <f aca="false">D1003^(-1/B1003)-1</f>
        <v>0.0602820900000001</v>
      </c>
      <c r="F1003" s="12" t="n">
        <f aca="false">(1+E1003)^(1/12)-1</f>
        <v>0.00488983268157006</v>
      </c>
      <c r="G1003" s="16" t="n">
        <f aca="false">IF(C1003=0,(1+Dic2024!$J$6)^(-B1003),EXP(LN(INDEX(Dic2024!$K$6:$K$205,C1003))+(LN(INDEX(Dic2024!$K$6:$K$205,MIN(C1003+1,200)))-LN(INDEX(Dic2024!$K$6:$K$205,C1003)))*(A1003-6*C1003)/6))</f>
        <v>0.00765008619555322</v>
      </c>
      <c r="H1003" s="12" t="n">
        <f aca="false">G1003^(-1/B1003)-1</f>
        <v>0.0602820900000001</v>
      </c>
      <c r="I1003" s="12" t="n">
        <f aca="false">(1+H1003)^(1/12)-1</f>
        <v>0.00488983268157006</v>
      </c>
      <c r="J1003" s="16" t="n">
        <f aca="false">IF(C1003=0,(1+Dic2024!$M$6)^(-B1003),EXP(LN(INDEX(Dic2024!$N$6:$N$205,C1003))+(LN(INDEX(Dic2024!$N$6:$N$205,MIN(C1003+1,200)))-LN(INDEX(Dic2024!$N$6:$N$205,C1003)))*(A1003-6*C1003)/6))</f>
        <v>0.00765008619555322</v>
      </c>
      <c r="K1003" s="12" t="n">
        <f aca="false">J1003^(-1/B1003)-1</f>
        <v>0.0602820900000001</v>
      </c>
      <c r="L1003" s="12" t="n">
        <f aca="false">(1+K1003)^(1/12)-1</f>
        <v>0.00488983268157006</v>
      </c>
    </row>
    <row r="1004" customFormat="false" ht="15" hidden="false" customHeight="false" outlineLevel="0" collapsed="false">
      <c r="A1004" s="4" t="n">
        <v>1000</v>
      </c>
      <c r="B1004" s="14" t="n">
        <f aca="false">A1004/12</f>
        <v>83.3333333333333</v>
      </c>
      <c r="C1004" s="15" t="n">
        <f aca="false">INT(A1004/6)</f>
        <v>166</v>
      </c>
      <c r="D1004" s="16" t="n">
        <f aca="false">IF(C1004=0,(1+Dic2024!$G$6)^(-B1004),EXP(LN(INDEX(Dic2024!$H$6:$H$205,C1004))+(LN(INDEX(Dic2024!$H$6:$H$205,MIN(C1004+1,200)))-LN(INDEX(Dic2024!$H$6:$H$205,C1004)))*(A1004-6*C1004)/6))</f>
        <v>0.0076128605810836</v>
      </c>
      <c r="E1004" s="12" t="n">
        <f aca="false">D1004^(-1/B1004)-1</f>
        <v>0.0602820900000001</v>
      </c>
      <c r="F1004" s="12" t="n">
        <f aca="false">(1+E1004)^(1/12)-1</f>
        <v>0.00488983268157006</v>
      </c>
      <c r="G1004" s="16" t="n">
        <f aca="false">IF(C1004=0,(1+Dic2024!$J$6)^(-B1004),EXP(LN(INDEX(Dic2024!$K$6:$K$205,C1004))+(LN(INDEX(Dic2024!$K$6:$K$205,MIN(C1004+1,200)))-LN(INDEX(Dic2024!$K$6:$K$205,C1004)))*(A1004-6*C1004)/6))</f>
        <v>0.0076128605810836</v>
      </c>
      <c r="H1004" s="12" t="n">
        <f aca="false">G1004^(-1/B1004)-1</f>
        <v>0.0602820900000001</v>
      </c>
      <c r="I1004" s="12" t="n">
        <f aca="false">(1+H1004)^(1/12)-1</f>
        <v>0.00488983268157006</v>
      </c>
      <c r="J1004" s="16" t="n">
        <f aca="false">IF(C1004=0,(1+Dic2024!$M$6)^(-B1004),EXP(LN(INDEX(Dic2024!$N$6:$N$205,C1004))+(LN(INDEX(Dic2024!$N$6:$N$205,MIN(C1004+1,200)))-LN(INDEX(Dic2024!$N$6:$N$205,C1004)))*(A1004-6*C1004)/6))</f>
        <v>0.0076128605810836</v>
      </c>
      <c r="K1004" s="12" t="n">
        <f aca="false">J1004^(-1/B1004)-1</f>
        <v>0.0602820900000001</v>
      </c>
      <c r="L1004" s="12" t="n">
        <f aca="false">(1+K1004)^(1/12)-1</f>
        <v>0.00488983268157006</v>
      </c>
    </row>
    <row r="1005" customFormat="false" ht="15" hidden="false" customHeight="false" outlineLevel="0" collapsed="false">
      <c r="A1005" s="4" t="n">
        <v>1001</v>
      </c>
      <c r="B1005" s="14" t="n">
        <f aca="false">A1005/12</f>
        <v>83.4166666666667</v>
      </c>
      <c r="C1005" s="15" t="n">
        <f aca="false">INT(A1005/6)</f>
        <v>166</v>
      </c>
      <c r="D1005" s="16" t="n">
        <f aca="false">IF(C1005=0,(1+Dic2024!$G$6)^(-B1005),EXP(LN(INDEX(Dic2024!$H$6:$H$205,C1005))+(LN(INDEX(Dic2024!$H$6:$H$205,MIN(C1005+1,200)))-LN(INDEX(Dic2024!$H$6:$H$205,C1005)))*(A1005-6*C1005)/6))</f>
        <v>0.00757581610788968</v>
      </c>
      <c r="E1005" s="12" t="n">
        <f aca="false">D1005^(-1/B1005)-1</f>
        <v>0.0602820900000001</v>
      </c>
      <c r="F1005" s="12" t="n">
        <f aca="false">(1+E1005)^(1/12)-1</f>
        <v>0.00488983268157006</v>
      </c>
      <c r="G1005" s="16" t="n">
        <f aca="false">IF(C1005=0,(1+Dic2024!$J$6)^(-B1005),EXP(LN(INDEX(Dic2024!$K$6:$K$205,C1005))+(LN(INDEX(Dic2024!$K$6:$K$205,MIN(C1005+1,200)))-LN(INDEX(Dic2024!$K$6:$K$205,C1005)))*(A1005-6*C1005)/6))</f>
        <v>0.00757581610788968</v>
      </c>
      <c r="H1005" s="12" t="n">
        <f aca="false">G1005^(-1/B1005)-1</f>
        <v>0.0602820900000001</v>
      </c>
      <c r="I1005" s="12" t="n">
        <f aca="false">(1+H1005)^(1/12)-1</f>
        <v>0.00488983268157006</v>
      </c>
      <c r="J1005" s="16" t="n">
        <f aca="false">IF(C1005=0,(1+Dic2024!$M$6)^(-B1005),EXP(LN(INDEX(Dic2024!$N$6:$N$205,C1005))+(LN(INDEX(Dic2024!$N$6:$N$205,MIN(C1005+1,200)))-LN(INDEX(Dic2024!$N$6:$N$205,C1005)))*(A1005-6*C1005)/6))</f>
        <v>0.00757581610788968</v>
      </c>
      <c r="K1005" s="12" t="n">
        <f aca="false">J1005^(-1/B1005)-1</f>
        <v>0.0602820900000001</v>
      </c>
      <c r="L1005" s="12" t="n">
        <f aca="false">(1+K1005)^(1/12)-1</f>
        <v>0.00488983268157006</v>
      </c>
    </row>
    <row r="1006" customFormat="false" ht="15" hidden="false" customHeight="false" outlineLevel="0" collapsed="false">
      <c r="A1006" s="4" t="n">
        <v>1002</v>
      </c>
      <c r="B1006" s="14" t="n">
        <f aca="false">A1006/12</f>
        <v>83.5</v>
      </c>
      <c r="C1006" s="15" t="n">
        <f aca="false">INT(A1006/6)</f>
        <v>167</v>
      </c>
      <c r="D1006" s="16" t="n">
        <f aca="false">IF(C1006=0,(1+Dic2024!$G$6)^(-B1006),EXP(LN(INDEX(Dic2024!$H$6:$H$205,C1006))+(LN(INDEX(Dic2024!$H$6:$H$205,MIN(C1006+1,200)))-LN(INDEX(Dic2024!$H$6:$H$205,C1006)))*(A1006-6*C1006)/6))</f>
        <v>0.00753895189453101</v>
      </c>
      <c r="E1006" s="12" t="n">
        <f aca="false">D1006^(-1/B1006)-1</f>
        <v>0.0602820900000001</v>
      </c>
      <c r="F1006" s="12" t="n">
        <f aca="false">(1+E1006)^(1/12)-1</f>
        <v>0.00488983268157006</v>
      </c>
      <c r="G1006" s="16" t="n">
        <f aca="false">IF(C1006=0,(1+Dic2024!$J$6)^(-B1006),EXP(LN(INDEX(Dic2024!$K$6:$K$205,C1006))+(LN(INDEX(Dic2024!$K$6:$K$205,MIN(C1006+1,200)))-LN(INDEX(Dic2024!$K$6:$K$205,C1006)))*(A1006-6*C1006)/6))</f>
        <v>0.00753895189453101</v>
      </c>
      <c r="H1006" s="12" t="n">
        <f aca="false">G1006^(-1/B1006)-1</f>
        <v>0.0602820900000001</v>
      </c>
      <c r="I1006" s="12" t="n">
        <f aca="false">(1+H1006)^(1/12)-1</f>
        <v>0.00488983268157006</v>
      </c>
      <c r="J1006" s="16" t="n">
        <f aca="false">IF(C1006=0,(1+Dic2024!$M$6)^(-B1006),EXP(LN(INDEX(Dic2024!$N$6:$N$205,C1006))+(LN(INDEX(Dic2024!$N$6:$N$205,MIN(C1006+1,200)))-LN(INDEX(Dic2024!$N$6:$N$205,C1006)))*(A1006-6*C1006)/6))</f>
        <v>0.00753895189453101</v>
      </c>
      <c r="K1006" s="12" t="n">
        <f aca="false">J1006^(-1/B1006)-1</f>
        <v>0.0602820900000001</v>
      </c>
      <c r="L1006" s="12" t="n">
        <f aca="false">(1+K1006)^(1/12)-1</f>
        <v>0.00488983268157006</v>
      </c>
    </row>
    <row r="1007" customFormat="false" ht="15" hidden="false" customHeight="false" outlineLevel="0" collapsed="false">
      <c r="A1007" s="4" t="n">
        <v>1003</v>
      </c>
      <c r="B1007" s="14" t="n">
        <f aca="false">A1007/12</f>
        <v>83.5833333333333</v>
      </c>
      <c r="C1007" s="15" t="n">
        <f aca="false">INT(A1007/6)</f>
        <v>167</v>
      </c>
      <c r="D1007" s="16" t="n">
        <f aca="false">IF(C1007=0,(1+Dic2024!$G$6)^(-B1007),EXP(LN(INDEX(Dic2024!$H$6:$H$205,C1007))+(LN(INDEX(Dic2024!$H$6:$H$205,MIN(C1007+1,200)))-LN(INDEX(Dic2024!$H$6:$H$205,C1007)))*(A1007-6*C1007)/6))</f>
        <v>0.0075022670638563</v>
      </c>
      <c r="E1007" s="12" t="n">
        <f aca="false">D1007^(-1/B1007)-1</f>
        <v>0.0602820900000001</v>
      </c>
      <c r="F1007" s="12" t="n">
        <f aca="false">(1+E1007)^(1/12)-1</f>
        <v>0.00488983268157006</v>
      </c>
      <c r="G1007" s="16" t="n">
        <f aca="false">IF(C1007=0,(1+Dic2024!$J$6)^(-B1007),EXP(LN(INDEX(Dic2024!$K$6:$K$205,C1007))+(LN(INDEX(Dic2024!$K$6:$K$205,MIN(C1007+1,200)))-LN(INDEX(Dic2024!$K$6:$K$205,C1007)))*(A1007-6*C1007)/6))</f>
        <v>0.0075022670638563</v>
      </c>
      <c r="H1007" s="12" t="n">
        <f aca="false">G1007^(-1/B1007)-1</f>
        <v>0.0602820900000001</v>
      </c>
      <c r="I1007" s="12" t="n">
        <f aca="false">(1+H1007)^(1/12)-1</f>
        <v>0.00488983268157006</v>
      </c>
      <c r="J1007" s="16" t="n">
        <f aca="false">IF(C1007=0,(1+Dic2024!$M$6)^(-B1007),EXP(LN(INDEX(Dic2024!$N$6:$N$205,C1007))+(LN(INDEX(Dic2024!$N$6:$N$205,MIN(C1007+1,200)))-LN(INDEX(Dic2024!$N$6:$N$205,C1007)))*(A1007-6*C1007)/6))</f>
        <v>0.0075022670638563</v>
      </c>
      <c r="K1007" s="12" t="n">
        <f aca="false">J1007^(-1/B1007)-1</f>
        <v>0.0602820900000001</v>
      </c>
      <c r="L1007" s="12" t="n">
        <f aca="false">(1+K1007)^(1/12)-1</f>
        <v>0.00488983268157006</v>
      </c>
    </row>
    <row r="1008" customFormat="false" ht="15" hidden="false" customHeight="false" outlineLevel="0" collapsed="false">
      <c r="A1008" s="4" t="n">
        <v>1004</v>
      </c>
      <c r="B1008" s="14" t="n">
        <f aca="false">A1008/12</f>
        <v>83.6666666666667</v>
      </c>
      <c r="C1008" s="15" t="n">
        <f aca="false">INT(A1008/6)</f>
        <v>167</v>
      </c>
      <c r="D1008" s="16" t="n">
        <f aca="false">IF(C1008=0,(1+Dic2024!$G$6)^(-B1008),EXP(LN(INDEX(Dic2024!$H$6:$H$205,C1008))+(LN(INDEX(Dic2024!$H$6:$H$205,MIN(C1008+1,200)))-LN(INDEX(Dic2024!$H$6:$H$205,C1008)))*(A1008-6*C1008)/6))</f>
        <v>0.00746576074298248</v>
      </c>
      <c r="E1008" s="12" t="n">
        <f aca="false">D1008^(-1/B1008)-1</f>
        <v>0.0602820900000001</v>
      </c>
      <c r="F1008" s="12" t="n">
        <f aca="false">(1+E1008)^(1/12)-1</f>
        <v>0.00488983268157006</v>
      </c>
      <c r="G1008" s="16" t="n">
        <f aca="false">IF(C1008=0,(1+Dic2024!$J$6)^(-B1008),EXP(LN(INDEX(Dic2024!$K$6:$K$205,C1008))+(LN(INDEX(Dic2024!$K$6:$K$205,MIN(C1008+1,200)))-LN(INDEX(Dic2024!$K$6:$K$205,C1008)))*(A1008-6*C1008)/6))</f>
        <v>0.00746576074298248</v>
      </c>
      <c r="H1008" s="12" t="n">
        <f aca="false">G1008^(-1/B1008)-1</f>
        <v>0.0602820900000001</v>
      </c>
      <c r="I1008" s="12" t="n">
        <f aca="false">(1+H1008)^(1/12)-1</f>
        <v>0.00488983268157006</v>
      </c>
      <c r="J1008" s="16" t="n">
        <f aca="false">IF(C1008=0,(1+Dic2024!$M$6)^(-B1008),EXP(LN(INDEX(Dic2024!$N$6:$N$205,C1008))+(LN(INDEX(Dic2024!$N$6:$N$205,MIN(C1008+1,200)))-LN(INDEX(Dic2024!$N$6:$N$205,C1008)))*(A1008-6*C1008)/6))</f>
        <v>0.00746576074298248</v>
      </c>
      <c r="K1008" s="12" t="n">
        <f aca="false">J1008^(-1/B1008)-1</f>
        <v>0.0602820900000001</v>
      </c>
      <c r="L1008" s="12" t="n">
        <f aca="false">(1+K1008)^(1/12)-1</f>
        <v>0.00488983268157006</v>
      </c>
    </row>
    <row r="1009" customFormat="false" ht="15" hidden="false" customHeight="false" outlineLevel="0" collapsed="false">
      <c r="A1009" s="4" t="n">
        <v>1005</v>
      </c>
      <c r="B1009" s="14" t="n">
        <f aca="false">A1009/12</f>
        <v>83.75</v>
      </c>
      <c r="C1009" s="15" t="n">
        <f aca="false">INT(A1009/6)</f>
        <v>167</v>
      </c>
      <c r="D1009" s="16" t="n">
        <f aca="false">IF(C1009=0,(1+Dic2024!$G$6)^(-B1009),EXP(LN(INDEX(Dic2024!$H$6:$H$205,C1009))+(LN(INDEX(Dic2024!$H$6:$H$205,MIN(C1009+1,200)))-LN(INDEX(Dic2024!$H$6:$H$205,C1009)))*(A1009-6*C1009)/6))</f>
        <v>0.00742943206327398</v>
      </c>
      <c r="E1009" s="12" t="n">
        <f aca="false">D1009^(-1/B1009)-1</f>
        <v>0.0602820900000001</v>
      </c>
      <c r="F1009" s="12" t="n">
        <f aca="false">(1+E1009)^(1/12)-1</f>
        <v>0.00488983268157006</v>
      </c>
      <c r="G1009" s="16" t="n">
        <f aca="false">IF(C1009=0,(1+Dic2024!$J$6)^(-B1009),EXP(LN(INDEX(Dic2024!$K$6:$K$205,C1009))+(LN(INDEX(Dic2024!$K$6:$K$205,MIN(C1009+1,200)))-LN(INDEX(Dic2024!$K$6:$K$205,C1009)))*(A1009-6*C1009)/6))</f>
        <v>0.00742943206327398</v>
      </c>
      <c r="H1009" s="12" t="n">
        <f aca="false">G1009^(-1/B1009)-1</f>
        <v>0.0602820900000001</v>
      </c>
      <c r="I1009" s="12" t="n">
        <f aca="false">(1+H1009)^(1/12)-1</f>
        <v>0.00488983268157006</v>
      </c>
      <c r="J1009" s="16" t="n">
        <f aca="false">IF(C1009=0,(1+Dic2024!$M$6)^(-B1009),EXP(LN(INDEX(Dic2024!$N$6:$N$205,C1009))+(LN(INDEX(Dic2024!$N$6:$N$205,MIN(C1009+1,200)))-LN(INDEX(Dic2024!$N$6:$N$205,C1009)))*(A1009-6*C1009)/6))</f>
        <v>0.00742943206327398</v>
      </c>
      <c r="K1009" s="12" t="n">
        <f aca="false">J1009^(-1/B1009)-1</f>
        <v>0.0602820900000001</v>
      </c>
      <c r="L1009" s="12" t="n">
        <f aca="false">(1+K1009)^(1/12)-1</f>
        <v>0.00488983268157006</v>
      </c>
    </row>
    <row r="1010" customFormat="false" ht="15" hidden="false" customHeight="false" outlineLevel="0" collapsed="false">
      <c r="A1010" s="4" t="n">
        <v>1006</v>
      </c>
      <c r="B1010" s="14" t="n">
        <f aca="false">A1010/12</f>
        <v>83.8333333333333</v>
      </c>
      <c r="C1010" s="15" t="n">
        <f aca="false">INT(A1010/6)</f>
        <v>167</v>
      </c>
      <c r="D1010" s="16" t="n">
        <f aca="false">IF(C1010=0,(1+Dic2024!$G$6)^(-B1010),EXP(LN(INDEX(Dic2024!$H$6:$H$205,C1010))+(LN(INDEX(Dic2024!$H$6:$H$205,MIN(C1010+1,200)))-LN(INDEX(Dic2024!$H$6:$H$205,C1010)))*(A1010-6*C1010)/6))</f>
        <v>0.00739328016032203</v>
      </c>
      <c r="E1010" s="12" t="n">
        <f aca="false">D1010^(-1/B1010)-1</f>
        <v>0.0602820900000001</v>
      </c>
      <c r="F1010" s="12" t="n">
        <f aca="false">(1+E1010)^(1/12)-1</f>
        <v>0.00488983268157006</v>
      </c>
      <c r="G1010" s="16" t="n">
        <f aca="false">IF(C1010=0,(1+Dic2024!$J$6)^(-B1010),EXP(LN(INDEX(Dic2024!$K$6:$K$205,C1010))+(LN(INDEX(Dic2024!$K$6:$K$205,MIN(C1010+1,200)))-LN(INDEX(Dic2024!$K$6:$K$205,C1010)))*(A1010-6*C1010)/6))</f>
        <v>0.00739328016032203</v>
      </c>
      <c r="H1010" s="12" t="n">
        <f aca="false">G1010^(-1/B1010)-1</f>
        <v>0.0602820900000001</v>
      </c>
      <c r="I1010" s="12" t="n">
        <f aca="false">(1+H1010)^(1/12)-1</f>
        <v>0.00488983268157006</v>
      </c>
      <c r="J1010" s="16" t="n">
        <f aca="false">IF(C1010=0,(1+Dic2024!$M$6)^(-B1010),EXP(LN(INDEX(Dic2024!$N$6:$N$205,C1010))+(LN(INDEX(Dic2024!$N$6:$N$205,MIN(C1010+1,200)))-LN(INDEX(Dic2024!$N$6:$N$205,C1010)))*(A1010-6*C1010)/6))</f>
        <v>0.00739328016032203</v>
      </c>
      <c r="K1010" s="12" t="n">
        <f aca="false">J1010^(-1/B1010)-1</f>
        <v>0.0602820900000001</v>
      </c>
      <c r="L1010" s="12" t="n">
        <f aca="false">(1+K1010)^(1/12)-1</f>
        <v>0.00488983268157006</v>
      </c>
    </row>
    <row r="1011" customFormat="false" ht="15" hidden="false" customHeight="false" outlineLevel="0" collapsed="false">
      <c r="A1011" s="4" t="n">
        <v>1007</v>
      </c>
      <c r="B1011" s="14" t="n">
        <f aca="false">A1011/12</f>
        <v>83.9166666666667</v>
      </c>
      <c r="C1011" s="15" t="n">
        <f aca="false">INT(A1011/6)</f>
        <v>167</v>
      </c>
      <c r="D1011" s="16" t="n">
        <f aca="false">IF(C1011=0,(1+Dic2024!$G$6)^(-B1011),EXP(LN(INDEX(Dic2024!$H$6:$H$205,C1011))+(LN(INDEX(Dic2024!$H$6:$H$205,MIN(C1011+1,200)))-LN(INDEX(Dic2024!$H$6:$H$205,C1011)))*(A1011-6*C1011)/6))</f>
        <v>0.00735730417392413</v>
      </c>
      <c r="E1011" s="12" t="n">
        <f aca="false">D1011^(-1/B1011)-1</f>
        <v>0.0602820900000001</v>
      </c>
      <c r="F1011" s="12" t="n">
        <f aca="false">(1+E1011)^(1/12)-1</f>
        <v>0.00488983268157006</v>
      </c>
      <c r="G1011" s="16" t="n">
        <f aca="false">IF(C1011=0,(1+Dic2024!$J$6)^(-B1011),EXP(LN(INDEX(Dic2024!$K$6:$K$205,C1011))+(LN(INDEX(Dic2024!$K$6:$K$205,MIN(C1011+1,200)))-LN(INDEX(Dic2024!$K$6:$K$205,C1011)))*(A1011-6*C1011)/6))</f>
        <v>0.00735730417392413</v>
      </c>
      <c r="H1011" s="12" t="n">
        <f aca="false">G1011^(-1/B1011)-1</f>
        <v>0.0602820900000001</v>
      </c>
      <c r="I1011" s="12" t="n">
        <f aca="false">(1+H1011)^(1/12)-1</f>
        <v>0.00488983268157006</v>
      </c>
      <c r="J1011" s="16" t="n">
        <f aca="false">IF(C1011=0,(1+Dic2024!$M$6)^(-B1011),EXP(LN(INDEX(Dic2024!$N$6:$N$205,C1011))+(LN(INDEX(Dic2024!$N$6:$N$205,MIN(C1011+1,200)))-LN(INDEX(Dic2024!$N$6:$N$205,C1011)))*(A1011-6*C1011)/6))</f>
        <v>0.00735730417392413</v>
      </c>
      <c r="K1011" s="12" t="n">
        <f aca="false">J1011^(-1/B1011)-1</f>
        <v>0.0602820900000001</v>
      </c>
      <c r="L1011" s="12" t="n">
        <f aca="false">(1+K1011)^(1/12)-1</f>
        <v>0.00488983268157006</v>
      </c>
    </row>
    <row r="1012" customFormat="false" ht="15" hidden="false" customHeight="false" outlineLevel="0" collapsed="false">
      <c r="A1012" s="4" t="n">
        <v>1008</v>
      </c>
      <c r="B1012" s="14" t="n">
        <f aca="false">A1012/12</f>
        <v>84</v>
      </c>
      <c r="C1012" s="15" t="n">
        <f aca="false">INT(A1012/6)</f>
        <v>168</v>
      </c>
      <c r="D1012" s="16" t="n">
        <f aca="false">IF(C1012=0,(1+Dic2024!$G$6)^(-B1012),EXP(LN(INDEX(Dic2024!$H$6:$H$205,C1012))+(LN(INDEX(Dic2024!$H$6:$H$205,MIN(C1012+1,200)))-LN(INDEX(Dic2024!$H$6:$H$205,C1012)))*(A1012-6*C1012)/6))</f>
        <v>0.00732150324806353</v>
      </c>
      <c r="E1012" s="12" t="n">
        <f aca="false">D1012^(-1/B1012)-1</f>
        <v>0.0602820900000001</v>
      </c>
      <c r="F1012" s="12" t="n">
        <f aca="false">(1+E1012)^(1/12)-1</f>
        <v>0.00488983268157006</v>
      </c>
      <c r="G1012" s="16" t="n">
        <f aca="false">IF(C1012=0,(1+Dic2024!$J$6)^(-B1012),EXP(LN(INDEX(Dic2024!$K$6:$K$205,C1012))+(LN(INDEX(Dic2024!$K$6:$K$205,MIN(C1012+1,200)))-LN(INDEX(Dic2024!$K$6:$K$205,C1012)))*(A1012-6*C1012)/6))</f>
        <v>0.00732150324806353</v>
      </c>
      <c r="H1012" s="12" t="n">
        <f aca="false">G1012^(-1/B1012)-1</f>
        <v>0.0602820900000001</v>
      </c>
      <c r="I1012" s="12" t="n">
        <f aca="false">(1+H1012)^(1/12)-1</f>
        <v>0.00488983268157006</v>
      </c>
      <c r="J1012" s="16" t="n">
        <f aca="false">IF(C1012=0,(1+Dic2024!$M$6)^(-B1012),EXP(LN(INDEX(Dic2024!$N$6:$N$205,C1012))+(LN(INDEX(Dic2024!$N$6:$N$205,MIN(C1012+1,200)))-LN(INDEX(Dic2024!$N$6:$N$205,C1012)))*(A1012-6*C1012)/6))</f>
        <v>0.00732150324806353</v>
      </c>
      <c r="K1012" s="12" t="n">
        <f aca="false">J1012^(-1/B1012)-1</f>
        <v>0.0602820900000001</v>
      </c>
      <c r="L1012" s="12" t="n">
        <f aca="false">(1+K1012)^(1/12)-1</f>
        <v>0.00488983268157006</v>
      </c>
    </row>
    <row r="1013" customFormat="false" ht="15" hidden="false" customHeight="false" outlineLevel="0" collapsed="false">
      <c r="A1013" s="4" t="n">
        <v>1009</v>
      </c>
      <c r="B1013" s="14" t="n">
        <f aca="false">A1013/12</f>
        <v>84.0833333333333</v>
      </c>
      <c r="C1013" s="15" t="n">
        <f aca="false">INT(A1013/6)</f>
        <v>168</v>
      </c>
      <c r="D1013" s="16" t="n">
        <f aca="false">IF(C1013=0,(1+Dic2024!$G$6)^(-B1013),EXP(LN(INDEX(Dic2024!$H$6:$H$205,C1013))+(LN(INDEX(Dic2024!$H$6:$H$205,MIN(C1013+1,200)))-LN(INDEX(Dic2024!$H$6:$H$205,C1013)))*(A1013-6*C1013)/6))</f>
        <v>0.0072858765308889</v>
      </c>
      <c r="E1013" s="12" t="n">
        <f aca="false">D1013^(-1/B1013)-1</f>
        <v>0.0602820900000001</v>
      </c>
      <c r="F1013" s="12" t="n">
        <f aca="false">(1+E1013)^(1/12)-1</f>
        <v>0.00488983268157006</v>
      </c>
      <c r="G1013" s="16" t="n">
        <f aca="false">IF(C1013=0,(1+Dic2024!$J$6)^(-B1013),EXP(LN(INDEX(Dic2024!$K$6:$K$205,C1013))+(LN(INDEX(Dic2024!$K$6:$K$205,MIN(C1013+1,200)))-LN(INDEX(Dic2024!$K$6:$K$205,C1013)))*(A1013-6*C1013)/6))</f>
        <v>0.0072858765308889</v>
      </c>
      <c r="H1013" s="12" t="n">
        <f aca="false">G1013^(-1/B1013)-1</f>
        <v>0.0602820900000001</v>
      </c>
      <c r="I1013" s="12" t="n">
        <f aca="false">(1+H1013)^(1/12)-1</f>
        <v>0.00488983268157006</v>
      </c>
      <c r="J1013" s="16" t="n">
        <f aca="false">IF(C1013=0,(1+Dic2024!$M$6)^(-B1013),EXP(LN(INDEX(Dic2024!$N$6:$N$205,C1013))+(LN(INDEX(Dic2024!$N$6:$N$205,MIN(C1013+1,200)))-LN(INDEX(Dic2024!$N$6:$N$205,C1013)))*(A1013-6*C1013)/6))</f>
        <v>0.0072858765308889</v>
      </c>
      <c r="K1013" s="12" t="n">
        <f aca="false">J1013^(-1/B1013)-1</f>
        <v>0.0602820900000001</v>
      </c>
      <c r="L1013" s="12" t="n">
        <f aca="false">(1+K1013)^(1/12)-1</f>
        <v>0.00488983268157006</v>
      </c>
    </row>
    <row r="1014" customFormat="false" ht="15" hidden="false" customHeight="false" outlineLevel="0" collapsed="false">
      <c r="A1014" s="4" t="n">
        <v>1010</v>
      </c>
      <c r="B1014" s="14" t="n">
        <f aca="false">A1014/12</f>
        <v>84.1666666666667</v>
      </c>
      <c r="C1014" s="15" t="n">
        <f aca="false">INT(A1014/6)</f>
        <v>168</v>
      </c>
      <c r="D1014" s="16" t="n">
        <f aca="false">IF(C1014=0,(1+Dic2024!$G$6)^(-B1014),EXP(LN(INDEX(Dic2024!$H$6:$H$205,C1014))+(LN(INDEX(Dic2024!$H$6:$H$205,MIN(C1014+1,200)))-LN(INDEX(Dic2024!$H$6:$H$205,C1014)))*(A1014-6*C1014)/6))</f>
        <v>0.00725042317469407</v>
      </c>
      <c r="E1014" s="12" t="n">
        <f aca="false">D1014^(-1/B1014)-1</f>
        <v>0.0602820900000001</v>
      </c>
      <c r="F1014" s="12" t="n">
        <f aca="false">(1+E1014)^(1/12)-1</f>
        <v>0.00488983268157006</v>
      </c>
      <c r="G1014" s="16" t="n">
        <f aca="false">IF(C1014=0,(1+Dic2024!$J$6)^(-B1014),EXP(LN(INDEX(Dic2024!$K$6:$K$205,C1014))+(LN(INDEX(Dic2024!$K$6:$K$205,MIN(C1014+1,200)))-LN(INDEX(Dic2024!$K$6:$K$205,C1014)))*(A1014-6*C1014)/6))</f>
        <v>0.00725042317469407</v>
      </c>
      <c r="H1014" s="12" t="n">
        <f aca="false">G1014^(-1/B1014)-1</f>
        <v>0.0602820900000001</v>
      </c>
      <c r="I1014" s="12" t="n">
        <f aca="false">(1+H1014)^(1/12)-1</f>
        <v>0.00488983268157006</v>
      </c>
      <c r="J1014" s="16" t="n">
        <f aca="false">IF(C1014=0,(1+Dic2024!$M$6)^(-B1014),EXP(LN(INDEX(Dic2024!$N$6:$N$205,C1014))+(LN(INDEX(Dic2024!$N$6:$N$205,MIN(C1014+1,200)))-LN(INDEX(Dic2024!$N$6:$N$205,C1014)))*(A1014-6*C1014)/6))</f>
        <v>0.00725042317469407</v>
      </c>
      <c r="K1014" s="12" t="n">
        <f aca="false">J1014^(-1/B1014)-1</f>
        <v>0.0602820900000001</v>
      </c>
      <c r="L1014" s="12" t="n">
        <f aca="false">(1+K1014)^(1/12)-1</f>
        <v>0.00488983268157006</v>
      </c>
    </row>
    <row r="1015" customFormat="false" ht="15" hidden="false" customHeight="false" outlineLevel="0" collapsed="false">
      <c r="A1015" s="4" t="n">
        <v>1011</v>
      </c>
      <c r="B1015" s="14" t="n">
        <f aca="false">A1015/12</f>
        <v>84.25</v>
      </c>
      <c r="C1015" s="15" t="n">
        <f aca="false">INT(A1015/6)</f>
        <v>168</v>
      </c>
      <c r="D1015" s="16" t="n">
        <f aca="false">IF(C1015=0,(1+Dic2024!$G$6)^(-B1015),EXP(LN(INDEX(Dic2024!$H$6:$H$205,C1015))+(LN(INDEX(Dic2024!$H$6:$H$205,MIN(C1015+1,200)))-LN(INDEX(Dic2024!$H$6:$H$205,C1015)))*(A1015-6*C1015)/6))</f>
        <v>0.00721514233589782</v>
      </c>
      <c r="E1015" s="12" t="n">
        <f aca="false">D1015^(-1/B1015)-1</f>
        <v>0.0602820900000001</v>
      </c>
      <c r="F1015" s="12" t="n">
        <f aca="false">(1+E1015)^(1/12)-1</f>
        <v>0.00488983268157006</v>
      </c>
      <c r="G1015" s="16" t="n">
        <f aca="false">IF(C1015=0,(1+Dic2024!$J$6)^(-B1015),EXP(LN(INDEX(Dic2024!$K$6:$K$205,C1015))+(LN(INDEX(Dic2024!$K$6:$K$205,MIN(C1015+1,200)))-LN(INDEX(Dic2024!$K$6:$K$205,C1015)))*(A1015-6*C1015)/6))</f>
        <v>0.00721514233589782</v>
      </c>
      <c r="H1015" s="12" t="n">
        <f aca="false">G1015^(-1/B1015)-1</f>
        <v>0.0602820900000001</v>
      </c>
      <c r="I1015" s="12" t="n">
        <f aca="false">(1+H1015)^(1/12)-1</f>
        <v>0.00488983268157006</v>
      </c>
      <c r="J1015" s="16" t="n">
        <f aca="false">IF(C1015=0,(1+Dic2024!$M$6)^(-B1015),EXP(LN(INDEX(Dic2024!$N$6:$N$205,C1015))+(LN(INDEX(Dic2024!$N$6:$N$205,MIN(C1015+1,200)))-LN(INDEX(Dic2024!$N$6:$N$205,C1015)))*(A1015-6*C1015)/6))</f>
        <v>0.00721514233589782</v>
      </c>
      <c r="K1015" s="12" t="n">
        <f aca="false">J1015^(-1/B1015)-1</f>
        <v>0.0602820900000001</v>
      </c>
      <c r="L1015" s="12" t="n">
        <f aca="false">(1+K1015)^(1/12)-1</f>
        <v>0.00488983268157006</v>
      </c>
    </row>
    <row r="1016" customFormat="false" ht="15" hidden="false" customHeight="false" outlineLevel="0" collapsed="false">
      <c r="A1016" s="4" t="n">
        <v>1012</v>
      </c>
      <c r="B1016" s="14" t="n">
        <f aca="false">A1016/12</f>
        <v>84.3333333333333</v>
      </c>
      <c r="C1016" s="15" t="n">
        <f aca="false">INT(A1016/6)</f>
        <v>168</v>
      </c>
      <c r="D1016" s="16" t="n">
        <f aca="false">IF(C1016=0,(1+Dic2024!$G$6)^(-B1016),EXP(LN(INDEX(Dic2024!$H$6:$H$205,C1016))+(LN(INDEX(Dic2024!$H$6:$H$205,MIN(C1016+1,200)))-LN(INDEX(Dic2024!$H$6:$H$205,C1016)))*(A1016-6*C1016)/6))</f>
        <v>0.00718003317502383</v>
      </c>
      <c r="E1016" s="12" t="n">
        <f aca="false">D1016^(-1/B1016)-1</f>
        <v>0.0602820900000001</v>
      </c>
      <c r="F1016" s="12" t="n">
        <f aca="false">(1+E1016)^(1/12)-1</f>
        <v>0.00488983268157006</v>
      </c>
      <c r="G1016" s="16" t="n">
        <f aca="false">IF(C1016=0,(1+Dic2024!$J$6)^(-B1016),EXP(LN(INDEX(Dic2024!$K$6:$K$205,C1016))+(LN(INDEX(Dic2024!$K$6:$K$205,MIN(C1016+1,200)))-LN(INDEX(Dic2024!$K$6:$K$205,C1016)))*(A1016-6*C1016)/6))</f>
        <v>0.00718003317502383</v>
      </c>
      <c r="H1016" s="12" t="n">
        <f aca="false">G1016^(-1/B1016)-1</f>
        <v>0.0602820900000001</v>
      </c>
      <c r="I1016" s="12" t="n">
        <f aca="false">(1+H1016)^(1/12)-1</f>
        <v>0.00488983268157006</v>
      </c>
      <c r="J1016" s="16" t="n">
        <f aca="false">IF(C1016=0,(1+Dic2024!$M$6)^(-B1016),EXP(LN(INDEX(Dic2024!$N$6:$N$205,C1016))+(LN(INDEX(Dic2024!$N$6:$N$205,MIN(C1016+1,200)))-LN(INDEX(Dic2024!$N$6:$N$205,C1016)))*(A1016-6*C1016)/6))</f>
        <v>0.00718003317502383</v>
      </c>
      <c r="K1016" s="12" t="n">
        <f aca="false">J1016^(-1/B1016)-1</f>
        <v>0.0602820900000001</v>
      </c>
      <c r="L1016" s="12" t="n">
        <f aca="false">(1+K1016)^(1/12)-1</f>
        <v>0.00488983268157006</v>
      </c>
    </row>
    <row r="1017" customFormat="false" ht="15" hidden="false" customHeight="false" outlineLevel="0" collapsed="false">
      <c r="A1017" s="4" t="n">
        <v>1013</v>
      </c>
      <c r="B1017" s="14" t="n">
        <f aca="false">A1017/12</f>
        <v>84.4166666666667</v>
      </c>
      <c r="C1017" s="15" t="n">
        <f aca="false">INT(A1017/6)</f>
        <v>168</v>
      </c>
      <c r="D1017" s="16" t="n">
        <f aca="false">IF(C1017=0,(1+Dic2024!$G$6)^(-B1017),EXP(LN(INDEX(Dic2024!$H$6:$H$205,C1017))+(LN(INDEX(Dic2024!$H$6:$H$205,MIN(C1017+1,200)))-LN(INDEX(Dic2024!$H$6:$H$205,C1017)))*(A1017-6*C1017)/6))</f>
        <v>0.00714509485668071</v>
      </c>
      <c r="E1017" s="12" t="n">
        <f aca="false">D1017^(-1/B1017)-1</f>
        <v>0.0602820900000001</v>
      </c>
      <c r="F1017" s="12" t="n">
        <f aca="false">(1+E1017)^(1/12)-1</f>
        <v>0.00488983268157006</v>
      </c>
      <c r="G1017" s="16" t="n">
        <f aca="false">IF(C1017=0,(1+Dic2024!$J$6)^(-B1017),EXP(LN(INDEX(Dic2024!$K$6:$K$205,C1017))+(LN(INDEX(Dic2024!$K$6:$K$205,MIN(C1017+1,200)))-LN(INDEX(Dic2024!$K$6:$K$205,C1017)))*(A1017-6*C1017)/6))</f>
        <v>0.00714509485668071</v>
      </c>
      <c r="H1017" s="12" t="n">
        <f aca="false">G1017^(-1/B1017)-1</f>
        <v>0.0602820900000001</v>
      </c>
      <c r="I1017" s="12" t="n">
        <f aca="false">(1+H1017)^(1/12)-1</f>
        <v>0.00488983268157006</v>
      </c>
      <c r="J1017" s="16" t="n">
        <f aca="false">IF(C1017=0,(1+Dic2024!$M$6)^(-B1017),EXP(LN(INDEX(Dic2024!$N$6:$N$205,C1017))+(LN(INDEX(Dic2024!$N$6:$N$205,MIN(C1017+1,200)))-LN(INDEX(Dic2024!$N$6:$N$205,C1017)))*(A1017-6*C1017)/6))</f>
        <v>0.00714509485668071</v>
      </c>
      <c r="K1017" s="12" t="n">
        <f aca="false">J1017^(-1/B1017)-1</f>
        <v>0.0602820900000001</v>
      </c>
      <c r="L1017" s="12" t="n">
        <f aca="false">(1+K1017)^(1/12)-1</f>
        <v>0.00488983268157006</v>
      </c>
    </row>
    <row r="1018" customFormat="false" ht="15" hidden="false" customHeight="false" outlineLevel="0" collapsed="false">
      <c r="A1018" s="4" t="n">
        <v>1014</v>
      </c>
      <c r="B1018" s="14" t="n">
        <f aca="false">A1018/12</f>
        <v>84.5</v>
      </c>
      <c r="C1018" s="15" t="n">
        <f aca="false">INT(A1018/6)</f>
        <v>169</v>
      </c>
      <c r="D1018" s="16" t="n">
        <f aca="false">IF(C1018=0,(1+Dic2024!$G$6)^(-B1018),EXP(LN(INDEX(Dic2024!$H$6:$H$205,C1018))+(LN(INDEX(Dic2024!$H$6:$H$205,MIN(C1018+1,200)))-LN(INDEX(Dic2024!$H$6:$H$205,C1018)))*(A1018-6*C1018)/6))</f>
        <v>0.00711032654954212</v>
      </c>
      <c r="E1018" s="12" t="n">
        <f aca="false">D1018^(-1/B1018)-1</f>
        <v>0.0602820900000001</v>
      </c>
      <c r="F1018" s="12" t="n">
        <f aca="false">(1+E1018)^(1/12)-1</f>
        <v>0.00488983268157006</v>
      </c>
      <c r="G1018" s="16" t="n">
        <f aca="false">IF(C1018=0,(1+Dic2024!$J$6)^(-B1018),EXP(LN(INDEX(Dic2024!$K$6:$K$205,C1018))+(LN(INDEX(Dic2024!$K$6:$K$205,MIN(C1018+1,200)))-LN(INDEX(Dic2024!$K$6:$K$205,C1018)))*(A1018-6*C1018)/6))</f>
        <v>0.00711032654954212</v>
      </c>
      <c r="H1018" s="12" t="n">
        <f aca="false">G1018^(-1/B1018)-1</f>
        <v>0.0602820900000001</v>
      </c>
      <c r="I1018" s="12" t="n">
        <f aca="false">(1+H1018)^(1/12)-1</f>
        <v>0.00488983268157006</v>
      </c>
      <c r="J1018" s="16" t="n">
        <f aca="false">IF(C1018=0,(1+Dic2024!$M$6)^(-B1018),EXP(LN(INDEX(Dic2024!$N$6:$N$205,C1018))+(LN(INDEX(Dic2024!$N$6:$N$205,MIN(C1018+1,200)))-LN(INDEX(Dic2024!$N$6:$N$205,C1018)))*(A1018-6*C1018)/6))</f>
        <v>0.00711032654954212</v>
      </c>
      <c r="K1018" s="12" t="n">
        <f aca="false">J1018^(-1/B1018)-1</f>
        <v>0.0602820900000001</v>
      </c>
      <c r="L1018" s="12" t="n">
        <f aca="false">(1+K1018)^(1/12)-1</f>
        <v>0.00488983268157006</v>
      </c>
    </row>
    <row r="1019" customFormat="false" ht="15" hidden="false" customHeight="false" outlineLevel="0" collapsed="false">
      <c r="A1019" s="4" t="n">
        <v>1015</v>
      </c>
      <c r="B1019" s="14" t="n">
        <f aca="false">A1019/12</f>
        <v>84.5833333333333</v>
      </c>
      <c r="C1019" s="15" t="n">
        <f aca="false">INT(A1019/6)</f>
        <v>169</v>
      </c>
      <c r="D1019" s="16" t="n">
        <f aca="false">IF(C1019=0,(1+Dic2024!$G$6)^(-B1019),EXP(LN(INDEX(Dic2024!$H$6:$H$205,C1019))+(LN(INDEX(Dic2024!$H$6:$H$205,MIN(C1019+1,200)))-LN(INDEX(Dic2024!$H$6:$H$205,C1019)))*(A1019-6*C1019)/6))</f>
        <v>0.00707572742632698</v>
      </c>
      <c r="E1019" s="12" t="n">
        <f aca="false">D1019^(-1/B1019)-1</f>
        <v>0.0602820900000001</v>
      </c>
      <c r="F1019" s="12" t="n">
        <f aca="false">(1+E1019)^(1/12)-1</f>
        <v>0.00488983268157006</v>
      </c>
      <c r="G1019" s="16" t="n">
        <f aca="false">IF(C1019=0,(1+Dic2024!$J$6)^(-B1019),EXP(LN(INDEX(Dic2024!$K$6:$K$205,C1019))+(LN(INDEX(Dic2024!$K$6:$K$205,MIN(C1019+1,200)))-LN(INDEX(Dic2024!$K$6:$K$205,C1019)))*(A1019-6*C1019)/6))</f>
        <v>0.00707572742632698</v>
      </c>
      <c r="H1019" s="12" t="n">
        <f aca="false">G1019^(-1/B1019)-1</f>
        <v>0.0602820900000001</v>
      </c>
      <c r="I1019" s="12" t="n">
        <f aca="false">(1+H1019)^(1/12)-1</f>
        <v>0.00488983268157006</v>
      </c>
      <c r="J1019" s="16" t="n">
        <f aca="false">IF(C1019=0,(1+Dic2024!$M$6)^(-B1019),EXP(LN(INDEX(Dic2024!$N$6:$N$205,C1019))+(LN(INDEX(Dic2024!$N$6:$N$205,MIN(C1019+1,200)))-LN(INDEX(Dic2024!$N$6:$N$205,C1019)))*(A1019-6*C1019)/6))</f>
        <v>0.00707572742632698</v>
      </c>
      <c r="K1019" s="12" t="n">
        <f aca="false">J1019^(-1/B1019)-1</f>
        <v>0.0602820900000001</v>
      </c>
      <c r="L1019" s="12" t="n">
        <f aca="false">(1+K1019)^(1/12)-1</f>
        <v>0.00488983268157006</v>
      </c>
    </row>
    <row r="1020" customFormat="false" ht="15" hidden="false" customHeight="false" outlineLevel="0" collapsed="false">
      <c r="A1020" s="4" t="n">
        <v>1016</v>
      </c>
      <c r="B1020" s="14" t="n">
        <f aca="false">A1020/12</f>
        <v>84.6666666666667</v>
      </c>
      <c r="C1020" s="15" t="n">
        <f aca="false">INT(A1020/6)</f>
        <v>169</v>
      </c>
      <c r="D1020" s="16" t="n">
        <f aca="false">IF(C1020=0,(1+Dic2024!$G$6)^(-B1020),EXP(LN(INDEX(Dic2024!$H$6:$H$205,C1020))+(LN(INDEX(Dic2024!$H$6:$H$205,MIN(C1020+1,200)))-LN(INDEX(Dic2024!$H$6:$H$205,C1020)))*(A1020-6*C1020)/6))</f>
        <v>0.00704129666377981</v>
      </c>
      <c r="E1020" s="12" t="n">
        <f aca="false">D1020^(-1/B1020)-1</f>
        <v>0.0602820900000001</v>
      </c>
      <c r="F1020" s="12" t="n">
        <f aca="false">(1+E1020)^(1/12)-1</f>
        <v>0.00488983268157006</v>
      </c>
      <c r="G1020" s="16" t="n">
        <f aca="false">IF(C1020=0,(1+Dic2024!$J$6)^(-B1020),EXP(LN(INDEX(Dic2024!$K$6:$K$205,C1020))+(LN(INDEX(Dic2024!$K$6:$K$205,MIN(C1020+1,200)))-LN(INDEX(Dic2024!$K$6:$K$205,C1020)))*(A1020-6*C1020)/6))</f>
        <v>0.00704129666377981</v>
      </c>
      <c r="H1020" s="12" t="n">
        <f aca="false">G1020^(-1/B1020)-1</f>
        <v>0.0602820900000001</v>
      </c>
      <c r="I1020" s="12" t="n">
        <f aca="false">(1+H1020)^(1/12)-1</f>
        <v>0.00488983268157006</v>
      </c>
      <c r="J1020" s="16" t="n">
        <f aca="false">IF(C1020=0,(1+Dic2024!$M$6)^(-B1020),EXP(LN(INDEX(Dic2024!$N$6:$N$205,C1020))+(LN(INDEX(Dic2024!$N$6:$N$205,MIN(C1020+1,200)))-LN(INDEX(Dic2024!$N$6:$N$205,C1020)))*(A1020-6*C1020)/6))</f>
        <v>0.00704129666377981</v>
      </c>
      <c r="K1020" s="12" t="n">
        <f aca="false">J1020^(-1/B1020)-1</f>
        <v>0.0602820900000001</v>
      </c>
      <c r="L1020" s="12" t="n">
        <f aca="false">(1+K1020)^(1/12)-1</f>
        <v>0.00488983268157006</v>
      </c>
    </row>
    <row r="1021" customFormat="false" ht="15" hidden="false" customHeight="false" outlineLevel="0" collapsed="false">
      <c r="A1021" s="4" t="n">
        <v>1017</v>
      </c>
      <c r="B1021" s="14" t="n">
        <f aca="false">A1021/12</f>
        <v>84.75</v>
      </c>
      <c r="C1021" s="15" t="n">
        <f aca="false">INT(A1021/6)</f>
        <v>169</v>
      </c>
      <c r="D1021" s="16" t="n">
        <f aca="false">IF(C1021=0,(1+Dic2024!$G$6)^(-B1021),EXP(LN(INDEX(Dic2024!$H$6:$H$205,C1021))+(LN(INDEX(Dic2024!$H$6:$H$205,MIN(C1021+1,200)))-LN(INDEX(Dic2024!$H$6:$H$205,C1021)))*(A1021-6*C1021)/6))</f>
        <v>0.00700703344265108</v>
      </c>
      <c r="E1021" s="12" t="n">
        <f aca="false">D1021^(-1/B1021)-1</f>
        <v>0.0602820900000001</v>
      </c>
      <c r="F1021" s="12" t="n">
        <f aca="false">(1+E1021)^(1/12)-1</f>
        <v>0.00488983268157006</v>
      </c>
      <c r="G1021" s="16" t="n">
        <f aca="false">IF(C1021=0,(1+Dic2024!$J$6)^(-B1021),EXP(LN(INDEX(Dic2024!$K$6:$K$205,C1021))+(LN(INDEX(Dic2024!$K$6:$K$205,MIN(C1021+1,200)))-LN(INDEX(Dic2024!$K$6:$K$205,C1021)))*(A1021-6*C1021)/6))</f>
        <v>0.00700703344265108</v>
      </c>
      <c r="H1021" s="12" t="n">
        <f aca="false">G1021^(-1/B1021)-1</f>
        <v>0.0602820900000001</v>
      </c>
      <c r="I1021" s="12" t="n">
        <f aca="false">(1+H1021)^(1/12)-1</f>
        <v>0.00488983268157006</v>
      </c>
      <c r="J1021" s="16" t="n">
        <f aca="false">IF(C1021=0,(1+Dic2024!$M$6)^(-B1021),EXP(LN(INDEX(Dic2024!$N$6:$N$205,C1021))+(LN(INDEX(Dic2024!$N$6:$N$205,MIN(C1021+1,200)))-LN(INDEX(Dic2024!$N$6:$N$205,C1021)))*(A1021-6*C1021)/6))</f>
        <v>0.00700703344265108</v>
      </c>
      <c r="K1021" s="12" t="n">
        <f aca="false">J1021^(-1/B1021)-1</f>
        <v>0.0602820900000001</v>
      </c>
      <c r="L1021" s="12" t="n">
        <f aca="false">(1+K1021)^(1/12)-1</f>
        <v>0.00488983268157006</v>
      </c>
    </row>
    <row r="1022" customFormat="false" ht="15" hidden="false" customHeight="false" outlineLevel="0" collapsed="false">
      <c r="A1022" s="4" t="n">
        <v>1018</v>
      </c>
      <c r="B1022" s="14" t="n">
        <f aca="false">A1022/12</f>
        <v>84.8333333333333</v>
      </c>
      <c r="C1022" s="15" t="n">
        <f aca="false">INT(A1022/6)</f>
        <v>169</v>
      </c>
      <c r="D1022" s="16" t="n">
        <f aca="false">IF(C1022=0,(1+Dic2024!$G$6)^(-B1022),EXP(LN(INDEX(Dic2024!$H$6:$H$205,C1022))+(LN(INDEX(Dic2024!$H$6:$H$205,MIN(C1022+1,200)))-LN(INDEX(Dic2024!$H$6:$H$205,C1022)))*(A1022-6*C1022)/6))</f>
        <v>0.00697293694767779</v>
      </c>
      <c r="E1022" s="12" t="n">
        <f aca="false">D1022^(-1/B1022)-1</f>
        <v>0.0602820900000001</v>
      </c>
      <c r="F1022" s="12" t="n">
        <f aca="false">(1+E1022)^(1/12)-1</f>
        <v>0.00488983268157006</v>
      </c>
      <c r="G1022" s="16" t="n">
        <f aca="false">IF(C1022=0,(1+Dic2024!$J$6)^(-B1022),EXP(LN(INDEX(Dic2024!$K$6:$K$205,C1022))+(LN(INDEX(Dic2024!$K$6:$K$205,MIN(C1022+1,200)))-LN(INDEX(Dic2024!$K$6:$K$205,C1022)))*(A1022-6*C1022)/6))</f>
        <v>0.00697293694767779</v>
      </c>
      <c r="H1022" s="12" t="n">
        <f aca="false">G1022^(-1/B1022)-1</f>
        <v>0.0602820900000001</v>
      </c>
      <c r="I1022" s="12" t="n">
        <f aca="false">(1+H1022)^(1/12)-1</f>
        <v>0.00488983268157006</v>
      </c>
      <c r="J1022" s="16" t="n">
        <f aca="false">IF(C1022=0,(1+Dic2024!$M$6)^(-B1022),EXP(LN(INDEX(Dic2024!$N$6:$N$205,C1022))+(LN(INDEX(Dic2024!$N$6:$N$205,MIN(C1022+1,200)))-LN(INDEX(Dic2024!$N$6:$N$205,C1022)))*(A1022-6*C1022)/6))</f>
        <v>0.00697293694767779</v>
      </c>
      <c r="K1022" s="12" t="n">
        <f aca="false">J1022^(-1/B1022)-1</f>
        <v>0.0602820900000001</v>
      </c>
      <c r="L1022" s="12" t="n">
        <f aca="false">(1+K1022)^(1/12)-1</f>
        <v>0.00488983268157006</v>
      </c>
    </row>
    <row r="1023" customFormat="false" ht="15" hidden="false" customHeight="false" outlineLevel="0" collapsed="false">
      <c r="A1023" s="4" t="n">
        <v>1019</v>
      </c>
      <c r="B1023" s="14" t="n">
        <f aca="false">A1023/12</f>
        <v>84.9166666666667</v>
      </c>
      <c r="C1023" s="15" t="n">
        <f aca="false">INT(A1023/6)</f>
        <v>169</v>
      </c>
      <c r="D1023" s="16" t="n">
        <f aca="false">IF(C1023=0,(1+Dic2024!$G$6)^(-B1023),EXP(LN(INDEX(Dic2024!$H$6:$H$205,C1023))+(LN(INDEX(Dic2024!$H$6:$H$205,MIN(C1023+1,200)))-LN(INDEX(Dic2024!$H$6:$H$205,C1023)))*(A1023-6*C1023)/6))</f>
        <v>0.00693900636756406</v>
      </c>
      <c r="E1023" s="12" t="n">
        <f aca="false">D1023^(-1/B1023)-1</f>
        <v>0.0602820900000001</v>
      </c>
      <c r="F1023" s="12" t="n">
        <f aca="false">(1+E1023)^(1/12)-1</f>
        <v>0.00488983268157006</v>
      </c>
      <c r="G1023" s="16" t="n">
        <f aca="false">IF(C1023=0,(1+Dic2024!$J$6)^(-B1023),EXP(LN(INDEX(Dic2024!$K$6:$K$205,C1023))+(LN(INDEX(Dic2024!$K$6:$K$205,MIN(C1023+1,200)))-LN(INDEX(Dic2024!$K$6:$K$205,C1023)))*(A1023-6*C1023)/6))</f>
        <v>0.00693900636756406</v>
      </c>
      <c r="H1023" s="12" t="n">
        <f aca="false">G1023^(-1/B1023)-1</f>
        <v>0.0602820900000001</v>
      </c>
      <c r="I1023" s="12" t="n">
        <f aca="false">(1+H1023)^(1/12)-1</f>
        <v>0.00488983268157006</v>
      </c>
      <c r="J1023" s="16" t="n">
        <f aca="false">IF(C1023=0,(1+Dic2024!$M$6)^(-B1023),EXP(LN(INDEX(Dic2024!$N$6:$N$205,C1023))+(LN(INDEX(Dic2024!$N$6:$N$205,MIN(C1023+1,200)))-LN(INDEX(Dic2024!$N$6:$N$205,C1023)))*(A1023-6*C1023)/6))</f>
        <v>0.00693900636756406</v>
      </c>
      <c r="K1023" s="12" t="n">
        <f aca="false">J1023^(-1/B1023)-1</f>
        <v>0.0602820900000001</v>
      </c>
      <c r="L1023" s="12" t="n">
        <f aca="false">(1+K1023)^(1/12)-1</f>
        <v>0.00488983268157006</v>
      </c>
    </row>
    <row r="1024" customFormat="false" ht="15" hidden="false" customHeight="false" outlineLevel="0" collapsed="false">
      <c r="A1024" s="4" t="n">
        <v>1020</v>
      </c>
      <c r="B1024" s="14" t="n">
        <f aca="false">A1024/12</f>
        <v>85</v>
      </c>
      <c r="C1024" s="15" t="n">
        <f aca="false">INT(A1024/6)</f>
        <v>170</v>
      </c>
      <c r="D1024" s="16" t="n">
        <f aca="false">IF(C1024=0,(1+Dic2024!$G$6)^(-B1024),EXP(LN(INDEX(Dic2024!$H$6:$H$205,C1024))+(LN(INDEX(Dic2024!$H$6:$H$205,MIN(C1024+1,200)))-LN(INDEX(Dic2024!$H$6:$H$205,C1024)))*(A1024-6*C1024)/6))</f>
        <v>0.00690524089496176</v>
      </c>
      <c r="E1024" s="12" t="n">
        <f aca="false">D1024^(-1/B1024)-1</f>
        <v>0.0602820900000001</v>
      </c>
      <c r="F1024" s="12" t="n">
        <f aca="false">(1+E1024)^(1/12)-1</f>
        <v>0.00488983268157006</v>
      </c>
      <c r="G1024" s="16" t="n">
        <f aca="false">IF(C1024=0,(1+Dic2024!$J$6)^(-B1024),EXP(LN(INDEX(Dic2024!$K$6:$K$205,C1024))+(LN(INDEX(Dic2024!$K$6:$K$205,MIN(C1024+1,200)))-LN(INDEX(Dic2024!$K$6:$K$205,C1024)))*(A1024-6*C1024)/6))</f>
        <v>0.00690524089496176</v>
      </c>
      <c r="H1024" s="12" t="n">
        <f aca="false">G1024^(-1/B1024)-1</f>
        <v>0.0602820900000001</v>
      </c>
      <c r="I1024" s="12" t="n">
        <f aca="false">(1+H1024)^(1/12)-1</f>
        <v>0.00488983268157006</v>
      </c>
      <c r="J1024" s="16" t="n">
        <f aca="false">IF(C1024=0,(1+Dic2024!$M$6)^(-B1024),EXP(LN(INDEX(Dic2024!$N$6:$N$205,C1024))+(LN(INDEX(Dic2024!$N$6:$N$205,MIN(C1024+1,200)))-LN(INDEX(Dic2024!$N$6:$N$205,C1024)))*(A1024-6*C1024)/6))</f>
        <v>0.00690524089496176</v>
      </c>
      <c r="K1024" s="12" t="n">
        <f aca="false">J1024^(-1/B1024)-1</f>
        <v>0.0602820900000001</v>
      </c>
      <c r="L1024" s="12" t="n">
        <f aca="false">(1+K1024)^(1/12)-1</f>
        <v>0.00488983268157006</v>
      </c>
    </row>
    <row r="1025" customFormat="false" ht="15" hidden="false" customHeight="false" outlineLevel="0" collapsed="false">
      <c r="A1025" s="4" t="n">
        <v>1021</v>
      </c>
      <c r="B1025" s="14" t="n">
        <f aca="false">A1025/12</f>
        <v>85.0833333333333</v>
      </c>
      <c r="C1025" s="15" t="n">
        <f aca="false">INT(A1025/6)</f>
        <v>170</v>
      </c>
      <c r="D1025" s="16" t="n">
        <f aca="false">IF(C1025=0,(1+Dic2024!$G$6)^(-B1025),EXP(LN(INDEX(Dic2024!$H$6:$H$205,C1025))+(LN(INDEX(Dic2024!$H$6:$H$205,MIN(C1025+1,200)))-LN(INDEX(Dic2024!$H$6:$H$205,C1025)))*(A1025-6*C1025)/6))</f>
        <v>0.00687163972645138</v>
      </c>
      <c r="E1025" s="12" t="n">
        <f aca="false">D1025^(-1/B1025)-1</f>
        <v>0.0602820900000001</v>
      </c>
      <c r="F1025" s="12" t="n">
        <f aca="false">(1+E1025)^(1/12)-1</f>
        <v>0.00488983268157006</v>
      </c>
      <c r="G1025" s="16" t="n">
        <f aca="false">IF(C1025=0,(1+Dic2024!$J$6)^(-B1025),EXP(LN(INDEX(Dic2024!$K$6:$K$205,C1025))+(LN(INDEX(Dic2024!$K$6:$K$205,MIN(C1025+1,200)))-LN(INDEX(Dic2024!$K$6:$K$205,C1025)))*(A1025-6*C1025)/6))</f>
        <v>0.00687163972645138</v>
      </c>
      <c r="H1025" s="12" t="n">
        <f aca="false">G1025^(-1/B1025)-1</f>
        <v>0.0602820900000001</v>
      </c>
      <c r="I1025" s="12" t="n">
        <f aca="false">(1+H1025)^(1/12)-1</f>
        <v>0.00488983268157006</v>
      </c>
      <c r="J1025" s="16" t="n">
        <f aca="false">IF(C1025=0,(1+Dic2024!$M$6)^(-B1025),EXP(LN(INDEX(Dic2024!$N$6:$N$205,C1025))+(LN(INDEX(Dic2024!$N$6:$N$205,MIN(C1025+1,200)))-LN(INDEX(Dic2024!$N$6:$N$205,C1025)))*(A1025-6*C1025)/6))</f>
        <v>0.00687163972645138</v>
      </c>
      <c r="K1025" s="12" t="n">
        <f aca="false">J1025^(-1/B1025)-1</f>
        <v>0.0602820900000001</v>
      </c>
      <c r="L1025" s="12" t="n">
        <f aca="false">(1+K1025)^(1/12)-1</f>
        <v>0.00488983268157006</v>
      </c>
    </row>
    <row r="1026" customFormat="false" ht="15" hidden="false" customHeight="false" outlineLevel="0" collapsed="false">
      <c r="A1026" s="4" t="n">
        <v>1022</v>
      </c>
      <c r="B1026" s="14" t="n">
        <f aca="false">A1026/12</f>
        <v>85.1666666666667</v>
      </c>
      <c r="C1026" s="15" t="n">
        <f aca="false">INT(A1026/6)</f>
        <v>170</v>
      </c>
      <c r="D1026" s="16" t="n">
        <f aca="false">IF(C1026=0,(1+Dic2024!$G$6)^(-B1026),EXP(LN(INDEX(Dic2024!$H$6:$H$205,C1026))+(LN(INDEX(Dic2024!$H$6:$H$205,MIN(C1026+1,200)))-LN(INDEX(Dic2024!$H$6:$H$205,C1026)))*(A1026-6*C1026)/6))</f>
        <v>0.00683820206252288</v>
      </c>
      <c r="E1026" s="12" t="n">
        <f aca="false">D1026^(-1/B1026)-1</f>
        <v>0.0602820900000001</v>
      </c>
      <c r="F1026" s="12" t="n">
        <f aca="false">(1+E1026)^(1/12)-1</f>
        <v>0.00488983268157006</v>
      </c>
      <c r="G1026" s="16" t="n">
        <f aca="false">IF(C1026=0,(1+Dic2024!$J$6)^(-B1026),EXP(LN(INDEX(Dic2024!$K$6:$K$205,C1026))+(LN(INDEX(Dic2024!$K$6:$K$205,MIN(C1026+1,200)))-LN(INDEX(Dic2024!$K$6:$K$205,C1026)))*(A1026-6*C1026)/6))</f>
        <v>0.00683820206252288</v>
      </c>
      <c r="H1026" s="12" t="n">
        <f aca="false">G1026^(-1/B1026)-1</f>
        <v>0.0602820900000001</v>
      </c>
      <c r="I1026" s="12" t="n">
        <f aca="false">(1+H1026)^(1/12)-1</f>
        <v>0.00488983268157006</v>
      </c>
      <c r="J1026" s="16" t="n">
        <f aca="false">IF(C1026=0,(1+Dic2024!$M$6)^(-B1026),EXP(LN(INDEX(Dic2024!$N$6:$N$205,C1026))+(LN(INDEX(Dic2024!$N$6:$N$205,MIN(C1026+1,200)))-LN(INDEX(Dic2024!$N$6:$N$205,C1026)))*(A1026-6*C1026)/6))</f>
        <v>0.00683820206252288</v>
      </c>
      <c r="K1026" s="12" t="n">
        <f aca="false">J1026^(-1/B1026)-1</f>
        <v>0.0602820900000001</v>
      </c>
      <c r="L1026" s="12" t="n">
        <f aca="false">(1+K1026)^(1/12)-1</f>
        <v>0.00488983268157006</v>
      </c>
    </row>
    <row r="1027" customFormat="false" ht="15" hidden="false" customHeight="false" outlineLevel="0" collapsed="false">
      <c r="A1027" s="4" t="n">
        <v>1023</v>
      </c>
      <c r="B1027" s="14" t="n">
        <f aca="false">A1027/12</f>
        <v>85.25</v>
      </c>
      <c r="C1027" s="15" t="n">
        <f aca="false">INT(A1027/6)</f>
        <v>170</v>
      </c>
      <c r="D1027" s="16" t="n">
        <f aca="false">IF(C1027=0,(1+Dic2024!$G$6)^(-B1027),EXP(LN(INDEX(Dic2024!$H$6:$H$205,C1027))+(LN(INDEX(Dic2024!$H$6:$H$205,MIN(C1027+1,200)))-LN(INDEX(Dic2024!$H$6:$H$205,C1027)))*(A1027-6*C1027)/6))</f>
        <v>0.00680492710755665</v>
      </c>
      <c r="E1027" s="12" t="n">
        <f aca="false">D1027^(-1/B1027)-1</f>
        <v>0.0602820900000001</v>
      </c>
      <c r="F1027" s="12" t="n">
        <f aca="false">(1+E1027)^(1/12)-1</f>
        <v>0.00488983268157006</v>
      </c>
      <c r="G1027" s="16" t="n">
        <f aca="false">IF(C1027=0,(1+Dic2024!$J$6)^(-B1027),EXP(LN(INDEX(Dic2024!$K$6:$K$205,C1027))+(LN(INDEX(Dic2024!$K$6:$K$205,MIN(C1027+1,200)))-LN(INDEX(Dic2024!$K$6:$K$205,C1027)))*(A1027-6*C1027)/6))</f>
        <v>0.00680492710755665</v>
      </c>
      <c r="H1027" s="12" t="n">
        <f aca="false">G1027^(-1/B1027)-1</f>
        <v>0.0602820900000001</v>
      </c>
      <c r="I1027" s="12" t="n">
        <f aca="false">(1+H1027)^(1/12)-1</f>
        <v>0.00488983268157006</v>
      </c>
      <c r="J1027" s="16" t="n">
        <f aca="false">IF(C1027=0,(1+Dic2024!$M$6)^(-B1027),EXP(LN(INDEX(Dic2024!$N$6:$N$205,C1027))+(LN(INDEX(Dic2024!$N$6:$N$205,MIN(C1027+1,200)))-LN(INDEX(Dic2024!$N$6:$N$205,C1027)))*(A1027-6*C1027)/6))</f>
        <v>0.00680492710755665</v>
      </c>
      <c r="K1027" s="12" t="n">
        <f aca="false">J1027^(-1/B1027)-1</f>
        <v>0.0602820900000001</v>
      </c>
      <c r="L1027" s="12" t="n">
        <f aca="false">(1+K1027)^(1/12)-1</f>
        <v>0.00488983268157006</v>
      </c>
    </row>
    <row r="1028" customFormat="false" ht="15" hidden="false" customHeight="false" outlineLevel="0" collapsed="false">
      <c r="A1028" s="4" t="n">
        <v>1024</v>
      </c>
      <c r="B1028" s="14" t="n">
        <f aca="false">A1028/12</f>
        <v>85.3333333333333</v>
      </c>
      <c r="C1028" s="15" t="n">
        <f aca="false">INT(A1028/6)</f>
        <v>170</v>
      </c>
      <c r="D1028" s="16" t="n">
        <f aca="false">IF(C1028=0,(1+Dic2024!$G$6)^(-B1028),EXP(LN(INDEX(Dic2024!$H$6:$H$205,C1028))+(LN(INDEX(Dic2024!$H$6:$H$205,MIN(C1028+1,200)))-LN(INDEX(Dic2024!$H$6:$H$205,C1028)))*(A1028-6*C1028)/6))</f>
        <v>0.0067718140698046</v>
      </c>
      <c r="E1028" s="12" t="n">
        <f aca="false">D1028^(-1/B1028)-1</f>
        <v>0.0602820900000001</v>
      </c>
      <c r="F1028" s="12" t="n">
        <f aca="false">(1+E1028)^(1/12)-1</f>
        <v>0.00488983268157006</v>
      </c>
      <c r="G1028" s="16" t="n">
        <f aca="false">IF(C1028=0,(1+Dic2024!$J$6)^(-B1028),EXP(LN(INDEX(Dic2024!$K$6:$K$205,C1028))+(LN(INDEX(Dic2024!$K$6:$K$205,MIN(C1028+1,200)))-LN(INDEX(Dic2024!$K$6:$K$205,C1028)))*(A1028-6*C1028)/6))</f>
        <v>0.0067718140698046</v>
      </c>
      <c r="H1028" s="12" t="n">
        <f aca="false">G1028^(-1/B1028)-1</f>
        <v>0.0602820900000001</v>
      </c>
      <c r="I1028" s="12" t="n">
        <f aca="false">(1+H1028)^(1/12)-1</f>
        <v>0.00488983268157006</v>
      </c>
      <c r="J1028" s="16" t="n">
        <f aca="false">IF(C1028=0,(1+Dic2024!$M$6)^(-B1028),EXP(LN(INDEX(Dic2024!$N$6:$N$205,C1028))+(LN(INDEX(Dic2024!$N$6:$N$205,MIN(C1028+1,200)))-LN(INDEX(Dic2024!$N$6:$N$205,C1028)))*(A1028-6*C1028)/6))</f>
        <v>0.0067718140698046</v>
      </c>
      <c r="K1028" s="12" t="n">
        <f aca="false">J1028^(-1/B1028)-1</f>
        <v>0.0602820900000001</v>
      </c>
      <c r="L1028" s="12" t="n">
        <f aca="false">(1+K1028)^(1/12)-1</f>
        <v>0.00488983268157006</v>
      </c>
    </row>
    <row r="1029" customFormat="false" ht="15" hidden="false" customHeight="false" outlineLevel="0" collapsed="false">
      <c r="A1029" s="4" t="n">
        <v>1025</v>
      </c>
      <c r="B1029" s="14" t="n">
        <f aca="false">A1029/12</f>
        <v>85.4166666666667</v>
      </c>
      <c r="C1029" s="15" t="n">
        <f aca="false">INT(A1029/6)</f>
        <v>170</v>
      </c>
      <c r="D1029" s="16" t="n">
        <f aca="false">IF(C1029=0,(1+Dic2024!$G$6)^(-B1029),EXP(LN(INDEX(Dic2024!$H$6:$H$205,C1029))+(LN(INDEX(Dic2024!$H$6:$H$205,MIN(C1029+1,200)))-LN(INDEX(Dic2024!$H$6:$H$205,C1029)))*(A1029-6*C1029)/6))</f>
        <v>0.00673886216137133</v>
      </c>
      <c r="E1029" s="12" t="n">
        <f aca="false">D1029^(-1/B1029)-1</f>
        <v>0.0602820900000001</v>
      </c>
      <c r="F1029" s="12" t="n">
        <f aca="false">(1+E1029)^(1/12)-1</f>
        <v>0.00488983268157006</v>
      </c>
      <c r="G1029" s="16" t="n">
        <f aca="false">IF(C1029=0,(1+Dic2024!$J$6)^(-B1029),EXP(LN(INDEX(Dic2024!$K$6:$K$205,C1029))+(LN(INDEX(Dic2024!$K$6:$K$205,MIN(C1029+1,200)))-LN(INDEX(Dic2024!$K$6:$K$205,C1029)))*(A1029-6*C1029)/6))</f>
        <v>0.00673886216137133</v>
      </c>
      <c r="H1029" s="12" t="n">
        <f aca="false">G1029^(-1/B1029)-1</f>
        <v>0.0602820900000001</v>
      </c>
      <c r="I1029" s="12" t="n">
        <f aca="false">(1+H1029)^(1/12)-1</f>
        <v>0.00488983268157006</v>
      </c>
      <c r="J1029" s="16" t="n">
        <f aca="false">IF(C1029=0,(1+Dic2024!$M$6)^(-B1029),EXP(LN(INDEX(Dic2024!$N$6:$N$205,C1029))+(LN(INDEX(Dic2024!$N$6:$N$205,MIN(C1029+1,200)))-LN(INDEX(Dic2024!$N$6:$N$205,C1029)))*(A1029-6*C1029)/6))</f>
        <v>0.00673886216137133</v>
      </c>
      <c r="K1029" s="12" t="n">
        <f aca="false">J1029^(-1/B1029)-1</f>
        <v>0.0602820900000001</v>
      </c>
      <c r="L1029" s="12" t="n">
        <f aca="false">(1+K1029)^(1/12)-1</f>
        <v>0.00488983268157006</v>
      </c>
    </row>
    <row r="1030" customFormat="false" ht="15" hidden="false" customHeight="false" outlineLevel="0" collapsed="false">
      <c r="A1030" s="4" t="n">
        <v>1026</v>
      </c>
      <c r="B1030" s="14" t="n">
        <f aca="false">A1030/12</f>
        <v>85.5</v>
      </c>
      <c r="C1030" s="15" t="n">
        <f aca="false">INT(A1030/6)</f>
        <v>171</v>
      </c>
      <c r="D1030" s="16" t="n">
        <f aca="false">IF(C1030=0,(1+Dic2024!$G$6)^(-B1030),EXP(LN(INDEX(Dic2024!$H$6:$H$205,C1030))+(LN(INDEX(Dic2024!$H$6:$H$205,MIN(C1030+1,200)))-LN(INDEX(Dic2024!$H$6:$H$205,C1030)))*(A1030-6*C1030)/6))</f>
        <v>0.00670607059819536</v>
      </c>
      <c r="E1030" s="12" t="n">
        <f aca="false">D1030^(-1/B1030)-1</f>
        <v>0.0602820900000001</v>
      </c>
      <c r="F1030" s="12" t="n">
        <f aca="false">(1+E1030)^(1/12)-1</f>
        <v>0.00488983268157006</v>
      </c>
      <c r="G1030" s="16" t="n">
        <f aca="false">IF(C1030=0,(1+Dic2024!$J$6)^(-B1030),EXP(LN(INDEX(Dic2024!$K$6:$K$205,C1030))+(LN(INDEX(Dic2024!$K$6:$K$205,MIN(C1030+1,200)))-LN(INDEX(Dic2024!$K$6:$K$205,C1030)))*(A1030-6*C1030)/6))</f>
        <v>0.00670607059819536</v>
      </c>
      <c r="H1030" s="12" t="n">
        <f aca="false">G1030^(-1/B1030)-1</f>
        <v>0.0602820900000001</v>
      </c>
      <c r="I1030" s="12" t="n">
        <f aca="false">(1+H1030)^(1/12)-1</f>
        <v>0.00488983268157006</v>
      </c>
      <c r="J1030" s="16" t="n">
        <f aca="false">IF(C1030=0,(1+Dic2024!$M$6)^(-B1030),EXP(LN(INDEX(Dic2024!$N$6:$N$205,C1030))+(LN(INDEX(Dic2024!$N$6:$N$205,MIN(C1030+1,200)))-LN(INDEX(Dic2024!$N$6:$N$205,C1030)))*(A1030-6*C1030)/6))</f>
        <v>0.00670607059819536</v>
      </c>
      <c r="K1030" s="12" t="n">
        <f aca="false">J1030^(-1/B1030)-1</f>
        <v>0.0602820900000001</v>
      </c>
      <c r="L1030" s="12" t="n">
        <f aca="false">(1+K1030)^(1/12)-1</f>
        <v>0.00488983268157006</v>
      </c>
    </row>
    <row r="1031" customFormat="false" ht="15" hidden="false" customHeight="false" outlineLevel="0" collapsed="false">
      <c r="A1031" s="4" t="n">
        <v>1027</v>
      </c>
      <c r="B1031" s="14" t="n">
        <f aca="false">A1031/12</f>
        <v>85.5833333333333</v>
      </c>
      <c r="C1031" s="15" t="n">
        <f aca="false">INT(A1031/6)</f>
        <v>171</v>
      </c>
      <c r="D1031" s="16" t="n">
        <f aca="false">IF(C1031=0,(1+Dic2024!$G$6)^(-B1031),EXP(LN(INDEX(Dic2024!$H$6:$H$205,C1031))+(LN(INDEX(Dic2024!$H$6:$H$205,MIN(C1031+1,200)))-LN(INDEX(Dic2024!$H$6:$H$205,C1031)))*(A1031-6*C1031)/6))</f>
        <v>0.00667343860003048</v>
      </c>
      <c r="E1031" s="12" t="n">
        <f aca="false">D1031^(-1/B1031)-1</f>
        <v>0.0602820900000001</v>
      </c>
      <c r="F1031" s="12" t="n">
        <f aca="false">(1+E1031)^(1/12)-1</f>
        <v>0.00488983268157006</v>
      </c>
      <c r="G1031" s="16" t="n">
        <f aca="false">IF(C1031=0,(1+Dic2024!$J$6)^(-B1031),EXP(LN(INDEX(Dic2024!$K$6:$K$205,C1031))+(LN(INDEX(Dic2024!$K$6:$K$205,MIN(C1031+1,200)))-LN(INDEX(Dic2024!$K$6:$K$205,C1031)))*(A1031-6*C1031)/6))</f>
        <v>0.00667343860003048</v>
      </c>
      <c r="H1031" s="12" t="n">
        <f aca="false">G1031^(-1/B1031)-1</f>
        <v>0.0602820900000001</v>
      </c>
      <c r="I1031" s="12" t="n">
        <f aca="false">(1+H1031)^(1/12)-1</f>
        <v>0.00488983268157006</v>
      </c>
      <c r="J1031" s="16" t="n">
        <f aca="false">IF(C1031=0,(1+Dic2024!$M$6)^(-B1031),EXP(LN(INDEX(Dic2024!$N$6:$N$205,C1031))+(LN(INDEX(Dic2024!$N$6:$N$205,MIN(C1031+1,200)))-LN(INDEX(Dic2024!$N$6:$N$205,C1031)))*(A1031-6*C1031)/6))</f>
        <v>0.00667343860003048</v>
      </c>
      <c r="K1031" s="12" t="n">
        <f aca="false">J1031^(-1/B1031)-1</f>
        <v>0.0602820900000001</v>
      </c>
      <c r="L1031" s="12" t="n">
        <f aca="false">(1+K1031)^(1/12)-1</f>
        <v>0.00488983268157006</v>
      </c>
    </row>
    <row r="1032" customFormat="false" ht="15" hidden="false" customHeight="false" outlineLevel="0" collapsed="false">
      <c r="A1032" s="4" t="n">
        <v>1028</v>
      </c>
      <c r="B1032" s="14" t="n">
        <f aca="false">A1032/12</f>
        <v>85.6666666666667</v>
      </c>
      <c r="C1032" s="15" t="n">
        <f aca="false">INT(A1032/6)</f>
        <v>171</v>
      </c>
      <c r="D1032" s="16" t="n">
        <f aca="false">IF(C1032=0,(1+Dic2024!$G$6)^(-B1032),EXP(LN(INDEX(Dic2024!$H$6:$H$205,C1032))+(LN(INDEX(Dic2024!$H$6:$H$205,MIN(C1032+1,200)))-LN(INDEX(Dic2024!$H$6:$H$205,C1032)))*(A1032-6*C1032)/6))</f>
        <v>0.00664096539042719</v>
      </c>
      <c r="E1032" s="12" t="n">
        <f aca="false">D1032^(-1/B1032)-1</f>
        <v>0.0602820900000001</v>
      </c>
      <c r="F1032" s="12" t="n">
        <f aca="false">(1+E1032)^(1/12)-1</f>
        <v>0.00488983268157006</v>
      </c>
      <c r="G1032" s="16" t="n">
        <f aca="false">IF(C1032=0,(1+Dic2024!$J$6)^(-B1032),EXP(LN(INDEX(Dic2024!$K$6:$K$205,C1032))+(LN(INDEX(Dic2024!$K$6:$K$205,MIN(C1032+1,200)))-LN(INDEX(Dic2024!$K$6:$K$205,C1032)))*(A1032-6*C1032)/6))</f>
        <v>0.00664096539042719</v>
      </c>
      <c r="H1032" s="12" t="n">
        <f aca="false">G1032^(-1/B1032)-1</f>
        <v>0.0602820900000001</v>
      </c>
      <c r="I1032" s="12" t="n">
        <f aca="false">(1+H1032)^(1/12)-1</f>
        <v>0.00488983268157006</v>
      </c>
      <c r="J1032" s="16" t="n">
        <f aca="false">IF(C1032=0,(1+Dic2024!$M$6)^(-B1032),EXP(LN(INDEX(Dic2024!$N$6:$N$205,C1032))+(LN(INDEX(Dic2024!$N$6:$N$205,MIN(C1032+1,200)))-LN(INDEX(Dic2024!$N$6:$N$205,C1032)))*(A1032-6*C1032)/6))</f>
        <v>0.00664096539042719</v>
      </c>
      <c r="K1032" s="12" t="n">
        <f aca="false">J1032^(-1/B1032)-1</f>
        <v>0.0602820900000001</v>
      </c>
      <c r="L1032" s="12" t="n">
        <f aca="false">(1+K1032)^(1/12)-1</f>
        <v>0.00488983268157006</v>
      </c>
    </row>
    <row r="1033" customFormat="false" ht="15" hidden="false" customHeight="false" outlineLevel="0" collapsed="false">
      <c r="A1033" s="4" t="n">
        <v>1029</v>
      </c>
      <c r="B1033" s="14" t="n">
        <f aca="false">A1033/12</f>
        <v>85.75</v>
      </c>
      <c r="C1033" s="15" t="n">
        <f aca="false">INT(A1033/6)</f>
        <v>171</v>
      </c>
      <c r="D1033" s="16" t="n">
        <f aca="false">IF(C1033=0,(1+Dic2024!$G$6)^(-B1033),EXP(LN(INDEX(Dic2024!$H$6:$H$205,C1033))+(LN(INDEX(Dic2024!$H$6:$H$205,MIN(C1033+1,200)))-LN(INDEX(Dic2024!$H$6:$H$205,C1033)))*(A1033-6*C1033)/6))</f>
        <v>0.00660865019671423</v>
      </c>
      <c r="E1033" s="12" t="n">
        <f aca="false">D1033^(-1/B1033)-1</f>
        <v>0.0602820900000001</v>
      </c>
      <c r="F1033" s="12" t="n">
        <f aca="false">(1+E1033)^(1/12)-1</f>
        <v>0.00488983268157006</v>
      </c>
      <c r="G1033" s="16" t="n">
        <f aca="false">IF(C1033=0,(1+Dic2024!$J$6)^(-B1033),EXP(LN(INDEX(Dic2024!$K$6:$K$205,C1033))+(LN(INDEX(Dic2024!$K$6:$K$205,MIN(C1033+1,200)))-LN(INDEX(Dic2024!$K$6:$K$205,C1033)))*(A1033-6*C1033)/6))</f>
        <v>0.00660865019671423</v>
      </c>
      <c r="H1033" s="12" t="n">
        <f aca="false">G1033^(-1/B1033)-1</f>
        <v>0.0602820900000001</v>
      </c>
      <c r="I1033" s="12" t="n">
        <f aca="false">(1+H1033)^(1/12)-1</f>
        <v>0.00488983268157006</v>
      </c>
      <c r="J1033" s="16" t="n">
        <f aca="false">IF(C1033=0,(1+Dic2024!$M$6)^(-B1033),EXP(LN(INDEX(Dic2024!$N$6:$N$205,C1033))+(LN(INDEX(Dic2024!$N$6:$N$205,MIN(C1033+1,200)))-LN(INDEX(Dic2024!$N$6:$N$205,C1033)))*(A1033-6*C1033)/6))</f>
        <v>0.00660865019671423</v>
      </c>
      <c r="K1033" s="12" t="n">
        <f aca="false">J1033^(-1/B1033)-1</f>
        <v>0.0602820900000001</v>
      </c>
      <c r="L1033" s="12" t="n">
        <f aca="false">(1+K1033)^(1/12)-1</f>
        <v>0.00488983268157006</v>
      </c>
    </row>
    <row r="1034" customFormat="false" ht="15" hidden="false" customHeight="false" outlineLevel="0" collapsed="false">
      <c r="A1034" s="4" t="n">
        <v>1030</v>
      </c>
      <c r="B1034" s="14" t="n">
        <f aca="false">A1034/12</f>
        <v>85.8333333333333</v>
      </c>
      <c r="C1034" s="15" t="n">
        <f aca="false">INT(A1034/6)</f>
        <v>171</v>
      </c>
      <c r="D1034" s="16" t="n">
        <f aca="false">IF(C1034=0,(1+Dic2024!$G$6)^(-B1034),EXP(LN(INDEX(Dic2024!$H$6:$H$205,C1034))+(LN(INDEX(Dic2024!$H$6:$H$205,MIN(C1034+1,200)))-LN(INDEX(Dic2024!$H$6:$H$205,C1034)))*(A1034-6*C1034)/6))</f>
        <v>0.00657649224998019</v>
      </c>
      <c r="E1034" s="12" t="n">
        <f aca="false">D1034^(-1/B1034)-1</f>
        <v>0.0602820900000001</v>
      </c>
      <c r="F1034" s="12" t="n">
        <f aca="false">(1+E1034)^(1/12)-1</f>
        <v>0.00488983268157006</v>
      </c>
      <c r="G1034" s="16" t="n">
        <f aca="false">IF(C1034=0,(1+Dic2024!$J$6)^(-B1034),EXP(LN(INDEX(Dic2024!$K$6:$K$205,C1034))+(LN(INDEX(Dic2024!$K$6:$K$205,MIN(C1034+1,200)))-LN(INDEX(Dic2024!$K$6:$K$205,C1034)))*(A1034-6*C1034)/6))</f>
        <v>0.00657649224998019</v>
      </c>
      <c r="H1034" s="12" t="n">
        <f aca="false">G1034^(-1/B1034)-1</f>
        <v>0.0602820900000001</v>
      </c>
      <c r="I1034" s="12" t="n">
        <f aca="false">(1+H1034)^(1/12)-1</f>
        <v>0.00488983268157006</v>
      </c>
      <c r="J1034" s="16" t="n">
        <f aca="false">IF(C1034=0,(1+Dic2024!$M$6)^(-B1034),EXP(LN(INDEX(Dic2024!$N$6:$N$205,C1034))+(LN(INDEX(Dic2024!$N$6:$N$205,MIN(C1034+1,200)))-LN(INDEX(Dic2024!$N$6:$N$205,C1034)))*(A1034-6*C1034)/6))</f>
        <v>0.00657649224998019</v>
      </c>
      <c r="K1034" s="12" t="n">
        <f aca="false">J1034^(-1/B1034)-1</f>
        <v>0.0602820900000001</v>
      </c>
      <c r="L1034" s="12" t="n">
        <f aca="false">(1+K1034)^(1/12)-1</f>
        <v>0.00488983268157006</v>
      </c>
    </row>
    <row r="1035" customFormat="false" ht="15" hidden="false" customHeight="false" outlineLevel="0" collapsed="false">
      <c r="A1035" s="4" t="n">
        <v>1031</v>
      </c>
      <c r="B1035" s="14" t="n">
        <f aca="false">A1035/12</f>
        <v>85.9166666666667</v>
      </c>
      <c r="C1035" s="15" t="n">
        <f aca="false">INT(A1035/6)</f>
        <v>171</v>
      </c>
      <c r="D1035" s="16" t="n">
        <f aca="false">IF(C1035=0,(1+Dic2024!$G$6)^(-B1035),EXP(LN(INDEX(Dic2024!$H$6:$H$205,C1035))+(LN(INDEX(Dic2024!$H$6:$H$205,MIN(C1035+1,200)))-LN(INDEX(Dic2024!$H$6:$H$205,C1035)))*(A1035-6*C1035)/6))</f>
        <v>0.00654449078505519</v>
      </c>
      <c r="E1035" s="12" t="n">
        <f aca="false">D1035^(-1/B1035)-1</f>
        <v>0.0602820900000001</v>
      </c>
      <c r="F1035" s="12" t="n">
        <f aca="false">(1+E1035)^(1/12)-1</f>
        <v>0.00488983268157006</v>
      </c>
      <c r="G1035" s="16" t="n">
        <f aca="false">IF(C1035=0,(1+Dic2024!$J$6)^(-B1035),EXP(LN(INDEX(Dic2024!$K$6:$K$205,C1035))+(LN(INDEX(Dic2024!$K$6:$K$205,MIN(C1035+1,200)))-LN(INDEX(Dic2024!$K$6:$K$205,C1035)))*(A1035-6*C1035)/6))</f>
        <v>0.00654449078505519</v>
      </c>
      <c r="H1035" s="12" t="n">
        <f aca="false">G1035^(-1/B1035)-1</f>
        <v>0.0602820900000001</v>
      </c>
      <c r="I1035" s="12" t="n">
        <f aca="false">(1+H1035)^(1/12)-1</f>
        <v>0.00488983268157006</v>
      </c>
      <c r="J1035" s="16" t="n">
        <f aca="false">IF(C1035=0,(1+Dic2024!$M$6)^(-B1035),EXP(LN(INDEX(Dic2024!$N$6:$N$205,C1035))+(LN(INDEX(Dic2024!$N$6:$N$205,MIN(C1035+1,200)))-LN(INDEX(Dic2024!$N$6:$N$205,C1035)))*(A1035-6*C1035)/6))</f>
        <v>0.00654449078505519</v>
      </c>
      <c r="K1035" s="12" t="n">
        <f aca="false">J1035^(-1/B1035)-1</f>
        <v>0.0602820900000001</v>
      </c>
      <c r="L1035" s="12" t="n">
        <f aca="false">(1+K1035)^(1/12)-1</f>
        <v>0.00488983268157006</v>
      </c>
    </row>
    <row r="1036" customFormat="false" ht="15" hidden="false" customHeight="false" outlineLevel="0" collapsed="false">
      <c r="A1036" s="4" t="n">
        <v>1032</v>
      </c>
      <c r="B1036" s="14" t="n">
        <f aca="false">A1036/12</f>
        <v>86</v>
      </c>
      <c r="C1036" s="15" t="n">
        <f aca="false">INT(A1036/6)</f>
        <v>172</v>
      </c>
      <c r="D1036" s="16" t="n">
        <f aca="false">IF(C1036=0,(1+Dic2024!$G$6)^(-B1036),EXP(LN(INDEX(Dic2024!$H$6:$H$205,C1036))+(LN(INDEX(Dic2024!$H$6:$H$205,MIN(C1036+1,200)))-LN(INDEX(Dic2024!$H$6:$H$205,C1036)))*(A1036-6*C1036)/6))</f>
        <v>0.00651264504049272</v>
      </c>
      <c r="E1036" s="12" t="n">
        <f aca="false">D1036^(-1/B1036)-1</f>
        <v>0.0602820900000001</v>
      </c>
      <c r="F1036" s="12" t="n">
        <f aca="false">(1+E1036)^(1/12)-1</f>
        <v>0.00488983268157006</v>
      </c>
      <c r="G1036" s="16" t="n">
        <f aca="false">IF(C1036=0,(1+Dic2024!$J$6)^(-B1036),EXP(LN(INDEX(Dic2024!$K$6:$K$205,C1036))+(LN(INDEX(Dic2024!$K$6:$K$205,MIN(C1036+1,200)))-LN(INDEX(Dic2024!$K$6:$K$205,C1036)))*(A1036-6*C1036)/6))</f>
        <v>0.00651264504049272</v>
      </c>
      <c r="H1036" s="12" t="n">
        <f aca="false">G1036^(-1/B1036)-1</f>
        <v>0.0602820900000001</v>
      </c>
      <c r="I1036" s="12" t="n">
        <f aca="false">(1+H1036)^(1/12)-1</f>
        <v>0.00488983268157006</v>
      </c>
      <c r="J1036" s="16" t="n">
        <f aca="false">IF(C1036=0,(1+Dic2024!$M$6)^(-B1036),EXP(LN(INDEX(Dic2024!$N$6:$N$205,C1036))+(LN(INDEX(Dic2024!$N$6:$N$205,MIN(C1036+1,200)))-LN(INDEX(Dic2024!$N$6:$N$205,C1036)))*(A1036-6*C1036)/6))</f>
        <v>0.00651264504049272</v>
      </c>
      <c r="K1036" s="12" t="n">
        <f aca="false">J1036^(-1/B1036)-1</f>
        <v>0.0602820900000001</v>
      </c>
      <c r="L1036" s="12" t="n">
        <f aca="false">(1+K1036)^(1/12)-1</f>
        <v>0.00488983268157006</v>
      </c>
    </row>
    <row r="1037" customFormat="false" ht="15" hidden="false" customHeight="false" outlineLevel="0" collapsed="false">
      <c r="A1037" s="4" t="n">
        <v>1033</v>
      </c>
      <c r="B1037" s="14" t="n">
        <f aca="false">A1037/12</f>
        <v>86.0833333333333</v>
      </c>
      <c r="C1037" s="15" t="n">
        <f aca="false">INT(A1037/6)</f>
        <v>172</v>
      </c>
      <c r="D1037" s="16" t="n">
        <f aca="false">IF(C1037=0,(1+Dic2024!$G$6)^(-B1037),EXP(LN(INDEX(Dic2024!$H$6:$H$205,C1037))+(LN(INDEX(Dic2024!$H$6:$H$205,MIN(C1037+1,200)))-LN(INDEX(Dic2024!$H$6:$H$205,C1037)))*(A1037-6*C1037)/6))</f>
        <v>0.00648095425855149</v>
      </c>
      <c r="E1037" s="12" t="n">
        <f aca="false">D1037^(-1/B1037)-1</f>
        <v>0.0602820900000001</v>
      </c>
      <c r="F1037" s="12" t="n">
        <f aca="false">(1+E1037)^(1/12)-1</f>
        <v>0.00488983268157006</v>
      </c>
      <c r="G1037" s="16" t="n">
        <f aca="false">IF(C1037=0,(1+Dic2024!$J$6)^(-B1037),EXP(LN(INDEX(Dic2024!$K$6:$K$205,C1037))+(LN(INDEX(Dic2024!$K$6:$K$205,MIN(C1037+1,200)))-LN(INDEX(Dic2024!$K$6:$K$205,C1037)))*(A1037-6*C1037)/6))</f>
        <v>0.00648095425855149</v>
      </c>
      <c r="H1037" s="12" t="n">
        <f aca="false">G1037^(-1/B1037)-1</f>
        <v>0.0602820900000001</v>
      </c>
      <c r="I1037" s="12" t="n">
        <f aca="false">(1+H1037)^(1/12)-1</f>
        <v>0.00488983268157006</v>
      </c>
      <c r="J1037" s="16" t="n">
        <f aca="false">IF(C1037=0,(1+Dic2024!$M$6)^(-B1037),EXP(LN(INDEX(Dic2024!$N$6:$N$205,C1037))+(LN(INDEX(Dic2024!$N$6:$N$205,MIN(C1037+1,200)))-LN(INDEX(Dic2024!$N$6:$N$205,C1037)))*(A1037-6*C1037)/6))</f>
        <v>0.00648095425855149</v>
      </c>
      <c r="K1037" s="12" t="n">
        <f aca="false">J1037^(-1/B1037)-1</f>
        <v>0.0602820900000001</v>
      </c>
      <c r="L1037" s="12" t="n">
        <f aca="false">(1+K1037)^(1/12)-1</f>
        <v>0.00488983268157006</v>
      </c>
    </row>
    <row r="1038" customFormat="false" ht="15" hidden="false" customHeight="false" outlineLevel="0" collapsed="false">
      <c r="A1038" s="4" t="n">
        <v>1034</v>
      </c>
      <c r="B1038" s="14" t="n">
        <f aca="false">A1038/12</f>
        <v>86.1666666666667</v>
      </c>
      <c r="C1038" s="15" t="n">
        <f aca="false">INT(A1038/6)</f>
        <v>172</v>
      </c>
      <c r="D1038" s="16" t="n">
        <f aca="false">IF(C1038=0,(1+Dic2024!$G$6)^(-B1038),EXP(LN(INDEX(Dic2024!$H$6:$H$205,C1038))+(LN(INDEX(Dic2024!$H$6:$H$205,MIN(C1038+1,200)))-LN(INDEX(Dic2024!$H$6:$H$205,C1038)))*(A1038-6*C1038)/6))</f>
        <v>0.00644941768517742</v>
      </c>
      <c r="E1038" s="12" t="n">
        <f aca="false">D1038^(-1/B1038)-1</f>
        <v>0.0602820900000001</v>
      </c>
      <c r="F1038" s="12" t="n">
        <f aca="false">(1+E1038)^(1/12)-1</f>
        <v>0.00488983268157006</v>
      </c>
      <c r="G1038" s="16" t="n">
        <f aca="false">IF(C1038=0,(1+Dic2024!$J$6)^(-B1038),EXP(LN(INDEX(Dic2024!$K$6:$K$205,C1038))+(LN(INDEX(Dic2024!$K$6:$K$205,MIN(C1038+1,200)))-LN(INDEX(Dic2024!$K$6:$K$205,C1038)))*(A1038-6*C1038)/6))</f>
        <v>0.00644941768517742</v>
      </c>
      <c r="H1038" s="12" t="n">
        <f aca="false">G1038^(-1/B1038)-1</f>
        <v>0.0602820900000001</v>
      </c>
      <c r="I1038" s="12" t="n">
        <f aca="false">(1+H1038)^(1/12)-1</f>
        <v>0.00488983268157006</v>
      </c>
      <c r="J1038" s="16" t="n">
        <f aca="false">IF(C1038=0,(1+Dic2024!$M$6)^(-B1038),EXP(LN(INDEX(Dic2024!$N$6:$N$205,C1038))+(LN(INDEX(Dic2024!$N$6:$N$205,MIN(C1038+1,200)))-LN(INDEX(Dic2024!$N$6:$N$205,C1038)))*(A1038-6*C1038)/6))</f>
        <v>0.00644941768517742</v>
      </c>
      <c r="K1038" s="12" t="n">
        <f aca="false">J1038^(-1/B1038)-1</f>
        <v>0.0602820900000001</v>
      </c>
      <c r="L1038" s="12" t="n">
        <f aca="false">(1+K1038)^(1/12)-1</f>
        <v>0.00488983268157006</v>
      </c>
    </row>
    <row r="1039" customFormat="false" ht="15" hidden="false" customHeight="false" outlineLevel="0" collapsed="false">
      <c r="A1039" s="4" t="n">
        <v>1035</v>
      </c>
      <c r="B1039" s="14" t="n">
        <f aca="false">A1039/12</f>
        <v>86.25</v>
      </c>
      <c r="C1039" s="15" t="n">
        <f aca="false">INT(A1039/6)</f>
        <v>172</v>
      </c>
      <c r="D1039" s="16" t="n">
        <f aca="false">IF(C1039=0,(1+Dic2024!$G$6)^(-B1039),EXP(LN(INDEX(Dic2024!$H$6:$H$205,C1039))+(LN(INDEX(Dic2024!$H$6:$H$205,MIN(C1039+1,200)))-LN(INDEX(Dic2024!$H$6:$H$205,C1039)))*(A1039-6*C1039)/6))</f>
        <v>0.00641803456998566</v>
      </c>
      <c r="E1039" s="12" t="n">
        <f aca="false">D1039^(-1/B1039)-1</f>
        <v>0.0602820900000001</v>
      </c>
      <c r="F1039" s="12" t="n">
        <f aca="false">(1+E1039)^(1/12)-1</f>
        <v>0.00488983268157006</v>
      </c>
      <c r="G1039" s="16" t="n">
        <f aca="false">IF(C1039=0,(1+Dic2024!$J$6)^(-B1039),EXP(LN(INDEX(Dic2024!$K$6:$K$205,C1039))+(LN(INDEX(Dic2024!$K$6:$K$205,MIN(C1039+1,200)))-LN(INDEX(Dic2024!$K$6:$K$205,C1039)))*(A1039-6*C1039)/6))</f>
        <v>0.00641803456998566</v>
      </c>
      <c r="H1039" s="12" t="n">
        <f aca="false">G1039^(-1/B1039)-1</f>
        <v>0.0602820900000001</v>
      </c>
      <c r="I1039" s="12" t="n">
        <f aca="false">(1+H1039)^(1/12)-1</f>
        <v>0.00488983268157006</v>
      </c>
      <c r="J1039" s="16" t="n">
        <f aca="false">IF(C1039=0,(1+Dic2024!$M$6)^(-B1039),EXP(LN(INDEX(Dic2024!$N$6:$N$205,C1039))+(LN(INDEX(Dic2024!$N$6:$N$205,MIN(C1039+1,200)))-LN(INDEX(Dic2024!$N$6:$N$205,C1039)))*(A1039-6*C1039)/6))</f>
        <v>0.00641803456998566</v>
      </c>
      <c r="K1039" s="12" t="n">
        <f aca="false">J1039^(-1/B1039)-1</f>
        <v>0.0602820900000001</v>
      </c>
      <c r="L1039" s="12" t="n">
        <f aca="false">(1+K1039)^(1/12)-1</f>
        <v>0.00488983268157006</v>
      </c>
    </row>
    <row r="1040" customFormat="false" ht="15" hidden="false" customHeight="false" outlineLevel="0" collapsed="false">
      <c r="A1040" s="4" t="n">
        <v>1036</v>
      </c>
      <c r="B1040" s="14" t="n">
        <f aca="false">A1040/12</f>
        <v>86.3333333333333</v>
      </c>
      <c r="C1040" s="15" t="n">
        <f aca="false">INT(A1040/6)</f>
        <v>172</v>
      </c>
      <c r="D1040" s="16" t="n">
        <f aca="false">IF(C1040=0,(1+Dic2024!$G$6)^(-B1040),EXP(LN(INDEX(Dic2024!$H$6:$H$205,C1040))+(LN(INDEX(Dic2024!$H$6:$H$205,MIN(C1040+1,200)))-LN(INDEX(Dic2024!$H$6:$H$205,C1040)))*(A1040-6*C1040)/6))</f>
        <v>0.00638680416624277</v>
      </c>
      <c r="E1040" s="12" t="n">
        <f aca="false">D1040^(-1/B1040)-1</f>
        <v>0.0602820900000001</v>
      </c>
      <c r="F1040" s="12" t="n">
        <f aca="false">(1+E1040)^(1/12)-1</f>
        <v>0.00488983268157006</v>
      </c>
      <c r="G1040" s="16" t="n">
        <f aca="false">IF(C1040=0,(1+Dic2024!$J$6)^(-B1040),EXP(LN(INDEX(Dic2024!$K$6:$K$205,C1040))+(LN(INDEX(Dic2024!$K$6:$K$205,MIN(C1040+1,200)))-LN(INDEX(Dic2024!$K$6:$K$205,C1040)))*(A1040-6*C1040)/6))</f>
        <v>0.00638680416624277</v>
      </c>
      <c r="H1040" s="12" t="n">
        <f aca="false">G1040^(-1/B1040)-1</f>
        <v>0.0602820900000001</v>
      </c>
      <c r="I1040" s="12" t="n">
        <f aca="false">(1+H1040)^(1/12)-1</f>
        <v>0.00488983268157006</v>
      </c>
      <c r="J1040" s="16" t="n">
        <f aca="false">IF(C1040=0,(1+Dic2024!$M$6)^(-B1040),EXP(LN(INDEX(Dic2024!$N$6:$N$205,C1040))+(LN(INDEX(Dic2024!$N$6:$N$205,MIN(C1040+1,200)))-LN(INDEX(Dic2024!$N$6:$N$205,C1040)))*(A1040-6*C1040)/6))</f>
        <v>0.00638680416624277</v>
      </c>
      <c r="K1040" s="12" t="n">
        <f aca="false">J1040^(-1/B1040)-1</f>
        <v>0.0602820900000001</v>
      </c>
      <c r="L1040" s="12" t="n">
        <f aca="false">(1+K1040)^(1/12)-1</f>
        <v>0.00488983268157006</v>
      </c>
    </row>
    <row r="1041" customFormat="false" ht="15" hidden="false" customHeight="false" outlineLevel="0" collapsed="false">
      <c r="A1041" s="4" t="n">
        <v>1037</v>
      </c>
      <c r="B1041" s="14" t="n">
        <f aca="false">A1041/12</f>
        <v>86.4166666666667</v>
      </c>
      <c r="C1041" s="15" t="n">
        <f aca="false">INT(A1041/6)</f>
        <v>172</v>
      </c>
      <c r="D1041" s="16" t="n">
        <f aca="false">IF(C1041=0,(1+Dic2024!$G$6)^(-B1041),EXP(LN(INDEX(Dic2024!$H$6:$H$205,C1041))+(LN(INDEX(Dic2024!$H$6:$H$205,MIN(C1041+1,200)))-LN(INDEX(Dic2024!$H$6:$H$205,C1041)))*(A1041-6*C1041)/6))</f>
        <v>0.00635572573084898</v>
      </c>
      <c r="E1041" s="12" t="n">
        <f aca="false">D1041^(-1/B1041)-1</f>
        <v>0.0602820900000001</v>
      </c>
      <c r="F1041" s="12" t="n">
        <f aca="false">(1+E1041)^(1/12)-1</f>
        <v>0.00488983268157006</v>
      </c>
      <c r="G1041" s="16" t="n">
        <f aca="false">IF(C1041=0,(1+Dic2024!$J$6)^(-B1041),EXP(LN(INDEX(Dic2024!$K$6:$K$205,C1041))+(LN(INDEX(Dic2024!$K$6:$K$205,MIN(C1041+1,200)))-LN(INDEX(Dic2024!$K$6:$K$205,C1041)))*(A1041-6*C1041)/6))</f>
        <v>0.00635572573084898</v>
      </c>
      <c r="H1041" s="12" t="n">
        <f aca="false">G1041^(-1/B1041)-1</f>
        <v>0.0602820900000001</v>
      </c>
      <c r="I1041" s="12" t="n">
        <f aca="false">(1+H1041)^(1/12)-1</f>
        <v>0.00488983268157006</v>
      </c>
      <c r="J1041" s="16" t="n">
        <f aca="false">IF(C1041=0,(1+Dic2024!$M$6)^(-B1041),EXP(LN(INDEX(Dic2024!$N$6:$N$205,C1041))+(LN(INDEX(Dic2024!$N$6:$N$205,MIN(C1041+1,200)))-LN(INDEX(Dic2024!$N$6:$N$205,C1041)))*(A1041-6*C1041)/6))</f>
        <v>0.00635572573084898</v>
      </c>
      <c r="K1041" s="12" t="n">
        <f aca="false">J1041^(-1/B1041)-1</f>
        <v>0.0602820900000001</v>
      </c>
      <c r="L1041" s="12" t="n">
        <f aca="false">(1+K1041)^(1/12)-1</f>
        <v>0.00488983268157006</v>
      </c>
    </row>
    <row r="1042" customFormat="false" ht="15" hidden="false" customHeight="false" outlineLevel="0" collapsed="false">
      <c r="A1042" s="4" t="n">
        <v>1038</v>
      </c>
      <c r="B1042" s="14" t="n">
        <f aca="false">A1042/12</f>
        <v>86.5</v>
      </c>
      <c r="C1042" s="15" t="n">
        <f aca="false">INT(A1042/6)</f>
        <v>173</v>
      </c>
      <c r="D1042" s="16" t="n">
        <f aca="false">IF(C1042=0,(1+Dic2024!$G$6)^(-B1042),EXP(LN(INDEX(Dic2024!$H$6:$H$205,C1042))+(LN(INDEX(Dic2024!$H$6:$H$205,MIN(C1042+1,200)))-LN(INDEX(Dic2024!$H$6:$H$205,C1042)))*(A1042-6*C1042)/6))</f>
        <v>0.00632479852432041</v>
      </c>
      <c r="E1042" s="12" t="n">
        <f aca="false">D1042^(-1/B1042)-1</f>
        <v>0.0602820900000001</v>
      </c>
      <c r="F1042" s="12" t="n">
        <f aca="false">(1+E1042)^(1/12)-1</f>
        <v>0.00488983268157006</v>
      </c>
      <c r="G1042" s="16" t="n">
        <f aca="false">IF(C1042=0,(1+Dic2024!$J$6)^(-B1042),EXP(LN(INDEX(Dic2024!$K$6:$K$205,C1042))+(LN(INDEX(Dic2024!$K$6:$K$205,MIN(C1042+1,200)))-LN(INDEX(Dic2024!$K$6:$K$205,C1042)))*(A1042-6*C1042)/6))</f>
        <v>0.00632479852432041</v>
      </c>
      <c r="H1042" s="12" t="n">
        <f aca="false">G1042^(-1/B1042)-1</f>
        <v>0.0602820900000001</v>
      </c>
      <c r="I1042" s="12" t="n">
        <f aca="false">(1+H1042)^(1/12)-1</f>
        <v>0.00488983268157006</v>
      </c>
      <c r="J1042" s="16" t="n">
        <f aca="false">IF(C1042=0,(1+Dic2024!$M$6)^(-B1042),EXP(LN(INDEX(Dic2024!$N$6:$N$205,C1042))+(LN(INDEX(Dic2024!$N$6:$N$205,MIN(C1042+1,200)))-LN(INDEX(Dic2024!$N$6:$N$205,C1042)))*(A1042-6*C1042)/6))</f>
        <v>0.00632479852432041</v>
      </c>
      <c r="K1042" s="12" t="n">
        <f aca="false">J1042^(-1/B1042)-1</f>
        <v>0.0602820900000001</v>
      </c>
      <c r="L1042" s="12" t="n">
        <f aca="false">(1+K1042)^(1/12)-1</f>
        <v>0.00488983268157006</v>
      </c>
    </row>
    <row r="1043" customFormat="false" ht="15" hidden="false" customHeight="false" outlineLevel="0" collapsed="false">
      <c r="A1043" s="4" t="n">
        <v>1039</v>
      </c>
      <c r="B1043" s="14" t="n">
        <f aca="false">A1043/12</f>
        <v>86.5833333333333</v>
      </c>
      <c r="C1043" s="15" t="n">
        <f aca="false">INT(A1043/6)</f>
        <v>173</v>
      </c>
      <c r="D1043" s="16" t="n">
        <f aca="false">IF(C1043=0,(1+Dic2024!$G$6)^(-B1043),EXP(LN(INDEX(Dic2024!$H$6:$H$205,C1043))+(LN(INDEX(Dic2024!$H$6:$H$205,MIN(C1043+1,200)))-LN(INDEX(Dic2024!$H$6:$H$205,C1043)))*(A1043-6*C1043)/6))</f>
        <v>0.00629402181077158</v>
      </c>
      <c r="E1043" s="12" t="n">
        <f aca="false">D1043^(-1/B1043)-1</f>
        <v>0.0602820900000001</v>
      </c>
      <c r="F1043" s="12" t="n">
        <f aca="false">(1+E1043)^(1/12)-1</f>
        <v>0.00488983268157006</v>
      </c>
      <c r="G1043" s="16" t="n">
        <f aca="false">IF(C1043=0,(1+Dic2024!$J$6)^(-B1043),EXP(LN(INDEX(Dic2024!$K$6:$K$205,C1043))+(LN(INDEX(Dic2024!$K$6:$K$205,MIN(C1043+1,200)))-LN(INDEX(Dic2024!$K$6:$K$205,C1043)))*(A1043-6*C1043)/6))</f>
        <v>0.00629402181077158</v>
      </c>
      <c r="H1043" s="12" t="n">
        <f aca="false">G1043^(-1/B1043)-1</f>
        <v>0.0602820900000001</v>
      </c>
      <c r="I1043" s="12" t="n">
        <f aca="false">(1+H1043)^(1/12)-1</f>
        <v>0.00488983268157006</v>
      </c>
      <c r="J1043" s="16" t="n">
        <f aca="false">IF(C1043=0,(1+Dic2024!$M$6)^(-B1043),EXP(LN(INDEX(Dic2024!$N$6:$N$205,C1043))+(LN(INDEX(Dic2024!$N$6:$N$205,MIN(C1043+1,200)))-LN(INDEX(Dic2024!$N$6:$N$205,C1043)))*(A1043-6*C1043)/6))</f>
        <v>0.00629402181077158</v>
      </c>
      <c r="K1043" s="12" t="n">
        <f aca="false">J1043^(-1/B1043)-1</f>
        <v>0.0602820900000001</v>
      </c>
      <c r="L1043" s="12" t="n">
        <f aca="false">(1+K1043)^(1/12)-1</f>
        <v>0.00488983268157006</v>
      </c>
    </row>
    <row r="1044" customFormat="false" ht="15" hidden="false" customHeight="false" outlineLevel="0" collapsed="false">
      <c r="A1044" s="4" t="n">
        <v>1040</v>
      </c>
      <c r="B1044" s="14" t="n">
        <f aca="false">A1044/12</f>
        <v>86.6666666666667</v>
      </c>
      <c r="C1044" s="15" t="n">
        <f aca="false">INT(A1044/6)</f>
        <v>173</v>
      </c>
      <c r="D1044" s="16" t="n">
        <f aca="false">IF(C1044=0,(1+Dic2024!$G$6)^(-B1044),EXP(LN(INDEX(Dic2024!$H$6:$H$205,C1044))+(LN(INDEX(Dic2024!$H$6:$H$205,MIN(C1044+1,200)))-LN(INDEX(Dic2024!$H$6:$H$205,C1044)))*(A1044-6*C1044)/6))</f>
        <v>0.00626339485789786</v>
      </c>
      <c r="E1044" s="12" t="n">
        <f aca="false">D1044^(-1/B1044)-1</f>
        <v>0.0602820900000001</v>
      </c>
      <c r="F1044" s="12" t="n">
        <f aca="false">(1+E1044)^(1/12)-1</f>
        <v>0.00488983268157006</v>
      </c>
      <c r="G1044" s="16" t="n">
        <f aca="false">IF(C1044=0,(1+Dic2024!$J$6)^(-B1044),EXP(LN(INDEX(Dic2024!$K$6:$K$205,C1044))+(LN(INDEX(Dic2024!$K$6:$K$205,MIN(C1044+1,200)))-LN(INDEX(Dic2024!$K$6:$K$205,C1044)))*(A1044-6*C1044)/6))</f>
        <v>0.00626339485789786</v>
      </c>
      <c r="H1044" s="12" t="n">
        <f aca="false">G1044^(-1/B1044)-1</f>
        <v>0.0602820900000001</v>
      </c>
      <c r="I1044" s="12" t="n">
        <f aca="false">(1+H1044)^(1/12)-1</f>
        <v>0.00488983268157006</v>
      </c>
      <c r="J1044" s="16" t="n">
        <f aca="false">IF(C1044=0,(1+Dic2024!$M$6)^(-B1044),EXP(LN(INDEX(Dic2024!$N$6:$N$205,C1044))+(LN(INDEX(Dic2024!$N$6:$N$205,MIN(C1044+1,200)))-LN(INDEX(Dic2024!$N$6:$N$205,C1044)))*(A1044-6*C1044)/6))</f>
        <v>0.00626339485789786</v>
      </c>
      <c r="K1044" s="12" t="n">
        <f aca="false">J1044^(-1/B1044)-1</f>
        <v>0.0602820900000001</v>
      </c>
      <c r="L1044" s="12" t="n">
        <f aca="false">(1+K1044)^(1/12)-1</f>
        <v>0.00488983268157006</v>
      </c>
    </row>
    <row r="1045" customFormat="false" ht="15" hidden="false" customHeight="false" outlineLevel="0" collapsed="false">
      <c r="A1045" s="4" t="n">
        <v>1041</v>
      </c>
      <c r="B1045" s="14" t="n">
        <f aca="false">A1045/12</f>
        <v>86.75</v>
      </c>
      <c r="C1045" s="15" t="n">
        <f aca="false">INT(A1045/6)</f>
        <v>173</v>
      </c>
      <c r="D1045" s="16" t="n">
        <f aca="false">IF(C1045=0,(1+Dic2024!$G$6)^(-B1045),EXP(LN(INDEX(Dic2024!$H$6:$H$205,C1045))+(LN(INDEX(Dic2024!$H$6:$H$205,MIN(C1045+1,200)))-LN(INDEX(Dic2024!$H$6:$H$205,C1045)))*(A1045-6*C1045)/6))</f>
        <v>0.00623291693695801</v>
      </c>
      <c r="E1045" s="12" t="n">
        <f aca="false">D1045^(-1/B1045)-1</f>
        <v>0.0602820900000001</v>
      </c>
      <c r="F1045" s="12" t="n">
        <f aca="false">(1+E1045)^(1/12)-1</f>
        <v>0.00488983268157006</v>
      </c>
      <c r="G1045" s="16" t="n">
        <f aca="false">IF(C1045=0,(1+Dic2024!$J$6)^(-B1045),EXP(LN(INDEX(Dic2024!$K$6:$K$205,C1045))+(LN(INDEX(Dic2024!$K$6:$K$205,MIN(C1045+1,200)))-LN(INDEX(Dic2024!$K$6:$K$205,C1045)))*(A1045-6*C1045)/6))</f>
        <v>0.00623291693695801</v>
      </c>
      <c r="H1045" s="12" t="n">
        <f aca="false">G1045^(-1/B1045)-1</f>
        <v>0.0602820900000001</v>
      </c>
      <c r="I1045" s="12" t="n">
        <f aca="false">(1+H1045)^(1/12)-1</f>
        <v>0.00488983268157006</v>
      </c>
      <c r="J1045" s="16" t="n">
        <f aca="false">IF(C1045=0,(1+Dic2024!$M$6)^(-B1045),EXP(LN(INDEX(Dic2024!$N$6:$N$205,C1045))+(LN(INDEX(Dic2024!$N$6:$N$205,MIN(C1045+1,200)))-LN(INDEX(Dic2024!$N$6:$N$205,C1045)))*(A1045-6*C1045)/6))</f>
        <v>0.00623291693695801</v>
      </c>
      <c r="K1045" s="12" t="n">
        <f aca="false">J1045^(-1/B1045)-1</f>
        <v>0.0602820900000001</v>
      </c>
      <c r="L1045" s="12" t="n">
        <f aca="false">(1+K1045)^(1/12)-1</f>
        <v>0.00488983268157006</v>
      </c>
    </row>
    <row r="1046" customFormat="false" ht="15" hidden="false" customHeight="false" outlineLevel="0" collapsed="false">
      <c r="A1046" s="4" t="n">
        <v>1042</v>
      </c>
      <c r="B1046" s="14" t="n">
        <f aca="false">A1046/12</f>
        <v>86.8333333333333</v>
      </c>
      <c r="C1046" s="15" t="n">
        <f aca="false">INT(A1046/6)</f>
        <v>173</v>
      </c>
      <c r="D1046" s="16" t="n">
        <f aca="false">IF(C1046=0,(1+Dic2024!$G$6)^(-B1046),EXP(LN(INDEX(Dic2024!$H$6:$H$205,C1046))+(LN(INDEX(Dic2024!$H$6:$H$205,MIN(C1046+1,200)))-LN(INDEX(Dic2024!$H$6:$H$205,C1046)))*(A1046-6*C1046)/6))</f>
        <v>0.0062025873227569</v>
      </c>
      <c r="E1046" s="12" t="n">
        <f aca="false">D1046^(-1/B1046)-1</f>
        <v>0.0602820900000001</v>
      </c>
      <c r="F1046" s="12" t="n">
        <f aca="false">(1+E1046)^(1/12)-1</f>
        <v>0.00488983268157006</v>
      </c>
      <c r="G1046" s="16" t="n">
        <f aca="false">IF(C1046=0,(1+Dic2024!$J$6)^(-B1046),EXP(LN(INDEX(Dic2024!$K$6:$K$205,C1046))+(LN(INDEX(Dic2024!$K$6:$K$205,MIN(C1046+1,200)))-LN(INDEX(Dic2024!$K$6:$K$205,C1046)))*(A1046-6*C1046)/6))</f>
        <v>0.0062025873227569</v>
      </c>
      <c r="H1046" s="12" t="n">
        <f aca="false">G1046^(-1/B1046)-1</f>
        <v>0.0602820900000001</v>
      </c>
      <c r="I1046" s="12" t="n">
        <f aca="false">(1+H1046)^(1/12)-1</f>
        <v>0.00488983268157006</v>
      </c>
      <c r="J1046" s="16" t="n">
        <f aca="false">IF(C1046=0,(1+Dic2024!$M$6)^(-B1046),EXP(LN(INDEX(Dic2024!$N$6:$N$205,C1046))+(LN(INDEX(Dic2024!$N$6:$N$205,MIN(C1046+1,200)))-LN(INDEX(Dic2024!$N$6:$N$205,C1046)))*(A1046-6*C1046)/6))</f>
        <v>0.0062025873227569</v>
      </c>
      <c r="K1046" s="12" t="n">
        <f aca="false">J1046^(-1/B1046)-1</f>
        <v>0.0602820900000001</v>
      </c>
      <c r="L1046" s="12" t="n">
        <f aca="false">(1+K1046)^(1/12)-1</f>
        <v>0.00488983268157006</v>
      </c>
    </row>
    <row r="1047" customFormat="false" ht="15" hidden="false" customHeight="false" outlineLevel="0" collapsed="false">
      <c r="A1047" s="4" t="n">
        <v>1043</v>
      </c>
      <c r="B1047" s="14" t="n">
        <f aca="false">A1047/12</f>
        <v>86.9166666666667</v>
      </c>
      <c r="C1047" s="15" t="n">
        <f aca="false">INT(A1047/6)</f>
        <v>173</v>
      </c>
      <c r="D1047" s="16" t="n">
        <f aca="false">IF(C1047=0,(1+Dic2024!$G$6)^(-B1047),EXP(LN(INDEX(Dic2024!$H$6:$H$205,C1047))+(LN(INDEX(Dic2024!$H$6:$H$205,MIN(C1047+1,200)))-LN(INDEX(Dic2024!$H$6:$H$205,C1047)))*(A1047-6*C1047)/6))</f>
        <v>0.00617240529362822</v>
      </c>
      <c r="E1047" s="12" t="n">
        <f aca="false">D1047^(-1/B1047)-1</f>
        <v>0.0602820900000001</v>
      </c>
      <c r="F1047" s="12" t="n">
        <f aca="false">(1+E1047)^(1/12)-1</f>
        <v>0.00488983268157006</v>
      </c>
      <c r="G1047" s="16" t="n">
        <f aca="false">IF(C1047=0,(1+Dic2024!$J$6)^(-B1047),EXP(LN(INDEX(Dic2024!$K$6:$K$205,C1047))+(LN(INDEX(Dic2024!$K$6:$K$205,MIN(C1047+1,200)))-LN(INDEX(Dic2024!$K$6:$K$205,C1047)))*(A1047-6*C1047)/6))</f>
        <v>0.00617240529362822</v>
      </c>
      <c r="H1047" s="12" t="n">
        <f aca="false">G1047^(-1/B1047)-1</f>
        <v>0.0602820900000001</v>
      </c>
      <c r="I1047" s="12" t="n">
        <f aca="false">(1+H1047)^(1/12)-1</f>
        <v>0.00488983268157006</v>
      </c>
      <c r="J1047" s="16" t="n">
        <f aca="false">IF(C1047=0,(1+Dic2024!$M$6)^(-B1047),EXP(LN(INDEX(Dic2024!$N$6:$N$205,C1047))+(LN(INDEX(Dic2024!$N$6:$N$205,MIN(C1047+1,200)))-LN(INDEX(Dic2024!$N$6:$N$205,C1047)))*(A1047-6*C1047)/6))</f>
        <v>0.00617240529362822</v>
      </c>
      <c r="K1047" s="12" t="n">
        <f aca="false">J1047^(-1/B1047)-1</f>
        <v>0.0602820900000001</v>
      </c>
      <c r="L1047" s="12" t="n">
        <f aca="false">(1+K1047)^(1/12)-1</f>
        <v>0.00488983268157006</v>
      </c>
    </row>
    <row r="1048" customFormat="false" ht="15" hidden="false" customHeight="false" outlineLevel="0" collapsed="false">
      <c r="A1048" s="4" t="n">
        <v>1044</v>
      </c>
      <c r="B1048" s="14" t="n">
        <f aca="false">A1048/12</f>
        <v>87</v>
      </c>
      <c r="C1048" s="15" t="n">
        <f aca="false">INT(A1048/6)</f>
        <v>174</v>
      </c>
      <c r="D1048" s="16" t="n">
        <f aca="false">IF(C1048=0,(1+Dic2024!$G$6)^(-B1048),EXP(LN(INDEX(Dic2024!$H$6:$H$205,C1048))+(LN(INDEX(Dic2024!$H$6:$H$205,MIN(C1048+1,200)))-LN(INDEX(Dic2024!$H$6:$H$205,C1048)))*(A1048-6*C1048)/6))</f>
        <v>0.00614237013141731</v>
      </c>
      <c r="E1048" s="12" t="n">
        <f aca="false">D1048^(-1/B1048)-1</f>
        <v>0.0602820900000001</v>
      </c>
      <c r="F1048" s="12" t="n">
        <f aca="false">(1+E1048)^(1/12)-1</f>
        <v>0.00488983268157006</v>
      </c>
      <c r="G1048" s="16" t="n">
        <f aca="false">IF(C1048=0,(1+Dic2024!$J$6)^(-B1048),EXP(LN(INDEX(Dic2024!$K$6:$K$205,C1048))+(LN(INDEX(Dic2024!$K$6:$K$205,MIN(C1048+1,200)))-LN(INDEX(Dic2024!$K$6:$K$205,C1048)))*(A1048-6*C1048)/6))</f>
        <v>0.00614237013141731</v>
      </c>
      <c r="H1048" s="12" t="n">
        <f aca="false">G1048^(-1/B1048)-1</f>
        <v>0.0602820900000001</v>
      </c>
      <c r="I1048" s="12" t="n">
        <f aca="false">(1+H1048)^(1/12)-1</f>
        <v>0.00488983268157006</v>
      </c>
      <c r="J1048" s="16" t="n">
        <f aca="false">IF(C1048=0,(1+Dic2024!$M$6)^(-B1048),EXP(LN(INDEX(Dic2024!$N$6:$N$205,C1048))+(LN(INDEX(Dic2024!$N$6:$N$205,MIN(C1048+1,200)))-LN(INDEX(Dic2024!$N$6:$N$205,C1048)))*(A1048-6*C1048)/6))</f>
        <v>0.00614237013141731</v>
      </c>
      <c r="K1048" s="12" t="n">
        <f aca="false">J1048^(-1/B1048)-1</f>
        <v>0.0602820900000001</v>
      </c>
      <c r="L1048" s="12" t="n">
        <f aca="false">(1+K1048)^(1/12)-1</f>
        <v>0.00488983268157006</v>
      </c>
    </row>
    <row r="1049" customFormat="false" ht="15" hidden="false" customHeight="false" outlineLevel="0" collapsed="false">
      <c r="A1049" s="4" t="n">
        <v>1045</v>
      </c>
      <c r="B1049" s="14" t="n">
        <f aca="false">A1049/12</f>
        <v>87.0833333333333</v>
      </c>
      <c r="C1049" s="15" t="n">
        <f aca="false">INT(A1049/6)</f>
        <v>174</v>
      </c>
      <c r="D1049" s="16" t="n">
        <f aca="false">IF(C1049=0,(1+Dic2024!$G$6)^(-B1049),EXP(LN(INDEX(Dic2024!$H$6:$H$205,C1049))+(LN(INDEX(Dic2024!$H$6:$H$205,MIN(C1049+1,200)))-LN(INDEX(Dic2024!$H$6:$H$205,C1049)))*(A1049-6*C1049)/6))</f>
        <v>0.0061124811214641</v>
      </c>
      <c r="E1049" s="12" t="n">
        <f aca="false">D1049^(-1/B1049)-1</f>
        <v>0.0602820900000001</v>
      </c>
      <c r="F1049" s="12" t="n">
        <f aca="false">(1+E1049)^(1/12)-1</f>
        <v>0.00488983268157006</v>
      </c>
      <c r="G1049" s="16" t="n">
        <f aca="false">IF(C1049=0,(1+Dic2024!$J$6)^(-B1049),EXP(LN(INDEX(Dic2024!$K$6:$K$205,C1049))+(LN(INDEX(Dic2024!$K$6:$K$205,MIN(C1049+1,200)))-LN(INDEX(Dic2024!$K$6:$K$205,C1049)))*(A1049-6*C1049)/6))</f>
        <v>0.0061124811214641</v>
      </c>
      <c r="H1049" s="12" t="n">
        <f aca="false">G1049^(-1/B1049)-1</f>
        <v>0.0602820900000001</v>
      </c>
      <c r="I1049" s="12" t="n">
        <f aca="false">(1+H1049)^(1/12)-1</f>
        <v>0.00488983268157006</v>
      </c>
      <c r="J1049" s="16" t="n">
        <f aca="false">IF(C1049=0,(1+Dic2024!$M$6)^(-B1049),EXP(LN(INDEX(Dic2024!$N$6:$N$205,C1049))+(LN(INDEX(Dic2024!$N$6:$N$205,MIN(C1049+1,200)))-LN(INDEX(Dic2024!$N$6:$N$205,C1049)))*(A1049-6*C1049)/6))</f>
        <v>0.0061124811214641</v>
      </c>
      <c r="K1049" s="12" t="n">
        <f aca="false">J1049^(-1/B1049)-1</f>
        <v>0.0602820900000001</v>
      </c>
      <c r="L1049" s="12" t="n">
        <f aca="false">(1+K1049)^(1/12)-1</f>
        <v>0.00488983268157006</v>
      </c>
    </row>
    <row r="1050" customFormat="false" ht="15" hidden="false" customHeight="false" outlineLevel="0" collapsed="false">
      <c r="A1050" s="4" t="n">
        <v>1046</v>
      </c>
      <c r="B1050" s="14" t="n">
        <f aca="false">A1050/12</f>
        <v>87.1666666666667</v>
      </c>
      <c r="C1050" s="15" t="n">
        <f aca="false">INT(A1050/6)</f>
        <v>174</v>
      </c>
      <c r="D1050" s="16" t="n">
        <f aca="false">IF(C1050=0,(1+Dic2024!$G$6)^(-B1050),EXP(LN(INDEX(Dic2024!$H$6:$H$205,C1050))+(LN(INDEX(Dic2024!$H$6:$H$205,MIN(C1050+1,200)))-LN(INDEX(Dic2024!$H$6:$H$205,C1050)))*(A1050-6*C1050)/6))</f>
        <v>0.00608273755258605</v>
      </c>
      <c r="E1050" s="12" t="n">
        <f aca="false">D1050^(-1/B1050)-1</f>
        <v>0.0602820900000001</v>
      </c>
      <c r="F1050" s="12" t="n">
        <f aca="false">(1+E1050)^(1/12)-1</f>
        <v>0.00488983268157006</v>
      </c>
      <c r="G1050" s="16" t="n">
        <f aca="false">IF(C1050=0,(1+Dic2024!$J$6)^(-B1050),EXP(LN(INDEX(Dic2024!$K$6:$K$205,C1050))+(LN(INDEX(Dic2024!$K$6:$K$205,MIN(C1050+1,200)))-LN(INDEX(Dic2024!$K$6:$K$205,C1050)))*(A1050-6*C1050)/6))</f>
        <v>0.00608273755258605</v>
      </c>
      <c r="H1050" s="12" t="n">
        <f aca="false">G1050^(-1/B1050)-1</f>
        <v>0.0602820900000001</v>
      </c>
      <c r="I1050" s="12" t="n">
        <f aca="false">(1+H1050)^(1/12)-1</f>
        <v>0.00488983268157006</v>
      </c>
      <c r="J1050" s="16" t="n">
        <f aca="false">IF(C1050=0,(1+Dic2024!$M$6)^(-B1050),EXP(LN(INDEX(Dic2024!$N$6:$N$205,C1050))+(LN(INDEX(Dic2024!$N$6:$N$205,MIN(C1050+1,200)))-LN(INDEX(Dic2024!$N$6:$N$205,C1050)))*(A1050-6*C1050)/6))</f>
        <v>0.00608273755258605</v>
      </c>
      <c r="K1050" s="12" t="n">
        <f aca="false">J1050^(-1/B1050)-1</f>
        <v>0.0602820900000001</v>
      </c>
      <c r="L1050" s="12" t="n">
        <f aca="false">(1+K1050)^(1/12)-1</f>
        <v>0.00488983268157006</v>
      </c>
    </row>
    <row r="1051" customFormat="false" ht="15" hidden="false" customHeight="false" outlineLevel="0" collapsed="false">
      <c r="A1051" s="4" t="n">
        <v>1047</v>
      </c>
      <c r="B1051" s="14" t="n">
        <f aca="false">A1051/12</f>
        <v>87.25</v>
      </c>
      <c r="C1051" s="15" t="n">
        <f aca="false">INT(A1051/6)</f>
        <v>174</v>
      </c>
      <c r="D1051" s="16" t="n">
        <f aca="false">IF(C1051=0,(1+Dic2024!$G$6)^(-B1051),EXP(LN(INDEX(Dic2024!$H$6:$H$205,C1051))+(LN(INDEX(Dic2024!$H$6:$H$205,MIN(C1051+1,200)))-LN(INDEX(Dic2024!$H$6:$H$205,C1051)))*(A1051-6*C1051)/6))</f>
        <v>0.00605313871706129</v>
      </c>
      <c r="E1051" s="12" t="n">
        <f aca="false">D1051^(-1/B1051)-1</f>
        <v>0.0602820900000001</v>
      </c>
      <c r="F1051" s="12" t="n">
        <f aca="false">(1+E1051)^(1/12)-1</f>
        <v>0.00488983268157006</v>
      </c>
      <c r="G1051" s="16" t="n">
        <f aca="false">IF(C1051=0,(1+Dic2024!$J$6)^(-B1051),EXP(LN(INDEX(Dic2024!$K$6:$K$205,C1051))+(LN(INDEX(Dic2024!$K$6:$K$205,MIN(C1051+1,200)))-LN(INDEX(Dic2024!$K$6:$K$205,C1051)))*(A1051-6*C1051)/6))</f>
        <v>0.00605313871706129</v>
      </c>
      <c r="H1051" s="12" t="n">
        <f aca="false">G1051^(-1/B1051)-1</f>
        <v>0.0602820900000001</v>
      </c>
      <c r="I1051" s="12" t="n">
        <f aca="false">(1+H1051)^(1/12)-1</f>
        <v>0.00488983268157006</v>
      </c>
      <c r="J1051" s="16" t="n">
        <f aca="false">IF(C1051=0,(1+Dic2024!$M$6)^(-B1051),EXP(LN(INDEX(Dic2024!$N$6:$N$205,C1051))+(LN(INDEX(Dic2024!$N$6:$N$205,MIN(C1051+1,200)))-LN(INDEX(Dic2024!$N$6:$N$205,C1051)))*(A1051-6*C1051)/6))</f>
        <v>0.00605313871706129</v>
      </c>
      <c r="K1051" s="12" t="n">
        <f aca="false">J1051^(-1/B1051)-1</f>
        <v>0.0602820900000001</v>
      </c>
      <c r="L1051" s="12" t="n">
        <f aca="false">(1+K1051)^(1/12)-1</f>
        <v>0.00488983268157006</v>
      </c>
    </row>
    <row r="1052" customFormat="false" ht="15" hidden="false" customHeight="false" outlineLevel="0" collapsed="false">
      <c r="A1052" s="4" t="n">
        <v>1048</v>
      </c>
      <c r="B1052" s="14" t="n">
        <f aca="false">A1052/12</f>
        <v>87.3333333333333</v>
      </c>
      <c r="C1052" s="15" t="n">
        <f aca="false">INT(A1052/6)</f>
        <v>174</v>
      </c>
      <c r="D1052" s="16" t="n">
        <f aca="false">IF(C1052=0,(1+Dic2024!$G$6)^(-B1052),EXP(LN(INDEX(Dic2024!$H$6:$H$205,C1052))+(LN(INDEX(Dic2024!$H$6:$H$205,MIN(C1052+1,200)))-LN(INDEX(Dic2024!$H$6:$H$205,C1052)))*(A1052-6*C1052)/6))</f>
        <v>0.00602368391061173</v>
      </c>
      <c r="E1052" s="12" t="n">
        <f aca="false">D1052^(-1/B1052)-1</f>
        <v>0.0602820900000001</v>
      </c>
      <c r="F1052" s="12" t="n">
        <f aca="false">(1+E1052)^(1/12)-1</f>
        <v>0.00488983268157006</v>
      </c>
      <c r="G1052" s="16" t="n">
        <f aca="false">IF(C1052=0,(1+Dic2024!$J$6)^(-B1052),EXP(LN(INDEX(Dic2024!$K$6:$K$205,C1052))+(LN(INDEX(Dic2024!$K$6:$K$205,MIN(C1052+1,200)))-LN(INDEX(Dic2024!$K$6:$K$205,C1052)))*(A1052-6*C1052)/6))</f>
        <v>0.00602368391061173</v>
      </c>
      <c r="H1052" s="12" t="n">
        <f aca="false">G1052^(-1/B1052)-1</f>
        <v>0.0602820900000001</v>
      </c>
      <c r="I1052" s="12" t="n">
        <f aca="false">(1+H1052)^(1/12)-1</f>
        <v>0.00488983268157006</v>
      </c>
      <c r="J1052" s="16" t="n">
        <f aca="false">IF(C1052=0,(1+Dic2024!$M$6)^(-B1052),EXP(LN(INDEX(Dic2024!$N$6:$N$205,C1052))+(LN(INDEX(Dic2024!$N$6:$N$205,MIN(C1052+1,200)))-LN(INDEX(Dic2024!$N$6:$N$205,C1052)))*(A1052-6*C1052)/6))</f>
        <v>0.00602368391061173</v>
      </c>
      <c r="K1052" s="12" t="n">
        <f aca="false">J1052^(-1/B1052)-1</f>
        <v>0.0602820900000001</v>
      </c>
      <c r="L1052" s="12" t="n">
        <f aca="false">(1+K1052)^(1/12)-1</f>
        <v>0.00488983268157006</v>
      </c>
    </row>
    <row r="1053" customFormat="false" ht="15" hidden="false" customHeight="false" outlineLevel="0" collapsed="false">
      <c r="A1053" s="4" t="n">
        <v>1049</v>
      </c>
      <c r="B1053" s="14" t="n">
        <f aca="false">A1053/12</f>
        <v>87.4166666666667</v>
      </c>
      <c r="C1053" s="15" t="n">
        <f aca="false">INT(A1053/6)</f>
        <v>174</v>
      </c>
      <c r="D1053" s="16" t="n">
        <f aca="false">IF(C1053=0,(1+Dic2024!$G$6)^(-B1053),EXP(LN(INDEX(Dic2024!$H$6:$H$205,C1053))+(LN(INDEX(Dic2024!$H$6:$H$205,MIN(C1053+1,200)))-LN(INDEX(Dic2024!$H$6:$H$205,C1053)))*(A1053-6*C1053)/6))</f>
        <v>0.00599437243238634</v>
      </c>
      <c r="E1053" s="12" t="n">
        <f aca="false">D1053^(-1/B1053)-1</f>
        <v>0.0602820900000001</v>
      </c>
      <c r="F1053" s="12" t="n">
        <f aca="false">(1+E1053)^(1/12)-1</f>
        <v>0.00488983268157006</v>
      </c>
      <c r="G1053" s="16" t="n">
        <f aca="false">IF(C1053=0,(1+Dic2024!$J$6)^(-B1053),EXP(LN(INDEX(Dic2024!$K$6:$K$205,C1053))+(LN(INDEX(Dic2024!$K$6:$K$205,MIN(C1053+1,200)))-LN(INDEX(Dic2024!$K$6:$K$205,C1053)))*(A1053-6*C1053)/6))</f>
        <v>0.00599437243238634</v>
      </c>
      <c r="H1053" s="12" t="n">
        <f aca="false">G1053^(-1/B1053)-1</f>
        <v>0.0602820900000001</v>
      </c>
      <c r="I1053" s="12" t="n">
        <f aca="false">(1+H1053)^(1/12)-1</f>
        <v>0.00488983268157006</v>
      </c>
      <c r="J1053" s="16" t="n">
        <f aca="false">IF(C1053=0,(1+Dic2024!$M$6)^(-B1053),EXP(LN(INDEX(Dic2024!$N$6:$N$205,C1053))+(LN(INDEX(Dic2024!$N$6:$N$205,MIN(C1053+1,200)))-LN(INDEX(Dic2024!$N$6:$N$205,C1053)))*(A1053-6*C1053)/6))</f>
        <v>0.00599437243238634</v>
      </c>
      <c r="K1053" s="12" t="n">
        <f aca="false">J1053^(-1/B1053)-1</f>
        <v>0.0602820900000001</v>
      </c>
      <c r="L1053" s="12" t="n">
        <f aca="false">(1+K1053)^(1/12)-1</f>
        <v>0.00488983268157006</v>
      </c>
    </row>
    <row r="1054" customFormat="false" ht="15" hidden="false" customHeight="false" outlineLevel="0" collapsed="false">
      <c r="A1054" s="4" t="n">
        <v>1050</v>
      </c>
      <c r="B1054" s="14" t="n">
        <f aca="false">A1054/12</f>
        <v>87.5</v>
      </c>
      <c r="C1054" s="15" t="n">
        <f aca="false">INT(A1054/6)</f>
        <v>175</v>
      </c>
      <c r="D1054" s="16" t="n">
        <f aca="false">IF(C1054=0,(1+Dic2024!$G$6)^(-B1054),EXP(LN(INDEX(Dic2024!$H$6:$H$205,C1054))+(LN(INDEX(Dic2024!$H$6:$H$205,MIN(C1054+1,200)))-LN(INDEX(Dic2024!$H$6:$H$205,C1054)))*(A1054-6*C1054)/6))</f>
        <v>0.00596520358494446</v>
      </c>
      <c r="E1054" s="12" t="n">
        <f aca="false">D1054^(-1/B1054)-1</f>
        <v>0.0602820900000001</v>
      </c>
      <c r="F1054" s="12" t="n">
        <f aca="false">(1+E1054)^(1/12)-1</f>
        <v>0.00488983268157006</v>
      </c>
      <c r="G1054" s="16" t="n">
        <f aca="false">IF(C1054=0,(1+Dic2024!$J$6)^(-B1054),EXP(LN(INDEX(Dic2024!$K$6:$K$205,C1054))+(LN(INDEX(Dic2024!$K$6:$K$205,MIN(C1054+1,200)))-LN(INDEX(Dic2024!$K$6:$K$205,C1054)))*(A1054-6*C1054)/6))</f>
        <v>0.00596520358494446</v>
      </c>
      <c r="H1054" s="12" t="n">
        <f aca="false">G1054^(-1/B1054)-1</f>
        <v>0.0602820900000001</v>
      </c>
      <c r="I1054" s="12" t="n">
        <f aca="false">(1+H1054)^(1/12)-1</f>
        <v>0.00488983268157006</v>
      </c>
      <c r="J1054" s="16" t="n">
        <f aca="false">IF(C1054=0,(1+Dic2024!$M$6)^(-B1054),EXP(LN(INDEX(Dic2024!$N$6:$N$205,C1054))+(LN(INDEX(Dic2024!$N$6:$N$205,MIN(C1054+1,200)))-LN(INDEX(Dic2024!$N$6:$N$205,C1054)))*(A1054-6*C1054)/6))</f>
        <v>0.00596520358494446</v>
      </c>
      <c r="K1054" s="12" t="n">
        <f aca="false">J1054^(-1/B1054)-1</f>
        <v>0.0602820900000001</v>
      </c>
      <c r="L1054" s="12" t="n">
        <f aca="false">(1+K1054)^(1/12)-1</f>
        <v>0.00488983268157006</v>
      </c>
    </row>
    <row r="1055" customFormat="false" ht="15" hidden="false" customHeight="false" outlineLevel="0" collapsed="false">
      <c r="A1055" s="4" t="n">
        <v>1051</v>
      </c>
      <c r="B1055" s="14" t="n">
        <f aca="false">A1055/12</f>
        <v>87.5833333333333</v>
      </c>
      <c r="C1055" s="15" t="n">
        <f aca="false">INT(A1055/6)</f>
        <v>175</v>
      </c>
      <c r="D1055" s="16" t="n">
        <f aca="false">IF(C1055=0,(1+Dic2024!$G$6)^(-B1055),EXP(LN(INDEX(Dic2024!$H$6:$H$205,C1055))+(LN(INDEX(Dic2024!$H$6:$H$205,MIN(C1055+1,200)))-LN(INDEX(Dic2024!$H$6:$H$205,C1055)))*(A1055-6*C1055)/6))</f>
        <v>0.00593617667423919</v>
      </c>
      <c r="E1055" s="12" t="n">
        <f aca="false">D1055^(-1/B1055)-1</f>
        <v>0.0602820900000001</v>
      </c>
      <c r="F1055" s="12" t="n">
        <f aca="false">(1+E1055)^(1/12)-1</f>
        <v>0.00488983268157006</v>
      </c>
      <c r="G1055" s="16" t="n">
        <f aca="false">IF(C1055=0,(1+Dic2024!$J$6)^(-B1055),EXP(LN(INDEX(Dic2024!$K$6:$K$205,C1055))+(LN(INDEX(Dic2024!$K$6:$K$205,MIN(C1055+1,200)))-LN(INDEX(Dic2024!$K$6:$K$205,C1055)))*(A1055-6*C1055)/6))</f>
        <v>0.00593617667423919</v>
      </c>
      <c r="H1055" s="12" t="n">
        <f aca="false">G1055^(-1/B1055)-1</f>
        <v>0.0602820900000001</v>
      </c>
      <c r="I1055" s="12" t="n">
        <f aca="false">(1+H1055)^(1/12)-1</f>
        <v>0.00488983268157006</v>
      </c>
      <c r="J1055" s="16" t="n">
        <f aca="false">IF(C1055=0,(1+Dic2024!$M$6)^(-B1055),EXP(LN(INDEX(Dic2024!$N$6:$N$205,C1055))+(LN(INDEX(Dic2024!$N$6:$N$205,MIN(C1055+1,200)))-LN(INDEX(Dic2024!$N$6:$N$205,C1055)))*(A1055-6*C1055)/6))</f>
        <v>0.00593617667423919</v>
      </c>
      <c r="K1055" s="12" t="n">
        <f aca="false">J1055^(-1/B1055)-1</f>
        <v>0.0602820900000001</v>
      </c>
      <c r="L1055" s="12" t="n">
        <f aca="false">(1+K1055)^(1/12)-1</f>
        <v>0.00488983268157006</v>
      </c>
    </row>
    <row r="1056" customFormat="false" ht="15" hidden="false" customHeight="false" outlineLevel="0" collapsed="false">
      <c r="A1056" s="4" t="n">
        <v>1052</v>
      </c>
      <c r="B1056" s="14" t="n">
        <f aca="false">A1056/12</f>
        <v>87.6666666666667</v>
      </c>
      <c r="C1056" s="15" t="n">
        <f aca="false">INT(A1056/6)</f>
        <v>175</v>
      </c>
      <c r="D1056" s="16" t="n">
        <f aca="false">IF(C1056=0,(1+Dic2024!$G$6)^(-B1056),EXP(LN(INDEX(Dic2024!$H$6:$H$205,C1056))+(LN(INDEX(Dic2024!$H$6:$H$205,MIN(C1056+1,200)))-LN(INDEX(Dic2024!$H$6:$H$205,C1056)))*(A1056-6*C1056)/6))</f>
        <v>0.0059072910096009</v>
      </c>
      <c r="E1056" s="12" t="n">
        <f aca="false">D1056^(-1/B1056)-1</f>
        <v>0.0602820900000001</v>
      </c>
      <c r="F1056" s="12" t="n">
        <f aca="false">(1+E1056)^(1/12)-1</f>
        <v>0.00488983268157006</v>
      </c>
      <c r="G1056" s="16" t="n">
        <f aca="false">IF(C1056=0,(1+Dic2024!$J$6)^(-B1056),EXP(LN(INDEX(Dic2024!$K$6:$K$205,C1056))+(LN(INDEX(Dic2024!$K$6:$K$205,MIN(C1056+1,200)))-LN(INDEX(Dic2024!$K$6:$K$205,C1056)))*(A1056-6*C1056)/6))</f>
        <v>0.0059072910096009</v>
      </c>
      <c r="H1056" s="12" t="n">
        <f aca="false">G1056^(-1/B1056)-1</f>
        <v>0.0602820900000001</v>
      </c>
      <c r="I1056" s="12" t="n">
        <f aca="false">(1+H1056)^(1/12)-1</f>
        <v>0.00488983268157006</v>
      </c>
      <c r="J1056" s="16" t="n">
        <f aca="false">IF(C1056=0,(1+Dic2024!$M$6)^(-B1056),EXP(LN(INDEX(Dic2024!$N$6:$N$205,C1056))+(LN(INDEX(Dic2024!$N$6:$N$205,MIN(C1056+1,200)))-LN(INDEX(Dic2024!$N$6:$N$205,C1056)))*(A1056-6*C1056)/6))</f>
        <v>0.0059072910096009</v>
      </c>
      <c r="K1056" s="12" t="n">
        <f aca="false">J1056^(-1/B1056)-1</f>
        <v>0.0602820900000001</v>
      </c>
      <c r="L1056" s="12" t="n">
        <f aca="false">(1+K1056)^(1/12)-1</f>
        <v>0.00488983268157006</v>
      </c>
    </row>
    <row r="1057" customFormat="false" ht="15" hidden="false" customHeight="false" outlineLevel="0" collapsed="false">
      <c r="A1057" s="4" t="n">
        <v>1053</v>
      </c>
      <c r="B1057" s="14" t="n">
        <f aca="false">A1057/12</f>
        <v>87.75</v>
      </c>
      <c r="C1057" s="15" t="n">
        <f aca="false">INT(A1057/6)</f>
        <v>175</v>
      </c>
      <c r="D1057" s="16" t="n">
        <f aca="false">IF(C1057=0,(1+Dic2024!$G$6)^(-B1057),EXP(LN(INDEX(Dic2024!$H$6:$H$205,C1057))+(LN(INDEX(Dic2024!$H$6:$H$205,MIN(C1057+1,200)))-LN(INDEX(Dic2024!$H$6:$H$205,C1057)))*(A1057-6*C1057)/6))</f>
        <v>0.00587854590372078</v>
      </c>
      <c r="E1057" s="12" t="n">
        <f aca="false">D1057^(-1/B1057)-1</f>
        <v>0.0602820900000001</v>
      </c>
      <c r="F1057" s="12" t="n">
        <f aca="false">(1+E1057)^(1/12)-1</f>
        <v>0.00488983268157006</v>
      </c>
      <c r="G1057" s="16" t="n">
        <f aca="false">IF(C1057=0,(1+Dic2024!$J$6)^(-B1057),EXP(LN(INDEX(Dic2024!$K$6:$K$205,C1057))+(LN(INDEX(Dic2024!$K$6:$K$205,MIN(C1057+1,200)))-LN(INDEX(Dic2024!$K$6:$K$205,C1057)))*(A1057-6*C1057)/6))</f>
        <v>0.00587854590372078</v>
      </c>
      <c r="H1057" s="12" t="n">
        <f aca="false">G1057^(-1/B1057)-1</f>
        <v>0.0602820900000001</v>
      </c>
      <c r="I1057" s="12" t="n">
        <f aca="false">(1+H1057)^(1/12)-1</f>
        <v>0.00488983268157006</v>
      </c>
      <c r="J1057" s="16" t="n">
        <f aca="false">IF(C1057=0,(1+Dic2024!$M$6)^(-B1057),EXP(LN(INDEX(Dic2024!$N$6:$N$205,C1057))+(LN(INDEX(Dic2024!$N$6:$N$205,MIN(C1057+1,200)))-LN(INDEX(Dic2024!$N$6:$N$205,C1057)))*(A1057-6*C1057)/6))</f>
        <v>0.00587854590372078</v>
      </c>
      <c r="K1057" s="12" t="n">
        <f aca="false">J1057^(-1/B1057)-1</f>
        <v>0.0602820900000001</v>
      </c>
      <c r="L1057" s="12" t="n">
        <f aca="false">(1+K1057)^(1/12)-1</f>
        <v>0.00488983268157006</v>
      </c>
    </row>
    <row r="1058" customFormat="false" ht="15" hidden="false" customHeight="false" outlineLevel="0" collapsed="false">
      <c r="A1058" s="4" t="n">
        <v>1054</v>
      </c>
      <c r="B1058" s="14" t="n">
        <f aca="false">A1058/12</f>
        <v>87.8333333333333</v>
      </c>
      <c r="C1058" s="15" t="n">
        <f aca="false">INT(A1058/6)</f>
        <v>175</v>
      </c>
      <c r="D1058" s="16" t="n">
        <f aca="false">IF(C1058=0,(1+Dic2024!$G$6)^(-B1058),EXP(LN(INDEX(Dic2024!$H$6:$H$205,C1058))+(LN(INDEX(Dic2024!$H$6:$H$205,MIN(C1058+1,200)))-LN(INDEX(Dic2024!$H$6:$H$205,C1058)))*(A1058-6*C1058)/6))</f>
        <v>0.00584994067263448</v>
      </c>
      <c r="E1058" s="12" t="n">
        <f aca="false">D1058^(-1/B1058)-1</f>
        <v>0.0602820900000001</v>
      </c>
      <c r="F1058" s="12" t="n">
        <f aca="false">(1+E1058)^(1/12)-1</f>
        <v>0.00488983268157006</v>
      </c>
      <c r="G1058" s="16" t="n">
        <f aca="false">IF(C1058=0,(1+Dic2024!$J$6)^(-B1058),EXP(LN(INDEX(Dic2024!$K$6:$K$205,C1058))+(LN(INDEX(Dic2024!$K$6:$K$205,MIN(C1058+1,200)))-LN(INDEX(Dic2024!$K$6:$K$205,C1058)))*(A1058-6*C1058)/6))</f>
        <v>0.00584994067263448</v>
      </c>
      <c r="H1058" s="12" t="n">
        <f aca="false">G1058^(-1/B1058)-1</f>
        <v>0.0602820900000001</v>
      </c>
      <c r="I1058" s="12" t="n">
        <f aca="false">(1+H1058)^(1/12)-1</f>
        <v>0.00488983268157006</v>
      </c>
      <c r="J1058" s="16" t="n">
        <f aca="false">IF(C1058=0,(1+Dic2024!$M$6)^(-B1058),EXP(LN(INDEX(Dic2024!$N$6:$N$205,C1058))+(LN(INDEX(Dic2024!$N$6:$N$205,MIN(C1058+1,200)))-LN(INDEX(Dic2024!$N$6:$N$205,C1058)))*(A1058-6*C1058)/6))</f>
        <v>0.00584994067263448</v>
      </c>
      <c r="K1058" s="12" t="n">
        <f aca="false">J1058^(-1/B1058)-1</f>
        <v>0.0602820900000001</v>
      </c>
      <c r="L1058" s="12" t="n">
        <f aca="false">(1+K1058)^(1/12)-1</f>
        <v>0.00488983268157006</v>
      </c>
    </row>
    <row r="1059" customFormat="false" ht="15" hidden="false" customHeight="false" outlineLevel="0" collapsed="false">
      <c r="A1059" s="4" t="n">
        <v>1055</v>
      </c>
      <c r="B1059" s="14" t="n">
        <f aca="false">A1059/12</f>
        <v>87.9166666666667</v>
      </c>
      <c r="C1059" s="15" t="n">
        <f aca="false">INT(A1059/6)</f>
        <v>175</v>
      </c>
      <c r="D1059" s="16" t="n">
        <f aca="false">IF(C1059=0,(1+Dic2024!$G$6)^(-B1059),EXP(LN(INDEX(Dic2024!$H$6:$H$205,C1059))+(LN(INDEX(Dic2024!$H$6:$H$205,MIN(C1059+1,200)))-LN(INDEX(Dic2024!$H$6:$H$205,C1059)))*(A1059-6*C1059)/6))</f>
        <v>0.00582147463570588</v>
      </c>
      <c r="E1059" s="12" t="n">
        <f aca="false">D1059^(-1/B1059)-1</f>
        <v>0.0602820900000001</v>
      </c>
      <c r="F1059" s="12" t="n">
        <f aca="false">(1+E1059)^(1/12)-1</f>
        <v>0.00488983268157006</v>
      </c>
      <c r="G1059" s="16" t="n">
        <f aca="false">IF(C1059=0,(1+Dic2024!$J$6)^(-B1059),EXP(LN(INDEX(Dic2024!$K$6:$K$205,C1059))+(LN(INDEX(Dic2024!$K$6:$K$205,MIN(C1059+1,200)))-LN(INDEX(Dic2024!$K$6:$K$205,C1059)))*(A1059-6*C1059)/6))</f>
        <v>0.00582147463570588</v>
      </c>
      <c r="H1059" s="12" t="n">
        <f aca="false">G1059^(-1/B1059)-1</f>
        <v>0.0602820900000001</v>
      </c>
      <c r="I1059" s="12" t="n">
        <f aca="false">(1+H1059)^(1/12)-1</f>
        <v>0.00488983268157006</v>
      </c>
      <c r="J1059" s="16" t="n">
        <f aca="false">IF(C1059=0,(1+Dic2024!$M$6)^(-B1059),EXP(LN(INDEX(Dic2024!$N$6:$N$205,C1059))+(LN(INDEX(Dic2024!$N$6:$N$205,MIN(C1059+1,200)))-LN(INDEX(Dic2024!$N$6:$N$205,C1059)))*(A1059-6*C1059)/6))</f>
        <v>0.00582147463570588</v>
      </c>
      <c r="K1059" s="12" t="n">
        <f aca="false">J1059^(-1/B1059)-1</f>
        <v>0.0602820900000001</v>
      </c>
      <c r="L1059" s="12" t="n">
        <f aca="false">(1+K1059)^(1/12)-1</f>
        <v>0.00488983268157006</v>
      </c>
    </row>
    <row r="1060" customFormat="false" ht="15" hidden="false" customHeight="false" outlineLevel="0" collapsed="false">
      <c r="A1060" s="4" t="n">
        <v>1056</v>
      </c>
      <c r="B1060" s="14" t="n">
        <f aca="false">A1060/12</f>
        <v>88</v>
      </c>
      <c r="C1060" s="15" t="n">
        <f aca="false">INT(A1060/6)</f>
        <v>176</v>
      </c>
      <c r="D1060" s="16" t="n">
        <f aca="false">IF(C1060=0,(1+Dic2024!$G$6)^(-B1060),EXP(LN(INDEX(Dic2024!$H$6:$H$205,C1060))+(LN(INDEX(Dic2024!$H$6:$H$205,MIN(C1060+1,200)))-LN(INDEX(Dic2024!$H$6:$H$205,C1060)))*(A1060-6*C1060)/6))</f>
        <v>0.00579314711561082</v>
      </c>
      <c r="E1060" s="12" t="n">
        <f aca="false">D1060^(-1/B1060)-1</f>
        <v>0.0602820900000001</v>
      </c>
      <c r="F1060" s="12" t="n">
        <f aca="false">(1+E1060)^(1/12)-1</f>
        <v>0.00488983268157006</v>
      </c>
      <c r="G1060" s="16" t="n">
        <f aca="false">IF(C1060=0,(1+Dic2024!$J$6)^(-B1060),EXP(LN(INDEX(Dic2024!$K$6:$K$205,C1060))+(LN(INDEX(Dic2024!$K$6:$K$205,MIN(C1060+1,200)))-LN(INDEX(Dic2024!$K$6:$K$205,C1060)))*(A1060-6*C1060)/6))</f>
        <v>0.00579314711561082</v>
      </c>
      <c r="H1060" s="12" t="n">
        <f aca="false">G1060^(-1/B1060)-1</f>
        <v>0.0602820900000001</v>
      </c>
      <c r="I1060" s="12" t="n">
        <f aca="false">(1+H1060)^(1/12)-1</f>
        <v>0.00488983268157006</v>
      </c>
      <c r="J1060" s="16" t="n">
        <f aca="false">IF(C1060=0,(1+Dic2024!$M$6)^(-B1060),EXP(LN(INDEX(Dic2024!$N$6:$N$205,C1060))+(LN(INDEX(Dic2024!$N$6:$N$205,MIN(C1060+1,200)))-LN(INDEX(Dic2024!$N$6:$N$205,C1060)))*(A1060-6*C1060)/6))</f>
        <v>0.00579314711561082</v>
      </c>
      <c r="K1060" s="12" t="n">
        <f aca="false">J1060^(-1/B1060)-1</f>
        <v>0.0602820900000001</v>
      </c>
      <c r="L1060" s="12" t="n">
        <f aca="false">(1+K1060)^(1/12)-1</f>
        <v>0.00488983268157006</v>
      </c>
    </row>
    <row r="1061" customFormat="false" ht="15" hidden="false" customHeight="false" outlineLevel="0" collapsed="false">
      <c r="A1061" s="4" t="n">
        <v>1057</v>
      </c>
      <c r="B1061" s="14" t="n">
        <f aca="false">A1061/12</f>
        <v>88.0833333333333</v>
      </c>
      <c r="C1061" s="15" t="n">
        <f aca="false">INT(A1061/6)</f>
        <v>176</v>
      </c>
      <c r="D1061" s="16" t="n">
        <f aca="false">IF(C1061=0,(1+Dic2024!$G$6)^(-B1061),EXP(LN(INDEX(Dic2024!$H$6:$H$205,C1061))+(LN(INDEX(Dic2024!$H$6:$H$205,MIN(C1061+1,200)))-LN(INDEX(Dic2024!$H$6:$H$205,C1061)))*(A1061-6*C1061)/6))</f>
        <v>0.00576495743832106</v>
      </c>
      <c r="E1061" s="12" t="n">
        <f aca="false">D1061^(-1/B1061)-1</f>
        <v>0.0602820900000001</v>
      </c>
      <c r="F1061" s="12" t="n">
        <f aca="false">(1+E1061)^(1/12)-1</f>
        <v>0.00488983268157006</v>
      </c>
      <c r="G1061" s="16" t="n">
        <f aca="false">IF(C1061=0,(1+Dic2024!$J$6)^(-B1061),EXP(LN(INDEX(Dic2024!$K$6:$K$205,C1061))+(LN(INDEX(Dic2024!$K$6:$K$205,MIN(C1061+1,200)))-LN(INDEX(Dic2024!$K$6:$K$205,C1061)))*(A1061-6*C1061)/6))</f>
        <v>0.00576495743832106</v>
      </c>
      <c r="H1061" s="12" t="n">
        <f aca="false">G1061^(-1/B1061)-1</f>
        <v>0.0602820900000001</v>
      </c>
      <c r="I1061" s="12" t="n">
        <f aca="false">(1+H1061)^(1/12)-1</f>
        <v>0.00488983268157006</v>
      </c>
      <c r="J1061" s="16" t="n">
        <f aca="false">IF(C1061=0,(1+Dic2024!$M$6)^(-B1061),EXP(LN(INDEX(Dic2024!$N$6:$N$205,C1061))+(LN(INDEX(Dic2024!$N$6:$N$205,MIN(C1061+1,200)))-LN(INDEX(Dic2024!$N$6:$N$205,C1061)))*(A1061-6*C1061)/6))</f>
        <v>0.00576495743832106</v>
      </c>
      <c r="K1061" s="12" t="n">
        <f aca="false">J1061^(-1/B1061)-1</f>
        <v>0.0602820900000001</v>
      </c>
      <c r="L1061" s="12" t="n">
        <f aca="false">(1+K1061)^(1/12)-1</f>
        <v>0.00488983268157006</v>
      </c>
    </row>
    <row r="1062" customFormat="false" ht="15" hidden="false" customHeight="false" outlineLevel="0" collapsed="false">
      <c r="A1062" s="4" t="n">
        <v>1058</v>
      </c>
      <c r="B1062" s="14" t="n">
        <f aca="false">A1062/12</f>
        <v>88.1666666666667</v>
      </c>
      <c r="C1062" s="15" t="n">
        <f aca="false">INT(A1062/6)</f>
        <v>176</v>
      </c>
      <c r="D1062" s="16" t="n">
        <f aca="false">IF(C1062=0,(1+Dic2024!$G$6)^(-B1062),EXP(LN(INDEX(Dic2024!$H$6:$H$205,C1062))+(LN(INDEX(Dic2024!$H$6:$H$205,MIN(C1062+1,200)))-LN(INDEX(Dic2024!$H$6:$H$205,C1062)))*(A1062-6*C1062)/6))</f>
        <v>0.00573690493308819</v>
      </c>
      <c r="E1062" s="12" t="n">
        <f aca="false">D1062^(-1/B1062)-1</f>
        <v>0.0602820900000001</v>
      </c>
      <c r="F1062" s="12" t="n">
        <f aca="false">(1+E1062)^(1/12)-1</f>
        <v>0.00488983268157006</v>
      </c>
      <c r="G1062" s="16" t="n">
        <f aca="false">IF(C1062=0,(1+Dic2024!$J$6)^(-B1062),EXP(LN(INDEX(Dic2024!$K$6:$K$205,C1062))+(LN(INDEX(Dic2024!$K$6:$K$205,MIN(C1062+1,200)))-LN(INDEX(Dic2024!$K$6:$K$205,C1062)))*(A1062-6*C1062)/6))</f>
        <v>0.00573690493308819</v>
      </c>
      <c r="H1062" s="12" t="n">
        <f aca="false">G1062^(-1/B1062)-1</f>
        <v>0.0602820900000001</v>
      </c>
      <c r="I1062" s="12" t="n">
        <f aca="false">(1+H1062)^(1/12)-1</f>
        <v>0.00488983268157006</v>
      </c>
      <c r="J1062" s="16" t="n">
        <f aca="false">IF(C1062=0,(1+Dic2024!$M$6)^(-B1062),EXP(LN(INDEX(Dic2024!$N$6:$N$205,C1062))+(LN(INDEX(Dic2024!$N$6:$N$205,MIN(C1062+1,200)))-LN(INDEX(Dic2024!$N$6:$N$205,C1062)))*(A1062-6*C1062)/6))</f>
        <v>0.00573690493308819</v>
      </c>
      <c r="K1062" s="12" t="n">
        <f aca="false">J1062^(-1/B1062)-1</f>
        <v>0.0602820900000001</v>
      </c>
      <c r="L1062" s="12" t="n">
        <f aca="false">(1+K1062)^(1/12)-1</f>
        <v>0.00488983268157006</v>
      </c>
    </row>
    <row r="1063" customFormat="false" ht="15" hidden="false" customHeight="false" outlineLevel="0" collapsed="false">
      <c r="A1063" s="4" t="n">
        <v>1059</v>
      </c>
      <c r="B1063" s="14" t="n">
        <f aca="false">A1063/12</f>
        <v>88.25</v>
      </c>
      <c r="C1063" s="15" t="n">
        <f aca="false">INT(A1063/6)</f>
        <v>176</v>
      </c>
      <c r="D1063" s="16" t="n">
        <f aca="false">IF(C1063=0,(1+Dic2024!$G$6)^(-B1063),EXP(LN(INDEX(Dic2024!$H$6:$H$205,C1063))+(LN(INDEX(Dic2024!$H$6:$H$205,MIN(C1063+1,200)))-LN(INDEX(Dic2024!$H$6:$H$205,C1063)))*(A1063-6*C1063)/6))</f>
        <v>0.00570898893242768</v>
      </c>
      <c r="E1063" s="12" t="n">
        <f aca="false">D1063^(-1/B1063)-1</f>
        <v>0.0602820900000001</v>
      </c>
      <c r="F1063" s="12" t="n">
        <f aca="false">(1+E1063)^(1/12)-1</f>
        <v>0.00488983268157006</v>
      </c>
      <c r="G1063" s="16" t="n">
        <f aca="false">IF(C1063=0,(1+Dic2024!$J$6)^(-B1063),EXP(LN(INDEX(Dic2024!$K$6:$K$205,C1063))+(LN(INDEX(Dic2024!$K$6:$K$205,MIN(C1063+1,200)))-LN(INDEX(Dic2024!$K$6:$K$205,C1063)))*(A1063-6*C1063)/6))</f>
        <v>0.00570898893242768</v>
      </c>
      <c r="H1063" s="12" t="n">
        <f aca="false">G1063^(-1/B1063)-1</f>
        <v>0.0602820900000001</v>
      </c>
      <c r="I1063" s="12" t="n">
        <f aca="false">(1+H1063)^(1/12)-1</f>
        <v>0.00488983268157006</v>
      </c>
      <c r="J1063" s="16" t="n">
        <f aca="false">IF(C1063=0,(1+Dic2024!$M$6)^(-B1063),EXP(LN(INDEX(Dic2024!$N$6:$N$205,C1063))+(LN(INDEX(Dic2024!$N$6:$N$205,MIN(C1063+1,200)))-LN(INDEX(Dic2024!$N$6:$N$205,C1063)))*(A1063-6*C1063)/6))</f>
        <v>0.00570898893242768</v>
      </c>
      <c r="K1063" s="12" t="n">
        <f aca="false">J1063^(-1/B1063)-1</f>
        <v>0.0602820900000001</v>
      </c>
      <c r="L1063" s="12" t="n">
        <f aca="false">(1+K1063)^(1/12)-1</f>
        <v>0.00488983268157006</v>
      </c>
    </row>
    <row r="1064" customFormat="false" ht="15" hidden="false" customHeight="false" outlineLevel="0" collapsed="false">
      <c r="A1064" s="4" t="n">
        <v>1060</v>
      </c>
      <c r="B1064" s="14" t="n">
        <f aca="false">A1064/12</f>
        <v>88.3333333333333</v>
      </c>
      <c r="C1064" s="15" t="n">
        <f aca="false">INT(A1064/6)</f>
        <v>176</v>
      </c>
      <c r="D1064" s="16" t="n">
        <f aca="false">IF(C1064=0,(1+Dic2024!$G$6)^(-B1064),EXP(LN(INDEX(Dic2024!$H$6:$H$205,C1064))+(LN(INDEX(Dic2024!$H$6:$H$205,MIN(C1064+1,200)))-LN(INDEX(Dic2024!$H$6:$H$205,C1064)))*(A1064-6*C1064)/6))</f>
        <v>0.00568120877210302</v>
      </c>
      <c r="E1064" s="12" t="n">
        <f aca="false">D1064^(-1/B1064)-1</f>
        <v>0.0602820900000001</v>
      </c>
      <c r="F1064" s="12" t="n">
        <f aca="false">(1+E1064)^(1/12)-1</f>
        <v>0.00488983268157006</v>
      </c>
      <c r="G1064" s="16" t="n">
        <f aca="false">IF(C1064=0,(1+Dic2024!$J$6)^(-B1064),EXP(LN(INDEX(Dic2024!$K$6:$K$205,C1064))+(LN(INDEX(Dic2024!$K$6:$K$205,MIN(C1064+1,200)))-LN(INDEX(Dic2024!$K$6:$K$205,C1064)))*(A1064-6*C1064)/6))</f>
        <v>0.00568120877210302</v>
      </c>
      <c r="H1064" s="12" t="n">
        <f aca="false">G1064^(-1/B1064)-1</f>
        <v>0.0602820900000001</v>
      </c>
      <c r="I1064" s="12" t="n">
        <f aca="false">(1+H1064)^(1/12)-1</f>
        <v>0.00488983268157006</v>
      </c>
      <c r="J1064" s="16" t="n">
        <f aca="false">IF(C1064=0,(1+Dic2024!$M$6)^(-B1064),EXP(LN(INDEX(Dic2024!$N$6:$N$205,C1064))+(LN(INDEX(Dic2024!$N$6:$N$205,MIN(C1064+1,200)))-LN(INDEX(Dic2024!$N$6:$N$205,C1064)))*(A1064-6*C1064)/6))</f>
        <v>0.00568120877210302</v>
      </c>
      <c r="K1064" s="12" t="n">
        <f aca="false">J1064^(-1/B1064)-1</f>
        <v>0.0602820900000001</v>
      </c>
      <c r="L1064" s="12" t="n">
        <f aca="false">(1+K1064)^(1/12)-1</f>
        <v>0.00488983268157006</v>
      </c>
    </row>
    <row r="1065" customFormat="false" ht="15" hidden="false" customHeight="false" outlineLevel="0" collapsed="false">
      <c r="A1065" s="4" t="n">
        <v>1061</v>
      </c>
      <c r="B1065" s="14" t="n">
        <f aca="false">A1065/12</f>
        <v>88.4166666666667</v>
      </c>
      <c r="C1065" s="15" t="n">
        <f aca="false">INT(A1065/6)</f>
        <v>176</v>
      </c>
      <c r="D1065" s="16" t="n">
        <f aca="false">IF(C1065=0,(1+Dic2024!$G$6)^(-B1065),EXP(LN(INDEX(Dic2024!$H$6:$H$205,C1065))+(LN(INDEX(Dic2024!$H$6:$H$205,MIN(C1065+1,200)))-LN(INDEX(Dic2024!$H$6:$H$205,C1065)))*(A1065-6*C1065)/6))</f>
        <v>0.00565356379110992</v>
      </c>
      <c r="E1065" s="12" t="n">
        <f aca="false">D1065^(-1/B1065)-1</f>
        <v>0.0602820900000001</v>
      </c>
      <c r="F1065" s="12" t="n">
        <f aca="false">(1+E1065)^(1/12)-1</f>
        <v>0.00488983268157006</v>
      </c>
      <c r="G1065" s="16" t="n">
        <f aca="false">IF(C1065=0,(1+Dic2024!$J$6)^(-B1065),EXP(LN(INDEX(Dic2024!$K$6:$K$205,C1065))+(LN(INDEX(Dic2024!$K$6:$K$205,MIN(C1065+1,200)))-LN(INDEX(Dic2024!$K$6:$K$205,C1065)))*(A1065-6*C1065)/6))</f>
        <v>0.00565356379110992</v>
      </c>
      <c r="H1065" s="12" t="n">
        <f aca="false">G1065^(-1/B1065)-1</f>
        <v>0.0602820900000001</v>
      </c>
      <c r="I1065" s="12" t="n">
        <f aca="false">(1+H1065)^(1/12)-1</f>
        <v>0.00488983268157006</v>
      </c>
      <c r="J1065" s="16" t="n">
        <f aca="false">IF(C1065=0,(1+Dic2024!$M$6)^(-B1065),EXP(LN(INDEX(Dic2024!$N$6:$N$205,C1065))+(LN(INDEX(Dic2024!$N$6:$N$205,MIN(C1065+1,200)))-LN(INDEX(Dic2024!$N$6:$N$205,C1065)))*(A1065-6*C1065)/6))</f>
        <v>0.00565356379110992</v>
      </c>
      <c r="K1065" s="12" t="n">
        <f aca="false">J1065^(-1/B1065)-1</f>
        <v>0.0602820900000001</v>
      </c>
      <c r="L1065" s="12" t="n">
        <f aca="false">(1+K1065)^(1/12)-1</f>
        <v>0.00488983268157006</v>
      </c>
    </row>
    <row r="1066" customFormat="false" ht="15" hidden="false" customHeight="false" outlineLevel="0" collapsed="false">
      <c r="A1066" s="4" t="n">
        <v>1062</v>
      </c>
      <c r="B1066" s="14" t="n">
        <f aca="false">A1066/12</f>
        <v>88.5</v>
      </c>
      <c r="C1066" s="15" t="n">
        <f aca="false">INT(A1066/6)</f>
        <v>177</v>
      </c>
      <c r="D1066" s="16" t="n">
        <f aca="false">IF(C1066=0,(1+Dic2024!$G$6)^(-B1066),EXP(LN(INDEX(Dic2024!$H$6:$H$205,C1066))+(LN(INDEX(Dic2024!$H$6:$H$205,MIN(C1066+1,200)))-LN(INDEX(Dic2024!$H$6:$H$205,C1066)))*(A1066-6*C1066)/6))</f>
        <v>0.00562605333166051</v>
      </c>
      <c r="E1066" s="12" t="n">
        <f aca="false">D1066^(-1/B1066)-1</f>
        <v>0.0602820900000001</v>
      </c>
      <c r="F1066" s="12" t="n">
        <f aca="false">(1+E1066)^(1/12)-1</f>
        <v>0.00488983268157006</v>
      </c>
      <c r="G1066" s="16" t="n">
        <f aca="false">IF(C1066=0,(1+Dic2024!$J$6)^(-B1066),EXP(LN(INDEX(Dic2024!$K$6:$K$205,C1066))+(LN(INDEX(Dic2024!$K$6:$K$205,MIN(C1066+1,200)))-LN(INDEX(Dic2024!$K$6:$K$205,C1066)))*(A1066-6*C1066)/6))</f>
        <v>0.00562605333166051</v>
      </c>
      <c r="H1066" s="12" t="n">
        <f aca="false">G1066^(-1/B1066)-1</f>
        <v>0.0602820900000001</v>
      </c>
      <c r="I1066" s="12" t="n">
        <f aca="false">(1+H1066)^(1/12)-1</f>
        <v>0.00488983268157006</v>
      </c>
      <c r="J1066" s="16" t="n">
        <f aca="false">IF(C1066=0,(1+Dic2024!$M$6)^(-B1066),EXP(LN(INDEX(Dic2024!$N$6:$N$205,C1066))+(LN(INDEX(Dic2024!$N$6:$N$205,MIN(C1066+1,200)))-LN(INDEX(Dic2024!$N$6:$N$205,C1066)))*(A1066-6*C1066)/6))</f>
        <v>0.00562605333166051</v>
      </c>
      <c r="K1066" s="12" t="n">
        <f aca="false">J1066^(-1/B1066)-1</f>
        <v>0.0602820900000001</v>
      </c>
      <c r="L1066" s="12" t="n">
        <f aca="false">(1+K1066)^(1/12)-1</f>
        <v>0.00488983268157006</v>
      </c>
    </row>
    <row r="1067" customFormat="false" ht="15" hidden="false" customHeight="false" outlineLevel="0" collapsed="false">
      <c r="A1067" s="4" t="n">
        <v>1063</v>
      </c>
      <c r="B1067" s="14" t="n">
        <f aca="false">A1067/12</f>
        <v>88.5833333333333</v>
      </c>
      <c r="C1067" s="15" t="n">
        <f aca="false">INT(A1067/6)</f>
        <v>177</v>
      </c>
      <c r="D1067" s="16" t="n">
        <f aca="false">IF(C1067=0,(1+Dic2024!$G$6)^(-B1067),EXP(LN(INDEX(Dic2024!$H$6:$H$205,C1067))+(LN(INDEX(Dic2024!$H$6:$H$205,MIN(C1067+1,200)))-LN(INDEX(Dic2024!$H$6:$H$205,C1067)))*(A1067-6*C1067)/6))</f>
        <v>0.00559061757270953</v>
      </c>
      <c r="E1067" s="12" t="n">
        <f aca="false">D1067^(-1/B1067)-1</f>
        <v>0.0602993321110434</v>
      </c>
      <c r="F1067" s="12" t="n">
        <f aca="false">(1+E1067)^(1/12)-1</f>
        <v>0.00489119444912123</v>
      </c>
      <c r="G1067" s="16" t="n">
        <f aca="false">IF(C1067=0,(1+Dic2024!$J$6)^(-B1067),EXP(LN(INDEX(Dic2024!$K$6:$K$205,C1067))+(LN(INDEX(Dic2024!$K$6:$K$205,MIN(C1067+1,200)))-LN(INDEX(Dic2024!$K$6:$K$205,C1067)))*(A1067-6*C1067)/6))</f>
        <v>0.00559061757270953</v>
      </c>
      <c r="H1067" s="12" t="n">
        <f aca="false">G1067^(-1/B1067)-1</f>
        <v>0.0602993321110434</v>
      </c>
      <c r="I1067" s="12" t="n">
        <f aca="false">(1+H1067)^(1/12)-1</f>
        <v>0.00489119444912123</v>
      </c>
      <c r="J1067" s="16" t="n">
        <f aca="false">IF(C1067=0,(1+Dic2024!$M$6)^(-B1067),EXP(LN(INDEX(Dic2024!$N$6:$N$205,C1067))+(LN(INDEX(Dic2024!$N$6:$N$205,MIN(C1067+1,200)))-LN(INDEX(Dic2024!$N$6:$N$205,C1067)))*(A1067-6*C1067)/6))</f>
        <v>0.00559061757270953</v>
      </c>
      <c r="K1067" s="12" t="n">
        <f aca="false">J1067^(-1/B1067)-1</f>
        <v>0.0602993321110434</v>
      </c>
      <c r="L1067" s="12" t="n">
        <f aca="false">(1+K1067)^(1/12)-1</f>
        <v>0.00489119444912123</v>
      </c>
    </row>
    <row r="1068" customFormat="false" ht="15" hidden="false" customHeight="false" outlineLevel="0" collapsed="false">
      <c r="A1068" s="4" t="n">
        <v>1064</v>
      </c>
      <c r="B1068" s="14" t="n">
        <f aca="false">A1068/12</f>
        <v>88.6666666666667</v>
      </c>
      <c r="C1068" s="15" t="n">
        <f aca="false">INT(A1068/6)</f>
        <v>177</v>
      </c>
      <c r="D1068" s="16" t="n">
        <f aca="false">IF(C1068=0,(1+Dic2024!$G$6)^(-B1068),EXP(LN(INDEX(Dic2024!$H$6:$H$205,C1068))+(LN(INDEX(Dic2024!$H$6:$H$205,MIN(C1068+1,200)))-LN(INDEX(Dic2024!$H$6:$H$205,C1068)))*(A1068-6*C1068)/6))</f>
        <v>0.00555540500627707</v>
      </c>
      <c r="E1068" s="12" t="n">
        <f aca="false">D1068^(-1/B1068)-1</f>
        <v>0.0603165420917013</v>
      </c>
      <c r="F1068" s="12" t="n">
        <f aca="false">(1+E1068)^(1/12)-1</f>
        <v>0.00489255365879915</v>
      </c>
      <c r="G1068" s="16" t="n">
        <f aca="false">IF(C1068=0,(1+Dic2024!$J$6)^(-B1068),EXP(LN(INDEX(Dic2024!$K$6:$K$205,C1068))+(LN(INDEX(Dic2024!$K$6:$K$205,MIN(C1068+1,200)))-LN(INDEX(Dic2024!$K$6:$K$205,C1068)))*(A1068-6*C1068)/6))</f>
        <v>0.00555540500627707</v>
      </c>
      <c r="H1068" s="12" t="n">
        <f aca="false">G1068^(-1/B1068)-1</f>
        <v>0.0603165420917013</v>
      </c>
      <c r="I1068" s="12" t="n">
        <f aca="false">(1+H1068)^(1/12)-1</f>
        <v>0.00489255365879915</v>
      </c>
      <c r="J1068" s="16" t="n">
        <f aca="false">IF(C1068=0,(1+Dic2024!$M$6)^(-B1068),EXP(LN(INDEX(Dic2024!$N$6:$N$205,C1068))+(LN(INDEX(Dic2024!$N$6:$N$205,MIN(C1068+1,200)))-LN(INDEX(Dic2024!$N$6:$N$205,C1068)))*(A1068-6*C1068)/6))</f>
        <v>0.00555540500627707</v>
      </c>
      <c r="K1068" s="12" t="n">
        <f aca="false">J1068^(-1/B1068)-1</f>
        <v>0.0603165420917013</v>
      </c>
      <c r="L1068" s="12" t="n">
        <f aca="false">(1+K1068)^(1/12)-1</f>
        <v>0.00489255365879915</v>
      </c>
    </row>
    <row r="1069" customFormat="false" ht="15" hidden="false" customHeight="false" outlineLevel="0" collapsed="false">
      <c r="A1069" s="4" t="n">
        <v>1065</v>
      </c>
      <c r="B1069" s="14" t="n">
        <f aca="false">A1069/12</f>
        <v>88.75</v>
      </c>
      <c r="C1069" s="15" t="n">
        <f aca="false">INT(A1069/6)</f>
        <v>177</v>
      </c>
      <c r="D1069" s="16" t="n">
        <f aca="false">IF(C1069=0,(1+Dic2024!$G$6)^(-B1069),EXP(LN(INDEX(Dic2024!$H$6:$H$205,C1069))+(LN(INDEX(Dic2024!$H$6:$H$205,MIN(C1069+1,200)))-LN(INDEX(Dic2024!$H$6:$H$205,C1069)))*(A1069-6*C1069)/6))</f>
        <v>0.00552041422658259</v>
      </c>
      <c r="E1069" s="12" t="n">
        <f aca="false">D1069^(-1/B1069)-1</f>
        <v>0.0603337200317</v>
      </c>
      <c r="F1069" s="12" t="n">
        <f aca="false">(1+E1069)^(1/12)-1</f>
        <v>0.00489391031780406</v>
      </c>
      <c r="G1069" s="16" t="n">
        <f aca="false">IF(C1069=0,(1+Dic2024!$J$6)^(-B1069),EXP(LN(INDEX(Dic2024!$K$6:$K$205,C1069))+(LN(INDEX(Dic2024!$K$6:$K$205,MIN(C1069+1,200)))-LN(INDEX(Dic2024!$K$6:$K$205,C1069)))*(A1069-6*C1069)/6))</f>
        <v>0.00552041422658259</v>
      </c>
      <c r="H1069" s="12" t="n">
        <f aca="false">G1069^(-1/B1069)-1</f>
        <v>0.0603337200317</v>
      </c>
      <c r="I1069" s="12" t="n">
        <f aca="false">(1+H1069)^(1/12)-1</f>
        <v>0.00489391031780406</v>
      </c>
      <c r="J1069" s="16" t="n">
        <f aca="false">IF(C1069=0,(1+Dic2024!$M$6)^(-B1069),EXP(LN(INDEX(Dic2024!$N$6:$N$205,C1069))+(LN(INDEX(Dic2024!$N$6:$N$205,MIN(C1069+1,200)))-LN(INDEX(Dic2024!$N$6:$N$205,C1069)))*(A1069-6*C1069)/6))</f>
        <v>0.00552041422658259</v>
      </c>
      <c r="K1069" s="12" t="n">
        <f aca="false">J1069^(-1/B1069)-1</f>
        <v>0.0603337200317</v>
      </c>
      <c r="L1069" s="12" t="n">
        <f aca="false">(1+K1069)^(1/12)-1</f>
        <v>0.00489391031780406</v>
      </c>
    </row>
    <row r="1070" customFormat="false" ht="15" hidden="false" customHeight="false" outlineLevel="0" collapsed="false">
      <c r="A1070" s="4" t="n">
        <v>1066</v>
      </c>
      <c r="B1070" s="14" t="n">
        <f aca="false">A1070/12</f>
        <v>88.8333333333333</v>
      </c>
      <c r="C1070" s="15" t="n">
        <f aca="false">INT(A1070/6)</f>
        <v>177</v>
      </c>
      <c r="D1070" s="16" t="n">
        <f aca="false">IF(C1070=0,(1+Dic2024!$G$6)^(-B1070),EXP(LN(INDEX(Dic2024!$H$6:$H$205,C1070))+(LN(INDEX(Dic2024!$H$6:$H$205,MIN(C1070+1,200)))-LN(INDEX(Dic2024!$H$6:$H$205,C1070)))*(A1070-6*C1070)/6))</f>
        <v>0.00548564383669989</v>
      </c>
      <c r="E1070" s="12" t="n">
        <f aca="false">D1070^(-1/B1070)-1</f>
        <v>0.0603508660204313</v>
      </c>
      <c r="F1070" s="12" t="n">
        <f aca="false">(1+E1070)^(1/12)-1</f>
        <v>0.00489526443330868</v>
      </c>
      <c r="G1070" s="16" t="n">
        <f aca="false">IF(C1070=0,(1+Dic2024!$J$6)^(-B1070),EXP(LN(INDEX(Dic2024!$K$6:$K$205,C1070))+(LN(INDEX(Dic2024!$K$6:$K$205,MIN(C1070+1,200)))-LN(INDEX(Dic2024!$K$6:$K$205,C1070)))*(A1070-6*C1070)/6))</f>
        <v>0.00548564383669989</v>
      </c>
      <c r="H1070" s="12" t="n">
        <f aca="false">G1070^(-1/B1070)-1</f>
        <v>0.0603508660204313</v>
      </c>
      <c r="I1070" s="12" t="n">
        <f aca="false">(1+H1070)^(1/12)-1</f>
        <v>0.00489526443330868</v>
      </c>
      <c r="J1070" s="16" t="n">
        <f aca="false">IF(C1070=0,(1+Dic2024!$M$6)^(-B1070),EXP(LN(INDEX(Dic2024!$N$6:$N$205,C1070))+(LN(INDEX(Dic2024!$N$6:$N$205,MIN(C1070+1,200)))-LN(INDEX(Dic2024!$N$6:$N$205,C1070)))*(A1070-6*C1070)/6))</f>
        <v>0.00548564383669989</v>
      </c>
      <c r="K1070" s="12" t="n">
        <f aca="false">J1070^(-1/B1070)-1</f>
        <v>0.0603508660204313</v>
      </c>
      <c r="L1070" s="12" t="n">
        <f aca="false">(1+K1070)^(1/12)-1</f>
        <v>0.00489526443330868</v>
      </c>
    </row>
    <row r="1071" customFormat="false" ht="15" hidden="false" customHeight="false" outlineLevel="0" collapsed="false">
      <c r="A1071" s="4" t="n">
        <v>1067</v>
      </c>
      <c r="B1071" s="14" t="n">
        <f aca="false">A1071/12</f>
        <v>88.9166666666667</v>
      </c>
      <c r="C1071" s="15" t="n">
        <f aca="false">INT(A1071/6)</f>
        <v>177</v>
      </c>
      <c r="D1071" s="16" t="n">
        <f aca="false">IF(C1071=0,(1+Dic2024!$G$6)^(-B1071),EXP(LN(INDEX(Dic2024!$H$6:$H$205,C1071))+(LN(INDEX(Dic2024!$H$6:$H$205,MIN(C1071+1,200)))-LN(INDEX(Dic2024!$H$6:$H$205,C1071)))*(A1071-6*C1071)/6))</f>
        <v>0.00545109244850129</v>
      </c>
      <c r="E1071" s="12" t="n">
        <f aca="false">D1071^(-1/B1071)-1</f>
        <v>0.0603679801469548</v>
      </c>
      <c r="F1071" s="12" t="n">
        <f aca="false">(1+E1071)^(1/12)-1</f>
        <v>0.0048966160124595</v>
      </c>
      <c r="G1071" s="16" t="n">
        <f aca="false">IF(C1071=0,(1+Dic2024!$J$6)^(-B1071),EXP(LN(INDEX(Dic2024!$K$6:$K$205,C1071))+(LN(INDEX(Dic2024!$K$6:$K$205,MIN(C1071+1,200)))-LN(INDEX(Dic2024!$K$6:$K$205,C1071)))*(A1071-6*C1071)/6))</f>
        <v>0.00545109244850129</v>
      </c>
      <c r="H1071" s="12" t="n">
        <f aca="false">G1071^(-1/B1071)-1</f>
        <v>0.0603679801469548</v>
      </c>
      <c r="I1071" s="12" t="n">
        <f aca="false">(1+H1071)^(1/12)-1</f>
        <v>0.0048966160124595</v>
      </c>
      <c r="J1071" s="16" t="n">
        <f aca="false">IF(C1071=0,(1+Dic2024!$M$6)^(-B1071),EXP(LN(INDEX(Dic2024!$N$6:$N$205,C1071))+(LN(INDEX(Dic2024!$N$6:$N$205,MIN(C1071+1,200)))-LN(INDEX(Dic2024!$N$6:$N$205,C1071)))*(A1071-6*C1071)/6))</f>
        <v>0.00545109244850129</v>
      </c>
      <c r="K1071" s="12" t="n">
        <f aca="false">J1071^(-1/B1071)-1</f>
        <v>0.0603679801469548</v>
      </c>
      <c r="L1071" s="12" t="n">
        <f aca="false">(1+K1071)^(1/12)-1</f>
        <v>0.0048966160124595</v>
      </c>
    </row>
    <row r="1072" customFormat="false" ht="15" hidden="false" customHeight="false" outlineLevel="0" collapsed="false">
      <c r="A1072" s="4" t="n">
        <v>1068</v>
      </c>
      <c r="B1072" s="14" t="n">
        <f aca="false">A1072/12</f>
        <v>89</v>
      </c>
      <c r="C1072" s="15" t="n">
        <f aca="false">INT(A1072/6)</f>
        <v>178</v>
      </c>
      <c r="D1072" s="16" t="n">
        <f aca="false">IF(C1072=0,(1+Dic2024!$G$6)^(-B1072),EXP(LN(INDEX(Dic2024!$H$6:$H$205,C1072))+(LN(INDEX(Dic2024!$H$6:$H$205,MIN(C1072+1,200)))-LN(INDEX(Dic2024!$H$6:$H$205,C1072)))*(A1072-6*C1072)/6))</f>
        <v>0.00541675868260228</v>
      </c>
      <c r="E1072" s="12" t="n">
        <f aca="false">D1072^(-1/B1072)-1</f>
        <v>0.0603850625</v>
      </c>
      <c r="F1072" s="12" t="n">
        <f aca="false">(1+E1072)^(1/12)-1</f>
        <v>0.00489796506237616</v>
      </c>
      <c r="G1072" s="16" t="n">
        <f aca="false">IF(C1072=0,(1+Dic2024!$J$6)^(-B1072),EXP(LN(INDEX(Dic2024!$K$6:$K$205,C1072))+(LN(INDEX(Dic2024!$K$6:$K$205,MIN(C1072+1,200)))-LN(INDEX(Dic2024!$K$6:$K$205,C1072)))*(A1072-6*C1072)/6))</f>
        <v>0.00541675868260228</v>
      </c>
      <c r="H1072" s="12" t="n">
        <f aca="false">G1072^(-1/B1072)-1</f>
        <v>0.0603850625</v>
      </c>
      <c r="I1072" s="12" t="n">
        <f aca="false">(1+H1072)^(1/12)-1</f>
        <v>0.00489796506237616</v>
      </c>
      <c r="J1072" s="16" t="n">
        <f aca="false">IF(C1072=0,(1+Dic2024!$M$6)^(-B1072),EXP(LN(INDEX(Dic2024!$N$6:$N$205,C1072))+(LN(INDEX(Dic2024!$N$6:$N$205,MIN(C1072+1,200)))-LN(INDEX(Dic2024!$N$6:$N$205,C1072)))*(A1072-6*C1072)/6))</f>
        <v>0.00541675868260228</v>
      </c>
      <c r="K1072" s="12" t="n">
        <f aca="false">J1072^(-1/B1072)-1</f>
        <v>0.0603850625</v>
      </c>
      <c r="L1072" s="12" t="n">
        <f aca="false">(1+K1072)^(1/12)-1</f>
        <v>0.00489796506237616</v>
      </c>
    </row>
    <row r="1073" customFormat="false" ht="15" hidden="false" customHeight="false" outlineLevel="0" collapsed="false">
      <c r="A1073" s="4" t="n">
        <v>1069</v>
      </c>
      <c r="B1073" s="14" t="n">
        <f aca="false">A1073/12</f>
        <v>89.0833333333333</v>
      </c>
      <c r="C1073" s="15" t="n">
        <f aca="false">INT(A1073/6)</f>
        <v>178</v>
      </c>
      <c r="D1073" s="16" t="n">
        <f aca="false">IF(C1073=0,(1+Dic2024!$G$6)^(-B1073),EXP(LN(INDEX(Dic2024!$H$6:$H$205,C1073))+(LN(INDEX(Dic2024!$H$6:$H$205,MIN(C1073+1,200)))-LN(INDEX(Dic2024!$H$6:$H$205,C1073)))*(A1073-6*C1073)/6))</f>
        <v>0.00539035690281853</v>
      </c>
      <c r="E1073" s="12" t="n">
        <f aca="false">D1073^(-1/B1073)-1</f>
        <v>0.0603850625</v>
      </c>
      <c r="F1073" s="12" t="n">
        <f aca="false">(1+E1073)^(1/12)-1</f>
        <v>0.00489796506237616</v>
      </c>
      <c r="G1073" s="16" t="n">
        <f aca="false">IF(C1073=0,(1+Dic2024!$J$6)^(-B1073),EXP(LN(INDEX(Dic2024!$K$6:$K$205,C1073))+(LN(INDEX(Dic2024!$K$6:$K$205,MIN(C1073+1,200)))-LN(INDEX(Dic2024!$K$6:$K$205,C1073)))*(A1073-6*C1073)/6))</f>
        <v>0.00539035690281853</v>
      </c>
      <c r="H1073" s="12" t="n">
        <f aca="false">G1073^(-1/B1073)-1</f>
        <v>0.0603850625</v>
      </c>
      <c r="I1073" s="12" t="n">
        <f aca="false">(1+H1073)^(1/12)-1</f>
        <v>0.00489796506237616</v>
      </c>
      <c r="J1073" s="16" t="n">
        <f aca="false">IF(C1073=0,(1+Dic2024!$M$6)^(-B1073),EXP(LN(INDEX(Dic2024!$N$6:$N$205,C1073))+(LN(INDEX(Dic2024!$N$6:$N$205,MIN(C1073+1,200)))-LN(INDEX(Dic2024!$N$6:$N$205,C1073)))*(A1073-6*C1073)/6))</f>
        <v>0.00539035690281853</v>
      </c>
      <c r="K1073" s="12" t="n">
        <f aca="false">J1073^(-1/B1073)-1</f>
        <v>0.0603850625</v>
      </c>
      <c r="L1073" s="12" t="n">
        <f aca="false">(1+K1073)^(1/12)-1</f>
        <v>0.00489796506237616</v>
      </c>
    </row>
    <row r="1074" customFormat="false" ht="15" hidden="false" customHeight="false" outlineLevel="0" collapsed="false">
      <c r="A1074" s="4" t="n">
        <v>1070</v>
      </c>
      <c r="B1074" s="14" t="n">
        <f aca="false">A1074/12</f>
        <v>89.1666666666667</v>
      </c>
      <c r="C1074" s="15" t="n">
        <f aca="false">INT(A1074/6)</f>
        <v>178</v>
      </c>
      <c r="D1074" s="16" t="n">
        <f aca="false">IF(C1074=0,(1+Dic2024!$G$6)^(-B1074),EXP(LN(INDEX(Dic2024!$H$6:$H$205,C1074))+(LN(INDEX(Dic2024!$H$6:$H$205,MIN(C1074+1,200)))-LN(INDEX(Dic2024!$H$6:$H$205,C1074)))*(A1074-6*C1074)/6))</f>
        <v>0.00536408380773658</v>
      </c>
      <c r="E1074" s="12" t="n">
        <f aca="false">D1074^(-1/B1074)-1</f>
        <v>0.0603850625</v>
      </c>
      <c r="F1074" s="12" t="n">
        <f aca="false">(1+E1074)^(1/12)-1</f>
        <v>0.00489796506237616</v>
      </c>
      <c r="G1074" s="16" t="n">
        <f aca="false">IF(C1074=0,(1+Dic2024!$J$6)^(-B1074),EXP(LN(INDEX(Dic2024!$K$6:$K$205,C1074))+(LN(INDEX(Dic2024!$K$6:$K$205,MIN(C1074+1,200)))-LN(INDEX(Dic2024!$K$6:$K$205,C1074)))*(A1074-6*C1074)/6))</f>
        <v>0.00536408380773658</v>
      </c>
      <c r="H1074" s="12" t="n">
        <f aca="false">G1074^(-1/B1074)-1</f>
        <v>0.0603850625</v>
      </c>
      <c r="I1074" s="12" t="n">
        <f aca="false">(1+H1074)^(1/12)-1</f>
        <v>0.00489796506237616</v>
      </c>
      <c r="J1074" s="16" t="n">
        <f aca="false">IF(C1074=0,(1+Dic2024!$M$6)^(-B1074),EXP(LN(INDEX(Dic2024!$N$6:$N$205,C1074))+(LN(INDEX(Dic2024!$N$6:$N$205,MIN(C1074+1,200)))-LN(INDEX(Dic2024!$N$6:$N$205,C1074)))*(A1074-6*C1074)/6))</f>
        <v>0.00536408380773658</v>
      </c>
      <c r="K1074" s="12" t="n">
        <f aca="false">J1074^(-1/B1074)-1</f>
        <v>0.0603850625</v>
      </c>
      <c r="L1074" s="12" t="n">
        <f aca="false">(1+K1074)^(1/12)-1</f>
        <v>0.00489796506237616</v>
      </c>
    </row>
    <row r="1075" customFormat="false" ht="15" hidden="false" customHeight="false" outlineLevel="0" collapsed="false">
      <c r="A1075" s="4" t="n">
        <v>1071</v>
      </c>
      <c r="B1075" s="14" t="n">
        <f aca="false">A1075/12</f>
        <v>89.25</v>
      </c>
      <c r="C1075" s="15" t="n">
        <f aca="false">INT(A1075/6)</f>
        <v>178</v>
      </c>
      <c r="D1075" s="16" t="n">
        <f aca="false">IF(C1075=0,(1+Dic2024!$G$6)^(-B1075),EXP(LN(INDEX(Dic2024!$H$6:$H$205,C1075))+(LN(INDEX(Dic2024!$H$6:$H$205,MIN(C1075+1,200)))-LN(INDEX(Dic2024!$H$6:$H$205,C1075)))*(A1075-6*C1075)/6))</f>
        <v>0.00533793877013535</v>
      </c>
      <c r="E1075" s="12" t="n">
        <f aca="false">D1075^(-1/B1075)-1</f>
        <v>0.0603850625</v>
      </c>
      <c r="F1075" s="12" t="n">
        <f aca="false">(1+E1075)^(1/12)-1</f>
        <v>0.00489796506237616</v>
      </c>
      <c r="G1075" s="16" t="n">
        <f aca="false">IF(C1075=0,(1+Dic2024!$J$6)^(-B1075),EXP(LN(INDEX(Dic2024!$K$6:$K$205,C1075))+(LN(INDEX(Dic2024!$K$6:$K$205,MIN(C1075+1,200)))-LN(INDEX(Dic2024!$K$6:$K$205,C1075)))*(A1075-6*C1075)/6))</f>
        <v>0.00533793877013535</v>
      </c>
      <c r="H1075" s="12" t="n">
        <f aca="false">G1075^(-1/B1075)-1</f>
        <v>0.0603850625</v>
      </c>
      <c r="I1075" s="12" t="n">
        <f aca="false">(1+H1075)^(1/12)-1</f>
        <v>0.00489796506237616</v>
      </c>
      <c r="J1075" s="16" t="n">
        <f aca="false">IF(C1075=0,(1+Dic2024!$M$6)^(-B1075),EXP(LN(INDEX(Dic2024!$N$6:$N$205,C1075))+(LN(INDEX(Dic2024!$N$6:$N$205,MIN(C1075+1,200)))-LN(INDEX(Dic2024!$N$6:$N$205,C1075)))*(A1075-6*C1075)/6))</f>
        <v>0.00533793877013535</v>
      </c>
      <c r="K1075" s="12" t="n">
        <f aca="false">J1075^(-1/B1075)-1</f>
        <v>0.0603850625</v>
      </c>
      <c r="L1075" s="12" t="n">
        <f aca="false">(1+K1075)^(1/12)-1</f>
        <v>0.00489796506237616</v>
      </c>
    </row>
    <row r="1076" customFormat="false" ht="15" hidden="false" customHeight="false" outlineLevel="0" collapsed="false">
      <c r="A1076" s="4" t="n">
        <v>1072</v>
      </c>
      <c r="B1076" s="14" t="n">
        <f aca="false">A1076/12</f>
        <v>89.3333333333333</v>
      </c>
      <c r="C1076" s="15" t="n">
        <f aca="false">INT(A1076/6)</f>
        <v>178</v>
      </c>
      <c r="D1076" s="16" t="n">
        <f aca="false">IF(C1076=0,(1+Dic2024!$G$6)^(-B1076),EXP(LN(INDEX(Dic2024!$H$6:$H$205,C1076))+(LN(INDEX(Dic2024!$H$6:$H$205,MIN(C1076+1,200)))-LN(INDEX(Dic2024!$H$6:$H$205,C1076)))*(A1076-6*C1076)/6))</f>
        <v>0.00531192116585092</v>
      </c>
      <c r="E1076" s="12" t="n">
        <f aca="false">D1076^(-1/B1076)-1</f>
        <v>0.0603850625</v>
      </c>
      <c r="F1076" s="12" t="n">
        <f aca="false">(1+E1076)^(1/12)-1</f>
        <v>0.00489796506237616</v>
      </c>
      <c r="G1076" s="16" t="n">
        <f aca="false">IF(C1076=0,(1+Dic2024!$J$6)^(-B1076),EXP(LN(INDEX(Dic2024!$K$6:$K$205,C1076))+(LN(INDEX(Dic2024!$K$6:$K$205,MIN(C1076+1,200)))-LN(INDEX(Dic2024!$K$6:$K$205,C1076)))*(A1076-6*C1076)/6))</f>
        <v>0.00531192116585092</v>
      </c>
      <c r="H1076" s="12" t="n">
        <f aca="false">G1076^(-1/B1076)-1</f>
        <v>0.0603850625</v>
      </c>
      <c r="I1076" s="12" t="n">
        <f aca="false">(1+H1076)^(1/12)-1</f>
        <v>0.00489796506237616</v>
      </c>
      <c r="J1076" s="16" t="n">
        <f aca="false">IF(C1076=0,(1+Dic2024!$M$6)^(-B1076),EXP(LN(INDEX(Dic2024!$N$6:$N$205,C1076))+(LN(INDEX(Dic2024!$N$6:$N$205,MIN(C1076+1,200)))-LN(INDEX(Dic2024!$N$6:$N$205,C1076)))*(A1076-6*C1076)/6))</f>
        <v>0.00531192116585092</v>
      </c>
      <c r="K1076" s="12" t="n">
        <f aca="false">J1076^(-1/B1076)-1</f>
        <v>0.0603850625</v>
      </c>
      <c r="L1076" s="12" t="n">
        <f aca="false">(1+K1076)^(1/12)-1</f>
        <v>0.00489796506237616</v>
      </c>
    </row>
    <row r="1077" customFormat="false" ht="15" hidden="false" customHeight="false" outlineLevel="0" collapsed="false">
      <c r="A1077" s="4" t="n">
        <v>1073</v>
      </c>
      <c r="B1077" s="14" t="n">
        <f aca="false">A1077/12</f>
        <v>89.4166666666667</v>
      </c>
      <c r="C1077" s="15" t="n">
        <f aca="false">INT(A1077/6)</f>
        <v>178</v>
      </c>
      <c r="D1077" s="16" t="n">
        <f aca="false">IF(C1077=0,(1+Dic2024!$G$6)^(-B1077),EXP(LN(INDEX(Dic2024!$H$6:$H$205,C1077))+(LN(INDEX(Dic2024!$H$6:$H$205,MIN(C1077+1,200)))-LN(INDEX(Dic2024!$H$6:$H$205,C1077)))*(A1077-6*C1077)/6))</f>
        <v>0.00528603037376157</v>
      </c>
      <c r="E1077" s="12" t="n">
        <f aca="false">D1077^(-1/B1077)-1</f>
        <v>0.0603850625</v>
      </c>
      <c r="F1077" s="12" t="n">
        <f aca="false">(1+E1077)^(1/12)-1</f>
        <v>0.00489796506237616</v>
      </c>
      <c r="G1077" s="16" t="n">
        <f aca="false">IF(C1077=0,(1+Dic2024!$J$6)^(-B1077),EXP(LN(INDEX(Dic2024!$K$6:$K$205,C1077))+(LN(INDEX(Dic2024!$K$6:$K$205,MIN(C1077+1,200)))-LN(INDEX(Dic2024!$K$6:$K$205,C1077)))*(A1077-6*C1077)/6))</f>
        <v>0.00528603037376157</v>
      </c>
      <c r="H1077" s="12" t="n">
        <f aca="false">G1077^(-1/B1077)-1</f>
        <v>0.0603850625</v>
      </c>
      <c r="I1077" s="12" t="n">
        <f aca="false">(1+H1077)^(1/12)-1</f>
        <v>0.00489796506237616</v>
      </c>
      <c r="J1077" s="16" t="n">
        <f aca="false">IF(C1077=0,(1+Dic2024!$M$6)^(-B1077),EXP(LN(INDEX(Dic2024!$N$6:$N$205,C1077))+(LN(INDEX(Dic2024!$N$6:$N$205,MIN(C1077+1,200)))-LN(INDEX(Dic2024!$N$6:$N$205,C1077)))*(A1077-6*C1077)/6))</f>
        <v>0.00528603037376157</v>
      </c>
      <c r="K1077" s="12" t="n">
        <f aca="false">J1077^(-1/B1077)-1</f>
        <v>0.0603850625</v>
      </c>
      <c r="L1077" s="12" t="n">
        <f aca="false">(1+K1077)^(1/12)-1</f>
        <v>0.00489796506237616</v>
      </c>
    </row>
    <row r="1078" customFormat="false" ht="15" hidden="false" customHeight="false" outlineLevel="0" collapsed="false">
      <c r="A1078" s="4" t="n">
        <v>1074</v>
      </c>
      <c r="B1078" s="14" t="n">
        <f aca="false">A1078/12</f>
        <v>89.5</v>
      </c>
      <c r="C1078" s="15" t="n">
        <f aca="false">INT(A1078/6)</f>
        <v>179</v>
      </c>
      <c r="D1078" s="16" t="n">
        <f aca="false">IF(C1078=0,(1+Dic2024!$G$6)^(-B1078),EXP(LN(INDEX(Dic2024!$H$6:$H$205,C1078))+(LN(INDEX(Dic2024!$H$6:$H$205,MIN(C1078+1,200)))-LN(INDEX(Dic2024!$H$6:$H$205,C1078)))*(A1078-6*C1078)/6))</f>
        <v>0.00526026577577303</v>
      </c>
      <c r="E1078" s="12" t="n">
        <f aca="false">D1078^(-1/B1078)-1</f>
        <v>0.0603850625</v>
      </c>
      <c r="F1078" s="12" t="n">
        <f aca="false">(1+E1078)^(1/12)-1</f>
        <v>0.00489796506237616</v>
      </c>
      <c r="G1078" s="16" t="n">
        <f aca="false">IF(C1078=0,(1+Dic2024!$J$6)^(-B1078),EXP(LN(INDEX(Dic2024!$K$6:$K$205,C1078))+(LN(INDEX(Dic2024!$K$6:$K$205,MIN(C1078+1,200)))-LN(INDEX(Dic2024!$K$6:$K$205,C1078)))*(A1078-6*C1078)/6))</f>
        <v>0.00526026577577303</v>
      </c>
      <c r="H1078" s="12" t="n">
        <f aca="false">G1078^(-1/B1078)-1</f>
        <v>0.0603850625</v>
      </c>
      <c r="I1078" s="12" t="n">
        <f aca="false">(1+H1078)^(1/12)-1</f>
        <v>0.00489796506237616</v>
      </c>
      <c r="J1078" s="16" t="n">
        <f aca="false">IF(C1078=0,(1+Dic2024!$M$6)^(-B1078),EXP(LN(INDEX(Dic2024!$N$6:$N$205,C1078))+(LN(INDEX(Dic2024!$N$6:$N$205,MIN(C1078+1,200)))-LN(INDEX(Dic2024!$N$6:$N$205,C1078)))*(A1078-6*C1078)/6))</f>
        <v>0.00526026577577303</v>
      </c>
      <c r="K1078" s="12" t="n">
        <f aca="false">J1078^(-1/B1078)-1</f>
        <v>0.0603850625</v>
      </c>
      <c r="L1078" s="12" t="n">
        <f aca="false">(1+K1078)^(1/12)-1</f>
        <v>0.00489796506237616</v>
      </c>
    </row>
    <row r="1079" customFormat="false" ht="15" hidden="false" customHeight="false" outlineLevel="0" collapsed="false">
      <c r="A1079" s="4" t="n">
        <v>1075</v>
      </c>
      <c r="B1079" s="14" t="n">
        <f aca="false">A1079/12</f>
        <v>89.5833333333333</v>
      </c>
      <c r="C1079" s="15" t="n">
        <f aca="false">INT(A1079/6)</f>
        <v>179</v>
      </c>
      <c r="D1079" s="16" t="n">
        <f aca="false">IF(C1079=0,(1+Dic2024!$G$6)^(-B1079),EXP(LN(INDEX(Dic2024!$H$6:$H$205,C1079))+(LN(INDEX(Dic2024!$H$6:$H$205,MIN(C1079+1,200)))-LN(INDEX(Dic2024!$H$6:$H$205,C1079)))*(A1079-6*C1079)/6))</f>
        <v>0.00523462675680362</v>
      </c>
      <c r="E1079" s="12" t="n">
        <f aca="false">D1079^(-1/B1079)-1</f>
        <v>0.0603850625</v>
      </c>
      <c r="F1079" s="12" t="n">
        <f aca="false">(1+E1079)^(1/12)-1</f>
        <v>0.00489796506237616</v>
      </c>
      <c r="G1079" s="16" t="n">
        <f aca="false">IF(C1079=0,(1+Dic2024!$J$6)^(-B1079),EXP(LN(INDEX(Dic2024!$K$6:$K$205,C1079))+(LN(INDEX(Dic2024!$K$6:$K$205,MIN(C1079+1,200)))-LN(INDEX(Dic2024!$K$6:$K$205,C1079)))*(A1079-6*C1079)/6))</f>
        <v>0.00523462675680362</v>
      </c>
      <c r="H1079" s="12" t="n">
        <f aca="false">G1079^(-1/B1079)-1</f>
        <v>0.0603850625</v>
      </c>
      <c r="I1079" s="12" t="n">
        <f aca="false">(1+H1079)^(1/12)-1</f>
        <v>0.00489796506237616</v>
      </c>
      <c r="J1079" s="16" t="n">
        <f aca="false">IF(C1079=0,(1+Dic2024!$M$6)^(-B1079),EXP(LN(INDEX(Dic2024!$N$6:$N$205,C1079))+(LN(INDEX(Dic2024!$N$6:$N$205,MIN(C1079+1,200)))-LN(INDEX(Dic2024!$N$6:$N$205,C1079)))*(A1079-6*C1079)/6))</f>
        <v>0.00523462675680362</v>
      </c>
      <c r="K1079" s="12" t="n">
        <f aca="false">J1079^(-1/B1079)-1</f>
        <v>0.0603850625</v>
      </c>
      <c r="L1079" s="12" t="n">
        <f aca="false">(1+K1079)^(1/12)-1</f>
        <v>0.00489796506237616</v>
      </c>
    </row>
    <row r="1080" customFormat="false" ht="15" hidden="false" customHeight="false" outlineLevel="0" collapsed="false">
      <c r="A1080" s="4" t="n">
        <v>1076</v>
      </c>
      <c r="B1080" s="14" t="n">
        <f aca="false">A1080/12</f>
        <v>89.6666666666667</v>
      </c>
      <c r="C1080" s="15" t="n">
        <f aca="false">INT(A1080/6)</f>
        <v>179</v>
      </c>
      <c r="D1080" s="16" t="n">
        <f aca="false">IF(C1080=0,(1+Dic2024!$G$6)^(-B1080),EXP(LN(INDEX(Dic2024!$H$6:$H$205,C1080))+(LN(INDEX(Dic2024!$H$6:$H$205,MIN(C1080+1,200)))-LN(INDEX(Dic2024!$H$6:$H$205,C1080)))*(A1080-6*C1080)/6))</f>
        <v>0.00520911270476968</v>
      </c>
      <c r="E1080" s="12" t="n">
        <f aca="false">D1080^(-1/B1080)-1</f>
        <v>0.0603850625</v>
      </c>
      <c r="F1080" s="12" t="n">
        <f aca="false">(1+E1080)^(1/12)-1</f>
        <v>0.00489796506237616</v>
      </c>
      <c r="G1080" s="16" t="n">
        <f aca="false">IF(C1080=0,(1+Dic2024!$J$6)^(-B1080),EXP(LN(INDEX(Dic2024!$K$6:$K$205,C1080))+(LN(INDEX(Dic2024!$K$6:$K$205,MIN(C1080+1,200)))-LN(INDEX(Dic2024!$K$6:$K$205,C1080)))*(A1080-6*C1080)/6))</f>
        <v>0.00520911270476968</v>
      </c>
      <c r="H1080" s="12" t="n">
        <f aca="false">G1080^(-1/B1080)-1</f>
        <v>0.0603850625</v>
      </c>
      <c r="I1080" s="12" t="n">
        <f aca="false">(1+H1080)^(1/12)-1</f>
        <v>0.00489796506237616</v>
      </c>
      <c r="J1080" s="16" t="n">
        <f aca="false">IF(C1080=0,(1+Dic2024!$M$6)^(-B1080),EXP(LN(INDEX(Dic2024!$N$6:$N$205,C1080))+(LN(INDEX(Dic2024!$N$6:$N$205,MIN(C1080+1,200)))-LN(INDEX(Dic2024!$N$6:$N$205,C1080)))*(A1080-6*C1080)/6))</f>
        <v>0.00520911270476968</v>
      </c>
      <c r="K1080" s="12" t="n">
        <f aca="false">J1080^(-1/B1080)-1</f>
        <v>0.0603850625</v>
      </c>
      <c r="L1080" s="12" t="n">
        <f aca="false">(1+K1080)^(1/12)-1</f>
        <v>0.00489796506237616</v>
      </c>
    </row>
    <row r="1081" customFormat="false" ht="15" hidden="false" customHeight="false" outlineLevel="0" collapsed="false">
      <c r="A1081" s="4" t="n">
        <v>1077</v>
      </c>
      <c r="B1081" s="14" t="n">
        <f aca="false">A1081/12</f>
        <v>89.75</v>
      </c>
      <c r="C1081" s="15" t="n">
        <f aca="false">INT(A1081/6)</f>
        <v>179</v>
      </c>
      <c r="D1081" s="16" t="n">
        <f aca="false">IF(C1081=0,(1+Dic2024!$G$6)^(-B1081),EXP(LN(INDEX(Dic2024!$H$6:$H$205,C1081))+(LN(INDEX(Dic2024!$H$6:$H$205,MIN(C1081+1,200)))-LN(INDEX(Dic2024!$H$6:$H$205,C1081)))*(A1081-6*C1081)/6))</f>
        <v>0.00518372301057087</v>
      </c>
      <c r="E1081" s="12" t="n">
        <f aca="false">D1081^(-1/B1081)-1</f>
        <v>0.0603850625</v>
      </c>
      <c r="F1081" s="12" t="n">
        <f aca="false">(1+E1081)^(1/12)-1</f>
        <v>0.00489796506237616</v>
      </c>
      <c r="G1081" s="16" t="n">
        <f aca="false">IF(C1081=0,(1+Dic2024!$J$6)^(-B1081),EXP(LN(INDEX(Dic2024!$K$6:$K$205,C1081))+(LN(INDEX(Dic2024!$K$6:$K$205,MIN(C1081+1,200)))-LN(INDEX(Dic2024!$K$6:$K$205,C1081)))*(A1081-6*C1081)/6))</f>
        <v>0.00518372301057087</v>
      </c>
      <c r="H1081" s="12" t="n">
        <f aca="false">G1081^(-1/B1081)-1</f>
        <v>0.0603850625</v>
      </c>
      <c r="I1081" s="12" t="n">
        <f aca="false">(1+H1081)^(1/12)-1</f>
        <v>0.00489796506237616</v>
      </c>
      <c r="J1081" s="16" t="n">
        <f aca="false">IF(C1081=0,(1+Dic2024!$M$6)^(-B1081),EXP(LN(INDEX(Dic2024!$N$6:$N$205,C1081))+(LN(INDEX(Dic2024!$N$6:$N$205,MIN(C1081+1,200)))-LN(INDEX(Dic2024!$N$6:$N$205,C1081)))*(A1081-6*C1081)/6))</f>
        <v>0.00518372301057087</v>
      </c>
      <c r="K1081" s="12" t="n">
        <f aca="false">J1081^(-1/B1081)-1</f>
        <v>0.0603850625</v>
      </c>
      <c r="L1081" s="12" t="n">
        <f aca="false">(1+K1081)^(1/12)-1</f>
        <v>0.00489796506237616</v>
      </c>
    </row>
    <row r="1082" customFormat="false" ht="15" hidden="false" customHeight="false" outlineLevel="0" collapsed="false">
      <c r="A1082" s="4" t="n">
        <v>1078</v>
      </c>
      <c r="B1082" s="14" t="n">
        <f aca="false">A1082/12</f>
        <v>89.8333333333333</v>
      </c>
      <c r="C1082" s="15" t="n">
        <f aca="false">INT(A1082/6)</f>
        <v>179</v>
      </c>
      <c r="D1082" s="16" t="n">
        <f aca="false">IF(C1082=0,(1+Dic2024!$G$6)^(-B1082),EXP(LN(INDEX(Dic2024!$H$6:$H$205,C1082))+(LN(INDEX(Dic2024!$H$6:$H$205,MIN(C1082+1,200)))-LN(INDEX(Dic2024!$H$6:$H$205,C1082)))*(A1082-6*C1082)/6))</f>
        <v>0.00515845706807567</v>
      </c>
      <c r="E1082" s="12" t="n">
        <f aca="false">D1082^(-1/B1082)-1</f>
        <v>0.0603850625</v>
      </c>
      <c r="F1082" s="12" t="n">
        <f aca="false">(1+E1082)^(1/12)-1</f>
        <v>0.00489796506237616</v>
      </c>
      <c r="G1082" s="16" t="n">
        <f aca="false">IF(C1082=0,(1+Dic2024!$J$6)^(-B1082),EXP(LN(INDEX(Dic2024!$K$6:$K$205,C1082))+(LN(INDEX(Dic2024!$K$6:$K$205,MIN(C1082+1,200)))-LN(INDEX(Dic2024!$K$6:$K$205,C1082)))*(A1082-6*C1082)/6))</f>
        <v>0.00515845706807567</v>
      </c>
      <c r="H1082" s="12" t="n">
        <f aca="false">G1082^(-1/B1082)-1</f>
        <v>0.0603850625</v>
      </c>
      <c r="I1082" s="12" t="n">
        <f aca="false">(1+H1082)^(1/12)-1</f>
        <v>0.00489796506237616</v>
      </c>
      <c r="J1082" s="16" t="n">
        <f aca="false">IF(C1082=0,(1+Dic2024!$M$6)^(-B1082),EXP(LN(INDEX(Dic2024!$N$6:$N$205,C1082))+(LN(INDEX(Dic2024!$N$6:$N$205,MIN(C1082+1,200)))-LN(INDEX(Dic2024!$N$6:$N$205,C1082)))*(A1082-6*C1082)/6))</f>
        <v>0.00515845706807567</v>
      </c>
      <c r="K1082" s="12" t="n">
        <f aca="false">J1082^(-1/B1082)-1</f>
        <v>0.0603850625</v>
      </c>
      <c r="L1082" s="12" t="n">
        <f aca="false">(1+K1082)^(1/12)-1</f>
        <v>0.00489796506237616</v>
      </c>
    </row>
    <row r="1083" customFormat="false" ht="15" hidden="false" customHeight="false" outlineLevel="0" collapsed="false">
      <c r="A1083" s="4" t="n">
        <v>1079</v>
      </c>
      <c r="B1083" s="14" t="n">
        <f aca="false">A1083/12</f>
        <v>89.9166666666667</v>
      </c>
      <c r="C1083" s="15" t="n">
        <f aca="false">INT(A1083/6)</f>
        <v>179</v>
      </c>
      <c r="D1083" s="16" t="n">
        <f aca="false">IF(C1083=0,(1+Dic2024!$G$6)^(-B1083),EXP(LN(INDEX(Dic2024!$H$6:$H$205,C1083))+(LN(INDEX(Dic2024!$H$6:$H$205,MIN(C1083+1,200)))-LN(INDEX(Dic2024!$H$6:$H$205,C1083)))*(A1083-6*C1083)/6))</f>
        <v>0.00513331427410689</v>
      </c>
      <c r="E1083" s="12" t="n">
        <f aca="false">D1083^(-1/B1083)-1</f>
        <v>0.0603850625</v>
      </c>
      <c r="F1083" s="12" t="n">
        <f aca="false">(1+E1083)^(1/12)-1</f>
        <v>0.00489796506237616</v>
      </c>
      <c r="G1083" s="16" t="n">
        <f aca="false">IF(C1083=0,(1+Dic2024!$J$6)^(-B1083),EXP(LN(INDEX(Dic2024!$K$6:$K$205,C1083))+(LN(INDEX(Dic2024!$K$6:$K$205,MIN(C1083+1,200)))-LN(INDEX(Dic2024!$K$6:$K$205,C1083)))*(A1083-6*C1083)/6))</f>
        <v>0.00513331427410689</v>
      </c>
      <c r="H1083" s="12" t="n">
        <f aca="false">G1083^(-1/B1083)-1</f>
        <v>0.0603850625</v>
      </c>
      <c r="I1083" s="12" t="n">
        <f aca="false">(1+H1083)^(1/12)-1</f>
        <v>0.00489796506237616</v>
      </c>
      <c r="J1083" s="16" t="n">
        <f aca="false">IF(C1083=0,(1+Dic2024!$M$6)^(-B1083),EXP(LN(INDEX(Dic2024!$N$6:$N$205,C1083))+(LN(INDEX(Dic2024!$N$6:$N$205,MIN(C1083+1,200)))-LN(INDEX(Dic2024!$N$6:$N$205,C1083)))*(A1083-6*C1083)/6))</f>
        <v>0.00513331427410689</v>
      </c>
      <c r="K1083" s="12" t="n">
        <f aca="false">J1083^(-1/B1083)-1</f>
        <v>0.0603850625</v>
      </c>
      <c r="L1083" s="12" t="n">
        <f aca="false">(1+K1083)^(1/12)-1</f>
        <v>0.00489796506237616</v>
      </c>
    </row>
    <row r="1084" customFormat="false" ht="15" hidden="false" customHeight="false" outlineLevel="0" collapsed="false">
      <c r="A1084" s="4" t="n">
        <v>1080</v>
      </c>
      <c r="B1084" s="14" t="n">
        <f aca="false">A1084/12</f>
        <v>90</v>
      </c>
      <c r="C1084" s="15" t="n">
        <f aca="false">INT(A1084/6)</f>
        <v>180</v>
      </c>
      <c r="D1084" s="16" t="n">
        <f aca="false">IF(C1084=0,(1+Dic2024!$G$6)^(-B1084),EXP(LN(INDEX(Dic2024!$H$6:$H$205,C1084))+(LN(INDEX(Dic2024!$H$6:$H$205,MIN(C1084+1,200)))-LN(INDEX(Dic2024!$H$6:$H$205,C1084)))*(A1084-6*C1084)/6))</f>
        <v>0.00510829402842731</v>
      </c>
      <c r="E1084" s="12" t="n">
        <f aca="false">D1084^(-1/B1084)-1</f>
        <v>0.0603850625</v>
      </c>
      <c r="F1084" s="12" t="n">
        <f aca="false">(1+E1084)^(1/12)-1</f>
        <v>0.00489796506237616</v>
      </c>
      <c r="G1084" s="16" t="n">
        <f aca="false">IF(C1084=0,(1+Dic2024!$J$6)^(-B1084),EXP(LN(INDEX(Dic2024!$K$6:$K$205,C1084))+(LN(INDEX(Dic2024!$K$6:$K$205,MIN(C1084+1,200)))-LN(INDEX(Dic2024!$K$6:$K$205,C1084)))*(A1084-6*C1084)/6))</f>
        <v>0.00510829402842731</v>
      </c>
      <c r="H1084" s="12" t="n">
        <f aca="false">G1084^(-1/B1084)-1</f>
        <v>0.0603850625</v>
      </c>
      <c r="I1084" s="12" t="n">
        <f aca="false">(1+H1084)^(1/12)-1</f>
        <v>0.00489796506237616</v>
      </c>
      <c r="J1084" s="16" t="n">
        <f aca="false">IF(C1084=0,(1+Dic2024!$M$6)^(-B1084),EXP(LN(INDEX(Dic2024!$N$6:$N$205,C1084))+(LN(INDEX(Dic2024!$N$6:$N$205,MIN(C1084+1,200)))-LN(INDEX(Dic2024!$N$6:$N$205,C1084)))*(A1084-6*C1084)/6))</f>
        <v>0.00510829402842731</v>
      </c>
      <c r="K1084" s="12" t="n">
        <f aca="false">J1084^(-1/B1084)-1</f>
        <v>0.0603850625</v>
      </c>
      <c r="L1084" s="12" t="n">
        <f aca="false">(1+K1084)^(1/12)-1</f>
        <v>0.00489796506237616</v>
      </c>
    </row>
    <row r="1085" customFormat="false" ht="15" hidden="false" customHeight="false" outlineLevel="0" collapsed="false">
      <c r="A1085" s="4" t="n">
        <v>1081</v>
      </c>
      <c r="B1085" s="14" t="n">
        <f aca="false">A1085/12</f>
        <v>90.0833333333333</v>
      </c>
      <c r="C1085" s="15" t="n">
        <f aca="false">INT(A1085/6)</f>
        <v>180</v>
      </c>
      <c r="D1085" s="16" t="n">
        <f aca="false">IF(C1085=0,(1+Dic2024!$G$6)^(-B1085),EXP(LN(INDEX(Dic2024!$H$6:$H$205,C1085))+(LN(INDEX(Dic2024!$H$6:$H$205,MIN(C1085+1,200)))-LN(INDEX(Dic2024!$H$6:$H$205,C1085)))*(A1085-6*C1085)/6))</f>
        <v>0.00508339573372529</v>
      </c>
      <c r="E1085" s="12" t="n">
        <f aca="false">D1085^(-1/B1085)-1</f>
        <v>0.0603850625</v>
      </c>
      <c r="F1085" s="12" t="n">
        <f aca="false">(1+E1085)^(1/12)-1</f>
        <v>0.00489796506237616</v>
      </c>
      <c r="G1085" s="16" t="n">
        <f aca="false">IF(C1085=0,(1+Dic2024!$J$6)^(-B1085),EXP(LN(INDEX(Dic2024!$K$6:$K$205,C1085))+(LN(INDEX(Dic2024!$K$6:$K$205,MIN(C1085+1,200)))-LN(INDEX(Dic2024!$K$6:$K$205,C1085)))*(A1085-6*C1085)/6))</f>
        <v>0.00508339573372529</v>
      </c>
      <c r="H1085" s="12" t="n">
        <f aca="false">G1085^(-1/B1085)-1</f>
        <v>0.0603850625</v>
      </c>
      <c r="I1085" s="12" t="n">
        <f aca="false">(1+H1085)^(1/12)-1</f>
        <v>0.00489796506237616</v>
      </c>
      <c r="J1085" s="16" t="n">
        <f aca="false">IF(C1085=0,(1+Dic2024!$M$6)^(-B1085),EXP(LN(INDEX(Dic2024!$N$6:$N$205,C1085))+(LN(INDEX(Dic2024!$N$6:$N$205,MIN(C1085+1,200)))-LN(INDEX(Dic2024!$N$6:$N$205,C1085)))*(A1085-6*C1085)/6))</f>
        <v>0.00508339573372529</v>
      </c>
      <c r="K1085" s="12" t="n">
        <f aca="false">J1085^(-1/B1085)-1</f>
        <v>0.0603850625</v>
      </c>
      <c r="L1085" s="12" t="n">
        <f aca="false">(1+K1085)^(1/12)-1</f>
        <v>0.00489796506237616</v>
      </c>
    </row>
    <row r="1086" customFormat="false" ht="15" hidden="false" customHeight="false" outlineLevel="0" collapsed="false">
      <c r="A1086" s="4" t="n">
        <v>1082</v>
      </c>
      <c r="B1086" s="14" t="n">
        <f aca="false">A1086/12</f>
        <v>90.1666666666667</v>
      </c>
      <c r="C1086" s="15" t="n">
        <f aca="false">INT(A1086/6)</f>
        <v>180</v>
      </c>
      <c r="D1086" s="16" t="n">
        <f aca="false">IF(C1086=0,(1+Dic2024!$G$6)^(-B1086),EXP(LN(INDEX(Dic2024!$H$6:$H$205,C1086))+(LN(INDEX(Dic2024!$H$6:$H$205,MIN(C1086+1,200)))-LN(INDEX(Dic2024!$H$6:$H$205,C1086)))*(A1086-6*C1086)/6))</f>
        <v>0.00505861879560056</v>
      </c>
      <c r="E1086" s="12" t="n">
        <f aca="false">D1086^(-1/B1086)-1</f>
        <v>0.0603850625</v>
      </c>
      <c r="F1086" s="12" t="n">
        <f aca="false">(1+E1086)^(1/12)-1</f>
        <v>0.00489796506237616</v>
      </c>
      <c r="G1086" s="16" t="n">
        <f aca="false">IF(C1086=0,(1+Dic2024!$J$6)^(-B1086),EXP(LN(INDEX(Dic2024!$K$6:$K$205,C1086))+(LN(INDEX(Dic2024!$K$6:$K$205,MIN(C1086+1,200)))-LN(INDEX(Dic2024!$K$6:$K$205,C1086)))*(A1086-6*C1086)/6))</f>
        <v>0.00505861879560056</v>
      </c>
      <c r="H1086" s="12" t="n">
        <f aca="false">G1086^(-1/B1086)-1</f>
        <v>0.0603850625</v>
      </c>
      <c r="I1086" s="12" t="n">
        <f aca="false">(1+H1086)^(1/12)-1</f>
        <v>0.00489796506237616</v>
      </c>
      <c r="J1086" s="16" t="n">
        <f aca="false">IF(C1086=0,(1+Dic2024!$M$6)^(-B1086),EXP(LN(INDEX(Dic2024!$N$6:$N$205,C1086))+(LN(INDEX(Dic2024!$N$6:$N$205,MIN(C1086+1,200)))-LN(INDEX(Dic2024!$N$6:$N$205,C1086)))*(A1086-6*C1086)/6))</f>
        <v>0.00505861879560056</v>
      </c>
      <c r="K1086" s="12" t="n">
        <f aca="false">J1086^(-1/B1086)-1</f>
        <v>0.0603850625</v>
      </c>
      <c r="L1086" s="12" t="n">
        <f aca="false">(1+K1086)^(1/12)-1</f>
        <v>0.00489796506237616</v>
      </c>
    </row>
    <row r="1087" customFormat="false" ht="15" hidden="false" customHeight="false" outlineLevel="0" collapsed="false">
      <c r="A1087" s="4" t="n">
        <v>1083</v>
      </c>
      <c r="B1087" s="14" t="n">
        <f aca="false">A1087/12</f>
        <v>90.25</v>
      </c>
      <c r="C1087" s="15" t="n">
        <f aca="false">INT(A1087/6)</f>
        <v>180</v>
      </c>
      <c r="D1087" s="16" t="n">
        <f aca="false">IF(C1087=0,(1+Dic2024!$G$6)^(-B1087),EXP(LN(INDEX(Dic2024!$H$6:$H$205,C1087))+(LN(INDEX(Dic2024!$H$6:$H$205,MIN(C1087+1,200)))-LN(INDEX(Dic2024!$H$6:$H$205,C1087)))*(A1087-6*C1087)/6))</f>
        <v>0.00503396262255</v>
      </c>
      <c r="E1087" s="12" t="n">
        <f aca="false">D1087^(-1/B1087)-1</f>
        <v>0.0603850625</v>
      </c>
      <c r="F1087" s="12" t="n">
        <f aca="false">(1+E1087)^(1/12)-1</f>
        <v>0.00489796506237616</v>
      </c>
      <c r="G1087" s="16" t="n">
        <f aca="false">IF(C1087=0,(1+Dic2024!$J$6)^(-B1087),EXP(LN(INDEX(Dic2024!$K$6:$K$205,C1087))+(LN(INDEX(Dic2024!$K$6:$K$205,MIN(C1087+1,200)))-LN(INDEX(Dic2024!$K$6:$K$205,C1087)))*(A1087-6*C1087)/6))</f>
        <v>0.00503396262255</v>
      </c>
      <c r="H1087" s="12" t="n">
        <f aca="false">G1087^(-1/B1087)-1</f>
        <v>0.0603850625</v>
      </c>
      <c r="I1087" s="12" t="n">
        <f aca="false">(1+H1087)^(1/12)-1</f>
        <v>0.00489796506237616</v>
      </c>
      <c r="J1087" s="16" t="n">
        <f aca="false">IF(C1087=0,(1+Dic2024!$M$6)^(-B1087),EXP(LN(INDEX(Dic2024!$N$6:$N$205,C1087))+(LN(INDEX(Dic2024!$N$6:$N$205,MIN(C1087+1,200)))-LN(INDEX(Dic2024!$N$6:$N$205,C1087)))*(A1087-6*C1087)/6))</f>
        <v>0.00503396262255</v>
      </c>
      <c r="K1087" s="12" t="n">
        <f aca="false">J1087^(-1/B1087)-1</f>
        <v>0.0603850625</v>
      </c>
      <c r="L1087" s="12" t="n">
        <f aca="false">(1+K1087)^(1/12)-1</f>
        <v>0.00489796506237616</v>
      </c>
    </row>
    <row r="1088" customFormat="false" ht="15" hidden="false" customHeight="false" outlineLevel="0" collapsed="false">
      <c r="A1088" s="4" t="n">
        <v>1084</v>
      </c>
      <c r="B1088" s="14" t="n">
        <f aca="false">A1088/12</f>
        <v>90.3333333333333</v>
      </c>
      <c r="C1088" s="15" t="n">
        <f aca="false">INT(A1088/6)</f>
        <v>180</v>
      </c>
      <c r="D1088" s="16" t="n">
        <f aca="false">IF(C1088=0,(1+Dic2024!$G$6)^(-B1088),EXP(LN(INDEX(Dic2024!$H$6:$H$205,C1088))+(LN(INDEX(Dic2024!$H$6:$H$205,MIN(C1088+1,200)))-LN(INDEX(Dic2024!$H$6:$H$205,C1088)))*(A1088-6*C1088)/6))</f>
        <v>0.00500942662595355</v>
      </c>
      <c r="E1088" s="12" t="n">
        <f aca="false">D1088^(-1/B1088)-1</f>
        <v>0.0603850625</v>
      </c>
      <c r="F1088" s="12" t="n">
        <f aca="false">(1+E1088)^(1/12)-1</f>
        <v>0.00489796506237616</v>
      </c>
      <c r="G1088" s="16" t="n">
        <f aca="false">IF(C1088=0,(1+Dic2024!$J$6)^(-B1088),EXP(LN(INDEX(Dic2024!$K$6:$K$205,C1088))+(LN(INDEX(Dic2024!$K$6:$K$205,MIN(C1088+1,200)))-LN(INDEX(Dic2024!$K$6:$K$205,C1088)))*(A1088-6*C1088)/6))</f>
        <v>0.00500942662595355</v>
      </c>
      <c r="H1088" s="12" t="n">
        <f aca="false">G1088^(-1/B1088)-1</f>
        <v>0.0603850625</v>
      </c>
      <c r="I1088" s="12" t="n">
        <f aca="false">(1+H1088)^(1/12)-1</f>
        <v>0.00489796506237616</v>
      </c>
      <c r="J1088" s="16" t="n">
        <f aca="false">IF(C1088=0,(1+Dic2024!$M$6)^(-B1088),EXP(LN(INDEX(Dic2024!$N$6:$N$205,C1088))+(LN(INDEX(Dic2024!$N$6:$N$205,MIN(C1088+1,200)))-LN(INDEX(Dic2024!$N$6:$N$205,C1088)))*(A1088-6*C1088)/6))</f>
        <v>0.00500942662595355</v>
      </c>
      <c r="K1088" s="12" t="n">
        <f aca="false">J1088^(-1/B1088)-1</f>
        <v>0.0603850625</v>
      </c>
      <c r="L1088" s="12" t="n">
        <f aca="false">(1+K1088)^(1/12)-1</f>
        <v>0.00489796506237616</v>
      </c>
    </row>
    <row r="1089" customFormat="false" ht="15" hidden="false" customHeight="false" outlineLevel="0" collapsed="false">
      <c r="A1089" s="4" t="n">
        <v>1085</v>
      </c>
      <c r="B1089" s="14" t="n">
        <f aca="false">A1089/12</f>
        <v>90.4166666666667</v>
      </c>
      <c r="C1089" s="15" t="n">
        <f aca="false">INT(A1089/6)</f>
        <v>180</v>
      </c>
      <c r="D1089" s="16" t="n">
        <f aca="false">IF(C1089=0,(1+Dic2024!$G$6)^(-B1089),EXP(LN(INDEX(Dic2024!$H$6:$H$205,C1089))+(LN(INDEX(Dic2024!$H$6:$H$205,MIN(C1089+1,200)))-LN(INDEX(Dic2024!$H$6:$H$205,C1089)))*(A1089-6*C1089)/6))</f>
        <v>0.00498501022006011</v>
      </c>
      <c r="E1089" s="12" t="n">
        <f aca="false">D1089^(-1/B1089)-1</f>
        <v>0.0603850625</v>
      </c>
      <c r="F1089" s="12" t="n">
        <f aca="false">(1+E1089)^(1/12)-1</f>
        <v>0.00489796506237616</v>
      </c>
      <c r="G1089" s="16" t="n">
        <f aca="false">IF(C1089=0,(1+Dic2024!$J$6)^(-B1089),EXP(LN(INDEX(Dic2024!$K$6:$K$205,C1089))+(LN(INDEX(Dic2024!$K$6:$K$205,MIN(C1089+1,200)))-LN(INDEX(Dic2024!$K$6:$K$205,C1089)))*(A1089-6*C1089)/6))</f>
        <v>0.00498501022006011</v>
      </c>
      <c r="H1089" s="12" t="n">
        <f aca="false">G1089^(-1/B1089)-1</f>
        <v>0.0603850625</v>
      </c>
      <c r="I1089" s="12" t="n">
        <f aca="false">(1+H1089)^(1/12)-1</f>
        <v>0.00489796506237616</v>
      </c>
      <c r="J1089" s="16" t="n">
        <f aca="false">IF(C1089=0,(1+Dic2024!$M$6)^(-B1089),EXP(LN(INDEX(Dic2024!$N$6:$N$205,C1089))+(LN(INDEX(Dic2024!$N$6:$N$205,MIN(C1089+1,200)))-LN(INDEX(Dic2024!$N$6:$N$205,C1089)))*(A1089-6*C1089)/6))</f>
        <v>0.00498501022006011</v>
      </c>
      <c r="K1089" s="12" t="n">
        <f aca="false">J1089^(-1/B1089)-1</f>
        <v>0.0603850625</v>
      </c>
      <c r="L1089" s="12" t="n">
        <f aca="false">(1+K1089)^(1/12)-1</f>
        <v>0.00489796506237616</v>
      </c>
    </row>
    <row r="1090" customFormat="false" ht="15" hidden="false" customHeight="false" outlineLevel="0" collapsed="false">
      <c r="A1090" s="4" t="n">
        <v>1086</v>
      </c>
      <c r="B1090" s="14" t="n">
        <f aca="false">A1090/12</f>
        <v>90.5</v>
      </c>
      <c r="C1090" s="15" t="n">
        <f aca="false">INT(A1090/6)</f>
        <v>181</v>
      </c>
      <c r="D1090" s="16" t="n">
        <f aca="false">IF(C1090=0,(1+Dic2024!$G$6)^(-B1090),EXP(LN(INDEX(Dic2024!$H$6:$H$205,C1090))+(LN(INDEX(Dic2024!$H$6:$H$205,MIN(C1090+1,200)))-LN(INDEX(Dic2024!$H$6:$H$205,C1090)))*(A1090-6*C1090)/6))</f>
        <v>0.0049607128219736</v>
      </c>
      <c r="E1090" s="12" t="n">
        <f aca="false">D1090^(-1/B1090)-1</f>
        <v>0.0603850625</v>
      </c>
      <c r="F1090" s="12" t="n">
        <f aca="false">(1+E1090)^(1/12)-1</f>
        <v>0.00489796506237616</v>
      </c>
      <c r="G1090" s="16" t="n">
        <f aca="false">IF(C1090=0,(1+Dic2024!$J$6)^(-B1090),EXP(LN(INDEX(Dic2024!$K$6:$K$205,C1090))+(LN(INDEX(Dic2024!$K$6:$K$205,MIN(C1090+1,200)))-LN(INDEX(Dic2024!$K$6:$K$205,C1090)))*(A1090-6*C1090)/6))</f>
        <v>0.0049607128219736</v>
      </c>
      <c r="H1090" s="12" t="n">
        <f aca="false">G1090^(-1/B1090)-1</f>
        <v>0.0603850625</v>
      </c>
      <c r="I1090" s="12" t="n">
        <f aca="false">(1+H1090)^(1/12)-1</f>
        <v>0.00489796506237616</v>
      </c>
      <c r="J1090" s="16" t="n">
        <f aca="false">IF(C1090=0,(1+Dic2024!$M$6)^(-B1090),EXP(LN(INDEX(Dic2024!$N$6:$N$205,C1090))+(LN(INDEX(Dic2024!$N$6:$N$205,MIN(C1090+1,200)))-LN(INDEX(Dic2024!$N$6:$N$205,C1090)))*(A1090-6*C1090)/6))</f>
        <v>0.0049607128219736</v>
      </c>
      <c r="K1090" s="12" t="n">
        <f aca="false">J1090^(-1/B1090)-1</f>
        <v>0.0603850625</v>
      </c>
      <c r="L1090" s="12" t="n">
        <f aca="false">(1+K1090)^(1/12)-1</f>
        <v>0.00489796506237616</v>
      </c>
    </row>
    <row r="1091" customFormat="false" ht="15" hidden="false" customHeight="false" outlineLevel="0" collapsed="false">
      <c r="A1091" s="4" t="n">
        <v>1087</v>
      </c>
      <c r="B1091" s="14" t="n">
        <f aca="false">A1091/12</f>
        <v>90.5833333333333</v>
      </c>
      <c r="C1091" s="15" t="n">
        <f aca="false">INT(A1091/6)</f>
        <v>181</v>
      </c>
      <c r="D1091" s="16" t="n">
        <f aca="false">IF(C1091=0,(1+Dic2024!$G$6)^(-B1091),EXP(LN(INDEX(Dic2024!$H$6:$H$205,C1091))+(LN(INDEX(Dic2024!$H$6:$H$205,MIN(C1091+1,200)))-LN(INDEX(Dic2024!$H$6:$H$205,C1091)))*(A1091-6*C1091)/6))</f>
        <v>0.00493653385163904</v>
      </c>
      <c r="E1091" s="12" t="n">
        <f aca="false">D1091^(-1/B1091)-1</f>
        <v>0.0603850625</v>
      </c>
      <c r="F1091" s="12" t="n">
        <f aca="false">(1+E1091)^(1/12)-1</f>
        <v>0.00489796506237616</v>
      </c>
      <c r="G1091" s="16" t="n">
        <f aca="false">IF(C1091=0,(1+Dic2024!$J$6)^(-B1091),EXP(LN(INDEX(Dic2024!$K$6:$K$205,C1091))+(LN(INDEX(Dic2024!$K$6:$K$205,MIN(C1091+1,200)))-LN(INDEX(Dic2024!$K$6:$K$205,C1091)))*(A1091-6*C1091)/6))</f>
        <v>0.00493653385163904</v>
      </c>
      <c r="H1091" s="12" t="n">
        <f aca="false">G1091^(-1/B1091)-1</f>
        <v>0.0603850625</v>
      </c>
      <c r="I1091" s="12" t="n">
        <f aca="false">(1+H1091)^(1/12)-1</f>
        <v>0.00489796506237616</v>
      </c>
      <c r="J1091" s="16" t="n">
        <f aca="false">IF(C1091=0,(1+Dic2024!$M$6)^(-B1091),EXP(LN(INDEX(Dic2024!$N$6:$N$205,C1091))+(LN(INDEX(Dic2024!$N$6:$N$205,MIN(C1091+1,200)))-LN(INDEX(Dic2024!$N$6:$N$205,C1091)))*(A1091-6*C1091)/6))</f>
        <v>0.00493653385163904</v>
      </c>
      <c r="K1091" s="12" t="n">
        <f aca="false">J1091^(-1/B1091)-1</f>
        <v>0.0603850625</v>
      </c>
      <c r="L1091" s="12" t="n">
        <f aca="false">(1+K1091)^(1/12)-1</f>
        <v>0.00489796506237616</v>
      </c>
    </row>
    <row r="1092" customFormat="false" ht="15" hidden="false" customHeight="false" outlineLevel="0" collapsed="false">
      <c r="A1092" s="4" t="n">
        <v>1088</v>
      </c>
      <c r="B1092" s="14" t="n">
        <f aca="false">A1092/12</f>
        <v>90.6666666666667</v>
      </c>
      <c r="C1092" s="15" t="n">
        <f aca="false">INT(A1092/6)</f>
        <v>181</v>
      </c>
      <c r="D1092" s="16" t="n">
        <f aca="false">IF(C1092=0,(1+Dic2024!$G$6)^(-B1092),EXP(LN(INDEX(Dic2024!$H$6:$H$205,C1092))+(LN(INDEX(Dic2024!$H$6:$H$205,MIN(C1092+1,200)))-LN(INDEX(Dic2024!$H$6:$H$205,C1092)))*(A1092-6*C1092)/6))</f>
        <v>0.00491247273182866</v>
      </c>
      <c r="E1092" s="12" t="n">
        <f aca="false">D1092^(-1/B1092)-1</f>
        <v>0.0603850625</v>
      </c>
      <c r="F1092" s="12" t="n">
        <f aca="false">(1+E1092)^(1/12)-1</f>
        <v>0.00489796506237616</v>
      </c>
      <c r="G1092" s="16" t="n">
        <f aca="false">IF(C1092=0,(1+Dic2024!$J$6)^(-B1092),EXP(LN(INDEX(Dic2024!$K$6:$K$205,C1092))+(LN(INDEX(Dic2024!$K$6:$K$205,MIN(C1092+1,200)))-LN(INDEX(Dic2024!$K$6:$K$205,C1092)))*(A1092-6*C1092)/6))</f>
        <v>0.00491247273182866</v>
      </c>
      <c r="H1092" s="12" t="n">
        <f aca="false">G1092^(-1/B1092)-1</f>
        <v>0.0603850625</v>
      </c>
      <c r="I1092" s="12" t="n">
        <f aca="false">(1+H1092)^(1/12)-1</f>
        <v>0.00489796506237616</v>
      </c>
      <c r="J1092" s="16" t="n">
        <f aca="false">IF(C1092=0,(1+Dic2024!$M$6)^(-B1092),EXP(LN(INDEX(Dic2024!$N$6:$N$205,C1092))+(LN(INDEX(Dic2024!$N$6:$N$205,MIN(C1092+1,200)))-LN(INDEX(Dic2024!$N$6:$N$205,C1092)))*(A1092-6*C1092)/6))</f>
        <v>0.00491247273182866</v>
      </c>
      <c r="K1092" s="12" t="n">
        <f aca="false">J1092^(-1/B1092)-1</f>
        <v>0.0603850625</v>
      </c>
      <c r="L1092" s="12" t="n">
        <f aca="false">(1+K1092)^(1/12)-1</f>
        <v>0.00489796506237616</v>
      </c>
    </row>
    <row r="1093" customFormat="false" ht="15" hidden="false" customHeight="false" outlineLevel="0" collapsed="false">
      <c r="A1093" s="4" t="n">
        <v>1089</v>
      </c>
      <c r="B1093" s="14" t="n">
        <f aca="false">A1093/12</f>
        <v>90.75</v>
      </c>
      <c r="C1093" s="15" t="n">
        <f aca="false">INT(A1093/6)</f>
        <v>181</v>
      </c>
      <c r="D1093" s="16" t="n">
        <f aca="false">IF(C1093=0,(1+Dic2024!$G$6)^(-B1093),EXP(LN(INDEX(Dic2024!$H$6:$H$205,C1093))+(LN(INDEX(Dic2024!$H$6:$H$205,MIN(C1093+1,200)))-LN(INDEX(Dic2024!$H$6:$H$205,C1093)))*(A1093-6*C1093)/6))</f>
        <v>0.00488852888812819</v>
      </c>
      <c r="E1093" s="12" t="n">
        <f aca="false">D1093^(-1/B1093)-1</f>
        <v>0.0603850625</v>
      </c>
      <c r="F1093" s="12" t="n">
        <f aca="false">(1+E1093)^(1/12)-1</f>
        <v>0.00489796506237616</v>
      </c>
      <c r="G1093" s="16" t="n">
        <f aca="false">IF(C1093=0,(1+Dic2024!$J$6)^(-B1093),EXP(LN(INDEX(Dic2024!$K$6:$K$205,C1093))+(LN(INDEX(Dic2024!$K$6:$K$205,MIN(C1093+1,200)))-LN(INDEX(Dic2024!$K$6:$K$205,C1093)))*(A1093-6*C1093)/6))</f>
        <v>0.00488852888812819</v>
      </c>
      <c r="H1093" s="12" t="n">
        <f aca="false">G1093^(-1/B1093)-1</f>
        <v>0.0603850625</v>
      </c>
      <c r="I1093" s="12" t="n">
        <f aca="false">(1+H1093)^(1/12)-1</f>
        <v>0.00489796506237616</v>
      </c>
      <c r="J1093" s="16" t="n">
        <f aca="false">IF(C1093=0,(1+Dic2024!$M$6)^(-B1093),EXP(LN(INDEX(Dic2024!$N$6:$N$205,C1093))+(LN(INDEX(Dic2024!$N$6:$N$205,MIN(C1093+1,200)))-LN(INDEX(Dic2024!$N$6:$N$205,C1093)))*(A1093-6*C1093)/6))</f>
        <v>0.00488852888812819</v>
      </c>
      <c r="K1093" s="12" t="n">
        <f aca="false">J1093^(-1/B1093)-1</f>
        <v>0.0603850625</v>
      </c>
      <c r="L1093" s="12" t="n">
        <f aca="false">(1+K1093)^(1/12)-1</f>
        <v>0.00489796506237616</v>
      </c>
    </row>
    <row r="1094" customFormat="false" ht="15" hidden="false" customHeight="false" outlineLevel="0" collapsed="false">
      <c r="A1094" s="4" t="n">
        <v>1090</v>
      </c>
      <c r="B1094" s="14" t="n">
        <f aca="false">A1094/12</f>
        <v>90.8333333333333</v>
      </c>
      <c r="C1094" s="15" t="n">
        <f aca="false">INT(A1094/6)</f>
        <v>181</v>
      </c>
      <c r="D1094" s="16" t="n">
        <f aca="false">IF(C1094=0,(1+Dic2024!$G$6)^(-B1094),EXP(LN(INDEX(Dic2024!$H$6:$H$205,C1094))+(LN(INDEX(Dic2024!$H$6:$H$205,MIN(C1094+1,200)))-LN(INDEX(Dic2024!$H$6:$H$205,C1094)))*(A1094-6*C1094)/6))</f>
        <v>0.00486470174892309</v>
      </c>
      <c r="E1094" s="12" t="n">
        <f aca="false">D1094^(-1/B1094)-1</f>
        <v>0.0603850625</v>
      </c>
      <c r="F1094" s="12" t="n">
        <f aca="false">(1+E1094)^(1/12)-1</f>
        <v>0.00489796506237616</v>
      </c>
      <c r="G1094" s="16" t="n">
        <f aca="false">IF(C1094=0,(1+Dic2024!$J$6)^(-B1094),EXP(LN(INDEX(Dic2024!$K$6:$K$205,C1094))+(LN(INDEX(Dic2024!$K$6:$K$205,MIN(C1094+1,200)))-LN(INDEX(Dic2024!$K$6:$K$205,C1094)))*(A1094-6*C1094)/6))</f>
        <v>0.00486470174892309</v>
      </c>
      <c r="H1094" s="12" t="n">
        <f aca="false">G1094^(-1/B1094)-1</f>
        <v>0.0603850625</v>
      </c>
      <c r="I1094" s="12" t="n">
        <f aca="false">(1+H1094)^(1/12)-1</f>
        <v>0.00489796506237616</v>
      </c>
      <c r="J1094" s="16" t="n">
        <f aca="false">IF(C1094=0,(1+Dic2024!$M$6)^(-B1094),EXP(LN(INDEX(Dic2024!$N$6:$N$205,C1094))+(LN(INDEX(Dic2024!$N$6:$N$205,MIN(C1094+1,200)))-LN(INDEX(Dic2024!$N$6:$N$205,C1094)))*(A1094-6*C1094)/6))</f>
        <v>0.00486470174892309</v>
      </c>
      <c r="K1094" s="12" t="n">
        <f aca="false">J1094^(-1/B1094)-1</f>
        <v>0.0603850625</v>
      </c>
      <c r="L1094" s="12" t="n">
        <f aca="false">(1+K1094)^(1/12)-1</f>
        <v>0.00489796506237616</v>
      </c>
    </row>
    <row r="1095" customFormat="false" ht="15" hidden="false" customHeight="false" outlineLevel="0" collapsed="false">
      <c r="A1095" s="4" t="n">
        <v>1091</v>
      </c>
      <c r="B1095" s="14" t="n">
        <f aca="false">A1095/12</f>
        <v>90.9166666666667</v>
      </c>
      <c r="C1095" s="15" t="n">
        <f aca="false">INT(A1095/6)</f>
        <v>181</v>
      </c>
      <c r="D1095" s="16" t="n">
        <f aca="false">IF(C1095=0,(1+Dic2024!$G$6)^(-B1095),EXP(LN(INDEX(Dic2024!$H$6:$H$205,C1095))+(LN(INDEX(Dic2024!$H$6:$H$205,MIN(C1095+1,200)))-LN(INDEX(Dic2024!$H$6:$H$205,C1095)))*(A1095-6*C1095)/6))</f>
        <v>0.0048409907453849</v>
      </c>
      <c r="E1095" s="12" t="n">
        <f aca="false">D1095^(-1/B1095)-1</f>
        <v>0.0603850625</v>
      </c>
      <c r="F1095" s="12" t="n">
        <f aca="false">(1+E1095)^(1/12)-1</f>
        <v>0.00489796506237616</v>
      </c>
      <c r="G1095" s="16" t="n">
        <f aca="false">IF(C1095=0,(1+Dic2024!$J$6)^(-B1095),EXP(LN(INDEX(Dic2024!$K$6:$K$205,C1095))+(LN(INDEX(Dic2024!$K$6:$K$205,MIN(C1095+1,200)))-LN(INDEX(Dic2024!$K$6:$K$205,C1095)))*(A1095-6*C1095)/6))</f>
        <v>0.0048409907453849</v>
      </c>
      <c r="H1095" s="12" t="n">
        <f aca="false">G1095^(-1/B1095)-1</f>
        <v>0.0603850625</v>
      </c>
      <c r="I1095" s="12" t="n">
        <f aca="false">(1+H1095)^(1/12)-1</f>
        <v>0.00489796506237616</v>
      </c>
      <c r="J1095" s="16" t="n">
        <f aca="false">IF(C1095=0,(1+Dic2024!$M$6)^(-B1095),EXP(LN(INDEX(Dic2024!$N$6:$N$205,C1095))+(LN(INDEX(Dic2024!$N$6:$N$205,MIN(C1095+1,200)))-LN(INDEX(Dic2024!$N$6:$N$205,C1095)))*(A1095-6*C1095)/6))</f>
        <v>0.0048409907453849</v>
      </c>
      <c r="K1095" s="12" t="n">
        <f aca="false">J1095^(-1/B1095)-1</f>
        <v>0.0603850625</v>
      </c>
      <c r="L1095" s="12" t="n">
        <f aca="false">(1+K1095)^(1/12)-1</f>
        <v>0.00489796506237616</v>
      </c>
    </row>
    <row r="1096" customFormat="false" ht="15" hidden="false" customHeight="false" outlineLevel="0" collapsed="false">
      <c r="A1096" s="4" t="n">
        <v>1092</v>
      </c>
      <c r="B1096" s="14" t="n">
        <f aca="false">A1096/12</f>
        <v>91</v>
      </c>
      <c r="C1096" s="15" t="n">
        <f aca="false">INT(A1096/6)</f>
        <v>182</v>
      </c>
      <c r="D1096" s="16" t="n">
        <f aca="false">IF(C1096=0,(1+Dic2024!$G$6)^(-B1096),EXP(LN(INDEX(Dic2024!$H$6:$H$205,C1096))+(LN(INDEX(Dic2024!$H$6:$H$205,MIN(C1096+1,200)))-LN(INDEX(Dic2024!$H$6:$H$205,C1096)))*(A1096-6*C1096)/6))</f>
        <v>0.00481739531145773</v>
      </c>
      <c r="E1096" s="12" t="n">
        <f aca="false">D1096^(-1/B1096)-1</f>
        <v>0.0603850625</v>
      </c>
      <c r="F1096" s="12" t="n">
        <f aca="false">(1+E1096)^(1/12)-1</f>
        <v>0.00489796506237616</v>
      </c>
      <c r="G1096" s="16" t="n">
        <f aca="false">IF(C1096=0,(1+Dic2024!$J$6)^(-B1096),EXP(LN(INDEX(Dic2024!$K$6:$K$205,C1096))+(LN(INDEX(Dic2024!$K$6:$K$205,MIN(C1096+1,200)))-LN(INDEX(Dic2024!$K$6:$K$205,C1096)))*(A1096-6*C1096)/6))</f>
        <v>0.00481739531145773</v>
      </c>
      <c r="H1096" s="12" t="n">
        <f aca="false">G1096^(-1/B1096)-1</f>
        <v>0.0603850625</v>
      </c>
      <c r="I1096" s="12" t="n">
        <f aca="false">(1+H1096)^(1/12)-1</f>
        <v>0.00489796506237616</v>
      </c>
      <c r="J1096" s="16" t="n">
        <f aca="false">IF(C1096=0,(1+Dic2024!$M$6)^(-B1096),EXP(LN(INDEX(Dic2024!$N$6:$N$205,C1096))+(LN(INDEX(Dic2024!$N$6:$N$205,MIN(C1096+1,200)))-LN(INDEX(Dic2024!$N$6:$N$205,C1096)))*(A1096-6*C1096)/6))</f>
        <v>0.00481739531145773</v>
      </c>
      <c r="K1096" s="12" t="n">
        <f aca="false">J1096^(-1/B1096)-1</f>
        <v>0.0603850625</v>
      </c>
      <c r="L1096" s="12" t="n">
        <f aca="false">(1+K1096)^(1/12)-1</f>
        <v>0.00489796506237616</v>
      </c>
    </row>
    <row r="1097" customFormat="false" ht="15" hidden="false" customHeight="false" outlineLevel="0" collapsed="false">
      <c r="A1097" s="4" t="n">
        <v>1093</v>
      </c>
      <c r="B1097" s="14" t="n">
        <f aca="false">A1097/12</f>
        <v>91.0833333333333</v>
      </c>
      <c r="C1097" s="15" t="n">
        <f aca="false">INT(A1097/6)</f>
        <v>182</v>
      </c>
      <c r="D1097" s="16" t="n">
        <f aca="false">IF(C1097=0,(1+Dic2024!$G$6)^(-B1097),EXP(LN(INDEX(Dic2024!$H$6:$H$205,C1097))+(LN(INDEX(Dic2024!$H$6:$H$205,MIN(C1097+1,200)))-LN(INDEX(Dic2024!$H$6:$H$205,C1097)))*(A1097-6*C1097)/6))</f>
        <v>0.00479391488384466</v>
      </c>
      <c r="E1097" s="12" t="n">
        <f aca="false">D1097^(-1/B1097)-1</f>
        <v>0.0603850625</v>
      </c>
      <c r="F1097" s="12" t="n">
        <f aca="false">(1+E1097)^(1/12)-1</f>
        <v>0.00489796506237616</v>
      </c>
      <c r="G1097" s="16" t="n">
        <f aca="false">IF(C1097=0,(1+Dic2024!$J$6)^(-B1097),EXP(LN(INDEX(Dic2024!$K$6:$K$205,C1097))+(LN(INDEX(Dic2024!$K$6:$K$205,MIN(C1097+1,200)))-LN(INDEX(Dic2024!$K$6:$K$205,C1097)))*(A1097-6*C1097)/6))</f>
        <v>0.00479391488384466</v>
      </c>
      <c r="H1097" s="12" t="n">
        <f aca="false">G1097^(-1/B1097)-1</f>
        <v>0.0603850625</v>
      </c>
      <c r="I1097" s="12" t="n">
        <f aca="false">(1+H1097)^(1/12)-1</f>
        <v>0.00489796506237616</v>
      </c>
      <c r="J1097" s="16" t="n">
        <f aca="false">IF(C1097=0,(1+Dic2024!$M$6)^(-B1097),EXP(LN(INDEX(Dic2024!$N$6:$N$205,C1097))+(LN(INDEX(Dic2024!$N$6:$N$205,MIN(C1097+1,200)))-LN(INDEX(Dic2024!$N$6:$N$205,C1097)))*(A1097-6*C1097)/6))</f>
        <v>0.00479391488384466</v>
      </c>
      <c r="K1097" s="12" t="n">
        <f aca="false">J1097^(-1/B1097)-1</f>
        <v>0.0603850625</v>
      </c>
      <c r="L1097" s="12" t="n">
        <f aca="false">(1+K1097)^(1/12)-1</f>
        <v>0.00489796506237616</v>
      </c>
    </row>
    <row r="1098" customFormat="false" ht="15" hidden="false" customHeight="false" outlineLevel="0" collapsed="false">
      <c r="A1098" s="4" t="n">
        <v>1094</v>
      </c>
      <c r="B1098" s="14" t="n">
        <f aca="false">A1098/12</f>
        <v>91.1666666666667</v>
      </c>
      <c r="C1098" s="15" t="n">
        <f aca="false">INT(A1098/6)</f>
        <v>182</v>
      </c>
      <c r="D1098" s="16" t="n">
        <f aca="false">IF(C1098=0,(1+Dic2024!$G$6)^(-B1098),EXP(LN(INDEX(Dic2024!$H$6:$H$205,C1098))+(LN(INDEX(Dic2024!$H$6:$H$205,MIN(C1098+1,200)))-LN(INDEX(Dic2024!$H$6:$H$205,C1098)))*(A1098-6*C1098)/6))</f>
        <v>0.00477054890199433</v>
      </c>
      <c r="E1098" s="12" t="n">
        <f aca="false">D1098^(-1/B1098)-1</f>
        <v>0.0603850625</v>
      </c>
      <c r="F1098" s="12" t="n">
        <f aca="false">(1+E1098)^(1/12)-1</f>
        <v>0.00489796506237616</v>
      </c>
      <c r="G1098" s="16" t="n">
        <f aca="false">IF(C1098=0,(1+Dic2024!$J$6)^(-B1098),EXP(LN(INDEX(Dic2024!$K$6:$K$205,C1098))+(LN(INDEX(Dic2024!$K$6:$K$205,MIN(C1098+1,200)))-LN(INDEX(Dic2024!$K$6:$K$205,C1098)))*(A1098-6*C1098)/6))</f>
        <v>0.00477054890199433</v>
      </c>
      <c r="H1098" s="12" t="n">
        <f aca="false">G1098^(-1/B1098)-1</f>
        <v>0.0603850625</v>
      </c>
      <c r="I1098" s="12" t="n">
        <f aca="false">(1+H1098)^(1/12)-1</f>
        <v>0.00489796506237616</v>
      </c>
      <c r="J1098" s="16" t="n">
        <f aca="false">IF(C1098=0,(1+Dic2024!$M$6)^(-B1098),EXP(LN(INDEX(Dic2024!$N$6:$N$205,C1098))+(LN(INDEX(Dic2024!$N$6:$N$205,MIN(C1098+1,200)))-LN(INDEX(Dic2024!$N$6:$N$205,C1098)))*(A1098-6*C1098)/6))</f>
        <v>0.00477054890199433</v>
      </c>
      <c r="K1098" s="12" t="n">
        <f aca="false">J1098^(-1/B1098)-1</f>
        <v>0.0603850625</v>
      </c>
      <c r="L1098" s="12" t="n">
        <f aca="false">(1+K1098)^(1/12)-1</f>
        <v>0.00489796506237616</v>
      </c>
    </row>
    <row r="1099" customFormat="false" ht="15" hidden="false" customHeight="false" outlineLevel="0" collapsed="false">
      <c r="A1099" s="4" t="n">
        <v>1095</v>
      </c>
      <c r="B1099" s="14" t="n">
        <f aca="false">A1099/12</f>
        <v>91.25</v>
      </c>
      <c r="C1099" s="15" t="n">
        <f aca="false">INT(A1099/6)</f>
        <v>182</v>
      </c>
      <c r="D1099" s="16" t="n">
        <f aca="false">IF(C1099=0,(1+Dic2024!$G$6)^(-B1099),EXP(LN(INDEX(Dic2024!$H$6:$H$205,C1099))+(LN(INDEX(Dic2024!$H$6:$H$205,MIN(C1099+1,200)))-LN(INDEX(Dic2024!$H$6:$H$205,C1099)))*(A1099-6*C1099)/6))</f>
        <v>0.00474729680808759</v>
      </c>
      <c r="E1099" s="12" t="n">
        <f aca="false">D1099^(-1/B1099)-1</f>
        <v>0.0603850625</v>
      </c>
      <c r="F1099" s="12" t="n">
        <f aca="false">(1+E1099)^(1/12)-1</f>
        <v>0.00489796506237616</v>
      </c>
      <c r="G1099" s="16" t="n">
        <f aca="false">IF(C1099=0,(1+Dic2024!$J$6)^(-B1099),EXP(LN(INDEX(Dic2024!$K$6:$K$205,C1099))+(LN(INDEX(Dic2024!$K$6:$K$205,MIN(C1099+1,200)))-LN(INDEX(Dic2024!$K$6:$K$205,C1099)))*(A1099-6*C1099)/6))</f>
        <v>0.00474729680808759</v>
      </c>
      <c r="H1099" s="12" t="n">
        <f aca="false">G1099^(-1/B1099)-1</f>
        <v>0.0603850625</v>
      </c>
      <c r="I1099" s="12" t="n">
        <f aca="false">(1+H1099)^(1/12)-1</f>
        <v>0.00489796506237616</v>
      </c>
      <c r="J1099" s="16" t="n">
        <f aca="false">IF(C1099=0,(1+Dic2024!$M$6)^(-B1099),EXP(LN(INDEX(Dic2024!$N$6:$N$205,C1099))+(LN(INDEX(Dic2024!$N$6:$N$205,MIN(C1099+1,200)))-LN(INDEX(Dic2024!$N$6:$N$205,C1099)))*(A1099-6*C1099)/6))</f>
        <v>0.00474729680808759</v>
      </c>
      <c r="K1099" s="12" t="n">
        <f aca="false">J1099^(-1/B1099)-1</f>
        <v>0.0603850625</v>
      </c>
      <c r="L1099" s="12" t="n">
        <f aca="false">(1+K1099)^(1/12)-1</f>
        <v>0.00489796506237616</v>
      </c>
    </row>
    <row r="1100" customFormat="false" ht="15" hidden="false" customHeight="false" outlineLevel="0" collapsed="false">
      <c r="A1100" s="4" t="n">
        <v>1096</v>
      </c>
      <c r="B1100" s="14" t="n">
        <f aca="false">A1100/12</f>
        <v>91.3333333333333</v>
      </c>
      <c r="C1100" s="15" t="n">
        <f aca="false">INT(A1100/6)</f>
        <v>182</v>
      </c>
      <c r="D1100" s="16" t="n">
        <f aca="false">IF(C1100=0,(1+Dic2024!$G$6)^(-B1100),EXP(LN(INDEX(Dic2024!$H$6:$H$205,C1100))+(LN(INDEX(Dic2024!$H$6:$H$205,MIN(C1100+1,200)))-LN(INDEX(Dic2024!$H$6:$H$205,C1100)))*(A1100-6*C1100)/6))</f>
        <v>0.00472415804702412</v>
      </c>
      <c r="E1100" s="12" t="n">
        <f aca="false">D1100^(-1/B1100)-1</f>
        <v>0.0603850625</v>
      </c>
      <c r="F1100" s="12" t="n">
        <f aca="false">(1+E1100)^(1/12)-1</f>
        <v>0.00489796506237616</v>
      </c>
      <c r="G1100" s="16" t="n">
        <f aca="false">IF(C1100=0,(1+Dic2024!$J$6)^(-B1100),EXP(LN(INDEX(Dic2024!$K$6:$K$205,C1100))+(LN(INDEX(Dic2024!$K$6:$K$205,MIN(C1100+1,200)))-LN(INDEX(Dic2024!$K$6:$K$205,C1100)))*(A1100-6*C1100)/6))</f>
        <v>0.00472415804702412</v>
      </c>
      <c r="H1100" s="12" t="n">
        <f aca="false">G1100^(-1/B1100)-1</f>
        <v>0.0603850625</v>
      </c>
      <c r="I1100" s="12" t="n">
        <f aca="false">(1+H1100)^(1/12)-1</f>
        <v>0.00489796506237616</v>
      </c>
      <c r="J1100" s="16" t="n">
        <f aca="false">IF(C1100=0,(1+Dic2024!$M$6)^(-B1100),EXP(LN(INDEX(Dic2024!$N$6:$N$205,C1100))+(LN(INDEX(Dic2024!$N$6:$N$205,MIN(C1100+1,200)))-LN(INDEX(Dic2024!$N$6:$N$205,C1100)))*(A1100-6*C1100)/6))</f>
        <v>0.00472415804702412</v>
      </c>
      <c r="K1100" s="12" t="n">
        <f aca="false">J1100^(-1/B1100)-1</f>
        <v>0.0603850625</v>
      </c>
      <c r="L1100" s="12" t="n">
        <f aca="false">(1+K1100)^(1/12)-1</f>
        <v>0.00489796506237616</v>
      </c>
    </row>
    <row r="1101" customFormat="false" ht="15" hidden="false" customHeight="false" outlineLevel="0" collapsed="false">
      <c r="A1101" s="4" t="n">
        <v>1097</v>
      </c>
      <c r="B1101" s="14" t="n">
        <f aca="false">A1101/12</f>
        <v>91.4166666666667</v>
      </c>
      <c r="C1101" s="15" t="n">
        <f aca="false">INT(A1101/6)</f>
        <v>182</v>
      </c>
      <c r="D1101" s="16" t="n">
        <f aca="false">IF(C1101=0,(1+Dic2024!$G$6)^(-B1101),EXP(LN(INDEX(Dic2024!$H$6:$H$205,C1101))+(LN(INDEX(Dic2024!$H$6:$H$205,MIN(C1101+1,200)))-LN(INDEX(Dic2024!$H$6:$H$205,C1101)))*(A1101-6*C1101)/6))</f>
        <v>0.00470113206640923</v>
      </c>
      <c r="E1101" s="12" t="n">
        <f aca="false">D1101^(-1/B1101)-1</f>
        <v>0.0603850625</v>
      </c>
      <c r="F1101" s="12" t="n">
        <f aca="false">(1+E1101)^(1/12)-1</f>
        <v>0.00489796506237616</v>
      </c>
      <c r="G1101" s="16" t="n">
        <f aca="false">IF(C1101=0,(1+Dic2024!$J$6)^(-B1101),EXP(LN(INDEX(Dic2024!$K$6:$K$205,C1101))+(LN(INDEX(Dic2024!$K$6:$K$205,MIN(C1101+1,200)))-LN(INDEX(Dic2024!$K$6:$K$205,C1101)))*(A1101-6*C1101)/6))</f>
        <v>0.00470113206640923</v>
      </c>
      <c r="H1101" s="12" t="n">
        <f aca="false">G1101^(-1/B1101)-1</f>
        <v>0.0603850625</v>
      </c>
      <c r="I1101" s="12" t="n">
        <f aca="false">(1+H1101)^(1/12)-1</f>
        <v>0.00489796506237616</v>
      </c>
      <c r="J1101" s="16" t="n">
        <f aca="false">IF(C1101=0,(1+Dic2024!$M$6)^(-B1101),EXP(LN(INDEX(Dic2024!$N$6:$N$205,C1101))+(LN(INDEX(Dic2024!$N$6:$N$205,MIN(C1101+1,200)))-LN(INDEX(Dic2024!$N$6:$N$205,C1101)))*(A1101-6*C1101)/6))</f>
        <v>0.00470113206640923</v>
      </c>
      <c r="K1101" s="12" t="n">
        <f aca="false">J1101^(-1/B1101)-1</f>
        <v>0.0603850625</v>
      </c>
      <c r="L1101" s="12" t="n">
        <f aca="false">(1+K1101)^(1/12)-1</f>
        <v>0.00489796506237616</v>
      </c>
    </row>
    <row r="1102" customFormat="false" ht="15" hidden="false" customHeight="false" outlineLevel="0" collapsed="false">
      <c r="A1102" s="4" t="n">
        <v>1098</v>
      </c>
      <c r="B1102" s="14" t="n">
        <f aca="false">A1102/12</f>
        <v>91.5</v>
      </c>
      <c r="C1102" s="15" t="n">
        <f aca="false">INT(A1102/6)</f>
        <v>183</v>
      </c>
      <c r="D1102" s="16" t="n">
        <f aca="false">IF(C1102=0,(1+Dic2024!$G$6)^(-B1102),EXP(LN(INDEX(Dic2024!$H$6:$H$205,C1102))+(LN(INDEX(Dic2024!$H$6:$H$205,MIN(C1102+1,200)))-LN(INDEX(Dic2024!$H$6:$H$205,C1102)))*(A1102-6*C1102)/6))</f>
        <v>0.00467821831654065</v>
      </c>
      <c r="E1102" s="12" t="n">
        <f aca="false">D1102^(-1/B1102)-1</f>
        <v>0.0603850625</v>
      </c>
      <c r="F1102" s="12" t="n">
        <f aca="false">(1+E1102)^(1/12)-1</f>
        <v>0.00489796506237616</v>
      </c>
      <c r="G1102" s="16" t="n">
        <f aca="false">IF(C1102=0,(1+Dic2024!$J$6)^(-B1102),EXP(LN(INDEX(Dic2024!$K$6:$K$205,C1102))+(LN(INDEX(Dic2024!$K$6:$K$205,MIN(C1102+1,200)))-LN(INDEX(Dic2024!$K$6:$K$205,C1102)))*(A1102-6*C1102)/6))</f>
        <v>0.00467821831654065</v>
      </c>
      <c r="H1102" s="12" t="n">
        <f aca="false">G1102^(-1/B1102)-1</f>
        <v>0.0603850625</v>
      </c>
      <c r="I1102" s="12" t="n">
        <f aca="false">(1+H1102)^(1/12)-1</f>
        <v>0.00489796506237616</v>
      </c>
      <c r="J1102" s="16" t="n">
        <f aca="false">IF(C1102=0,(1+Dic2024!$M$6)^(-B1102),EXP(LN(INDEX(Dic2024!$N$6:$N$205,C1102))+(LN(INDEX(Dic2024!$N$6:$N$205,MIN(C1102+1,200)))-LN(INDEX(Dic2024!$N$6:$N$205,C1102)))*(A1102-6*C1102)/6))</f>
        <v>0.00467821831654065</v>
      </c>
      <c r="K1102" s="12" t="n">
        <f aca="false">J1102^(-1/B1102)-1</f>
        <v>0.0603850625</v>
      </c>
      <c r="L1102" s="12" t="n">
        <f aca="false">(1+K1102)^(1/12)-1</f>
        <v>0.00489796506237616</v>
      </c>
    </row>
    <row r="1103" customFormat="false" ht="15" hidden="false" customHeight="false" outlineLevel="0" collapsed="false">
      <c r="A1103" s="4" t="n">
        <v>1099</v>
      </c>
      <c r="B1103" s="14" t="n">
        <f aca="false">A1103/12</f>
        <v>91.5833333333333</v>
      </c>
      <c r="C1103" s="15" t="n">
        <f aca="false">INT(A1103/6)</f>
        <v>183</v>
      </c>
      <c r="D1103" s="16" t="n">
        <f aca="false">IF(C1103=0,(1+Dic2024!$G$6)^(-B1103),EXP(LN(INDEX(Dic2024!$H$6:$H$205,C1103))+(LN(INDEX(Dic2024!$H$6:$H$205,MIN(C1103+1,200)))-LN(INDEX(Dic2024!$H$6:$H$205,C1103)))*(A1103-6*C1103)/6))</f>
        <v>0.0046554162503954</v>
      </c>
      <c r="E1103" s="12" t="n">
        <f aca="false">D1103^(-1/B1103)-1</f>
        <v>0.0603850625</v>
      </c>
      <c r="F1103" s="12" t="n">
        <f aca="false">(1+E1103)^(1/12)-1</f>
        <v>0.00489796506237616</v>
      </c>
      <c r="G1103" s="16" t="n">
        <f aca="false">IF(C1103=0,(1+Dic2024!$J$6)^(-B1103),EXP(LN(INDEX(Dic2024!$K$6:$K$205,C1103))+(LN(INDEX(Dic2024!$K$6:$K$205,MIN(C1103+1,200)))-LN(INDEX(Dic2024!$K$6:$K$205,C1103)))*(A1103-6*C1103)/6))</f>
        <v>0.0046554162503954</v>
      </c>
      <c r="H1103" s="12" t="n">
        <f aca="false">G1103^(-1/B1103)-1</f>
        <v>0.0603850625</v>
      </c>
      <c r="I1103" s="12" t="n">
        <f aca="false">(1+H1103)^(1/12)-1</f>
        <v>0.00489796506237616</v>
      </c>
      <c r="J1103" s="16" t="n">
        <f aca="false">IF(C1103=0,(1+Dic2024!$M$6)^(-B1103),EXP(LN(INDEX(Dic2024!$N$6:$N$205,C1103))+(LN(INDEX(Dic2024!$N$6:$N$205,MIN(C1103+1,200)))-LN(INDEX(Dic2024!$N$6:$N$205,C1103)))*(A1103-6*C1103)/6))</f>
        <v>0.0046554162503954</v>
      </c>
      <c r="K1103" s="12" t="n">
        <f aca="false">J1103^(-1/B1103)-1</f>
        <v>0.0603850625</v>
      </c>
      <c r="L1103" s="12" t="n">
        <f aca="false">(1+K1103)^(1/12)-1</f>
        <v>0.00489796506237616</v>
      </c>
    </row>
    <row r="1104" customFormat="false" ht="15" hidden="false" customHeight="false" outlineLevel="0" collapsed="false">
      <c r="A1104" s="4" t="n">
        <v>1100</v>
      </c>
      <c r="B1104" s="14" t="n">
        <f aca="false">A1104/12</f>
        <v>91.6666666666667</v>
      </c>
      <c r="C1104" s="15" t="n">
        <f aca="false">INT(A1104/6)</f>
        <v>183</v>
      </c>
      <c r="D1104" s="16" t="n">
        <f aca="false">IF(C1104=0,(1+Dic2024!$G$6)^(-B1104),EXP(LN(INDEX(Dic2024!$H$6:$H$205,C1104))+(LN(INDEX(Dic2024!$H$6:$H$205,MIN(C1104+1,200)))-LN(INDEX(Dic2024!$H$6:$H$205,C1104)))*(A1104-6*C1104)/6))</f>
        <v>0.00463272532361673</v>
      </c>
      <c r="E1104" s="12" t="n">
        <f aca="false">D1104^(-1/B1104)-1</f>
        <v>0.0603850625</v>
      </c>
      <c r="F1104" s="12" t="n">
        <f aca="false">(1+E1104)^(1/12)-1</f>
        <v>0.00489796506237616</v>
      </c>
      <c r="G1104" s="16" t="n">
        <f aca="false">IF(C1104=0,(1+Dic2024!$J$6)^(-B1104),EXP(LN(INDEX(Dic2024!$K$6:$K$205,C1104))+(LN(INDEX(Dic2024!$K$6:$K$205,MIN(C1104+1,200)))-LN(INDEX(Dic2024!$K$6:$K$205,C1104)))*(A1104-6*C1104)/6))</f>
        <v>0.00463272532361673</v>
      </c>
      <c r="H1104" s="12" t="n">
        <f aca="false">G1104^(-1/B1104)-1</f>
        <v>0.0603850625</v>
      </c>
      <c r="I1104" s="12" t="n">
        <f aca="false">(1+H1104)^(1/12)-1</f>
        <v>0.00489796506237616</v>
      </c>
      <c r="J1104" s="16" t="n">
        <f aca="false">IF(C1104=0,(1+Dic2024!$M$6)^(-B1104),EXP(LN(INDEX(Dic2024!$N$6:$N$205,C1104))+(LN(INDEX(Dic2024!$N$6:$N$205,MIN(C1104+1,200)))-LN(INDEX(Dic2024!$N$6:$N$205,C1104)))*(A1104-6*C1104)/6))</f>
        <v>0.00463272532361673</v>
      </c>
      <c r="K1104" s="12" t="n">
        <f aca="false">J1104^(-1/B1104)-1</f>
        <v>0.0603850625</v>
      </c>
      <c r="L1104" s="12" t="n">
        <f aca="false">(1+K1104)^(1/12)-1</f>
        <v>0.00489796506237616</v>
      </c>
    </row>
    <row r="1105" customFormat="false" ht="15" hidden="false" customHeight="false" outlineLevel="0" collapsed="false">
      <c r="A1105" s="4" t="n">
        <v>1101</v>
      </c>
      <c r="B1105" s="14" t="n">
        <f aca="false">A1105/12</f>
        <v>91.75</v>
      </c>
      <c r="C1105" s="15" t="n">
        <f aca="false">INT(A1105/6)</f>
        <v>183</v>
      </c>
      <c r="D1105" s="16" t="n">
        <f aca="false">IF(C1105=0,(1+Dic2024!$G$6)^(-B1105),EXP(LN(INDEX(Dic2024!$H$6:$H$205,C1105))+(LN(INDEX(Dic2024!$H$6:$H$205,MIN(C1105+1,200)))-LN(INDEX(Dic2024!$H$6:$H$205,C1105)))*(A1105-6*C1105)/6))</f>
        <v>0.00461014499450118</v>
      </c>
      <c r="E1105" s="12" t="n">
        <f aca="false">D1105^(-1/B1105)-1</f>
        <v>0.0603850625</v>
      </c>
      <c r="F1105" s="12" t="n">
        <f aca="false">(1+E1105)^(1/12)-1</f>
        <v>0.00489796506237616</v>
      </c>
      <c r="G1105" s="16" t="n">
        <f aca="false">IF(C1105=0,(1+Dic2024!$J$6)^(-B1105),EXP(LN(INDEX(Dic2024!$K$6:$K$205,C1105))+(LN(INDEX(Dic2024!$K$6:$K$205,MIN(C1105+1,200)))-LN(INDEX(Dic2024!$K$6:$K$205,C1105)))*(A1105-6*C1105)/6))</f>
        <v>0.00461014499450118</v>
      </c>
      <c r="H1105" s="12" t="n">
        <f aca="false">G1105^(-1/B1105)-1</f>
        <v>0.0603850625</v>
      </c>
      <c r="I1105" s="12" t="n">
        <f aca="false">(1+H1105)^(1/12)-1</f>
        <v>0.00489796506237616</v>
      </c>
      <c r="J1105" s="16" t="n">
        <f aca="false">IF(C1105=0,(1+Dic2024!$M$6)^(-B1105),EXP(LN(INDEX(Dic2024!$N$6:$N$205,C1105))+(LN(INDEX(Dic2024!$N$6:$N$205,MIN(C1105+1,200)))-LN(INDEX(Dic2024!$N$6:$N$205,C1105)))*(A1105-6*C1105)/6))</f>
        <v>0.00461014499450118</v>
      </c>
      <c r="K1105" s="12" t="n">
        <f aca="false">J1105^(-1/B1105)-1</f>
        <v>0.0603850625</v>
      </c>
      <c r="L1105" s="12" t="n">
        <f aca="false">(1+K1105)^(1/12)-1</f>
        <v>0.00489796506237616</v>
      </c>
    </row>
    <row r="1106" customFormat="false" ht="15" hidden="false" customHeight="false" outlineLevel="0" collapsed="false">
      <c r="A1106" s="4" t="n">
        <v>1102</v>
      </c>
      <c r="B1106" s="14" t="n">
        <f aca="false">A1106/12</f>
        <v>91.8333333333333</v>
      </c>
      <c r="C1106" s="15" t="n">
        <f aca="false">INT(A1106/6)</f>
        <v>183</v>
      </c>
      <c r="D1106" s="16" t="n">
        <f aca="false">IF(C1106=0,(1+Dic2024!$G$6)^(-B1106),EXP(LN(INDEX(Dic2024!$H$6:$H$205,C1106))+(LN(INDEX(Dic2024!$H$6:$H$205,MIN(C1106+1,200)))-LN(INDEX(Dic2024!$H$6:$H$205,C1106)))*(A1106-6*C1106)/6))</f>
        <v>0.00458767472398555</v>
      </c>
      <c r="E1106" s="12" t="n">
        <f aca="false">D1106^(-1/B1106)-1</f>
        <v>0.0603850625</v>
      </c>
      <c r="F1106" s="12" t="n">
        <f aca="false">(1+E1106)^(1/12)-1</f>
        <v>0.00489796506237616</v>
      </c>
      <c r="G1106" s="16" t="n">
        <f aca="false">IF(C1106=0,(1+Dic2024!$J$6)^(-B1106),EXP(LN(INDEX(Dic2024!$K$6:$K$205,C1106))+(LN(INDEX(Dic2024!$K$6:$K$205,MIN(C1106+1,200)))-LN(INDEX(Dic2024!$K$6:$K$205,C1106)))*(A1106-6*C1106)/6))</f>
        <v>0.00458767472398555</v>
      </c>
      <c r="H1106" s="12" t="n">
        <f aca="false">G1106^(-1/B1106)-1</f>
        <v>0.0603850625</v>
      </c>
      <c r="I1106" s="12" t="n">
        <f aca="false">(1+H1106)^(1/12)-1</f>
        <v>0.00489796506237616</v>
      </c>
      <c r="J1106" s="16" t="n">
        <f aca="false">IF(C1106=0,(1+Dic2024!$M$6)^(-B1106),EXP(LN(INDEX(Dic2024!$N$6:$N$205,C1106))+(LN(INDEX(Dic2024!$N$6:$N$205,MIN(C1106+1,200)))-LN(INDEX(Dic2024!$N$6:$N$205,C1106)))*(A1106-6*C1106)/6))</f>
        <v>0.00458767472398555</v>
      </c>
      <c r="K1106" s="12" t="n">
        <f aca="false">J1106^(-1/B1106)-1</f>
        <v>0.0603850625</v>
      </c>
      <c r="L1106" s="12" t="n">
        <f aca="false">(1+K1106)^(1/12)-1</f>
        <v>0.00489796506237616</v>
      </c>
    </row>
    <row r="1107" customFormat="false" ht="15" hidden="false" customHeight="false" outlineLevel="0" collapsed="false">
      <c r="A1107" s="4" t="n">
        <v>1103</v>
      </c>
      <c r="B1107" s="14" t="n">
        <f aca="false">A1107/12</f>
        <v>91.9166666666667</v>
      </c>
      <c r="C1107" s="15" t="n">
        <f aca="false">INT(A1107/6)</f>
        <v>183</v>
      </c>
      <c r="D1107" s="16" t="n">
        <f aca="false">IF(C1107=0,(1+Dic2024!$G$6)^(-B1107),EXP(LN(INDEX(Dic2024!$H$6:$H$205,C1107))+(LN(INDEX(Dic2024!$H$6:$H$205,MIN(C1107+1,200)))-LN(INDEX(Dic2024!$H$6:$H$205,C1107)))*(A1107-6*C1107)/6))</f>
        <v>0.00456531397563412</v>
      </c>
      <c r="E1107" s="12" t="n">
        <f aca="false">D1107^(-1/B1107)-1</f>
        <v>0.0603850625</v>
      </c>
      <c r="F1107" s="12" t="n">
        <f aca="false">(1+E1107)^(1/12)-1</f>
        <v>0.00489796506237616</v>
      </c>
      <c r="G1107" s="16" t="n">
        <f aca="false">IF(C1107=0,(1+Dic2024!$J$6)^(-B1107),EXP(LN(INDEX(Dic2024!$K$6:$K$205,C1107))+(LN(INDEX(Dic2024!$K$6:$K$205,MIN(C1107+1,200)))-LN(INDEX(Dic2024!$K$6:$K$205,C1107)))*(A1107-6*C1107)/6))</f>
        <v>0.00456531397563412</v>
      </c>
      <c r="H1107" s="12" t="n">
        <f aca="false">G1107^(-1/B1107)-1</f>
        <v>0.0603850625</v>
      </c>
      <c r="I1107" s="12" t="n">
        <f aca="false">(1+H1107)^(1/12)-1</f>
        <v>0.00489796506237616</v>
      </c>
      <c r="J1107" s="16" t="n">
        <f aca="false">IF(C1107=0,(1+Dic2024!$M$6)^(-B1107),EXP(LN(INDEX(Dic2024!$N$6:$N$205,C1107))+(LN(INDEX(Dic2024!$N$6:$N$205,MIN(C1107+1,200)))-LN(INDEX(Dic2024!$N$6:$N$205,C1107)))*(A1107-6*C1107)/6))</f>
        <v>0.00456531397563412</v>
      </c>
      <c r="K1107" s="12" t="n">
        <f aca="false">J1107^(-1/B1107)-1</f>
        <v>0.0603850625</v>
      </c>
      <c r="L1107" s="12" t="n">
        <f aca="false">(1+K1107)^(1/12)-1</f>
        <v>0.00489796506237616</v>
      </c>
    </row>
    <row r="1108" customFormat="false" ht="15" hidden="false" customHeight="false" outlineLevel="0" collapsed="false">
      <c r="A1108" s="4" t="n">
        <v>1104</v>
      </c>
      <c r="B1108" s="14" t="n">
        <f aca="false">A1108/12</f>
        <v>92</v>
      </c>
      <c r="C1108" s="15" t="n">
        <f aca="false">INT(A1108/6)</f>
        <v>184</v>
      </c>
      <c r="D1108" s="16" t="n">
        <f aca="false">IF(C1108=0,(1+Dic2024!$G$6)^(-B1108),EXP(LN(INDEX(Dic2024!$H$6:$H$205,C1108))+(LN(INDEX(Dic2024!$H$6:$H$205,MIN(C1108+1,200)))-LN(INDEX(Dic2024!$H$6:$H$205,C1108)))*(A1108-6*C1108)/6))</f>
        <v>0.00454306221562578</v>
      </c>
      <c r="E1108" s="12" t="n">
        <f aca="false">D1108^(-1/B1108)-1</f>
        <v>0.0603850625</v>
      </c>
      <c r="F1108" s="12" t="n">
        <f aca="false">(1+E1108)^(1/12)-1</f>
        <v>0.00489796506237616</v>
      </c>
      <c r="G1108" s="16" t="n">
        <f aca="false">IF(C1108=0,(1+Dic2024!$J$6)^(-B1108),EXP(LN(INDEX(Dic2024!$K$6:$K$205,C1108))+(LN(INDEX(Dic2024!$K$6:$K$205,MIN(C1108+1,200)))-LN(INDEX(Dic2024!$K$6:$K$205,C1108)))*(A1108-6*C1108)/6))</f>
        <v>0.00454306221562578</v>
      </c>
      <c r="H1108" s="12" t="n">
        <f aca="false">G1108^(-1/B1108)-1</f>
        <v>0.0603850625</v>
      </c>
      <c r="I1108" s="12" t="n">
        <f aca="false">(1+H1108)^(1/12)-1</f>
        <v>0.00489796506237616</v>
      </c>
      <c r="J1108" s="16" t="n">
        <f aca="false">IF(C1108=0,(1+Dic2024!$M$6)^(-B1108),EXP(LN(INDEX(Dic2024!$N$6:$N$205,C1108))+(LN(INDEX(Dic2024!$N$6:$N$205,MIN(C1108+1,200)))-LN(INDEX(Dic2024!$N$6:$N$205,C1108)))*(A1108-6*C1108)/6))</f>
        <v>0.00454306221562578</v>
      </c>
      <c r="K1108" s="12" t="n">
        <f aca="false">J1108^(-1/B1108)-1</f>
        <v>0.0603850625</v>
      </c>
      <c r="L1108" s="12" t="n">
        <f aca="false">(1+K1108)^(1/12)-1</f>
        <v>0.00489796506237616</v>
      </c>
    </row>
    <row r="1109" customFormat="false" ht="15" hidden="false" customHeight="false" outlineLevel="0" collapsed="false">
      <c r="A1109" s="4" t="n">
        <v>1105</v>
      </c>
      <c r="B1109" s="14" t="n">
        <f aca="false">A1109/12</f>
        <v>92.0833333333333</v>
      </c>
      <c r="C1109" s="15" t="n">
        <f aca="false">INT(A1109/6)</f>
        <v>184</v>
      </c>
      <c r="D1109" s="16" t="n">
        <f aca="false">IF(C1109=0,(1+Dic2024!$G$6)^(-B1109),EXP(LN(INDEX(Dic2024!$H$6:$H$205,C1109))+(LN(INDEX(Dic2024!$H$6:$H$205,MIN(C1109+1,200)))-LN(INDEX(Dic2024!$H$6:$H$205,C1109)))*(A1109-6*C1109)/6))</f>
        <v>0.00452091891274134</v>
      </c>
      <c r="E1109" s="12" t="n">
        <f aca="false">D1109^(-1/B1109)-1</f>
        <v>0.0603850625</v>
      </c>
      <c r="F1109" s="12" t="n">
        <f aca="false">(1+E1109)^(1/12)-1</f>
        <v>0.00489796506237616</v>
      </c>
      <c r="G1109" s="16" t="n">
        <f aca="false">IF(C1109=0,(1+Dic2024!$J$6)^(-B1109),EXP(LN(INDEX(Dic2024!$K$6:$K$205,C1109))+(LN(INDEX(Dic2024!$K$6:$K$205,MIN(C1109+1,200)))-LN(INDEX(Dic2024!$K$6:$K$205,C1109)))*(A1109-6*C1109)/6))</f>
        <v>0.00452091891274134</v>
      </c>
      <c r="H1109" s="12" t="n">
        <f aca="false">G1109^(-1/B1109)-1</f>
        <v>0.0603850625</v>
      </c>
      <c r="I1109" s="12" t="n">
        <f aca="false">(1+H1109)^(1/12)-1</f>
        <v>0.00489796506237616</v>
      </c>
      <c r="J1109" s="16" t="n">
        <f aca="false">IF(C1109=0,(1+Dic2024!$M$6)^(-B1109),EXP(LN(INDEX(Dic2024!$N$6:$N$205,C1109))+(LN(INDEX(Dic2024!$N$6:$N$205,MIN(C1109+1,200)))-LN(INDEX(Dic2024!$N$6:$N$205,C1109)))*(A1109-6*C1109)/6))</f>
        <v>0.00452091891274134</v>
      </c>
      <c r="K1109" s="12" t="n">
        <f aca="false">J1109^(-1/B1109)-1</f>
        <v>0.0603850625</v>
      </c>
      <c r="L1109" s="12" t="n">
        <f aca="false">(1+K1109)^(1/12)-1</f>
        <v>0.00489796506237616</v>
      </c>
    </row>
    <row r="1110" customFormat="false" ht="15" hidden="false" customHeight="false" outlineLevel="0" collapsed="false">
      <c r="A1110" s="4" t="n">
        <v>1106</v>
      </c>
      <c r="B1110" s="14" t="n">
        <f aca="false">A1110/12</f>
        <v>92.1666666666667</v>
      </c>
      <c r="C1110" s="15" t="n">
        <f aca="false">INT(A1110/6)</f>
        <v>184</v>
      </c>
      <c r="D1110" s="16" t="n">
        <f aca="false">IF(C1110=0,(1+Dic2024!$G$6)^(-B1110),EXP(LN(INDEX(Dic2024!$H$6:$H$205,C1110))+(LN(INDEX(Dic2024!$H$6:$H$205,MIN(C1110+1,200)))-LN(INDEX(Dic2024!$H$6:$H$205,C1110)))*(A1110-6*C1110)/6))</f>
        <v>0.0044988835383508</v>
      </c>
      <c r="E1110" s="12" t="n">
        <f aca="false">D1110^(-1/B1110)-1</f>
        <v>0.0603850625</v>
      </c>
      <c r="F1110" s="12" t="n">
        <f aca="false">(1+E1110)^(1/12)-1</f>
        <v>0.00489796506237616</v>
      </c>
      <c r="G1110" s="16" t="n">
        <f aca="false">IF(C1110=0,(1+Dic2024!$J$6)^(-B1110),EXP(LN(INDEX(Dic2024!$K$6:$K$205,C1110))+(LN(INDEX(Dic2024!$K$6:$K$205,MIN(C1110+1,200)))-LN(INDEX(Dic2024!$K$6:$K$205,C1110)))*(A1110-6*C1110)/6))</f>
        <v>0.0044988835383508</v>
      </c>
      <c r="H1110" s="12" t="n">
        <f aca="false">G1110^(-1/B1110)-1</f>
        <v>0.0603850625</v>
      </c>
      <c r="I1110" s="12" t="n">
        <f aca="false">(1+H1110)^(1/12)-1</f>
        <v>0.00489796506237616</v>
      </c>
      <c r="J1110" s="16" t="n">
        <f aca="false">IF(C1110=0,(1+Dic2024!$M$6)^(-B1110),EXP(LN(INDEX(Dic2024!$N$6:$N$205,C1110))+(LN(INDEX(Dic2024!$N$6:$N$205,MIN(C1110+1,200)))-LN(INDEX(Dic2024!$N$6:$N$205,C1110)))*(A1110-6*C1110)/6))</f>
        <v>0.0044988835383508</v>
      </c>
      <c r="K1110" s="12" t="n">
        <f aca="false">J1110^(-1/B1110)-1</f>
        <v>0.0603850625</v>
      </c>
      <c r="L1110" s="12" t="n">
        <f aca="false">(1+K1110)^(1/12)-1</f>
        <v>0.00489796506237616</v>
      </c>
    </row>
    <row r="1111" customFormat="false" ht="15" hidden="false" customHeight="false" outlineLevel="0" collapsed="false">
      <c r="A1111" s="4" t="n">
        <v>1107</v>
      </c>
      <c r="B1111" s="14" t="n">
        <f aca="false">A1111/12</f>
        <v>92.25</v>
      </c>
      <c r="C1111" s="15" t="n">
        <f aca="false">INT(A1111/6)</f>
        <v>184</v>
      </c>
      <c r="D1111" s="16" t="n">
        <f aca="false">IF(C1111=0,(1+Dic2024!$G$6)^(-B1111),EXP(LN(INDEX(Dic2024!$H$6:$H$205,C1111))+(LN(INDEX(Dic2024!$H$6:$H$205,MIN(C1111+1,200)))-LN(INDEX(Dic2024!$H$6:$H$205,C1111)))*(A1111-6*C1111)/6))</f>
        <v>0.00447695556640076</v>
      </c>
      <c r="E1111" s="12" t="n">
        <f aca="false">D1111^(-1/B1111)-1</f>
        <v>0.0603850625</v>
      </c>
      <c r="F1111" s="12" t="n">
        <f aca="false">(1+E1111)^(1/12)-1</f>
        <v>0.00489796506237616</v>
      </c>
      <c r="G1111" s="16" t="n">
        <f aca="false">IF(C1111=0,(1+Dic2024!$J$6)^(-B1111),EXP(LN(INDEX(Dic2024!$K$6:$K$205,C1111))+(LN(INDEX(Dic2024!$K$6:$K$205,MIN(C1111+1,200)))-LN(INDEX(Dic2024!$K$6:$K$205,C1111)))*(A1111-6*C1111)/6))</f>
        <v>0.00447695556640076</v>
      </c>
      <c r="H1111" s="12" t="n">
        <f aca="false">G1111^(-1/B1111)-1</f>
        <v>0.0603850625</v>
      </c>
      <c r="I1111" s="12" t="n">
        <f aca="false">(1+H1111)^(1/12)-1</f>
        <v>0.00489796506237616</v>
      </c>
      <c r="J1111" s="16" t="n">
        <f aca="false">IF(C1111=0,(1+Dic2024!$M$6)^(-B1111),EXP(LN(INDEX(Dic2024!$N$6:$N$205,C1111))+(LN(INDEX(Dic2024!$N$6:$N$205,MIN(C1111+1,200)))-LN(INDEX(Dic2024!$N$6:$N$205,C1111)))*(A1111-6*C1111)/6))</f>
        <v>0.00447695556640076</v>
      </c>
      <c r="K1111" s="12" t="n">
        <f aca="false">J1111^(-1/B1111)-1</f>
        <v>0.0603850625</v>
      </c>
      <c r="L1111" s="12" t="n">
        <f aca="false">(1+K1111)^(1/12)-1</f>
        <v>0.00489796506237616</v>
      </c>
    </row>
    <row r="1112" customFormat="false" ht="15" hidden="false" customHeight="false" outlineLevel="0" collapsed="false">
      <c r="A1112" s="4" t="n">
        <v>1108</v>
      </c>
      <c r="B1112" s="14" t="n">
        <f aca="false">A1112/12</f>
        <v>92.3333333333333</v>
      </c>
      <c r="C1112" s="15" t="n">
        <f aca="false">INT(A1112/6)</f>
        <v>184</v>
      </c>
      <c r="D1112" s="16" t="n">
        <f aca="false">IF(C1112=0,(1+Dic2024!$G$6)^(-B1112),EXP(LN(INDEX(Dic2024!$H$6:$H$205,C1112))+(LN(INDEX(Dic2024!$H$6:$H$205,MIN(C1112+1,200)))-LN(INDEX(Dic2024!$H$6:$H$205,C1112)))*(A1112-6*C1112)/6))</f>
        <v>0.00445513447340185</v>
      </c>
      <c r="E1112" s="12" t="n">
        <f aca="false">D1112^(-1/B1112)-1</f>
        <v>0.0603850625</v>
      </c>
      <c r="F1112" s="12" t="n">
        <f aca="false">(1+E1112)^(1/12)-1</f>
        <v>0.00489796506237616</v>
      </c>
      <c r="G1112" s="16" t="n">
        <f aca="false">IF(C1112=0,(1+Dic2024!$J$6)^(-B1112),EXP(LN(INDEX(Dic2024!$K$6:$K$205,C1112))+(LN(INDEX(Dic2024!$K$6:$K$205,MIN(C1112+1,200)))-LN(INDEX(Dic2024!$K$6:$K$205,C1112)))*(A1112-6*C1112)/6))</f>
        <v>0.00445513447340185</v>
      </c>
      <c r="H1112" s="12" t="n">
        <f aca="false">G1112^(-1/B1112)-1</f>
        <v>0.0603850625</v>
      </c>
      <c r="I1112" s="12" t="n">
        <f aca="false">(1+H1112)^(1/12)-1</f>
        <v>0.00489796506237616</v>
      </c>
      <c r="J1112" s="16" t="n">
        <f aca="false">IF(C1112=0,(1+Dic2024!$M$6)^(-B1112),EXP(LN(INDEX(Dic2024!$N$6:$N$205,C1112))+(LN(INDEX(Dic2024!$N$6:$N$205,MIN(C1112+1,200)))-LN(INDEX(Dic2024!$N$6:$N$205,C1112)))*(A1112-6*C1112)/6))</f>
        <v>0.00445513447340185</v>
      </c>
      <c r="K1112" s="12" t="n">
        <f aca="false">J1112^(-1/B1112)-1</f>
        <v>0.0603850625</v>
      </c>
      <c r="L1112" s="12" t="n">
        <f aca="false">(1+K1112)^(1/12)-1</f>
        <v>0.00489796506237616</v>
      </c>
    </row>
    <row r="1113" customFormat="false" ht="15" hidden="false" customHeight="false" outlineLevel="0" collapsed="false">
      <c r="A1113" s="4" t="n">
        <v>1109</v>
      </c>
      <c r="B1113" s="14" t="n">
        <f aca="false">A1113/12</f>
        <v>92.4166666666667</v>
      </c>
      <c r="C1113" s="15" t="n">
        <f aca="false">INT(A1113/6)</f>
        <v>184</v>
      </c>
      <c r="D1113" s="16" t="n">
        <f aca="false">IF(C1113=0,(1+Dic2024!$G$6)^(-B1113),EXP(LN(INDEX(Dic2024!$H$6:$H$205,C1113))+(LN(INDEX(Dic2024!$H$6:$H$205,MIN(C1113+1,200)))-LN(INDEX(Dic2024!$H$6:$H$205,C1113)))*(A1113-6*C1113)/6))</f>
        <v>0.00443341973841623</v>
      </c>
      <c r="E1113" s="12" t="n">
        <f aca="false">D1113^(-1/B1113)-1</f>
        <v>0.0603850625</v>
      </c>
      <c r="F1113" s="12" t="n">
        <f aca="false">(1+E1113)^(1/12)-1</f>
        <v>0.00489796506237616</v>
      </c>
      <c r="G1113" s="16" t="n">
        <f aca="false">IF(C1113=0,(1+Dic2024!$J$6)^(-B1113),EXP(LN(INDEX(Dic2024!$K$6:$K$205,C1113))+(LN(INDEX(Dic2024!$K$6:$K$205,MIN(C1113+1,200)))-LN(INDEX(Dic2024!$K$6:$K$205,C1113)))*(A1113-6*C1113)/6))</f>
        <v>0.00443341973841623</v>
      </c>
      <c r="H1113" s="12" t="n">
        <f aca="false">G1113^(-1/B1113)-1</f>
        <v>0.0603850625</v>
      </c>
      <c r="I1113" s="12" t="n">
        <f aca="false">(1+H1113)^(1/12)-1</f>
        <v>0.00489796506237616</v>
      </c>
      <c r="J1113" s="16" t="n">
        <f aca="false">IF(C1113=0,(1+Dic2024!$M$6)^(-B1113),EXP(LN(INDEX(Dic2024!$N$6:$N$205,C1113))+(LN(INDEX(Dic2024!$N$6:$N$205,MIN(C1113+1,200)))-LN(INDEX(Dic2024!$N$6:$N$205,C1113)))*(A1113-6*C1113)/6))</f>
        <v>0.00443341973841623</v>
      </c>
      <c r="K1113" s="12" t="n">
        <f aca="false">J1113^(-1/B1113)-1</f>
        <v>0.0603850625</v>
      </c>
      <c r="L1113" s="12" t="n">
        <f aca="false">(1+K1113)^(1/12)-1</f>
        <v>0.00489796506237616</v>
      </c>
    </row>
    <row r="1114" customFormat="false" ht="15" hidden="false" customHeight="false" outlineLevel="0" collapsed="false">
      <c r="A1114" s="4" t="n">
        <v>1110</v>
      </c>
      <c r="B1114" s="14" t="n">
        <f aca="false">A1114/12</f>
        <v>92.5</v>
      </c>
      <c r="C1114" s="15" t="n">
        <f aca="false">INT(A1114/6)</f>
        <v>185</v>
      </c>
      <c r="D1114" s="16" t="n">
        <f aca="false">IF(C1114=0,(1+Dic2024!$G$6)^(-B1114),EXP(LN(INDEX(Dic2024!$H$6:$H$205,C1114))+(LN(INDEX(Dic2024!$H$6:$H$205,MIN(C1114+1,200)))-LN(INDEX(Dic2024!$H$6:$H$205,C1114)))*(A1114-6*C1114)/6))</f>
        <v>0.00441181084304519</v>
      </c>
      <c r="E1114" s="12" t="n">
        <f aca="false">D1114^(-1/B1114)-1</f>
        <v>0.0603850625</v>
      </c>
      <c r="F1114" s="12" t="n">
        <f aca="false">(1+E1114)^(1/12)-1</f>
        <v>0.00489796506237616</v>
      </c>
      <c r="G1114" s="16" t="n">
        <f aca="false">IF(C1114=0,(1+Dic2024!$J$6)^(-B1114),EXP(LN(INDEX(Dic2024!$K$6:$K$205,C1114))+(LN(INDEX(Dic2024!$K$6:$K$205,MIN(C1114+1,200)))-LN(INDEX(Dic2024!$K$6:$K$205,C1114)))*(A1114-6*C1114)/6))</f>
        <v>0.00441181084304519</v>
      </c>
      <c r="H1114" s="12" t="n">
        <f aca="false">G1114^(-1/B1114)-1</f>
        <v>0.0603850625</v>
      </c>
      <c r="I1114" s="12" t="n">
        <f aca="false">(1+H1114)^(1/12)-1</f>
        <v>0.00489796506237616</v>
      </c>
      <c r="J1114" s="16" t="n">
        <f aca="false">IF(C1114=0,(1+Dic2024!$M$6)^(-B1114),EXP(LN(INDEX(Dic2024!$N$6:$N$205,C1114))+(LN(INDEX(Dic2024!$N$6:$N$205,MIN(C1114+1,200)))-LN(INDEX(Dic2024!$N$6:$N$205,C1114)))*(A1114-6*C1114)/6))</f>
        <v>0.00441181084304519</v>
      </c>
      <c r="K1114" s="12" t="n">
        <f aca="false">J1114^(-1/B1114)-1</f>
        <v>0.0603850625</v>
      </c>
      <c r="L1114" s="12" t="n">
        <f aca="false">(1+K1114)^(1/12)-1</f>
        <v>0.00489796506237616</v>
      </c>
    </row>
    <row r="1115" customFormat="false" ht="15" hidden="false" customHeight="false" outlineLevel="0" collapsed="false">
      <c r="A1115" s="4" t="n">
        <v>1111</v>
      </c>
      <c r="B1115" s="14" t="n">
        <f aca="false">A1115/12</f>
        <v>92.5833333333333</v>
      </c>
      <c r="C1115" s="15" t="n">
        <f aca="false">INT(A1115/6)</f>
        <v>185</v>
      </c>
      <c r="D1115" s="16" t="n">
        <f aca="false">IF(C1115=0,(1+Dic2024!$G$6)^(-B1115),EXP(LN(INDEX(Dic2024!$H$6:$H$205,C1115))+(LN(INDEX(Dic2024!$H$6:$H$205,MIN(C1115+1,200)))-LN(INDEX(Dic2024!$H$6:$H$205,C1115)))*(A1115-6*C1115)/6))</f>
        <v>0.00439030727141669</v>
      </c>
      <c r="E1115" s="12" t="n">
        <f aca="false">D1115^(-1/B1115)-1</f>
        <v>0.0603850625</v>
      </c>
      <c r="F1115" s="12" t="n">
        <f aca="false">(1+E1115)^(1/12)-1</f>
        <v>0.00489796506237616</v>
      </c>
      <c r="G1115" s="16" t="n">
        <f aca="false">IF(C1115=0,(1+Dic2024!$J$6)^(-B1115),EXP(LN(INDEX(Dic2024!$K$6:$K$205,C1115))+(LN(INDEX(Dic2024!$K$6:$K$205,MIN(C1115+1,200)))-LN(INDEX(Dic2024!$K$6:$K$205,C1115)))*(A1115-6*C1115)/6))</f>
        <v>0.00439030727141669</v>
      </c>
      <c r="H1115" s="12" t="n">
        <f aca="false">G1115^(-1/B1115)-1</f>
        <v>0.0603850625</v>
      </c>
      <c r="I1115" s="12" t="n">
        <f aca="false">(1+H1115)^(1/12)-1</f>
        <v>0.00489796506237616</v>
      </c>
      <c r="J1115" s="16" t="n">
        <f aca="false">IF(C1115=0,(1+Dic2024!$M$6)^(-B1115),EXP(LN(INDEX(Dic2024!$N$6:$N$205,C1115))+(LN(INDEX(Dic2024!$N$6:$N$205,MIN(C1115+1,200)))-LN(INDEX(Dic2024!$N$6:$N$205,C1115)))*(A1115-6*C1115)/6))</f>
        <v>0.00439030727141669</v>
      </c>
      <c r="K1115" s="12" t="n">
        <f aca="false">J1115^(-1/B1115)-1</f>
        <v>0.0603850625</v>
      </c>
      <c r="L1115" s="12" t="n">
        <f aca="false">(1+K1115)^(1/12)-1</f>
        <v>0.00489796506237616</v>
      </c>
    </row>
    <row r="1116" customFormat="false" ht="15" hidden="false" customHeight="false" outlineLevel="0" collapsed="false">
      <c r="A1116" s="4" t="n">
        <v>1112</v>
      </c>
      <c r="B1116" s="14" t="n">
        <f aca="false">A1116/12</f>
        <v>92.6666666666667</v>
      </c>
      <c r="C1116" s="15" t="n">
        <f aca="false">INT(A1116/6)</f>
        <v>185</v>
      </c>
      <c r="D1116" s="16" t="n">
        <f aca="false">IF(C1116=0,(1+Dic2024!$G$6)^(-B1116),EXP(LN(INDEX(Dic2024!$H$6:$H$205,C1116))+(LN(INDEX(Dic2024!$H$6:$H$205,MIN(C1116+1,200)))-LN(INDEX(Dic2024!$H$6:$H$205,C1116)))*(A1116-6*C1116)/6))</f>
        <v>0.00436890851017315</v>
      </c>
      <c r="E1116" s="12" t="n">
        <f aca="false">D1116^(-1/B1116)-1</f>
        <v>0.0603850625</v>
      </c>
      <c r="F1116" s="12" t="n">
        <f aca="false">(1+E1116)^(1/12)-1</f>
        <v>0.00489796506237616</v>
      </c>
      <c r="G1116" s="16" t="n">
        <f aca="false">IF(C1116=0,(1+Dic2024!$J$6)^(-B1116),EXP(LN(INDEX(Dic2024!$K$6:$K$205,C1116))+(LN(INDEX(Dic2024!$K$6:$K$205,MIN(C1116+1,200)))-LN(INDEX(Dic2024!$K$6:$K$205,C1116)))*(A1116-6*C1116)/6))</f>
        <v>0.00436890851017315</v>
      </c>
      <c r="H1116" s="12" t="n">
        <f aca="false">G1116^(-1/B1116)-1</f>
        <v>0.0603850625</v>
      </c>
      <c r="I1116" s="12" t="n">
        <f aca="false">(1+H1116)^(1/12)-1</f>
        <v>0.00489796506237616</v>
      </c>
      <c r="J1116" s="16" t="n">
        <f aca="false">IF(C1116=0,(1+Dic2024!$M$6)^(-B1116),EXP(LN(INDEX(Dic2024!$N$6:$N$205,C1116))+(LN(INDEX(Dic2024!$N$6:$N$205,MIN(C1116+1,200)))-LN(INDEX(Dic2024!$N$6:$N$205,C1116)))*(A1116-6*C1116)/6))</f>
        <v>0.00436890851017315</v>
      </c>
      <c r="K1116" s="12" t="n">
        <f aca="false">J1116^(-1/B1116)-1</f>
        <v>0.0603850625</v>
      </c>
      <c r="L1116" s="12" t="n">
        <f aca="false">(1+K1116)^(1/12)-1</f>
        <v>0.00489796506237616</v>
      </c>
    </row>
    <row r="1117" customFormat="false" ht="15" hidden="false" customHeight="false" outlineLevel="0" collapsed="false">
      <c r="A1117" s="4" t="n">
        <v>1113</v>
      </c>
      <c r="B1117" s="14" t="n">
        <f aca="false">A1117/12</f>
        <v>92.75</v>
      </c>
      <c r="C1117" s="15" t="n">
        <f aca="false">INT(A1117/6)</f>
        <v>185</v>
      </c>
      <c r="D1117" s="16" t="n">
        <f aca="false">IF(C1117=0,(1+Dic2024!$G$6)^(-B1117),EXP(LN(INDEX(Dic2024!$H$6:$H$205,C1117))+(LN(INDEX(Dic2024!$H$6:$H$205,MIN(C1117+1,200)))-LN(INDEX(Dic2024!$H$6:$H$205,C1117)))*(A1117-6*C1117)/6))</f>
        <v>0.0043476140484591</v>
      </c>
      <c r="E1117" s="12" t="n">
        <f aca="false">D1117^(-1/B1117)-1</f>
        <v>0.0603850625</v>
      </c>
      <c r="F1117" s="12" t="n">
        <f aca="false">(1+E1117)^(1/12)-1</f>
        <v>0.00489796506237616</v>
      </c>
      <c r="G1117" s="16" t="n">
        <f aca="false">IF(C1117=0,(1+Dic2024!$J$6)^(-B1117),EXP(LN(INDEX(Dic2024!$K$6:$K$205,C1117))+(LN(INDEX(Dic2024!$K$6:$K$205,MIN(C1117+1,200)))-LN(INDEX(Dic2024!$K$6:$K$205,C1117)))*(A1117-6*C1117)/6))</f>
        <v>0.0043476140484591</v>
      </c>
      <c r="H1117" s="12" t="n">
        <f aca="false">G1117^(-1/B1117)-1</f>
        <v>0.0603850625</v>
      </c>
      <c r="I1117" s="12" t="n">
        <f aca="false">(1+H1117)^(1/12)-1</f>
        <v>0.00489796506237616</v>
      </c>
      <c r="J1117" s="16" t="n">
        <f aca="false">IF(C1117=0,(1+Dic2024!$M$6)^(-B1117),EXP(LN(INDEX(Dic2024!$N$6:$N$205,C1117))+(LN(INDEX(Dic2024!$N$6:$N$205,MIN(C1117+1,200)))-LN(INDEX(Dic2024!$N$6:$N$205,C1117)))*(A1117-6*C1117)/6))</f>
        <v>0.0043476140484591</v>
      </c>
      <c r="K1117" s="12" t="n">
        <f aca="false">J1117^(-1/B1117)-1</f>
        <v>0.0603850625</v>
      </c>
      <c r="L1117" s="12" t="n">
        <f aca="false">(1+K1117)^(1/12)-1</f>
        <v>0.00489796506237616</v>
      </c>
    </row>
    <row r="1118" customFormat="false" ht="15" hidden="false" customHeight="false" outlineLevel="0" collapsed="false">
      <c r="A1118" s="4" t="n">
        <v>1114</v>
      </c>
      <c r="B1118" s="14" t="n">
        <f aca="false">A1118/12</f>
        <v>92.8333333333333</v>
      </c>
      <c r="C1118" s="15" t="n">
        <f aca="false">INT(A1118/6)</f>
        <v>185</v>
      </c>
      <c r="D1118" s="16" t="n">
        <f aca="false">IF(C1118=0,(1+Dic2024!$G$6)^(-B1118),EXP(LN(INDEX(Dic2024!$H$6:$H$205,C1118))+(LN(INDEX(Dic2024!$H$6:$H$205,MIN(C1118+1,200)))-LN(INDEX(Dic2024!$H$6:$H$205,C1118)))*(A1118-6*C1118)/6))</f>
        <v>0.00432642337790905</v>
      </c>
      <c r="E1118" s="12" t="n">
        <f aca="false">D1118^(-1/B1118)-1</f>
        <v>0.0603850625</v>
      </c>
      <c r="F1118" s="12" t="n">
        <f aca="false">(1+E1118)^(1/12)-1</f>
        <v>0.00489796506237616</v>
      </c>
      <c r="G1118" s="16" t="n">
        <f aca="false">IF(C1118=0,(1+Dic2024!$J$6)^(-B1118),EXP(LN(INDEX(Dic2024!$K$6:$K$205,C1118))+(LN(INDEX(Dic2024!$K$6:$K$205,MIN(C1118+1,200)))-LN(INDEX(Dic2024!$K$6:$K$205,C1118)))*(A1118-6*C1118)/6))</f>
        <v>0.00432642337790905</v>
      </c>
      <c r="H1118" s="12" t="n">
        <f aca="false">G1118^(-1/B1118)-1</f>
        <v>0.0603850625</v>
      </c>
      <c r="I1118" s="12" t="n">
        <f aca="false">(1+H1118)^(1/12)-1</f>
        <v>0.00489796506237616</v>
      </c>
      <c r="J1118" s="16" t="n">
        <f aca="false">IF(C1118=0,(1+Dic2024!$M$6)^(-B1118),EXP(LN(INDEX(Dic2024!$N$6:$N$205,C1118))+(LN(INDEX(Dic2024!$N$6:$N$205,MIN(C1118+1,200)))-LN(INDEX(Dic2024!$N$6:$N$205,C1118)))*(A1118-6*C1118)/6))</f>
        <v>0.00432642337790905</v>
      </c>
      <c r="K1118" s="12" t="n">
        <f aca="false">J1118^(-1/B1118)-1</f>
        <v>0.0603850625</v>
      </c>
      <c r="L1118" s="12" t="n">
        <f aca="false">(1+K1118)^(1/12)-1</f>
        <v>0.00489796506237616</v>
      </c>
    </row>
    <row r="1119" customFormat="false" ht="15" hidden="false" customHeight="false" outlineLevel="0" collapsed="false">
      <c r="A1119" s="4" t="n">
        <v>1115</v>
      </c>
      <c r="B1119" s="14" t="n">
        <f aca="false">A1119/12</f>
        <v>92.9166666666667</v>
      </c>
      <c r="C1119" s="15" t="n">
        <f aca="false">INT(A1119/6)</f>
        <v>185</v>
      </c>
      <c r="D1119" s="16" t="n">
        <f aca="false">IF(C1119=0,(1+Dic2024!$G$6)^(-B1119),EXP(LN(INDEX(Dic2024!$H$6:$H$205,C1119))+(LN(INDEX(Dic2024!$H$6:$H$205,MIN(C1119+1,200)))-LN(INDEX(Dic2024!$H$6:$H$205,C1119)))*(A1119-6*C1119)/6))</f>
        <v>0.00430533599263533</v>
      </c>
      <c r="E1119" s="12" t="n">
        <f aca="false">D1119^(-1/B1119)-1</f>
        <v>0.0603850625</v>
      </c>
      <c r="F1119" s="12" t="n">
        <f aca="false">(1+E1119)^(1/12)-1</f>
        <v>0.00489796506237616</v>
      </c>
      <c r="G1119" s="16" t="n">
        <f aca="false">IF(C1119=0,(1+Dic2024!$J$6)^(-B1119),EXP(LN(INDEX(Dic2024!$K$6:$K$205,C1119))+(LN(INDEX(Dic2024!$K$6:$K$205,MIN(C1119+1,200)))-LN(INDEX(Dic2024!$K$6:$K$205,C1119)))*(A1119-6*C1119)/6))</f>
        <v>0.00430533599263533</v>
      </c>
      <c r="H1119" s="12" t="n">
        <f aca="false">G1119^(-1/B1119)-1</f>
        <v>0.0603850625</v>
      </c>
      <c r="I1119" s="12" t="n">
        <f aca="false">(1+H1119)^(1/12)-1</f>
        <v>0.00489796506237616</v>
      </c>
      <c r="J1119" s="16" t="n">
        <f aca="false">IF(C1119=0,(1+Dic2024!$M$6)^(-B1119),EXP(LN(INDEX(Dic2024!$N$6:$N$205,C1119))+(LN(INDEX(Dic2024!$N$6:$N$205,MIN(C1119+1,200)))-LN(INDEX(Dic2024!$N$6:$N$205,C1119)))*(A1119-6*C1119)/6))</f>
        <v>0.00430533599263533</v>
      </c>
      <c r="K1119" s="12" t="n">
        <f aca="false">J1119^(-1/B1119)-1</f>
        <v>0.0603850625</v>
      </c>
      <c r="L1119" s="12" t="n">
        <f aca="false">(1+K1119)^(1/12)-1</f>
        <v>0.00489796506237616</v>
      </c>
    </row>
    <row r="1120" customFormat="false" ht="15" hidden="false" customHeight="false" outlineLevel="0" collapsed="false">
      <c r="A1120" s="4" t="n">
        <v>1116</v>
      </c>
      <c r="B1120" s="14" t="n">
        <f aca="false">A1120/12</f>
        <v>93</v>
      </c>
      <c r="C1120" s="15" t="n">
        <f aca="false">INT(A1120/6)</f>
        <v>186</v>
      </c>
      <c r="D1120" s="16" t="n">
        <f aca="false">IF(C1120=0,(1+Dic2024!$G$6)^(-B1120),EXP(LN(INDEX(Dic2024!$H$6:$H$205,C1120))+(LN(INDEX(Dic2024!$H$6:$H$205,MIN(C1120+1,200)))-LN(INDEX(Dic2024!$H$6:$H$205,C1120)))*(A1120-6*C1120)/6))</f>
        <v>0.00428435138921601</v>
      </c>
      <c r="E1120" s="12" t="n">
        <f aca="false">D1120^(-1/B1120)-1</f>
        <v>0.0603850625</v>
      </c>
      <c r="F1120" s="12" t="n">
        <f aca="false">(1+E1120)^(1/12)-1</f>
        <v>0.00489796506237616</v>
      </c>
      <c r="G1120" s="16" t="n">
        <f aca="false">IF(C1120=0,(1+Dic2024!$J$6)^(-B1120),EXP(LN(INDEX(Dic2024!$K$6:$K$205,C1120))+(LN(INDEX(Dic2024!$K$6:$K$205,MIN(C1120+1,200)))-LN(INDEX(Dic2024!$K$6:$K$205,C1120)))*(A1120-6*C1120)/6))</f>
        <v>0.00428435138921601</v>
      </c>
      <c r="H1120" s="12" t="n">
        <f aca="false">G1120^(-1/B1120)-1</f>
        <v>0.0603850625</v>
      </c>
      <c r="I1120" s="12" t="n">
        <f aca="false">(1+H1120)^(1/12)-1</f>
        <v>0.00489796506237616</v>
      </c>
      <c r="J1120" s="16" t="n">
        <f aca="false">IF(C1120=0,(1+Dic2024!$M$6)^(-B1120),EXP(LN(INDEX(Dic2024!$N$6:$N$205,C1120))+(LN(INDEX(Dic2024!$N$6:$N$205,MIN(C1120+1,200)))-LN(INDEX(Dic2024!$N$6:$N$205,C1120)))*(A1120-6*C1120)/6))</f>
        <v>0.00428435138921601</v>
      </c>
      <c r="K1120" s="12" t="n">
        <f aca="false">J1120^(-1/B1120)-1</f>
        <v>0.0603850625</v>
      </c>
      <c r="L1120" s="12" t="n">
        <f aca="false">(1+K1120)^(1/12)-1</f>
        <v>0.00489796506237616</v>
      </c>
    </row>
    <row r="1121" customFormat="false" ht="15" hidden="false" customHeight="false" outlineLevel="0" collapsed="false">
      <c r="A1121" s="4" t="n">
        <v>1117</v>
      </c>
      <c r="B1121" s="14" t="n">
        <f aca="false">A1121/12</f>
        <v>93.0833333333333</v>
      </c>
      <c r="C1121" s="15" t="n">
        <f aca="false">INT(A1121/6)</f>
        <v>186</v>
      </c>
      <c r="D1121" s="16" t="n">
        <f aca="false">IF(C1121=0,(1+Dic2024!$G$6)^(-B1121),EXP(LN(INDEX(Dic2024!$H$6:$H$205,C1121))+(LN(INDEX(Dic2024!$H$6:$H$205,MIN(C1121+1,200)))-LN(INDEX(Dic2024!$H$6:$H$205,C1121)))*(A1121-6*C1121)/6))</f>
        <v>0.00426346906668288</v>
      </c>
      <c r="E1121" s="12" t="n">
        <f aca="false">D1121^(-1/B1121)-1</f>
        <v>0.0603850625</v>
      </c>
      <c r="F1121" s="12" t="n">
        <f aca="false">(1+E1121)^(1/12)-1</f>
        <v>0.00489796506237616</v>
      </c>
      <c r="G1121" s="16" t="n">
        <f aca="false">IF(C1121=0,(1+Dic2024!$J$6)^(-B1121),EXP(LN(INDEX(Dic2024!$K$6:$K$205,C1121))+(LN(INDEX(Dic2024!$K$6:$K$205,MIN(C1121+1,200)))-LN(INDEX(Dic2024!$K$6:$K$205,C1121)))*(A1121-6*C1121)/6))</f>
        <v>0.00426346906668288</v>
      </c>
      <c r="H1121" s="12" t="n">
        <f aca="false">G1121^(-1/B1121)-1</f>
        <v>0.0603850625</v>
      </c>
      <c r="I1121" s="12" t="n">
        <f aca="false">(1+H1121)^(1/12)-1</f>
        <v>0.00489796506237616</v>
      </c>
      <c r="J1121" s="16" t="n">
        <f aca="false">IF(C1121=0,(1+Dic2024!$M$6)^(-B1121),EXP(LN(INDEX(Dic2024!$N$6:$N$205,C1121))+(LN(INDEX(Dic2024!$N$6:$N$205,MIN(C1121+1,200)))-LN(INDEX(Dic2024!$N$6:$N$205,C1121)))*(A1121-6*C1121)/6))</f>
        <v>0.00426346906668288</v>
      </c>
      <c r="K1121" s="12" t="n">
        <f aca="false">J1121^(-1/B1121)-1</f>
        <v>0.0603850625</v>
      </c>
      <c r="L1121" s="12" t="n">
        <f aca="false">(1+K1121)^(1/12)-1</f>
        <v>0.00489796506237616</v>
      </c>
    </row>
    <row r="1122" customFormat="false" ht="15" hidden="false" customHeight="false" outlineLevel="0" collapsed="false">
      <c r="A1122" s="4" t="n">
        <v>1118</v>
      </c>
      <c r="B1122" s="14" t="n">
        <f aca="false">A1122/12</f>
        <v>93.1666666666667</v>
      </c>
      <c r="C1122" s="15" t="n">
        <f aca="false">INT(A1122/6)</f>
        <v>186</v>
      </c>
      <c r="D1122" s="16" t="n">
        <f aca="false">IF(C1122=0,(1+Dic2024!$G$6)^(-B1122),EXP(LN(INDEX(Dic2024!$H$6:$H$205,C1122))+(LN(INDEX(Dic2024!$H$6:$H$205,MIN(C1122+1,200)))-LN(INDEX(Dic2024!$H$6:$H$205,C1122)))*(A1122-6*C1122)/6))</f>
        <v>0.00424268852650949</v>
      </c>
      <c r="E1122" s="12" t="n">
        <f aca="false">D1122^(-1/B1122)-1</f>
        <v>0.0603850625</v>
      </c>
      <c r="F1122" s="12" t="n">
        <f aca="false">(1+E1122)^(1/12)-1</f>
        <v>0.00489796506237616</v>
      </c>
      <c r="G1122" s="16" t="n">
        <f aca="false">IF(C1122=0,(1+Dic2024!$J$6)^(-B1122),EXP(LN(INDEX(Dic2024!$K$6:$K$205,C1122))+(LN(INDEX(Dic2024!$K$6:$K$205,MIN(C1122+1,200)))-LN(INDEX(Dic2024!$K$6:$K$205,C1122)))*(A1122-6*C1122)/6))</f>
        <v>0.00424268852650949</v>
      </c>
      <c r="H1122" s="12" t="n">
        <f aca="false">G1122^(-1/B1122)-1</f>
        <v>0.0603850625</v>
      </c>
      <c r="I1122" s="12" t="n">
        <f aca="false">(1+H1122)^(1/12)-1</f>
        <v>0.00489796506237616</v>
      </c>
      <c r="J1122" s="16" t="n">
        <f aca="false">IF(C1122=0,(1+Dic2024!$M$6)^(-B1122),EXP(LN(INDEX(Dic2024!$N$6:$N$205,C1122))+(LN(INDEX(Dic2024!$N$6:$N$205,MIN(C1122+1,200)))-LN(INDEX(Dic2024!$N$6:$N$205,C1122)))*(A1122-6*C1122)/6))</f>
        <v>0.00424268852650949</v>
      </c>
      <c r="K1122" s="12" t="n">
        <f aca="false">J1122^(-1/B1122)-1</f>
        <v>0.0603850625</v>
      </c>
      <c r="L1122" s="12" t="n">
        <f aca="false">(1+K1122)^(1/12)-1</f>
        <v>0.00489796506237616</v>
      </c>
    </row>
    <row r="1123" customFormat="false" ht="15" hidden="false" customHeight="false" outlineLevel="0" collapsed="false">
      <c r="A1123" s="4" t="n">
        <v>1119</v>
      </c>
      <c r="B1123" s="14" t="n">
        <f aca="false">A1123/12</f>
        <v>93.25</v>
      </c>
      <c r="C1123" s="15" t="n">
        <f aca="false">INT(A1123/6)</f>
        <v>186</v>
      </c>
      <c r="D1123" s="16" t="n">
        <f aca="false">IF(C1123=0,(1+Dic2024!$G$6)^(-B1123),EXP(LN(INDEX(Dic2024!$H$6:$H$205,C1123))+(LN(INDEX(Dic2024!$H$6:$H$205,MIN(C1123+1,200)))-LN(INDEX(Dic2024!$H$6:$H$205,C1123)))*(A1123-6*C1123)/6))</f>
        <v>0.00422200927259927</v>
      </c>
      <c r="E1123" s="12" t="n">
        <f aca="false">D1123^(-1/B1123)-1</f>
        <v>0.0603850625</v>
      </c>
      <c r="F1123" s="12" t="n">
        <f aca="false">(1+E1123)^(1/12)-1</f>
        <v>0.00489796506237616</v>
      </c>
      <c r="G1123" s="16" t="n">
        <f aca="false">IF(C1123=0,(1+Dic2024!$J$6)^(-B1123),EXP(LN(INDEX(Dic2024!$K$6:$K$205,C1123))+(LN(INDEX(Dic2024!$K$6:$K$205,MIN(C1123+1,200)))-LN(INDEX(Dic2024!$K$6:$K$205,C1123)))*(A1123-6*C1123)/6))</f>
        <v>0.00422200927259927</v>
      </c>
      <c r="H1123" s="12" t="n">
        <f aca="false">G1123^(-1/B1123)-1</f>
        <v>0.0603850625</v>
      </c>
      <c r="I1123" s="12" t="n">
        <f aca="false">(1+H1123)^(1/12)-1</f>
        <v>0.00489796506237616</v>
      </c>
      <c r="J1123" s="16" t="n">
        <f aca="false">IF(C1123=0,(1+Dic2024!$M$6)^(-B1123),EXP(LN(INDEX(Dic2024!$N$6:$N$205,C1123))+(LN(INDEX(Dic2024!$N$6:$N$205,MIN(C1123+1,200)))-LN(INDEX(Dic2024!$N$6:$N$205,C1123)))*(A1123-6*C1123)/6))</f>
        <v>0.00422200927259927</v>
      </c>
      <c r="K1123" s="12" t="n">
        <f aca="false">J1123^(-1/B1123)-1</f>
        <v>0.0603850625</v>
      </c>
      <c r="L1123" s="12" t="n">
        <f aca="false">(1+K1123)^(1/12)-1</f>
        <v>0.00489796506237616</v>
      </c>
    </row>
    <row r="1124" customFormat="false" ht="15" hidden="false" customHeight="false" outlineLevel="0" collapsed="false">
      <c r="A1124" s="4" t="n">
        <v>1120</v>
      </c>
      <c r="B1124" s="14" t="n">
        <f aca="false">A1124/12</f>
        <v>93.3333333333333</v>
      </c>
      <c r="C1124" s="15" t="n">
        <f aca="false">INT(A1124/6)</f>
        <v>186</v>
      </c>
      <c r="D1124" s="16" t="n">
        <f aca="false">IF(C1124=0,(1+Dic2024!$G$6)^(-B1124),EXP(LN(INDEX(Dic2024!$H$6:$H$205,C1124))+(LN(INDEX(Dic2024!$H$6:$H$205,MIN(C1124+1,200)))-LN(INDEX(Dic2024!$H$6:$H$205,C1124)))*(A1124-6*C1124)/6))</f>
        <v>0.00420143081127366</v>
      </c>
      <c r="E1124" s="12" t="n">
        <f aca="false">D1124^(-1/B1124)-1</f>
        <v>0.0603850625</v>
      </c>
      <c r="F1124" s="12" t="n">
        <f aca="false">(1+E1124)^(1/12)-1</f>
        <v>0.00489796506237616</v>
      </c>
      <c r="G1124" s="16" t="n">
        <f aca="false">IF(C1124=0,(1+Dic2024!$J$6)^(-B1124),EXP(LN(INDEX(Dic2024!$K$6:$K$205,C1124))+(LN(INDEX(Dic2024!$K$6:$K$205,MIN(C1124+1,200)))-LN(INDEX(Dic2024!$K$6:$K$205,C1124)))*(A1124-6*C1124)/6))</f>
        <v>0.00420143081127366</v>
      </c>
      <c r="H1124" s="12" t="n">
        <f aca="false">G1124^(-1/B1124)-1</f>
        <v>0.0603850625</v>
      </c>
      <c r="I1124" s="12" t="n">
        <f aca="false">(1+H1124)^(1/12)-1</f>
        <v>0.00489796506237616</v>
      </c>
      <c r="J1124" s="16" t="n">
        <f aca="false">IF(C1124=0,(1+Dic2024!$M$6)^(-B1124),EXP(LN(INDEX(Dic2024!$N$6:$N$205,C1124))+(LN(INDEX(Dic2024!$N$6:$N$205,MIN(C1124+1,200)))-LN(INDEX(Dic2024!$N$6:$N$205,C1124)))*(A1124-6*C1124)/6))</f>
        <v>0.00420143081127366</v>
      </c>
      <c r="K1124" s="12" t="n">
        <f aca="false">J1124^(-1/B1124)-1</f>
        <v>0.0603850625</v>
      </c>
      <c r="L1124" s="12" t="n">
        <f aca="false">(1+K1124)^(1/12)-1</f>
        <v>0.00489796506237616</v>
      </c>
    </row>
    <row r="1125" customFormat="false" ht="15" hidden="false" customHeight="false" outlineLevel="0" collapsed="false">
      <c r="A1125" s="4" t="n">
        <v>1121</v>
      </c>
      <c r="B1125" s="14" t="n">
        <f aca="false">A1125/12</f>
        <v>93.4166666666667</v>
      </c>
      <c r="C1125" s="15" t="n">
        <f aca="false">INT(A1125/6)</f>
        <v>186</v>
      </c>
      <c r="D1125" s="16" t="n">
        <f aca="false">IF(C1125=0,(1+Dic2024!$G$6)^(-B1125),EXP(LN(INDEX(Dic2024!$H$6:$H$205,C1125))+(LN(INDEX(Dic2024!$H$6:$H$205,MIN(C1125+1,200)))-LN(INDEX(Dic2024!$H$6:$H$205,C1125)))*(A1125-6*C1125)/6))</f>
        <v>0.00418095265126034</v>
      </c>
      <c r="E1125" s="12" t="n">
        <f aca="false">D1125^(-1/B1125)-1</f>
        <v>0.0603850625</v>
      </c>
      <c r="F1125" s="12" t="n">
        <f aca="false">(1+E1125)^(1/12)-1</f>
        <v>0.00489796506237616</v>
      </c>
      <c r="G1125" s="16" t="n">
        <f aca="false">IF(C1125=0,(1+Dic2024!$J$6)^(-B1125),EXP(LN(INDEX(Dic2024!$K$6:$K$205,C1125))+(LN(INDEX(Dic2024!$K$6:$K$205,MIN(C1125+1,200)))-LN(INDEX(Dic2024!$K$6:$K$205,C1125)))*(A1125-6*C1125)/6))</f>
        <v>0.00418095265126034</v>
      </c>
      <c r="H1125" s="12" t="n">
        <f aca="false">G1125^(-1/B1125)-1</f>
        <v>0.0603850625</v>
      </c>
      <c r="I1125" s="12" t="n">
        <f aca="false">(1+H1125)^(1/12)-1</f>
        <v>0.00489796506237616</v>
      </c>
      <c r="J1125" s="16" t="n">
        <f aca="false">IF(C1125=0,(1+Dic2024!$M$6)^(-B1125),EXP(LN(INDEX(Dic2024!$N$6:$N$205,C1125))+(LN(INDEX(Dic2024!$N$6:$N$205,MIN(C1125+1,200)))-LN(INDEX(Dic2024!$N$6:$N$205,C1125)))*(A1125-6*C1125)/6))</f>
        <v>0.00418095265126034</v>
      </c>
      <c r="K1125" s="12" t="n">
        <f aca="false">J1125^(-1/B1125)-1</f>
        <v>0.0603850625</v>
      </c>
      <c r="L1125" s="12" t="n">
        <f aca="false">(1+K1125)^(1/12)-1</f>
        <v>0.00489796506237616</v>
      </c>
    </row>
    <row r="1126" customFormat="false" ht="15" hidden="false" customHeight="false" outlineLevel="0" collapsed="false">
      <c r="A1126" s="4" t="n">
        <v>1122</v>
      </c>
      <c r="B1126" s="14" t="n">
        <f aca="false">A1126/12</f>
        <v>93.5</v>
      </c>
      <c r="C1126" s="15" t="n">
        <f aca="false">INT(A1126/6)</f>
        <v>187</v>
      </c>
      <c r="D1126" s="16" t="n">
        <f aca="false">IF(C1126=0,(1+Dic2024!$G$6)^(-B1126),EXP(LN(INDEX(Dic2024!$H$6:$H$205,C1126))+(LN(INDEX(Dic2024!$H$6:$H$205,MIN(C1126+1,200)))-LN(INDEX(Dic2024!$H$6:$H$205,C1126)))*(A1126-6*C1126)/6))</f>
        <v>0.00416057430368149</v>
      </c>
      <c r="E1126" s="12" t="n">
        <f aca="false">D1126^(-1/B1126)-1</f>
        <v>0.0603850625</v>
      </c>
      <c r="F1126" s="12" t="n">
        <f aca="false">(1+E1126)^(1/12)-1</f>
        <v>0.00489796506237616</v>
      </c>
      <c r="G1126" s="16" t="n">
        <f aca="false">IF(C1126=0,(1+Dic2024!$J$6)^(-B1126),EXP(LN(INDEX(Dic2024!$K$6:$K$205,C1126))+(LN(INDEX(Dic2024!$K$6:$K$205,MIN(C1126+1,200)))-LN(INDEX(Dic2024!$K$6:$K$205,C1126)))*(A1126-6*C1126)/6))</f>
        <v>0.00416057430368149</v>
      </c>
      <c r="H1126" s="12" t="n">
        <f aca="false">G1126^(-1/B1126)-1</f>
        <v>0.0603850625</v>
      </c>
      <c r="I1126" s="12" t="n">
        <f aca="false">(1+H1126)^(1/12)-1</f>
        <v>0.00489796506237616</v>
      </c>
      <c r="J1126" s="16" t="n">
        <f aca="false">IF(C1126=0,(1+Dic2024!$M$6)^(-B1126),EXP(LN(INDEX(Dic2024!$N$6:$N$205,C1126))+(LN(INDEX(Dic2024!$N$6:$N$205,MIN(C1126+1,200)))-LN(INDEX(Dic2024!$N$6:$N$205,C1126)))*(A1126-6*C1126)/6))</f>
        <v>0.00416057430368149</v>
      </c>
      <c r="K1126" s="12" t="n">
        <f aca="false">J1126^(-1/B1126)-1</f>
        <v>0.0603850625</v>
      </c>
      <c r="L1126" s="12" t="n">
        <f aca="false">(1+K1126)^(1/12)-1</f>
        <v>0.00489796506237616</v>
      </c>
    </row>
    <row r="1127" customFormat="false" ht="15" hidden="false" customHeight="false" outlineLevel="0" collapsed="false">
      <c r="A1127" s="4" t="n">
        <v>1123</v>
      </c>
      <c r="B1127" s="14" t="n">
        <f aca="false">A1127/12</f>
        <v>93.5833333333333</v>
      </c>
      <c r="C1127" s="15" t="n">
        <f aca="false">INT(A1127/6)</f>
        <v>187</v>
      </c>
      <c r="D1127" s="16" t="n">
        <f aca="false">IF(C1127=0,(1+Dic2024!$G$6)^(-B1127),EXP(LN(INDEX(Dic2024!$H$6:$H$205,C1127))+(LN(INDEX(Dic2024!$H$6:$H$205,MIN(C1127+1,200)))-LN(INDEX(Dic2024!$H$6:$H$205,C1127)))*(A1127-6*C1127)/6))</f>
        <v>0.00414029528204212</v>
      </c>
      <c r="E1127" s="12" t="n">
        <f aca="false">D1127^(-1/B1127)-1</f>
        <v>0.0603850625</v>
      </c>
      <c r="F1127" s="12" t="n">
        <f aca="false">(1+E1127)^(1/12)-1</f>
        <v>0.00489796506237616</v>
      </c>
      <c r="G1127" s="16" t="n">
        <f aca="false">IF(C1127=0,(1+Dic2024!$J$6)^(-B1127),EXP(LN(INDEX(Dic2024!$K$6:$K$205,C1127))+(LN(INDEX(Dic2024!$K$6:$K$205,MIN(C1127+1,200)))-LN(INDEX(Dic2024!$K$6:$K$205,C1127)))*(A1127-6*C1127)/6))</f>
        <v>0.00414029528204212</v>
      </c>
      <c r="H1127" s="12" t="n">
        <f aca="false">G1127^(-1/B1127)-1</f>
        <v>0.0603850625</v>
      </c>
      <c r="I1127" s="12" t="n">
        <f aca="false">(1+H1127)^(1/12)-1</f>
        <v>0.00489796506237616</v>
      </c>
      <c r="J1127" s="16" t="n">
        <f aca="false">IF(C1127=0,(1+Dic2024!$M$6)^(-B1127),EXP(LN(INDEX(Dic2024!$N$6:$N$205,C1127))+(LN(INDEX(Dic2024!$N$6:$N$205,MIN(C1127+1,200)))-LN(INDEX(Dic2024!$N$6:$N$205,C1127)))*(A1127-6*C1127)/6))</f>
        <v>0.00414029528204212</v>
      </c>
      <c r="K1127" s="12" t="n">
        <f aca="false">J1127^(-1/B1127)-1</f>
        <v>0.0603850625</v>
      </c>
      <c r="L1127" s="12" t="n">
        <f aca="false">(1+K1127)^(1/12)-1</f>
        <v>0.00489796506237616</v>
      </c>
    </row>
    <row r="1128" customFormat="false" ht="15" hidden="false" customHeight="false" outlineLevel="0" collapsed="false">
      <c r="A1128" s="4" t="n">
        <v>1124</v>
      </c>
      <c r="B1128" s="14" t="n">
        <f aca="false">A1128/12</f>
        <v>93.6666666666667</v>
      </c>
      <c r="C1128" s="15" t="n">
        <f aca="false">INT(A1128/6)</f>
        <v>187</v>
      </c>
      <c r="D1128" s="16" t="n">
        <f aca="false">IF(C1128=0,(1+Dic2024!$G$6)^(-B1128),EXP(LN(INDEX(Dic2024!$H$6:$H$205,C1128))+(LN(INDEX(Dic2024!$H$6:$H$205,MIN(C1128+1,200)))-LN(INDEX(Dic2024!$H$6:$H$205,C1128)))*(A1128-6*C1128)/6))</f>
        <v>0.00412011510221849</v>
      </c>
      <c r="E1128" s="12" t="n">
        <f aca="false">D1128^(-1/B1128)-1</f>
        <v>0.0603850625</v>
      </c>
      <c r="F1128" s="12" t="n">
        <f aca="false">(1+E1128)^(1/12)-1</f>
        <v>0.00489796506237616</v>
      </c>
      <c r="G1128" s="16" t="n">
        <f aca="false">IF(C1128=0,(1+Dic2024!$J$6)^(-B1128),EXP(LN(INDEX(Dic2024!$K$6:$K$205,C1128))+(LN(INDEX(Dic2024!$K$6:$K$205,MIN(C1128+1,200)))-LN(INDEX(Dic2024!$K$6:$K$205,C1128)))*(A1128-6*C1128)/6))</f>
        <v>0.00412011510221849</v>
      </c>
      <c r="H1128" s="12" t="n">
        <f aca="false">G1128^(-1/B1128)-1</f>
        <v>0.0603850625</v>
      </c>
      <c r="I1128" s="12" t="n">
        <f aca="false">(1+H1128)^(1/12)-1</f>
        <v>0.00489796506237616</v>
      </c>
      <c r="J1128" s="16" t="n">
        <f aca="false">IF(C1128=0,(1+Dic2024!$M$6)^(-B1128),EXP(LN(INDEX(Dic2024!$N$6:$N$205,C1128))+(LN(INDEX(Dic2024!$N$6:$N$205,MIN(C1128+1,200)))-LN(INDEX(Dic2024!$N$6:$N$205,C1128)))*(A1128-6*C1128)/6))</f>
        <v>0.00412011510221849</v>
      </c>
      <c r="K1128" s="12" t="n">
        <f aca="false">J1128^(-1/B1128)-1</f>
        <v>0.0603850625</v>
      </c>
      <c r="L1128" s="12" t="n">
        <f aca="false">(1+K1128)^(1/12)-1</f>
        <v>0.00489796506237616</v>
      </c>
    </row>
    <row r="1129" customFormat="false" ht="15" hidden="false" customHeight="false" outlineLevel="0" collapsed="false">
      <c r="A1129" s="4" t="n">
        <v>1125</v>
      </c>
      <c r="B1129" s="14" t="n">
        <f aca="false">A1129/12</f>
        <v>93.75</v>
      </c>
      <c r="C1129" s="15" t="n">
        <f aca="false">INT(A1129/6)</f>
        <v>187</v>
      </c>
      <c r="D1129" s="16" t="n">
        <f aca="false">IF(C1129=0,(1+Dic2024!$G$6)^(-B1129),EXP(LN(INDEX(Dic2024!$H$6:$H$205,C1129))+(LN(INDEX(Dic2024!$H$6:$H$205,MIN(C1129+1,200)))-LN(INDEX(Dic2024!$H$6:$H$205,C1129)))*(A1129-6*C1129)/6))</f>
        <v>0.00410003328244649</v>
      </c>
      <c r="E1129" s="12" t="n">
        <f aca="false">D1129^(-1/B1129)-1</f>
        <v>0.0603850625</v>
      </c>
      <c r="F1129" s="12" t="n">
        <f aca="false">(1+E1129)^(1/12)-1</f>
        <v>0.00489796506237616</v>
      </c>
      <c r="G1129" s="16" t="n">
        <f aca="false">IF(C1129=0,(1+Dic2024!$J$6)^(-B1129),EXP(LN(INDEX(Dic2024!$K$6:$K$205,C1129))+(LN(INDEX(Dic2024!$K$6:$K$205,MIN(C1129+1,200)))-LN(INDEX(Dic2024!$K$6:$K$205,C1129)))*(A1129-6*C1129)/6))</f>
        <v>0.00410003328244649</v>
      </c>
      <c r="H1129" s="12" t="n">
        <f aca="false">G1129^(-1/B1129)-1</f>
        <v>0.0603850625</v>
      </c>
      <c r="I1129" s="12" t="n">
        <f aca="false">(1+H1129)^(1/12)-1</f>
        <v>0.00489796506237616</v>
      </c>
      <c r="J1129" s="16" t="n">
        <f aca="false">IF(C1129=0,(1+Dic2024!$M$6)^(-B1129),EXP(LN(INDEX(Dic2024!$N$6:$N$205,C1129))+(LN(INDEX(Dic2024!$N$6:$N$205,MIN(C1129+1,200)))-LN(INDEX(Dic2024!$N$6:$N$205,C1129)))*(A1129-6*C1129)/6))</f>
        <v>0.00410003328244649</v>
      </c>
      <c r="K1129" s="12" t="n">
        <f aca="false">J1129^(-1/B1129)-1</f>
        <v>0.0603850625</v>
      </c>
      <c r="L1129" s="12" t="n">
        <f aca="false">(1+K1129)^(1/12)-1</f>
        <v>0.00489796506237616</v>
      </c>
    </row>
    <row r="1130" customFormat="false" ht="15" hidden="false" customHeight="false" outlineLevel="0" collapsed="false">
      <c r="A1130" s="4" t="n">
        <v>1126</v>
      </c>
      <c r="B1130" s="14" t="n">
        <f aca="false">A1130/12</f>
        <v>93.8333333333333</v>
      </c>
      <c r="C1130" s="15" t="n">
        <f aca="false">INT(A1130/6)</f>
        <v>187</v>
      </c>
      <c r="D1130" s="16" t="n">
        <f aca="false">IF(C1130=0,(1+Dic2024!$G$6)^(-B1130),EXP(LN(INDEX(Dic2024!$H$6:$H$205,C1130))+(LN(INDEX(Dic2024!$H$6:$H$205,MIN(C1130+1,200)))-LN(INDEX(Dic2024!$H$6:$H$205,C1130)))*(A1130-6*C1130)/6))</f>
        <v>0.00408004934331018</v>
      </c>
      <c r="E1130" s="12" t="n">
        <f aca="false">D1130^(-1/B1130)-1</f>
        <v>0.0603850625</v>
      </c>
      <c r="F1130" s="12" t="n">
        <f aca="false">(1+E1130)^(1/12)-1</f>
        <v>0.00489796506237616</v>
      </c>
      <c r="G1130" s="16" t="n">
        <f aca="false">IF(C1130=0,(1+Dic2024!$J$6)^(-B1130),EXP(LN(INDEX(Dic2024!$K$6:$K$205,C1130))+(LN(INDEX(Dic2024!$K$6:$K$205,MIN(C1130+1,200)))-LN(INDEX(Dic2024!$K$6:$K$205,C1130)))*(A1130-6*C1130)/6))</f>
        <v>0.00408004934331018</v>
      </c>
      <c r="H1130" s="12" t="n">
        <f aca="false">G1130^(-1/B1130)-1</f>
        <v>0.0603850625</v>
      </c>
      <c r="I1130" s="12" t="n">
        <f aca="false">(1+H1130)^(1/12)-1</f>
        <v>0.00489796506237616</v>
      </c>
      <c r="J1130" s="16" t="n">
        <f aca="false">IF(C1130=0,(1+Dic2024!$M$6)^(-B1130),EXP(LN(INDEX(Dic2024!$N$6:$N$205,C1130))+(LN(INDEX(Dic2024!$N$6:$N$205,MIN(C1130+1,200)))-LN(INDEX(Dic2024!$N$6:$N$205,C1130)))*(A1130-6*C1130)/6))</f>
        <v>0.00408004934331018</v>
      </c>
      <c r="K1130" s="12" t="n">
        <f aca="false">J1130^(-1/B1130)-1</f>
        <v>0.0603850625</v>
      </c>
      <c r="L1130" s="12" t="n">
        <f aca="false">(1+K1130)^(1/12)-1</f>
        <v>0.00489796506237616</v>
      </c>
    </row>
    <row r="1131" customFormat="false" ht="15" hidden="false" customHeight="false" outlineLevel="0" collapsed="false">
      <c r="A1131" s="4" t="n">
        <v>1127</v>
      </c>
      <c r="B1131" s="14" t="n">
        <f aca="false">A1131/12</f>
        <v>93.9166666666667</v>
      </c>
      <c r="C1131" s="15" t="n">
        <f aca="false">INT(A1131/6)</f>
        <v>187</v>
      </c>
      <c r="D1131" s="16" t="n">
        <f aca="false">IF(C1131=0,(1+Dic2024!$G$6)^(-B1131),EXP(LN(INDEX(Dic2024!$H$6:$H$205,C1131))+(LN(INDEX(Dic2024!$H$6:$H$205,MIN(C1131+1,200)))-LN(INDEX(Dic2024!$H$6:$H$205,C1131)))*(A1131-6*C1131)/6))</f>
        <v>0.00406016280773036</v>
      </c>
      <c r="E1131" s="12" t="n">
        <f aca="false">D1131^(-1/B1131)-1</f>
        <v>0.0603850625</v>
      </c>
      <c r="F1131" s="12" t="n">
        <f aca="false">(1+E1131)^(1/12)-1</f>
        <v>0.00489796506237616</v>
      </c>
      <c r="G1131" s="16" t="n">
        <f aca="false">IF(C1131=0,(1+Dic2024!$J$6)^(-B1131),EXP(LN(INDEX(Dic2024!$K$6:$K$205,C1131))+(LN(INDEX(Dic2024!$K$6:$K$205,MIN(C1131+1,200)))-LN(INDEX(Dic2024!$K$6:$K$205,C1131)))*(A1131-6*C1131)/6))</f>
        <v>0.00406016280773036</v>
      </c>
      <c r="H1131" s="12" t="n">
        <f aca="false">G1131^(-1/B1131)-1</f>
        <v>0.0603850625</v>
      </c>
      <c r="I1131" s="12" t="n">
        <f aca="false">(1+H1131)^(1/12)-1</f>
        <v>0.00489796506237616</v>
      </c>
      <c r="J1131" s="16" t="n">
        <f aca="false">IF(C1131=0,(1+Dic2024!$M$6)^(-B1131),EXP(LN(INDEX(Dic2024!$N$6:$N$205,C1131))+(LN(INDEX(Dic2024!$N$6:$N$205,MIN(C1131+1,200)))-LN(INDEX(Dic2024!$N$6:$N$205,C1131)))*(A1131-6*C1131)/6))</f>
        <v>0.00406016280773036</v>
      </c>
      <c r="K1131" s="12" t="n">
        <f aca="false">J1131^(-1/B1131)-1</f>
        <v>0.0603850625</v>
      </c>
      <c r="L1131" s="12" t="n">
        <f aca="false">(1+K1131)^(1/12)-1</f>
        <v>0.00489796506237616</v>
      </c>
    </row>
    <row r="1132" customFormat="false" ht="15" hidden="false" customHeight="false" outlineLevel="0" collapsed="false">
      <c r="A1132" s="4" t="n">
        <v>1128</v>
      </c>
      <c r="B1132" s="14" t="n">
        <f aca="false">A1132/12</f>
        <v>94</v>
      </c>
      <c r="C1132" s="15" t="n">
        <f aca="false">INT(A1132/6)</f>
        <v>188</v>
      </c>
      <c r="D1132" s="16" t="n">
        <f aca="false">IF(C1132=0,(1+Dic2024!$G$6)^(-B1132),EXP(LN(INDEX(Dic2024!$H$6:$H$205,C1132))+(LN(INDEX(Dic2024!$H$6:$H$205,MIN(C1132+1,200)))-LN(INDEX(Dic2024!$H$6:$H$205,C1132)))*(A1132-6*C1132)/6))</f>
        <v>0.00404037320095313</v>
      </c>
      <c r="E1132" s="12" t="n">
        <f aca="false">D1132^(-1/B1132)-1</f>
        <v>0.0603850625</v>
      </c>
      <c r="F1132" s="12" t="n">
        <f aca="false">(1+E1132)^(1/12)-1</f>
        <v>0.00489796506237616</v>
      </c>
      <c r="G1132" s="16" t="n">
        <f aca="false">IF(C1132=0,(1+Dic2024!$J$6)^(-B1132),EXP(LN(INDEX(Dic2024!$K$6:$K$205,C1132))+(LN(INDEX(Dic2024!$K$6:$K$205,MIN(C1132+1,200)))-LN(INDEX(Dic2024!$K$6:$K$205,C1132)))*(A1132-6*C1132)/6))</f>
        <v>0.00404037320095313</v>
      </c>
      <c r="H1132" s="12" t="n">
        <f aca="false">G1132^(-1/B1132)-1</f>
        <v>0.0603850625</v>
      </c>
      <c r="I1132" s="12" t="n">
        <f aca="false">(1+H1132)^(1/12)-1</f>
        <v>0.00489796506237616</v>
      </c>
      <c r="J1132" s="16" t="n">
        <f aca="false">IF(C1132=0,(1+Dic2024!$M$6)^(-B1132),EXP(LN(INDEX(Dic2024!$N$6:$N$205,C1132))+(LN(INDEX(Dic2024!$N$6:$N$205,MIN(C1132+1,200)))-LN(INDEX(Dic2024!$N$6:$N$205,C1132)))*(A1132-6*C1132)/6))</f>
        <v>0.00404037320095313</v>
      </c>
      <c r="K1132" s="12" t="n">
        <f aca="false">J1132^(-1/B1132)-1</f>
        <v>0.0603850625</v>
      </c>
      <c r="L1132" s="12" t="n">
        <f aca="false">(1+K1132)^(1/12)-1</f>
        <v>0.00489796506237616</v>
      </c>
    </row>
    <row r="1133" customFormat="false" ht="15" hidden="false" customHeight="false" outlineLevel="0" collapsed="false">
      <c r="A1133" s="4" t="n">
        <v>1129</v>
      </c>
      <c r="B1133" s="14" t="n">
        <f aca="false">A1133/12</f>
        <v>94.0833333333333</v>
      </c>
      <c r="C1133" s="15" t="n">
        <f aca="false">INT(A1133/6)</f>
        <v>188</v>
      </c>
      <c r="D1133" s="16" t="n">
        <f aca="false">IF(C1133=0,(1+Dic2024!$G$6)^(-B1133),EXP(LN(INDEX(Dic2024!$H$6:$H$205,C1133))+(LN(INDEX(Dic2024!$H$6:$H$205,MIN(C1133+1,200)))-LN(INDEX(Dic2024!$H$6:$H$205,C1133)))*(A1133-6*C1133)/6))</f>
        <v>0.0040206800505386</v>
      </c>
      <c r="E1133" s="12" t="n">
        <f aca="false">D1133^(-1/B1133)-1</f>
        <v>0.0603850625</v>
      </c>
      <c r="F1133" s="12" t="n">
        <f aca="false">(1+E1133)^(1/12)-1</f>
        <v>0.00489796506237616</v>
      </c>
      <c r="G1133" s="16" t="n">
        <f aca="false">IF(C1133=0,(1+Dic2024!$J$6)^(-B1133),EXP(LN(INDEX(Dic2024!$K$6:$K$205,C1133))+(LN(INDEX(Dic2024!$K$6:$K$205,MIN(C1133+1,200)))-LN(INDEX(Dic2024!$K$6:$K$205,C1133)))*(A1133-6*C1133)/6))</f>
        <v>0.0040206800505386</v>
      </c>
      <c r="H1133" s="12" t="n">
        <f aca="false">G1133^(-1/B1133)-1</f>
        <v>0.0603850625</v>
      </c>
      <c r="I1133" s="12" t="n">
        <f aca="false">(1+H1133)^(1/12)-1</f>
        <v>0.00489796506237616</v>
      </c>
      <c r="J1133" s="16" t="n">
        <f aca="false">IF(C1133=0,(1+Dic2024!$M$6)^(-B1133),EXP(LN(INDEX(Dic2024!$N$6:$N$205,C1133))+(LN(INDEX(Dic2024!$N$6:$N$205,MIN(C1133+1,200)))-LN(INDEX(Dic2024!$N$6:$N$205,C1133)))*(A1133-6*C1133)/6))</f>
        <v>0.0040206800505386</v>
      </c>
      <c r="K1133" s="12" t="n">
        <f aca="false">J1133^(-1/B1133)-1</f>
        <v>0.0603850625</v>
      </c>
      <c r="L1133" s="12" t="n">
        <f aca="false">(1+K1133)^(1/12)-1</f>
        <v>0.00489796506237616</v>
      </c>
    </row>
    <row r="1134" customFormat="false" ht="15" hidden="false" customHeight="false" outlineLevel="0" collapsed="false">
      <c r="A1134" s="4" t="n">
        <v>1130</v>
      </c>
      <c r="B1134" s="14" t="n">
        <f aca="false">A1134/12</f>
        <v>94.1666666666667</v>
      </c>
      <c r="C1134" s="15" t="n">
        <f aca="false">INT(A1134/6)</f>
        <v>188</v>
      </c>
      <c r="D1134" s="16" t="n">
        <f aca="false">IF(C1134=0,(1+Dic2024!$G$6)^(-B1134),EXP(LN(INDEX(Dic2024!$H$6:$H$205,C1134))+(LN(INDEX(Dic2024!$H$6:$H$205,MIN(C1134+1,200)))-LN(INDEX(Dic2024!$H$6:$H$205,C1134)))*(A1134-6*C1134)/6))</f>
        <v>0.00400108288634959</v>
      </c>
      <c r="E1134" s="12" t="n">
        <f aca="false">D1134^(-1/B1134)-1</f>
        <v>0.0603850625</v>
      </c>
      <c r="F1134" s="12" t="n">
        <f aca="false">(1+E1134)^(1/12)-1</f>
        <v>0.00489796506237616</v>
      </c>
      <c r="G1134" s="16" t="n">
        <f aca="false">IF(C1134=0,(1+Dic2024!$J$6)^(-B1134),EXP(LN(INDEX(Dic2024!$K$6:$K$205,C1134))+(LN(INDEX(Dic2024!$K$6:$K$205,MIN(C1134+1,200)))-LN(INDEX(Dic2024!$K$6:$K$205,C1134)))*(A1134-6*C1134)/6))</f>
        <v>0.00400108288634959</v>
      </c>
      <c r="H1134" s="12" t="n">
        <f aca="false">G1134^(-1/B1134)-1</f>
        <v>0.0603850625</v>
      </c>
      <c r="I1134" s="12" t="n">
        <f aca="false">(1+H1134)^(1/12)-1</f>
        <v>0.00489796506237616</v>
      </c>
      <c r="J1134" s="16" t="n">
        <f aca="false">IF(C1134=0,(1+Dic2024!$M$6)^(-B1134),EXP(LN(INDEX(Dic2024!$N$6:$N$205,C1134))+(LN(INDEX(Dic2024!$N$6:$N$205,MIN(C1134+1,200)))-LN(INDEX(Dic2024!$N$6:$N$205,C1134)))*(A1134-6*C1134)/6))</f>
        <v>0.00400108288634959</v>
      </c>
      <c r="K1134" s="12" t="n">
        <f aca="false">J1134^(-1/B1134)-1</f>
        <v>0.0603850625</v>
      </c>
      <c r="L1134" s="12" t="n">
        <f aca="false">(1+K1134)^(1/12)-1</f>
        <v>0.00489796506237616</v>
      </c>
    </row>
    <row r="1135" customFormat="false" ht="15" hidden="false" customHeight="false" outlineLevel="0" collapsed="false">
      <c r="A1135" s="4" t="n">
        <v>1131</v>
      </c>
      <c r="B1135" s="14" t="n">
        <f aca="false">A1135/12</f>
        <v>94.25</v>
      </c>
      <c r="C1135" s="15" t="n">
        <f aca="false">INT(A1135/6)</f>
        <v>188</v>
      </c>
      <c r="D1135" s="16" t="n">
        <f aca="false">IF(C1135=0,(1+Dic2024!$G$6)^(-B1135),EXP(LN(INDEX(Dic2024!$H$6:$H$205,C1135))+(LN(INDEX(Dic2024!$H$6:$H$205,MIN(C1135+1,200)))-LN(INDEX(Dic2024!$H$6:$H$205,C1135)))*(A1135-6*C1135)/6))</f>
        <v>0.00398158124054041</v>
      </c>
      <c r="E1135" s="12" t="n">
        <f aca="false">D1135^(-1/B1135)-1</f>
        <v>0.0603850625</v>
      </c>
      <c r="F1135" s="12" t="n">
        <f aca="false">(1+E1135)^(1/12)-1</f>
        <v>0.00489796506237616</v>
      </c>
      <c r="G1135" s="16" t="n">
        <f aca="false">IF(C1135=0,(1+Dic2024!$J$6)^(-B1135),EXP(LN(INDEX(Dic2024!$K$6:$K$205,C1135))+(LN(INDEX(Dic2024!$K$6:$K$205,MIN(C1135+1,200)))-LN(INDEX(Dic2024!$K$6:$K$205,C1135)))*(A1135-6*C1135)/6))</f>
        <v>0.00398158124054041</v>
      </c>
      <c r="H1135" s="12" t="n">
        <f aca="false">G1135^(-1/B1135)-1</f>
        <v>0.0603850625</v>
      </c>
      <c r="I1135" s="12" t="n">
        <f aca="false">(1+H1135)^(1/12)-1</f>
        <v>0.00489796506237616</v>
      </c>
      <c r="J1135" s="16" t="n">
        <f aca="false">IF(C1135=0,(1+Dic2024!$M$6)^(-B1135),EXP(LN(INDEX(Dic2024!$N$6:$N$205,C1135))+(LN(INDEX(Dic2024!$N$6:$N$205,MIN(C1135+1,200)))-LN(INDEX(Dic2024!$N$6:$N$205,C1135)))*(A1135-6*C1135)/6))</f>
        <v>0.00398158124054041</v>
      </c>
      <c r="K1135" s="12" t="n">
        <f aca="false">J1135^(-1/B1135)-1</f>
        <v>0.0603850625</v>
      </c>
      <c r="L1135" s="12" t="n">
        <f aca="false">(1+K1135)^(1/12)-1</f>
        <v>0.00489796506237616</v>
      </c>
    </row>
    <row r="1136" customFormat="false" ht="15" hidden="false" customHeight="false" outlineLevel="0" collapsed="false">
      <c r="A1136" s="4" t="n">
        <v>1132</v>
      </c>
      <c r="B1136" s="14" t="n">
        <f aca="false">A1136/12</f>
        <v>94.3333333333333</v>
      </c>
      <c r="C1136" s="15" t="n">
        <f aca="false">INT(A1136/6)</f>
        <v>188</v>
      </c>
      <c r="D1136" s="16" t="n">
        <f aca="false">IF(C1136=0,(1+Dic2024!$G$6)^(-B1136),EXP(LN(INDEX(Dic2024!$H$6:$H$205,C1136))+(LN(INDEX(Dic2024!$H$6:$H$205,MIN(C1136+1,200)))-LN(INDEX(Dic2024!$H$6:$H$205,C1136)))*(A1136-6*C1136)/6))</f>
        <v>0.0039621746475457</v>
      </c>
      <c r="E1136" s="12" t="n">
        <f aca="false">D1136^(-1/B1136)-1</f>
        <v>0.0603850625</v>
      </c>
      <c r="F1136" s="12" t="n">
        <f aca="false">(1+E1136)^(1/12)-1</f>
        <v>0.00489796506237616</v>
      </c>
      <c r="G1136" s="16" t="n">
        <f aca="false">IF(C1136=0,(1+Dic2024!$J$6)^(-B1136),EXP(LN(INDEX(Dic2024!$K$6:$K$205,C1136))+(LN(INDEX(Dic2024!$K$6:$K$205,MIN(C1136+1,200)))-LN(INDEX(Dic2024!$K$6:$K$205,C1136)))*(A1136-6*C1136)/6))</f>
        <v>0.0039621746475457</v>
      </c>
      <c r="H1136" s="12" t="n">
        <f aca="false">G1136^(-1/B1136)-1</f>
        <v>0.0603850625</v>
      </c>
      <c r="I1136" s="12" t="n">
        <f aca="false">(1+H1136)^(1/12)-1</f>
        <v>0.00489796506237616</v>
      </c>
      <c r="J1136" s="16" t="n">
        <f aca="false">IF(C1136=0,(1+Dic2024!$M$6)^(-B1136),EXP(LN(INDEX(Dic2024!$N$6:$N$205,C1136))+(LN(INDEX(Dic2024!$N$6:$N$205,MIN(C1136+1,200)))-LN(INDEX(Dic2024!$N$6:$N$205,C1136)))*(A1136-6*C1136)/6))</f>
        <v>0.0039621746475457</v>
      </c>
      <c r="K1136" s="12" t="n">
        <f aca="false">J1136^(-1/B1136)-1</f>
        <v>0.0603850625</v>
      </c>
      <c r="L1136" s="12" t="n">
        <f aca="false">(1+K1136)^(1/12)-1</f>
        <v>0.00489796506237616</v>
      </c>
    </row>
    <row r="1137" customFormat="false" ht="15" hidden="false" customHeight="false" outlineLevel="0" collapsed="false">
      <c r="A1137" s="4" t="n">
        <v>1133</v>
      </c>
      <c r="B1137" s="14" t="n">
        <f aca="false">A1137/12</f>
        <v>94.4166666666667</v>
      </c>
      <c r="C1137" s="15" t="n">
        <f aca="false">INT(A1137/6)</f>
        <v>188</v>
      </c>
      <c r="D1137" s="16" t="n">
        <f aca="false">IF(C1137=0,(1+Dic2024!$G$6)^(-B1137),EXP(LN(INDEX(Dic2024!$H$6:$H$205,C1137))+(LN(INDEX(Dic2024!$H$6:$H$205,MIN(C1137+1,200)))-LN(INDEX(Dic2024!$H$6:$H$205,C1137)))*(A1137-6*C1137)/6))</f>
        <v>0.0039428626440693</v>
      </c>
      <c r="E1137" s="12" t="n">
        <f aca="false">D1137^(-1/B1137)-1</f>
        <v>0.0603850625</v>
      </c>
      <c r="F1137" s="12" t="n">
        <f aca="false">(1+E1137)^(1/12)-1</f>
        <v>0.00489796506237616</v>
      </c>
      <c r="G1137" s="16" t="n">
        <f aca="false">IF(C1137=0,(1+Dic2024!$J$6)^(-B1137),EXP(LN(INDEX(Dic2024!$K$6:$K$205,C1137))+(LN(INDEX(Dic2024!$K$6:$K$205,MIN(C1137+1,200)))-LN(INDEX(Dic2024!$K$6:$K$205,C1137)))*(A1137-6*C1137)/6))</f>
        <v>0.0039428626440693</v>
      </c>
      <c r="H1137" s="12" t="n">
        <f aca="false">G1137^(-1/B1137)-1</f>
        <v>0.0603850625</v>
      </c>
      <c r="I1137" s="12" t="n">
        <f aca="false">(1+H1137)^(1/12)-1</f>
        <v>0.00489796506237616</v>
      </c>
      <c r="J1137" s="16" t="n">
        <f aca="false">IF(C1137=0,(1+Dic2024!$M$6)^(-B1137),EXP(LN(INDEX(Dic2024!$N$6:$N$205,C1137))+(LN(INDEX(Dic2024!$N$6:$N$205,MIN(C1137+1,200)))-LN(INDEX(Dic2024!$N$6:$N$205,C1137)))*(A1137-6*C1137)/6))</f>
        <v>0.0039428626440693</v>
      </c>
      <c r="K1137" s="12" t="n">
        <f aca="false">J1137^(-1/B1137)-1</f>
        <v>0.0603850625</v>
      </c>
      <c r="L1137" s="12" t="n">
        <f aca="false">(1+K1137)^(1/12)-1</f>
        <v>0.00489796506237616</v>
      </c>
    </row>
    <row r="1138" customFormat="false" ht="15" hidden="false" customHeight="false" outlineLevel="0" collapsed="false">
      <c r="A1138" s="4" t="n">
        <v>1134</v>
      </c>
      <c r="B1138" s="14" t="n">
        <f aca="false">A1138/12</f>
        <v>94.5</v>
      </c>
      <c r="C1138" s="15" t="n">
        <f aca="false">INT(A1138/6)</f>
        <v>189</v>
      </c>
      <c r="D1138" s="16" t="n">
        <f aca="false">IF(C1138=0,(1+Dic2024!$G$6)^(-B1138),EXP(LN(INDEX(Dic2024!$H$6:$H$205,C1138))+(LN(INDEX(Dic2024!$H$6:$H$205,MIN(C1138+1,200)))-LN(INDEX(Dic2024!$H$6:$H$205,C1138)))*(A1138-6*C1138)/6))</f>
        <v>0.0039236447690732</v>
      </c>
      <c r="E1138" s="12" t="n">
        <f aca="false">D1138^(-1/B1138)-1</f>
        <v>0.0603850625</v>
      </c>
      <c r="F1138" s="12" t="n">
        <f aca="false">(1+E1138)^(1/12)-1</f>
        <v>0.00489796506237616</v>
      </c>
      <c r="G1138" s="16" t="n">
        <f aca="false">IF(C1138=0,(1+Dic2024!$J$6)^(-B1138),EXP(LN(INDEX(Dic2024!$K$6:$K$205,C1138))+(LN(INDEX(Dic2024!$K$6:$K$205,MIN(C1138+1,200)))-LN(INDEX(Dic2024!$K$6:$K$205,C1138)))*(A1138-6*C1138)/6))</f>
        <v>0.0039236447690732</v>
      </c>
      <c r="H1138" s="12" t="n">
        <f aca="false">G1138^(-1/B1138)-1</f>
        <v>0.0603850625</v>
      </c>
      <c r="I1138" s="12" t="n">
        <f aca="false">(1+H1138)^(1/12)-1</f>
        <v>0.00489796506237616</v>
      </c>
      <c r="J1138" s="16" t="n">
        <f aca="false">IF(C1138=0,(1+Dic2024!$M$6)^(-B1138),EXP(LN(INDEX(Dic2024!$N$6:$N$205,C1138))+(LN(INDEX(Dic2024!$N$6:$N$205,MIN(C1138+1,200)))-LN(INDEX(Dic2024!$N$6:$N$205,C1138)))*(A1138-6*C1138)/6))</f>
        <v>0.0039236447690732</v>
      </c>
      <c r="K1138" s="12" t="n">
        <f aca="false">J1138^(-1/B1138)-1</f>
        <v>0.0603850625</v>
      </c>
      <c r="L1138" s="12" t="n">
        <f aca="false">(1+K1138)^(1/12)-1</f>
        <v>0.00489796506237616</v>
      </c>
    </row>
    <row r="1139" customFormat="false" ht="15" hidden="false" customHeight="false" outlineLevel="0" collapsed="false">
      <c r="A1139" s="4" t="n">
        <v>1135</v>
      </c>
      <c r="B1139" s="14" t="n">
        <f aca="false">A1139/12</f>
        <v>94.5833333333333</v>
      </c>
      <c r="C1139" s="15" t="n">
        <f aca="false">INT(A1139/6)</f>
        <v>189</v>
      </c>
      <c r="D1139" s="16" t="n">
        <f aca="false">IF(C1139=0,(1+Dic2024!$G$6)^(-B1139),EXP(LN(INDEX(Dic2024!$H$6:$H$205,C1139))+(LN(INDEX(Dic2024!$H$6:$H$205,MIN(C1139+1,200)))-LN(INDEX(Dic2024!$H$6:$H$205,C1139)))*(A1139-6*C1139)/6))</f>
        <v>0.00390452056376655</v>
      </c>
      <c r="E1139" s="12" t="n">
        <f aca="false">D1139^(-1/B1139)-1</f>
        <v>0.0603850625</v>
      </c>
      <c r="F1139" s="12" t="n">
        <f aca="false">(1+E1139)^(1/12)-1</f>
        <v>0.00489796506237616</v>
      </c>
      <c r="G1139" s="16" t="n">
        <f aca="false">IF(C1139=0,(1+Dic2024!$J$6)^(-B1139),EXP(LN(INDEX(Dic2024!$K$6:$K$205,C1139))+(LN(INDEX(Dic2024!$K$6:$K$205,MIN(C1139+1,200)))-LN(INDEX(Dic2024!$K$6:$K$205,C1139)))*(A1139-6*C1139)/6))</f>
        <v>0.00390452056376655</v>
      </c>
      <c r="H1139" s="12" t="n">
        <f aca="false">G1139^(-1/B1139)-1</f>
        <v>0.0603850625</v>
      </c>
      <c r="I1139" s="12" t="n">
        <f aca="false">(1+H1139)^(1/12)-1</f>
        <v>0.00489796506237616</v>
      </c>
      <c r="J1139" s="16" t="n">
        <f aca="false">IF(C1139=0,(1+Dic2024!$M$6)^(-B1139),EXP(LN(INDEX(Dic2024!$N$6:$N$205,C1139))+(LN(INDEX(Dic2024!$N$6:$N$205,MIN(C1139+1,200)))-LN(INDEX(Dic2024!$N$6:$N$205,C1139)))*(A1139-6*C1139)/6))</f>
        <v>0.00390452056376655</v>
      </c>
      <c r="K1139" s="12" t="n">
        <f aca="false">J1139^(-1/B1139)-1</f>
        <v>0.0603850625</v>
      </c>
      <c r="L1139" s="12" t="n">
        <f aca="false">(1+K1139)^(1/12)-1</f>
        <v>0.00489796506237616</v>
      </c>
    </row>
    <row r="1140" customFormat="false" ht="15" hidden="false" customHeight="false" outlineLevel="0" collapsed="false">
      <c r="A1140" s="4" t="n">
        <v>1136</v>
      </c>
      <c r="B1140" s="14" t="n">
        <f aca="false">A1140/12</f>
        <v>94.6666666666667</v>
      </c>
      <c r="C1140" s="15" t="n">
        <f aca="false">INT(A1140/6)</f>
        <v>189</v>
      </c>
      <c r="D1140" s="16" t="n">
        <f aca="false">IF(C1140=0,(1+Dic2024!$G$6)^(-B1140),EXP(LN(INDEX(Dic2024!$H$6:$H$205,C1140))+(LN(INDEX(Dic2024!$H$6:$H$205,MIN(C1140+1,200)))-LN(INDEX(Dic2024!$H$6:$H$205,C1140)))*(A1140-6*C1140)/6))</f>
        <v>0.00388548957159465</v>
      </c>
      <c r="E1140" s="12" t="n">
        <f aca="false">D1140^(-1/B1140)-1</f>
        <v>0.0603850625</v>
      </c>
      <c r="F1140" s="12" t="n">
        <f aca="false">(1+E1140)^(1/12)-1</f>
        <v>0.00489796506237616</v>
      </c>
      <c r="G1140" s="16" t="n">
        <f aca="false">IF(C1140=0,(1+Dic2024!$J$6)^(-B1140),EXP(LN(INDEX(Dic2024!$K$6:$K$205,C1140))+(LN(INDEX(Dic2024!$K$6:$K$205,MIN(C1140+1,200)))-LN(INDEX(Dic2024!$K$6:$K$205,C1140)))*(A1140-6*C1140)/6))</f>
        <v>0.00388548957159465</v>
      </c>
      <c r="H1140" s="12" t="n">
        <f aca="false">G1140^(-1/B1140)-1</f>
        <v>0.0603850625</v>
      </c>
      <c r="I1140" s="12" t="n">
        <f aca="false">(1+H1140)^(1/12)-1</f>
        <v>0.00489796506237616</v>
      </c>
      <c r="J1140" s="16" t="n">
        <f aca="false">IF(C1140=0,(1+Dic2024!$M$6)^(-B1140),EXP(LN(INDEX(Dic2024!$N$6:$N$205,C1140))+(LN(INDEX(Dic2024!$N$6:$N$205,MIN(C1140+1,200)))-LN(INDEX(Dic2024!$N$6:$N$205,C1140)))*(A1140-6*C1140)/6))</f>
        <v>0.00388548957159465</v>
      </c>
      <c r="K1140" s="12" t="n">
        <f aca="false">J1140^(-1/B1140)-1</f>
        <v>0.0603850625</v>
      </c>
      <c r="L1140" s="12" t="n">
        <f aca="false">(1+K1140)^(1/12)-1</f>
        <v>0.00489796506237616</v>
      </c>
    </row>
    <row r="1141" customFormat="false" ht="15" hidden="false" customHeight="false" outlineLevel="0" collapsed="false">
      <c r="A1141" s="4" t="n">
        <v>1137</v>
      </c>
      <c r="B1141" s="14" t="n">
        <f aca="false">A1141/12</f>
        <v>94.75</v>
      </c>
      <c r="C1141" s="15" t="n">
        <f aca="false">INT(A1141/6)</f>
        <v>189</v>
      </c>
      <c r="D1141" s="16" t="n">
        <f aca="false">IF(C1141=0,(1+Dic2024!$G$6)^(-B1141),EXP(LN(INDEX(Dic2024!$H$6:$H$205,C1141))+(LN(INDEX(Dic2024!$H$6:$H$205,MIN(C1141+1,200)))-LN(INDEX(Dic2024!$H$6:$H$205,C1141)))*(A1141-6*C1141)/6))</f>
        <v>0.00386655133822812</v>
      </c>
      <c r="E1141" s="12" t="n">
        <f aca="false">D1141^(-1/B1141)-1</f>
        <v>0.0603850625</v>
      </c>
      <c r="F1141" s="12" t="n">
        <f aca="false">(1+E1141)^(1/12)-1</f>
        <v>0.00489796506237616</v>
      </c>
      <c r="G1141" s="16" t="n">
        <f aca="false">IF(C1141=0,(1+Dic2024!$J$6)^(-B1141),EXP(LN(INDEX(Dic2024!$K$6:$K$205,C1141))+(LN(INDEX(Dic2024!$K$6:$K$205,MIN(C1141+1,200)))-LN(INDEX(Dic2024!$K$6:$K$205,C1141)))*(A1141-6*C1141)/6))</f>
        <v>0.00386655133822812</v>
      </c>
      <c r="H1141" s="12" t="n">
        <f aca="false">G1141^(-1/B1141)-1</f>
        <v>0.0603850625</v>
      </c>
      <c r="I1141" s="12" t="n">
        <f aca="false">(1+H1141)^(1/12)-1</f>
        <v>0.00489796506237616</v>
      </c>
      <c r="J1141" s="16" t="n">
        <f aca="false">IF(C1141=0,(1+Dic2024!$M$6)^(-B1141),EXP(LN(INDEX(Dic2024!$N$6:$N$205,C1141))+(LN(INDEX(Dic2024!$N$6:$N$205,MIN(C1141+1,200)))-LN(INDEX(Dic2024!$N$6:$N$205,C1141)))*(A1141-6*C1141)/6))</f>
        <v>0.00386655133822812</v>
      </c>
      <c r="K1141" s="12" t="n">
        <f aca="false">J1141^(-1/B1141)-1</f>
        <v>0.0603850625</v>
      </c>
      <c r="L1141" s="12" t="n">
        <f aca="false">(1+K1141)^(1/12)-1</f>
        <v>0.00489796506237616</v>
      </c>
    </row>
    <row r="1142" customFormat="false" ht="15" hidden="false" customHeight="false" outlineLevel="0" collapsed="false">
      <c r="A1142" s="4" t="n">
        <v>1138</v>
      </c>
      <c r="B1142" s="14" t="n">
        <f aca="false">A1142/12</f>
        <v>94.8333333333333</v>
      </c>
      <c r="C1142" s="15" t="n">
        <f aca="false">INT(A1142/6)</f>
        <v>189</v>
      </c>
      <c r="D1142" s="16" t="n">
        <f aca="false">IF(C1142=0,(1+Dic2024!$G$6)^(-B1142),EXP(LN(INDEX(Dic2024!$H$6:$H$205,C1142))+(LN(INDEX(Dic2024!$H$6:$H$205,MIN(C1142+1,200)))-LN(INDEX(Dic2024!$H$6:$H$205,C1142)))*(A1142-6*C1142)/6))</f>
        <v>0.00384770541155203</v>
      </c>
      <c r="E1142" s="12" t="n">
        <f aca="false">D1142^(-1/B1142)-1</f>
        <v>0.0603850625</v>
      </c>
      <c r="F1142" s="12" t="n">
        <f aca="false">(1+E1142)^(1/12)-1</f>
        <v>0.00489796506237616</v>
      </c>
      <c r="G1142" s="16" t="n">
        <f aca="false">IF(C1142=0,(1+Dic2024!$J$6)^(-B1142),EXP(LN(INDEX(Dic2024!$K$6:$K$205,C1142))+(LN(INDEX(Dic2024!$K$6:$K$205,MIN(C1142+1,200)))-LN(INDEX(Dic2024!$K$6:$K$205,C1142)))*(A1142-6*C1142)/6))</f>
        <v>0.00384770541155203</v>
      </c>
      <c r="H1142" s="12" t="n">
        <f aca="false">G1142^(-1/B1142)-1</f>
        <v>0.0603850625</v>
      </c>
      <c r="I1142" s="12" t="n">
        <f aca="false">(1+H1142)^(1/12)-1</f>
        <v>0.00489796506237616</v>
      </c>
      <c r="J1142" s="16" t="n">
        <f aca="false">IF(C1142=0,(1+Dic2024!$M$6)^(-B1142),EXP(LN(INDEX(Dic2024!$N$6:$N$205,C1142))+(LN(INDEX(Dic2024!$N$6:$N$205,MIN(C1142+1,200)))-LN(INDEX(Dic2024!$N$6:$N$205,C1142)))*(A1142-6*C1142)/6))</f>
        <v>0.00384770541155203</v>
      </c>
      <c r="K1142" s="12" t="n">
        <f aca="false">J1142^(-1/B1142)-1</f>
        <v>0.0603850625</v>
      </c>
      <c r="L1142" s="12" t="n">
        <f aca="false">(1+K1142)^(1/12)-1</f>
        <v>0.00489796506237616</v>
      </c>
    </row>
    <row r="1143" customFormat="false" ht="15" hidden="false" customHeight="false" outlineLevel="0" collapsed="false">
      <c r="A1143" s="4" t="n">
        <v>1139</v>
      </c>
      <c r="B1143" s="14" t="n">
        <f aca="false">A1143/12</f>
        <v>94.9166666666667</v>
      </c>
      <c r="C1143" s="15" t="n">
        <f aca="false">INT(A1143/6)</f>
        <v>189</v>
      </c>
      <c r="D1143" s="16" t="n">
        <f aca="false">IF(C1143=0,(1+Dic2024!$G$6)^(-B1143),EXP(LN(INDEX(Dic2024!$H$6:$H$205,C1143))+(LN(INDEX(Dic2024!$H$6:$H$205,MIN(C1143+1,200)))-LN(INDEX(Dic2024!$H$6:$H$205,C1143)))*(A1143-6*C1143)/6))</f>
        <v>0.00382895134165506</v>
      </c>
      <c r="E1143" s="12" t="n">
        <f aca="false">D1143^(-1/B1143)-1</f>
        <v>0.0603850625</v>
      </c>
      <c r="F1143" s="12" t="n">
        <f aca="false">(1+E1143)^(1/12)-1</f>
        <v>0.00489796506237616</v>
      </c>
      <c r="G1143" s="16" t="n">
        <f aca="false">IF(C1143=0,(1+Dic2024!$J$6)^(-B1143),EXP(LN(INDEX(Dic2024!$K$6:$K$205,C1143))+(LN(INDEX(Dic2024!$K$6:$K$205,MIN(C1143+1,200)))-LN(INDEX(Dic2024!$K$6:$K$205,C1143)))*(A1143-6*C1143)/6))</f>
        <v>0.00382895134165506</v>
      </c>
      <c r="H1143" s="12" t="n">
        <f aca="false">G1143^(-1/B1143)-1</f>
        <v>0.0603850625</v>
      </c>
      <c r="I1143" s="12" t="n">
        <f aca="false">(1+H1143)^(1/12)-1</f>
        <v>0.00489796506237616</v>
      </c>
      <c r="J1143" s="16" t="n">
        <f aca="false">IF(C1143=0,(1+Dic2024!$M$6)^(-B1143),EXP(LN(INDEX(Dic2024!$N$6:$N$205,C1143))+(LN(INDEX(Dic2024!$N$6:$N$205,MIN(C1143+1,200)))-LN(INDEX(Dic2024!$N$6:$N$205,C1143)))*(A1143-6*C1143)/6))</f>
        <v>0.00382895134165506</v>
      </c>
      <c r="K1143" s="12" t="n">
        <f aca="false">J1143^(-1/B1143)-1</f>
        <v>0.0603850625</v>
      </c>
      <c r="L1143" s="12" t="n">
        <f aca="false">(1+K1143)^(1/12)-1</f>
        <v>0.00489796506237616</v>
      </c>
    </row>
    <row r="1144" customFormat="false" ht="15" hidden="false" customHeight="false" outlineLevel="0" collapsed="false">
      <c r="A1144" s="4" t="n">
        <v>1140</v>
      </c>
      <c r="B1144" s="14" t="n">
        <f aca="false">A1144/12</f>
        <v>95</v>
      </c>
      <c r="C1144" s="15" t="n">
        <f aca="false">INT(A1144/6)</f>
        <v>190</v>
      </c>
      <c r="D1144" s="16" t="n">
        <f aca="false">IF(C1144=0,(1+Dic2024!$G$6)^(-B1144),EXP(LN(INDEX(Dic2024!$H$6:$H$205,C1144))+(LN(INDEX(Dic2024!$H$6:$H$205,MIN(C1144+1,200)))-LN(INDEX(Dic2024!$H$6:$H$205,C1144)))*(A1144-6*C1144)/6))</f>
        <v>0.00381028868081884</v>
      </c>
      <c r="E1144" s="12" t="n">
        <f aca="false">D1144^(-1/B1144)-1</f>
        <v>0.0603850625</v>
      </c>
      <c r="F1144" s="12" t="n">
        <f aca="false">(1+E1144)^(1/12)-1</f>
        <v>0.00489796506237616</v>
      </c>
      <c r="G1144" s="16" t="n">
        <f aca="false">IF(C1144=0,(1+Dic2024!$J$6)^(-B1144),EXP(LN(INDEX(Dic2024!$K$6:$K$205,C1144))+(LN(INDEX(Dic2024!$K$6:$K$205,MIN(C1144+1,200)))-LN(INDEX(Dic2024!$K$6:$K$205,C1144)))*(A1144-6*C1144)/6))</f>
        <v>0.00381028868081884</v>
      </c>
      <c r="H1144" s="12" t="n">
        <f aca="false">G1144^(-1/B1144)-1</f>
        <v>0.0603850625</v>
      </c>
      <c r="I1144" s="12" t="n">
        <f aca="false">(1+H1144)^(1/12)-1</f>
        <v>0.00489796506237616</v>
      </c>
      <c r="J1144" s="16" t="n">
        <f aca="false">IF(C1144=0,(1+Dic2024!$M$6)^(-B1144),EXP(LN(INDEX(Dic2024!$N$6:$N$205,C1144))+(LN(INDEX(Dic2024!$N$6:$N$205,MIN(C1144+1,200)))-LN(INDEX(Dic2024!$N$6:$N$205,C1144)))*(A1144-6*C1144)/6))</f>
        <v>0.00381028868081884</v>
      </c>
      <c r="K1144" s="12" t="n">
        <f aca="false">J1144^(-1/B1144)-1</f>
        <v>0.0603850625</v>
      </c>
      <c r="L1144" s="12" t="n">
        <f aca="false">(1+K1144)^(1/12)-1</f>
        <v>0.00489796506237616</v>
      </c>
    </row>
    <row r="1145" customFormat="false" ht="15" hidden="false" customHeight="false" outlineLevel="0" collapsed="false">
      <c r="A1145" s="4" t="n">
        <v>1141</v>
      </c>
      <c r="B1145" s="14" t="n">
        <f aca="false">A1145/12</f>
        <v>95.0833333333333</v>
      </c>
      <c r="C1145" s="15" t="n">
        <f aca="false">INT(A1145/6)</f>
        <v>190</v>
      </c>
      <c r="D1145" s="16" t="n">
        <f aca="false">IF(C1145=0,(1+Dic2024!$G$6)^(-B1145),EXP(LN(INDEX(Dic2024!$H$6:$H$205,C1145))+(LN(INDEX(Dic2024!$H$6:$H$205,MIN(C1145+1,200)))-LN(INDEX(Dic2024!$H$6:$H$205,C1145)))*(A1145-6*C1145)/6))</f>
        <v>0.00379171698350721</v>
      </c>
      <c r="E1145" s="12" t="n">
        <f aca="false">D1145^(-1/B1145)-1</f>
        <v>0.0603850625</v>
      </c>
      <c r="F1145" s="12" t="n">
        <f aca="false">(1+E1145)^(1/12)-1</f>
        <v>0.00489796506237616</v>
      </c>
      <c r="G1145" s="16" t="n">
        <f aca="false">IF(C1145=0,(1+Dic2024!$J$6)^(-B1145),EXP(LN(INDEX(Dic2024!$K$6:$K$205,C1145))+(LN(INDEX(Dic2024!$K$6:$K$205,MIN(C1145+1,200)))-LN(INDEX(Dic2024!$K$6:$K$205,C1145)))*(A1145-6*C1145)/6))</f>
        <v>0.00379171698350721</v>
      </c>
      <c r="H1145" s="12" t="n">
        <f aca="false">G1145^(-1/B1145)-1</f>
        <v>0.0603850625</v>
      </c>
      <c r="I1145" s="12" t="n">
        <f aca="false">(1+H1145)^(1/12)-1</f>
        <v>0.00489796506237616</v>
      </c>
      <c r="J1145" s="16" t="n">
        <f aca="false">IF(C1145=0,(1+Dic2024!$M$6)^(-B1145),EXP(LN(INDEX(Dic2024!$N$6:$N$205,C1145))+(LN(INDEX(Dic2024!$N$6:$N$205,MIN(C1145+1,200)))-LN(INDEX(Dic2024!$N$6:$N$205,C1145)))*(A1145-6*C1145)/6))</f>
        <v>0.00379171698350721</v>
      </c>
      <c r="K1145" s="12" t="n">
        <f aca="false">J1145^(-1/B1145)-1</f>
        <v>0.0603850625</v>
      </c>
      <c r="L1145" s="12" t="n">
        <f aca="false">(1+K1145)^(1/12)-1</f>
        <v>0.00489796506237616</v>
      </c>
    </row>
    <row r="1146" customFormat="false" ht="15" hidden="false" customHeight="false" outlineLevel="0" collapsed="false">
      <c r="A1146" s="4" t="n">
        <v>1142</v>
      </c>
      <c r="B1146" s="14" t="n">
        <f aca="false">A1146/12</f>
        <v>95.1666666666667</v>
      </c>
      <c r="C1146" s="15" t="n">
        <f aca="false">INT(A1146/6)</f>
        <v>190</v>
      </c>
      <c r="D1146" s="16" t="n">
        <f aca="false">IF(C1146=0,(1+Dic2024!$G$6)^(-B1146),EXP(LN(INDEX(Dic2024!$H$6:$H$205,C1146))+(LN(INDEX(Dic2024!$H$6:$H$205,MIN(C1146+1,200)))-LN(INDEX(Dic2024!$H$6:$H$205,C1146)))*(A1146-6*C1146)/6))</f>
        <v>0.00377323580635557</v>
      </c>
      <c r="E1146" s="12" t="n">
        <f aca="false">D1146^(-1/B1146)-1</f>
        <v>0.0603850625</v>
      </c>
      <c r="F1146" s="12" t="n">
        <f aca="false">(1+E1146)^(1/12)-1</f>
        <v>0.00489796506237616</v>
      </c>
      <c r="G1146" s="16" t="n">
        <f aca="false">IF(C1146=0,(1+Dic2024!$J$6)^(-B1146),EXP(LN(INDEX(Dic2024!$K$6:$K$205,C1146))+(LN(INDEX(Dic2024!$K$6:$K$205,MIN(C1146+1,200)))-LN(INDEX(Dic2024!$K$6:$K$205,C1146)))*(A1146-6*C1146)/6))</f>
        <v>0.00377323580635557</v>
      </c>
      <c r="H1146" s="12" t="n">
        <f aca="false">G1146^(-1/B1146)-1</f>
        <v>0.0603850625</v>
      </c>
      <c r="I1146" s="12" t="n">
        <f aca="false">(1+H1146)^(1/12)-1</f>
        <v>0.00489796506237616</v>
      </c>
      <c r="J1146" s="16" t="n">
        <f aca="false">IF(C1146=0,(1+Dic2024!$M$6)^(-B1146),EXP(LN(INDEX(Dic2024!$N$6:$N$205,C1146))+(LN(INDEX(Dic2024!$N$6:$N$205,MIN(C1146+1,200)))-LN(INDEX(Dic2024!$N$6:$N$205,C1146)))*(A1146-6*C1146)/6))</f>
        <v>0.00377323580635557</v>
      </c>
      <c r="K1146" s="12" t="n">
        <f aca="false">J1146^(-1/B1146)-1</f>
        <v>0.0603850625</v>
      </c>
      <c r="L1146" s="12" t="n">
        <f aca="false">(1+K1146)^(1/12)-1</f>
        <v>0.00489796506237616</v>
      </c>
    </row>
    <row r="1147" customFormat="false" ht="15" hidden="false" customHeight="false" outlineLevel="0" collapsed="false">
      <c r="A1147" s="4" t="n">
        <v>1143</v>
      </c>
      <c r="B1147" s="14" t="n">
        <f aca="false">A1147/12</f>
        <v>95.25</v>
      </c>
      <c r="C1147" s="15" t="n">
        <f aca="false">INT(A1147/6)</f>
        <v>190</v>
      </c>
      <c r="D1147" s="16" t="n">
        <f aca="false">IF(C1147=0,(1+Dic2024!$G$6)^(-B1147),EXP(LN(INDEX(Dic2024!$H$6:$H$205,C1147))+(LN(INDEX(Dic2024!$H$6:$H$205,MIN(C1147+1,200)))-LN(INDEX(Dic2024!$H$6:$H$205,C1147)))*(A1147-6*C1147)/6))</f>
        <v>0.00375484470816035</v>
      </c>
      <c r="E1147" s="12" t="n">
        <f aca="false">D1147^(-1/B1147)-1</f>
        <v>0.0603850625</v>
      </c>
      <c r="F1147" s="12" t="n">
        <f aca="false">(1+E1147)^(1/12)-1</f>
        <v>0.00489796506237616</v>
      </c>
      <c r="G1147" s="16" t="n">
        <f aca="false">IF(C1147=0,(1+Dic2024!$J$6)^(-B1147),EXP(LN(INDEX(Dic2024!$K$6:$K$205,C1147))+(LN(INDEX(Dic2024!$K$6:$K$205,MIN(C1147+1,200)))-LN(INDEX(Dic2024!$K$6:$K$205,C1147)))*(A1147-6*C1147)/6))</f>
        <v>0.00375484470816035</v>
      </c>
      <c r="H1147" s="12" t="n">
        <f aca="false">G1147^(-1/B1147)-1</f>
        <v>0.0603850625</v>
      </c>
      <c r="I1147" s="12" t="n">
        <f aca="false">(1+H1147)^(1/12)-1</f>
        <v>0.00489796506237616</v>
      </c>
      <c r="J1147" s="16" t="n">
        <f aca="false">IF(C1147=0,(1+Dic2024!$M$6)^(-B1147),EXP(LN(INDEX(Dic2024!$N$6:$N$205,C1147))+(LN(INDEX(Dic2024!$N$6:$N$205,MIN(C1147+1,200)))-LN(INDEX(Dic2024!$N$6:$N$205,C1147)))*(A1147-6*C1147)/6))</f>
        <v>0.00375484470816035</v>
      </c>
      <c r="K1147" s="12" t="n">
        <f aca="false">J1147^(-1/B1147)-1</f>
        <v>0.0603850625</v>
      </c>
      <c r="L1147" s="12" t="n">
        <f aca="false">(1+K1147)^(1/12)-1</f>
        <v>0.00489796506237616</v>
      </c>
    </row>
    <row r="1148" customFormat="false" ht="15" hidden="false" customHeight="false" outlineLevel="0" collapsed="false">
      <c r="A1148" s="4" t="n">
        <v>1144</v>
      </c>
      <c r="B1148" s="14" t="n">
        <f aca="false">A1148/12</f>
        <v>95.3333333333333</v>
      </c>
      <c r="C1148" s="15" t="n">
        <f aca="false">INT(A1148/6)</f>
        <v>190</v>
      </c>
      <c r="D1148" s="16" t="n">
        <f aca="false">IF(C1148=0,(1+Dic2024!$G$6)^(-B1148),EXP(LN(INDEX(Dic2024!$H$6:$H$205,C1148))+(LN(INDEX(Dic2024!$H$6:$H$205,MIN(C1148+1,200)))-LN(INDEX(Dic2024!$H$6:$H$205,C1148)))*(A1148-6*C1148)/6))</f>
        <v>0.00373654324986844</v>
      </c>
      <c r="E1148" s="12" t="n">
        <f aca="false">D1148^(-1/B1148)-1</f>
        <v>0.0603850625</v>
      </c>
      <c r="F1148" s="12" t="n">
        <f aca="false">(1+E1148)^(1/12)-1</f>
        <v>0.00489796506237616</v>
      </c>
      <c r="G1148" s="16" t="n">
        <f aca="false">IF(C1148=0,(1+Dic2024!$J$6)^(-B1148),EXP(LN(INDEX(Dic2024!$K$6:$K$205,C1148))+(LN(INDEX(Dic2024!$K$6:$K$205,MIN(C1148+1,200)))-LN(INDEX(Dic2024!$K$6:$K$205,C1148)))*(A1148-6*C1148)/6))</f>
        <v>0.00373654324986844</v>
      </c>
      <c r="H1148" s="12" t="n">
        <f aca="false">G1148^(-1/B1148)-1</f>
        <v>0.0603850625</v>
      </c>
      <c r="I1148" s="12" t="n">
        <f aca="false">(1+H1148)^(1/12)-1</f>
        <v>0.00489796506237616</v>
      </c>
      <c r="J1148" s="16" t="n">
        <f aca="false">IF(C1148=0,(1+Dic2024!$M$6)^(-B1148),EXP(LN(INDEX(Dic2024!$N$6:$N$205,C1148))+(LN(INDEX(Dic2024!$N$6:$N$205,MIN(C1148+1,200)))-LN(INDEX(Dic2024!$N$6:$N$205,C1148)))*(A1148-6*C1148)/6))</f>
        <v>0.00373654324986844</v>
      </c>
      <c r="K1148" s="12" t="n">
        <f aca="false">J1148^(-1/B1148)-1</f>
        <v>0.0603850625</v>
      </c>
      <c r="L1148" s="12" t="n">
        <f aca="false">(1+K1148)^(1/12)-1</f>
        <v>0.00489796506237616</v>
      </c>
    </row>
    <row r="1149" customFormat="false" ht="15" hidden="false" customHeight="false" outlineLevel="0" collapsed="false">
      <c r="A1149" s="4" t="n">
        <v>1145</v>
      </c>
      <c r="B1149" s="14" t="n">
        <f aca="false">A1149/12</f>
        <v>95.4166666666667</v>
      </c>
      <c r="C1149" s="15" t="n">
        <f aca="false">INT(A1149/6)</f>
        <v>190</v>
      </c>
      <c r="D1149" s="16" t="n">
        <f aca="false">IF(C1149=0,(1+Dic2024!$G$6)^(-B1149),EXP(LN(INDEX(Dic2024!$H$6:$H$205,C1149))+(LN(INDEX(Dic2024!$H$6:$H$205,MIN(C1149+1,200)))-LN(INDEX(Dic2024!$H$6:$H$205,C1149)))*(A1149-6*C1149)/6))</f>
        <v>0.0037183309945667</v>
      </c>
      <c r="E1149" s="12" t="n">
        <f aca="false">D1149^(-1/B1149)-1</f>
        <v>0.0603850625</v>
      </c>
      <c r="F1149" s="12" t="n">
        <f aca="false">(1+E1149)^(1/12)-1</f>
        <v>0.00489796506237616</v>
      </c>
      <c r="G1149" s="16" t="n">
        <f aca="false">IF(C1149=0,(1+Dic2024!$J$6)^(-B1149),EXP(LN(INDEX(Dic2024!$K$6:$K$205,C1149))+(LN(INDEX(Dic2024!$K$6:$K$205,MIN(C1149+1,200)))-LN(INDEX(Dic2024!$K$6:$K$205,C1149)))*(A1149-6*C1149)/6))</f>
        <v>0.0037183309945667</v>
      </c>
      <c r="H1149" s="12" t="n">
        <f aca="false">G1149^(-1/B1149)-1</f>
        <v>0.0603850625</v>
      </c>
      <c r="I1149" s="12" t="n">
        <f aca="false">(1+H1149)^(1/12)-1</f>
        <v>0.00489796506237616</v>
      </c>
      <c r="J1149" s="16" t="n">
        <f aca="false">IF(C1149=0,(1+Dic2024!$M$6)^(-B1149),EXP(LN(INDEX(Dic2024!$N$6:$N$205,C1149))+(LN(INDEX(Dic2024!$N$6:$N$205,MIN(C1149+1,200)))-LN(INDEX(Dic2024!$N$6:$N$205,C1149)))*(A1149-6*C1149)/6))</f>
        <v>0.0037183309945667</v>
      </c>
      <c r="K1149" s="12" t="n">
        <f aca="false">J1149^(-1/B1149)-1</f>
        <v>0.0603850625</v>
      </c>
      <c r="L1149" s="12" t="n">
        <f aca="false">(1+K1149)^(1/12)-1</f>
        <v>0.00489796506237616</v>
      </c>
    </row>
    <row r="1150" customFormat="false" ht="15" hidden="false" customHeight="false" outlineLevel="0" collapsed="false">
      <c r="A1150" s="4" t="n">
        <v>1146</v>
      </c>
      <c r="B1150" s="14" t="n">
        <f aca="false">A1150/12</f>
        <v>95.5</v>
      </c>
      <c r="C1150" s="15" t="n">
        <f aca="false">INT(A1150/6)</f>
        <v>191</v>
      </c>
      <c r="D1150" s="16" t="n">
        <f aca="false">IF(C1150=0,(1+Dic2024!$G$6)^(-B1150),EXP(LN(INDEX(Dic2024!$H$6:$H$205,C1150))+(LN(INDEX(Dic2024!$H$6:$H$205,MIN(C1150+1,200)))-LN(INDEX(Dic2024!$H$6:$H$205,C1150)))*(A1150-6*C1150)/6))</f>
        <v>0.00370020750747156</v>
      </c>
      <c r="E1150" s="12" t="n">
        <f aca="false">D1150^(-1/B1150)-1</f>
        <v>0.0603850625</v>
      </c>
      <c r="F1150" s="12" t="n">
        <f aca="false">(1+E1150)^(1/12)-1</f>
        <v>0.00489796506237616</v>
      </c>
      <c r="G1150" s="16" t="n">
        <f aca="false">IF(C1150=0,(1+Dic2024!$J$6)^(-B1150),EXP(LN(INDEX(Dic2024!$K$6:$K$205,C1150))+(LN(INDEX(Dic2024!$K$6:$K$205,MIN(C1150+1,200)))-LN(INDEX(Dic2024!$K$6:$K$205,C1150)))*(A1150-6*C1150)/6))</f>
        <v>0.00370020750747156</v>
      </c>
      <c r="H1150" s="12" t="n">
        <f aca="false">G1150^(-1/B1150)-1</f>
        <v>0.0603850625</v>
      </c>
      <c r="I1150" s="12" t="n">
        <f aca="false">(1+H1150)^(1/12)-1</f>
        <v>0.00489796506237616</v>
      </c>
      <c r="J1150" s="16" t="n">
        <f aca="false">IF(C1150=0,(1+Dic2024!$M$6)^(-B1150),EXP(LN(INDEX(Dic2024!$N$6:$N$205,C1150))+(LN(INDEX(Dic2024!$N$6:$N$205,MIN(C1150+1,200)))-LN(INDEX(Dic2024!$N$6:$N$205,C1150)))*(A1150-6*C1150)/6))</f>
        <v>0.00370020750747156</v>
      </c>
      <c r="K1150" s="12" t="n">
        <f aca="false">J1150^(-1/B1150)-1</f>
        <v>0.0603850625</v>
      </c>
      <c r="L1150" s="12" t="n">
        <f aca="false">(1+K1150)^(1/12)-1</f>
        <v>0.00489796506237616</v>
      </c>
    </row>
    <row r="1151" customFormat="false" ht="15" hidden="false" customHeight="false" outlineLevel="0" collapsed="false">
      <c r="A1151" s="4" t="n">
        <v>1147</v>
      </c>
      <c r="B1151" s="14" t="n">
        <f aca="false">A1151/12</f>
        <v>95.5833333333333</v>
      </c>
      <c r="C1151" s="15" t="n">
        <f aca="false">INT(A1151/6)</f>
        <v>191</v>
      </c>
      <c r="D1151" s="16" t="n">
        <f aca="false">IF(C1151=0,(1+Dic2024!$G$6)^(-B1151),EXP(LN(INDEX(Dic2024!$H$6:$H$205,C1151))+(LN(INDEX(Dic2024!$H$6:$H$205,MIN(C1151+1,200)))-LN(INDEX(Dic2024!$H$6:$H$205,C1151)))*(A1151-6*C1151)/6))</f>
        <v>0.00368217235591863</v>
      </c>
      <c r="E1151" s="12" t="n">
        <f aca="false">D1151^(-1/B1151)-1</f>
        <v>0.0603850625</v>
      </c>
      <c r="F1151" s="12" t="n">
        <f aca="false">(1+E1151)^(1/12)-1</f>
        <v>0.00489796506237616</v>
      </c>
      <c r="G1151" s="16" t="n">
        <f aca="false">IF(C1151=0,(1+Dic2024!$J$6)^(-B1151),EXP(LN(INDEX(Dic2024!$K$6:$K$205,C1151))+(LN(INDEX(Dic2024!$K$6:$K$205,MIN(C1151+1,200)))-LN(INDEX(Dic2024!$K$6:$K$205,C1151)))*(A1151-6*C1151)/6))</f>
        <v>0.00368217235591863</v>
      </c>
      <c r="H1151" s="12" t="n">
        <f aca="false">G1151^(-1/B1151)-1</f>
        <v>0.0603850625</v>
      </c>
      <c r="I1151" s="12" t="n">
        <f aca="false">(1+H1151)^(1/12)-1</f>
        <v>0.00489796506237616</v>
      </c>
      <c r="J1151" s="16" t="n">
        <f aca="false">IF(C1151=0,(1+Dic2024!$M$6)^(-B1151),EXP(LN(INDEX(Dic2024!$N$6:$N$205,C1151))+(LN(INDEX(Dic2024!$N$6:$N$205,MIN(C1151+1,200)))-LN(INDEX(Dic2024!$N$6:$N$205,C1151)))*(A1151-6*C1151)/6))</f>
        <v>0.00368217235591863</v>
      </c>
      <c r="K1151" s="12" t="n">
        <f aca="false">J1151^(-1/B1151)-1</f>
        <v>0.0603850625</v>
      </c>
      <c r="L1151" s="12" t="n">
        <f aca="false">(1+K1151)^(1/12)-1</f>
        <v>0.00489796506237616</v>
      </c>
    </row>
    <row r="1152" customFormat="false" ht="15" hidden="false" customHeight="false" outlineLevel="0" collapsed="false">
      <c r="A1152" s="4" t="n">
        <v>1148</v>
      </c>
      <c r="B1152" s="14" t="n">
        <f aca="false">A1152/12</f>
        <v>95.6666666666667</v>
      </c>
      <c r="C1152" s="15" t="n">
        <f aca="false">INT(A1152/6)</f>
        <v>191</v>
      </c>
      <c r="D1152" s="16" t="n">
        <f aca="false">IF(C1152=0,(1+Dic2024!$G$6)^(-B1152),EXP(LN(INDEX(Dic2024!$H$6:$H$205,C1152))+(LN(INDEX(Dic2024!$H$6:$H$205,MIN(C1152+1,200)))-LN(INDEX(Dic2024!$H$6:$H$205,C1152)))*(A1152-6*C1152)/6))</f>
        <v>0.00366422510935234</v>
      </c>
      <c r="E1152" s="12" t="n">
        <f aca="false">D1152^(-1/B1152)-1</f>
        <v>0.0603850625</v>
      </c>
      <c r="F1152" s="12" t="n">
        <f aca="false">(1+E1152)^(1/12)-1</f>
        <v>0.00489796506237616</v>
      </c>
      <c r="G1152" s="16" t="n">
        <f aca="false">IF(C1152=0,(1+Dic2024!$J$6)^(-B1152),EXP(LN(INDEX(Dic2024!$K$6:$K$205,C1152))+(LN(INDEX(Dic2024!$K$6:$K$205,MIN(C1152+1,200)))-LN(INDEX(Dic2024!$K$6:$K$205,C1152)))*(A1152-6*C1152)/6))</f>
        <v>0.00366422510935234</v>
      </c>
      <c r="H1152" s="12" t="n">
        <f aca="false">G1152^(-1/B1152)-1</f>
        <v>0.0603850625</v>
      </c>
      <c r="I1152" s="12" t="n">
        <f aca="false">(1+H1152)^(1/12)-1</f>
        <v>0.00489796506237616</v>
      </c>
      <c r="J1152" s="16" t="n">
        <f aca="false">IF(C1152=0,(1+Dic2024!$M$6)^(-B1152),EXP(LN(INDEX(Dic2024!$N$6:$N$205,C1152))+(LN(INDEX(Dic2024!$N$6:$N$205,MIN(C1152+1,200)))-LN(INDEX(Dic2024!$N$6:$N$205,C1152)))*(A1152-6*C1152)/6))</f>
        <v>0.00366422510935234</v>
      </c>
      <c r="K1152" s="12" t="n">
        <f aca="false">J1152^(-1/B1152)-1</f>
        <v>0.0603850625</v>
      </c>
      <c r="L1152" s="12" t="n">
        <f aca="false">(1+K1152)^(1/12)-1</f>
        <v>0.00489796506237616</v>
      </c>
    </row>
    <row r="1153" customFormat="false" ht="15" hidden="false" customHeight="false" outlineLevel="0" collapsed="false">
      <c r="A1153" s="4" t="n">
        <v>1149</v>
      </c>
      <c r="B1153" s="14" t="n">
        <f aca="false">A1153/12</f>
        <v>95.75</v>
      </c>
      <c r="C1153" s="15" t="n">
        <f aca="false">INT(A1153/6)</f>
        <v>191</v>
      </c>
      <c r="D1153" s="16" t="n">
        <f aca="false">IF(C1153=0,(1+Dic2024!$G$6)^(-B1153),EXP(LN(INDEX(Dic2024!$H$6:$H$205,C1153))+(LN(INDEX(Dic2024!$H$6:$H$205,MIN(C1153+1,200)))-LN(INDEX(Dic2024!$H$6:$H$205,C1153)))*(A1153-6*C1153)/6))</f>
        <v>0.00364636533931571</v>
      </c>
      <c r="E1153" s="12" t="n">
        <f aca="false">D1153^(-1/B1153)-1</f>
        <v>0.0603850625</v>
      </c>
      <c r="F1153" s="12" t="n">
        <f aca="false">(1+E1153)^(1/12)-1</f>
        <v>0.00489796506237616</v>
      </c>
      <c r="G1153" s="16" t="n">
        <f aca="false">IF(C1153=0,(1+Dic2024!$J$6)^(-B1153),EXP(LN(INDEX(Dic2024!$K$6:$K$205,C1153))+(LN(INDEX(Dic2024!$K$6:$K$205,MIN(C1153+1,200)))-LN(INDEX(Dic2024!$K$6:$K$205,C1153)))*(A1153-6*C1153)/6))</f>
        <v>0.00364636533931571</v>
      </c>
      <c r="H1153" s="12" t="n">
        <f aca="false">G1153^(-1/B1153)-1</f>
        <v>0.0603850625</v>
      </c>
      <c r="I1153" s="12" t="n">
        <f aca="false">(1+H1153)^(1/12)-1</f>
        <v>0.00489796506237616</v>
      </c>
      <c r="J1153" s="16" t="n">
        <f aca="false">IF(C1153=0,(1+Dic2024!$M$6)^(-B1153),EXP(LN(INDEX(Dic2024!$N$6:$N$205,C1153))+(LN(INDEX(Dic2024!$N$6:$N$205,MIN(C1153+1,200)))-LN(INDEX(Dic2024!$N$6:$N$205,C1153)))*(A1153-6*C1153)/6))</f>
        <v>0.00364636533931571</v>
      </c>
      <c r="K1153" s="12" t="n">
        <f aca="false">J1153^(-1/B1153)-1</f>
        <v>0.0603850625</v>
      </c>
      <c r="L1153" s="12" t="n">
        <f aca="false">(1+K1153)^(1/12)-1</f>
        <v>0.00489796506237616</v>
      </c>
    </row>
    <row r="1154" customFormat="false" ht="15" hidden="false" customHeight="false" outlineLevel="0" collapsed="false">
      <c r="A1154" s="4" t="n">
        <v>1150</v>
      </c>
      <c r="B1154" s="14" t="n">
        <f aca="false">A1154/12</f>
        <v>95.8333333333333</v>
      </c>
      <c r="C1154" s="15" t="n">
        <f aca="false">INT(A1154/6)</f>
        <v>191</v>
      </c>
      <c r="D1154" s="16" t="n">
        <f aca="false">IF(C1154=0,(1+Dic2024!$G$6)^(-B1154),EXP(LN(INDEX(Dic2024!$H$6:$H$205,C1154))+(LN(INDEX(Dic2024!$H$6:$H$205,MIN(C1154+1,200)))-LN(INDEX(Dic2024!$H$6:$H$205,C1154)))*(A1154-6*C1154)/6))</f>
        <v>0.0036285926194401</v>
      </c>
      <c r="E1154" s="12" t="n">
        <f aca="false">D1154^(-1/B1154)-1</f>
        <v>0.0603850625</v>
      </c>
      <c r="F1154" s="12" t="n">
        <f aca="false">(1+E1154)^(1/12)-1</f>
        <v>0.00489796506237616</v>
      </c>
      <c r="G1154" s="16" t="n">
        <f aca="false">IF(C1154=0,(1+Dic2024!$J$6)^(-B1154),EXP(LN(INDEX(Dic2024!$K$6:$K$205,C1154))+(LN(INDEX(Dic2024!$K$6:$K$205,MIN(C1154+1,200)))-LN(INDEX(Dic2024!$K$6:$K$205,C1154)))*(A1154-6*C1154)/6))</f>
        <v>0.0036285926194401</v>
      </c>
      <c r="H1154" s="12" t="n">
        <f aca="false">G1154^(-1/B1154)-1</f>
        <v>0.0603850625</v>
      </c>
      <c r="I1154" s="12" t="n">
        <f aca="false">(1+H1154)^(1/12)-1</f>
        <v>0.00489796506237616</v>
      </c>
      <c r="J1154" s="16" t="n">
        <f aca="false">IF(C1154=0,(1+Dic2024!$M$6)^(-B1154),EXP(LN(INDEX(Dic2024!$N$6:$N$205,C1154))+(LN(INDEX(Dic2024!$N$6:$N$205,MIN(C1154+1,200)))-LN(INDEX(Dic2024!$N$6:$N$205,C1154)))*(A1154-6*C1154)/6))</f>
        <v>0.0036285926194401</v>
      </c>
      <c r="K1154" s="12" t="n">
        <f aca="false">J1154^(-1/B1154)-1</f>
        <v>0.0603850625</v>
      </c>
      <c r="L1154" s="12" t="n">
        <f aca="false">(1+K1154)^(1/12)-1</f>
        <v>0.00489796506237616</v>
      </c>
    </row>
    <row r="1155" customFormat="false" ht="15" hidden="false" customHeight="false" outlineLevel="0" collapsed="false">
      <c r="A1155" s="4" t="n">
        <v>1151</v>
      </c>
      <c r="B1155" s="14" t="n">
        <f aca="false">A1155/12</f>
        <v>95.9166666666667</v>
      </c>
      <c r="C1155" s="15" t="n">
        <f aca="false">INT(A1155/6)</f>
        <v>191</v>
      </c>
      <c r="D1155" s="16" t="n">
        <f aca="false">IF(C1155=0,(1+Dic2024!$G$6)^(-B1155),EXP(LN(INDEX(Dic2024!$H$6:$H$205,C1155))+(LN(INDEX(Dic2024!$H$6:$H$205,MIN(C1155+1,200)))-LN(INDEX(Dic2024!$H$6:$H$205,C1155)))*(A1155-6*C1155)/6))</f>
        <v>0.00361090652543501</v>
      </c>
      <c r="E1155" s="12" t="n">
        <f aca="false">D1155^(-1/B1155)-1</f>
        <v>0.0603850625</v>
      </c>
      <c r="F1155" s="12" t="n">
        <f aca="false">(1+E1155)^(1/12)-1</f>
        <v>0.00489796506237616</v>
      </c>
      <c r="G1155" s="16" t="n">
        <f aca="false">IF(C1155=0,(1+Dic2024!$J$6)^(-B1155),EXP(LN(INDEX(Dic2024!$K$6:$K$205,C1155))+(LN(INDEX(Dic2024!$K$6:$K$205,MIN(C1155+1,200)))-LN(INDEX(Dic2024!$K$6:$K$205,C1155)))*(A1155-6*C1155)/6))</f>
        <v>0.00361090652543501</v>
      </c>
      <c r="H1155" s="12" t="n">
        <f aca="false">G1155^(-1/B1155)-1</f>
        <v>0.0603850625</v>
      </c>
      <c r="I1155" s="12" t="n">
        <f aca="false">(1+H1155)^(1/12)-1</f>
        <v>0.00489796506237616</v>
      </c>
      <c r="J1155" s="16" t="n">
        <f aca="false">IF(C1155=0,(1+Dic2024!$M$6)^(-B1155),EXP(LN(INDEX(Dic2024!$N$6:$N$205,C1155))+(LN(INDEX(Dic2024!$N$6:$N$205,MIN(C1155+1,200)))-LN(INDEX(Dic2024!$N$6:$N$205,C1155)))*(A1155-6*C1155)/6))</f>
        <v>0.00361090652543501</v>
      </c>
      <c r="K1155" s="12" t="n">
        <f aca="false">J1155^(-1/B1155)-1</f>
        <v>0.0603850625</v>
      </c>
      <c r="L1155" s="12" t="n">
        <f aca="false">(1+K1155)^(1/12)-1</f>
        <v>0.00489796506237616</v>
      </c>
    </row>
    <row r="1156" customFormat="false" ht="15" hidden="false" customHeight="false" outlineLevel="0" collapsed="false">
      <c r="A1156" s="4" t="n">
        <v>1152</v>
      </c>
      <c r="B1156" s="14" t="n">
        <f aca="false">A1156/12</f>
        <v>96</v>
      </c>
      <c r="C1156" s="15" t="n">
        <f aca="false">INT(A1156/6)</f>
        <v>192</v>
      </c>
      <c r="D1156" s="16" t="n">
        <f aca="false">IF(C1156=0,(1+Dic2024!$G$6)^(-B1156),EXP(LN(INDEX(Dic2024!$H$6:$H$205,C1156))+(LN(INDEX(Dic2024!$H$6:$H$205,MIN(C1156+1,200)))-LN(INDEX(Dic2024!$H$6:$H$205,C1156)))*(A1156-6*C1156)/6))</f>
        <v>0.00359330663507799</v>
      </c>
      <c r="E1156" s="12" t="n">
        <f aca="false">D1156^(-1/B1156)-1</f>
        <v>0.0603850625</v>
      </c>
      <c r="F1156" s="12" t="n">
        <f aca="false">(1+E1156)^(1/12)-1</f>
        <v>0.00489796506237616</v>
      </c>
      <c r="G1156" s="16" t="n">
        <f aca="false">IF(C1156=0,(1+Dic2024!$J$6)^(-B1156),EXP(LN(INDEX(Dic2024!$K$6:$K$205,C1156))+(LN(INDEX(Dic2024!$K$6:$K$205,MIN(C1156+1,200)))-LN(INDEX(Dic2024!$K$6:$K$205,C1156)))*(A1156-6*C1156)/6))</f>
        <v>0.00359330663507799</v>
      </c>
      <c r="H1156" s="12" t="n">
        <f aca="false">G1156^(-1/B1156)-1</f>
        <v>0.0603850625</v>
      </c>
      <c r="I1156" s="12" t="n">
        <f aca="false">(1+H1156)^(1/12)-1</f>
        <v>0.00489796506237616</v>
      </c>
      <c r="J1156" s="16" t="n">
        <f aca="false">IF(C1156=0,(1+Dic2024!$M$6)^(-B1156),EXP(LN(INDEX(Dic2024!$N$6:$N$205,C1156))+(LN(INDEX(Dic2024!$N$6:$N$205,MIN(C1156+1,200)))-LN(INDEX(Dic2024!$N$6:$N$205,C1156)))*(A1156-6*C1156)/6))</f>
        <v>0.00359330663507799</v>
      </c>
      <c r="K1156" s="12" t="n">
        <f aca="false">J1156^(-1/B1156)-1</f>
        <v>0.0603850625</v>
      </c>
      <c r="L1156" s="12" t="n">
        <f aca="false">(1+K1156)^(1/12)-1</f>
        <v>0.00489796506237616</v>
      </c>
    </row>
    <row r="1157" customFormat="false" ht="15" hidden="false" customHeight="false" outlineLevel="0" collapsed="false">
      <c r="A1157" s="4" t="n">
        <v>1153</v>
      </c>
      <c r="B1157" s="14" t="n">
        <f aca="false">A1157/12</f>
        <v>96.0833333333333</v>
      </c>
      <c r="C1157" s="15" t="n">
        <f aca="false">INT(A1157/6)</f>
        <v>192</v>
      </c>
      <c r="D1157" s="16" t="n">
        <f aca="false">IF(C1157=0,(1+Dic2024!$G$6)^(-B1157),EXP(LN(INDEX(Dic2024!$H$6:$H$205,C1157))+(LN(INDEX(Dic2024!$H$6:$H$205,MIN(C1157+1,200)))-LN(INDEX(Dic2024!$H$6:$H$205,C1157)))*(A1157-6*C1157)/6))</f>
        <v>0.00357579252820454</v>
      </c>
      <c r="E1157" s="12" t="n">
        <f aca="false">D1157^(-1/B1157)-1</f>
        <v>0.0603850625</v>
      </c>
      <c r="F1157" s="12" t="n">
        <f aca="false">(1+E1157)^(1/12)-1</f>
        <v>0.00489796506237616</v>
      </c>
      <c r="G1157" s="16" t="n">
        <f aca="false">IF(C1157=0,(1+Dic2024!$J$6)^(-B1157),EXP(LN(INDEX(Dic2024!$K$6:$K$205,C1157))+(LN(INDEX(Dic2024!$K$6:$K$205,MIN(C1157+1,200)))-LN(INDEX(Dic2024!$K$6:$K$205,C1157)))*(A1157-6*C1157)/6))</f>
        <v>0.00357579252820454</v>
      </c>
      <c r="H1157" s="12" t="n">
        <f aca="false">G1157^(-1/B1157)-1</f>
        <v>0.0603850625</v>
      </c>
      <c r="I1157" s="12" t="n">
        <f aca="false">(1+H1157)^(1/12)-1</f>
        <v>0.00489796506237616</v>
      </c>
      <c r="J1157" s="16" t="n">
        <f aca="false">IF(C1157=0,(1+Dic2024!$M$6)^(-B1157),EXP(LN(INDEX(Dic2024!$N$6:$N$205,C1157))+(LN(INDEX(Dic2024!$N$6:$N$205,MIN(C1157+1,200)))-LN(INDEX(Dic2024!$N$6:$N$205,C1157)))*(A1157-6*C1157)/6))</f>
        <v>0.00357579252820454</v>
      </c>
      <c r="K1157" s="12" t="n">
        <f aca="false">J1157^(-1/B1157)-1</f>
        <v>0.0603850625</v>
      </c>
      <c r="L1157" s="12" t="n">
        <f aca="false">(1+K1157)^(1/12)-1</f>
        <v>0.00489796506237616</v>
      </c>
    </row>
    <row r="1158" customFormat="false" ht="15" hidden="false" customHeight="false" outlineLevel="0" collapsed="false">
      <c r="A1158" s="4" t="n">
        <v>1154</v>
      </c>
      <c r="B1158" s="14" t="n">
        <f aca="false">A1158/12</f>
        <v>96.1666666666667</v>
      </c>
      <c r="C1158" s="15" t="n">
        <f aca="false">INT(A1158/6)</f>
        <v>192</v>
      </c>
      <c r="D1158" s="16" t="n">
        <f aca="false">IF(C1158=0,(1+Dic2024!$G$6)^(-B1158),EXP(LN(INDEX(Dic2024!$H$6:$H$205,C1158))+(LN(INDEX(Dic2024!$H$6:$H$205,MIN(C1158+1,200)))-LN(INDEX(Dic2024!$H$6:$H$205,C1158)))*(A1158-6*C1158)/6))</f>
        <v>0.00355836378669807</v>
      </c>
      <c r="E1158" s="12" t="n">
        <f aca="false">D1158^(-1/B1158)-1</f>
        <v>0.0603850625</v>
      </c>
      <c r="F1158" s="12" t="n">
        <f aca="false">(1+E1158)^(1/12)-1</f>
        <v>0.00489796506237616</v>
      </c>
      <c r="G1158" s="16" t="n">
        <f aca="false">IF(C1158=0,(1+Dic2024!$J$6)^(-B1158),EXP(LN(INDEX(Dic2024!$K$6:$K$205,C1158))+(LN(INDEX(Dic2024!$K$6:$K$205,MIN(C1158+1,200)))-LN(INDEX(Dic2024!$K$6:$K$205,C1158)))*(A1158-6*C1158)/6))</f>
        <v>0.00355836378669807</v>
      </c>
      <c r="H1158" s="12" t="n">
        <f aca="false">G1158^(-1/B1158)-1</f>
        <v>0.0603850625</v>
      </c>
      <c r="I1158" s="12" t="n">
        <f aca="false">(1+H1158)^(1/12)-1</f>
        <v>0.00489796506237616</v>
      </c>
      <c r="J1158" s="16" t="n">
        <f aca="false">IF(C1158=0,(1+Dic2024!$M$6)^(-B1158),EXP(LN(INDEX(Dic2024!$N$6:$N$205,C1158))+(LN(INDEX(Dic2024!$N$6:$N$205,MIN(C1158+1,200)))-LN(INDEX(Dic2024!$N$6:$N$205,C1158)))*(A1158-6*C1158)/6))</f>
        <v>0.00355836378669807</v>
      </c>
      <c r="K1158" s="12" t="n">
        <f aca="false">J1158^(-1/B1158)-1</f>
        <v>0.0603850625</v>
      </c>
      <c r="L1158" s="12" t="n">
        <f aca="false">(1+K1158)^(1/12)-1</f>
        <v>0.00489796506237616</v>
      </c>
    </row>
    <row r="1159" customFormat="false" ht="15" hidden="false" customHeight="false" outlineLevel="0" collapsed="false">
      <c r="A1159" s="4" t="n">
        <v>1155</v>
      </c>
      <c r="B1159" s="14" t="n">
        <f aca="false">A1159/12</f>
        <v>96.25</v>
      </c>
      <c r="C1159" s="15" t="n">
        <f aca="false">INT(A1159/6)</f>
        <v>192</v>
      </c>
      <c r="D1159" s="16" t="n">
        <f aca="false">IF(C1159=0,(1+Dic2024!$G$6)^(-B1159),EXP(LN(INDEX(Dic2024!$H$6:$H$205,C1159))+(LN(INDEX(Dic2024!$H$6:$H$205,MIN(C1159+1,200)))-LN(INDEX(Dic2024!$H$6:$H$205,C1159)))*(A1159-6*C1159)/6))</f>
        <v>0.00354101999447993</v>
      </c>
      <c r="E1159" s="12" t="n">
        <f aca="false">D1159^(-1/B1159)-1</f>
        <v>0.0603850625</v>
      </c>
      <c r="F1159" s="12" t="n">
        <f aca="false">(1+E1159)^(1/12)-1</f>
        <v>0.00489796506237616</v>
      </c>
      <c r="G1159" s="16" t="n">
        <f aca="false">IF(C1159=0,(1+Dic2024!$J$6)^(-B1159),EXP(LN(INDEX(Dic2024!$K$6:$K$205,C1159))+(LN(INDEX(Dic2024!$K$6:$K$205,MIN(C1159+1,200)))-LN(INDEX(Dic2024!$K$6:$K$205,C1159)))*(A1159-6*C1159)/6))</f>
        <v>0.00354101999447993</v>
      </c>
      <c r="H1159" s="12" t="n">
        <f aca="false">G1159^(-1/B1159)-1</f>
        <v>0.0603850625</v>
      </c>
      <c r="I1159" s="12" t="n">
        <f aca="false">(1+H1159)^(1/12)-1</f>
        <v>0.00489796506237616</v>
      </c>
      <c r="J1159" s="16" t="n">
        <f aca="false">IF(C1159=0,(1+Dic2024!$M$6)^(-B1159),EXP(LN(INDEX(Dic2024!$N$6:$N$205,C1159))+(LN(INDEX(Dic2024!$N$6:$N$205,MIN(C1159+1,200)))-LN(INDEX(Dic2024!$N$6:$N$205,C1159)))*(A1159-6*C1159)/6))</f>
        <v>0.00354101999447993</v>
      </c>
      <c r="K1159" s="12" t="n">
        <f aca="false">J1159^(-1/B1159)-1</f>
        <v>0.0603850625</v>
      </c>
      <c r="L1159" s="12" t="n">
        <f aca="false">(1+K1159)^(1/12)-1</f>
        <v>0.00489796506237616</v>
      </c>
    </row>
    <row r="1160" customFormat="false" ht="15" hidden="false" customHeight="false" outlineLevel="0" collapsed="false">
      <c r="A1160" s="4" t="n">
        <v>1156</v>
      </c>
      <c r="B1160" s="14" t="n">
        <f aca="false">A1160/12</f>
        <v>96.3333333333333</v>
      </c>
      <c r="C1160" s="15" t="n">
        <f aca="false">INT(A1160/6)</f>
        <v>192</v>
      </c>
      <c r="D1160" s="16" t="n">
        <f aca="false">IF(C1160=0,(1+Dic2024!$G$6)^(-B1160),EXP(LN(INDEX(Dic2024!$H$6:$H$205,C1160))+(LN(INDEX(Dic2024!$H$6:$H$205,MIN(C1160+1,200)))-LN(INDEX(Dic2024!$H$6:$H$205,C1160)))*(A1160-6*C1160)/6))</f>
        <v>0.00352376073749949</v>
      </c>
      <c r="E1160" s="12" t="n">
        <f aca="false">D1160^(-1/B1160)-1</f>
        <v>0.0603850625</v>
      </c>
      <c r="F1160" s="12" t="n">
        <f aca="false">(1+E1160)^(1/12)-1</f>
        <v>0.00489796506237616</v>
      </c>
      <c r="G1160" s="16" t="n">
        <f aca="false">IF(C1160=0,(1+Dic2024!$J$6)^(-B1160),EXP(LN(INDEX(Dic2024!$K$6:$K$205,C1160))+(LN(INDEX(Dic2024!$K$6:$K$205,MIN(C1160+1,200)))-LN(INDEX(Dic2024!$K$6:$K$205,C1160)))*(A1160-6*C1160)/6))</f>
        <v>0.00352376073749949</v>
      </c>
      <c r="H1160" s="12" t="n">
        <f aca="false">G1160^(-1/B1160)-1</f>
        <v>0.0603850625</v>
      </c>
      <c r="I1160" s="12" t="n">
        <f aca="false">(1+H1160)^(1/12)-1</f>
        <v>0.00489796506237616</v>
      </c>
      <c r="J1160" s="16" t="n">
        <f aca="false">IF(C1160=0,(1+Dic2024!$M$6)^(-B1160),EXP(LN(INDEX(Dic2024!$N$6:$N$205,C1160))+(LN(INDEX(Dic2024!$N$6:$N$205,MIN(C1160+1,200)))-LN(INDEX(Dic2024!$N$6:$N$205,C1160)))*(A1160-6*C1160)/6))</f>
        <v>0.00352376073749949</v>
      </c>
      <c r="K1160" s="12" t="n">
        <f aca="false">J1160^(-1/B1160)-1</f>
        <v>0.0603850625</v>
      </c>
      <c r="L1160" s="12" t="n">
        <f aca="false">(1+K1160)^(1/12)-1</f>
        <v>0.00489796506237616</v>
      </c>
    </row>
    <row r="1161" customFormat="false" ht="15" hidden="false" customHeight="false" outlineLevel="0" collapsed="false">
      <c r="A1161" s="4" t="n">
        <v>1157</v>
      </c>
      <c r="B1161" s="14" t="n">
        <f aca="false">A1161/12</f>
        <v>96.4166666666667</v>
      </c>
      <c r="C1161" s="15" t="n">
        <f aca="false">INT(A1161/6)</f>
        <v>192</v>
      </c>
      <c r="D1161" s="16" t="n">
        <f aca="false">IF(C1161=0,(1+Dic2024!$G$6)^(-B1161),EXP(LN(INDEX(Dic2024!$H$6:$H$205,C1161))+(LN(INDEX(Dic2024!$H$6:$H$205,MIN(C1161+1,200)))-LN(INDEX(Dic2024!$H$6:$H$205,C1161)))*(A1161-6*C1161)/6))</f>
        <v>0.00350658560372421</v>
      </c>
      <c r="E1161" s="12" t="n">
        <f aca="false">D1161^(-1/B1161)-1</f>
        <v>0.0603850625</v>
      </c>
      <c r="F1161" s="12" t="n">
        <f aca="false">(1+E1161)^(1/12)-1</f>
        <v>0.00489796506237616</v>
      </c>
      <c r="G1161" s="16" t="n">
        <f aca="false">IF(C1161=0,(1+Dic2024!$J$6)^(-B1161),EXP(LN(INDEX(Dic2024!$K$6:$K$205,C1161))+(LN(INDEX(Dic2024!$K$6:$K$205,MIN(C1161+1,200)))-LN(INDEX(Dic2024!$K$6:$K$205,C1161)))*(A1161-6*C1161)/6))</f>
        <v>0.00350658560372421</v>
      </c>
      <c r="H1161" s="12" t="n">
        <f aca="false">G1161^(-1/B1161)-1</f>
        <v>0.0603850625</v>
      </c>
      <c r="I1161" s="12" t="n">
        <f aca="false">(1+H1161)^(1/12)-1</f>
        <v>0.00489796506237616</v>
      </c>
      <c r="J1161" s="16" t="n">
        <f aca="false">IF(C1161=0,(1+Dic2024!$M$6)^(-B1161),EXP(LN(INDEX(Dic2024!$N$6:$N$205,C1161))+(LN(INDEX(Dic2024!$N$6:$N$205,MIN(C1161+1,200)))-LN(INDEX(Dic2024!$N$6:$N$205,C1161)))*(A1161-6*C1161)/6))</f>
        <v>0.00350658560372421</v>
      </c>
      <c r="K1161" s="12" t="n">
        <f aca="false">J1161^(-1/B1161)-1</f>
        <v>0.0603850625</v>
      </c>
      <c r="L1161" s="12" t="n">
        <f aca="false">(1+K1161)^(1/12)-1</f>
        <v>0.00489796506237616</v>
      </c>
    </row>
    <row r="1162" customFormat="false" ht="15" hidden="false" customHeight="false" outlineLevel="0" collapsed="false">
      <c r="A1162" s="4" t="n">
        <v>1158</v>
      </c>
      <c r="B1162" s="14" t="n">
        <f aca="false">A1162/12</f>
        <v>96.5</v>
      </c>
      <c r="C1162" s="15" t="n">
        <f aca="false">INT(A1162/6)</f>
        <v>193</v>
      </c>
      <c r="D1162" s="16" t="n">
        <f aca="false">IF(C1162=0,(1+Dic2024!$G$6)^(-B1162),EXP(LN(INDEX(Dic2024!$H$6:$H$205,C1162))+(LN(INDEX(Dic2024!$H$6:$H$205,MIN(C1162+1,200)))-LN(INDEX(Dic2024!$H$6:$H$205,C1162)))*(A1162-6*C1162)/6))</f>
        <v>0.00348949418312988</v>
      </c>
      <c r="E1162" s="12" t="n">
        <f aca="false">D1162^(-1/B1162)-1</f>
        <v>0.0603850625</v>
      </c>
      <c r="F1162" s="12" t="n">
        <f aca="false">(1+E1162)^(1/12)-1</f>
        <v>0.00489796506237616</v>
      </c>
      <c r="G1162" s="16" t="n">
        <f aca="false">IF(C1162=0,(1+Dic2024!$J$6)^(-B1162),EXP(LN(INDEX(Dic2024!$K$6:$K$205,C1162))+(LN(INDEX(Dic2024!$K$6:$K$205,MIN(C1162+1,200)))-LN(INDEX(Dic2024!$K$6:$K$205,C1162)))*(A1162-6*C1162)/6))</f>
        <v>0.00348949418312988</v>
      </c>
      <c r="H1162" s="12" t="n">
        <f aca="false">G1162^(-1/B1162)-1</f>
        <v>0.0603850625</v>
      </c>
      <c r="I1162" s="12" t="n">
        <f aca="false">(1+H1162)^(1/12)-1</f>
        <v>0.00489796506237616</v>
      </c>
      <c r="J1162" s="16" t="n">
        <f aca="false">IF(C1162=0,(1+Dic2024!$M$6)^(-B1162),EXP(LN(INDEX(Dic2024!$N$6:$N$205,C1162))+(LN(INDEX(Dic2024!$N$6:$N$205,MIN(C1162+1,200)))-LN(INDEX(Dic2024!$N$6:$N$205,C1162)))*(A1162-6*C1162)/6))</f>
        <v>0.00348949418312988</v>
      </c>
      <c r="K1162" s="12" t="n">
        <f aca="false">J1162^(-1/B1162)-1</f>
        <v>0.0603850625</v>
      </c>
      <c r="L1162" s="12" t="n">
        <f aca="false">(1+K1162)^(1/12)-1</f>
        <v>0.00489796506237616</v>
      </c>
    </row>
    <row r="1163" customFormat="false" ht="15" hidden="false" customHeight="false" outlineLevel="0" collapsed="false">
      <c r="A1163" s="4" t="n">
        <v>1159</v>
      </c>
      <c r="B1163" s="14" t="n">
        <f aca="false">A1163/12</f>
        <v>96.5833333333333</v>
      </c>
      <c r="C1163" s="15" t="n">
        <f aca="false">INT(A1163/6)</f>
        <v>193</v>
      </c>
      <c r="D1163" s="16" t="n">
        <f aca="false">IF(C1163=0,(1+Dic2024!$G$6)^(-B1163),EXP(LN(INDEX(Dic2024!$H$6:$H$205,C1163))+(LN(INDEX(Dic2024!$H$6:$H$205,MIN(C1163+1,200)))-LN(INDEX(Dic2024!$H$6:$H$205,C1163)))*(A1163-6*C1163)/6))</f>
        <v>0.00347248606769074</v>
      </c>
      <c r="E1163" s="12" t="n">
        <f aca="false">D1163^(-1/B1163)-1</f>
        <v>0.0603850625</v>
      </c>
      <c r="F1163" s="12" t="n">
        <f aca="false">(1+E1163)^(1/12)-1</f>
        <v>0.00489796506237616</v>
      </c>
      <c r="G1163" s="16" t="n">
        <f aca="false">IF(C1163=0,(1+Dic2024!$J$6)^(-B1163),EXP(LN(INDEX(Dic2024!$K$6:$K$205,C1163))+(LN(INDEX(Dic2024!$K$6:$K$205,MIN(C1163+1,200)))-LN(INDEX(Dic2024!$K$6:$K$205,C1163)))*(A1163-6*C1163)/6))</f>
        <v>0.00347248606769074</v>
      </c>
      <c r="H1163" s="12" t="n">
        <f aca="false">G1163^(-1/B1163)-1</f>
        <v>0.0603850625</v>
      </c>
      <c r="I1163" s="12" t="n">
        <f aca="false">(1+H1163)^(1/12)-1</f>
        <v>0.00489796506237616</v>
      </c>
      <c r="J1163" s="16" t="n">
        <f aca="false">IF(C1163=0,(1+Dic2024!$M$6)^(-B1163),EXP(LN(INDEX(Dic2024!$N$6:$N$205,C1163))+(LN(INDEX(Dic2024!$N$6:$N$205,MIN(C1163+1,200)))-LN(INDEX(Dic2024!$N$6:$N$205,C1163)))*(A1163-6*C1163)/6))</f>
        <v>0.00347248606769074</v>
      </c>
      <c r="K1163" s="12" t="n">
        <f aca="false">J1163^(-1/B1163)-1</f>
        <v>0.0603850625</v>
      </c>
      <c r="L1163" s="12" t="n">
        <f aca="false">(1+K1163)^(1/12)-1</f>
        <v>0.00489796506237616</v>
      </c>
    </row>
    <row r="1164" customFormat="false" ht="15" hidden="false" customHeight="false" outlineLevel="0" collapsed="false">
      <c r="A1164" s="4" t="n">
        <v>1160</v>
      </c>
      <c r="B1164" s="14" t="n">
        <f aca="false">A1164/12</f>
        <v>96.6666666666667</v>
      </c>
      <c r="C1164" s="15" t="n">
        <f aca="false">INT(A1164/6)</f>
        <v>193</v>
      </c>
      <c r="D1164" s="16" t="n">
        <f aca="false">IF(C1164=0,(1+Dic2024!$G$6)^(-B1164),EXP(LN(INDEX(Dic2024!$H$6:$H$205,C1164))+(LN(INDEX(Dic2024!$H$6:$H$205,MIN(C1164+1,200)))-LN(INDEX(Dic2024!$H$6:$H$205,C1164)))*(A1164-6*C1164)/6))</f>
        <v>0.00345556085136982</v>
      </c>
      <c r="E1164" s="12" t="n">
        <f aca="false">D1164^(-1/B1164)-1</f>
        <v>0.0603850625</v>
      </c>
      <c r="F1164" s="12" t="n">
        <f aca="false">(1+E1164)^(1/12)-1</f>
        <v>0.00489796506237616</v>
      </c>
      <c r="G1164" s="16" t="n">
        <f aca="false">IF(C1164=0,(1+Dic2024!$J$6)^(-B1164),EXP(LN(INDEX(Dic2024!$K$6:$K$205,C1164))+(LN(INDEX(Dic2024!$K$6:$K$205,MIN(C1164+1,200)))-LN(INDEX(Dic2024!$K$6:$K$205,C1164)))*(A1164-6*C1164)/6))</f>
        <v>0.00345556085136982</v>
      </c>
      <c r="H1164" s="12" t="n">
        <f aca="false">G1164^(-1/B1164)-1</f>
        <v>0.0603850625</v>
      </c>
      <c r="I1164" s="12" t="n">
        <f aca="false">(1+H1164)^(1/12)-1</f>
        <v>0.00489796506237616</v>
      </c>
      <c r="J1164" s="16" t="n">
        <f aca="false">IF(C1164=0,(1+Dic2024!$M$6)^(-B1164),EXP(LN(INDEX(Dic2024!$N$6:$N$205,C1164))+(LN(INDEX(Dic2024!$N$6:$N$205,MIN(C1164+1,200)))-LN(INDEX(Dic2024!$N$6:$N$205,C1164)))*(A1164-6*C1164)/6))</f>
        <v>0.00345556085136982</v>
      </c>
      <c r="K1164" s="12" t="n">
        <f aca="false">J1164^(-1/B1164)-1</f>
        <v>0.0603850625</v>
      </c>
      <c r="L1164" s="12" t="n">
        <f aca="false">(1+K1164)^(1/12)-1</f>
        <v>0.00489796506237616</v>
      </c>
    </row>
    <row r="1165" customFormat="false" ht="15" hidden="false" customHeight="false" outlineLevel="0" collapsed="false">
      <c r="A1165" s="4" t="n">
        <v>1161</v>
      </c>
      <c r="B1165" s="14" t="n">
        <f aca="false">A1165/12</f>
        <v>96.75</v>
      </c>
      <c r="C1165" s="15" t="n">
        <f aca="false">INT(A1165/6)</f>
        <v>193</v>
      </c>
      <c r="D1165" s="16" t="n">
        <f aca="false">IF(C1165=0,(1+Dic2024!$G$6)^(-B1165),EXP(LN(INDEX(Dic2024!$H$6:$H$205,C1165))+(LN(INDEX(Dic2024!$H$6:$H$205,MIN(C1165+1,200)))-LN(INDEX(Dic2024!$H$6:$H$205,C1165)))*(A1165-6*C1165)/6))</f>
        <v>0.00343871813010918</v>
      </c>
      <c r="E1165" s="12" t="n">
        <f aca="false">D1165^(-1/B1165)-1</f>
        <v>0.0603850625</v>
      </c>
      <c r="F1165" s="12" t="n">
        <f aca="false">(1+E1165)^(1/12)-1</f>
        <v>0.00489796506237616</v>
      </c>
      <c r="G1165" s="16" t="n">
        <f aca="false">IF(C1165=0,(1+Dic2024!$J$6)^(-B1165),EXP(LN(INDEX(Dic2024!$K$6:$K$205,C1165))+(LN(INDEX(Dic2024!$K$6:$K$205,MIN(C1165+1,200)))-LN(INDEX(Dic2024!$K$6:$K$205,C1165)))*(A1165-6*C1165)/6))</f>
        <v>0.00343871813010918</v>
      </c>
      <c r="H1165" s="12" t="n">
        <f aca="false">G1165^(-1/B1165)-1</f>
        <v>0.0603850625</v>
      </c>
      <c r="I1165" s="12" t="n">
        <f aca="false">(1+H1165)^(1/12)-1</f>
        <v>0.00489796506237616</v>
      </c>
      <c r="J1165" s="16" t="n">
        <f aca="false">IF(C1165=0,(1+Dic2024!$M$6)^(-B1165),EXP(LN(INDEX(Dic2024!$N$6:$N$205,C1165))+(LN(INDEX(Dic2024!$N$6:$N$205,MIN(C1165+1,200)))-LN(INDEX(Dic2024!$N$6:$N$205,C1165)))*(A1165-6*C1165)/6))</f>
        <v>0.00343871813010918</v>
      </c>
      <c r="K1165" s="12" t="n">
        <f aca="false">J1165^(-1/B1165)-1</f>
        <v>0.0603850625</v>
      </c>
      <c r="L1165" s="12" t="n">
        <f aca="false">(1+K1165)^(1/12)-1</f>
        <v>0.00489796506237616</v>
      </c>
    </row>
    <row r="1166" customFormat="false" ht="15" hidden="false" customHeight="false" outlineLevel="0" collapsed="false">
      <c r="A1166" s="4" t="n">
        <v>1162</v>
      </c>
      <c r="B1166" s="14" t="n">
        <f aca="false">A1166/12</f>
        <v>96.8333333333333</v>
      </c>
      <c r="C1166" s="15" t="n">
        <f aca="false">INT(A1166/6)</f>
        <v>193</v>
      </c>
      <c r="D1166" s="16" t="n">
        <f aca="false">IF(C1166=0,(1+Dic2024!$G$6)^(-B1166),EXP(LN(INDEX(Dic2024!$H$6:$H$205,C1166))+(LN(INDEX(Dic2024!$H$6:$H$205,MIN(C1166+1,200)))-LN(INDEX(Dic2024!$H$6:$H$205,C1166)))*(A1166-6*C1166)/6))</f>
        <v>0.00342195750182033</v>
      </c>
      <c r="E1166" s="12" t="n">
        <f aca="false">D1166^(-1/B1166)-1</f>
        <v>0.0603850625</v>
      </c>
      <c r="F1166" s="12" t="n">
        <f aca="false">(1+E1166)^(1/12)-1</f>
        <v>0.00489796506237616</v>
      </c>
      <c r="G1166" s="16" t="n">
        <f aca="false">IF(C1166=0,(1+Dic2024!$J$6)^(-B1166),EXP(LN(INDEX(Dic2024!$K$6:$K$205,C1166))+(LN(INDEX(Dic2024!$K$6:$K$205,MIN(C1166+1,200)))-LN(INDEX(Dic2024!$K$6:$K$205,C1166)))*(A1166-6*C1166)/6))</f>
        <v>0.00342195750182033</v>
      </c>
      <c r="H1166" s="12" t="n">
        <f aca="false">G1166^(-1/B1166)-1</f>
        <v>0.0603850625</v>
      </c>
      <c r="I1166" s="12" t="n">
        <f aca="false">(1+H1166)^(1/12)-1</f>
        <v>0.00489796506237616</v>
      </c>
      <c r="J1166" s="16" t="n">
        <f aca="false">IF(C1166=0,(1+Dic2024!$M$6)^(-B1166),EXP(LN(INDEX(Dic2024!$N$6:$N$205,C1166))+(LN(INDEX(Dic2024!$N$6:$N$205,MIN(C1166+1,200)))-LN(INDEX(Dic2024!$N$6:$N$205,C1166)))*(A1166-6*C1166)/6))</f>
        <v>0.00342195750182033</v>
      </c>
      <c r="K1166" s="12" t="n">
        <f aca="false">J1166^(-1/B1166)-1</f>
        <v>0.0603850625</v>
      </c>
      <c r="L1166" s="12" t="n">
        <f aca="false">(1+K1166)^(1/12)-1</f>
        <v>0.00489796506237616</v>
      </c>
    </row>
    <row r="1167" customFormat="false" ht="15" hidden="false" customHeight="false" outlineLevel="0" collapsed="false">
      <c r="A1167" s="4" t="n">
        <v>1163</v>
      </c>
      <c r="B1167" s="14" t="n">
        <f aca="false">A1167/12</f>
        <v>96.9166666666667</v>
      </c>
      <c r="C1167" s="15" t="n">
        <f aca="false">INT(A1167/6)</f>
        <v>193</v>
      </c>
      <c r="D1167" s="16" t="n">
        <f aca="false">IF(C1167=0,(1+Dic2024!$G$6)^(-B1167),EXP(LN(INDEX(Dic2024!$H$6:$H$205,C1167))+(LN(INDEX(Dic2024!$H$6:$H$205,MIN(C1167+1,200)))-LN(INDEX(Dic2024!$H$6:$H$205,C1167)))*(A1167-6*C1167)/6))</f>
        <v>0.00340527856637457</v>
      </c>
      <c r="E1167" s="12" t="n">
        <f aca="false">D1167^(-1/B1167)-1</f>
        <v>0.0603850625</v>
      </c>
      <c r="F1167" s="12" t="n">
        <f aca="false">(1+E1167)^(1/12)-1</f>
        <v>0.00489796506237616</v>
      </c>
      <c r="G1167" s="16" t="n">
        <f aca="false">IF(C1167=0,(1+Dic2024!$J$6)^(-B1167),EXP(LN(INDEX(Dic2024!$K$6:$K$205,C1167))+(LN(INDEX(Dic2024!$K$6:$K$205,MIN(C1167+1,200)))-LN(INDEX(Dic2024!$K$6:$K$205,C1167)))*(A1167-6*C1167)/6))</f>
        <v>0.00340527856637457</v>
      </c>
      <c r="H1167" s="12" t="n">
        <f aca="false">G1167^(-1/B1167)-1</f>
        <v>0.0603850625</v>
      </c>
      <c r="I1167" s="12" t="n">
        <f aca="false">(1+H1167)^(1/12)-1</f>
        <v>0.00489796506237616</v>
      </c>
      <c r="J1167" s="16" t="n">
        <f aca="false">IF(C1167=0,(1+Dic2024!$M$6)^(-B1167),EXP(LN(INDEX(Dic2024!$N$6:$N$205,C1167))+(LN(INDEX(Dic2024!$N$6:$N$205,MIN(C1167+1,200)))-LN(INDEX(Dic2024!$N$6:$N$205,C1167)))*(A1167-6*C1167)/6))</f>
        <v>0.00340527856637457</v>
      </c>
      <c r="K1167" s="12" t="n">
        <f aca="false">J1167^(-1/B1167)-1</f>
        <v>0.0603850625</v>
      </c>
      <c r="L1167" s="12" t="n">
        <f aca="false">(1+K1167)^(1/12)-1</f>
        <v>0.00489796506237616</v>
      </c>
    </row>
    <row r="1168" customFormat="false" ht="15" hidden="false" customHeight="false" outlineLevel="0" collapsed="false">
      <c r="A1168" s="4" t="n">
        <v>1164</v>
      </c>
      <c r="B1168" s="14" t="n">
        <f aca="false">A1168/12</f>
        <v>97</v>
      </c>
      <c r="C1168" s="15" t="n">
        <f aca="false">INT(A1168/6)</f>
        <v>194</v>
      </c>
      <c r="D1168" s="16" t="n">
        <f aca="false">IF(C1168=0,(1+Dic2024!$G$6)^(-B1168),EXP(LN(INDEX(Dic2024!$H$6:$H$205,C1168))+(LN(INDEX(Dic2024!$H$6:$H$205,MIN(C1168+1,200)))-LN(INDEX(Dic2024!$H$6:$H$205,C1168)))*(A1168-6*C1168)/6))</f>
        <v>0.00338868092559347</v>
      </c>
      <c r="E1168" s="12" t="n">
        <f aca="false">D1168^(-1/B1168)-1</f>
        <v>0.0603850625</v>
      </c>
      <c r="F1168" s="12" t="n">
        <f aca="false">(1+E1168)^(1/12)-1</f>
        <v>0.00489796506237616</v>
      </c>
      <c r="G1168" s="16" t="n">
        <f aca="false">IF(C1168=0,(1+Dic2024!$J$6)^(-B1168),EXP(LN(INDEX(Dic2024!$K$6:$K$205,C1168))+(LN(INDEX(Dic2024!$K$6:$K$205,MIN(C1168+1,200)))-LN(INDEX(Dic2024!$K$6:$K$205,C1168)))*(A1168-6*C1168)/6))</f>
        <v>0.00338868092559347</v>
      </c>
      <c r="H1168" s="12" t="n">
        <f aca="false">G1168^(-1/B1168)-1</f>
        <v>0.0603850625</v>
      </c>
      <c r="I1168" s="12" t="n">
        <f aca="false">(1+H1168)^(1/12)-1</f>
        <v>0.00489796506237616</v>
      </c>
      <c r="J1168" s="16" t="n">
        <f aca="false">IF(C1168=0,(1+Dic2024!$M$6)^(-B1168),EXP(LN(INDEX(Dic2024!$N$6:$N$205,C1168))+(LN(INDEX(Dic2024!$N$6:$N$205,MIN(C1168+1,200)))-LN(INDEX(Dic2024!$N$6:$N$205,C1168)))*(A1168-6*C1168)/6))</f>
        <v>0.00338868092559347</v>
      </c>
      <c r="K1168" s="12" t="n">
        <f aca="false">J1168^(-1/B1168)-1</f>
        <v>0.0603850625</v>
      </c>
      <c r="L1168" s="12" t="n">
        <f aca="false">(1+K1168)^(1/12)-1</f>
        <v>0.00489796506237616</v>
      </c>
    </row>
    <row r="1169" customFormat="false" ht="15" hidden="false" customHeight="false" outlineLevel="0" collapsed="false">
      <c r="A1169" s="4" t="n">
        <v>1165</v>
      </c>
      <c r="B1169" s="14" t="n">
        <f aca="false">A1169/12</f>
        <v>97.0833333333333</v>
      </c>
      <c r="C1169" s="15" t="n">
        <f aca="false">INT(A1169/6)</f>
        <v>194</v>
      </c>
      <c r="D1169" s="16" t="n">
        <f aca="false">IF(C1169=0,(1+Dic2024!$G$6)^(-B1169),EXP(LN(INDEX(Dic2024!$H$6:$H$205,C1169))+(LN(INDEX(Dic2024!$H$6:$H$205,MIN(C1169+1,200)))-LN(INDEX(Dic2024!$H$6:$H$205,C1169)))*(A1169-6*C1169)/6))</f>
        <v>0.00337216418323937</v>
      </c>
      <c r="E1169" s="12" t="n">
        <f aca="false">D1169^(-1/B1169)-1</f>
        <v>0.0603850625</v>
      </c>
      <c r="F1169" s="12" t="n">
        <f aca="false">(1+E1169)^(1/12)-1</f>
        <v>0.00489796506237616</v>
      </c>
      <c r="G1169" s="16" t="n">
        <f aca="false">IF(C1169=0,(1+Dic2024!$J$6)^(-B1169),EXP(LN(INDEX(Dic2024!$K$6:$K$205,C1169))+(LN(INDEX(Dic2024!$K$6:$K$205,MIN(C1169+1,200)))-LN(INDEX(Dic2024!$K$6:$K$205,C1169)))*(A1169-6*C1169)/6))</f>
        <v>0.00337216418323937</v>
      </c>
      <c r="H1169" s="12" t="n">
        <f aca="false">G1169^(-1/B1169)-1</f>
        <v>0.0603850625</v>
      </c>
      <c r="I1169" s="12" t="n">
        <f aca="false">(1+H1169)^(1/12)-1</f>
        <v>0.00489796506237616</v>
      </c>
      <c r="J1169" s="16" t="n">
        <f aca="false">IF(C1169=0,(1+Dic2024!$M$6)^(-B1169),EXP(LN(INDEX(Dic2024!$N$6:$N$205,C1169))+(LN(INDEX(Dic2024!$N$6:$N$205,MIN(C1169+1,200)))-LN(INDEX(Dic2024!$N$6:$N$205,C1169)))*(A1169-6*C1169)/6))</f>
        <v>0.00337216418323937</v>
      </c>
      <c r="K1169" s="12" t="n">
        <f aca="false">J1169^(-1/B1169)-1</f>
        <v>0.0603850625</v>
      </c>
      <c r="L1169" s="12" t="n">
        <f aca="false">(1+K1169)^(1/12)-1</f>
        <v>0.00489796506237616</v>
      </c>
    </row>
    <row r="1170" customFormat="false" ht="15" hidden="false" customHeight="false" outlineLevel="0" collapsed="false">
      <c r="A1170" s="4" t="n">
        <v>1166</v>
      </c>
      <c r="B1170" s="14" t="n">
        <f aca="false">A1170/12</f>
        <v>97.1666666666667</v>
      </c>
      <c r="C1170" s="15" t="n">
        <f aca="false">INT(A1170/6)</f>
        <v>194</v>
      </c>
      <c r="D1170" s="16" t="n">
        <f aca="false">IF(C1170=0,(1+Dic2024!$G$6)^(-B1170),EXP(LN(INDEX(Dic2024!$H$6:$H$205,C1170))+(LN(INDEX(Dic2024!$H$6:$H$205,MIN(C1170+1,200)))-LN(INDEX(Dic2024!$H$6:$H$205,C1170)))*(A1170-6*C1170)/6))</f>
        <v>0.00335572794500589</v>
      </c>
      <c r="E1170" s="12" t="n">
        <f aca="false">D1170^(-1/B1170)-1</f>
        <v>0.0603850625</v>
      </c>
      <c r="F1170" s="12" t="n">
        <f aca="false">(1+E1170)^(1/12)-1</f>
        <v>0.00489796506237616</v>
      </c>
      <c r="G1170" s="16" t="n">
        <f aca="false">IF(C1170=0,(1+Dic2024!$J$6)^(-B1170),EXP(LN(INDEX(Dic2024!$K$6:$K$205,C1170))+(LN(INDEX(Dic2024!$K$6:$K$205,MIN(C1170+1,200)))-LN(INDEX(Dic2024!$K$6:$K$205,C1170)))*(A1170-6*C1170)/6))</f>
        <v>0.00335572794500589</v>
      </c>
      <c r="H1170" s="12" t="n">
        <f aca="false">G1170^(-1/B1170)-1</f>
        <v>0.0603850625</v>
      </c>
      <c r="I1170" s="12" t="n">
        <f aca="false">(1+H1170)^(1/12)-1</f>
        <v>0.00489796506237616</v>
      </c>
      <c r="J1170" s="16" t="n">
        <f aca="false">IF(C1170=0,(1+Dic2024!$M$6)^(-B1170),EXP(LN(INDEX(Dic2024!$N$6:$N$205,C1170))+(LN(INDEX(Dic2024!$N$6:$N$205,MIN(C1170+1,200)))-LN(INDEX(Dic2024!$N$6:$N$205,C1170)))*(A1170-6*C1170)/6))</f>
        <v>0.00335572794500589</v>
      </c>
      <c r="K1170" s="12" t="n">
        <f aca="false">J1170^(-1/B1170)-1</f>
        <v>0.0603850625</v>
      </c>
      <c r="L1170" s="12" t="n">
        <f aca="false">(1+K1170)^(1/12)-1</f>
        <v>0.00489796506237616</v>
      </c>
    </row>
    <row r="1171" customFormat="false" ht="15" hidden="false" customHeight="false" outlineLevel="0" collapsed="false">
      <c r="A1171" s="4" t="n">
        <v>1167</v>
      </c>
      <c r="B1171" s="14" t="n">
        <f aca="false">A1171/12</f>
        <v>97.25</v>
      </c>
      <c r="C1171" s="15" t="n">
        <f aca="false">INT(A1171/6)</f>
        <v>194</v>
      </c>
      <c r="D1171" s="16" t="n">
        <f aca="false">IF(C1171=0,(1+Dic2024!$G$6)^(-B1171),EXP(LN(INDEX(Dic2024!$H$6:$H$205,C1171))+(LN(INDEX(Dic2024!$H$6:$H$205,MIN(C1171+1,200)))-LN(INDEX(Dic2024!$H$6:$H$205,C1171)))*(A1171-6*C1171)/6))</f>
        <v>0.00333937181850856</v>
      </c>
      <c r="E1171" s="12" t="n">
        <f aca="false">D1171^(-1/B1171)-1</f>
        <v>0.0603850625</v>
      </c>
      <c r="F1171" s="12" t="n">
        <f aca="false">(1+E1171)^(1/12)-1</f>
        <v>0.00489796506237616</v>
      </c>
      <c r="G1171" s="16" t="n">
        <f aca="false">IF(C1171=0,(1+Dic2024!$J$6)^(-B1171),EXP(LN(INDEX(Dic2024!$K$6:$K$205,C1171))+(LN(INDEX(Dic2024!$K$6:$K$205,MIN(C1171+1,200)))-LN(INDEX(Dic2024!$K$6:$K$205,C1171)))*(A1171-6*C1171)/6))</f>
        <v>0.00333937181850856</v>
      </c>
      <c r="H1171" s="12" t="n">
        <f aca="false">G1171^(-1/B1171)-1</f>
        <v>0.0603850625</v>
      </c>
      <c r="I1171" s="12" t="n">
        <f aca="false">(1+H1171)^(1/12)-1</f>
        <v>0.00489796506237616</v>
      </c>
      <c r="J1171" s="16" t="n">
        <f aca="false">IF(C1171=0,(1+Dic2024!$M$6)^(-B1171),EXP(LN(INDEX(Dic2024!$N$6:$N$205,C1171))+(LN(INDEX(Dic2024!$N$6:$N$205,MIN(C1171+1,200)))-LN(INDEX(Dic2024!$N$6:$N$205,C1171)))*(A1171-6*C1171)/6))</f>
        <v>0.00333937181850856</v>
      </c>
      <c r="K1171" s="12" t="n">
        <f aca="false">J1171^(-1/B1171)-1</f>
        <v>0.0603850625</v>
      </c>
      <c r="L1171" s="12" t="n">
        <f aca="false">(1+K1171)^(1/12)-1</f>
        <v>0.00489796506237616</v>
      </c>
    </row>
    <row r="1172" customFormat="false" ht="15" hidden="false" customHeight="false" outlineLevel="0" collapsed="false">
      <c r="A1172" s="4" t="n">
        <v>1168</v>
      </c>
      <c r="B1172" s="14" t="n">
        <f aca="false">A1172/12</f>
        <v>97.3333333333333</v>
      </c>
      <c r="C1172" s="15" t="n">
        <f aca="false">INT(A1172/6)</f>
        <v>194</v>
      </c>
      <c r="D1172" s="16" t="n">
        <f aca="false">IF(C1172=0,(1+Dic2024!$G$6)^(-B1172),EXP(LN(INDEX(Dic2024!$H$6:$H$205,C1172))+(LN(INDEX(Dic2024!$H$6:$H$205,MIN(C1172+1,200)))-LN(INDEX(Dic2024!$H$6:$H$205,C1172)))*(A1172-6*C1172)/6))</f>
        <v>0.00332309541327539</v>
      </c>
      <c r="E1172" s="12" t="n">
        <f aca="false">D1172^(-1/B1172)-1</f>
        <v>0.0603850625</v>
      </c>
      <c r="F1172" s="12" t="n">
        <f aca="false">(1+E1172)^(1/12)-1</f>
        <v>0.00489796506237616</v>
      </c>
      <c r="G1172" s="16" t="n">
        <f aca="false">IF(C1172=0,(1+Dic2024!$J$6)^(-B1172),EXP(LN(INDEX(Dic2024!$K$6:$K$205,C1172))+(LN(INDEX(Dic2024!$K$6:$K$205,MIN(C1172+1,200)))-LN(INDEX(Dic2024!$K$6:$K$205,C1172)))*(A1172-6*C1172)/6))</f>
        <v>0.00332309541327539</v>
      </c>
      <c r="H1172" s="12" t="n">
        <f aca="false">G1172^(-1/B1172)-1</f>
        <v>0.0603850625</v>
      </c>
      <c r="I1172" s="12" t="n">
        <f aca="false">(1+H1172)^(1/12)-1</f>
        <v>0.00489796506237616</v>
      </c>
      <c r="J1172" s="16" t="n">
        <f aca="false">IF(C1172=0,(1+Dic2024!$M$6)^(-B1172),EXP(LN(INDEX(Dic2024!$N$6:$N$205,C1172))+(LN(INDEX(Dic2024!$N$6:$N$205,MIN(C1172+1,200)))-LN(INDEX(Dic2024!$N$6:$N$205,C1172)))*(A1172-6*C1172)/6))</f>
        <v>0.00332309541327539</v>
      </c>
      <c r="K1172" s="12" t="n">
        <f aca="false">J1172^(-1/B1172)-1</f>
        <v>0.0603850625</v>
      </c>
      <c r="L1172" s="12" t="n">
        <f aca="false">(1+K1172)^(1/12)-1</f>
        <v>0.00489796506237616</v>
      </c>
    </row>
    <row r="1173" customFormat="false" ht="15" hidden="false" customHeight="false" outlineLevel="0" collapsed="false">
      <c r="A1173" s="4" t="n">
        <v>1169</v>
      </c>
      <c r="B1173" s="14" t="n">
        <f aca="false">A1173/12</f>
        <v>97.4166666666667</v>
      </c>
      <c r="C1173" s="15" t="n">
        <f aca="false">INT(A1173/6)</f>
        <v>194</v>
      </c>
      <c r="D1173" s="16" t="n">
        <f aca="false">IF(C1173=0,(1+Dic2024!$G$6)^(-B1173),EXP(LN(INDEX(Dic2024!$H$6:$H$205,C1173))+(LN(INDEX(Dic2024!$H$6:$H$205,MIN(C1173+1,200)))-LN(INDEX(Dic2024!$H$6:$H$205,C1173)))*(A1173-6*C1173)/6))</f>
        <v>0.00330689834073763</v>
      </c>
      <c r="E1173" s="12" t="n">
        <f aca="false">D1173^(-1/B1173)-1</f>
        <v>0.0603850625</v>
      </c>
      <c r="F1173" s="12" t="n">
        <f aca="false">(1+E1173)^(1/12)-1</f>
        <v>0.00489796506237616</v>
      </c>
      <c r="G1173" s="16" t="n">
        <f aca="false">IF(C1173=0,(1+Dic2024!$J$6)^(-B1173),EXP(LN(INDEX(Dic2024!$K$6:$K$205,C1173))+(LN(INDEX(Dic2024!$K$6:$K$205,MIN(C1173+1,200)))-LN(INDEX(Dic2024!$K$6:$K$205,C1173)))*(A1173-6*C1173)/6))</f>
        <v>0.00330689834073763</v>
      </c>
      <c r="H1173" s="12" t="n">
        <f aca="false">G1173^(-1/B1173)-1</f>
        <v>0.0603850625</v>
      </c>
      <c r="I1173" s="12" t="n">
        <f aca="false">(1+H1173)^(1/12)-1</f>
        <v>0.00489796506237616</v>
      </c>
      <c r="J1173" s="16" t="n">
        <f aca="false">IF(C1173=0,(1+Dic2024!$M$6)^(-B1173),EXP(LN(INDEX(Dic2024!$N$6:$N$205,C1173))+(LN(INDEX(Dic2024!$N$6:$N$205,MIN(C1173+1,200)))-LN(INDEX(Dic2024!$N$6:$N$205,C1173)))*(A1173-6*C1173)/6))</f>
        <v>0.00330689834073763</v>
      </c>
      <c r="K1173" s="12" t="n">
        <f aca="false">J1173^(-1/B1173)-1</f>
        <v>0.0603850625</v>
      </c>
      <c r="L1173" s="12" t="n">
        <f aca="false">(1+K1173)^(1/12)-1</f>
        <v>0.00489796506237616</v>
      </c>
    </row>
    <row r="1174" customFormat="false" ht="15" hidden="false" customHeight="false" outlineLevel="0" collapsed="false">
      <c r="A1174" s="4" t="n">
        <v>1170</v>
      </c>
      <c r="B1174" s="14" t="n">
        <f aca="false">A1174/12</f>
        <v>97.5</v>
      </c>
      <c r="C1174" s="15" t="n">
        <f aca="false">INT(A1174/6)</f>
        <v>195</v>
      </c>
      <c r="D1174" s="16" t="n">
        <f aca="false">IF(C1174=0,(1+Dic2024!$G$6)^(-B1174),EXP(LN(INDEX(Dic2024!$H$6:$H$205,C1174))+(LN(INDEX(Dic2024!$H$6:$H$205,MIN(C1174+1,200)))-LN(INDEX(Dic2024!$H$6:$H$205,C1174)))*(A1174-6*C1174)/6))</f>
        <v>0.00329078021422042</v>
      </c>
      <c r="E1174" s="12" t="n">
        <f aca="false">D1174^(-1/B1174)-1</f>
        <v>0.0603850625</v>
      </c>
      <c r="F1174" s="12" t="n">
        <f aca="false">(1+E1174)^(1/12)-1</f>
        <v>0.00489796506237616</v>
      </c>
      <c r="G1174" s="16" t="n">
        <f aca="false">IF(C1174=0,(1+Dic2024!$J$6)^(-B1174),EXP(LN(INDEX(Dic2024!$K$6:$K$205,C1174))+(LN(INDEX(Dic2024!$K$6:$K$205,MIN(C1174+1,200)))-LN(INDEX(Dic2024!$K$6:$K$205,C1174)))*(A1174-6*C1174)/6))</f>
        <v>0.00329078021422042</v>
      </c>
      <c r="H1174" s="12" t="n">
        <f aca="false">G1174^(-1/B1174)-1</f>
        <v>0.0603850625</v>
      </c>
      <c r="I1174" s="12" t="n">
        <f aca="false">(1+H1174)^(1/12)-1</f>
        <v>0.00489796506237616</v>
      </c>
      <c r="J1174" s="16" t="n">
        <f aca="false">IF(C1174=0,(1+Dic2024!$M$6)^(-B1174),EXP(LN(INDEX(Dic2024!$N$6:$N$205,C1174))+(LN(INDEX(Dic2024!$N$6:$N$205,MIN(C1174+1,200)))-LN(INDEX(Dic2024!$N$6:$N$205,C1174)))*(A1174-6*C1174)/6))</f>
        <v>0.00329078021422042</v>
      </c>
      <c r="K1174" s="12" t="n">
        <f aca="false">J1174^(-1/B1174)-1</f>
        <v>0.0603850625</v>
      </c>
      <c r="L1174" s="12" t="n">
        <f aca="false">(1+K1174)^(1/12)-1</f>
        <v>0.00489796506237616</v>
      </c>
    </row>
    <row r="1175" customFormat="false" ht="15" hidden="false" customHeight="false" outlineLevel="0" collapsed="false">
      <c r="A1175" s="4" t="n">
        <v>1171</v>
      </c>
      <c r="B1175" s="14" t="n">
        <f aca="false">A1175/12</f>
        <v>97.5833333333333</v>
      </c>
      <c r="C1175" s="15" t="n">
        <f aca="false">INT(A1175/6)</f>
        <v>195</v>
      </c>
      <c r="D1175" s="16" t="n">
        <f aca="false">IF(C1175=0,(1+Dic2024!$G$6)^(-B1175),EXP(LN(INDEX(Dic2024!$H$6:$H$205,C1175))+(LN(INDEX(Dic2024!$H$6:$H$205,MIN(C1175+1,200)))-LN(INDEX(Dic2024!$H$6:$H$205,C1175)))*(A1175-6*C1175)/6))</f>
        <v>0.0032747406489336</v>
      </c>
      <c r="E1175" s="12" t="n">
        <f aca="false">D1175^(-1/B1175)-1</f>
        <v>0.0603850625</v>
      </c>
      <c r="F1175" s="12" t="n">
        <f aca="false">(1+E1175)^(1/12)-1</f>
        <v>0.00489796506237616</v>
      </c>
      <c r="G1175" s="16" t="n">
        <f aca="false">IF(C1175=0,(1+Dic2024!$J$6)^(-B1175),EXP(LN(INDEX(Dic2024!$K$6:$K$205,C1175))+(LN(INDEX(Dic2024!$K$6:$K$205,MIN(C1175+1,200)))-LN(INDEX(Dic2024!$K$6:$K$205,C1175)))*(A1175-6*C1175)/6))</f>
        <v>0.0032747406489336</v>
      </c>
      <c r="H1175" s="12" t="n">
        <f aca="false">G1175^(-1/B1175)-1</f>
        <v>0.0603850625</v>
      </c>
      <c r="I1175" s="12" t="n">
        <f aca="false">(1+H1175)^(1/12)-1</f>
        <v>0.00489796506237616</v>
      </c>
      <c r="J1175" s="16" t="n">
        <f aca="false">IF(C1175=0,(1+Dic2024!$M$6)^(-B1175),EXP(LN(INDEX(Dic2024!$N$6:$N$205,C1175))+(LN(INDEX(Dic2024!$N$6:$N$205,MIN(C1175+1,200)))-LN(INDEX(Dic2024!$N$6:$N$205,C1175)))*(A1175-6*C1175)/6))</f>
        <v>0.0032747406489336</v>
      </c>
      <c r="K1175" s="12" t="n">
        <f aca="false">J1175^(-1/B1175)-1</f>
        <v>0.0603850625</v>
      </c>
      <c r="L1175" s="12" t="n">
        <f aca="false">(1+K1175)^(1/12)-1</f>
        <v>0.00489796506237616</v>
      </c>
    </row>
    <row r="1176" customFormat="false" ht="15" hidden="false" customHeight="false" outlineLevel="0" collapsed="false">
      <c r="A1176" s="4" t="n">
        <v>1172</v>
      </c>
      <c r="B1176" s="14" t="n">
        <f aca="false">A1176/12</f>
        <v>97.6666666666667</v>
      </c>
      <c r="C1176" s="15" t="n">
        <f aca="false">INT(A1176/6)</f>
        <v>195</v>
      </c>
      <c r="D1176" s="16" t="n">
        <f aca="false">IF(C1176=0,(1+Dic2024!$G$6)^(-B1176),EXP(LN(INDEX(Dic2024!$H$6:$H$205,C1176))+(LN(INDEX(Dic2024!$H$6:$H$205,MIN(C1176+1,200)))-LN(INDEX(Dic2024!$H$6:$H$205,C1176)))*(A1176-6*C1176)/6))</f>
        <v>0.00325877926196251</v>
      </c>
      <c r="E1176" s="12" t="n">
        <f aca="false">D1176^(-1/B1176)-1</f>
        <v>0.0603850625</v>
      </c>
      <c r="F1176" s="12" t="n">
        <f aca="false">(1+E1176)^(1/12)-1</f>
        <v>0.00489796506237616</v>
      </c>
      <c r="G1176" s="16" t="n">
        <f aca="false">IF(C1176=0,(1+Dic2024!$J$6)^(-B1176),EXP(LN(INDEX(Dic2024!$K$6:$K$205,C1176))+(LN(INDEX(Dic2024!$K$6:$K$205,MIN(C1176+1,200)))-LN(INDEX(Dic2024!$K$6:$K$205,C1176)))*(A1176-6*C1176)/6))</f>
        <v>0.00325877926196251</v>
      </c>
      <c r="H1176" s="12" t="n">
        <f aca="false">G1176^(-1/B1176)-1</f>
        <v>0.0603850625</v>
      </c>
      <c r="I1176" s="12" t="n">
        <f aca="false">(1+H1176)^(1/12)-1</f>
        <v>0.00489796506237616</v>
      </c>
      <c r="J1176" s="16" t="n">
        <f aca="false">IF(C1176=0,(1+Dic2024!$M$6)^(-B1176),EXP(LN(INDEX(Dic2024!$N$6:$N$205,C1176))+(LN(INDEX(Dic2024!$N$6:$N$205,MIN(C1176+1,200)))-LN(INDEX(Dic2024!$N$6:$N$205,C1176)))*(A1176-6*C1176)/6))</f>
        <v>0.00325877926196251</v>
      </c>
      <c r="K1176" s="12" t="n">
        <f aca="false">J1176^(-1/B1176)-1</f>
        <v>0.0603850625</v>
      </c>
      <c r="L1176" s="12" t="n">
        <f aca="false">(1+K1176)^(1/12)-1</f>
        <v>0.00489796506237616</v>
      </c>
    </row>
    <row r="1177" customFormat="false" ht="15" hidden="false" customHeight="false" outlineLevel="0" collapsed="false">
      <c r="A1177" s="4" t="n">
        <v>1173</v>
      </c>
      <c r="B1177" s="14" t="n">
        <f aca="false">A1177/12</f>
        <v>97.75</v>
      </c>
      <c r="C1177" s="15" t="n">
        <f aca="false">INT(A1177/6)</f>
        <v>195</v>
      </c>
      <c r="D1177" s="16" t="n">
        <f aca="false">IF(C1177=0,(1+Dic2024!$G$6)^(-B1177),EXP(LN(INDEX(Dic2024!$H$6:$H$205,C1177))+(LN(INDEX(Dic2024!$H$6:$H$205,MIN(C1177+1,200)))-LN(INDEX(Dic2024!$H$6:$H$205,C1177)))*(A1177-6*C1177)/6))</f>
        <v>0.00324289567225885</v>
      </c>
      <c r="E1177" s="12" t="n">
        <f aca="false">D1177^(-1/B1177)-1</f>
        <v>0.0603850625</v>
      </c>
      <c r="F1177" s="12" t="n">
        <f aca="false">(1+E1177)^(1/12)-1</f>
        <v>0.00489796506237616</v>
      </c>
      <c r="G1177" s="16" t="n">
        <f aca="false">IF(C1177=0,(1+Dic2024!$J$6)^(-B1177),EXP(LN(INDEX(Dic2024!$K$6:$K$205,C1177))+(LN(INDEX(Dic2024!$K$6:$K$205,MIN(C1177+1,200)))-LN(INDEX(Dic2024!$K$6:$K$205,C1177)))*(A1177-6*C1177)/6))</f>
        <v>0.00324289567225885</v>
      </c>
      <c r="H1177" s="12" t="n">
        <f aca="false">G1177^(-1/B1177)-1</f>
        <v>0.0603850625</v>
      </c>
      <c r="I1177" s="12" t="n">
        <f aca="false">(1+H1177)^(1/12)-1</f>
        <v>0.00489796506237616</v>
      </c>
      <c r="J1177" s="16" t="n">
        <f aca="false">IF(C1177=0,(1+Dic2024!$M$6)^(-B1177),EXP(LN(INDEX(Dic2024!$N$6:$N$205,C1177))+(LN(INDEX(Dic2024!$N$6:$N$205,MIN(C1177+1,200)))-LN(INDEX(Dic2024!$N$6:$N$205,C1177)))*(A1177-6*C1177)/6))</f>
        <v>0.00324289567225885</v>
      </c>
      <c r="K1177" s="12" t="n">
        <f aca="false">J1177^(-1/B1177)-1</f>
        <v>0.0603850625</v>
      </c>
      <c r="L1177" s="12" t="n">
        <f aca="false">(1+K1177)^(1/12)-1</f>
        <v>0.00489796506237616</v>
      </c>
    </row>
    <row r="1178" customFormat="false" ht="15" hidden="false" customHeight="false" outlineLevel="0" collapsed="false">
      <c r="A1178" s="4" t="n">
        <v>1174</v>
      </c>
      <c r="B1178" s="14" t="n">
        <f aca="false">A1178/12</f>
        <v>97.8333333333333</v>
      </c>
      <c r="C1178" s="15" t="n">
        <f aca="false">INT(A1178/6)</f>
        <v>195</v>
      </c>
      <c r="D1178" s="16" t="n">
        <f aca="false">IF(C1178=0,(1+Dic2024!$G$6)^(-B1178),EXP(LN(INDEX(Dic2024!$H$6:$H$205,C1178))+(LN(INDEX(Dic2024!$H$6:$H$205,MIN(C1178+1,200)))-LN(INDEX(Dic2024!$H$6:$H$205,C1178)))*(A1178-6*C1178)/6))</f>
        <v>0.0032270895006316</v>
      </c>
      <c r="E1178" s="12" t="n">
        <f aca="false">D1178^(-1/B1178)-1</f>
        <v>0.0603850625</v>
      </c>
      <c r="F1178" s="12" t="n">
        <f aca="false">(1+E1178)^(1/12)-1</f>
        <v>0.00489796506237616</v>
      </c>
      <c r="G1178" s="16" t="n">
        <f aca="false">IF(C1178=0,(1+Dic2024!$J$6)^(-B1178),EXP(LN(INDEX(Dic2024!$K$6:$K$205,C1178))+(LN(INDEX(Dic2024!$K$6:$K$205,MIN(C1178+1,200)))-LN(INDEX(Dic2024!$K$6:$K$205,C1178)))*(A1178-6*C1178)/6))</f>
        <v>0.0032270895006316</v>
      </c>
      <c r="H1178" s="12" t="n">
        <f aca="false">G1178^(-1/B1178)-1</f>
        <v>0.0603850625</v>
      </c>
      <c r="I1178" s="12" t="n">
        <f aca="false">(1+H1178)^(1/12)-1</f>
        <v>0.00489796506237616</v>
      </c>
      <c r="J1178" s="16" t="n">
        <f aca="false">IF(C1178=0,(1+Dic2024!$M$6)^(-B1178),EXP(LN(INDEX(Dic2024!$N$6:$N$205,C1178))+(LN(INDEX(Dic2024!$N$6:$N$205,MIN(C1178+1,200)))-LN(INDEX(Dic2024!$N$6:$N$205,C1178)))*(A1178-6*C1178)/6))</f>
        <v>0.0032270895006316</v>
      </c>
      <c r="K1178" s="12" t="n">
        <f aca="false">J1178^(-1/B1178)-1</f>
        <v>0.0603850625</v>
      </c>
      <c r="L1178" s="12" t="n">
        <f aca="false">(1+K1178)^(1/12)-1</f>
        <v>0.00489796506237616</v>
      </c>
    </row>
    <row r="1179" customFormat="false" ht="15" hidden="false" customHeight="false" outlineLevel="0" collapsed="false">
      <c r="A1179" s="4" t="n">
        <v>1175</v>
      </c>
      <c r="B1179" s="14" t="n">
        <f aca="false">A1179/12</f>
        <v>97.9166666666667</v>
      </c>
      <c r="C1179" s="15" t="n">
        <f aca="false">INT(A1179/6)</f>
        <v>195</v>
      </c>
      <c r="D1179" s="16" t="n">
        <f aca="false">IF(C1179=0,(1+Dic2024!$G$6)^(-B1179),EXP(LN(INDEX(Dic2024!$H$6:$H$205,C1179))+(LN(INDEX(Dic2024!$H$6:$H$205,MIN(C1179+1,200)))-LN(INDEX(Dic2024!$H$6:$H$205,C1179)))*(A1179-6*C1179)/6))</f>
        <v>0.00321136036973792</v>
      </c>
      <c r="E1179" s="12" t="n">
        <f aca="false">D1179^(-1/B1179)-1</f>
        <v>0.0603850625</v>
      </c>
      <c r="F1179" s="12" t="n">
        <f aca="false">(1+E1179)^(1/12)-1</f>
        <v>0.00489796506237616</v>
      </c>
      <c r="G1179" s="16" t="n">
        <f aca="false">IF(C1179=0,(1+Dic2024!$J$6)^(-B1179),EXP(LN(INDEX(Dic2024!$K$6:$K$205,C1179))+(LN(INDEX(Dic2024!$K$6:$K$205,MIN(C1179+1,200)))-LN(INDEX(Dic2024!$K$6:$K$205,C1179)))*(A1179-6*C1179)/6))</f>
        <v>0.00321136036973792</v>
      </c>
      <c r="H1179" s="12" t="n">
        <f aca="false">G1179^(-1/B1179)-1</f>
        <v>0.0603850625</v>
      </c>
      <c r="I1179" s="12" t="n">
        <f aca="false">(1+H1179)^(1/12)-1</f>
        <v>0.00489796506237616</v>
      </c>
      <c r="J1179" s="16" t="n">
        <f aca="false">IF(C1179=0,(1+Dic2024!$M$6)^(-B1179),EXP(LN(INDEX(Dic2024!$N$6:$N$205,C1179))+(LN(INDEX(Dic2024!$N$6:$N$205,MIN(C1179+1,200)))-LN(INDEX(Dic2024!$N$6:$N$205,C1179)))*(A1179-6*C1179)/6))</f>
        <v>0.00321136036973792</v>
      </c>
      <c r="K1179" s="12" t="n">
        <f aca="false">J1179^(-1/B1179)-1</f>
        <v>0.0603850625</v>
      </c>
      <c r="L1179" s="12" t="n">
        <f aca="false">(1+K1179)^(1/12)-1</f>
        <v>0.00489796506237616</v>
      </c>
    </row>
    <row r="1180" customFormat="false" ht="15" hidden="false" customHeight="false" outlineLevel="0" collapsed="false">
      <c r="A1180" s="4" t="n">
        <v>1176</v>
      </c>
      <c r="B1180" s="14" t="n">
        <f aca="false">A1180/12</f>
        <v>98</v>
      </c>
      <c r="C1180" s="15" t="n">
        <f aca="false">INT(A1180/6)</f>
        <v>196</v>
      </c>
      <c r="D1180" s="16" t="n">
        <f aca="false">IF(C1180=0,(1+Dic2024!$G$6)^(-B1180),EXP(LN(INDEX(Dic2024!$H$6:$H$205,C1180))+(LN(INDEX(Dic2024!$H$6:$H$205,MIN(C1180+1,200)))-LN(INDEX(Dic2024!$H$6:$H$205,C1180)))*(A1180-6*C1180)/6))</f>
        <v>0.00319570790407421</v>
      </c>
      <c r="E1180" s="12" t="n">
        <f aca="false">D1180^(-1/B1180)-1</f>
        <v>0.0603850625</v>
      </c>
      <c r="F1180" s="12" t="n">
        <f aca="false">(1+E1180)^(1/12)-1</f>
        <v>0.00489796506237616</v>
      </c>
      <c r="G1180" s="16" t="n">
        <f aca="false">IF(C1180=0,(1+Dic2024!$J$6)^(-B1180),EXP(LN(INDEX(Dic2024!$K$6:$K$205,C1180))+(LN(INDEX(Dic2024!$K$6:$K$205,MIN(C1180+1,200)))-LN(INDEX(Dic2024!$K$6:$K$205,C1180)))*(A1180-6*C1180)/6))</f>
        <v>0.00319570790407421</v>
      </c>
      <c r="H1180" s="12" t="n">
        <f aca="false">G1180^(-1/B1180)-1</f>
        <v>0.0603850625</v>
      </c>
      <c r="I1180" s="12" t="n">
        <f aca="false">(1+H1180)^(1/12)-1</f>
        <v>0.00489796506237616</v>
      </c>
      <c r="J1180" s="16" t="n">
        <f aca="false">IF(C1180=0,(1+Dic2024!$M$6)^(-B1180),EXP(LN(INDEX(Dic2024!$N$6:$N$205,C1180))+(LN(INDEX(Dic2024!$N$6:$N$205,MIN(C1180+1,200)))-LN(INDEX(Dic2024!$N$6:$N$205,C1180)))*(A1180-6*C1180)/6))</f>
        <v>0.00319570790407421</v>
      </c>
      <c r="K1180" s="12" t="n">
        <f aca="false">J1180^(-1/B1180)-1</f>
        <v>0.0603850625</v>
      </c>
      <c r="L1180" s="12" t="n">
        <f aca="false">(1+K1180)^(1/12)-1</f>
        <v>0.00489796506237616</v>
      </c>
    </row>
    <row r="1181" customFormat="false" ht="15" hidden="false" customHeight="false" outlineLevel="0" collapsed="false">
      <c r="A1181" s="4" t="n">
        <v>1177</v>
      </c>
      <c r="B1181" s="14" t="n">
        <f aca="false">A1181/12</f>
        <v>98.0833333333333</v>
      </c>
      <c r="C1181" s="15" t="n">
        <f aca="false">INT(A1181/6)</f>
        <v>196</v>
      </c>
      <c r="D1181" s="16" t="n">
        <f aca="false">IF(C1181=0,(1+Dic2024!$G$6)^(-B1181),EXP(LN(INDEX(Dic2024!$H$6:$H$205,C1181))+(LN(INDEX(Dic2024!$H$6:$H$205,MIN(C1181+1,200)))-LN(INDEX(Dic2024!$H$6:$H$205,C1181)))*(A1181-6*C1181)/6))</f>
        <v>0.00318013172996708</v>
      </c>
      <c r="E1181" s="12" t="n">
        <f aca="false">D1181^(-1/B1181)-1</f>
        <v>0.0603850625</v>
      </c>
      <c r="F1181" s="12" t="n">
        <f aca="false">(1+E1181)^(1/12)-1</f>
        <v>0.00489796506237616</v>
      </c>
      <c r="G1181" s="16" t="n">
        <f aca="false">IF(C1181=0,(1+Dic2024!$J$6)^(-B1181),EXP(LN(INDEX(Dic2024!$K$6:$K$205,C1181))+(LN(INDEX(Dic2024!$K$6:$K$205,MIN(C1181+1,200)))-LN(INDEX(Dic2024!$K$6:$K$205,C1181)))*(A1181-6*C1181)/6))</f>
        <v>0.00318013172996708</v>
      </c>
      <c r="H1181" s="12" t="n">
        <f aca="false">G1181^(-1/B1181)-1</f>
        <v>0.0603850625</v>
      </c>
      <c r="I1181" s="12" t="n">
        <f aca="false">(1+H1181)^(1/12)-1</f>
        <v>0.00489796506237616</v>
      </c>
      <c r="J1181" s="16" t="n">
        <f aca="false">IF(C1181=0,(1+Dic2024!$M$6)^(-B1181),EXP(LN(INDEX(Dic2024!$N$6:$N$205,C1181))+(LN(INDEX(Dic2024!$N$6:$N$205,MIN(C1181+1,200)))-LN(INDEX(Dic2024!$N$6:$N$205,C1181)))*(A1181-6*C1181)/6))</f>
        <v>0.00318013172996708</v>
      </c>
      <c r="K1181" s="12" t="n">
        <f aca="false">J1181^(-1/B1181)-1</f>
        <v>0.0603850625</v>
      </c>
      <c r="L1181" s="12" t="n">
        <f aca="false">(1+K1181)^(1/12)-1</f>
        <v>0.00489796506237616</v>
      </c>
    </row>
    <row r="1182" customFormat="false" ht="15" hidden="false" customHeight="false" outlineLevel="0" collapsed="false">
      <c r="A1182" s="4" t="n">
        <v>1178</v>
      </c>
      <c r="B1182" s="14" t="n">
        <f aca="false">A1182/12</f>
        <v>98.1666666666667</v>
      </c>
      <c r="C1182" s="15" t="n">
        <f aca="false">INT(A1182/6)</f>
        <v>196</v>
      </c>
      <c r="D1182" s="16" t="n">
        <f aca="false">IF(C1182=0,(1+Dic2024!$G$6)^(-B1182),EXP(LN(INDEX(Dic2024!$H$6:$H$205,C1182))+(LN(INDEX(Dic2024!$H$6:$H$205,MIN(C1182+1,200)))-LN(INDEX(Dic2024!$H$6:$H$205,C1182)))*(A1182-6*C1182)/6))</f>
        <v>0.00316463147556447</v>
      </c>
      <c r="E1182" s="12" t="n">
        <f aca="false">D1182^(-1/B1182)-1</f>
        <v>0.0603850625</v>
      </c>
      <c r="F1182" s="12" t="n">
        <f aca="false">(1+E1182)^(1/12)-1</f>
        <v>0.00489796506237616</v>
      </c>
      <c r="G1182" s="16" t="n">
        <f aca="false">IF(C1182=0,(1+Dic2024!$J$6)^(-B1182),EXP(LN(INDEX(Dic2024!$K$6:$K$205,C1182))+(LN(INDEX(Dic2024!$K$6:$K$205,MIN(C1182+1,200)))-LN(INDEX(Dic2024!$K$6:$K$205,C1182)))*(A1182-6*C1182)/6))</f>
        <v>0.00316463147556447</v>
      </c>
      <c r="H1182" s="12" t="n">
        <f aca="false">G1182^(-1/B1182)-1</f>
        <v>0.0603850625</v>
      </c>
      <c r="I1182" s="12" t="n">
        <f aca="false">(1+H1182)^(1/12)-1</f>
        <v>0.00489796506237616</v>
      </c>
      <c r="J1182" s="16" t="n">
        <f aca="false">IF(C1182=0,(1+Dic2024!$M$6)^(-B1182),EXP(LN(INDEX(Dic2024!$N$6:$N$205,C1182))+(LN(INDEX(Dic2024!$N$6:$N$205,MIN(C1182+1,200)))-LN(INDEX(Dic2024!$N$6:$N$205,C1182)))*(A1182-6*C1182)/6))</f>
        <v>0.00316463147556447</v>
      </c>
      <c r="K1182" s="12" t="n">
        <f aca="false">J1182^(-1/B1182)-1</f>
        <v>0.0603850625</v>
      </c>
      <c r="L1182" s="12" t="n">
        <f aca="false">(1+K1182)^(1/12)-1</f>
        <v>0.00489796506237616</v>
      </c>
    </row>
    <row r="1183" customFormat="false" ht="15" hidden="false" customHeight="false" outlineLevel="0" collapsed="false">
      <c r="A1183" s="4" t="n">
        <v>1179</v>
      </c>
      <c r="B1183" s="14" t="n">
        <f aca="false">A1183/12</f>
        <v>98.25</v>
      </c>
      <c r="C1183" s="15" t="n">
        <f aca="false">INT(A1183/6)</f>
        <v>196</v>
      </c>
      <c r="D1183" s="16" t="n">
        <f aca="false">IF(C1183=0,(1+Dic2024!$G$6)^(-B1183),EXP(LN(INDEX(Dic2024!$H$6:$H$205,C1183))+(LN(INDEX(Dic2024!$H$6:$H$205,MIN(C1183+1,200)))-LN(INDEX(Dic2024!$H$6:$H$205,C1183)))*(A1183-6*C1183)/6))</f>
        <v>0.00314920677082676</v>
      </c>
      <c r="E1183" s="12" t="n">
        <f aca="false">D1183^(-1/B1183)-1</f>
        <v>0.0603850625</v>
      </c>
      <c r="F1183" s="12" t="n">
        <f aca="false">(1+E1183)^(1/12)-1</f>
        <v>0.00489796506237616</v>
      </c>
      <c r="G1183" s="16" t="n">
        <f aca="false">IF(C1183=0,(1+Dic2024!$J$6)^(-B1183),EXP(LN(INDEX(Dic2024!$K$6:$K$205,C1183))+(LN(INDEX(Dic2024!$K$6:$K$205,MIN(C1183+1,200)))-LN(INDEX(Dic2024!$K$6:$K$205,C1183)))*(A1183-6*C1183)/6))</f>
        <v>0.00314920677082676</v>
      </c>
      <c r="H1183" s="12" t="n">
        <f aca="false">G1183^(-1/B1183)-1</f>
        <v>0.0603850625</v>
      </c>
      <c r="I1183" s="12" t="n">
        <f aca="false">(1+H1183)^(1/12)-1</f>
        <v>0.00489796506237616</v>
      </c>
      <c r="J1183" s="16" t="n">
        <f aca="false">IF(C1183=0,(1+Dic2024!$M$6)^(-B1183),EXP(LN(INDEX(Dic2024!$N$6:$N$205,C1183))+(LN(INDEX(Dic2024!$N$6:$N$205,MIN(C1183+1,200)))-LN(INDEX(Dic2024!$N$6:$N$205,C1183)))*(A1183-6*C1183)/6))</f>
        <v>0.00314920677082676</v>
      </c>
      <c r="K1183" s="12" t="n">
        <f aca="false">J1183^(-1/B1183)-1</f>
        <v>0.0603850625</v>
      </c>
      <c r="L1183" s="12" t="n">
        <f aca="false">(1+K1183)^(1/12)-1</f>
        <v>0.00489796506237616</v>
      </c>
    </row>
    <row r="1184" customFormat="false" ht="15" hidden="false" customHeight="false" outlineLevel="0" collapsed="false">
      <c r="A1184" s="4" t="n">
        <v>1180</v>
      </c>
      <c r="B1184" s="14" t="n">
        <f aca="false">A1184/12</f>
        <v>98.3333333333333</v>
      </c>
      <c r="C1184" s="15" t="n">
        <f aca="false">INT(A1184/6)</f>
        <v>196</v>
      </c>
      <c r="D1184" s="16" t="n">
        <f aca="false">IF(C1184=0,(1+Dic2024!$G$6)^(-B1184),EXP(LN(INDEX(Dic2024!$H$6:$H$205,C1184))+(LN(INDEX(Dic2024!$H$6:$H$205,MIN(C1184+1,200)))-LN(INDEX(Dic2024!$H$6:$H$205,C1184)))*(A1184-6*C1184)/6))</f>
        <v>0.00313385724751794</v>
      </c>
      <c r="E1184" s="12" t="n">
        <f aca="false">D1184^(-1/B1184)-1</f>
        <v>0.0603850625</v>
      </c>
      <c r="F1184" s="12" t="n">
        <f aca="false">(1+E1184)^(1/12)-1</f>
        <v>0.00489796506237616</v>
      </c>
      <c r="G1184" s="16" t="n">
        <f aca="false">IF(C1184=0,(1+Dic2024!$J$6)^(-B1184),EXP(LN(INDEX(Dic2024!$K$6:$K$205,C1184))+(LN(INDEX(Dic2024!$K$6:$K$205,MIN(C1184+1,200)))-LN(INDEX(Dic2024!$K$6:$K$205,C1184)))*(A1184-6*C1184)/6))</f>
        <v>0.00313385724751794</v>
      </c>
      <c r="H1184" s="12" t="n">
        <f aca="false">G1184^(-1/B1184)-1</f>
        <v>0.0603850625</v>
      </c>
      <c r="I1184" s="12" t="n">
        <f aca="false">(1+H1184)^(1/12)-1</f>
        <v>0.00489796506237616</v>
      </c>
      <c r="J1184" s="16" t="n">
        <f aca="false">IF(C1184=0,(1+Dic2024!$M$6)^(-B1184),EXP(LN(INDEX(Dic2024!$N$6:$N$205,C1184))+(LN(INDEX(Dic2024!$N$6:$N$205,MIN(C1184+1,200)))-LN(INDEX(Dic2024!$N$6:$N$205,C1184)))*(A1184-6*C1184)/6))</f>
        <v>0.00313385724751794</v>
      </c>
      <c r="K1184" s="12" t="n">
        <f aca="false">J1184^(-1/B1184)-1</f>
        <v>0.0603850625</v>
      </c>
      <c r="L1184" s="12" t="n">
        <f aca="false">(1+K1184)^(1/12)-1</f>
        <v>0.00489796506237616</v>
      </c>
    </row>
    <row r="1185" customFormat="false" ht="15" hidden="false" customHeight="false" outlineLevel="0" collapsed="false">
      <c r="A1185" s="4" t="n">
        <v>1181</v>
      </c>
      <c r="B1185" s="14" t="n">
        <f aca="false">A1185/12</f>
        <v>98.4166666666667</v>
      </c>
      <c r="C1185" s="15" t="n">
        <f aca="false">INT(A1185/6)</f>
        <v>196</v>
      </c>
      <c r="D1185" s="16" t="n">
        <f aca="false">IF(C1185=0,(1+Dic2024!$G$6)^(-B1185),EXP(LN(INDEX(Dic2024!$H$6:$H$205,C1185))+(LN(INDEX(Dic2024!$H$6:$H$205,MIN(C1185+1,200)))-LN(INDEX(Dic2024!$H$6:$H$205,C1185)))*(A1185-6*C1185)/6))</f>
        <v>0.00311858253919682</v>
      </c>
      <c r="E1185" s="12" t="n">
        <f aca="false">D1185^(-1/B1185)-1</f>
        <v>0.0603850625</v>
      </c>
      <c r="F1185" s="12" t="n">
        <f aca="false">(1+E1185)^(1/12)-1</f>
        <v>0.00489796506237616</v>
      </c>
      <c r="G1185" s="16" t="n">
        <f aca="false">IF(C1185=0,(1+Dic2024!$J$6)^(-B1185),EXP(LN(INDEX(Dic2024!$K$6:$K$205,C1185))+(LN(INDEX(Dic2024!$K$6:$K$205,MIN(C1185+1,200)))-LN(INDEX(Dic2024!$K$6:$K$205,C1185)))*(A1185-6*C1185)/6))</f>
        <v>0.00311858253919682</v>
      </c>
      <c r="H1185" s="12" t="n">
        <f aca="false">G1185^(-1/B1185)-1</f>
        <v>0.0603850625</v>
      </c>
      <c r="I1185" s="12" t="n">
        <f aca="false">(1+H1185)^(1/12)-1</f>
        <v>0.00489796506237616</v>
      </c>
      <c r="J1185" s="16" t="n">
        <f aca="false">IF(C1185=0,(1+Dic2024!$M$6)^(-B1185),EXP(LN(INDEX(Dic2024!$N$6:$N$205,C1185))+(LN(INDEX(Dic2024!$N$6:$N$205,MIN(C1185+1,200)))-LN(INDEX(Dic2024!$N$6:$N$205,C1185)))*(A1185-6*C1185)/6))</f>
        <v>0.00311858253919682</v>
      </c>
      <c r="K1185" s="12" t="n">
        <f aca="false">J1185^(-1/B1185)-1</f>
        <v>0.0603850625</v>
      </c>
      <c r="L1185" s="12" t="n">
        <f aca="false">(1+K1185)^(1/12)-1</f>
        <v>0.00489796506237616</v>
      </c>
    </row>
    <row r="1186" customFormat="false" ht="15" hidden="false" customHeight="false" outlineLevel="0" collapsed="false">
      <c r="A1186" s="4" t="n">
        <v>1182</v>
      </c>
      <c r="B1186" s="14" t="n">
        <f aca="false">A1186/12</f>
        <v>98.5</v>
      </c>
      <c r="C1186" s="15" t="n">
        <f aca="false">INT(A1186/6)</f>
        <v>197</v>
      </c>
      <c r="D1186" s="16" t="n">
        <f aca="false">IF(C1186=0,(1+Dic2024!$G$6)^(-B1186),EXP(LN(INDEX(Dic2024!$H$6:$H$205,C1186))+(LN(INDEX(Dic2024!$H$6:$H$205,MIN(C1186+1,200)))-LN(INDEX(Dic2024!$H$6:$H$205,C1186)))*(A1186-6*C1186)/6))</f>
        <v>0.00310338228120826</v>
      </c>
      <c r="E1186" s="12" t="n">
        <f aca="false">D1186^(-1/B1186)-1</f>
        <v>0.0603850625</v>
      </c>
      <c r="F1186" s="12" t="n">
        <f aca="false">(1+E1186)^(1/12)-1</f>
        <v>0.00489796506237616</v>
      </c>
      <c r="G1186" s="16" t="n">
        <f aca="false">IF(C1186=0,(1+Dic2024!$J$6)^(-B1186),EXP(LN(INDEX(Dic2024!$K$6:$K$205,C1186))+(LN(INDEX(Dic2024!$K$6:$K$205,MIN(C1186+1,200)))-LN(INDEX(Dic2024!$K$6:$K$205,C1186)))*(A1186-6*C1186)/6))</f>
        <v>0.00310338228120826</v>
      </c>
      <c r="H1186" s="12" t="n">
        <f aca="false">G1186^(-1/B1186)-1</f>
        <v>0.0603850625</v>
      </c>
      <c r="I1186" s="12" t="n">
        <f aca="false">(1+H1186)^(1/12)-1</f>
        <v>0.00489796506237616</v>
      </c>
      <c r="J1186" s="16" t="n">
        <f aca="false">IF(C1186=0,(1+Dic2024!$M$6)^(-B1186),EXP(LN(INDEX(Dic2024!$N$6:$N$205,C1186))+(LN(INDEX(Dic2024!$N$6:$N$205,MIN(C1186+1,200)))-LN(INDEX(Dic2024!$N$6:$N$205,C1186)))*(A1186-6*C1186)/6))</f>
        <v>0.00310338228120826</v>
      </c>
      <c r="K1186" s="12" t="n">
        <f aca="false">J1186^(-1/B1186)-1</f>
        <v>0.0603850625</v>
      </c>
      <c r="L1186" s="12" t="n">
        <f aca="false">(1+K1186)^(1/12)-1</f>
        <v>0.00489796506237616</v>
      </c>
    </row>
    <row r="1187" customFormat="false" ht="15" hidden="false" customHeight="false" outlineLevel="0" collapsed="false">
      <c r="A1187" s="4" t="n">
        <v>1183</v>
      </c>
      <c r="B1187" s="14" t="n">
        <f aca="false">A1187/12</f>
        <v>98.5833333333333</v>
      </c>
      <c r="C1187" s="15" t="n">
        <f aca="false">INT(A1187/6)</f>
        <v>197</v>
      </c>
      <c r="D1187" s="16" t="n">
        <f aca="false">IF(C1187=0,(1+Dic2024!$G$6)^(-B1187),EXP(LN(INDEX(Dic2024!$H$6:$H$205,C1187))+(LN(INDEX(Dic2024!$H$6:$H$205,MIN(C1187+1,200)))-LN(INDEX(Dic2024!$H$6:$H$205,C1187)))*(A1187-6*C1187)/6))</f>
        <v>0.00308825611067451</v>
      </c>
      <c r="E1187" s="12" t="n">
        <f aca="false">D1187^(-1/B1187)-1</f>
        <v>0.0603850625</v>
      </c>
      <c r="F1187" s="12" t="n">
        <f aca="false">(1+E1187)^(1/12)-1</f>
        <v>0.00489796506237616</v>
      </c>
      <c r="G1187" s="16" t="n">
        <f aca="false">IF(C1187=0,(1+Dic2024!$J$6)^(-B1187),EXP(LN(INDEX(Dic2024!$K$6:$K$205,C1187))+(LN(INDEX(Dic2024!$K$6:$K$205,MIN(C1187+1,200)))-LN(INDEX(Dic2024!$K$6:$K$205,C1187)))*(A1187-6*C1187)/6))</f>
        <v>0.00308825611067451</v>
      </c>
      <c r="H1187" s="12" t="n">
        <f aca="false">G1187^(-1/B1187)-1</f>
        <v>0.0603850625</v>
      </c>
      <c r="I1187" s="12" t="n">
        <f aca="false">(1+H1187)^(1/12)-1</f>
        <v>0.00489796506237616</v>
      </c>
      <c r="J1187" s="16" t="n">
        <f aca="false">IF(C1187=0,(1+Dic2024!$M$6)^(-B1187),EXP(LN(INDEX(Dic2024!$N$6:$N$205,C1187))+(LN(INDEX(Dic2024!$N$6:$N$205,MIN(C1187+1,200)))-LN(INDEX(Dic2024!$N$6:$N$205,C1187)))*(A1187-6*C1187)/6))</f>
        <v>0.00308825611067451</v>
      </c>
      <c r="K1187" s="12" t="n">
        <f aca="false">J1187^(-1/B1187)-1</f>
        <v>0.0603850625</v>
      </c>
      <c r="L1187" s="12" t="n">
        <f aca="false">(1+K1187)^(1/12)-1</f>
        <v>0.00489796506237616</v>
      </c>
    </row>
    <row r="1188" customFormat="false" ht="15" hidden="false" customHeight="false" outlineLevel="0" collapsed="false">
      <c r="A1188" s="4" t="n">
        <v>1184</v>
      </c>
      <c r="B1188" s="14" t="n">
        <f aca="false">A1188/12</f>
        <v>98.6666666666667</v>
      </c>
      <c r="C1188" s="15" t="n">
        <f aca="false">INT(A1188/6)</f>
        <v>197</v>
      </c>
      <c r="D1188" s="16" t="n">
        <f aca="false">IF(C1188=0,(1+Dic2024!$G$6)^(-B1188),EXP(LN(INDEX(Dic2024!$H$6:$H$205,C1188))+(LN(INDEX(Dic2024!$H$6:$H$205,MIN(C1188+1,200)))-LN(INDEX(Dic2024!$H$6:$H$205,C1188)))*(A1188-6*C1188)/6))</f>
        <v>0.00307320366648649</v>
      </c>
      <c r="E1188" s="12" t="n">
        <f aca="false">D1188^(-1/B1188)-1</f>
        <v>0.0603850625</v>
      </c>
      <c r="F1188" s="12" t="n">
        <f aca="false">(1+E1188)^(1/12)-1</f>
        <v>0.00489796506237616</v>
      </c>
      <c r="G1188" s="16" t="n">
        <f aca="false">IF(C1188=0,(1+Dic2024!$J$6)^(-B1188),EXP(LN(INDEX(Dic2024!$K$6:$K$205,C1188))+(LN(INDEX(Dic2024!$K$6:$K$205,MIN(C1188+1,200)))-LN(INDEX(Dic2024!$K$6:$K$205,C1188)))*(A1188-6*C1188)/6))</f>
        <v>0.00307320366648649</v>
      </c>
      <c r="H1188" s="12" t="n">
        <f aca="false">G1188^(-1/B1188)-1</f>
        <v>0.0603850625</v>
      </c>
      <c r="I1188" s="12" t="n">
        <f aca="false">(1+H1188)^(1/12)-1</f>
        <v>0.00489796506237616</v>
      </c>
      <c r="J1188" s="16" t="n">
        <f aca="false">IF(C1188=0,(1+Dic2024!$M$6)^(-B1188),EXP(LN(INDEX(Dic2024!$N$6:$N$205,C1188))+(LN(INDEX(Dic2024!$N$6:$N$205,MIN(C1188+1,200)))-LN(INDEX(Dic2024!$N$6:$N$205,C1188)))*(A1188-6*C1188)/6))</f>
        <v>0.00307320366648649</v>
      </c>
      <c r="K1188" s="12" t="n">
        <f aca="false">J1188^(-1/B1188)-1</f>
        <v>0.0603850625</v>
      </c>
      <c r="L1188" s="12" t="n">
        <f aca="false">(1+K1188)^(1/12)-1</f>
        <v>0.00489796506237616</v>
      </c>
    </row>
    <row r="1189" customFormat="false" ht="15" hidden="false" customHeight="false" outlineLevel="0" collapsed="false">
      <c r="A1189" s="4" t="n">
        <v>1185</v>
      </c>
      <c r="B1189" s="14" t="n">
        <f aca="false">A1189/12</f>
        <v>98.75</v>
      </c>
      <c r="C1189" s="15" t="n">
        <f aca="false">INT(A1189/6)</f>
        <v>197</v>
      </c>
      <c r="D1189" s="16" t="n">
        <f aca="false">IF(C1189=0,(1+Dic2024!$G$6)^(-B1189),EXP(LN(INDEX(Dic2024!$H$6:$H$205,C1189))+(LN(INDEX(Dic2024!$H$6:$H$205,MIN(C1189+1,200)))-LN(INDEX(Dic2024!$H$6:$H$205,C1189)))*(A1189-6*C1189)/6))</f>
        <v>0.00305822458929523</v>
      </c>
      <c r="E1189" s="12" t="n">
        <f aca="false">D1189^(-1/B1189)-1</f>
        <v>0.0603850625</v>
      </c>
      <c r="F1189" s="12" t="n">
        <f aca="false">(1+E1189)^(1/12)-1</f>
        <v>0.00489796506237616</v>
      </c>
      <c r="G1189" s="16" t="n">
        <f aca="false">IF(C1189=0,(1+Dic2024!$J$6)^(-B1189),EXP(LN(INDEX(Dic2024!$K$6:$K$205,C1189))+(LN(INDEX(Dic2024!$K$6:$K$205,MIN(C1189+1,200)))-LN(INDEX(Dic2024!$K$6:$K$205,C1189)))*(A1189-6*C1189)/6))</f>
        <v>0.00305822458929523</v>
      </c>
      <c r="H1189" s="12" t="n">
        <f aca="false">G1189^(-1/B1189)-1</f>
        <v>0.0603850625</v>
      </c>
      <c r="I1189" s="12" t="n">
        <f aca="false">(1+H1189)^(1/12)-1</f>
        <v>0.00489796506237616</v>
      </c>
      <c r="J1189" s="16" t="n">
        <f aca="false">IF(C1189=0,(1+Dic2024!$M$6)^(-B1189),EXP(LN(INDEX(Dic2024!$N$6:$N$205,C1189))+(LN(INDEX(Dic2024!$N$6:$N$205,MIN(C1189+1,200)))-LN(INDEX(Dic2024!$N$6:$N$205,C1189)))*(A1189-6*C1189)/6))</f>
        <v>0.00305822458929523</v>
      </c>
      <c r="K1189" s="12" t="n">
        <f aca="false">J1189^(-1/B1189)-1</f>
        <v>0.0603850625</v>
      </c>
      <c r="L1189" s="12" t="n">
        <f aca="false">(1+K1189)^(1/12)-1</f>
        <v>0.00489796506237616</v>
      </c>
    </row>
    <row r="1190" customFormat="false" ht="15" hidden="false" customHeight="false" outlineLevel="0" collapsed="false">
      <c r="A1190" s="4" t="n">
        <v>1186</v>
      </c>
      <c r="B1190" s="14" t="n">
        <f aca="false">A1190/12</f>
        <v>98.8333333333333</v>
      </c>
      <c r="C1190" s="15" t="n">
        <f aca="false">INT(A1190/6)</f>
        <v>197</v>
      </c>
      <c r="D1190" s="16" t="n">
        <f aca="false">IF(C1190=0,(1+Dic2024!$G$6)^(-B1190),EXP(LN(INDEX(Dic2024!$H$6:$H$205,C1190))+(LN(INDEX(Dic2024!$H$6:$H$205,MIN(C1190+1,200)))-LN(INDEX(Dic2024!$H$6:$H$205,C1190)))*(A1190-6*C1190)/6))</f>
        <v>0.00304331852150322</v>
      </c>
      <c r="E1190" s="12" t="n">
        <f aca="false">D1190^(-1/B1190)-1</f>
        <v>0.0603850625</v>
      </c>
      <c r="F1190" s="12" t="n">
        <f aca="false">(1+E1190)^(1/12)-1</f>
        <v>0.00489796506237616</v>
      </c>
      <c r="G1190" s="16" t="n">
        <f aca="false">IF(C1190=0,(1+Dic2024!$J$6)^(-B1190),EXP(LN(INDEX(Dic2024!$K$6:$K$205,C1190))+(LN(INDEX(Dic2024!$K$6:$K$205,MIN(C1190+1,200)))-LN(INDEX(Dic2024!$K$6:$K$205,C1190)))*(A1190-6*C1190)/6))</f>
        <v>0.00304331852150322</v>
      </c>
      <c r="H1190" s="12" t="n">
        <f aca="false">G1190^(-1/B1190)-1</f>
        <v>0.0603850625</v>
      </c>
      <c r="I1190" s="12" t="n">
        <f aca="false">(1+H1190)^(1/12)-1</f>
        <v>0.00489796506237616</v>
      </c>
      <c r="J1190" s="16" t="n">
        <f aca="false">IF(C1190=0,(1+Dic2024!$M$6)^(-B1190),EXP(LN(INDEX(Dic2024!$N$6:$N$205,C1190))+(LN(INDEX(Dic2024!$N$6:$N$205,MIN(C1190+1,200)))-LN(INDEX(Dic2024!$N$6:$N$205,C1190)))*(A1190-6*C1190)/6))</f>
        <v>0.00304331852150322</v>
      </c>
      <c r="K1190" s="12" t="n">
        <f aca="false">J1190^(-1/B1190)-1</f>
        <v>0.0603850625</v>
      </c>
      <c r="L1190" s="12" t="n">
        <f aca="false">(1+K1190)^(1/12)-1</f>
        <v>0.00489796506237616</v>
      </c>
    </row>
    <row r="1191" customFormat="false" ht="15" hidden="false" customHeight="false" outlineLevel="0" collapsed="false">
      <c r="A1191" s="4" t="n">
        <v>1187</v>
      </c>
      <c r="B1191" s="14" t="n">
        <f aca="false">A1191/12</f>
        <v>98.9166666666667</v>
      </c>
      <c r="C1191" s="15" t="n">
        <f aca="false">INT(A1191/6)</f>
        <v>197</v>
      </c>
      <c r="D1191" s="16" t="n">
        <f aca="false">IF(C1191=0,(1+Dic2024!$G$6)^(-B1191),EXP(LN(INDEX(Dic2024!$H$6:$H$205,C1191))+(LN(INDEX(Dic2024!$H$6:$H$205,MIN(C1191+1,200)))-LN(INDEX(Dic2024!$H$6:$H$205,C1191)))*(A1191-6*C1191)/6))</f>
        <v>0.00302848510725595</v>
      </c>
      <c r="E1191" s="12" t="n">
        <f aca="false">D1191^(-1/B1191)-1</f>
        <v>0.0603850625</v>
      </c>
      <c r="F1191" s="12" t="n">
        <f aca="false">(1+E1191)^(1/12)-1</f>
        <v>0.00489796506237616</v>
      </c>
      <c r="G1191" s="16" t="n">
        <f aca="false">IF(C1191=0,(1+Dic2024!$J$6)^(-B1191),EXP(LN(INDEX(Dic2024!$K$6:$K$205,C1191))+(LN(INDEX(Dic2024!$K$6:$K$205,MIN(C1191+1,200)))-LN(INDEX(Dic2024!$K$6:$K$205,C1191)))*(A1191-6*C1191)/6))</f>
        <v>0.00302848510725595</v>
      </c>
      <c r="H1191" s="12" t="n">
        <f aca="false">G1191^(-1/B1191)-1</f>
        <v>0.0603850625</v>
      </c>
      <c r="I1191" s="12" t="n">
        <f aca="false">(1+H1191)^(1/12)-1</f>
        <v>0.00489796506237616</v>
      </c>
      <c r="J1191" s="16" t="n">
        <f aca="false">IF(C1191=0,(1+Dic2024!$M$6)^(-B1191),EXP(LN(INDEX(Dic2024!$N$6:$N$205,C1191))+(LN(INDEX(Dic2024!$N$6:$N$205,MIN(C1191+1,200)))-LN(INDEX(Dic2024!$N$6:$N$205,C1191)))*(A1191-6*C1191)/6))</f>
        <v>0.00302848510725595</v>
      </c>
      <c r="K1191" s="12" t="n">
        <f aca="false">J1191^(-1/B1191)-1</f>
        <v>0.0603850625</v>
      </c>
      <c r="L1191" s="12" t="n">
        <f aca="false">(1+K1191)^(1/12)-1</f>
        <v>0.00489796506237616</v>
      </c>
    </row>
    <row r="1192" customFormat="false" ht="15" hidden="false" customHeight="false" outlineLevel="0" collapsed="false">
      <c r="A1192" s="4" t="n">
        <v>1188</v>
      </c>
      <c r="B1192" s="14" t="n">
        <f aca="false">A1192/12</f>
        <v>99</v>
      </c>
      <c r="C1192" s="15" t="n">
        <f aca="false">INT(A1192/6)</f>
        <v>198</v>
      </c>
      <c r="D1192" s="16" t="n">
        <f aca="false">IF(C1192=0,(1+Dic2024!$G$6)^(-B1192),EXP(LN(INDEX(Dic2024!$H$6:$H$205,C1192))+(LN(INDEX(Dic2024!$H$6:$H$205,MIN(C1192+1,200)))-LN(INDEX(Dic2024!$H$6:$H$205,C1192)))*(A1192-6*C1192)/6))</f>
        <v>0.00301372399243337</v>
      </c>
      <c r="E1192" s="12" t="n">
        <f aca="false">D1192^(-1/B1192)-1</f>
        <v>0.0603850625</v>
      </c>
      <c r="F1192" s="12" t="n">
        <f aca="false">(1+E1192)^(1/12)-1</f>
        <v>0.00489796506237616</v>
      </c>
      <c r="G1192" s="16" t="n">
        <f aca="false">IF(C1192=0,(1+Dic2024!$J$6)^(-B1192),EXP(LN(INDEX(Dic2024!$K$6:$K$205,C1192))+(LN(INDEX(Dic2024!$K$6:$K$205,MIN(C1192+1,200)))-LN(INDEX(Dic2024!$K$6:$K$205,C1192)))*(A1192-6*C1192)/6))</f>
        <v>0.00301372399243337</v>
      </c>
      <c r="H1192" s="12" t="n">
        <f aca="false">G1192^(-1/B1192)-1</f>
        <v>0.0603850625</v>
      </c>
      <c r="I1192" s="12" t="n">
        <f aca="false">(1+H1192)^(1/12)-1</f>
        <v>0.00489796506237616</v>
      </c>
      <c r="J1192" s="16" t="n">
        <f aca="false">IF(C1192=0,(1+Dic2024!$M$6)^(-B1192),EXP(LN(INDEX(Dic2024!$N$6:$N$205,C1192))+(LN(INDEX(Dic2024!$N$6:$N$205,MIN(C1192+1,200)))-LN(INDEX(Dic2024!$N$6:$N$205,C1192)))*(A1192-6*C1192)/6))</f>
        <v>0.00301372399243337</v>
      </c>
      <c r="K1192" s="12" t="n">
        <f aca="false">J1192^(-1/B1192)-1</f>
        <v>0.0603850625</v>
      </c>
      <c r="L1192" s="12" t="n">
        <f aca="false">(1+K1192)^(1/12)-1</f>
        <v>0.00489796506237616</v>
      </c>
    </row>
    <row r="1193" customFormat="false" ht="15" hidden="false" customHeight="false" outlineLevel="0" collapsed="false">
      <c r="A1193" s="4" t="n">
        <v>1189</v>
      </c>
      <c r="B1193" s="14" t="n">
        <f aca="false">A1193/12</f>
        <v>99.0833333333333</v>
      </c>
      <c r="C1193" s="15" t="n">
        <f aca="false">INT(A1193/6)</f>
        <v>198</v>
      </c>
      <c r="D1193" s="16" t="n">
        <f aca="false">IF(C1193=0,(1+Dic2024!$G$6)^(-B1193),EXP(LN(INDEX(Dic2024!$H$6:$H$205,C1193))+(LN(INDEX(Dic2024!$H$6:$H$205,MIN(C1193+1,200)))-LN(INDEX(Dic2024!$H$6:$H$205,C1193)))*(A1193-6*C1193)/6))</f>
        <v>0.00299903482464143</v>
      </c>
      <c r="E1193" s="12" t="n">
        <f aca="false">D1193^(-1/B1193)-1</f>
        <v>0.0603850625</v>
      </c>
      <c r="F1193" s="12" t="n">
        <f aca="false">(1+E1193)^(1/12)-1</f>
        <v>0.00489796506237616</v>
      </c>
      <c r="G1193" s="16" t="n">
        <f aca="false">IF(C1193=0,(1+Dic2024!$J$6)^(-B1193),EXP(LN(INDEX(Dic2024!$K$6:$K$205,C1193))+(LN(INDEX(Dic2024!$K$6:$K$205,MIN(C1193+1,200)))-LN(INDEX(Dic2024!$K$6:$K$205,C1193)))*(A1193-6*C1193)/6))</f>
        <v>0.00299903482464143</v>
      </c>
      <c r="H1193" s="12" t="n">
        <f aca="false">G1193^(-1/B1193)-1</f>
        <v>0.0603850625</v>
      </c>
      <c r="I1193" s="12" t="n">
        <f aca="false">(1+H1193)^(1/12)-1</f>
        <v>0.00489796506237616</v>
      </c>
      <c r="J1193" s="16" t="n">
        <f aca="false">IF(C1193=0,(1+Dic2024!$M$6)^(-B1193),EXP(LN(INDEX(Dic2024!$N$6:$N$205,C1193))+(LN(INDEX(Dic2024!$N$6:$N$205,MIN(C1193+1,200)))-LN(INDEX(Dic2024!$N$6:$N$205,C1193)))*(A1193-6*C1193)/6))</f>
        <v>0.00299903482464143</v>
      </c>
      <c r="K1193" s="12" t="n">
        <f aca="false">J1193^(-1/B1193)-1</f>
        <v>0.0603850625</v>
      </c>
      <c r="L1193" s="12" t="n">
        <f aca="false">(1+K1193)^(1/12)-1</f>
        <v>0.00489796506237616</v>
      </c>
    </row>
    <row r="1194" customFormat="false" ht="15" hidden="false" customHeight="false" outlineLevel="0" collapsed="false">
      <c r="A1194" s="4" t="n">
        <v>1190</v>
      </c>
      <c r="B1194" s="14" t="n">
        <f aca="false">A1194/12</f>
        <v>99.1666666666667</v>
      </c>
      <c r="C1194" s="15" t="n">
        <f aca="false">INT(A1194/6)</f>
        <v>198</v>
      </c>
      <c r="D1194" s="16" t="n">
        <f aca="false">IF(C1194=0,(1+Dic2024!$G$6)^(-B1194),EXP(LN(INDEX(Dic2024!$H$6:$H$205,C1194))+(LN(INDEX(Dic2024!$H$6:$H$205,MIN(C1194+1,200)))-LN(INDEX(Dic2024!$H$6:$H$205,C1194)))*(A1194-6*C1194)/6))</f>
        <v>0.00298441725320368</v>
      </c>
      <c r="E1194" s="12" t="n">
        <f aca="false">D1194^(-1/B1194)-1</f>
        <v>0.0603850625</v>
      </c>
      <c r="F1194" s="12" t="n">
        <f aca="false">(1+E1194)^(1/12)-1</f>
        <v>0.00489796506237616</v>
      </c>
      <c r="G1194" s="16" t="n">
        <f aca="false">IF(C1194=0,(1+Dic2024!$J$6)^(-B1194),EXP(LN(INDEX(Dic2024!$K$6:$K$205,C1194))+(LN(INDEX(Dic2024!$K$6:$K$205,MIN(C1194+1,200)))-LN(INDEX(Dic2024!$K$6:$K$205,C1194)))*(A1194-6*C1194)/6))</f>
        <v>0.00298441725320368</v>
      </c>
      <c r="H1194" s="12" t="n">
        <f aca="false">G1194^(-1/B1194)-1</f>
        <v>0.0603850625</v>
      </c>
      <c r="I1194" s="12" t="n">
        <f aca="false">(1+H1194)^(1/12)-1</f>
        <v>0.00489796506237616</v>
      </c>
      <c r="J1194" s="16" t="n">
        <f aca="false">IF(C1194=0,(1+Dic2024!$M$6)^(-B1194),EXP(LN(INDEX(Dic2024!$N$6:$N$205,C1194))+(LN(INDEX(Dic2024!$N$6:$N$205,MIN(C1194+1,200)))-LN(INDEX(Dic2024!$N$6:$N$205,C1194)))*(A1194-6*C1194)/6))</f>
        <v>0.00298441725320368</v>
      </c>
      <c r="K1194" s="12" t="n">
        <f aca="false">J1194^(-1/B1194)-1</f>
        <v>0.0603850625</v>
      </c>
      <c r="L1194" s="12" t="n">
        <f aca="false">(1+K1194)^(1/12)-1</f>
        <v>0.00489796506237616</v>
      </c>
    </row>
    <row r="1195" customFormat="false" ht="15" hidden="false" customHeight="false" outlineLevel="0" collapsed="false">
      <c r="A1195" s="4" t="n">
        <v>1191</v>
      </c>
      <c r="B1195" s="14" t="n">
        <f aca="false">A1195/12</f>
        <v>99.25</v>
      </c>
      <c r="C1195" s="15" t="n">
        <f aca="false">INT(A1195/6)</f>
        <v>198</v>
      </c>
      <c r="D1195" s="16" t="n">
        <f aca="false">IF(C1195=0,(1+Dic2024!$G$6)^(-B1195),EXP(LN(INDEX(Dic2024!$H$6:$H$205,C1195))+(LN(INDEX(Dic2024!$H$6:$H$205,MIN(C1195+1,200)))-LN(INDEX(Dic2024!$H$6:$H$205,C1195)))*(A1195-6*C1195)/6))</f>
        <v>0.00296987092915292</v>
      </c>
      <c r="E1195" s="12" t="n">
        <f aca="false">D1195^(-1/B1195)-1</f>
        <v>0.0603850625</v>
      </c>
      <c r="F1195" s="12" t="n">
        <f aca="false">(1+E1195)^(1/12)-1</f>
        <v>0.00489796506237616</v>
      </c>
      <c r="G1195" s="16" t="n">
        <f aca="false">IF(C1195=0,(1+Dic2024!$J$6)^(-B1195),EXP(LN(INDEX(Dic2024!$K$6:$K$205,C1195))+(LN(INDEX(Dic2024!$K$6:$K$205,MIN(C1195+1,200)))-LN(INDEX(Dic2024!$K$6:$K$205,C1195)))*(A1195-6*C1195)/6))</f>
        <v>0.00296987092915292</v>
      </c>
      <c r="H1195" s="12" t="n">
        <f aca="false">G1195^(-1/B1195)-1</f>
        <v>0.0603850625</v>
      </c>
      <c r="I1195" s="12" t="n">
        <f aca="false">(1+H1195)^(1/12)-1</f>
        <v>0.00489796506237616</v>
      </c>
      <c r="J1195" s="16" t="n">
        <f aca="false">IF(C1195=0,(1+Dic2024!$M$6)^(-B1195),EXP(LN(INDEX(Dic2024!$N$6:$N$205,C1195))+(LN(INDEX(Dic2024!$N$6:$N$205,MIN(C1195+1,200)))-LN(INDEX(Dic2024!$N$6:$N$205,C1195)))*(A1195-6*C1195)/6))</f>
        <v>0.00296987092915292</v>
      </c>
      <c r="K1195" s="12" t="n">
        <f aca="false">J1195^(-1/B1195)-1</f>
        <v>0.0603850625</v>
      </c>
      <c r="L1195" s="12" t="n">
        <f aca="false">(1+K1195)^(1/12)-1</f>
        <v>0.00489796506237616</v>
      </c>
    </row>
    <row r="1196" customFormat="false" ht="15" hidden="false" customHeight="false" outlineLevel="0" collapsed="false">
      <c r="A1196" s="4" t="n">
        <v>1192</v>
      </c>
      <c r="B1196" s="14" t="n">
        <f aca="false">A1196/12</f>
        <v>99.3333333333333</v>
      </c>
      <c r="C1196" s="15" t="n">
        <f aca="false">INT(A1196/6)</f>
        <v>198</v>
      </c>
      <c r="D1196" s="16" t="n">
        <f aca="false">IF(C1196=0,(1+Dic2024!$G$6)^(-B1196),EXP(LN(INDEX(Dic2024!$H$6:$H$205,C1196))+(LN(INDEX(Dic2024!$H$6:$H$205,MIN(C1196+1,200)))-LN(INDEX(Dic2024!$H$6:$H$205,C1196)))*(A1196-6*C1196)/6))</f>
        <v>0.00295539550522284</v>
      </c>
      <c r="E1196" s="12" t="n">
        <f aca="false">D1196^(-1/B1196)-1</f>
        <v>0.0603850625</v>
      </c>
      <c r="F1196" s="12" t="n">
        <f aca="false">(1+E1196)^(1/12)-1</f>
        <v>0.00489796506237616</v>
      </c>
      <c r="G1196" s="16" t="n">
        <f aca="false">IF(C1196=0,(1+Dic2024!$J$6)^(-B1196),EXP(LN(INDEX(Dic2024!$K$6:$K$205,C1196))+(LN(INDEX(Dic2024!$K$6:$K$205,MIN(C1196+1,200)))-LN(INDEX(Dic2024!$K$6:$K$205,C1196)))*(A1196-6*C1196)/6))</f>
        <v>0.00295539550522284</v>
      </c>
      <c r="H1196" s="12" t="n">
        <f aca="false">G1196^(-1/B1196)-1</f>
        <v>0.0603850625</v>
      </c>
      <c r="I1196" s="12" t="n">
        <f aca="false">(1+H1196)^(1/12)-1</f>
        <v>0.00489796506237616</v>
      </c>
      <c r="J1196" s="16" t="n">
        <f aca="false">IF(C1196=0,(1+Dic2024!$M$6)^(-B1196),EXP(LN(INDEX(Dic2024!$N$6:$N$205,C1196))+(LN(INDEX(Dic2024!$N$6:$N$205,MIN(C1196+1,200)))-LN(INDEX(Dic2024!$N$6:$N$205,C1196)))*(A1196-6*C1196)/6))</f>
        <v>0.00295539550522284</v>
      </c>
      <c r="K1196" s="12" t="n">
        <f aca="false">J1196^(-1/B1196)-1</f>
        <v>0.0603850625</v>
      </c>
      <c r="L1196" s="12" t="n">
        <f aca="false">(1+K1196)^(1/12)-1</f>
        <v>0.00489796506237616</v>
      </c>
    </row>
    <row r="1197" customFormat="false" ht="15" hidden="false" customHeight="false" outlineLevel="0" collapsed="false">
      <c r="A1197" s="4" t="n">
        <v>1193</v>
      </c>
      <c r="B1197" s="14" t="n">
        <f aca="false">A1197/12</f>
        <v>99.4166666666667</v>
      </c>
      <c r="C1197" s="15" t="n">
        <f aca="false">INT(A1197/6)</f>
        <v>198</v>
      </c>
      <c r="D1197" s="16" t="n">
        <f aca="false">IF(C1197=0,(1+Dic2024!$G$6)^(-B1197),EXP(LN(INDEX(Dic2024!$H$6:$H$205,C1197))+(LN(INDEX(Dic2024!$H$6:$H$205,MIN(C1197+1,200)))-LN(INDEX(Dic2024!$H$6:$H$205,C1197)))*(A1197-6*C1197)/6))</f>
        <v>0.00294099063583972</v>
      </c>
      <c r="E1197" s="12" t="n">
        <f aca="false">D1197^(-1/B1197)-1</f>
        <v>0.0603850625</v>
      </c>
      <c r="F1197" s="12" t="n">
        <f aca="false">(1+E1197)^(1/12)-1</f>
        <v>0.00489796506237616</v>
      </c>
      <c r="G1197" s="16" t="n">
        <f aca="false">IF(C1197=0,(1+Dic2024!$J$6)^(-B1197),EXP(LN(INDEX(Dic2024!$K$6:$K$205,C1197))+(LN(INDEX(Dic2024!$K$6:$K$205,MIN(C1197+1,200)))-LN(INDEX(Dic2024!$K$6:$K$205,C1197)))*(A1197-6*C1197)/6))</f>
        <v>0.00294099063583972</v>
      </c>
      <c r="H1197" s="12" t="n">
        <f aca="false">G1197^(-1/B1197)-1</f>
        <v>0.0603850625</v>
      </c>
      <c r="I1197" s="12" t="n">
        <f aca="false">(1+H1197)^(1/12)-1</f>
        <v>0.00489796506237616</v>
      </c>
      <c r="J1197" s="16" t="n">
        <f aca="false">IF(C1197=0,(1+Dic2024!$M$6)^(-B1197),EXP(LN(INDEX(Dic2024!$N$6:$N$205,C1197))+(LN(INDEX(Dic2024!$N$6:$N$205,MIN(C1197+1,200)))-LN(INDEX(Dic2024!$N$6:$N$205,C1197)))*(A1197-6*C1197)/6))</f>
        <v>0.00294099063583972</v>
      </c>
      <c r="K1197" s="12" t="n">
        <f aca="false">J1197^(-1/B1197)-1</f>
        <v>0.0603850625</v>
      </c>
      <c r="L1197" s="12" t="n">
        <f aca="false">(1+K1197)^(1/12)-1</f>
        <v>0.00489796506237616</v>
      </c>
    </row>
    <row r="1198" customFormat="false" ht="15" hidden="false" customHeight="false" outlineLevel="0" collapsed="false">
      <c r="A1198" s="4" t="n">
        <v>1194</v>
      </c>
      <c r="B1198" s="14" t="n">
        <f aca="false">A1198/12</f>
        <v>99.5</v>
      </c>
      <c r="C1198" s="15" t="n">
        <f aca="false">INT(A1198/6)</f>
        <v>199</v>
      </c>
      <c r="D1198" s="16" t="n">
        <f aca="false">IF(C1198=0,(1+Dic2024!$G$6)^(-B1198),EXP(LN(INDEX(Dic2024!$H$6:$H$205,C1198))+(LN(INDEX(Dic2024!$H$6:$H$205,MIN(C1198+1,200)))-LN(INDEX(Dic2024!$H$6:$H$205,C1198)))*(A1198-6*C1198)/6))</f>
        <v>0.00292665597711422</v>
      </c>
      <c r="E1198" s="12" t="n">
        <f aca="false">D1198^(-1/B1198)-1</f>
        <v>0.0603850625</v>
      </c>
      <c r="F1198" s="12" t="n">
        <f aca="false">(1+E1198)^(1/12)-1</f>
        <v>0.00489796506237616</v>
      </c>
      <c r="G1198" s="16" t="n">
        <f aca="false">IF(C1198=0,(1+Dic2024!$J$6)^(-B1198),EXP(LN(INDEX(Dic2024!$K$6:$K$205,C1198))+(LN(INDEX(Dic2024!$K$6:$K$205,MIN(C1198+1,200)))-LN(INDEX(Dic2024!$K$6:$K$205,C1198)))*(A1198-6*C1198)/6))</f>
        <v>0.00292665597711422</v>
      </c>
      <c r="H1198" s="12" t="n">
        <f aca="false">G1198^(-1/B1198)-1</f>
        <v>0.0603850625</v>
      </c>
      <c r="I1198" s="12" t="n">
        <f aca="false">(1+H1198)^(1/12)-1</f>
        <v>0.00489796506237616</v>
      </c>
      <c r="J1198" s="16" t="n">
        <f aca="false">IF(C1198=0,(1+Dic2024!$M$6)^(-B1198),EXP(LN(INDEX(Dic2024!$N$6:$N$205,C1198))+(LN(INDEX(Dic2024!$N$6:$N$205,MIN(C1198+1,200)))-LN(INDEX(Dic2024!$N$6:$N$205,C1198)))*(A1198-6*C1198)/6))</f>
        <v>0.00292665597711422</v>
      </c>
      <c r="K1198" s="12" t="n">
        <f aca="false">J1198^(-1/B1198)-1</f>
        <v>0.0603850625</v>
      </c>
      <c r="L1198" s="12" t="n">
        <f aca="false">(1+K1198)^(1/12)-1</f>
        <v>0.00489796506237616</v>
      </c>
    </row>
    <row r="1199" customFormat="false" ht="15" hidden="false" customHeight="false" outlineLevel="0" collapsed="false">
      <c r="A1199" s="4" t="n">
        <v>1195</v>
      </c>
      <c r="B1199" s="14" t="n">
        <f aca="false">A1199/12</f>
        <v>99.5833333333333</v>
      </c>
      <c r="C1199" s="15" t="n">
        <f aca="false">INT(A1199/6)</f>
        <v>199</v>
      </c>
      <c r="D1199" s="16" t="n">
        <f aca="false">IF(C1199=0,(1+Dic2024!$G$6)^(-B1199),EXP(LN(INDEX(Dic2024!$H$6:$H$205,C1199))+(LN(INDEX(Dic2024!$H$6:$H$205,MIN(C1199+1,200)))-LN(INDEX(Dic2024!$H$6:$H$205,C1199)))*(A1199-6*C1199)/6))</f>
        <v>0.00291239118683314</v>
      </c>
      <c r="E1199" s="12" t="n">
        <f aca="false">D1199^(-1/B1199)-1</f>
        <v>0.0603850625</v>
      </c>
      <c r="F1199" s="12" t="n">
        <f aca="false">(1+E1199)^(1/12)-1</f>
        <v>0.00489796506237616</v>
      </c>
      <c r="G1199" s="16" t="n">
        <f aca="false">IF(C1199=0,(1+Dic2024!$J$6)^(-B1199),EXP(LN(INDEX(Dic2024!$K$6:$K$205,C1199))+(LN(INDEX(Dic2024!$K$6:$K$205,MIN(C1199+1,200)))-LN(INDEX(Dic2024!$K$6:$K$205,C1199)))*(A1199-6*C1199)/6))</f>
        <v>0.00291239118683314</v>
      </c>
      <c r="H1199" s="12" t="n">
        <f aca="false">G1199^(-1/B1199)-1</f>
        <v>0.0603850625</v>
      </c>
      <c r="I1199" s="12" t="n">
        <f aca="false">(1+H1199)^(1/12)-1</f>
        <v>0.00489796506237616</v>
      </c>
      <c r="J1199" s="16" t="n">
        <f aca="false">IF(C1199=0,(1+Dic2024!$M$6)^(-B1199),EXP(LN(INDEX(Dic2024!$N$6:$N$205,C1199))+(LN(INDEX(Dic2024!$N$6:$N$205,MIN(C1199+1,200)))-LN(INDEX(Dic2024!$N$6:$N$205,C1199)))*(A1199-6*C1199)/6))</f>
        <v>0.00291239118683314</v>
      </c>
      <c r="K1199" s="12" t="n">
        <f aca="false">J1199^(-1/B1199)-1</f>
        <v>0.0603850625</v>
      </c>
      <c r="L1199" s="12" t="n">
        <f aca="false">(1+K1199)^(1/12)-1</f>
        <v>0.00489796506237616</v>
      </c>
    </row>
    <row r="1200" customFormat="false" ht="15" hidden="false" customHeight="false" outlineLevel="0" collapsed="false">
      <c r="A1200" s="4" t="n">
        <v>1196</v>
      </c>
      <c r="B1200" s="14" t="n">
        <f aca="false">A1200/12</f>
        <v>99.6666666666667</v>
      </c>
      <c r="C1200" s="15" t="n">
        <f aca="false">INT(A1200/6)</f>
        <v>199</v>
      </c>
      <c r="D1200" s="16" t="n">
        <f aca="false">IF(C1200=0,(1+Dic2024!$G$6)^(-B1200),EXP(LN(INDEX(Dic2024!$H$6:$H$205,C1200))+(LN(INDEX(Dic2024!$H$6:$H$205,MIN(C1200+1,200)))-LN(INDEX(Dic2024!$H$6:$H$205,C1200)))*(A1200-6*C1200)/6))</f>
        <v>0.00289819592445126</v>
      </c>
      <c r="E1200" s="12" t="n">
        <f aca="false">D1200^(-1/B1200)-1</f>
        <v>0.0603850625</v>
      </c>
      <c r="F1200" s="12" t="n">
        <f aca="false">(1+E1200)^(1/12)-1</f>
        <v>0.00489796506237616</v>
      </c>
      <c r="G1200" s="16" t="n">
        <f aca="false">IF(C1200=0,(1+Dic2024!$J$6)^(-B1200),EXP(LN(INDEX(Dic2024!$K$6:$K$205,C1200))+(LN(INDEX(Dic2024!$K$6:$K$205,MIN(C1200+1,200)))-LN(INDEX(Dic2024!$K$6:$K$205,C1200)))*(A1200-6*C1200)/6))</f>
        <v>0.00289819592445126</v>
      </c>
      <c r="H1200" s="12" t="n">
        <f aca="false">G1200^(-1/B1200)-1</f>
        <v>0.0603850625</v>
      </c>
      <c r="I1200" s="12" t="n">
        <f aca="false">(1+H1200)^(1/12)-1</f>
        <v>0.00489796506237616</v>
      </c>
      <c r="J1200" s="16" t="n">
        <f aca="false">IF(C1200=0,(1+Dic2024!$M$6)^(-B1200),EXP(LN(INDEX(Dic2024!$N$6:$N$205,C1200))+(LN(INDEX(Dic2024!$N$6:$N$205,MIN(C1200+1,200)))-LN(INDEX(Dic2024!$N$6:$N$205,C1200)))*(A1200-6*C1200)/6))</f>
        <v>0.00289819592445126</v>
      </c>
      <c r="K1200" s="12" t="n">
        <f aca="false">J1200^(-1/B1200)-1</f>
        <v>0.0603850625</v>
      </c>
      <c r="L1200" s="12" t="n">
        <f aca="false">(1+K1200)^(1/12)-1</f>
        <v>0.00489796506237616</v>
      </c>
    </row>
    <row r="1201" customFormat="false" ht="15" hidden="false" customHeight="false" outlineLevel="0" collapsed="false">
      <c r="A1201" s="4" t="n">
        <v>1197</v>
      </c>
      <c r="B1201" s="14" t="n">
        <f aca="false">A1201/12</f>
        <v>99.75</v>
      </c>
      <c r="C1201" s="15" t="n">
        <f aca="false">INT(A1201/6)</f>
        <v>199</v>
      </c>
      <c r="D1201" s="16" t="n">
        <f aca="false">IF(C1201=0,(1+Dic2024!$G$6)^(-B1201),EXP(LN(INDEX(Dic2024!$H$6:$H$205,C1201))+(LN(INDEX(Dic2024!$H$6:$H$205,MIN(C1201+1,200)))-LN(INDEX(Dic2024!$H$6:$H$205,C1201)))*(A1201-6*C1201)/6))</f>
        <v>0.0028840698510832</v>
      </c>
      <c r="E1201" s="12" t="n">
        <f aca="false">D1201^(-1/B1201)-1</f>
        <v>0.0603850625</v>
      </c>
      <c r="F1201" s="12" t="n">
        <f aca="false">(1+E1201)^(1/12)-1</f>
        <v>0.00489796506237616</v>
      </c>
      <c r="G1201" s="16" t="n">
        <f aca="false">IF(C1201=0,(1+Dic2024!$J$6)^(-B1201),EXP(LN(INDEX(Dic2024!$K$6:$K$205,C1201))+(LN(INDEX(Dic2024!$K$6:$K$205,MIN(C1201+1,200)))-LN(INDEX(Dic2024!$K$6:$K$205,C1201)))*(A1201-6*C1201)/6))</f>
        <v>0.0028840698510832</v>
      </c>
      <c r="H1201" s="12" t="n">
        <f aca="false">G1201^(-1/B1201)-1</f>
        <v>0.0603850625</v>
      </c>
      <c r="I1201" s="12" t="n">
        <f aca="false">(1+H1201)^(1/12)-1</f>
        <v>0.00489796506237616</v>
      </c>
      <c r="J1201" s="16" t="n">
        <f aca="false">IF(C1201=0,(1+Dic2024!$M$6)^(-B1201),EXP(LN(INDEX(Dic2024!$N$6:$N$205,C1201))+(LN(INDEX(Dic2024!$N$6:$N$205,MIN(C1201+1,200)))-LN(INDEX(Dic2024!$N$6:$N$205,C1201)))*(A1201-6*C1201)/6))</f>
        <v>0.0028840698510832</v>
      </c>
      <c r="K1201" s="12" t="n">
        <f aca="false">J1201^(-1/B1201)-1</f>
        <v>0.0603850625</v>
      </c>
      <c r="L1201" s="12" t="n">
        <f aca="false">(1+K1201)^(1/12)-1</f>
        <v>0.00489796506237616</v>
      </c>
    </row>
    <row r="1202" customFormat="false" ht="15" hidden="false" customHeight="false" outlineLevel="0" collapsed="false">
      <c r="A1202" s="4" t="n">
        <v>1198</v>
      </c>
      <c r="B1202" s="14" t="n">
        <f aca="false">A1202/12</f>
        <v>99.8333333333333</v>
      </c>
      <c r="C1202" s="15" t="n">
        <f aca="false">INT(A1202/6)</f>
        <v>199</v>
      </c>
      <c r="D1202" s="16" t="n">
        <f aca="false">IF(C1202=0,(1+Dic2024!$G$6)^(-B1202),EXP(LN(INDEX(Dic2024!$H$6:$H$205,C1202))+(LN(INDEX(Dic2024!$H$6:$H$205,MIN(C1202+1,200)))-LN(INDEX(Dic2024!$H$6:$H$205,C1202)))*(A1202-6*C1202)/6))</f>
        <v>0.00287001262949535</v>
      </c>
      <c r="E1202" s="12" t="n">
        <f aca="false">D1202^(-1/B1202)-1</f>
        <v>0.0603850625</v>
      </c>
      <c r="F1202" s="12" t="n">
        <f aca="false">(1+E1202)^(1/12)-1</f>
        <v>0.00489796506237616</v>
      </c>
      <c r="G1202" s="16" t="n">
        <f aca="false">IF(C1202=0,(1+Dic2024!$J$6)^(-B1202),EXP(LN(INDEX(Dic2024!$K$6:$K$205,C1202))+(LN(INDEX(Dic2024!$K$6:$K$205,MIN(C1202+1,200)))-LN(INDEX(Dic2024!$K$6:$K$205,C1202)))*(A1202-6*C1202)/6))</f>
        <v>0.00287001262949535</v>
      </c>
      <c r="H1202" s="12" t="n">
        <f aca="false">G1202^(-1/B1202)-1</f>
        <v>0.0603850625</v>
      </c>
      <c r="I1202" s="12" t="n">
        <f aca="false">(1+H1202)^(1/12)-1</f>
        <v>0.00489796506237616</v>
      </c>
      <c r="J1202" s="16" t="n">
        <f aca="false">IF(C1202=0,(1+Dic2024!$M$6)^(-B1202),EXP(LN(INDEX(Dic2024!$N$6:$N$205,C1202))+(LN(INDEX(Dic2024!$N$6:$N$205,MIN(C1202+1,200)))-LN(INDEX(Dic2024!$N$6:$N$205,C1202)))*(A1202-6*C1202)/6))</f>
        <v>0.00287001262949535</v>
      </c>
      <c r="K1202" s="12" t="n">
        <f aca="false">J1202^(-1/B1202)-1</f>
        <v>0.0603850625</v>
      </c>
      <c r="L1202" s="12" t="n">
        <f aca="false">(1+K1202)^(1/12)-1</f>
        <v>0.00489796506237616</v>
      </c>
    </row>
    <row r="1203" customFormat="false" ht="15" hidden="false" customHeight="false" outlineLevel="0" collapsed="false">
      <c r="A1203" s="4" t="n">
        <v>1199</v>
      </c>
      <c r="B1203" s="14" t="n">
        <f aca="false">A1203/12</f>
        <v>99.9166666666667</v>
      </c>
      <c r="C1203" s="15" t="n">
        <f aca="false">INT(A1203/6)</f>
        <v>199</v>
      </c>
      <c r="D1203" s="16" t="n">
        <f aca="false">IF(C1203=0,(1+Dic2024!$G$6)^(-B1203),EXP(LN(INDEX(Dic2024!$H$6:$H$205,C1203))+(LN(INDEX(Dic2024!$H$6:$H$205,MIN(C1203+1,200)))-LN(INDEX(Dic2024!$H$6:$H$205,C1203)))*(A1203-6*C1203)/6))</f>
        <v>0.00285602392409781</v>
      </c>
      <c r="E1203" s="12" t="n">
        <f aca="false">D1203^(-1/B1203)-1</f>
        <v>0.0603850625</v>
      </c>
      <c r="F1203" s="12" t="n">
        <f aca="false">(1+E1203)^(1/12)-1</f>
        <v>0.00489796506237616</v>
      </c>
      <c r="G1203" s="16" t="n">
        <f aca="false">IF(C1203=0,(1+Dic2024!$J$6)^(-B1203),EXP(LN(INDEX(Dic2024!$K$6:$K$205,C1203))+(LN(INDEX(Dic2024!$K$6:$K$205,MIN(C1203+1,200)))-LN(INDEX(Dic2024!$K$6:$K$205,C1203)))*(A1203-6*C1203)/6))</f>
        <v>0.00285602392409781</v>
      </c>
      <c r="H1203" s="12" t="n">
        <f aca="false">G1203^(-1/B1203)-1</f>
        <v>0.0603850625</v>
      </c>
      <c r="I1203" s="12" t="n">
        <f aca="false">(1+H1203)^(1/12)-1</f>
        <v>0.00489796506237616</v>
      </c>
      <c r="J1203" s="16" t="n">
        <f aca="false">IF(C1203=0,(1+Dic2024!$M$6)^(-B1203),EXP(LN(INDEX(Dic2024!$N$6:$N$205,C1203))+(LN(INDEX(Dic2024!$N$6:$N$205,MIN(C1203+1,200)))-LN(INDEX(Dic2024!$N$6:$N$205,C1203)))*(A1203-6*C1203)/6))</f>
        <v>0.00285602392409781</v>
      </c>
      <c r="K1203" s="12" t="n">
        <f aca="false">J1203^(-1/B1203)-1</f>
        <v>0.0603850625</v>
      </c>
      <c r="L1203" s="12" t="n">
        <f aca="false">(1+K1203)^(1/12)-1</f>
        <v>0.00489796506237616</v>
      </c>
    </row>
    <row r="1204" customFormat="false" ht="15" hidden="false" customHeight="false" outlineLevel="0" collapsed="false">
      <c r="A1204" s="4" t="n">
        <v>1200</v>
      </c>
      <c r="B1204" s="14" t="n">
        <f aca="false">A1204/12</f>
        <v>100</v>
      </c>
      <c r="C1204" s="15" t="n">
        <f aca="false">INT(A1204/6)</f>
        <v>200</v>
      </c>
      <c r="D1204" s="16" t="n">
        <f aca="false">IF(C1204=0,(1+Dic2024!$G$6)^(-B1204),EXP(LN(INDEX(Dic2024!$H$6:$H$205,C1204))+(LN(INDEX(Dic2024!$H$6:$H$205,MIN(C1204+1,200)))-LN(INDEX(Dic2024!$H$6:$H$205,C1204)))*(A1204-6*C1204)/6))</f>
        <v>0.00284210340093637</v>
      </c>
      <c r="E1204" s="12" t="n">
        <f aca="false">D1204^(-1/B1204)-1</f>
        <v>0.0603850625</v>
      </c>
      <c r="F1204" s="12" t="n">
        <f aca="false">(1+E1204)^(1/12)-1</f>
        <v>0.00489796506237616</v>
      </c>
      <c r="G1204" s="16" t="n">
        <f aca="false">IF(C1204=0,(1+Dic2024!$J$6)^(-B1204),EXP(LN(INDEX(Dic2024!$K$6:$K$205,C1204))+(LN(INDEX(Dic2024!$K$6:$K$205,MIN(C1204+1,200)))-LN(INDEX(Dic2024!$K$6:$K$205,C1204)))*(A1204-6*C1204)/6))</f>
        <v>0.00284210340093637</v>
      </c>
      <c r="H1204" s="12" t="n">
        <f aca="false">G1204^(-1/B1204)-1</f>
        <v>0.0603850625</v>
      </c>
      <c r="I1204" s="12" t="n">
        <f aca="false">(1+H1204)^(1/12)-1</f>
        <v>0.00489796506237616</v>
      </c>
      <c r="J1204" s="16" t="n">
        <f aca="false">IF(C1204=0,(1+Dic2024!$M$6)^(-B1204),EXP(LN(INDEX(Dic2024!$N$6:$N$205,C1204))+(LN(INDEX(Dic2024!$N$6:$N$205,MIN(C1204+1,200)))-LN(INDEX(Dic2024!$N$6:$N$205,C1204)))*(A1204-6*C1204)/6))</f>
        <v>0.00284210340093637</v>
      </c>
      <c r="K1204" s="12" t="n">
        <f aca="false">J1204^(-1/B1204)-1</f>
        <v>0.0603850625</v>
      </c>
      <c r="L1204" s="12" t="n">
        <f aca="false">(1+K1204)^(1/12)-1</f>
        <v>0.00489796506237616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2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0"/>
    <col collapsed="false" customWidth="true" hidden="false" outlineLevel="0" max="3" min="3" style="0" width="11"/>
    <col collapsed="false" customWidth="true" hidden="false" outlineLevel="0" max="12" min="4" style="0" width="13"/>
  </cols>
  <sheetData>
    <row r="1" customFormat="false" ht="15" hidden="false" customHeight="false" outlineLevel="0" collapsed="false">
      <c r="A1" s="1" t="s">
        <v>67</v>
      </c>
    </row>
    <row r="2" customFormat="false" ht="15" hidden="false" customHeight="false" outlineLevel="0" collapsed="false">
      <c r="A2" s="2" t="s">
        <v>68</v>
      </c>
    </row>
    <row r="4" customFormat="false" ht="42" hidden="false" customHeight="true" outlineLevel="0" collapsed="false">
      <c r="A4" s="3" t="s">
        <v>60</v>
      </c>
      <c r="B4" s="3" t="s">
        <v>42</v>
      </c>
      <c r="C4" s="3" t="s">
        <v>61</v>
      </c>
      <c r="D4" s="3" t="s">
        <v>49</v>
      </c>
      <c r="E4" s="3" t="s">
        <v>48</v>
      </c>
      <c r="F4" s="3" t="s">
        <v>62</v>
      </c>
      <c r="G4" s="3" t="s">
        <v>52</v>
      </c>
      <c r="H4" s="3" t="s">
        <v>51</v>
      </c>
      <c r="I4" s="3" t="s">
        <v>63</v>
      </c>
      <c r="J4" s="3" t="s">
        <v>55</v>
      </c>
      <c r="K4" s="3" t="s">
        <v>54</v>
      </c>
      <c r="L4" s="3" t="s">
        <v>64</v>
      </c>
    </row>
    <row r="5" customFormat="false" ht="15" hidden="false" customHeight="false" outlineLevel="0" collapsed="false">
      <c r="A5" s="4" t="n">
        <v>1</v>
      </c>
      <c r="B5" s="14" t="n">
        <f aca="false">A5/12</f>
        <v>0.0833333333333333</v>
      </c>
      <c r="C5" s="15" t="n">
        <f aca="false">INT(A5/6)</f>
        <v>0</v>
      </c>
      <c r="D5" s="16" t="n">
        <f aca="false">IF(C5=0,(1+Dic2025!$G$6)^(-B5),EXP(LN(INDEX(Dic2025!$H$6:$H$205,C5))+(LN(INDEX(Dic2025!$H$6:$H$205,MIN(C5+1,200)))-LN(INDEX(Dic2025!$H$6:$H$205,C5)))*(A5-6*C5)/6))</f>
        <v>0.996867956075063</v>
      </c>
      <c r="E5" s="12" t="n">
        <f aca="false">D5^(-1/B5)-1</f>
        <v>0.0383610000000003</v>
      </c>
      <c r="F5" s="12" t="n">
        <f aca="false">(1+E5)^(1/12)-1</f>
        <v>0.0031418844450255</v>
      </c>
      <c r="G5" s="16" t="n">
        <f aca="false">IF(C5=0,(1+Dic2025!$J$6)^(-B5),EXP(LN(INDEX(Dic2025!$K$6:$K$205,C5))+(LN(INDEX(Dic2025!$K$6:$K$205,MIN(C5+1,200)))-LN(INDEX(Dic2025!$K$6:$K$205,C5)))*(A5-6*C5)/6))</f>
        <v>0.996867956075063</v>
      </c>
      <c r="H5" s="12" t="n">
        <f aca="false">G5^(-1/B5)-1</f>
        <v>0.0383610000000003</v>
      </c>
      <c r="I5" s="12" t="n">
        <f aca="false">(1+H5)^(1/12)-1</f>
        <v>0.0031418844450255</v>
      </c>
      <c r="J5" s="16" t="n">
        <f aca="false">IF(C5=0,(1+Dic2025!$M$6)^(-B5),EXP(LN(INDEX(Dic2025!$N$6:$N$205,C5))+(LN(INDEX(Dic2025!$N$6:$N$205,MIN(C5+1,200)))-LN(INDEX(Dic2025!$N$6:$N$205,C5)))*(A5-6*C5)/6))</f>
        <v>0.996867956075063</v>
      </c>
      <c r="K5" s="12" t="n">
        <f aca="false">J5^(-1/B5)-1</f>
        <v>0.0383610000000003</v>
      </c>
      <c r="L5" s="12" t="n">
        <f aca="false">(1+K5)^(1/12)-1</f>
        <v>0.0031418844450255</v>
      </c>
    </row>
    <row r="6" customFormat="false" ht="15" hidden="false" customHeight="false" outlineLevel="0" collapsed="false">
      <c r="A6" s="4" t="n">
        <v>2</v>
      </c>
      <c r="B6" s="14" t="n">
        <f aca="false">A6/12</f>
        <v>0.166666666666667</v>
      </c>
      <c r="C6" s="15" t="n">
        <f aca="false">INT(A6/6)</f>
        <v>0</v>
      </c>
      <c r="D6" s="16" t="n">
        <f aca="false">IF(C6=0,(1+Dic2025!$G$6)^(-B6),EXP(LN(INDEX(Dic2025!$H$6:$H$205,C6))+(LN(INDEX(Dic2025!$H$6:$H$205,MIN(C6+1,200)))-LN(INDEX(Dic2025!$H$6:$H$205,C6)))*(A6-6*C6)/6))</f>
        <v>0.993745721849275</v>
      </c>
      <c r="E6" s="12" t="n">
        <f aca="false">D6^(-1/B6)-1</f>
        <v>0.0383610000000001</v>
      </c>
      <c r="F6" s="12" t="n">
        <f aca="false">(1+E6)^(1/12)-1</f>
        <v>0.0031418844450255</v>
      </c>
      <c r="G6" s="16" t="n">
        <f aca="false">IF(C6=0,(1+Dic2025!$J$6)^(-B6),EXP(LN(INDEX(Dic2025!$K$6:$K$205,C6))+(LN(INDEX(Dic2025!$K$6:$K$205,MIN(C6+1,200)))-LN(INDEX(Dic2025!$K$6:$K$205,C6)))*(A6-6*C6)/6))</f>
        <v>0.993745721849275</v>
      </c>
      <c r="H6" s="12" t="n">
        <f aca="false">G6^(-1/B6)-1</f>
        <v>0.0383610000000001</v>
      </c>
      <c r="I6" s="12" t="n">
        <f aca="false">(1+H6)^(1/12)-1</f>
        <v>0.0031418844450255</v>
      </c>
      <c r="J6" s="16" t="n">
        <f aca="false">IF(C6=0,(1+Dic2025!$M$6)^(-B6),EXP(LN(INDEX(Dic2025!$N$6:$N$205,C6))+(LN(INDEX(Dic2025!$N$6:$N$205,MIN(C6+1,200)))-LN(INDEX(Dic2025!$N$6:$N$205,C6)))*(A6-6*C6)/6))</f>
        <v>0.993745721849275</v>
      </c>
      <c r="K6" s="12" t="n">
        <f aca="false">J6^(-1/B6)-1</f>
        <v>0.0383610000000001</v>
      </c>
      <c r="L6" s="12" t="n">
        <f aca="false">(1+K6)^(1/12)-1</f>
        <v>0.0031418844450255</v>
      </c>
    </row>
    <row r="7" customFormat="false" ht="15" hidden="false" customHeight="false" outlineLevel="0" collapsed="false">
      <c r="A7" s="4" t="n">
        <v>3</v>
      </c>
      <c r="B7" s="14" t="n">
        <f aca="false">A7/12</f>
        <v>0.25</v>
      </c>
      <c r="C7" s="15" t="n">
        <f aca="false">INT(A7/6)</f>
        <v>0</v>
      </c>
      <c r="D7" s="16" t="n">
        <f aca="false">IF(C7=0,(1+Dic2025!$G$6)^(-B7),EXP(LN(INDEX(Dic2025!$H$6:$H$205,C7))+(LN(INDEX(Dic2025!$H$6:$H$205,MIN(C7+1,200)))-LN(INDEX(Dic2025!$H$6:$H$205,C7)))*(A7-6*C7)/6))</f>
        <v>0.990633266598225</v>
      </c>
      <c r="E7" s="12" t="n">
        <f aca="false">D7^(-1/B7)-1</f>
        <v>0.0383609999999999</v>
      </c>
      <c r="F7" s="12" t="n">
        <f aca="false">(1+E7)^(1/12)-1</f>
        <v>0.0031418844450255</v>
      </c>
      <c r="G7" s="16" t="n">
        <f aca="false">IF(C7=0,(1+Dic2025!$J$6)^(-B7),EXP(LN(INDEX(Dic2025!$K$6:$K$205,C7))+(LN(INDEX(Dic2025!$K$6:$K$205,MIN(C7+1,200)))-LN(INDEX(Dic2025!$K$6:$K$205,C7)))*(A7-6*C7)/6))</f>
        <v>0.990633266598225</v>
      </c>
      <c r="H7" s="12" t="n">
        <f aca="false">G7^(-1/B7)-1</f>
        <v>0.0383609999999999</v>
      </c>
      <c r="I7" s="12" t="n">
        <f aca="false">(1+H7)^(1/12)-1</f>
        <v>0.0031418844450255</v>
      </c>
      <c r="J7" s="16" t="n">
        <f aca="false">IF(C7=0,(1+Dic2025!$M$6)^(-B7),EXP(LN(INDEX(Dic2025!$N$6:$N$205,C7))+(LN(INDEX(Dic2025!$N$6:$N$205,MIN(C7+1,200)))-LN(INDEX(Dic2025!$N$6:$N$205,C7)))*(A7-6*C7)/6))</f>
        <v>0.990633266598225</v>
      </c>
      <c r="K7" s="12" t="n">
        <f aca="false">J7^(-1/B7)-1</f>
        <v>0.0383609999999999</v>
      </c>
      <c r="L7" s="12" t="n">
        <f aca="false">(1+K7)^(1/12)-1</f>
        <v>0.0031418844450255</v>
      </c>
    </row>
    <row r="8" customFormat="false" ht="15" hidden="false" customHeight="false" outlineLevel="0" collapsed="false">
      <c r="A8" s="4" t="n">
        <v>4</v>
      </c>
      <c r="B8" s="14" t="n">
        <f aca="false">A8/12</f>
        <v>0.333333333333333</v>
      </c>
      <c r="C8" s="15" t="n">
        <f aca="false">INT(A8/6)</f>
        <v>0</v>
      </c>
      <c r="D8" s="16" t="n">
        <f aca="false">IF(C8=0,(1+Dic2025!$G$6)^(-B8),EXP(LN(INDEX(Dic2025!$H$6:$H$205,C8))+(LN(INDEX(Dic2025!$H$6:$H$205,MIN(C8+1,200)))-LN(INDEX(Dic2025!$H$6:$H$205,C8)))*(A8-6*C8)/6))</f>
        <v>0.987530559693736</v>
      </c>
      <c r="E8" s="12" t="n">
        <f aca="false">D8^(-1/B8)-1</f>
        <v>0.0383609999999996</v>
      </c>
      <c r="F8" s="12" t="n">
        <f aca="false">(1+E8)^(1/12)-1</f>
        <v>0.0031418844450255</v>
      </c>
      <c r="G8" s="16" t="n">
        <f aca="false">IF(C8=0,(1+Dic2025!$J$6)^(-B8),EXP(LN(INDEX(Dic2025!$K$6:$K$205,C8))+(LN(INDEX(Dic2025!$K$6:$K$205,MIN(C8+1,200)))-LN(INDEX(Dic2025!$K$6:$K$205,C8)))*(A8-6*C8)/6))</f>
        <v>0.987530559693736</v>
      </c>
      <c r="H8" s="12" t="n">
        <f aca="false">G8^(-1/B8)-1</f>
        <v>0.0383609999999996</v>
      </c>
      <c r="I8" s="12" t="n">
        <f aca="false">(1+H8)^(1/12)-1</f>
        <v>0.0031418844450255</v>
      </c>
      <c r="J8" s="16" t="n">
        <f aca="false">IF(C8=0,(1+Dic2025!$M$6)^(-B8),EXP(LN(INDEX(Dic2025!$N$6:$N$205,C8))+(LN(INDEX(Dic2025!$N$6:$N$205,MIN(C8+1,200)))-LN(INDEX(Dic2025!$N$6:$N$205,C8)))*(A8-6*C8)/6))</f>
        <v>0.987530559693736</v>
      </c>
      <c r="K8" s="12" t="n">
        <f aca="false">J8^(-1/B8)-1</f>
        <v>0.0383609999999996</v>
      </c>
      <c r="L8" s="12" t="n">
        <f aca="false">(1+K8)^(1/12)-1</f>
        <v>0.0031418844450255</v>
      </c>
    </row>
    <row r="9" customFormat="false" ht="15" hidden="false" customHeight="false" outlineLevel="0" collapsed="false">
      <c r="A9" s="4" t="n">
        <v>5</v>
      </c>
      <c r="B9" s="14" t="n">
        <f aca="false">A9/12</f>
        <v>0.416666666666667</v>
      </c>
      <c r="C9" s="15" t="n">
        <f aca="false">INT(A9/6)</f>
        <v>0</v>
      </c>
      <c r="D9" s="16" t="n">
        <f aca="false">IF(C9=0,(1+Dic2025!$G$6)^(-B9),EXP(LN(INDEX(Dic2025!$H$6:$H$205,C9))+(LN(INDEX(Dic2025!$H$6:$H$205,MIN(C9+1,200)))-LN(INDEX(Dic2025!$H$6:$H$205,C9)))*(A9-6*C9)/6))</f>
        <v>0.984437570603558</v>
      </c>
      <c r="E9" s="12" t="n">
        <f aca="false">D9^(-1/B9)-1</f>
        <v>0.0383609999999996</v>
      </c>
      <c r="F9" s="12" t="n">
        <f aca="false">(1+E9)^(1/12)-1</f>
        <v>0.0031418844450255</v>
      </c>
      <c r="G9" s="16" t="n">
        <f aca="false">IF(C9=0,(1+Dic2025!$J$6)^(-B9),EXP(LN(INDEX(Dic2025!$K$6:$K$205,C9))+(LN(INDEX(Dic2025!$K$6:$K$205,MIN(C9+1,200)))-LN(INDEX(Dic2025!$K$6:$K$205,C9)))*(A9-6*C9)/6))</f>
        <v>0.984437570603558</v>
      </c>
      <c r="H9" s="12" t="n">
        <f aca="false">G9^(-1/B9)-1</f>
        <v>0.0383609999999996</v>
      </c>
      <c r="I9" s="12" t="n">
        <f aca="false">(1+H9)^(1/12)-1</f>
        <v>0.0031418844450255</v>
      </c>
      <c r="J9" s="16" t="n">
        <f aca="false">IF(C9=0,(1+Dic2025!$M$6)^(-B9),EXP(LN(INDEX(Dic2025!$N$6:$N$205,C9))+(LN(INDEX(Dic2025!$N$6:$N$205,MIN(C9+1,200)))-LN(INDEX(Dic2025!$N$6:$N$205,C9)))*(A9-6*C9)/6))</f>
        <v>0.984437570603558</v>
      </c>
      <c r="K9" s="12" t="n">
        <f aca="false">J9^(-1/B9)-1</f>
        <v>0.0383609999999996</v>
      </c>
      <c r="L9" s="12" t="n">
        <f aca="false">(1+K9)^(1/12)-1</f>
        <v>0.0031418844450255</v>
      </c>
    </row>
    <row r="10" customFormat="false" ht="15" hidden="false" customHeight="false" outlineLevel="0" collapsed="false">
      <c r="A10" s="4" t="n">
        <v>6</v>
      </c>
      <c r="B10" s="14" t="n">
        <f aca="false">A10/12</f>
        <v>0.5</v>
      </c>
      <c r="C10" s="15" t="n">
        <f aca="false">INT(A10/6)</f>
        <v>1</v>
      </c>
      <c r="D10" s="16" t="n">
        <f aca="false">IF(C10=0,(1+Dic2025!$G$6)^(-B10),EXP(LN(INDEX(Dic2025!$H$6:$H$205,C10))+(LN(INDEX(Dic2025!$H$6:$H$205,MIN(C10+1,200)))-LN(INDEX(Dic2025!$H$6:$H$205,C10)))*(A10-6*C10)/6))</f>
        <v>0.98135426889107</v>
      </c>
      <c r="E10" s="12" t="n">
        <f aca="false">D10^(-1/B10)-1</f>
        <v>0.0383609999999999</v>
      </c>
      <c r="F10" s="12" t="n">
        <f aca="false">(1+E10)^(1/12)-1</f>
        <v>0.0031418844450255</v>
      </c>
      <c r="G10" s="16" t="n">
        <f aca="false">IF(C10=0,(1+Dic2025!$J$6)^(-B10),EXP(LN(INDEX(Dic2025!$K$6:$K$205,C10))+(LN(INDEX(Dic2025!$K$6:$K$205,MIN(C10+1,200)))-LN(INDEX(Dic2025!$K$6:$K$205,C10)))*(A10-6*C10)/6))</f>
        <v>0.98135426889107</v>
      </c>
      <c r="H10" s="12" t="n">
        <f aca="false">G10^(-1/B10)-1</f>
        <v>0.0383609999999999</v>
      </c>
      <c r="I10" s="12" t="n">
        <f aca="false">(1+H10)^(1/12)-1</f>
        <v>0.0031418844450255</v>
      </c>
      <c r="J10" s="16" t="n">
        <f aca="false">IF(C10=0,(1+Dic2025!$M$6)^(-B10),EXP(LN(INDEX(Dic2025!$N$6:$N$205,C10))+(LN(INDEX(Dic2025!$N$6:$N$205,MIN(C10+1,200)))-LN(INDEX(Dic2025!$N$6:$N$205,C10)))*(A10-6*C10)/6))</f>
        <v>0.98135426889107</v>
      </c>
      <c r="K10" s="12" t="n">
        <f aca="false">J10^(-1/B10)-1</f>
        <v>0.0383609999999999</v>
      </c>
      <c r="L10" s="12" t="n">
        <f aca="false">(1+K10)^(1/12)-1</f>
        <v>0.0031418844450255</v>
      </c>
    </row>
    <row r="11" customFormat="false" ht="15" hidden="false" customHeight="false" outlineLevel="0" collapsed="false">
      <c r="A11" s="4" t="n">
        <v>7</v>
      </c>
      <c r="B11" s="14" t="n">
        <f aca="false">A11/12</f>
        <v>0.583333333333333</v>
      </c>
      <c r="C11" s="15" t="n">
        <f aca="false">INT(A11/6)</f>
        <v>1</v>
      </c>
      <c r="D11" s="16" t="n">
        <f aca="false">IF(C11=0,(1+Dic2025!$G$6)^(-B11),EXP(LN(INDEX(Dic2025!$H$6:$H$205,C11))+(LN(INDEX(Dic2025!$H$6:$H$205,MIN(C11+1,200)))-LN(INDEX(Dic2025!$H$6:$H$205,C11)))*(A11-6*C11)/6))</f>
        <v>0.978216629930488</v>
      </c>
      <c r="E11" s="12" t="n">
        <f aca="false">D11^(-1/B11)-1</f>
        <v>0.0384774522453557</v>
      </c>
      <c r="F11" s="12" t="n">
        <f aca="false">(1+E11)^(1/12)-1</f>
        <v>0.00315125916478309</v>
      </c>
      <c r="G11" s="16" t="n">
        <f aca="false">IF(C11=0,(1+Dic2025!$J$6)^(-B11),EXP(LN(INDEX(Dic2025!$K$6:$K$205,C11))+(LN(INDEX(Dic2025!$K$6:$K$205,MIN(C11+1,200)))-LN(INDEX(Dic2025!$K$6:$K$205,C11)))*(A11-6*C11)/6))</f>
        <v>0.978216629930488</v>
      </c>
      <c r="H11" s="12" t="n">
        <f aca="false">G11^(-1/B11)-1</f>
        <v>0.0384774522453557</v>
      </c>
      <c r="I11" s="12" t="n">
        <f aca="false">(1+H11)^(1/12)-1</f>
        <v>0.00315125916478309</v>
      </c>
      <c r="J11" s="16" t="n">
        <f aca="false">IF(C11=0,(1+Dic2025!$M$6)^(-B11),EXP(LN(INDEX(Dic2025!$N$6:$N$205,C11))+(LN(INDEX(Dic2025!$N$6:$N$205,MIN(C11+1,200)))-LN(INDEX(Dic2025!$N$6:$N$205,C11)))*(A11-6*C11)/6))</f>
        <v>0.978216629930488</v>
      </c>
      <c r="K11" s="12" t="n">
        <f aca="false">J11^(-1/B11)-1</f>
        <v>0.0384774522453557</v>
      </c>
      <c r="L11" s="12" t="n">
        <f aca="false">(1+K11)^(1/12)-1</f>
        <v>0.00315125916478309</v>
      </c>
    </row>
    <row r="12" customFormat="false" ht="15" hidden="false" customHeight="false" outlineLevel="0" collapsed="false">
      <c r="A12" s="4" t="n">
        <v>8</v>
      </c>
      <c r="B12" s="14" t="n">
        <f aca="false">A12/12</f>
        <v>0.666666666666667</v>
      </c>
      <c r="C12" s="15" t="n">
        <f aca="false">INT(A12/6)</f>
        <v>1</v>
      </c>
      <c r="D12" s="16" t="n">
        <f aca="false">IF(C12=0,(1+Dic2025!$G$6)^(-B12),EXP(LN(INDEX(Dic2025!$H$6:$H$205,C12))+(LN(INDEX(Dic2025!$H$6:$H$205,MIN(C12+1,200)))-LN(INDEX(Dic2025!$H$6:$H$205,C12)))*(A12-6*C12)/6))</f>
        <v>0.975089022798941</v>
      </c>
      <c r="E12" s="12" t="n">
        <f aca="false">D12^(-1/B12)-1</f>
        <v>0.0385648000000001</v>
      </c>
      <c r="F12" s="12" t="n">
        <f aca="false">(1+E12)^(1/12)-1</f>
        <v>0.00315829026209524</v>
      </c>
      <c r="G12" s="16" t="n">
        <f aca="false">IF(C12=0,(1+Dic2025!$J$6)^(-B12),EXP(LN(INDEX(Dic2025!$K$6:$K$205,C12))+(LN(INDEX(Dic2025!$K$6:$K$205,MIN(C12+1,200)))-LN(INDEX(Dic2025!$K$6:$K$205,C12)))*(A12-6*C12)/6))</f>
        <v>0.975089022798941</v>
      </c>
      <c r="H12" s="12" t="n">
        <f aca="false">G12^(-1/B12)-1</f>
        <v>0.0385648000000001</v>
      </c>
      <c r="I12" s="12" t="n">
        <f aca="false">(1+H12)^(1/12)-1</f>
        <v>0.00315829026209524</v>
      </c>
      <c r="J12" s="16" t="n">
        <f aca="false">IF(C12=0,(1+Dic2025!$M$6)^(-B12),EXP(LN(INDEX(Dic2025!$N$6:$N$205,C12))+(LN(INDEX(Dic2025!$N$6:$N$205,MIN(C12+1,200)))-LN(INDEX(Dic2025!$N$6:$N$205,C12)))*(A12-6*C12)/6))</f>
        <v>0.975089022798941</v>
      </c>
      <c r="K12" s="12" t="n">
        <f aca="false">J12^(-1/B12)-1</f>
        <v>0.0385648000000001</v>
      </c>
      <c r="L12" s="12" t="n">
        <f aca="false">(1+K12)^(1/12)-1</f>
        <v>0.00315829026209524</v>
      </c>
    </row>
    <row r="13" customFormat="false" ht="15" hidden="false" customHeight="false" outlineLevel="0" collapsed="false">
      <c r="A13" s="4" t="n">
        <v>9</v>
      </c>
      <c r="B13" s="14" t="n">
        <f aca="false">A13/12</f>
        <v>0.75</v>
      </c>
      <c r="C13" s="15" t="n">
        <f aca="false">INT(A13/6)</f>
        <v>1</v>
      </c>
      <c r="D13" s="16" t="n">
        <f aca="false">IF(C13=0,(1+Dic2025!$G$6)^(-B13),EXP(LN(INDEX(Dic2025!$H$6:$H$205,C13))+(LN(INDEX(Dic2025!$H$6:$H$205,MIN(C13+1,200)))-LN(INDEX(Dic2025!$H$6:$H$205,C13)))*(A13-6*C13)/6))</f>
        <v>0.97197141542212</v>
      </c>
      <c r="E13" s="12" t="n">
        <f aca="false">D13^(-1/B13)-1</f>
        <v>0.0386327422218347</v>
      </c>
      <c r="F13" s="12" t="n">
        <f aca="false">(1+E13)^(1/12)-1</f>
        <v>0.00316375892740894</v>
      </c>
      <c r="G13" s="16" t="n">
        <f aca="false">IF(C13=0,(1+Dic2025!$J$6)^(-B13),EXP(LN(INDEX(Dic2025!$K$6:$K$205,C13))+(LN(INDEX(Dic2025!$K$6:$K$205,MIN(C13+1,200)))-LN(INDEX(Dic2025!$K$6:$K$205,C13)))*(A13-6*C13)/6))</f>
        <v>0.97197141542212</v>
      </c>
      <c r="H13" s="12" t="n">
        <f aca="false">G13^(-1/B13)-1</f>
        <v>0.0386327422218347</v>
      </c>
      <c r="I13" s="12" t="n">
        <f aca="false">(1+H13)^(1/12)-1</f>
        <v>0.00316375892740894</v>
      </c>
      <c r="J13" s="16" t="n">
        <f aca="false">IF(C13=0,(1+Dic2025!$M$6)^(-B13),EXP(LN(INDEX(Dic2025!$N$6:$N$205,C13))+(LN(INDEX(Dic2025!$N$6:$N$205,MIN(C13+1,200)))-LN(INDEX(Dic2025!$N$6:$N$205,C13)))*(A13-6*C13)/6))</f>
        <v>0.97197141542212</v>
      </c>
      <c r="K13" s="12" t="n">
        <f aca="false">J13^(-1/B13)-1</f>
        <v>0.0386327422218347</v>
      </c>
      <c r="L13" s="12" t="n">
        <f aca="false">(1+K13)^(1/12)-1</f>
        <v>0.00316375892740894</v>
      </c>
    </row>
    <row r="14" customFormat="false" ht="15" hidden="false" customHeight="false" outlineLevel="0" collapsed="false">
      <c r="A14" s="4" t="n">
        <v>10</v>
      </c>
      <c r="B14" s="14" t="n">
        <f aca="false">A14/12</f>
        <v>0.833333333333333</v>
      </c>
      <c r="C14" s="15" t="n">
        <f aca="false">INT(A14/6)</f>
        <v>1</v>
      </c>
      <c r="D14" s="16" t="n">
        <f aca="false">IF(C14=0,(1+Dic2025!$G$6)^(-B14),EXP(LN(INDEX(Dic2025!$H$6:$H$205,C14))+(LN(INDEX(Dic2025!$H$6:$H$205,MIN(C14+1,200)))-LN(INDEX(Dic2025!$H$6:$H$205,C14)))*(A14-6*C14)/6))</f>
        <v>0.96886377582827</v>
      </c>
      <c r="E14" s="12" t="n">
        <f aca="false">D14^(-1/B14)-1</f>
        <v>0.0386870991994979</v>
      </c>
      <c r="F14" s="12" t="n">
        <f aca="false">(1+E14)^(1/12)-1</f>
        <v>0.00316813388112469</v>
      </c>
      <c r="G14" s="16" t="n">
        <f aca="false">IF(C14=0,(1+Dic2025!$J$6)^(-B14),EXP(LN(INDEX(Dic2025!$K$6:$K$205,C14))+(LN(INDEX(Dic2025!$K$6:$K$205,MIN(C14+1,200)))-LN(INDEX(Dic2025!$K$6:$K$205,C14)))*(A14-6*C14)/6))</f>
        <v>0.96886377582827</v>
      </c>
      <c r="H14" s="12" t="n">
        <f aca="false">G14^(-1/B14)-1</f>
        <v>0.0386870991994979</v>
      </c>
      <c r="I14" s="12" t="n">
        <f aca="false">(1+H14)^(1/12)-1</f>
        <v>0.00316813388112469</v>
      </c>
      <c r="J14" s="16" t="n">
        <f aca="false">IF(C14=0,(1+Dic2025!$M$6)^(-B14),EXP(LN(INDEX(Dic2025!$N$6:$N$205,C14))+(LN(INDEX(Dic2025!$N$6:$N$205,MIN(C14+1,200)))-LN(INDEX(Dic2025!$N$6:$N$205,C14)))*(A14-6*C14)/6))</f>
        <v>0.96886377582827</v>
      </c>
      <c r="K14" s="12" t="n">
        <f aca="false">J14^(-1/B14)-1</f>
        <v>0.0386870991994979</v>
      </c>
      <c r="L14" s="12" t="n">
        <f aca="false">(1+K14)^(1/12)-1</f>
        <v>0.00316813388112469</v>
      </c>
    </row>
    <row r="15" customFormat="false" ht="15" hidden="false" customHeight="false" outlineLevel="0" collapsed="false">
      <c r="A15" s="4" t="n">
        <v>11</v>
      </c>
      <c r="B15" s="14" t="n">
        <f aca="false">A15/12</f>
        <v>0.916666666666667</v>
      </c>
      <c r="C15" s="15" t="n">
        <f aca="false">INT(A15/6)</f>
        <v>1</v>
      </c>
      <c r="D15" s="16" t="n">
        <f aca="false">IF(C15=0,(1+Dic2025!$G$6)^(-B15),EXP(LN(INDEX(Dic2025!$H$6:$H$205,C15))+(LN(INDEX(Dic2025!$H$6:$H$205,MIN(C15+1,200)))-LN(INDEX(Dic2025!$H$6:$H$205,C15)))*(A15-6*C15)/6))</f>
        <v>0.965766072147855</v>
      </c>
      <c r="E15" s="12" t="n">
        <f aca="false">D15^(-1/B15)-1</f>
        <v>0.0387315752062578</v>
      </c>
      <c r="F15" s="12" t="n">
        <f aca="false">(1+E15)^(1/12)-1</f>
        <v>0.0031717134029019</v>
      </c>
      <c r="G15" s="16" t="n">
        <f aca="false">IF(C15=0,(1+Dic2025!$J$6)^(-B15),EXP(LN(INDEX(Dic2025!$K$6:$K$205,C15))+(LN(INDEX(Dic2025!$K$6:$K$205,MIN(C15+1,200)))-LN(INDEX(Dic2025!$K$6:$K$205,C15)))*(A15-6*C15)/6))</f>
        <v>0.965766072147855</v>
      </c>
      <c r="H15" s="12" t="n">
        <f aca="false">G15^(-1/B15)-1</f>
        <v>0.0387315752062578</v>
      </c>
      <c r="I15" s="12" t="n">
        <f aca="false">(1+H15)^(1/12)-1</f>
        <v>0.0031717134029019</v>
      </c>
      <c r="J15" s="16" t="n">
        <f aca="false">IF(C15=0,(1+Dic2025!$M$6)^(-B15),EXP(LN(INDEX(Dic2025!$N$6:$N$205,C15))+(LN(INDEX(Dic2025!$N$6:$N$205,MIN(C15+1,200)))-LN(INDEX(Dic2025!$N$6:$N$205,C15)))*(A15-6*C15)/6))</f>
        <v>0.965766072147855</v>
      </c>
      <c r="K15" s="12" t="n">
        <f aca="false">J15^(-1/B15)-1</f>
        <v>0.0387315752062578</v>
      </c>
      <c r="L15" s="12" t="n">
        <f aca="false">(1+K15)^(1/12)-1</f>
        <v>0.0031717134029019</v>
      </c>
    </row>
    <row r="16" customFormat="false" ht="15" hidden="false" customHeight="false" outlineLevel="0" collapsed="false">
      <c r="A16" s="4" t="n">
        <v>12</v>
      </c>
      <c r="B16" s="14" t="n">
        <f aca="false">A16/12</f>
        <v>1</v>
      </c>
      <c r="C16" s="15" t="n">
        <f aca="false">INT(A16/6)</f>
        <v>2</v>
      </c>
      <c r="D16" s="16" t="n">
        <f aca="false">IF(C16=0,(1+Dic2025!$G$6)^(-B16),EXP(LN(INDEX(Dic2025!$H$6:$H$205,C16))+(LN(INDEX(Dic2025!$H$6:$H$205,MIN(C16+1,200)))-LN(INDEX(Dic2025!$H$6:$H$205,C16)))*(A16-6*C16)/6))</f>
        <v>0.962678272613235</v>
      </c>
      <c r="E16" s="12" t="n">
        <f aca="false">D16^(-1/B16)-1</f>
        <v>0.0387686400000002</v>
      </c>
      <c r="F16" s="12" t="n">
        <f aca="false">(1+E16)^(1/12)-1</f>
        <v>0.00317469634747303</v>
      </c>
      <c r="G16" s="16" t="n">
        <f aca="false">IF(C16=0,(1+Dic2025!$J$6)^(-B16),EXP(LN(INDEX(Dic2025!$K$6:$K$205,C16))+(LN(INDEX(Dic2025!$K$6:$K$205,MIN(C16+1,200)))-LN(INDEX(Dic2025!$K$6:$K$205,C16)))*(A16-6*C16)/6))</f>
        <v>0.962678272613235</v>
      </c>
      <c r="H16" s="12" t="n">
        <f aca="false">G16^(-1/B16)-1</f>
        <v>0.0387686400000002</v>
      </c>
      <c r="I16" s="12" t="n">
        <f aca="false">(1+H16)^(1/12)-1</f>
        <v>0.00317469634747303</v>
      </c>
      <c r="J16" s="16" t="n">
        <f aca="false">IF(C16=0,(1+Dic2025!$M$6)^(-B16),EXP(LN(INDEX(Dic2025!$N$6:$N$205,C16))+(LN(INDEX(Dic2025!$N$6:$N$205,MIN(C16+1,200)))-LN(INDEX(Dic2025!$N$6:$N$205,C16)))*(A16-6*C16)/6))</f>
        <v>0.962678272613235</v>
      </c>
      <c r="K16" s="12" t="n">
        <f aca="false">J16^(-1/B16)-1</f>
        <v>0.0387686400000002</v>
      </c>
      <c r="L16" s="12" t="n">
        <f aca="false">(1+K16)^(1/12)-1</f>
        <v>0.00317469634747303</v>
      </c>
    </row>
    <row r="17" customFormat="false" ht="15" hidden="false" customHeight="false" outlineLevel="0" collapsed="false">
      <c r="A17" s="4" t="n">
        <v>13</v>
      </c>
      <c r="B17" s="14" t="n">
        <f aca="false">A17/12</f>
        <v>1.08333333333333</v>
      </c>
      <c r="C17" s="15" t="n">
        <f aca="false">INT(A17/6)</f>
        <v>2</v>
      </c>
      <c r="D17" s="16" t="n">
        <f aca="false">IF(C17=0,(1+Dic2025!$G$6)^(-B17),EXP(LN(INDEX(Dic2025!$H$6:$H$205,C17))+(LN(INDEX(Dic2025!$H$6:$H$205,MIN(C17+1,200)))-LN(INDEX(Dic2025!$H$6:$H$205,C17)))*(A17-6*C17)/6))</f>
        <v>0.959561124506119</v>
      </c>
      <c r="E17" s="12" t="n">
        <f aca="false">D17^(-1/B17)-1</f>
        <v>0.0388391972043531</v>
      </c>
      <c r="F17" s="12" t="n">
        <f aca="false">(1+E17)^(1/12)-1</f>
        <v>0.00318037446448227</v>
      </c>
      <c r="G17" s="16" t="n">
        <f aca="false">IF(C17=0,(1+Dic2025!$J$6)^(-B17),EXP(LN(INDEX(Dic2025!$K$6:$K$205,C17))+(LN(INDEX(Dic2025!$K$6:$K$205,MIN(C17+1,200)))-LN(INDEX(Dic2025!$K$6:$K$205,C17)))*(A17-6*C17)/6))</f>
        <v>0.959561124506119</v>
      </c>
      <c r="H17" s="12" t="n">
        <f aca="false">G17^(-1/B17)-1</f>
        <v>0.0388391972043531</v>
      </c>
      <c r="I17" s="12" t="n">
        <f aca="false">(1+H17)^(1/12)-1</f>
        <v>0.00318037446448227</v>
      </c>
      <c r="J17" s="16" t="n">
        <f aca="false">IF(C17=0,(1+Dic2025!$M$6)^(-B17),EXP(LN(INDEX(Dic2025!$N$6:$N$205,C17))+(LN(INDEX(Dic2025!$N$6:$N$205,MIN(C17+1,200)))-LN(INDEX(Dic2025!$N$6:$N$205,C17)))*(A17-6*C17)/6))</f>
        <v>0.959561124506119</v>
      </c>
      <c r="K17" s="12" t="n">
        <f aca="false">J17^(-1/B17)-1</f>
        <v>0.0388391972043531</v>
      </c>
      <c r="L17" s="12" t="n">
        <f aca="false">(1+K17)^(1/12)-1</f>
        <v>0.00318037446448227</v>
      </c>
    </row>
    <row r="18" customFormat="false" ht="15" hidden="false" customHeight="false" outlineLevel="0" collapsed="false">
      <c r="A18" s="4" t="n">
        <v>14</v>
      </c>
      <c r="B18" s="14" t="n">
        <f aca="false">A18/12</f>
        <v>1.16666666666667</v>
      </c>
      <c r="C18" s="15" t="n">
        <f aca="false">INT(A18/6)</f>
        <v>2</v>
      </c>
      <c r="D18" s="16" t="n">
        <f aca="false">IF(C18=0,(1+Dic2025!$G$6)^(-B18),EXP(LN(INDEX(Dic2025!$H$6:$H$205,C18))+(LN(INDEX(Dic2025!$H$6:$H$205,MIN(C18+1,200)))-LN(INDEX(Dic2025!$H$6:$H$205,C18)))*(A18-6*C18)/6))</f>
        <v>0.956454069711169</v>
      </c>
      <c r="E18" s="12" t="n">
        <f aca="false">D18^(-1/B18)-1</f>
        <v>0.0388996786225262</v>
      </c>
      <c r="F18" s="12" t="n">
        <f aca="false">(1+E18)^(1/12)-1</f>
        <v>0.00318524144749888</v>
      </c>
      <c r="G18" s="16" t="n">
        <f aca="false">IF(C18=0,(1+Dic2025!$J$6)^(-B18),EXP(LN(INDEX(Dic2025!$K$6:$K$205,C18))+(LN(INDEX(Dic2025!$K$6:$K$205,MIN(C18+1,200)))-LN(INDEX(Dic2025!$K$6:$K$205,C18)))*(A18-6*C18)/6))</f>
        <v>0.956454069711169</v>
      </c>
      <c r="H18" s="12" t="n">
        <f aca="false">G18^(-1/B18)-1</f>
        <v>0.0388996786225262</v>
      </c>
      <c r="I18" s="12" t="n">
        <f aca="false">(1+H18)^(1/12)-1</f>
        <v>0.00318524144749888</v>
      </c>
      <c r="J18" s="16" t="n">
        <f aca="false">IF(C18=0,(1+Dic2025!$M$6)^(-B18),EXP(LN(INDEX(Dic2025!$N$6:$N$205,C18))+(LN(INDEX(Dic2025!$N$6:$N$205,MIN(C18+1,200)))-LN(INDEX(Dic2025!$N$6:$N$205,C18)))*(A18-6*C18)/6))</f>
        <v>0.956454069711169</v>
      </c>
      <c r="K18" s="12" t="n">
        <f aca="false">J18^(-1/B18)-1</f>
        <v>0.0388996786225262</v>
      </c>
      <c r="L18" s="12" t="n">
        <f aca="false">(1+K18)^(1/12)-1</f>
        <v>0.00318524144749888</v>
      </c>
    </row>
    <row r="19" customFormat="false" ht="15" hidden="false" customHeight="false" outlineLevel="0" collapsed="false">
      <c r="A19" s="4" t="n">
        <v>15</v>
      </c>
      <c r="B19" s="14" t="n">
        <f aca="false">A19/12</f>
        <v>1.25</v>
      </c>
      <c r="C19" s="15" t="n">
        <f aca="false">INT(A19/6)</f>
        <v>2</v>
      </c>
      <c r="D19" s="16" t="n">
        <f aca="false">IF(C19=0,(1+Dic2025!$G$6)^(-B19),EXP(LN(INDEX(Dic2025!$H$6:$H$205,C19))+(LN(INDEX(Dic2025!$H$6:$H$205,MIN(C19+1,200)))-LN(INDEX(Dic2025!$H$6:$H$205,C19)))*(A19-6*C19)/6))</f>
        <v>0.953357075546285</v>
      </c>
      <c r="E19" s="12" t="n">
        <f aca="false">D19^(-1/B19)-1</f>
        <v>0.0389520986998941</v>
      </c>
      <c r="F19" s="12" t="n">
        <f aca="false">(1+E19)^(1/12)-1</f>
        <v>0.00318945951854643</v>
      </c>
      <c r="G19" s="16" t="n">
        <f aca="false">IF(C19=0,(1+Dic2025!$J$6)^(-B19),EXP(LN(INDEX(Dic2025!$K$6:$K$205,C19))+(LN(INDEX(Dic2025!$K$6:$K$205,MIN(C19+1,200)))-LN(INDEX(Dic2025!$K$6:$K$205,C19)))*(A19-6*C19)/6))</f>
        <v>0.953357075546285</v>
      </c>
      <c r="H19" s="12" t="n">
        <f aca="false">G19^(-1/B19)-1</f>
        <v>0.0389520986998941</v>
      </c>
      <c r="I19" s="12" t="n">
        <f aca="false">(1+H19)^(1/12)-1</f>
        <v>0.00318945951854643</v>
      </c>
      <c r="J19" s="16" t="n">
        <f aca="false">IF(C19=0,(1+Dic2025!$M$6)^(-B19),EXP(LN(INDEX(Dic2025!$N$6:$N$205,C19))+(LN(INDEX(Dic2025!$N$6:$N$205,MIN(C19+1,200)))-LN(INDEX(Dic2025!$N$6:$N$205,C19)))*(A19-6*C19)/6))</f>
        <v>0.953357075546285</v>
      </c>
      <c r="K19" s="12" t="n">
        <f aca="false">J19^(-1/B19)-1</f>
        <v>0.0389520986998941</v>
      </c>
      <c r="L19" s="12" t="n">
        <f aca="false">(1+K19)^(1/12)-1</f>
        <v>0.00318945951854643</v>
      </c>
    </row>
    <row r="20" customFormat="false" ht="15" hidden="false" customHeight="false" outlineLevel="0" collapsed="false">
      <c r="A20" s="4" t="n">
        <v>16</v>
      </c>
      <c r="B20" s="14" t="n">
        <f aca="false">A20/12</f>
        <v>1.33333333333333</v>
      </c>
      <c r="C20" s="15" t="n">
        <f aca="false">INT(A20/6)</f>
        <v>2</v>
      </c>
      <c r="D20" s="16" t="n">
        <f aca="false">IF(C20=0,(1+Dic2025!$G$6)^(-B20),EXP(LN(INDEX(Dic2025!$H$6:$H$205,C20))+(LN(INDEX(Dic2025!$H$6:$H$205,MIN(C20+1,200)))-LN(INDEX(Dic2025!$H$6:$H$205,C20)))*(A20-6*C20)/6))</f>
        <v>0.950270109435189</v>
      </c>
      <c r="E20" s="12" t="n">
        <f aca="false">D20^(-1/B20)-1</f>
        <v>0.038997968437293</v>
      </c>
      <c r="F20" s="12" t="n">
        <f aca="false">(1+E20)^(1/12)-1</f>
        <v>0.0031931503452618</v>
      </c>
      <c r="G20" s="16" t="n">
        <f aca="false">IF(C20=0,(1+Dic2025!$J$6)^(-B20),EXP(LN(INDEX(Dic2025!$K$6:$K$205,C20))+(LN(INDEX(Dic2025!$K$6:$K$205,MIN(C20+1,200)))-LN(INDEX(Dic2025!$K$6:$K$205,C20)))*(A20-6*C20)/6))</f>
        <v>0.950270109435189</v>
      </c>
      <c r="H20" s="12" t="n">
        <f aca="false">G20^(-1/B20)-1</f>
        <v>0.038997968437293</v>
      </c>
      <c r="I20" s="12" t="n">
        <f aca="false">(1+H20)^(1/12)-1</f>
        <v>0.0031931503452618</v>
      </c>
      <c r="J20" s="16" t="n">
        <f aca="false">IF(C20=0,(1+Dic2025!$M$6)^(-B20),EXP(LN(INDEX(Dic2025!$N$6:$N$205,C20))+(LN(INDEX(Dic2025!$N$6:$N$205,MIN(C20+1,200)))-LN(INDEX(Dic2025!$N$6:$N$205,C20)))*(A20-6*C20)/6))</f>
        <v>0.950270109435189</v>
      </c>
      <c r="K20" s="12" t="n">
        <f aca="false">J20^(-1/B20)-1</f>
        <v>0.038997968437293</v>
      </c>
      <c r="L20" s="12" t="n">
        <f aca="false">(1+K20)^(1/12)-1</f>
        <v>0.0031931503452618</v>
      </c>
    </row>
    <row r="21" customFormat="false" ht="15" hidden="false" customHeight="false" outlineLevel="0" collapsed="false">
      <c r="A21" s="4" t="n">
        <v>17</v>
      </c>
      <c r="B21" s="14" t="n">
        <f aca="false">A21/12</f>
        <v>1.41666666666667</v>
      </c>
      <c r="C21" s="15" t="n">
        <f aca="false">INT(A21/6)</f>
        <v>2</v>
      </c>
      <c r="D21" s="16" t="n">
        <f aca="false">IF(C21=0,(1+Dic2025!$G$6)^(-B21),EXP(LN(INDEX(Dic2025!$H$6:$H$205,C21))+(LN(INDEX(Dic2025!$H$6:$H$205,MIN(C21+1,200)))-LN(INDEX(Dic2025!$H$6:$H$205,C21)))*(A21-6*C21)/6))</f>
        <v>0.947193138907087</v>
      </c>
      <c r="E21" s="12" t="n">
        <f aca="false">D21^(-1/B21)-1</f>
        <v>0.0390384434167796</v>
      </c>
      <c r="F21" s="12" t="n">
        <f aca="false">(1+E21)^(1/12)-1</f>
        <v>0.00319640696834589</v>
      </c>
      <c r="G21" s="16" t="n">
        <f aca="false">IF(C21=0,(1+Dic2025!$J$6)^(-B21),EXP(LN(INDEX(Dic2025!$K$6:$K$205,C21))+(LN(INDEX(Dic2025!$K$6:$K$205,MIN(C21+1,200)))-LN(INDEX(Dic2025!$K$6:$K$205,C21)))*(A21-6*C21)/6))</f>
        <v>0.947193138907087</v>
      </c>
      <c r="H21" s="12" t="n">
        <f aca="false">G21^(-1/B21)-1</f>
        <v>0.0390384434167796</v>
      </c>
      <c r="I21" s="12" t="n">
        <f aca="false">(1+H21)^(1/12)-1</f>
        <v>0.00319640696834589</v>
      </c>
      <c r="J21" s="16" t="n">
        <f aca="false">IF(C21=0,(1+Dic2025!$M$6)^(-B21),EXP(LN(INDEX(Dic2025!$N$6:$N$205,C21))+(LN(INDEX(Dic2025!$N$6:$N$205,MIN(C21+1,200)))-LN(INDEX(Dic2025!$N$6:$N$205,C21)))*(A21-6*C21)/6))</f>
        <v>0.947193138907087</v>
      </c>
      <c r="K21" s="12" t="n">
        <f aca="false">J21^(-1/B21)-1</f>
        <v>0.0390384434167796</v>
      </c>
      <c r="L21" s="12" t="n">
        <f aca="false">(1+K21)^(1/12)-1</f>
        <v>0.00319640696834589</v>
      </c>
    </row>
    <row r="22" customFormat="false" ht="15" hidden="false" customHeight="false" outlineLevel="0" collapsed="false">
      <c r="A22" s="4" t="n">
        <v>18</v>
      </c>
      <c r="B22" s="14" t="n">
        <f aca="false">A22/12</f>
        <v>1.5</v>
      </c>
      <c r="C22" s="15" t="n">
        <f aca="false">INT(A22/6)</f>
        <v>3</v>
      </c>
      <c r="D22" s="16" t="n">
        <f aca="false">IF(C22=0,(1+Dic2025!$G$6)^(-B22),EXP(LN(INDEX(Dic2025!$H$6:$H$205,C22))+(LN(INDEX(Dic2025!$H$6:$H$205,MIN(C22+1,200)))-LN(INDEX(Dic2025!$H$6:$H$205,C22)))*(A22-6*C22)/6))</f>
        <v>0.944126131596324</v>
      </c>
      <c r="E22" s="12" t="n">
        <f aca="false">D22^(-1/B22)-1</f>
        <v>0.0390744224999999</v>
      </c>
      <c r="F22" s="12" t="n">
        <f aca="false">(1+E22)^(1/12)-1</f>
        <v>0.00319930175329586</v>
      </c>
      <c r="G22" s="16" t="n">
        <f aca="false">IF(C22=0,(1+Dic2025!$J$6)^(-B22),EXP(LN(INDEX(Dic2025!$K$6:$K$205,C22))+(LN(INDEX(Dic2025!$K$6:$K$205,MIN(C22+1,200)))-LN(INDEX(Dic2025!$K$6:$K$205,C22)))*(A22-6*C22)/6))</f>
        <v>0.944126131596324</v>
      </c>
      <c r="H22" s="12" t="n">
        <f aca="false">G22^(-1/B22)-1</f>
        <v>0.0390744224999999</v>
      </c>
      <c r="I22" s="12" t="n">
        <f aca="false">(1+H22)^(1/12)-1</f>
        <v>0.00319930175329586</v>
      </c>
      <c r="J22" s="16" t="n">
        <f aca="false">IF(C22=0,(1+Dic2025!$M$6)^(-B22),EXP(LN(INDEX(Dic2025!$N$6:$N$205,C22))+(LN(INDEX(Dic2025!$N$6:$N$205,MIN(C22+1,200)))-LN(INDEX(Dic2025!$N$6:$N$205,C22)))*(A22-6*C22)/6))</f>
        <v>0.944126131596324</v>
      </c>
      <c r="K22" s="12" t="n">
        <f aca="false">J22^(-1/B22)-1</f>
        <v>0.0390744224999999</v>
      </c>
      <c r="L22" s="12" t="n">
        <f aca="false">(1+K22)^(1/12)-1</f>
        <v>0.00319930175329586</v>
      </c>
    </row>
    <row r="23" customFormat="false" ht="15" hidden="false" customHeight="false" outlineLevel="0" collapsed="false">
      <c r="A23" s="4" t="n">
        <v>19</v>
      </c>
      <c r="B23" s="14" t="n">
        <f aca="false">A23/12</f>
        <v>1.58333333333333</v>
      </c>
      <c r="C23" s="15" t="n">
        <f aca="false">INT(A23/6)</f>
        <v>3</v>
      </c>
      <c r="D23" s="16" t="n">
        <f aca="false">IF(C23=0,(1+Dic2025!$G$6)^(-B23),EXP(LN(INDEX(Dic2025!$H$6:$H$205,C23))+(LN(INDEX(Dic2025!$H$6:$H$205,MIN(C23+1,200)))-LN(INDEX(Dic2025!$H$6:$H$205,C23)))*(A23-6*C23)/6))</f>
        <v>0.940992140103059</v>
      </c>
      <c r="E23" s="12" t="n">
        <f aca="false">D23^(-1/B23)-1</f>
        <v>0.0391602576251571</v>
      </c>
      <c r="F23" s="12" t="n">
        <f aca="false">(1+E23)^(1/12)-1</f>
        <v>0.00320620745671762</v>
      </c>
      <c r="G23" s="16" t="n">
        <f aca="false">IF(C23=0,(1+Dic2025!$J$6)^(-B23),EXP(LN(INDEX(Dic2025!$K$6:$K$205,C23))+(LN(INDEX(Dic2025!$K$6:$K$205,MIN(C23+1,200)))-LN(INDEX(Dic2025!$K$6:$K$205,C23)))*(A23-6*C23)/6))</f>
        <v>0.940992140103059</v>
      </c>
      <c r="H23" s="12" t="n">
        <f aca="false">G23^(-1/B23)-1</f>
        <v>0.0391602576251571</v>
      </c>
      <c r="I23" s="12" t="n">
        <f aca="false">(1+H23)^(1/12)-1</f>
        <v>0.00320620745671762</v>
      </c>
      <c r="J23" s="16" t="n">
        <f aca="false">IF(C23=0,(1+Dic2025!$M$6)^(-B23),EXP(LN(INDEX(Dic2025!$N$6:$N$205,C23))+(LN(INDEX(Dic2025!$N$6:$N$205,MIN(C23+1,200)))-LN(INDEX(Dic2025!$N$6:$N$205,C23)))*(A23-6*C23)/6))</f>
        <v>0.940992140103059</v>
      </c>
      <c r="K23" s="12" t="n">
        <f aca="false">J23^(-1/B23)-1</f>
        <v>0.0391602576251571</v>
      </c>
      <c r="L23" s="12" t="n">
        <f aca="false">(1+K23)^(1/12)-1</f>
        <v>0.00320620745671762</v>
      </c>
    </row>
    <row r="24" customFormat="false" ht="15" hidden="false" customHeight="false" outlineLevel="0" collapsed="false">
      <c r="A24" s="4" t="n">
        <v>20</v>
      </c>
      <c r="B24" s="14" t="n">
        <f aca="false">A24/12</f>
        <v>1.66666666666667</v>
      </c>
      <c r="C24" s="15" t="n">
        <f aca="false">INT(A24/6)</f>
        <v>3</v>
      </c>
      <c r="D24" s="16" t="n">
        <f aca="false">IF(C24=0,(1+Dic2025!$G$6)^(-B24),EXP(LN(INDEX(Dic2025!$H$6:$H$205,C24))+(LN(INDEX(Dic2025!$H$6:$H$205,MIN(C24+1,200)))-LN(INDEX(Dic2025!$H$6:$H$205,C24)))*(A24-6*C24)/6))</f>
        <v>0.937868551777709</v>
      </c>
      <c r="E24" s="12" t="n">
        <f aca="false">D24^(-1/B24)-1</f>
        <v>0.0392375153002509</v>
      </c>
      <c r="F24" s="12" t="n">
        <f aca="false">(1+E24)^(1/12)-1</f>
        <v>0.00321242263044064</v>
      </c>
      <c r="G24" s="16" t="n">
        <f aca="false">IF(C24=0,(1+Dic2025!$J$6)^(-B24),EXP(LN(INDEX(Dic2025!$K$6:$K$205,C24))+(LN(INDEX(Dic2025!$K$6:$K$205,MIN(C24+1,200)))-LN(INDEX(Dic2025!$K$6:$K$205,C24)))*(A24-6*C24)/6))</f>
        <v>0.937868551777709</v>
      </c>
      <c r="H24" s="12" t="n">
        <f aca="false">G24^(-1/B24)-1</f>
        <v>0.0392375153002509</v>
      </c>
      <c r="I24" s="12" t="n">
        <f aca="false">(1+H24)^(1/12)-1</f>
        <v>0.00321242263044064</v>
      </c>
      <c r="J24" s="16" t="n">
        <f aca="false">IF(C24=0,(1+Dic2025!$M$6)^(-B24),EXP(LN(INDEX(Dic2025!$N$6:$N$205,C24))+(LN(INDEX(Dic2025!$N$6:$N$205,MIN(C24+1,200)))-LN(INDEX(Dic2025!$N$6:$N$205,C24)))*(A24-6*C24)/6))</f>
        <v>0.937868551777709</v>
      </c>
      <c r="K24" s="12" t="n">
        <f aca="false">J24^(-1/B24)-1</f>
        <v>0.0392375153002509</v>
      </c>
      <c r="L24" s="12" t="n">
        <f aca="false">(1+K24)^(1/12)-1</f>
        <v>0.00321242263044064</v>
      </c>
    </row>
    <row r="25" customFormat="false" ht="15" hidden="false" customHeight="false" outlineLevel="0" collapsed="false">
      <c r="A25" s="4" t="n">
        <v>21</v>
      </c>
      <c r="B25" s="14" t="n">
        <f aca="false">A25/12</f>
        <v>1.75</v>
      </c>
      <c r="C25" s="15" t="n">
        <f aca="false">INT(A25/6)</f>
        <v>3</v>
      </c>
      <c r="D25" s="16" t="n">
        <f aca="false">IF(C25=0,(1+Dic2025!$G$6)^(-B25),EXP(LN(INDEX(Dic2025!$H$6:$H$205,C25))+(LN(INDEX(Dic2025!$H$6:$H$205,MIN(C25+1,200)))-LN(INDEX(Dic2025!$H$6:$H$205,C25)))*(A25-6*C25)/6))</f>
        <v>0.934755332087347</v>
      </c>
      <c r="E25" s="12" t="n">
        <f aca="false">D25^(-1/B25)-1</f>
        <v>0.0393074200508374</v>
      </c>
      <c r="F25" s="12" t="n">
        <f aca="false">(1+E25)^(1/12)-1</f>
        <v>0.00321804591603581</v>
      </c>
      <c r="G25" s="16" t="n">
        <f aca="false">IF(C25=0,(1+Dic2025!$J$6)^(-B25),EXP(LN(INDEX(Dic2025!$K$6:$K$205,C25))+(LN(INDEX(Dic2025!$K$6:$K$205,MIN(C25+1,200)))-LN(INDEX(Dic2025!$K$6:$K$205,C25)))*(A25-6*C25)/6))</f>
        <v>0.934755332087347</v>
      </c>
      <c r="H25" s="12" t="n">
        <f aca="false">G25^(-1/B25)-1</f>
        <v>0.0393074200508374</v>
      </c>
      <c r="I25" s="12" t="n">
        <f aca="false">(1+H25)^(1/12)-1</f>
        <v>0.00321804591603581</v>
      </c>
      <c r="J25" s="16" t="n">
        <f aca="false">IF(C25=0,(1+Dic2025!$M$6)^(-B25),EXP(LN(INDEX(Dic2025!$N$6:$N$205,C25))+(LN(INDEX(Dic2025!$N$6:$N$205,MIN(C25+1,200)))-LN(INDEX(Dic2025!$N$6:$N$205,C25)))*(A25-6*C25)/6))</f>
        <v>0.934755332087347</v>
      </c>
      <c r="K25" s="12" t="n">
        <f aca="false">J25^(-1/B25)-1</f>
        <v>0.0393074200508374</v>
      </c>
      <c r="L25" s="12" t="n">
        <f aca="false">(1+K25)^(1/12)-1</f>
        <v>0.00321804591603581</v>
      </c>
    </row>
    <row r="26" customFormat="false" ht="15" hidden="false" customHeight="false" outlineLevel="0" collapsed="false">
      <c r="A26" s="4" t="n">
        <v>22</v>
      </c>
      <c r="B26" s="14" t="n">
        <f aca="false">A26/12</f>
        <v>1.83333333333333</v>
      </c>
      <c r="C26" s="15" t="n">
        <f aca="false">INT(A26/6)</f>
        <v>3</v>
      </c>
      <c r="D26" s="16" t="n">
        <f aca="false">IF(C26=0,(1+Dic2025!$G$6)^(-B26),EXP(LN(INDEX(Dic2025!$H$6:$H$205,C26))+(LN(INDEX(Dic2025!$H$6:$H$205,MIN(C26+1,200)))-LN(INDEX(Dic2025!$H$6:$H$205,C26)))*(A26-6*C26)/6))</f>
        <v>0.931652446613673</v>
      </c>
      <c r="E26" s="12" t="n">
        <f aca="false">D26^(-1/B26)-1</f>
        <v>0.039370973904487</v>
      </c>
      <c r="F26" s="12" t="n">
        <f aca="false">(1+E26)^(1/12)-1</f>
        <v>0.00322315802120166</v>
      </c>
      <c r="G26" s="16" t="n">
        <f aca="false">IF(C26=0,(1+Dic2025!$J$6)^(-B26),EXP(LN(INDEX(Dic2025!$K$6:$K$205,C26))+(LN(INDEX(Dic2025!$K$6:$K$205,MIN(C26+1,200)))-LN(INDEX(Dic2025!$K$6:$K$205,C26)))*(A26-6*C26)/6))</f>
        <v>0.931652446613673</v>
      </c>
      <c r="H26" s="12" t="n">
        <f aca="false">G26^(-1/B26)-1</f>
        <v>0.039370973904487</v>
      </c>
      <c r="I26" s="12" t="n">
        <f aca="false">(1+H26)^(1/12)-1</f>
        <v>0.00322315802120166</v>
      </c>
      <c r="J26" s="16" t="n">
        <f aca="false">IF(C26=0,(1+Dic2025!$M$6)^(-B26),EXP(LN(INDEX(Dic2025!$N$6:$N$205,C26))+(LN(INDEX(Dic2025!$N$6:$N$205,MIN(C26+1,200)))-LN(INDEX(Dic2025!$N$6:$N$205,C26)))*(A26-6*C26)/6))</f>
        <v>0.931652446613673</v>
      </c>
      <c r="K26" s="12" t="n">
        <f aca="false">J26^(-1/B26)-1</f>
        <v>0.039370973904487</v>
      </c>
      <c r="L26" s="12" t="n">
        <f aca="false">(1+K26)^(1/12)-1</f>
        <v>0.00322315802120166</v>
      </c>
    </row>
    <row r="27" customFormat="false" ht="15" hidden="false" customHeight="false" outlineLevel="0" collapsed="false">
      <c r="A27" s="4" t="n">
        <v>23</v>
      </c>
      <c r="B27" s="14" t="n">
        <f aca="false">A27/12</f>
        <v>1.91666666666667</v>
      </c>
      <c r="C27" s="15" t="n">
        <f aca="false">INT(A27/6)</f>
        <v>3</v>
      </c>
      <c r="D27" s="16" t="n">
        <f aca="false">IF(C27=0,(1+Dic2025!$G$6)^(-B27),EXP(LN(INDEX(Dic2025!$H$6:$H$205,C27))+(LN(INDEX(Dic2025!$H$6:$H$205,MIN(C27+1,200)))-LN(INDEX(Dic2025!$H$6:$H$205,C27)))*(A27-6*C27)/6))</f>
        <v>0.928559861052643</v>
      </c>
      <c r="E27" s="12" t="n">
        <f aca="false">D27^(-1/B27)-1</f>
        <v>0.0394290047301851</v>
      </c>
      <c r="F27" s="12" t="n">
        <f aca="false">(1+E27)^(1/12)-1</f>
        <v>0.00322782561823409</v>
      </c>
      <c r="G27" s="16" t="n">
        <f aca="false">IF(C27=0,(1+Dic2025!$J$6)^(-B27),EXP(LN(INDEX(Dic2025!$K$6:$K$205,C27))+(LN(INDEX(Dic2025!$K$6:$K$205,MIN(C27+1,200)))-LN(INDEX(Dic2025!$K$6:$K$205,C27)))*(A27-6*C27)/6))</f>
        <v>0.928559861052643</v>
      </c>
      <c r="H27" s="12" t="n">
        <f aca="false">G27^(-1/B27)-1</f>
        <v>0.0394290047301851</v>
      </c>
      <c r="I27" s="12" t="n">
        <f aca="false">(1+H27)^(1/12)-1</f>
        <v>0.00322782561823409</v>
      </c>
      <c r="J27" s="16" t="n">
        <f aca="false">IF(C27=0,(1+Dic2025!$M$6)^(-B27),EXP(LN(INDEX(Dic2025!$N$6:$N$205,C27))+(LN(INDEX(Dic2025!$N$6:$N$205,MIN(C27+1,200)))-LN(INDEX(Dic2025!$N$6:$N$205,C27)))*(A27-6*C27)/6))</f>
        <v>0.928559861052643</v>
      </c>
      <c r="K27" s="12" t="n">
        <f aca="false">J27^(-1/B27)-1</f>
        <v>0.0394290047301851</v>
      </c>
      <c r="L27" s="12" t="n">
        <f aca="false">(1+K27)^(1/12)-1</f>
        <v>0.00322782561823409</v>
      </c>
    </row>
    <row r="28" customFormat="false" ht="15" hidden="false" customHeight="false" outlineLevel="0" collapsed="false">
      <c r="A28" s="4" t="n">
        <v>24</v>
      </c>
      <c r="B28" s="14" t="n">
        <f aca="false">A28/12</f>
        <v>2</v>
      </c>
      <c r="C28" s="15" t="n">
        <f aca="false">INT(A28/6)</f>
        <v>4</v>
      </c>
      <c r="D28" s="16" t="n">
        <f aca="false">IF(C28=0,(1+Dic2025!$G$6)^(-B28),EXP(LN(INDEX(Dic2025!$H$6:$H$205,C28))+(LN(INDEX(Dic2025!$H$6:$H$205,MIN(C28+1,200)))-LN(INDEX(Dic2025!$H$6:$H$205,C28)))*(A28-6*C28)/6))</f>
        <v>0.925477541214079</v>
      </c>
      <c r="E28" s="12" t="n">
        <f aca="false">D28^(-1/B28)-1</f>
        <v>0.0394822024999999</v>
      </c>
      <c r="F28" s="12" t="n">
        <f aca="false">(1+E28)^(1/12)-1</f>
        <v>0.00323210426792442</v>
      </c>
      <c r="G28" s="16" t="n">
        <f aca="false">IF(C28=0,(1+Dic2025!$J$6)^(-B28),EXP(LN(INDEX(Dic2025!$K$6:$K$205,C28))+(LN(INDEX(Dic2025!$K$6:$K$205,MIN(C28+1,200)))-LN(INDEX(Dic2025!$K$6:$K$205,C28)))*(A28-6*C28)/6))</f>
        <v>0.925477541214079</v>
      </c>
      <c r="H28" s="12" t="n">
        <f aca="false">G28^(-1/B28)-1</f>
        <v>0.0394822024999999</v>
      </c>
      <c r="I28" s="12" t="n">
        <f aca="false">(1+H28)^(1/12)-1</f>
        <v>0.00323210426792442</v>
      </c>
      <c r="J28" s="16" t="n">
        <f aca="false">IF(C28=0,(1+Dic2025!$M$6)^(-B28),EXP(LN(INDEX(Dic2025!$N$6:$N$205,C28))+(LN(INDEX(Dic2025!$N$6:$N$205,MIN(C28+1,200)))-LN(INDEX(Dic2025!$N$6:$N$205,C28)))*(A28-6*C28)/6))</f>
        <v>0.925477541214079</v>
      </c>
      <c r="K28" s="12" t="n">
        <f aca="false">J28^(-1/B28)-1</f>
        <v>0.0394822024999999</v>
      </c>
      <c r="L28" s="12" t="n">
        <f aca="false">(1+K28)^(1/12)-1</f>
        <v>0.00323210426792442</v>
      </c>
    </row>
    <row r="29" customFormat="false" ht="15" hidden="false" customHeight="false" outlineLevel="0" collapsed="false">
      <c r="A29" s="4" t="n">
        <v>25</v>
      </c>
      <c r="B29" s="14" t="n">
        <f aca="false">A29/12</f>
        <v>2.08333333333333</v>
      </c>
      <c r="C29" s="15" t="n">
        <f aca="false">INT(A29/6)</f>
        <v>4</v>
      </c>
      <c r="D29" s="16" t="n">
        <f aca="false">IF(C29=0,(1+Dic2025!$G$6)^(-B29),EXP(LN(INDEX(Dic2025!$H$6:$H$205,C29))+(LN(INDEX(Dic2025!$H$6:$H$205,MIN(C29+1,200)))-LN(INDEX(Dic2025!$H$6:$H$205,C29)))*(A29-6*C29)/6))</f>
        <v>0.922307479064905</v>
      </c>
      <c r="E29" s="12" t="n">
        <f aca="false">D29^(-1/B29)-1</f>
        <v>0.0395841500009806</v>
      </c>
      <c r="F29" s="12" t="n">
        <f aca="false">(1+E29)^(1/12)-1</f>
        <v>0.00324030325460134</v>
      </c>
      <c r="G29" s="16" t="n">
        <f aca="false">IF(C29=0,(1+Dic2025!$J$6)^(-B29),EXP(LN(INDEX(Dic2025!$K$6:$K$205,C29))+(LN(INDEX(Dic2025!$K$6:$K$205,MIN(C29+1,200)))-LN(INDEX(Dic2025!$K$6:$K$205,C29)))*(A29-6*C29)/6))</f>
        <v>0.922307479064905</v>
      </c>
      <c r="H29" s="12" t="n">
        <f aca="false">G29^(-1/B29)-1</f>
        <v>0.0395841500009806</v>
      </c>
      <c r="I29" s="12" t="n">
        <f aca="false">(1+H29)^(1/12)-1</f>
        <v>0.00324030325460134</v>
      </c>
      <c r="J29" s="16" t="n">
        <f aca="false">IF(C29=0,(1+Dic2025!$M$6)^(-B29),EXP(LN(INDEX(Dic2025!$N$6:$N$205,C29))+(LN(INDEX(Dic2025!$N$6:$N$205,MIN(C29+1,200)))-LN(INDEX(Dic2025!$N$6:$N$205,C29)))*(A29-6*C29)/6))</f>
        <v>0.922307479064905</v>
      </c>
      <c r="K29" s="12" t="n">
        <f aca="false">J29^(-1/B29)-1</f>
        <v>0.0395841500009806</v>
      </c>
      <c r="L29" s="12" t="n">
        <f aca="false">(1+K29)^(1/12)-1</f>
        <v>0.00324030325460134</v>
      </c>
    </row>
    <row r="30" customFormat="false" ht="15" hidden="false" customHeight="false" outlineLevel="0" collapsed="false">
      <c r="A30" s="4" t="n">
        <v>26</v>
      </c>
      <c r="B30" s="14" t="n">
        <f aca="false">A30/12</f>
        <v>2.16666666666667</v>
      </c>
      <c r="C30" s="15" t="n">
        <f aca="false">INT(A30/6)</f>
        <v>4</v>
      </c>
      <c r="D30" s="16" t="n">
        <f aca="false">IF(C30=0,(1+Dic2025!$G$6)^(-B30),EXP(LN(INDEX(Dic2025!$H$6:$H$205,C30))+(LN(INDEX(Dic2025!$H$6:$H$205,MIN(C30+1,200)))-LN(INDEX(Dic2025!$H$6:$H$205,C30)))*(A30-6*C30)/6))</f>
        <v>0.91914827541157</v>
      </c>
      <c r="E30" s="12" t="n">
        <f aca="false">D30^(-1/B30)-1</f>
        <v>0.039678264260913</v>
      </c>
      <c r="F30" s="12" t="n">
        <f aca="false">(1+E30)^(1/12)-1</f>
        <v>0.00324787160946904</v>
      </c>
      <c r="G30" s="16" t="n">
        <f aca="false">IF(C30=0,(1+Dic2025!$J$6)^(-B30),EXP(LN(INDEX(Dic2025!$K$6:$K$205,C30))+(LN(INDEX(Dic2025!$K$6:$K$205,MIN(C30+1,200)))-LN(INDEX(Dic2025!$K$6:$K$205,C30)))*(A30-6*C30)/6))</f>
        <v>0.91914827541157</v>
      </c>
      <c r="H30" s="12" t="n">
        <f aca="false">G30^(-1/B30)-1</f>
        <v>0.039678264260913</v>
      </c>
      <c r="I30" s="12" t="n">
        <f aca="false">(1+H30)^(1/12)-1</f>
        <v>0.00324787160946904</v>
      </c>
      <c r="J30" s="16" t="n">
        <f aca="false">IF(C30=0,(1+Dic2025!$M$6)^(-B30),EXP(LN(INDEX(Dic2025!$N$6:$N$205,C30))+(LN(INDEX(Dic2025!$N$6:$N$205,MIN(C30+1,200)))-LN(INDEX(Dic2025!$N$6:$N$205,C30)))*(A30-6*C30)/6))</f>
        <v>0.91914827541157</v>
      </c>
      <c r="K30" s="12" t="n">
        <f aca="false">J30^(-1/B30)-1</f>
        <v>0.039678264260913</v>
      </c>
      <c r="L30" s="12" t="n">
        <f aca="false">(1+K30)^(1/12)-1</f>
        <v>0.00324787160946904</v>
      </c>
    </row>
    <row r="31" customFormat="false" ht="15" hidden="false" customHeight="false" outlineLevel="0" collapsed="false">
      <c r="A31" s="4" t="n">
        <v>27</v>
      </c>
      <c r="B31" s="14" t="n">
        <f aca="false">A31/12</f>
        <v>2.25</v>
      </c>
      <c r="C31" s="15" t="n">
        <f aca="false">INT(A31/6)</f>
        <v>4</v>
      </c>
      <c r="D31" s="16" t="n">
        <f aca="false">IF(C31=0,(1+Dic2025!$G$6)^(-B31),EXP(LN(INDEX(Dic2025!$H$6:$H$205,C31))+(LN(INDEX(Dic2025!$H$6:$H$205,MIN(C31+1,200)))-LN(INDEX(Dic2025!$H$6:$H$205,C31)))*(A31-6*C31)/6))</f>
        <v>0.915999893060186</v>
      </c>
      <c r="E31" s="12" t="n">
        <f aca="false">D31^(-1/B31)-1</f>
        <v>0.0397654146910778</v>
      </c>
      <c r="F31" s="12" t="n">
        <f aca="false">(1+E31)^(1/12)-1</f>
        <v>0.00325487939636515</v>
      </c>
      <c r="G31" s="16" t="n">
        <f aca="false">IF(C31=0,(1+Dic2025!$J$6)^(-B31),EXP(LN(INDEX(Dic2025!$K$6:$K$205,C31))+(LN(INDEX(Dic2025!$K$6:$K$205,MIN(C31+1,200)))-LN(INDEX(Dic2025!$K$6:$K$205,C31)))*(A31-6*C31)/6))</f>
        <v>0.915999893060186</v>
      </c>
      <c r="H31" s="12" t="n">
        <f aca="false">G31^(-1/B31)-1</f>
        <v>0.0397654146910778</v>
      </c>
      <c r="I31" s="12" t="n">
        <f aca="false">(1+H31)^(1/12)-1</f>
        <v>0.00325487939636515</v>
      </c>
      <c r="J31" s="16" t="n">
        <f aca="false">IF(C31=0,(1+Dic2025!$M$6)^(-B31),EXP(LN(INDEX(Dic2025!$N$6:$N$205,C31))+(LN(INDEX(Dic2025!$N$6:$N$205,MIN(C31+1,200)))-LN(INDEX(Dic2025!$N$6:$N$205,C31)))*(A31-6*C31)/6))</f>
        <v>0.915999893060186</v>
      </c>
      <c r="K31" s="12" t="n">
        <f aca="false">J31^(-1/B31)-1</f>
        <v>0.0397654146910778</v>
      </c>
      <c r="L31" s="12" t="n">
        <f aca="false">(1+K31)^(1/12)-1</f>
        <v>0.00325487939636515</v>
      </c>
    </row>
    <row r="32" customFormat="false" ht="15" hidden="false" customHeight="false" outlineLevel="0" collapsed="false">
      <c r="A32" s="4" t="n">
        <v>28</v>
      </c>
      <c r="B32" s="14" t="n">
        <f aca="false">A32/12</f>
        <v>2.33333333333333</v>
      </c>
      <c r="C32" s="15" t="n">
        <f aca="false">INT(A32/6)</f>
        <v>4</v>
      </c>
      <c r="D32" s="16" t="n">
        <f aca="false">IF(C32=0,(1+Dic2025!$G$6)^(-B32),EXP(LN(INDEX(Dic2025!$H$6:$H$205,C32))+(LN(INDEX(Dic2025!$H$6:$H$205,MIN(C32+1,200)))-LN(INDEX(Dic2025!$H$6:$H$205,C32)))*(A32-6*C32)/6))</f>
        <v>0.912862294944269</v>
      </c>
      <c r="E32" s="12" t="n">
        <f aca="false">D32^(-1/B32)-1</f>
        <v>0.0398463466317596</v>
      </c>
      <c r="F32" s="12" t="n">
        <f aca="false">(1+E32)^(1/12)-1</f>
        <v>0.00326138667088505</v>
      </c>
      <c r="G32" s="16" t="n">
        <f aca="false">IF(C32=0,(1+Dic2025!$J$6)^(-B32),EXP(LN(INDEX(Dic2025!$K$6:$K$205,C32))+(LN(INDEX(Dic2025!$K$6:$K$205,MIN(C32+1,200)))-LN(INDEX(Dic2025!$K$6:$K$205,C32)))*(A32-6*C32)/6))</f>
        <v>0.912862294944269</v>
      </c>
      <c r="H32" s="12" t="n">
        <f aca="false">G32^(-1/B32)-1</f>
        <v>0.0398463466317596</v>
      </c>
      <c r="I32" s="12" t="n">
        <f aca="false">(1+H32)^(1/12)-1</f>
        <v>0.00326138667088505</v>
      </c>
      <c r="J32" s="16" t="n">
        <f aca="false">IF(C32=0,(1+Dic2025!$M$6)^(-B32),EXP(LN(INDEX(Dic2025!$N$6:$N$205,C32))+(LN(INDEX(Dic2025!$N$6:$N$205,MIN(C32+1,200)))-LN(INDEX(Dic2025!$N$6:$N$205,C32)))*(A32-6*C32)/6))</f>
        <v>0.912862294944269</v>
      </c>
      <c r="K32" s="12" t="n">
        <f aca="false">J32^(-1/B32)-1</f>
        <v>0.0398463466317596</v>
      </c>
      <c r="L32" s="12" t="n">
        <f aca="false">(1+K32)^(1/12)-1</f>
        <v>0.00326138667088505</v>
      </c>
    </row>
    <row r="33" customFormat="false" ht="15" hidden="false" customHeight="false" outlineLevel="0" collapsed="false">
      <c r="A33" s="4" t="n">
        <v>29</v>
      </c>
      <c r="B33" s="14" t="n">
        <f aca="false">A33/12</f>
        <v>2.41666666666667</v>
      </c>
      <c r="C33" s="15" t="n">
        <f aca="false">INT(A33/6)</f>
        <v>4</v>
      </c>
      <c r="D33" s="16" t="n">
        <f aca="false">IF(C33=0,(1+Dic2025!$G$6)^(-B33),EXP(LN(INDEX(Dic2025!$H$6:$H$205,C33))+(LN(INDEX(Dic2025!$H$6:$H$205,MIN(C33+1,200)))-LN(INDEX(Dic2025!$H$6:$H$205,C33)))*(A33-6*C33)/6))</f>
        <v>0.909735444124297</v>
      </c>
      <c r="E33" s="12" t="n">
        <f aca="false">D33^(-1/B33)-1</f>
        <v>0.0399217027220693</v>
      </c>
      <c r="F33" s="12" t="n">
        <f aca="false">(1+E33)^(1/12)-1</f>
        <v>0.00326744520579281</v>
      </c>
      <c r="G33" s="16" t="n">
        <f aca="false">IF(C33=0,(1+Dic2025!$J$6)^(-B33),EXP(LN(INDEX(Dic2025!$K$6:$K$205,C33))+(LN(INDEX(Dic2025!$K$6:$K$205,MIN(C33+1,200)))-LN(INDEX(Dic2025!$K$6:$K$205,C33)))*(A33-6*C33)/6))</f>
        <v>0.909735444124297</v>
      </c>
      <c r="H33" s="12" t="n">
        <f aca="false">G33^(-1/B33)-1</f>
        <v>0.0399217027220693</v>
      </c>
      <c r="I33" s="12" t="n">
        <f aca="false">(1+H33)^(1/12)-1</f>
        <v>0.00326744520579281</v>
      </c>
      <c r="J33" s="16" t="n">
        <f aca="false">IF(C33=0,(1+Dic2025!$M$6)^(-B33),EXP(LN(INDEX(Dic2025!$N$6:$N$205,C33))+(LN(INDEX(Dic2025!$N$6:$N$205,MIN(C33+1,200)))-LN(INDEX(Dic2025!$N$6:$N$205,C33)))*(A33-6*C33)/6))</f>
        <v>0.909735444124297</v>
      </c>
      <c r="K33" s="12" t="n">
        <f aca="false">J33^(-1/B33)-1</f>
        <v>0.0399217027220693</v>
      </c>
      <c r="L33" s="12" t="n">
        <f aca="false">(1+K33)^(1/12)-1</f>
        <v>0.00326744520579281</v>
      </c>
    </row>
    <row r="34" customFormat="false" ht="15" hidden="false" customHeight="false" outlineLevel="0" collapsed="false">
      <c r="A34" s="4" t="n">
        <v>30</v>
      </c>
      <c r="B34" s="14" t="n">
        <f aca="false">A34/12</f>
        <v>2.5</v>
      </c>
      <c r="C34" s="15" t="n">
        <f aca="false">INT(A34/6)</f>
        <v>5</v>
      </c>
      <c r="D34" s="16" t="n">
        <f aca="false">IF(C34=0,(1+Dic2025!$G$6)^(-B34),EXP(LN(INDEX(Dic2025!$H$6:$H$205,C34))+(LN(INDEX(Dic2025!$H$6:$H$205,MIN(C34+1,200)))-LN(INDEX(Dic2025!$H$6:$H$205,C34)))*(A34-6*C34)/6))</f>
        <v>0.90661930378728</v>
      </c>
      <c r="E34" s="12" t="n">
        <f aca="false">D34^(-1/B34)-1</f>
        <v>0.03999204</v>
      </c>
      <c r="F34" s="12" t="n">
        <f aca="false">(1+E34)^(1/12)-1</f>
        <v>0.0032730998713828</v>
      </c>
      <c r="G34" s="16" t="n">
        <f aca="false">IF(C34=0,(1+Dic2025!$J$6)^(-B34),EXP(LN(INDEX(Dic2025!$K$6:$K$205,C34))+(LN(INDEX(Dic2025!$K$6:$K$205,MIN(C34+1,200)))-LN(INDEX(Dic2025!$K$6:$K$205,C34)))*(A34-6*C34)/6))</f>
        <v>0.90661930378728</v>
      </c>
      <c r="H34" s="12" t="n">
        <f aca="false">G34^(-1/B34)-1</f>
        <v>0.03999204</v>
      </c>
      <c r="I34" s="12" t="n">
        <f aca="false">(1+H34)^(1/12)-1</f>
        <v>0.0032730998713828</v>
      </c>
      <c r="J34" s="16" t="n">
        <f aca="false">IF(C34=0,(1+Dic2025!$M$6)^(-B34),EXP(LN(INDEX(Dic2025!$N$6:$N$205,C34))+(LN(INDEX(Dic2025!$N$6:$N$205,MIN(C34+1,200)))-LN(INDEX(Dic2025!$N$6:$N$205,C34)))*(A34-6*C34)/6))</f>
        <v>0.90661930378728</v>
      </c>
      <c r="K34" s="12" t="n">
        <f aca="false">J34^(-1/B34)-1</f>
        <v>0.03999204</v>
      </c>
      <c r="L34" s="12" t="n">
        <f aca="false">(1+K34)^(1/12)-1</f>
        <v>0.0032730998713828</v>
      </c>
    </row>
    <row r="35" customFormat="false" ht="15" hidden="false" customHeight="false" outlineLevel="0" collapsed="false">
      <c r="A35" s="4" t="n">
        <v>31</v>
      </c>
      <c r="B35" s="14" t="n">
        <f aca="false">A35/12</f>
        <v>2.58333333333333</v>
      </c>
      <c r="C35" s="15" t="n">
        <f aca="false">INT(A35/6)</f>
        <v>5</v>
      </c>
      <c r="D35" s="16" t="n">
        <f aca="false">IF(C35=0,(1+Dic2025!$G$6)^(-B35),EXP(LN(INDEX(Dic2025!$H$6:$H$205,C35))+(LN(INDEX(Dic2025!$H$6:$H$205,MIN(C35+1,200)))-LN(INDEX(Dic2025!$H$6:$H$205,C35)))*(A35-6*C35)/6))</f>
        <v>0.903440054539435</v>
      </c>
      <c r="E35" s="12" t="n">
        <f aca="false">D35^(-1/B35)-1</f>
        <v>0.0400907229094056</v>
      </c>
      <c r="F35" s="12" t="n">
        <f aca="false">(1+E35)^(1/12)-1</f>
        <v>0.00328103275284342</v>
      </c>
      <c r="G35" s="16" t="n">
        <f aca="false">IF(C35=0,(1+Dic2025!$J$6)^(-B35),EXP(LN(INDEX(Dic2025!$K$6:$K$205,C35))+(LN(INDEX(Dic2025!$K$6:$K$205,MIN(C35+1,200)))-LN(INDEX(Dic2025!$K$6:$K$205,C35)))*(A35-6*C35)/6))</f>
        <v>0.903440054539435</v>
      </c>
      <c r="H35" s="12" t="n">
        <f aca="false">G35^(-1/B35)-1</f>
        <v>0.0400907229094056</v>
      </c>
      <c r="I35" s="12" t="n">
        <f aca="false">(1+H35)^(1/12)-1</f>
        <v>0.00328103275284342</v>
      </c>
      <c r="J35" s="16" t="n">
        <f aca="false">IF(C35=0,(1+Dic2025!$M$6)^(-B35),EXP(LN(INDEX(Dic2025!$N$6:$N$205,C35))+(LN(INDEX(Dic2025!$N$6:$N$205,MIN(C35+1,200)))-LN(INDEX(Dic2025!$N$6:$N$205,C35)))*(A35-6*C35)/6))</f>
        <v>0.903440054539435</v>
      </c>
      <c r="K35" s="12" t="n">
        <f aca="false">J35^(-1/B35)-1</f>
        <v>0.0400907229094056</v>
      </c>
      <c r="L35" s="12" t="n">
        <f aca="false">(1+K35)^(1/12)-1</f>
        <v>0.00328103275284342</v>
      </c>
    </row>
    <row r="36" customFormat="false" ht="15" hidden="false" customHeight="false" outlineLevel="0" collapsed="false">
      <c r="A36" s="4" t="n">
        <v>32</v>
      </c>
      <c r="B36" s="14" t="n">
        <f aca="false">A36/12</f>
        <v>2.66666666666667</v>
      </c>
      <c r="C36" s="15" t="n">
        <f aca="false">INT(A36/6)</f>
        <v>5</v>
      </c>
      <c r="D36" s="16" t="n">
        <f aca="false">IF(C36=0,(1+Dic2025!$G$6)^(-B36),EXP(LN(INDEX(Dic2025!$H$6:$H$205,C36))+(LN(INDEX(Dic2025!$H$6:$H$205,MIN(C36+1,200)))-LN(INDEX(Dic2025!$H$6:$H$205,C36)))*(A36-6*C36)/6))</f>
        <v>0.90027195399065</v>
      </c>
      <c r="E36" s="12" t="n">
        <f aca="false">D36^(-1/B36)-1</f>
        <v>0.0401832466412233</v>
      </c>
      <c r="F36" s="12" t="n">
        <f aca="false">(1+E36)^(1/12)-1</f>
        <v>0.00328846988617992</v>
      </c>
      <c r="G36" s="16" t="n">
        <f aca="false">IF(C36=0,(1+Dic2025!$J$6)^(-B36),EXP(LN(INDEX(Dic2025!$K$6:$K$205,C36))+(LN(INDEX(Dic2025!$K$6:$K$205,MIN(C36+1,200)))-LN(INDEX(Dic2025!$K$6:$K$205,C36)))*(A36-6*C36)/6))</f>
        <v>0.90027195399065</v>
      </c>
      <c r="H36" s="12" t="n">
        <f aca="false">G36^(-1/B36)-1</f>
        <v>0.0401832466412233</v>
      </c>
      <c r="I36" s="12" t="n">
        <f aca="false">(1+H36)^(1/12)-1</f>
        <v>0.00328846988617992</v>
      </c>
      <c r="J36" s="16" t="n">
        <f aca="false">IF(C36=0,(1+Dic2025!$M$6)^(-B36),EXP(LN(INDEX(Dic2025!$N$6:$N$205,C36))+(LN(INDEX(Dic2025!$N$6:$N$205,MIN(C36+1,200)))-LN(INDEX(Dic2025!$N$6:$N$205,C36)))*(A36-6*C36)/6))</f>
        <v>0.90027195399065</v>
      </c>
      <c r="K36" s="12" t="n">
        <f aca="false">J36^(-1/B36)-1</f>
        <v>0.0401832466412233</v>
      </c>
      <c r="L36" s="12" t="n">
        <f aca="false">(1+K36)^(1/12)-1</f>
        <v>0.00328846988617992</v>
      </c>
    </row>
    <row r="37" customFormat="false" ht="15" hidden="false" customHeight="false" outlineLevel="0" collapsed="false">
      <c r="A37" s="4" t="n">
        <v>33</v>
      </c>
      <c r="B37" s="14" t="n">
        <f aca="false">A37/12</f>
        <v>2.75</v>
      </c>
      <c r="C37" s="15" t="n">
        <f aca="false">INT(A37/6)</f>
        <v>5</v>
      </c>
      <c r="D37" s="16" t="n">
        <f aca="false">IF(C37=0,(1+Dic2025!$G$6)^(-B37),EXP(LN(INDEX(Dic2025!$H$6:$H$205,C37))+(LN(INDEX(Dic2025!$H$6:$H$205,MIN(C37+1,200)))-LN(INDEX(Dic2025!$H$6:$H$205,C37)))*(A37-6*C37)/6))</f>
        <v>0.897114963045692</v>
      </c>
      <c r="E37" s="12" t="n">
        <f aca="false">D37^(-1/B37)-1</f>
        <v>0.0402701703716706</v>
      </c>
      <c r="F37" s="12" t="n">
        <f aca="false">(1+E37)^(1/12)-1</f>
        <v>0.00329545633438233</v>
      </c>
      <c r="G37" s="16" t="n">
        <f aca="false">IF(C37=0,(1+Dic2025!$J$6)^(-B37),EXP(LN(INDEX(Dic2025!$K$6:$K$205,C37))+(LN(INDEX(Dic2025!$K$6:$K$205,MIN(C37+1,200)))-LN(INDEX(Dic2025!$K$6:$K$205,C37)))*(A37-6*C37)/6))</f>
        <v>0.897114963045692</v>
      </c>
      <c r="H37" s="12" t="n">
        <f aca="false">G37^(-1/B37)-1</f>
        <v>0.0402701703716706</v>
      </c>
      <c r="I37" s="12" t="n">
        <f aca="false">(1+H37)^(1/12)-1</f>
        <v>0.00329545633438233</v>
      </c>
      <c r="J37" s="16" t="n">
        <f aca="false">IF(C37=0,(1+Dic2025!$M$6)^(-B37),EXP(LN(INDEX(Dic2025!$N$6:$N$205,C37))+(LN(INDEX(Dic2025!$N$6:$N$205,MIN(C37+1,200)))-LN(INDEX(Dic2025!$N$6:$N$205,C37)))*(A37-6*C37)/6))</f>
        <v>0.897114963045692</v>
      </c>
      <c r="K37" s="12" t="n">
        <f aca="false">J37^(-1/B37)-1</f>
        <v>0.0402701703716706</v>
      </c>
      <c r="L37" s="12" t="n">
        <f aca="false">(1+K37)^(1/12)-1</f>
        <v>0.00329545633438233</v>
      </c>
    </row>
    <row r="38" customFormat="false" ht="15" hidden="false" customHeight="false" outlineLevel="0" collapsed="false">
      <c r="A38" s="4" t="n">
        <v>34</v>
      </c>
      <c r="B38" s="14" t="n">
        <f aca="false">A38/12</f>
        <v>2.83333333333333</v>
      </c>
      <c r="C38" s="15" t="n">
        <f aca="false">INT(A38/6)</f>
        <v>5</v>
      </c>
      <c r="D38" s="16" t="n">
        <f aca="false">IF(C38=0,(1+Dic2025!$G$6)^(-B38),EXP(LN(INDEX(Dic2025!$H$6:$H$205,C38))+(LN(INDEX(Dic2025!$H$6:$H$205,MIN(C38+1,200)))-LN(INDEX(Dic2025!$H$6:$H$205,C38)))*(A38-6*C38)/6))</f>
        <v>0.893969042746422</v>
      </c>
      <c r="E38" s="12" t="n">
        <f aca="false">D38^(-1/B38)-1</f>
        <v>0.0403519875769813</v>
      </c>
      <c r="F38" s="12" t="n">
        <f aca="false">(1+E38)^(1/12)-1</f>
        <v>0.00330203185948519</v>
      </c>
      <c r="G38" s="16" t="n">
        <f aca="false">IF(C38=0,(1+Dic2025!$J$6)^(-B38),EXP(LN(INDEX(Dic2025!$K$6:$K$205,C38))+(LN(INDEX(Dic2025!$K$6:$K$205,MIN(C38+1,200)))-LN(INDEX(Dic2025!$K$6:$K$205,C38)))*(A38-6*C38)/6))</f>
        <v>0.893969042746422</v>
      </c>
      <c r="H38" s="12" t="n">
        <f aca="false">G38^(-1/B38)-1</f>
        <v>0.0403519875769813</v>
      </c>
      <c r="I38" s="12" t="n">
        <f aca="false">(1+H38)^(1/12)-1</f>
        <v>0.00330203185948519</v>
      </c>
      <c r="J38" s="16" t="n">
        <f aca="false">IF(C38=0,(1+Dic2025!$M$6)^(-B38),EXP(LN(INDEX(Dic2025!$N$6:$N$205,C38))+(LN(INDEX(Dic2025!$N$6:$N$205,MIN(C38+1,200)))-LN(INDEX(Dic2025!$N$6:$N$205,C38)))*(A38-6*C38)/6))</f>
        <v>0.893969042746422</v>
      </c>
      <c r="K38" s="12" t="n">
        <f aca="false">J38^(-1/B38)-1</f>
        <v>0.0403519875769813</v>
      </c>
      <c r="L38" s="12" t="n">
        <f aca="false">(1+K38)^(1/12)-1</f>
        <v>0.00330203185948519</v>
      </c>
    </row>
    <row r="39" customFormat="false" ht="15" hidden="false" customHeight="false" outlineLevel="0" collapsed="false">
      <c r="A39" s="4" t="n">
        <v>35</v>
      </c>
      <c r="B39" s="14" t="n">
        <f aca="false">A39/12</f>
        <v>2.91666666666667</v>
      </c>
      <c r="C39" s="15" t="n">
        <f aca="false">INT(A39/6)</f>
        <v>5</v>
      </c>
      <c r="D39" s="16" t="n">
        <f aca="false">IF(C39=0,(1+Dic2025!$G$6)^(-B39),EXP(LN(INDEX(Dic2025!$H$6:$H$205,C39))+(LN(INDEX(Dic2025!$H$6:$H$205,MIN(C39+1,200)))-LN(INDEX(Dic2025!$H$6:$H$205,C39)))*(A39-6*C39)/6))</f>
        <v>0.89083415427132</v>
      </c>
      <c r="E39" s="12" t="n">
        <f aca="false">D39^(-1/B39)-1</f>
        <v>0.0404291354072699</v>
      </c>
      <c r="F39" s="12" t="n">
        <f aca="false">(1+E39)^(1/12)-1</f>
        <v>0.00330823167976857</v>
      </c>
      <c r="G39" s="16" t="n">
        <f aca="false">IF(C39=0,(1+Dic2025!$J$6)^(-B39),EXP(LN(INDEX(Dic2025!$K$6:$K$205,C39))+(LN(INDEX(Dic2025!$K$6:$K$205,MIN(C39+1,200)))-LN(INDEX(Dic2025!$K$6:$K$205,C39)))*(A39-6*C39)/6))</f>
        <v>0.89083415427132</v>
      </c>
      <c r="H39" s="12" t="n">
        <f aca="false">G39^(-1/B39)-1</f>
        <v>0.0404291354072699</v>
      </c>
      <c r="I39" s="12" t="n">
        <f aca="false">(1+H39)^(1/12)-1</f>
        <v>0.00330823167976857</v>
      </c>
      <c r="J39" s="16" t="n">
        <f aca="false">IF(C39=0,(1+Dic2025!$M$6)^(-B39),EXP(LN(INDEX(Dic2025!$N$6:$N$205,C39))+(LN(INDEX(Dic2025!$N$6:$N$205,MIN(C39+1,200)))-LN(INDEX(Dic2025!$N$6:$N$205,C39)))*(A39-6*C39)/6))</f>
        <v>0.89083415427132</v>
      </c>
      <c r="K39" s="12" t="n">
        <f aca="false">J39^(-1/B39)-1</f>
        <v>0.0404291354072699</v>
      </c>
      <c r="L39" s="12" t="n">
        <f aca="false">(1+K39)^(1/12)-1</f>
        <v>0.00330823167976857</v>
      </c>
    </row>
    <row r="40" customFormat="false" ht="15" hidden="false" customHeight="false" outlineLevel="0" collapsed="false">
      <c r="A40" s="4" t="n">
        <v>36</v>
      </c>
      <c r="B40" s="14" t="n">
        <f aca="false">A40/12</f>
        <v>3</v>
      </c>
      <c r="C40" s="15" t="n">
        <f aca="false">INT(A40/6)</f>
        <v>6</v>
      </c>
      <c r="D40" s="16" t="n">
        <f aca="false">IF(C40=0,(1+Dic2025!$G$6)^(-B40),EXP(LN(INDEX(Dic2025!$H$6:$H$205,C40))+(LN(INDEX(Dic2025!$H$6:$H$205,MIN(C40+1,200)))-LN(INDEX(Dic2025!$H$6:$H$205,C40)))*(A40-6*C40)/6))</f>
        <v>0.887710258934996</v>
      </c>
      <c r="E40" s="12" t="n">
        <f aca="false">D40^(-1/B40)-1</f>
        <v>0.0405020024999998</v>
      </c>
      <c r="F40" s="12" t="n">
        <f aca="false">(1+E40)^(1/12)-1</f>
        <v>0.0033140871007693</v>
      </c>
      <c r="G40" s="16" t="n">
        <f aca="false">IF(C40=0,(1+Dic2025!$J$6)^(-B40),EXP(LN(INDEX(Dic2025!$K$6:$K$205,C40))+(LN(INDEX(Dic2025!$K$6:$K$205,MIN(C40+1,200)))-LN(INDEX(Dic2025!$K$6:$K$205,C40)))*(A40-6*C40)/6))</f>
        <v>0.887710258934996</v>
      </c>
      <c r="H40" s="12" t="n">
        <f aca="false">G40^(-1/B40)-1</f>
        <v>0.0405020024999998</v>
      </c>
      <c r="I40" s="12" t="n">
        <f aca="false">(1+H40)^(1/12)-1</f>
        <v>0.0033140871007693</v>
      </c>
      <c r="J40" s="16" t="n">
        <f aca="false">IF(C40=0,(1+Dic2025!$M$6)^(-B40),EXP(LN(INDEX(Dic2025!$N$6:$N$205,C40))+(LN(INDEX(Dic2025!$N$6:$N$205,MIN(C40+1,200)))-LN(INDEX(Dic2025!$N$6:$N$205,C40)))*(A40-6*C40)/6))</f>
        <v>0.887710258934996</v>
      </c>
      <c r="K40" s="12" t="n">
        <f aca="false">J40^(-1/B40)-1</f>
        <v>0.0405020024999998</v>
      </c>
      <c r="L40" s="12" t="n">
        <f aca="false">(1+K40)^(1/12)-1</f>
        <v>0.0033140871007693</v>
      </c>
    </row>
    <row r="41" customFormat="false" ht="15" hidden="false" customHeight="false" outlineLevel="0" collapsed="false">
      <c r="A41" s="4" t="n">
        <v>37</v>
      </c>
      <c r="B41" s="14" t="n">
        <f aca="false">A41/12</f>
        <v>3.08333333333333</v>
      </c>
      <c r="C41" s="15" t="n">
        <f aca="false">INT(A41/6)</f>
        <v>6</v>
      </c>
      <c r="D41" s="16" t="n">
        <f aca="false">IF(C41=0,(1+Dic2025!$G$6)^(-B41),EXP(LN(INDEX(Dic2025!$H$6:$H$205,C41))+(LN(INDEX(Dic2025!$H$6:$H$205,MIN(C41+1,200)))-LN(INDEX(Dic2025!$H$6:$H$205,C41)))*(A41-6*C41)/6))</f>
        <v>0.884525106788861</v>
      </c>
      <c r="E41" s="12" t="n">
        <f aca="false">D41^(-1/B41)-1</f>
        <v>0.040598486366934</v>
      </c>
      <c r="F41" s="12" t="n">
        <f aca="false">(1+E41)^(1/12)-1</f>
        <v>0.0033218397295236</v>
      </c>
      <c r="G41" s="16" t="n">
        <f aca="false">IF(C41=0,(1+Dic2025!$J$6)^(-B41),EXP(LN(INDEX(Dic2025!$K$6:$K$205,C41))+(LN(INDEX(Dic2025!$K$6:$K$205,MIN(C41+1,200)))-LN(INDEX(Dic2025!$K$6:$K$205,C41)))*(A41-6*C41)/6))</f>
        <v>0.884525106788861</v>
      </c>
      <c r="H41" s="12" t="n">
        <f aca="false">G41^(-1/B41)-1</f>
        <v>0.040598486366934</v>
      </c>
      <c r="I41" s="12" t="n">
        <f aca="false">(1+H41)^(1/12)-1</f>
        <v>0.0033218397295236</v>
      </c>
      <c r="J41" s="16" t="n">
        <f aca="false">IF(C41=0,(1+Dic2025!$M$6)^(-B41),EXP(LN(INDEX(Dic2025!$N$6:$N$205,C41))+(LN(INDEX(Dic2025!$N$6:$N$205,MIN(C41+1,200)))-LN(INDEX(Dic2025!$N$6:$N$205,C41)))*(A41-6*C41)/6))</f>
        <v>0.884525106788861</v>
      </c>
      <c r="K41" s="12" t="n">
        <f aca="false">J41^(-1/B41)-1</f>
        <v>0.040598486366934</v>
      </c>
      <c r="L41" s="12" t="n">
        <f aca="false">(1+K41)^(1/12)-1</f>
        <v>0.0033218397295236</v>
      </c>
    </row>
    <row r="42" customFormat="false" ht="15" hidden="false" customHeight="false" outlineLevel="0" collapsed="false">
      <c r="A42" s="4" t="n">
        <v>38</v>
      </c>
      <c r="B42" s="14" t="n">
        <f aca="false">A42/12</f>
        <v>3.16666666666667</v>
      </c>
      <c r="C42" s="15" t="n">
        <f aca="false">INT(A42/6)</f>
        <v>6</v>
      </c>
      <c r="D42" s="16" t="n">
        <f aca="false">IF(C42=0,(1+Dic2025!$G$6)^(-B42),EXP(LN(INDEX(Dic2025!$H$6:$H$205,C42))+(LN(INDEX(Dic2025!$H$6:$H$205,MIN(C42+1,200)))-LN(INDEX(Dic2025!$H$6:$H$205,C42)))*(A42-6*C42)/6))</f>
        <v>0.881351383139909</v>
      </c>
      <c r="E42" s="12" t="n">
        <f aca="false">D42^(-1/B42)-1</f>
        <v>0.0406899003884367</v>
      </c>
      <c r="F42" s="12" t="n">
        <f aca="false">(1+E42)^(1/12)-1</f>
        <v>0.00332918438044394</v>
      </c>
      <c r="G42" s="16" t="n">
        <f aca="false">IF(C42=0,(1+Dic2025!$J$6)^(-B42),EXP(LN(INDEX(Dic2025!$K$6:$K$205,C42))+(LN(INDEX(Dic2025!$K$6:$K$205,MIN(C42+1,200)))-LN(INDEX(Dic2025!$K$6:$K$205,C42)))*(A42-6*C42)/6))</f>
        <v>0.881351383139909</v>
      </c>
      <c r="H42" s="12" t="n">
        <f aca="false">G42^(-1/B42)-1</f>
        <v>0.0406899003884367</v>
      </c>
      <c r="I42" s="12" t="n">
        <f aca="false">(1+H42)^(1/12)-1</f>
        <v>0.00332918438044394</v>
      </c>
      <c r="J42" s="16" t="n">
        <f aca="false">IF(C42=0,(1+Dic2025!$M$6)^(-B42),EXP(LN(INDEX(Dic2025!$N$6:$N$205,C42))+(LN(INDEX(Dic2025!$N$6:$N$205,MIN(C42+1,200)))-LN(INDEX(Dic2025!$N$6:$N$205,C42)))*(A42-6*C42)/6))</f>
        <v>0.881351383139909</v>
      </c>
      <c r="K42" s="12" t="n">
        <f aca="false">J42^(-1/B42)-1</f>
        <v>0.0406899003884367</v>
      </c>
      <c r="L42" s="12" t="n">
        <f aca="false">(1+K42)^(1/12)-1</f>
        <v>0.00332918438044394</v>
      </c>
    </row>
    <row r="43" customFormat="false" ht="15" hidden="false" customHeight="false" outlineLevel="0" collapsed="false">
      <c r="A43" s="4" t="n">
        <v>39</v>
      </c>
      <c r="B43" s="14" t="n">
        <f aca="false">A43/12</f>
        <v>3.25</v>
      </c>
      <c r="C43" s="15" t="n">
        <f aca="false">INT(A43/6)</f>
        <v>6</v>
      </c>
      <c r="D43" s="16" t="n">
        <f aca="false">IF(C43=0,(1+Dic2025!$G$6)^(-B43),EXP(LN(INDEX(Dic2025!$H$6:$H$205,C43))+(LN(INDEX(Dic2025!$H$6:$H$205,MIN(C43+1,200)))-LN(INDEX(Dic2025!$H$6:$H$205,C43)))*(A43-6*C43)/6))</f>
        <v>0.878189046982079</v>
      </c>
      <c r="E43" s="12" t="n">
        <f aca="false">D43^(-1/B43)-1</f>
        <v>0.040776633934716</v>
      </c>
      <c r="F43" s="12" t="n">
        <f aca="false">(1+E43)^(1/12)-1</f>
        <v>0.00333615243229946</v>
      </c>
      <c r="G43" s="16" t="n">
        <f aca="false">IF(C43=0,(1+Dic2025!$J$6)^(-B43),EXP(LN(INDEX(Dic2025!$K$6:$K$205,C43))+(LN(INDEX(Dic2025!$K$6:$K$205,MIN(C43+1,200)))-LN(INDEX(Dic2025!$K$6:$K$205,C43)))*(A43-6*C43)/6))</f>
        <v>0.878189046982079</v>
      </c>
      <c r="H43" s="12" t="n">
        <f aca="false">G43^(-1/B43)-1</f>
        <v>0.040776633934716</v>
      </c>
      <c r="I43" s="12" t="n">
        <f aca="false">(1+H43)^(1/12)-1</f>
        <v>0.00333615243229946</v>
      </c>
      <c r="J43" s="16" t="n">
        <f aca="false">IF(C43=0,(1+Dic2025!$M$6)^(-B43),EXP(LN(INDEX(Dic2025!$N$6:$N$205,C43))+(LN(INDEX(Dic2025!$N$6:$N$205,MIN(C43+1,200)))-LN(INDEX(Dic2025!$N$6:$N$205,C43)))*(A43-6*C43)/6))</f>
        <v>0.878189046982079</v>
      </c>
      <c r="K43" s="12" t="n">
        <f aca="false">J43^(-1/B43)-1</f>
        <v>0.040776633934716</v>
      </c>
      <c r="L43" s="12" t="n">
        <f aca="false">(1+K43)^(1/12)-1</f>
        <v>0.00333615243229946</v>
      </c>
    </row>
    <row r="44" customFormat="false" ht="15" hidden="false" customHeight="false" outlineLevel="0" collapsed="false">
      <c r="A44" s="4" t="n">
        <v>40</v>
      </c>
      <c r="B44" s="14" t="n">
        <f aca="false">A44/12</f>
        <v>3.33333333333333</v>
      </c>
      <c r="C44" s="15" t="n">
        <f aca="false">INT(A44/6)</f>
        <v>6</v>
      </c>
      <c r="D44" s="16" t="n">
        <f aca="false">IF(C44=0,(1+Dic2025!$G$6)^(-B44),EXP(LN(INDEX(Dic2025!$H$6:$H$205,C44))+(LN(INDEX(Dic2025!$H$6:$H$205,MIN(C44+1,200)))-LN(INDEX(Dic2025!$H$6:$H$205,C44)))*(A44-6*C44)/6))</f>
        <v>0.875038057456438</v>
      </c>
      <c r="E44" s="12" t="n">
        <f aca="false">D44^(-1/B44)-1</f>
        <v>0.0408590374991422</v>
      </c>
      <c r="F44" s="12" t="n">
        <f aca="false">(1+E44)^(1/12)-1</f>
        <v>0.00334277212638567</v>
      </c>
      <c r="G44" s="16" t="n">
        <f aca="false">IF(C44=0,(1+Dic2025!$J$6)^(-B44),EXP(LN(INDEX(Dic2025!$K$6:$K$205,C44))+(LN(INDEX(Dic2025!$K$6:$K$205,MIN(C44+1,200)))-LN(INDEX(Dic2025!$K$6:$K$205,C44)))*(A44-6*C44)/6))</f>
        <v>0.875038057456438</v>
      </c>
      <c r="H44" s="12" t="n">
        <f aca="false">G44^(-1/B44)-1</f>
        <v>0.0408590374991422</v>
      </c>
      <c r="I44" s="12" t="n">
        <f aca="false">(1+H44)^(1/12)-1</f>
        <v>0.00334277212638567</v>
      </c>
      <c r="J44" s="16" t="n">
        <f aca="false">IF(C44=0,(1+Dic2025!$M$6)^(-B44),EXP(LN(INDEX(Dic2025!$N$6:$N$205,C44))+(LN(INDEX(Dic2025!$N$6:$N$205,MIN(C44+1,200)))-LN(INDEX(Dic2025!$N$6:$N$205,C44)))*(A44-6*C44)/6))</f>
        <v>0.875038057456438</v>
      </c>
      <c r="K44" s="12" t="n">
        <f aca="false">J44^(-1/B44)-1</f>
        <v>0.0408590374991422</v>
      </c>
      <c r="L44" s="12" t="n">
        <f aca="false">(1+K44)^(1/12)-1</f>
        <v>0.00334277212638567</v>
      </c>
    </row>
    <row r="45" customFormat="false" ht="15" hidden="false" customHeight="false" outlineLevel="0" collapsed="false">
      <c r="A45" s="4" t="n">
        <v>41</v>
      </c>
      <c r="B45" s="14" t="n">
        <f aca="false">A45/12</f>
        <v>3.41666666666667</v>
      </c>
      <c r="C45" s="15" t="n">
        <f aca="false">INT(A45/6)</f>
        <v>6</v>
      </c>
      <c r="D45" s="16" t="n">
        <f aca="false">IF(C45=0,(1+Dic2025!$G$6)^(-B45),EXP(LN(INDEX(Dic2025!$H$6:$H$205,C45))+(LN(INDEX(Dic2025!$H$6:$H$205,MIN(C45+1,200)))-LN(INDEX(Dic2025!$H$6:$H$205,C45)))*(A45-6*C45)/6))</f>
        <v>0.871898373850662</v>
      </c>
      <c r="E45" s="12" t="n">
        <f aca="false">D45^(-1/B45)-1</f>
        <v>0.0409374274321732</v>
      </c>
      <c r="F45" s="12" t="n">
        <f aca="false">(1+E45)^(1/12)-1</f>
        <v>0.00334906894909626</v>
      </c>
      <c r="G45" s="16" t="n">
        <f aca="false">IF(C45=0,(1+Dic2025!$J$6)^(-B45),EXP(LN(INDEX(Dic2025!$K$6:$K$205,C45))+(LN(INDEX(Dic2025!$K$6:$K$205,MIN(C45+1,200)))-LN(INDEX(Dic2025!$K$6:$K$205,C45)))*(A45-6*C45)/6))</f>
        <v>0.871898373850662</v>
      </c>
      <c r="H45" s="12" t="n">
        <f aca="false">G45^(-1/B45)-1</f>
        <v>0.0409374274321732</v>
      </c>
      <c r="I45" s="12" t="n">
        <f aca="false">(1+H45)^(1/12)-1</f>
        <v>0.00334906894909626</v>
      </c>
      <c r="J45" s="16" t="n">
        <f aca="false">IF(C45=0,(1+Dic2025!$M$6)^(-B45),EXP(LN(INDEX(Dic2025!$N$6:$N$205,C45))+(LN(INDEX(Dic2025!$N$6:$N$205,MIN(C45+1,200)))-LN(INDEX(Dic2025!$N$6:$N$205,C45)))*(A45-6*C45)/6))</f>
        <v>0.871898373850662</v>
      </c>
      <c r="K45" s="12" t="n">
        <f aca="false">J45^(-1/B45)-1</f>
        <v>0.0409374274321732</v>
      </c>
      <c r="L45" s="12" t="n">
        <f aca="false">(1+K45)^(1/12)-1</f>
        <v>0.00334906894909626</v>
      </c>
    </row>
    <row r="46" customFormat="false" ht="15" hidden="false" customHeight="false" outlineLevel="0" collapsed="false">
      <c r="A46" s="4" t="n">
        <v>42</v>
      </c>
      <c r="B46" s="14" t="n">
        <f aca="false">A46/12</f>
        <v>3.5</v>
      </c>
      <c r="C46" s="15" t="n">
        <f aca="false">INT(A46/6)</f>
        <v>7</v>
      </c>
      <c r="D46" s="16" t="n">
        <f aca="false">IF(C46=0,(1+Dic2025!$G$6)^(-B46),EXP(LN(INDEX(Dic2025!$H$6:$H$205,C46))+(LN(INDEX(Dic2025!$H$6:$H$205,MIN(C46+1,200)))-LN(INDEX(Dic2025!$H$6:$H$205,C46)))*(A46-6*C46)/6))</f>
        <v>0.868769955598502</v>
      </c>
      <c r="E46" s="12" t="n">
        <f aca="false">D46^(-1/B46)-1</f>
        <v>0.0410120899999999</v>
      </c>
      <c r="F46" s="12" t="n">
        <f aca="false">(1+E46)^(1/12)-1</f>
        <v>0.00335506595984625</v>
      </c>
      <c r="G46" s="16" t="n">
        <f aca="false">IF(C46=0,(1+Dic2025!$J$6)^(-B46),EXP(LN(INDEX(Dic2025!$K$6:$K$205,C46))+(LN(INDEX(Dic2025!$K$6:$K$205,MIN(C46+1,200)))-LN(INDEX(Dic2025!$K$6:$K$205,C46)))*(A46-6*C46)/6))</f>
        <v>0.868769955598502</v>
      </c>
      <c r="H46" s="12" t="n">
        <f aca="false">G46^(-1/B46)-1</f>
        <v>0.0410120899999999</v>
      </c>
      <c r="I46" s="12" t="n">
        <f aca="false">(1+H46)^(1/12)-1</f>
        <v>0.00335506595984625</v>
      </c>
      <c r="J46" s="16" t="n">
        <f aca="false">IF(C46=0,(1+Dic2025!$M$6)^(-B46),EXP(LN(INDEX(Dic2025!$N$6:$N$205,C46))+(LN(INDEX(Dic2025!$N$6:$N$205,MIN(C46+1,200)))-LN(INDEX(Dic2025!$N$6:$N$205,C46)))*(A46-6*C46)/6))</f>
        <v>0.868769955598502</v>
      </c>
      <c r="K46" s="12" t="n">
        <f aca="false">J46^(-1/B46)-1</f>
        <v>0.0410120899999999</v>
      </c>
      <c r="L46" s="12" t="n">
        <f aca="false">(1+K46)^(1/12)-1</f>
        <v>0.00335506595984625</v>
      </c>
    </row>
    <row r="47" customFormat="false" ht="15" hidden="false" customHeight="false" outlineLevel="0" collapsed="false">
      <c r="A47" s="4" t="n">
        <v>43</v>
      </c>
      <c r="B47" s="14" t="n">
        <f aca="false">A47/12</f>
        <v>3.58333333333333</v>
      </c>
      <c r="C47" s="15" t="n">
        <f aca="false">INT(A47/6)</f>
        <v>7</v>
      </c>
      <c r="D47" s="16" t="n">
        <f aca="false">IF(C47=0,(1+Dic2025!$G$6)^(-B47),EXP(LN(INDEX(Dic2025!$H$6:$H$205,C47))+(LN(INDEX(Dic2025!$H$6:$H$205,MIN(C47+1,200)))-LN(INDEX(Dic2025!$H$6:$H$205,C47)))*(A47-6*C47)/6))</f>
        <v>0.865525583049827</v>
      </c>
      <c r="E47" s="12" t="n">
        <f aca="false">D47^(-1/B47)-1</f>
        <v>0.0411259734413743</v>
      </c>
      <c r="F47" s="12" t="n">
        <f aca="false">(1+E47)^(1/12)-1</f>
        <v>0.00336421249138286</v>
      </c>
      <c r="G47" s="16" t="n">
        <f aca="false">IF(C47=0,(1+Dic2025!$J$6)^(-B47),EXP(LN(INDEX(Dic2025!$K$6:$K$205,C47))+(LN(INDEX(Dic2025!$K$6:$K$205,MIN(C47+1,200)))-LN(INDEX(Dic2025!$K$6:$K$205,C47)))*(A47-6*C47)/6))</f>
        <v>0.865525583049827</v>
      </c>
      <c r="H47" s="12" t="n">
        <f aca="false">G47^(-1/B47)-1</f>
        <v>0.0411259734413743</v>
      </c>
      <c r="I47" s="12" t="n">
        <f aca="false">(1+H47)^(1/12)-1</f>
        <v>0.00336421249138286</v>
      </c>
      <c r="J47" s="16" t="n">
        <f aca="false">IF(C47=0,(1+Dic2025!$M$6)^(-B47),EXP(LN(INDEX(Dic2025!$N$6:$N$205,C47))+(LN(INDEX(Dic2025!$N$6:$N$205,MIN(C47+1,200)))-LN(INDEX(Dic2025!$N$6:$N$205,C47)))*(A47-6*C47)/6))</f>
        <v>0.865525583049827</v>
      </c>
      <c r="K47" s="12" t="n">
        <f aca="false">J47^(-1/B47)-1</f>
        <v>0.0411259734413743</v>
      </c>
      <c r="L47" s="12" t="n">
        <f aca="false">(1+K47)^(1/12)-1</f>
        <v>0.00336421249138286</v>
      </c>
    </row>
    <row r="48" customFormat="false" ht="15" hidden="false" customHeight="false" outlineLevel="0" collapsed="false">
      <c r="A48" s="4" t="n">
        <v>44</v>
      </c>
      <c r="B48" s="14" t="n">
        <f aca="false">A48/12</f>
        <v>3.66666666666667</v>
      </c>
      <c r="C48" s="15" t="n">
        <f aca="false">INT(A48/6)</f>
        <v>7</v>
      </c>
      <c r="D48" s="16" t="n">
        <f aca="false">IF(C48=0,(1+Dic2025!$G$6)^(-B48),EXP(LN(INDEX(Dic2025!$H$6:$H$205,C48))+(LN(INDEX(Dic2025!$H$6:$H$205,MIN(C48+1,200)))-LN(INDEX(Dic2025!$H$6:$H$205,C48)))*(A48-6*C48)/6))</f>
        <v>0.862293326428006</v>
      </c>
      <c r="E48" s="12" t="n">
        <f aca="false">D48^(-1/B48)-1</f>
        <v>0.0412346919845843</v>
      </c>
      <c r="F48" s="12" t="n">
        <f aca="false">(1+E48)^(1/12)-1</f>
        <v>0.00337294334926641</v>
      </c>
      <c r="G48" s="16" t="n">
        <f aca="false">IF(C48=0,(1+Dic2025!$J$6)^(-B48),EXP(LN(INDEX(Dic2025!$K$6:$K$205,C48))+(LN(INDEX(Dic2025!$K$6:$K$205,MIN(C48+1,200)))-LN(INDEX(Dic2025!$K$6:$K$205,C48)))*(A48-6*C48)/6))</f>
        <v>0.862293326428006</v>
      </c>
      <c r="H48" s="12" t="n">
        <f aca="false">G48^(-1/B48)-1</f>
        <v>0.0412346919845843</v>
      </c>
      <c r="I48" s="12" t="n">
        <f aca="false">(1+H48)^(1/12)-1</f>
        <v>0.00337294334926641</v>
      </c>
      <c r="J48" s="16" t="n">
        <f aca="false">IF(C48=0,(1+Dic2025!$M$6)^(-B48),EXP(LN(INDEX(Dic2025!$N$6:$N$205,C48))+(LN(INDEX(Dic2025!$N$6:$N$205,MIN(C48+1,200)))-LN(INDEX(Dic2025!$N$6:$N$205,C48)))*(A48-6*C48)/6))</f>
        <v>0.862293326428006</v>
      </c>
      <c r="K48" s="12" t="n">
        <f aca="false">J48^(-1/B48)-1</f>
        <v>0.0412346919845843</v>
      </c>
      <c r="L48" s="12" t="n">
        <f aca="false">(1+K48)^(1/12)-1</f>
        <v>0.00337294334926641</v>
      </c>
    </row>
    <row r="49" customFormat="false" ht="15" hidden="false" customHeight="false" outlineLevel="0" collapsed="false">
      <c r="A49" s="4" t="n">
        <v>45</v>
      </c>
      <c r="B49" s="14" t="n">
        <f aca="false">A49/12</f>
        <v>3.75</v>
      </c>
      <c r="C49" s="15" t="n">
        <f aca="false">INT(A49/6)</f>
        <v>7</v>
      </c>
      <c r="D49" s="16" t="n">
        <f aca="false">IF(C49=0,(1+Dic2025!$G$6)^(-B49),EXP(LN(INDEX(Dic2025!$H$6:$H$205,C49))+(LN(INDEX(Dic2025!$H$6:$H$205,MIN(C49+1,200)))-LN(INDEX(Dic2025!$H$6:$H$205,C49)))*(A49-6*C49)/6))</f>
        <v>0.859073140486791</v>
      </c>
      <c r="E49" s="12" t="n">
        <f aca="false">D49^(-1/B49)-1</f>
        <v>0.0413385891997073</v>
      </c>
      <c r="F49" s="12" t="n">
        <f aca="false">(1+E49)^(1/12)-1</f>
        <v>0.00338128624000422</v>
      </c>
      <c r="G49" s="16" t="n">
        <f aca="false">IF(C49=0,(1+Dic2025!$J$6)^(-B49),EXP(LN(INDEX(Dic2025!$K$6:$K$205,C49))+(LN(INDEX(Dic2025!$K$6:$K$205,MIN(C49+1,200)))-LN(INDEX(Dic2025!$K$6:$K$205,C49)))*(A49-6*C49)/6))</f>
        <v>0.859073140486791</v>
      </c>
      <c r="H49" s="12" t="n">
        <f aca="false">G49^(-1/B49)-1</f>
        <v>0.0413385891997073</v>
      </c>
      <c r="I49" s="12" t="n">
        <f aca="false">(1+H49)^(1/12)-1</f>
        <v>0.00338128624000422</v>
      </c>
      <c r="J49" s="16" t="n">
        <f aca="false">IF(C49=0,(1+Dic2025!$M$6)^(-B49),EXP(LN(INDEX(Dic2025!$N$6:$N$205,C49))+(LN(INDEX(Dic2025!$N$6:$N$205,MIN(C49+1,200)))-LN(INDEX(Dic2025!$N$6:$N$205,C49)))*(A49-6*C49)/6))</f>
        <v>0.859073140486791</v>
      </c>
      <c r="K49" s="12" t="n">
        <f aca="false">J49^(-1/B49)-1</f>
        <v>0.0413385891997073</v>
      </c>
      <c r="L49" s="12" t="n">
        <f aca="false">(1+K49)^(1/12)-1</f>
        <v>0.00338128624000422</v>
      </c>
    </row>
    <row r="50" customFormat="false" ht="15" hidden="false" customHeight="false" outlineLevel="0" collapsed="false">
      <c r="A50" s="4" t="n">
        <v>46</v>
      </c>
      <c r="B50" s="14" t="n">
        <f aca="false">A50/12</f>
        <v>3.83333333333333</v>
      </c>
      <c r="C50" s="15" t="n">
        <f aca="false">INT(A50/6)</f>
        <v>7</v>
      </c>
      <c r="D50" s="16" t="n">
        <f aca="false">IF(C50=0,(1+Dic2025!$G$6)^(-B50),EXP(LN(INDEX(Dic2025!$H$6:$H$205,C50))+(LN(INDEX(Dic2025!$H$6:$H$205,MIN(C50+1,200)))-LN(INDEX(Dic2025!$H$6:$H$205,C50)))*(A50-6*C50)/6))</f>
        <v>0.855864980148904</v>
      </c>
      <c r="E50" s="12" t="n">
        <f aca="false">D50^(-1/B50)-1</f>
        <v>0.0414379788454193</v>
      </c>
      <c r="F50" s="12" t="n">
        <f aca="false">(1+E50)^(1/12)-1</f>
        <v>0.00338926646127358</v>
      </c>
      <c r="G50" s="16" t="n">
        <f aca="false">IF(C50=0,(1+Dic2025!$J$6)^(-B50),EXP(LN(INDEX(Dic2025!$K$6:$K$205,C50))+(LN(INDEX(Dic2025!$K$6:$K$205,MIN(C50+1,200)))-LN(INDEX(Dic2025!$K$6:$K$205,C50)))*(A50-6*C50)/6))</f>
        <v>0.855864980148904</v>
      </c>
      <c r="H50" s="12" t="n">
        <f aca="false">G50^(-1/B50)-1</f>
        <v>0.0414379788454193</v>
      </c>
      <c r="I50" s="12" t="n">
        <f aca="false">(1+H50)^(1/12)-1</f>
        <v>0.00338926646127358</v>
      </c>
      <c r="J50" s="16" t="n">
        <f aca="false">IF(C50=0,(1+Dic2025!$M$6)^(-B50),EXP(LN(INDEX(Dic2025!$N$6:$N$205,C50))+(LN(INDEX(Dic2025!$N$6:$N$205,MIN(C50+1,200)))-LN(INDEX(Dic2025!$N$6:$N$205,C50)))*(A50-6*C50)/6))</f>
        <v>0.855864980148904</v>
      </c>
      <c r="K50" s="12" t="n">
        <f aca="false">J50^(-1/B50)-1</f>
        <v>0.0414379788454193</v>
      </c>
      <c r="L50" s="12" t="n">
        <f aca="false">(1+K50)^(1/12)-1</f>
        <v>0.00338926646127358</v>
      </c>
    </row>
    <row r="51" customFormat="false" ht="15" hidden="false" customHeight="false" outlineLevel="0" collapsed="false">
      <c r="A51" s="4" t="n">
        <v>47</v>
      </c>
      <c r="B51" s="14" t="n">
        <f aca="false">A51/12</f>
        <v>3.91666666666667</v>
      </c>
      <c r="C51" s="15" t="n">
        <f aca="false">INT(A51/6)</f>
        <v>7</v>
      </c>
      <c r="D51" s="16" t="n">
        <f aca="false">IF(C51=0,(1+Dic2025!$G$6)^(-B51),EXP(LN(INDEX(Dic2025!$H$6:$H$205,C51))+(LN(INDEX(Dic2025!$H$6:$H$205,MIN(C51+1,200)))-LN(INDEX(Dic2025!$H$6:$H$205,C51)))*(A51-6*C51)/6))</f>
        <v>0.852668800505406</v>
      </c>
      <c r="E51" s="12" t="n">
        <f aca="false">D51^(-1/B51)-1</f>
        <v>0.0415331480337402</v>
      </c>
      <c r="F51" s="12" t="n">
        <f aca="false">(1+E51)^(1/12)-1</f>
        <v>0.00339690715813457</v>
      </c>
      <c r="G51" s="16" t="n">
        <f aca="false">IF(C51=0,(1+Dic2025!$J$6)^(-B51),EXP(LN(INDEX(Dic2025!$K$6:$K$205,C51))+(LN(INDEX(Dic2025!$K$6:$K$205,MIN(C51+1,200)))-LN(INDEX(Dic2025!$K$6:$K$205,C51)))*(A51-6*C51)/6))</f>
        <v>0.852668800505406</v>
      </c>
      <c r="H51" s="12" t="n">
        <f aca="false">G51^(-1/B51)-1</f>
        <v>0.0415331480337402</v>
      </c>
      <c r="I51" s="12" t="n">
        <f aca="false">(1+H51)^(1/12)-1</f>
        <v>0.00339690715813457</v>
      </c>
      <c r="J51" s="16" t="n">
        <f aca="false">IF(C51=0,(1+Dic2025!$M$6)^(-B51),EXP(LN(INDEX(Dic2025!$N$6:$N$205,C51))+(LN(INDEX(Dic2025!$N$6:$N$205,MIN(C51+1,200)))-LN(INDEX(Dic2025!$N$6:$N$205,C51)))*(A51-6*C51)/6))</f>
        <v>0.852668800505406</v>
      </c>
      <c r="K51" s="12" t="n">
        <f aca="false">J51^(-1/B51)-1</f>
        <v>0.0415331480337402</v>
      </c>
      <c r="L51" s="12" t="n">
        <f aca="false">(1+K51)^(1/12)-1</f>
        <v>0.00339690715813457</v>
      </c>
    </row>
    <row r="52" customFormat="false" ht="15" hidden="false" customHeight="false" outlineLevel="0" collapsed="false">
      <c r="A52" s="4" t="n">
        <v>48</v>
      </c>
      <c r="B52" s="14" t="n">
        <f aca="false">A52/12</f>
        <v>4</v>
      </c>
      <c r="C52" s="15" t="n">
        <f aca="false">INT(A52/6)</f>
        <v>8</v>
      </c>
      <c r="D52" s="16" t="n">
        <f aca="false">IF(C52=0,(1+Dic2025!$G$6)^(-B52),EXP(LN(INDEX(Dic2025!$H$6:$H$205,C52))+(LN(INDEX(Dic2025!$H$6:$H$205,MIN(C52+1,200)))-LN(INDEX(Dic2025!$H$6:$H$205,C52)))*(A52-6*C52)/6))</f>
        <v>0.849484556815066</v>
      </c>
      <c r="E52" s="12" t="n">
        <f aca="false">D52^(-1/B52)-1</f>
        <v>0.0416243599999999</v>
      </c>
      <c r="F52" s="12" t="n">
        <f aca="false">(1+E52)^(1/12)-1</f>
        <v>0.00340422954722341</v>
      </c>
      <c r="G52" s="16" t="n">
        <f aca="false">IF(C52=0,(1+Dic2025!$J$6)^(-B52),EXP(LN(INDEX(Dic2025!$K$6:$K$205,C52))+(LN(INDEX(Dic2025!$K$6:$K$205,MIN(C52+1,200)))-LN(INDEX(Dic2025!$K$6:$K$205,C52)))*(A52-6*C52)/6))</f>
        <v>0.849484556815066</v>
      </c>
      <c r="H52" s="12" t="n">
        <f aca="false">G52^(-1/B52)-1</f>
        <v>0.0416243599999999</v>
      </c>
      <c r="I52" s="12" t="n">
        <f aca="false">(1+H52)^(1/12)-1</f>
        <v>0.00340422954722341</v>
      </c>
      <c r="J52" s="16" t="n">
        <f aca="false">IF(C52=0,(1+Dic2025!$M$6)^(-B52),EXP(LN(INDEX(Dic2025!$N$6:$N$205,C52))+(LN(INDEX(Dic2025!$N$6:$N$205,MIN(C52+1,200)))-LN(INDEX(Dic2025!$N$6:$N$205,C52)))*(A52-6*C52)/6))</f>
        <v>0.849484556815066</v>
      </c>
      <c r="K52" s="12" t="n">
        <f aca="false">J52^(-1/B52)-1</f>
        <v>0.0416243599999999</v>
      </c>
      <c r="L52" s="12" t="n">
        <f aca="false">(1+K52)^(1/12)-1</f>
        <v>0.00340422954722341</v>
      </c>
    </row>
    <row r="53" customFormat="false" ht="15" hidden="false" customHeight="false" outlineLevel="0" collapsed="false">
      <c r="A53" s="4" t="n">
        <v>49</v>
      </c>
      <c r="B53" s="14" t="n">
        <f aca="false">A53/12</f>
        <v>4.08333333333333</v>
      </c>
      <c r="C53" s="15" t="n">
        <f aca="false">INT(A53/6)</f>
        <v>8</v>
      </c>
      <c r="D53" s="16" t="n">
        <f aca="false">IF(C53=0,(1+Dic2025!$G$6)^(-B53),EXP(LN(INDEX(Dic2025!$H$6:$H$205,C53))+(LN(INDEX(Dic2025!$H$6:$H$205,MIN(C53+1,200)))-LN(INDEX(Dic2025!$H$6:$H$205,C53)))*(A53-6*C53)/6))</f>
        <v>0.846167218957752</v>
      </c>
      <c r="E53" s="12" t="n">
        <f aca="false">D53^(-1/B53)-1</f>
        <v>0.041755565767962</v>
      </c>
      <c r="F53" s="12" t="n">
        <f aca="false">(1+E53)^(1/12)-1</f>
        <v>0.00341476156077092</v>
      </c>
      <c r="G53" s="16" t="n">
        <f aca="false">IF(C53=0,(1+Dic2025!$J$6)^(-B53),EXP(LN(INDEX(Dic2025!$K$6:$K$205,C53))+(LN(INDEX(Dic2025!$K$6:$K$205,MIN(C53+1,200)))-LN(INDEX(Dic2025!$K$6:$K$205,C53)))*(A53-6*C53)/6))</f>
        <v>0.846167218957752</v>
      </c>
      <c r="H53" s="12" t="n">
        <f aca="false">G53^(-1/B53)-1</f>
        <v>0.041755565767962</v>
      </c>
      <c r="I53" s="12" t="n">
        <f aca="false">(1+H53)^(1/12)-1</f>
        <v>0.00341476156077092</v>
      </c>
      <c r="J53" s="16" t="n">
        <f aca="false">IF(C53=0,(1+Dic2025!$M$6)^(-B53),EXP(LN(INDEX(Dic2025!$N$6:$N$205,C53))+(LN(INDEX(Dic2025!$N$6:$N$205,MIN(C53+1,200)))-LN(INDEX(Dic2025!$N$6:$N$205,C53)))*(A53-6*C53)/6))</f>
        <v>0.846167218957752</v>
      </c>
      <c r="K53" s="12" t="n">
        <f aca="false">J53^(-1/B53)-1</f>
        <v>0.041755565767962</v>
      </c>
      <c r="L53" s="12" t="n">
        <f aca="false">(1+K53)^(1/12)-1</f>
        <v>0.00341476156077092</v>
      </c>
    </row>
    <row r="54" customFormat="false" ht="15" hidden="false" customHeight="false" outlineLevel="0" collapsed="false">
      <c r="A54" s="4" t="n">
        <v>50</v>
      </c>
      <c r="B54" s="14" t="n">
        <f aca="false">A54/12</f>
        <v>4.16666666666667</v>
      </c>
      <c r="C54" s="15" t="n">
        <f aca="false">INT(A54/6)</f>
        <v>8</v>
      </c>
      <c r="D54" s="16" t="n">
        <f aca="false">IF(C54=0,(1+Dic2025!$G$6)^(-B54),EXP(LN(INDEX(Dic2025!$H$6:$H$205,C54))+(LN(INDEX(Dic2025!$H$6:$H$205,MIN(C54+1,200)))-LN(INDEX(Dic2025!$H$6:$H$205,C54)))*(A54-6*C54)/6))</f>
        <v>0.842862835697872</v>
      </c>
      <c r="E54" s="12" t="n">
        <f aca="false">D54^(-1/B54)-1</f>
        <v>0.0418815388538063</v>
      </c>
      <c r="F54" s="12" t="n">
        <f aca="false">(1+E54)^(1/12)-1</f>
        <v>0.00342487239777922</v>
      </c>
      <c r="G54" s="16" t="n">
        <f aca="false">IF(C54=0,(1+Dic2025!$J$6)^(-B54),EXP(LN(INDEX(Dic2025!$K$6:$K$205,C54))+(LN(INDEX(Dic2025!$K$6:$K$205,MIN(C54+1,200)))-LN(INDEX(Dic2025!$K$6:$K$205,C54)))*(A54-6*C54)/6))</f>
        <v>0.842862835697872</v>
      </c>
      <c r="H54" s="12" t="n">
        <f aca="false">G54^(-1/B54)-1</f>
        <v>0.0418815388538063</v>
      </c>
      <c r="I54" s="12" t="n">
        <f aca="false">(1+H54)^(1/12)-1</f>
        <v>0.00342487239777922</v>
      </c>
      <c r="J54" s="16" t="n">
        <f aca="false">IF(C54=0,(1+Dic2025!$M$6)^(-B54),EXP(LN(INDEX(Dic2025!$N$6:$N$205,C54))+(LN(INDEX(Dic2025!$N$6:$N$205,MIN(C54+1,200)))-LN(INDEX(Dic2025!$N$6:$N$205,C54)))*(A54-6*C54)/6))</f>
        <v>0.842862835697872</v>
      </c>
      <c r="K54" s="12" t="n">
        <f aca="false">J54^(-1/B54)-1</f>
        <v>0.0418815388538063</v>
      </c>
      <c r="L54" s="12" t="n">
        <f aca="false">(1+K54)^(1/12)-1</f>
        <v>0.00342487239777922</v>
      </c>
    </row>
    <row r="55" customFormat="false" ht="15" hidden="false" customHeight="false" outlineLevel="0" collapsed="false">
      <c r="A55" s="4" t="n">
        <v>51</v>
      </c>
      <c r="B55" s="14" t="n">
        <f aca="false">A55/12</f>
        <v>4.25</v>
      </c>
      <c r="C55" s="15" t="n">
        <f aca="false">INT(A55/6)</f>
        <v>8</v>
      </c>
      <c r="D55" s="16" t="n">
        <f aca="false">IF(C55=0,(1+Dic2025!$G$6)^(-B55),EXP(LN(INDEX(Dic2025!$H$6:$H$205,C55))+(LN(INDEX(Dic2025!$H$6:$H$205,MIN(C55+1,200)))-LN(INDEX(Dic2025!$H$6:$H$205,C55)))*(A55-6*C55)/6))</f>
        <v>0.839571356446187</v>
      </c>
      <c r="E55" s="12" t="n">
        <f aca="false">D55^(-1/B55)-1</f>
        <v>0.0420025861674096</v>
      </c>
      <c r="F55" s="12" t="n">
        <f aca="false">(1+E55)^(1/12)-1</f>
        <v>0.00343458682734177</v>
      </c>
      <c r="G55" s="16" t="n">
        <f aca="false">IF(C55=0,(1+Dic2025!$J$6)^(-B55),EXP(LN(INDEX(Dic2025!$K$6:$K$205,C55))+(LN(INDEX(Dic2025!$K$6:$K$205,MIN(C55+1,200)))-LN(INDEX(Dic2025!$K$6:$K$205,C55)))*(A55-6*C55)/6))</f>
        <v>0.839571356446187</v>
      </c>
      <c r="H55" s="12" t="n">
        <f aca="false">G55^(-1/B55)-1</f>
        <v>0.0420025861674096</v>
      </c>
      <c r="I55" s="12" t="n">
        <f aca="false">(1+H55)^(1/12)-1</f>
        <v>0.00343458682734177</v>
      </c>
      <c r="J55" s="16" t="n">
        <f aca="false">IF(C55=0,(1+Dic2025!$M$6)^(-B55),EXP(LN(INDEX(Dic2025!$N$6:$N$205,C55))+(LN(INDEX(Dic2025!$N$6:$N$205,MIN(C55+1,200)))-LN(INDEX(Dic2025!$N$6:$N$205,C55)))*(A55-6*C55)/6))</f>
        <v>0.839571356446187</v>
      </c>
      <c r="K55" s="12" t="n">
        <f aca="false">J55^(-1/B55)-1</f>
        <v>0.0420025861674096</v>
      </c>
      <c r="L55" s="12" t="n">
        <f aca="false">(1+K55)^(1/12)-1</f>
        <v>0.00343458682734177</v>
      </c>
    </row>
    <row r="56" customFormat="false" ht="15" hidden="false" customHeight="false" outlineLevel="0" collapsed="false">
      <c r="A56" s="4" t="n">
        <v>52</v>
      </c>
      <c r="B56" s="14" t="n">
        <f aca="false">A56/12</f>
        <v>4.33333333333333</v>
      </c>
      <c r="C56" s="15" t="n">
        <f aca="false">INT(A56/6)</f>
        <v>8</v>
      </c>
      <c r="D56" s="16" t="n">
        <f aca="false">IF(C56=0,(1+Dic2025!$G$6)^(-B56),EXP(LN(INDEX(Dic2025!$H$6:$H$205,C56))+(LN(INDEX(Dic2025!$H$6:$H$205,MIN(C56+1,200)))-LN(INDEX(Dic2025!$H$6:$H$205,C56)))*(A56-6*C56)/6))</f>
        <v>0.836292730811017</v>
      </c>
      <c r="E56" s="12" t="n">
        <f aca="false">D56^(-1/B56)-1</f>
        <v>0.0421189910775874</v>
      </c>
      <c r="F56" s="12" t="n">
        <f aca="false">(1+E56)^(1/12)-1</f>
        <v>0.00344392771368995</v>
      </c>
      <c r="G56" s="16" t="n">
        <f aca="false">IF(C56=0,(1+Dic2025!$J$6)^(-B56),EXP(LN(INDEX(Dic2025!$K$6:$K$205,C56))+(LN(INDEX(Dic2025!$K$6:$K$205,MIN(C56+1,200)))-LN(INDEX(Dic2025!$K$6:$K$205,C56)))*(A56-6*C56)/6))</f>
        <v>0.836292730811017</v>
      </c>
      <c r="H56" s="12" t="n">
        <f aca="false">G56^(-1/B56)-1</f>
        <v>0.0421189910775874</v>
      </c>
      <c r="I56" s="12" t="n">
        <f aca="false">(1+H56)^(1/12)-1</f>
        <v>0.00344392771368995</v>
      </c>
      <c r="J56" s="16" t="n">
        <f aca="false">IF(C56=0,(1+Dic2025!$M$6)^(-B56),EXP(LN(INDEX(Dic2025!$N$6:$N$205,C56))+(LN(INDEX(Dic2025!$N$6:$N$205,MIN(C56+1,200)))-LN(INDEX(Dic2025!$N$6:$N$205,C56)))*(A56-6*C56)/6))</f>
        <v>0.836292730811017</v>
      </c>
      <c r="K56" s="12" t="n">
        <f aca="false">J56^(-1/B56)-1</f>
        <v>0.0421189910775874</v>
      </c>
      <c r="L56" s="12" t="n">
        <f aca="false">(1+K56)^(1/12)-1</f>
        <v>0.00344392771368995</v>
      </c>
    </row>
    <row r="57" customFormat="false" ht="15" hidden="false" customHeight="false" outlineLevel="0" collapsed="false">
      <c r="A57" s="4" t="n">
        <v>53</v>
      </c>
      <c r="B57" s="14" t="n">
        <f aca="false">A57/12</f>
        <v>4.41666666666667</v>
      </c>
      <c r="C57" s="15" t="n">
        <f aca="false">INT(A57/6)</f>
        <v>8</v>
      </c>
      <c r="D57" s="16" t="n">
        <f aca="false">IF(C57=0,(1+Dic2025!$G$6)^(-B57),EXP(LN(INDEX(Dic2025!$H$6:$H$205,C57))+(LN(INDEX(Dic2025!$H$6:$H$205,MIN(C57+1,200)))-LN(INDEX(Dic2025!$H$6:$H$205,C57)))*(A57-6*C57)/6))</f>
        <v>0.833026908597465</v>
      </c>
      <c r="E57" s="12" t="n">
        <f aca="false">D57^(-1/B57)-1</f>
        <v>0.042231015626722</v>
      </c>
      <c r="F57" s="12" t="n">
        <f aca="false">(1+E57)^(1/12)-1</f>
        <v>0.00345291619585431</v>
      </c>
      <c r="G57" s="16" t="n">
        <f aca="false">IF(C57=0,(1+Dic2025!$J$6)^(-B57),EXP(LN(INDEX(Dic2025!$K$6:$K$205,C57))+(LN(INDEX(Dic2025!$K$6:$K$205,MIN(C57+1,200)))-LN(INDEX(Dic2025!$K$6:$K$205,C57)))*(A57-6*C57)/6))</f>
        <v>0.833026908597465</v>
      </c>
      <c r="H57" s="12" t="n">
        <f aca="false">G57^(-1/B57)-1</f>
        <v>0.042231015626722</v>
      </c>
      <c r="I57" s="12" t="n">
        <f aca="false">(1+H57)^(1/12)-1</f>
        <v>0.00345291619585431</v>
      </c>
      <c r="J57" s="16" t="n">
        <f aca="false">IF(C57=0,(1+Dic2025!$M$6)^(-B57),EXP(LN(INDEX(Dic2025!$N$6:$N$205,C57))+(LN(INDEX(Dic2025!$N$6:$N$205,MIN(C57+1,200)))-LN(INDEX(Dic2025!$N$6:$N$205,C57)))*(A57-6*C57)/6))</f>
        <v>0.833026908597465</v>
      </c>
      <c r="K57" s="12" t="n">
        <f aca="false">J57^(-1/B57)-1</f>
        <v>0.042231015626722</v>
      </c>
      <c r="L57" s="12" t="n">
        <f aca="false">(1+K57)^(1/12)-1</f>
        <v>0.00345291619585431</v>
      </c>
    </row>
    <row r="58" customFormat="false" ht="15" hidden="false" customHeight="false" outlineLevel="0" collapsed="false">
      <c r="A58" s="4" t="n">
        <v>54</v>
      </c>
      <c r="B58" s="14" t="n">
        <f aca="false">A58/12</f>
        <v>4.5</v>
      </c>
      <c r="C58" s="15" t="n">
        <f aca="false">INT(A58/6)</f>
        <v>9</v>
      </c>
      <c r="D58" s="16" t="n">
        <f aca="false">IF(C58=0,(1+Dic2025!$G$6)^(-B58),EXP(LN(INDEX(Dic2025!$H$6:$H$205,C58))+(LN(INDEX(Dic2025!$H$6:$H$205,MIN(C58+1,200)))-LN(INDEX(Dic2025!$H$6:$H$205,C58)))*(A58-6*C58)/6))</f>
        <v>0.829773839806654</v>
      </c>
      <c r="E58" s="12" t="n">
        <f aca="false">D58^(-1/B58)-1</f>
        <v>0.0423389025000001</v>
      </c>
      <c r="F58" s="12" t="n">
        <f aca="false">(1+E58)^(1/12)-1</f>
        <v>0.00346157184736939</v>
      </c>
      <c r="G58" s="16" t="n">
        <f aca="false">IF(C58=0,(1+Dic2025!$J$6)^(-B58),EXP(LN(INDEX(Dic2025!$K$6:$K$205,C58))+(LN(INDEX(Dic2025!$K$6:$K$205,MIN(C58+1,200)))-LN(INDEX(Dic2025!$K$6:$K$205,C58)))*(A58-6*C58)/6))</f>
        <v>0.829773839806654</v>
      </c>
      <c r="H58" s="12" t="n">
        <f aca="false">G58^(-1/B58)-1</f>
        <v>0.0423389025000001</v>
      </c>
      <c r="I58" s="12" t="n">
        <f aca="false">(1+H58)^(1/12)-1</f>
        <v>0.00346157184736939</v>
      </c>
      <c r="J58" s="16" t="n">
        <f aca="false">IF(C58=0,(1+Dic2025!$M$6)^(-B58),EXP(LN(INDEX(Dic2025!$N$6:$N$205,C58))+(LN(INDEX(Dic2025!$N$6:$N$205,MIN(C58+1,200)))-LN(INDEX(Dic2025!$N$6:$N$205,C58)))*(A58-6*C58)/6))</f>
        <v>0.829773839806654</v>
      </c>
      <c r="K58" s="12" t="n">
        <f aca="false">J58^(-1/B58)-1</f>
        <v>0.0423389025000001</v>
      </c>
      <c r="L58" s="12" t="n">
        <f aca="false">(1+K58)^(1/12)-1</f>
        <v>0.00346157184736939</v>
      </c>
    </row>
    <row r="59" customFormat="false" ht="15" hidden="false" customHeight="false" outlineLevel="0" collapsed="false">
      <c r="A59" s="4" t="n">
        <v>55</v>
      </c>
      <c r="B59" s="14" t="n">
        <f aca="false">A59/12</f>
        <v>4.58333333333333</v>
      </c>
      <c r="C59" s="15" t="n">
        <f aca="false">INT(A59/6)</f>
        <v>9</v>
      </c>
      <c r="D59" s="16" t="n">
        <f aca="false">IF(C59=0,(1+Dic2025!$G$6)^(-B59),EXP(LN(INDEX(Dic2025!$H$6:$H$205,C59))+(LN(INDEX(Dic2025!$H$6:$H$205,MIN(C59+1,200)))-LN(INDEX(Dic2025!$H$6:$H$205,C59)))*(A59-6*C59)/6))</f>
        <v>0.826506613540993</v>
      </c>
      <c r="E59" s="12" t="n">
        <f aca="false">D59^(-1/B59)-1</f>
        <v>0.042450268452082</v>
      </c>
      <c r="F59" s="12" t="n">
        <f aca="false">(1+E59)^(1/12)-1</f>
        <v>0.00347050576040453</v>
      </c>
      <c r="G59" s="16" t="n">
        <f aca="false">IF(C59=0,(1+Dic2025!$J$6)^(-B59),EXP(LN(INDEX(Dic2025!$K$6:$K$205,C59))+(LN(INDEX(Dic2025!$K$6:$K$205,MIN(C59+1,200)))-LN(INDEX(Dic2025!$K$6:$K$205,C59)))*(A59-6*C59)/6))</f>
        <v>0.826506613540993</v>
      </c>
      <c r="H59" s="12" t="n">
        <f aca="false">G59^(-1/B59)-1</f>
        <v>0.042450268452082</v>
      </c>
      <c r="I59" s="12" t="n">
        <f aca="false">(1+H59)^(1/12)-1</f>
        <v>0.00347050576040453</v>
      </c>
      <c r="J59" s="16" t="n">
        <f aca="false">IF(C59=0,(1+Dic2025!$M$6)^(-B59),EXP(LN(INDEX(Dic2025!$N$6:$N$205,C59))+(LN(INDEX(Dic2025!$N$6:$N$205,MIN(C59+1,200)))-LN(INDEX(Dic2025!$N$6:$N$205,C59)))*(A59-6*C59)/6))</f>
        <v>0.826506613540993</v>
      </c>
      <c r="K59" s="12" t="n">
        <f aca="false">J59^(-1/B59)-1</f>
        <v>0.042450268452082</v>
      </c>
      <c r="L59" s="12" t="n">
        <f aca="false">(1+K59)^(1/12)-1</f>
        <v>0.00347050576040453</v>
      </c>
    </row>
    <row r="60" customFormat="false" ht="15" hidden="false" customHeight="false" outlineLevel="0" collapsed="false">
      <c r="A60" s="4" t="n">
        <v>56</v>
      </c>
      <c r="B60" s="14" t="n">
        <f aca="false">A60/12</f>
        <v>4.66666666666667</v>
      </c>
      <c r="C60" s="15" t="n">
        <f aca="false">INT(A60/6)</f>
        <v>9</v>
      </c>
      <c r="D60" s="16" t="n">
        <f aca="false">IF(C60=0,(1+Dic2025!$G$6)^(-B60),EXP(LN(INDEX(Dic2025!$H$6:$H$205,C60))+(LN(INDEX(Dic2025!$H$6:$H$205,MIN(C60+1,200)))-LN(INDEX(Dic2025!$H$6:$H$205,C60)))*(A60-6*C60)/6))</f>
        <v>0.823252251946353</v>
      </c>
      <c r="E60" s="12" t="n">
        <f aca="false">D60^(-1/B60)-1</f>
        <v>0.0425576683174829</v>
      </c>
      <c r="F60" s="12" t="n">
        <f aca="false">(1+E60)^(1/12)-1</f>
        <v>0.00347912068044609</v>
      </c>
      <c r="G60" s="16" t="n">
        <f aca="false">IF(C60=0,(1+Dic2025!$J$6)^(-B60),EXP(LN(INDEX(Dic2025!$K$6:$K$205,C60))+(LN(INDEX(Dic2025!$K$6:$K$205,MIN(C60+1,200)))-LN(INDEX(Dic2025!$K$6:$K$205,C60)))*(A60-6*C60)/6))</f>
        <v>0.823252251946353</v>
      </c>
      <c r="H60" s="12" t="n">
        <f aca="false">G60^(-1/B60)-1</f>
        <v>0.0425576683174829</v>
      </c>
      <c r="I60" s="12" t="n">
        <f aca="false">(1+H60)^(1/12)-1</f>
        <v>0.00347912068044609</v>
      </c>
      <c r="J60" s="16" t="n">
        <f aca="false">IF(C60=0,(1+Dic2025!$M$6)^(-B60),EXP(LN(INDEX(Dic2025!$N$6:$N$205,C60))+(LN(INDEX(Dic2025!$N$6:$N$205,MIN(C60+1,200)))-LN(INDEX(Dic2025!$N$6:$N$205,C60)))*(A60-6*C60)/6))</f>
        <v>0.823252251946353</v>
      </c>
      <c r="K60" s="12" t="n">
        <f aca="false">J60^(-1/B60)-1</f>
        <v>0.0425576683174829</v>
      </c>
      <c r="L60" s="12" t="n">
        <f aca="false">(1+K60)^(1/12)-1</f>
        <v>0.00347912068044609</v>
      </c>
    </row>
    <row r="61" customFormat="false" ht="15" hidden="false" customHeight="false" outlineLevel="0" collapsed="false">
      <c r="A61" s="4" t="n">
        <v>57</v>
      </c>
      <c r="B61" s="14" t="n">
        <f aca="false">A61/12</f>
        <v>4.75</v>
      </c>
      <c r="C61" s="15" t="n">
        <f aca="false">INT(A61/6)</f>
        <v>9</v>
      </c>
      <c r="D61" s="16" t="n">
        <f aca="false">IF(C61=0,(1+Dic2025!$G$6)^(-B61),EXP(LN(INDEX(Dic2025!$H$6:$H$205,C61))+(LN(INDEX(Dic2025!$H$6:$H$205,MIN(C61+1,200)))-LN(INDEX(Dic2025!$H$6:$H$205,C61)))*(A61-6*C61)/6))</f>
        <v>0.820010704368219</v>
      </c>
      <c r="E61" s="12" t="n">
        <f aca="false">D61^(-1/B61)-1</f>
        <v>0.0426613102560014</v>
      </c>
      <c r="F61" s="12" t="n">
        <f aca="false">(1+E61)^(1/12)-1</f>
        <v>0.00348743339270463</v>
      </c>
      <c r="G61" s="16" t="n">
        <f aca="false">IF(C61=0,(1+Dic2025!$J$6)^(-B61),EXP(LN(INDEX(Dic2025!$K$6:$K$205,C61))+(LN(INDEX(Dic2025!$K$6:$K$205,MIN(C61+1,200)))-LN(INDEX(Dic2025!$K$6:$K$205,C61)))*(A61-6*C61)/6))</f>
        <v>0.820010704368219</v>
      </c>
      <c r="H61" s="12" t="n">
        <f aca="false">G61^(-1/B61)-1</f>
        <v>0.0426613102560014</v>
      </c>
      <c r="I61" s="12" t="n">
        <f aca="false">(1+H61)^(1/12)-1</f>
        <v>0.00348743339270463</v>
      </c>
      <c r="J61" s="16" t="n">
        <f aca="false">IF(C61=0,(1+Dic2025!$M$6)^(-B61),EXP(LN(INDEX(Dic2025!$N$6:$N$205,C61))+(LN(INDEX(Dic2025!$N$6:$N$205,MIN(C61+1,200)))-LN(INDEX(Dic2025!$N$6:$N$205,C61)))*(A61-6*C61)/6))</f>
        <v>0.820010704368219</v>
      </c>
      <c r="K61" s="12" t="n">
        <f aca="false">J61^(-1/B61)-1</f>
        <v>0.0426613102560014</v>
      </c>
      <c r="L61" s="12" t="n">
        <f aca="false">(1+K61)^(1/12)-1</f>
        <v>0.00348743339270463</v>
      </c>
    </row>
    <row r="62" customFormat="false" ht="15" hidden="false" customHeight="false" outlineLevel="0" collapsed="false">
      <c r="A62" s="4" t="n">
        <v>58</v>
      </c>
      <c r="B62" s="14" t="n">
        <f aca="false">A62/12</f>
        <v>4.83333333333333</v>
      </c>
      <c r="C62" s="15" t="n">
        <f aca="false">INT(A62/6)</f>
        <v>9</v>
      </c>
      <c r="D62" s="16" t="n">
        <f aca="false">IF(C62=0,(1+Dic2025!$G$6)^(-B62),EXP(LN(INDEX(Dic2025!$H$6:$H$205,C62))+(LN(INDEX(Dic2025!$H$6:$H$205,MIN(C62+1,200)))-LN(INDEX(Dic2025!$H$6:$H$205,C62)))*(A62-6*C62)/6))</f>
        <v>0.816781920351529</v>
      </c>
      <c r="E62" s="12" t="n">
        <f aca="false">D62^(-1/B62)-1</f>
        <v>0.042761388110935</v>
      </c>
      <c r="F62" s="12" t="n">
        <f aca="false">(1+E62)^(1/12)-1</f>
        <v>0.00349545952505337</v>
      </c>
      <c r="G62" s="16" t="n">
        <f aca="false">IF(C62=0,(1+Dic2025!$J$6)^(-B62),EXP(LN(INDEX(Dic2025!$K$6:$K$205,C62))+(LN(INDEX(Dic2025!$K$6:$K$205,MIN(C62+1,200)))-LN(INDEX(Dic2025!$K$6:$K$205,C62)))*(A62-6*C62)/6))</f>
        <v>0.816781920351529</v>
      </c>
      <c r="H62" s="12" t="n">
        <f aca="false">G62^(-1/B62)-1</f>
        <v>0.042761388110935</v>
      </c>
      <c r="I62" s="12" t="n">
        <f aca="false">(1+H62)^(1/12)-1</f>
        <v>0.00349545952505337</v>
      </c>
      <c r="J62" s="16" t="n">
        <f aca="false">IF(C62=0,(1+Dic2025!$M$6)^(-B62),EXP(LN(INDEX(Dic2025!$N$6:$N$205,C62))+(LN(INDEX(Dic2025!$N$6:$N$205,MIN(C62+1,200)))-LN(INDEX(Dic2025!$N$6:$N$205,C62)))*(A62-6*C62)/6))</f>
        <v>0.816781920351529</v>
      </c>
      <c r="K62" s="12" t="n">
        <f aca="false">J62^(-1/B62)-1</f>
        <v>0.042761388110935</v>
      </c>
      <c r="L62" s="12" t="n">
        <f aca="false">(1+K62)^(1/12)-1</f>
        <v>0.00349545952505337</v>
      </c>
    </row>
    <row r="63" customFormat="false" ht="15" hidden="false" customHeight="false" outlineLevel="0" collapsed="false">
      <c r="A63" s="4" t="n">
        <v>59</v>
      </c>
      <c r="B63" s="14" t="n">
        <f aca="false">A63/12</f>
        <v>4.91666666666667</v>
      </c>
      <c r="C63" s="15" t="n">
        <f aca="false">INT(A63/6)</f>
        <v>9</v>
      </c>
      <c r="D63" s="16" t="n">
        <f aca="false">IF(C63=0,(1+Dic2025!$G$6)^(-B63),EXP(LN(INDEX(Dic2025!$H$6:$H$205,C63))+(LN(INDEX(Dic2025!$H$6:$H$205,MIN(C63+1,200)))-LN(INDEX(Dic2025!$H$6:$H$205,C63)))*(A63-6*C63)/6))</f>
        <v>0.813565849639887</v>
      </c>
      <c r="E63" s="12" t="n">
        <f aca="false">D63^(-1/B63)-1</f>
        <v>0.0428580826190712</v>
      </c>
      <c r="F63" s="12" t="n">
        <f aca="false">(1+E63)^(1/12)-1</f>
        <v>0.00350321364608686</v>
      </c>
      <c r="G63" s="16" t="n">
        <f aca="false">IF(C63=0,(1+Dic2025!$J$6)^(-B63),EXP(LN(INDEX(Dic2025!$K$6:$K$205,C63))+(LN(INDEX(Dic2025!$K$6:$K$205,MIN(C63+1,200)))-LN(INDEX(Dic2025!$K$6:$K$205,C63)))*(A63-6*C63)/6))</f>
        <v>0.813565849639887</v>
      </c>
      <c r="H63" s="12" t="n">
        <f aca="false">G63^(-1/B63)-1</f>
        <v>0.0428580826190712</v>
      </c>
      <c r="I63" s="12" t="n">
        <f aca="false">(1+H63)^(1/12)-1</f>
        <v>0.00350321364608686</v>
      </c>
      <c r="J63" s="16" t="n">
        <f aca="false">IF(C63=0,(1+Dic2025!$M$6)^(-B63),EXP(LN(INDEX(Dic2025!$N$6:$N$205,C63))+(LN(INDEX(Dic2025!$N$6:$N$205,MIN(C63+1,200)))-LN(INDEX(Dic2025!$N$6:$N$205,C63)))*(A63-6*C63)/6))</f>
        <v>0.813565849639887</v>
      </c>
      <c r="K63" s="12" t="n">
        <f aca="false">J63^(-1/B63)-1</f>
        <v>0.0428580826190712</v>
      </c>
      <c r="L63" s="12" t="n">
        <f aca="false">(1+K63)^(1/12)-1</f>
        <v>0.00350321364608686</v>
      </c>
    </row>
    <row r="64" customFormat="false" ht="15" hidden="false" customHeight="false" outlineLevel="0" collapsed="false">
      <c r="A64" s="4" t="n">
        <v>60</v>
      </c>
      <c r="B64" s="14" t="n">
        <f aca="false">A64/12</f>
        <v>5</v>
      </c>
      <c r="C64" s="15" t="n">
        <f aca="false">INT(A64/6)</f>
        <v>10</v>
      </c>
      <c r="D64" s="16" t="n">
        <f aca="false">IF(C64=0,(1+Dic2025!$G$6)^(-B64),EXP(LN(INDEX(Dic2025!$H$6:$H$205,C64))+(LN(INDEX(Dic2025!$H$6:$H$205,MIN(C64+1,200)))-LN(INDEX(Dic2025!$H$6:$H$205,C64)))*(A64-6*C64)/6))</f>
        <v>0.810362442174778</v>
      </c>
      <c r="E64" s="12" t="n">
        <f aca="false">D64^(-1/B64)-1</f>
        <v>0.0429515624999999</v>
      </c>
      <c r="F64" s="12" t="n">
        <f aca="false">(1+E64)^(1/12)-1</f>
        <v>0.00351070935337372</v>
      </c>
      <c r="G64" s="16" t="n">
        <f aca="false">IF(C64=0,(1+Dic2025!$J$6)^(-B64),EXP(LN(INDEX(Dic2025!$K$6:$K$205,C64))+(LN(INDEX(Dic2025!$K$6:$K$205,MIN(C64+1,200)))-LN(INDEX(Dic2025!$K$6:$K$205,C64)))*(A64-6*C64)/6))</f>
        <v>0.810362442174778</v>
      </c>
      <c r="H64" s="12" t="n">
        <f aca="false">G64^(-1/B64)-1</f>
        <v>0.0429515624999999</v>
      </c>
      <c r="I64" s="12" t="n">
        <f aca="false">(1+H64)^(1/12)-1</f>
        <v>0.00351070935337372</v>
      </c>
      <c r="J64" s="16" t="n">
        <f aca="false">IF(C64=0,(1+Dic2025!$M$6)^(-B64),EXP(LN(INDEX(Dic2025!$N$6:$N$205,C64))+(LN(INDEX(Dic2025!$N$6:$N$205,MIN(C64+1,200)))-LN(INDEX(Dic2025!$N$6:$N$205,C64)))*(A64-6*C64)/6))</f>
        <v>0.810362442174778</v>
      </c>
      <c r="K64" s="12" t="n">
        <f aca="false">J64^(-1/B64)-1</f>
        <v>0.0429515624999999</v>
      </c>
      <c r="L64" s="12" t="n">
        <f aca="false">(1+K64)^(1/12)-1</f>
        <v>0.00351070935337372</v>
      </c>
    </row>
    <row r="65" customFormat="false" ht="15" hidden="false" customHeight="false" outlineLevel="0" collapsed="false">
      <c r="A65" s="4" t="n">
        <v>61</v>
      </c>
      <c r="B65" s="14" t="n">
        <f aca="false">A65/12</f>
        <v>5.08333333333333</v>
      </c>
      <c r="C65" s="15" t="n">
        <f aca="false">INT(A65/6)</f>
        <v>10</v>
      </c>
      <c r="D65" s="16" t="n">
        <f aca="false">IF(C65=0,(1+Dic2025!$G$6)^(-B65),EXP(LN(INDEX(Dic2025!$H$6:$H$205,C65))+(LN(INDEX(Dic2025!$H$6:$H$205,MIN(C65+1,200)))-LN(INDEX(Dic2025!$H$6:$H$205,C65)))*(A65-6*C65)/6))</f>
        <v>0.807020312656968</v>
      </c>
      <c r="E65" s="12" t="n">
        <f aca="false">D65^(-1/B65)-1</f>
        <v>0.0430804602646706</v>
      </c>
      <c r="F65" s="12" t="n">
        <f aca="false">(1+E65)^(1/12)-1</f>
        <v>0.0035210440423965</v>
      </c>
      <c r="G65" s="16" t="n">
        <f aca="false">IF(C65=0,(1+Dic2025!$J$6)^(-B65),EXP(LN(INDEX(Dic2025!$K$6:$K$205,C65))+(LN(INDEX(Dic2025!$K$6:$K$205,MIN(C65+1,200)))-LN(INDEX(Dic2025!$K$6:$K$205,C65)))*(A65-6*C65)/6))</f>
        <v>0.807020312656968</v>
      </c>
      <c r="H65" s="12" t="n">
        <f aca="false">G65^(-1/B65)-1</f>
        <v>0.0430804602646706</v>
      </c>
      <c r="I65" s="12" t="n">
        <f aca="false">(1+H65)^(1/12)-1</f>
        <v>0.0035210440423965</v>
      </c>
      <c r="J65" s="16" t="n">
        <f aca="false">IF(C65=0,(1+Dic2025!$M$6)^(-B65),EXP(LN(INDEX(Dic2025!$N$6:$N$205,C65))+(LN(INDEX(Dic2025!$N$6:$N$205,MIN(C65+1,200)))-LN(INDEX(Dic2025!$N$6:$N$205,C65)))*(A65-6*C65)/6))</f>
        <v>0.807020312656968</v>
      </c>
      <c r="K65" s="12" t="n">
        <f aca="false">J65^(-1/B65)-1</f>
        <v>0.0430804602646706</v>
      </c>
      <c r="L65" s="12" t="n">
        <f aca="false">(1+K65)^(1/12)-1</f>
        <v>0.0035210440423965</v>
      </c>
    </row>
    <row r="66" customFormat="false" ht="15" hidden="false" customHeight="false" outlineLevel="0" collapsed="false">
      <c r="A66" s="4" t="n">
        <v>62</v>
      </c>
      <c r="B66" s="14" t="n">
        <f aca="false">A66/12</f>
        <v>5.16666666666667</v>
      </c>
      <c r="C66" s="15" t="n">
        <f aca="false">INT(A66/6)</f>
        <v>10</v>
      </c>
      <c r="D66" s="16" t="n">
        <f aca="false">IF(C66=0,(1+Dic2025!$G$6)^(-B66),EXP(LN(INDEX(Dic2025!$H$6:$H$205,C66))+(LN(INDEX(Dic2025!$H$6:$H$205,MIN(C66+1,200)))-LN(INDEX(Dic2025!$H$6:$H$205,C66)))*(A66-6*C66)/6))</f>
        <v>0.803691966884716</v>
      </c>
      <c r="E66" s="12" t="n">
        <f aca="false">D66^(-1/B66)-1</f>
        <v>0.0432052152047735</v>
      </c>
      <c r="F66" s="12" t="n">
        <f aca="false">(1+E66)^(1/12)-1</f>
        <v>0.00353104545569161</v>
      </c>
      <c r="G66" s="16" t="n">
        <f aca="false">IF(C66=0,(1+Dic2025!$J$6)^(-B66),EXP(LN(INDEX(Dic2025!$K$6:$K$205,C66))+(LN(INDEX(Dic2025!$K$6:$K$205,MIN(C66+1,200)))-LN(INDEX(Dic2025!$K$6:$K$205,C66)))*(A66-6*C66)/6))</f>
        <v>0.803691966884716</v>
      </c>
      <c r="H66" s="12" t="n">
        <f aca="false">G66^(-1/B66)-1</f>
        <v>0.0432052152047735</v>
      </c>
      <c r="I66" s="12" t="n">
        <f aca="false">(1+H66)^(1/12)-1</f>
        <v>0.00353104545569161</v>
      </c>
      <c r="J66" s="16" t="n">
        <f aca="false">IF(C66=0,(1+Dic2025!$M$6)^(-B66),EXP(LN(INDEX(Dic2025!$N$6:$N$205,C66))+(LN(INDEX(Dic2025!$N$6:$N$205,MIN(C66+1,200)))-LN(INDEX(Dic2025!$N$6:$N$205,C66)))*(A66-6*C66)/6))</f>
        <v>0.803691966884716</v>
      </c>
      <c r="K66" s="12" t="n">
        <f aca="false">J66^(-1/B66)-1</f>
        <v>0.0432052152047735</v>
      </c>
      <c r="L66" s="12" t="n">
        <f aca="false">(1+K66)^(1/12)-1</f>
        <v>0.00353104545569161</v>
      </c>
    </row>
    <row r="67" customFormat="false" ht="15" hidden="false" customHeight="false" outlineLevel="0" collapsed="false">
      <c r="A67" s="4" t="n">
        <v>63</v>
      </c>
      <c r="B67" s="14" t="n">
        <f aca="false">A67/12</f>
        <v>5.25</v>
      </c>
      <c r="C67" s="15" t="n">
        <f aca="false">INT(A67/6)</f>
        <v>10</v>
      </c>
      <c r="D67" s="16" t="n">
        <f aca="false">IF(C67=0,(1+Dic2025!$G$6)^(-B67),EXP(LN(INDEX(Dic2025!$H$6:$H$205,C67))+(LN(INDEX(Dic2025!$H$6:$H$205,MIN(C67+1,200)))-LN(INDEX(Dic2025!$H$6:$H$205,C67)))*(A67-6*C67)/6))</f>
        <v>0.800377348010544</v>
      </c>
      <c r="E67" s="12" t="n">
        <f aca="false">D67^(-1/B67)-1</f>
        <v>0.0433260238885564</v>
      </c>
      <c r="F67" s="12" t="n">
        <f aca="false">(1+E67)^(1/12)-1</f>
        <v>0.0035407294587837</v>
      </c>
      <c r="G67" s="16" t="n">
        <f aca="false">IF(C67=0,(1+Dic2025!$J$6)^(-B67),EXP(LN(INDEX(Dic2025!$K$6:$K$205,C67))+(LN(INDEX(Dic2025!$K$6:$K$205,MIN(C67+1,200)))-LN(INDEX(Dic2025!$K$6:$K$205,C67)))*(A67-6*C67)/6))</f>
        <v>0.800377348010544</v>
      </c>
      <c r="H67" s="12" t="n">
        <f aca="false">G67^(-1/B67)-1</f>
        <v>0.0433260238885564</v>
      </c>
      <c r="I67" s="12" t="n">
        <f aca="false">(1+H67)^(1/12)-1</f>
        <v>0.0035407294587837</v>
      </c>
      <c r="J67" s="16" t="n">
        <f aca="false">IF(C67=0,(1+Dic2025!$M$6)^(-B67),EXP(LN(INDEX(Dic2025!$N$6:$N$205,C67))+(LN(INDEX(Dic2025!$N$6:$N$205,MIN(C67+1,200)))-LN(INDEX(Dic2025!$N$6:$N$205,C67)))*(A67-6*C67)/6))</f>
        <v>0.800377348010544</v>
      </c>
      <c r="K67" s="12" t="n">
        <f aca="false">J67^(-1/B67)-1</f>
        <v>0.0433260238885564</v>
      </c>
      <c r="L67" s="12" t="n">
        <f aca="false">(1+K67)^(1/12)-1</f>
        <v>0.0035407294587837</v>
      </c>
    </row>
    <row r="68" customFormat="false" ht="15" hidden="false" customHeight="false" outlineLevel="0" collapsed="false">
      <c r="A68" s="4" t="n">
        <v>64</v>
      </c>
      <c r="B68" s="14" t="n">
        <f aca="false">A68/12</f>
        <v>5.33333333333333</v>
      </c>
      <c r="C68" s="15" t="n">
        <f aca="false">INT(A68/6)</f>
        <v>10</v>
      </c>
      <c r="D68" s="16" t="n">
        <f aca="false">IF(C68=0,(1+Dic2025!$G$6)^(-B68),EXP(LN(INDEX(Dic2025!$H$6:$H$205,C68))+(LN(INDEX(Dic2025!$H$6:$H$205,MIN(C68+1,200)))-LN(INDEX(Dic2025!$H$6:$H$205,C68)))*(A68-6*C68)/6))</f>
        <v>0.797076399421424</v>
      </c>
      <c r="E68" s="12" t="n">
        <f aca="false">D68^(-1/B68)-1</f>
        <v>0.0434430706422766</v>
      </c>
      <c r="F68" s="12" t="n">
        <f aca="false">(1+E68)^(1/12)-1</f>
        <v>0.00355011092589441</v>
      </c>
      <c r="G68" s="16" t="n">
        <f aca="false">IF(C68=0,(1+Dic2025!$J$6)^(-B68),EXP(LN(INDEX(Dic2025!$K$6:$K$205,C68))+(LN(INDEX(Dic2025!$K$6:$K$205,MIN(C68+1,200)))-LN(INDEX(Dic2025!$K$6:$K$205,C68)))*(A68-6*C68)/6))</f>
        <v>0.797076399421424</v>
      </c>
      <c r="H68" s="12" t="n">
        <f aca="false">G68^(-1/B68)-1</f>
        <v>0.0434430706422766</v>
      </c>
      <c r="I68" s="12" t="n">
        <f aca="false">(1+H68)^(1/12)-1</f>
        <v>0.00355011092589441</v>
      </c>
      <c r="J68" s="16" t="n">
        <f aca="false">IF(C68=0,(1+Dic2025!$M$6)^(-B68),EXP(LN(INDEX(Dic2025!$N$6:$N$205,C68))+(LN(INDEX(Dic2025!$N$6:$N$205,MIN(C68+1,200)))-LN(INDEX(Dic2025!$N$6:$N$205,C68)))*(A68-6*C68)/6))</f>
        <v>0.797076399421424</v>
      </c>
      <c r="K68" s="12" t="n">
        <f aca="false">J68^(-1/B68)-1</f>
        <v>0.0434430706422766</v>
      </c>
      <c r="L68" s="12" t="n">
        <f aca="false">(1+K68)^(1/12)-1</f>
        <v>0.00355011092589441</v>
      </c>
    </row>
    <row r="69" customFormat="false" ht="15" hidden="false" customHeight="false" outlineLevel="0" collapsed="false">
      <c r="A69" s="4" t="n">
        <v>65</v>
      </c>
      <c r="B69" s="14" t="n">
        <f aca="false">A69/12</f>
        <v>5.41666666666667</v>
      </c>
      <c r="C69" s="15" t="n">
        <f aca="false">INT(A69/6)</f>
        <v>10</v>
      </c>
      <c r="D69" s="16" t="n">
        <f aca="false">IF(C69=0,(1+Dic2025!$G$6)^(-B69),EXP(LN(INDEX(Dic2025!$H$6:$H$205,C69))+(LN(INDEX(Dic2025!$H$6:$H$205,MIN(C69+1,200)))-LN(INDEX(Dic2025!$H$6:$H$205,C69)))*(A69-6*C69)/6))</f>
        <v>0.793789064737813</v>
      </c>
      <c r="E69" s="12" t="n">
        <f aca="false">D69^(-1/B69)-1</f>
        <v>0.0435565284886021</v>
      </c>
      <c r="F69" s="12" t="n">
        <f aca="false">(1+E69)^(1/12)-1</f>
        <v>0.00355920381617358</v>
      </c>
      <c r="G69" s="16" t="n">
        <f aca="false">IF(C69=0,(1+Dic2025!$J$6)^(-B69),EXP(LN(INDEX(Dic2025!$K$6:$K$205,C69))+(LN(INDEX(Dic2025!$K$6:$K$205,MIN(C69+1,200)))-LN(INDEX(Dic2025!$K$6:$K$205,C69)))*(A69-6*C69)/6))</f>
        <v>0.793789064737813</v>
      </c>
      <c r="H69" s="12" t="n">
        <f aca="false">G69^(-1/B69)-1</f>
        <v>0.0435565284886021</v>
      </c>
      <c r="I69" s="12" t="n">
        <f aca="false">(1+H69)^(1/12)-1</f>
        <v>0.00355920381617358</v>
      </c>
      <c r="J69" s="16" t="n">
        <f aca="false">IF(C69=0,(1+Dic2025!$M$6)^(-B69),EXP(LN(INDEX(Dic2025!$N$6:$N$205,C69))+(LN(INDEX(Dic2025!$N$6:$N$205,MIN(C69+1,200)))-LN(INDEX(Dic2025!$N$6:$N$205,C69)))*(A69-6*C69)/6))</f>
        <v>0.793789064737813</v>
      </c>
      <c r="K69" s="12" t="n">
        <f aca="false">J69^(-1/B69)-1</f>
        <v>0.0435565284886021</v>
      </c>
      <c r="L69" s="12" t="n">
        <f aca="false">(1+K69)^(1/12)-1</f>
        <v>0.00355920381617358</v>
      </c>
    </row>
    <row r="70" customFormat="false" ht="15" hidden="false" customHeight="false" outlineLevel="0" collapsed="false">
      <c r="A70" s="4" t="n">
        <v>66</v>
      </c>
      <c r="B70" s="14" t="n">
        <f aca="false">A70/12</f>
        <v>5.5</v>
      </c>
      <c r="C70" s="15" t="n">
        <f aca="false">INT(A70/6)</f>
        <v>11</v>
      </c>
      <c r="D70" s="16" t="n">
        <f aca="false">IF(C70=0,(1+Dic2025!$G$6)^(-B70),EXP(LN(INDEX(Dic2025!$H$6:$H$205,C70))+(LN(INDEX(Dic2025!$H$6:$H$205,MIN(C70+1,200)))-LN(INDEX(Dic2025!$H$6:$H$205,C70)))*(A70-6*C70)/6))</f>
        <v>0.790515287812693</v>
      </c>
      <c r="E70" s="12" t="n">
        <f aca="false">D70^(-1/B70)-1</f>
        <v>0.0436665600000001</v>
      </c>
      <c r="F70" s="12" t="n">
        <f aca="false">(1+E70)^(1/12)-1</f>
        <v>0.00356802124300426</v>
      </c>
      <c r="G70" s="16" t="n">
        <f aca="false">IF(C70=0,(1+Dic2025!$J$6)^(-B70),EXP(LN(INDEX(Dic2025!$K$6:$K$205,C70))+(LN(INDEX(Dic2025!$K$6:$K$205,MIN(C70+1,200)))-LN(INDEX(Dic2025!$K$6:$K$205,C70)))*(A70-6*C70)/6))</f>
        <v>0.790515287812693</v>
      </c>
      <c r="H70" s="12" t="n">
        <f aca="false">G70^(-1/B70)-1</f>
        <v>0.0436665600000001</v>
      </c>
      <c r="I70" s="12" t="n">
        <f aca="false">(1+H70)^(1/12)-1</f>
        <v>0.00356802124300426</v>
      </c>
      <c r="J70" s="16" t="n">
        <f aca="false">IF(C70=0,(1+Dic2025!$M$6)^(-B70),EXP(LN(INDEX(Dic2025!$N$6:$N$205,C70))+(LN(INDEX(Dic2025!$N$6:$N$205,MIN(C70+1,200)))-LN(INDEX(Dic2025!$N$6:$N$205,C70)))*(A70-6*C70)/6))</f>
        <v>0.790515287812693</v>
      </c>
      <c r="K70" s="12" t="n">
        <f aca="false">J70^(-1/B70)-1</f>
        <v>0.0436665600000001</v>
      </c>
      <c r="L70" s="12" t="n">
        <f aca="false">(1+K70)^(1/12)-1</f>
        <v>0.00356802124300426</v>
      </c>
    </row>
    <row r="71" customFormat="false" ht="15" hidden="false" customHeight="false" outlineLevel="0" collapsed="false">
      <c r="A71" s="4" t="n">
        <v>67</v>
      </c>
      <c r="B71" s="14" t="n">
        <f aca="false">A71/12</f>
        <v>5.58333333333333</v>
      </c>
      <c r="C71" s="15" t="n">
        <f aca="false">INT(A71/6)</f>
        <v>11</v>
      </c>
      <c r="D71" s="16" t="n">
        <f aca="false">IF(C71=0,(1+Dic2025!$G$6)^(-B71),EXP(LN(INDEX(Dic2025!$H$6:$H$205,C71))+(LN(INDEX(Dic2025!$H$6:$H$205,MIN(C71+1,200)))-LN(INDEX(Dic2025!$H$6:$H$205,C71)))*(A71-6*C71)/6))</f>
        <v>0.787088262607482</v>
      </c>
      <c r="E71" s="12" t="n">
        <f aca="false">D71^(-1/B71)-1</f>
        <v>0.0438129201197788</v>
      </c>
      <c r="F71" s="12" t="n">
        <f aca="false">(1+E71)^(1/12)-1</f>
        <v>0.00357974855941934</v>
      </c>
      <c r="G71" s="16" t="n">
        <f aca="false">IF(C71=0,(1+Dic2025!$J$6)^(-B71),EXP(LN(INDEX(Dic2025!$K$6:$K$205,C71))+(LN(INDEX(Dic2025!$K$6:$K$205,MIN(C71+1,200)))-LN(INDEX(Dic2025!$K$6:$K$205,C71)))*(A71-6*C71)/6))</f>
        <v>0.787088262607482</v>
      </c>
      <c r="H71" s="12" t="n">
        <f aca="false">G71^(-1/B71)-1</f>
        <v>0.0438129201197788</v>
      </c>
      <c r="I71" s="12" t="n">
        <f aca="false">(1+H71)^(1/12)-1</f>
        <v>0.00357974855941934</v>
      </c>
      <c r="J71" s="16" t="n">
        <f aca="false">IF(C71=0,(1+Dic2025!$M$6)^(-B71),EXP(LN(INDEX(Dic2025!$N$6:$N$205,C71))+(LN(INDEX(Dic2025!$N$6:$N$205,MIN(C71+1,200)))-LN(INDEX(Dic2025!$N$6:$N$205,C71)))*(A71-6*C71)/6))</f>
        <v>0.787088262607482</v>
      </c>
      <c r="K71" s="12" t="n">
        <f aca="false">J71^(-1/B71)-1</f>
        <v>0.0438129201197788</v>
      </c>
      <c r="L71" s="12" t="n">
        <f aca="false">(1+K71)^(1/12)-1</f>
        <v>0.00357974855941934</v>
      </c>
    </row>
    <row r="72" customFormat="false" ht="15" hidden="false" customHeight="false" outlineLevel="0" collapsed="false">
      <c r="A72" s="4" t="n">
        <v>68</v>
      </c>
      <c r="B72" s="14" t="n">
        <f aca="false">A72/12</f>
        <v>5.66666666666667</v>
      </c>
      <c r="C72" s="15" t="n">
        <f aca="false">INT(A72/6)</f>
        <v>11</v>
      </c>
      <c r="D72" s="16" t="n">
        <f aca="false">IF(C72=0,(1+Dic2025!$G$6)^(-B72),EXP(LN(INDEX(Dic2025!$H$6:$H$205,C72))+(LN(INDEX(Dic2025!$H$6:$H$205,MIN(C72+1,200)))-LN(INDEX(Dic2025!$H$6:$H$205,C72)))*(A72-6*C72)/6))</f>
        <v>0.783676094169672</v>
      </c>
      <c r="E72" s="12" t="n">
        <f aca="false">D72^(-1/B72)-1</f>
        <v>0.0439549951585141</v>
      </c>
      <c r="F72" s="12" t="n">
        <f aca="false">(1+E72)^(1/12)-1</f>
        <v>0.00359113108581766</v>
      </c>
      <c r="G72" s="16" t="n">
        <f aca="false">IF(C72=0,(1+Dic2025!$J$6)^(-B72),EXP(LN(INDEX(Dic2025!$K$6:$K$205,C72))+(LN(INDEX(Dic2025!$K$6:$K$205,MIN(C72+1,200)))-LN(INDEX(Dic2025!$K$6:$K$205,C72)))*(A72-6*C72)/6))</f>
        <v>0.783676094169672</v>
      </c>
      <c r="H72" s="12" t="n">
        <f aca="false">G72^(-1/B72)-1</f>
        <v>0.0439549951585141</v>
      </c>
      <c r="I72" s="12" t="n">
        <f aca="false">(1+H72)^(1/12)-1</f>
        <v>0.00359113108581766</v>
      </c>
      <c r="J72" s="16" t="n">
        <f aca="false">IF(C72=0,(1+Dic2025!$M$6)^(-B72),EXP(LN(INDEX(Dic2025!$N$6:$N$205,C72))+(LN(INDEX(Dic2025!$N$6:$N$205,MIN(C72+1,200)))-LN(INDEX(Dic2025!$N$6:$N$205,C72)))*(A72-6*C72)/6))</f>
        <v>0.783676094169672</v>
      </c>
      <c r="K72" s="12" t="n">
        <f aca="false">J72^(-1/B72)-1</f>
        <v>0.0439549951585141</v>
      </c>
      <c r="L72" s="12" t="n">
        <f aca="false">(1+K72)^(1/12)-1</f>
        <v>0.00359113108581766</v>
      </c>
    </row>
    <row r="73" customFormat="false" ht="15" hidden="false" customHeight="false" outlineLevel="0" collapsed="false">
      <c r="A73" s="4" t="n">
        <v>69</v>
      </c>
      <c r="B73" s="14" t="n">
        <f aca="false">A73/12</f>
        <v>5.75</v>
      </c>
      <c r="C73" s="15" t="n">
        <f aca="false">INT(A73/6)</f>
        <v>11</v>
      </c>
      <c r="D73" s="16" t="n">
        <f aca="false">IF(C73=0,(1+Dic2025!$G$6)^(-B73),EXP(LN(INDEX(Dic2025!$H$6:$H$205,C73))+(LN(INDEX(Dic2025!$H$6:$H$205,MIN(C73+1,200)))-LN(INDEX(Dic2025!$H$6:$H$205,C73)))*(A73-6*C73)/6))</f>
        <v>0.780278718092517</v>
      </c>
      <c r="E73" s="12" t="n">
        <f aca="false">D73^(-1/B73)-1</f>
        <v>0.0440929705855584</v>
      </c>
      <c r="F73" s="12" t="n">
        <f aca="false">(1+E73)^(1/12)-1</f>
        <v>0.00360218380745558</v>
      </c>
      <c r="G73" s="16" t="n">
        <f aca="false">IF(C73=0,(1+Dic2025!$J$6)^(-B73),EXP(LN(INDEX(Dic2025!$K$6:$K$205,C73))+(LN(INDEX(Dic2025!$K$6:$K$205,MIN(C73+1,200)))-LN(INDEX(Dic2025!$K$6:$K$205,C73)))*(A73-6*C73)/6))</f>
        <v>0.780278718092517</v>
      </c>
      <c r="H73" s="12" t="n">
        <f aca="false">G73^(-1/B73)-1</f>
        <v>0.0440929705855584</v>
      </c>
      <c r="I73" s="12" t="n">
        <f aca="false">(1+H73)^(1/12)-1</f>
        <v>0.00360218380745558</v>
      </c>
      <c r="J73" s="16" t="n">
        <f aca="false">IF(C73=0,(1+Dic2025!$M$6)^(-B73),EXP(LN(INDEX(Dic2025!$N$6:$N$205,C73))+(LN(INDEX(Dic2025!$N$6:$N$205,MIN(C73+1,200)))-LN(INDEX(Dic2025!$N$6:$N$205,C73)))*(A73-6*C73)/6))</f>
        <v>0.780278718092517</v>
      </c>
      <c r="K73" s="12" t="n">
        <f aca="false">J73^(-1/B73)-1</f>
        <v>0.0440929705855584</v>
      </c>
      <c r="L73" s="12" t="n">
        <f aca="false">(1+K73)^(1/12)-1</f>
        <v>0.00360218380745558</v>
      </c>
    </row>
    <row r="74" customFormat="false" ht="15" hidden="false" customHeight="false" outlineLevel="0" collapsed="false">
      <c r="A74" s="4" t="n">
        <v>70</v>
      </c>
      <c r="B74" s="14" t="n">
        <f aca="false">A74/12</f>
        <v>5.83333333333333</v>
      </c>
      <c r="C74" s="15" t="n">
        <f aca="false">INT(A74/6)</f>
        <v>11</v>
      </c>
      <c r="D74" s="16" t="n">
        <f aca="false">IF(C74=0,(1+Dic2025!$G$6)^(-B74),EXP(LN(INDEX(Dic2025!$H$6:$H$205,C74))+(LN(INDEX(Dic2025!$H$6:$H$205,MIN(C74+1,200)))-LN(INDEX(Dic2025!$H$6:$H$205,C74)))*(A74-6*C74)/6))</f>
        <v>0.776896070248486</v>
      </c>
      <c r="E74" s="12" t="n">
        <f aca="false">D74^(-1/B74)-1</f>
        <v>0.0442270213191065</v>
      </c>
      <c r="F74" s="12" t="n">
        <f aca="false">(1+E74)^(1/12)-1</f>
        <v>0.0036129208536051</v>
      </c>
      <c r="G74" s="16" t="n">
        <f aca="false">IF(C74=0,(1+Dic2025!$J$6)^(-B74),EXP(LN(INDEX(Dic2025!$K$6:$K$205,C74))+(LN(INDEX(Dic2025!$K$6:$K$205,MIN(C74+1,200)))-LN(INDEX(Dic2025!$K$6:$K$205,C74)))*(A74-6*C74)/6))</f>
        <v>0.776896070248486</v>
      </c>
      <c r="H74" s="12" t="n">
        <f aca="false">G74^(-1/B74)-1</f>
        <v>0.0442270213191065</v>
      </c>
      <c r="I74" s="12" t="n">
        <f aca="false">(1+H74)^(1/12)-1</f>
        <v>0.0036129208536051</v>
      </c>
      <c r="J74" s="16" t="n">
        <f aca="false">IF(C74=0,(1+Dic2025!$M$6)^(-B74),EXP(LN(INDEX(Dic2025!$N$6:$N$205,C74))+(LN(INDEX(Dic2025!$N$6:$N$205,MIN(C74+1,200)))-LN(INDEX(Dic2025!$N$6:$N$205,C74)))*(A74-6*C74)/6))</f>
        <v>0.776896070248486</v>
      </c>
      <c r="K74" s="12" t="n">
        <f aca="false">J74^(-1/B74)-1</f>
        <v>0.0442270213191065</v>
      </c>
      <c r="L74" s="12" t="n">
        <f aca="false">(1+K74)^(1/12)-1</f>
        <v>0.0036129208536051</v>
      </c>
    </row>
    <row r="75" customFormat="false" ht="15" hidden="false" customHeight="false" outlineLevel="0" collapsed="false">
      <c r="A75" s="4" t="n">
        <v>71</v>
      </c>
      <c r="B75" s="14" t="n">
        <f aca="false">A75/12</f>
        <v>5.91666666666667</v>
      </c>
      <c r="C75" s="15" t="n">
        <f aca="false">INT(A75/6)</f>
        <v>11</v>
      </c>
      <c r="D75" s="16" t="n">
        <f aca="false">IF(C75=0,(1+Dic2025!$G$6)^(-B75),EXP(LN(INDEX(Dic2025!$H$6:$H$205,C75))+(LN(INDEX(Dic2025!$H$6:$H$205,MIN(C75+1,200)))-LN(INDEX(Dic2025!$H$6:$H$205,C75)))*(A75-6*C75)/6))</f>
        <v>0.773528086788056</v>
      </c>
      <c r="E75" s="12" t="n">
        <f aca="false">D75^(-1/B75)-1</f>
        <v>0.0443573124659749</v>
      </c>
      <c r="F75" s="12" t="n">
        <f aca="false">(1+E75)^(1/12)-1</f>
        <v>0.00362335555781268</v>
      </c>
      <c r="G75" s="16" t="n">
        <f aca="false">IF(C75=0,(1+Dic2025!$J$6)^(-B75),EXP(LN(INDEX(Dic2025!$K$6:$K$205,C75))+(LN(INDEX(Dic2025!$K$6:$K$205,MIN(C75+1,200)))-LN(INDEX(Dic2025!$K$6:$K$205,C75)))*(A75-6*C75)/6))</f>
        <v>0.773528086788056</v>
      </c>
      <c r="H75" s="12" t="n">
        <f aca="false">G75^(-1/B75)-1</f>
        <v>0.0443573124659749</v>
      </c>
      <c r="I75" s="12" t="n">
        <f aca="false">(1+H75)^(1/12)-1</f>
        <v>0.00362335555781268</v>
      </c>
      <c r="J75" s="16" t="n">
        <f aca="false">IF(C75=0,(1+Dic2025!$M$6)^(-B75),EXP(LN(INDEX(Dic2025!$N$6:$N$205,C75))+(LN(INDEX(Dic2025!$N$6:$N$205,MIN(C75+1,200)))-LN(INDEX(Dic2025!$N$6:$N$205,C75)))*(A75-6*C75)/6))</f>
        <v>0.773528086788056</v>
      </c>
      <c r="K75" s="12" t="n">
        <f aca="false">J75^(-1/B75)-1</f>
        <v>0.0443573124659749</v>
      </c>
      <c r="L75" s="12" t="n">
        <f aca="false">(1+K75)^(1/12)-1</f>
        <v>0.00362335555781268</v>
      </c>
    </row>
    <row r="76" customFormat="false" ht="15" hidden="false" customHeight="false" outlineLevel="0" collapsed="false">
      <c r="A76" s="4" t="n">
        <v>72</v>
      </c>
      <c r="B76" s="14" t="n">
        <f aca="false">A76/12</f>
        <v>6</v>
      </c>
      <c r="C76" s="15" t="n">
        <f aca="false">INT(A76/6)</f>
        <v>12</v>
      </c>
      <c r="D76" s="16" t="n">
        <f aca="false">IF(C76=0,(1+Dic2025!$G$6)^(-B76),EXP(LN(INDEX(Dic2025!$H$6:$H$205,C76))+(LN(INDEX(Dic2025!$H$6:$H$205,MIN(C76+1,200)))-LN(INDEX(Dic2025!$H$6:$H$205,C76)))*(A76-6*C76)/6))</f>
        <v>0.770174704138499</v>
      </c>
      <c r="E76" s="12" t="n">
        <f aca="false">D76^(-1/B76)-1</f>
        <v>0.044484</v>
      </c>
      <c r="F76" s="12" t="n">
        <f aca="false">(1+E76)^(1/12)-1</f>
        <v>0.00363350051313782</v>
      </c>
      <c r="G76" s="16" t="n">
        <f aca="false">IF(C76=0,(1+Dic2025!$J$6)^(-B76),EXP(LN(INDEX(Dic2025!$K$6:$K$205,C76))+(LN(INDEX(Dic2025!$K$6:$K$205,MIN(C76+1,200)))-LN(INDEX(Dic2025!$K$6:$K$205,C76)))*(A76-6*C76)/6))</f>
        <v>0.770174704138499</v>
      </c>
      <c r="H76" s="12" t="n">
        <f aca="false">G76^(-1/B76)-1</f>
        <v>0.044484</v>
      </c>
      <c r="I76" s="12" t="n">
        <f aca="false">(1+H76)^(1/12)-1</f>
        <v>0.00363350051313782</v>
      </c>
      <c r="J76" s="16" t="n">
        <f aca="false">IF(C76=0,(1+Dic2025!$M$6)^(-B76),EXP(LN(INDEX(Dic2025!$N$6:$N$205,C76))+(LN(INDEX(Dic2025!$N$6:$N$205,MIN(C76+1,200)))-LN(INDEX(Dic2025!$N$6:$N$205,C76)))*(A76-6*C76)/6))</f>
        <v>0.770174704138499</v>
      </c>
      <c r="K76" s="12" t="n">
        <f aca="false">J76^(-1/B76)-1</f>
        <v>0.044484</v>
      </c>
      <c r="L76" s="12" t="n">
        <f aca="false">(1+K76)^(1/12)-1</f>
        <v>0.00363350051313782</v>
      </c>
    </row>
    <row r="77" customFormat="false" ht="15" hidden="false" customHeight="false" outlineLevel="0" collapsed="false">
      <c r="A77" s="4" t="n">
        <v>73</v>
      </c>
      <c r="B77" s="14" t="n">
        <f aca="false">A77/12</f>
        <v>6.08333333333333</v>
      </c>
      <c r="C77" s="15" t="n">
        <f aca="false">INT(A77/6)</f>
        <v>12</v>
      </c>
      <c r="D77" s="16" t="n">
        <f aca="false">IF(C77=0,(1+Dic2025!$G$6)^(-B77),EXP(LN(INDEX(Dic2025!$H$6:$H$205,C77))+(LN(INDEX(Dic2025!$H$6:$H$205,MIN(C77+1,200)))-LN(INDEX(Dic2025!$H$6:$H$205,C77)))*(A77-6*C77)/6))</f>
        <v>0.766817306127889</v>
      </c>
      <c r="E77" s="12" t="n">
        <f aca="false">D77^(-1/B77)-1</f>
        <v>0.044611385957317</v>
      </c>
      <c r="F77" s="12" t="n">
        <f aca="false">(1+E77)^(1/12)-1</f>
        <v>0.00364370025995386</v>
      </c>
      <c r="G77" s="16" t="n">
        <f aca="false">IF(C77=0,(1+Dic2025!$J$6)^(-B77),EXP(LN(INDEX(Dic2025!$K$6:$K$205,C77))+(LN(INDEX(Dic2025!$K$6:$K$205,MIN(C77+1,200)))-LN(INDEX(Dic2025!$K$6:$K$205,C77)))*(A77-6*C77)/6))</f>
        <v>0.766817306127889</v>
      </c>
      <c r="H77" s="12" t="n">
        <f aca="false">G77^(-1/B77)-1</f>
        <v>0.044611385957317</v>
      </c>
      <c r="I77" s="12" t="n">
        <f aca="false">(1+H77)^(1/12)-1</f>
        <v>0.00364370025995386</v>
      </c>
      <c r="J77" s="16" t="n">
        <f aca="false">IF(C77=0,(1+Dic2025!$M$6)^(-B77),EXP(LN(INDEX(Dic2025!$N$6:$N$205,C77))+(LN(INDEX(Dic2025!$N$6:$N$205,MIN(C77+1,200)))-LN(INDEX(Dic2025!$N$6:$N$205,C77)))*(A77-6*C77)/6))</f>
        <v>0.766817306127889</v>
      </c>
      <c r="K77" s="12" t="n">
        <f aca="false">J77^(-1/B77)-1</f>
        <v>0.044611385957317</v>
      </c>
      <c r="L77" s="12" t="n">
        <f aca="false">(1+K77)^(1/12)-1</f>
        <v>0.00364370025995386</v>
      </c>
    </row>
    <row r="78" customFormat="false" ht="15" hidden="false" customHeight="false" outlineLevel="0" collapsed="false">
      <c r="A78" s="4" t="n">
        <v>74</v>
      </c>
      <c r="B78" s="14" t="n">
        <f aca="false">A78/12</f>
        <v>6.16666666666667</v>
      </c>
      <c r="C78" s="15" t="n">
        <f aca="false">INT(A78/6)</f>
        <v>12</v>
      </c>
      <c r="D78" s="16" t="n">
        <f aca="false">IF(C78=0,(1+Dic2025!$G$6)^(-B78),EXP(LN(INDEX(Dic2025!$H$6:$H$205,C78))+(LN(INDEX(Dic2025!$H$6:$H$205,MIN(C78+1,200)))-LN(INDEX(Dic2025!$H$6:$H$205,C78)))*(A78-6*C78)/6))</f>
        <v>0.763474543915288</v>
      </c>
      <c r="E78" s="12" t="n">
        <f aca="false">D78^(-1/B78)-1</f>
        <v>0.0447353439628151</v>
      </c>
      <c r="F78" s="12" t="n">
        <f aca="false">(1+E78)^(1/12)-1</f>
        <v>0.00365362443743078</v>
      </c>
      <c r="G78" s="16" t="n">
        <f aca="false">IF(C78=0,(1+Dic2025!$J$6)^(-B78),EXP(LN(INDEX(Dic2025!$K$6:$K$205,C78))+(LN(INDEX(Dic2025!$K$6:$K$205,MIN(C78+1,200)))-LN(INDEX(Dic2025!$K$6:$K$205,C78)))*(A78-6*C78)/6))</f>
        <v>0.763474543915288</v>
      </c>
      <c r="H78" s="12" t="n">
        <f aca="false">G78^(-1/B78)-1</f>
        <v>0.0447353439628151</v>
      </c>
      <c r="I78" s="12" t="n">
        <f aca="false">(1+H78)^(1/12)-1</f>
        <v>0.00365362443743078</v>
      </c>
      <c r="J78" s="16" t="n">
        <f aca="false">IF(C78=0,(1+Dic2025!$M$6)^(-B78),EXP(LN(INDEX(Dic2025!$N$6:$N$205,C78))+(LN(INDEX(Dic2025!$N$6:$N$205,MIN(C78+1,200)))-LN(INDEX(Dic2025!$N$6:$N$205,C78)))*(A78-6*C78)/6))</f>
        <v>0.763474543915288</v>
      </c>
      <c r="K78" s="12" t="n">
        <f aca="false">J78^(-1/B78)-1</f>
        <v>0.0447353439628151</v>
      </c>
      <c r="L78" s="12" t="n">
        <f aca="false">(1+K78)^(1/12)-1</f>
        <v>0.00365362443743078</v>
      </c>
    </row>
    <row r="79" customFormat="false" ht="15" hidden="false" customHeight="false" outlineLevel="0" collapsed="false">
      <c r="A79" s="4" t="n">
        <v>75</v>
      </c>
      <c r="B79" s="14" t="n">
        <f aca="false">A79/12</f>
        <v>6.25</v>
      </c>
      <c r="C79" s="15" t="n">
        <f aca="false">INT(A79/6)</f>
        <v>12</v>
      </c>
      <c r="D79" s="16" t="n">
        <f aca="false">IF(C79=0,(1+Dic2025!$G$6)^(-B79),EXP(LN(INDEX(Dic2025!$H$6:$H$205,C79))+(LN(INDEX(Dic2025!$H$6:$H$205,MIN(C79+1,200)))-LN(INDEX(Dic2025!$H$6:$H$205,C79)))*(A79-6*C79)/6))</f>
        <v>0.760146353699329</v>
      </c>
      <c r="E79" s="12" t="n">
        <f aca="false">D79^(-1/B79)-1</f>
        <v>0.0448560105477209</v>
      </c>
      <c r="F79" s="12" t="n">
        <f aca="false">(1+E79)^(1/12)-1</f>
        <v>0.00366328406441641</v>
      </c>
      <c r="G79" s="16" t="n">
        <f aca="false">IF(C79=0,(1+Dic2025!$J$6)^(-B79),EXP(LN(INDEX(Dic2025!$K$6:$K$205,C79))+(LN(INDEX(Dic2025!$K$6:$K$205,MIN(C79+1,200)))-LN(INDEX(Dic2025!$K$6:$K$205,C79)))*(A79-6*C79)/6))</f>
        <v>0.760146353699329</v>
      </c>
      <c r="H79" s="12" t="n">
        <f aca="false">G79^(-1/B79)-1</f>
        <v>0.0448560105477209</v>
      </c>
      <c r="I79" s="12" t="n">
        <f aca="false">(1+H79)^(1/12)-1</f>
        <v>0.00366328406441641</v>
      </c>
      <c r="J79" s="16" t="n">
        <f aca="false">IF(C79=0,(1+Dic2025!$M$6)^(-B79),EXP(LN(INDEX(Dic2025!$N$6:$N$205,C79))+(LN(INDEX(Dic2025!$N$6:$N$205,MIN(C79+1,200)))-LN(INDEX(Dic2025!$N$6:$N$205,C79)))*(A79-6*C79)/6))</f>
        <v>0.760146353699329</v>
      </c>
      <c r="K79" s="12" t="n">
        <f aca="false">J79^(-1/B79)-1</f>
        <v>0.0448560105477209</v>
      </c>
      <c r="L79" s="12" t="n">
        <f aca="false">(1+K79)^(1/12)-1</f>
        <v>0.00366328406441641</v>
      </c>
    </row>
    <row r="80" customFormat="false" ht="15" hidden="false" customHeight="false" outlineLevel="0" collapsed="false">
      <c r="A80" s="4" t="n">
        <v>76</v>
      </c>
      <c r="B80" s="14" t="n">
        <f aca="false">A80/12</f>
        <v>6.33333333333333</v>
      </c>
      <c r="C80" s="15" t="n">
        <f aca="false">INT(A80/6)</f>
        <v>12</v>
      </c>
      <c r="D80" s="16" t="n">
        <f aca="false">IF(C80=0,(1+Dic2025!$G$6)^(-B80),EXP(LN(INDEX(Dic2025!$H$6:$H$205,C80))+(LN(INDEX(Dic2025!$H$6:$H$205,MIN(C80+1,200)))-LN(INDEX(Dic2025!$H$6:$H$205,C80)))*(A80-6*C80)/6))</f>
        <v>0.756832671956773</v>
      </c>
      <c r="E80" s="12" t="n">
        <f aca="false">D80^(-1/B80)-1</f>
        <v>0.0449735150878017</v>
      </c>
      <c r="F80" s="12" t="n">
        <f aca="false">(1+E80)^(1/12)-1</f>
        <v>0.00367268958002276</v>
      </c>
      <c r="G80" s="16" t="n">
        <f aca="false">IF(C80=0,(1+Dic2025!$J$6)^(-B80),EXP(LN(INDEX(Dic2025!$K$6:$K$205,C80))+(LN(INDEX(Dic2025!$K$6:$K$205,MIN(C80+1,200)))-LN(INDEX(Dic2025!$K$6:$K$205,C80)))*(A80-6*C80)/6))</f>
        <v>0.756832671956773</v>
      </c>
      <c r="H80" s="12" t="n">
        <f aca="false">G80^(-1/B80)-1</f>
        <v>0.0449735150878017</v>
      </c>
      <c r="I80" s="12" t="n">
        <f aca="false">(1+H80)^(1/12)-1</f>
        <v>0.00367268958002276</v>
      </c>
      <c r="J80" s="16" t="n">
        <f aca="false">IF(C80=0,(1+Dic2025!$M$6)^(-B80),EXP(LN(INDEX(Dic2025!$N$6:$N$205,C80))+(LN(INDEX(Dic2025!$N$6:$N$205,MIN(C80+1,200)))-LN(INDEX(Dic2025!$N$6:$N$205,C80)))*(A80-6*C80)/6))</f>
        <v>0.756832671956773</v>
      </c>
      <c r="K80" s="12" t="n">
        <f aca="false">J80^(-1/B80)-1</f>
        <v>0.0449735150878017</v>
      </c>
      <c r="L80" s="12" t="n">
        <f aca="false">(1+K80)^(1/12)-1</f>
        <v>0.00367268958002276</v>
      </c>
    </row>
    <row r="81" customFormat="false" ht="15" hidden="false" customHeight="false" outlineLevel="0" collapsed="false">
      <c r="A81" s="4" t="n">
        <v>77</v>
      </c>
      <c r="B81" s="14" t="n">
        <f aca="false">A81/12</f>
        <v>6.41666666666667</v>
      </c>
      <c r="C81" s="15" t="n">
        <f aca="false">INT(A81/6)</f>
        <v>12</v>
      </c>
      <c r="D81" s="16" t="n">
        <f aca="false">IF(C81=0,(1+Dic2025!$G$6)^(-B81),EXP(LN(INDEX(Dic2025!$H$6:$H$205,C81))+(LN(INDEX(Dic2025!$H$6:$H$205,MIN(C81+1,200)))-LN(INDEX(Dic2025!$H$6:$H$205,C81)))*(A81-6*C81)/6))</f>
        <v>0.753533435441293</v>
      </c>
      <c r="E81" s="12" t="n">
        <f aca="false">D81^(-1/B81)-1</f>
        <v>0.0450879802660629</v>
      </c>
      <c r="F81" s="12" t="n">
        <f aca="false">(1+E81)^(1/12)-1</f>
        <v>0.00368185088125905</v>
      </c>
      <c r="G81" s="16" t="n">
        <f aca="false">IF(C81=0,(1+Dic2025!$J$6)^(-B81),EXP(LN(INDEX(Dic2025!$K$6:$K$205,C81))+(LN(INDEX(Dic2025!$K$6:$K$205,MIN(C81+1,200)))-LN(INDEX(Dic2025!$K$6:$K$205,C81)))*(A81-6*C81)/6))</f>
        <v>0.753533435441293</v>
      </c>
      <c r="H81" s="12" t="n">
        <f aca="false">G81^(-1/B81)-1</f>
        <v>0.0450879802660629</v>
      </c>
      <c r="I81" s="12" t="n">
        <f aca="false">(1+H81)^(1/12)-1</f>
        <v>0.00368185088125905</v>
      </c>
      <c r="J81" s="16" t="n">
        <f aca="false">IF(C81=0,(1+Dic2025!$M$6)^(-B81),EXP(LN(INDEX(Dic2025!$N$6:$N$205,C81))+(LN(INDEX(Dic2025!$N$6:$N$205,MIN(C81+1,200)))-LN(INDEX(Dic2025!$N$6:$N$205,C81)))*(A81-6*C81)/6))</f>
        <v>0.753533435441293</v>
      </c>
      <c r="K81" s="12" t="n">
        <f aca="false">J81^(-1/B81)-1</f>
        <v>0.0450879802660629</v>
      </c>
      <c r="L81" s="12" t="n">
        <f aca="false">(1+K81)^(1/12)-1</f>
        <v>0.00368185088125905</v>
      </c>
    </row>
    <row r="82" customFormat="false" ht="15" hidden="false" customHeight="false" outlineLevel="0" collapsed="false">
      <c r="A82" s="4" t="n">
        <v>78</v>
      </c>
      <c r="B82" s="14" t="n">
        <f aca="false">A82/12</f>
        <v>6.5</v>
      </c>
      <c r="C82" s="15" t="n">
        <f aca="false">INT(A82/6)</f>
        <v>13</v>
      </c>
      <c r="D82" s="16" t="n">
        <f aca="false">IF(C82=0,(1+Dic2025!$G$6)^(-B82),EXP(LN(INDEX(Dic2025!$H$6:$H$205,C82))+(LN(INDEX(Dic2025!$H$6:$H$205,MIN(C82+1,200)))-LN(INDEX(Dic2025!$H$6:$H$205,C82)))*(A82-6*C82)/6))</f>
        <v>0.750248581182274</v>
      </c>
      <c r="E82" s="12" t="n">
        <f aca="false">D82^(-1/B82)-1</f>
        <v>0.0451995225000001</v>
      </c>
      <c r="F82" s="12" t="n">
        <f aca="false">(1+E82)^(1/12)-1</f>
        <v>0.00369077735776902</v>
      </c>
      <c r="G82" s="16" t="n">
        <f aca="false">IF(C82=0,(1+Dic2025!$J$6)^(-B82),EXP(LN(INDEX(Dic2025!$K$6:$K$205,C82))+(LN(INDEX(Dic2025!$K$6:$K$205,MIN(C82+1,200)))-LN(INDEX(Dic2025!$K$6:$K$205,C82)))*(A82-6*C82)/6))</f>
        <v>0.750248581182274</v>
      </c>
      <c r="H82" s="12" t="n">
        <f aca="false">G82^(-1/B82)-1</f>
        <v>0.0451995225000001</v>
      </c>
      <c r="I82" s="12" t="n">
        <f aca="false">(1+H82)^(1/12)-1</f>
        <v>0.00369077735776902</v>
      </c>
      <c r="J82" s="16" t="n">
        <f aca="false">IF(C82=0,(1+Dic2025!$M$6)^(-B82),EXP(LN(INDEX(Dic2025!$N$6:$N$205,C82))+(LN(INDEX(Dic2025!$N$6:$N$205,MIN(C82+1,200)))-LN(INDEX(Dic2025!$N$6:$N$205,C82)))*(A82-6*C82)/6))</f>
        <v>0.750248581182274</v>
      </c>
      <c r="K82" s="12" t="n">
        <f aca="false">J82^(-1/B82)-1</f>
        <v>0.0451995225000001</v>
      </c>
      <c r="L82" s="12" t="n">
        <f aca="false">(1+K82)^(1/12)-1</f>
        <v>0.00369077735776902</v>
      </c>
    </row>
    <row r="83" customFormat="false" ht="15" hidden="false" customHeight="false" outlineLevel="0" collapsed="false">
      <c r="A83" s="4" t="n">
        <v>79</v>
      </c>
      <c r="B83" s="14" t="n">
        <f aca="false">A83/12</f>
        <v>6.58333333333333</v>
      </c>
      <c r="C83" s="15" t="n">
        <f aca="false">INT(A83/6)</f>
        <v>13</v>
      </c>
      <c r="D83" s="16" t="n">
        <f aca="false">IF(C83=0,(1+Dic2025!$G$6)^(-B83),EXP(LN(INDEX(Dic2025!$H$6:$H$205,C83))+(LN(INDEX(Dic2025!$H$6:$H$205,MIN(C83+1,200)))-LN(INDEX(Dic2025!$H$6:$H$205,C83)))*(A83-6*C83)/6))</f>
        <v>0.74680780227782</v>
      </c>
      <c r="E83" s="12" t="n">
        <f aca="false">D83^(-1/B83)-1</f>
        <v>0.0453444449586624</v>
      </c>
      <c r="F83" s="12" t="n">
        <f aca="false">(1+E83)^(1/12)-1</f>
        <v>0.00370237387506966</v>
      </c>
      <c r="G83" s="16" t="n">
        <f aca="false">IF(C83=0,(1+Dic2025!$J$6)^(-B83),EXP(LN(INDEX(Dic2025!$K$6:$K$205,C83))+(LN(INDEX(Dic2025!$K$6:$K$205,MIN(C83+1,200)))-LN(INDEX(Dic2025!$K$6:$K$205,C83)))*(A83-6*C83)/6))</f>
        <v>0.74680780227782</v>
      </c>
      <c r="H83" s="12" t="n">
        <f aca="false">G83^(-1/B83)-1</f>
        <v>0.0453444449586624</v>
      </c>
      <c r="I83" s="12" t="n">
        <f aca="false">(1+H83)^(1/12)-1</f>
        <v>0.00370237387506966</v>
      </c>
      <c r="J83" s="16" t="n">
        <f aca="false">IF(C83=0,(1+Dic2025!$M$6)^(-B83),EXP(LN(INDEX(Dic2025!$N$6:$N$205,C83))+(LN(INDEX(Dic2025!$N$6:$N$205,MIN(C83+1,200)))-LN(INDEX(Dic2025!$N$6:$N$205,C83)))*(A83-6*C83)/6))</f>
        <v>0.74680780227782</v>
      </c>
      <c r="K83" s="12" t="n">
        <f aca="false">J83^(-1/B83)-1</f>
        <v>0.0453444449586624</v>
      </c>
      <c r="L83" s="12" t="n">
        <f aca="false">(1+K83)^(1/12)-1</f>
        <v>0.00370237387506966</v>
      </c>
    </row>
    <row r="84" customFormat="false" ht="15" hidden="false" customHeight="false" outlineLevel="0" collapsed="false">
      <c r="A84" s="4" t="n">
        <v>80</v>
      </c>
      <c r="B84" s="14" t="n">
        <f aca="false">A84/12</f>
        <v>6.66666666666667</v>
      </c>
      <c r="C84" s="15" t="n">
        <f aca="false">INT(A84/6)</f>
        <v>13</v>
      </c>
      <c r="D84" s="16" t="n">
        <f aca="false">IF(C84=0,(1+Dic2025!$G$6)^(-B84),EXP(LN(INDEX(Dic2025!$H$6:$H$205,C84))+(LN(INDEX(Dic2025!$H$6:$H$205,MIN(C84+1,200)))-LN(INDEX(Dic2025!$H$6:$H$205,C84)))*(A84-6*C84)/6))</f>
        <v>0.743382803422495</v>
      </c>
      <c r="E84" s="12" t="n">
        <f aca="false">D84^(-1/B84)-1</f>
        <v>0.0454857637028479</v>
      </c>
      <c r="F84" s="12" t="n">
        <f aca="false">(1+E84)^(1/12)-1</f>
        <v>0.00371368060844013</v>
      </c>
      <c r="G84" s="16" t="n">
        <f aca="false">IF(C84=0,(1+Dic2025!$J$6)^(-B84),EXP(LN(INDEX(Dic2025!$K$6:$K$205,C84))+(LN(INDEX(Dic2025!$K$6:$K$205,MIN(C84+1,200)))-LN(INDEX(Dic2025!$K$6:$K$205,C84)))*(A84-6*C84)/6))</f>
        <v>0.743382803422495</v>
      </c>
      <c r="H84" s="12" t="n">
        <f aca="false">G84^(-1/B84)-1</f>
        <v>0.0454857637028479</v>
      </c>
      <c r="I84" s="12" t="n">
        <f aca="false">(1+H84)^(1/12)-1</f>
        <v>0.00371368060844013</v>
      </c>
      <c r="J84" s="16" t="n">
        <f aca="false">IF(C84=0,(1+Dic2025!$M$6)^(-B84),EXP(LN(INDEX(Dic2025!$N$6:$N$205,C84))+(LN(INDEX(Dic2025!$N$6:$N$205,MIN(C84+1,200)))-LN(INDEX(Dic2025!$N$6:$N$205,C84)))*(A84-6*C84)/6))</f>
        <v>0.743382803422495</v>
      </c>
      <c r="K84" s="12" t="n">
        <f aca="false">J84^(-1/B84)-1</f>
        <v>0.0454857637028479</v>
      </c>
      <c r="L84" s="12" t="n">
        <f aca="false">(1+K84)^(1/12)-1</f>
        <v>0.00371368060844013</v>
      </c>
    </row>
    <row r="85" customFormat="false" ht="15" hidden="false" customHeight="false" outlineLevel="0" collapsed="false">
      <c r="A85" s="4" t="n">
        <v>81</v>
      </c>
      <c r="B85" s="14" t="n">
        <f aca="false">A85/12</f>
        <v>6.75</v>
      </c>
      <c r="C85" s="15" t="n">
        <f aca="false">INT(A85/6)</f>
        <v>13</v>
      </c>
      <c r="D85" s="16" t="n">
        <f aca="false">IF(C85=0,(1+Dic2025!$G$6)^(-B85),EXP(LN(INDEX(Dic2025!$H$6:$H$205,C85))+(LN(INDEX(Dic2025!$H$6:$H$205,MIN(C85+1,200)))-LN(INDEX(Dic2025!$H$6:$H$205,C85)))*(A85-6*C85)/6))</f>
        <v>0.739973512246071</v>
      </c>
      <c r="E85" s="12" t="n">
        <f aca="false">D85^(-1/B85)-1</f>
        <v>0.0456236114982427</v>
      </c>
      <c r="F85" s="12" t="n">
        <f aca="false">(1+E85)^(1/12)-1</f>
        <v>0.00372470828590088</v>
      </c>
      <c r="G85" s="16" t="n">
        <f aca="false">IF(C85=0,(1+Dic2025!$J$6)^(-B85),EXP(LN(INDEX(Dic2025!$K$6:$K$205,C85))+(LN(INDEX(Dic2025!$K$6:$K$205,MIN(C85+1,200)))-LN(INDEX(Dic2025!$K$6:$K$205,C85)))*(A85-6*C85)/6))</f>
        <v>0.739973512246071</v>
      </c>
      <c r="H85" s="12" t="n">
        <f aca="false">G85^(-1/B85)-1</f>
        <v>0.0456236114982427</v>
      </c>
      <c r="I85" s="12" t="n">
        <f aca="false">(1+H85)^(1/12)-1</f>
        <v>0.00372470828590088</v>
      </c>
      <c r="J85" s="16" t="n">
        <f aca="false">IF(C85=0,(1+Dic2025!$M$6)^(-B85),EXP(LN(INDEX(Dic2025!$N$6:$N$205,C85))+(LN(INDEX(Dic2025!$N$6:$N$205,MIN(C85+1,200)))-LN(INDEX(Dic2025!$N$6:$N$205,C85)))*(A85-6*C85)/6))</f>
        <v>0.739973512246071</v>
      </c>
      <c r="K85" s="12" t="n">
        <f aca="false">J85^(-1/B85)-1</f>
        <v>0.0456236114982427</v>
      </c>
      <c r="L85" s="12" t="n">
        <f aca="false">(1+K85)^(1/12)-1</f>
        <v>0.00372470828590088</v>
      </c>
    </row>
    <row r="86" customFormat="false" ht="15" hidden="false" customHeight="false" outlineLevel="0" collapsed="false">
      <c r="A86" s="4" t="n">
        <v>82</v>
      </c>
      <c r="B86" s="14" t="n">
        <f aca="false">A86/12</f>
        <v>6.83333333333333</v>
      </c>
      <c r="C86" s="15" t="n">
        <f aca="false">INT(A86/6)</f>
        <v>13</v>
      </c>
      <c r="D86" s="16" t="n">
        <f aca="false">IF(C86=0,(1+Dic2025!$G$6)^(-B86),EXP(LN(INDEX(Dic2025!$H$6:$H$205,C86))+(LN(INDEX(Dic2025!$H$6:$H$205,MIN(C86+1,200)))-LN(INDEX(Dic2025!$H$6:$H$205,C86)))*(A86-6*C86)/6))</f>
        <v>0.736579856710224</v>
      </c>
      <c r="E86" s="12" t="n">
        <f aca="false">D86^(-1/B86)-1</f>
        <v>0.045758114668021</v>
      </c>
      <c r="F86" s="12" t="n">
        <f aca="false">(1+E86)^(1/12)-1</f>
        <v>0.00373546711238171</v>
      </c>
      <c r="G86" s="16" t="n">
        <f aca="false">IF(C86=0,(1+Dic2025!$J$6)^(-B86),EXP(LN(INDEX(Dic2025!$K$6:$K$205,C86))+(LN(INDEX(Dic2025!$K$6:$K$205,MIN(C86+1,200)))-LN(INDEX(Dic2025!$K$6:$K$205,C86)))*(A86-6*C86)/6))</f>
        <v>0.736579856710224</v>
      </c>
      <c r="H86" s="12" t="n">
        <f aca="false">G86^(-1/B86)-1</f>
        <v>0.045758114668021</v>
      </c>
      <c r="I86" s="12" t="n">
        <f aca="false">(1+H86)^(1/12)-1</f>
        <v>0.00373546711238171</v>
      </c>
      <c r="J86" s="16" t="n">
        <f aca="false">IF(C86=0,(1+Dic2025!$M$6)^(-B86),EXP(LN(INDEX(Dic2025!$N$6:$N$205,C86))+(LN(INDEX(Dic2025!$N$6:$N$205,MIN(C86+1,200)))-LN(INDEX(Dic2025!$N$6:$N$205,C86)))*(A86-6*C86)/6))</f>
        <v>0.736579856710224</v>
      </c>
      <c r="K86" s="12" t="n">
        <f aca="false">J86^(-1/B86)-1</f>
        <v>0.045758114668021</v>
      </c>
      <c r="L86" s="12" t="n">
        <f aca="false">(1+K86)^(1/12)-1</f>
        <v>0.00373546711238171</v>
      </c>
    </row>
    <row r="87" customFormat="false" ht="15" hidden="false" customHeight="false" outlineLevel="0" collapsed="false">
      <c r="A87" s="4" t="n">
        <v>83</v>
      </c>
      <c r="B87" s="14" t="n">
        <f aca="false">A87/12</f>
        <v>6.91666666666667</v>
      </c>
      <c r="C87" s="15" t="n">
        <f aca="false">INT(A87/6)</f>
        <v>13</v>
      </c>
      <c r="D87" s="16" t="n">
        <f aca="false">IF(C87=0,(1+Dic2025!$G$6)^(-B87),EXP(LN(INDEX(Dic2025!$H$6:$H$205,C87))+(LN(INDEX(Dic2025!$H$6:$H$205,MIN(C87+1,200)))-LN(INDEX(Dic2025!$H$6:$H$205,C87)))*(A87-6*C87)/6))</f>
        <v>0.733201765107012</v>
      </c>
      <c r="E87" s="12" t="n">
        <f aca="false">D87^(-1/B87)-1</f>
        <v>0.0458893934789408</v>
      </c>
      <c r="F87" s="12" t="n">
        <f aca="false">(1+E87)^(1/12)-1</f>
        <v>0.00374596680121986</v>
      </c>
      <c r="G87" s="16" t="n">
        <f aca="false">IF(C87=0,(1+Dic2025!$J$6)^(-B87),EXP(LN(INDEX(Dic2025!$K$6:$K$205,C87))+(LN(INDEX(Dic2025!$K$6:$K$205,MIN(C87+1,200)))-LN(INDEX(Dic2025!$K$6:$K$205,C87)))*(A87-6*C87)/6))</f>
        <v>0.733201765107012</v>
      </c>
      <c r="H87" s="12" t="n">
        <f aca="false">G87^(-1/B87)-1</f>
        <v>0.0458893934789408</v>
      </c>
      <c r="I87" s="12" t="n">
        <f aca="false">(1+H87)^(1/12)-1</f>
        <v>0.00374596680121986</v>
      </c>
      <c r="J87" s="16" t="n">
        <f aca="false">IF(C87=0,(1+Dic2025!$M$6)^(-B87),EXP(LN(INDEX(Dic2025!$N$6:$N$205,C87))+(LN(INDEX(Dic2025!$N$6:$N$205,MIN(C87+1,200)))-LN(INDEX(Dic2025!$N$6:$N$205,C87)))*(A87-6*C87)/6))</f>
        <v>0.733201765107012</v>
      </c>
      <c r="K87" s="12" t="n">
        <f aca="false">J87^(-1/B87)-1</f>
        <v>0.0458893934789408</v>
      </c>
      <c r="L87" s="12" t="n">
        <f aca="false">(1+K87)^(1/12)-1</f>
        <v>0.00374596680121986</v>
      </c>
    </row>
    <row r="88" customFormat="false" ht="15" hidden="false" customHeight="false" outlineLevel="0" collapsed="false">
      <c r="A88" s="4" t="n">
        <v>84</v>
      </c>
      <c r="B88" s="14" t="n">
        <f aca="false">A88/12</f>
        <v>7</v>
      </c>
      <c r="C88" s="15" t="n">
        <f aca="false">INT(A88/6)</f>
        <v>14</v>
      </c>
      <c r="D88" s="16" t="n">
        <f aca="false">IF(C88=0,(1+Dic2025!$G$6)^(-B88),EXP(LN(INDEX(Dic2025!$H$6:$H$205,C88))+(LN(INDEX(Dic2025!$H$6:$H$205,MIN(C88+1,200)))-LN(INDEX(Dic2025!$H$6:$H$205,C88)))*(A88-6*C88)/6))</f>
        <v>0.729839166057358</v>
      </c>
      <c r="E88" s="12" t="n">
        <f aca="false">D88^(-1/B88)-1</f>
        <v>0.0460175625000001</v>
      </c>
      <c r="F88" s="12" t="n">
        <f aca="false">(1+E88)^(1/12)-1</f>
        <v>0.00375621660340797</v>
      </c>
      <c r="G88" s="16" t="n">
        <f aca="false">IF(C88=0,(1+Dic2025!$J$6)^(-B88),EXP(LN(INDEX(Dic2025!$K$6:$K$205,C88))+(LN(INDEX(Dic2025!$K$6:$K$205,MIN(C88+1,200)))-LN(INDEX(Dic2025!$K$6:$K$205,C88)))*(A88-6*C88)/6))</f>
        <v>0.729839166057358</v>
      </c>
      <c r="H88" s="12" t="n">
        <f aca="false">G88^(-1/B88)-1</f>
        <v>0.0460175625000001</v>
      </c>
      <c r="I88" s="12" t="n">
        <f aca="false">(1+H88)^(1/12)-1</f>
        <v>0.00375621660340797</v>
      </c>
      <c r="J88" s="16" t="n">
        <f aca="false">IF(C88=0,(1+Dic2025!$M$6)^(-B88),EXP(LN(INDEX(Dic2025!$N$6:$N$205,C88))+(LN(INDEX(Dic2025!$N$6:$N$205,MIN(C88+1,200)))-LN(INDEX(Dic2025!$N$6:$N$205,C88)))*(A88-6*C88)/6))</f>
        <v>0.729839166057358</v>
      </c>
      <c r="K88" s="12" t="n">
        <f aca="false">J88^(-1/B88)-1</f>
        <v>0.0460175625000001</v>
      </c>
      <c r="L88" s="12" t="n">
        <f aca="false">(1+K88)^(1/12)-1</f>
        <v>0.00375621660340797</v>
      </c>
    </row>
    <row r="89" customFormat="false" ht="15" hidden="false" customHeight="false" outlineLevel="0" collapsed="false">
      <c r="A89" s="4" t="n">
        <v>85</v>
      </c>
      <c r="B89" s="14" t="n">
        <f aca="false">A89/12</f>
        <v>7.08333333333333</v>
      </c>
      <c r="C89" s="15" t="n">
        <f aca="false">INT(A89/6)</f>
        <v>14</v>
      </c>
      <c r="D89" s="16" t="n">
        <f aca="false">IF(C89=0,(1+Dic2025!$G$6)^(-B89),EXP(LN(INDEX(Dic2025!$H$6:$H$205,C89))+(LN(INDEX(Dic2025!$H$6:$H$205,MIN(C89+1,200)))-LN(INDEX(Dic2025!$H$6:$H$205,C89)))*(A89-6*C89)/6))</f>
        <v>0.726486295841726</v>
      </c>
      <c r="E89" s="12" t="n">
        <f aca="false">D89^(-1/B89)-1</f>
        <v>0.0461438882206207</v>
      </c>
      <c r="F89" s="12" t="n">
        <f aca="false">(1+E89)^(1/12)-1</f>
        <v>0.00376631786857917</v>
      </c>
      <c r="G89" s="16" t="n">
        <f aca="false">IF(C89=0,(1+Dic2025!$J$6)^(-B89),EXP(LN(INDEX(Dic2025!$K$6:$K$205,C89))+(LN(INDEX(Dic2025!$K$6:$K$205,MIN(C89+1,200)))-LN(INDEX(Dic2025!$K$6:$K$205,C89)))*(A89-6*C89)/6))</f>
        <v>0.726486295841726</v>
      </c>
      <c r="H89" s="12" t="n">
        <f aca="false">G89^(-1/B89)-1</f>
        <v>0.0461438882206207</v>
      </c>
      <c r="I89" s="12" t="n">
        <f aca="false">(1+H89)^(1/12)-1</f>
        <v>0.00376631786857917</v>
      </c>
      <c r="J89" s="16" t="n">
        <f aca="false">IF(C89=0,(1+Dic2025!$M$6)^(-B89),EXP(LN(INDEX(Dic2025!$N$6:$N$205,C89))+(LN(INDEX(Dic2025!$N$6:$N$205,MIN(C89+1,200)))-LN(INDEX(Dic2025!$N$6:$N$205,C89)))*(A89-6*C89)/6))</f>
        <v>0.726486295841726</v>
      </c>
      <c r="K89" s="12" t="n">
        <f aca="false">J89^(-1/B89)-1</f>
        <v>0.0461438882206207</v>
      </c>
      <c r="L89" s="12" t="n">
        <f aca="false">(1+K89)^(1/12)-1</f>
        <v>0.00376631786857917</v>
      </c>
    </row>
    <row r="90" customFormat="false" ht="15" hidden="false" customHeight="false" outlineLevel="0" collapsed="false">
      <c r="A90" s="4" t="n">
        <v>86</v>
      </c>
      <c r="B90" s="14" t="n">
        <f aca="false">A90/12</f>
        <v>7.16666666666667</v>
      </c>
      <c r="C90" s="15" t="n">
        <f aca="false">INT(A90/6)</f>
        <v>14</v>
      </c>
      <c r="D90" s="16" t="n">
        <f aca="false">IF(C90=0,(1+Dic2025!$G$6)^(-B90),EXP(LN(INDEX(Dic2025!$H$6:$H$205,C90))+(LN(INDEX(Dic2025!$H$6:$H$205,MIN(C90+1,200)))-LN(INDEX(Dic2025!$H$6:$H$205,C90)))*(A90-6*C90)/6))</f>
        <v>0.723148828661729</v>
      </c>
      <c r="E90" s="12" t="n">
        <f aca="false">D90^(-1/B90)-1</f>
        <v>0.0462672908618431</v>
      </c>
      <c r="F90" s="12" t="n">
        <f aca="false">(1+E90)^(1/12)-1</f>
        <v>0.00377618431874205</v>
      </c>
      <c r="G90" s="16" t="n">
        <f aca="false">IF(C90=0,(1+Dic2025!$J$6)^(-B90),EXP(LN(INDEX(Dic2025!$K$6:$K$205,C90))+(LN(INDEX(Dic2025!$K$6:$K$205,MIN(C90+1,200)))-LN(INDEX(Dic2025!$K$6:$K$205,C90)))*(A90-6*C90)/6))</f>
        <v>0.723148828661729</v>
      </c>
      <c r="H90" s="12" t="n">
        <f aca="false">G90^(-1/B90)-1</f>
        <v>0.0462672908618431</v>
      </c>
      <c r="I90" s="12" t="n">
        <f aca="false">(1+H90)^(1/12)-1</f>
        <v>0.00377618431874205</v>
      </c>
      <c r="J90" s="16" t="n">
        <f aca="false">IF(C90=0,(1+Dic2025!$M$6)^(-B90),EXP(LN(INDEX(Dic2025!$N$6:$N$205,C90))+(LN(INDEX(Dic2025!$N$6:$N$205,MIN(C90+1,200)))-LN(INDEX(Dic2025!$N$6:$N$205,C90)))*(A90-6*C90)/6))</f>
        <v>0.723148828661729</v>
      </c>
      <c r="K90" s="12" t="n">
        <f aca="false">J90^(-1/B90)-1</f>
        <v>0.0462672908618431</v>
      </c>
      <c r="L90" s="12" t="n">
        <f aca="false">(1+K90)^(1/12)-1</f>
        <v>0.00377618431874205</v>
      </c>
    </row>
    <row r="91" customFormat="false" ht="15" hidden="false" customHeight="false" outlineLevel="0" collapsed="false">
      <c r="A91" s="4" t="n">
        <v>87</v>
      </c>
      <c r="B91" s="14" t="n">
        <f aca="false">A91/12</f>
        <v>7.25</v>
      </c>
      <c r="C91" s="15" t="n">
        <f aca="false">INT(A91/6)</f>
        <v>14</v>
      </c>
      <c r="D91" s="16" t="n">
        <f aca="false">IF(C91=0,(1+Dic2025!$G$6)^(-B91),EXP(LN(INDEX(Dic2025!$H$6:$H$205,C91))+(LN(INDEX(Dic2025!$H$6:$H$205,MIN(C91+1,200)))-LN(INDEX(Dic2025!$H$6:$H$205,C91)))*(A91-6*C91)/6))</f>
        <v>0.719826693756052</v>
      </c>
      <c r="E91" s="12" t="n">
        <f aca="false">D91^(-1/B91)-1</f>
        <v>0.046387870719141</v>
      </c>
      <c r="F91" s="12" t="n">
        <f aca="false">(1+E91)^(1/12)-1</f>
        <v>0.00378582404762162</v>
      </c>
      <c r="G91" s="16" t="n">
        <f aca="false">IF(C91=0,(1+Dic2025!$J$6)^(-B91),EXP(LN(INDEX(Dic2025!$K$6:$K$205,C91))+(LN(INDEX(Dic2025!$K$6:$K$205,MIN(C91+1,200)))-LN(INDEX(Dic2025!$K$6:$K$205,C91)))*(A91-6*C91)/6))</f>
        <v>0.719826693756052</v>
      </c>
      <c r="H91" s="12" t="n">
        <f aca="false">G91^(-1/B91)-1</f>
        <v>0.046387870719141</v>
      </c>
      <c r="I91" s="12" t="n">
        <f aca="false">(1+H91)^(1/12)-1</f>
        <v>0.00378582404762162</v>
      </c>
      <c r="J91" s="16" t="n">
        <f aca="false">IF(C91=0,(1+Dic2025!$M$6)^(-B91),EXP(LN(INDEX(Dic2025!$N$6:$N$205,C91))+(LN(INDEX(Dic2025!$N$6:$N$205,MIN(C91+1,200)))-LN(INDEX(Dic2025!$N$6:$N$205,C91)))*(A91-6*C91)/6))</f>
        <v>0.719826693756052</v>
      </c>
      <c r="K91" s="12" t="n">
        <f aca="false">J91^(-1/B91)-1</f>
        <v>0.046387870719141</v>
      </c>
      <c r="L91" s="12" t="n">
        <f aca="false">(1+K91)^(1/12)-1</f>
        <v>0.00378582404762162</v>
      </c>
    </row>
    <row r="92" customFormat="false" ht="15" hidden="false" customHeight="false" outlineLevel="0" collapsed="false">
      <c r="A92" s="4" t="n">
        <v>88</v>
      </c>
      <c r="B92" s="14" t="n">
        <f aca="false">A92/12</f>
        <v>7.33333333333333</v>
      </c>
      <c r="C92" s="15" t="n">
        <f aca="false">INT(A92/6)</f>
        <v>14</v>
      </c>
      <c r="D92" s="16" t="n">
        <f aca="false">IF(C92=0,(1+Dic2025!$G$6)^(-B92),EXP(LN(INDEX(Dic2025!$H$6:$H$205,C92))+(LN(INDEX(Dic2025!$H$6:$H$205,MIN(C92+1,200)))-LN(INDEX(Dic2025!$H$6:$H$205,C92)))*(A92-6*C92)/6))</f>
        <v>0.716519820688456</v>
      </c>
      <c r="E92" s="12" t="n">
        <f aca="false">D92^(-1/B92)-1</f>
        <v>0.0465057235515145</v>
      </c>
      <c r="F92" s="12" t="n">
        <f aca="false">(1+E92)^(1/12)-1</f>
        <v>0.00379524478119642</v>
      </c>
      <c r="G92" s="16" t="n">
        <f aca="false">IF(C92=0,(1+Dic2025!$J$6)^(-B92),EXP(LN(INDEX(Dic2025!$K$6:$K$205,C92))+(LN(INDEX(Dic2025!$K$6:$K$205,MIN(C92+1,200)))-LN(INDEX(Dic2025!$K$6:$K$205,C92)))*(A92-6*C92)/6))</f>
        <v>0.716519820688456</v>
      </c>
      <c r="H92" s="12" t="n">
        <f aca="false">G92^(-1/B92)-1</f>
        <v>0.0465057235515145</v>
      </c>
      <c r="I92" s="12" t="n">
        <f aca="false">(1+H92)^(1/12)-1</f>
        <v>0.00379524478119642</v>
      </c>
      <c r="J92" s="16" t="n">
        <f aca="false">IF(C92=0,(1+Dic2025!$M$6)^(-B92),EXP(LN(INDEX(Dic2025!$N$6:$N$205,C92))+(LN(INDEX(Dic2025!$N$6:$N$205,MIN(C92+1,200)))-LN(INDEX(Dic2025!$N$6:$N$205,C92)))*(A92-6*C92)/6))</f>
        <v>0.716519820688456</v>
      </c>
      <c r="K92" s="12" t="n">
        <f aca="false">J92^(-1/B92)-1</f>
        <v>0.0465057235515145</v>
      </c>
      <c r="L92" s="12" t="n">
        <f aca="false">(1+K92)^(1/12)-1</f>
        <v>0.00379524478119642</v>
      </c>
    </row>
    <row r="93" customFormat="false" ht="15" hidden="false" customHeight="false" outlineLevel="0" collapsed="false">
      <c r="A93" s="4" t="n">
        <v>89</v>
      </c>
      <c r="B93" s="14" t="n">
        <f aca="false">A93/12</f>
        <v>7.41666666666667</v>
      </c>
      <c r="C93" s="15" t="n">
        <f aca="false">INT(A93/6)</f>
        <v>14</v>
      </c>
      <c r="D93" s="16" t="n">
        <f aca="false">IF(C93=0,(1+Dic2025!$G$6)^(-B93),EXP(LN(INDEX(Dic2025!$H$6:$H$205,C93))+(LN(INDEX(Dic2025!$H$6:$H$205,MIN(C93+1,200)))-LN(INDEX(Dic2025!$H$6:$H$205,C93)))*(A93-6*C93)/6))</f>
        <v>0.713228139346286</v>
      </c>
      <c r="E93" s="12" t="n">
        <f aca="false">D93^(-1/B93)-1</f>
        <v>0.0466209408351077</v>
      </c>
      <c r="F93" s="12" t="n">
        <f aca="false">(1+E93)^(1/12)-1</f>
        <v>0.00380445389835082</v>
      </c>
      <c r="G93" s="16" t="n">
        <f aca="false">IF(C93=0,(1+Dic2025!$J$6)^(-B93),EXP(LN(INDEX(Dic2025!$K$6:$K$205,C93))+(LN(INDEX(Dic2025!$K$6:$K$205,MIN(C93+1,200)))-LN(INDEX(Dic2025!$K$6:$K$205,C93)))*(A93-6*C93)/6))</f>
        <v>0.713228139346286</v>
      </c>
      <c r="H93" s="12" t="n">
        <f aca="false">G93^(-1/B93)-1</f>
        <v>0.0466209408351077</v>
      </c>
      <c r="I93" s="12" t="n">
        <f aca="false">(1+H93)^(1/12)-1</f>
        <v>0.00380445389835082</v>
      </c>
      <c r="J93" s="16" t="n">
        <f aca="false">IF(C93=0,(1+Dic2025!$M$6)^(-B93),EXP(LN(INDEX(Dic2025!$N$6:$N$205,C93))+(LN(INDEX(Dic2025!$N$6:$N$205,MIN(C93+1,200)))-LN(INDEX(Dic2025!$N$6:$N$205,C93)))*(A93-6*C93)/6))</f>
        <v>0.713228139346286</v>
      </c>
      <c r="K93" s="12" t="n">
        <f aca="false">J93^(-1/B93)-1</f>
        <v>0.0466209408351077</v>
      </c>
      <c r="L93" s="12" t="n">
        <f aca="false">(1+K93)^(1/12)-1</f>
        <v>0.00380445389835082</v>
      </c>
    </row>
    <row r="94" customFormat="false" ht="15" hidden="false" customHeight="false" outlineLevel="0" collapsed="false">
      <c r="A94" s="4" t="n">
        <v>90</v>
      </c>
      <c r="B94" s="14" t="n">
        <f aca="false">A94/12</f>
        <v>7.5</v>
      </c>
      <c r="C94" s="15" t="n">
        <f aca="false">INT(A94/6)</f>
        <v>15</v>
      </c>
      <c r="D94" s="16" t="n">
        <f aca="false">IF(C94=0,(1+Dic2025!$G$6)^(-B94),EXP(LN(INDEX(Dic2025!$H$6:$H$205,C94))+(LN(INDEX(Dic2025!$H$6:$H$205,MIN(C94+1,200)))-LN(INDEX(Dic2025!$H$6:$H$205,C94)))*(A94-6*C94)/6))</f>
        <v>0.709951579938981</v>
      </c>
      <c r="E94" s="12" t="n">
        <f aca="false">D94^(-1/B94)-1</f>
        <v>0.0467336099999998</v>
      </c>
      <c r="F94" s="12" t="n">
        <f aca="false">(1+E94)^(1/12)-1</f>
        <v>0.00381345845014924</v>
      </c>
      <c r="G94" s="16" t="n">
        <f aca="false">IF(C94=0,(1+Dic2025!$J$6)^(-B94),EXP(LN(INDEX(Dic2025!$K$6:$K$205,C94))+(LN(INDEX(Dic2025!$K$6:$K$205,MIN(C94+1,200)))-LN(INDEX(Dic2025!$K$6:$K$205,C94)))*(A94-6*C94)/6))</f>
        <v>0.709951579938981</v>
      </c>
      <c r="H94" s="12" t="n">
        <f aca="false">G94^(-1/B94)-1</f>
        <v>0.0467336099999998</v>
      </c>
      <c r="I94" s="12" t="n">
        <f aca="false">(1+H94)^(1/12)-1</f>
        <v>0.00381345845014924</v>
      </c>
      <c r="J94" s="16" t="n">
        <f aca="false">IF(C94=0,(1+Dic2025!$M$6)^(-B94),EXP(LN(INDEX(Dic2025!$N$6:$N$205,C94))+(LN(INDEX(Dic2025!$N$6:$N$205,MIN(C94+1,200)))-LN(INDEX(Dic2025!$N$6:$N$205,C94)))*(A94-6*C94)/6))</f>
        <v>0.709951579938981</v>
      </c>
      <c r="K94" s="12" t="n">
        <f aca="false">J94^(-1/B94)-1</f>
        <v>0.0467336099999998</v>
      </c>
      <c r="L94" s="12" t="n">
        <f aca="false">(1+K94)^(1/12)-1</f>
        <v>0.00381345845014924</v>
      </c>
    </row>
    <row r="95" customFormat="false" ht="15" hidden="false" customHeight="false" outlineLevel="0" collapsed="false">
      <c r="A95" s="4" t="n">
        <v>91</v>
      </c>
      <c r="B95" s="14" t="n">
        <f aca="false">A95/12</f>
        <v>7.58333333333333</v>
      </c>
      <c r="C95" s="15" t="n">
        <f aca="false">INT(A95/6)</f>
        <v>15</v>
      </c>
      <c r="D95" s="16" t="n">
        <f aca="false">IF(C95=0,(1+Dic2025!$G$6)^(-B95),EXP(LN(INDEX(Dic2025!$H$6:$H$205,C95))+(LN(INDEX(Dic2025!$H$6:$H$205,MIN(C95+1,200)))-LN(INDEX(Dic2025!$H$6:$H$205,C95)))*(A95-6*C95)/6))</f>
        <v>0.706609698678836</v>
      </c>
      <c r="E95" s="12" t="n">
        <f aca="false">D95^(-1/B95)-1</f>
        <v>0.0468595160381271</v>
      </c>
      <c r="F95" s="12" t="n">
        <f aca="false">(1+E95)^(1/12)-1</f>
        <v>0.0038235198455201</v>
      </c>
      <c r="G95" s="16" t="n">
        <f aca="false">IF(C95=0,(1+Dic2025!$J$6)^(-B95),EXP(LN(INDEX(Dic2025!$K$6:$K$205,C95))+(LN(INDEX(Dic2025!$K$6:$K$205,MIN(C95+1,200)))-LN(INDEX(Dic2025!$K$6:$K$205,C95)))*(A95-6*C95)/6))</f>
        <v>0.706609698678836</v>
      </c>
      <c r="H95" s="12" t="n">
        <f aca="false">G95^(-1/B95)-1</f>
        <v>0.0468595160381271</v>
      </c>
      <c r="I95" s="12" t="n">
        <f aca="false">(1+H95)^(1/12)-1</f>
        <v>0.0038235198455201</v>
      </c>
      <c r="J95" s="16" t="n">
        <f aca="false">IF(C95=0,(1+Dic2025!$M$6)^(-B95),EXP(LN(INDEX(Dic2025!$N$6:$N$205,C95))+(LN(INDEX(Dic2025!$N$6:$N$205,MIN(C95+1,200)))-LN(INDEX(Dic2025!$N$6:$N$205,C95)))*(A95-6*C95)/6))</f>
        <v>0.706609698678836</v>
      </c>
      <c r="K95" s="12" t="n">
        <f aca="false">J95^(-1/B95)-1</f>
        <v>0.0468595160381271</v>
      </c>
      <c r="L95" s="12" t="n">
        <f aca="false">(1+K95)^(1/12)-1</f>
        <v>0.0038235198455201</v>
      </c>
    </row>
    <row r="96" customFormat="false" ht="15" hidden="false" customHeight="false" outlineLevel="0" collapsed="false">
      <c r="A96" s="4" t="n">
        <v>92</v>
      </c>
      <c r="B96" s="14" t="n">
        <f aca="false">A96/12</f>
        <v>7.66666666666667</v>
      </c>
      <c r="C96" s="15" t="n">
        <f aca="false">INT(A96/6)</f>
        <v>15</v>
      </c>
      <c r="D96" s="16" t="n">
        <f aca="false">IF(C96=0,(1+Dic2025!$G$6)^(-B96),EXP(LN(INDEX(Dic2025!$H$6:$H$205,C96))+(LN(INDEX(Dic2025!$H$6:$H$205,MIN(C96+1,200)))-LN(INDEX(Dic2025!$H$6:$H$205,C96)))*(A96-6*C96)/6))</f>
        <v>0.703283548308899</v>
      </c>
      <c r="E96" s="12" t="n">
        <f aca="false">D96^(-1/B96)-1</f>
        <v>0.04698269964276</v>
      </c>
      <c r="F96" s="12" t="n">
        <f aca="false">(1+E96)^(1/12)-1</f>
        <v>0.0038333626124869</v>
      </c>
      <c r="G96" s="16" t="n">
        <f aca="false">IF(C96=0,(1+Dic2025!$J$6)^(-B96),EXP(LN(INDEX(Dic2025!$K$6:$K$205,C96))+(LN(INDEX(Dic2025!$K$6:$K$205,MIN(C96+1,200)))-LN(INDEX(Dic2025!$K$6:$K$205,C96)))*(A96-6*C96)/6))</f>
        <v>0.703283548308899</v>
      </c>
      <c r="H96" s="12" t="n">
        <f aca="false">G96^(-1/B96)-1</f>
        <v>0.04698269964276</v>
      </c>
      <c r="I96" s="12" t="n">
        <f aca="false">(1+H96)^(1/12)-1</f>
        <v>0.0038333626124869</v>
      </c>
      <c r="J96" s="16" t="n">
        <f aca="false">IF(C96=0,(1+Dic2025!$M$6)^(-B96),EXP(LN(INDEX(Dic2025!$N$6:$N$205,C96))+(LN(INDEX(Dic2025!$N$6:$N$205,MIN(C96+1,200)))-LN(INDEX(Dic2025!$N$6:$N$205,C96)))*(A96-6*C96)/6))</f>
        <v>0.703283548308899</v>
      </c>
      <c r="K96" s="12" t="n">
        <f aca="false">J96^(-1/B96)-1</f>
        <v>0.04698269964276</v>
      </c>
      <c r="L96" s="12" t="n">
        <f aca="false">(1+K96)^(1/12)-1</f>
        <v>0.0038333626124869</v>
      </c>
    </row>
    <row r="97" customFormat="false" ht="15" hidden="false" customHeight="false" outlineLevel="0" collapsed="false">
      <c r="A97" s="4" t="n">
        <v>93</v>
      </c>
      <c r="B97" s="14" t="n">
        <f aca="false">A97/12</f>
        <v>7.75</v>
      </c>
      <c r="C97" s="15" t="n">
        <f aca="false">INT(A97/6)</f>
        <v>15</v>
      </c>
      <c r="D97" s="16" t="n">
        <f aca="false">IF(C97=0,(1+Dic2025!$G$6)^(-B97),EXP(LN(INDEX(Dic2025!$H$6:$H$205,C97))+(LN(INDEX(Dic2025!$H$6:$H$205,MIN(C97+1,200)))-LN(INDEX(Dic2025!$H$6:$H$205,C97)))*(A97-6*C97)/6))</f>
        <v>0.699973054780785</v>
      </c>
      <c r="E97" s="12" t="n">
        <f aca="false">D97^(-1/B97)-1</f>
        <v>0.0471032481683493</v>
      </c>
      <c r="F97" s="12" t="n">
        <f aca="false">(1+E97)^(1/12)-1</f>
        <v>0.00384299380046582</v>
      </c>
      <c r="G97" s="16" t="n">
        <f aca="false">IF(C97=0,(1+Dic2025!$J$6)^(-B97),EXP(LN(INDEX(Dic2025!$K$6:$K$205,C97))+(LN(INDEX(Dic2025!$K$6:$K$205,MIN(C97+1,200)))-LN(INDEX(Dic2025!$K$6:$K$205,C97)))*(A97-6*C97)/6))</f>
        <v>0.699973054780785</v>
      </c>
      <c r="H97" s="12" t="n">
        <f aca="false">G97^(-1/B97)-1</f>
        <v>0.0471032481683493</v>
      </c>
      <c r="I97" s="12" t="n">
        <f aca="false">(1+H97)^(1/12)-1</f>
        <v>0.00384299380046582</v>
      </c>
      <c r="J97" s="16" t="n">
        <f aca="false">IF(C97=0,(1+Dic2025!$M$6)^(-B97),EXP(LN(INDEX(Dic2025!$N$6:$N$205,C97))+(LN(INDEX(Dic2025!$N$6:$N$205,MIN(C97+1,200)))-LN(INDEX(Dic2025!$N$6:$N$205,C97)))*(A97-6*C97)/6))</f>
        <v>0.699973054780785</v>
      </c>
      <c r="K97" s="12" t="n">
        <f aca="false">J97^(-1/B97)-1</f>
        <v>0.0471032481683493</v>
      </c>
      <c r="L97" s="12" t="n">
        <f aca="false">(1+K97)^(1/12)-1</f>
        <v>0.00384299380046582</v>
      </c>
    </row>
    <row r="98" customFormat="false" ht="15" hidden="false" customHeight="false" outlineLevel="0" collapsed="false">
      <c r="A98" s="4" t="n">
        <v>94</v>
      </c>
      <c r="B98" s="14" t="n">
        <f aca="false">A98/12</f>
        <v>7.83333333333333</v>
      </c>
      <c r="C98" s="15" t="n">
        <f aca="false">INT(A98/6)</f>
        <v>15</v>
      </c>
      <c r="D98" s="16" t="n">
        <f aca="false">IF(C98=0,(1+Dic2025!$G$6)^(-B98),EXP(LN(INDEX(Dic2025!$H$6:$H$205,C98))+(LN(INDEX(Dic2025!$H$6:$H$205,MIN(C98+1,200)))-LN(INDEX(Dic2025!$H$6:$H$205,C98)))*(A98-6*C98)/6))</f>
        <v>0.696678144394672</v>
      </c>
      <c r="E98" s="12" t="n">
        <f aca="false">D98^(-1/B98)-1</f>
        <v>0.047221245271684</v>
      </c>
      <c r="F98" s="12" t="n">
        <f aca="false">(1+E98)^(1/12)-1</f>
        <v>0.00385242015902909</v>
      </c>
      <c r="G98" s="16" t="n">
        <f aca="false">IF(C98=0,(1+Dic2025!$J$6)^(-B98),EXP(LN(INDEX(Dic2025!$K$6:$K$205,C98))+(LN(INDEX(Dic2025!$K$6:$K$205,MIN(C98+1,200)))-LN(INDEX(Dic2025!$K$6:$K$205,C98)))*(A98-6*C98)/6))</f>
        <v>0.696678144394672</v>
      </c>
      <c r="H98" s="12" t="n">
        <f aca="false">G98^(-1/B98)-1</f>
        <v>0.047221245271684</v>
      </c>
      <c r="I98" s="12" t="n">
        <f aca="false">(1+H98)^(1/12)-1</f>
        <v>0.00385242015902909</v>
      </c>
      <c r="J98" s="16" t="n">
        <f aca="false">IF(C98=0,(1+Dic2025!$M$6)^(-B98),EXP(LN(INDEX(Dic2025!$N$6:$N$205,C98))+(LN(INDEX(Dic2025!$N$6:$N$205,MIN(C98+1,200)))-LN(INDEX(Dic2025!$N$6:$N$205,C98)))*(A98-6*C98)/6))</f>
        <v>0.696678144394672</v>
      </c>
      <c r="K98" s="12" t="n">
        <f aca="false">J98^(-1/B98)-1</f>
        <v>0.047221245271684</v>
      </c>
      <c r="L98" s="12" t="n">
        <f aca="false">(1+K98)^(1/12)-1</f>
        <v>0.00385242015902909</v>
      </c>
    </row>
    <row r="99" customFormat="false" ht="15" hidden="false" customHeight="false" outlineLevel="0" collapsed="false">
      <c r="A99" s="4" t="n">
        <v>95</v>
      </c>
      <c r="B99" s="14" t="n">
        <f aca="false">A99/12</f>
        <v>7.91666666666667</v>
      </c>
      <c r="C99" s="15" t="n">
        <f aca="false">INT(A99/6)</f>
        <v>15</v>
      </c>
      <c r="D99" s="16" t="n">
        <f aca="false">IF(C99=0,(1+Dic2025!$G$6)^(-B99),EXP(LN(INDEX(Dic2025!$H$6:$H$205,C99))+(LN(INDEX(Dic2025!$H$6:$H$205,MIN(C99+1,200)))-LN(INDEX(Dic2025!$H$6:$H$205,C99)))*(A99-6*C99)/6))</f>
        <v>0.693398743797655</v>
      </c>
      <c r="E99" s="12" t="n">
        <f aca="false">D99^(-1/B99)-1</f>
        <v>0.0473367711054917</v>
      </c>
      <c r="F99" s="12" t="n">
        <f aca="false">(1+E99)^(1/12)-1</f>
        <v>0.00386164815367862</v>
      </c>
      <c r="G99" s="16" t="n">
        <f aca="false">IF(C99=0,(1+Dic2025!$J$6)^(-B99),EXP(LN(INDEX(Dic2025!$K$6:$K$205,C99))+(LN(INDEX(Dic2025!$K$6:$K$205,MIN(C99+1,200)))-LN(INDEX(Dic2025!$K$6:$K$205,C99)))*(A99-6*C99)/6))</f>
        <v>0.693398743797655</v>
      </c>
      <c r="H99" s="12" t="n">
        <f aca="false">G99^(-1/B99)-1</f>
        <v>0.0473367711054917</v>
      </c>
      <c r="I99" s="12" t="n">
        <f aca="false">(1+H99)^(1/12)-1</f>
        <v>0.00386164815367862</v>
      </c>
      <c r="J99" s="16" t="n">
        <f aca="false">IF(C99=0,(1+Dic2025!$M$6)^(-B99),EXP(LN(INDEX(Dic2025!$N$6:$N$205,C99))+(LN(INDEX(Dic2025!$N$6:$N$205,MIN(C99+1,200)))-LN(INDEX(Dic2025!$N$6:$N$205,C99)))*(A99-6*C99)/6))</f>
        <v>0.693398743797655</v>
      </c>
      <c r="K99" s="12" t="n">
        <f aca="false">J99^(-1/B99)-1</f>
        <v>0.0473367711054917</v>
      </c>
      <c r="L99" s="12" t="n">
        <f aca="false">(1+K99)^(1/12)-1</f>
        <v>0.00386164815367862</v>
      </c>
    </row>
    <row r="100" customFormat="false" ht="15" hidden="false" customHeight="false" outlineLevel="0" collapsed="false">
      <c r="A100" s="4" t="n">
        <v>96</v>
      </c>
      <c r="B100" s="14" t="n">
        <f aca="false">A100/12</f>
        <v>8</v>
      </c>
      <c r="C100" s="15" t="n">
        <f aca="false">INT(A100/6)</f>
        <v>16</v>
      </c>
      <c r="D100" s="16" t="n">
        <f aca="false">IF(C100=0,(1+Dic2025!$G$6)^(-B100),EXP(LN(INDEX(Dic2025!$H$6:$H$205,C100))+(LN(INDEX(Dic2025!$H$6:$H$205,MIN(C100+1,200)))-LN(INDEX(Dic2025!$H$6:$H$205,C100)))*(A100-6*C100)/6))</f>
        <v>0.690134779982116</v>
      </c>
      <c r="E100" s="12" t="n">
        <f aca="false">D100^(-1/B100)-1</f>
        <v>0.0474499024999999</v>
      </c>
      <c r="F100" s="12" t="n">
        <f aca="false">(1+E100)^(1/12)-1</f>
        <v>0.00387068398063639</v>
      </c>
      <c r="G100" s="16" t="n">
        <f aca="false">IF(C100=0,(1+Dic2025!$J$6)^(-B100),EXP(LN(INDEX(Dic2025!$K$6:$K$205,C100))+(LN(INDEX(Dic2025!$K$6:$K$205,MIN(C100+1,200)))-LN(INDEX(Dic2025!$K$6:$K$205,C100)))*(A100-6*C100)/6))</f>
        <v>0.690134779982116</v>
      </c>
      <c r="H100" s="12" t="n">
        <f aca="false">G100^(-1/B100)-1</f>
        <v>0.0474499024999999</v>
      </c>
      <c r="I100" s="12" t="n">
        <f aca="false">(1+H100)^(1/12)-1</f>
        <v>0.00387068398063639</v>
      </c>
      <c r="J100" s="16" t="n">
        <f aca="false">IF(C100=0,(1+Dic2025!$M$6)^(-B100),EXP(LN(INDEX(Dic2025!$N$6:$N$205,C100))+(LN(INDEX(Dic2025!$N$6:$N$205,MIN(C100+1,200)))-LN(INDEX(Dic2025!$N$6:$N$205,C100)))*(A100-6*C100)/6))</f>
        <v>0.690134779982116</v>
      </c>
      <c r="K100" s="12" t="n">
        <f aca="false">J100^(-1/B100)-1</f>
        <v>0.0474499024999999</v>
      </c>
      <c r="L100" s="12" t="n">
        <f aca="false">(1+K100)^(1/12)-1</f>
        <v>0.00387068398063639</v>
      </c>
    </row>
    <row r="101" customFormat="false" ht="15" hidden="false" customHeight="false" outlineLevel="0" collapsed="false">
      <c r="A101" s="4" t="n">
        <v>97</v>
      </c>
      <c r="B101" s="14" t="n">
        <f aca="false">A101/12</f>
        <v>8.08333333333333</v>
      </c>
      <c r="C101" s="15" t="n">
        <f aca="false">INT(A101/6)</f>
        <v>16</v>
      </c>
      <c r="D101" s="16" t="n">
        <f aca="false">IF(C101=0,(1+Dic2025!$G$6)^(-B101),EXP(LN(INDEX(Dic2025!$H$6:$H$205,C101))+(LN(INDEX(Dic2025!$H$6:$H$205,MIN(C101+1,200)))-LN(INDEX(Dic2025!$H$6:$H$205,C101)))*(A101-6*C101)/6))</f>
        <v>0.686808098364965</v>
      </c>
      <c r="E101" s="12" t="n">
        <f aca="false">D101^(-1/B101)-1</f>
        <v>0.047575445826832</v>
      </c>
      <c r="F101" s="12" t="n">
        <f aca="false">(1+E101)^(1/12)-1</f>
        <v>0.00388071010394664</v>
      </c>
      <c r="G101" s="16" t="n">
        <f aca="false">IF(C101=0,(1+Dic2025!$J$6)^(-B101),EXP(LN(INDEX(Dic2025!$K$6:$K$205,C101))+(LN(INDEX(Dic2025!$K$6:$K$205,MIN(C101+1,200)))-LN(INDEX(Dic2025!$K$6:$K$205,C101)))*(A101-6*C101)/6))</f>
        <v>0.686808098364965</v>
      </c>
      <c r="H101" s="12" t="n">
        <f aca="false">G101^(-1/B101)-1</f>
        <v>0.047575445826832</v>
      </c>
      <c r="I101" s="12" t="n">
        <f aca="false">(1+H101)^(1/12)-1</f>
        <v>0.00388071010394664</v>
      </c>
      <c r="J101" s="16" t="n">
        <f aca="false">IF(C101=0,(1+Dic2025!$M$6)^(-B101),EXP(LN(INDEX(Dic2025!$N$6:$N$205,C101))+(LN(INDEX(Dic2025!$N$6:$N$205,MIN(C101+1,200)))-LN(INDEX(Dic2025!$N$6:$N$205,C101)))*(A101-6*C101)/6))</f>
        <v>0.686808098364965</v>
      </c>
      <c r="K101" s="12" t="n">
        <f aca="false">J101^(-1/B101)-1</f>
        <v>0.047575445826832</v>
      </c>
      <c r="L101" s="12" t="n">
        <f aca="false">(1+K101)^(1/12)-1</f>
        <v>0.00388071010394664</v>
      </c>
    </row>
    <row r="102" customFormat="false" ht="15" hidden="false" customHeight="false" outlineLevel="0" collapsed="false">
      <c r="A102" s="4" t="n">
        <v>98</v>
      </c>
      <c r="B102" s="14" t="n">
        <f aca="false">A102/12</f>
        <v>8.16666666666667</v>
      </c>
      <c r="C102" s="15" t="n">
        <f aca="false">INT(A102/6)</f>
        <v>16</v>
      </c>
      <c r="D102" s="16" t="n">
        <f aca="false">IF(C102=0,(1+Dic2025!$G$6)^(-B102),EXP(LN(INDEX(Dic2025!$H$6:$H$205,C102))+(LN(INDEX(Dic2025!$H$6:$H$205,MIN(C102+1,200)))-LN(INDEX(Dic2025!$H$6:$H$205,C102)))*(A102-6*C102)/6))</f>
        <v>0.683497452471419</v>
      </c>
      <c r="E102" s="12" t="n">
        <f aca="false">D102^(-1/B102)-1</f>
        <v>0.0476984416345898</v>
      </c>
      <c r="F102" s="12" t="n">
        <f aca="false">(1+E102)^(1/12)-1</f>
        <v>0.00389053170958653</v>
      </c>
      <c r="G102" s="16" t="n">
        <f aca="false">IF(C102=0,(1+Dic2025!$J$6)^(-B102),EXP(LN(INDEX(Dic2025!$K$6:$K$205,C102))+(LN(INDEX(Dic2025!$K$6:$K$205,MIN(C102+1,200)))-LN(INDEX(Dic2025!$K$6:$K$205,C102)))*(A102-6*C102)/6))</f>
        <v>0.683497452471419</v>
      </c>
      <c r="H102" s="12" t="n">
        <f aca="false">G102^(-1/B102)-1</f>
        <v>0.0476984416345898</v>
      </c>
      <c r="I102" s="12" t="n">
        <f aca="false">(1+H102)^(1/12)-1</f>
        <v>0.00389053170958653</v>
      </c>
      <c r="J102" s="16" t="n">
        <f aca="false">IF(C102=0,(1+Dic2025!$M$6)^(-B102),EXP(LN(INDEX(Dic2025!$N$6:$N$205,C102))+(LN(INDEX(Dic2025!$N$6:$N$205,MIN(C102+1,200)))-LN(INDEX(Dic2025!$N$6:$N$205,C102)))*(A102-6*C102)/6))</f>
        <v>0.683497452471419</v>
      </c>
      <c r="K102" s="12" t="n">
        <f aca="false">J102^(-1/B102)-1</f>
        <v>0.0476984416345898</v>
      </c>
      <c r="L102" s="12" t="n">
        <f aca="false">(1+K102)^(1/12)-1</f>
        <v>0.00389053170958653</v>
      </c>
    </row>
    <row r="103" customFormat="false" ht="15" hidden="false" customHeight="false" outlineLevel="0" collapsed="false">
      <c r="A103" s="4" t="n">
        <v>99</v>
      </c>
      <c r="B103" s="14" t="n">
        <f aca="false">A103/12</f>
        <v>8.25</v>
      </c>
      <c r="C103" s="15" t="n">
        <f aca="false">INT(A103/6)</f>
        <v>16</v>
      </c>
      <c r="D103" s="16" t="n">
        <f aca="false">IF(C103=0,(1+Dic2025!$G$6)^(-B103),EXP(LN(INDEX(Dic2025!$H$6:$H$205,C103))+(LN(INDEX(Dic2025!$H$6:$H$205,MIN(C103+1,200)))-LN(INDEX(Dic2025!$H$6:$H$205,C103)))*(A103-6*C103)/6))</f>
        <v>0.6802027650039</v>
      </c>
      <c r="E103" s="12" t="n">
        <f aca="false">D103^(-1/B103)-1</f>
        <v>0.0478189666848208</v>
      </c>
      <c r="F103" s="12" t="n">
        <f aca="false">(1+E103)^(1/12)-1</f>
        <v>0.00390015499214957</v>
      </c>
      <c r="G103" s="16" t="n">
        <f aca="false">IF(C103=0,(1+Dic2025!$J$6)^(-B103),EXP(LN(INDEX(Dic2025!$K$6:$K$205,C103))+(LN(INDEX(Dic2025!$K$6:$K$205,MIN(C103+1,200)))-LN(INDEX(Dic2025!$K$6:$K$205,C103)))*(A103-6*C103)/6))</f>
        <v>0.6802027650039</v>
      </c>
      <c r="H103" s="12" t="n">
        <f aca="false">G103^(-1/B103)-1</f>
        <v>0.0478189666848208</v>
      </c>
      <c r="I103" s="12" t="n">
        <f aca="false">(1+H103)^(1/12)-1</f>
        <v>0.00390015499214957</v>
      </c>
      <c r="J103" s="16" t="n">
        <f aca="false">IF(C103=0,(1+Dic2025!$M$6)^(-B103),EXP(LN(INDEX(Dic2025!$N$6:$N$205,C103))+(LN(INDEX(Dic2025!$N$6:$N$205,MIN(C103+1,200)))-LN(INDEX(Dic2025!$N$6:$N$205,C103)))*(A103-6*C103)/6))</f>
        <v>0.6802027650039</v>
      </c>
      <c r="K103" s="12" t="n">
        <f aca="false">J103^(-1/B103)-1</f>
        <v>0.0478189666848208</v>
      </c>
      <c r="L103" s="12" t="n">
        <f aca="false">(1+K103)^(1/12)-1</f>
        <v>0.00390015499214957</v>
      </c>
    </row>
    <row r="104" customFormat="false" ht="15" hidden="false" customHeight="false" outlineLevel="0" collapsed="false">
      <c r="A104" s="4" t="n">
        <v>100</v>
      </c>
      <c r="B104" s="14" t="n">
        <f aca="false">A104/12</f>
        <v>8.33333333333333</v>
      </c>
      <c r="C104" s="15" t="n">
        <f aca="false">INT(A104/6)</f>
        <v>16</v>
      </c>
      <c r="D104" s="16" t="n">
        <f aca="false">IF(C104=0,(1+Dic2025!$G$6)^(-B104),EXP(LN(INDEX(Dic2025!$H$6:$H$205,C104))+(LN(INDEX(Dic2025!$H$6:$H$205,MIN(C104+1,200)))-LN(INDEX(Dic2025!$H$6:$H$205,C104)))*(A104-6*C104)/6))</f>
        <v>0.676923959037431</v>
      </c>
      <c r="E104" s="12" t="n">
        <f aca="false">D104^(-1/B104)-1</f>
        <v>0.0479370946858126</v>
      </c>
      <c r="F104" s="12" t="n">
        <f aca="false">(1+E104)^(1/12)-1</f>
        <v>0.00390958589856116</v>
      </c>
      <c r="G104" s="16" t="n">
        <f aca="false">IF(C104=0,(1+Dic2025!$J$6)^(-B104),EXP(LN(INDEX(Dic2025!$K$6:$K$205,C104))+(LN(INDEX(Dic2025!$K$6:$K$205,MIN(C104+1,200)))-LN(INDEX(Dic2025!$K$6:$K$205,C104)))*(A104-6*C104)/6))</f>
        <v>0.676923959037431</v>
      </c>
      <c r="H104" s="12" t="n">
        <f aca="false">G104^(-1/B104)-1</f>
        <v>0.0479370946858126</v>
      </c>
      <c r="I104" s="12" t="n">
        <f aca="false">(1+H104)^(1/12)-1</f>
        <v>0.00390958589856116</v>
      </c>
      <c r="J104" s="16" t="n">
        <f aca="false">IF(C104=0,(1+Dic2025!$M$6)^(-B104),EXP(LN(INDEX(Dic2025!$N$6:$N$205,C104))+(LN(INDEX(Dic2025!$N$6:$N$205,MIN(C104+1,200)))-LN(INDEX(Dic2025!$N$6:$N$205,C104)))*(A104-6*C104)/6))</f>
        <v>0.676923959037431</v>
      </c>
      <c r="K104" s="12" t="n">
        <f aca="false">J104^(-1/B104)-1</f>
        <v>0.0479370946858126</v>
      </c>
      <c r="L104" s="12" t="n">
        <f aca="false">(1+K104)^(1/12)-1</f>
        <v>0.00390958589856116</v>
      </c>
    </row>
    <row r="105" customFormat="false" ht="15" hidden="false" customHeight="false" outlineLevel="0" collapsed="false">
      <c r="A105" s="4" t="n">
        <v>101</v>
      </c>
      <c r="B105" s="14" t="n">
        <f aca="false">A105/12</f>
        <v>8.41666666666667</v>
      </c>
      <c r="C105" s="15" t="n">
        <f aca="false">INT(A105/6)</f>
        <v>16</v>
      </c>
      <c r="D105" s="16" t="n">
        <f aca="false">IF(C105=0,(1+Dic2025!$G$6)^(-B105),EXP(LN(INDEX(Dic2025!$H$6:$H$205,C105))+(LN(INDEX(Dic2025!$H$6:$H$205,MIN(C105+1,200)))-LN(INDEX(Dic2025!$H$6:$H$205,C105)))*(A105-6*C105)/6))</f>
        <v>0.673660958017837</v>
      </c>
      <c r="E105" s="12" t="n">
        <f aca="false">D105^(-1/B105)-1</f>
        <v>0.0480528964429032</v>
      </c>
      <c r="F105" s="12" t="n">
        <f aca="false">(1+E105)^(1/12)-1</f>
        <v>0.00391883014033279</v>
      </c>
      <c r="G105" s="16" t="n">
        <f aca="false">IF(C105=0,(1+Dic2025!$J$6)^(-B105),EXP(LN(INDEX(Dic2025!$K$6:$K$205,C105))+(LN(INDEX(Dic2025!$K$6:$K$205,MIN(C105+1,200)))-LN(INDEX(Dic2025!$K$6:$K$205,C105)))*(A105-6*C105)/6))</f>
        <v>0.673660958017837</v>
      </c>
      <c r="H105" s="12" t="n">
        <f aca="false">G105^(-1/B105)-1</f>
        <v>0.0480528964429032</v>
      </c>
      <c r="I105" s="12" t="n">
        <f aca="false">(1+H105)^(1/12)-1</f>
        <v>0.00391883014033279</v>
      </c>
      <c r="J105" s="16" t="n">
        <f aca="false">IF(C105=0,(1+Dic2025!$M$6)^(-B105),EXP(LN(INDEX(Dic2025!$N$6:$N$205,C105))+(LN(INDEX(Dic2025!$N$6:$N$205,MIN(C105+1,200)))-LN(INDEX(Dic2025!$N$6:$N$205,C105)))*(A105-6*C105)/6))</f>
        <v>0.673660958017837</v>
      </c>
      <c r="K105" s="12" t="n">
        <f aca="false">J105^(-1/B105)-1</f>
        <v>0.0480528964429032</v>
      </c>
      <c r="L105" s="12" t="n">
        <f aca="false">(1+K105)^(1/12)-1</f>
        <v>0.00391883014033279</v>
      </c>
    </row>
    <row r="106" customFormat="false" ht="15" hidden="false" customHeight="false" outlineLevel="0" collapsed="false">
      <c r="A106" s="4" t="n">
        <v>102</v>
      </c>
      <c r="B106" s="14" t="n">
        <f aca="false">A106/12</f>
        <v>8.5</v>
      </c>
      <c r="C106" s="15" t="n">
        <f aca="false">INT(A106/6)</f>
        <v>17</v>
      </c>
      <c r="D106" s="16" t="n">
        <f aca="false">IF(C106=0,(1+Dic2025!$G$6)^(-B106),EXP(LN(INDEX(Dic2025!$H$6:$H$205,C106))+(LN(INDEX(Dic2025!$H$6:$H$205,MIN(C106+1,200)))-LN(INDEX(Dic2025!$H$6:$H$205,C106)))*(A106-6*C106)/6))</f>
        <v>0.670413685759962</v>
      </c>
      <c r="E106" s="12" t="n">
        <f aca="false">D106^(-1/B106)-1</f>
        <v>0.0481664400000001</v>
      </c>
      <c r="F106" s="12" t="n">
        <f aca="false">(1+E106)^(1/12)-1</f>
        <v>0.0039278932050979</v>
      </c>
      <c r="G106" s="16" t="n">
        <f aca="false">IF(C106=0,(1+Dic2025!$J$6)^(-B106),EXP(LN(INDEX(Dic2025!$K$6:$K$205,C106))+(LN(INDEX(Dic2025!$K$6:$K$205,MIN(C106+1,200)))-LN(INDEX(Dic2025!$K$6:$K$205,C106)))*(A106-6*C106)/6))</f>
        <v>0.670413685759962</v>
      </c>
      <c r="H106" s="12" t="n">
        <f aca="false">G106^(-1/B106)-1</f>
        <v>0.0481664400000001</v>
      </c>
      <c r="I106" s="12" t="n">
        <f aca="false">(1+H106)^(1/12)-1</f>
        <v>0.0039278932050979</v>
      </c>
      <c r="J106" s="16" t="n">
        <f aca="false">IF(C106=0,(1+Dic2025!$M$6)^(-B106),EXP(LN(INDEX(Dic2025!$N$6:$N$205,C106))+(LN(INDEX(Dic2025!$N$6:$N$205,MIN(C106+1,200)))-LN(INDEX(Dic2025!$N$6:$N$205,C106)))*(A106-6*C106)/6))</f>
        <v>0.670413685759962</v>
      </c>
      <c r="K106" s="12" t="n">
        <f aca="false">J106^(-1/B106)-1</f>
        <v>0.0481664400000001</v>
      </c>
      <c r="L106" s="12" t="n">
        <f aca="false">(1+K106)^(1/12)-1</f>
        <v>0.0039278932050979</v>
      </c>
    </row>
    <row r="107" customFormat="false" ht="15" hidden="false" customHeight="false" outlineLevel="0" collapsed="false">
      <c r="A107" s="4" t="n">
        <v>103</v>
      </c>
      <c r="B107" s="14" t="n">
        <f aca="false">A107/12</f>
        <v>8.58333333333333</v>
      </c>
      <c r="C107" s="15" t="n">
        <f aca="false">INT(A107/6)</f>
        <v>17</v>
      </c>
      <c r="D107" s="16" t="n">
        <f aca="false">IF(C107=0,(1+Dic2025!$G$6)^(-B107),EXP(LN(INDEX(Dic2025!$H$6:$H$205,C107))+(LN(INDEX(Dic2025!$H$6:$H$205,MIN(C107+1,200)))-LN(INDEX(Dic2025!$H$6:$H$205,C107)))*(A107-6*C107)/6))</f>
        <v>0.667106263244971</v>
      </c>
      <c r="E107" s="12" t="n">
        <f aca="false">D107^(-1/B107)-1</f>
        <v>0.048291667630576</v>
      </c>
      <c r="F107" s="12" t="n">
        <f aca="false">(1+E107)^(1/12)-1</f>
        <v>0.00393788785089511</v>
      </c>
      <c r="G107" s="16" t="n">
        <f aca="false">IF(C107=0,(1+Dic2025!$J$6)^(-B107),EXP(LN(INDEX(Dic2025!$K$6:$K$205,C107))+(LN(INDEX(Dic2025!$K$6:$K$205,MIN(C107+1,200)))-LN(INDEX(Dic2025!$K$6:$K$205,C107)))*(A107-6*C107)/6))</f>
        <v>0.667106263244971</v>
      </c>
      <c r="H107" s="12" t="n">
        <f aca="false">G107^(-1/B107)-1</f>
        <v>0.048291667630576</v>
      </c>
      <c r="I107" s="12" t="n">
        <f aca="false">(1+H107)^(1/12)-1</f>
        <v>0.00393788785089511</v>
      </c>
      <c r="J107" s="16" t="n">
        <f aca="false">IF(C107=0,(1+Dic2025!$M$6)^(-B107),EXP(LN(INDEX(Dic2025!$N$6:$N$205,C107))+(LN(INDEX(Dic2025!$N$6:$N$205,MIN(C107+1,200)))-LN(INDEX(Dic2025!$N$6:$N$205,C107)))*(A107-6*C107)/6))</f>
        <v>0.667106263244971</v>
      </c>
      <c r="K107" s="12" t="n">
        <f aca="false">J107^(-1/B107)-1</f>
        <v>0.048291667630576</v>
      </c>
      <c r="L107" s="12" t="n">
        <f aca="false">(1+K107)^(1/12)-1</f>
        <v>0.00393788785089511</v>
      </c>
    </row>
    <row r="108" customFormat="false" ht="15" hidden="false" customHeight="false" outlineLevel="0" collapsed="false">
      <c r="A108" s="4" t="n">
        <v>104</v>
      </c>
      <c r="B108" s="14" t="n">
        <f aca="false">A108/12</f>
        <v>8.66666666666667</v>
      </c>
      <c r="C108" s="15" t="n">
        <f aca="false">INT(A108/6)</f>
        <v>17</v>
      </c>
      <c r="D108" s="16" t="n">
        <f aca="false">IF(C108=0,(1+Dic2025!$G$6)^(-B108),EXP(LN(INDEX(Dic2025!$H$6:$H$205,C108))+(LN(INDEX(Dic2025!$H$6:$H$205,MIN(C108+1,200)))-LN(INDEX(Dic2025!$H$6:$H$205,C108)))*(A108-6*C108)/6))</f>
        <v>0.66381515758616</v>
      </c>
      <c r="E108" s="12" t="n">
        <f aca="false">D108^(-1/B108)-1</f>
        <v>0.0484145015699913</v>
      </c>
      <c r="F108" s="12" t="n">
        <f aca="false">(1+E108)^(1/12)-1</f>
        <v>0.00394769038861553</v>
      </c>
      <c r="G108" s="16" t="n">
        <f aca="false">IF(C108=0,(1+Dic2025!$J$6)^(-B108),EXP(LN(INDEX(Dic2025!$K$6:$K$205,C108))+(LN(INDEX(Dic2025!$K$6:$K$205,MIN(C108+1,200)))-LN(INDEX(Dic2025!$K$6:$K$205,C108)))*(A108-6*C108)/6))</f>
        <v>0.66381515758616</v>
      </c>
      <c r="H108" s="12" t="n">
        <f aca="false">G108^(-1/B108)-1</f>
        <v>0.0484145015699913</v>
      </c>
      <c r="I108" s="12" t="n">
        <f aca="false">(1+H108)^(1/12)-1</f>
        <v>0.00394769038861553</v>
      </c>
      <c r="J108" s="16" t="n">
        <f aca="false">IF(C108=0,(1+Dic2025!$M$6)^(-B108),EXP(LN(INDEX(Dic2025!$N$6:$N$205,C108))+(LN(INDEX(Dic2025!$N$6:$N$205,MIN(C108+1,200)))-LN(INDEX(Dic2025!$N$6:$N$205,C108)))*(A108-6*C108)/6))</f>
        <v>0.66381515758616</v>
      </c>
      <c r="K108" s="12" t="n">
        <f aca="false">J108^(-1/B108)-1</f>
        <v>0.0484145015699913</v>
      </c>
      <c r="L108" s="12" t="n">
        <f aca="false">(1+K108)^(1/12)-1</f>
        <v>0.00394769038861553</v>
      </c>
    </row>
    <row r="109" customFormat="false" ht="15" hidden="false" customHeight="false" outlineLevel="0" collapsed="false">
      <c r="A109" s="4" t="n">
        <v>105</v>
      </c>
      <c r="B109" s="14" t="n">
        <f aca="false">A109/12</f>
        <v>8.75</v>
      </c>
      <c r="C109" s="15" t="n">
        <f aca="false">INT(A109/6)</f>
        <v>17</v>
      </c>
      <c r="D109" s="16" t="n">
        <f aca="false">IF(C109=0,(1+Dic2025!$G$6)^(-B109),EXP(LN(INDEX(Dic2025!$H$6:$H$205,C109))+(LN(INDEX(Dic2025!$H$6:$H$205,MIN(C109+1,200)))-LN(INDEX(Dic2025!$H$6:$H$205,C109)))*(A109-6*C109)/6))</f>
        <v>0.660540288285865</v>
      </c>
      <c r="E109" s="12" t="n">
        <f aca="false">D109^(-1/B109)-1</f>
        <v>0.0485350097998007</v>
      </c>
      <c r="F109" s="12" t="n">
        <f aca="false">(1+E109)^(1/12)-1</f>
        <v>0.00395730630432745</v>
      </c>
      <c r="G109" s="16" t="n">
        <f aca="false">IF(C109=0,(1+Dic2025!$J$6)^(-B109),EXP(LN(INDEX(Dic2025!$K$6:$K$205,C109))+(LN(INDEX(Dic2025!$K$6:$K$205,MIN(C109+1,200)))-LN(INDEX(Dic2025!$K$6:$K$205,C109)))*(A109-6*C109)/6))</f>
        <v>0.660540288285865</v>
      </c>
      <c r="H109" s="12" t="n">
        <f aca="false">G109^(-1/B109)-1</f>
        <v>0.0485350097998007</v>
      </c>
      <c r="I109" s="12" t="n">
        <f aca="false">(1+H109)^(1/12)-1</f>
        <v>0.00395730630432745</v>
      </c>
      <c r="J109" s="16" t="n">
        <f aca="false">IF(C109=0,(1+Dic2025!$M$6)^(-B109),EXP(LN(INDEX(Dic2025!$N$6:$N$205,C109))+(LN(INDEX(Dic2025!$N$6:$N$205,MIN(C109+1,200)))-LN(INDEX(Dic2025!$N$6:$N$205,C109)))*(A109-6*C109)/6))</f>
        <v>0.660540288285865</v>
      </c>
      <c r="K109" s="12" t="n">
        <f aca="false">J109^(-1/B109)-1</f>
        <v>0.0485350097998007</v>
      </c>
      <c r="L109" s="12" t="n">
        <f aca="false">(1+K109)^(1/12)-1</f>
        <v>0.00395730630432745</v>
      </c>
    </row>
    <row r="110" customFormat="false" ht="15" hidden="false" customHeight="false" outlineLevel="0" collapsed="false">
      <c r="A110" s="4" t="n">
        <v>106</v>
      </c>
      <c r="B110" s="14" t="n">
        <f aca="false">A110/12</f>
        <v>8.83333333333333</v>
      </c>
      <c r="C110" s="15" t="n">
        <f aca="false">INT(A110/6)</f>
        <v>17</v>
      </c>
      <c r="D110" s="16" t="n">
        <f aca="false">IF(C110=0,(1+Dic2025!$G$6)^(-B110),EXP(LN(INDEX(Dic2025!$H$6:$H$205,C110))+(LN(INDEX(Dic2025!$H$6:$H$205,MIN(C110+1,200)))-LN(INDEX(Dic2025!$H$6:$H$205,C110)))*(A110-6*C110)/6))</f>
        <v>0.657281575243545</v>
      </c>
      <c r="E110" s="12" t="n">
        <f aca="false">D110^(-1/B110)-1</f>
        <v>0.0486532577514687</v>
      </c>
      <c r="F110" s="12" t="n">
        <f aca="false">(1+E110)^(1/12)-1</f>
        <v>0.00396674087717952</v>
      </c>
      <c r="G110" s="16" t="n">
        <f aca="false">IF(C110=0,(1+Dic2025!$J$6)^(-B110),EXP(LN(INDEX(Dic2025!$K$6:$K$205,C110))+(LN(INDEX(Dic2025!$K$6:$K$205,MIN(C110+1,200)))-LN(INDEX(Dic2025!$K$6:$K$205,C110)))*(A110-6*C110)/6))</f>
        <v>0.657281575243545</v>
      </c>
      <c r="H110" s="12" t="n">
        <f aca="false">G110^(-1/B110)-1</f>
        <v>0.0486532577514687</v>
      </c>
      <c r="I110" s="12" t="n">
        <f aca="false">(1+H110)^(1/12)-1</f>
        <v>0.00396674087717952</v>
      </c>
      <c r="J110" s="16" t="n">
        <f aca="false">IF(C110=0,(1+Dic2025!$M$6)^(-B110),EXP(LN(INDEX(Dic2025!$N$6:$N$205,C110))+(LN(INDEX(Dic2025!$N$6:$N$205,MIN(C110+1,200)))-LN(INDEX(Dic2025!$N$6:$N$205,C110)))*(A110-6*C110)/6))</f>
        <v>0.657281575243545</v>
      </c>
      <c r="K110" s="12" t="n">
        <f aca="false">J110^(-1/B110)-1</f>
        <v>0.0486532577514687</v>
      </c>
      <c r="L110" s="12" t="n">
        <f aca="false">(1+K110)^(1/12)-1</f>
        <v>0.00396674087717952</v>
      </c>
    </row>
    <row r="111" customFormat="false" ht="15" hidden="false" customHeight="false" outlineLevel="0" collapsed="false">
      <c r="A111" s="4" t="n">
        <v>107</v>
      </c>
      <c r="B111" s="14" t="n">
        <f aca="false">A111/12</f>
        <v>8.91666666666667</v>
      </c>
      <c r="C111" s="15" t="n">
        <f aca="false">INT(A111/6)</f>
        <v>17</v>
      </c>
      <c r="D111" s="16" t="n">
        <f aca="false">IF(C111=0,(1+Dic2025!$G$6)^(-B111),EXP(LN(INDEX(Dic2025!$H$6:$H$205,C111))+(LN(INDEX(Dic2025!$H$6:$H$205,MIN(C111+1,200)))-LN(INDEX(Dic2025!$H$6:$H$205,C111)))*(A111-6*C111)/6))</f>
        <v>0.65403893875383</v>
      </c>
      <c r="E111" s="12" t="n">
        <f aca="false">D111^(-1/B111)-1</f>
        <v>0.0487693084248282</v>
      </c>
      <c r="F111" s="12" t="n">
        <f aca="false">(1+E111)^(1/12)-1</f>
        <v>0.00397599918906533</v>
      </c>
      <c r="G111" s="16" t="n">
        <f aca="false">IF(C111=0,(1+Dic2025!$J$6)^(-B111),EXP(LN(INDEX(Dic2025!$K$6:$K$205,C111))+(LN(INDEX(Dic2025!$K$6:$K$205,MIN(C111+1,200)))-LN(INDEX(Dic2025!$K$6:$K$205,C111)))*(A111-6*C111)/6))</f>
        <v>0.65403893875383</v>
      </c>
      <c r="H111" s="12" t="n">
        <f aca="false">G111^(-1/B111)-1</f>
        <v>0.0487693084248282</v>
      </c>
      <c r="I111" s="12" t="n">
        <f aca="false">(1+H111)^(1/12)-1</f>
        <v>0.00397599918906533</v>
      </c>
      <c r="J111" s="16" t="n">
        <f aca="false">IF(C111=0,(1+Dic2025!$M$6)^(-B111),EXP(LN(INDEX(Dic2025!$N$6:$N$205,C111))+(LN(INDEX(Dic2025!$N$6:$N$205,MIN(C111+1,200)))-LN(INDEX(Dic2025!$N$6:$N$205,C111)))*(A111-6*C111)/6))</f>
        <v>0.65403893875383</v>
      </c>
      <c r="K111" s="12" t="n">
        <f aca="false">J111^(-1/B111)-1</f>
        <v>0.0487693084248282</v>
      </c>
      <c r="L111" s="12" t="n">
        <f aca="false">(1+K111)^(1/12)-1</f>
        <v>0.00397599918906533</v>
      </c>
    </row>
    <row r="112" customFormat="false" ht="15" hidden="false" customHeight="false" outlineLevel="0" collapsed="false">
      <c r="A112" s="4" t="n">
        <v>108</v>
      </c>
      <c r="B112" s="14" t="n">
        <f aca="false">A112/12</f>
        <v>9</v>
      </c>
      <c r="C112" s="15" t="n">
        <f aca="false">INT(A112/6)</f>
        <v>18</v>
      </c>
      <c r="D112" s="16" t="n">
        <f aca="false">IF(C112=0,(1+Dic2025!$G$6)^(-B112),EXP(LN(INDEX(Dic2025!$H$6:$H$205,C112))+(LN(INDEX(Dic2025!$H$6:$H$205,MIN(C112+1,200)))-LN(INDEX(Dic2025!$H$6:$H$205,C112)))*(A112-6*C112)/6))</f>
        <v>0.650812299504567</v>
      </c>
      <c r="E112" s="12" t="n">
        <f aca="false">D112^(-1/B112)-1</f>
        <v>0.0488832224999998</v>
      </c>
      <c r="F112" s="12" t="n">
        <f aca="false">(1+E112)^(1/12)-1</f>
        <v>0.00398508613375181</v>
      </c>
      <c r="G112" s="16" t="n">
        <f aca="false">IF(C112=0,(1+Dic2025!$J$6)^(-B112),EXP(LN(INDEX(Dic2025!$K$6:$K$205,C112))+(LN(INDEX(Dic2025!$K$6:$K$205,MIN(C112+1,200)))-LN(INDEX(Dic2025!$K$6:$K$205,C112)))*(A112-6*C112)/6))</f>
        <v>0.650812299504567</v>
      </c>
      <c r="H112" s="12" t="n">
        <f aca="false">G112^(-1/B112)-1</f>
        <v>0.0488832224999998</v>
      </c>
      <c r="I112" s="12" t="n">
        <f aca="false">(1+H112)^(1/12)-1</f>
        <v>0.00398508613375181</v>
      </c>
      <c r="J112" s="16" t="n">
        <f aca="false">IF(C112=0,(1+Dic2025!$M$6)^(-B112),EXP(LN(INDEX(Dic2025!$N$6:$N$205,C112))+(LN(INDEX(Dic2025!$N$6:$N$205,MIN(C112+1,200)))-LN(INDEX(Dic2025!$N$6:$N$205,C112)))*(A112-6*C112)/6))</f>
        <v>0.650812299504567</v>
      </c>
      <c r="K112" s="12" t="n">
        <f aca="false">J112^(-1/B112)-1</f>
        <v>0.0488832224999998</v>
      </c>
      <c r="L112" s="12" t="n">
        <f aca="false">(1+K112)^(1/12)-1</f>
        <v>0.00398508613375181</v>
      </c>
    </row>
    <row r="113" customFormat="false" ht="15" hidden="false" customHeight="false" outlineLevel="0" collapsed="false">
      <c r="A113" s="4" t="n">
        <v>109</v>
      </c>
      <c r="B113" s="14" t="n">
        <f aca="false">A113/12</f>
        <v>9.08333333333333</v>
      </c>
      <c r="C113" s="15" t="n">
        <f aca="false">INT(A113/6)</f>
        <v>18</v>
      </c>
      <c r="D113" s="16" t="n">
        <f aca="false">IF(C113=0,(1+Dic2025!$G$6)^(-B113),EXP(LN(INDEX(Dic2025!$H$6:$H$205,C113))+(LN(INDEX(Dic2025!$H$6:$H$205,MIN(C113+1,200)))-LN(INDEX(Dic2025!$H$6:$H$205,C113)))*(A113-6*C113)/6))</f>
        <v>0.647528037724332</v>
      </c>
      <c r="E113" s="12" t="n">
        <f aca="false">D113^(-1/B113)-1</f>
        <v>0.0490081736853865</v>
      </c>
      <c r="F113" s="12" t="n">
        <f aca="false">(1+E113)^(1/12)-1</f>
        <v>0.00399505247024012</v>
      </c>
      <c r="G113" s="16" t="n">
        <f aca="false">IF(C113=0,(1+Dic2025!$J$6)^(-B113),EXP(LN(INDEX(Dic2025!$K$6:$K$205,C113))+(LN(INDEX(Dic2025!$K$6:$K$205,MIN(C113+1,200)))-LN(INDEX(Dic2025!$K$6:$K$205,C113)))*(A113-6*C113)/6))</f>
        <v>0.647528037724332</v>
      </c>
      <c r="H113" s="12" t="n">
        <f aca="false">G113^(-1/B113)-1</f>
        <v>0.0490081736853865</v>
      </c>
      <c r="I113" s="12" t="n">
        <f aca="false">(1+H113)^(1/12)-1</f>
        <v>0.00399505247024012</v>
      </c>
      <c r="J113" s="16" t="n">
        <f aca="false">IF(C113=0,(1+Dic2025!$M$6)^(-B113),EXP(LN(INDEX(Dic2025!$N$6:$N$205,C113))+(LN(INDEX(Dic2025!$N$6:$N$205,MIN(C113+1,200)))-LN(INDEX(Dic2025!$N$6:$N$205,C113)))*(A113-6*C113)/6))</f>
        <v>0.647528037724332</v>
      </c>
      <c r="K113" s="12" t="n">
        <f aca="false">J113^(-1/B113)-1</f>
        <v>0.0490081736853865</v>
      </c>
      <c r="L113" s="12" t="n">
        <f aca="false">(1+K113)^(1/12)-1</f>
        <v>0.00399505247024012</v>
      </c>
    </row>
    <row r="114" customFormat="false" ht="15" hidden="false" customHeight="false" outlineLevel="0" collapsed="false">
      <c r="A114" s="4" t="n">
        <v>110</v>
      </c>
      <c r="B114" s="14" t="n">
        <f aca="false">A114/12</f>
        <v>9.16666666666667</v>
      </c>
      <c r="C114" s="15" t="n">
        <f aca="false">INT(A114/6)</f>
        <v>18</v>
      </c>
      <c r="D114" s="16" t="n">
        <f aca="false">IF(C114=0,(1+Dic2025!$G$6)^(-B114),EXP(LN(INDEX(Dic2025!$H$6:$H$205,C114))+(LN(INDEX(Dic2025!$H$6:$H$205,MIN(C114+1,200)))-LN(INDEX(Dic2025!$H$6:$H$205,C114)))*(A114-6*C114)/6))</f>
        <v>0.644260349655825</v>
      </c>
      <c r="E114" s="12" t="n">
        <f aca="false">D114^(-1/B114)-1</f>
        <v>0.0491308675126938</v>
      </c>
      <c r="F114" s="12" t="n">
        <f aca="false">(1+E114)^(1/12)-1</f>
        <v>0.00400483769686244</v>
      </c>
      <c r="G114" s="16" t="n">
        <f aca="false">IF(C114=0,(1+Dic2025!$J$6)^(-B114),EXP(LN(INDEX(Dic2025!$K$6:$K$205,C114))+(LN(INDEX(Dic2025!$K$6:$K$205,MIN(C114+1,200)))-LN(INDEX(Dic2025!$K$6:$K$205,C114)))*(A114-6*C114)/6))</f>
        <v>0.644260349655825</v>
      </c>
      <c r="H114" s="12" t="n">
        <f aca="false">G114^(-1/B114)-1</f>
        <v>0.0491308675126938</v>
      </c>
      <c r="I114" s="12" t="n">
        <f aca="false">(1+H114)^(1/12)-1</f>
        <v>0.00400483769686244</v>
      </c>
      <c r="J114" s="16" t="n">
        <f aca="false">IF(C114=0,(1+Dic2025!$M$6)^(-B114),EXP(LN(INDEX(Dic2025!$N$6:$N$205,C114))+(LN(INDEX(Dic2025!$N$6:$N$205,MIN(C114+1,200)))-LN(INDEX(Dic2025!$N$6:$N$205,C114)))*(A114-6*C114)/6))</f>
        <v>0.644260349655825</v>
      </c>
      <c r="K114" s="12" t="n">
        <f aca="false">J114^(-1/B114)-1</f>
        <v>0.0491308675126938</v>
      </c>
      <c r="L114" s="12" t="n">
        <f aca="false">(1+K114)^(1/12)-1</f>
        <v>0.00400483769686244</v>
      </c>
    </row>
    <row r="115" customFormat="false" ht="15" hidden="false" customHeight="false" outlineLevel="0" collapsed="false">
      <c r="A115" s="4" t="n">
        <v>111</v>
      </c>
      <c r="B115" s="14" t="n">
        <f aca="false">A115/12</f>
        <v>9.25</v>
      </c>
      <c r="C115" s="15" t="n">
        <f aca="false">INT(A115/6)</f>
        <v>18</v>
      </c>
      <c r="D115" s="16" t="n">
        <f aca="false">IF(C115=0,(1+Dic2025!$G$6)^(-B115),EXP(LN(INDEX(Dic2025!$H$6:$H$205,C115))+(LN(INDEX(Dic2025!$H$6:$H$205,MIN(C115+1,200)))-LN(INDEX(Dic2025!$H$6:$H$205,C115)))*(A115-6*C115)/6))</f>
        <v>0.641009151661401</v>
      </c>
      <c r="E115" s="12" t="n">
        <f aca="false">D115^(-1/B115)-1</f>
        <v>0.0492513646053629</v>
      </c>
      <c r="F115" s="12" t="n">
        <f aca="false">(1+E115)^(1/12)-1</f>
        <v>0.00401444670590245</v>
      </c>
      <c r="G115" s="16" t="n">
        <f aca="false">IF(C115=0,(1+Dic2025!$J$6)^(-B115),EXP(LN(INDEX(Dic2025!$K$6:$K$205,C115))+(LN(INDEX(Dic2025!$K$6:$K$205,MIN(C115+1,200)))-LN(INDEX(Dic2025!$K$6:$K$205,C115)))*(A115-6*C115)/6))</f>
        <v>0.641009151661401</v>
      </c>
      <c r="H115" s="12" t="n">
        <f aca="false">G115^(-1/B115)-1</f>
        <v>0.0492513646053629</v>
      </c>
      <c r="I115" s="12" t="n">
        <f aca="false">(1+H115)^(1/12)-1</f>
        <v>0.00401444670590245</v>
      </c>
      <c r="J115" s="16" t="n">
        <f aca="false">IF(C115=0,(1+Dic2025!$M$6)^(-B115),EXP(LN(INDEX(Dic2025!$N$6:$N$205,C115))+(LN(INDEX(Dic2025!$N$6:$N$205,MIN(C115+1,200)))-LN(INDEX(Dic2025!$N$6:$N$205,C115)))*(A115-6*C115)/6))</f>
        <v>0.641009151661401</v>
      </c>
      <c r="K115" s="12" t="n">
        <f aca="false">J115^(-1/B115)-1</f>
        <v>0.0492513646053629</v>
      </c>
      <c r="L115" s="12" t="n">
        <f aca="false">(1+K115)^(1/12)-1</f>
        <v>0.00401444670590245</v>
      </c>
    </row>
    <row r="116" customFormat="false" ht="15" hidden="false" customHeight="false" outlineLevel="0" collapsed="false">
      <c r="A116" s="4" t="n">
        <v>112</v>
      </c>
      <c r="B116" s="14" t="n">
        <f aca="false">A116/12</f>
        <v>9.33333333333333</v>
      </c>
      <c r="C116" s="15" t="n">
        <f aca="false">INT(A116/6)</f>
        <v>18</v>
      </c>
      <c r="D116" s="16" t="n">
        <f aca="false">IF(C116=0,(1+Dic2025!$G$6)^(-B116),EXP(LN(INDEX(Dic2025!$H$6:$H$205,C116))+(LN(INDEX(Dic2025!$H$6:$H$205,MIN(C116+1,200)))-LN(INDEX(Dic2025!$H$6:$H$205,C116)))*(A116-6*C116)/6))</f>
        <v>0.637774360525485</v>
      </c>
      <c r="E116" s="12" t="n">
        <f aca="false">D116^(-1/B116)-1</f>
        <v>0.0493697234353261</v>
      </c>
      <c r="F116" s="12" t="n">
        <f aca="false">(1+E116)^(1/12)-1</f>
        <v>0.00402388421501154</v>
      </c>
      <c r="G116" s="16" t="n">
        <f aca="false">IF(C116=0,(1+Dic2025!$J$6)^(-B116),EXP(LN(INDEX(Dic2025!$K$6:$K$205,C116))+(LN(INDEX(Dic2025!$K$6:$K$205,MIN(C116+1,200)))-LN(INDEX(Dic2025!$K$6:$K$205,C116)))*(A116-6*C116)/6))</f>
        <v>0.637774360525485</v>
      </c>
      <c r="H116" s="12" t="n">
        <f aca="false">G116^(-1/B116)-1</f>
        <v>0.0493697234353261</v>
      </c>
      <c r="I116" s="12" t="n">
        <f aca="false">(1+H116)^(1/12)-1</f>
        <v>0.00402388421501154</v>
      </c>
      <c r="J116" s="16" t="n">
        <f aca="false">IF(C116=0,(1+Dic2025!$M$6)^(-B116),EXP(LN(INDEX(Dic2025!$N$6:$N$205,C116))+(LN(INDEX(Dic2025!$N$6:$N$205,MIN(C116+1,200)))-LN(INDEX(Dic2025!$N$6:$N$205,C116)))*(A116-6*C116)/6))</f>
        <v>0.637774360525485</v>
      </c>
      <c r="K116" s="12" t="n">
        <f aca="false">J116^(-1/B116)-1</f>
        <v>0.0493697234353261</v>
      </c>
      <c r="L116" s="12" t="n">
        <f aca="false">(1+K116)^(1/12)-1</f>
        <v>0.00402388421501154</v>
      </c>
    </row>
    <row r="117" customFormat="false" ht="15" hidden="false" customHeight="false" outlineLevel="0" collapsed="false">
      <c r="A117" s="4" t="n">
        <v>113</v>
      </c>
      <c r="B117" s="14" t="n">
        <f aca="false">A117/12</f>
        <v>9.41666666666667</v>
      </c>
      <c r="C117" s="15" t="n">
        <f aca="false">INT(A117/6)</f>
        <v>18</v>
      </c>
      <c r="D117" s="16" t="n">
        <f aca="false">IF(C117=0,(1+Dic2025!$G$6)^(-B117),EXP(LN(INDEX(Dic2025!$H$6:$H$205,C117))+(LN(INDEX(Dic2025!$H$6:$H$205,MIN(C117+1,200)))-LN(INDEX(Dic2025!$H$6:$H$205,C117)))*(A117-6*C117)/6))</f>
        <v>0.634555893452441</v>
      </c>
      <c r="E117" s="12" t="n">
        <f aca="false">D117^(-1/B117)-1</f>
        <v>0.0494860004176116</v>
      </c>
      <c r="F117" s="12" t="n">
        <f aca="false">(1+E117)^(1/12)-1</f>
        <v>0.00403315477493038</v>
      </c>
      <c r="G117" s="16" t="n">
        <f aca="false">IF(C117=0,(1+Dic2025!$J$6)^(-B117),EXP(LN(INDEX(Dic2025!$K$6:$K$205,C117))+(LN(INDEX(Dic2025!$K$6:$K$205,MIN(C117+1,200)))-LN(INDEX(Dic2025!$K$6:$K$205,C117)))*(A117-6*C117)/6))</f>
        <v>0.634555893452441</v>
      </c>
      <c r="H117" s="12" t="n">
        <f aca="false">G117^(-1/B117)-1</f>
        <v>0.0494860004176116</v>
      </c>
      <c r="I117" s="12" t="n">
        <f aca="false">(1+H117)^(1/12)-1</f>
        <v>0.00403315477493038</v>
      </c>
      <c r="J117" s="16" t="n">
        <f aca="false">IF(C117=0,(1+Dic2025!$M$6)^(-B117),EXP(LN(INDEX(Dic2025!$N$6:$N$205,C117))+(LN(INDEX(Dic2025!$N$6:$N$205,MIN(C117+1,200)))-LN(INDEX(Dic2025!$N$6:$N$205,C117)))*(A117-6*C117)/6))</f>
        <v>0.634555893452441</v>
      </c>
      <c r="K117" s="12" t="n">
        <f aca="false">J117^(-1/B117)-1</f>
        <v>0.0494860004176116</v>
      </c>
      <c r="L117" s="12" t="n">
        <f aca="false">(1+K117)^(1/12)-1</f>
        <v>0.00403315477493038</v>
      </c>
    </row>
    <row r="118" customFormat="false" ht="15" hidden="false" customHeight="false" outlineLevel="0" collapsed="false">
      <c r="A118" s="4" t="n">
        <v>114</v>
      </c>
      <c r="B118" s="14" t="n">
        <f aca="false">A118/12</f>
        <v>9.5</v>
      </c>
      <c r="C118" s="15" t="n">
        <f aca="false">INT(A118/6)</f>
        <v>19</v>
      </c>
      <c r="D118" s="16" t="n">
        <f aca="false">IF(C118=0,(1+Dic2025!$G$6)^(-B118),EXP(LN(INDEX(Dic2025!$H$6:$H$205,C118))+(LN(INDEX(Dic2025!$H$6:$H$205,MIN(C118+1,200)))-LN(INDEX(Dic2025!$H$6:$H$205,C118)))*(A118-6*C118)/6))</f>
        <v>0.631353668064452</v>
      </c>
      <c r="E118" s="12" t="n">
        <f aca="false">D118^(-1/B118)-1</f>
        <v>0.0496002499999999</v>
      </c>
      <c r="F118" s="12" t="n">
        <f aca="false">(1+E118)^(1/12)-1</f>
        <v>0.00404226277680664</v>
      </c>
      <c r="G118" s="16" t="n">
        <f aca="false">IF(C118=0,(1+Dic2025!$J$6)^(-B118),EXP(LN(INDEX(Dic2025!$K$6:$K$205,C118))+(LN(INDEX(Dic2025!$K$6:$K$205,MIN(C118+1,200)))-LN(INDEX(Dic2025!$K$6:$K$205,C118)))*(A118-6*C118)/6))</f>
        <v>0.631353668064452</v>
      </c>
      <c r="H118" s="12" t="n">
        <f aca="false">G118^(-1/B118)-1</f>
        <v>0.0496002499999999</v>
      </c>
      <c r="I118" s="12" t="n">
        <f aca="false">(1+H118)^(1/12)-1</f>
        <v>0.00404226277680664</v>
      </c>
      <c r="J118" s="16" t="n">
        <f aca="false">IF(C118=0,(1+Dic2025!$M$6)^(-B118),EXP(LN(INDEX(Dic2025!$N$6:$N$205,C118))+(LN(INDEX(Dic2025!$N$6:$N$205,MIN(C118+1,200)))-LN(INDEX(Dic2025!$N$6:$N$205,C118)))*(A118-6*C118)/6))</f>
        <v>0.631353668064452</v>
      </c>
      <c r="K118" s="12" t="n">
        <f aca="false">J118^(-1/B118)-1</f>
        <v>0.0496002499999999</v>
      </c>
      <c r="L118" s="12" t="n">
        <f aca="false">(1+K118)^(1/12)-1</f>
        <v>0.00404226277680664</v>
      </c>
    </row>
    <row r="119" customFormat="false" ht="15" hidden="false" customHeight="false" outlineLevel="0" collapsed="false">
      <c r="A119" s="4" t="n">
        <v>115</v>
      </c>
      <c r="B119" s="14" t="n">
        <f aca="false">A119/12</f>
        <v>9.58333333333333</v>
      </c>
      <c r="C119" s="15" t="n">
        <f aca="false">INT(A119/6)</f>
        <v>19</v>
      </c>
      <c r="D119" s="16" t="n">
        <f aca="false">IF(C119=0,(1+Dic2025!$G$6)^(-B119),EXP(LN(INDEX(Dic2025!$H$6:$H$205,C119))+(LN(INDEX(Dic2025!$H$6:$H$205,MIN(C119+1,200)))-LN(INDEX(Dic2025!$H$6:$H$205,C119)))*(A119-6*C119)/6))</f>
        <v>0.628198460185285</v>
      </c>
      <c r="E119" s="12" t="n">
        <f aca="false">D119^(-1/B119)-1</f>
        <v>0.0497071441415324</v>
      </c>
      <c r="F119" s="12" t="n">
        <f aca="false">(1+E119)^(1/12)-1</f>
        <v>0.00405078357844069</v>
      </c>
      <c r="G119" s="16" t="n">
        <f aca="false">IF(C119=0,(1+Dic2025!$J$6)^(-B119),EXP(LN(INDEX(Dic2025!$K$6:$K$205,C119))+(LN(INDEX(Dic2025!$K$6:$K$205,MIN(C119+1,200)))-LN(INDEX(Dic2025!$K$6:$K$205,C119)))*(A119-6*C119)/6))</f>
        <v>0.628198460185285</v>
      </c>
      <c r="H119" s="12" t="n">
        <f aca="false">G119^(-1/B119)-1</f>
        <v>0.0497071441415324</v>
      </c>
      <c r="I119" s="12" t="n">
        <f aca="false">(1+H119)^(1/12)-1</f>
        <v>0.00405078357844069</v>
      </c>
      <c r="J119" s="16" t="n">
        <f aca="false">IF(C119=0,(1+Dic2025!$M$6)^(-B119),EXP(LN(INDEX(Dic2025!$N$6:$N$205,C119))+(LN(INDEX(Dic2025!$N$6:$N$205,MIN(C119+1,200)))-LN(INDEX(Dic2025!$N$6:$N$205,C119)))*(A119-6*C119)/6))</f>
        <v>0.628198460185285</v>
      </c>
      <c r="K119" s="12" t="n">
        <f aca="false">J119^(-1/B119)-1</f>
        <v>0.0497071441415324</v>
      </c>
      <c r="L119" s="12" t="n">
        <f aca="false">(1+K119)^(1/12)-1</f>
        <v>0.00405078357844069</v>
      </c>
    </row>
    <row r="120" customFormat="false" ht="15" hidden="false" customHeight="false" outlineLevel="0" collapsed="false">
      <c r="A120" s="4" t="n">
        <v>116</v>
      </c>
      <c r="B120" s="14" t="n">
        <f aca="false">A120/12</f>
        <v>9.66666666666667</v>
      </c>
      <c r="C120" s="15" t="n">
        <f aca="false">INT(A120/6)</f>
        <v>19</v>
      </c>
      <c r="D120" s="16" t="n">
        <f aca="false">IF(C120=0,(1+Dic2025!$G$6)^(-B120),EXP(LN(INDEX(Dic2025!$H$6:$H$205,C120))+(LN(INDEX(Dic2025!$H$6:$H$205,MIN(C120+1,200)))-LN(INDEX(Dic2025!$H$6:$H$205,C120)))*(A120-6*C120)/6))</f>
        <v>0.625059020547065</v>
      </c>
      <c r="E120" s="12" t="n">
        <f aca="false">D120^(-1/B120)-1</f>
        <v>0.0498122058870818</v>
      </c>
      <c r="F120" s="12" t="n">
        <f aca="false">(1+E120)^(1/12)-1</f>
        <v>0.00405915754015407</v>
      </c>
      <c r="G120" s="16" t="n">
        <f aca="false">IF(C120=0,(1+Dic2025!$J$6)^(-B120),EXP(LN(INDEX(Dic2025!$K$6:$K$205,C120))+(LN(INDEX(Dic2025!$K$6:$K$205,MIN(C120+1,200)))-LN(INDEX(Dic2025!$K$6:$K$205,C120)))*(A120-6*C120)/6))</f>
        <v>0.625059020547065</v>
      </c>
      <c r="H120" s="12" t="n">
        <f aca="false">G120^(-1/B120)-1</f>
        <v>0.0498122058870818</v>
      </c>
      <c r="I120" s="12" t="n">
        <f aca="false">(1+H120)^(1/12)-1</f>
        <v>0.00405915754015407</v>
      </c>
      <c r="J120" s="16" t="n">
        <f aca="false">IF(C120=0,(1+Dic2025!$M$6)^(-B120),EXP(LN(INDEX(Dic2025!$N$6:$N$205,C120))+(LN(INDEX(Dic2025!$N$6:$N$205,MIN(C120+1,200)))-LN(INDEX(Dic2025!$N$6:$N$205,C120)))*(A120-6*C120)/6))</f>
        <v>0.625059020547065</v>
      </c>
      <c r="K120" s="12" t="n">
        <f aca="false">J120^(-1/B120)-1</f>
        <v>0.0498122058870818</v>
      </c>
      <c r="L120" s="12" t="n">
        <f aca="false">(1+K120)^(1/12)-1</f>
        <v>0.00405915754015407</v>
      </c>
    </row>
    <row r="121" customFormat="false" ht="15" hidden="false" customHeight="false" outlineLevel="0" collapsed="false">
      <c r="A121" s="4" t="n">
        <v>117</v>
      </c>
      <c r="B121" s="14" t="n">
        <f aca="false">A121/12</f>
        <v>9.75</v>
      </c>
      <c r="C121" s="15" t="n">
        <f aca="false">INT(A121/6)</f>
        <v>19</v>
      </c>
      <c r="D121" s="16" t="n">
        <f aca="false">IF(C121=0,(1+Dic2025!$G$6)^(-B121),EXP(LN(INDEX(Dic2025!$H$6:$H$205,C121))+(LN(INDEX(Dic2025!$H$6:$H$205,MIN(C121+1,200)))-LN(INDEX(Dic2025!$H$6:$H$205,C121)))*(A121-6*C121)/6))</f>
        <v>0.621935270347559</v>
      </c>
      <c r="E121" s="12" t="n">
        <f aca="false">D121^(-1/B121)-1</f>
        <v>0.04991548195255</v>
      </c>
      <c r="F121" s="12" t="n">
        <f aca="false">(1+E121)^(1/12)-1</f>
        <v>0.00406738842528243</v>
      </c>
      <c r="G121" s="16" t="n">
        <f aca="false">IF(C121=0,(1+Dic2025!$J$6)^(-B121),EXP(LN(INDEX(Dic2025!$K$6:$K$205,C121))+(LN(INDEX(Dic2025!$K$6:$K$205,MIN(C121+1,200)))-LN(INDEX(Dic2025!$K$6:$K$205,C121)))*(A121-6*C121)/6))</f>
        <v>0.621935270347559</v>
      </c>
      <c r="H121" s="12" t="n">
        <f aca="false">G121^(-1/B121)-1</f>
        <v>0.04991548195255</v>
      </c>
      <c r="I121" s="12" t="n">
        <f aca="false">(1+H121)^(1/12)-1</f>
        <v>0.00406738842528243</v>
      </c>
      <c r="J121" s="16" t="n">
        <f aca="false">IF(C121=0,(1+Dic2025!$M$6)^(-B121),EXP(LN(INDEX(Dic2025!$N$6:$N$205,C121))+(LN(INDEX(Dic2025!$N$6:$N$205,MIN(C121+1,200)))-LN(INDEX(Dic2025!$N$6:$N$205,C121)))*(A121-6*C121)/6))</f>
        <v>0.621935270347559</v>
      </c>
      <c r="K121" s="12" t="n">
        <f aca="false">J121^(-1/B121)-1</f>
        <v>0.04991548195255</v>
      </c>
      <c r="L121" s="12" t="n">
        <f aca="false">(1+K121)^(1/12)-1</f>
        <v>0.00406738842528243</v>
      </c>
    </row>
    <row r="122" customFormat="false" ht="15" hidden="false" customHeight="false" outlineLevel="0" collapsed="false">
      <c r="A122" s="4" t="n">
        <v>118</v>
      </c>
      <c r="B122" s="14" t="n">
        <f aca="false">A122/12</f>
        <v>9.83333333333333</v>
      </c>
      <c r="C122" s="15" t="n">
        <f aca="false">INT(A122/6)</f>
        <v>19</v>
      </c>
      <c r="D122" s="16" t="n">
        <f aca="false">IF(C122=0,(1+Dic2025!$G$6)^(-B122),EXP(LN(INDEX(Dic2025!$H$6:$H$205,C122))+(LN(INDEX(Dic2025!$H$6:$H$205,MIN(C122+1,200)))-LN(INDEX(Dic2025!$H$6:$H$205,C122)))*(A122-6*C122)/6))</f>
        <v>0.618827131178354</v>
      </c>
      <c r="E122" s="12" t="n">
        <f aca="false">D122^(-1/B122)-1</f>
        <v>0.0500170174792438</v>
      </c>
      <c r="F122" s="12" t="n">
        <f aca="false">(1+E122)^(1/12)-1</f>
        <v>0.00407547986965118</v>
      </c>
      <c r="G122" s="16" t="n">
        <f aca="false">IF(C122=0,(1+Dic2025!$J$6)^(-B122),EXP(LN(INDEX(Dic2025!$K$6:$K$205,C122))+(LN(INDEX(Dic2025!$K$6:$K$205,MIN(C122+1,200)))-LN(INDEX(Dic2025!$K$6:$K$205,C122)))*(A122-6*C122)/6))</f>
        <v>0.618827131178354</v>
      </c>
      <c r="H122" s="12" t="n">
        <f aca="false">G122^(-1/B122)-1</f>
        <v>0.0500170174792438</v>
      </c>
      <c r="I122" s="12" t="n">
        <f aca="false">(1+H122)^(1/12)-1</f>
        <v>0.00407547986965118</v>
      </c>
      <c r="J122" s="16" t="n">
        <f aca="false">IF(C122=0,(1+Dic2025!$M$6)^(-B122),EXP(LN(INDEX(Dic2025!$N$6:$N$205,C122))+(LN(INDEX(Dic2025!$N$6:$N$205,MIN(C122+1,200)))-LN(INDEX(Dic2025!$N$6:$N$205,C122)))*(A122-6*C122)/6))</f>
        <v>0.618827131178354</v>
      </c>
      <c r="K122" s="12" t="n">
        <f aca="false">J122^(-1/B122)-1</f>
        <v>0.0500170174792438</v>
      </c>
      <c r="L122" s="12" t="n">
        <f aca="false">(1+K122)^(1/12)-1</f>
        <v>0.00407547986965118</v>
      </c>
    </row>
    <row r="123" customFormat="false" ht="15" hidden="false" customHeight="false" outlineLevel="0" collapsed="false">
      <c r="A123" s="4" t="n">
        <v>119</v>
      </c>
      <c r="B123" s="14" t="n">
        <f aca="false">A123/12</f>
        <v>9.91666666666667</v>
      </c>
      <c r="C123" s="15" t="n">
        <f aca="false">INT(A123/6)</f>
        <v>19</v>
      </c>
      <c r="D123" s="16" t="n">
        <f aca="false">IF(C123=0,(1+Dic2025!$G$6)^(-B123),EXP(LN(INDEX(Dic2025!$H$6:$H$205,C123))+(LN(INDEX(Dic2025!$H$6:$H$205,MIN(C123+1,200)))-LN(INDEX(Dic2025!$H$6:$H$205,C123)))*(A123-6*C123)/6))</f>
        <v>0.615734525022881</v>
      </c>
      <c r="E123" s="12" t="n">
        <f aca="false">D123^(-1/B123)-1</f>
        <v>0.0501168560996594</v>
      </c>
      <c r="F123" s="12" t="n">
        <f aca="false">(1+E123)^(1/12)-1</f>
        <v>0.0040834353869299</v>
      </c>
      <c r="G123" s="16" t="n">
        <f aca="false">IF(C123=0,(1+Dic2025!$J$6)^(-B123),EXP(LN(INDEX(Dic2025!$K$6:$K$205,C123))+(LN(INDEX(Dic2025!$K$6:$K$205,MIN(C123+1,200)))-LN(INDEX(Dic2025!$K$6:$K$205,C123)))*(A123-6*C123)/6))</f>
        <v>0.615734525022881</v>
      </c>
      <c r="H123" s="12" t="n">
        <f aca="false">G123^(-1/B123)-1</f>
        <v>0.0501168560996594</v>
      </c>
      <c r="I123" s="12" t="n">
        <f aca="false">(1+H123)^(1/12)-1</f>
        <v>0.0040834353869299</v>
      </c>
      <c r="J123" s="16" t="n">
        <f aca="false">IF(C123=0,(1+Dic2025!$M$6)^(-B123),EXP(LN(INDEX(Dic2025!$N$6:$N$205,C123))+(LN(INDEX(Dic2025!$N$6:$N$205,MIN(C123+1,200)))-LN(INDEX(Dic2025!$N$6:$N$205,C123)))*(A123-6*C123)/6))</f>
        <v>0.615734525022881</v>
      </c>
      <c r="K123" s="12" t="n">
        <f aca="false">J123^(-1/B123)-1</f>
        <v>0.0501168560996594</v>
      </c>
      <c r="L123" s="12" t="n">
        <f aca="false">(1+K123)^(1/12)-1</f>
        <v>0.0040834353869299</v>
      </c>
    </row>
    <row r="124" customFormat="false" ht="15" hidden="false" customHeight="false" outlineLevel="0" collapsed="false">
      <c r="A124" s="4" t="n">
        <v>120</v>
      </c>
      <c r="B124" s="14" t="n">
        <f aca="false">A124/12</f>
        <v>10</v>
      </c>
      <c r="C124" s="15" t="n">
        <f aca="false">INT(A124/6)</f>
        <v>20</v>
      </c>
      <c r="D124" s="16" t="n">
        <f aca="false">IF(C124=0,(1+Dic2025!$G$6)^(-B124),EXP(LN(INDEX(Dic2025!$H$6:$H$205,C124))+(LN(INDEX(Dic2025!$H$6:$H$205,MIN(C124+1,200)))-LN(INDEX(Dic2025!$H$6:$H$205,C124)))*(A124-6*C124)/6))</f>
        <v>0.612657374254464</v>
      </c>
      <c r="E124" s="12" t="n">
        <f aca="false">D124^(-1/B124)-1</f>
        <v>0.0502150399999999</v>
      </c>
      <c r="F124" s="12" t="n">
        <f aca="false">(1+E124)^(1/12)-1</f>
        <v>0.00409125837372004</v>
      </c>
      <c r="G124" s="16" t="n">
        <f aca="false">IF(C124=0,(1+Dic2025!$J$6)^(-B124),EXP(LN(INDEX(Dic2025!$K$6:$K$205,C124))+(LN(INDEX(Dic2025!$K$6:$K$205,MIN(C124+1,200)))-LN(INDEX(Dic2025!$K$6:$K$205,C124)))*(A124-6*C124)/6))</f>
        <v>0.612657374254464</v>
      </c>
      <c r="H124" s="12" t="n">
        <f aca="false">G124^(-1/B124)-1</f>
        <v>0.0502150399999999</v>
      </c>
      <c r="I124" s="12" t="n">
        <f aca="false">(1+H124)^(1/12)-1</f>
        <v>0.00409125837372004</v>
      </c>
      <c r="J124" s="16" t="n">
        <f aca="false">IF(C124=0,(1+Dic2025!$M$6)^(-B124),EXP(LN(INDEX(Dic2025!$N$6:$N$205,C124))+(LN(INDEX(Dic2025!$N$6:$N$205,MIN(C124+1,200)))-LN(INDEX(Dic2025!$N$6:$N$205,C124)))*(A124-6*C124)/6))</f>
        <v>0.612657374254464</v>
      </c>
      <c r="K124" s="12" t="n">
        <f aca="false">J124^(-1/B124)-1</f>
        <v>0.0502150399999999</v>
      </c>
      <c r="L124" s="12" t="n">
        <f aca="false">(1+K124)^(1/12)-1</f>
        <v>0.00409125837372004</v>
      </c>
    </row>
    <row r="125" customFormat="false" ht="15" hidden="false" customHeight="false" outlineLevel="0" collapsed="false">
      <c r="A125" s="4" t="n">
        <v>121</v>
      </c>
      <c r="B125" s="14" t="n">
        <f aca="false">A125/12</f>
        <v>10.0833333333333</v>
      </c>
      <c r="C125" s="15" t="n">
        <f aca="false">INT(A125/6)</f>
        <v>20</v>
      </c>
      <c r="D125" s="16" t="n">
        <f aca="false">IF(C125=0,(1+Dic2025!$G$6)^(-B125),EXP(LN(INDEX(Dic2025!$H$6:$H$205,C125))+(LN(INDEX(Dic2025!$H$6:$H$205,MIN(C125+1,200)))-LN(INDEX(Dic2025!$H$6:$H$205,C125)))*(A125-6*C125)/6))</f>
        <v>0.609536294304041</v>
      </c>
      <c r="E125" s="12" t="n">
        <f aca="false">D125^(-1/B125)-1</f>
        <v>0.0503217445143143</v>
      </c>
      <c r="F125" s="12" t="n">
        <f aca="false">(1+E125)^(1/12)-1</f>
        <v>0.00409975949626551</v>
      </c>
      <c r="G125" s="16" t="n">
        <f aca="false">IF(C125=0,(1+Dic2025!$J$6)^(-B125),EXP(LN(INDEX(Dic2025!$K$6:$K$205,C125))+(LN(INDEX(Dic2025!$K$6:$K$205,MIN(C125+1,200)))-LN(INDEX(Dic2025!$K$6:$K$205,C125)))*(A125-6*C125)/6))</f>
        <v>0.609536294304041</v>
      </c>
      <c r="H125" s="12" t="n">
        <f aca="false">G125^(-1/B125)-1</f>
        <v>0.0503217445143143</v>
      </c>
      <c r="I125" s="12" t="n">
        <f aca="false">(1+H125)^(1/12)-1</f>
        <v>0.00409975949626551</v>
      </c>
      <c r="J125" s="16" t="n">
        <f aca="false">IF(C125=0,(1+Dic2025!$M$6)^(-B125),EXP(LN(INDEX(Dic2025!$N$6:$N$205,C125))+(LN(INDEX(Dic2025!$N$6:$N$205,MIN(C125+1,200)))-LN(INDEX(Dic2025!$N$6:$N$205,C125)))*(A125-6*C125)/6))</f>
        <v>0.609536294304041</v>
      </c>
      <c r="K125" s="12" t="n">
        <f aca="false">J125^(-1/B125)-1</f>
        <v>0.0503217445143143</v>
      </c>
      <c r="L125" s="12" t="n">
        <f aca="false">(1+K125)^(1/12)-1</f>
        <v>0.00409975949626551</v>
      </c>
    </row>
    <row r="126" customFormat="false" ht="15" hidden="false" customHeight="false" outlineLevel="0" collapsed="false">
      <c r="A126" s="4" t="n">
        <v>122</v>
      </c>
      <c r="B126" s="14" t="n">
        <f aca="false">A126/12</f>
        <v>10.1666666666667</v>
      </c>
      <c r="C126" s="15" t="n">
        <f aca="false">INT(A126/6)</f>
        <v>20</v>
      </c>
      <c r="D126" s="16" t="n">
        <f aca="false">IF(C126=0,(1+Dic2025!$G$6)^(-B126),EXP(LN(INDEX(Dic2025!$H$6:$H$205,C126))+(LN(INDEX(Dic2025!$H$6:$H$205,MIN(C126+1,200)))-LN(INDEX(Dic2025!$H$6:$H$205,C126)))*(A126-6*C126)/6))</f>
        <v>0.606431114170491</v>
      </c>
      <c r="E126" s="12" t="n">
        <f aca="false">D126^(-1/B126)-1</f>
        <v>0.0504267103506031</v>
      </c>
      <c r="F126" s="12" t="n">
        <f aca="false">(1+E126)^(1/12)-1</f>
        <v>0.00410812132636074</v>
      </c>
      <c r="G126" s="16" t="n">
        <f aca="false">IF(C126=0,(1+Dic2025!$J$6)^(-B126),EXP(LN(INDEX(Dic2025!$K$6:$K$205,C126))+(LN(INDEX(Dic2025!$K$6:$K$205,MIN(C126+1,200)))-LN(INDEX(Dic2025!$K$6:$K$205,C126)))*(A126-6*C126)/6))</f>
        <v>0.606431114170491</v>
      </c>
      <c r="H126" s="12" t="n">
        <f aca="false">G126^(-1/B126)-1</f>
        <v>0.0504267103506031</v>
      </c>
      <c r="I126" s="12" t="n">
        <f aca="false">(1+H126)^(1/12)-1</f>
        <v>0.00410812132636074</v>
      </c>
      <c r="J126" s="16" t="n">
        <f aca="false">IF(C126=0,(1+Dic2025!$M$6)^(-B126),EXP(LN(INDEX(Dic2025!$N$6:$N$205,C126))+(LN(INDEX(Dic2025!$N$6:$N$205,MIN(C126+1,200)))-LN(INDEX(Dic2025!$N$6:$N$205,C126)))*(A126-6*C126)/6))</f>
        <v>0.606431114170491</v>
      </c>
      <c r="K126" s="12" t="n">
        <f aca="false">J126^(-1/B126)-1</f>
        <v>0.0504267103506031</v>
      </c>
      <c r="L126" s="12" t="n">
        <f aca="false">(1+K126)^(1/12)-1</f>
        <v>0.00410812132636074</v>
      </c>
    </row>
    <row r="127" customFormat="false" ht="15" hidden="false" customHeight="false" outlineLevel="0" collapsed="false">
      <c r="A127" s="4" t="n">
        <v>123</v>
      </c>
      <c r="B127" s="14" t="n">
        <f aca="false">A127/12</f>
        <v>10.25</v>
      </c>
      <c r="C127" s="15" t="n">
        <f aca="false">INT(A127/6)</f>
        <v>20</v>
      </c>
      <c r="D127" s="16" t="n">
        <f aca="false">IF(C127=0,(1+Dic2025!$G$6)^(-B127),EXP(LN(INDEX(Dic2025!$H$6:$H$205,C127))+(LN(INDEX(Dic2025!$H$6:$H$205,MIN(C127+1,200)))-LN(INDEX(Dic2025!$H$6:$H$205,C127)))*(A127-6*C127)/6))</f>
        <v>0.603341752854872</v>
      </c>
      <c r="E127" s="12" t="n">
        <f aca="false">D127^(-1/B127)-1</f>
        <v>0.050529979660809</v>
      </c>
      <c r="F127" s="12" t="n">
        <f aca="false">(1+E127)^(1/12)-1</f>
        <v>0.00411634725968435</v>
      </c>
      <c r="G127" s="16" t="n">
        <f aca="false">IF(C127=0,(1+Dic2025!$J$6)^(-B127),EXP(LN(INDEX(Dic2025!$K$6:$K$205,C127))+(LN(INDEX(Dic2025!$K$6:$K$205,MIN(C127+1,200)))-LN(INDEX(Dic2025!$K$6:$K$205,C127)))*(A127-6*C127)/6))</f>
        <v>0.603341752854872</v>
      </c>
      <c r="H127" s="12" t="n">
        <f aca="false">G127^(-1/B127)-1</f>
        <v>0.050529979660809</v>
      </c>
      <c r="I127" s="12" t="n">
        <f aca="false">(1+H127)^(1/12)-1</f>
        <v>0.00411634725968435</v>
      </c>
      <c r="J127" s="16" t="n">
        <f aca="false">IF(C127=0,(1+Dic2025!$M$6)^(-B127),EXP(LN(INDEX(Dic2025!$N$6:$N$205,C127))+(LN(INDEX(Dic2025!$N$6:$N$205,MIN(C127+1,200)))-LN(INDEX(Dic2025!$N$6:$N$205,C127)))*(A127-6*C127)/6))</f>
        <v>0.603341752854872</v>
      </c>
      <c r="K127" s="12" t="n">
        <f aca="false">J127^(-1/B127)-1</f>
        <v>0.050529979660809</v>
      </c>
      <c r="L127" s="12" t="n">
        <f aca="false">(1+K127)^(1/12)-1</f>
        <v>0.00411634725968435</v>
      </c>
    </row>
    <row r="128" customFormat="false" ht="15" hidden="false" customHeight="false" outlineLevel="0" collapsed="false">
      <c r="A128" s="4" t="n">
        <v>124</v>
      </c>
      <c r="B128" s="14" t="n">
        <f aca="false">A128/12</f>
        <v>10.3333333333333</v>
      </c>
      <c r="C128" s="15" t="n">
        <f aca="false">INT(A128/6)</f>
        <v>20</v>
      </c>
      <c r="D128" s="16" t="n">
        <f aca="false">IF(C128=0,(1+Dic2025!$G$6)^(-B128),EXP(LN(INDEX(Dic2025!$H$6:$H$205,C128))+(LN(INDEX(Dic2025!$H$6:$H$205,MIN(C128+1,200)))-LN(INDEX(Dic2025!$H$6:$H$205,C128)))*(A128-6*C128)/6))</f>
        <v>0.600268129770876</v>
      </c>
      <c r="E128" s="12" t="n">
        <f aca="false">D128^(-1/B128)-1</f>
        <v>0.0506315932452561</v>
      </c>
      <c r="F128" s="12" t="n">
        <f aca="false">(1+E128)^(1/12)-1</f>
        <v>0.00412444058243167</v>
      </c>
      <c r="G128" s="16" t="n">
        <f aca="false">IF(C128=0,(1+Dic2025!$J$6)^(-B128),EXP(LN(INDEX(Dic2025!$K$6:$K$205,C128))+(LN(INDEX(Dic2025!$K$6:$K$205,MIN(C128+1,200)))-LN(INDEX(Dic2025!$K$6:$K$205,C128)))*(A128-6*C128)/6))</f>
        <v>0.600268129770876</v>
      </c>
      <c r="H128" s="12" t="n">
        <f aca="false">G128^(-1/B128)-1</f>
        <v>0.0506315932452561</v>
      </c>
      <c r="I128" s="12" t="n">
        <f aca="false">(1+H128)^(1/12)-1</f>
        <v>0.00412444058243167</v>
      </c>
      <c r="J128" s="16" t="n">
        <f aca="false">IF(C128=0,(1+Dic2025!$M$6)^(-B128),EXP(LN(INDEX(Dic2025!$N$6:$N$205,C128))+(LN(INDEX(Dic2025!$N$6:$N$205,MIN(C128+1,200)))-LN(INDEX(Dic2025!$N$6:$N$205,C128)))*(A128-6*C128)/6))</f>
        <v>0.600268129770876</v>
      </c>
      <c r="K128" s="12" t="n">
        <f aca="false">J128^(-1/B128)-1</f>
        <v>0.0506315932452561</v>
      </c>
      <c r="L128" s="12" t="n">
        <f aca="false">(1+K128)^(1/12)-1</f>
        <v>0.00412444058243167</v>
      </c>
    </row>
    <row r="129" customFormat="false" ht="15" hidden="false" customHeight="false" outlineLevel="0" collapsed="false">
      <c r="A129" s="4" t="n">
        <v>125</v>
      </c>
      <c r="B129" s="14" t="n">
        <f aca="false">A129/12</f>
        <v>10.4166666666667</v>
      </c>
      <c r="C129" s="15" t="n">
        <f aca="false">INT(A129/6)</f>
        <v>20</v>
      </c>
      <c r="D129" s="16" t="n">
        <f aca="false">IF(C129=0,(1+Dic2025!$G$6)^(-B129),EXP(LN(INDEX(Dic2025!$H$6:$H$205,C129))+(LN(INDEX(Dic2025!$H$6:$H$205,MIN(C129+1,200)))-LN(INDEX(Dic2025!$H$6:$H$205,C129)))*(A129-6*C129)/6))</f>
        <v>0.59721016474273</v>
      </c>
      <c r="E129" s="12" t="n">
        <f aca="false">D129^(-1/B129)-1</f>
        <v>0.0507315906063948</v>
      </c>
      <c r="F129" s="12" t="n">
        <f aca="false">(1+E129)^(1/12)-1</f>
        <v>0.00413240447569097</v>
      </c>
      <c r="G129" s="16" t="n">
        <f aca="false">IF(C129=0,(1+Dic2025!$J$6)^(-B129),EXP(LN(INDEX(Dic2025!$K$6:$K$205,C129))+(LN(INDEX(Dic2025!$K$6:$K$205,MIN(C129+1,200)))-LN(INDEX(Dic2025!$K$6:$K$205,C129)))*(A129-6*C129)/6))</f>
        <v>0.59721016474273</v>
      </c>
      <c r="H129" s="12" t="n">
        <f aca="false">G129^(-1/B129)-1</f>
        <v>0.0507315906063948</v>
      </c>
      <c r="I129" s="12" t="n">
        <f aca="false">(1+H129)^(1/12)-1</f>
        <v>0.00413240447569097</v>
      </c>
      <c r="J129" s="16" t="n">
        <f aca="false">IF(C129=0,(1+Dic2025!$M$6)^(-B129),EXP(LN(INDEX(Dic2025!$N$6:$N$205,C129))+(LN(INDEX(Dic2025!$N$6:$N$205,MIN(C129+1,200)))-LN(INDEX(Dic2025!$N$6:$N$205,C129)))*(A129-6*C129)/6))</f>
        <v>0.59721016474273</v>
      </c>
      <c r="K129" s="12" t="n">
        <f aca="false">J129^(-1/B129)-1</f>
        <v>0.0507315906063948</v>
      </c>
      <c r="L129" s="12" t="n">
        <f aca="false">(1+K129)^(1/12)-1</f>
        <v>0.00413240447569097</v>
      </c>
    </row>
    <row r="130" customFormat="false" ht="15" hidden="false" customHeight="false" outlineLevel="0" collapsed="false">
      <c r="A130" s="4" t="n">
        <v>126</v>
      </c>
      <c r="B130" s="14" t="n">
        <f aca="false">A130/12</f>
        <v>10.5</v>
      </c>
      <c r="C130" s="15" t="n">
        <f aca="false">INT(A130/6)</f>
        <v>21</v>
      </c>
      <c r="D130" s="16" t="n">
        <f aca="false">IF(C130=0,(1+Dic2025!$G$6)^(-B130),EXP(LN(INDEX(Dic2025!$H$6:$H$205,C130))+(LN(INDEX(Dic2025!$H$6:$H$205,MIN(C130+1,200)))-LN(INDEX(Dic2025!$H$6:$H$205,C130)))*(A130-6*C130)/6))</f>
        <v>0.594167778003101</v>
      </c>
      <c r="E130" s="12" t="n">
        <f aca="false">D130^(-1/B130)-1</f>
        <v>0.0508300099999999</v>
      </c>
      <c r="F130" s="12" t="n">
        <f aca="false">(1+E130)^(1/12)-1</f>
        <v>0.00414024201961349</v>
      </c>
      <c r="G130" s="16" t="n">
        <f aca="false">IF(C130=0,(1+Dic2025!$J$6)^(-B130),EXP(LN(INDEX(Dic2025!$K$6:$K$205,C130))+(LN(INDEX(Dic2025!$K$6:$K$205,MIN(C130+1,200)))-LN(INDEX(Dic2025!$K$6:$K$205,C130)))*(A130-6*C130)/6))</f>
        <v>0.594167778003101</v>
      </c>
      <c r="H130" s="12" t="n">
        <f aca="false">G130^(-1/B130)-1</f>
        <v>0.0508300099999999</v>
      </c>
      <c r="I130" s="12" t="n">
        <f aca="false">(1+H130)^(1/12)-1</f>
        <v>0.00414024201961349</v>
      </c>
      <c r="J130" s="16" t="n">
        <f aca="false">IF(C130=0,(1+Dic2025!$M$6)^(-B130),EXP(LN(INDEX(Dic2025!$N$6:$N$205,C130))+(LN(INDEX(Dic2025!$N$6:$N$205,MIN(C130+1,200)))-LN(INDEX(Dic2025!$N$6:$N$205,C130)))*(A130-6*C130)/6))</f>
        <v>0.594167778003101</v>
      </c>
      <c r="K130" s="12" t="n">
        <f aca="false">J130^(-1/B130)-1</f>
        <v>0.0508300099999999</v>
      </c>
      <c r="L130" s="12" t="n">
        <f aca="false">(1+K130)^(1/12)-1</f>
        <v>0.00414024201961349</v>
      </c>
    </row>
    <row r="131" customFormat="false" ht="15" hidden="false" customHeight="false" outlineLevel="0" collapsed="false">
      <c r="A131" s="4" t="n">
        <v>127</v>
      </c>
      <c r="B131" s="14" t="n">
        <f aca="false">A131/12</f>
        <v>10.5833333333333</v>
      </c>
      <c r="C131" s="15" t="n">
        <f aca="false">INT(A131/6)</f>
        <v>21</v>
      </c>
      <c r="D131" s="16" t="n">
        <f aca="false">IF(C131=0,(1+Dic2025!$G$6)^(-B131),EXP(LN(INDEX(Dic2025!$H$6:$H$205,C131))+(LN(INDEX(Dic2025!$H$6:$H$205,MIN(C131+1,200)))-LN(INDEX(Dic2025!$H$6:$H$205,C131)))*(A131-6*C131)/6))</f>
        <v>0.591083403531</v>
      </c>
      <c r="E131" s="12" t="n">
        <f aca="false">D131^(-1/B131)-1</f>
        <v>0.0509365456393145</v>
      </c>
      <c r="F131" s="12" t="n">
        <f aca="false">(1+E131)^(1/12)-1</f>
        <v>0.00414872513542575</v>
      </c>
      <c r="G131" s="16" t="n">
        <f aca="false">IF(C131=0,(1+Dic2025!$J$6)^(-B131),EXP(LN(INDEX(Dic2025!$K$6:$K$205,C131))+(LN(INDEX(Dic2025!$K$6:$K$205,MIN(C131+1,200)))-LN(INDEX(Dic2025!$K$6:$K$205,C131)))*(A131-6*C131)/6))</f>
        <v>0.591083403531</v>
      </c>
      <c r="H131" s="12" t="n">
        <f aca="false">G131^(-1/B131)-1</f>
        <v>0.0509365456393145</v>
      </c>
      <c r="I131" s="12" t="n">
        <f aca="false">(1+H131)^(1/12)-1</f>
        <v>0.00414872513542575</v>
      </c>
      <c r="J131" s="16" t="n">
        <f aca="false">IF(C131=0,(1+Dic2025!$M$6)^(-B131),EXP(LN(INDEX(Dic2025!$N$6:$N$205,C131))+(LN(INDEX(Dic2025!$N$6:$N$205,MIN(C131+1,200)))-LN(INDEX(Dic2025!$N$6:$N$205,C131)))*(A131-6*C131)/6))</f>
        <v>0.591083403531</v>
      </c>
      <c r="K131" s="12" t="n">
        <f aca="false">J131^(-1/B131)-1</f>
        <v>0.0509365456393145</v>
      </c>
      <c r="L131" s="12" t="n">
        <f aca="false">(1+K131)^(1/12)-1</f>
        <v>0.00414872513542575</v>
      </c>
    </row>
    <row r="132" customFormat="false" ht="15" hidden="false" customHeight="false" outlineLevel="0" collapsed="false">
      <c r="A132" s="4" t="n">
        <v>128</v>
      </c>
      <c r="B132" s="14" t="n">
        <f aca="false">A132/12</f>
        <v>10.6666666666667</v>
      </c>
      <c r="C132" s="15" t="n">
        <f aca="false">INT(A132/6)</f>
        <v>21</v>
      </c>
      <c r="D132" s="16" t="n">
        <f aca="false">IF(C132=0,(1+Dic2025!$G$6)^(-B132),EXP(LN(INDEX(Dic2025!$H$6:$H$205,C132))+(LN(INDEX(Dic2025!$H$6:$H$205,MIN(C132+1,200)))-LN(INDEX(Dic2025!$H$6:$H$205,C132)))*(A132-6*C132)/6))</f>
        <v>0.588015040303931</v>
      </c>
      <c r="E132" s="12" t="n">
        <f aca="false">D132^(-1/B132)-1</f>
        <v>0.0510414272082689</v>
      </c>
      <c r="F132" s="12" t="n">
        <f aca="false">(1+E132)^(1/12)-1</f>
        <v>0.00415707577254931</v>
      </c>
      <c r="G132" s="16" t="n">
        <f aca="false">IF(C132=0,(1+Dic2025!$J$6)^(-B132),EXP(LN(INDEX(Dic2025!$K$6:$K$205,C132))+(LN(INDEX(Dic2025!$K$6:$K$205,MIN(C132+1,200)))-LN(INDEX(Dic2025!$K$6:$K$205,C132)))*(A132-6*C132)/6))</f>
        <v>0.588015040303931</v>
      </c>
      <c r="H132" s="12" t="n">
        <f aca="false">G132^(-1/B132)-1</f>
        <v>0.0510414272082689</v>
      </c>
      <c r="I132" s="12" t="n">
        <f aca="false">(1+H132)^(1/12)-1</f>
        <v>0.00415707577254931</v>
      </c>
      <c r="J132" s="16" t="n">
        <f aca="false">IF(C132=0,(1+Dic2025!$M$6)^(-B132),EXP(LN(INDEX(Dic2025!$N$6:$N$205,C132))+(LN(INDEX(Dic2025!$N$6:$N$205,MIN(C132+1,200)))-LN(INDEX(Dic2025!$N$6:$N$205,C132)))*(A132-6*C132)/6))</f>
        <v>0.588015040303931</v>
      </c>
      <c r="K132" s="12" t="n">
        <f aca="false">J132^(-1/B132)-1</f>
        <v>0.0510414272082689</v>
      </c>
      <c r="L132" s="12" t="n">
        <f aca="false">(1+K132)^(1/12)-1</f>
        <v>0.00415707577254931</v>
      </c>
    </row>
    <row r="133" customFormat="false" ht="15" hidden="false" customHeight="false" outlineLevel="0" collapsed="false">
      <c r="A133" s="4" t="n">
        <v>129</v>
      </c>
      <c r="B133" s="14" t="n">
        <f aca="false">A133/12</f>
        <v>10.75</v>
      </c>
      <c r="C133" s="15" t="n">
        <f aca="false">INT(A133/6)</f>
        <v>21</v>
      </c>
      <c r="D133" s="16" t="n">
        <f aca="false">IF(C133=0,(1+Dic2025!$G$6)^(-B133),EXP(LN(INDEX(Dic2025!$H$6:$H$205,C133))+(LN(INDEX(Dic2025!$H$6:$H$205,MIN(C133+1,200)))-LN(INDEX(Dic2025!$H$6:$H$205,C133)))*(A133-6*C133)/6))</f>
        <v>0.584962605206187</v>
      </c>
      <c r="E133" s="12" t="n">
        <f aca="false">D133^(-1/B133)-1</f>
        <v>0.0511446929312123</v>
      </c>
      <c r="F133" s="12" t="n">
        <f aca="false">(1+E133)^(1/12)-1</f>
        <v>0.00416529701026902</v>
      </c>
      <c r="G133" s="16" t="n">
        <f aca="false">IF(C133=0,(1+Dic2025!$J$6)^(-B133),EXP(LN(INDEX(Dic2025!$K$6:$K$205,C133))+(LN(INDEX(Dic2025!$K$6:$K$205,MIN(C133+1,200)))-LN(INDEX(Dic2025!$K$6:$K$205,C133)))*(A133-6*C133)/6))</f>
        <v>0.584962605206187</v>
      </c>
      <c r="H133" s="12" t="n">
        <f aca="false">G133^(-1/B133)-1</f>
        <v>0.0511446929312123</v>
      </c>
      <c r="I133" s="12" t="n">
        <f aca="false">(1+H133)^(1/12)-1</f>
        <v>0.00416529701026902</v>
      </c>
      <c r="J133" s="16" t="n">
        <f aca="false">IF(C133=0,(1+Dic2025!$M$6)^(-B133),EXP(LN(INDEX(Dic2025!$N$6:$N$205,C133))+(LN(INDEX(Dic2025!$N$6:$N$205,MIN(C133+1,200)))-LN(INDEX(Dic2025!$N$6:$N$205,C133)))*(A133-6*C133)/6))</f>
        <v>0.584962605206187</v>
      </c>
      <c r="K133" s="12" t="n">
        <f aca="false">J133^(-1/B133)-1</f>
        <v>0.0511446929312123</v>
      </c>
      <c r="L133" s="12" t="n">
        <f aca="false">(1+K133)^(1/12)-1</f>
        <v>0.00416529701026902</v>
      </c>
    </row>
    <row r="134" customFormat="false" ht="15" hidden="false" customHeight="false" outlineLevel="0" collapsed="false">
      <c r="A134" s="4" t="n">
        <v>130</v>
      </c>
      <c r="B134" s="14" t="n">
        <f aca="false">A134/12</f>
        <v>10.8333333333333</v>
      </c>
      <c r="C134" s="15" t="n">
        <f aca="false">INT(A134/6)</f>
        <v>21</v>
      </c>
      <c r="D134" s="16" t="n">
        <f aca="false">IF(C134=0,(1+Dic2025!$G$6)^(-B134),EXP(LN(INDEX(Dic2025!$H$6:$H$205,C134))+(LN(INDEX(Dic2025!$H$6:$H$205,MIN(C134+1,200)))-LN(INDEX(Dic2025!$H$6:$H$205,C134)))*(A134-6*C134)/6))</f>
        <v>0.58192601555352</v>
      </c>
      <c r="E134" s="12" t="n">
        <f aca="false">D134^(-1/B134)-1</f>
        <v>0.0512463798637302</v>
      </c>
      <c r="F134" s="12" t="n">
        <f aca="false">(1+E134)^(1/12)-1</f>
        <v>0.00417339183317189</v>
      </c>
      <c r="G134" s="16" t="n">
        <f aca="false">IF(C134=0,(1+Dic2025!$J$6)^(-B134),EXP(LN(INDEX(Dic2025!$K$6:$K$205,C134))+(LN(INDEX(Dic2025!$K$6:$K$205,MIN(C134+1,200)))-LN(INDEX(Dic2025!$K$6:$K$205,C134)))*(A134-6*C134)/6))</f>
        <v>0.58192601555352</v>
      </c>
      <c r="H134" s="12" t="n">
        <f aca="false">G134^(-1/B134)-1</f>
        <v>0.0512463798637302</v>
      </c>
      <c r="I134" s="12" t="n">
        <f aca="false">(1+H134)^(1/12)-1</f>
        <v>0.00417339183317189</v>
      </c>
      <c r="J134" s="16" t="n">
        <f aca="false">IF(C134=0,(1+Dic2025!$M$6)^(-B134),EXP(LN(INDEX(Dic2025!$N$6:$N$205,C134))+(LN(INDEX(Dic2025!$N$6:$N$205,MIN(C134+1,200)))-LN(INDEX(Dic2025!$N$6:$N$205,C134)))*(A134-6*C134)/6))</f>
        <v>0.58192601555352</v>
      </c>
      <c r="K134" s="12" t="n">
        <f aca="false">J134^(-1/B134)-1</f>
        <v>0.0512463798637302</v>
      </c>
      <c r="L134" s="12" t="n">
        <f aca="false">(1+K134)^(1/12)-1</f>
        <v>0.00417339183317189</v>
      </c>
    </row>
    <row r="135" customFormat="false" ht="15" hidden="false" customHeight="false" outlineLevel="0" collapsed="false">
      <c r="A135" s="4" t="n">
        <v>131</v>
      </c>
      <c r="B135" s="14" t="n">
        <f aca="false">A135/12</f>
        <v>10.9166666666667</v>
      </c>
      <c r="C135" s="15" t="n">
        <f aca="false">INT(A135/6)</f>
        <v>21</v>
      </c>
      <c r="D135" s="16" t="n">
        <f aca="false">IF(C135=0,(1+Dic2025!$G$6)^(-B135),EXP(LN(INDEX(Dic2025!$H$6:$H$205,C135))+(LN(INDEX(Dic2025!$H$6:$H$205,MIN(C135+1,200)))-LN(INDEX(Dic2025!$H$6:$H$205,C135)))*(A135-6*C135)/6))</f>
        <v>0.578905189090905</v>
      </c>
      <c r="E135" s="12" t="n">
        <f aca="false">D135^(-1/B135)-1</f>
        <v>0.0513465239369761</v>
      </c>
      <c r="F135" s="12" t="n">
        <f aca="false">(1+E135)^(1/12)-1</f>
        <v>0.00418136313475981</v>
      </c>
      <c r="G135" s="16" t="n">
        <f aca="false">IF(C135=0,(1+Dic2025!$J$6)^(-B135),EXP(LN(INDEX(Dic2025!$K$6:$K$205,C135))+(LN(INDEX(Dic2025!$K$6:$K$205,MIN(C135+1,200)))-LN(INDEX(Dic2025!$K$6:$K$205,C135)))*(A135-6*C135)/6))</f>
        <v>0.578905189090905</v>
      </c>
      <c r="H135" s="12" t="n">
        <f aca="false">G135^(-1/B135)-1</f>
        <v>0.0513465239369761</v>
      </c>
      <c r="I135" s="12" t="n">
        <f aca="false">(1+H135)^(1/12)-1</f>
        <v>0.00418136313475981</v>
      </c>
      <c r="J135" s="16" t="n">
        <f aca="false">IF(C135=0,(1+Dic2025!$M$6)^(-B135),EXP(LN(INDEX(Dic2025!$N$6:$N$205,C135))+(LN(INDEX(Dic2025!$N$6:$N$205,MIN(C135+1,200)))-LN(INDEX(Dic2025!$N$6:$N$205,C135)))*(A135-6*C135)/6))</f>
        <v>0.578905189090905</v>
      </c>
      <c r="K135" s="12" t="n">
        <f aca="false">J135^(-1/B135)-1</f>
        <v>0.0513465239369761</v>
      </c>
      <c r="L135" s="12" t="n">
        <f aca="false">(1+K135)^(1/12)-1</f>
        <v>0.00418136313475981</v>
      </c>
    </row>
    <row r="136" customFormat="false" ht="15" hidden="false" customHeight="false" outlineLevel="0" collapsed="false">
      <c r="A136" s="4" t="n">
        <v>132</v>
      </c>
      <c r="B136" s="14" t="n">
        <f aca="false">A136/12</f>
        <v>11</v>
      </c>
      <c r="C136" s="15" t="n">
        <f aca="false">INT(A136/6)</f>
        <v>22</v>
      </c>
      <c r="D136" s="16" t="n">
        <f aca="false">IF(C136=0,(1+Dic2025!$G$6)^(-B136),EXP(LN(INDEX(Dic2025!$H$6:$H$205,C136))+(LN(INDEX(Dic2025!$H$6:$H$205,MIN(C136+1,200)))-LN(INDEX(Dic2025!$H$6:$H$205,C136)))*(A136-6*C136)/6))</f>
        <v>0.575900043990307</v>
      </c>
      <c r="E136" s="12" t="n">
        <f aca="false">D136^(-1/B136)-1</f>
        <v>0.0514451600000001</v>
      </c>
      <c r="F136" s="12" t="n">
        <f aca="false">(1+E136)^(1/12)-1</f>
        <v>0.00418921372089787</v>
      </c>
      <c r="G136" s="16" t="n">
        <f aca="false">IF(C136=0,(1+Dic2025!$J$6)^(-B136),EXP(LN(INDEX(Dic2025!$K$6:$K$205,C136))+(LN(INDEX(Dic2025!$K$6:$K$205,MIN(C136+1,200)))-LN(INDEX(Dic2025!$K$6:$K$205,C136)))*(A136-6*C136)/6))</f>
        <v>0.575900043990307</v>
      </c>
      <c r="H136" s="12" t="n">
        <f aca="false">G136^(-1/B136)-1</f>
        <v>0.0514451600000001</v>
      </c>
      <c r="I136" s="12" t="n">
        <f aca="false">(1+H136)^(1/12)-1</f>
        <v>0.00418921372089787</v>
      </c>
      <c r="J136" s="16" t="n">
        <f aca="false">IF(C136=0,(1+Dic2025!$M$6)^(-B136),EXP(LN(INDEX(Dic2025!$N$6:$N$205,C136))+(LN(INDEX(Dic2025!$N$6:$N$205,MIN(C136+1,200)))-LN(INDEX(Dic2025!$N$6:$N$205,C136)))*(A136-6*C136)/6))</f>
        <v>0.575900043990307</v>
      </c>
      <c r="K136" s="12" t="n">
        <f aca="false">J136^(-1/B136)-1</f>
        <v>0.0514451600000001</v>
      </c>
      <c r="L136" s="12" t="n">
        <f aca="false">(1+K136)^(1/12)-1</f>
        <v>0.00418921372089787</v>
      </c>
    </row>
    <row r="137" customFormat="false" ht="15" hidden="false" customHeight="false" outlineLevel="0" collapsed="false">
      <c r="A137" s="4" t="n">
        <v>133</v>
      </c>
      <c r="B137" s="14" t="n">
        <f aca="false">A137/12</f>
        <v>11.0833333333333</v>
      </c>
      <c r="C137" s="15" t="n">
        <f aca="false">INT(A137/6)</f>
        <v>22</v>
      </c>
      <c r="D137" s="16" t="n">
        <f aca="false">IF(C137=0,(1+Dic2025!$G$6)^(-B137),EXP(LN(INDEX(Dic2025!$H$6:$H$205,C137))+(LN(INDEX(Dic2025!$H$6:$H$205,MIN(C137+1,200)))-LN(INDEX(Dic2025!$H$6:$H$205,C137)))*(A137-6*C137)/6))</f>
        <v>0.572854809460254</v>
      </c>
      <c r="E137" s="12" t="n">
        <f aca="false">D137^(-1/B137)-1</f>
        <v>0.0515515447079569</v>
      </c>
      <c r="F137" s="12" t="n">
        <f aca="false">(1+E137)^(1/12)-1</f>
        <v>0.00419768027614276</v>
      </c>
      <c r="G137" s="16" t="n">
        <f aca="false">IF(C137=0,(1+Dic2025!$J$6)^(-B137),EXP(LN(INDEX(Dic2025!$K$6:$K$205,C137))+(LN(INDEX(Dic2025!$K$6:$K$205,MIN(C137+1,200)))-LN(INDEX(Dic2025!$K$6:$K$205,C137)))*(A137-6*C137)/6))</f>
        <v>0.572854809460254</v>
      </c>
      <c r="H137" s="12" t="n">
        <f aca="false">G137^(-1/B137)-1</f>
        <v>0.0515515447079569</v>
      </c>
      <c r="I137" s="12" t="n">
        <f aca="false">(1+H137)^(1/12)-1</f>
        <v>0.00419768027614276</v>
      </c>
      <c r="J137" s="16" t="n">
        <f aca="false">IF(C137=0,(1+Dic2025!$M$6)^(-B137),EXP(LN(INDEX(Dic2025!$N$6:$N$205,C137))+(LN(INDEX(Dic2025!$N$6:$N$205,MIN(C137+1,200)))-LN(INDEX(Dic2025!$N$6:$N$205,C137)))*(A137-6*C137)/6))</f>
        <v>0.572854809460254</v>
      </c>
      <c r="K137" s="12" t="n">
        <f aca="false">J137^(-1/B137)-1</f>
        <v>0.0515515447079569</v>
      </c>
      <c r="L137" s="12" t="n">
        <f aca="false">(1+K137)^(1/12)-1</f>
        <v>0.00419768027614276</v>
      </c>
    </row>
    <row r="138" customFormat="false" ht="15" hidden="false" customHeight="false" outlineLevel="0" collapsed="false">
      <c r="A138" s="4" t="n">
        <v>134</v>
      </c>
      <c r="B138" s="14" t="n">
        <f aca="false">A138/12</f>
        <v>11.1666666666667</v>
      </c>
      <c r="C138" s="15" t="n">
        <f aca="false">INT(A138/6)</f>
        <v>22</v>
      </c>
      <c r="D138" s="16" t="n">
        <f aca="false">IF(C138=0,(1+Dic2025!$G$6)^(-B138),EXP(LN(INDEX(Dic2025!$H$6:$H$205,C138))+(LN(INDEX(Dic2025!$H$6:$H$205,MIN(C138+1,200)))-LN(INDEX(Dic2025!$H$6:$H$205,C138)))*(A138-6*C138)/6))</f>
        <v>0.569825677469937</v>
      </c>
      <c r="E138" s="12" t="n">
        <f aca="false">D138^(-1/B138)-1</f>
        <v>0.051656352108614</v>
      </c>
      <c r="F138" s="12" t="n">
        <f aca="false">(1+E138)^(1/12)-1</f>
        <v>0.00420602053468477</v>
      </c>
      <c r="G138" s="16" t="n">
        <f aca="false">IF(C138=0,(1+Dic2025!$J$6)^(-B138),EXP(LN(INDEX(Dic2025!$K$6:$K$205,C138))+(LN(INDEX(Dic2025!$K$6:$K$205,MIN(C138+1,200)))-LN(INDEX(Dic2025!$K$6:$K$205,C138)))*(A138-6*C138)/6))</f>
        <v>0.569825677469937</v>
      </c>
      <c r="H138" s="12" t="n">
        <f aca="false">G138^(-1/B138)-1</f>
        <v>0.051656352108614</v>
      </c>
      <c r="I138" s="12" t="n">
        <f aca="false">(1+H138)^(1/12)-1</f>
        <v>0.00420602053468477</v>
      </c>
      <c r="J138" s="16" t="n">
        <f aca="false">IF(C138=0,(1+Dic2025!$M$6)^(-B138),EXP(LN(INDEX(Dic2025!$N$6:$N$205,C138))+(LN(INDEX(Dic2025!$N$6:$N$205,MIN(C138+1,200)))-LN(INDEX(Dic2025!$N$6:$N$205,C138)))*(A138-6*C138)/6))</f>
        <v>0.569825677469937</v>
      </c>
      <c r="K138" s="12" t="n">
        <f aca="false">J138^(-1/B138)-1</f>
        <v>0.051656352108614</v>
      </c>
      <c r="L138" s="12" t="n">
        <f aca="false">(1+K138)^(1/12)-1</f>
        <v>0.00420602053468477</v>
      </c>
    </row>
    <row r="139" customFormat="false" ht="15" hidden="false" customHeight="false" outlineLevel="0" collapsed="false">
      <c r="A139" s="4" t="n">
        <v>135</v>
      </c>
      <c r="B139" s="14" t="n">
        <f aca="false">A139/12</f>
        <v>11.25</v>
      </c>
      <c r="C139" s="15" t="n">
        <f aca="false">INT(A139/6)</f>
        <v>22</v>
      </c>
      <c r="D139" s="16" t="n">
        <f aca="false">IF(C139=0,(1+Dic2025!$G$6)^(-B139),EXP(LN(INDEX(Dic2025!$H$6:$H$205,C139))+(LN(INDEX(Dic2025!$H$6:$H$205,MIN(C139+1,200)))-LN(INDEX(Dic2025!$H$6:$H$205,C139)))*(A139-6*C139)/6))</f>
        <v>0.56681256287262</v>
      </c>
      <c r="E139" s="12" t="n">
        <f aca="false">D139^(-1/B139)-1</f>
        <v>0.0517596170221248</v>
      </c>
      <c r="F139" s="12" t="n">
        <f aca="false">(1+E139)^(1/12)-1</f>
        <v>0.00421423730157833</v>
      </c>
      <c r="G139" s="16" t="n">
        <f aca="false">IF(C139=0,(1+Dic2025!$J$6)^(-B139),EXP(LN(INDEX(Dic2025!$K$6:$K$205,C139))+(LN(INDEX(Dic2025!$K$6:$K$205,MIN(C139+1,200)))-LN(INDEX(Dic2025!$K$6:$K$205,C139)))*(A139-6*C139)/6))</f>
        <v>0.56681256287262</v>
      </c>
      <c r="H139" s="12" t="n">
        <f aca="false">G139^(-1/B139)-1</f>
        <v>0.0517596170221248</v>
      </c>
      <c r="I139" s="12" t="n">
        <f aca="false">(1+H139)^(1/12)-1</f>
        <v>0.00421423730157833</v>
      </c>
      <c r="J139" s="16" t="n">
        <f aca="false">IF(C139=0,(1+Dic2025!$M$6)^(-B139),EXP(LN(INDEX(Dic2025!$N$6:$N$205,C139))+(LN(INDEX(Dic2025!$N$6:$N$205,MIN(C139+1,200)))-LN(INDEX(Dic2025!$N$6:$N$205,C139)))*(A139-6*C139)/6))</f>
        <v>0.56681256287262</v>
      </c>
      <c r="K139" s="12" t="n">
        <f aca="false">J139^(-1/B139)-1</f>
        <v>0.0517596170221248</v>
      </c>
      <c r="L139" s="12" t="n">
        <f aca="false">(1+K139)^(1/12)-1</f>
        <v>0.00421423730157833</v>
      </c>
    </row>
    <row r="140" customFormat="false" ht="15" hidden="false" customHeight="false" outlineLevel="0" collapsed="false">
      <c r="A140" s="4" t="n">
        <v>136</v>
      </c>
      <c r="B140" s="14" t="n">
        <f aca="false">A140/12</f>
        <v>11.3333333333333</v>
      </c>
      <c r="C140" s="15" t="n">
        <f aca="false">INT(A140/6)</f>
        <v>22</v>
      </c>
      <c r="D140" s="16" t="n">
        <f aca="false">IF(C140=0,(1+Dic2025!$G$6)^(-B140),EXP(LN(INDEX(Dic2025!$H$6:$H$205,C140))+(LN(INDEX(Dic2025!$H$6:$H$205,MIN(C140+1,200)))-LN(INDEX(Dic2025!$H$6:$H$205,C140)))*(A140-6*C140)/6))</f>
        <v>0.563815380971802</v>
      </c>
      <c r="E140" s="12" t="n">
        <f aca="false">D140^(-1/B140)-1</f>
        <v>0.0518613732512394</v>
      </c>
      <c r="F140" s="12" t="n">
        <f aca="false">(1+E140)^(1/12)-1</f>
        <v>0.00422233329942134</v>
      </c>
      <c r="G140" s="16" t="n">
        <f aca="false">IF(C140=0,(1+Dic2025!$J$6)^(-B140),EXP(LN(INDEX(Dic2025!$K$6:$K$205,C140))+(LN(INDEX(Dic2025!$K$6:$K$205,MIN(C140+1,200)))-LN(INDEX(Dic2025!$K$6:$K$205,C140)))*(A140-6*C140)/6))</f>
        <v>0.563815380971802</v>
      </c>
      <c r="H140" s="12" t="n">
        <f aca="false">G140^(-1/B140)-1</f>
        <v>0.0518613732512394</v>
      </c>
      <c r="I140" s="12" t="n">
        <f aca="false">(1+H140)^(1/12)-1</f>
        <v>0.00422233329942134</v>
      </c>
      <c r="J140" s="16" t="n">
        <f aca="false">IF(C140=0,(1+Dic2025!$M$6)^(-B140),EXP(LN(INDEX(Dic2025!$N$6:$N$205,C140))+(LN(INDEX(Dic2025!$N$6:$N$205,MIN(C140+1,200)))-LN(INDEX(Dic2025!$N$6:$N$205,C140)))*(A140-6*C140)/6))</f>
        <v>0.563815380971802</v>
      </c>
      <c r="K140" s="12" t="n">
        <f aca="false">J140^(-1/B140)-1</f>
        <v>0.0518613732512394</v>
      </c>
      <c r="L140" s="12" t="n">
        <f aca="false">(1+K140)^(1/12)-1</f>
        <v>0.00422233329942134</v>
      </c>
    </row>
    <row r="141" customFormat="false" ht="15" hidden="false" customHeight="false" outlineLevel="0" collapsed="false">
      <c r="A141" s="4" t="n">
        <v>137</v>
      </c>
      <c r="B141" s="14" t="n">
        <f aca="false">A141/12</f>
        <v>11.4166666666667</v>
      </c>
      <c r="C141" s="15" t="n">
        <f aca="false">INT(A141/6)</f>
        <v>22</v>
      </c>
      <c r="D141" s="16" t="n">
        <f aca="false">IF(C141=0,(1+Dic2025!$G$6)^(-B141),EXP(LN(INDEX(Dic2025!$H$6:$H$205,C141))+(LN(INDEX(Dic2025!$H$6:$H$205,MIN(C141+1,200)))-LN(INDEX(Dic2025!$H$6:$H$205,C141)))*(A141-6*C141)/6))</f>
        <v>0.56083404751884</v>
      </c>
      <c r="E141" s="12" t="n">
        <f aca="false">D141^(-1/B141)-1</f>
        <v>0.0519616536181926</v>
      </c>
      <c r="F141" s="12" t="n">
        <f aca="false">(1+E141)^(1/12)-1</f>
        <v>0.00423031117136286</v>
      </c>
      <c r="G141" s="16" t="n">
        <f aca="false">IF(C141=0,(1+Dic2025!$J$6)^(-B141),EXP(LN(INDEX(Dic2025!$K$6:$K$205,C141))+(LN(INDEX(Dic2025!$K$6:$K$205,MIN(C141+1,200)))-LN(INDEX(Dic2025!$K$6:$K$205,C141)))*(A141-6*C141)/6))</f>
        <v>0.56083404751884</v>
      </c>
      <c r="H141" s="12" t="n">
        <f aca="false">G141^(-1/B141)-1</f>
        <v>0.0519616536181926</v>
      </c>
      <c r="I141" s="12" t="n">
        <f aca="false">(1+H141)^(1/12)-1</f>
        <v>0.00423031117136286</v>
      </c>
      <c r="J141" s="16" t="n">
        <f aca="false">IF(C141=0,(1+Dic2025!$M$6)^(-B141),EXP(LN(INDEX(Dic2025!$N$6:$N$205,C141))+(LN(INDEX(Dic2025!$N$6:$N$205,MIN(C141+1,200)))-LN(INDEX(Dic2025!$N$6:$N$205,C141)))*(A141-6*C141)/6))</f>
        <v>0.56083404751884</v>
      </c>
      <c r="K141" s="12" t="n">
        <f aca="false">J141^(-1/B141)-1</f>
        <v>0.0519616536181926</v>
      </c>
      <c r="L141" s="12" t="n">
        <f aca="false">(1+K141)^(1/12)-1</f>
        <v>0.00423031117136286</v>
      </c>
    </row>
    <row r="142" customFormat="false" ht="15" hidden="false" customHeight="false" outlineLevel="0" collapsed="false">
      <c r="A142" s="4" t="n">
        <v>138</v>
      </c>
      <c r="B142" s="14" t="n">
        <f aca="false">A142/12</f>
        <v>11.5</v>
      </c>
      <c r="C142" s="15" t="n">
        <f aca="false">INT(A142/6)</f>
        <v>23</v>
      </c>
      <c r="D142" s="16" t="n">
        <f aca="false">IF(C142=0,(1+Dic2025!$G$6)^(-B142),EXP(LN(INDEX(Dic2025!$H$6:$H$205,C142))+(LN(INDEX(Dic2025!$H$6:$H$205,MIN(C142+1,200)))-LN(INDEX(Dic2025!$H$6:$H$205,C142)))*(A142-6*C142)/6))</f>
        <v>0.557868478710578</v>
      </c>
      <c r="E142" s="12" t="n">
        <f aca="false">D142^(-1/B142)-1</f>
        <v>0.0520604900000001</v>
      </c>
      <c r="F142" s="12" t="n">
        <f aca="false">(1+E142)^(1/12)-1</f>
        <v>0.00423817348397937</v>
      </c>
      <c r="G142" s="16" t="n">
        <f aca="false">IF(C142=0,(1+Dic2025!$J$6)^(-B142),EXP(LN(INDEX(Dic2025!$K$6:$K$205,C142))+(LN(INDEX(Dic2025!$K$6:$K$205,MIN(C142+1,200)))-LN(INDEX(Dic2025!$K$6:$K$205,C142)))*(A142-6*C142)/6))</f>
        <v>0.557868478710578</v>
      </c>
      <c r="H142" s="12" t="n">
        <f aca="false">G142^(-1/B142)-1</f>
        <v>0.0520604900000001</v>
      </c>
      <c r="I142" s="12" t="n">
        <f aca="false">(1+H142)^(1/12)-1</f>
        <v>0.00423817348397937</v>
      </c>
      <c r="J142" s="16" t="n">
        <f aca="false">IF(C142=0,(1+Dic2025!$M$6)^(-B142),EXP(LN(INDEX(Dic2025!$N$6:$N$205,C142))+(LN(INDEX(Dic2025!$N$6:$N$205,MIN(C142+1,200)))-LN(INDEX(Dic2025!$N$6:$N$205,C142)))*(A142-6*C142)/6))</f>
        <v>0.557868478710578</v>
      </c>
      <c r="K142" s="12" t="n">
        <f aca="false">J142^(-1/B142)-1</f>
        <v>0.0520604900000001</v>
      </c>
      <c r="L142" s="12" t="n">
        <f aca="false">(1+K142)^(1/12)-1</f>
        <v>0.00423817348397937</v>
      </c>
    </row>
    <row r="143" customFormat="false" ht="15" hidden="false" customHeight="false" outlineLevel="0" collapsed="false">
      <c r="A143" s="4" t="n">
        <v>139</v>
      </c>
      <c r="B143" s="14" t="n">
        <f aca="false">A143/12</f>
        <v>11.5833333333333</v>
      </c>
      <c r="C143" s="15" t="n">
        <f aca="false">INT(A143/6)</f>
        <v>23</v>
      </c>
      <c r="D143" s="16" t="n">
        <f aca="false">IF(C143=0,(1+Dic2025!$G$6)^(-B143),EXP(LN(INDEX(Dic2025!$H$6:$H$205,C143))+(LN(INDEX(Dic2025!$H$6:$H$205,MIN(C143+1,200)))-LN(INDEX(Dic2025!$H$6:$H$205,C143)))*(A143-6*C143)/6))</f>
        <v>0.55497284826044</v>
      </c>
      <c r="E143" s="12" t="n">
        <f aca="false">D143^(-1/B143)-1</f>
        <v>0.0521490325763858</v>
      </c>
      <c r="F143" s="12" t="n">
        <f aca="false">(1+E143)^(1/12)-1</f>
        <v>0.00424521636208319</v>
      </c>
      <c r="G143" s="16" t="n">
        <f aca="false">IF(C143=0,(1+Dic2025!$J$6)^(-B143),EXP(LN(INDEX(Dic2025!$K$6:$K$205,C143))+(LN(INDEX(Dic2025!$K$6:$K$205,MIN(C143+1,200)))-LN(INDEX(Dic2025!$K$6:$K$205,C143)))*(A143-6*C143)/6))</f>
        <v>0.55497284826044</v>
      </c>
      <c r="H143" s="12" t="n">
        <f aca="false">G143^(-1/B143)-1</f>
        <v>0.0521490325763858</v>
      </c>
      <c r="I143" s="12" t="n">
        <f aca="false">(1+H143)^(1/12)-1</f>
        <v>0.00424521636208319</v>
      </c>
      <c r="J143" s="16" t="n">
        <f aca="false">IF(C143=0,(1+Dic2025!$M$6)^(-B143),EXP(LN(INDEX(Dic2025!$N$6:$N$205,C143))+(LN(INDEX(Dic2025!$N$6:$N$205,MIN(C143+1,200)))-LN(INDEX(Dic2025!$N$6:$N$205,C143)))*(A143-6*C143)/6))</f>
        <v>0.55497284826044</v>
      </c>
      <c r="K143" s="12" t="n">
        <f aca="false">J143^(-1/B143)-1</f>
        <v>0.0521490325763858</v>
      </c>
      <c r="L143" s="12" t="n">
        <f aca="false">(1+K143)^(1/12)-1</f>
        <v>0.00424521636208319</v>
      </c>
    </row>
    <row r="144" customFormat="false" ht="15" hidden="false" customHeight="false" outlineLevel="0" collapsed="false">
      <c r="A144" s="4" t="n">
        <v>140</v>
      </c>
      <c r="B144" s="14" t="n">
        <f aca="false">A144/12</f>
        <v>11.6666666666667</v>
      </c>
      <c r="C144" s="15" t="n">
        <f aca="false">INT(A144/6)</f>
        <v>23</v>
      </c>
      <c r="D144" s="16" t="n">
        <f aca="false">IF(C144=0,(1+Dic2025!$G$6)^(-B144),EXP(LN(INDEX(Dic2025!$H$6:$H$205,C144))+(LN(INDEX(Dic2025!$H$6:$H$205,MIN(C144+1,200)))-LN(INDEX(Dic2025!$H$6:$H$205,C144)))*(A144-6*C144)/6))</f>
        <v>0.552092247653399</v>
      </c>
      <c r="E144" s="12" t="n">
        <f aca="false">D144^(-1/B144)-1</f>
        <v>0.0522363175517395</v>
      </c>
      <c r="F144" s="12" t="n">
        <f aca="false">(1+E144)^(1/12)-1</f>
        <v>0.00425215867598205</v>
      </c>
      <c r="G144" s="16" t="n">
        <f aca="false">IF(C144=0,(1+Dic2025!$J$6)^(-B144),EXP(LN(INDEX(Dic2025!$K$6:$K$205,C144))+(LN(INDEX(Dic2025!$K$6:$K$205,MIN(C144+1,200)))-LN(INDEX(Dic2025!$K$6:$K$205,C144)))*(A144-6*C144)/6))</f>
        <v>0.552092247653399</v>
      </c>
      <c r="H144" s="12" t="n">
        <f aca="false">G144^(-1/B144)-1</f>
        <v>0.0522363175517395</v>
      </c>
      <c r="I144" s="12" t="n">
        <f aca="false">(1+H144)^(1/12)-1</f>
        <v>0.00425215867598205</v>
      </c>
      <c r="J144" s="16" t="n">
        <f aca="false">IF(C144=0,(1+Dic2025!$M$6)^(-B144),EXP(LN(INDEX(Dic2025!$N$6:$N$205,C144))+(LN(INDEX(Dic2025!$N$6:$N$205,MIN(C144+1,200)))-LN(INDEX(Dic2025!$N$6:$N$205,C144)))*(A144-6*C144)/6))</f>
        <v>0.552092247653399</v>
      </c>
      <c r="K144" s="12" t="n">
        <f aca="false">J144^(-1/B144)-1</f>
        <v>0.0522363175517395</v>
      </c>
      <c r="L144" s="12" t="n">
        <f aca="false">(1+K144)^(1/12)-1</f>
        <v>0.00425215867598205</v>
      </c>
    </row>
    <row r="145" customFormat="false" ht="15" hidden="false" customHeight="false" outlineLevel="0" collapsed="false">
      <c r="A145" s="4" t="n">
        <v>141</v>
      </c>
      <c r="B145" s="14" t="n">
        <f aca="false">A145/12</f>
        <v>11.75</v>
      </c>
      <c r="C145" s="15" t="n">
        <f aca="false">INT(A145/6)</f>
        <v>23</v>
      </c>
      <c r="D145" s="16" t="n">
        <f aca="false">IF(C145=0,(1+Dic2025!$G$6)^(-B145),EXP(LN(INDEX(Dic2025!$H$6:$H$205,C145))+(LN(INDEX(Dic2025!$H$6:$H$205,MIN(C145+1,200)))-LN(INDEX(Dic2025!$H$6:$H$205,C145)))*(A145-6*C145)/6))</f>
        <v>0.549226598876673</v>
      </c>
      <c r="E145" s="12" t="n">
        <f aca="false">D145^(-1/B145)-1</f>
        <v>0.05232237153005</v>
      </c>
      <c r="F145" s="12" t="n">
        <f aca="false">(1+E145)^(1/12)-1</f>
        <v>0.00425900256431899</v>
      </c>
      <c r="G145" s="16" t="n">
        <f aca="false">IF(C145=0,(1+Dic2025!$J$6)^(-B145),EXP(LN(INDEX(Dic2025!$K$6:$K$205,C145))+(LN(INDEX(Dic2025!$K$6:$K$205,MIN(C145+1,200)))-LN(INDEX(Dic2025!$K$6:$K$205,C145)))*(A145-6*C145)/6))</f>
        <v>0.549226598876673</v>
      </c>
      <c r="H145" s="12" t="n">
        <f aca="false">G145^(-1/B145)-1</f>
        <v>0.05232237153005</v>
      </c>
      <c r="I145" s="12" t="n">
        <f aca="false">(1+H145)^(1/12)-1</f>
        <v>0.00425900256431899</v>
      </c>
      <c r="J145" s="16" t="n">
        <f aca="false">IF(C145=0,(1+Dic2025!$M$6)^(-B145),EXP(LN(INDEX(Dic2025!$N$6:$N$205,C145))+(LN(INDEX(Dic2025!$N$6:$N$205,MIN(C145+1,200)))-LN(INDEX(Dic2025!$N$6:$N$205,C145)))*(A145-6*C145)/6))</f>
        <v>0.549226598876673</v>
      </c>
      <c r="K145" s="12" t="n">
        <f aca="false">J145^(-1/B145)-1</f>
        <v>0.05232237153005</v>
      </c>
      <c r="L145" s="12" t="n">
        <f aca="false">(1+K145)^(1/12)-1</f>
        <v>0.00425900256431899</v>
      </c>
    </row>
    <row r="146" customFormat="false" ht="15" hidden="false" customHeight="false" outlineLevel="0" collapsed="false">
      <c r="A146" s="4" t="n">
        <v>142</v>
      </c>
      <c r="B146" s="14" t="n">
        <f aca="false">A146/12</f>
        <v>11.8333333333333</v>
      </c>
      <c r="C146" s="15" t="n">
        <f aca="false">INT(A146/6)</f>
        <v>23</v>
      </c>
      <c r="D146" s="16" t="n">
        <f aca="false">IF(C146=0,(1+Dic2025!$G$6)^(-B146),EXP(LN(INDEX(Dic2025!$H$6:$H$205,C146))+(LN(INDEX(Dic2025!$H$6:$H$205,MIN(C146+1,200)))-LN(INDEX(Dic2025!$H$6:$H$205,C146)))*(A146-6*C146)/6))</f>
        <v>0.546375824322411</v>
      </c>
      <c r="E146" s="12" t="n">
        <f aca="false">D146^(-1/B146)-1</f>
        <v>0.0524072203701749</v>
      </c>
      <c r="F146" s="12" t="n">
        <f aca="false">(1+E146)^(1/12)-1</f>
        <v>0.00426575010552233</v>
      </c>
      <c r="G146" s="16" t="n">
        <f aca="false">IF(C146=0,(1+Dic2025!$J$6)^(-B146),EXP(LN(INDEX(Dic2025!$K$6:$K$205,C146))+(LN(INDEX(Dic2025!$K$6:$K$205,MIN(C146+1,200)))-LN(INDEX(Dic2025!$K$6:$K$205,C146)))*(A146-6*C146)/6))</f>
        <v>0.546375824322411</v>
      </c>
      <c r="H146" s="12" t="n">
        <f aca="false">G146^(-1/B146)-1</f>
        <v>0.0524072203701749</v>
      </c>
      <c r="I146" s="12" t="n">
        <f aca="false">(1+H146)^(1/12)-1</f>
        <v>0.00426575010552233</v>
      </c>
      <c r="J146" s="16" t="n">
        <f aca="false">IF(C146=0,(1+Dic2025!$M$6)^(-B146),EXP(LN(INDEX(Dic2025!$N$6:$N$205,C146))+(LN(INDEX(Dic2025!$N$6:$N$205,MIN(C146+1,200)))-LN(INDEX(Dic2025!$N$6:$N$205,C146)))*(A146-6*C146)/6))</f>
        <v>0.546375824322411</v>
      </c>
      <c r="K146" s="12" t="n">
        <f aca="false">J146^(-1/B146)-1</f>
        <v>0.0524072203701749</v>
      </c>
      <c r="L146" s="12" t="n">
        <f aca="false">(1+K146)^(1/12)-1</f>
        <v>0.00426575010552233</v>
      </c>
    </row>
    <row r="147" customFormat="false" ht="15" hidden="false" customHeight="false" outlineLevel="0" collapsed="false">
      <c r="A147" s="4" t="n">
        <v>143</v>
      </c>
      <c r="B147" s="14" t="n">
        <f aca="false">A147/12</f>
        <v>11.9166666666667</v>
      </c>
      <c r="C147" s="15" t="n">
        <f aca="false">INT(A147/6)</f>
        <v>23</v>
      </c>
      <c r="D147" s="16" t="n">
        <f aca="false">IF(C147=0,(1+Dic2025!$G$6)^(-B147),EXP(LN(INDEX(Dic2025!$H$6:$H$205,C147))+(LN(INDEX(Dic2025!$H$6:$H$205,MIN(C147+1,200)))-LN(INDEX(Dic2025!$H$6:$H$205,C147)))*(A147-6*C147)/6))</f>
        <v>0.543539846785583</v>
      </c>
      <c r="E147" s="12" t="n">
        <f aca="false">D147^(-1/B147)-1</f>
        <v>0.0524908892117455</v>
      </c>
      <c r="F147" s="12" t="n">
        <f aca="false">(1+E147)^(1/12)-1</f>
        <v>0.00427240331990952</v>
      </c>
      <c r="G147" s="16" t="n">
        <f aca="false">IF(C147=0,(1+Dic2025!$J$6)^(-B147),EXP(LN(INDEX(Dic2025!$K$6:$K$205,C147))+(LN(INDEX(Dic2025!$K$6:$K$205,MIN(C147+1,200)))-LN(INDEX(Dic2025!$K$6:$K$205,C147)))*(A147-6*C147)/6))</f>
        <v>0.543539846785583</v>
      </c>
      <c r="H147" s="12" t="n">
        <f aca="false">G147^(-1/B147)-1</f>
        <v>0.0524908892117455</v>
      </c>
      <c r="I147" s="12" t="n">
        <f aca="false">(1+H147)^(1/12)-1</f>
        <v>0.00427240331990952</v>
      </c>
      <c r="J147" s="16" t="n">
        <f aca="false">IF(C147=0,(1+Dic2025!$M$6)^(-B147),EXP(LN(INDEX(Dic2025!$N$6:$N$205,C147))+(LN(INDEX(Dic2025!$N$6:$N$205,MIN(C147+1,200)))-LN(INDEX(Dic2025!$N$6:$N$205,C147)))*(A147-6*C147)/6))</f>
        <v>0.543539846785583</v>
      </c>
      <c r="K147" s="12" t="n">
        <f aca="false">J147^(-1/B147)-1</f>
        <v>0.0524908892117455</v>
      </c>
      <c r="L147" s="12" t="n">
        <f aca="false">(1+K147)^(1/12)-1</f>
        <v>0.00427240331990952</v>
      </c>
    </row>
    <row r="148" customFormat="false" ht="15" hidden="false" customHeight="false" outlineLevel="0" collapsed="false">
      <c r="A148" s="4" t="n">
        <v>144</v>
      </c>
      <c r="B148" s="14" t="n">
        <f aca="false">A148/12</f>
        <v>12</v>
      </c>
      <c r="C148" s="15" t="n">
        <f aca="false">INT(A148/6)</f>
        <v>24</v>
      </c>
      <c r="D148" s="16" t="n">
        <f aca="false">IF(C148=0,(1+Dic2025!$G$6)^(-B148),EXP(LN(INDEX(Dic2025!$H$6:$H$205,C148))+(LN(INDEX(Dic2025!$H$6:$H$205,MIN(C148+1,200)))-LN(INDEX(Dic2025!$H$6:$H$205,C148)))*(A148-6*C148)/6))</f>
        <v>0.540718589461897</v>
      </c>
      <c r="E148" s="12" t="n">
        <f aca="false">D148^(-1/B148)-1</f>
        <v>0.0525734024999998</v>
      </c>
      <c r="F148" s="12" t="n">
        <f aca="false">(1+E148)^(1/12)-1</f>
        <v>0.0042789641717047</v>
      </c>
      <c r="G148" s="16" t="n">
        <f aca="false">IF(C148=0,(1+Dic2025!$J$6)^(-B148),EXP(LN(INDEX(Dic2025!$K$6:$K$205,C148))+(LN(INDEX(Dic2025!$K$6:$K$205,MIN(C148+1,200)))-LN(INDEX(Dic2025!$K$6:$K$205,C148)))*(A148-6*C148)/6))</f>
        <v>0.540718589461897</v>
      </c>
      <c r="H148" s="12" t="n">
        <f aca="false">G148^(-1/B148)-1</f>
        <v>0.0525734024999998</v>
      </c>
      <c r="I148" s="12" t="n">
        <f aca="false">(1+H148)^(1/12)-1</f>
        <v>0.0042789641717047</v>
      </c>
      <c r="J148" s="16" t="n">
        <f aca="false">IF(C148=0,(1+Dic2025!$M$6)^(-B148),EXP(LN(INDEX(Dic2025!$N$6:$N$205,C148))+(LN(INDEX(Dic2025!$N$6:$N$205,MIN(C148+1,200)))-LN(INDEX(Dic2025!$N$6:$N$205,C148)))*(A148-6*C148)/6))</f>
        <v>0.540718589461897</v>
      </c>
      <c r="K148" s="12" t="n">
        <f aca="false">J148^(-1/B148)-1</f>
        <v>0.0525734024999998</v>
      </c>
      <c r="L148" s="12" t="n">
        <f aca="false">(1+K148)^(1/12)-1</f>
        <v>0.0042789641717047</v>
      </c>
    </row>
    <row r="149" customFormat="false" ht="15" hidden="false" customHeight="false" outlineLevel="0" collapsed="false">
      <c r="A149" s="4" t="n">
        <v>145</v>
      </c>
      <c r="B149" s="14" t="n">
        <f aca="false">A149/12</f>
        <v>12.0833333333333</v>
      </c>
      <c r="C149" s="15" t="n">
        <f aca="false">INT(A149/6)</f>
        <v>24</v>
      </c>
      <c r="D149" s="16" t="n">
        <f aca="false">IF(C149=0,(1+Dic2025!$G$6)^(-B149),EXP(LN(INDEX(Dic2025!$H$6:$H$205,C149))+(LN(INDEX(Dic2025!$H$6:$H$205,MIN(C149+1,200)))-LN(INDEX(Dic2025!$H$6:$H$205,C149)))*(A149-6*C149)/6))</f>
        <v>0.537868413284284</v>
      </c>
      <c r="E149" s="12" t="n">
        <f aca="false">D149^(-1/B149)-1</f>
        <v>0.0526618394064184</v>
      </c>
      <c r="F149" s="12" t="n">
        <f aca="false">(1+E149)^(1/12)-1</f>
        <v>0.00428599550277009</v>
      </c>
      <c r="G149" s="16" t="n">
        <f aca="false">IF(C149=0,(1+Dic2025!$J$6)^(-B149),EXP(LN(INDEX(Dic2025!$K$6:$K$205,C149))+(LN(INDEX(Dic2025!$K$6:$K$205,MIN(C149+1,200)))-LN(INDEX(Dic2025!$K$6:$K$205,C149)))*(A149-6*C149)/6))</f>
        <v>0.537868413284284</v>
      </c>
      <c r="H149" s="12" t="n">
        <f aca="false">G149^(-1/B149)-1</f>
        <v>0.0526618394064184</v>
      </c>
      <c r="I149" s="12" t="n">
        <f aca="false">(1+H149)^(1/12)-1</f>
        <v>0.00428599550277009</v>
      </c>
      <c r="J149" s="16" t="n">
        <f aca="false">IF(C149=0,(1+Dic2025!$M$6)^(-B149),EXP(LN(INDEX(Dic2025!$N$6:$N$205,C149))+(LN(INDEX(Dic2025!$N$6:$N$205,MIN(C149+1,200)))-LN(INDEX(Dic2025!$N$6:$N$205,C149)))*(A149-6*C149)/6))</f>
        <v>0.537868413284284</v>
      </c>
      <c r="K149" s="12" t="n">
        <f aca="false">J149^(-1/B149)-1</f>
        <v>0.0526618394064184</v>
      </c>
      <c r="L149" s="12" t="n">
        <f aca="false">(1+K149)^(1/12)-1</f>
        <v>0.00428599550277009</v>
      </c>
    </row>
    <row r="150" customFormat="false" ht="15" hidden="false" customHeight="false" outlineLevel="0" collapsed="false">
      <c r="A150" s="4" t="n">
        <v>146</v>
      </c>
      <c r="B150" s="14" t="n">
        <f aca="false">A150/12</f>
        <v>12.1666666666667</v>
      </c>
      <c r="C150" s="15" t="n">
        <f aca="false">INT(A150/6)</f>
        <v>24</v>
      </c>
      <c r="D150" s="16" t="n">
        <f aca="false">IF(C150=0,(1+Dic2025!$G$6)^(-B150),EXP(LN(INDEX(Dic2025!$H$6:$H$205,C150))+(LN(INDEX(Dic2025!$H$6:$H$205,MIN(C150+1,200)))-LN(INDEX(Dic2025!$H$6:$H$205,C150)))*(A150-6*C150)/6))</f>
        <v>0.535033260640911</v>
      </c>
      <c r="E150" s="12" t="n">
        <f aca="false">D150^(-1/B150)-1</f>
        <v>0.0527490721268225</v>
      </c>
      <c r="F150" s="12" t="n">
        <f aca="false">(1+E150)^(1/12)-1</f>
        <v>0.00429293056245395</v>
      </c>
      <c r="G150" s="16" t="n">
        <f aca="false">IF(C150=0,(1+Dic2025!$J$6)^(-B150),EXP(LN(INDEX(Dic2025!$K$6:$K$205,C150))+(LN(INDEX(Dic2025!$K$6:$K$205,MIN(C150+1,200)))-LN(INDEX(Dic2025!$K$6:$K$205,C150)))*(A150-6*C150)/6))</f>
        <v>0.535033260640911</v>
      </c>
      <c r="H150" s="12" t="n">
        <f aca="false">G150^(-1/B150)-1</f>
        <v>0.0527490721268225</v>
      </c>
      <c r="I150" s="12" t="n">
        <f aca="false">(1+H150)^(1/12)-1</f>
        <v>0.00429293056245395</v>
      </c>
      <c r="J150" s="16" t="n">
        <f aca="false">IF(C150=0,(1+Dic2025!$M$6)^(-B150),EXP(LN(INDEX(Dic2025!$N$6:$N$205,C150))+(LN(INDEX(Dic2025!$N$6:$N$205,MIN(C150+1,200)))-LN(INDEX(Dic2025!$N$6:$N$205,C150)))*(A150-6*C150)/6))</f>
        <v>0.535033260640911</v>
      </c>
      <c r="K150" s="12" t="n">
        <f aca="false">J150^(-1/B150)-1</f>
        <v>0.0527490721268225</v>
      </c>
      <c r="L150" s="12" t="n">
        <f aca="false">(1+K150)^(1/12)-1</f>
        <v>0.00429293056245395</v>
      </c>
    </row>
    <row r="151" customFormat="false" ht="15" hidden="false" customHeight="false" outlineLevel="0" collapsed="false">
      <c r="A151" s="4" t="n">
        <v>147</v>
      </c>
      <c r="B151" s="14" t="n">
        <f aca="false">A151/12</f>
        <v>12.25</v>
      </c>
      <c r="C151" s="15" t="n">
        <f aca="false">INT(A151/6)</f>
        <v>24</v>
      </c>
      <c r="D151" s="16" t="n">
        <f aca="false">IF(C151=0,(1+Dic2025!$G$6)^(-B151),EXP(LN(INDEX(Dic2025!$H$6:$H$205,C151))+(LN(INDEX(Dic2025!$H$6:$H$205,MIN(C151+1,200)))-LN(INDEX(Dic2025!$H$6:$H$205,C151)))*(A151-6*C151)/6))</f>
        <v>0.532213052341383</v>
      </c>
      <c r="E151" s="12" t="n">
        <f aca="false">D151^(-1/B151)-1</f>
        <v>0.0528351250894941</v>
      </c>
      <c r="F151" s="12" t="n">
        <f aca="false">(1+E151)^(1/12)-1</f>
        <v>0.00429977131450121</v>
      </c>
      <c r="G151" s="16" t="n">
        <f aca="false">IF(C151=0,(1+Dic2025!$J$6)^(-B151),EXP(LN(INDEX(Dic2025!$K$6:$K$205,C151))+(LN(INDEX(Dic2025!$K$6:$K$205,MIN(C151+1,200)))-LN(INDEX(Dic2025!$K$6:$K$205,C151)))*(A151-6*C151)/6))</f>
        <v>0.532213052341383</v>
      </c>
      <c r="H151" s="12" t="n">
        <f aca="false">G151^(-1/B151)-1</f>
        <v>0.0528351250894941</v>
      </c>
      <c r="I151" s="12" t="n">
        <f aca="false">(1+H151)^(1/12)-1</f>
        <v>0.00429977131450121</v>
      </c>
      <c r="J151" s="16" t="n">
        <f aca="false">IF(C151=0,(1+Dic2025!$M$6)^(-B151),EXP(LN(INDEX(Dic2025!$N$6:$N$205,C151))+(LN(INDEX(Dic2025!$N$6:$N$205,MIN(C151+1,200)))-LN(INDEX(Dic2025!$N$6:$N$205,C151)))*(A151-6*C151)/6))</f>
        <v>0.532213052341383</v>
      </c>
      <c r="K151" s="12" t="n">
        <f aca="false">J151^(-1/B151)-1</f>
        <v>0.0528351250894941</v>
      </c>
      <c r="L151" s="12" t="n">
        <f aca="false">(1+K151)^(1/12)-1</f>
        <v>0.00429977131450121</v>
      </c>
    </row>
    <row r="152" customFormat="false" ht="15" hidden="false" customHeight="false" outlineLevel="0" collapsed="false">
      <c r="A152" s="4" t="n">
        <v>148</v>
      </c>
      <c r="B152" s="14" t="n">
        <f aca="false">A152/12</f>
        <v>12.3333333333333</v>
      </c>
      <c r="C152" s="15" t="n">
        <f aca="false">INT(A152/6)</f>
        <v>24</v>
      </c>
      <c r="D152" s="16" t="n">
        <f aca="false">IF(C152=0,(1+Dic2025!$G$6)^(-B152),EXP(LN(INDEX(Dic2025!$H$6:$H$205,C152))+(LN(INDEX(Dic2025!$H$6:$H$205,MIN(C152+1,200)))-LN(INDEX(Dic2025!$H$6:$H$205,C152)))*(A152-6*C152)/6))</f>
        <v>0.529407709612723</v>
      </c>
      <c r="E152" s="12" t="n">
        <f aca="false">D152^(-1/B152)-1</f>
        <v>0.0529200220664206</v>
      </c>
      <c r="F152" s="12" t="n">
        <f aca="false">(1+E152)^(1/12)-1</f>
        <v>0.00430651966960882</v>
      </c>
      <c r="G152" s="16" t="n">
        <f aca="false">IF(C152=0,(1+Dic2025!$J$6)^(-B152),EXP(LN(INDEX(Dic2025!$K$6:$K$205,C152))+(LN(INDEX(Dic2025!$K$6:$K$205,MIN(C152+1,200)))-LN(INDEX(Dic2025!$K$6:$K$205,C152)))*(A152-6*C152)/6))</f>
        <v>0.529407709612723</v>
      </c>
      <c r="H152" s="12" t="n">
        <f aca="false">G152^(-1/B152)-1</f>
        <v>0.0529200220664206</v>
      </c>
      <c r="I152" s="12" t="n">
        <f aca="false">(1+H152)^(1/12)-1</f>
        <v>0.00430651966960882</v>
      </c>
      <c r="J152" s="16" t="n">
        <f aca="false">IF(C152=0,(1+Dic2025!$M$6)^(-B152),EXP(LN(INDEX(Dic2025!$N$6:$N$205,C152))+(LN(INDEX(Dic2025!$N$6:$N$205,MIN(C152+1,200)))-LN(INDEX(Dic2025!$N$6:$N$205,C152)))*(A152-6*C152)/6))</f>
        <v>0.529407709612723</v>
      </c>
      <c r="K152" s="12" t="n">
        <f aca="false">J152^(-1/B152)-1</f>
        <v>0.0529200220664206</v>
      </c>
      <c r="L152" s="12" t="n">
        <f aca="false">(1+K152)^(1/12)-1</f>
        <v>0.00430651966960882</v>
      </c>
    </row>
    <row r="153" customFormat="false" ht="15" hidden="false" customHeight="false" outlineLevel="0" collapsed="false">
      <c r="A153" s="4" t="n">
        <v>149</v>
      </c>
      <c r="B153" s="14" t="n">
        <f aca="false">A153/12</f>
        <v>12.4166666666667</v>
      </c>
      <c r="C153" s="15" t="n">
        <f aca="false">INT(A153/6)</f>
        <v>24</v>
      </c>
      <c r="D153" s="16" t="n">
        <f aca="false">IF(C153=0,(1+Dic2025!$G$6)^(-B153),EXP(LN(INDEX(Dic2025!$H$6:$H$205,C153))+(LN(INDEX(Dic2025!$H$6:$H$205,MIN(C153+1,200)))-LN(INDEX(Dic2025!$H$6:$H$205,C153)))*(A153-6*C153)/6))</f>
        <v>0.526617154097173</v>
      </c>
      <c r="E153" s="12" t="n">
        <f aca="false">D153^(-1/B153)-1</f>
        <v>0.0530037861951873</v>
      </c>
      <c r="F153" s="12" t="n">
        <f aca="false">(1+E153)^(1/12)-1</f>
        <v>0.00431317748720494</v>
      </c>
      <c r="G153" s="16" t="n">
        <f aca="false">IF(C153=0,(1+Dic2025!$J$6)^(-B153),EXP(LN(INDEX(Dic2025!$K$6:$K$205,C153))+(LN(INDEX(Dic2025!$K$6:$K$205,MIN(C153+1,200)))-LN(INDEX(Dic2025!$K$6:$K$205,C153)))*(A153-6*C153)/6))</f>
        <v>0.526617154097173</v>
      </c>
      <c r="H153" s="12" t="n">
        <f aca="false">G153^(-1/B153)-1</f>
        <v>0.0530037861951873</v>
      </c>
      <c r="I153" s="12" t="n">
        <f aca="false">(1+H153)^(1/12)-1</f>
        <v>0.00431317748720494</v>
      </c>
      <c r="J153" s="16" t="n">
        <f aca="false">IF(C153=0,(1+Dic2025!$M$6)^(-B153),EXP(LN(INDEX(Dic2025!$N$6:$N$205,C153))+(LN(INDEX(Dic2025!$N$6:$N$205,MIN(C153+1,200)))-LN(INDEX(Dic2025!$N$6:$N$205,C153)))*(A153-6*C153)/6))</f>
        <v>0.526617154097173</v>
      </c>
      <c r="K153" s="12" t="n">
        <f aca="false">J153^(-1/B153)-1</f>
        <v>0.0530037861951873</v>
      </c>
      <c r="L153" s="12" t="n">
        <f aca="false">(1+K153)^(1/12)-1</f>
        <v>0.00431317748720494</v>
      </c>
    </row>
    <row r="154" customFormat="false" ht="15" hidden="false" customHeight="false" outlineLevel="0" collapsed="false">
      <c r="A154" s="4" t="n">
        <v>150</v>
      </c>
      <c r="B154" s="14" t="n">
        <f aca="false">A154/12</f>
        <v>12.5</v>
      </c>
      <c r="C154" s="15" t="n">
        <f aca="false">INT(A154/6)</f>
        <v>25</v>
      </c>
      <c r="D154" s="16" t="n">
        <f aca="false">IF(C154=0,(1+Dic2025!$G$6)^(-B154),EXP(LN(INDEX(Dic2025!$H$6:$H$205,C154))+(LN(INDEX(Dic2025!$H$6:$H$205,MIN(C154+1,200)))-LN(INDEX(Dic2025!$H$6:$H$205,C154)))*(A154-6*C154)/6))</f>
        <v>0.523841307850008</v>
      </c>
      <c r="E154" s="12" t="n">
        <f aca="false">D154^(-1/B154)-1</f>
        <v>0.05308644</v>
      </c>
      <c r="F154" s="12" t="n">
        <f aca="false">(1+E154)^(1/12)-1</f>
        <v>0.00431974657715761</v>
      </c>
      <c r="G154" s="16" t="n">
        <f aca="false">IF(C154=0,(1+Dic2025!$J$6)^(-B154),EXP(LN(INDEX(Dic2025!$K$6:$K$205,C154))+(LN(INDEX(Dic2025!$K$6:$K$205,MIN(C154+1,200)))-LN(INDEX(Dic2025!$K$6:$K$205,C154)))*(A154-6*C154)/6))</f>
        <v>0.523841307850008</v>
      </c>
      <c r="H154" s="12" t="n">
        <f aca="false">G154^(-1/B154)-1</f>
        <v>0.05308644</v>
      </c>
      <c r="I154" s="12" t="n">
        <f aca="false">(1+H154)^(1/12)-1</f>
        <v>0.00431974657715761</v>
      </c>
      <c r="J154" s="16" t="n">
        <f aca="false">IF(C154=0,(1+Dic2025!$M$6)^(-B154),EXP(LN(INDEX(Dic2025!$N$6:$N$205,C154))+(LN(INDEX(Dic2025!$N$6:$N$205,MIN(C154+1,200)))-LN(INDEX(Dic2025!$N$6:$N$205,C154)))*(A154-6*C154)/6))</f>
        <v>0.523841307850008</v>
      </c>
      <c r="K154" s="12" t="n">
        <f aca="false">J154^(-1/B154)-1</f>
        <v>0.05308644</v>
      </c>
      <c r="L154" s="12" t="n">
        <f aca="false">(1+K154)^(1/12)-1</f>
        <v>0.00431974657715761</v>
      </c>
    </row>
    <row r="155" customFormat="false" ht="15" hidden="false" customHeight="false" outlineLevel="0" collapsed="false">
      <c r="A155" s="4" t="n">
        <v>151</v>
      </c>
      <c r="B155" s="14" t="n">
        <f aca="false">A155/12</f>
        <v>12.5833333333333</v>
      </c>
      <c r="C155" s="15" t="n">
        <f aca="false">INT(A155/6)</f>
        <v>25</v>
      </c>
      <c r="D155" s="16" t="n">
        <f aca="false">IF(C155=0,(1+Dic2025!$G$6)^(-B155),EXP(LN(INDEX(Dic2025!$H$6:$H$205,C155))+(LN(INDEX(Dic2025!$H$6:$H$205,MIN(C155+1,200)))-LN(INDEX(Dic2025!$H$6:$H$205,C155)))*(A155-6*C155)/6))</f>
        <v>0.521037909205413</v>
      </c>
      <c r="E155" s="12" t="n">
        <f aca="false">D155^(-1/B155)-1</f>
        <v>0.0531747812897077</v>
      </c>
      <c r="F155" s="12" t="n">
        <f aca="false">(1+E155)^(1/12)-1</f>
        <v>0.00432676716977221</v>
      </c>
      <c r="G155" s="16" t="n">
        <f aca="false">IF(C155=0,(1+Dic2025!$J$6)^(-B155),EXP(LN(INDEX(Dic2025!$K$6:$K$205,C155))+(LN(INDEX(Dic2025!$K$6:$K$205,MIN(C155+1,200)))-LN(INDEX(Dic2025!$K$6:$K$205,C155)))*(A155-6*C155)/6))</f>
        <v>0.521037909205413</v>
      </c>
      <c r="H155" s="12" t="n">
        <f aca="false">G155^(-1/B155)-1</f>
        <v>0.0531747812897077</v>
      </c>
      <c r="I155" s="12" t="n">
        <f aca="false">(1+H155)^(1/12)-1</f>
        <v>0.00432676716977221</v>
      </c>
      <c r="J155" s="16" t="n">
        <f aca="false">IF(C155=0,(1+Dic2025!$M$6)^(-B155),EXP(LN(INDEX(Dic2025!$N$6:$N$205,C155))+(LN(INDEX(Dic2025!$N$6:$N$205,MIN(C155+1,200)))-LN(INDEX(Dic2025!$N$6:$N$205,C155)))*(A155-6*C155)/6))</f>
        <v>0.521037909205413</v>
      </c>
      <c r="K155" s="12" t="n">
        <f aca="false">J155^(-1/B155)-1</f>
        <v>0.0531747812897077</v>
      </c>
      <c r="L155" s="12" t="n">
        <f aca="false">(1+K155)^(1/12)-1</f>
        <v>0.00432676716977221</v>
      </c>
    </row>
    <row r="156" customFormat="false" ht="15" hidden="false" customHeight="false" outlineLevel="0" collapsed="false">
      <c r="A156" s="4" t="n">
        <v>152</v>
      </c>
      <c r="B156" s="14" t="n">
        <f aca="false">A156/12</f>
        <v>12.6666666666667</v>
      </c>
      <c r="C156" s="15" t="n">
        <f aca="false">INT(A156/6)</f>
        <v>25</v>
      </c>
      <c r="D156" s="16" t="n">
        <f aca="false">IF(C156=0,(1+Dic2025!$G$6)^(-B156),EXP(LN(INDEX(Dic2025!$H$6:$H$205,C156))+(LN(INDEX(Dic2025!$H$6:$H$205,MIN(C156+1,200)))-LN(INDEX(Dic2025!$H$6:$H$205,C156)))*(A156-6*C156)/6))</f>
        <v>0.518249513279852</v>
      </c>
      <c r="E156" s="12" t="n">
        <f aca="false">D156^(-1/B156)-1</f>
        <v>0.0532619674591701</v>
      </c>
      <c r="F156" s="12" t="n">
        <f aca="false">(1+E156)^(1/12)-1</f>
        <v>0.00433369543428053</v>
      </c>
      <c r="G156" s="16" t="n">
        <f aca="false">IF(C156=0,(1+Dic2025!$J$6)^(-B156),EXP(LN(INDEX(Dic2025!$K$6:$K$205,C156))+(LN(INDEX(Dic2025!$K$6:$K$205,MIN(C156+1,200)))-LN(INDEX(Dic2025!$K$6:$K$205,C156)))*(A156-6*C156)/6))</f>
        <v>0.518249513279852</v>
      </c>
      <c r="H156" s="12" t="n">
        <f aca="false">G156^(-1/B156)-1</f>
        <v>0.0532619674591701</v>
      </c>
      <c r="I156" s="12" t="n">
        <f aca="false">(1+H156)^(1/12)-1</f>
        <v>0.00433369543428053</v>
      </c>
      <c r="J156" s="16" t="n">
        <f aca="false">IF(C156=0,(1+Dic2025!$M$6)^(-B156),EXP(LN(INDEX(Dic2025!$N$6:$N$205,C156))+(LN(INDEX(Dic2025!$N$6:$N$205,MIN(C156+1,200)))-LN(INDEX(Dic2025!$N$6:$N$205,C156)))*(A156-6*C156)/6))</f>
        <v>0.518249513279852</v>
      </c>
      <c r="K156" s="12" t="n">
        <f aca="false">J156^(-1/B156)-1</f>
        <v>0.0532619674591701</v>
      </c>
      <c r="L156" s="12" t="n">
        <f aca="false">(1+K156)^(1/12)-1</f>
        <v>0.00433369543428053</v>
      </c>
    </row>
    <row r="157" customFormat="false" ht="15" hidden="false" customHeight="false" outlineLevel="0" collapsed="false">
      <c r="A157" s="4" t="n">
        <v>153</v>
      </c>
      <c r="B157" s="14" t="n">
        <f aca="false">A157/12</f>
        <v>12.75</v>
      </c>
      <c r="C157" s="15" t="n">
        <f aca="false">INT(A157/6)</f>
        <v>25</v>
      </c>
      <c r="D157" s="16" t="n">
        <f aca="false">IF(C157=0,(1+Dic2025!$G$6)^(-B157),EXP(LN(INDEX(Dic2025!$H$6:$H$205,C157))+(LN(INDEX(Dic2025!$H$6:$H$205,MIN(C157+1,200)))-LN(INDEX(Dic2025!$H$6:$H$205,C157)))*(A157-6*C157)/6))</f>
        <v>0.515476039784504</v>
      </c>
      <c r="E157" s="12" t="n">
        <f aca="false">D157^(-1/B157)-1</f>
        <v>0.0533480210168669</v>
      </c>
      <c r="F157" s="12" t="n">
        <f aca="false">(1+E157)^(1/12)-1</f>
        <v>0.00434053318010075</v>
      </c>
      <c r="G157" s="16" t="n">
        <f aca="false">IF(C157=0,(1+Dic2025!$J$6)^(-B157),EXP(LN(INDEX(Dic2025!$K$6:$K$205,C157))+(LN(INDEX(Dic2025!$K$6:$K$205,MIN(C157+1,200)))-LN(INDEX(Dic2025!$K$6:$K$205,C157)))*(A157-6*C157)/6))</f>
        <v>0.515476039784504</v>
      </c>
      <c r="H157" s="12" t="n">
        <f aca="false">G157^(-1/B157)-1</f>
        <v>0.0533480210168669</v>
      </c>
      <c r="I157" s="12" t="n">
        <f aca="false">(1+H157)^(1/12)-1</f>
        <v>0.00434053318010075</v>
      </c>
      <c r="J157" s="16" t="n">
        <f aca="false">IF(C157=0,(1+Dic2025!$M$6)^(-B157),EXP(LN(INDEX(Dic2025!$N$6:$N$205,C157))+(LN(INDEX(Dic2025!$N$6:$N$205,MIN(C157+1,200)))-LN(INDEX(Dic2025!$N$6:$N$205,C157)))*(A157-6*C157)/6))</f>
        <v>0.515476039784504</v>
      </c>
      <c r="K157" s="12" t="n">
        <f aca="false">J157^(-1/B157)-1</f>
        <v>0.0533480210168669</v>
      </c>
      <c r="L157" s="12" t="n">
        <f aca="false">(1+K157)^(1/12)-1</f>
        <v>0.00434053318010075</v>
      </c>
    </row>
    <row r="158" customFormat="false" ht="15" hidden="false" customHeight="false" outlineLevel="0" collapsed="false">
      <c r="A158" s="4" t="n">
        <v>154</v>
      </c>
      <c r="B158" s="14" t="n">
        <f aca="false">A158/12</f>
        <v>12.8333333333333</v>
      </c>
      <c r="C158" s="15" t="n">
        <f aca="false">INT(A158/6)</f>
        <v>25</v>
      </c>
      <c r="D158" s="16" t="n">
        <f aca="false">IF(C158=0,(1+Dic2025!$G$6)^(-B158),EXP(LN(INDEX(Dic2025!$H$6:$H$205,C158))+(LN(INDEX(Dic2025!$H$6:$H$205,MIN(C158+1,200)))-LN(INDEX(Dic2025!$H$6:$H$205,C158)))*(A158-6*C158)/6))</f>
        <v>0.512717408860218</v>
      </c>
      <c r="E158" s="12" t="n">
        <f aca="false">D158^(-1/B158)-1</f>
        <v>0.0534329638902638</v>
      </c>
      <c r="F158" s="12" t="n">
        <f aca="false">(1+E158)^(1/12)-1</f>
        <v>0.00434728216967728</v>
      </c>
      <c r="G158" s="16" t="n">
        <f aca="false">IF(C158=0,(1+Dic2025!$J$6)^(-B158),EXP(LN(INDEX(Dic2025!$K$6:$K$205,C158))+(LN(INDEX(Dic2025!$K$6:$K$205,MIN(C158+1,200)))-LN(INDEX(Dic2025!$K$6:$K$205,C158)))*(A158-6*C158)/6))</f>
        <v>0.512717408860218</v>
      </c>
      <c r="H158" s="12" t="n">
        <f aca="false">G158^(-1/B158)-1</f>
        <v>0.0534329638902638</v>
      </c>
      <c r="I158" s="12" t="n">
        <f aca="false">(1+H158)^(1/12)-1</f>
        <v>0.00434728216967728</v>
      </c>
      <c r="J158" s="16" t="n">
        <f aca="false">IF(C158=0,(1+Dic2025!$M$6)^(-B158),EXP(LN(INDEX(Dic2025!$N$6:$N$205,C158))+(LN(INDEX(Dic2025!$N$6:$N$205,MIN(C158+1,200)))-LN(INDEX(Dic2025!$N$6:$N$205,C158)))*(A158-6*C158)/6))</f>
        <v>0.512717408860218</v>
      </c>
      <c r="K158" s="12" t="n">
        <f aca="false">J158^(-1/B158)-1</f>
        <v>0.0534329638902638</v>
      </c>
      <c r="L158" s="12" t="n">
        <f aca="false">(1+K158)^(1/12)-1</f>
        <v>0.00434728216967728</v>
      </c>
    </row>
    <row r="159" customFormat="false" ht="15" hidden="false" customHeight="false" outlineLevel="0" collapsed="false">
      <c r="A159" s="4" t="n">
        <v>155</v>
      </c>
      <c r="B159" s="14" t="n">
        <f aca="false">A159/12</f>
        <v>12.9166666666667</v>
      </c>
      <c r="C159" s="15" t="n">
        <f aca="false">INT(A159/6)</f>
        <v>25</v>
      </c>
      <c r="D159" s="16" t="n">
        <f aca="false">IF(C159=0,(1+Dic2025!$G$6)^(-B159),EXP(LN(INDEX(Dic2025!$H$6:$H$205,C159))+(LN(INDEX(Dic2025!$H$6:$H$205,MIN(C159+1,200)))-LN(INDEX(Dic2025!$H$6:$H$205,C159)))*(A159-6*C159)/6))</f>
        <v>0.509973541075224</v>
      </c>
      <c r="E159" s="12" t="n">
        <f aca="false">D159^(-1/B159)-1</f>
        <v>0.0535168174444394</v>
      </c>
      <c r="F159" s="12" t="n">
        <f aca="false">(1+E159)^(1/12)-1</f>
        <v>0.00435394411999512</v>
      </c>
      <c r="G159" s="16" t="n">
        <f aca="false">IF(C159=0,(1+Dic2025!$J$6)^(-B159),EXP(LN(INDEX(Dic2025!$K$6:$K$205,C159))+(LN(INDEX(Dic2025!$K$6:$K$205,MIN(C159+1,200)))-LN(INDEX(Dic2025!$K$6:$K$205,C159)))*(A159-6*C159)/6))</f>
        <v>0.509973541075224</v>
      </c>
      <c r="H159" s="12" t="n">
        <f aca="false">G159^(-1/B159)-1</f>
        <v>0.0535168174444394</v>
      </c>
      <c r="I159" s="12" t="n">
        <f aca="false">(1+H159)^(1/12)-1</f>
        <v>0.00435394411999512</v>
      </c>
      <c r="J159" s="16" t="n">
        <f aca="false">IF(C159=0,(1+Dic2025!$M$6)^(-B159),EXP(LN(INDEX(Dic2025!$N$6:$N$205,C159))+(LN(INDEX(Dic2025!$N$6:$N$205,MIN(C159+1,200)))-LN(INDEX(Dic2025!$N$6:$N$205,C159)))*(A159-6*C159)/6))</f>
        <v>0.509973541075224</v>
      </c>
      <c r="K159" s="12" t="n">
        <f aca="false">J159^(-1/B159)-1</f>
        <v>0.0535168174444394</v>
      </c>
      <c r="L159" s="12" t="n">
        <f aca="false">(1+K159)^(1/12)-1</f>
        <v>0.00435394411999512</v>
      </c>
    </row>
    <row r="160" customFormat="false" ht="15" hidden="false" customHeight="false" outlineLevel="0" collapsed="false">
      <c r="A160" s="4" t="n">
        <v>156</v>
      </c>
      <c r="B160" s="14" t="n">
        <f aca="false">A160/12</f>
        <v>13</v>
      </c>
      <c r="C160" s="15" t="n">
        <f aca="false">INT(A160/6)</f>
        <v>26</v>
      </c>
      <c r="D160" s="16" t="n">
        <f aca="false">IF(C160=0,(1+Dic2025!$G$6)^(-B160),EXP(LN(INDEX(Dic2025!$H$6:$H$205,C160))+(LN(INDEX(Dic2025!$H$6:$H$205,MIN(C160+1,200)))-LN(INDEX(Dic2025!$H$6:$H$205,C160)))*(A160-6*C160)/6))</f>
        <v>0.507244357422836</v>
      </c>
      <c r="E160" s="12" t="n">
        <f aca="false">D160^(-1/B160)-1</f>
        <v>0.0535996025000001</v>
      </c>
      <c r="F160" s="12" t="n">
        <f aca="false">(1+E160)^(1/12)-1</f>
        <v>0.00436052070403714</v>
      </c>
      <c r="G160" s="16" t="n">
        <f aca="false">IF(C160=0,(1+Dic2025!$J$6)^(-B160),EXP(LN(INDEX(Dic2025!$K$6:$K$205,C160))+(LN(INDEX(Dic2025!$K$6:$K$205,MIN(C160+1,200)))-LN(INDEX(Dic2025!$K$6:$K$205,C160)))*(A160-6*C160)/6))</f>
        <v>0.507244357422836</v>
      </c>
      <c r="H160" s="12" t="n">
        <f aca="false">G160^(-1/B160)-1</f>
        <v>0.0535996025000001</v>
      </c>
      <c r="I160" s="12" t="n">
        <f aca="false">(1+H160)^(1/12)-1</f>
        <v>0.00436052070403714</v>
      </c>
      <c r="J160" s="16" t="n">
        <f aca="false">IF(C160=0,(1+Dic2025!$M$6)^(-B160),EXP(LN(INDEX(Dic2025!$N$6:$N$205,C160))+(LN(INDEX(Dic2025!$N$6:$N$205,MIN(C160+1,200)))-LN(INDEX(Dic2025!$N$6:$N$205,C160)))*(A160-6*C160)/6))</f>
        <v>0.507244357422836</v>
      </c>
      <c r="K160" s="12" t="n">
        <f aca="false">J160^(-1/B160)-1</f>
        <v>0.0535996025000001</v>
      </c>
      <c r="L160" s="12" t="n">
        <f aca="false">(1+K160)^(1/12)-1</f>
        <v>0.00436052070403714</v>
      </c>
    </row>
    <row r="161" customFormat="false" ht="15" hidden="false" customHeight="false" outlineLevel="0" collapsed="false">
      <c r="A161" s="4" t="n">
        <v>157</v>
      </c>
      <c r="B161" s="14" t="n">
        <f aca="false">A161/12</f>
        <v>13.0833333333333</v>
      </c>
      <c r="C161" s="15" t="n">
        <f aca="false">INT(A161/6)</f>
        <v>26</v>
      </c>
      <c r="D161" s="16" t="n">
        <f aca="false">IF(C161=0,(1+Dic2025!$G$6)^(-B161),EXP(LN(INDEX(Dic2025!$H$6:$H$205,C161))+(LN(INDEX(Dic2025!$H$6:$H$205,MIN(C161+1,200)))-LN(INDEX(Dic2025!$H$6:$H$205,C161)))*(A161-6*C161)/6))</f>
        <v>0.504488949925792</v>
      </c>
      <c r="E161" s="12" t="n">
        <f aca="false">D161^(-1/B161)-1</f>
        <v>0.0536878570736488</v>
      </c>
      <c r="F161" s="12" t="n">
        <f aca="false">(1+E161)^(1/12)-1</f>
        <v>0.00436753127415424</v>
      </c>
      <c r="G161" s="16" t="n">
        <f aca="false">IF(C161=0,(1+Dic2025!$J$6)^(-B161),EXP(LN(INDEX(Dic2025!$K$6:$K$205,C161))+(LN(INDEX(Dic2025!$K$6:$K$205,MIN(C161+1,200)))-LN(INDEX(Dic2025!$K$6:$K$205,C161)))*(A161-6*C161)/6))</f>
        <v>0.504488949925792</v>
      </c>
      <c r="H161" s="12" t="n">
        <f aca="false">G161^(-1/B161)-1</f>
        <v>0.0536878570736488</v>
      </c>
      <c r="I161" s="12" t="n">
        <f aca="false">(1+H161)^(1/12)-1</f>
        <v>0.00436753127415424</v>
      </c>
      <c r="J161" s="16" t="n">
        <f aca="false">IF(C161=0,(1+Dic2025!$M$6)^(-B161),EXP(LN(INDEX(Dic2025!$N$6:$N$205,C161))+(LN(INDEX(Dic2025!$N$6:$N$205,MIN(C161+1,200)))-LN(INDEX(Dic2025!$N$6:$N$205,C161)))*(A161-6*C161)/6))</f>
        <v>0.504488949925792</v>
      </c>
      <c r="K161" s="12" t="n">
        <f aca="false">J161^(-1/B161)-1</f>
        <v>0.0536878570736488</v>
      </c>
      <c r="L161" s="12" t="n">
        <f aca="false">(1+K161)^(1/12)-1</f>
        <v>0.00436753127415424</v>
      </c>
    </row>
    <row r="162" customFormat="false" ht="15" hidden="false" customHeight="false" outlineLevel="0" collapsed="false">
      <c r="A162" s="4" t="n">
        <v>158</v>
      </c>
      <c r="B162" s="14" t="n">
        <f aca="false">A162/12</f>
        <v>13.1666666666667</v>
      </c>
      <c r="C162" s="15" t="n">
        <f aca="false">INT(A162/6)</f>
        <v>26</v>
      </c>
      <c r="D162" s="16" t="n">
        <f aca="false">IF(C162=0,(1+Dic2025!$G$6)^(-B162),EXP(LN(INDEX(Dic2025!$H$6:$H$205,C162))+(LN(INDEX(Dic2025!$H$6:$H$205,MIN(C162+1,200)))-LN(INDEX(Dic2025!$H$6:$H$205,C162)))*(A162-6*C162)/6))</f>
        <v>0.501748510107272</v>
      </c>
      <c r="E162" s="12" t="n">
        <f aca="false">D162^(-1/B162)-1</f>
        <v>0.0537750017536465</v>
      </c>
      <c r="F162" s="12" t="n">
        <f aca="false">(1+E162)^(1/12)-1</f>
        <v>0.00437445315088691</v>
      </c>
      <c r="G162" s="16" t="n">
        <f aca="false">IF(C162=0,(1+Dic2025!$J$6)^(-B162),EXP(LN(INDEX(Dic2025!$K$6:$K$205,C162))+(LN(INDEX(Dic2025!$K$6:$K$205,MIN(C162+1,200)))-LN(INDEX(Dic2025!$K$6:$K$205,C162)))*(A162-6*C162)/6))</f>
        <v>0.501748510107272</v>
      </c>
      <c r="H162" s="12" t="n">
        <f aca="false">G162^(-1/B162)-1</f>
        <v>0.0537750017536465</v>
      </c>
      <c r="I162" s="12" t="n">
        <f aca="false">(1+H162)^(1/12)-1</f>
        <v>0.00437445315088691</v>
      </c>
      <c r="J162" s="16" t="n">
        <f aca="false">IF(C162=0,(1+Dic2025!$M$6)^(-B162),EXP(LN(INDEX(Dic2025!$N$6:$N$205,C162))+(LN(INDEX(Dic2025!$N$6:$N$205,MIN(C162+1,200)))-LN(INDEX(Dic2025!$N$6:$N$205,C162)))*(A162-6*C162)/6))</f>
        <v>0.501748510107272</v>
      </c>
      <c r="K162" s="12" t="n">
        <f aca="false">J162^(-1/B162)-1</f>
        <v>0.0537750017536465</v>
      </c>
      <c r="L162" s="12" t="n">
        <f aca="false">(1+K162)^(1/12)-1</f>
        <v>0.00437445315088691</v>
      </c>
    </row>
    <row r="163" customFormat="false" ht="15" hidden="false" customHeight="false" outlineLevel="0" collapsed="false">
      <c r="A163" s="4" t="n">
        <v>159</v>
      </c>
      <c r="B163" s="14" t="n">
        <f aca="false">A163/12</f>
        <v>13.25</v>
      </c>
      <c r="C163" s="15" t="n">
        <f aca="false">INT(A163/6)</f>
        <v>26</v>
      </c>
      <c r="D163" s="16" t="n">
        <f aca="false">IF(C163=0,(1+Dic2025!$G$6)^(-B163),EXP(LN(INDEX(Dic2025!$H$6:$H$205,C163))+(LN(INDEX(Dic2025!$H$6:$H$205,MIN(C163+1,200)))-LN(INDEX(Dic2025!$H$6:$H$205,C163)))*(A163-6*C163)/6))</f>
        <v>0.499022956661188</v>
      </c>
      <c r="E163" s="12" t="n">
        <f aca="false">D163^(-1/B163)-1</f>
        <v>0.0538610573459828</v>
      </c>
      <c r="F163" s="12" t="n">
        <f aca="false">(1+E163)^(1/12)-1</f>
        <v>0.00438128800679549</v>
      </c>
      <c r="G163" s="16" t="n">
        <f aca="false">IF(C163=0,(1+Dic2025!$J$6)^(-B163),EXP(LN(INDEX(Dic2025!$K$6:$K$205,C163))+(LN(INDEX(Dic2025!$K$6:$K$205,MIN(C163+1,200)))-LN(INDEX(Dic2025!$K$6:$K$205,C163)))*(A163-6*C163)/6))</f>
        <v>0.499022956661188</v>
      </c>
      <c r="H163" s="12" t="n">
        <f aca="false">G163^(-1/B163)-1</f>
        <v>0.0538610573459828</v>
      </c>
      <c r="I163" s="12" t="n">
        <f aca="false">(1+H163)^(1/12)-1</f>
        <v>0.00438128800679549</v>
      </c>
      <c r="J163" s="16" t="n">
        <f aca="false">IF(C163=0,(1+Dic2025!$M$6)^(-B163),EXP(LN(INDEX(Dic2025!$N$6:$N$205,C163))+(LN(INDEX(Dic2025!$N$6:$N$205,MIN(C163+1,200)))-LN(INDEX(Dic2025!$N$6:$N$205,C163)))*(A163-6*C163)/6))</f>
        <v>0.499022956661188</v>
      </c>
      <c r="K163" s="12" t="n">
        <f aca="false">J163^(-1/B163)-1</f>
        <v>0.0538610573459828</v>
      </c>
      <c r="L163" s="12" t="n">
        <f aca="false">(1+K163)^(1/12)-1</f>
        <v>0.00438128800679549</v>
      </c>
    </row>
    <row r="164" customFormat="false" ht="15" hidden="false" customHeight="false" outlineLevel="0" collapsed="false">
      <c r="A164" s="4" t="n">
        <v>160</v>
      </c>
      <c r="B164" s="14" t="n">
        <f aca="false">A164/12</f>
        <v>13.3333333333333</v>
      </c>
      <c r="C164" s="15" t="n">
        <f aca="false">INT(A164/6)</f>
        <v>26</v>
      </c>
      <c r="D164" s="16" t="n">
        <f aca="false">IF(C164=0,(1+Dic2025!$G$6)^(-B164),EXP(LN(INDEX(Dic2025!$H$6:$H$205,C164))+(LN(INDEX(Dic2025!$H$6:$H$205,MIN(C164+1,200)))-LN(INDEX(Dic2025!$H$6:$H$205,C164)))*(A164-6*C164)/6))</f>
        <v>0.496312208723119</v>
      </c>
      <c r="E164" s="12" t="n">
        <f aca="false">D164^(-1/B164)-1</f>
        <v>0.0539460441398458</v>
      </c>
      <c r="F164" s="12" t="n">
        <f aca="false">(1+E164)^(1/12)-1</f>
        <v>0.00438803747264838</v>
      </c>
      <c r="G164" s="16" t="n">
        <f aca="false">IF(C164=0,(1+Dic2025!$J$6)^(-B164),EXP(LN(INDEX(Dic2025!$K$6:$K$205,C164))+(LN(INDEX(Dic2025!$K$6:$K$205,MIN(C164+1,200)))-LN(INDEX(Dic2025!$K$6:$K$205,C164)))*(A164-6*C164)/6))</f>
        <v>0.496312208723119</v>
      </c>
      <c r="H164" s="12" t="n">
        <f aca="false">G164^(-1/B164)-1</f>
        <v>0.0539460441398458</v>
      </c>
      <c r="I164" s="12" t="n">
        <f aca="false">(1+H164)^(1/12)-1</f>
        <v>0.00438803747264838</v>
      </c>
      <c r="J164" s="16" t="n">
        <f aca="false">IF(C164=0,(1+Dic2025!$M$6)^(-B164),EXP(LN(INDEX(Dic2025!$N$6:$N$205,C164))+(LN(INDEX(Dic2025!$N$6:$N$205,MIN(C164+1,200)))-LN(INDEX(Dic2025!$N$6:$N$205,C164)))*(A164-6*C164)/6))</f>
        <v>0.496312208723119</v>
      </c>
      <c r="K164" s="12" t="n">
        <f aca="false">J164^(-1/B164)-1</f>
        <v>0.0539460441398458</v>
      </c>
      <c r="L164" s="12" t="n">
        <f aca="false">(1+K164)^(1/12)-1</f>
        <v>0.00438803747264838</v>
      </c>
    </row>
    <row r="165" customFormat="false" ht="15" hidden="false" customHeight="false" outlineLevel="0" collapsed="false">
      <c r="A165" s="4" t="n">
        <v>161</v>
      </c>
      <c r="B165" s="14" t="n">
        <f aca="false">A165/12</f>
        <v>13.4166666666667</v>
      </c>
      <c r="C165" s="15" t="n">
        <f aca="false">INT(A165/6)</f>
        <v>26</v>
      </c>
      <c r="D165" s="16" t="n">
        <f aca="false">IF(C165=0,(1+Dic2025!$G$6)^(-B165),EXP(LN(INDEX(Dic2025!$H$6:$H$205,C165))+(LN(INDEX(Dic2025!$H$6:$H$205,MIN(C165+1,200)))-LN(INDEX(Dic2025!$H$6:$H$205,C165)))*(A165-6*C165)/6))</f>
        <v>0.493616185867905</v>
      </c>
      <c r="E165" s="12" t="n">
        <f aca="false">D165^(-1/B165)-1</f>
        <v>0.054029981923571</v>
      </c>
      <c r="F165" s="12" t="n">
        <f aca="false">(1+E165)^(1/12)-1</f>
        <v>0.00439470313872015</v>
      </c>
      <c r="G165" s="16" t="n">
        <f aca="false">IF(C165=0,(1+Dic2025!$J$6)^(-B165),EXP(LN(INDEX(Dic2025!$K$6:$K$205,C165))+(LN(INDEX(Dic2025!$K$6:$K$205,MIN(C165+1,200)))-LN(INDEX(Dic2025!$K$6:$K$205,C165)))*(A165-6*C165)/6))</f>
        <v>0.493616185867905</v>
      </c>
      <c r="H165" s="12" t="n">
        <f aca="false">G165^(-1/B165)-1</f>
        <v>0.054029981923571</v>
      </c>
      <c r="I165" s="12" t="n">
        <f aca="false">(1+H165)^(1/12)-1</f>
        <v>0.00439470313872015</v>
      </c>
      <c r="J165" s="16" t="n">
        <f aca="false">IF(C165=0,(1+Dic2025!$M$6)^(-B165),EXP(LN(INDEX(Dic2025!$N$6:$N$205,C165))+(LN(INDEX(Dic2025!$N$6:$N$205,MIN(C165+1,200)))-LN(INDEX(Dic2025!$N$6:$N$205,C165)))*(A165-6*C165)/6))</f>
        <v>0.493616185867905</v>
      </c>
      <c r="K165" s="12" t="n">
        <f aca="false">J165^(-1/B165)-1</f>
        <v>0.054029981923571</v>
      </c>
      <c r="L165" s="12" t="n">
        <f aca="false">(1+K165)^(1/12)-1</f>
        <v>0.00439470313872015</v>
      </c>
    </row>
    <row r="166" customFormat="false" ht="15" hidden="false" customHeight="false" outlineLevel="0" collapsed="false">
      <c r="A166" s="4" t="n">
        <v>162</v>
      </c>
      <c r="B166" s="14" t="n">
        <f aca="false">A166/12</f>
        <v>13.5</v>
      </c>
      <c r="C166" s="15" t="n">
        <f aca="false">INT(A166/6)</f>
        <v>27</v>
      </c>
      <c r="D166" s="16" t="n">
        <f aca="false">IF(C166=0,(1+Dic2025!$G$6)^(-B166),EXP(LN(INDEX(Dic2025!$H$6:$H$205,C166))+(LN(INDEX(Dic2025!$H$6:$H$205,MIN(C166+1,200)))-LN(INDEX(Dic2025!$H$6:$H$205,C166)))*(A166-6*C166)/6))</f>
        <v>0.490934808107267</v>
      </c>
      <c r="E166" s="12" t="n">
        <f aca="false">D166^(-1/B166)-1</f>
        <v>0.0541128899999999</v>
      </c>
      <c r="F166" s="12" t="n">
        <f aca="false">(1+E166)^(1/12)-1</f>
        <v>0.004401286556039</v>
      </c>
      <c r="G166" s="16" t="n">
        <f aca="false">IF(C166=0,(1+Dic2025!$J$6)^(-B166),EXP(LN(INDEX(Dic2025!$K$6:$K$205,C166))+(LN(INDEX(Dic2025!$K$6:$K$205,MIN(C166+1,200)))-LN(INDEX(Dic2025!$K$6:$K$205,C166)))*(A166-6*C166)/6))</f>
        <v>0.490934808107267</v>
      </c>
      <c r="H166" s="12" t="n">
        <f aca="false">G166^(-1/B166)-1</f>
        <v>0.0541128899999999</v>
      </c>
      <c r="I166" s="12" t="n">
        <f aca="false">(1+H166)^(1/12)-1</f>
        <v>0.004401286556039</v>
      </c>
      <c r="J166" s="16" t="n">
        <f aca="false">IF(C166=0,(1+Dic2025!$M$6)^(-B166),EXP(LN(INDEX(Dic2025!$N$6:$N$205,C166))+(LN(INDEX(Dic2025!$N$6:$N$205,MIN(C166+1,200)))-LN(INDEX(Dic2025!$N$6:$N$205,C166)))*(A166-6*C166)/6))</f>
        <v>0.490934808107267</v>
      </c>
      <c r="K166" s="12" t="n">
        <f aca="false">J166^(-1/B166)-1</f>
        <v>0.0541128899999999</v>
      </c>
      <c r="L166" s="12" t="n">
        <f aca="false">(1+K166)^(1/12)-1</f>
        <v>0.004401286556039</v>
      </c>
    </row>
    <row r="167" customFormat="false" ht="15" hidden="false" customHeight="false" outlineLevel="0" collapsed="false">
      <c r="A167" s="4" t="n">
        <v>163</v>
      </c>
      <c r="B167" s="14" t="n">
        <f aca="false">A167/12</f>
        <v>13.5833333333333</v>
      </c>
      <c r="C167" s="15" t="n">
        <f aca="false">INT(A167/6)</f>
        <v>27</v>
      </c>
      <c r="D167" s="16" t="n">
        <f aca="false">IF(C167=0,(1+Dic2025!$G$6)^(-B167),EXP(LN(INDEX(Dic2025!$H$6:$H$205,C167))+(LN(INDEX(Dic2025!$H$6:$H$205,MIN(C167+1,200)))-LN(INDEX(Dic2025!$H$6:$H$205,C167)))*(A167-6*C167)/6))</f>
        <v>0.488339442616863</v>
      </c>
      <c r="E167" s="12" t="n">
        <f aca="false">D167^(-1/B167)-1</f>
        <v>0.054183431747634</v>
      </c>
      <c r="F167" s="12" t="n">
        <f aca="false">(1+E167)^(1/12)-1</f>
        <v>0.00440688763615693</v>
      </c>
      <c r="G167" s="16" t="n">
        <f aca="false">IF(C167=0,(1+Dic2025!$J$6)^(-B167),EXP(LN(INDEX(Dic2025!$K$6:$K$205,C167))+(LN(INDEX(Dic2025!$K$6:$K$205,MIN(C167+1,200)))-LN(INDEX(Dic2025!$K$6:$K$205,C167)))*(A167-6*C167)/6))</f>
        <v>0.488339442616863</v>
      </c>
      <c r="H167" s="12" t="n">
        <f aca="false">G167^(-1/B167)-1</f>
        <v>0.054183431747634</v>
      </c>
      <c r="I167" s="12" t="n">
        <f aca="false">(1+H167)^(1/12)-1</f>
        <v>0.00440688763615693</v>
      </c>
      <c r="J167" s="16" t="n">
        <f aca="false">IF(C167=0,(1+Dic2025!$M$6)^(-B167),EXP(LN(INDEX(Dic2025!$N$6:$N$205,C167))+(LN(INDEX(Dic2025!$N$6:$N$205,MIN(C167+1,200)))-LN(INDEX(Dic2025!$N$6:$N$205,C167)))*(A167-6*C167)/6))</f>
        <v>0.488339442616863</v>
      </c>
      <c r="K167" s="12" t="n">
        <f aca="false">J167^(-1/B167)-1</f>
        <v>0.054183431747634</v>
      </c>
      <c r="L167" s="12" t="n">
        <f aca="false">(1+K167)^(1/12)-1</f>
        <v>0.00440688763615693</v>
      </c>
    </row>
    <row r="168" customFormat="false" ht="15" hidden="false" customHeight="false" outlineLevel="0" collapsed="false">
      <c r="A168" s="4" t="n">
        <v>164</v>
      </c>
      <c r="B168" s="14" t="n">
        <f aca="false">A168/12</f>
        <v>13.6666666666667</v>
      </c>
      <c r="C168" s="15" t="n">
        <f aca="false">INT(A168/6)</f>
        <v>27</v>
      </c>
      <c r="D168" s="16" t="n">
        <f aca="false">IF(C168=0,(1+Dic2025!$G$6)^(-B168),EXP(LN(INDEX(Dic2025!$H$6:$H$205,C168))+(LN(INDEX(Dic2025!$H$6:$H$205,MIN(C168+1,200)))-LN(INDEX(Dic2025!$H$6:$H$205,C168)))*(A168-6*C168)/6))</f>
        <v>0.485757797730329</v>
      </c>
      <c r="E168" s="12" t="n">
        <f aca="false">D168^(-1/B168)-1</f>
        <v>0.0542531178647367</v>
      </c>
      <c r="F168" s="12" t="n">
        <f aca="false">(1+E168)^(1/12)-1</f>
        <v>0.00441242044108514</v>
      </c>
      <c r="G168" s="16" t="n">
        <f aca="false">IF(C168=0,(1+Dic2025!$J$6)^(-B168),EXP(LN(INDEX(Dic2025!$K$6:$K$205,C168))+(LN(INDEX(Dic2025!$K$6:$K$205,MIN(C168+1,200)))-LN(INDEX(Dic2025!$K$6:$K$205,C168)))*(A168-6*C168)/6))</f>
        <v>0.485757797730329</v>
      </c>
      <c r="H168" s="12" t="n">
        <f aca="false">G168^(-1/B168)-1</f>
        <v>0.0542531178647367</v>
      </c>
      <c r="I168" s="12" t="n">
        <f aca="false">(1+H168)^(1/12)-1</f>
        <v>0.00441242044108514</v>
      </c>
      <c r="J168" s="16" t="n">
        <f aca="false">IF(C168=0,(1+Dic2025!$M$6)^(-B168),EXP(LN(INDEX(Dic2025!$N$6:$N$205,C168))+(LN(INDEX(Dic2025!$N$6:$N$205,MIN(C168+1,200)))-LN(INDEX(Dic2025!$N$6:$N$205,C168)))*(A168-6*C168)/6))</f>
        <v>0.485757797730329</v>
      </c>
      <c r="K168" s="12" t="n">
        <f aca="false">J168^(-1/B168)-1</f>
        <v>0.0542531178647367</v>
      </c>
      <c r="L168" s="12" t="n">
        <f aca="false">(1+K168)^(1/12)-1</f>
        <v>0.00441242044108514</v>
      </c>
    </row>
    <row r="169" customFormat="false" ht="15" hidden="false" customHeight="false" outlineLevel="0" collapsed="false">
      <c r="A169" s="4" t="n">
        <v>165</v>
      </c>
      <c r="B169" s="14" t="n">
        <f aca="false">A169/12</f>
        <v>13.75</v>
      </c>
      <c r="C169" s="15" t="n">
        <f aca="false">INT(A169/6)</f>
        <v>27</v>
      </c>
      <c r="D169" s="16" t="n">
        <f aca="false">IF(C169=0,(1+Dic2025!$G$6)^(-B169),EXP(LN(INDEX(Dic2025!$H$6:$H$205,C169))+(LN(INDEX(Dic2025!$H$6:$H$205,MIN(C169+1,200)))-LN(INDEX(Dic2025!$H$6:$H$205,C169)))*(A169-6*C169)/6))</f>
        <v>0.483189800912616</v>
      </c>
      <c r="E169" s="12" t="n">
        <f aca="false">D169^(-1/B169)-1</f>
        <v>0.0543219638247696</v>
      </c>
      <c r="F169" s="12" t="n">
        <f aca="false">(1+E169)^(1/12)-1</f>
        <v>0.00441788621163708</v>
      </c>
      <c r="G169" s="16" t="n">
        <f aca="false">IF(C169=0,(1+Dic2025!$J$6)^(-B169),EXP(LN(INDEX(Dic2025!$K$6:$K$205,C169))+(LN(INDEX(Dic2025!$K$6:$K$205,MIN(C169+1,200)))-LN(INDEX(Dic2025!$K$6:$K$205,C169)))*(A169-6*C169)/6))</f>
        <v>0.483189800912616</v>
      </c>
      <c r="H169" s="12" t="n">
        <f aca="false">G169^(-1/B169)-1</f>
        <v>0.0543219638247696</v>
      </c>
      <c r="I169" s="12" t="n">
        <f aca="false">(1+H169)^(1/12)-1</f>
        <v>0.00441788621163708</v>
      </c>
      <c r="J169" s="16" t="n">
        <f aca="false">IF(C169=0,(1+Dic2025!$M$6)^(-B169),EXP(LN(INDEX(Dic2025!$N$6:$N$205,C169))+(LN(INDEX(Dic2025!$N$6:$N$205,MIN(C169+1,200)))-LN(INDEX(Dic2025!$N$6:$N$205,C169)))*(A169-6*C169)/6))</f>
        <v>0.483189800912616</v>
      </c>
      <c r="K169" s="12" t="n">
        <f aca="false">J169^(-1/B169)-1</f>
        <v>0.0543219638247696</v>
      </c>
      <c r="L169" s="12" t="n">
        <f aca="false">(1+K169)^(1/12)-1</f>
        <v>0.00441788621163708</v>
      </c>
    </row>
    <row r="170" customFormat="false" ht="15" hidden="false" customHeight="false" outlineLevel="0" collapsed="false">
      <c r="A170" s="4" t="n">
        <v>166</v>
      </c>
      <c r="B170" s="14" t="n">
        <f aca="false">A170/12</f>
        <v>13.8333333333333</v>
      </c>
      <c r="C170" s="15" t="n">
        <f aca="false">INT(A170/6)</f>
        <v>27</v>
      </c>
      <c r="D170" s="16" t="n">
        <f aca="false">IF(C170=0,(1+Dic2025!$G$6)^(-B170),EXP(LN(INDEX(Dic2025!$H$6:$H$205,C170))+(LN(INDEX(Dic2025!$H$6:$H$205,MIN(C170+1,200)))-LN(INDEX(Dic2025!$H$6:$H$205,C170)))*(A170-6*C170)/6))</f>
        <v>0.480635380012132</v>
      </c>
      <c r="E170" s="12" t="n">
        <f aca="false">D170^(-1/B170)-1</f>
        <v>0.0543899847303317</v>
      </c>
      <c r="F170" s="12" t="n">
        <f aca="false">(1+E170)^(1/12)-1</f>
        <v>0.00442328615873966</v>
      </c>
      <c r="G170" s="16" t="n">
        <f aca="false">IF(C170=0,(1+Dic2025!$J$6)^(-B170),EXP(LN(INDEX(Dic2025!$K$6:$K$205,C170))+(LN(INDEX(Dic2025!$K$6:$K$205,MIN(C170+1,200)))-LN(INDEX(Dic2025!$K$6:$K$205,C170)))*(A170-6*C170)/6))</f>
        <v>0.480635380012132</v>
      </c>
      <c r="H170" s="12" t="n">
        <f aca="false">G170^(-1/B170)-1</f>
        <v>0.0543899847303317</v>
      </c>
      <c r="I170" s="12" t="n">
        <f aca="false">(1+H170)^(1/12)-1</f>
        <v>0.00442328615873966</v>
      </c>
      <c r="J170" s="16" t="n">
        <f aca="false">IF(C170=0,(1+Dic2025!$M$6)^(-B170),EXP(LN(INDEX(Dic2025!$N$6:$N$205,C170))+(LN(INDEX(Dic2025!$N$6:$N$205,MIN(C170+1,200)))-LN(INDEX(Dic2025!$N$6:$N$205,C170)))*(A170-6*C170)/6))</f>
        <v>0.480635380012132</v>
      </c>
      <c r="K170" s="12" t="n">
        <f aca="false">J170^(-1/B170)-1</f>
        <v>0.0543899847303317</v>
      </c>
      <c r="L170" s="12" t="n">
        <f aca="false">(1+K170)^(1/12)-1</f>
        <v>0.00442328615873966</v>
      </c>
    </row>
    <row r="171" customFormat="false" ht="15" hidden="false" customHeight="false" outlineLevel="0" collapsed="false">
      <c r="A171" s="4" t="n">
        <v>167</v>
      </c>
      <c r="B171" s="14" t="n">
        <f aca="false">A171/12</f>
        <v>13.9166666666667</v>
      </c>
      <c r="C171" s="15" t="n">
        <f aca="false">INT(A171/6)</f>
        <v>27</v>
      </c>
      <c r="D171" s="16" t="n">
        <f aca="false">IF(C171=0,(1+Dic2025!$G$6)^(-B171),EXP(LN(INDEX(Dic2025!$H$6:$H$205,C171))+(LN(INDEX(Dic2025!$H$6:$H$205,MIN(C171+1,200)))-LN(INDEX(Dic2025!$H$6:$H$205,C171)))*(A171-6*C171)/6))</f>
        <v>0.478094463258723</v>
      </c>
      <c r="E171" s="12" t="n">
        <f aca="false">D171^(-1/B171)-1</f>
        <v>0.0544571953242035</v>
      </c>
      <c r="F171" s="12" t="n">
        <f aca="false">(1+E171)^(1/12)-1</f>
        <v>0.00442862146432876</v>
      </c>
      <c r="G171" s="16" t="n">
        <f aca="false">IF(C171=0,(1+Dic2025!$J$6)^(-B171),EXP(LN(INDEX(Dic2025!$K$6:$K$205,C171))+(LN(INDEX(Dic2025!$K$6:$K$205,MIN(C171+1,200)))-LN(INDEX(Dic2025!$K$6:$K$205,C171)))*(A171-6*C171)/6))</f>
        <v>0.478094463258723</v>
      </c>
      <c r="H171" s="12" t="n">
        <f aca="false">G171^(-1/B171)-1</f>
        <v>0.0544571953242035</v>
      </c>
      <c r="I171" s="12" t="n">
        <f aca="false">(1+H171)^(1/12)-1</f>
        <v>0.00442862146432876</v>
      </c>
      <c r="J171" s="16" t="n">
        <f aca="false">IF(C171=0,(1+Dic2025!$M$6)^(-B171),EXP(LN(INDEX(Dic2025!$N$6:$N$205,C171))+(LN(INDEX(Dic2025!$N$6:$N$205,MIN(C171+1,200)))-LN(INDEX(Dic2025!$N$6:$N$205,C171)))*(A171-6*C171)/6))</f>
        <v>0.478094463258723</v>
      </c>
      <c r="K171" s="12" t="n">
        <f aca="false">J171^(-1/B171)-1</f>
        <v>0.0544571953242035</v>
      </c>
      <c r="L171" s="12" t="n">
        <f aca="false">(1+K171)^(1/12)-1</f>
        <v>0.00442862146432876</v>
      </c>
    </row>
    <row r="172" customFormat="false" ht="15" hidden="false" customHeight="false" outlineLevel="0" collapsed="false">
      <c r="A172" s="4" t="n">
        <v>168</v>
      </c>
      <c r="B172" s="14" t="n">
        <f aca="false">A172/12</f>
        <v>14</v>
      </c>
      <c r="C172" s="15" t="n">
        <f aca="false">INT(A172/6)</f>
        <v>28</v>
      </c>
      <c r="D172" s="16" t="n">
        <f aca="false">IF(C172=0,(1+Dic2025!$G$6)^(-B172),EXP(LN(INDEX(Dic2025!$H$6:$H$205,C172))+(LN(INDEX(Dic2025!$H$6:$H$205,MIN(C172+1,200)))-LN(INDEX(Dic2025!$H$6:$H$205,C172)))*(A172-6*C172)/6))</f>
        <v>0.475566979261654</v>
      </c>
      <c r="E172" s="12" t="n">
        <f aca="false">D172^(-1/B172)-1</f>
        <v>0.0545236099999999</v>
      </c>
      <c r="F172" s="12" t="n">
        <f aca="false">(1+E172)^(1/12)-1</f>
        <v>0.00443389328221122</v>
      </c>
      <c r="G172" s="16" t="n">
        <f aca="false">IF(C172=0,(1+Dic2025!$J$6)^(-B172),EXP(LN(INDEX(Dic2025!$K$6:$K$205,C172))+(LN(INDEX(Dic2025!$K$6:$K$205,MIN(C172+1,200)))-LN(INDEX(Dic2025!$K$6:$K$205,C172)))*(A172-6*C172)/6))</f>
        <v>0.475566979261654</v>
      </c>
      <c r="H172" s="12" t="n">
        <f aca="false">G172^(-1/B172)-1</f>
        <v>0.0545236099999999</v>
      </c>
      <c r="I172" s="12" t="n">
        <f aca="false">(1+H172)^(1/12)-1</f>
        <v>0.00443389328221122</v>
      </c>
      <c r="J172" s="16" t="n">
        <f aca="false">IF(C172=0,(1+Dic2025!$M$6)^(-B172),EXP(LN(INDEX(Dic2025!$N$6:$N$205,C172))+(LN(INDEX(Dic2025!$N$6:$N$205,MIN(C172+1,200)))-LN(INDEX(Dic2025!$N$6:$N$205,C172)))*(A172-6*C172)/6))</f>
        <v>0.475566979261654</v>
      </c>
      <c r="K172" s="12" t="n">
        <f aca="false">J172^(-1/B172)-1</f>
        <v>0.0545236099999999</v>
      </c>
      <c r="L172" s="12" t="n">
        <f aca="false">(1+K172)^(1/12)-1</f>
        <v>0.00443389328221122</v>
      </c>
    </row>
    <row r="173" customFormat="false" ht="15" hidden="false" customHeight="false" outlineLevel="0" collapsed="false">
      <c r="A173" s="4" t="n">
        <v>169</v>
      </c>
      <c r="B173" s="14" t="n">
        <f aca="false">A173/12</f>
        <v>14.0833333333333</v>
      </c>
      <c r="C173" s="15" t="n">
        <f aca="false">INT(A173/6)</f>
        <v>28</v>
      </c>
      <c r="D173" s="16" t="n">
        <f aca="false">IF(C173=0,(1+Dic2025!$G$6)^(-B173),EXP(LN(INDEX(Dic2025!$H$6:$H$205,C173))+(LN(INDEX(Dic2025!$H$6:$H$205,MIN(C173+1,200)))-LN(INDEX(Dic2025!$H$6:$H$205,C173)))*(A173-6*C173)/6))</f>
        <v>0.473022230997893</v>
      </c>
      <c r="E173" s="12" t="n">
        <f aca="false">D173^(-1/B173)-1</f>
        <v>0.0545940909360263</v>
      </c>
      <c r="F173" s="12" t="n">
        <f aca="false">(1+E173)^(1/12)-1</f>
        <v>0.00443948753600076</v>
      </c>
      <c r="G173" s="16" t="n">
        <f aca="false">IF(C173=0,(1+Dic2025!$J$6)^(-B173),EXP(LN(INDEX(Dic2025!$K$6:$K$205,C173))+(LN(INDEX(Dic2025!$K$6:$K$205,MIN(C173+1,200)))-LN(INDEX(Dic2025!$K$6:$K$205,C173)))*(A173-6*C173)/6))</f>
        <v>0.473022230997893</v>
      </c>
      <c r="H173" s="12" t="n">
        <f aca="false">G173^(-1/B173)-1</f>
        <v>0.0545940909360263</v>
      </c>
      <c r="I173" s="12" t="n">
        <f aca="false">(1+H173)^(1/12)-1</f>
        <v>0.00443948753600076</v>
      </c>
      <c r="J173" s="16" t="n">
        <f aca="false">IF(C173=0,(1+Dic2025!$M$6)^(-B173),EXP(LN(INDEX(Dic2025!$N$6:$N$205,C173))+(LN(INDEX(Dic2025!$N$6:$N$205,MIN(C173+1,200)))-LN(INDEX(Dic2025!$N$6:$N$205,C173)))*(A173-6*C173)/6))</f>
        <v>0.473022230997893</v>
      </c>
      <c r="K173" s="12" t="n">
        <f aca="false">J173^(-1/B173)-1</f>
        <v>0.0545940909360263</v>
      </c>
      <c r="L173" s="12" t="n">
        <f aca="false">(1+K173)^(1/12)-1</f>
        <v>0.00443948753600076</v>
      </c>
    </row>
    <row r="174" customFormat="false" ht="15" hidden="false" customHeight="false" outlineLevel="0" collapsed="false">
      <c r="A174" s="4" t="n">
        <v>170</v>
      </c>
      <c r="B174" s="14" t="n">
        <f aca="false">A174/12</f>
        <v>14.1666666666667</v>
      </c>
      <c r="C174" s="15" t="n">
        <f aca="false">INT(A174/6)</f>
        <v>28</v>
      </c>
      <c r="D174" s="16" t="n">
        <f aca="false">IF(C174=0,(1+Dic2025!$G$6)^(-B174),EXP(LN(INDEX(Dic2025!$H$6:$H$205,C174))+(LN(INDEX(Dic2025!$H$6:$H$205,MIN(C174+1,200)))-LN(INDEX(Dic2025!$H$6:$H$205,C174)))*(A174-6*C174)/6))</f>
        <v>0.470491099625145</v>
      </c>
      <c r="E174" s="12" t="n">
        <f aca="false">D174^(-1/B174)-1</f>
        <v>0.0546637473124814</v>
      </c>
      <c r="F174" s="12" t="n">
        <f aca="false">(1+E174)^(1/12)-1</f>
        <v>0.00444501600564951</v>
      </c>
      <c r="G174" s="16" t="n">
        <f aca="false">IF(C174=0,(1+Dic2025!$J$6)^(-B174),EXP(LN(INDEX(Dic2025!$K$6:$K$205,C174))+(LN(INDEX(Dic2025!$K$6:$K$205,MIN(C174+1,200)))-LN(INDEX(Dic2025!$K$6:$K$205,C174)))*(A174-6*C174)/6))</f>
        <v>0.470491099625145</v>
      </c>
      <c r="H174" s="12" t="n">
        <f aca="false">G174^(-1/B174)-1</f>
        <v>0.0546637473124814</v>
      </c>
      <c r="I174" s="12" t="n">
        <f aca="false">(1+H174)^(1/12)-1</f>
        <v>0.00444501600564951</v>
      </c>
      <c r="J174" s="16" t="n">
        <f aca="false">IF(C174=0,(1+Dic2025!$M$6)^(-B174),EXP(LN(INDEX(Dic2025!$N$6:$N$205,C174))+(LN(INDEX(Dic2025!$N$6:$N$205,MIN(C174+1,200)))-LN(INDEX(Dic2025!$N$6:$N$205,C174)))*(A174-6*C174)/6))</f>
        <v>0.470491099625145</v>
      </c>
      <c r="K174" s="12" t="n">
        <f aca="false">J174^(-1/B174)-1</f>
        <v>0.0546637473124814</v>
      </c>
      <c r="L174" s="12" t="n">
        <f aca="false">(1+K174)^(1/12)-1</f>
        <v>0.00444501600564951</v>
      </c>
    </row>
    <row r="175" customFormat="false" ht="15" hidden="false" customHeight="false" outlineLevel="0" collapsed="false">
      <c r="A175" s="4" t="n">
        <v>171</v>
      </c>
      <c r="B175" s="14" t="n">
        <f aca="false">A175/12</f>
        <v>14.25</v>
      </c>
      <c r="C175" s="15" t="n">
        <f aca="false">INT(A175/6)</f>
        <v>28</v>
      </c>
      <c r="D175" s="16" t="n">
        <f aca="false">IF(C175=0,(1+Dic2025!$G$6)^(-B175),EXP(LN(INDEX(Dic2025!$H$6:$H$205,C175))+(LN(INDEX(Dic2025!$H$6:$H$205,MIN(C175+1,200)))-LN(INDEX(Dic2025!$H$6:$H$205,C175)))*(A175-6*C175)/6))</f>
        <v>0.467973512279731</v>
      </c>
      <c r="E175" s="12" t="n">
        <f aca="false">D175^(-1/B175)-1</f>
        <v>0.0547325935149048</v>
      </c>
      <c r="F175" s="12" t="n">
        <f aca="false">(1+E175)^(1/12)-1</f>
        <v>0.00445047984473179</v>
      </c>
      <c r="G175" s="16" t="n">
        <f aca="false">IF(C175=0,(1+Dic2025!$J$6)^(-B175),EXP(LN(INDEX(Dic2025!$K$6:$K$205,C175))+(LN(INDEX(Dic2025!$K$6:$K$205,MIN(C175+1,200)))-LN(INDEX(Dic2025!$K$6:$K$205,C175)))*(A175-6*C175)/6))</f>
        <v>0.467973512279731</v>
      </c>
      <c r="H175" s="12" t="n">
        <f aca="false">G175^(-1/B175)-1</f>
        <v>0.0547325935149048</v>
      </c>
      <c r="I175" s="12" t="n">
        <f aca="false">(1+H175)^(1/12)-1</f>
        <v>0.00445047984473179</v>
      </c>
      <c r="J175" s="16" t="n">
        <f aca="false">IF(C175=0,(1+Dic2025!$M$6)^(-B175),EXP(LN(INDEX(Dic2025!$N$6:$N$205,C175))+(LN(INDEX(Dic2025!$N$6:$N$205,MIN(C175+1,200)))-LN(INDEX(Dic2025!$N$6:$N$205,C175)))*(A175-6*C175)/6))</f>
        <v>0.467973512279731</v>
      </c>
      <c r="K175" s="12" t="n">
        <f aca="false">J175^(-1/B175)-1</f>
        <v>0.0547325935149048</v>
      </c>
      <c r="L175" s="12" t="n">
        <f aca="false">(1+K175)^(1/12)-1</f>
        <v>0.00445047984473179</v>
      </c>
    </row>
    <row r="176" customFormat="false" ht="15" hidden="false" customHeight="false" outlineLevel="0" collapsed="false">
      <c r="A176" s="4" t="n">
        <v>172</v>
      </c>
      <c r="B176" s="14" t="n">
        <f aca="false">A176/12</f>
        <v>14.3333333333333</v>
      </c>
      <c r="C176" s="15" t="n">
        <f aca="false">INT(A176/6)</f>
        <v>28</v>
      </c>
      <c r="D176" s="16" t="n">
        <f aca="false">IF(C176=0,(1+Dic2025!$G$6)^(-B176),EXP(LN(INDEX(Dic2025!$H$6:$H$205,C176))+(LN(INDEX(Dic2025!$H$6:$H$205,MIN(C176+1,200)))-LN(INDEX(Dic2025!$H$6:$H$205,C176)))*(A176-6*C176)/6))</f>
        <v>0.465469396487863</v>
      </c>
      <c r="E176" s="12" t="n">
        <f aca="false">D176^(-1/B176)-1</f>
        <v>0.0548006435961408</v>
      </c>
      <c r="F176" s="12" t="n">
        <f aca="false">(1+E176)^(1/12)-1</f>
        <v>0.00445588018000653</v>
      </c>
      <c r="G176" s="16" t="n">
        <f aca="false">IF(C176=0,(1+Dic2025!$J$6)^(-B176),EXP(LN(INDEX(Dic2025!$K$6:$K$205,C176))+(LN(INDEX(Dic2025!$K$6:$K$205,MIN(C176+1,200)))-LN(INDEX(Dic2025!$K$6:$K$205,C176)))*(A176-6*C176)/6))</f>
        <v>0.465469396487863</v>
      </c>
      <c r="H176" s="12" t="n">
        <f aca="false">G176^(-1/B176)-1</f>
        <v>0.0548006435961408</v>
      </c>
      <c r="I176" s="12" t="n">
        <f aca="false">(1+H176)^(1/12)-1</f>
        <v>0.00445588018000653</v>
      </c>
      <c r="J176" s="16" t="n">
        <f aca="false">IF(C176=0,(1+Dic2025!$M$6)^(-B176),EXP(LN(INDEX(Dic2025!$N$6:$N$205,C176))+(LN(INDEX(Dic2025!$N$6:$N$205,MIN(C176+1,200)))-LN(INDEX(Dic2025!$N$6:$N$205,C176)))*(A176-6*C176)/6))</f>
        <v>0.465469396487863</v>
      </c>
      <c r="K176" s="12" t="n">
        <f aca="false">J176^(-1/B176)-1</f>
        <v>0.0548006435961408</v>
      </c>
      <c r="L176" s="12" t="n">
        <f aca="false">(1+K176)^(1/12)-1</f>
        <v>0.00445588018000653</v>
      </c>
    </row>
    <row r="177" customFormat="false" ht="15" hidden="false" customHeight="false" outlineLevel="0" collapsed="false">
      <c r="A177" s="4" t="n">
        <v>173</v>
      </c>
      <c r="B177" s="14" t="n">
        <f aca="false">A177/12</f>
        <v>14.4166666666667</v>
      </c>
      <c r="C177" s="15" t="n">
        <f aca="false">INT(A177/6)</f>
        <v>28</v>
      </c>
      <c r="D177" s="16" t="n">
        <f aca="false">IF(C177=0,(1+Dic2025!$G$6)^(-B177),EXP(LN(INDEX(Dic2025!$H$6:$H$205,C177))+(LN(INDEX(Dic2025!$H$6:$H$205,MIN(C177+1,200)))-LN(INDEX(Dic2025!$H$6:$H$205,C177)))*(A177-6*C177)/6))</f>
        <v>0.46297868016356</v>
      </c>
      <c r="E177" s="12" t="n">
        <f aca="false">D177^(-1/B177)-1</f>
        <v>0.0548679112859012</v>
      </c>
      <c r="F177" s="12" t="n">
        <f aca="false">(1+E177)^(1/12)-1</f>
        <v>0.00446121811219236</v>
      </c>
      <c r="G177" s="16" t="n">
        <f aca="false">IF(C177=0,(1+Dic2025!$J$6)^(-B177),EXP(LN(INDEX(Dic2025!$K$6:$K$205,C177))+(LN(INDEX(Dic2025!$K$6:$K$205,MIN(C177+1,200)))-LN(INDEX(Dic2025!$K$6:$K$205,C177)))*(A177-6*C177)/6))</f>
        <v>0.46297868016356</v>
      </c>
      <c r="H177" s="12" t="n">
        <f aca="false">G177^(-1/B177)-1</f>
        <v>0.0548679112859012</v>
      </c>
      <c r="I177" s="12" t="n">
        <f aca="false">(1+H177)^(1/12)-1</f>
        <v>0.00446121811219236</v>
      </c>
      <c r="J177" s="16" t="n">
        <f aca="false">IF(C177=0,(1+Dic2025!$M$6)^(-B177),EXP(LN(INDEX(Dic2025!$N$6:$N$205,C177))+(LN(INDEX(Dic2025!$N$6:$N$205,MIN(C177+1,200)))-LN(INDEX(Dic2025!$N$6:$N$205,C177)))*(A177-6*C177)/6))</f>
        <v>0.46297868016356</v>
      </c>
      <c r="K177" s="12" t="n">
        <f aca="false">J177^(-1/B177)-1</f>
        <v>0.0548679112859012</v>
      </c>
      <c r="L177" s="12" t="n">
        <f aca="false">(1+K177)^(1/12)-1</f>
        <v>0.00446121811219236</v>
      </c>
    </row>
    <row r="178" customFormat="false" ht="15" hidden="false" customHeight="false" outlineLevel="0" collapsed="false">
      <c r="A178" s="4" t="n">
        <v>174</v>
      </c>
      <c r="B178" s="14" t="n">
        <f aca="false">A178/12</f>
        <v>14.5</v>
      </c>
      <c r="C178" s="15" t="n">
        <f aca="false">INT(A178/6)</f>
        <v>29</v>
      </c>
      <c r="D178" s="16" t="n">
        <f aca="false">IF(C178=0,(1+Dic2025!$G$6)^(-B178),EXP(LN(INDEX(Dic2025!$H$6:$H$205,C178))+(LN(INDEX(Dic2025!$H$6:$H$205,MIN(C178+1,200)))-LN(INDEX(Dic2025!$H$6:$H$205,C178)))*(A178-6*C178)/6))</f>
        <v>0.460501291606571</v>
      </c>
      <c r="E178" s="12" t="n">
        <f aca="false">D178^(-1/B178)-1</f>
        <v>0.0549344099999998</v>
      </c>
      <c r="F178" s="12" t="n">
        <f aca="false">(1+E178)^(1/12)-1</f>
        <v>0.0044664947167159</v>
      </c>
      <c r="G178" s="16" t="n">
        <f aca="false">IF(C178=0,(1+Dic2025!$J$6)^(-B178),EXP(LN(INDEX(Dic2025!$K$6:$K$205,C178))+(LN(INDEX(Dic2025!$K$6:$K$205,MIN(C178+1,200)))-LN(INDEX(Dic2025!$K$6:$K$205,C178)))*(A178-6*C178)/6))</f>
        <v>0.460501291606571</v>
      </c>
      <c r="H178" s="12" t="n">
        <f aca="false">G178^(-1/B178)-1</f>
        <v>0.0549344099999998</v>
      </c>
      <c r="I178" s="12" t="n">
        <f aca="false">(1+H178)^(1/12)-1</f>
        <v>0.0044664947167159</v>
      </c>
      <c r="J178" s="16" t="n">
        <f aca="false">IF(C178=0,(1+Dic2025!$M$6)^(-B178),EXP(LN(INDEX(Dic2025!$N$6:$N$205,C178))+(LN(INDEX(Dic2025!$N$6:$N$205,MIN(C178+1,200)))-LN(INDEX(Dic2025!$N$6:$N$205,C178)))*(A178-6*C178)/6))</f>
        <v>0.460501291606571</v>
      </c>
      <c r="K178" s="12" t="n">
        <f aca="false">J178^(-1/B178)-1</f>
        <v>0.0549344099999998</v>
      </c>
      <c r="L178" s="12" t="n">
        <f aca="false">(1+K178)^(1/12)-1</f>
        <v>0.0044664947167159</v>
      </c>
    </row>
    <row r="179" customFormat="false" ht="15" hidden="false" customHeight="false" outlineLevel="0" collapsed="false">
      <c r="A179" s="4" t="n">
        <v>175</v>
      </c>
      <c r="B179" s="14" t="n">
        <f aca="false">A179/12</f>
        <v>14.5833333333333</v>
      </c>
      <c r="C179" s="15" t="n">
        <f aca="false">INT(A179/6)</f>
        <v>29</v>
      </c>
      <c r="D179" s="16" t="n">
        <f aca="false">IF(C179=0,(1+Dic2025!$G$6)^(-B179),EXP(LN(INDEX(Dic2025!$H$6:$H$205,C179))+(LN(INDEX(Dic2025!$H$6:$H$205,MIN(C179+1,200)))-LN(INDEX(Dic2025!$H$6:$H$205,C179)))*(A179-6*C179)/6))</f>
        <v>0.458007514277584</v>
      </c>
      <c r="E179" s="12" t="n">
        <f aca="false">D179^(-1/B179)-1</f>
        <v>0.0550048352086476</v>
      </c>
      <c r="F179" s="12" t="n">
        <f aca="false">(1+E179)^(1/12)-1</f>
        <v>0.0044720825521174</v>
      </c>
      <c r="G179" s="16" t="n">
        <f aca="false">IF(C179=0,(1+Dic2025!$J$6)^(-B179),EXP(LN(INDEX(Dic2025!$K$6:$K$205,C179))+(LN(INDEX(Dic2025!$K$6:$K$205,MIN(C179+1,200)))-LN(INDEX(Dic2025!$K$6:$K$205,C179)))*(A179-6*C179)/6))</f>
        <v>0.458007514277584</v>
      </c>
      <c r="H179" s="12" t="n">
        <f aca="false">G179^(-1/B179)-1</f>
        <v>0.0550048352086476</v>
      </c>
      <c r="I179" s="12" t="n">
        <f aca="false">(1+H179)^(1/12)-1</f>
        <v>0.0044720825521174</v>
      </c>
      <c r="J179" s="16" t="n">
        <f aca="false">IF(C179=0,(1+Dic2025!$M$6)^(-B179),EXP(LN(INDEX(Dic2025!$N$6:$N$205,C179))+(LN(INDEX(Dic2025!$N$6:$N$205,MIN(C179+1,200)))-LN(INDEX(Dic2025!$N$6:$N$205,C179)))*(A179-6*C179)/6))</f>
        <v>0.458007514277584</v>
      </c>
      <c r="K179" s="12" t="n">
        <f aca="false">J179^(-1/B179)-1</f>
        <v>0.0550048352086476</v>
      </c>
      <c r="L179" s="12" t="n">
        <f aca="false">(1+K179)^(1/12)-1</f>
        <v>0.0044720825521174</v>
      </c>
    </row>
    <row r="180" customFormat="false" ht="15" hidden="false" customHeight="false" outlineLevel="0" collapsed="false">
      <c r="A180" s="4" t="n">
        <v>176</v>
      </c>
      <c r="B180" s="14" t="n">
        <f aca="false">A180/12</f>
        <v>14.6666666666667</v>
      </c>
      <c r="C180" s="15" t="n">
        <f aca="false">INT(A180/6)</f>
        <v>29</v>
      </c>
      <c r="D180" s="16" t="n">
        <f aca="false">IF(C180=0,(1+Dic2025!$G$6)^(-B180),EXP(LN(INDEX(Dic2025!$H$6:$H$205,C180))+(LN(INDEX(Dic2025!$H$6:$H$205,MIN(C180+1,200)))-LN(INDEX(Dic2025!$H$6:$H$205,C180)))*(A180-6*C180)/6))</f>
        <v>0.455527241634642</v>
      </c>
      <c r="E180" s="12" t="n">
        <f aca="false">D180^(-1/B180)-1</f>
        <v>0.0550744647524373</v>
      </c>
      <c r="F180" s="12" t="n">
        <f aca="false">(1+E180)^(1/12)-1</f>
        <v>0.00447760691994681</v>
      </c>
      <c r="G180" s="16" t="n">
        <f aca="false">IF(C180=0,(1+Dic2025!$J$6)^(-B180),EXP(LN(INDEX(Dic2025!$K$6:$K$205,C180))+(LN(INDEX(Dic2025!$K$6:$K$205,MIN(C180+1,200)))-LN(INDEX(Dic2025!$K$6:$K$205,C180)))*(A180-6*C180)/6))</f>
        <v>0.455527241634642</v>
      </c>
      <c r="H180" s="12" t="n">
        <f aca="false">G180^(-1/B180)-1</f>
        <v>0.0550744647524373</v>
      </c>
      <c r="I180" s="12" t="n">
        <f aca="false">(1+H180)^(1/12)-1</f>
        <v>0.00447760691994681</v>
      </c>
      <c r="J180" s="16" t="n">
        <f aca="false">IF(C180=0,(1+Dic2025!$M$6)^(-B180),EXP(LN(INDEX(Dic2025!$N$6:$N$205,C180))+(LN(INDEX(Dic2025!$N$6:$N$205,MIN(C180+1,200)))-LN(INDEX(Dic2025!$N$6:$N$205,C180)))*(A180-6*C180)/6))</f>
        <v>0.455527241634642</v>
      </c>
      <c r="K180" s="12" t="n">
        <f aca="false">J180^(-1/B180)-1</f>
        <v>0.0550744647524373</v>
      </c>
      <c r="L180" s="12" t="n">
        <f aca="false">(1+K180)^(1/12)-1</f>
        <v>0.00447760691994681</v>
      </c>
    </row>
    <row r="181" customFormat="false" ht="15" hidden="false" customHeight="false" outlineLevel="0" collapsed="false">
      <c r="A181" s="4" t="n">
        <v>177</v>
      </c>
      <c r="B181" s="14" t="n">
        <f aca="false">A181/12</f>
        <v>14.75</v>
      </c>
      <c r="C181" s="15" t="n">
        <f aca="false">INT(A181/6)</f>
        <v>29</v>
      </c>
      <c r="D181" s="16" t="n">
        <f aca="false">IF(C181=0,(1+Dic2025!$G$6)^(-B181),EXP(LN(INDEX(Dic2025!$H$6:$H$205,C181))+(LN(INDEX(Dic2025!$H$6:$H$205,MIN(C181+1,200)))-LN(INDEX(Dic2025!$H$6:$H$205,C181)))*(A181-6*C181)/6))</f>
        <v>0.453060400545096</v>
      </c>
      <c r="E181" s="12" t="n">
        <f aca="false">D181^(-1/B181)-1</f>
        <v>0.0551433120396219</v>
      </c>
      <c r="F181" s="12" t="n">
        <f aca="false">(1+E181)^(1/12)-1</f>
        <v>0.0044830688954105</v>
      </c>
      <c r="G181" s="16" t="n">
        <f aca="false">IF(C181=0,(1+Dic2025!$J$6)^(-B181),EXP(LN(INDEX(Dic2025!$K$6:$K$205,C181))+(LN(INDEX(Dic2025!$K$6:$K$205,MIN(C181+1,200)))-LN(INDEX(Dic2025!$K$6:$K$205,C181)))*(A181-6*C181)/6))</f>
        <v>0.453060400545096</v>
      </c>
      <c r="H181" s="12" t="n">
        <f aca="false">G181^(-1/B181)-1</f>
        <v>0.0551433120396219</v>
      </c>
      <c r="I181" s="12" t="n">
        <f aca="false">(1+H181)^(1/12)-1</f>
        <v>0.0044830688954105</v>
      </c>
      <c r="J181" s="16" t="n">
        <f aca="false">IF(C181=0,(1+Dic2025!$M$6)^(-B181),EXP(LN(INDEX(Dic2025!$N$6:$N$205,C181))+(LN(INDEX(Dic2025!$N$6:$N$205,MIN(C181+1,200)))-LN(INDEX(Dic2025!$N$6:$N$205,C181)))*(A181-6*C181)/6))</f>
        <v>0.453060400545096</v>
      </c>
      <c r="K181" s="12" t="n">
        <f aca="false">J181^(-1/B181)-1</f>
        <v>0.0551433120396219</v>
      </c>
      <c r="L181" s="12" t="n">
        <f aca="false">(1+K181)^(1/12)-1</f>
        <v>0.0044830688954105</v>
      </c>
    </row>
    <row r="182" customFormat="false" ht="15" hidden="false" customHeight="false" outlineLevel="0" collapsed="false">
      <c r="A182" s="4" t="n">
        <v>178</v>
      </c>
      <c r="B182" s="14" t="n">
        <f aca="false">A182/12</f>
        <v>14.8333333333333</v>
      </c>
      <c r="C182" s="15" t="n">
        <f aca="false">INT(A182/6)</f>
        <v>29</v>
      </c>
      <c r="D182" s="16" t="n">
        <f aca="false">IF(C182=0,(1+Dic2025!$G$6)^(-B182),EXP(LN(INDEX(Dic2025!$H$6:$H$205,C182))+(LN(INDEX(Dic2025!$H$6:$H$205,MIN(C182+1,200)))-LN(INDEX(Dic2025!$H$6:$H$205,C182)))*(A182-6*C182)/6))</f>
        <v>0.450606918272333</v>
      </c>
      <c r="E182" s="12" t="n">
        <f aca="false">D182^(-1/B182)-1</f>
        <v>0.0552113901788731</v>
      </c>
      <c r="F182" s="12" t="n">
        <f aca="false">(1+E182)^(1/12)-1</f>
        <v>0.00448846952956483</v>
      </c>
      <c r="G182" s="16" t="n">
        <f aca="false">IF(C182=0,(1+Dic2025!$J$6)^(-B182),EXP(LN(INDEX(Dic2025!$K$6:$K$205,C182))+(LN(INDEX(Dic2025!$K$6:$K$205,MIN(C182+1,200)))-LN(INDEX(Dic2025!$K$6:$K$205,C182)))*(A182-6*C182)/6))</f>
        <v>0.450606918272333</v>
      </c>
      <c r="H182" s="12" t="n">
        <f aca="false">G182^(-1/B182)-1</f>
        <v>0.0552113901788731</v>
      </c>
      <c r="I182" s="12" t="n">
        <f aca="false">(1+H182)^(1/12)-1</f>
        <v>0.00448846952956483</v>
      </c>
      <c r="J182" s="16" t="n">
        <f aca="false">IF(C182=0,(1+Dic2025!$M$6)^(-B182),EXP(LN(INDEX(Dic2025!$N$6:$N$205,C182))+(LN(INDEX(Dic2025!$N$6:$N$205,MIN(C182+1,200)))-LN(INDEX(Dic2025!$N$6:$N$205,C182)))*(A182-6*C182)/6))</f>
        <v>0.450606918272333</v>
      </c>
      <c r="K182" s="12" t="n">
        <f aca="false">J182^(-1/B182)-1</f>
        <v>0.0552113901788731</v>
      </c>
      <c r="L182" s="12" t="n">
        <f aca="false">(1+K182)^(1/12)-1</f>
        <v>0.00448846952956483</v>
      </c>
    </row>
    <row r="183" customFormat="false" ht="15" hidden="false" customHeight="false" outlineLevel="0" collapsed="false">
      <c r="A183" s="4" t="n">
        <v>179</v>
      </c>
      <c r="B183" s="14" t="n">
        <f aca="false">A183/12</f>
        <v>14.9166666666667</v>
      </c>
      <c r="C183" s="15" t="n">
        <f aca="false">INT(A183/6)</f>
        <v>29</v>
      </c>
      <c r="D183" s="16" t="n">
        <f aca="false">IF(C183=0,(1+Dic2025!$G$6)^(-B183),EXP(LN(INDEX(Dic2025!$H$6:$H$205,C183))+(LN(INDEX(Dic2025!$H$6:$H$205,MIN(C183+1,200)))-LN(INDEX(Dic2025!$H$6:$H$205,C183)))*(A183-6*C183)/6))</f>
        <v>0.448166722473637</v>
      </c>
      <c r="E183" s="12" t="n">
        <f aca="false">D183^(-1/B183)-1</f>
        <v>0.0552787119876015</v>
      </c>
      <c r="F183" s="12" t="n">
        <f aca="false">(1+E183)^(1/12)-1</f>
        <v>0.00449380984999004</v>
      </c>
      <c r="G183" s="16" t="n">
        <f aca="false">IF(C183=0,(1+Dic2025!$J$6)^(-B183),EXP(LN(INDEX(Dic2025!$K$6:$K$205,C183))+(LN(INDEX(Dic2025!$K$6:$K$205,MIN(C183+1,200)))-LN(INDEX(Dic2025!$K$6:$K$205,C183)))*(A183-6*C183)/6))</f>
        <v>0.448166722473637</v>
      </c>
      <c r="H183" s="12" t="n">
        <f aca="false">G183^(-1/B183)-1</f>
        <v>0.0552787119876015</v>
      </c>
      <c r="I183" s="12" t="n">
        <f aca="false">(1+H183)^(1/12)-1</f>
        <v>0.00449380984999004</v>
      </c>
      <c r="J183" s="16" t="n">
        <f aca="false">IF(C183=0,(1+Dic2025!$M$6)^(-B183),EXP(LN(INDEX(Dic2025!$N$6:$N$205,C183))+(LN(INDEX(Dic2025!$N$6:$N$205,MIN(C183+1,200)))-LN(INDEX(Dic2025!$N$6:$N$205,C183)))*(A183-6*C183)/6))</f>
        <v>0.448166722473637</v>
      </c>
      <c r="K183" s="12" t="n">
        <f aca="false">J183^(-1/B183)-1</f>
        <v>0.0552787119876015</v>
      </c>
      <c r="L183" s="12" t="n">
        <f aca="false">(1+K183)^(1/12)-1</f>
        <v>0.00449380984999004</v>
      </c>
    </row>
    <row r="184" customFormat="false" ht="15" hidden="false" customHeight="false" outlineLevel="0" collapsed="false">
      <c r="A184" s="4" t="n">
        <v>180</v>
      </c>
      <c r="B184" s="14" t="n">
        <f aca="false">A184/12</f>
        <v>15</v>
      </c>
      <c r="C184" s="15" t="n">
        <f aca="false">INT(A184/6)</f>
        <v>30</v>
      </c>
      <c r="D184" s="16" t="n">
        <f aca="false">IF(C184=0,(1+Dic2025!$G$6)^(-B184),EXP(LN(INDEX(Dic2025!$H$6:$H$205,C184))+(LN(INDEX(Dic2025!$H$6:$H$205,MIN(C184+1,200)))-LN(INDEX(Dic2025!$H$6:$H$205,C184)))*(A184-6*C184)/6))</f>
        <v>0.445739741198054</v>
      </c>
      <c r="E184" s="12" t="n">
        <f aca="false">D184^(-1/B184)-1</f>
        <v>0.0553452900000002</v>
      </c>
      <c r="F184" s="12" t="n">
        <f aca="false">(1+E184)^(1/12)-1</f>
        <v>0.00449909086144174</v>
      </c>
      <c r="G184" s="16" t="n">
        <f aca="false">IF(C184=0,(1+Dic2025!$J$6)^(-B184),EXP(LN(INDEX(Dic2025!$K$6:$K$205,C184))+(LN(INDEX(Dic2025!$K$6:$K$205,MIN(C184+1,200)))-LN(INDEX(Dic2025!$K$6:$K$205,C184)))*(A184-6*C184)/6))</f>
        <v>0.445739741198054</v>
      </c>
      <c r="H184" s="12" t="n">
        <f aca="false">G184^(-1/B184)-1</f>
        <v>0.0553452900000002</v>
      </c>
      <c r="I184" s="12" t="n">
        <f aca="false">(1+H184)^(1/12)-1</f>
        <v>0.00449909086144174</v>
      </c>
      <c r="J184" s="16" t="n">
        <f aca="false">IF(C184=0,(1+Dic2025!$M$6)^(-B184),EXP(LN(INDEX(Dic2025!$N$6:$N$205,C184))+(LN(INDEX(Dic2025!$N$6:$N$205,MIN(C184+1,200)))-LN(INDEX(Dic2025!$N$6:$N$205,C184)))*(A184-6*C184)/6))</f>
        <v>0.445739741198054</v>
      </c>
      <c r="K184" s="12" t="n">
        <f aca="false">J184^(-1/B184)-1</f>
        <v>0.0553452900000002</v>
      </c>
      <c r="L184" s="12" t="n">
        <f aca="false">(1+K184)^(1/12)-1</f>
        <v>0.00449909086144174</v>
      </c>
    </row>
    <row r="185" customFormat="false" ht="15" hidden="false" customHeight="false" outlineLevel="0" collapsed="false">
      <c r="A185" s="4" t="n">
        <v>181</v>
      </c>
      <c r="B185" s="14" t="n">
        <f aca="false">A185/12</f>
        <v>15.0833333333333</v>
      </c>
      <c r="C185" s="15" t="n">
        <f aca="false">INT(A185/6)</f>
        <v>30</v>
      </c>
      <c r="D185" s="16" t="n">
        <f aca="false">IF(C185=0,(1+Dic2025!$G$6)^(-B185),EXP(LN(INDEX(Dic2025!$H$6:$H$205,C185))+(LN(INDEX(Dic2025!$H$6:$H$205,MIN(C185+1,200)))-LN(INDEX(Dic2025!$H$6:$H$205,C185)))*(A185-6*C185)/6))</f>
        <v>0.443297218178492</v>
      </c>
      <c r="E185" s="12" t="n">
        <f aca="false">D185^(-1/B185)-1</f>
        <v>0.0554156640598844</v>
      </c>
      <c r="F185" s="12" t="n">
        <f aca="false">(1+E185)^(1/12)-1</f>
        <v>0.00450467264585863</v>
      </c>
      <c r="G185" s="16" t="n">
        <f aca="false">IF(C185=0,(1+Dic2025!$J$6)^(-B185),EXP(LN(INDEX(Dic2025!$K$6:$K$205,C185))+(LN(INDEX(Dic2025!$K$6:$K$205,MIN(C185+1,200)))-LN(INDEX(Dic2025!$K$6:$K$205,C185)))*(A185-6*C185)/6))</f>
        <v>0.443297218178492</v>
      </c>
      <c r="H185" s="12" t="n">
        <f aca="false">G185^(-1/B185)-1</f>
        <v>0.0554156640598844</v>
      </c>
      <c r="I185" s="12" t="n">
        <f aca="false">(1+H185)^(1/12)-1</f>
        <v>0.00450467264585863</v>
      </c>
      <c r="J185" s="16" t="n">
        <f aca="false">IF(C185=0,(1+Dic2025!$M$6)^(-B185),EXP(LN(INDEX(Dic2025!$N$6:$N$205,C185))+(LN(INDEX(Dic2025!$N$6:$N$205,MIN(C185+1,200)))-LN(INDEX(Dic2025!$N$6:$N$205,C185)))*(A185-6*C185)/6))</f>
        <v>0.443297218178492</v>
      </c>
      <c r="K185" s="12" t="n">
        <f aca="false">J185^(-1/B185)-1</f>
        <v>0.0554156640598844</v>
      </c>
      <c r="L185" s="12" t="n">
        <f aca="false">(1+K185)^(1/12)-1</f>
        <v>0.00450467264585863</v>
      </c>
    </row>
    <row r="186" customFormat="false" ht="15" hidden="false" customHeight="false" outlineLevel="0" collapsed="false">
      <c r="A186" s="4" t="n">
        <v>182</v>
      </c>
      <c r="B186" s="14" t="n">
        <f aca="false">A186/12</f>
        <v>15.1666666666667</v>
      </c>
      <c r="C186" s="15" t="n">
        <f aca="false">INT(A186/6)</f>
        <v>30</v>
      </c>
      <c r="D186" s="16" t="n">
        <f aca="false">IF(C186=0,(1+Dic2025!$G$6)^(-B186),EXP(LN(INDEX(Dic2025!$H$6:$H$205,C186))+(LN(INDEX(Dic2025!$H$6:$H$205,MIN(C186+1,200)))-LN(INDEX(Dic2025!$H$6:$H$205,C186)))*(A186-6*C186)/6))</f>
        <v>0.44086807946854</v>
      </c>
      <c r="E186" s="12" t="n">
        <f aca="false">D186^(-1/B186)-1</f>
        <v>0.0554852693941648</v>
      </c>
      <c r="F186" s="12" t="n">
        <f aca="false">(1+E186)^(1/12)-1</f>
        <v>0.00451019312249246</v>
      </c>
      <c r="G186" s="16" t="n">
        <f aca="false">IF(C186=0,(1+Dic2025!$J$6)^(-B186),EXP(LN(INDEX(Dic2025!$K$6:$K$205,C186))+(LN(INDEX(Dic2025!$K$6:$K$205,MIN(C186+1,200)))-LN(INDEX(Dic2025!$K$6:$K$205,C186)))*(A186-6*C186)/6))</f>
        <v>0.44086807946854</v>
      </c>
      <c r="H186" s="12" t="n">
        <f aca="false">G186^(-1/B186)-1</f>
        <v>0.0554852693941648</v>
      </c>
      <c r="I186" s="12" t="n">
        <f aca="false">(1+H186)^(1/12)-1</f>
        <v>0.00451019312249246</v>
      </c>
      <c r="J186" s="16" t="n">
        <f aca="false">IF(C186=0,(1+Dic2025!$M$6)^(-B186),EXP(LN(INDEX(Dic2025!$N$6:$N$205,C186))+(LN(INDEX(Dic2025!$N$6:$N$205,MIN(C186+1,200)))-LN(INDEX(Dic2025!$N$6:$N$205,C186)))*(A186-6*C186)/6))</f>
        <v>0.44086807946854</v>
      </c>
      <c r="K186" s="12" t="n">
        <f aca="false">J186^(-1/B186)-1</f>
        <v>0.0554852693941648</v>
      </c>
      <c r="L186" s="12" t="n">
        <f aca="false">(1+K186)^(1/12)-1</f>
        <v>0.00451019312249246</v>
      </c>
    </row>
    <row r="187" customFormat="false" ht="15" hidden="false" customHeight="false" outlineLevel="0" collapsed="false">
      <c r="A187" s="4" t="n">
        <v>183</v>
      </c>
      <c r="B187" s="14" t="n">
        <f aca="false">A187/12</f>
        <v>15.25</v>
      </c>
      <c r="C187" s="15" t="n">
        <f aca="false">INT(A187/6)</f>
        <v>30</v>
      </c>
      <c r="D187" s="16" t="n">
        <f aca="false">IF(C187=0,(1+Dic2025!$G$6)^(-B187),EXP(LN(INDEX(Dic2025!$H$6:$H$205,C187))+(LN(INDEX(Dic2025!$H$6:$H$205,MIN(C187+1,200)))-LN(INDEX(Dic2025!$H$6:$H$205,C187)))*(A187-6*C187)/6))</f>
        <v>0.438452251726105</v>
      </c>
      <c r="E187" s="12" t="n">
        <f aca="false">D187^(-1/B187)-1</f>
        <v>0.055554118529944</v>
      </c>
      <c r="F187" s="12" t="n">
        <f aca="false">(1+E187)^(1/12)-1</f>
        <v>0.00451565329589188</v>
      </c>
      <c r="G187" s="16" t="n">
        <f aca="false">IF(C187=0,(1+Dic2025!$J$6)^(-B187),EXP(LN(INDEX(Dic2025!$K$6:$K$205,C187))+(LN(INDEX(Dic2025!$K$6:$K$205,MIN(C187+1,200)))-LN(INDEX(Dic2025!$K$6:$K$205,C187)))*(A187-6*C187)/6))</f>
        <v>0.438452251726105</v>
      </c>
      <c r="H187" s="12" t="n">
        <f aca="false">G187^(-1/B187)-1</f>
        <v>0.055554118529944</v>
      </c>
      <c r="I187" s="12" t="n">
        <f aca="false">(1+H187)^(1/12)-1</f>
        <v>0.00451565329589188</v>
      </c>
      <c r="J187" s="16" t="n">
        <f aca="false">IF(C187=0,(1+Dic2025!$M$6)^(-B187),EXP(LN(INDEX(Dic2025!$N$6:$N$205,C187))+(LN(INDEX(Dic2025!$N$6:$N$205,MIN(C187+1,200)))-LN(INDEX(Dic2025!$N$6:$N$205,C187)))*(A187-6*C187)/6))</f>
        <v>0.438452251726105</v>
      </c>
      <c r="K187" s="12" t="n">
        <f aca="false">J187^(-1/B187)-1</f>
        <v>0.055554118529944</v>
      </c>
      <c r="L187" s="12" t="n">
        <f aca="false">(1+K187)^(1/12)-1</f>
        <v>0.00451565329589188</v>
      </c>
    </row>
    <row r="188" customFormat="false" ht="15" hidden="false" customHeight="false" outlineLevel="0" collapsed="false">
      <c r="A188" s="4" t="n">
        <v>184</v>
      </c>
      <c r="B188" s="14" t="n">
        <f aca="false">A188/12</f>
        <v>15.3333333333333</v>
      </c>
      <c r="C188" s="15" t="n">
        <f aca="false">INT(A188/6)</f>
        <v>30</v>
      </c>
      <c r="D188" s="16" t="n">
        <f aca="false">IF(C188=0,(1+Dic2025!$G$6)^(-B188),EXP(LN(INDEX(Dic2025!$H$6:$H$205,C188))+(LN(INDEX(Dic2025!$H$6:$H$205,MIN(C188+1,200)))-LN(INDEX(Dic2025!$H$6:$H$205,C188)))*(A188-6*C188)/6))</f>
        <v>0.436049662010992</v>
      </c>
      <c r="E188" s="12" t="n">
        <f aca="false">D188^(-1/B188)-1</f>
        <v>0.055622223723611</v>
      </c>
      <c r="F188" s="12" t="n">
        <f aca="false">(1+E188)^(1/12)-1</f>
        <v>0.0045210541487779</v>
      </c>
      <c r="G188" s="16" t="n">
        <f aca="false">IF(C188=0,(1+Dic2025!$J$6)^(-B188),EXP(LN(INDEX(Dic2025!$K$6:$K$205,C188))+(LN(INDEX(Dic2025!$K$6:$K$205,MIN(C188+1,200)))-LN(INDEX(Dic2025!$K$6:$K$205,C188)))*(A188-6*C188)/6))</f>
        <v>0.436049662010992</v>
      </c>
      <c r="H188" s="12" t="n">
        <f aca="false">G188^(-1/B188)-1</f>
        <v>0.055622223723611</v>
      </c>
      <c r="I188" s="12" t="n">
        <f aca="false">(1+H188)^(1/12)-1</f>
        <v>0.0045210541487779</v>
      </c>
      <c r="J188" s="16" t="n">
        <f aca="false">IF(C188=0,(1+Dic2025!$M$6)^(-B188),EXP(LN(INDEX(Dic2025!$N$6:$N$205,C188))+(LN(INDEX(Dic2025!$N$6:$N$205,MIN(C188+1,200)))-LN(INDEX(Dic2025!$N$6:$N$205,C188)))*(A188-6*C188)/6))</f>
        <v>0.436049662010992</v>
      </c>
      <c r="K188" s="12" t="n">
        <f aca="false">J188^(-1/B188)-1</f>
        <v>0.055622223723611</v>
      </c>
      <c r="L188" s="12" t="n">
        <f aca="false">(1+K188)^(1/12)-1</f>
        <v>0.0045210541487779</v>
      </c>
    </row>
    <row r="189" customFormat="false" ht="15" hidden="false" customHeight="false" outlineLevel="0" collapsed="false">
      <c r="A189" s="4" t="n">
        <v>185</v>
      </c>
      <c r="B189" s="14" t="n">
        <f aca="false">A189/12</f>
        <v>15.4166666666667</v>
      </c>
      <c r="C189" s="15" t="n">
        <f aca="false">INT(A189/6)</f>
        <v>30</v>
      </c>
      <c r="D189" s="16" t="n">
        <f aca="false">IF(C189=0,(1+Dic2025!$G$6)^(-B189),EXP(LN(INDEX(Dic2025!$H$6:$H$205,C189))+(LN(INDEX(Dic2025!$H$6:$H$205,MIN(C189+1,200)))-LN(INDEX(Dic2025!$H$6:$H$205,C189)))*(A189-6*C189)/6))</f>
        <v>0.433660237782694</v>
      </c>
      <c r="E189" s="12" t="n">
        <f aca="false">D189^(-1/B189)-1</f>
        <v>0.0556895969681139</v>
      </c>
      <c r="F189" s="12" t="n">
        <f aca="false">(1+E189)^(1/12)-1</f>
        <v>0.0045263966426341</v>
      </c>
      <c r="G189" s="16" t="n">
        <f aca="false">IF(C189=0,(1+Dic2025!$J$6)^(-B189),EXP(LN(INDEX(Dic2025!$K$6:$K$205,C189))+(LN(INDEX(Dic2025!$K$6:$K$205,MIN(C189+1,200)))-LN(INDEX(Dic2025!$K$6:$K$205,C189)))*(A189-6*C189)/6))</f>
        <v>0.433660237782694</v>
      </c>
      <c r="H189" s="12" t="n">
        <f aca="false">G189^(-1/B189)-1</f>
        <v>0.0556895969681139</v>
      </c>
      <c r="I189" s="12" t="n">
        <f aca="false">(1+H189)^(1/12)-1</f>
        <v>0.0045263966426341</v>
      </c>
      <c r="J189" s="16" t="n">
        <f aca="false">IF(C189=0,(1+Dic2025!$M$6)^(-B189),EXP(LN(INDEX(Dic2025!$N$6:$N$205,C189))+(LN(INDEX(Dic2025!$N$6:$N$205,MIN(C189+1,200)))-LN(INDEX(Dic2025!$N$6:$N$205,C189)))*(A189-6*C189)/6))</f>
        <v>0.433660237782694</v>
      </c>
      <c r="K189" s="12" t="n">
        <f aca="false">J189^(-1/B189)-1</f>
        <v>0.0556895969681139</v>
      </c>
      <c r="L189" s="12" t="n">
        <f aca="false">(1+K189)^(1/12)-1</f>
        <v>0.0045263966426341</v>
      </c>
    </row>
    <row r="190" customFormat="false" ht="15" hidden="false" customHeight="false" outlineLevel="0" collapsed="false">
      <c r="A190" s="4" t="n">
        <v>186</v>
      </c>
      <c r="B190" s="14" t="n">
        <f aca="false">A190/12</f>
        <v>15.5</v>
      </c>
      <c r="C190" s="15" t="n">
        <f aca="false">INT(A190/6)</f>
        <v>31</v>
      </c>
      <c r="D190" s="16" t="n">
        <f aca="false">IF(C190=0,(1+Dic2025!$G$6)^(-B190),EXP(LN(INDEX(Dic2025!$H$6:$H$205,C190))+(LN(INDEX(Dic2025!$H$6:$H$205,MIN(C190+1,200)))-LN(INDEX(Dic2025!$H$6:$H$205,C190)))*(A190-6*C190)/6))</f>
        <v>0.431283906898206</v>
      </c>
      <c r="E190" s="12" t="n">
        <f aca="false">D190^(-1/B190)-1</f>
        <v>0.0557562500000002</v>
      </c>
      <c r="F190" s="12" t="n">
        <f aca="false">(1+E190)^(1/12)-1</f>
        <v>0.004531681718277</v>
      </c>
      <c r="G190" s="16" t="n">
        <f aca="false">IF(C190=0,(1+Dic2025!$J$6)^(-B190),EXP(LN(INDEX(Dic2025!$K$6:$K$205,C190))+(LN(INDEX(Dic2025!$K$6:$K$205,MIN(C190+1,200)))-LN(INDEX(Dic2025!$K$6:$K$205,C190)))*(A190-6*C190)/6))</f>
        <v>0.431283906898206</v>
      </c>
      <c r="H190" s="12" t="n">
        <f aca="false">G190^(-1/B190)-1</f>
        <v>0.0557562500000002</v>
      </c>
      <c r="I190" s="12" t="n">
        <f aca="false">(1+H190)^(1/12)-1</f>
        <v>0.004531681718277</v>
      </c>
      <c r="J190" s="16" t="n">
        <f aca="false">IF(C190=0,(1+Dic2025!$M$6)^(-B190),EXP(LN(INDEX(Dic2025!$N$6:$N$205,C190))+(LN(INDEX(Dic2025!$N$6:$N$205,MIN(C190+1,200)))-LN(INDEX(Dic2025!$N$6:$N$205,C190)))*(A190-6*C190)/6))</f>
        <v>0.431283906898206</v>
      </c>
      <c r="K190" s="12" t="n">
        <f aca="false">J190^(-1/B190)-1</f>
        <v>0.0557562500000002</v>
      </c>
      <c r="L190" s="12" t="n">
        <f aca="false">(1+K190)^(1/12)-1</f>
        <v>0.004531681718277</v>
      </c>
    </row>
    <row r="191" customFormat="false" ht="15" hidden="false" customHeight="false" outlineLevel="0" collapsed="false">
      <c r="A191" s="4" t="n">
        <v>187</v>
      </c>
      <c r="B191" s="14" t="n">
        <f aca="false">A191/12</f>
        <v>15.5833333333333</v>
      </c>
      <c r="C191" s="15" t="n">
        <f aca="false">INT(A191/6)</f>
        <v>31</v>
      </c>
      <c r="D191" s="16" t="n">
        <f aca="false">IF(C191=0,(1+Dic2025!$G$6)^(-B191),EXP(LN(INDEX(Dic2025!$H$6:$H$205,C191))+(LN(INDEX(Dic2025!$H$6:$H$205,MIN(C191+1,200)))-LN(INDEX(Dic2025!$H$6:$H$205,C191)))*(A191-6*C191)/6))</f>
        <v>0.429004158948459</v>
      </c>
      <c r="E191" s="12" t="n">
        <f aca="false">D191^(-1/B191)-1</f>
        <v>0.0558089961307773</v>
      </c>
      <c r="F191" s="12" t="n">
        <f aca="false">(1+E191)^(1/12)-1</f>
        <v>0.00453586386624028</v>
      </c>
      <c r="G191" s="16" t="n">
        <f aca="false">IF(C191=0,(1+Dic2025!$J$6)^(-B191),EXP(LN(INDEX(Dic2025!$K$6:$K$205,C191))+(LN(INDEX(Dic2025!$K$6:$K$205,MIN(C191+1,200)))-LN(INDEX(Dic2025!$K$6:$K$205,C191)))*(A191-6*C191)/6))</f>
        <v>0.429004158948459</v>
      </c>
      <c r="H191" s="12" t="n">
        <f aca="false">G191^(-1/B191)-1</f>
        <v>0.0558089961307773</v>
      </c>
      <c r="I191" s="12" t="n">
        <f aca="false">(1+H191)^(1/12)-1</f>
        <v>0.00453586386624028</v>
      </c>
      <c r="J191" s="16" t="n">
        <f aca="false">IF(C191=0,(1+Dic2025!$M$6)^(-B191),EXP(LN(INDEX(Dic2025!$N$6:$N$205,C191))+(LN(INDEX(Dic2025!$N$6:$N$205,MIN(C191+1,200)))-LN(INDEX(Dic2025!$N$6:$N$205,C191)))*(A191-6*C191)/6))</f>
        <v>0.429004158948459</v>
      </c>
      <c r="K191" s="12" t="n">
        <f aca="false">J191^(-1/B191)-1</f>
        <v>0.0558089961307773</v>
      </c>
      <c r="L191" s="12" t="n">
        <f aca="false">(1+K191)^(1/12)-1</f>
        <v>0.00453586386624028</v>
      </c>
    </row>
    <row r="192" customFormat="false" ht="15" hidden="false" customHeight="false" outlineLevel="0" collapsed="false">
      <c r="A192" s="4" t="n">
        <v>188</v>
      </c>
      <c r="B192" s="14" t="n">
        <f aca="false">A192/12</f>
        <v>15.6666666666667</v>
      </c>
      <c r="C192" s="15" t="n">
        <f aca="false">INT(A192/6)</f>
        <v>31</v>
      </c>
      <c r="D192" s="16" t="n">
        <f aca="false">IF(C192=0,(1+Dic2025!$G$6)^(-B192),EXP(LN(INDEX(Dic2025!$H$6:$H$205,C192))+(LN(INDEX(Dic2025!$H$6:$H$205,MIN(C192+1,200)))-LN(INDEX(Dic2025!$H$6:$H$205,C192)))*(A192-6*C192)/6))</f>
        <v>0.426736461647094</v>
      </c>
      <c r="E192" s="12" t="n">
        <f aca="false">D192^(-1/B192)-1</f>
        <v>0.0558611837258247</v>
      </c>
      <c r="F192" s="12" t="n">
        <f aca="false">(1+E192)^(1/12)-1</f>
        <v>0.00454000154040224</v>
      </c>
      <c r="G192" s="16" t="n">
        <f aca="false">IF(C192=0,(1+Dic2025!$J$6)^(-B192),EXP(LN(INDEX(Dic2025!$K$6:$K$205,C192))+(LN(INDEX(Dic2025!$K$6:$K$205,MIN(C192+1,200)))-LN(INDEX(Dic2025!$K$6:$K$205,C192)))*(A192-6*C192)/6))</f>
        <v>0.426736461647094</v>
      </c>
      <c r="H192" s="12" t="n">
        <f aca="false">G192^(-1/B192)-1</f>
        <v>0.0558611837258247</v>
      </c>
      <c r="I192" s="12" t="n">
        <f aca="false">(1+H192)^(1/12)-1</f>
        <v>0.00454000154040224</v>
      </c>
      <c r="J192" s="16" t="n">
        <f aca="false">IF(C192=0,(1+Dic2025!$M$6)^(-B192),EXP(LN(INDEX(Dic2025!$N$6:$N$205,C192))+(LN(INDEX(Dic2025!$N$6:$N$205,MIN(C192+1,200)))-LN(INDEX(Dic2025!$N$6:$N$205,C192)))*(A192-6*C192)/6))</f>
        <v>0.426736461647094</v>
      </c>
      <c r="K192" s="12" t="n">
        <f aca="false">J192^(-1/B192)-1</f>
        <v>0.0558611837258247</v>
      </c>
      <c r="L192" s="12" t="n">
        <f aca="false">(1+K192)^(1/12)-1</f>
        <v>0.00454000154040224</v>
      </c>
    </row>
    <row r="193" customFormat="false" ht="15" hidden="false" customHeight="false" outlineLevel="0" collapsed="false">
      <c r="A193" s="4" t="n">
        <v>189</v>
      </c>
      <c r="B193" s="14" t="n">
        <f aca="false">A193/12</f>
        <v>15.75</v>
      </c>
      <c r="C193" s="15" t="n">
        <f aca="false">INT(A193/6)</f>
        <v>31</v>
      </c>
      <c r="D193" s="16" t="n">
        <f aca="false">IF(C193=0,(1+Dic2025!$G$6)^(-B193),EXP(LN(INDEX(Dic2025!$H$6:$H$205,C193))+(LN(INDEX(Dic2025!$H$6:$H$205,MIN(C193+1,200)))-LN(INDEX(Dic2025!$H$6:$H$205,C193)))*(A193-6*C193)/6))</f>
        <v>0.424480751294906</v>
      </c>
      <c r="E193" s="12" t="n">
        <f aca="false">D193^(-1/B193)-1</f>
        <v>0.0559128216099687</v>
      </c>
      <c r="F193" s="12" t="n">
        <f aca="false">(1+E193)^(1/12)-1</f>
        <v>0.0045440954464262</v>
      </c>
      <c r="G193" s="16" t="n">
        <f aca="false">IF(C193=0,(1+Dic2025!$J$6)^(-B193),EXP(LN(INDEX(Dic2025!$K$6:$K$205,C193))+(LN(INDEX(Dic2025!$K$6:$K$205,MIN(C193+1,200)))-LN(INDEX(Dic2025!$K$6:$K$205,C193)))*(A193-6*C193)/6))</f>
        <v>0.424480751294906</v>
      </c>
      <c r="H193" s="12" t="n">
        <f aca="false">G193^(-1/B193)-1</f>
        <v>0.0559128216099687</v>
      </c>
      <c r="I193" s="12" t="n">
        <f aca="false">(1+H193)^(1/12)-1</f>
        <v>0.0045440954464262</v>
      </c>
      <c r="J193" s="16" t="n">
        <f aca="false">IF(C193=0,(1+Dic2025!$M$6)^(-B193),EXP(LN(INDEX(Dic2025!$N$6:$N$205,C193))+(LN(INDEX(Dic2025!$N$6:$N$205,MIN(C193+1,200)))-LN(INDEX(Dic2025!$N$6:$N$205,C193)))*(A193-6*C193)/6))</f>
        <v>0.424480751294906</v>
      </c>
      <c r="K193" s="12" t="n">
        <f aca="false">J193^(-1/B193)-1</f>
        <v>0.0559128216099687</v>
      </c>
      <c r="L193" s="12" t="n">
        <f aca="false">(1+K193)^(1/12)-1</f>
        <v>0.0045440954464262</v>
      </c>
    </row>
    <row r="194" customFormat="false" ht="15" hidden="false" customHeight="false" outlineLevel="0" collapsed="false">
      <c r="A194" s="4" t="n">
        <v>190</v>
      </c>
      <c r="B194" s="14" t="n">
        <f aca="false">A194/12</f>
        <v>15.8333333333333</v>
      </c>
      <c r="C194" s="15" t="n">
        <f aca="false">INT(A194/6)</f>
        <v>31</v>
      </c>
      <c r="D194" s="16" t="n">
        <f aca="false">IF(C194=0,(1+Dic2025!$G$6)^(-B194),EXP(LN(INDEX(Dic2025!$H$6:$H$205,C194))+(LN(INDEX(Dic2025!$H$6:$H$205,MIN(C194+1,200)))-LN(INDEX(Dic2025!$H$6:$H$205,C194)))*(A194-6*C194)/6))</f>
        <v>0.422236964529405</v>
      </c>
      <c r="E194" s="12" t="n">
        <f aca="false">D194^(-1/B194)-1</f>
        <v>0.0559639184231013</v>
      </c>
      <c r="F194" s="12" t="n">
        <f aca="false">(1+E194)^(1/12)-1</f>
        <v>0.00454814627512401</v>
      </c>
      <c r="G194" s="16" t="n">
        <f aca="false">IF(C194=0,(1+Dic2025!$J$6)^(-B194),EXP(LN(INDEX(Dic2025!$K$6:$K$205,C194))+(LN(INDEX(Dic2025!$K$6:$K$205,MIN(C194+1,200)))-LN(INDEX(Dic2025!$K$6:$K$205,C194)))*(A194-6*C194)/6))</f>
        <v>0.422236964529405</v>
      </c>
      <c r="H194" s="12" t="n">
        <f aca="false">G194^(-1/B194)-1</f>
        <v>0.0559639184231013</v>
      </c>
      <c r="I194" s="12" t="n">
        <f aca="false">(1+H194)^(1/12)-1</f>
        <v>0.00454814627512401</v>
      </c>
      <c r="J194" s="16" t="n">
        <f aca="false">IF(C194=0,(1+Dic2025!$M$6)^(-B194),EXP(LN(INDEX(Dic2025!$N$6:$N$205,C194))+(LN(INDEX(Dic2025!$N$6:$N$205,MIN(C194+1,200)))-LN(INDEX(Dic2025!$N$6:$N$205,C194)))*(A194-6*C194)/6))</f>
        <v>0.422236964529405</v>
      </c>
      <c r="K194" s="12" t="n">
        <f aca="false">J194^(-1/B194)-1</f>
        <v>0.0559639184231013</v>
      </c>
      <c r="L194" s="12" t="n">
        <f aca="false">(1+K194)^(1/12)-1</f>
        <v>0.00454814627512401</v>
      </c>
    </row>
    <row r="195" customFormat="false" ht="15" hidden="false" customHeight="false" outlineLevel="0" collapsed="false">
      <c r="A195" s="4" t="n">
        <v>191</v>
      </c>
      <c r="B195" s="14" t="n">
        <f aca="false">A195/12</f>
        <v>15.9166666666667</v>
      </c>
      <c r="C195" s="15" t="n">
        <f aca="false">INT(A195/6)</f>
        <v>31</v>
      </c>
      <c r="D195" s="16" t="n">
        <f aca="false">IF(C195=0,(1+Dic2025!$G$6)^(-B195),EXP(LN(INDEX(Dic2025!$H$6:$H$205,C195))+(LN(INDEX(Dic2025!$H$6:$H$205,MIN(C195+1,200)))-LN(INDEX(Dic2025!$H$6:$H$205,C195)))*(A195-6*C195)/6))</f>
        <v>0.420005038323032</v>
      </c>
      <c r="E195" s="12" t="n">
        <f aca="false">D195^(-1/B195)-1</f>
        <v>0.0560144826250009</v>
      </c>
      <c r="F195" s="12" t="n">
        <f aca="false">(1+E195)^(1/12)-1</f>
        <v>0.00455215470284687</v>
      </c>
      <c r="G195" s="16" t="n">
        <f aca="false">IF(C195=0,(1+Dic2025!$J$6)^(-B195),EXP(LN(INDEX(Dic2025!$K$6:$K$205,C195))+(LN(INDEX(Dic2025!$K$6:$K$205,MIN(C195+1,200)))-LN(INDEX(Dic2025!$K$6:$K$205,C195)))*(A195-6*C195)/6))</f>
        <v>0.420005038323032</v>
      </c>
      <c r="H195" s="12" t="n">
        <f aca="false">G195^(-1/B195)-1</f>
        <v>0.0560144826250009</v>
      </c>
      <c r="I195" s="12" t="n">
        <f aca="false">(1+H195)^(1/12)-1</f>
        <v>0.00455215470284687</v>
      </c>
      <c r="J195" s="16" t="n">
        <f aca="false">IF(C195=0,(1+Dic2025!$M$6)^(-B195),EXP(LN(INDEX(Dic2025!$N$6:$N$205,C195))+(LN(INDEX(Dic2025!$N$6:$N$205,MIN(C195+1,200)))-LN(INDEX(Dic2025!$N$6:$N$205,C195)))*(A195-6*C195)/6))</f>
        <v>0.420005038323032</v>
      </c>
      <c r="K195" s="12" t="n">
        <f aca="false">J195^(-1/B195)-1</f>
        <v>0.0560144826250009</v>
      </c>
      <c r="L195" s="12" t="n">
        <f aca="false">(1+K195)^(1/12)-1</f>
        <v>0.00455215470284687</v>
      </c>
    </row>
    <row r="196" customFormat="false" ht="15" hidden="false" customHeight="false" outlineLevel="0" collapsed="false">
      <c r="A196" s="4" t="n">
        <v>192</v>
      </c>
      <c r="B196" s="14" t="n">
        <f aca="false">A196/12</f>
        <v>16</v>
      </c>
      <c r="C196" s="15" t="n">
        <f aca="false">INT(A196/6)</f>
        <v>32</v>
      </c>
      <c r="D196" s="16" t="n">
        <f aca="false">IF(C196=0,(1+Dic2025!$G$6)^(-B196),EXP(LN(INDEX(Dic2025!$H$6:$H$205,C196))+(LN(INDEX(Dic2025!$H$6:$H$205,MIN(C196+1,200)))-LN(INDEX(Dic2025!$H$6:$H$205,C196)))*(A196-6*C196)/6))</f>
        <v>0.417784909981387</v>
      </c>
      <c r="E196" s="12" t="n">
        <f aca="false">D196^(-1/B196)-1</f>
        <v>0.0560645224999998</v>
      </c>
      <c r="F196" s="12" t="n">
        <f aca="false">(1+E196)^(1/12)-1</f>
        <v>0.00455612139186012</v>
      </c>
      <c r="G196" s="16" t="n">
        <f aca="false">IF(C196=0,(1+Dic2025!$J$6)^(-B196),EXP(LN(INDEX(Dic2025!$K$6:$K$205,C196))+(LN(INDEX(Dic2025!$K$6:$K$205,MIN(C196+1,200)))-LN(INDEX(Dic2025!$K$6:$K$205,C196)))*(A196-6*C196)/6))</f>
        <v>0.417784909981387</v>
      </c>
      <c r="H196" s="12" t="n">
        <f aca="false">G196^(-1/B196)-1</f>
        <v>0.0560645224999998</v>
      </c>
      <c r="I196" s="12" t="n">
        <f aca="false">(1+H196)^(1/12)-1</f>
        <v>0.00455612139186012</v>
      </c>
      <c r="J196" s="16" t="n">
        <f aca="false">IF(C196=0,(1+Dic2025!$M$6)^(-B196),EXP(LN(INDEX(Dic2025!$N$6:$N$205,C196))+(LN(INDEX(Dic2025!$N$6:$N$205,MIN(C196+1,200)))-LN(INDEX(Dic2025!$N$6:$N$205,C196)))*(A196-6*C196)/6))</f>
        <v>0.417784909981387</v>
      </c>
      <c r="K196" s="12" t="n">
        <f aca="false">J196^(-1/B196)-1</f>
        <v>0.0560645224999998</v>
      </c>
      <c r="L196" s="12" t="n">
        <f aca="false">(1+K196)^(1/12)-1</f>
        <v>0.00455612139186012</v>
      </c>
    </row>
    <row r="197" customFormat="false" ht="15" hidden="false" customHeight="false" outlineLevel="0" collapsed="false">
      <c r="A197" s="4" t="n">
        <v>193</v>
      </c>
      <c r="B197" s="14" t="n">
        <f aca="false">A197/12</f>
        <v>16.0833333333333</v>
      </c>
      <c r="C197" s="15" t="n">
        <f aca="false">INT(A197/6)</f>
        <v>32</v>
      </c>
      <c r="D197" s="16" t="n">
        <f aca="false">IF(C197=0,(1+Dic2025!$G$6)^(-B197),EXP(LN(INDEX(Dic2025!$H$6:$H$205,C197))+(LN(INDEX(Dic2025!$H$6:$H$205,MIN(C197+1,200)))-LN(INDEX(Dic2025!$H$6:$H$205,C197)))*(A197-6*C197)/6))</f>
        <v>0.415445175683504</v>
      </c>
      <c r="E197" s="12" t="n">
        <f aca="false">D197^(-1/B197)-1</f>
        <v>0.0561348028704267</v>
      </c>
      <c r="F197" s="12" t="n">
        <f aca="false">(1+E197)^(1/12)-1</f>
        <v>0.00456169226540926</v>
      </c>
      <c r="G197" s="16" t="n">
        <f aca="false">IF(C197=0,(1+Dic2025!$J$6)^(-B197),EXP(LN(INDEX(Dic2025!$K$6:$K$205,C197))+(LN(INDEX(Dic2025!$K$6:$K$205,MIN(C197+1,200)))-LN(INDEX(Dic2025!$K$6:$K$205,C197)))*(A197-6*C197)/6))</f>
        <v>0.415445175683504</v>
      </c>
      <c r="H197" s="12" t="n">
        <f aca="false">G197^(-1/B197)-1</f>
        <v>0.0561348028704267</v>
      </c>
      <c r="I197" s="12" t="n">
        <f aca="false">(1+H197)^(1/12)-1</f>
        <v>0.00456169226540926</v>
      </c>
      <c r="J197" s="16" t="n">
        <f aca="false">IF(C197=0,(1+Dic2025!$M$6)^(-B197),EXP(LN(INDEX(Dic2025!$N$6:$N$205,C197))+(LN(INDEX(Dic2025!$N$6:$N$205,MIN(C197+1,200)))-LN(INDEX(Dic2025!$N$6:$N$205,C197)))*(A197-6*C197)/6))</f>
        <v>0.415445175683504</v>
      </c>
      <c r="K197" s="12" t="n">
        <f aca="false">J197^(-1/B197)-1</f>
        <v>0.0561348028704267</v>
      </c>
      <c r="L197" s="12" t="n">
        <f aca="false">(1+K197)^(1/12)-1</f>
        <v>0.00456169226540926</v>
      </c>
    </row>
    <row r="198" customFormat="false" ht="15" hidden="false" customHeight="false" outlineLevel="0" collapsed="false">
      <c r="A198" s="4" t="n">
        <v>194</v>
      </c>
      <c r="B198" s="14" t="n">
        <f aca="false">A198/12</f>
        <v>16.1666666666667</v>
      </c>
      <c r="C198" s="15" t="n">
        <f aca="false">INT(A198/6)</f>
        <v>32</v>
      </c>
      <c r="D198" s="16" t="n">
        <f aca="false">IF(C198=0,(1+Dic2025!$G$6)^(-B198),EXP(LN(INDEX(Dic2025!$H$6:$H$205,C198))+(LN(INDEX(Dic2025!$H$6:$H$205,MIN(C198+1,200)))-LN(INDEX(Dic2025!$H$6:$H$205,C198)))*(A198-6*C198)/6))</f>
        <v>0.413118544675028</v>
      </c>
      <c r="E198" s="12" t="n">
        <f aca="false">D198^(-1/B198)-1</f>
        <v>0.0562043633059837</v>
      </c>
      <c r="F198" s="12" t="n">
        <f aca="false">(1+E198)^(1/12)-1</f>
        <v>0.00456720573768998</v>
      </c>
      <c r="G198" s="16" t="n">
        <f aca="false">IF(C198=0,(1+Dic2025!$J$6)^(-B198),EXP(LN(INDEX(Dic2025!$K$6:$K$205,C198))+(LN(INDEX(Dic2025!$K$6:$K$205,MIN(C198+1,200)))-LN(INDEX(Dic2025!$K$6:$K$205,C198)))*(A198-6*C198)/6))</f>
        <v>0.413118544675028</v>
      </c>
      <c r="H198" s="12" t="n">
        <f aca="false">G198^(-1/B198)-1</f>
        <v>0.0562043633059837</v>
      </c>
      <c r="I198" s="12" t="n">
        <f aca="false">(1+H198)^(1/12)-1</f>
        <v>0.00456720573768998</v>
      </c>
      <c r="J198" s="16" t="n">
        <f aca="false">IF(C198=0,(1+Dic2025!$M$6)^(-B198),EXP(LN(INDEX(Dic2025!$N$6:$N$205,C198))+(LN(INDEX(Dic2025!$N$6:$N$205,MIN(C198+1,200)))-LN(INDEX(Dic2025!$N$6:$N$205,C198)))*(A198-6*C198)/6))</f>
        <v>0.413118544675028</v>
      </c>
      <c r="K198" s="12" t="n">
        <f aca="false">J198^(-1/B198)-1</f>
        <v>0.0562043633059837</v>
      </c>
      <c r="L198" s="12" t="n">
        <f aca="false">(1+K198)^(1/12)-1</f>
        <v>0.00456720573768998</v>
      </c>
    </row>
    <row r="199" customFormat="false" ht="15" hidden="false" customHeight="false" outlineLevel="0" collapsed="false">
      <c r="A199" s="4" t="n">
        <v>195</v>
      </c>
      <c r="B199" s="14" t="n">
        <f aca="false">A199/12</f>
        <v>16.25</v>
      </c>
      <c r="C199" s="15" t="n">
        <f aca="false">INT(A199/6)</f>
        <v>32</v>
      </c>
      <c r="D199" s="16" t="n">
        <f aca="false">IF(C199=0,(1+Dic2025!$G$6)^(-B199),EXP(LN(INDEX(Dic2025!$H$6:$H$205,C199))+(LN(INDEX(Dic2025!$H$6:$H$205,MIN(C199+1,200)))-LN(INDEX(Dic2025!$H$6:$H$205,C199)))*(A199-6*C199)/6))</f>
        <v>0.410804943573182</v>
      </c>
      <c r="E199" s="12" t="n">
        <f aca="false">D199^(-1/B199)-1</f>
        <v>0.0562732148124059</v>
      </c>
      <c r="F199" s="12" t="n">
        <f aca="false">(1+E199)^(1/12)-1</f>
        <v>0.00457266269133361</v>
      </c>
      <c r="G199" s="16" t="n">
        <f aca="false">IF(C199=0,(1+Dic2025!$J$6)^(-B199),EXP(LN(INDEX(Dic2025!$K$6:$K$205,C199))+(LN(INDEX(Dic2025!$K$6:$K$205,MIN(C199+1,200)))-LN(INDEX(Dic2025!$K$6:$K$205,C199)))*(A199-6*C199)/6))</f>
        <v>0.410804943573182</v>
      </c>
      <c r="H199" s="12" t="n">
        <f aca="false">G199^(-1/B199)-1</f>
        <v>0.0562732148124059</v>
      </c>
      <c r="I199" s="12" t="n">
        <f aca="false">(1+H199)^(1/12)-1</f>
        <v>0.00457266269133361</v>
      </c>
      <c r="J199" s="16" t="n">
        <f aca="false">IF(C199=0,(1+Dic2025!$M$6)^(-B199),EXP(LN(INDEX(Dic2025!$N$6:$N$205,C199))+(LN(INDEX(Dic2025!$N$6:$N$205,MIN(C199+1,200)))-LN(INDEX(Dic2025!$N$6:$N$205,C199)))*(A199-6*C199)/6))</f>
        <v>0.410804943573182</v>
      </c>
      <c r="K199" s="12" t="n">
        <f aca="false">J199^(-1/B199)-1</f>
        <v>0.0562732148124059</v>
      </c>
      <c r="L199" s="12" t="n">
        <f aca="false">(1+K199)^(1/12)-1</f>
        <v>0.00457266269133361</v>
      </c>
    </row>
    <row r="200" customFormat="false" ht="15" hidden="false" customHeight="false" outlineLevel="0" collapsed="false">
      <c r="A200" s="4" t="n">
        <v>196</v>
      </c>
      <c r="B200" s="14" t="n">
        <f aca="false">A200/12</f>
        <v>16.3333333333333</v>
      </c>
      <c r="C200" s="15" t="n">
        <f aca="false">INT(A200/6)</f>
        <v>32</v>
      </c>
      <c r="D200" s="16" t="n">
        <f aca="false">IF(C200=0,(1+Dic2025!$G$6)^(-B200),EXP(LN(INDEX(Dic2025!$H$6:$H$205,C200))+(LN(INDEX(Dic2025!$H$6:$H$205,MIN(C200+1,200)))-LN(INDEX(Dic2025!$H$6:$H$205,C200)))*(A200-6*C200)/6))</f>
        <v>0.408504299406162</v>
      </c>
      <c r="E200" s="12" t="n">
        <f aca="false">D200^(-1/B200)-1</f>
        <v>0.0563413681722402</v>
      </c>
      <c r="F200" s="12" t="n">
        <f aca="false">(1+E200)^(1/12)-1</f>
        <v>0.00457806399096761</v>
      </c>
      <c r="G200" s="16" t="n">
        <f aca="false">IF(C200=0,(1+Dic2025!$J$6)^(-B200),EXP(LN(INDEX(Dic2025!$K$6:$K$205,C200))+(LN(INDEX(Dic2025!$K$6:$K$205,MIN(C200+1,200)))-LN(INDEX(Dic2025!$K$6:$K$205,C200)))*(A200-6*C200)/6))</f>
        <v>0.408504299406162</v>
      </c>
      <c r="H200" s="12" t="n">
        <f aca="false">G200^(-1/B200)-1</f>
        <v>0.0563413681722402</v>
      </c>
      <c r="I200" s="12" t="n">
        <f aca="false">(1+H200)^(1/12)-1</f>
        <v>0.00457806399096761</v>
      </c>
      <c r="J200" s="16" t="n">
        <f aca="false">IF(C200=0,(1+Dic2025!$M$6)^(-B200),EXP(LN(INDEX(Dic2025!$N$6:$N$205,C200))+(LN(INDEX(Dic2025!$N$6:$N$205,MIN(C200+1,200)))-LN(INDEX(Dic2025!$N$6:$N$205,C200)))*(A200-6*C200)/6))</f>
        <v>0.408504299406162</v>
      </c>
      <c r="K200" s="12" t="n">
        <f aca="false">J200^(-1/B200)-1</f>
        <v>0.0563413681722402</v>
      </c>
      <c r="L200" s="12" t="n">
        <f aca="false">(1+K200)^(1/12)-1</f>
        <v>0.00457806399096761</v>
      </c>
    </row>
    <row r="201" customFormat="false" ht="15" hidden="false" customHeight="false" outlineLevel="0" collapsed="false">
      <c r="A201" s="4" t="n">
        <v>197</v>
      </c>
      <c r="B201" s="14" t="n">
        <f aca="false">A201/12</f>
        <v>16.4166666666667</v>
      </c>
      <c r="C201" s="15" t="n">
        <f aca="false">INT(A201/6)</f>
        <v>32</v>
      </c>
      <c r="D201" s="16" t="n">
        <f aca="false">IF(C201=0,(1+Dic2025!$G$6)^(-B201),EXP(LN(INDEX(Dic2025!$H$6:$H$205,C201))+(LN(INDEX(Dic2025!$H$6:$H$205,MIN(C201+1,200)))-LN(INDEX(Dic2025!$H$6:$H$205,C201)))*(A201-6*C201)/6))</f>
        <v>0.406216539610827</v>
      </c>
      <c r="E201" s="12" t="n">
        <f aca="false">D201^(-1/B201)-1</f>
        <v>0.0564088339504754</v>
      </c>
      <c r="F201" s="12" t="n">
        <f aca="false">(1+E201)^(1/12)-1</f>
        <v>0.00458341048367261</v>
      </c>
      <c r="G201" s="16" t="n">
        <f aca="false">IF(C201=0,(1+Dic2025!$J$6)^(-B201),EXP(LN(INDEX(Dic2025!$K$6:$K$205,C201))+(LN(INDEX(Dic2025!$K$6:$K$205,MIN(C201+1,200)))-LN(INDEX(Dic2025!$K$6:$K$205,C201)))*(A201-6*C201)/6))</f>
        <v>0.406216539610827</v>
      </c>
      <c r="H201" s="12" t="n">
        <f aca="false">G201^(-1/B201)-1</f>
        <v>0.0564088339504754</v>
      </c>
      <c r="I201" s="12" t="n">
        <f aca="false">(1+H201)^(1/12)-1</f>
        <v>0.00458341048367261</v>
      </c>
      <c r="J201" s="16" t="n">
        <f aca="false">IF(C201=0,(1+Dic2025!$M$6)^(-B201),EXP(LN(INDEX(Dic2025!$N$6:$N$205,C201))+(LN(INDEX(Dic2025!$N$6:$N$205,MIN(C201+1,200)))-LN(INDEX(Dic2025!$N$6:$N$205,C201)))*(A201-6*C201)/6))</f>
        <v>0.406216539610827</v>
      </c>
      <c r="K201" s="12" t="n">
        <f aca="false">J201^(-1/B201)-1</f>
        <v>0.0564088339504754</v>
      </c>
      <c r="L201" s="12" t="n">
        <f aca="false">(1+K201)^(1/12)-1</f>
        <v>0.00458341048367261</v>
      </c>
    </row>
    <row r="202" customFormat="false" ht="15" hidden="false" customHeight="false" outlineLevel="0" collapsed="false">
      <c r="A202" s="4" t="n">
        <v>198</v>
      </c>
      <c r="B202" s="14" t="n">
        <f aca="false">A202/12</f>
        <v>16.5</v>
      </c>
      <c r="C202" s="15" t="n">
        <f aca="false">INT(A202/6)</f>
        <v>33</v>
      </c>
      <c r="D202" s="16" t="n">
        <f aca="false">IF(C202=0,(1+Dic2025!$G$6)^(-B202),EXP(LN(INDEX(Dic2025!$H$6:$H$205,C202))+(LN(INDEX(Dic2025!$H$6:$H$205,MIN(C202+1,200)))-LN(INDEX(Dic2025!$H$6:$H$205,C202)))*(A202-6*C202)/6))</f>
        <v>0.403941592030416</v>
      </c>
      <c r="E202" s="12" t="n">
        <f aca="false">D202^(-1/B202)-1</f>
        <v>0.0564756224999998</v>
      </c>
      <c r="F202" s="12" t="n">
        <f aca="false">(1+E202)^(1/12)-1</f>
        <v>0.00458870299942604</v>
      </c>
      <c r="G202" s="16" t="n">
        <f aca="false">IF(C202=0,(1+Dic2025!$J$6)^(-B202),EXP(LN(INDEX(Dic2025!$K$6:$K$205,C202))+(LN(INDEX(Dic2025!$K$6:$K$205,MIN(C202+1,200)))-LN(INDEX(Dic2025!$K$6:$K$205,C202)))*(A202-6*C202)/6))</f>
        <v>0.403941592030416</v>
      </c>
      <c r="H202" s="12" t="n">
        <f aca="false">G202^(-1/B202)-1</f>
        <v>0.0564756224999998</v>
      </c>
      <c r="I202" s="12" t="n">
        <f aca="false">(1+H202)^(1/12)-1</f>
        <v>0.00458870299942604</v>
      </c>
      <c r="J202" s="16" t="n">
        <f aca="false">IF(C202=0,(1+Dic2025!$M$6)^(-B202),EXP(LN(INDEX(Dic2025!$N$6:$N$205,C202))+(LN(INDEX(Dic2025!$N$6:$N$205,MIN(C202+1,200)))-LN(INDEX(Dic2025!$N$6:$N$205,C202)))*(A202-6*C202)/6))</f>
        <v>0.403941592030416</v>
      </c>
      <c r="K202" s="12" t="n">
        <f aca="false">J202^(-1/B202)-1</f>
        <v>0.0564756224999998</v>
      </c>
      <c r="L202" s="12" t="n">
        <f aca="false">(1+K202)^(1/12)-1</f>
        <v>0.00458870299942604</v>
      </c>
    </row>
    <row r="203" customFormat="false" ht="15" hidden="false" customHeight="false" outlineLevel="0" collapsed="false">
      <c r="A203" s="4" t="n">
        <v>199</v>
      </c>
      <c r="B203" s="14" t="n">
        <f aca="false">A203/12</f>
        <v>16.5833333333333</v>
      </c>
      <c r="C203" s="15" t="n">
        <f aca="false">INT(A203/6)</f>
        <v>33</v>
      </c>
      <c r="D203" s="16" t="n">
        <f aca="false">IF(C203=0,(1+Dic2025!$G$6)^(-B203),EXP(LN(INDEX(Dic2025!$H$6:$H$205,C203))+(LN(INDEX(Dic2025!$H$6:$H$205,MIN(C203+1,200)))-LN(INDEX(Dic2025!$H$6:$H$205,C203)))*(A203-6*C203)/6))</f>
        <v>0.401764131054236</v>
      </c>
      <c r="E203" s="12" t="n">
        <f aca="false">D203^(-1/B203)-1</f>
        <v>0.0565283037384303</v>
      </c>
      <c r="F203" s="12" t="n">
        <f aca="false">(1+E203)^(1/12)-1</f>
        <v>0.00459287739512071</v>
      </c>
      <c r="G203" s="16" t="n">
        <f aca="false">IF(C203=0,(1+Dic2025!$J$6)^(-B203),EXP(LN(INDEX(Dic2025!$K$6:$K$205,C203))+(LN(INDEX(Dic2025!$K$6:$K$205,MIN(C203+1,200)))-LN(INDEX(Dic2025!$K$6:$K$205,C203)))*(A203-6*C203)/6))</f>
        <v>0.401764131054236</v>
      </c>
      <c r="H203" s="12" t="n">
        <f aca="false">G203^(-1/B203)-1</f>
        <v>0.0565283037384303</v>
      </c>
      <c r="I203" s="12" t="n">
        <f aca="false">(1+H203)^(1/12)-1</f>
        <v>0.00459287739512071</v>
      </c>
      <c r="J203" s="16" t="n">
        <f aca="false">IF(C203=0,(1+Dic2025!$M$6)^(-B203),EXP(LN(INDEX(Dic2025!$N$6:$N$205,C203))+(LN(INDEX(Dic2025!$N$6:$N$205,MIN(C203+1,200)))-LN(INDEX(Dic2025!$N$6:$N$205,C203)))*(A203-6*C203)/6))</f>
        <v>0.401764131054236</v>
      </c>
      <c r="K203" s="12" t="n">
        <f aca="false">J203^(-1/B203)-1</f>
        <v>0.0565283037384303</v>
      </c>
      <c r="L203" s="12" t="n">
        <f aca="false">(1+K203)^(1/12)-1</f>
        <v>0.00459287739512071</v>
      </c>
    </row>
    <row r="204" customFormat="false" ht="15" hidden="false" customHeight="false" outlineLevel="0" collapsed="false">
      <c r="A204" s="4" t="n">
        <v>200</v>
      </c>
      <c r="B204" s="14" t="n">
        <f aca="false">A204/12</f>
        <v>16.6666666666667</v>
      </c>
      <c r="C204" s="15" t="n">
        <f aca="false">INT(A204/6)</f>
        <v>33</v>
      </c>
      <c r="D204" s="16" t="n">
        <f aca="false">IF(C204=0,(1+Dic2025!$G$6)^(-B204),EXP(LN(INDEX(Dic2025!$H$6:$H$205,C204))+(LN(INDEX(Dic2025!$H$6:$H$205,MIN(C204+1,200)))-LN(INDEX(Dic2025!$H$6:$H$205,C204)))*(A204-6*C204)/6))</f>
        <v>0.399598407755968</v>
      </c>
      <c r="E204" s="12" t="n">
        <f aca="false">D204^(-1/B204)-1</f>
        <v>0.056580460752157</v>
      </c>
      <c r="F204" s="12" t="n">
        <f aca="false">(1+E204)^(1/12)-1</f>
        <v>0.00459701006394497</v>
      </c>
      <c r="G204" s="16" t="n">
        <f aca="false">IF(C204=0,(1+Dic2025!$J$6)^(-B204),EXP(LN(INDEX(Dic2025!$K$6:$K$205,C204))+(LN(INDEX(Dic2025!$K$6:$K$205,MIN(C204+1,200)))-LN(INDEX(Dic2025!$K$6:$K$205,C204)))*(A204-6*C204)/6))</f>
        <v>0.399598407755968</v>
      </c>
      <c r="H204" s="12" t="n">
        <f aca="false">G204^(-1/B204)-1</f>
        <v>0.056580460752157</v>
      </c>
      <c r="I204" s="12" t="n">
        <f aca="false">(1+H204)^(1/12)-1</f>
        <v>0.00459701006394497</v>
      </c>
      <c r="J204" s="16" t="n">
        <f aca="false">IF(C204=0,(1+Dic2025!$M$6)^(-B204),EXP(LN(INDEX(Dic2025!$N$6:$N$205,C204))+(LN(INDEX(Dic2025!$N$6:$N$205,MIN(C204+1,200)))-LN(INDEX(Dic2025!$N$6:$N$205,C204)))*(A204-6*C204)/6))</f>
        <v>0.399598407755968</v>
      </c>
      <c r="K204" s="12" t="n">
        <f aca="false">J204^(-1/B204)-1</f>
        <v>0.056580460752157</v>
      </c>
      <c r="L204" s="12" t="n">
        <f aca="false">(1+K204)^(1/12)-1</f>
        <v>0.00459701006394497</v>
      </c>
    </row>
    <row r="205" customFormat="false" ht="15" hidden="false" customHeight="false" outlineLevel="0" collapsed="false">
      <c r="A205" s="4" t="n">
        <v>201</v>
      </c>
      <c r="B205" s="14" t="n">
        <f aca="false">A205/12</f>
        <v>16.75</v>
      </c>
      <c r="C205" s="15" t="n">
        <f aca="false">INT(A205/6)</f>
        <v>33</v>
      </c>
      <c r="D205" s="16" t="n">
        <f aca="false">IF(C205=0,(1+Dic2025!$G$6)^(-B205),EXP(LN(INDEX(Dic2025!$H$6:$H$205,C205))+(LN(INDEX(Dic2025!$H$6:$H$205,MIN(C205+1,200)))-LN(INDEX(Dic2025!$H$6:$H$205,C205)))*(A205-6*C205)/6))</f>
        <v>0.397444358863259</v>
      </c>
      <c r="E205" s="12" t="n">
        <f aca="false">D205^(-1/B205)-1</f>
        <v>0.0566321013271247</v>
      </c>
      <c r="F205" s="12" t="n">
        <f aca="false">(1+E205)^(1/12)-1</f>
        <v>0.00460110162843441</v>
      </c>
      <c r="G205" s="16" t="n">
        <f aca="false">IF(C205=0,(1+Dic2025!$J$6)^(-B205),EXP(LN(INDEX(Dic2025!$K$6:$K$205,C205))+(LN(INDEX(Dic2025!$K$6:$K$205,MIN(C205+1,200)))-LN(INDEX(Dic2025!$K$6:$K$205,C205)))*(A205-6*C205)/6))</f>
        <v>0.397444358863259</v>
      </c>
      <c r="H205" s="12" t="n">
        <f aca="false">G205^(-1/B205)-1</f>
        <v>0.0566321013271247</v>
      </c>
      <c r="I205" s="12" t="n">
        <f aca="false">(1+H205)^(1/12)-1</f>
        <v>0.00460110162843441</v>
      </c>
      <c r="J205" s="16" t="n">
        <f aca="false">IF(C205=0,(1+Dic2025!$M$6)^(-B205),EXP(LN(INDEX(Dic2025!$N$6:$N$205,C205))+(LN(INDEX(Dic2025!$N$6:$N$205,MIN(C205+1,200)))-LN(INDEX(Dic2025!$N$6:$N$205,C205)))*(A205-6*C205)/6))</f>
        <v>0.397444358863259</v>
      </c>
      <c r="K205" s="12" t="n">
        <f aca="false">J205^(-1/B205)-1</f>
        <v>0.0566321013271247</v>
      </c>
      <c r="L205" s="12" t="n">
        <f aca="false">(1+K205)^(1/12)-1</f>
        <v>0.00460110162843441</v>
      </c>
    </row>
    <row r="206" customFormat="false" ht="15" hidden="false" customHeight="false" outlineLevel="0" collapsed="false">
      <c r="A206" s="4" t="n">
        <v>202</v>
      </c>
      <c r="B206" s="14" t="n">
        <f aca="false">A206/12</f>
        <v>16.8333333333333</v>
      </c>
      <c r="C206" s="15" t="n">
        <f aca="false">INT(A206/6)</f>
        <v>33</v>
      </c>
      <c r="D206" s="16" t="n">
        <f aca="false">IF(C206=0,(1+Dic2025!$G$6)^(-B206),EXP(LN(INDEX(Dic2025!$H$6:$H$205,C206))+(LN(INDEX(Dic2025!$H$6:$H$205,MIN(C206+1,200)))-LN(INDEX(Dic2025!$H$6:$H$205,C206)))*(A206-6*C206)/6))</f>
        <v>0.395301921444825</v>
      </c>
      <c r="E206" s="12" t="n">
        <f aca="false">D206^(-1/B206)-1</f>
        <v>0.0566832330958531</v>
      </c>
      <c r="F206" s="12" t="n">
        <f aca="false">(1+E206)^(1/12)-1</f>
        <v>0.00460515269880202</v>
      </c>
      <c r="G206" s="16" t="n">
        <f aca="false">IF(C206=0,(1+Dic2025!$J$6)^(-B206),EXP(LN(INDEX(Dic2025!$K$6:$K$205,C206))+(LN(INDEX(Dic2025!$K$6:$K$205,MIN(C206+1,200)))-LN(INDEX(Dic2025!$K$6:$K$205,C206)))*(A206-6*C206)/6))</f>
        <v>0.395301921444825</v>
      </c>
      <c r="H206" s="12" t="n">
        <f aca="false">G206^(-1/B206)-1</f>
        <v>0.0566832330958531</v>
      </c>
      <c r="I206" s="12" t="n">
        <f aca="false">(1+H206)^(1/12)-1</f>
        <v>0.00460515269880202</v>
      </c>
      <c r="J206" s="16" t="n">
        <f aca="false">IF(C206=0,(1+Dic2025!$M$6)^(-B206),EXP(LN(INDEX(Dic2025!$N$6:$N$205,C206))+(LN(INDEX(Dic2025!$N$6:$N$205,MIN(C206+1,200)))-LN(INDEX(Dic2025!$N$6:$N$205,C206)))*(A206-6*C206)/6))</f>
        <v>0.395301921444825</v>
      </c>
      <c r="K206" s="12" t="n">
        <f aca="false">J206^(-1/B206)-1</f>
        <v>0.0566832330958531</v>
      </c>
      <c r="L206" s="12" t="n">
        <f aca="false">(1+K206)^(1/12)-1</f>
        <v>0.00460515269880202</v>
      </c>
    </row>
    <row r="207" customFormat="false" ht="15" hidden="false" customHeight="false" outlineLevel="0" collapsed="false">
      <c r="A207" s="4" t="n">
        <v>203</v>
      </c>
      <c r="B207" s="14" t="n">
        <f aca="false">A207/12</f>
        <v>16.9166666666667</v>
      </c>
      <c r="C207" s="15" t="n">
        <f aca="false">INT(A207/6)</f>
        <v>33</v>
      </c>
      <c r="D207" s="16" t="n">
        <f aca="false">IF(C207=0,(1+Dic2025!$G$6)^(-B207),EXP(LN(INDEX(Dic2025!$H$6:$H$205,C207))+(LN(INDEX(Dic2025!$H$6:$H$205,MIN(C207+1,200)))-LN(INDEX(Dic2025!$H$6:$H$205,C207)))*(A207-6*C207)/6))</f>
        <v>0.393171032908617</v>
      </c>
      <c r="E207" s="12" t="n">
        <f aca="false">D207^(-1/B207)-1</f>
        <v>0.0567338635411976</v>
      </c>
      <c r="F207" s="12" t="n">
        <f aca="false">(1+E207)^(1/12)-1</f>
        <v>0.00460916387324173</v>
      </c>
      <c r="G207" s="16" t="n">
        <f aca="false">IF(C207=0,(1+Dic2025!$J$6)^(-B207),EXP(LN(INDEX(Dic2025!$K$6:$K$205,C207))+(LN(INDEX(Dic2025!$K$6:$K$205,MIN(C207+1,200)))-LN(INDEX(Dic2025!$K$6:$K$205,C207)))*(A207-6*C207)/6))</f>
        <v>0.393171032908617</v>
      </c>
      <c r="H207" s="12" t="n">
        <f aca="false">G207^(-1/B207)-1</f>
        <v>0.0567338635411976</v>
      </c>
      <c r="I207" s="12" t="n">
        <f aca="false">(1+H207)^(1/12)-1</f>
        <v>0.00460916387324173</v>
      </c>
      <c r="J207" s="16" t="n">
        <f aca="false">IF(C207=0,(1+Dic2025!$M$6)^(-B207),EXP(LN(INDEX(Dic2025!$N$6:$N$205,C207))+(LN(INDEX(Dic2025!$N$6:$N$205,MIN(C207+1,200)))-LN(INDEX(Dic2025!$N$6:$N$205,C207)))*(A207-6*C207)/6))</f>
        <v>0.393171032908617</v>
      </c>
      <c r="K207" s="12" t="n">
        <f aca="false">J207^(-1/B207)-1</f>
        <v>0.0567338635411976</v>
      </c>
      <c r="L207" s="12" t="n">
        <f aca="false">(1+K207)^(1/12)-1</f>
        <v>0.00460916387324173</v>
      </c>
    </row>
    <row r="208" customFormat="false" ht="15" hidden="false" customHeight="false" outlineLevel="0" collapsed="false">
      <c r="A208" s="4" t="n">
        <v>204</v>
      </c>
      <c r="B208" s="14" t="n">
        <f aca="false">A208/12</f>
        <v>17</v>
      </c>
      <c r="C208" s="15" t="n">
        <f aca="false">INT(A208/6)</f>
        <v>34</v>
      </c>
      <c r="D208" s="16" t="n">
        <f aca="false">IF(C208=0,(1+Dic2025!$G$6)^(-B208),EXP(LN(INDEX(Dic2025!$H$6:$H$205,C208))+(LN(INDEX(Dic2025!$H$6:$H$205,MIN(C208+1,200)))-LN(INDEX(Dic2025!$H$6:$H$205,C208)))*(A208-6*C208)/6))</f>
        <v>0.39105163099999</v>
      </c>
      <c r="E208" s="12" t="n">
        <f aca="false">D208^(-1/B208)-1</f>
        <v>0.0567839999999999</v>
      </c>
      <c r="F208" s="12" t="n">
        <f aca="false">(1+E208)^(1/12)-1</f>
        <v>0.00461313573822264</v>
      </c>
      <c r="G208" s="16" t="n">
        <f aca="false">IF(C208=0,(1+Dic2025!$J$6)^(-B208),EXP(LN(INDEX(Dic2025!$K$6:$K$205,C208))+(LN(INDEX(Dic2025!$K$6:$K$205,MIN(C208+1,200)))-LN(INDEX(Dic2025!$K$6:$K$205,C208)))*(A208-6*C208)/6))</f>
        <v>0.39105163099999</v>
      </c>
      <c r="H208" s="12" t="n">
        <f aca="false">G208^(-1/B208)-1</f>
        <v>0.0567839999999999</v>
      </c>
      <c r="I208" s="12" t="n">
        <f aca="false">(1+H208)^(1/12)-1</f>
        <v>0.00461313573822264</v>
      </c>
      <c r="J208" s="16" t="n">
        <f aca="false">IF(C208=0,(1+Dic2025!$M$6)^(-B208),EXP(LN(INDEX(Dic2025!$N$6:$N$205,C208))+(LN(INDEX(Dic2025!$N$6:$N$205,MIN(C208+1,200)))-LN(INDEX(Dic2025!$N$6:$N$205,C208)))*(A208-6*C208)/6))</f>
        <v>0.39105163099999</v>
      </c>
      <c r="K208" s="12" t="n">
        <f aca="false">J208^(-1/B208)-1</f>
        <v>0.0567839999999999</v>
      </c>
      <c r="L208" s="12" t="n">
        <f aca="false">(1+K208)^(1/12)-1</f>
        <v>0.00461313573822264</v>
      </c>
    </row>
    <row r="209" customFormat="false" ht="15" hidden="false" customHeight="false" outlineLevel="0" collapsed="false">
      <c r="A209" s="4" t="n">
        <v>205</v>
      </c>
      <c r="B209" s="14" t="n">
        <f aca="false">A209/12</f>
        <v>17.0833333333333</v>
      </c>
      <c r="C209" s="15" t="n">
        <f aca="false">INT(A209/6)</f>
        <v>34</v>
      </c>
      <c r="D209" s="16" t="n">
        <f aca="false">IF(C209=0,(1+Dic2025!$G$6)^(-B209),EXP(LN(INDEX(Dic2025!$H$6:$H$205,C209))+(LN(INDEX(Dic2025!$H$6:$H$205,MIN(C209+1,200)))-LN(INDEX(Dic2025!$H$6:$H$205,C209)))*(A209-6*C209)/6))</f>
        <v>0.38892478369032</v>
      </c>
      <c r="E209" s="12" t="n">
        <f aca="false">D209^(-1/B209)-1</f>
        <v>0.0568366511289964</v>
      </c>
      <c r="F209" s="12" t="n">
        <f aca="false">(1+E209)^(1/12)-1</f>
        <v>0.00461730663218019</v>
      </c>
      <c r="G209" s="16" t="n">
        <f aca="false">IF(C209=0,(1+Dic2025!$J$6)^(-B209),EXP(LN(INDEX(Dic2025!$K$6:$K$205,C209))+(LN(INDEX(Dic2025!$K$6:$K$205,MIN(C209+1,200)))-LN(INDEX(Dic2025!$K$6:$K$205,C209)))*(A209-6*C209)/6))</f>
        <v>0.38892478369032</v>
      </c>
      <c r="H209" s="12" t="n">
        <f aca="false">G209^(-1/B209)-1</f>
        <v>0.0568366511289964</v>
      </c>
      <c r="I209" s="12" t="n">
        <f aca="false">(1+H209)^(1/12)-1</f>
        <v>0.00461730663218019</v>
      </c>
      <c r="J209" s="16" t="n">
        <f aca="false">IF(C209=0,(1+Dic2025!$M$6)^(-B209),EXP(LN(INDEX(Dic2025!$N$6:$N$205,C209))+(LN(INDEX(Dic2025!$N$6:$N$205,MIN(C209+1,200)))-LN(INDEX(Dic2025!$N$6:$N$205,C209)))*(A209-6*C209)/6))</f>
        <v>0.38892478369032</v>
      </c>
      <c r="K209" s="12" t="n">
        <f aca="false">J209^(-1/B209)-1</f>
        <v>0.0568366511289964</v>
      </c>
      <c r="L209" s="12" t="n">
        <f aca="false">(1+K209)^(1/12)-1</f>
        <v>0.00461730663218019</v>
      </c>
    </row>
    <row r="210" customFormat="false" ht="15" hidden="false" customHeight="false" outlineLevel="0" collapsed="false">
      <c r="A210" s="4" t="n">
        <v>206</v>
      </c>
      <c r="B210" s="14" t="n">
        <f aca="false">A210/12</f>
        <v>17.1666666666667</v>
      </c>
      <c r="C210" s="15" t="n">
        <f aca="false">INT(A210/6)</f>
        <v>34</v>
      </c>
      <c r="D210" s="16" t="n">
        <f aca="false">IF(C210=0,(1+Dic2025!$G$6)^(-B210),EXP(LN(INDEX(Dic2025!$H$6:$H$205,C210))+(LN(INDEX(Dic2025!$H$6:$H$205,MIN(C210+1,200)))-LN(INDEX(Dic2025!$H$6:$H$205,C210)))*(A210-6*C210)/6))</f>
        <v>0.386809503854404</v>
      </c>
      <c r="E210" s="12" t="n">
        <f aca="false">D210^(-1/B210)-1</f>
        <v>0.056888793667091</v>
      </c>
      <c r="F210" s="12" t="n">
        <f aca="false">(1+E210)^(1/12)-1</f>
        <v>0.00462143704908669</v>
      </c>
      <c r="G210" s="16" t="n">
        <f aca="false">IF(C210=0,(1+Dic2025!$J$6)^(-B210),EXP(LN(INDEX(Dic2025!$K$6:$K$205,C210))+(LN(INDEX(Dic2025!$K$6:$K$205,MIN(C210+1,200)))-LN(INDEX(Dic2025!$K$6:$K$205,C210)))*(A210-6*C210)/6))</f>
        <v>0.386809503854404</v>
      </c>
      <c r="H210" s="12" t="n">
        <f aca="false">G210^(-1/B210)-1</f>
        <v>0.056888793667091</v>
      </c>
      <c r="I210" s="12" t="n">
        <f aca="false">(1+H210)^(1/12)-1</f>
        <v>0.00462143704908669</v>
      </c>
      <c r="J210" s="16" t="n">
        <f aca="false">IF(C210=0,(1+Dic2025!$M$6)^(-B210),EXP(LN(INDEX(Dic2025!$N$6:$N$205,C210))+(LN(INDEX(Dic2025!$N$6:$N$205,MIN(C210+1,200)))-LN(INDEX(Dic2025!$N$6:$N$205,C210)))*(A210-6*C210)/6))</f>
        <v>0.386809503854404</v>
      </c>
      <c r="K210" s="12" t="n">
        <f aca="false">J210^(-1/B210)-1</f>
        <v>0.056888793667091</v>
      </c>
      <c r="L210" s="12" t="n">
        <f aca="false">(1+K210)^(1/12)-1</f>
        <v>0.00462143704908669</v>
      </c>
    </row>
    <row r="211" customFormat="false" ht="15" hidden="false" customHeight="false" outlineLevel="0" collapsed="false">
      <c r="A211" s="4" t="n">
        <v>207</v>
      </c>
      <c r="B211" s="14" t="n">
        <f aca="false">A211/12</f>
        <v>17.25</v>
      </c>
      <c r="C211" s="15" t="n">
        <f aca="false">INT(A211/6)</f>
        <v>34</v>
      </c>
      <c r="D211" s="16" t="n">
        <f aca="false">IF(C211=0,(1+Dic2025!$G$6)^(-B211),EXP(LN(INDEX(Dic2025!$H$6:$H$205,C211))+(LN(INDEX(Dic2025!$H$6:$H$205,MIN(C211+1,200)))-LN(INDEX(Dic2025!$H$6:$H$205,C211)))*(A211-6*C211)/6))</f>
        <v>0.384705728579195</v>
      </c>
      <c r="E211" s="12" t="n">
        <f aca="false">D211^(-1/B211)-1</f>
        <v>0.0569404349480072</v>
      </c>
      <c r="F211" s="12" t="n">
        <f aca="false">(1+E211)^(1/12)-1</f>
        <v>0.0046255275753202</v>
      </c>
      <c r="G211" s="16" t="n">
        <f aca="false">IF(C211=0,(1+Dic2025!$J$6)^(-B211),EXP(LN(INDEX(Dic2025!$K$6:$K$205,C211))+(LN(INDEX(Dic2025!$K$6:$K$205,MIN(C211+1,200)))-LN(INDEX(Dic2025!$K$6:$K$205,C211)))*(A211-6*C211)/6))</f>
        <v>0.384705728579195</v>
      </c>
      <c r="H211" s="12" t="n">
        <f aca="false">G211^(-1/B211)-1</f>
        <v>0.0569404349480072</v>
      </c>
      <c r="I211" s="12" t="n">
        <f aca="false">(1+H211)^(1/12)-1</f>
        <v>0.0046255275753202</v>
      </c>
      <c r="J211" s="16" t="n">
        <f aca="false">IF(C211=0,(1+Dic2025!$M$6)^(-B211),EXP(LN(INDEX(Dic2025!$N$6:$N$205,C211))+(LN(INDEX(Dic2025!$N$6:$N$205,MIN(C211+1,200)))-LN(INDEX(Dic2025!$N$6:$N$205,C211)))*(A211-6*C211)/6))</f>
        <v>0.384705728579195</v>
      </c>
      <c r="K211" s="12" t="n">
        <f aca="false">J211^(-1/B211)-1</f>
        <v>0.0569404349480072</v>
      </c>
      <c r="L211" s="12" t="n">
        <f aca="false">(1+K211)^(1/12)-1</f>
        <v>0.0046255275753202</v>
      </c>
    </row>
    <row r="212" customFormat="false" ht="15" hidden="false" customHeight="false" outlineLevel="0" collapsed="false">
      <c r="A212" s="4" t="n">
        <v>208</v>
      </c>
      <c r="B212" s="14" t="n">
        <f aca="false">A212/12</f>
        <v>17.3333333333333</v>
      </c>
      <c r="C212" s="15" t="n">
        <f aca="false">INT(A212/6)</f>
        <v>34</v>
      </c>
      <c r="D212" s="16" t="n">
        <f aca="false">IF(C212=0,(1+Dic2025!$G$6)^(-B212),EXP(LN(INDEX(Dic2025!$H$6:$H$205,C212))+(LN(INDEX(Dic2025!$H$6:$H$205,MIN(C212+1,200)))-LN(INDEX(Dic2025!$H$6:$H$205,C212)))*(A212-6*C212)/6))</f>
        <v>0.382613395293815</v>
      </c>
      <c r="E212" s="12" t="n">
        <f aca="false">D212^(-1/B212)-1</f>
        <v>0.0569915821651439</v>
      </c>
      <c r="F212" s="12" t="n">
        <f aca="false">(1+E212)^(1/12)-1</f>
        <v>0.00462957878598647</v>
      </c>
      <c r="G212" s="16" t="n">
        <f aca="false">IF(C212=0,(1+Dic2025!$J$6)^(-B212),EXP(LN(INDEX(Dic2025!$K$6:$K$205,C212))+(LN(INDEX(Dic2025!$K$6:$K$205,MIN(C212+1,200)))-LN(INDEX(Dic2025!$K$6:$K$205,C212)))*(A212-6*C212)/6))</f>
        <v>0.382613395293815</v>
      </c>
      <c r="H212" s="12" t="n">
        <f aca="false">G212^(-1/B212)-1</f>
        <v>0.0569915821651439</v>
      </c>
      <c r="I212" s="12" t="n">
        <f aca="false">(1+H212)^(1/12)-1</f>
        <v>0.00462957878598647</v>
      </c>
      <c r="J212" s="16" t="n">
        <f aca="false">IF(C212=0,(1+Dic2025!$M$6)^(-B212),EXP(LN(INDEX(Dic2025!$N$6:$N$205,C212))+(LN(INDEX(Dic2025!$N$6:$N$205,MIN(C212+1,200)))-LN(INDEX(Dic2025!$N$6:$N$205,C212)))*(A212-6*C212)/6))</f>
        <v>0.382613395293815</v>
      </c>
      <c r="K212" s="12" t="n">
        <f aca="false">J212^(-1/B212)-1</f>
        <v>0.0569915821651439</v>
      </c>
      <c r="L212" s="12" t="n">
        <f aca="false">(1+K212)^(1/12)-1</f>
        <v>0.00462957878598647</v>
      </c>
    </row>
    <row r="213" customFormat="false" ht="15" hidden="false" customHeight="false" outlineLevel="0" collapsed="false">
      <c r="A213" s="4" t="n">
        <v>209</v>
      </c>
      <c r="B213" s="14" t="n">
        <f aca="false">A213/12</f>
        <v>17.4166666666667</v>
      </c>
      <c r="C213" s="15" t="n">
        <f aca="false">INT(A213/6)</f>
        <v>34</v>
      </c>
      <c r="D213" s="16" t="n">
        <f aca="false">IF(C213=0,(1+Dic2025!$G$6)^(-B213),EXP(LN(INDEX(Dic2025!$H$6:$H$205,C213))+(LN(INDEX(Dic2025!$H$6:$H$205,MIN(C213+1,200)))-LN(INDEX(Dic2025!$H$6:$H$205,C213)))*(A213-6*C213)/6))</f>
        <v>0.380532441767694</v>
      </c>
      <c r="E213" s="12" t="n">
        <f aca="false">D213^(-1/B213)-1</f>
        <v>0.057042242374916</v>
      </c>
      <c r="F213" s="12" t="n">
        <f aca="false">(1+E213)^(1/12)-1</f>
        <v>0.00463359124518958</v>
      </c>
      <c r="G213" s="16" t="n">
        <f aca="false">IF(C213=0,(1+Dic2025!$J$6)^(-B213),EXP(LN(INDEX(Dic2025!$K$6:$K$205,C213))+(LN(INDEX(Dic2025!$K$6:$K$205,MIN(C213+1,200)))-LN(INDEX(Dic2025!$K$6:$K$205,C213)))*(A213-6*C213)/6))</f>
        <v>0.380532441767694</v>
      </c>
      <c r="H213" s="12" t="n">
        <f aca="false">G213^(-1/B213)-1</f>
        <v>0.057042242374916</v>
      </c>
      <c r="I213" s="12" t="n">
        <f aca="false">(1+H213)^(1/12)-1</f>
        <v>0.00463359124518958</v>
      </c>
      <c r="J213" s="16" t="n">
        <f aca="false">IF(C213=0,(1+Dic2025!$M$6)^(-B213),EXP(LN(INDEX(Dic2025!$N$6:$N$205,C213))+(LN(INDEX(Dic2025!$N$6:$N$205,MIN(C213+1,200)))-LN(INDEX(Dic2025!$N$6:$N$205,C213)))*(A213-6*C213)/6))</f>
        <v>0.380532441767694</v>
      </c>
      <c r="K213" s="12" t="n">
        <f aca="false">J213^(-1/B213)-1</f>
        <v>0.057042242374916</v>
      </c>
      <c r="L213" s="12" t="n">
        <f aca="false">(1+K213)^(1/12)-1</f>
        <v>0.00463359124518958</v>
      </c>
    </row>
    <row r="214" customFormat="false" ht="15" hidden="false" customHeight="false" outlineLevel="0" collapsed="false">
      <c r="A214" s="4" t="n">
        <v>210</v>
      </c>
      <c r="B214" s="14" t="n">
        <f aca="false">A214/12</f>
        <v>17.5</v>
      </c>
      <c r="C214" s="15" t="n">
        <f aca="false">INT(A214/6)</f>
        <v>35</v>
      </c>
      <c r="D214" s="16" t="n">
        <f aca="false">IF(C214=0,(1+Dic2025!$G$6)^(-B214),EXP(LN(INDEX(Dic2025!$H$6:$H$205,C214))+(LN(INDEX(Dic2025!$H$6:$H$205,MIN(C214+1,200)))-LN(INDEX(Dic2025!$H$6:$H$205,C214)))*(A214-6*C214)/6))</f>
        <v>0.378462806108724</v>
      </c>
      <c r="E214" s="12" t="n">
        <f aca="false">D214^(-1/B214)-1</f>
        <v>0.0570924224999998</v>
      </c>
      <c r="F214" s="12" t="n">
        <f aca="false">(1+E214)^(1/12)-1</f>
        <v>0.00463756550629291</v>
      </c>
      <c r="G214" s="16" t="n">
        <f aca="false">IF(C214=0,(1+Dic2025!$J$6)^(-B214),EXP(LN(INDEX(Dic2025!$K$6:$K$205,C214))+(LN(INDEX(Dic2025!$K$6:$K$205,MIN(C214+1,200)))-LN(INDEX(Dic2025!$K$6:$K$205,C214)))*(A214-6*C214)/6))</f>
        <v>0.378462806108724</v>
      </c>
      <c r="H214" s="12" t="n">
        <f aca="false">G214^(-1/B214)-1</f>
        <v>0.0570924224999998</v>
      </c>
      <c r="I214" s="12" t="n">
        <f aca="false">(1+H214)^(1/12)-1</f>
        <v>0.00463756550629291</v>
      </c>
      <c r="J214" s="16" t="n">
        <f aca="false">IF(C214=0,(1+Dic2025!$M$6)^(-B214),EXP(LN(INDEX(Dic2025!$N$6:$N$205,C214))+(LN(INDEX(Dic2025!$N$6:$N$205,MIN(C214+1,200)))-LN(INDEX(Dic2025!$N$6:$N$205,C214)))*(A214-6*C214)/6))</f>
        <v>0.378462806108724</v>
      </c>
      <c r="K214" s="12" t="n">
        <f aca="false">J214^(-1/B214)-1</f>
        <v>0.0570924224999998</v>
      </c>
      <c r="L214" s="12" t="n">
        <f aca="false">(1+K214)^(1/12)-1</f>
        <v>0.00463756550629291</v>
      </c>
    </row>
    <row r="215" customFormat="false" ht="15" hidden="false" customHeight="false" outlineLevel="0" collapsed="false">
      <c r="A215" s="4" t="n">
        <v>211</v>
      </c>
      <c r="B215" s="14" t="n">
        <f aca="false">A215/12</f>
        <v>17.5833333333333</v>
      </c>
      <c r="C215" s="15" t="n">
        <f aca="false">INT(A215/6)</f>
        <v>35</v>
      </c>
      <c r="D215" s="16" t="n">
        <f aca="false">IF(C215=0,(1+Dic2025!$G$6)^(-B215),EXP(LN(INDEX(Dic2025!$H$6:$H$205,C215))+(LN(INDEX(Dic2025!$H$6:$H$205,MIN(C215+1,200)))-LN(INDEX(Dic2025!$H$6:$H$205,C215)))*(A215-6*C215)/6))</f>
        <v>0.376386169001622</v>
      </c>
      <c r="E215" s="12" t="n">
        <f aca="false">D215^(-1/B215)-1</f>
        <v>0.0571450456584888</v>
      </c>
      <c r="F215" s="12" t="n">
        <f aca="false">(1+E215)^(1/12)-1</f>
        <v>0.004641733069642</v>
      </c>
      <c r="G215" s="16" t="n">
        <f aca="false">IF(C215=0,(1+Dic2025!$J$6)^(-B215),EXP(LN(INDEX(Dic2025!$K$6:$K$205,C215))+(LN(INDEX(Dic2025!$K$6:$K$205,MIN(C215+1,200)))-LN(INDEX(Dic2025!$K$6:$K$205,C215)))*(A215-6*C215)/6))</f>
        <v>0.376386169001622</v>
      </c>
      <c r="H215" s="12" t="n">
        <f aca="false">G215^(-1/B215)-1</f>
        <v>0.0571450456584888</v>
      </c>
      <c r="I215" s="12" t="n">
        <f aca="false">(1+H215)^(1/12)-1</f>
        <v>0.004641733069642</v>
      </c>
      <c r="J215" s="16" t="n">
        <f aca="false">IF(C215=0,(1+Dic2025!$M$6)^(-B215),EXP(LN(INDEX(Dic2025!$N$6:$N$205,C215))+(LN(INDEX(Dic2025!$N$6:$N$205,MIN(C215+1,200)))-LN(INDEX(Dic2025!$N$6:$N$205,C215)))*(A215-6*C215)/6))</f>
        <v>0.376386169001622</v>
      </c>
      <c r="K215" s="12" t="n">
        <f aca="false">J215^(-1/B215)-1</f>
        <v>0.0571450456584888</v>
      </c>
      <c r="L215" s="12" t="n">
        <f aca="false">(1+K215)^(1/12)-1</f>
        <v>0.004641733069642</v>
      </c>
    </row>
    <row r="216" customFormat="false" ht="15" hidden="false" customHeight="false" outlineLevel="0" collapsed="false">
      <c r="A216" s="4" t="n">
        <v>212</v>
      </c>
      <c r="B216" s="14" t="n">
        <f aca="false">A216/12</f>
        <v>17.6666666666667</v>
      </c>
      <c r="C216" s="15" t="n">
        <f aca="false">INT(A216/6)</f>
        <v>35</v>
      </c>
      <c r="D216" s="16" t="n">
        <f aca="false">IF(C216=0,(1+Dic2025!$G$6)^(-B216),EXP(LN(INDEX(Dic2025!$H$6:$H$205,C216))+(LN(INDEX(Dic2025!$H$6:$H$205,MIN(C216+1,200)))-LN(INDEX(Dic2025!$H$6:$H$205,C216)))*(A216-6*C216)/6))</f>
        <v>0.37432092646647</v>
      </c>
      <c r="E216" s="12" t="n">
        <f aca="false">D216^(-1/B216)-1</f>
        <v>0.0571971749547675</v>
      </c>
      <c r="F216" s="12" t="n">
        <f aca="false">(1+E216)^(1/12)-1</f>
        <v>0.00464586133339995</v>
      </c>
      <c r="G216" s="16" t="n">
        <f aca="false">IF(C216=0,(1+Dic2025!$J$6)^(-B216),EXP(LN(INDEX(Dic2025!$K$6:$K$205,C216))+(LN(INDEX(Dic2025!$K$6:$K$205,MIN(C216+1,200)))-LN(INDEX(Dic2025!$K$6:$K$205,C216)))*(A216-6*C216)/6))</f>
        <v>0.37432092646647</v>
      </c>
      <c r="H216" s="12" t="n">
        <f aca="false">G216^(-1/B216)-1</f>
        <v>0.0571971749547675</v>
      </c>
      <c r="I216" s="12" t="n">
        <f aca="false">(1+H216)^(1/12)-1</f>
        <v>0.00464586133339995</v>
      </c>
      <c r="J216" s="16" t="n">
        <f aca="false">IF(C216=0,(1+Dic2025!$M$6)^(-B216),EXP(LN(INDEX(Dic2025!$N$6:$N$205,C216))+(LN(INDEX(Dic2025!$N$6:$N$205,MIN(C216+1,200)))-LN(INDEX(Dic2025!$N$6:$N$205,C216)))*(A216-6*C216)/6))</f>
        <v>0.37432092646647</v>
      </c>
      <c r="K216" s="12" t="n">
        <f aca="false">J216^(-1/B216)-1</f>
        <v>0.0571971749547675</v>
      </c>
      <c r="L216" s="12" t="n">
        <f aca="false">(1+K216)^(1/12)-1</f>
        <v>0.00464586133339995</v>
      </c>
    </row>
    <row r="217" customFormat="false" ht="15" hidden="false" customHeight="false" outlineLevel="0" collapsed="false">
      <c r="A217" s="4" t="n">
        <v>213</v>
      </c>
      <c r="B217" s="14" t="n">
        <f aca="false">A217/12</f>
        <v>17.75</v>
      </c>
      <c r="C217" s="15" t="n">
        <f aca="false">INT(A217/6)</f>
        <v>35</v>
      </c>
      <c r="D217" s="16" t="n">
        <f aca="false">IF(C217=0,(1+Dic2025!$G$6)^(-B217),EXP(LN(INDEX(Dic2025!$H$6:$H$205,C217))+(LN(INDEX(Dic2025!$H$6:$H$205,MIN(C217+1,200)))-LN(INDEX(Dic2025!$H$6:$H$205,C217)))*(A217-6*C217)/6))</f>
        <v>0.3722670159809</v>
      </c>
      <c r="E217" s="12" t="n">
        <f aca="false">D217^(-1/B217)-1</f>
        <v>0.0572488173085619</v>
      </c>
      <c r="F217" s="12" t="n">
        <f aca="false">(1+E217)^(1/12)-1</f>
        <v>0.00464995085084374</v>
      </c>
      <c r="G217" s="16" t="n">
        <f aca="false">IF(C217=0,(1+Dic2025!$J$6)^(-B217),EXP(LN(INDEX(Dic2025!$K$6:$K$205,C217))+(LN(INDEX(Dic2025!$K$6:$K$205,MIN(C217+1,200)))-LN(INDEX(Dic2025!$K$6:$K$205,C217)))*(A217-6*C217)/6))</f>
        <v>0.3722670159809</v>
      </c>
      <c r="H217" s="12" t="n">
        <f aca="false">G217^(-1/B217)-1</f>
        <v>0.0572488173085619</v>
      </c>
      <c r="I217" s="12" t="n">
        <f aca="false">(1+H217)^(1/12)-1</f>
        <v>0.00464995085084374</v>
      </c>
      <c r="J217" s="16" t="n">
        <f aca="false">IF(C217=0,(1+Dic2025!$M$6)^(-B217),EXP(LN(INDEX(Dic2025!$N$6:$N$205,C217))+(LN(INDEX(Dic2025!$N$6:$N$205,MIN(C217+1,200)))-LN(INDEX(Dic2025!$N$6:$N$205,C217)))*(A217-6*C217)/6))</f>
        <v>0.3722670159809</v>
      </c>
      <c r="K217" s="12" t="n">
        <f aca="false">J217^(-1/B217)-1</f>
        <v>0.0572488173085619</v>
      </c>
      <c r="L217" s="12" t="n">
        <f aca="false">(1+K217)^(1/12)-1</f>
        <v>0.00464995085084374</v>
      </c>
    </row>
    <row r="218" customFormat="false" ht="15" hidden="false" customHeight="false" outlineLevel="0" collapsed="false">
      <c r="A218" s="4" t="n">
        <v>214</v>
      </c>
      <c r="B218" s="14" t="n">
        <f aca="false">A218/12</f>
        <v>17.8333333333333</v>
      </c>
      <c r="C218" s="15" t="n">
        <f aca="false">INT(A218/6)</f>
        <v>35</v>
      </c>
      <c r="D218" s="16" t="n">
        <f aca="false">IF(C218=0,(1+Dic2025!$G$6)^(-B218),EXP(LN(INDEX(Dic2025!$H$6:$H$205,C218))+(LN(INDEX(Dic2025!$H$6:$H$205,MIN(C218+1,200)))-LN(INDEX(Dic2025!$H$6:$H$205,C218)))*(A218-6*C218)/6))</f>
        <v>0.370224375365605</v>
      </c>
      <c r="E218" s="12" t="n">
        <f aca="false">D218^(-1/B218)-1</f>
        <v>0.0572999795109261</v>
      </c>
      <c r="F218" s="12" t="n">
        <f aca="false">(1+E218)^(1/12)-1</f>
        <v>0.00465400216491263</v>
      </c>
      <c r="G218" s="16" t="n">
        <f aca="false">IF(C218=0,(1+Dic2025!$J$6)^(-B218),EXP(LN(INDEX(Dic2025!$K$6:$K$205,C218))+(LN(INDEX(Dic2025!$K$6:$K$205,MIN(C218+1,200)))-LN(INDEX(Dic2025!$K$6:$K$205,C218)))*(A218-6*C218)/6))</f>
        <v>0.370224375365605</v>
      </c>
      <c r="H218" s="12" t="n">
        <f aca="false">G218^(-1/B218)-1</f>
        <v>0.0572999795109261</v>
      </c>
      <c r="I218" s="12" t="n">
        <f aca="false">(1+H218)^(1/12)-1</f>
        <v>0.00465400216491263</v>
      </c>
      <c r="J218" s="16" t="n">
        <f aca="false">IF(C218=0,(1+Dic2025!$M$6)^(-B218),EXP(LN(INDEX(Dic2025!$N$6:$N$205,C218))+(LN(INDEX(Dic2025!$N$6:$N$205,MIN(C218+1,200)))-LN(INDEX(Dic2025!$N$6:$N$205,C218)))*(A218-6*C218)/6))</f>
        <v>0.370224375365605</v>
      </c>
      <c r="K218" s="12" t="n">
        <f aca="false">J218^(-1/B218)-1</f>
        <v>0.0572999795109261</v>
      </c>
      <c r="L218" s="12" t="n">
        <f aca="false">(1+K218)^(1/12)-1</f>
        <v>0.00465400216491263</v>
      </c>
    </row>
    <row r="219" customFormat="false" ht="15" hidden="false" customHeight="false" outlineLevel="0" collapsed="false">
      <c r="A219" s="4" t="n">
        <v>215</v>
      </c>
      <c r="B219" s="14" t="n">
        <f aca="false">A219/12</f>
        <v>17.9166666666667</v>
      </c>
      <c r="C219" s="15" t="n">
        <f aca="false">INT(A219/6)</f>
        <v>35</v>
      </c>
      <c r="D219" s="16" t="n">
        <f aca="false">IF(C219=0,(1+Dic2025!$G$6)^(-B219),EXP(LN(INDEX(Dic2025!$H$6:$H$205,C219))+(LN(INDEX(Dic2025!$H$6:$H$205,MIN(C219+1,200)))-LN(INDEX(Dic2025!$H$6:$H$205,C219)))*(A219-6*C219)/6))</f>
        <v>0.36819294278246</v>
      </c>
      <c r="E219" s="12" t="n">
        <f aca="false">D219^(-1/B219)-1</f>
        <v>0.0573506682272191</v>
      </c>
      <c r="F219" s="12" t="n">
        <f aca="false">(1+E219)^(1/12)-1</f>
        <v>0.00465801580844882</v>
      </c>
      <c r="G219" s="16" t="n">
        <f aca="false">IF(C219=0,(1+Dic2025!$J$6)^(-B219),EXP(LN(INDEX(Dic2025!$K$6:$K$205,C219))+(LN(INDEX(Dic2025!$K$6:$K$205,MIN(C219+1,200)))-LN(INDEX(Dic2025!$K$6:$K$205,C219)))*(A219-6*C219)/6))</f>
        <v>0.36819294278246</v>
      </c>
      <c r="H219" s="12" t="n">
        <f aca="false">G219^(-1/B219)-1</f>
        <v>0.0573506682272191</v>
      </c>
      <c r="I219" s="12" t="n">
        <f aca="false">(1+H219)^(1/12)-1</f>
        <v>0.00465801580844882</v>
      </c>
      <c r="J219" s="16" t="n">
        <f aca="false">IF(C219=0,(1+Dic2025!$M$6)^(-B219),EXP(LN(INDEX(Dic2025!$N$6:$N$205,C219))+(LN(INDEX(Dic2025!$N$6:$N$205,MIN(C219+1,200)))-LN(INDEX(Dic2025!$N$6:$N$205,C219)))*(A219-6*C219)/6))</f>
        <v>0.36819294278246</v>
      </c>
      <c r="K219" s="12" t="n">
        <f aca="false">J219^(-1/B219)-1</f>
        <v>0.0573506682272191</v>
      </c>
      <c r="L219" s="12" t="n">
        <f aca="false">(1+K219)^(1/12)-1</f>
        <v>0.00465801580844882</v>
      </c>
    </row>
    <row r="220" customFormat="false" ht="15" hidden="false" customHeight="false" outlineLevel="0" collapsed="false">
      <c r="A220" s="4" t="n">
        <v>216</v>
      </c>
      <c r="B220" s="14" t="n">
        <f aca="false">A220/12</f>
        <v>18</v>
      </c>
      <c r="C220" s="15" t="n">
        <f aca="false">INT(A220/6)</f>
        <v>36</v>
      </c>
      <c r="D220" s="16" t="n">
        <f aca="false">IF(C220=0,(1+Dic2025!$G$6)^(-B220),EXP(LN(INDEX(Dic2025!$H$6:$H$205,C220))+(LN(INDEX(Dic2025!$H$6:$H$205,MIN(C220+1,200)))-LN(INDEX(Dic2025!$H$6:$H$205,C220)))*(A220-6*C220)/6))</f>
        <v>0.366172656732645</v>
      </c>
      <c r="E220" s="12" t="n">
        <f aca="false">D220^(-1/B220)-1</f>
        <v>0.05740089</v>
      </c>
      <c r="F220" s="12" t="n">
        <f aca="false">(1+E220)^(1/12)-1</f>
        <v>0.00466199230443154</v>
      </c>
      <c r="G220" s="16" t="n">
        <f aca="false">IF(C220=0,(1+Dic2025!$J$6)^(-B220),EXP(LN(INDEX(Dic2025!$K$6:$K$205,C220))+(LN(INDEX(Dic2025!$K$6:$K$205,MIN(C220+1,200)))-LN(INDEX(Dic2025!$K$6:$K$205,C220)))*(A220-6*C220)/6))</f>
        <v>0.366172656732645</v>
      </c>
      <c r="H220" s="12" t="n">
        <f aca="false">G220^(-1/B220)-1</f>
        <v>0.05740089</v>
      </c>
      <c r="I220" s="12" t="n">
        <f aca="false">(1+H220)^(1/12)-1</f>
        <v>0.00466199230443154</v>
      </c>
      <c r="J220" s="16" t="n">
        <f aca="false">IF(C220=0,(1+Dic2025!$M$6)^(-B220),EXP(LN(INDEX(Dic2025!$N$6:$N$205,C220))+(LN(INDEX(Dic2025!$N$6:$N$205,MIN(C220+1,200)))-LN(INDEX(Dic2025!$N$6:$N$205,C220)))*(A220-6*C220)/6))</f>
        <v>0.366172656732645</v>
      </c>
      <c r="K220" s="12" t="n">
        <f aca="false">J220^(-1/B220)-1</f>
        <v>0.05740089</v>
      </c>
      <c r="L220" s="12" t="n">
        <f aca="false">(1+K220)^(1/12)-1</f>
        <v>0.00466199230443154</v>
      </c>
    </row>
    <row r="221" customFormat="false" ht="15" hidden="false" customHeight="false" outlineLevel="0" collapsed="false">
      <c r="A221" s="4" t="n">
        <v>217</v>
      </c>
      <c r="B221" s="14" t="n">
        <f aca="false">A221/12</f>
        <v>18.0833333333333</v>
      </c>
      <c r="C221" s="15" t="n">
        <f aca="false">INT(A221/6)</f>
        <v>36</v>
      </c>
      <c r="D221" s="16" t="n">
        <f aca="false">IF(C221=0,(1+Dic2025!$G$6)^(-B221),EXP(LN(INDEX(Dic2025!$H$6:$H$205,C221))+(LN(INDEX(Dic2025!$H$6:$H$205,MIN(C221+1,200)))-LN(INDEX(Dic2025!$H$6:$H$205,C221)))*(A221-6*C221)/6))</f>
        <v>0.36414579591328</v>
      </c>
      <c r="E221" s="12" t="n">
        <f aca="false">D221^(-1/B221)-1</f>
        <v>0.0574534871494852</v>
      </c>
      <c r="F221" s="12" t="n">
        <f aca="false">(1+E221)^(1/12)-1</f>
        <v>0.00466615669411641</v>
      </c>
      <c r="G221" s="16" t="n">
        <f aca="false">IF(C221=0,(1+Dic2025!$J$6)^(-B221),EXP(LN(INDEX(Dic2025!$K$6:$K$205,C221))+(LN(INDEX(Dic2025!$K$6:$K$205,MIN(C221+1,200)))-LN(INDEX(Dic2025!$K$6:$K$205,C221)))*(A221-6*C221)/6))</f>
        <v>0.36414579591328</v>
      </c>
      <c r="H221" s="12" t="n">
        <f aca="false">G221^(-1/B221)-1</f>
        <v>0.0574534871494852</v>
      </c>
      <c r="I221" s="12" t="n">
        <f aca="false">(1+H221)^(1/12)-1</f>
        <v>0.00466615669411641</v>
      </c>
      <c r="J221" s="16" t="n">
        <f aca="false">IF(C221=0,(1+Dic2025!$M$6)^(-B221),EXP(LN(INDEX(Dic2025!$N$6:$N$205,C221))+(LN(INDEX(Dic2025!$N$6:$N$205,MIN(C221+1,200)))-LN(INDEX(Dic2025!$N$6:$N$205,C221)))*(A221-6*C221)/6))</f>
        <v>0.36414579591328</v>
      </c>
      <c r="K221" s="12" t="n">
        <f aca="false">J221^(-1/B221)-1</f>
        <v>0.0574534871494852</v>
      </c>
      <c r="L221" s="12" t="n">
        <f aca="false">(1+K221)^(1/12)-1</f>
        <v>0.00466615669411641</v>
      </c>
    </row>
    <row r="222" customFormat="false" ht="15" hidden="false" customHeight="false" outlineLevel="0" collapsed="false">
      <c r="A222" s="4" t="n">
        <v>218</v>
      </c>
      <c r="B222" s="14" t="n">
        <f aca="false">A222/12</f>
        <v>18.1666666666667</v>
      </c>
      <c r="C222" s="15" t="n">
        <f aca="false">INT(A222/6)</f>
        <v>36</v>
      </c>
      <c r="D222" s="16" t="n">
        <f aca="false">IF(C222=0,(1+Dic2025!$G$6)^(-B222),EXP(LN(INDEX(Dic2025!$H$6:$H$205,C222))+(LN(INDEX(Dic2025!$H$6:$H$205,MIN(C222+1,200)))-LN(INDEX(Dic2025!$H$6:$H$205,C222)))*(A222-6*C222)/6))</f>
        <v>0.362130154295309</v>
      </c>
      <c r="E222" s="12" t="n">
        <f aca="false">D222^(-1/B222)-1</f>
        <v>0.0575056043367035</v>
      </c>
      <c r="F222" s="12" t="n">
        <f aca="false">(1+E222)^(1/12)-1</f>
        <v>0.00467028289541616</v>
      </c>
      <c r="G222" s="16" t="n">
        <f aca="false">IF(C222=0,(1+Dic2025!$J$6)^(-B222),EXP(LN(INDEX(Dic2025!$K$6:$K$205,C222))+(LN(INDEX(Dic2025!$K$6:$K$205,MIN(C222+1,200)))-LN(INDEX(Dic2025!$K$6:$K$205,C222)))*(A222-6*C222)/6))</f>
        <v>0.362130154295309</v>
      </c>
      <c r="H222" s="12" t="n">
        <f aca="false">G222^(-1/B222)-1</f>
        <v>0.0575056043367035</v>
      </c>
      <c r="I222" s="12" t="n">
        <f aca="false">(1+H222)^(1/12)-1</f>
        <v>0.00467028289541616</v>
      </c>
      <c r="J222" s="16" t="n">
        <f aca="false">IF(C222=0,(1+Dic2025!$M$6)^(-B222),EXP(LN(INDEX(Dic2025!$N$6:$N$205,C222))+(LN(INDEX(Dic2025!$N$6:$N$205,MIN(C222+1,200)))-LN(INDEX(Dic2025!$N$6:$N$205,C222)))*(A222-6*C222)/6))</f>
        <v>0.362130154295309</v>
      </c>
      <c r="K222" s="12" t="n">
        <f aca="false">J222^(-1/B222)-1</f>
        <v>0.0575056043367035</v>
      </c>
      <c r="L222" s="12" t="n">
        <f aca="false">(1+K222)^(1/12)-1</f>
        <v>0.00467028289541616</v>
      </c>
    </row>
    <row r="223" customFormat="false" ht="15" hidden="false" customHeight="false" outlineLevel="0" collapsed="false">
      <c r="A223" s="4" t="n">
        <v>219</v>
      </c>
      <c r="B223" s="14" t="n">
        <f aca="false">A223/12</f>
        <v>18.25</v>
      </c>
      <c r="C223" s="15" t="n">
        <f aca="false">INT(A223/6)</f>
        <v>36</v>
      </c>
      <c r="D223" s="16" t="n">
        <f aca="false">IF(C223=0,(1+Dic2025!$G$6)^(-B223),EXP(LN(INDEX(Dic2025!$H$6:$H$205,C223))+(LN(INDEX(Dic2025!$H$6:$H$205,MIN(C223+1,200)))-LN(INDEX(Dic2025!$H$6:$H$205,C223)))*(A223-6*C223)/6))</f>
        <v>0.360125669777537</v>
      </c>
      <c r="E223" s="12" t="n">
        <f aca="false">D223^(-1/B223)-1</f>
        <v>0.0575572481014188</v>
      </c>
      <c r="F223" s="12" t="n">
        <f aca="false">(1+E223)^(1/12)-1</f>
        <v>0.0046743714312274</v>
      </c>
      <c r="G223" s="16" t="n">
        <f aca="false">IF(C223=0,(1+Dic2025!$J$6)^(-B223),EXP(LN(INDEX(Dic2025!$K$6:$K$205,C223))+(LN(INDEX(Dic2025!$K$6:$K$205,MIN(C223+1,200)))-LN(INDEX(Dic2025!$K$6:$K$205,C223)))*(A223-6*C223)/6))</f>
        <v>0.360125669777537</v>
      </c>
      <c r="H223" s="12" t="n">
        <f aca="false">G223^(-1/B223)-1</f>
        <v>0.0575572481014188</v>
      </c>
      <c r="I223" s="12" t="n">
        <f aca="false">(1+H223)^(1/12)-1</f>
        <v>0.0046743714312274</v>
      </c>
      <c r="J223" s="16" t="n">
        <f aca="false">IF(C223=0,(1+Dic2025!$M$6)^(-B223),EXP(LN(INDEX(Dic2025!$N$6:$N$205,C223))+(LN(INDEX(Dic2025!$N$6:$N$205,MIN(C223+1,200)))-LN(INDEX(Dic2025!$N$6:$N$205,C223)))*(A223-6*C223)/6))</f>
        <v>0.360125669777537</v>
      </c>
      <c r="K223" s="12" t="n">
        <f aca="false">J223^(-1/B223)-1</f>
        <v>0.0575572481014188</v>
      </c>
      <c r="L223" s="12" t="n">
        <f aca="false">(1+K223)^(1/12)-1</f>
        <v>0.0046743714312274</v>
      </c>
    </row>
    <row r="224" customFormat="false" ht="15" hidden="false" customHeight="false" outlineLevel="0" collapsed="false">
      <c r="A224" s="4" t="n">
        <v>220</v>
      </c>
      <c r="B224" s="14" t="n">
        <f aca="false">A224/12</f>
        <v>18.3333333333333</v>
      </c>
      <c r="C224" s="15" t="n">
        <f aca="false">INT(A224/6)</f>
        <v>36</v>
      </c>
      <c r="D224" s="16" t="n">
        <f aca="false">IF(C224=0,(1+Dic2025!$G$6)^(-B224),EXP(LN(INDEX(Dic2025!$H$6:$H$205,C224))+(LN(INDEX(Dic2025!$H$6:$H$205,MIN(C224+1,200)))-LN(INDEX(Dic2025!$H$6:$H$205,C224)))*(A224-6*C224)/6))</f>
        <v>0.358132280602516</v>
      </c>
      <c r="E224" s="12" t="n">
        <f aca="false">D224^(-1/B224)-1</f>
        <v>0.057608424865123</v>
      </c>
      <c r="F224" s="12" t="n">
        <f aca="false">(1+E224)^(1/12)-1</f>
        <v>0.00467842281494346</v>
      </c>
      <c r="G224" s="16" t="n">
        <f aca="false">IF(C224=0,(1+Dic2025!$J$6)^(-B224),EXP(LN(INDEX(Dic2025!$K$6:$K$205,C224))+(LN(INDEX(Dic2025!$K$6:$K$205,MIN(C224+1,200)))-LN(INDEX(Dic2025!$K$6:$K$205,C224)))*(A224-6*C224)/6))</f>
        <v>0.358132280602516</v>
      </c>
      <c r="H224" s="12" t="n">
        <f aca="false">G224^(-1/B224)-1</f>
        <v>0.057608424865123</v>
      </c>
      <c r="I224" s="12" t="n">
        <f aca="false">(1+H224)^(1/12)-1</f>
        <v>0.00467842281494346</v>
      </c>
      <c r="J224" s="16" t="n">
        <f aca="false">IF(C224=0,(1+Dic2025!$M$6)^(-B224),EXP(LN(INDEX(Dic2025!$N$6:$N$205,C224))+(LN(INDEX(Dic2025!$N$6:$N$205,MIN(C224+1,200)))-LN(INDEX(Dic2025!$N$6:$N$205,C224)))*(A224-6*C224)/6))</f>
        <v>0.358132280602516</v>
      </c>
      <c r="K224" s="12" t="n">
        <f aca="false">J224^(-1/B224)-1</f>
        <v>0.057608424865123</v>
      </c>
      <c r="L224" s="12" t="n">
        <f aca="false">(1+K224)^(1/12)-1</f>
        <v>0.00467842281494346</v>
      </c>
    </row>
    <row r="225" customFormat="false" ht="15" hidden="false" customHeight="false" outlineLevel="0" collapsed="false">
      <c r="A225" s="4" t="n">
        <v>221</v>
      </c>
      <c r="B225" s="14" t="n">
        <f aca="false">A225/12</f>
        <v>18.4166666666667</v>
      </c>
      <c r="C225" s="15" t="n">
        <f aca="false">INT(A225/6)</f>
        <v>36</v>
      </c>
      <c r="D225" s="16" t="n">
        <f aca="false">IF(C225=0,(1+Dic2025!$G$6)^(-B225),EXP(LN(INDEX(Dic2025!$H$6:$H$205,C225))+(LN(INDEX(Dic2025!$H$6:$H$205,MIN(C225+1,200)))-LN(INDEX(Dic2025!$H$6:$H$205,C225)))*(A225-6*C225)/6))</f>
        <v>0.356149925354638</v>
      </c>
      <c r="E225" s="12" t="n">
        <f aca="false">D225^(-1/B225)-1</f>
        <v>0.0576591409336968</v>
      </c>
      <c r="F225" s="12" t="n">
        <f aca="false">(1+E225)^(1/12)-1</f>
        <v>0.00468243755066955</v>
      </c>
      <c r="G225" s="16" t="n">
        <f aca="false">IF(C225=0,(1+Dic2025!$J$6)^(-B225),EXP(LN(INDEX(Dic2025!$K$6:$K$205,C225))+(LN(INDEX(Dic2025!$K$6:$K$205,MIN(C225+1,200)))-LN(INDEX(Dic2025!$K$6:$K$205,C225)))*(A225-6*C225)/6))</f>
        <v>0.356149925354638</v>
      </c>
      <c r="H225" s="12" t="n">
        <f aca="false">G225^(-1/B225)-1</f>
        <v>0.0576591409336968</v>
      </c>
      <c r="I225" s="12" t="n">
        <f aca="false">(1+H225)^(1/12)-1</f>
        <v>0.00468243755066955</v>
      </c>
      <c r="J225" s="16" t="n">
        <f aca="false">IF(C225=0,(1+Dic2025!$M$6)^(-B225),EXP(LN(INDEX(Dic2025!$N$6:$N$205,C225))+(LN(INDEX(Dic2025!$N$6:$N$205,MIN(C225+1,200)))-LN(INDEX(Dic2025!$N$6:$N$205,C225)))*(A225-6*C225)/6))</f>
        <v>0.356149925354638</v>
      </c>
      <c r="K225" s="12" t="n">
        <f aca="false">J225^(-1/B225)-1</f>
        <v>0.0576591409336968</v>
      </c>
      <c r="L225" s="12" t="n">
        <f aca="false">(1+K225)^(1/12)-1</f>
        <v>0.00468243755066955</v>
      </c>
    </row>
    <row r="226" customFormat="false" ht="15" hidden="false" customHeight="false" outlineLevel="0" collapsed="false">
      <c r="A226" s="4" t="n">
        <v>222</v>
      </c>
      <c r="B226" s="14" t="n">
        <f aca="false">A226/12</f>
        <v>18.5</v>
      </c>
      <c r="C226" s="15" t="n">
        <f aca="false">INT(A226/6)</f>
        <v>37</v>
      </c>
      <c r="D226" s="16" t="n">
        <f aca="false">IF(C226=0,(1+Dic2025!$G$6)^(-B226),EXP(LN(INDEX(Dic2025!$H$6:$H$205,C226))+(LN(INDEX(Dic2025!$H$6:$H$205,MIN(C226+1,200)))-LN(INDEX(Dic2025!$H$6:$H$205,C226)))*(A226-6*C226)/6))</f>
        <v>0.354178542958251</v>
      </c>
      <c r="E226" s="12" t="n">
        <f aca="false">D226^(-1/B226)-1</f>
        <v>0.0577094025000002</v>
      </c>
      <c r="F226" s="12" t="n">
        <f aca="false">(1+E226)^(1/12)-1</f>
        <v>0.00468641613343235</v>
      </c>
      <c r="G226" s="16" t="n">
        <f aca="false">IF(C226=0,(1+Dic2025!$J$6)^(-B226),EXP(LN(INDEX(Dic2025!$K$6:$K$205,C226))+(LN(INDEX(Dic2025!$K$6:$K$205,MIN(C226+1,200)))-LN(INDEX(Dic2025!$K$6:$K$205,C226)))*(A226-6*C226)/6))</f>
        <v>0.354178542958251</v>
      </c>
      <c r="H226" s="12" t="n">
        <f aca="false">G226^(-1/B226)-1</f>
        <v>0.0577094025000002</v>
      </c>
      <c r="I226" s="12" t="n">
        <f aca="false">(1+H226)^(1/12)-1</f>
        <v>0.00468641613343235</v>
      </c>
      <c r="J226" s="16" t="n">
        <f aca="false">IF(C226=0,(1+Dic2025!$M$6)^(-B226),EXP(LN(INDEX(Dic2025!$N$6:$N$205,C226))+(LN(INDEX(Dic2025!$N$6:$N$205,MIN(C226+1,200)))-LN(INDEX(Dic2025!$N$6:$N$205,C226)))*(A226-6*C226)/6))</f>
        <v>0.354178542958251</v>
      </c>
      <c r="K226" s="12" t="n">
        <f aca="false">J226^(-1/B226)-1</f>
        <v>0.0577094025000002</v>
      </c>
      <c r="L226" s="12" t="n">
        <f aca="false">(1+K226)^(1/12)-1</f>
        <v>0.00468641613343235</v>
      </c>
    </row>
    <row r="227" customFormat="false" ht="15" hidden="false" customHeight="false" outlineLevel="0" collapsed="false">
      <c r="A227" s="4" t="n">
        <v>223</v>
      </c>
      <c r="B227" s="14" t="n">
        <f aca="false">A227/12</f>
        <v>18.5833333333333</v>
      </c>
      <c r="C227" s="15" t="n">
        <f aca="false">INT(A227/6)</f>
        <v>37</v>
      </c>
      <c r="D227" s="16" t="n">
        <f aca="false">IF(C227=0,(1+Dic2025!$G$6)^(-B227),EXP(LN(INDEX(Dic2025!$H$6:$H$205,C227))+(LN(INDEX(Dic2025!$H$6:$H$205,MIN(C227+1,200)))-LN(INDEX(Dic2025!$H$6:$H$205,C227)))*(A227-6*C227)/6))</f>
        <v>0.352309444127696</v>
      </c>
      <c r="E227" s="12" t="n">
        <f aca="false">D227^(-1/B227)-1</f>
        <v>0.0577444516906738</v>
      </c>
      <c r="F227" s="12" t="n">
        <f aca="false">(1+E227)^(1/12)-1</f>
        <v>0.00468919043915395</v>
      </c>
      <c r="G227" s="16" t="n">
        <f aca="false">IF(C227=0,(1+Dic2025!$J$6)^(-B227),EXP(LN(INDEX(Dic2025!$K$6:$K$205,C227))+(LN(INDEX(Dic2025!$K$6:$K$205,MIN(C227+1,200)))-LN(INDEX(Dic2025!$K$6:$K$205,C227)))*(A227-6*C227)/6))</f>
        <v>0.352309444127696</v>
      </c>
      <c r="H227" s="12" t="n">
        <f aca="false">G227^(-1/B227)-1</f>
        <v>0.0577444516906738</v>
      </c>
      <c r="I227" s="12" t="n">
        <f aca="false">(1+H227)^(1/12)-1</f>
        <v>0.00468919043915395</v>
      </c>
      <c r="J227" s="16" t="n">
        <f aca="false">IF(C227=0,(1+Dic2025!$M$6)^(-B227),EXP(LN(INDEX(Dic2025!$N$6:$N$205,C227))+(LN(INDEX(Dic2025!$N$6:$N$205,MIN(C227+1,200)))-LN(INDEX(Dic2025!$N$6:$N$205,C227)))*(A227-6*C227)/6))</f>
        <v>0.352309444127696</v>
      </c>
      <c r="K227" s="12" t="n">
        <f aca="false">J227^(-1/B227)-1</f>
        <v>0.0577444516906738</v>
      </c>
      <c r="L227" s="12" t="n">
        <f aca="false">(1+K227)^(1/12)-1</f>
        <v>0.00468919043915395</v>
      </c>
    </row>
    <row r="228" customFormat="false" ht="15" hidden="false" customHeight="false" outlineLevel="0" collapsed="false">
      <c r="A228" s="4" t="n">
        <v>224</v>
      </c>
      <c r="B228" s="14" t="n">
        <f aca="false">A228/12</f>
        <v>18.6666666666667</v>
      </c>
      <c r="C228" s="15" t="n">
        <f aca="false">INT(A228/6)</f>
        <v>37</v>
      </c>
      <c r="D228" s="16" t="n">
        <f aca="false">IF(C228=0,(1+Dic2025!$G$6)^(-B228),EXP(LN(INDEX(Dic2025!$H$6:$H$205,C228))+(LN(INDEX(Dic2025!$H$6:$H$205,MIN(C228+1,200)))-LN(INDEX(Dic2025!$H$6:$H$205,C228)))*(A228-6*C228)/6))</f>
        <v>0.350450209052324</v>
      </c>
      <c r="E228" s="12" t="n">
        <f aca="false">D228^(-1/B228)-1</f>
        <v>0.0577791890880572</v>
      </c>
      <c r="F228" s="12" t="n">
        <f aca="false">(1+E228)^(1/12)-1</f>
        <v>0.00469193998184725</v>
      </c>
      <c r="G228" s="16" t="n">
        <f aca="false">IF(C228=0,(1+Dic2025!$J$6)^(-B228),EXP(LN(INDEX(Dic2025!$K$6:$K$205,C228))+(LN(INDEX(Dic2025!$K$6:$K$205,MIN(C228+1,200)))-LN(INDEX(Dic2025!$K$6:$K$205,C228)))*(A228-6*C228)/6))</f>
        <v>0.350450209052324</v>
      </c>
      <c r="H228" s="12" t="n">
        <f aca="false">G228^(-1/B228)-1</f>
        <v>0.0577791890880572</v>
      </c>
      <c r="I228" s="12" t="n">
        <f aca="false">(1+H228)^(1/12)-1</f>
        <v>0.00469193998184725</v>
      </c>
      <c r="J228" s="16" t="n">
        <f aca="false">IF(C228=0,(1+Dic2025!$M$6)^(-B228),EXP(LN(INDEX(Dic2025!$N$6:$N$205,C228))+(LN(INDEX(Dic2025!$N$6:$N$205,MIN(C228+1,200)))-LN(INDEX(Dic2025!$N$6:$N$205,C228)))*(A228-6*C228)/6))</f>
        <v>0.350450209052324</v>
      </c>
      <c r="K228" s="12" t="n">
        <f aca="false">J228^(-1/B228)-1</f>
        <v>0.0577791890880572</v>
      </c>
      <c r="L228" s="12" t="n">
        <f aca="false">(1+K228)^(1/12)-1</f>
        <v>0.00469193998184725</v>
      </c>
    </row>
    <row r="229" customFormat="false" ht="15" hidden="false" customHeight="false" outlineLevel="0" collapsed="false">
      <c r="A229" s="4" t="n">
        <v>225</v>
      </c>
      <c r="B229" s="14" t="n">
        <f aca="false">A229/12</f>
        <v>18.75</v>
      </c>
      <c r="C229" s="15" t="n">
        <f aca="false">INT(A229/6)</f>
        <v>37</v>
      </c>
      <c r="D229" s="16" t="n">
        <f aca="false">IF(C229=0,(1+Dic2025!$G$6)^(-B229),EXP(LN(INDEX(Dic2025!$H$6:$H$205,C229))+(LN(INDEX(Dic2025!$H$6:$H$205,MIN(C229+1,200)))-LN(INDEX(Dic2025!$H$6:$H$205,C229)))*(A229-6*C229)/6))</f>
        <v>0.348600785678349</v>
      </c>
      <c r="E229" s="12" t="n">
        <f aca="false">D229^(-1/B229)-1</f>
        <v>0.0578136188342202</v>
      </c>
      <c r="F229" s="12" t="n">
        <f aca="false">(1+E229)^(1/12)-1</f>
        <v>0.00469466509158578</v>
      </c>
      <c r="G229" s="16" t="n">
        <f aca="false">IF(C229=0,(1+Dic2025!$J$6)^(-B229),EXP(LN(INDEX(Dic2025!$K$6:$K$205,C229))+(LN(INDEX(Dic2025!$K$6:$K$205,MIN(C229+1,200)))-LN(INDEX(Dic2025!$K$6:$K$205,C229)))*(A229-6*C229)/6))</f>
        <v>0.348600785678349</v>
      </c>
      <c r="H229" s="12" t="n">
        <f aca="false">G229^(-1/B229)-1</f>
        <v>0.0578136188342202</v>
      </c>
      <c r="I229" s="12" t="n">
        <f aca="false">(1+H229)^(1/12)-1</f>
        <v>0.00469466509158578</v>
      </c>
      <c r="J229" s="16" t="n">
        <f aca="false">IF(C229=0,(1+Dic2025!$M$6)^(-B229),EXP(LN(INDEX(Dic2025!$N$6:$N$205,C229))+(LN(INDEX(Dic2025!$N$6:$N$205,MIN(C229+1,200)))-LN(INDEX(Dic2025!$N$6:$N$205,C229)))*(A229-6*C229)/6))</f>
        <v>0.348600785678349</v>
      </c>
      <c r="K229" s="12" t="n">
        <f aca="false">J229^(-1/B229)-1</f>
        <v>0.0578136188342202</v>
      </c>
      <c r="L229" s="12" t="n">
        <f aca="false">(1+K229)^(1/12)-1</f>
        <v>0.00469466509158578</v>
      </c>
    </row>
    <row r="230" customFormat="false" ht="15" hidden="false" customHeight="false" outlineLevel="0" collapsed="false">
      <c r="A230" s="4" t="n">
        <v>226</v>
      </c>
      <c r="B230" s="14" t="n">
        <f aca="false">A230/12</f>
        <v>18.8333333333333</v>
      </c>
      <c r="C230" s="15" t="n">
        <f aca="false">INT(A230/6)</f>
        <v>37</v>
      </c>
      <c r="D230" s="16" t="n">
        <f aca="false">IF(C230=0,(1+Dic2025!$G$6)^(-B230),EXP(LN(INDEX(Dic2025!$H$6:$H$205,C230))+(LN(INDEX(Dic2025!$H$6:$H$205,MIN(C230+1,200)))-LN(INDEX(Dic2025!$H$6:$H$205,C230)))*(A230-6*C230)/6))</f>
        <v>0.346761122226692</v>
      </c>
      <c r="E230" s="12" t="n">
        <f aca="false">D230^(-1/B230)-1</f>
        <v>0.0578477449981889</v>
      </c>
      <c r="F230" s="12" t="n">
        <f aca="false">(1+E230)^(1/12)-1</f>
        <v>0.00469736609260263</v>
      </c>
      <c r="G230" s="16" t="n">
        <f aca="false">IF(C230=0,(1+Dic2025!$J$6)^(-B230),EXP(LN(INDEX(Dic2025!$K$6:$K$205,C230))+(LN(INDEX(Dic2025!$K$6:$K$205,MIN(C230+1,200)))-LN(INDEX(Dic2025!$K$6:$K$205,C230)))*(A230-6*C230)/6))</f>
        <v>0.346761122226692</v>
      </c>
      <c r="H230" s="12" t="n">
        <f aca="false">G230^(-1/B230)-1</f>
        <v>0.0578477449981889</v>
      </c>
      <c r="I230" s="12" t="n">
        <f aca="false">(1+H230)^(1/12)-1</f>
        <v>0.00469736609260263</v>
      </c>
      <c r="J230" s="16" t="n">
        <f aca="false">IF(C230=0,(1+Dic2025!$M$6)^(-B230),EXP(LN(INDEX(Dic2025!$N$6:$N$205,C230))+(LN(INDEX(Dic2025!$N$6:$N$205,MIN(C230+1,200)))-LN(INDEX(Dic2025!$N$6:$N$205,C230)))*(A230-6*C230)/6))</f>
        <v>0.346761122226692</v>
      </c>
      <c r="K230" s="12" t="n">
        <f aca="false">J230^(-1/B230)-1</f>
        <v>0.0578477449981889</v>
      </c>
      <c r="L230" s="12" t="n">
        <f aca="false">(1+K230)^(1/12)-1</f>
        <v>0.00469736609260263</v>
      </c>
    </row>
    <row r="231" customFormat="false" ht="15" hidden="false" customHeight="false" outlineLevel="0" collapsed="false">
      <c r="A231" s="4" t="n">
        <v>227</v>
      </c>
      <c r="B231" s="14" t="n">
        <f aca="false">A231/12</f>
        <v>18.9166666666667</v>
      </c>
      <c r="C231" s="15" t="n">
        <f aca="false">INT(A231/6)</f>
        <v>37</v>
      </c>
      <c r="D231" s="16" t="n">
        <f aca="false">IF(C231=0,(1+Dic2025!$G$6)^(-B231),EXP(LN(INDEX(Dic2025!$H$6:$H$205,C231))+(LN(INDEX(Dic2025!$H$6:$H$205,MIN(C231+1,200)))-LN(INDEX(Dic2025!$H$6:$H$205,C231)))*(A231-6*C231)/6))</f>
        <v>0.344931167191522</v>
      </c>
      <c r="E231" s="12" t="n">
        <f aca="false">D231^(-1/B231)-1</f>
        <v>0.0578815715775474</v>
      </c>
      <c r="F231" s="12" t="n">
        <f aca="false">(1+E231)^(1/12)-1</f>
        <v>0.00470004330341922</v>
      </c>
      <c r="G231" s="16" t="n">
        <f aca="false">IF(C231=0,(1+Dic2025!$J$6)^(-B231),EXP(LN(INDEX(Dic2025!$K$6:$K$205,C231))+(LN(INDEX(Dic2025!$K$6:$K$205,MIN(C231+1,200)))-LN(INDEX(Dic2025!$K$6:$K$205,C231)))*(A231-6*C231)/6))</f>
        <v>0.344931167191522</v>
      </c>
      <c r="H231" s="12" t="n">
        <f aca="false">G231^(-1/B231)-1</f>
        <v>0.0578815715775474</v>
      </c>
      <c r="I231" s="12" t="n">
        <f aca="false">(1+H231)^(1/12)-1</f>
        <v>0.00470004330341922</v>
      </c>
      <c r="J231" s="16" t="n">
        <f aca="false">IF(C231=0,(1+Dic2025!$M$6)^(-B231),EXP(LN(INDEX(Dic2025!$N$6:$N$205,C231))+(LN(INDEX(Dic2025!$N$6:$N$205,MIN(C231+1,200)))-LN(INDEX(Dic2025!$N$6:$N$205,C231)))*(A231-6*C231)/6))</f>
        <v>0.344931167191522</v>
      </c>
      <c r="K231" s="12" t="n">
        <f aca="false">J231^(-1/B231)-1</f>
        <v>0.0578815715775474</v>
      </c>
      <c r="L231" s="12" t="n">
        <f aca="false">(1+K231)^(1/12)-1</f>
        <v>0.00470004330341922</v>
      </c>
    </row>
    <row r="232" customFormat="false" ht="15" hidden="false" customHeight="false" outlineLevel="0" collapsed="false">
      <c r="A232" s="4" t="n">
        <v>228</v>
      </c>
      <c r="B232" s="14" t="n">
        <f aca="false">A232/12</f>
        <v>19</v>
      </c>
      <c r="C232" s="15" t="n">
        <f aca="false">INT(A232/6)</f>
        <v>38</v>
      </c>
      <c r="D232" s="16" t="n">
        <f aca="false">IF(C232=0,(1+Dic2025!$G$6)^(-B232),EXP(LN(INDEX(Dic2025!$H$6:$H$205,C232))+(LN(INDEX(Dic2025!$H$6:$H$205,MIN(C232+1,200)))-LN(INDEX(Dic2025!$H$6:$H$205,C232)))*(A232-6*C232)/6))</f>
        <v>0.343110869338822</v>
      </c>
      <c r="E232" s="12" t="n">
        <f aca="false">D232^(-1/B232)-1</f>
        <v>0.0579151025000002</v>
      </c>
      <c r="F232" s="12" t="n">
        <f aca="false">(1+E232)^(1/12)-1</f>
        <v>0.00470269703697079</v>
      </c>
      <c r="G232" s="16" t="n">
        <f aca="false">IF(C232=0,(1+Dic2025!$J$6)^(-B232),EXP(LN(INDEX(Dic2025!$K$6:$K$205,C232))+(LN(INDEX(Dic2025!$K$6:$K$205,MIN(C232+1,200)))-LN(INDEX(Dic2025!$K$6:$K$205,C232)))*(A232-6*C232)/6))</f>
        <v>0.343110869338822</v>
      </c>
      <c r="H232" s="12" t="n">
        <f aca="false">G232^(-1/B232)-1</f>
        <v>0.0579151025000002</v>
      </c>
      <c r="I232" s="12" t="n">
        <f aca="false">(1+H232)^(1/12)-1</f>
        <v>0.00470269703697079</v>
      </c>
      <c r="J232" s="16" t="n">
        <f aca="false">IF(C232=0,(1+Dic2025!$M$6)^(-B232),EXP(LN(INDEX(Dic2025!$N$6:$N$205,C232))+(LN(INDEX(Dic2025!$N$6:$N$205,MIN(C232+1,200)))-LN(INDEX(Dic2025!$N$6:$N$205,C232)))*(A232-6*C232)/6))</f>
        <v>0.343110869338822</v>
      </c>
      <c r="K232" s="12" t="n">
        <f aca="false">J232^(-1/B232)-1</f>
        <v>0.0579151025000002</v>
      </c>
      <c r="L232" s="12" t="n">
        <f aca="false">(1+K232)^(1/12)-1</f>
        <v>0.00470269703697079</v>
      </c>
    </row>
    <row r="233" customFormat="false" ht="15" hidden="false" customHeight="false" outlineLevel="0" collapsed="false">
      <c r="A233" s="4" t="n">
        <v>229</v>
      </c>
      <c r="B233" s="14" t="n">
        <f aca="false">A233/12</f>
        <v>19.0833333333333</v>
      </c>
      <c r="C233" s="15" t="n">
        <f aca="false">INT(A233/6)</f>
        <v>38</v>
      </c>
      <c r="D233" s="16" t="n">
        <f aca="false">IF(C233=0,(1+Dic2025!$G$6)^(-B233),EXP(LN(INDEX(Dic2025!$H$6:$H$205,C233))+(LN(INDEX(Dic2025!$H$6:$H$205,MIN(C233+1,200)))-LN(INDEX(Dic2025!$H$6:$H$205,C233)))*(A233-6*C233)/6))</f>
        <v>0.341181327433528</v>
      </c>
      <c r="E233" s="12" t="n">
        <f aca="false">D233^(-1/B233)-1</f>
        <v>0.0579676503446864</v>
      </c>
      <c r="F233" s="12" t="n">
        <f aca="false">(1+E233)^(1/12)-1</f>
        <v>0.0047068556693024</v>
      </c>
      <c r="G233" s="16" t="n">
        <f aca="false">IF(C233=0,(1+Dic2025!$J$6)^(-B233),EXP(LN(INDEX(Dic2025!$K$6:$K$205,C233))+(LN(INDEX(Dic2025!$K$6:$K$205,MIN(C233+1,200)))-LN(INDEX(Dic2025!$K$6:$K$205,C233)))*(A233-6*C233)/6))</f>
        <v>0.341181327433528</v>
      </c>
      <c r="H233" s="12" t="n">
        <f aca="false">G233^(-1/B233)-1</f>
        <v>0.0579676503446864</v>
      </c>
      <c r="I233" s="12" t="n">
        <f aca="false">(1+H233)^(1/12)-1</f>
        <v>0.0047068556693024</v>
      </c>
      <c r="J233" s="16" t="n">
        <f aca="false">IF(C233=0,(1+Dic2025!$M$6)^(-B233),EXP(LN(INDEX(Dic2025!$N$6:$N$205,C233))+(LN(INDEX(Dic2025!$N$6:$N$205,MIN(C233+1,200)))-LN(INDEX(Dic2025!$N$6:$N$205,C233)))*(A233-6*C233)/6))</f>
        <v>0.341181327433528</v>
      </c>
      <c r="K233" s="12" t="n">
        <f aca="false">J233^(-1/B233)-1</f>
        <v>0.0579676503446864</v>
      </c>
      <c r="L233" s="12" t="n">
        <f aca="false">(1+K233)^(1/12)-1</f>
        <v>0.0047068556693024</v>
      </c>
    </row>
    <row r="234" customFormat="false" ht="15" hidden="false" customHeight="false" outlineLevel="0" collapsed="false">
      <c r="A234" s="4" t="n">
        <v>230</v>
      </c>
      <c r="B234" s="14" t="n">
        <f aca="false">A234/12</f>
        <v>19.1666666666667</v>
      </c>
      <c r="C234" s="15" t="n">
        <f aca="false">INT(A234/6)</f>
        <v>38</v>
      </c>
      <c r="D234" s="16" t="n">
        <f aca="false">IF(C234=0,(1+Dic2025!$G$6)^(-B234),EXP(LN(INDEX(Dic2025!$H$6:$H$205,C234))+(LN(INDEX(Dic2025!$H$6:$H$205,MIN(C234+1,200)))-LN(INDEX(Dic2025!$H$6:$H$205,C234)))*(A234-6*C234)/6))</f>
        <v>0.339262636632927</v>
      </c>
      <c r="E234" s="12" t="n">
        <f aca="false">D234^(-1/B234)-1</f>
        <v>0.058019743827757</v>
      </c>
      <c r="F234" s="12" t="n">
        <f aca="false">(1+E234)^(1/12)-1</f>
        <v>0.00471097815660304</v>
      </c>
      <c r="G234" s="16" t="n">
        <f aca="false">IF(C234=0,(1+Dic2025!$J$6)^(-B234),EXP(LN(INDEX(Dic2025!$K$6:$K$205,C234))+(LN(INDEX(Dic2025!$K$6:$K$205,MIN(C234+1,200)))-LN(INDEX(Dic2025!$K$6:$K$205,C234)))*(A234-6*C234)/6))</f>
        <v>0.339262636632927</v>
      </c>
      <c r="H234" s="12" t="n">
        <f aca="false">G234^(-1/B234)-1</f>
        <v>0.058019743827757</v>
      </c>
      <c r="I234" s="12" t="n">
        <f aca="false">(1+H234)^(1/12)-1</f>
        <v>0.00471097815660304</v>
      </c>
      <c r="J234" s="16" t="n">
        <f aca="false">IF(C234=0,(1+Dic2025!$M$6)^(-B234),EXP(LN(INDEX(Dic2025!$N$6:$N$205,C234))+(LN(INDEX(Dic2025!$N$6:$N$205,MIN(C234+1,200)))-LN(INDEX(Dic2025!$N$6:$N$205,C234)))*(A234-6*C234)/6))</f>
        <v>0.339262636632927</v>
      </c>
      <c r="K234" s="12" t="n">
        <f aca="false">J234^(-1/B234)-1</f>
        <v>0.058019743827757</v>
      </c>
      <c r="L234" s="12" t="n">
        <f aca="false">(1+K234)^(1/12)-1</f>
        <v>0.00471097815660304</v>
      </c>
    </row>
    <row r="235" customFormat="false" ht="15" hidden="false" customHeight="false" outlineLevel="0" collapsed="false">
      <c r="A235" s="4" t="n">
        <v>231</v>
      </c>
      <c r="B235" s="14" t="n">
        <f aca="false">A235/12</f>
        <v>19.25</v>
      </c>
      <c r="C235" s="15" t="n">
        <f aca="false">INT(A235/6)</f>
        <v>38</v>
      </c>
      <c r="D235" s="16" t="n">
        <f aca="false">IF(C235=0,(1+Dic2025!$G$6)^(-B235),EXP(LN(INDEX(Dic2025!$H$6:$H$205,C235))+(LN(INDEX(Dic2025!$H$6:$H$205,MIN(C235+1,200)))-LN(INDEX(Dic2025!$H$6:$H$205,C235)))*(A235-6*C235)/6))</f>
        <v>0.337354735913999</v>
      </c>
      <c r="E235" s="12" t="n">
        <f aca="false">D235^(-1/B235)-1</f>
        <v>0.0580713888168254</v>
      </c>
      <c r="F235" s="12" t="n">
        <f aca="false">(1+E235)^(1/12)-1</f>
        <v>0.00471506496806917</v>
      </c>
      <c r="G235" s="16" t="n">
        <f aca="false">IF(C235=0,(1+Dic2025!$J$6)^(-B235),EXP(LN(INDEX(Dic2025!$K$6:$K$205,C235))+(LN(INDEX(Dic2025!$K$6:$K$205,MIN(C235+1,200)))-LN(INDEX(Dic2025!$K$6:$K$205,C235)))*(A235-6*C235)/6))</f>
        <v>0.337354735913999</v>
      </c>
      <c r="H235" s="12" t="n">
        <f aca="false">G235^(-1/B235)-1</f>
        <v>0.0580713888168254</v>
      </c>
      <c r="I235" s="12" t="n">
        <f aca="false">(1+H235)^(1/12)-1</f>
        <v>0.00471506496806917</v>
      </c>
      <c r="J235" s="16" t="n">
        <f aca="false">IF(C235=0,(1+Dic2025!$M$6)^(-B235),EXP(LN(INDEX(Dic2025!$N$6:$N$205,C235))+(LN(INDEX(Dic2025!$N$6:$N$205,MIN(C235+1,200)))-LN(INDEX(Dic2025!$N$6:$N$205,C235)))*(A235-6*C235)/6))</f>
        <v>0.337354735913999</v>
      </c>
      <c r="K235" s="12" t="n">
        <f aca="false">J235^(-1/B235)-1</f>
        <v>0.0580713888168254</v>
      </c>
      <c r="L235" s="12" t="n">
        <f aca="false">(1+K235)^(1/12)-1</f>
        <v>0.00471506496806917</v>
      </c>
    </row>
    <row r="236" customFormat="false" ht="15" hidden="false" customHeight="false" outlineLevel="0" collapsed="false">
      <c r="A236" s="4" t="n">
        <v>232</v>
      </c>
      <c r="B236" s="14" t="n">
        <f aca="false">A236/12</f>
        <v>19.3333333333333</v>
      </c>
      <c r="C236" s="15" t="n">
        <f aca="false">INT(A236/6)</f>
        <v>38</v>
      </c>
      <c r="D236" s="16" t="n">
        <f aca="false">IF(C236=0,(1+Dic2025!$G$6)^(-B236),EXP(LN(INDEX(Dic2025!$H$6:$H$205,C236))+(LN(INDEX(Dic2025!$H$6:$H$205,MIN(C236+1,200)))-LN(INDEX(Dic2025!$H$6:$H$205,C236)))*(A236-6*C236)/6))</f>
        <v>0.335457564596898</v>
      </c>
      <c r="E236" s="12" t="n">
        <f aca="false">D236^(-1/B236)-1</f>
        <v>0.0581225910789065</v>
      </c>
      <c r="F236" s="12" t="n">
        <f aca="false">(1+E236)^(1/12)-1</f>
        <v>0.00471911656481128</v>
      </c>
      <c r="G236" s="16" t="n">
        <f aca="false">IF(C236=0,(1+Dic2025!$J$6)^(-B236),EXP(LN(INDEX(Dic2025!$K$6:$K$205,C236))+(LN(INDEX(Dic2025!$K$6:$K$205,MIN(C236+1,200)))-LN(INDEX(Dic2025!$K$6:$K$205,C236)))*(A236-6*C236)/6))</f>
        <v>0.335457564596898</v>
      </c>
      <c r="H236" s="12" t="n">
        <f aca="false">G236^(-1/B236)-1</f>
        <v>0.0581225910789065</v>
      </c>
      <c r="I236" s="12" t="n">
        <f aca="false">(1+H236)^(1/12)-1</f>
        <v>0.00471911656481128</v>
      </c>
      <c r="J236" s="16" t="n">
        <f aca="false">IF(C236=0,(1+Dic2025!$M$6)^(-B236),EXP(LN(INDEX(Dic2025!$N$6:$N$205,C236))+(LN(INDEX(Dic2025!$N$6:$N$205,MIN(C236+1,200)))-LN(INDEX(Dic2025!$N$6:$N$205,C236)))*(A236-6*C236)/6))</f>
        <v>0.335457564596898</v>
      </c>
      <c r="K236" s="12" t="n">
        <f aca="false">J236^(-1/B236)-1</f>
        <v>0.0581225910789065</v>
      </c>
      <c r="L236" s="12" t="n">
        <f aca="false">(1+K236)^(1/12)-1</f>
        <v>0.00471911656481128</v>
      </c>
    </row>
    <row r="237" customFormat="false" ht="15" hidden="false" customHeight="false" outlineLevel="0" collapsed="false">
      <c r="A237" s="4" t="n">
        <v>233</v>
      </c>
      <c r="B237" s="14" t="n">
        <f aca="false">A237/12</f>
        <v>19.4166666666667</v>
      </c>
      <c r="C237" s="15" t="n">
        <f aca="false">INT(A237/6)</f>
        <v>38</v>
      </c>
      <c r="D237" s="16" t="n">
        <f aca="false">IF(C237=0,(1+Dic2025!$G$6)^(-B237),EXP(LN(INDEX(Dic2025!$H$6:$H$205,C237))+(LN(INDEX(Dic2025!$H$6:$H$205,MIN(C237+1,200)))-LN(INDEX(Dic2025!$H$6:$H$205,C237)))*(A237-6*C237)/6))</f>
        <v>0.333571062343021</v>
      </c>
      <c r="E237" s="12" t="n">
        <f aca="false">D237^(-1/B237)-1</f>
        <v>0.0581733562825633</v>
      </c>
      <c r="F237" s="12" t="n">
        <f aca="false">(1+E237)^(1/12)-1</f>
        <v>0.00472313340002772</v>
      </c>
      <c r="G237" s="16" t="n">
        <f aca="false">IF(C237=0,(1+Dic2025!$J$6)^(-B237),EXP(LN(INDEX(Dic2025!$K$6:$K$205,C237))+(LN(INDEX(Dic2025!$K$6:$K$205,MIN(C237+1,200)))-LN(INDEX(Dic2025!$K$6:$K$205,C237)))*(A237-6*C237)/6))</f>
        <v>0.333571062343021</v>
      </c>
      <c r="H237" s="12" t="n">
        <f aca="false">G237^(-1/B237)-1</f>
        <v>0.0581733562825633</v>
      </c>
      <c r="I237" s="12" t="n">
        <f aca="false">(1+H237)^(1/12)-1</f>
        <v>0.00472313340002772</v>
      </c>
      <c r="J237" s="16" t="n">
        <f aca="false">IF(C237=0,(1+Dic2025!$M$6)^(-B237),EXP(LN(INDEX(Dic2025!$N$6:$N$205,C237))+(LN(INDEX(Dic2025!$N$6:$N$205,MIN(C237+1,200)))-LN(INDEX(Dic2025!$N$6:$N$205,C237)))*(A237-6*C237)/6))</f>
        <v>0.333571062343021</v>
      </c>
      <c r="K237" s="12" t="n">
        <f aca="false">J237^(-1/B237)-1</f>
        <v>0.0581733562825633</v>
      </c>
      <c r="L237" s="12" t="n">
        <f aca="false">(1+K237)^(1/12)-1</f>
        <v>0.00472313340002772</v>
      </c>
    </row>
    <row r="238" customFormat="false" ht="15" hidden="false" customHeight="false" outlineLevel="0" collapsed="false">
      <c r="A238" s="4" t="n">
        <v>234</v>
      </c>
      <c r="B238" s="14" t="n">
        <f aca="false">A238/12</f>
        <v>19.5</v>
      </c>
      <c r="C238" s="15" t="n">
        <f aca="false">INT(A238/6)</f>
        <v>39</v>
      </c>
      <c r="D238" s="16" t="n">
        <f aca="false">IF(C238=0,(1+Dic2025!$G$6)^(-B238),EXP(LN(INDEX(Dic2025!$H$6:$H$205,C238))+(LN(INDEX(Dic2025!$H$6:$H$205,MIN(C238+1,200)))-LN(INDEX(Dic2025!$H$6:$H$205,C238)))*(A238-6*C238)/6))</f>
        <v>0.33169516915309</v>
      </c>
      <c r="E238" s="12" t="n">
        <f aca="false">D238^(-1/B238)-1</f>
        <v>0.0582236899999999</v>
      </c>
      <c r="F238" s="12" t="n">
        <f aca="false">(1+E238)^(1/12)-1</f>
        <v>0.00472711591917285</v>
      </c>
      <c r="G238" s="16" t="n">
        <f aca="false">IF(C238=0,(1+Dic2025!$J$6)^(-B238),EXP(LN(INDEX(Dic2025!$K$6:$K$205,C238))+(LN(INDEX(Dic2025!$K$6:$K$205,MIN(C238+1,200)))-LN(INDEX(Dic2025!$K$6:$K$205,C238)))*(A238-6*C238)/6))</f>
        <v>0.33169516915309</v>
      </c>
      <c r="H238" s="12" t="n">
        <f aca="false">G238^(-1/B238)-1</f>
        <v>0.0582236899999999</v>
      </c>
      <c r="I238" s="12" t="n">
        <f aca="false">(1+H238)^(1/12)-1</f>
        <v>0.00472711591917285</v>
      </c>
      <c r="J238" s="16" t="n">
        <f aca="false">IF(C238=0,(1+Dic2025!$M$6)^(-B238),EXP(LN(INDEX(Dic2025!$N$6:$N$205,C238))+(LN(INDEX(Dic2025!$N$6:$N$205,MIN(C238+1,200)))-LN(INDEX(Dic2025!$N$6:$N$205,C238)))*(A238-6*C238)/6))</f>
        <v>0.33169516915309</v>
      </c>
      <c r="K238" s="12" t="n">
        <f aca="false">J238^(-1/B238)-1</f>
        <v>0.0582236899999999</v>
      </c>
      <c r="L238" s="12" t="n">
        <f aca="false">(1+K238)^(1/12)-1</f>
        <v>0.00472711591917285</v>
      </c>
    </row>
    <row r="239" customFormat="false" ht="15" hidden="false" customHeight="false" outlineLevel="0" collapsed="false">
      <c r="A239" s="4" t="n">
        <v>235</v>
      </c>
      <c r="B239" s="14" t="n">
        <f aca="false">A239/12</f>
        <v>19.5833333333333</v>
      </c>
      <c r="C239" s="15" t="n">
        <f aca="false">INT(A239/6)</f>
        <v>39</v>
      </c>
      <c r="D239" s="16" t="n">
        <f aca="false">IF(C239=0,(1+Dic2025!$G$6)^(-B239),EXP(LN(INDEX(Dic2025!$H$6:$H$205,C239))+(LN(INDEX(Dic2025!$H$6:$H$205,MIN(C239+1,200)))-LN(INDEX(Dic2025!$H$6:$H$205,C239)))*(A239-6*C239)/6))</f>
        <v>0.329920715029645</v>
      </c>
      <c r="E239" s="12" t="n">
        <f aca="false">D239^(-1/B239)-1</f>
        <v>0.0582587084518484</v>
      </c>
      <c r="F239" s="12" t="n">
        <f aca="false">(1+E239)^(1/12)-1</f>
        <v>0.00472988655695938</v>
      </c>
      <c r="G239" s="16" t="n">
        <f aca="false">IF(C239=0,(1+Dic2025!$J$6)^(-B239),EXP(LN(INDEX(Dic2025!$K$6:$K$205,C239))+(LN(INDEX(Dic2025!$K$6:$K$205,MIN(C239+1,200)))-LN(INDEX(Dic2025!$K$6:$K$205,C239)))*(A239-6*C239)/6))</f>
        <v>0.329920715029645</v>
      </c>
      <c r="H239" s="12" t="n">
        <f aca="false">G239^(-1/B239)-1</f>
        <v>0.0582587084518484</v>
      </c>
      <c r="I239" s="12" t="n">
        <f aca="false">(1+H239)^(1/12)-1</f>
        <v>0.00472988655695938</v>
      </c>
      <c r="J239" s="16" t="n">
        <f aca="false">IF(C239=0,(1+Dic2025!$M$6)^(-B239),EXP(LN(INDEX(Dic2025!$N$6:$N$205,C239))+(LN(INDEX(Dic2025!$N$6:$N$205,MIN(C239+1,200)))-LN(INDEX(Dic2025!$N$6:$N$205,C239)))*(A239-6*C239)/6))</f>
        <v>0.329920715029645</v>
      </c>
      <c r="K239" s="12" t="n">
        <f aca="false">J239^(-1/B239)-1</f>
        <v>0.0582587084518484</v>
      </c>
      <c r="L239" s="12" t="n">
        <f aca="false">(1+K239)^(1/12)-1</f>
        <v>0.00472988655695938</v>
      </c>
    </row>
    <row r="240" customFormat="false" ht="15" hidden="false" customHeight="false" outlineLevel="0" collapsed="false">
      <c r="A240" s="4" t="n">
        <v>236</v>
      </c>
      <c r="B240" s="14" t="n">
        <f aca="false">A240/12</f>
        <v>19.6666666666667</v>
      </c>
      <c r="C240" s="15" t="n">
        <f aca="false">INT(A240/6)</f>
        <v>39</v>
      </c>
      <c r="D240" s="16" t="n">
        <f aca="false">IF(C240=0,(1+Dic2025!$G$6)^(-B240),EXP(LN(INDEX(Dic2025!$H$6:$H$205,C240))+(LN(INDEX(Dic2025!$H$6:$H$205,MIN(C240+1,200)))-LN(INDEX(Dic2025!$H$6:$H$205,C240)))*(A240-6*C240)/6))</f>
        <v>0.328155753620382</v>
      </c>
      <c r="E240" s="12" t="n">
        <f aca="false">D240^(-1/B240)-1</f>
        <v>0.0582934312812877</v>
      </c>
      <c r="F240" s="12" t="n">
        <f aca="false">(1+E240)^(1/12)-1</f>
        <v>0.00473263372230792</v>
      </c>
      <c r="G240" s="16" t="n">
        <f aca="false">IF(C240=0,(1+Dic2025!$J$6)^(-B240),EXP(LN(INDEX(Dic2025!$K$6:$K$205,C240))+(LN(INDEX(Dic2025!$K$6:$K$205,MIN(C240+1,200)))-LN(INDEX(Dic2025!$K$6:$K$205,C240)))*(A240-6*C240)/6))</f>
        <v>0.328155753620382</v>
      </c>
      <c r="H240" s="12" t="n">
        <f aca="false">G240^(-1/B240)-1</f>
        <v>0.0582934312812877</v>
      </c>
      <c r="I240" s="12" t="n">
        <f aca="false">(1+H240)^(1/12)-1</f>
        <v>0.00473263372230792</v>
      </c>
      <c r="J240" s="16" t="n">
        <f aca="false">IF(C240=0,(1+Dic2025!$M$6)^(-B240),EXP(LN(INDEX(Dic2025!$N$6:$N$205,C240))+(LN(INDEX(Dic2025!$N$6:$N$205,MIN(C240+1,200)))-LN(INDEX(Dic2025!$N$6:$N$205,C240)))*(A240-6*C240)/6))</f>
        <v>0.328155753620382</v>
      </c>
      <c r="K240" s="12" t="n">
        <f aca="false">J240^(-1/B240)-1</f>
        <v>0.0582934312812877</v>
      </c>
      <c r="L240" s="12" t="n">
        <f aca="false">(1+K240)^(1/12)-1</f>
        <v>0.00473263372230792</v>
      </c>
    </row>
    <row r="241" customFormat="false" ht="15" hidden="false" customHeight="false" outlineLevel="0" collapsed="false">
      <c r="A241" s="4" t="n">
        <v>237</v>
      </c>
      <c r="B241" s="14" t="n">
        <f aca="false">A241/12</f>
        <v>19.75</v>
      </c>
      <c r="C241" s="15" t="n">
        <f aca="false">INT(A241/6)</f>
        <v>39</v>
      </c>
      <c r="D241" s="16" t="n">
        <f aca="false">IF(C241=0,(1+Dic2025!$G$6)^(-B241),EXP(LN(INDEX(Dic2025!$H$6:$H$205,C241))+(LN(INDEX(Dic2025!$H$6:$H$205,MIN(C241+1,200)))-LN(INDEX(Dic2025!$H$6:$H$205,C241)))*(A241-6*C241)/6))</f>
        <v>0.326400234142571</v>
      </c>
      <c r="E241" s="12" t="n">
        <f aca="false">D241^(-1/B241)-1</f>
        <v>0.0583278622159888</v>
      </c>
      <c r="F241" s="12" t="n">
        <f aca="false">(1+E241)^(1/12)-1</f>
        <v>0.00473535771224332</v>
      </c>
      <c r="G241" s="16" t="n">
        <f aca="false">IF(C241=0,(1+Dic2025!$J$6)^(-B241),EXP(LN(INDEX(Dic2025!$K$6:$K$205,C241))+(LN(INDEX(Dic2025!$K$6:$K$205,MIN(C241+1,200)))-LN(INDEX(Dic2025!$K$6:$K$205,C241)))*(A241-6*C241)/6))</f>
        <v>0.326400234142571</v>
      </c>
      <c r="H241" s="12" t="n">
        <f aca="false">G241^(-1/B241)-1</f>
        <v>0.0583278622159888</v>
      </c>
      <c r="I241" s="12" t="n">
        <f aca="false">(1+H241)^(1/12)-1</f>
        <v>0.00473535771224332</v>
      </c>
      <c r="J241" s="16" t="n">
        <f aca="false">IF(C241=0,(1+Dic2025!$M$6)^(-B241),EXP(LN(INDEX(Dic2025!$N$6:$N$205,C241))+(LN(INDEX(Dic2025!$N$6:$N$205,MIN(C241+1,200)))-LN(INDEX(Dic2025!$N$6:$N$205,C241)))*(A241-6*C241)/6))</f>
        <v>0.326400234142571</v>
      </c>
      <c r="K241" s="12" t="n">
        <f aca="false">J241^(-1/B241)-1</f>
        <v>0.0583278622159888</v>
      </c>
      <c r="L241" s="12" t="n">
        <f aca="false">(1+K241)^(1/12)-1</f>
        <v>0.00473535771224332</v>
      </c>
    </row>
    <row r="242" customFormat="false" ht="15" hidden="false" customHeight="false" outlineLevel="0" collapsed="false">
      <c r="A242" s="4" t="n">
        <v>238</v>
      </c>
      <c r="B242" s="14" t="n">
        <f aca="false">A242/12</f>
        <v>19.8333333333333</v>
      </c>
      <c r="C242" s="15" t="n">
        <f aca="false">INT(A242/6)</f>
        <v>39</v>
      </c>
      <c r="D242" s="16" t="n">
        <f aca="false">IF(C242=0,(1+Dic2025!$G$6)^(-B242),EXP(LN(INDEX(Dic2025!$H$6:$H$205,C242))+(LN(INDEX(Dic2025!$H$6:$H$205,MIN(C242+1,200)))-LN(INDEX(Dic2025!$H$6:$H$205,C242)))*(A242-6*C242)/6))</f>
        <v>0.324654106085155</v>
      </c>
      <c r="E242" s="12" t="n">
        <f aca="false">D242^(-1/B242)-1</f>
        <v>0.0583620049212132</v>
      </c>
      <c r="F242" s="12" t="n">
        <f aca="false">(1+E242)^(1/12)-1</f>
        <v>0.00473805881879907</v>
      </c>
      <c r="G242" s="16" t="n">
        <f aca="false">IF(C242=0,(1+Dic2025!$J$6)^(-B242),EXP(LN(INDEX(Dic2025!$K$6:$K$205,C242))+(LN(INDEX(Dic2025!$K$6:$K$205,MIN(C242+1,200)))-LN(INDEX(Dic2025!$K$6:$K$205,C242)))*(A242-6*C242)/6))</f>
        <v>0.324654106085155</v>
      </c>
      <c r="H242" s="12" t="n">
        <f aca="false">G242^(-1/B242)-1</f>
        <v>0.0583620049212132</v>
      </c>
      <c r="I242" s="12" t="n">
        <f aca="false">(1+H242)^(1/12)-1</f>
        <v>0.00473805881879907</v>
      </c>
      <c r="J242" s="16" t="n">
        <f aca="false">IF(C242=0,(1+Dic2025!$M$6)^(-B242),EXP(LN(INDEX(Dic2025!$N$6:$N$205,C242))+(LN(INDEX(Dic2025!$N$6:$N$205,MIN(C242+1,200)))-LN(INDEX(Dic2025!$N$6:$N$205,C242)))*(A242-6*C242)/6))</f>
        <v>0.324654106085155</v>
      </c>
      <c r="K242" s="12" t="n">
        <f aca="false">J242^(-1/B242)-1</f>
        <v>0.0583620049212132</v>
      </c>
      <c r="L242" s="12" t="n">
        <f aca="false">(1+K242)^(1/12)-1</f>
        <v>0.00473805881879907</v>
      </c>
    </row>
    <row r="243" customFormat="false" ht="15" hidden="false" customHeight="false" outlineLevel="0" collapsed="false">
      <c r="A243" s="4" t="n">
        <v>239</v>
      </c>
      <c r="B243" s="14" t="n">
        <f aca="false">A243/12</f>
        <v>19.9166666666667</v>
      </c>
      <c r="C243" s="15" t="n">
        <f aca="false">INT(A243/6)</f>
        <v>39</v>
      </c>
      <c r="D243" s="16" t="n">
        <f aca="false">IF(C243=0,(1+Dic2025!$G$6)^(-B243),EXP(LN(INDEX(Dic2025!$H$6:$H$205,C243))+(LN(INDEX(Dic2025!$H$6:$H$205,MIN(C243+1,200)))-LN(INDEX(Dic2025!$H$6:$H$205,C243)))*(A243-6*C243)/6))</f>
        <v>0.322917319207291</v>
      </c>
      <c r="E243" s="12" t="n">
        <f aca="false">D243^(-1/B243)-1</f>
        <v>0.0583958630011132</v>
      </c>
      <c r="F243" s="12" t="n">
        <f aca="false">(1+E243)^(1/12)-1</f>
        <v>0.00474073732912372</v>
      </c>
      <c r="G243" s="16" t="n">
        <f aca="false">IF(C243=0,(1+Dic2025!$J$6)^(-B243),EXP(LN(INDEX(Dic2025!$K$6:$K$205,C243))+(LN(INDEX(Dic2025!$K$6:$K$205,MIN(C243+1,200)))-LN(INDEX(Dic2025!$K$6:$K$205,C243)))*(A243-6*C243)/6))</f>
        <v>0.322917319207291</v>
      </c>
      <c r="H243" s="12" t="n">
        <f aca="false">G243^(-1/B243)-1</f>
        <v>0.0583958630011132</v>
      </c>
      <c r="I243" s="12" t="n">
        <f aca="false">(1+H243)^(1/12)-1</f>
        <v>0.00474073732912372</v>
      </c>
      <c r="J243" s="16" t="n">
        <f aca="false">IF(C243=0,(1+Dic2025!$M$6)^(-B243),EXP(LN(INDEX(Dic2025!$N$6:$N$205,C243))+(LN(INDEX(Dic2025!$N$6:$N$205,MIN(C243+1,200)))-LN(INDEX(Dic2025!$N$6:$N$205,C243)))*(A243-6*C243)/6))</f>
        <v>0.322917319207291</v>
      </c>
      <c r="K243" s="12" t="n">
        <f aca="false">J243^(-1/B243)-1</f>
        <v>0.0583958630011132</v>
      </c>
      <c r="L243" s="12" t="n">
        <f aca="false">(1+K243)^(1/12)-1</f>
        <v>0.00474073732912372</v>
      </c>
    </row>
    <row r="244" customFormat="false" ht="15" hidden="false" customHeight="false" outlineLevel="0" collapsed="false">
      <c r="A244" s="4" t="n">
        <v>240</v>
      </c>
      <c r="B244" s="14" t="n">
        <f aca="false">A244/12</f>
        <v>20</v>
      </c>
      <c r="C244" s="15" t="n">
        <f aca="false">INT(A244/6)</f>
        <v>40</v>
      </c>
      <c r="D244" s="16" t="n">
        <f aca="false">IF(C244=0,(1+Dic2025!$G$6)^(-B244),EXP(LN(INDEX(Dic2025!$H$6:$H$205,C244))+(LN(INDEX(Dic2025!$H$6:$H$205,MIN(C244+1,200)))-LN(INDEX(Dic2025!$H$6:$H$205,C244)))*(A244-6*C244)/6))</f>
        <v>0.321189823536907</v>
      </c>
      <c r="E244" s="12" t="n">
        <f aca="false">D244^(-1/B244)-1</f>
        <v>0.0584294399999998</v>
      </c>
      <c r="F244" s="12" t="n">
        <f aca="false">(1+E244)^(1/12)-1</f>
        <v>0.00474339352558029</v>
      </c>
      <c r="G244" s="16" t="n">
        <f aca="false">IF(C244=0,(1+Dic2025!$J$6)^(-B244),EXP(LN(INDEX(Dic2025!$K$6:$K$205,C244))+(LN(INDEX(Dic2025!$K$6:$K$205,MIN(C244+1,200)))-LN(INDEX(Dic2025!$K$6:$K$205,C244)))*(A244-6*C244)/6))</f>
        <v>0.321189823536907</v>
      </c>
      <c r="H244" s="12" t="n">
        <f aca="false">G244^(-1/B244)-1</f>
        <v>0.0584294399999998</v>
      </c>
      <c r="I244" s="12" t="n">
        <f aca="false">(1+H244)^(1/12)-1</f>
        <v>0.00474339352558029</v>
      </c>
      <c r="J244" s="16" t="n">
        <f aca="false">IF(C244=0,(1+Dic2025!$M$6)^(-B244),EXP(LN(INDEX(Dic2025!$N$6:$N$205,C244))+(LN(INDEX(Dic2025!$N$6:$N$205,MIN(C244+1,200)))-LN(INDEX(Dic2025!$N$6:$N$205,C244)))*(A244-6*C244)/6))</f>
        <v>0.321189823536907</v>
      </c>
      <c r="K244" s="12" t="n">
        <f aca="false">J244^(-1/B244)-1</f>
        <v>0.0584294399999998</v>
      </c>
      <c r="L244" s="12" t="n">
        <f aca="false">(1+K244)^(1/12)-1</f>
        <v>0.00474339352558029</v>
      </c>
    </row>
    <row r="245" customFormat="false" ht="15" hidden="false" customHeight="false" outlineLevel="0" collapsed="false">
      <c r="A245" s="4" t="n">
        <v>241</v>
      </c>
      <c r="B245" s="14" t="n">
        <f aca="false">A245/12</f>
        <v>20.0833333333333</v>
      </c>
      <c r="C245" s="15" t="n">
        <f aca="false">INT(A245/6)</f>
        <v>40</v>
      </c>
      <c r="D245" s="16" t="n">
        <f aca="false">IF(C245=0,(1+Dic2025!$G$6)^(-B245),EXP(LN(INDEX(Dic2025!$H$6:$H$205,C245))+(LN(INDEX(Dic2025!$H$6:$H$205,MIN(C245+1,200)))-LN(INDEX(Dic2025!$H$6:$H$205,C245)))*(A245-6*C245)/6))</f>
        <v>0.319461238713539</v>
      </c>
      <c r="E245" s="12" t="n">
        <f aca="false">D245^(-1/B245)-1</f>
        <v>0.0584644436909401</v>
      </c>
      <c r="F245" s="12" t="n">
        <f aca="false">(1+E245)^(1/12)-1</f>
        <v>0.00474616250201621</v>
      </c>
      <c r="G245" s="16" t="n">
        <f aca="false">IF(C245=0,(1+Dic2025!$J$6)^(-B245),EXP(LN(INDEX(Dic2025!$K$6:$K$205,C245))+(LN(INDEX(Dic2025!$K$6:$K$205,MIN(C245+1,200)))-LN(INDEX(Dic2025!$K$6:$K$205,C245)))*(A245-6*C245)/6))</f>
        <v>0.319461238713539</v>
      </c>
      <c r="H245" s="12" t="n">
        <f aca="false">G245^(-1/B245)-1</f>
        <v>0.0584644436909401</v>
      </c>
      <c r="I245" s="12" t="n">
        <f aca="false">(1+H245)^(1/12)-1</f>
        <v>0.00474616250201621</v>
      </c>
      <c r="J245" s="16" t="n">
        <f aca="false">IF(C245=0,(1+Dic2025!$M$6)^(-B245),EXP(LN(INDEX(Dic2025!$N$6:$N$205,C245))+(LN(INDEX(Dic2025!$N$6:$N$205,MIN(C245+1,200)))-LN(INDEX(Dic2025!$N$6:$N$205,C245)))*(A245-6*C245)/6))</f>
        <v>0.319461238713539</v>
      </c>
      <c r="K245" s="12" t="n">
        <f aca="false">J245^(-1/B245)-1</f>
        <v>0.0584644436909401</v>
      </c>
      <c r="L245" s="12" t="n">
        <f aca="false">(1+K245)^(1/12)-1</f>
        <v>0.00474616250201621</v>
      </c>
    </row>
    <row r="246" customFormat="false" ht="15" hidden="false" customHeight="false" outlineLevel="0" collapsed="false">
      <c r="A246" s="4" t="n">
        <v>242</v>
      </c>
      <c r="B246" s="14" t="n">
        <f aca="false">A246/12</f>
        <v>20.1666666666667</v>
      </c>
      <c r="C246" s="15" t="n">
        <f aca="false">INT(A246/6)</f>
        <v>40</v>
      </c>
      <c r="D246" s="16" t="n">
        <f aca="false">IF(C246=0,(1+Dic2025!$G$6)^(-B246),EXP(LN(INDEX(Dic2025!$H$6:$H$205,C246))+(LN(INDEX(Dic2025!$H$6:$H$205,MIN(C246+1,200)))-LN(INDEX(Dic2025!$H$6:$H$205,C246)))*(A246-6*C246)/6))</f>
        <v>0.317741956817203</v>
      </c>
      <c r="E246" s="12" t="n">
        <f aca="false">D246^(-1/B246)-1</f>
        <v>0.0584991592384867</v>
      </c>
      <c r="F246" s="12" t="n">
        <f aca="false">(1+E246)^(1/12)-1</f>
        <v>0.00474890860188593</v>
      </c>
      <c r="G246" s="16" t="n">
        <f aca="false">IF(C246=0,(1+Dic2025!$J$6)^(-B246),EXP(LN(INDEX(Dic2025!$K$6:$K$205,C246))+(LN(INDEX(Dic2025!$K$6:$K$205,MIN(C246+1,200)))-LN(INDEX(Dic2025!$K$6:$K$205,C246)))*(A246-6*C246)/6))</f>
        <v>0.317741956817203</v>
      </c>
      <c r="H246" s="12" t="n">
        <f aca="false">G246^(-1/B246)-1</f>
        <v>0.0584991592384867</v>
      </c>
      <c r="I246" s="12" t="n">
        <f aca="false">(1+H246)^(1/12)-1</f>
        <v>0.00474890860188593</v>
      </c>
      <c r="J246" s="16" t="n">
        <f aca="false">IF(C246=0,(1+Dic2025!$M$6)^(-B246),EXP(LN(INDEX(Dic2025!$N$6:$N$205,C246))+(LN(INDEX(Dic2025!$N$6:$N$205,MIN(C246+1,200)))-LN(INDEX(Dic2025!$N$6:$N$205,C246)))*(A246-6*C246)/6))</f>
        <v>0.317741956817203</v>
      </c>
      <c r="K246" s="12" t="n">
        <f aca="false">J246^(-1/B246)-1</f>
        <v>0.0584991592384867</v>
      </c>
      <c r="L246" s="12" t="n">
        <f aca="false">(1+K246)^(1/12)-1</f>
        <v>0.00474890860188593</v>
      </c>
    </row>
    <row r="247" customFormat="false" ht="15" hidden="false" customHeight="false" outlineLevel="0" collapsed="false">
      <c r="A247" s="4" t="n">
        <v>243</v>
      </c>
      <c r="B247" s="14" t="n">
        <f aca="false">A247/12</f>
        <v>20.25</v>
      </c>
      <c r="C247" s="15" t="n">
        <f aca="false">INT(A247/6)</f>
        <v>40</v>
      </c>
      <c r="D247" s="16" t="n">
        <f aca="false">IF(C247=0,(1+Dic2025!$G$6)^(-B247),EXP(LN(INDEX(Dic2025!$H$6:$H$205,C247))+(LN(INDEX(Dic2025!$H$6:$H$205,MIN(C247+1,200)))-LN(INDEX(Dic2025!$H$6:$H$205,C247)))*(A247-6*C247)/6))</f>
        <v>0.316031927781248</v>
      </c>
      <c r="E247" s="12" t="n">
        <f aca="false">D247^(-1/B247)-1</f>
        <v>0.0585335901859452</v>
      </c>
      <c r="F247" s="12" t="n">
        <f aca="false">(1+E247)^(1/12)-1</f>
        <v>0.00475163210752361</v>
      </c>
      <c r="G247" s="16" t="n">
        <f aca="false">IF(C247=0,(1+Dic2025!$J$6)^(-B247),EXP(LN(INDEX(Dic2025!$K$6:$K$205,C247))+(LN(INDEX(Dic2025!$K$6:$K$205,MIN(C247+1,200)))-LN(INDEX(Dic2025!$K$6:$K$205,C247)))*(A247-6*C247)/6))</f>
        <v>0.316031927781248</v>
      </c>
      <c r="H247" s="12" t="n">
        <f aca="false">G247^(-1/B247)-1</f>
        <v>0.0585335901859452</v>
      </c>
      <c r="I247" s="12" t="n">
        <f aca="false">(1+H247)^(1/12)-1</f>
        <v>0.00475163210752361</v>
      </c>
      <c r="J247" s="16" t="n">
        <f aca="false">IF(C247=0,(1+Dic2025!$M$6)^(-B247),EXP(LN(INDEX(Dic2025!$N$6:$N$205,C247))+(LN(INDEX(Dic2025!$N$6:$N$205,MIN(C247+1,200)))-LN(INDEX(Dic2025!$N$6:$N$205,C247)))*(A247-6*C247)/6))</f>
        <v>0.316031927781248</v>
      </c>
      <c r="K247" s="12" t="n">
        <f aca="false">J247^(-1/B247)-1</f>
        <v>0.0585335901859452</v>
      </c>
      <c r="L247" s="12" t="n">
        <f aca="false">(1+K247)^(1/12)-1</f>
        <v>0.00475163210752361</v>
      </c>
    </row>
    <row r="248" customFormat="false" ht="15" hidden="false" customHeight="false" outlineLevel="0" collapsed="false">
      <c r="A248" s="4" t="n">
        <v>244</v>
      </c>
      <c r="B248" s="14" t="n">
        <f aca="false">A248/12</f>
        <v>20.3333333333333</v>
      </c>
      <c r="C248" s="15" t="n">
        <f aca="false">INT(A248/6)</f>
        <v>40</v>
      </c>
      <c r="D248" s="16" t="n">
        <f aca="false">IF(C248=0,(1+Dic2025!$G$6)^(-B248),EXP(LN(INDEX(Dic2025!$H$6:$H$205,C248))+(LN(INDEX(Dic2025!$H$6:$H$205,MIN(C248+1,200)))-LN(INDEX(Dic2025!$H$6:$H$205,C248)))*(A248-6*C248)/6))</f>
        <v>0.314331101808474</v>
      </c>
      <c r="E248" s="12" t="n">
        <f aca="false">D248^(-1/B248)-1</f>
        <v>0.0585677400187628</v>
      </c>
      <c r="F248" s="12" t="n">
        <f aca="false">(1+E248)^(1/12)-1</f>
        <v>0.00475433329663666</v>
      </c>
      <c r="G248" s="16" t="n">
        <f aca="false">IF(C248=0,(1+Dic2025!$J$6)^(-B248),EXP(LN(INDEX(Dic2025!$K$6:$K$205,C248))+(LN(INDEX(Dic2025!$K$6:$K$205,MIN(C248+1,200)))-LN(INDEX(Dic2025!$K$6:$K$205,C248)))*(A248-6*C248)/6))</f>
        <v>0.314331101808474</v>
      </c>
      <c r="H248" s="12" t="n">
        <f aca="false">G248^(-1/B248)-1</f>
        <v>0.0585677400187628</v>
      </c>
      <c r="I248" s="12" t="n">
        <f aca="false">(1+H248)^(1/12)-1</f>
        <v>0.00475433329663666</v>
      </c>
      <c r="J248" s="16" t="n">
        <f aca="false">IF(C248=0,(1+Dic2025!$M$6)^(-B248),EXP(LN(INDEX(Dic2025!$N$6:$N$205,C248))+(LN(INDEX(Dic2025!$N$6:$N$205,MIN(C248+1,200)))-LN(INDEX(Dic2025!$N$6:$N$205,C248)))*(A248-6*C248)/6))</f>
        <v>0.314331101808474</v>
      </c>
      <c r="K248" s="12" t="n">
        <f aca="false">J248^(-1/B248)-1</f>
        <v>0.0585677400187628</v>
      </c>
      <c r="L248" s="12" t="n">
        <f aca="false">(1+K248)^(1/12)-1</f>
        <v>0.00475433329663666</v>
      </c>
    </row>
    <row r="249" customFormat="false" ht="15" hidden="false" customHeight="false" outlineLevel="0" collapsed="false">
      <c r="A249" s="4" t="n">
        <v>245</v>
      </c>
      <c r="B249" s="14" t="n">
        <f aca="false">A249/12</f>
        <v>20.4166666666667</v>
      </c>
      <c r="C249" s="15" t="n">
        <f aca="false">INT(A249/6)</f>
        <v>40</v>
      </c>
      <c r="D249" s="16" t="n">
        <f aca="false">IF(C249=0,(1+Dic2025!$G$6)^(-B249),EXP(LN(INDEX(Dic2025!$H$6:$H$205,C249))+(LN(INDEX(Dic2025!$H$6:$H$205,MIN(C249+1,200)))-LN(INDEX(Dic2025!$H$6:$H$205,C249)))*(A249-6*C249)/6))</f>
        <v>0.312639429369679</v>
      </c>
      <c r="E249" s="12" t="n">
        <f aca="false">D249^(-1/B249)-1</f>
        <v>0.0586016121657045</v>
      </c>
      <c r="F249" s="12" t="n">
        <f aca="false">(1+E249)^(1/12)-1</f>
        <v>0.00475701244239946</v>
      </c>
      <c r="G249" s="16" t="n">
        <f aca="false">IF(C249=0,(1+Dic2025!$J$6)^(-B249),EXP(LN(INDEX(Dic2025!$K$6:$K$205,C249))+(LN(INDEX(Dic2025!$K$6:$K$205,MIN(C249+1,200)))-LN(INDEX(Dic2025!$K$6:$K$205,C249)))*(A249-6*C249)/6))</f>
        <v>0.312639429369679</v>
      </c>
      <c r="H249" s="12" t="n">
        <f aca="false">G249^(-1/B249)-1</f>
        <v>0.0586016121657045</v>
      </c>
      <c r="I249" s="12" t="n">
        <f aca="false">(1+H249)^(1/12)-1</f>
        <v>0.00475701244239946</v>
      </c>
      <c r="J249" s="16" t="n">
        <f aca="false">IF(C249=0,(1+Dic2025!$M$6)^(-B249),EXP(LN(INDEX(Dic2025!$N$6:$N$205,C249))+(LN(INDEX(Dic2025!$N$6:$N$205,MIN(C249+1,200)))-LN(INDEX(Dic2025!$N$6:$N$205,C249)))*(A249-6*C249)/6))</f>
        <v>0.312639429369679</v>
      </c>
      <c r="K249" s="12" t="n">
        <f aca="false">J249^(-1/B249)-1</f>
        <v>0.0586016121657045</v>
      </c>
      <c r="L249" s="12" t="n">
        <f aca="false">(1+K249)^(1/12)-1</f>
        <v>0.00475701244239946</v>
      </c>
    </row>
    <row r="250" customFormat="false" ht="15" hidden="false" customHeight="false" outlineLevel="0" collapsed="false">
      <c r="A250" s="4" t="n">
        <v>246</v>
      </c>
      <c r="B250" s="14" t="n">
        <f aca="false">A250/12</f>
        <v>20.5</v>
      </c>
      <c r="C250" s="15" t="n">
        <f aca="false">INT(A250/6)</f>
        <v>41</v>
      </c>
      <c r="D250" s="16" t="n">
        <f aca="false">IF(C250=0,(1+Dic2025!$G$6)^(-B250),EXP(LN(INDEX(Dic2025!$H$6:$H$205,C250))+(LN(INDEX(Dic2025!$H$6:$H$205,MIN(C250+1,200)))-LN(INDEX(Dic2025!$H$6:$H$205,C250)))*(A250-6*C250)/6))</f>
        <v>0.310956861202221</v>
      </c>
      <c r="E250" s="12" t="n">
        <f aca="false">D250^(-1/B250)-1</f>
        <v>0.0586352099999998</v>
      </c>
      <c r="F250" s="12" t="n">
        <f aca="false">(1+E250)^(1/12)-1</f>
        <v>0.00475966981354636</v>
      </c>
      <c r="G250" s="16" t="n">
        <f aca="false">IF(C250=0,(1+Dic2025!$J$6)^(-B250),EXP(LN(INDEX(Dic2025!$K$6:$K$205,C250))+(LN(INDEX(Dic2025!$K$6:$K$205,MIN(C250+1,200)))-LN(INDEX(Dic2025!$K$6:$K$205,C250)))*(A250-6*C250)/6))</f>
        <v>0.310956861202221</v>
      </c>
      <c r="H250" s="12" t="n">
        <f aca="false">G250^(-1/B250)-1</f>
        <v>0.0586352099999998</v>
      </c>
      <c r="I250" s="12" t="n">
        <f aca="false">(1+H250)^(1/12)-1</f>
        <v>0.00475966981354636</v>
      </c>
      <c r="J250" s="16" t="n">
        <f aca="false">IF(C250=0,(1+Dic2025!$M$6)^(-B250),EXP(LN(INDEX(Dic2025!$N$6:$N$205,C250))+(LN(INDEX(Dic2025!$N$6:$N$205,MIN(C250+1,200)))-LN(INDEX(Dic2025!$N$6:$N$205,C250)))*(A250-6*C250)/6))</f>
        <v>0.310956861202221</v>
      </c>
      <c r="K250" s="12" t="n">
        <f aca="false">J250^(-1/B250)-1</f>
        <v>0.0586352099999998</v>
      </c>
      <c r="L250" s="12" t="n">
        <f aca="false">(1+K250)^(1/12)-1</f>
        <v>0.00475966981354636</v>
      </c>
    </row>
    <row r="251" customFormat="false" ht="15" hidden="false" customHeight="false" outlineLevel="0" collapsed="false">
      <c r="A251" s="4" t="n">
        <v>247</v>
      </c>
      <c r="B251" s="14" t="n">
        <f aca="false">A251/12</f>
        <v>20.5833333333333</v>
      </c>
      <c r="C251" s="15" t="n">
        <f aca="false">INT(A251/6)</f>
        <v>41</v>
      </c>
      <c r="D251" s="16" t="n">
        <f aca="false">IF(C251=0,(1+Dic2025!$G$6)^(-B251),EXP(LN(INDEX(Dic2025!$H$6:$H$205,C251))+(LN(INDEX(Dic2025!$H$6:$H$205,MIN(C251+1,200)))-LN(INDEX(Dic2025!$H$6:$H$205,C251)))*(A251-6*C251)/6))</f>
        <v>0.309273348563305</v>
      </c>
      <c r="E251" s="12" t="n">
        <f aca="false">D251^(-1/B251)-1</f>
        <v>0.0586701998091048</v>
      </c>
      <c r="F251" s="12" t="n">
        <f aca="false">(1+E251)^(1/12)-1</f>
        <v>0.00476243719870961</v>
      </c>
      <c r="G251" s="16" t="n">
        <f aca="false">IF(C251=0,(1+Dic2025!$J$6)^(-B251),EXP(LN(INDEX(Dic2025!$K$6:$K$205,C251))+(LN(INDEX(Dic2025!$K$6:$K$205,MIN(C251+1,200)))-LN(INDEX(Dic2025!$K$6:$K$205,C251)))*(A251-6*C251)/6))</f>
        <v>0.309273348563305</v>
      </c>
      <c r="H251" s="12" t="n">
        <f aca="false">G251^(-1/B251)-1</f>
        <v>0.0586701998091048</v>
      </c>
      <c r="I251" s="12" t="n">
        <f aca="false">(1+H251)^(1/12)-1</f>
        <v>0.00476243719870961</v>
      </c>
      <c r="J251" s="16" t="n">
        <f aca="false">IF(C251=0,(1+Dic2025!$M$6)^(-B251),EXP(LN(INDEX(Dic2025!$N$6:$N$205,C251))+(LN(INDEX(Dic2025!$N$6:$N$205,MIN(C251+1,200)))-LN(INDEX(Dic2025!$N$6:$N$205,C251)))*(A251-6*C251)/6))</f>
        <v>0.309273348563305</v>
      </c>
      <c r="K251" s="12" t="n">
        <f aca="false">J251^(-1/B251)-1</f>
        <v>0.0586701998091048</v>
      </c>
      <c r="L251" s="12" t="n">
        <f aca="false">(1+K251)^(1/12)-1</f>
        <v>0.00476243719870961</v>
      </c>
    </row>
    <row r="252" customFormat="false" ht="15" hidden="false" customHeight="false" outlineLevel="0" collapsed="false">
      <c r="A252" s="4" t="n">
        <v>248</v>
      </c>
      <c r="B252" s="14" t="n">
        <f aca="false">A252/12</f>
        <v>20.6666666666667</v>
      </c>
      <c r="C252" s="15" t="n">
        <f aca="false">INT(A252/6)</f>
        <v>41</v>
      </c>
      <c r="D252" s="16" t="n">
        <f aca="false">IF(C252=0,(1+Dic2025!$G$6)^(-B252),EXP(LN(INDEX(Dic2025!$H$6:$H$205,C252))+(LN(INDEX(Dic2025!$H$6:$H$205,MIN(C252+1,200)))-LN(INDEX(Dic2025!$H$6:$H$205,C252)))*(A252-6*C252)/6))</f>
        <v>0.307598950419547</v>
      </c>
      <c r="E252" s="12" t="n">
        <f aca="false">D252^(-1/B252)-1</f>
        <v>0.0587049085848541</v>
      </c>
      <c r="F252" s="12" t="n">
        <f aca="false">(1+E252)^(1/12)-1</f>
        <v>0.00476518227378064</v>
      </c>
      <c r="G252" s="16" t="n">
        <f aca="false">IF(C252=0,(1+Dic2025!$J$6)^(-B252),EXP(LN(INDEX(Dic2025!$K$6:$K$205,C252))+(LN(INDEX(Dic2025!$K$6:$K$205,MIN(C252+1,200)))-LN(INDEX(Dic2025!$K$6:$K$205,C252)))*(A252-6*C252)/6))</f>
        <v>0.307598950419547</v>
      </c>
      <c r="H252" s="12" t="n">
        <f aca="false">G252^(-1/B252)-1</f>
        <v>0.0587049085848541</v>
      </c>
      <c r="I252" s="12" t="n">
        <f aca="false">(1+H252)^(1/12)-1</f>
        <v>0.00476518227378064</v>
      </c>
      <c r="J252" s="16" t="n">
        <f aca="false">IF(C252=0,(1+Dic2025!$M$6)^(-B252),EXP(LN(INDEX(Dic2025!$N$6:$N$205,C252))+(LN(INDEX(Dic2025!$N$6:$N$205,MIN(C252+1,200)))-LN(INDEX(Dic2025!$N$6:$N$205,C252)))*(A252-6*C252)/6))</f>
        <v>0.307598950419547</v>
      </c>
      <c r="K252" s="12" t="n">
        <f aca="false">J252^(-1/B252)-1</f>
        <v>0.0587049085848541</v>
      </c>
      <c r="L252" s="12" t="n">
        <f aca="false">(1+K252)^(1/12)-1</f>
        <v>0.00476518227378064</v>
      </c>
    </row>
    <row r="253" customFormat="false" ht="15" hidden="false" customHeight="false" outlineLevel="0" collapsed="false">
      <c r="A253" s="4" t="n">
        <v>249</v>
      </c>
      <c r="B253" s="14" t="n">
        <f aca="false">A253/12</f>
        <v>20.75</v>
      </c>
      <c r="C253" s="15" t="n">
        <f aca="false">INT(A253/6)</f>
        <v>41</v>
      </c>
      <c r="D253" s="16" t="n">
        <f aca="false">IF(C253=0,(1+Dic2025!$G$6)^(-B253),EXP(LN(INDEX(Dic2025!$H$6:$H$205,C253))+(LN(INDEX(Dic2025!$H$6:$H$205,MIN(C253+1,200)))-LN(INDEX(Dic2025!$H$6:$H$205,C253)))*(A253-6*C253)/6))</f>
        <v>0.305933617425297</v>
      </c>
      <c r="E253" s="12" t="n">
        <f aca="false">D253^(-1/B253)-1</f>
        <v>0.0587393396995188</v>
      </c>
      <c r="F253" s="12" t="n">
        <f aca="false">(1+E253)^(1/12)-1</f>
        <v>0.0047679053074654</v>
      </c>
      <c r="G253" s="16" t="n">
        <f aca="false">IF(C253=0,(1+Dic2025!$J$6)^(-B253),EXP(LN(INDEX(Dic2025!$K$6:$K$205,C253))+(LN(INDEX(Dic2025!$K$6:$K$205,MIN(C253+1,200)))-LN(INDEX(Dic2025!$K$6:$K$205,C253)))*(A253-6*C253)/6))</f>
        <v>0.305933617425297</v>
      </c>
      <c r="H253" s="12" t="n">
        <f aca="false">G253^(-1/B253)-1</f>
        <v>0.0587393396995188</v>
      </c>
      <c r="I253" s="12" t="n">
        <f aca="false">(1+H253)^(1/12)-1</f>
        <v>0.0047679053074654</v>
      </c>
      <c r="J253" s="16" t="n">
        <f aca="false">IF(C253=0,(1+Dic2025!$M$6)^(-B253),EXP(LN(INDEX(Dic2025!$N$6:$N$205,C253))+(LN(INDEX(Dic2025!$N$6:$N$205,MIN(C253+1,200)))-LN(INDEX(Dic2025!$N$6:$N$205,C253)))*(A253-6*C253)/6))</f>
        <v>0.305933617425297</v>
      </c>
      <c r="K253" s="12" t="n">
        <f aca="false">J253^(-1/B253)-1</f>
        <v>0.0587393396995188</v>
      </c>
      <c r="L253" s="12" t="n">
        <f aca="false">(1+K253)^(1/12)-1</f>
        <v>0.0047679053074654</v>
      </c>
    </row>
    <row r="254" customFormat="false" ht="15" hidden="false" customHeight="false" outlineLevel="0" collapsed="false">
      <c r="A254" s="4" t="n">
        <v>250</v>
      </c>
      <c r="B254" s="14" t="n">
        <f aca="false">A254/12</f>
        <v>20.8333333333333</v>
      </c>
      <c r="C254" s="15" t="n">
        <f aca="false">INT(A254/6)</f>
        <v>41</v>
      </c>
      <c r="D254" s="16" t="n">
        <f aca="false">IF(C254=0,(1+Dic2025!$G$6)^(-B254),EXP(LN(INDEX(Dic2025!$H$6:$H$205,C254))+(LN(INDEX(Dic2025!$H$6:$H$205,MIN(C254+1,200)))-LN(INDEX(Dic2025!$H$6:$H$205,C254)))*(A254-6*C254)/6))</f>
        <v>0.304277300502064</v>
      </c>
      <c r="E254" s="12" t="n">
        <f aca="false">D254^(-1/B254)-1</f>
        <v>0.0587734964716309</v>
      </c>
      <c r="F254" s="12" t="n">
        <f aca="false">(1+E254)^(1/12)-1</f>
        <v>0.00477060656417239</v>
      </c>
      <c r="G254" s="16" t="n">
        <f aca="false">IF(C254=0,(1+Dic2025!$J$6)^(-B254),EXP(LN(INDEX(Dic2025!$K$6:$K$205,C254))+(LN(INDEX(Dic2025!$K$6:$K$205,MIN(C254+1,200)))-LN(INDEX(Dic2025!$K$6:$K$205,C254)))*(A254-6*C254)/6))</f>
        <v>0.304277300502064</v>
      </c>
      <c r="H254" s="12" t="n">
        <f aca="false">G254^(-1/B254)-1</f>
        <v>0.0587734964716309</v>
      </c>
      <c r="I254" s="12" t="n">
        <f aca="false">(1+H254)^(1/12)-1</f>
        <v>0.00477060656417239</v>
      </c>
      <c r="J254" s="16" t="n">
        <f aca="false">IF(C254=0,(1+Dic2025!$M$6)^(-B254),EXP(LN(INDEX(Dic2025!$N$6:$N$205,C254))+(LN(INDEX(Dic2025!$N$6:$N$205,MIN(C254+1,200)))-LN(INDEX(Dic2025!$N$6:$N$205,C254)))*(A254-6*C254)/6))</f>
        <v>0.304277300502064</v>
      </c>
      <c r="K254" s="12" t="n">
        <f aca="false">J254^(-1/B254)-1</f>
        <v>0.0587734964716309</v>
      </c>
      <c r="L254" s="12" t="n">
        <f aca="false">(1+K254)^(1/12)-1</f>
        <v>0.00477060656417239</v>
      </c>
    </row>
    <row r="255" customFormat="false" ht="15" hidden="false" customHeight="false" outlineLevel="0" collapsed="false">
      <c r="A255" s="4" t="n">
        <v>251</v>
      </c>
      <c r="B255" s="14" t="n">
        <f aca="false">A255/12</f>
        <v>20.9166666666667</v>
      </c>
      <c r="C255" s="15" t="n">
        <f aca="false">INT(A255/6)</f>
        <v>41</v>
      </c>
      <c r="D255" s="16" t="n">
        <f aca="false">IF(C255=0,(1+Dic2025!$G$6)^(-B255),EXP(LN(INDEX(Dic2025!$H$6:$H$205,C255))+(LN(INDEX(Dic2025!$H$6:$H$205,MIN(C255+1,200)))-LN(INDEX(Dic2025!$H$6:$H$205,C255)))*(A255-6*C255)/6))</f>
        <v>0.302629950837066</v>
      </c>
      <c r="E255" s="12" t="n">
        <f aca="false">D255^(-1/B255)-1</f>
        <v>0.0588073821670487</v>
      </c>
      <c r="F255" s="12" t="n">
        <f aca="false">(1+E255)^(1/12)-1</f>
        <v>0.00477328630409679</v>
      </c>
      <c r="G255" s="16" t="n">
        <f aca="false">IF(C255=0,(1+Dic2025!$J$6)^(-B255),EXP(LN(INDEX(Dic2025!$K$6:$K$205,C255))+(LN(INDEX(Dic2025!$K$6:$K$205,MIN(C255+1,200)))-LN(INDEX(Dic2025!$K$6:$K$205,C255)))*(A255-6*C255)/6))</f>
        <v>0.302629950837066</v>
      </c>
      <c r="H255" s="12" t="n">
        <f aca="false">G255^(-1/B255)-1</f>
        <v>0.0588073821670487</v>
      </c>
      <c r="I255" s="12" t="n">
        <f aca="false">(1+H255)^(1/12)-1</f>
        <v>0.00477328630409679</v>
      </c>
      <c r="J255" s="16" t="n">
        <f aca="false">IF(C255=0,(1+Dic2025!$M$6)^(-B255),EXP(LN(INDEX(Dic2025!$N$6:$N$205,C255))+(LN(INDEX(Dic2025!$N$6:$N$205,MIN(C255+1,200)))-LN(INDEX(Dic2025!$N$6:$N$205,C255)))*(A255-6*C255)/6))</f>
        <v>0.302629950837066</v>
      </c>
      <c r="K255" s="12" t="n">
        <f aca="false">J255^(-1/B255)-1</f>
        <v>0.0588073821670487</v>
      </c>
      <c r="L255" s="12" t="n">
        <f aca="false">(1+K255)^(1/12)-1</f>
        <v>0.00477328630409679</v>
      </c>
    </row>
    <row r="256" customFormat="false" ht="15" hidden="false" customHeight="false" outlineLevel="0" collapsed="false">
      <c r="A256" s="4" t="n">
        <v>252</v>
      </c>
      <c r="B256" s="14" t="n">
        <f aca="false">A256/12</f>
        <v>21</v>
      </c>
      <c r="C256" s="15" t="n">
        <f aca="false">INT(A256/6)</f>
        <v>42</v>
      </c>
      <c r="D256" s="16" t="n">
        <f aca="false">IF(C256=0,(1+Dic2025!$G$6)^(-B256),EXP(LN(INDEX(Dic2025!$H$6:$H$205,C256))+(LN(INDEX(Dic2025!$H$6:$H$205,MIN(C256+1,200)))-LN(INDEX(Dic2025!$H$6:$H$205,C256)))*(A256-6*C256)/6))</f>
        <v>0.300991519881792</v>
      </c>
      <c r="E256" s="12" t="n">
        <f aca="false">D256^(-1/B256)-1</f>
        <v>0.0588409999999999</v>
      </c>
      <c r="F256" s="12" t="n">
        <f aca="false">(1+E256)^(1/12)-1</f>
        <v>0.00477594478330623</v>
      </c>
      <c r="G256" s="16" t="n">
        <f aca="false">IF(C256=0,(1+Dic2025!$J$6)^(-B256),EXP(LN(INDEX(Dic2025!$K$6:$K$205,C256))+(LN(INDEX(Dic2025!$K$6:$K$205,MIN(C256+1,200)))-LN(INDEX(Dic2025!$K$6:$K$205,C256)))*(A256-6*C256)/6))</f>
        <v>0.300991519881792</v>
      </c>
      <c r="H256" s="12" t="n">
        <f aca="false">G256^(-1/B256)-1</f>
        <v>0.0588409999999999</v>
      </c>
      <c r="I256" s="12" t="n">
        <f aca="false">(1+H256)^(1/12)-1</f>
        <v>0.00477594478330623</v>
      </c>
      <c r="J256" s="16" t="n">
        <f aca="false">IF(C256=0,(1+Dic2025!$M$6)^(-B256),EXP(LN(INDEX(Dic2025!$N$6:$N$205,C256))+(LN(INDEX(Dic2025!$N$6:$N$205,MIN(C256+1,200)))-LN(INDEX(Dic2025!$N$6:$N$205,C256)))*(A256-6*C256)/6))</f>
        <v>0.300991519881792</v>
      </c>
      <c r="K256" s="12" t="n">
        <f aca="false">J256^(-1/B256)-1</f>
        <v>0.0588409999999999</v>
      </c>
      <c r="L256" s="12" t="n">
        <f aca="false">(1+K256)^(1/12)-1</f>
        <v>0.00477594478330623</v>
      </c>
    </row>
    <row r="257" customFormat="false" ht="15" hidden="false" customHeight="false" outlineLevel="0" collapsed="false">
      <c r="A257" s="4" t="n">
        <v>253</v>
      </c>
      <c r="B257" s="14" t="n">
        <f aca="false">A257/12</f>
        <v>21.0833333333333</v>
      </c>
      <c r="C257" s="15" t="n">
        <f aca="false">INT(A257/6)</f>
        <v>42</v>
      </c>
      <c r="D257" s="16" t="n">
        <f aca="false">IF(C257=0,(1+Dic2025!$G$6)^(-B257),EXP(LN(INDEX(Dic2025!$H$6:$H$205,C257))+(LN(INDEX(Dic2025!$H$6:$H$205,MIN(C257+1,200)))-LN(INDEX(Dic2025!$H$6:$H$205,C257)))*(A257-6*C257)/6))</f>
        <v>0.299352281793442</v>
      </c>
      <c r="E257" s="12" t="n">
        <f aca="false">D257^(-1/B257)-1</f>
        <v>0.0588759767437994</v>
      </c>
      <c r="F257" s="12" t="n">
        <f aca="false">(1+E257)^(1/12)-1</f>
        <v>0.00477871064229163</v>
      </c>
      <c r="G257" s="16" t="n">
        <f aca="false">IF(C257=0,(1+Dic2025!$J$6)^(-B257),EXP(LN(INDEX(Dic2025!$K$6:$K$205,C257))+(LN(INDEX(Dic2025!$K$6:$K$205,MIN(C257+1,200)))-LN(INDEX(Dic2025!$K$6:$K$205,C257)))*(A257-6*C257)/6))</f>
        <v>0.299352281793442</v>
      </c>
      <c r="H257" s="12" t="n">
        <f aca="false">G257^(-1/B257)-1</f>
        <v>0.0588759767437994</v>
      </c>
      <c r="I257" s="12" t="n">
        <f aca="false">(1+H257)^(1/12)-1</f>
        <v>0.00477871064229163</v>
      </c>
      <c r="J257" s="16" t="n">
        <f aca="false">IF(C257=0,(1+Dic2025!$M$6)^(-B257),EXP(LN(INDEX(Dic2025!$N$6:$N$205,C257))+(LN(INDEX(Dic2025!$N$6:$N$205,MIN(C257+1,200)))-LN(INDEX(Dic2025!$N$6:$N$205,C257)))*(A257-6*C257)/6))</f>
        <v>0.299352281793442</v>
      </c>
      <c r="K257" s="12" t="n">
        <f aca="false">J257^(-1/B257)-1</f>
        <v>0.0588759767437994</v>
      </c>
      <c r="L257" s="12" t="n">
        <f aca="false">(1+K257)^(1/12)-1</f>
        <v>0.00477871064229163</v>
      </c>
    </row>
    <row r="258" customFormat="false" ht="15" hidden="false" customHeight="false" outlineLevel="0" collapsed="false">
      <c r="A258" s="4" t="n">
        <v>254</v>
      </c>
      <c r="B258" s="14" t="n">
        <f aca="false">A258/12</f>
        <v>21.1666666666667</v>
      </c>
      <c r="C258" s="15" t="n">
        <f aca="false">INT(A258/6)</f>
        <v>42</v>
      </c>
      <c r="D258" s="16" t="n">
        <f aca="false">IF(C258=0,(1+Dic2025!$G$6)^(-B258),EXP(LN(INDEX(Dic2025!$H$6:$H$205,C258))+(LN(INDEX(Dic2025!$H$6:$H$205,MIN(C258+1,200)))-LN(INDEX(Dic2025!$H$6:$H$205,C258)))*(A258-6*C258)/6))</f>
        <v>0.29772197120415</v>
      </c>
      <c r="E258" s="12" t="n">
        <f aca="false">D258^(-1/B258)-1</f>
        <v>0.0589106792219452</v>
      </c>
      <c r="F258" s="12" t="n">
        <f aca="false">(1+E258)^(1/12)-1</f>
        <v>0.00478145473038349</v>
      </c>
      <c r="G258" s="16" t="n">
        <f aca="false">IF(C258=0,(1+Dic2025!$J$6)^(-B258),EXP(LN(INDEX(Dic2025!$K$6:$K$205,C258))+(LN(INDEX(Dic2025!$K$6:$K$205,MIN(C258+1,200)))-LN(INDEX(Dic2025!$K$6:$K$205,C258)))*(A258-6*C258)/6))</f>
        <v>0.29772197120415</v>
      </c>
      <c r="H258" s="12" t="n">
        <f aca="false">G258^(-1/B258)-1</f>
        <v>0.0589106792219452</v>
      </c>
      <c r="I258" s="12" t="n">
        <f aca="false">(1+H258)^(1/12)-1</f>
        <v>0.00478145473038349</v>
      </c>
      <c r="J258" s="16" t="n">
        <f aca="false">IF(C258=0,(1+Dic2025!$M$6)^(-B258),EXP(LN(INDEX(Dic2025!$N$6:$N$205,C258))+(LN(INDEX(Dic2025!$N$6:$N$205,MIN(C258+1,200)))-LN(INDEX(Dic2025!$N$6:$N$205,C258)))*(A258-6*C258)/6))</f>
        <v>0.29772197120415</v>
      </c>
      <c r="K258" s="12" t="n">
        <f aca="false">J258^(-1/B258)-1</f>
        <v>0.0589106792219452</v>
      </c>
      <c r="L258" s="12" t="n">
        <f aca="false">(1+K258)^(1/12)-1</f>
        <v>0.00478145473038349</v>
      </c>
    </row>
    <row r="259" customFormat="false" ht="15" hidden="false" customHeight="false" outlineLevel="0" collapsed="false">
      <c r="A259" s="4" t="n">
        <v>255</v>
      </c>
      <c r="B259" s="14" t="n">
        <f aca="false">A259/12</f>
        <v>21.25</v>
      </c>
      <c r="C259" s="15" t="n">
        <f aca="false">INT(A259/6)</f>
        <v>42</v>
      </c>
      <c r="D259" s="16" t="n">
        <f aca="false">IF(C259=0,(1+Dic2025!$G$6)^(-B259),EXP(LN(INDEX(Dic2025!$H$6:$H$205,C259))+(LN(INDEX(Dic2025!$H$6:$H$205,MIN(C259+1,200)))-LN(INDEX(Dic2025!$H$6:$H$205,C259)))*(A259-6*C259)/6))</f>
        <v>0.296100539493622</v>
      </c>
      <c r="E259" s="12" t="n">
        <f aca="false">D259^(-1/B259)-1</f>
        <v>0.0589451106477488</v>
      </c>
      <c r="F259" s="12" t="n">
        <f aca="false">(1+E259)^(1/12)-1</f>
        <v>0.00478417730362235</v>
      </c>
      <c r="G259" s="16" t="n">
        <f aca="false">IF(C259=0,(1+Dic2025!$J$6)^(-B259),EXP(LN(INDEX(Dic2025!$K$6:$K$205,C259))+(LN(INDEX(Dic2025!$K$6:$K$205,MIN(C259+1,200)))-LN(INDEX(Dic2025!$K$6:$K$205,C259)))*(A259-6*C259)/6))</f>
        <v>0.296100539493622</v>
      </c>
      <c r="H259" s="12" t="n">
        <f aca="false">G259^(-1/B259)-1</f>
        <v>0.0589451106477488</v>
      </c>
      <c r="I259" s="12" t="n">
        <f aca="false">(1+H259)^(1/12)-1</f>
        <v>0.00478417730362235</v>
      </c>
      <c r="J259" s="16" t="n">
        <f aca="false">IF(C259=0,(1+Dic2025!$M$6)^(-B259),EXP(LN(INDEX(Dic2025!$N$6:$N$205,C259))+(LN(INDEX(Dic2025!$N$6:$N$205,MIN(C259+1,200)))-LN(INDEX(Dic2025!$N$6:$N$205,C259)))*(A259-6*C259)/6))</f>
        <v>0.296100539493622</v>
      </c>
      <c r="K259" s="12" t="n">
        <f aca="false">J259^(-1/B259)-1</f>
        <v>0.0589451106477488</v>
      </c>
      <c r="L259" s="12" t="n">
        <f aca="false">(1+K259)^(1/12)-1</f>
        <v>0.00478417730362235</v>
      </c>
    </row>
    <row r="260" customFormat="false" ht="15" hidden="false" customHeight="false" outlineLevel="0" collapsed="false">
      <c r="A260" s="4" t="n">
        <v>256</v>
      </c>
      <c r="B260" s="14" t="n">
        <f aca="false">A260/12</f>
        <v>21.3333333333333</v>
      </c>
      <c r="C260" s="15" t="n">
        <f aca="false">INT(A260/6)</f>
        <v>42</v>
      </c>
      <c r="D260" s="16" t="n">
        <f aca="false">IF(C260=0,(1+Dic2025!$G$6)^(-B260),EXP(LN(INDEX(Dic2025!$H$6:$H$205,C260))+(LN(INDEX(Dic2025!$H$6:$H$205,MIN(C260+1,200)))-LN(INDEX(Dic2025!$H$6:$H$205,C260)))*(A260-6*C260)/6))</f>
        <v>0.294487938306354</v>
      </c>
      <c r="E260" s="12" t="n">
        <f aca="false">D260^(-1/B260)-1</f>
        <v>0.0589792741845212</v>
      </c>
      <c r="F260" s="12" t="n">
        <f aca="false">(1+E260)^(1/12)-1</f>
        <v>0.00478687861404836</v>
      </c>
      <c r="G260" s="16" t="n">
        <f aca="false">IF(C260=0,(1+Dic2025!$J$6)^(-B260),EXP(LN(INDEX(Dic2025!$K$6:$K$205,C260))+(LN(INDEX(Dic2025!$K$6:$K$205,MIN(C260+1,200)))-LN(INDEX(Dic2025!$K$6:$K$205,C260)))*(A260-6*C260)/6))</f>
        <v>0.294487938306354</v>
      </c>
      <c r="H260" s="12" t="n">
        <f aca="false">G260^(-1/B260)-1</f>
        <v>0.0589792741845212</v>
      </c>
      <c r="I260" s="12" t="n">
        <f aca="false">(1+H260)^(1/12)-1</f>
        <v>0.00478687861404836</v>
      </c>
      <c r="J260" s="16" t="n">
        <f aca="false">IF(C260=0,(1+Dic2025!$M$6)^(-B260),EXP(LN(INDEX(Dic2025!$N$6:$N$205,C260))+(LN(INDEX(Dic2025!$N$6:$N$205,MIN(C260+1,200)))-LN(INDEX(Dic2025!$N$6:$N$205,C260)))*(A260-6*C260)/6))</f>
        <v>0.294487938306354</v>
      </c>
      <c r="K260" s="12" t="n">
        <f aca="false">J260^(-1/B260)-1</f>
        <v>0.0589792741845212</v>
      </c>
      <c r="L260" s="12" t="n">
        <f aca="false">(1+K260)^(1/12)-1</f>
        <v>0.00478687861404836</v>
      </c>
    </row>
    <row r="261" customFormat="false" ht="15" hidden="false" customHeight="false" outlineLevel="0" collapsed="false">
      <c r="A261" s="4" t="n">
        <v>257</v>
      </c>
      <c r="B261" s="14" t="n">
        <f aca="false">A261/12</f>
        <v>21.4166666666667</v>
      </c>
      <c r="C261" s="15" t="n">
        <f aca="false">INT(A261/6)</f>
        <v>42</v>
      </c>
      <c r="D261" s="16" t="n">
        <f aca="false">IF(C261=0,(1+Dic2025!$G$6)^(-B261),EXP(LN(INDEX(Dic2025!$H$6:$H$205,C261))+(LN(INDEX(Dic2025!$H$6:$H$205,MIN(C261+1,200)))-LN(INDEX(Dic2025!$H$6:$H$205,C261)))*(A261-6*C261)/6))</f>
        <v>0.292884119550194</v>
      </c>
      <c r="E261" s="12" t="n">
        <f aca="false">D261^(-1/B261)-1</f>
        <v>0.0590131729465406</v>
      </c>
      <c r="F261" s="12" t="n">
        <f aca="false">(1+E261)^(1/12)-1</f>
        <v>0.00478955890978128</v>
      </c>
      <c r="G261" s="16" t="n">
        <f aca="false">IF(C261=0,(1+Dic2025!$J$6)^(-B261),EXP(LN(INDEX(Dic2025!$K$6:$K$205,C261))+(LN(INDEX(Dic2025!$K$6:$K$205,MIN(C261+1,200)))-LN(INDEX(Dic2025!$K$6:$K$205,C261)))*(A261-6*C261)/6))</f>
        <v>0.292884119550194</v>
      </c>
      <c r="H261" s="12" t="n">
        <f aca="false">G261^(-1/B261)-1</f>
        <v>0.0590131729465406</v>
      </c>
      <c r="I261" s="12" t="n">
        <f aca="false">(1+H261)^(1/12)-1</f>
        <v>0.00478955890978128</v>
      </c>
      <c r="J261" s="16" t="n">
        <f aca="false">IF(C261=0,(1+Dic2025!$M$6)^(-B261),EXP(LN(INDEX(Dic2025!$N$6:$N$205,C261))+(LN(INDEX(Dic2025!$N$6:$N$205,MIN(C261+1,200)))-LN(INDEX(Dic2025!$N$6:$N$205,C261)))*(A261-6*C261)/6))</f>
        <v>0.292884119550194</v>
      </c>
      <c r="K261" s="12" t="n">
        <f aca="false">J261^(-1/B261)-1</f>
        <v>0.0590131729465406</v>
      </c>
      <c r="L261" s="12" t="n">
        <f aca="false">(1+K261)^(1/12)-1</f>
        <v>0.00478955890978128</v>
      </c>
    </row>
    <row r="262" customFormat="false" ht="15" hidden="false" customHeight="false" outlineLevel="0" collapsed="false">
      <c r="A262" s="4" t="n">
        <v>258</v>
      </c>
      <c r="B262" s="14" t="n">
        <f aca="false">A262/12</f>
        <v>21.5</v>
      </c>
      <c r="C262" s="15" t="n">
        <f aca="false">INT(A262/6)</f>
        <v>43</v>
      </c>
      <c r="D262" s="16" t="n">
        <f aca="false">IF(C262=0,(1+Dic2025!$G$6)^(-B262),EXP(LN(INDEX(Dic2025!$H$6:$H$205,C262))+(LN(INDEX(Dic2025!$H$6:$H$205,MIN(C262+1,200)))-LN(INDEX(Dic2025!$H$6:$H$205,C262)))*(A262-6*C262)/6))</f>
        <v>0.291289035394906</v>
      </c>
      <c r="E262" s="12" t="n">
        <f aca="false">D262^(-1/B262)-1</f>
        <v>0.0590468099999999</v>
      </c>
      <c r="F262" s="12" t="n">
        <f aca="false">(1+E262)^(1/12)-1</f>
        <v>0.00479221843509481</v>
      </c>
      <c r="G262" s="16" t="n">
        <f aca="false">IF(C262=0,(1+Dic2025!$J$6)^(-B262),EXP(LN(INDEX(Dic2025!$K$6:$K$205,C262))+(LN(INDEX(Dic2025!$K$6:$K$205,MIN(C262+1,200)))-LN(INDEX(Dic2025!$K$6:$K$205,C262)))*(A262-6*C262)/6))</f>
        <v>0.291289035394906</v>
      </c>
      <c r="H262" s="12" t="n">
        <f aca="false">G262^(-1/B262)-1</f>
        <v>0.0590468099999999</v>
      </c>
      <c r="I262" s="12" t="n">
        <f aca="false">(1+H262)^(1/12)-1</f>
        <v>0.00479221843509481</v>
      </c>
      <c r="J262" s="16" t="n">
        <f aca="false">IF(C262=0,(1+Dic2025!$M$6)^(-B262),EXP(LN(INDEX(Dic2025!$N$6:$N$205,C262))+(LN(INDEX(Dic2025!$N$6:$N$205,MIN(C262+1,200)))-LN(INDEX(Dic2025!$N$6:$N$205,C262)))*(A262-6*C262)/6))</f>
        <v>0.291289035394906</v>
      </c>
      <c r="K262" s="12" t="n">
        <f aca="false">J262^(-1/B262)-1</f>
        <v>0.0590468099999999</v>
      </c>
      <c r="L262" s="12" t="n">
        <f aca="false">(1+K262)^(1/12)-1</f>
        <v>0.00479221843509481</v>
      </c>
    </row>
    <row r="263" customFormat="false" ht="15" hidden="false" customHeight="false" outlineLevel="0" collapsed="false">
      <c r="A263" s="4" t="n">
        <v>259</v>
      </c>
      <c r="B263" s="14" t="n">
        <f aca="false">A263/12</f>
        <v>21.5833333333333</v>
      </c>
      <c r="C263" s="15" t="n">
        <f aca="false">INT(A263/6)</f>
        <v>43</v>
      </c>
      <c r="D263" s="16" t="n">
        <f aca="false">IF(C263=0,(1+Dic2025!$G$6)^(-B263),EXP(LN(INDEX(Dic2025!$H$6:$H$205,C263))+(LN(INDEX(Dic2025!$H$6:$H$205,MIN(C263+1,200)))-LN(INDEX(Dic2025!$H$6:$H$205,C263)))*(A263-6*C263)/6))</f>
        <v>0.289693274337241</v>
      </c>
      <c r="E263" s="12" t="n">
        <f aca="false">D263^(-1/B263)-1</f>
        <v>0.0590817744382766</v>
      </c>
      <c r="F263" s="12" t="n">
        <f aca="false">(1+E263)^(1/12)-1</f>
        <v>0.0047949828284759</v>
      </c>
      <c r="G263" s="16" t="n">
        <f aca="false">IF(C263=0,(1+Dic2025!$J$6)^(-B263),EXP(LN(INDEX(Dic2025!$K$6:$K$205,C263))+(LN(INDEX(Dic2025!$K$6:$K$205,MIN(C263+1,200)))-LN(INDEX(Dic2025!$K$6:$K$205,C263)))*(A263-6*C263)/6))</f>
        <v>0.289693274337241</v>
      </c>
      <c r="H263" s="12" t="n">
        <f aca="false">G263^(-1/B263)-1</f>
        <v>0.0590817744382766</v>
      </c>
      <c r="I263" s="12" t="n">
        <f aca="false">(1+H263)^(1/12)-1</f>
        <v>0.0047949828284759</v>
      </c>
      <c r="J263" s="16" t="n">
        <f aca="false">IF(C263=0,(1+Dic2025!$M$6)^(-B263),EXP(LN(INDEX(Dic2025!$N$6:$N$205,C263))+(LN(INDEX(Dic2025!$N$6:$N$205,MIN(C263+1,200)))-LN(INDEX(Dic2025!$N$6:$N$205,C263)))*(A263-6*C263)/6))</f>
        <v>0.289693274337241</v>
      </c>
      <c r="K263" s="12" t="n">
        <f aca="false">J263^(-1/B263)-1</f>
        <v>0.0590817744382766</v>
      </c>
      <c r="L263" s="12" t="n">
        <f aca="false">(1+K263)^(1/12)-1</f>
        <v>0.0047949828284759</v>
      </c>
    </row>
    <row r="264" customFormat="false" ht="15" hidden="false" customHeight="false" outlineLevel="0" collapsed="false">
      <c r="A264" s="4" t="n">
        <v>260</v>
      </c>
      <c r="B264" s="14" t="n">
        <f aca="false">A264/12</f>
        <v>21.6666666666667</v>
      </c>
      <c r="C264" s="15" t="n">
        <f aca="false">INT(A264/6)</f>
        <v>43</v>
      </c>
      <c r="D264" s="16" t="n">
        <f aca="false">IF(C264=0,(1+Dic2025!$G$6)^(-B264),EXP(LN(INDEX(Dic2025!$H$6:$H$205,C264))+(LN(INDEX(Dic2025!$H$6:$H$205,MIN(C264+1,200)))-LN(INDEX(Dic2025!$H$6:$H$205,C264)))*(A264-6*C264)/6))</f>
        <v>0.288106255295387</v>
      </c>
      <c r="E264" s="12" t="n">
        <f aca="false">D264^(-1/B264)-1</f>
        <v>0.0591164710604017</v>
      </c>
      <c r="F264" s="12" t="n">
        <f aca="false">(1+E264)^(1/12)-1</f>
        <v>0.00479772596481021</v>
      </c>
      <c r="G264" s="16" t="n">
        <f aca="false">IF(C264=0,(1+Dic2025!$J$6)^(-B264),EXP(LN(INDEX(Dic2025!$K$6:$K$205,C264))+(LN(INDEX(Dic2025!$K$6:$K$205,MIN(C264+1,200)))-LN(INDEX(Dic2025!$K$6:$K$205,C264)))*(A264-6*C264)/6))</f>
        <v>0.288106255295387</v>
      </c>
      <c r="H264" s="12" t="n">
        <f aca="false">G264^(-1/B264)-1</f>
        <v>0.0591164710604017</v>
      </c>
      <c r="I264" s="12" t="n">
        <f aca="false">(1+H264)^(1/12)-1</f>
        <v>0.00479772596481021</v>
      </c>
      <c r="J264" s="16" t="n">
        <f aca="false">IF(C264=0,(1+Dic2025!$M$6)^(-B264),EXP(LN(INDEX(Dic2025!$N$6:$N$205,C264))+(LN(INDEX(Dic2025!$N$6:$N$205,MIN(C264+1,200)))-LN(INDEX(Dic2025!$N$6:$N$205,C264)))*(A264-6*C264)/6))</f>
        <v>0.288106255295387</v>
      </c>
      <c r="K264" s="12" t="n">
        <f aca="false">J264^(-1/B264)-1</f>
        <v>0.0591164710604017</v>
      </c>
      <c r="L264" s="12" t="n">
        <f aca="false">(1+K264)^(1/12)-1</f>
        <v>0.00479772596481021</v>
      </c>
    </row>
    <row r="265" customFormat="false" ht="15" hidden="false" customHeight="false" outlineLevel="0" collapsed="false">
      <c r="A265" s="4" t="n">
        <v>261</v>
      </c>
      <c r="B265" s="14" t="n">
        <f aca="false">A265/12</f>
        <v>21.75</v>
      </c>
      <c r="C265" s="15" t="n">
        <f aca="false">INT(A265/6)</f>
        <v>43</v>
      </c>
      <c r="D265" s="16" t="n">
        <f aca="false">IF(C265=0,(1+Dic2025!$G$6)^(-B265),EXP(LN(INDEX(Dic2025!$H$6:$H$205,C265))+(LN(INDEX(Dic2025!$H$6:$H$205,MIN(C265+1,200)))-LN(INDEX(Dic2025!$H$6:$H$205,C265)))*(A265-6*C265)/6))</f>
        <v>0.286527930378189</v>
      </c>
      <c r="E265" s="12" t="n">
        <f aca="false">D265^(-1/B265)-1</f>
        <v>0.059150902931693</v>
      </c>
      <c r="F265" s="12" t="n">
        <f aca="false">(1+E265)^(1/12)-1</f>
        <v>0.0048004480883459</v>
      </c>
      <c r="G265" s="16" t="n">
        <f aca="false">IF(C265=0,(1+Dic2025!$J$6)^(-B265),EXP(LN(INDEX(Dic2025!$K$6:$K$205,C265))+(LN(INDEX(Dic2025!$K$6:$K$205,MIN(C265+1,200)))-LN(INDEX(Dic2025!$K$6:$K$205,C265)))*(A265-6*C265)/6))</f>
        <v>0.286527930378189</v>
      </c>
      <c r="H265" s="12" t="n">
        <f aca="false">G265^(-1/B265)-1</f>
        <v>0.059150902931693</v>
      </c>
      <c r="I265" s="12" t="n">
        <f aca="false">(1+H265)^(1/12)-1</f>
        <v>0.0048004480883459</v>
      </c>
      <c r="J265" s="16" t="n">
        <f aca="false">IF(C265=0,(1+Dic2025!$M$6)^(-B265),EXP(LN(INDEX(Dic2025!$N$6:$N$205,C265))+(LN(INDEX(Dic2025!$N$6:$N$205,MIN(C265+1,200)))-LN(INDEX(Dic2025!$N$6:$N$205,C265)))*(A265-6*C265)/6))</f>
        <v>0.286527930378189</v>
      </c>
      <c r="K265" s="12" t="n">
        <f aca="false">J265^(-1/B265)-1</f>
        <v>0.059150902931693</v>
      </c>
      <c r="L265" s="12" t="n">
        <f aca="false">(1+K265)^(1/12)-1</f>
        <v>0.0048004480883459</v>
      </c>
    </row>
    <row r="266" customFormat="false" ht="15" hidden="false" customHeight="false" outlineLevel="0" collapsed="false">
      <c r="A266" s="4" t="n">
        <v>262</v>
      </c>
      <c r="B266" s="14" t="n">
        <f aca="false">A266/12</f>
        <v>21.8333333333333</v>
      </c>
      <c r="C266" s="15" t="n">
        <f aca="false">INT(A266/6)</f>
        <v>43</v>
      </c>
      <c r="D266" s="16" t="n">
        <f aca="false">IF(C266=0,(1+Dic2025!$G$6)^(-B266),EXP(LN(INDEX(Dic2025!$H$6:$H$205,C266))+(LN(INDEX(Dic2025!$H$6:$H$205,MIN(C266+1,200)))-LN(INDEX(Dic2025!$H$6:$H$205,C266)))*(A266-6*C266)/6))</f>
        <v>0.284958251956854</v>
      </c>
      <c r="E266" s="12" t="n">
        <f aca="false">D266^(-1/B266)-1</f>
        <v>0.0591850730708674</v>
      </c>
      <c r="F266" s="12" t="n">
        <f aca="false">(1+E266)^(1/12)-1</f>
        <v>0.00480314943960281</v>
      </c>
      <c r="G266" s="16" t="n">
        <f aca="false">IF(C266=0,(1+Dic2025!$J$6)^(-B266),EXP(LN(INDEX(Dic2025!$K$6:$K$205,C266))+(LN(INDEX(Dic2025!$K$6:$K$205,MIN(C266+1,200)))-LN(INDEX(Dic2025!$K$6:$K$205,C266)))*(A266-6*C266)/6))</f>
        <v>0.284958251956854</v>
      </c>
      <c r="H266" s="12" t="n">
        <f aca="false">G266^(-1/B266)-1</f>
        <v>0.0591850730708674</v>
      </c>
      <c r="I266" s="12" t="n">
        <f aca="false">(1+H266)^(1/12)-1</f>
        <v>0.00480314943960281</v>
      </c>
      <c r="J266" s="16" t="n">
        <f aca="false">IF(C266=0,(1+Dic2025!$M$6)^(-B266),EXP(LN(INDEX(Dic2025!$N$6:$N$205,C266))+(LN(INDEX(Dic2025!$N$6:$N$205,MIN(C266+1,200)))-LN(INDEX(Dic2025!$N$6:$N$205,C266)))*(A266-6*C266)/6))</f>
        <v>0.284958251956854</v>
      </c>
      <c r="K266" s="12" t="n">
        <f aca="false">J266^(-1/B266)-1</f>
        <v>0.0591850730708674</v>
      </c>
      <c r="L266" s="12" t="n">
        <f aca="false">(1+K266)^(1/12)-1</f>
        <v>0.00480314943960281</v>
      </c>
    </row>
    <row r="267" customFormat="false" ht="15" hidden="false" customHeight="false" outlineLevel="0" collapsed="false">
      <c r="A267" s="4" t="n">
        <v>263</v>
      </c>
      <c r="B267" s="14" t="n">
        <f aca="false">A267/12</f>
        <v>21.9166666666667</v>
      </c>
      <c r="C267" s="15" t="n">
        <f aca="false">INT(A267/6)</f>
        <v>43</v>
      </c>
      <c r="D267" s="16" t="n">
        <f aca="false">IF(C267=0,(1+Dic2025!$G$6)^(-B267),EXP(LN(INDEX(Dic2025!$H$6:$H$205,C267))+(LN(INDEX(Dic2025!$H$6:$H$205,MIN(C267+1,200)))-LN(INDEX(Dic2025!$H$6:$H$205,C267)))*(A267-6*C267)/6))</f>
        <v>0.28339717266351</v>
      </c>
      <c r="E267" s="12" t="n">
        <f aca="false">D267^(-1/B267)-1</f>
        <v>0.0592189844509226</v>
      </c>
      <c r="F267" s="12" t="n">
        <f aca="false">(1+E267)^(1/12)-1</f>
        <v>0.00480583025544457</v>
      </c>
      <c r="G267" s="16" t="n">
        <f aca="false">IF(C267=0,(1+Dic2025!$J$6)^(-B267),EXP(LN(INDEX(Dic2025!$K$6:$K$205,C267))+(LN(INDEX(Dic2025!$K$6:$K$205,MIN(C267+1,200)))-LN(INDEX(Dic2025!$K$6:$K$205,C267)))*(A267-6*C267)/6))</f>
        <v>0.28339717266351</v>
      </c>
      <c r="H267" s="12" t="n">
        <f aca="false">G267^(-1/B267)-1</f>
        <v>0.0592189844509226</v>
      </c>
      <c r="I267" s="12" t="n">
        <f aca="false">(1+H267)^(1/12)-1</f>
        <v>0.00480583025544457</v>
      </c>
      <c r="J267" s="16" t="n">
        <f aca="false">IF(C267=0,(1+Dic2025!$M$6)^(-B267),EXP(LN(INDEX(Dic2025!$N$6:$N$205,C267))+(LN(INDEX(Dic2025!$N$6:$N$205,MIN(C267+1,200)))-LN(INDEX(Dic2025!$N$6:$N$205,C267)))*(A267-6*C267)/6))</f>
        <v>0.28339717266351</v>
      </c>
      <c r="K267" s="12" t="n">
        <f aca="false">J267^(-1/B267)-1</f>
        <v>0.0592189844509226</v>
      </c>
      <c r="L267" s="12" t="n">
        <f aca="false">(1+K267)^(1/12)-1</f>
        <v>0.00480583025544457</v>
      </c>
    </row>
    <row r="268" customFormat="false" ht="15" hidden="false" customHeight="false" outlineLevel="0" collapsed="false">
      <c r="A268" s="4" t="n">
        <v>264</v>
      </c>
      <c r="B268" s="14" t="n">
        <f aca="false">A268/12</f>
        <v>22</v>
      </c>
      <c r="C268" s="15" t="n">
        <f aca="false">INT(A268/6)</f>
        <v>44</v>
      </c>
      <c r="D268" s="16" t="n">
        <f aca="false">IF(C268=0,(1+Dic2025!$G$6)^(-B268),EXP(LN(INDEX(Dic2025!$H$6:$H$205,C268))+(LN(INDEX(Dic2025!$H$6:$H$205,MIN(C268+1,200)))-LN(INDEX(Dic2025!$H$6:$H$205,C268)))*(A268-6*C268)/6))</f>
        <v>0.281844645389781</v>
      </c>
      <c r="E268" s="12" t="n">
        <f aca="false">D268^(-1/B268)-1</f>
        <v>0.0592526399999997</v>
      </c>
      <c r="F268" s="12" t="n">
        <f aca="false">(1+E268)^(1/12)-1</f>
        <v>0.0048084907691468</v>
      </c>
      <c r="G268" s="16" t="n">
        <f aca="false">IF(C268=0,(1+Dic2025!$J$6)^(-B268),EXP(LN(INDEX(Dic2025!$K$6:$K$205,C268))+(LN(INDEX(Dic2025!$K$6:$K$205,MIN(C268+1,200)))-LN(INDEX(Dic2025!$K$6:$K$205,C268)))*(A268-6*C268)/6))</f>
        <v>0.281844645389781</v>
      </c>
      <c r="H268" s="12" t="n">
        <f aca="false">G268^(-1/B268)-1</f>
        <v>0.0592526399999997</v>
      </c>
      <c r="I268" s="12" t="n">
        <f aca="false">(1+H268)^(1/12)-1</f>
        <v>0.0048084907691468</v>
      </c>
      <c r="J268" s="16" t="n">
        <f aca="false">IF(C268=0,(1+Dic2025!$M$6)^(-B268),EXP(LN(INDEX(Dic2025!$N$6:$N$205,C268))+(LN(INDEX(Dic2025!$N$6:$N$205,MIN(C268+1,200)))-LN(INDEX(Dic2025!$N$6:$N$205,C268)))*(A268-6*C268)/6))</f>
        <v>0.281844645389781</v>
      </c>
      <c r="K268" s="12" t="n">
        <f aca="false">J268^(-1/B268)-1</f>
        <v>0.0592526399999997</v>
      </c>
      <c r="L268" s="12" t="n">
        <f aca="false">(1+K268)^(1/12)-1</f>
        <v>0.0048084907691468</v>
      </c>
    </row>
    <row r="269" customFormat="false" ht="15" hidden="false" customHeight="false" outlineLevel="0" collapsed="false">
      <c r="A269" s="4" t="n">
        <v>265</v>
      </c>
      <c r="B269" s="14" t="n">
        <f aca="false">A269/12</f>
        <v>22.0833333333333</v>
      </c>
      <c r="C269" s="15" t="n">
        <f aca="false">INT(A269/6)</f>
        <v>44</v>
      </c>
      <c r="D269" s="16" t="n">
        <f aca="false">IF(C269=0,(1+Dic2025!$G$6)^(-B269),EXP(LN(INDEX(Dic2025!$H$6:$H$205,C269))+(LN(INDEX(Dic2025!$H$6:$H$205,MIN(C269+1,200)))-LN(INDEX(Dic2025!$H$6:$H$205,C269)))*(A269-6*C269)/6))</f>
        <v>0.2802915645686</v>
      </c>
      <c r="E269" s="12" t="n">
        <f aca="false">D269^(-1/B269)-1</f>
        <v>0.0592875928409287</v>
      </c>
      <c r="F269" s="12" t="n">
        <f aca="false">(1+E269)^(1/12)-1</f>
        <v>0.00481125375338531</v>
      </c>
      <c r="G269" s="16" t="n">
        <f aca="false">IF(C269=0,(1+Dic2025!$J$6)^(-B269),EXP(LN(INDEX(Dic2025!$K$6:$K$205,C269))+(LN(INDEX(Dic2025!$K$6:$K$205,MIN(C269+1,200)))-LN(INDEX(Dic2025!$K$6:$K$205,C269)))*(A269-6*C269)/6))</f>
        <v>0.2802915645686</v>
      </c>
      <c r="H269" s="12" t="n">
        <f aca="false">G269^(-1/B269)-1</f>
        <v>0.0592875928409287</v>
      </c>
      <c r="I269" s="12" t="n">
        <f aca="false">(1+H269)^(1/12)-1</f>
        <v>0.00481125375338531</v>
      </c>
      <c r="J269" s="16" t="n">
        <f aca="false">IF(C269=0,(1+Dic2025!$M$6)^(-B269),EXP(LN(INDEX(Dic2025!$N$6:$N$205,C269))+(LN(INDEX(Dic2025!$N$6:$N$205,MIN(C269+1,200)))-LN(INDEX(Dic2025!$N$6:$N$205,C269)))*(A269-6*C269)/6))</f>
        <v>0.2802915645686</v>
      </c>
      <c r="K269" s="12" t="n">
        <f aca="false">J269^(-1/B269)-1</f>
        <v>0.0592875928409287</v>
      </c>
      <c r="L269" s="12" t="n">
        <f aca="false">(1+K269)^(1/12)-1</f>
        <v>0.00481125375338531</v>
      </c>
    </row>
    <row r="270" customFormat="false" ht="15" hidden="false" customHeight="false" outlineLevel="0" collapsed="false">
      <c r="A270" s="4" t="n">
        <v>266</v>
      </c>
      <c r="B270" s="14" t="n">
        <f aca="false">A270/12</f>
        <v>22.1666666666667</v>
      </c>
      <c r="C270" s="15" t="n">
        <f aca="false">INT(A270/6)</f>
        <v>44</v>
      </c>
      <c r="D270" s="16" t="n">
        <f aca="false">IF(C270=0,(1+Dic2025!$G$6)^(-B270),EXP(LN(INDEX(Dic2025!$H$6:$H$205,C270))+(LN(INDEX(Dic2025!$H$6:$H$205,MIN(C270+1,200)))-LN(INDEX(Dic2025!$H$6:$H$205,C270)))*(A270-6*C270)/6))</f>
        <v>0.278747041866498</v>
      </c>
      <c r="E270" s="12" t="n">
        <f aca="false">D270^(-1/B270)-1</f>
        <v>0.0593222840189285</v>
      </c>
      <c r="F270" s="12" t="n">
        <f aca="false">(1+E270)^(1/12)-1</f>
        <v>0.00481399597081822</v>
      </c>
      <c r="G270" s="16" t="n">
        <f aca="false">IF(C270=0,(1+Dic2025!$J$6)^(-B270),EXP(LN(INDEX(Dic2025!$K$6:$K$205,C270))+(LN(INDEX(Dic2025!$K$6:$K$205,MIN(C270+1,200)))-LN(INDEX(Dic2025!$K$6:$K$205,C270)))*(A270-6*C270)/6))</f>
        <v>0.278747041866498</v>
      </c>
      <c r="H270" s="12" t="n">
        <f aca="false">G270^(-1/B270)-1</f>
        <v>0.0593222840189285</v>
      </c>
      <c r="I270" s="12" t="n">
        <f aca="false">(1+H270)^(1/12)-1</f>
        <v>0.00481399597081822</v>
      </c>
      <c r="J270" s="16" t="n">
        <f aca="false">IF(C270=0,(1+Dic2025!$M$6)^(-B270),EXP(LN(INDEX(Dic2025!$N$6:$N$205,C270))+(LN(INDEX(Dic2025!$N$6:$N$205,MIN(C270+1,200)))-LN(INDEX(Dic2025!$N$6:$N$205,C270)))*(A270-6*C270)/6))</f>
        <v>0.278747041866498</v>
      </c>
      <c r="K270" s="12" t="n">
        <f aca="false">J270^(-1/B270)-1</f>
        <v>0.0593222840189285</v>
      </c>
      <c r="L270" s="12" t="n">
        <f aca="false">(1+K270)^(1/12)-1</f>
        <v>0.00481399597081822</v>
      </c>
    </row>
    <row r="271" customFormat="false" ht="15" hidden="false" customHeight="false" outlineLevel="0" collapsed="false">
      <c r="A271" s="4" t="n">
        <v>267</v>
      </c>
      <c r="B271" s="14" t="n">
        <f aca="false">A271/12</f>
        <v>22.25</v>
      </c>
      <c r="C271" s="15" t="n">
        <f aca="false">INT(A271/6)</f>
        <v>44</v>
      </c>
      <c r="D271" s="16" t="n">
        <f aca="false">IF(C271=0,(1+Dic2025!$G$6)^(-B271),EXP(LN(INDEX(Dic2025!$H$6:$H$205,C271))+(LN(INDEX(Dic2025!$H$6:$H$205,MIN(C271+1,200)))-LN(INDEX(Dic2025!$H$6:$H$205,C271)))*(A271-6*C271)/6))</f>
        <v>0.277211030124692</v>
      </c>
      <c r="E271" s="12" t="n">
        <f aca="false">D271^(-1/B271)-1</f>
        <v>0.0593567164613036</v>
      </c>
      <c r="F271" s="12" t="n">
        <f aca="false">(1+E271)^(1/12)-1</f>
        <v>0.00481671765469671</v>
      </c>
      <c r="G271" s="16" t="n">
        <f aca="false">IF(C271=0,(1+Dic2025!$J$6)^(-B271),EXP(LN(INDEX(Dic2025!$K$6:$K$205,C271))+(LN(INDEX(Dic2025!$K$6:$K$205,MIN(C271+1,200)))-LN(INDEX(Dic2025!$K$6:$K$205,C271)))*(A271-6*C271)/6))</f>
        <v>0.277211030124692</v>
      </c>
      <c r="H271" s="12" t="n">
        <f aca="false">G271^(-1/B271)-1</f>
        <v>0.0593567164613036</v>
      </c>
      <c r="I271" s="12" t="n">
        <f aca="false">(1+H271)^(1/12)-1</f>
        <v>0.00481671765469671</v>
      </c>
      <c r="J271" s="16" t="n">
        <f aca="false">IF(C271=0,(1+Dic2025!$M$6)^(-B271),EXP(LN(INDEX(Dic2025!$N$6:$N$205,C271))+(LN(INDEX(Dic2025!$N$6:$N$205,MIN(C271+1,200)))-LN(INDEX(Dic2025!$N$6:$N$205,C271)))*(A271-6*C271)/6))</f>
        <v>0.277211030124692</v>
      </c>
      <c r="K271" s="12" t="n">
        <f aca="false">J271^(-1/B271)-1</f>
        <v>0.0593567164613036</v>
      </c>
      <c r="L271" s="12" t="n">
        <f aca="false">(1+K271)^(1/12)-1</f>
        <v>0.00481671765469671</v>
      </c>
    </row>
    <row r="272" customFormat="false" ht="15" hidden="false" customHeight="false" outlineLevel="0" collapsed="false">
      <c r="A272" s="4" t="n">
        <v>268</v>
      </c>
      <c r="B272" s="14" t="n">
        <f aca="false">A272/12</f>
        <v>22.3333333333333</v>
      </c>
      <c r="C272" s="15" t="n">
        <f aca="false">INT(A272/6)</f>
        <v>44</v>
      </c>
      <c r="D272" s="16" t="n">
        <f aca="false">IF(C272=0,(1+Dic2025!$G$6)^(-B272),EXP(LN(INDEX(Dic2025!$H$6:$H$205,C272))+(LN(INDEX(Dic2025!$H$6:$H$205,MIN(C272+1,200)))-LN(INDEX(Dic2025!$H$6:$H$205,C272)))*(A272-6*C272)/6))</f>
        <v>0.275683482444264</v>
      </c>
      <c r="E272" s="12" t="n">
        <f aca="false">D272^(-1/B272)-1</f>
        <v>0.0593908930518556</v>
      </c>
      <c r="F272" s="12" t="n">
        <f aca="false">(1+E272)^(1/12)-1</f>
        <v>0.004819419034791</v>
      </c>
      <c r="G272" s="16" t="n">
        <f aca="false">IF(C272=0,(1+Dic2025!$J$6)^(-B272),EXP(LN(INDEX(Dic2025!$K$6:$K$205,C272))+(LN(INDEX(Dic2025!$K$6:$K$205,MIN(C272+1,200)))-LN(INDEX(Dic2025!$K$6:$K$205,C272)))*(A272-6*C272)/6))</f>
        <v>0.275683482444264</v>
      </c>
      <c r="H272" s="12" t="n">
        <f aca="false">G272^(-1/B272)-1</f>
        <v>0.0593908930518556</v>
      </c>
      <c r="I272" s="12" t="n">
        <f aca="false">(1+H272)^(1/12)-1</f>
        <v>0.004819419034791</v>
      </c>
      <c r="J272" s="16" t="n">
        <f aca="false">IF(C272=0,(1+Dic2025!$M$6)^(-B272),EXP(LN(INDEX(Dic2025!$N$6:$N$205,C272))+(LN(INDEX(Dic2025!$N$6:$N$205,MIN(C272+1,200)))-LN(INDEX(Dic2025!$N$6:$N$205,C272)))*(A272-6*C272)/6))</f>
        <v>0.275683482444264</v>
      </c>
      <c r="K272" s="12" t="n">
        <f aca="false">J272^(-1/B272)-1</f>
        <v>0.0593908930518556</v>
      </c>
      <c r="L272" s="12" t="n">
        <f aca="false">(1+K272)^(1/12)-1</f>
        <v>0.004819419034791</v>
      </c>
    </row>
    <row r="273" customFormat="false" ht="15" hidden="false" customHeight="false" outlineLevel="0" collapsed="false">
      <c r="A273" s="4" t="n">
        <v>269</v>
      </c>
      <c r="B273" s="14" t="n">
        <f aca="false">A273/12</f>
        <v>22.4166666666667</v>
      </c>
      <c r="C273" s="15" t="n">
        <f aca="false">INT(A273/6)</f>
        <v>44</v>
      </c>
      <c r="D273" s="16" t="n">
        <f aca="false">IF(C273=0,(1+Dic2025!$G$6)^(-B273),EXP(LN(INDEX(Dic2025!$H$6:$H$205,C273))+(LN(INDEX(Dic2025!$H$6:$H$205,MIN(C273+1,200)))-LN(INDEX(Dic2025!$H$6:$H$205,C273)))*(A273-6*C273)/6))</f>
        <v>0.274164352184725</v>
      </c>
      <c r="E273" s="12" t="n">
        <f aca="false">D273^(-1/B273)-1</f>
        <v>0.0594248166316895</v>
      </c>
      <c r="F273" s="12" t="n">
        <f aca="false">(1+E273)^(1/12)-1</f>
        <v>0.00482210033745667</v>
      </c>
      <c r="G273" s="16" t="n">
        <f aca="false">IF(C273=0,(1+Dic2025!$J$6)^(-B273),EXP(LN(INDEX(Dic2025!$K$6:$K$205,C273))+(LN(INDEX(Dic2025!$K$6:$K$205,MIN(C273+1,200)))-LN(INDEX(Dic2025!$K$6:$K$205,C273)))*(A273-6*C273)/6))</f>
        <v>0.274164352184725</v>
      </c>
      <c r="H273" s="12" t="n">
        <f aca="false">G273^(-1/B273)-1</f>
        <v>0.0594248166316895</v>
      </c>
      <c r="I273" s="12" t="n">
        <f aca="false">(1+H273)^(1/12)-1</f>
        <v>0.00482210033745667</v>
      </c>
      <c r="J273" s="16" t="n">
        <f aca="false">IF(C273=0,(1+Dic2025!$M$6)^(-B273),EXP(LN(INDEX(Dic2025!$N$6:$N$205,C273))+(LN(INDEX(Dic2025!$N$6:$N$205,MIN(C273+1,200)))-LN(INDEX(Dic2025!$N$6:$N$205,C273)))*(A273-6*C273)/6))</f>
        <v>0.274164352184725</v>
      </c>
      <c r="K273" s="12" t="n">
        <f aca="false">J273^(-1/B273)-1</f>
        <v>0.0594248166316895</v>
      </c>
      <c r="L273" s="12" t="n">
        <f aca="false">(1+K273)^(1/12)-1</f>
        <v>0.00482210033745667</v>
      </c>
    </row>
    <row r="274" customFormat="false" ht="15" hidden="false" customHeight="false" outlineLevel="0" collapsed="false">
      <c r="A274" s="4" t="n">
        <v>270</v>
      </c>
      <c r="B274" s="14" t="n">
        <f aca="false">A274/12</f>
        <v>22.5</v>
      </c>
      <c r="C274" s="15" t="n">
        <f aca="false">INT(A274/6)</f>
        <v>45</v>
      </c>
      <c r="D274" s="16" t="n">
        <f aca="false">IF(C274=0,(1+Dic2025!$G$6)^(-B274),EXP(LN(INDEX(Dic2025!$H$6:$H$205,C274))+(LN(INDEX(Dic2025!$H$6:$H$205,MIN(C274+1,200)))-LN(INDEX(Dic2025!$H$6:$H$205,C274)))*(A274-6*C274)/6))</f>
        <v>0.272653592962599</v>
      </c>
      <c r="E274" s="12" t="n">
        <f aca="false">D274^(-1/B274)-1</f>
        <v>0.0594584900000001</v>
      </c>
      <c r="F274" s="12" t="n">
        <f aca="false">(1+E274)^(1/12)-1</f>
        <v>0.00482476178569669</v>
      </c>
      <c r="G274" s="16" t="n">
        <f aca="false">IF(C274=0,(1+Dic2025!$J$6)^(-B274),EXP(LN(INDEX(Dic2025!$K$6:$K$205,C274))+(LN(INDEX(Dic2025!$K$6:$K$205,MIN(C274+1,200)))-LN(INDEX(Dic2025!$K$6:$K$205,C274)))*(A274-6*C274)/6))</f>
        <v>0.272653592962599</v>
      </c>
      <c r="H274" s="12" t="n">
        <f aca="false">G274^(-1/B274)-1</f>
        <v>0.0594584900000001</v>
      </c>
      <c r="I274" s="12" t="n">
        <f aca="false">(1+H274)^(1/12)-1</f>
        <v>0.00482476178569669</v>
      </c>
      <c r="J274" s="16" t="n">
        <f aca="false">IF(C274=0,(1+Dic2025!$M$6)^(-B274),EXP(LN(INDEX(Dic2025!$N$6:$N$205,C274))+(LN(INDEX(Dic2025!$N$6:$N$205,MIN(C274+1,200)))-LN(INDEX(Dic2025!$N$6:$N$205,C274)))*(A274-6*C274)/6))</f>
        <v>0.272653592962599</v>
      </c>
      <c r="K274" s="12" t="n">
        <f aca="false">J274^(-1/B274)-1</f>
        <v>0.0594584900000001</v>
      </c>
      <c r="L274" s="12" t="n">
        <f aca="false">(1+K274)^(1/12)-1</f>
        <v>0.00482476178569669</v>
      </c>
    </row>
    <row r="275" customFormat="false" ht="15" hidden="false" customHeight="false" outlineLevel="0" collapsed="false">
      <c r="A275" s="4" t="n">
        <v>271</v>
      </c>
      <c r="B275" s="14" t="n">
        <f aca="false">A275/12</f>
        <v>22.5833333333333</v>
      </c>
      <c r="C275" s="15" t="n">
        <f aca="false">INT(A275/6)</f>
        <v>45</v>
      </c>
      <c r="D275" s="16" t="n">
        <f aca="false">IF(C275=0,(1+Dic2025!$G$6)^(-B275),EXP(LN(INDEX(Dic2025!$H$6:$H$205,C275))+(LN(INDEX(Dic2025!$H$6:$H$205,MIN(C275+1,200)))-LN(INDEX(Dic2025!$H$6:$H$205,C275)))*(A275-6*C275)/6))</f>
        <v>0.271243387573585</v>
      </c>
      <c r="E275" s="12" t="n">
        <f aca="false">D275^(-1/B275)-1</f>
        <v>0.0594759612326299</v>
      </c>
      <c r="F275" s="12" t="n">
        <f aca="false">(1+E275)^(1/12)-1</f>
        <v>0.00482614263218917</v>
      </c>
      <c r="G275" s="16" t="n">
        <f aca="false">IF(C275=0,(1+Dic2025!$J$6)^(-B275),EXP(LN(INDEX(Dic2025!$K$6:$K$205,C275))+(LN(INDEX(Dic2025!$K$6:$K$205,MIN(C275+1,200)))-LN(INDEX(Dic2025!$K$6:$K$205,C275)))*(A275-6*C275)/6))</f>
        <v>0.271243387573585</v>
      </c>
      <c r="H275" s="12" t="n">
        <f aca="false">G275^(-1/B275)-1</f>
        <v>0.0594759612326299</v>
      </c>
      <c r="I275" s="12" t="n">
        <f aca="false">(1+H275)^(1/12)-1</f>
        <v>0.00482614263218917</v>
      </c>
      <c r="J275" s="16" t="n">
        <f aca="false">IF(C275=0,(1+Dic2025!$M$6)^(-B275),EXP(LN(INDEX(Dic2025!$N$6:$N$205,C275))+(LN(INDEX(Dic2025!$N$6:$N$205,MIN(C275+1,200)))-LN(INDEX(Dic2025!$N$6:$N$205,C275)))*(A275-6*C275)/6))</f>
        <v>0.271243387573585</v>
      </c>
      <c r="K275" s="12" t="n">
        <f aca="false">J275^(-1/B275)-1</f>
        <v>0.0594759612326299</v>
      </c>
      <c r="L275" s="12" t="n">
        <f aca="false">(1+K275)^(1/12)-1</f>
        <v>0.00482614263218917</v>
      </c>
    </row>
    <row r="276" customFormat="false" ht="15" hidden="false" customHeight="false" outlineLevel="0" collapsed="false">
      <c r="A276" s="4" t="n">
        <v>272</v>
      </c>
      <c r="B276" s="14" t="n">
        <f aca="false">A276/12</f>
        <v>22.6666666666667</v>
      </c>
      <c r="C276" s="15" t="n">
        <f aca="false">INT(A276/6)</f>
        <v>45</v>
      </c>
      <c r="D276" s="16" t="n">
        <f aca="false">IF(C276=0,(1+Dic2025!$G$6)^(-B276),EXP(LN(INDEX(Dic2025!$H$6:$H$205,C276))+(LN(INDEX(Dic2025!$H$6:$H$205,MIN(C276+1,200)))-LN(INDEX(Dic2025!$H$6:$H$205,C276)))*(A276-6*C276)/6))</f>
        <v>0.269840475978934</v>
      </c>
      <c r="E276" s="12" t="n">
        <f aca="false">D276^(-1/B276)-1</f>
        <v>0.0594933042852568</v>
      </c>
      <c r="F276" s="12" t="n">
        <f aca="false">(1+E276)^(1/12)-1</f>
        <v>0.00482751332727527</v>
      </c>
      <c r="G276" s="16" t="n">
        <f aca="false">IF(C276=0,(1+Dic2025!$J$6)^(-B276),EXP(LN(INDEX(Dic2025!$K$6:$K$205,C276))+(LN(INDEX(Dic2025!$K$6:$K$205,MIN(C276+1,200)))-LN(INDEX(Dic2025!$K$6:$K$205,C276)))*(A276-6*C276)/6))</f>
        <v>0.269840475978934</v>
      </c>
      <c r="H276" s="12" t="n">
        <f aca="false">G276^(-1/B276)-1</f>
        <v>0.0594933042852568</v>
      </c>
      <c r="I276" s="12" t="n">
        <f aca="false">(1+H276)^(1/12)-1</f>
        <v>0.00482751332727527</v>
      </c>
      <c r="J276" s="16" t="n">
        <f aca="false">IF(C276=0,(1+Dic2025!$M$6)^(-B276),EXP(LN(INDEX(Dic2025!$N$6:$N$205,C276))+(LN(INDEX(Dic2025!$N$6:$N$205,MIN(C276+1,200)))-LN(INDEX(Dic2025!$N$6:$N$205,C276)))*(A276-6*C276)/6))</f>
        <v>0.269840475978934</v>
      </c>
      <c r="K276" s="12" t="n">
        <f aca="false">J276^(-1/B276)-1</f>
        <v>0.0594933042852568</v>
      </c>
      <c r="L276" s="12" t="n">
        <f aca="false">(1+K276)^(1/12)-1</f>
        <v>0.00482751332727527</v>
      </c>
    </row>
    <row r="277" customFormat="false" ht="15" hidden="false" customHeight="false" outlineLevel="0" collapsed="false">
      <c r="A277" s="4" t="n">
        <v>273</v>
      </c>
      <c r="B277" s="14" t="n">
        <f aca="false">A277/12</f>
        <v>22.75</v>
      </c>
      <c r="C277" s="15" t="n">
        <f aca="false">INT(A277/6)</f>
        <v>45</v>
      </c>
      <c r="D277" s="16" t="n">
        <f aca="false">IF(C277=0,(1+Dic2025!$G$6)^(-B277),EXP(LN(INDEX(Dic2025!$H$6:$H$205,C277))+(LN(INDEX(Dic2025!$H$6:$H$205,MIN(C277+1,200)))-LN(INDEX(Dic2025!$H$6:$H$205,C277)))*(A277-6*C277)/6))</f>
        <v>0.268444820454043</v>
      </c>
      <c r="E277" s="12" t="n">
        <f aca="false">D277^(-1/B277)-1</f>
        <v>0.0595105205633377</v>
      </c>
      <c r="F277" s="12" t="n">
        <f aca="false">(1+E277)^(1/12)-1</f>
        <v>0.00482887398248844</v>
      </c>
      <c r="G277" s="16" t="n">
        <f aca="false">IF(C277=0,(1+Dic2025!$J$6)^(-B277),EXP(LN(INDEX(Dic2025!$K$6:$K$205,C277))+(LN(INDEX(Dic2025!$K$6:$K$205,MIN(C277+1,200)))-LN(INDEX(Dic2025!$K$6:$K$205,C277)))*(A277-6*C277)/6))</f>
        <v>0.268444820454043</v>
      </c>
      <c r="H277" s="12" t="n">
        <f aca="false">G277^(-1/B277)-1</f>
        <v>0.0595105205633377</v>
      </c>
      <c r="I277" s="12" t="n">
        <f aca="false">(1+H277)^(1/12)-1</f>
        <v>0.00482887398248844</v>
      </c>
      <c r="J277" s="16" t="n">
        <f aca="false">IF(C277=0,(1+Dic2025!$M$6)^(-B277),EXP(LN(INDEX(Dic2025!$N$6:$N$205,C277))+(LN(INDEX(Dic2025!$N$6:$N$205,MIN(C277+1,200)))-LN(INDEX(Dic2025!$N$6:$N$205,C277)))*(A277-6*C277)/6))</f>
        <v>0.268444820454043</v>
      </c>
      <c r="K277" s="12" t="n">
        <f aca="false">J277^(-1/B277)-1</f>
        <v>0.0595105205633377</v>
      </c>
      <c r="L277" s="12" t="n">
        <f aca="false">(1+K277)^(1/12)-1</f>
        <v>0.00482887398248844</v>
      </c>
    </row>
    <row r="278" customFormat="false" ht="15" hidden="false" customHeight="false" outlineLevel="0" collapsed="false">
      <c r="A278" s="4" t="n">
        <v>274</v>
      </c>
      <c r="B278" s="14" t="n">
        <f aca="false">A278/12</f>
        <v>22.8333333333333</v>
      </c>
      <c r="C278" s="15" t="n">
        <f aca="false">INT(A278/6)</f>
        <v>45</v>
      </c>
      <c r="D278" s="16" t="n">
        <f aca="false">IF(C278=0,(1+Dic2025!$G$6)^(-B278),EXP(LN(INDEX(Dic2025!$H$6:$H$205,C278))+(LN(INDEX(Dic2025!$H$6:$H$205,MIN(C278+1,200)))-LN(INDEX(Dic2025!$H$6:$H$205,C278)))*(A278-6*C278)/6))</f>
        <v>0.267056383469429</v>
      </c>
      <c r="E278" s="12" t="n">
        <f aca="false">D278^(-1/B278)-1</f>
        <v>0.0595276114518561</v>
      </c>
      <c r="F278" s="12" t="n">
        <f aca="false">(1+E278)^(1/12)-1</f>
        <v>0.00483022470773409</v>
      </c>
      <c r="G278" s="16" t="n">
        <f aca="false">IF(C278=0,(1+Dic2025!$J$6)^(-B278),EXP(LN(INDEX(Dic2025!$K$6:$K$205,C278))+(LN(INDEX(Dic2025!$K$6:$K$205,MIN(C278+1,200)))-LN(INDEX(Dic2025!$K$6:$K$205,C278)))*(A278-6*C278)/6))</f>
        <v>0.267056383469429</v>
      </c>
      <c r="H278" s="12" t="n">
        <f aca="false">G278^(-1/B278)-1</f>
        <v>0.0595276114518561</v>
      </c>
      <c r="I278" s="12" t="n">
        <f aca="false">(1+H278)^(1/12)-1</f>
        <v>0.00483022470773409</v>
      </c>
      <c r="J278" s="16" t="n">
        <f aca="false">IF(C278=0,(1+Dic2025!$M$6)^(-B278),EXP(LN(INDEX(Dic2025!$N$6:$N$205,C278))+(LN(INDEX(Dic2025!$N$6:$N$205,MIN(C278+1,200)))-LN(INDEX(Dic2025!$N$6:$N$205,C278)))*(A278-6*C278)/6))</f>
        <v>0.267056383469429</v>
      </c>
      <c r="K278" s="12" t="n">
        <f aca="false">J278^(-1/B278)-1</f>
        <v>0.0595276114518561</v>
      </c>
      <c r="L278" s="12" t="n">
        <f aca="false">(1+K278)^(1/12)-1</f>
        <v>0.00483022470773409</v>
      </c>
    </row>
    <row r="279" customFormat="false" ht="15" hidden="false" customHeight="false" outlineLevel="0" collapsed="false">
      <c r="A279" s="4" t="n">
        <v>275</v>
      </c>
      <c r="B279" s="14" t="n">
        <f aca="false">A279/12</f>
        <v>22.9166666666667</v>
      </c>
      <c r="C279" s="15" t="n">
        <f aca="false">INT(A279/6)</f>
        <v>45</v>
      </c>
      <c r="D279" s="16" t="n">
        <f aca="false">IF(C279=0,(1+Dic2025!$G$6)^(-B279),EXP(LN(INDEX(Dic2025!$H$6:$H$205,C279))+(LN(INDEX(Dic2025!$H$6:$H$205,MIN(C279+1,200)))-LN(INDEX(Dic2025!$H$6:$H$205,C279)))*(A279-6*C279)/6))</f>
        <v>0.265675127689716</v>
      </c>
      <c r="E279" s="12" t="n">
        <f aca="false">D279^(-1/B279)-1</f>
        <v>0.0595445783156952</v>
      </c>
      <c r="F279" s="12" t="n">
        <f aca="false">(1+E279)^(1/12)-1</f>
        <v>0.00483156561131937</v>
      </c>
      <c r="G279" s="16" t="n">
        <f aca="false">IF(C279=0,(1+Dic2025!$J$6)^(-B279),EXP(LN(INDEX(Dic2025!$K$6:$K$205,C279))+(LN(INDEX(Dic2025!$K$6:$K$205,MIN(C279+1,200)))-LN(INDEX(Dic2025!$K$6:$K$205,C279)))*(A279-6*C279)/6))</f>
        <v>0.265675127689716</v>
      </c>
      <c r="H279" s="12" t="n">
        <f aca="false">G279^(-1/B279)-1</f>
        <v>0.0595445783156952</v>
      </c>
      <c r="I279" s="12" t="n">
        <f aca="false">(1+H279)^(1/12)-1</f>
        <v>0.00483156561131937</v>
      </c>
      <c r="J279" s="16" t="n">
        <f aca="false">IF(C279=0,(1+Dic2025!$M$6)^(-B279),EXP(LN(INDEX(Dic2025!$N$6:$N$205,C279))+(LN(INDEX(Dic2025!$N$6:$N$205,MIN(C279+1,200)))-LN(INDEX(Dic2025!$N$6:$N$205,C279)))*(A279-6*C279)/6))</f>
        <v>0.265675127689716</v>
      </c>
      <c r="K279" s="12" t="n">
        <f aca="false">J279^(-1/B279)-1</f>
        <v>0.0595445783156952</v>
      </c>
      <c r="L279" s="12" t="n">
        <f aca="false">(1+K279)^(1/12)-1</f>
        <v>0.00483156561131937</v>
      </c>
    </row>
    <row r="280" customFormat="false" ht="15" hidden="false" customHeight="false" outlineLevel="0" collapsed="false">
      <c r="A280" s="4" t="n">
        <v>276</v>
      </c>
      <c r="B280" s="14" t="n">
        <f aca="false">A280/12</f>
        <v>23</v>
      </c>
      <c r="C280" s="15" t="n">
        <f aca="false">INT(A280/6)</f>
        <v>46</v>
      </c>
      <c r="D280" s="16" t="n">
        <f aca="false">IF(C280=0,(1+Dic2025!$G$6)^(-B280),EXP(LN(INDEX(Dic2025!$H$6:$H$205,C280))+(LN(INDEX(Dic2025!$H$6:$H$205,MIN(C280+1,200)))-LN(INDEX(Dic2025!$H$6:$H$205,C280)))*(A280-6*C280)/6))</f>
        <v>0.264301015972632</v>
      </c>
      <c r="E280" s="12" t="n">
        <f aca="false">D280^(-1/B280)-1</f>
        <v>0.0595614225000001</v>
      </c>
      <c r="F280" s="12" t="n">
        <f aca="false">(1+E280)^(1/12)-1</f>
        <v>0.004832896799982</v>
      </c>
      <c r="G280" s="16" t="n">
        <f aca="false">IF(C280=0,(1+Dic2025!$J$6)^(-B280),EXP(LN(INDEX(Dic2025!$K$6:$K$205,C280))+(LN(INDEX(Dic2025!$K$6:$K$205,MIN(C280+1,200)))-LN(INDEX(Dic2025!$K$6:$K$205,C280)))*(A280-6*C280)/6))</f>
        <v>0.264301015972632</v>
      </c>
      <c r="H280" s="12" t="n">
        <f aca="false">G280^(-1/B280)-1</f>
        <v>0.0595614225000001</v>
      </c>
      <c r="I280" s="12" t="n">
        <f aca="false">(1+H280)^(1/12)-1</f>
        <v>0.004832896799982</v>
      </c>
      <c r="J280" s="16" t="n">
        <f aca="false">IF(C280=0,(1+Dic2025!$M$6)^(-B280),EXP(LN(INDEX(Dic2025!$N$6:$N$205,C280))+(LN(INDEX(Dic2025!$N$6:$N$205,MIN(C280+1,200)))-LN(INDEX(Dic2025!$N$6:$N$205,C280)))*(A280-6*C280)/6))</f>
        <v>0.264301015972632</v>
      </c>
      <c r="K280" s="12" t="n">
        <f aca="false">J280^(-1/B280)-1</f>
        <v>0.0595614225000001</v>
      </c>
      <c r="L280" s="12" t="n">
        <f aca="false">(1+K280)^(1/12)-1</f>
        <v>0.004832896799982</v>
      </c>
    </row>
    <row r="281" customFormat="false" ht="15" hidden="false" customHeight="false" outlineLevel="0" collapsed="false">
      <c r="A281" s="4" t="n">
        <v>277</v>
      </c>
      <c r="B281" s="14" t="n">
        <f aca="false">A281/12</f>
        <v>23.0833333333333</v>
      </c>
      <c r="C281" s="15" t="n">
        <f aca="false">INT(A281/6)</f>
        <v>46</v>
      </c>
      <c r="D281" s="16" t="n">
        <f aca="false">IF(C281=0,(1+Dic2025!$G$6)^(-B281),EXP(LN(INDEX(Dic2025!$H$6:$H$205,C281))+(LN(INDEX(Dic2025!$H$6:$H$205,MIN(C281+1,200)))-LN(INDEX(Dic2025!$H$6:$H$205,C281)))*(A281-6*C281)/6))</f>
        <v>0.262829740677774</v>
      </c>
      <c r="E281" s="12" t="n">
        <f aca="false">D281^(-1/B281)-1</f>
        <v>0.0595963523899326</v>
      </c>
      <c r="F281" s="12" t="n">
        <f aca="false">(1+E281)^(1/12)-1</f>
        <v>0.00483565723238222</v>
      </c>
      <c r="G281" s="16" t="n">
        <f aca="false">IF(C281=0,(1+Dic2025!$J$6)^(-B281),EXP(LN(INDEX(Dic2025!$K$6:$K$205,C281))+(LN(INDEX(Dic2025!$K$6:$K$205,MIN(C281+1,200)))-LN(INDEX(Dic2025!$K$6:$K$205,C281)))*(A281-6*C281)/6))</f>
        <v>0.262829740677774</v>
      </c>
      <c r="H281" s="12" t="n">
        <f aca="false">G281^(-1/B281)-1</f>
        <v>0.0595963523899326</v>
      </c>
      <c r="I281" s="12" t="n">
        <f aca="false">(1+H281)^(1/12)-1</f>
        <v>0.00483565723238222</v>
      </c>
      <c r="J281" s="16" t="n">
        <f aca="false">IF(C281=0,(1+Dic2025!$M$6)^(-B281),EXP(LN(INDEX(Dic2025!$N$6:$N$205,C281))+(LN(INDEX(Dic2025!$N$6:$N$205,MIN(C281+1,200)))-LN(INDEX(Dic2025!$N$6:$N$205,C281)))*(A281-6*C281)/6))</f>
        <v>0.262829740677774</v>
      </c>
      <c r="K281" s="12" t="n">
        <f aca="false">J281^(-1/B281)-1</f>
        <v>0.0595963523899326</v>
      </c>
      <c r="L281" s="12" t="n">
        <f aca="false">(1+K281)^(1/12)-1</f>
        <v>0.00483565723238222</v>
      </c>
    </row>
    <row r="282" customFormat="false" ht="15" hidden="false" customHeight="false" outlineLevel="0" collapsed="false">
      <c r="A282" s="4" t="n">
        <v>278</v>
      </c>
      <c r="B282" s="14" t="n">
        <f aca="false">A282/12</f>
        <v>23.1666666666667</v>
      </c>
      <c r="C282" s="15" t="n">
        <f aca="false">INT(A282/6)</f>
        <v>46</v>
      </c>
      <c r="D282" s="16" t="n">
        <f aca="false">IF(C282=0,(1+Dic2025!$G$6)^(-B282),EXP(LN(INDEX(Dic2025!$H$6:$H$205,C282))+(LN(INDEX(Dic2025!$H$6:$H$205,MIN(C282+1,200)))-LN(INDEX(Dic2025!$H$6:$H$205,C282)))*(A282-6*C282)/6))</f>
        <v>0.261366655480048</v>
      </c>
      <c r="E282" s="12" t="n">
        <f aca="false">D282^(-1/B282)-1</f>
        <v>0.0596310321248075</v>
      </c>
      <c r="F282" s="12" t="n">
        <f aca="false">(1+E282)^(1/12)-1</f>
        <v>0.00483839781305839</v>
      </c>
      <c r="G282" s="16" t="n">
        <f aca="false">IF(C282=0,(1+Dic2025!$J$6)^(-B282),EXP(LN(INDEX(Dic2025!$K$6:$K$205,C282))+(LN(INDEX(Dic2025!$K$6:$K$205,MIN(C282+1,200)))-LN(INDEX(Dic2025!$K$6:$K$205,C282)))*(A282-6*C282)/6))</f>
        <v>0.261366655480048</v>
      </c>
      <c r="H282" s="12" t="n">
        <f aca="false">G282^(-1/B282)-1</f>
        <v>0.0596310321248075</v>
      </c>
      <c r="I282" s="12" t="n">
        <f aca="false">(1+H282)^(1/12)-1</f>
        <v>0.00483839781305839</v>
      </c>
      <c r="J282" s="16" t="n">
        <f aca="false">IF(C282=0,(1+Dic2025!$M$6)^(-B282),EXP(LN(INDEX(Dic2025!$N$6:$N$205,C282))+(LN(INDEX(Dic2025!$N$6:$N$205,MIN(C282+1,200)))-LN(INDEX(Dic2025!$N$6:$N$205,C282)))*(A282-6*C282)/6))</f>
        <v>0.261366655480048</v>
      </c>
      <c r="K282" s="12" t="n">
        <f aca="false">J282^(-1/B282)-1</f>
        <v>0.0596310321248075</v>
      </c>
      <c r="L282" s="12" t="n">
        <f aca="false">(1+K282)^(1/12)-1</f>
        <v>0.00483839781305839</v>
      </c>
    </row>
    <row r="283" customFormat="false" ht="15" hidden="false" customHeight="false" outlineLevel="0" collapsed="false">
      <c r="A283" s="4" t="n">
        <v>279</v>
      </c>
      <c r="B283" s="14" t="n">
        <f aca="false">A283/12</f>
        <v>23.25</v>
      </c>
      <c r="C283" s="15" t="n">
        <f aca="false">INT(A283/6)</f>
        <v>46</v>
      </c>
      <c r="D283" s="16" t="n">
        <f aca="false">IF(C283=0,(1+Dic2025!$G$6)^(-B283),EXP(LN(INDEX(Dic2025!$H$6:$H$205,C283))+(LN(INDEX(Dic2025!$H$6:$H$205,MIN(C283+1,200)))-LN(INDEX(Dic2025!$H$6:$H$205,C283)))*(A283-6*C283)/6))</f>
        <v>0.259911714787926</v>
      </c>
      <c r="E283" s="12" t="n">
        <f aca="false">D283^(-1/B283)-1</f>
        <v>0.0596654643822967</v>
      </c>
      <c r="F283" s="12" t="n">
        <f aca="false">(1+E283)^(1/12)-1</f>
        <v>0.0048411187553894</v>
      </c>
      <c r="G283" s="16" t="n">
        <f aca="false">IF(C283=0,(1+Dic2025!$J$6)^(-B283),EXP(LN(INDEX(Dic2025!$K$6:$K$205,C283))+(LN(INDEX(Dic2025!$K$6:$K$205,MIN(C283+1,200)))-LN(INDEX(Dic2025!$K$6:$K$205,C283)))*(A283-6*C283)/6))</f>
        <v>0.259911714787926</v>
      </c>
      <c r="H283" s="12" t="n">
        <f aca="false">G283^(-1/B283)-1</f>
        <v>0.0596654643822967</v>
      </c>
      <c r="I283" s="12" t="n">
        <f aca="false">(1+H283)^(1/12)-1</f>
        <v>0.0048411187553894</v>
      </c>
      <c r="J283" s="16" t="n">
        <f aca="false">IF(C283=0,(1+Dic2025!$M$6)^(-B283),EXP(LN(INDEX(Dic2025!$N$6:$N$205,C283))+(LN(INDEX(Dic2025!$N$6:$N$205,MIN(C283+1,200)))-LN(INDEX(Dic2025!$N$6:$N$205,C283)))*(A283-6*C283)/6))</f>
        <v>0.259911714787926</v>
      </c>
      <c r="K283" s="12" t="n">
        <f aca="false">J283^(-1/B283)-1</f>
        <v>0.0596654643822967</v>
      </c>
      <c r="L283" s="12" t="n">
        <f aca="false">(1+K283)^(1/12)-1</f>
        <v>0.0048411187553894</v>
      </c>
    </row>
    <row r="284" customFormat="false" ht="15" hidden="false" customHeight="false" outlineLevel="0" collapsed="false">
      <c r="A284" s="4" t="n">
        <v>280</v>
      </c>
      <c r="B284" s="14" t="n">
        <f aca="false">A284/12</f>
        <v>23.3333333333333</v>
      </c>
      <c r="C284" s="15" t="n">
        <f aca="false">INT(A284/6)</f>
        <v>46</v>
      </c>
      <c r="D284" s="16" t="n">
        <f aca="false">IF(C284=0,(1+Dic2025!$G$6)^(-B284),EXP(LN(INDEX(Dic2025!$H$6:$H$205,C284))+(LN(INDEX(Dic2025!$H$6:$H$205,MIN(C284+1,200)))-LN(INDEX(Dic2025!$H$6:$H$205,C284)))*(A284-6*C284)/6))</f>
        <v>0.258464873263672</v>
      </c>
      <c r="E284" s="12" t="n">
        <f aca="false">D284^(-1/B284)-1</f>
        <v>0.0596996518019917</v>
      </c>
      <c r="F284" s="12" t="n">
        <f aca="false">(1+E284)^(1/12)-1</f>
        <v>0.0048438202697072</v>
      </c>
      <c r="G284" s="16" t="n">
        <f aca="false">IF(C284=0,(1+Dic2025!$J$6)^(-B284),EXP(LN(INDEX(Dic2025!$K$6:$K$205,C284))+(LN(INDEX(Dic2025!$K$6:$K$205,MIN(C284+1,200)))-LN(INDEX(Dic2025!$K$6:$K$205,C284)))*(A284-6*C284)/6))</f>
        <v>0.258464873263672</v>
      </c>
      <c r="H284" s="12" t="n">
        <f aca="false">G284^(-1/B284)-1</f>
        <v>0.0596996518019917</v>
      </c>
      <c r="I284" s="12" t="n">
        <f aca="false">(1+H284)^(1/12)-1</f>
        <v>0.0048438202697072</v>
      </c>
      <c r="J284" s="16" t="n">
        <f aca="false">IF(C284=0,(1+Dic2025!$M$6)^(-B284),EXP(LN(INDEX(Dic2025!$N$6:$N$205,C284))+(LN(INDEX(Dic2025!$N$6:$N$205,MIN(C284+1,200)))-LN(INDEX(Dic2025!$N$6:$N$205,C284)))*(A284-6*C284)/6))</f>
        <v>0.258464873263672</v>
      </c>
      <c r="K284" s="12" t="n">
        <f aca="false">J284^(-1/B284)-1</f>
        <v>0.0596996518019917</v>
      </c>
      <c r="L284" s="12" t="n">
        <f aca="false">(1+K284)^(1/12)-1</f>
        <v>0.0048438202697072</v>
      </c>
    </row>
    <row r="285" customFormat="false" ht="15" hidden="false" customHeight="false" outlineLevel="0" collapsed="false">
      <c r="A285" s="4" t="n">
        <v>281</v>
      </c>
      <c r="B285" s="14" t="n">
        <f aca="false">A285/12</f>
        <v>23.4166666666667</v>
      </c>
      <c r="C285" s="15" t="n">
        <f aca="false">INT(A285/6)</f>
        <v>46</v>
      </c>
      <c r="D285" s="16" t="n">
        <f aca="false">IF(C285=0,(1+Dic2025!$G$6)^(-B285),EXP(LN(INDEX(Dic2025!$H$6:$H$205,C285))+(LN(INDEX(Dic2025!$H$6:$H$205,MIN(C285+1,200)))-LN(INDEX(Dic2025!$H$6:$H$205,C285)))*(A285-6*C285)/6))</f>
        <v>0.257026085821927</v>
      </c>
      <c r="E285" s="12" t="n">
        <f aca="false">D285^(-1/B285)-1</f>
        <v>0.0597335969860791</v>
      </c>
      <c r="F285" s="12" t="n">
        <f aca="false">(1+E285)^(1/12)-1</f>
        <v>0.00484650256335062</v>
      </c>
      <c r="G285" s="16" t="n">
        <f aca="false">IF(C285=0,(1+Dic2025!$J$6)^(-B285),EXP(LN(INDEX(Dic2025!$K$6:$K$205,C285))+(LN(INDEX(Dic2025!$K$6:$K$205,MIN(C285+1,200)))-LN(INDEX(Dic2025!$K$6:$K$205,C285)))*(A285-6*C285)/6))</f>
        <v>0.257026085821927</v>
      </c>
      <c r="H285" s="12" t="n">
        <f aca="false">G285^(-1/B285)-1</f>
        <v>0.0597335969860791</v>
      </c>
      <c r="I285" s="12" t="n">
        <f aca="false">(1+H285)^(1/12)-1</f>
        <v>0.00484650256335062</v>
      </c>
      <c r="J285" s="16" t="n">
        <f aca="false">IF(C285=0,(1+Dic2025!$M$6)^(-B285),EXP(LN(INDEX(Dic2025!$N$6:$N$205,C285))+(LN(INDEX(Dic2025!$N$6:$N$205,MIN(C285+1,200)))-LN(INDEX(Dic2025!$N$6:$N$205,C285)))*(A285-6*C285)/6))</f>
        <v>0.257026085821927</v>
      </c>
      <c r="K285" s="12" t="n">
        <f aca="false">J285^(-1/B285)-1</f>
        <v>0.0597335969860791</v>
      </c>
      <c r="L285" s="12" t="n">
        <f aca="false">(1+K285)^(1/12)-1</f>
        <v>0.00484650256335062</v>
      </c>
    </row>
    <row r="286" customFormat="false" ht="15" hidden="false" customHeight="false" outlineLevel="0" collapsed="false">
      <c r="A286" s="4" t="n">
        <v>282</v>
      </c>
      <c r="B286" s="14" t="n">
        <f aca="false">A286/12</f>
        <v>23.5</v>
      </c>
      <c r="C286" s="15" t="n">
        <f aca="false">INT(A286/6)</f>
        <v>47</v>
      </c>
      <c r="D286" s="16" t="n">
        <f aca="false">IF(C286=0,(1+Dic2025!$G$6)^(-B286),EXP(LN(INDEX(Dic2025!$H$6:$H$205,C286))+(LN(INDEX(Dic2025!$H$6:$H$205,MIN(C286+1,200)))-LN(INDEX(Dic2025!$H$6:$H$205,C286)))*(A286-6*C286)/6))</f>
        <v>0.255595307628312</v>
      </c>
      <c r="E286" s="12" t="n">
        <f aca="false">D286^(-1/B286)-1</f>
        <v>0.0597673024999998</v>
      </c>
      <c r="F286" s="12" t="n">
        <f aca="false">(1+E286)^(1/12)-1</f>
        <v>0.00484916584071904</v>
      </c>
      <c r="G286" s="16" t="n">
        <f aca="false">IF(C286=0,(1+Dic2025!$J$6)^(-B286),EXP(LN(INDEX(Dic2025!$K$6:$K$205,C286))+(LN(INDEX(Dic2025!$K$6:$K$205,MIN(C286+1,200)))-LN(INDEX(Dic2025!$K$6:$K$205,C286)))*(A286-6*C286)/6))</f>
        <v>0.255595307628312</v>
      </c>
      <c r="H286" s="12" t="n">
        <f aca="false">G286^(-1/B286)-1</f>
        <v>0.0597673024999998</v>
      </c>
      <c r="I286" s="12" t="n">
        <f aca="false">(1+H286)^(1/12)-1</f>
        <v>0.00484916584071904</v>
      </c>
      <c r="J286" s="16" t="n">
        <f aca="false">IF(C286=0,(1+Dic2025!$M$6)^(-B286),EXP(LN(INDEX(Dic2025!$N$6:$N$205,C286))+(LN(INDEX(Dic2025!$N$6:$N$205,MIN(C286+1,200)))-LN(INDEX(Dic2025!$N$6:$N$205,C286)))*(A286-6*C286)/6))</f>
        <v>0.255595307628312</v>
      </c>
      <c r="K286" s="12" t="n">
        <f aca="false">J286^(-1/B286)-1</f>
        <v>0.0597673024999998</v>
      </c>
      <c r="L286" s="12" t="n">
        <f aca="false">(1+K286)^(1/12)-1</f>
        <v>0.00484916584071904</v>
      </c>
    </row>
    <row r="287" customFormat="false" ht="15" hidden="false" customHeight="false" outlineLevel="0" collapsed="false">
      <c r="A287" s="4" t="n">
        <v>283</v>
      </c>
      <c r="B287" s="14" t="n">
        <f aca="false">A287/12</f>
        <v>23.5833333333333</v>
      </c>
      <c r="C287" s="15" t="n">
        <f aca="false">INT(A287/6)</f>
        <v>47</v>
      </c>
      <c r="D287" s="16" t="n">
        <f aca="false">IF(C287=0,(1+Dic2025!$G$6)^(-B287),EXP(LN(INDEX(Dic2025!$H$6:$H$205,C287))+(LN(INDEX(Dic2025!$H$6:$H$205,MIN(C287+1,200)))-LN(INDEX(Dic2025!$H$6:$H$205,C287)))*(A287-6*C287)/6))</f>
        <v>0.254263052278346</v>
      </c>
      <c r="E287" s="12" t="n">
        <f aca="false">D287^(-1/B287)-1</f>
        <v>0.0597847628558617</v>
      </c>
      <c r="F287" s="12" t="n">
        <f aca="false">(1+E287)^(1/12)-1</f>
        <v>0.00485054545895336</v>
      </c>
      <c r="G287" s="16" t="n">
        <f aca="false">IF(C287=0,(1+Dic2025!$J$6)^(-B287),EXP(LN(INDEX(Dic2025!$K$6:$K$205,C287))+(LN(INDEX(Dic2025!$K$6:$K$205,MIN(C287+1,200)))-LN(INDEX(Dic2025!$K$6:$K$205,C287)))*(A287-6*C287)/6))</f>
        <v>0.254263052278346</v>
      </c>
      <c r="H287" s="12" t="n">
        <f aca="false">G287^(-1/B287)-1</f>
        <v>0.0597847628558617</v>
      </c>
      <c r="I287" s="12" t="n">
        <f aca="false">(1+H287)^(1/12)-1</f>
        <v>0.00485054545895336</v>
      </c>
      <c r="J287" s="16" t="n">
        <f aca="false">IF(C287=0,(1+Dic2025!$M$6)^(-B287),EXP(LN(INDEX(Dic2025!$N$6:$N$205,C287))+(LN(INDEX(Dic2025!$N$6:$N$205,MIN(C287+1,200)))-LN(INDEX(Dic2025!$N$6:$N$205,C287)))*(A287-6*C287)/6))</f>
        <v>0.254263052278346</v>
      </c>
      <c r="K287" s="12" t="n">
        <f aca="false">J287^(-1/B287)-1</f>
        <v>0.0597847628558617</v>
      </c>
      <c r="L287" s="12" t="n">
        <f aca="false">(1+K287)^(1/12)-1</f>
        <v>0.00485054545895336</v>
      </c>
    </row>
    <row r="288" customFormat="false" ht="15" hidden="false" customHeight="false" outlineLevel="0" collapsed="false">
      <c r="A288" s="4" t="n">
        <v>284</v>
      </c>
      <c r="B288" s="14" t="n">
        <f aca="false">A288/12</f>
        <v>23.6666666666667</v>
      </c>
      <c r="C288" s="15" t="n">
        <f aca="false">INT(A288/6)</f>
        <v>47</v>
      </c>
      <c r="D288" s="16" t="n">
        <f aca="false">IF(C288=0,(1+Dic2025!$G$6)^(-B288),EXP(LN(INDEX(Dic2025!$H$6:$H$205,C288))+(LN(INDEX(Dic2025!$H$6:$H$205,MIN(C288+1,200)))-LN(INDEX(Dic2025!$H$6:$H$205,C288)))*(A288-6*C288)/6))</f>
        <v>0.252937741125964</v>
      </c>
      <c r="E288" s="12" t="n">
        <f aca="false">D288^(-1/B288)-1</f>
        <v>0.0598021005361098</v>
      </c>
      <c r="F288" s="12" t="n">
        <f aca="false">(1+E288)^(1/12)-1</f>
        <v>0.00485191536344054</v>
      </c>
      <c r="G288" s="16" t="n">
        <f aca="false">IF(C288=0,(1+Dic2025!$J$6)^(-B288),EXP(LN(INDEX(Dic2025!$K$6:$K$205,C288))+(LN(INDEX(Dic2025!$K$6:$K$205,MIN(C288+1,200)))-LN(INDEX(Dic2025!$K$6:$K$205,C288)))*(A288-6*C288)/6))</f>
        <v>0.252937741125964</v>
      </c>
      <c r="H288" s="12" t="n">
        <f aca="false">G288^(-1/B288)-1</f>
        <v>0.0598021005361098</v>
      </c>
      <c r="I288" s="12" t="n">
        <f aca="false">(1+H288)^(1/12)-1</f>
        <v>0.00485191536344054</v>
      </c>
      <c r="J288" s="16" t="n">
        <f aca="false">IF(C288=0,(1+Dic2025!$M$6)^(-B288),EXP(LN(INDEX(Dic2025!$N$6:$N$205,C288))+(LN(INDEX(Dic2025!$N$6:$N$205,MIN(C288+1,200)))-LN(INDEX(Dic2025!$N$6:$N$205,C288)))*(A288-6*C288)/6))</f>
        <v>0.252937741125964</v>
      </c>
      <c r="K288" s="12" t="n">
        <f aca="false">J288^(-1/B288)-1</f>
        <v>0.0598021005361098</v>
      </c>
      <c r="L288" s="12" t="n">
        <f aca="false">(1+K288)^(1/12)-1</f>
        <v>0.00485191536344054</v>
      </c>
    </row>
    <row r="289" customFormat="false" ht="15" hidden="false" customHeight="false" outlineLevel="0" collapsed="false">
      <c r="A289" s="4" t="n">
        <v>285</v>
      </c>
      <c r="B289" s="14" t="n">
        <f aca="false">A289/12</f>
        <v>23.75</v>
      </c>
      <c r="C289" s="15" t="n">
        <f aca="false">INT(A289/6)</f>
        <v>47</v>
      </c>
      <c r="D289" s="16" t="n">
        <f aca="false">IF(C289=0,(1+Dic2025!$G$6)^(-B289),EXP(LN(INDEX(Dic2025!$H$6:$H$205,C289))+(LN(INDEX(Dic2025!$H$6:$H$205,MIN(C289+1,200)))-LN(INDEX(Dic2025!$H$6:$H$205,C289)))*(A289-6*C289)/6))</f>
        <v>0.251619337975491</v>
      </c>
      <c r="E289" s="12" t="n">
        <f aca="false">D289^(-1/B289)-1</f>
        <v>0.0598193168290857</v>
      </c>
      <c r="F289" s="12" t="n">
        <f aca="false">(1+E289)^(1/12)-1</f>
        <v>0.00485327565641081</v>
      </c>
      <c r="G289" s="16" t="n">
        <f aca="false">IF(C289=0,(1+Dic2025!$J$6)^(-B289),EXP(LN(INDEX(Dic2025!$K$6:$K$205,C289))+(LN(INDEX(Dic2025!$K$6:$K$205,MIN(C289+1,200)))-LN(INDEX(Dic2025!$K$6:$K$205,C289)))*(A289-6*C289)/6))</f>
        <v>0.251619337975491</v>
      </c>
      <c r="H289" s="12" t="n">
        <f aca="false">G289^(-1/B289)-1</f>
        <v>0.0598193168290857</v>
      </c>
      <c r="I289" s="12" t="n">
        <f aca="false">(1+H289)^(1/12)-1</f>
        <v>0.00485327565641081</v>
      </c>
      <c r="J289" s="16" t="n">
        <f aca="false">IF(C289=0,(1+Dic2025!$M$6)^(-B289),EXP(LN(INDEX(Dic2025!$N$6:$N$205,C289))+(LN(INDEX(Dic2025!$N$6:$N$205,MIN(C289+1,200)))-LN(INDEX(Dic2025!$N$6:$N$205,C289)))*(A289-6*C289)/6))</f>
        <v>0.251619337975491</v>
      </c>
      <c r="K289" s="12" t="n">
        <f aca="false">J289^(-1/B289)-1</f>
        <v>0.0598193168290857</v>
      </c>
      <c r="L289" s="12" t="n">
        <f aca="false">(1+K289)^(1/12)-1</f>
        <v>0.00485327565641081</v>
      </c>
    </row>
    <row r="290" customFormat="false" ht="15" hidden="false" customHeight="false" outlineLevel="0" collapsed="false">
      <c r="A290" s="4" t="n">
        <v>286</v>
      </c>
      <c r="B290" s="14" t="n">
        <f aca="false">A290/12</f>
        <v>23.8333333333333</v>
      </c>
      <c r="C290" s="15" t="n">
        <f aca="false">INT(A290/6)</f>
        <v>47</v>
      </c>
      <c r="D290" s="16" t="n">
        <f aca="false">IF(C290=0,(1+Dic2025!$G$6)^(-B290),EXP(LN(INDEX(Dic2025!$H$6:$H$205,C290))+(LN(INDEX(Dic2025!$H$6:$H$205,MIN(C290+1,200)))-LN(INDEX(Dic2025!$H$6:$H$205,C290)))*(A290-6*C290)/6))</f>
        <v>0.250307806819919</v>
      </c>
      <c r="E290" s="12" t="n">
        <f aca="false">D290^(-1/B290)-1</f>
        <v>0.0598364130051532</v>
      </c>
      <c r="F290" s="12" t="n">
        <f aca="false">(1+E290)^(1/12)-1</f>
        <v>0.00485462643866508</v>
      </c>
      <c r="G290" s="16" t="n">
        <f aca="false">IF(C290=0,(1+Dic2025!$J$6)^(-B290),EXP(LN(INDEX(Dic2025!$K$6:$K$205,C290))+(LN(INDEX(Dic2025!$K$6:$K$205,MIN(C290+1,200)))-LN(INDEX(Dic2025!$K$6:$K$205,C290)))*(A290-6*C290)/6))</f>
        <v>0.250307806819919</v>
      </c>
      <c r="H290" s="12" t="n">
        <f aca="false">G290^(-1/B290)-1</f>
        <v>0.0598364130051532</v>
      </c>
      <c r="I290" s="12" t="n">
        <f aca="false">(1+H290)^(1/12)-1</f>
        <v>0.00485462643866508</v>
      </c>
      <c r="J290" s="16" t="n">
        <f aca="false">IF(C290=0,(1+Dic2025!$M$6)^(-B290),EXP(LN(INDEX(Dic2025!$N$6:$N$205,C290))+(LN(INDEX(Dic2025!$N$6:$N$205,MIN(C290+1,200)))-LN(INDEX(Dic2025!$N$6:$N$205,C290)))*(A290-6*C290)/6))</f>
        <v>0.250307806819919</v>
      </c>
      <c r="K290" s="12" t="n">
        <f aca="false">J290^(-1/B290)-1</f>
        <v>0.0598364130051532</v>
      </c>
      <c r="L290" s="12" t="n">
        <f aca="false">(1+K290)^(1/12)-1</f>
        <v>0.00485462643866508</v>
      </c>
    </row>
    <row r="291" customFormat="false" ht="15" hidden="false" customHeight="false" outlineLevel="0" collapsed="false">
      <c r="A291" s="4" t="n">
        <v>287</v>
      </c>
      <c r="B291" s="14" t="n">
        <f aca="false">A291/12</f>
        <v>23.9166666666667</v>
      </c>
      <c r="C291" s="15" t="n">
        <f aca="false">INT(A291/6)</f>
        <v>47</v>
      </c>
      <c r="D291" s="16" t="n">
        <f aca="false">IF(C291=0,(1+Dic2025!$G$6)^(-B291),EXP(LN(INDEX(Dic2025!$H$6:$H$205,C291))+(LN(INDEX(Dic2025!$H$6:$H$205,MIN(C291+1,200)))-LN(INDEX(Dic2025!$H$6:$H$205,C291)))*(A291-6*C291)/6))</f>
        <v>0.249003111839919</v>
      </c>
      <c r="E291" s="12" t="n">
        <f aca="false">D291^(-1/B291)-1</f>
        <v>0.0598533903170111</v>
      </c>
      <c r="F291" s="12" t="n">
        <f aca="false">(1+E291)^(1/12)-1</f>
        <v>0.0048559678095994</v>
      </c>
      <c r="G291" s="16" t="n">
        <f aca="false">IF(C291=0,(1+Dic2025!$J$6)^(-B291),EXP(LN(INDEX(Dic2025!$K$6:$K$205,C291))+(LN(INDEX(Dic2025!$K$6:$K$205,MIN(C291+1,200)))-LN(INDEX(Dic2025!$K$6:$K$205,C291)))*(A291-6*C291)/6))</f>
        <v>0.249003111839919</v>
      </c>
      <c r="H291" s="12" t="n">
        <f aca="false">G291^(-1/B291)-1</f>
        <v>0.0598533903170111</v>
      </c>
      <c r="I291" s="12" t="n">
        <f aca="false">(1+H291)^(1/12)-1</f>
        <v>0.0048559678095994</v>
      </c>
      <c r="J291" s="16" t="n">
        <f aca="false">IF(C291=0,(1+Dic2025!$M$6)^(-B291),EXP(LN(INDEX(Dic2025!$N$6:$N$205,C291))+(LN(INDEX(Dic2025!$N$6:$N$205,MIN(C291+1,200)))-LN(INDEX(Dic2025!$N$6:$N$205,C291)))*(A291-6*C291)/6))</f>
        <v>0.249003111839919</v>
      </c>
      <c r="K291" s="12" t="n">
        <f aca="false">J291^(-1/B291)-1</f>
        <v>0.0598533903170111</v>
      </c>
      <c r="L291" s="12" t="n">
        <f aca="false">(1+K291)^(1/12)-1</f>
        <v>0.0048559678095994</v>
      </c>
    </row>
    <row r="292" customFormat="false" ht="15" hidden="false" customHeight="false" outlineLevel="0" collapsed="false">
      <c r="A292" s="4" t="n">
        <v>288</v>
      </c>
      <c r="B292" s="14" t="n">
        <f aca="false">A292/12</f>
        <v>24</v>
      </c>
      <c r="C292" s="15" t="n">
        <f aca="false">INT(A292/6)</f>
        <v>48</v>
      </c>
      <c r="D292" s="16" t="n">
        <f aca="false">IF(C292=0,(1+Dic2025!$G$6)^(-B292),EXP(LN(INDEX(Dic2025!$H$6:$H$205,C292))+(LN(INDEX(Dic2025!$H$6:$H$205,MIN(C292+1,200)))-LN(INDEX(Dic2025!$H$6:$H$205,C292)))*(A292-6*C292)/6))</f>
        <v>0.24770521740287</v>
      </c>
      <c r="E292" s="12" t="n">
        <f aca="false">D292^(-1/B292)-1</f>
        <v>0.0598702500000001</v>
      </c>
      <c r="F292" s="12" t="n">
        <f aca="false">(1+E292)^(1/12)-1</f>
        <v>0.0048572998672296</v>
      </c>
      <c r="G292" s="16" t="n">
        <f aca="false">IF(C292=0,(1+Dic2025!$J$6)^(-B292),EXP(LN(INDEX(Dic2025!$K$6:$K$205,C292))+(LN(INDEX(Dic2025!$K$6:$K$205,MIN(C292+1,200)))-LN(INDEX(Dic2025!$K$6:$K$205,C292)))*(A292-6*C292)/6))</f>
        <v>0.24770521740287</v>
      </c>
      <c r="H292" s="12" t="n">
        <f aca="false">G292^(-1/B292)-1</f>
        <v>0.0598702500000001</v>
      </c>
      <c r="I292" s="12" t="n">
        <f aca="false">(1+H292)^(1/12)-1</f>
        <v>0.0048572998672296</v>
      </c>
      <c r="J292" s="16" t="n">
        <f aca="false">IF(C292=0,(1+Dic2025!$M$6)^(-B292),EXP(LN(INDEX(Dic2025!$N$6:$N$205,C292))+(LN(INDEX(Dic2025!$N$6:$N$205,MIN(C292+1,200)))-LN(INDEX(Dic2025!$N$6:$N$205,C292)))*(A292-6*C292)/6))</f>
        <v>0.24770521740287</v>
      </c>
      <c r="K292" s="12" t="n">
        <f aca="false">J292^(-1/B292)-1</f>
        <v>0.0598702500000001</v>
      </c>
      <c r="L292" s="12" t="n">
        <f aca="false">(1+K292)^(1/12)-1</f>
        <v>0.0048572998672296</v>
      </c>
    </row>
    <row r="293" customFormat="false" ht="15" hidden="false" customHeight="false" outlineLevel="0" collapsed="false">
      <c r="A293" s="4" t="n">
        <v>289</v>
      </c>
      <c r="B293" s="14" t="n">
        <f aca="false">A293/12</f>
        <v>24.0833333333333</v>
      </c>
      <c r="C293" s="15" t="n">
        <f aca="false">INT(A293/6)</f>
        <v>48</v>
      </c>
      <c r="D293" s="16" t="n">
        <f aca="false">IF(C293=0,(1+Dic2025!$G$6)^(-B293),EXP(LN(INDEX(Dic2025!$H$6:$H$205,C293))+(LN(INDEX(Dic2025!$H$6:$H$205,MIN(C293+1,200)))-LN(INDEX(Dic2025!$H$6:$H$205,C293)))*(A293-6*C293)/6))</f>
        <v>0.24631239572373</v>
      </c>
      <c r="E293" s="12" t="n">
        <f aca="false">D293^(-1/B293)-1</f>
        <v>0.0599051592601267</v>
      </c>
      <c r="F293" s="12" t="n">
        <f aca="false">(1+E293)^(1/12)-1</f>
        <v>0.00486005793245226</v>
      </c>
      <c r="G293" s="16" t="n">
        <f aca="false">IF(C293=0,(1+Dic2025!$J$6)^(-B293),EXP(LN(INDEX(Dic2025!$K$6:$K$205,C293))+(LN(INDEX(Dic2025!$K$6:$K$205,MIN(C293+1,200)))-LN(INDEX(Dic2025!$K$6:$K$205,C293)))*(A293-6*C293)/6))</f>
        <v>0.24631239572373</v>
      </c>
      <c r="H293" s="12" t="n">
        <f aca="false">G293^(-1/B293)-1</f>
        <v>0.0599051592601267</v>
      </c>
      <c r="I293" s="12" t="n">
        <f aca="false">(1+H293)^(1/12)-1</f>
        <v>0.00486005793245226</v>
      </c>
      <c r="J293" s="16" t="n">
        <f aca="false">IF(C293=0,(1+Dic2025!$M$6)^(-B293),EXP(LN(INDEX(Dic2025!$N$6:$N$205,C293))+(LN(INDEX(Dic2025!$N$6:$N$205,MIN(C293+1,200)))-LN(INDEX(Dic2025!$N$6:$N$205,C293)))*(A293-6*C293)/6))</f>
        <v>0.24631239572373</v>
      </c>
      <c r="K293" s="12" t="n">
        <f aca="false">J293^(-1/B293)-1</f>
        <v>0.0599051592601267</v>
      </c>
      <c r="L293" s="12" t="n">
        <f aca="false">(1+K293)^(1/12)-1</f>
        <v>0.00486005793245226</v>
      </c>
    </row>
    <row r="294" customFormat="false" ht="15" hidden="false" customHeight="false" outlineLevel="0" collapsed="false">
      <c r="A294" s="4" t="n">
        <v>290</v>
      </c>
      <c r="B294" s="14" t="n">
        <f aca="false">A294/12</f>
        <v>24.1666666666667</v>
      </c>
      <c r="C294" s="15" t="n">
        <f aca="false">INT(A294/6)</f>
        <v>48</v>
      </c>
      <c r="D294" s="16" t="n">
        <f aca="false">IF(C294=0,(1+Dic2025!$G$6)^(-B294),EXP(LN(INDEX(Dic2025!$H$6:$H$205,C294))+(LN(INDEX(Dic2025!$H$6:$H$205,MIN(C294+1,200)))-LN(INDEX(Dic2025!$H$6:$H$205,C294)))*(A294-6*C294)/6))</f>
        <v>0.244927405741679</v>
      </c>
      <c r="E294" s="12" t="n">
        <f aca="false">D294^(-1/B294)-1</f>
        <v>0.0599398289046844</v>
      </c>
      <c r="F294" s="12" t="n">
        <f aca="false">(1+E294)^(1/12)-1</f>
        <v>0.00486279698402736</v>
      </c>
      <c r="G294" s="16" t="n">
        <f aca="false">IF(C294=0,(1+Dic2025!$J$6)^(-B294),EXP(LN(INDEX(Dic2025!$K$6:$K$205,C294))+(LN(INDEX(Dic2025!$K$6:$K$205,MIN(C294+1,200)))-LN(INDEX(Dic2025!$K$6:$K$205,C294)))*(A294-6*C294)/6))</f>
        <v>0.244927405741679</v>
      </c>
      <c r="H294" s="12" t="n">
        <f aca="false">G294^(-1/B294)-1</f>
        <v>0.0599398289046844</v>
      </c>
      <c r="I294" s="12" t="n">
        <f aca="false">(1+H294)^(1/12)-1</f>
        <v>0.00486279698402736</v>
      </c>
      <c r="J294" s="16" t="n">
        <f aca="false">IF(C294=0,(1+Dic2025!$M$6)^(-B294),EXP(LN(INDEX(Dic2025!$N$6:$N$205,C294))+(LN(INDEX(Dic2025!$N$6:$N$205,MIN(C294+1,200)))-LN(INDEX(Dic2025!$N$6:$N$205,C294)))*(A294-6*C294)/6))</f>
        <v>0.244927405741679</v>
      </c>
      <c r="K294" s="12" t="n">
        <f aca="false">J294^(-1/B294)-1</f>
        <v>0.0599398289046844</v>
      </c>
      <c r="L294" s="12" t="n">
        <f aca="false">(1+K294)^(1/12)-1</f>
        <v>0.00486279698402736</v>
      </c>
    </row>
    <row r="295" customFormat="false" ht="15" hidden="false" customHeight="false" outlineLevel="0" collapsed="false">
      <c r="A295" s="4" t="n">
        <v>291</v>
      </c>
      <c r="B295" s="14" t="n">
        <f aca="false">A295/12</f>
        <v>24.25</v>
      </c>
      <c r="C295" s="15" t="n">
        <f aca="false">INT(A295/6)</f>
        <v>48</v>
      </c>
      <c r="D295" s="16" t="n">
        <f aca="false">IF(C295=0,(1+Dic2025!$G$6)^(-B295),EXP(LN(INDEX(Dic2025!$H$6:$H$205,C295))+(LN(INDEX(Dic2025!$H$6:$H$205,MIN(C295+1,200)))-LN(INDEX(Dic2025!$H$6:$H$205,C295)))*(A295-6*C295)/6))</f>
        <v>0.243550203419866</v>
      </c>
      <c r="E295" s="12" t="n">
        <f aca="false">D295^(-1/B295)-1</f>
        <v>0.0599742613922825</v>
      </c>
      <c r="F295" s="12" t="n">
        <f aca="false">(1+E295)^(1/12)-1</f>
        <v>0.00486551721789508</v>
      </c>
      <c r="G295" s="16" t="n">
        <f aca="false">IF(C295=0,(1+Dic2025!$J$6)^(-B295),EXP(LN(INDEX(Dic2025!$K$6:$K$205,C295))+(LN(INDEX(Dic2025!$K$6:$K$205,MIN(C295+1,200)))-LN(INDEX(Dic2025!$K$6:$K$205,C295)))*(A295-6*C295)/6))</f>
        <v>0.243550203419866</v>
      </c>
      <c r="H295" s="12" t="n">
        <f aca="false">G295^(-1/B295)-1</f>
        <v>0.0599742613922825</v>
      </c>
      <c r="I295" s="12" t="n">
        <f aca="false">(1+H295)^(1/12)-1</f>
        <v>0.00486551721789508</v>
      </c>
      <c r="J295" s="16" t="n">
        <f aca="false">IF(C295=0,(1+Dic2025!$M$6)^(-B295),EXP(LN(INDEX(Dic2025!$N$6:$N$205,C295))+(LN(INDEX(Dic2025!$N$6:$N$205,MIN(C295+1,200)))-LN(INDEX(Dic2025!$N$6:$N$205,C295)))*(A295-6*C295)/6))</f>
        <v>0.243550203419866</v>
      </c>
      <c r="K295" s="12" t="n">
        <f aca="false">J295^(-1/B295)-1</f>
        <v>0.0599742613922825</v>
      </c>
      <c r="L295" s="12" t="n">
        <f aca="false">(1+K295)^(1/12)-1</f>
        <v>0.00486551721789508</v>
      </c>
    </row>
    <row r="296" customFormat="false" ht="15" hidden="false" customHeight="false" outlineLevel="0" collapsed="false">
      <c r="A296" s="4" t="n">
        <v>292</v>
      </c>
      <c r="B296" s="14" t="n">
        <f aca="false">A296/12</f>
        <v>24.3333333333333</v>
      </c>
      <c r="C296" s="15" t="n">
        <f aca="false">INT(A296/6)</f>
        <v>48</v>
      </c>
      <c r="D296" s="16" t="n">
        <f aca="false">IF(C296=0,(1+Dic2025!$G$6)^(-B296),EXP(LN(INDEX(Dic2025!$H$6:$H$205,C296))+(LN(INDEX(Dic2025!$H$6:$H$205,MIN(C296+1,200)))-LN(INDEX(Dic2025!$H$6:$H$205,C296)))*(A296-6*C296)/6))</f>
        <v>0.242180744969056</v>
      </c>
      <c r="E296" s="12" t="n">
        <f aca="false">D296^(-1/B296)-1</f>
        <v>0.060008459148009</v>
      </c>
      <c r="F296" s="12" t="n">
        <f aca="false">(1+E296)^(1/12)-1</f>
        <v>0.00486821882731237</v>
      </c>
      <c r="G296" s="16" t="n">
        <f aca="false">IF(C296=0,(1+Dic2025!$J$6)^(-B296),EXP(LN(INDEX(Dic2025!$K$6:$K$205,C296))+(LN(INDEX(Dic2025!$K$6:$K$205,MIN(C296+1,200)))-LN(INDEX(Dic2025!$K$6:$K$205,C296)))*(A296-6*C296)/6))</f>
        <v>0.242180744969056</v>
      </c>
      <c r="H296" s="12" t="n">
        <f aca="false">G296^(-1/B296)-1</f>
        <v>0.060008459148009</v>
      </c>
      <c r="I296" s="12" t="n">
        <f aca="false">(1+H296)^(1/12)-1</f>
        <v>0.00486821882731237</v>
      </c>
      <c r="J296" s="16" t="n">
        <f aca="false">IF(C296=0,(1+Dic2025!$M$6)^(-B296),EXP(LN(INDEX(Dic2025!$N$6:$N$205,C296))+(LN(INDEX(Dic2025!$N$6:$N$205,MIN(C296+1,200)))-LN(INDEX(Dic2025!$N$6:$N$205,C296)))*(A296-6*C296)/6))</f>
        <v>0.242180744969056</v>
      </c>
      <c r="K296" s="12" t="n">
        <f aca="false">J296^(-1/B296)-1</f>
        <v>0.060008459148009</v>
      </c>
      <c r="L296" s="12" t="n">
        <f aca="false">(1+K296)^(1/12)-1</f>
        <v>0.00486821882731237</v>
      </c>
    </row>
    <row r="297" customFormat="false" ht="15" hidden="false" customHeight="false" outlineLevel="0" collapsed="false">
      <c r="A297" s="4" t="n">
        <v>293</v>
      </c>
      <c r="B297" s="14" t="n">
        <f aca="false">A297/12</f>
        <v>24.4166666666667</v>
      </c>
      <c r="C297" s="15" t="n">
        <f aca="false">INT(A297/6)</f>
        <v>48</v>
      </c>
      <c r="D297" s="16" t="n">
        <f aca="false">IF(C297=0,(1+Dic2025!$G$6)^(-B297),EXP(LN(INDEX(Dic2025!$H$6:$H$205,C297))+(LN(INDEX(Dic2025!$H$6:$H$205,MIN(C297+1,200)))-LN(INDEX(Dic2025!$H$6:$H$205,C297)))*(A297-6*C297)/6))</f>
        <v>0.240818986846237</v>
      </c>
      <c r="E297" s="12" t="n">
        <f aca="false">D297^(-1/B297)-1</f>
        <v>0.0600424245640006</v>
      </c>
      <c r="F297" s="12" t="n">
        <f aca="false">(1+E297)^(1/12)-1</f>
        <v>0.00487090200289875</v>
      </c>
      <c r="G297" s="16" t="n">
        <f aca="false">IF(C297=0,(1+Dic2025!$J$6)^(-B297),EXP(LN(INDEX(Dic2025!$K$6:$K$205,C297))+(LN(INDEX(Dic2025!$K$6:$K$205,MIN(C297+1,200)))-LN(INDEX(Dic2025!$K$6:$K$205,C297)))*(A297-6*C297)/6))</f>
        <v>0.240818986846237</v>
      </c>
      <c r="H297" s="12" t="n">
        <f aca="false">G297^(-1/B297)-1</f>
        <v>0.0600424245640006</v>
      </c>
      <c r="I297" s="12" t="n">
        <f aca="false">(1+H297)^(1/12)-1</f>
        <v>0.00487090200289875</v>
      </c>
      <c r="J297" s="16" t="n">
        <f aca="false">IF(C297=0,(1+Dic2025!$M$6)^(-B297),EXP(LN(INDEX(Dic2025!$N$6:$N$205,C297))+(LN(INDEX(Dic2025!$N$6:$N$205,MIN(C297+1,200)))-LN(INDEX(Dic2025!$N$6:$N$205,C297)))*(A297-6*C297)/6))</f>
        <v>0.240818986846237</v>
      </c>
      <c r="K297" s="12" t="n">
        <f aca="false">J297^(-1/B297)-1</f>
        <v>0.0600424245640006</v>
      </c>
      <c r="L297" s="12" t="n">
        <f aca="false">(1+K297)^(1/12)-1</f>
        <v>0.00487090200289875</v>
      </c>
    </row>
    <row r="298" customFormat="false" ht="15" hidden="false" customHeight="false" outlineLevel="0" collapsed="false">
      <c r="A298" s="4" t="n">
        <v>294</v>
      </c>
      <c r="B298" s="14" t="n">
        <f aca="false">A298/12</f>
        <v>24.5</v>
      </c>
      <c r="C298" s="15" t="n">
        <f aca="false">INT(A298/6)</f>
        <v>49</v>
      </c>
      <c r="D298" s="16" t="n">
        <f aca="false">IF(C298=0,(1+Dic2025!$G$6)^(-B298),EXP(LN(INDEX(Dic2025!$H$6:$H$205,C298))+(LN(INDEX(Dic2025!$H$6:$H$205,MIN(C298+1,200)))-LN(INDEX(Dic2025!$H$6:$H$205,C298)))*(A298-6*C298)/6))</f>
        <v>0.239464885753233</v>
      </c>
      <c r="E298" s="12" t="n">
        <f aca="false">D298^(-1/B298)-1</f>
        <v>0.0600761600000002</v>
      </c>
      <c r="F298" s="12" t="n">
        <f aca="false">(1+E298)^(1/12)-1</f>
        <v>0.00487356693268182</v>
      </c>
      <c r="G298" s="16" t="n">
        <f aca="false">IF(C298=0,(1+Dic2025!$J$6)^(-B298),EXP(LN(INDEX(Dic2025!$K$6:$K$205,C298))+(LN(INDEX(Dic2025!$K$6:$K$205,MIN(C298+1,200)))-LN(INDEX(Dic2025!$K$6:$K$205,C298)))*(A298-6*C298)/6))</f>
        <v>0.239464885753233</v>
      </c>
      <c r="H298" s="12" t="n">
        <f aca="false">G298^(-1/B298)-1</f>
        <v>0.0600761600000002</v>
      </c>
      <c r="I298" s="12" t="n">
        <f aca="false">(1+H298)^(1/12)-1</f>
        <v>0.00487356693268182</v>
      </c>
      <c r="J298" s="16" t="n">
        <f aca="false">IF(C298=0,(1+Dic2025!$M$6)^(-B298),EXP(LN(INDEX(Dic2025!$N$6:$N$205,C298))+(LN(INDEX(Dic2025!$N$6:$N$205,MIN(C298+1,200)))-LN(INDEX(Dic2025!$N$6:$N$205,C298)))*(A298-6*C298)/6))</f>
        <v>0.239464885753233</v>
      </c>
      <c r="K298" s="12" t="n">
        <f aca="false">J298^(-1/B298)-1</f>
        <v>0.0600761600000002</v>
      </c>
      <c r="L298" s="12" t="n">
        <f aca="false">(1+K298)^(1/12)-1</f>
        <v>0.00487356693268182</v>
      </c>
    </row>
    <row r="299" customFormat="false" ht="15" hidden="false" customHeight="false" outlineLevel="0" collapsed="false">
      <c r="A299" s="4" t="n">
        <v>295</v>
      </c>
      <c r="B299" s="14" t="n">
        <f aca="false">A299/12</f>
        <v>24.5833333333333</v>
      </c>
      <c r="C299" s="15" t="n">
        <f aca="false">INT(A299/6)</f>
        <v>49</v>
      </c>
      <c r="D299" s="16" t="n">
        <f aca="false">IF(C299=0,(1+Dic2025!$G$6)^(-B299),EXP(LN(INDEX(Dic2025!$H$6:$H$205,C299))+(LN(INDEX(Dic2025!$H$6:$H$205,MIN(C299+1,200)))-LN(INDEX(Dic2025!$H$6:$H$205,C299)))*(A299-6*C299)/6))</f>
        <v>0.238207081015451</v>
      </c>
      <c r="E299" s="12" t="n">
        <f aca="false">D299^(-1/B299)-1</f>
        <v>0.0600936105673733</v>
      </c>
      <c r="F299" s="12" t="n">
        <f aca="false">(1+E299)^(1/12)-1</f>
        <v>0.00487494540923517</v>
      </c>
      <c r="G299" s="16" t="n">
        <f aca="false">IF(C299=0,(1+Dic2025!$J$6)^(-B299),EXP(LN(INDEX(Dic2025!$K$6:$K$205,C299))+(LN(INDEX(Dic2025!$K$6:$K$205,MIN(C299+1,200)))-LN(INDEX(Dic2025!$K$6:$K$205,C299)))*(A299-6*C299)/6))</f>
        <v>0.238207081015451</v>
      </c>
      <c r="H299" s="12" t="n">
        <f aca="false">G299^(-1/B299)-1</f>
        <v>0.0600936105673733</v>
      </c>
      <c r="I299" s="12" t="n">
        <f aca="false">(1+H299)^(1/12)-1</f>
        <v>0.00487494540923517</v>
      </c>
      <c r="J299" s="16" t="n">
        <f aca="false">IF(C299=0,(1+Dic2025!$M$6)^(-B299),EXP(LN(INDEX(Dic2025!$N$6:$N$205,C299))+(LN(INDEX(Dic2025!$N$6:$N$205,MIN(C299+1,200)))-LN(INDEX(Dic2025!$N$6:$N$205,C299)))*(A299-6*C299)/6))</f>
        <v>0.238207081015451</v>
      </c>
      <c r="K299" s="12" t="n">
        <f aca="false">J299^(-1/B299)-1</f>
        <v>0.0600936105673733</v>
      </c>
      <c r="L299" s="12" t="n">
        <f aca="false">(1+K299)^(1/12)-1</f>
        <v>0.00487494540923517</v>
      </c>
    </row>
    <row r="300" customFormat="false" ht="15" hidden="false" customHeight="false" outlineLevel="0" collapsed="false">
      <c r="A300" s="4" t="n">
        <v>296</v>
      </c>
      <c r="B300" s="14" t="n">
        <f aca="false">A300/12</f>
        <v>24.6666666666667</v>
      </c>
      <c r="C300" s="15" t="n">
        <f aca="false">INT(A300/6)</f>
        <v>49</v>
      </c>
      <c r="D300" s="16" t="n">
        <f aca="false">IF(C300=0,(1+Dic2025!$G$6)^(-B300),EXP(LN(INDEX(Dic2025!$H$6:$H$205,C300))+(LN(INDEX(Dic2025!$H$6:$H$205,MIN(C300+1,200)))-LN(INDEX(Dic2025!$H$6:$H$205,C300)))*(A300-6*C300)/6))</f>
        <v>0.236955882978078</v>
      </c>
      <c r="E300" s="12" t="n">
        <f aca="false">D300^(-1/B300)-1</f>
        <v>0.0601109435098672</v>
      </c>
      <c r="F300" s="12" t="n">
        <f aca="false">(1+E300)^(1/12)-1</f>
        <v>0.00487631457362991</v>
      </c>
      <c r="G300" s="16" t="n">
        <f aca="false">IF(C300=0,(1+Dic2025!$J$6)^(-B300),EXP(LN(INDEX(Dic2025!$K$6:$K$205,C300))+(LN(INDEX(Dic2025!$K$6:$K$205,MIN(C300+1,200)))-LN(INDEX(Dic2025!$K$6:$K$205,C300)))*(A300-6*C300)/6))</f>
        <v>0.236955882978078</v>
      </c>
      <c r="H300" s="12" t="n">
        <f aca="false">G300^(-1/B300)-1</f>
        <v>0.0601109435098672</v>
      </c>
      <c r="I300" s="12" t="n">
        <f aca="false">(1+H300)^(1/12)-1</f>
        <v>0.00487631457362991</v>
      </c>
      <c r="J300" s="16" t="n">
        <f aca="false">IF(C300=0,(1+Dic2025!$M$6)^(-B300),EXP(LN(INDEX(Dic2025!$N$6:$N$205,C300))+(LN(INDEX(Dic2025!$N$6:$N$205,MIN(C300+1,200)))-LN(INDEX(Dic2025!$N$6:$N$205,C300)))*(A300-6*C300)/6))</f>
        <v>0.236955882978078</v>
      </c>
      <c r="K300" s="12" t="n">
        <f aca="false">J300^(-1/B300)-1</f>
        <v>0.0601109435098672</v>
      </c>
      <c r="L300" s="12" t="n">
        <f aca="false">(1+K300)^(1/12)-1</f>
        <v>0.00487631457362991</v>
      </c>
    </row>
    <row r="301" customFormat="false" ht="15" hidden="false" customHeight="false" outlineLevel="0" collapsed="false">
      <c r="A301" s="4" t="n">
        <v>297</v>
      </c>
      <c r="B301" s="14" t="n">
        <f aca="false">A301/12</f>
        <v>24.75</v>
      </c>
      <c r="C301" s="15" t="n">
        <f aca="false">INT(A301/6)</f>
        <v>49</v>
      </c>
      <c r="D301" s="16" t="n">
        <f aca="false">IF(C301=0,(1+Dic2025!$G$6)^(-B301),EXP(LN(INDEX(Dic2025!$H$6:$H$205,C301))+(LN(INDEX(Dic2025!$H$6:$H$205,MIN(C301+1,200)))-LN(INDEX(Dic2025!$H$6:$H$205,C301)))*(A301-6*C301)/6))</f>
        <v>0.235711256938992</v>
      </c>
      <c r="E301" s="12" t="n">
        <f aca="false">D301^(-1/B301)-1</f>
        <v>0.0601281600127537</v>
      </c>
      <c r="F301" s="12" t="n">
        <f aca="false">(1+E301)^(1/12)-1</f>
        <v>0.00487767451990884</v>
      </c>
      <c r="G301" s="16" t="n">
        <f aca="false">IF(C301=0,(1+Dic2025!$J$6)^(-B301),EXP(LN(INDEX(Dic2025!$K$6:$K$205,C301))+(LN(INDEX(Dic2025!$K$6:$K$205,MIN(C301+1,200)))-LN(INDEX(Dic2025!$K$6:$K$205,C301)))*(A301-6*C301)/6))</f>
        <v>0.235711256938992</v>
      </c>
      <c r="H301" s="12" t="n">
        <f aca="false">G301^(-1/B301)-1</f>
        <v>0.0601281600127537</v>
      </c>
      <c r="I301" s="12" t="n">
        <f aca="false">(1+H301)^(1/12)-1</f>
        <v>0.00487767451990884</v>
      </c>
      <c r="J301" s="16" t="n">
        <f aca="false">IF(C301=0,(1+Dic2025!$M$6)^(-B301),EXP(LN(INDEX(Dic2025!$N$6:$N$205,C301))+(LN(INDEX(Dic2025!$N$6:$N$205,MIN(C301+1,200)))-LN(INDEX(Dic2025!$N$6:$N$205,C301)))*(A301-6*C301)/6))</f>
        <v>0.235711256938992</v>
      </c>
      <c r="K301" s="12" t="n">
        <f aca="false">J301^(-1/B301)-1</f>
        <v>0.0601281600127537</v>
      </c>
      <c r="L301" s="12" t="n">
        <f aca="false">(1+K301)^(1/12)-1</f>
        <v>0.00487767451990884</v>
      </c>
    </row>
    <row r="302" customFormat="false" ht="15" hidden="false" customHeight="false" outlineLevel="0" collapsed="false">
      <c r="A302" s="4" t="n">
        <v>298</v>
      </c>
      <c r="B302" s="14" t="n">
        <f aca="false">A302/12</f>
        <v>24.8333333333333</v>
      </c>
      <c r="C302" s="15" t="n">
        <f aca="false">INT(A302/6)</f>
        <v>49</v>
      </c>
      <c r="D302" s="16" t="n">
        <f aca="false">IF(C302=0,(1+Dic2025!$G$6)^(-B302),EXP(LN(INDEX(Dic2025!$H$6:$H$205,C302))+(LN(INDEX(Dic2025!$H$6:$H$205,MIN(C302+1,200)))-LN(INDEX(Dic2025!$H$6:$H$205,C302)))*(A302-6*C302)/6))</f>
        <v>0.234473168378351</v>
      </c>
      <c r="E302" s="12" t="n">
        <f aca="false">D302^(-1/B302)-1</f>
        <v>0.0601452612454332</v>
      </c>
      <c r="F302" s="12" t="n">
        <f aca="false">(1+E302)^(1/12)-1</f>
        <v>0.00487902534085372</v>
      </c>
      <c r="G302" s="16" t="n">
        <f aca="false">IF(C302=0,(1+Dic2025!$J$6)^(-B302),EXP(LN(INDEX(Dic2025!$K$6:$K$205,C302))+(LN(INDEX(Dic2025!$K$6:$K$205,MIN(C302+1,200)))-LN(INDEX(Dic2025!$K$6:$K$205,C302)))*(A302-6*C302)/6))</f>
        <v>0.234473168378351</v>
      </c>
      <c r="H302" s="12" t="n">
        <f aca="false">G302^(-1/B302)-1</f>
        <v>0.0601452612454332</v>
      </c>
      <c r="I302" s="12" t="n">
        <f aca="false">(1+H302)^(1/12)-1</f>
        <v>0.00487902534085372</v>
      </c>
      <c r="J302" s="16" t="n">
        <f aca="false">IF(C302=0,(1+Dic2025!$M$6)^(-B302),EXP(LN(INDEX(Dic2025!$N$6:$N$205,C302))+(LN(INDEX(Dic2025!$N$6:$N$205,MIN(C302+1,200)))-LN(INDEX(Dic2025!$N$6:$N$205,C302)))*(A302-6*C302)/6))</f>
        <v>0.234473168378351</v>
      </c>
      <c r="K302" s="12" t="n">
        <f aca="false">J302^(-1/B302)-1</f>
        <v>0.0601452612454332</v>
      </c>
      <c r="L302" s="12" t="n">
        <f aca="false">(1+K302)^(1/12)-1</f>
        <v>0.00487902534085372</v>
      </c>
    </row>
    <row r="303" customFormat="false" ht="15" hidden="false" customHeight="false" outlineLevel="0" collapsed="false">
      <c r="A303" s="4" t="n">
        <v>299</v>
      </c>
      <c r="B303" s="14" t="n">
        <f aca="false">A303/12</f>
        <v>24.9166666666667</v>
      </c>
      <c r="C303" s="15" t="n">
        <f aca="false">INT(A303/6)</f>
        <v>49</v>
      </c>
      <c r="D303" s="16" t="n">
        <f aca="false">IF(C303=0,(1+Dic2025!$G$6)^(-B303),EXP(LN(INDEX(Dic2025!$H$6:$H$205,C303))+(LN(INDEX(Dic2025!$H$6:$H$205,MIN(C303+1,200)))-LN(INDEX(Dic2025!$H$6:$H$205,C303)))*(A303-6*C303)/6))</f>
        <v>0.233241582957627</v>
      </c>
      <c r="E303" s="12" t="n">
        <f aca="false">D303^(-1/B303)-1</f>
        <v>0.0601622483616999</v>
      </c>
      <c r="F303" s="12" t="n">
        <f aca="false">(1+E303)^(1/12)-1</f>
        <v>0.00488036712800466</v>
      </c>
      <c r="G303" s="16" t="n">
        <f aca="false">IF(C303=0,(1+Dic2025!$J$6)^(-B303),EXP(LN(INDEX(Dic2025!$K$6:$K$205,C303))+(LN(INDEX(Dic2025!$K$6:$K$205,MIN(C303+1,200)))-LN(INDEX(Dic2025!$K$6:$K$205,C303)))*(A303-6*C303)/6))</f>
        <v>0.233241582957627</v>
      </c>
      <c r="H303" s="12" t="n">
        <f aca="false">G303^(-1/B303)-1</f>
        <v>0.0601622483616999</v>
      </c>
      <c r="I303" s="12" t="n">
        <f aca="false">(1+H303)^(1/12)-1</f>
        <v>0.00488036712800466</v>
      </c>
      <c r="J303" s="16" t="n">
        <f aca="false">IF(C303=0,(1+Dic2025!$M$6)^(-B303),EXP(LN(INDEX(Dic2025!$N$6:$N$205,C303))+(LN(INDEX(Dic2025!$N$6:$N$205,MIN(C303+1,200)))-LN(INDEX(Dic2025!$N$6:$N$205,C303)))*(A303-6*C303)/6))</f>
        <v>0.233241582957627</v>
      </c>
      <c r="K303" s="12" t="n">
        <f aca="false">J303^(-1/B303)-1</f>
        <v>0.0601622483616999</v>
      </c>
      <c r="L303" s="12" t="n">
        <f aca="false">(1+K303)^(1/12)-1</f>
        <v>0.00488036712800466</v>
      </c>
    </row>
    <row r="304" customFormat="false" ht="15" hidden="false" customHeight="false" outlineLevel="0" collapsed="false">
      <c r="A304" s="4" t="n">
        <v>300</v>
      </c>
      <c r="B304" s="14" t="n">
        <f aca="false">A304/12</f>
        <v>25</v>
      </c>
      <c r="C304" s="15" t="n">
        <f aca="false">INT(A304/6)</f>
        <v>50</v>
      </c>
      <c r="D304" s="16" t="n">
        <f aca="false">IF(C304=0,(1+Dic2025!$G$6)^(-B304),EXP(LN(INDEX(Dic2025!$H$6:$H$205,C304))+(LN(INDEX(Dic2025!$H$6:$H$205,MIN(C304+1,200)))-LN(INDEX(Dic2025!$H$6:$H$205,C304)))*(A304-6*C304)/6))</f>
        <v>0.232016466518659</v>
      </c>
      <c r="E304" s="12" t="n">
        <f aca="false">D304^(-1/B304)-1</f>
        <v>0.0601791224999999</v>
      </c>
      <c r="F304" s="12" t="n">
        <f aca="false">(1+E304)^(1/12)-1</f>
        <v>0.00488169997168164</v>
      </c>
      <c r="G304" s="16" t="n">
        <f aca="false">IF(C304=0,(1+Dic2025!$J$6)^(-B304),EXP(LN(INDEX(Dic2025!$K$6:$K$205,C304))+(LN(INDEX(Dic2025!$K$6:$K$205,MIN(C304+1,200)))-LN(INDEX(Dic2025!$K$6:$K$205,C304)))*(A304-6*C304)/6))</f>
        <v>0.232016466518659</v>
      </c>
      <c r="H304" s="12" t="n">
        <f aca="false">G304^(-1/B304)-1</f>
        <v>0.0601791224999999</v>
      </c>
      <c r="I304" s="12" t="n">
        <f aca="false">(1+H304)^(1/12)-1</f>
        <v>0.00488169997168164</v>
      </c>
      <c r="J304" s="16" t="n">
        <f aca="false">IF(C304=0,(1+Dic2025!$M$6)^(-B304),EXP(LN(INDEX(Dic2025!$N$6:$N$205,C304))+(LN(INDEX(Dic2025!$N$6:$N$205,MIN(C304+1,200)))-LN(INDEX(Dic2025!$N$6:$N$205,C304)))*(A304-6*C304)/6))</f>
        <v>0.232016466518659</v>
      </c>
      <c r="K304" s="12" t="n">
        <f aca="false">J304^(-1/B304)-1</f>
        <v>0.0601791224999999</v>
      </c>
      <c r="L304" s="12" t="n">
        <f aca="false">(1+K304)^(1/12)-1</f>
        <v>0.00488169997168164</v>
      </c>
    </row>
    <row r="305" customFormat="false" ht="15" hidden="false" customHeight="false" outlineLevel="0" collapsed="false">
      <c r="A305" s="4" t="n">
        <v>301</v>
      </c>
      <c r="B305" s="14" t="n">
        <f aca="false">A305/12</f>
        <v>25.0833333333333</v>
      </c>
      <c r="C305" s="15" t="n">
        <f aca="false">INT(A305/6)</f>
        <v>50</v>
      </c>
      <c r="D305" s="16" t="n">
        <f aca="false">IF(C305=0,(1+Dic2025!$G$6)^(-B305),EXP(LN(INDEX(Dic2025!$H$6:$H$205,C305))+(LN(INDEX(Dic2025!$H$6:$H$205,MIN(C305+1,200)))-LN(INDEX(Dic2025!$H$6:$H$205,C305)))*(A305-6*C305)/6))</f>
        <v>0.230794053786758</v>
      </c>
      <c r="E305" s="12" t="n">
        <f aca="false">D305^(-1/B305)-1</f>
        <v>0.0601965681169709</v>
      </c>
      <c r="F305" s="12" t="n">
        <f aca="false">(1+E305)^(1/12)-1</f>
        <v>0.0048830779345066</v>
      </c>
      <c r="G305" s="16" t="n">
        <f aca="false">IF(C305=0,(1+Dic2025!$J$6)^(-B305),EXP(LN(INDEX(Dic2025!$K$6:$K$205,C305))+(LN(INDEX(Dic2025!$K$6:$K$205,MIN(C305+1,200)))-LN(INDEX(Dic2025!$K$6:$K$205,C305)))*(A305-6*C305)/6))</f>
        <v>0.230794053786758</v>
      </c>
      <c r="H305" s="12" t="n">
        <f aca="false">G305^(-1/B305)-1</f>
        <v>0.0601965681169709</v>
      </c>
      <c r="I305" s="12" t="n">
        <f aca="false">(1+H305)^(1/12)-1</f>
        <v>0.0048830779345066</v>
      </c>
      <c r="J305" s="16" t="n">
        <f aca="false">IF(C305=0,(1+Dic2025!$M$6)^(-B305),EXP(LN(INDEX(Dic2025!$N$6:$N$205,C305))+(LN(INDEX(Dic2025!$N$6:$N$205,MIN(C305+1,200)))-LN(INDEX(Dic2025!$N$6:$N$205,C305)))*(A305-6*C305)/6))</f>
        <v>0.230794053786758</v>
      </c>
      <c r="K305" s="12" t="n">
        <f aca="false">J305^(-1/B305)-1</f>
        <v>0.0601965681169709</v>
      </c>
      <c r="L305" s="12" t="n">
        <f aca="false">(1+K305)^(1/12)-1</f>
        <v>0.0048830779345066</v>
      </c>
    </row>
    <row r="306" customFormat="false" ht="15" hidden="false" customHeight="false" outlineLevel="0" collapsed="false">
      <c r="A306" s="4" t="n">
        <v>302</v>
      </c>
      <c r="B306" s="14" t="n">
        <f aca="false">A306/12</f>
        <v>25.1666666666667</v>
      </c>
      <c r="C306" s="15" t="n">
        <f aca="false">INT(A306/6)</f>
        <v>50</v>
      </c>
      <c r="D306" s="16" t="n">
        <f aca="false">IF(C306=0,(1+Dic2025!$G$6)^(-B306),EXP(LN(INDEX(Dic2025!$H$6:$H$205,C306))+(LN(INDEX(Dic2025!$H$6:$H$205,MIN(C306+1,200)))-LN(INDEX(Dic2025!$H$6:$H$205,C306)))*(A306-6*C306)/6))</f>
        <v>0.229578081515353</v>
      </c>
      <c r="E306" s="12" t="n">
        <f aca="false">D306^(-1/B306)-1</f>
        <v>0.0602138984842828</v>
      </c>
      <c r="F306" s="12" t="n">
        <f aca="false">(1+E306)^(1/12)-1</f>
        <v>0.00488444677362065</v>
      </c>
      <c r="G306" s="16" t="n">
        <f aca="false">IF(C306=0,(1+Dic2025!$J$6)^(-B306),EXP(LN(INDEX(Dic2025!$K$6:$K$205,C306))+(LN(INDEX(Dic2025!$K$6:$K$205,MIN(C306+1,200)))-LN(INDEX(Dic2025!$K$6:$K$205,C306)))*(A306-6*C306)/6))</f>
        <v>0.229578081515353</v>
      </c>
      <c r="H306" s="12" t="n">
        <f aca="false">G306^(-1/B306)-1</f>
        <v>0.0602138984842828</v>
      </c>
      <c r="I306" s="12" t="n">
        <f aca="false">(1+H306)^(1/12)-1</f>
        <v>0.00488444677362065</v>
      </c>
      <c r="J306" s="16" t="n">
        <f aca="false">IF(C306=0,(1+Dic2025!$M$6)^(-B306),EXP(LN(INDEX(Dic2025!$N$6:$N$205,C306))+(LN(INDEX(Dic2025!$N$6:$N$205,MIN(C306+1,200)))-LN(INDEX(Dic2025!$N$6:$N$205,C306)))*(A306-6*C306)/6))</f>
        <v>0.229578081515353</v>
      </c>
      <c r="K306" s="12" t="n">
        <f aca="false">J306^(-1/B306)-1</f>
        <v>0.0602138984842828</v>
      </c>
      <c r="L306" s="12" t="n">
        <f aca="false">(1+K306)^(1/12)-1</f>
        <v>0.00488444677362065</v>
      </c>
    </row>
    <row r="307" customFormat="false" ht="15" hidden="false" customHeight="false" outlineLevel="0" collapsed="false">
      <c r="A307" s="4" t="n">
        <v>303</v>
      </c>
      <c r="B307" s="14" t="n">
        <f aca="false">A307/12</f>
        <v>25.25</v>
      </c>
      <c r="C307" s="15" t="n">
        <f aca="false">INT(A307/6)</f>
        <v>50</v>
      </c>
      <c r="D307" s="16" t="n">
        <f aca="false">IF(C307=0,(1+Dic2025!$G$6)^(-B307),EXP(LN(INDEX(Dic2025!$H$6:$H$205,C307))+(LN(INDEX(Dic2025!$H$6:$H$205,MIN(C307+1,200)))-LN(INDEX(Dic2025!$H$6:$H$205,C307)))*(A307-6*C307)/6))</f>
        <v>0.228368515771934</v>
      </c>
      <c r="E307" s="12" t="n">
        <f aca="false">D307^(-1/B307)-1</f>
        <v>0.0602311147402213</v>
      </c>
      <c r="F307" s="12" t="n">
        <f aca="false">(1+E307)^(1/12)-1</f>
        <v>0.00488580657933935</v>
      </c>
      <c r="G307" s="16" t="n">
        <f aca="false">IF(C307=0,(1+Dic2025!$J$6)^(-B307),EXP(LN(INDEX(Dic2025!$K$6:$K$205,C307))+(LN(INDEX(Dic2025!$K$6:$K$205,MIN(C307+1,200)))-LN(INDEX(Dic2025!$K$6:$K$205,C307)))*(A307-6*C307)/6))</f>
        <v>0.228368515771934</v>
      </c>
      <c r="H307" s="12" t="n">
        <f aca="false">G307^(-1/B307)-1</f>
        <v>0.0602311147402213</v>
      </c>
      <c r="I307" s="12" t="n">
        <f aca="false">(1+H307)^(1/12)-1</f>
        <v>0.00488580657933935</v>
      </c>
      <c r="J307" s="16" t="n">
        <f aca="false">IF(C307=0,(1+Dic2025!$M$6)^(-B307),EXP(LN(INDEX(Dic2025!$N$6:$N$205,C307))+(LN(INDEX(Dic2025!$N$6:$N$205,MIN(C307+1,200)))-LN(INDEX(Dic2025!$N$6:$N$205,C307)))*(A307-6*C307)/6))</f>
        <v>0.228368515771934</v>
      </c>
      <c r="K307" s="12" t="n">
        <f aca="false">J307^(-1/B307)-1</f>
        <v>0.0602311147402213</v>
      </c>
      <c r="L307" s="12" t="n">
        <f aca="false">(1+K307)^(1/12)-1</f>
        <v>0.00488580657933935</v>
      </c>
    </row>
    <row r="308" customFormat="false" ht="15" hidden="false" customHeight="false" outlineLevel="0" collapsed="false">
      <c r="A308" s="4" t="n">
        <v>304</v>
      </c>
      <c r="B308" s="14" t="n">
        <f aca="false">A308/12</f>
        <v>25.3333333333333</v>
      </c>
      <c r="C308" s="15" t="n">
        <f aca="false">INT(A308/6)</f>
        <v>50</v>
      </c>
      <c r="D308" s="16" t="n">
        <f aca="false">IF(C308=0,(1+Dic2025!$G$6)^(-B308),EXP(LN(INDEX(Dic2025!$H$6:$H$205,C308))+(LN(INDEX(Dic2025!$H$6:$H$205,MIN(C308+1,200)))-LN(INDEX(Dic2025!$H$6:$H$205,C308)))*(A308-6*C308)/6))</f>
        <v>0.227165322802772</v>
      </c>
      <c r="E308" s="12" t="n">
        <f aca="false">D308^(-1/B308)-1</f>
        <v>0.060248218008131</v>
      </c>
      <c r="F308" s="12" t="n">
        <f aca="false">(1+E308)^(1/12)-1</f>
        <v>0.0048871574407896</v>
      </c>
      <c r="G308" s="16" t="n">
        <f aca="false">IF(C308=0,(1+Dic2025!$J$6)^(-B308),EXP(LN(INDEX(Dic2025!$K$6:$K$205,C308))+(LN(INDEX(Dic2025!$K$6:$K$205,MIN(C308+1,200)))-LN(INDEX(Dic2025!$K$6:$K$205,C308)))*(A308-6*C308)/6))</f>
        <v>0.227165322802772</v>
      </c>
      <c r="H308" s="12" t="n">
        <f aca="false">G308^(-1/B308)-1</f>
        <v>0.060248218008131</v>
      </c>
      <c r="I308" s="12" t="n">
        <f aca="false">(1+H308)^(1/12)-1</f>
        <v>0.0048871574407896</v>
      </c>
      <c r="J308" s="16" t="n">
        <f aca="false">IF(C308=0,(1+Dic2025!$M$6)^(-B308),EXP(LN(INDEX(Dic2025!$N$6:$N$205,C308))+(LN(INDEX(Dic2025!$N$6:$N$205,MIN(C308+1,200)))-LN(INDEX(Dic2025!$N$6:$N$205,C308)))*(A308-6*C308)/6))</f>
        <v>0.227165322802772</v>
      </c>
      <c r="K308" s="12" t="n">
        <f aca="false">J308^(-1/B308)-1</f>
        <v>0.060248218008131</v>
      </c>
      <c r="L308" s="12" t="n">
        <f aca="false">(1+K308)^(1/12)-1</f>
        <v>0.0048871574407896</v>
      </c>
    </row>
    <row r="309" customFormat="false" ht="15" hidden="false" customHeight="false" outlineLevel="0" collapsed="false">
      <c r="A309" s="4" t="n">
        <v>305</v>
      </c>
      <c r="B309" s="14" t="n">
        <f aca="false">A309/12</f>
        <v>25.4166666666667</v>
      </c>
      <c r="C309" s="15" t="n">
        <f aca="false">INT(A309/6)</f>
        <v>50</v>
      </c>
      <c r="D309" s="16" t="n">
        <f aca="false">IF(C309=0,(1+Dic2025!$G$6)^(-B309),EXP(LN(INDEX(Dic2025!$H$6:$H$205,C309))+(LN(INDEX(Dic2025!$H$6:$H$205,MIN(C309+1,200)))-LN(INDEX(Dic2025!$H$6:$H$205,C309)))*(A309-6*C309)/6))</f>
        <v>0.225968469031972</v>
      </c>
      <c r="E309" s="12" t="n">
        <f aca="false">D309^(-1/B309)-1</f>
        <v>0.0602652093966602</v>
      </c>
      <c r="F309" s="12" t="n">
        <f aca="false">(1+E309)^(1/12)-1</f>
        <v>0.00488849944593017</v>
      </c>
      <c r="G309" s="16" t="n">
        <f aca="false">IF(C309=0,(1+Dic2025!$J$6)^(-B309),EXP(LN(INDEX(Dic2025!$K$6:$K$205,C309))+(LN(INDEX(Dic2025!$K$6:$K$205,MIN(C309+1,200)))-LN(INDEX(Dic2025!$K$6:$K$205,C309)))*(A309-6*C309)/6))</f>
        <v>0.225968469031972</v>
      </c>
      <c r="H309" s="12" t="n">
        <f aca="false">G309^(-1/B309)-1</f>
        <v>0.0602652093966602</v>
      </c>
      <c r="I309" s="12" t="n">
        <f aca="false">(1+H309)^(1/12)-1</f>
        <v>0.00488849944593017</v>
      </c>
      <c r="J309" s="16" t="n">
        <f aca="false">IF(C309=0,(1+Dic2025!$M$6)^(-B309),EXP(LN(INDEX(Dic2025!$N$6:$N$205,C309))+(LN(INDEX(Dic2025!$N$6:$N$205,MIN(C309+1,200)))-LN(INDEX(Dic2025!$N$6:$N$205,C309)))*(A309-6*C309)/6))</f>
        <v>0.225968469031972</v>
      </c>
      <c r="K309" s="12" t="n">
        <f aca="false">J309^(-1/B309)-1</f>
        <v>0.0602652093966602</v>
      </c>
      <c r="L309" s="12" t="n">
        <f aca="false">(1+K309)^(1/12)-1</f>
        <v>0.00488849944593017</v>
      </c>
    </row>
    <row r="310" customFormat="false" ht="15" hidden="false" customHeight="false" outlineLevel="0" collapsed="false">
      <c r="A310" s="4" t="n">
        <v>306</v>
      </c>
      <c r="B310" s="14" t="n">
        <f aca="false">A310/12</f>
        <v>25.5</v>
      </c>
      <c r="C310" s="15" t="n">
        <f aca="false">INT(A310/6)</f>
        <v>51</v>
      </c>
      <c r="D310" s="16" t="n">
        <f aca="false">IF(C310=0,(1+Dic2025!$G$6)^(-B310),EXP(LN(INDEX(Dic2025!$H$6:$H$205,C310))+(LN(INDEX(Dic2025!$H$6:$H$205,MIN(C310+1,200)))-LN(INDEX(Dic2025!$H$6:$H$205,C310)))*(A310-6*C310)/6))</f>
        <v>0.224777921060538</v>
      </c>
      <c r="E310" s="12" t="n">
        <f aca="false">D310^(-1/B310)-1</f>
        <v>0.0602820900000001</v>
      </c>
      <c r="F310" s="12" t="n">
        <f aca="false">(1+E310)^(1/12)-1</f>
        <v>0.00488983268157006</v>
      </c>
      <c r="G310" s="16" t="n">
        <f aca="false">IF(C310=0,(1+Dic2025!$J$6)^(-B310),EXP(LN(INDEX(Dic2025!$K$6:$K$205,C310))+(LN(INDEX(Dic2025!$K$6:$K$205,MIN(C310+1,200)))-LN(INDEX(Dic2025!$K$6:$K$205,C310)))*(A310-6*C310)/6))</f>
        <v>0.224777921060538</v>
      </c>
      <c r="H310" s="12" t="n">
        <f aca="false">G310^(-1/B310)-1</f>
        <v>0.0602820900000001</v>
      </c>
      <c r="I310" s="12" t="n">
        <f aca="false">(1+H310)^(1/12)-1</f>
        <v>0.00488983268157006</v>
      </c>
      <c r="J310" s="16" t="n">
        <f aca="false">IF(C310=0,(1+Dic2025!$M$6)^(-B310),EXP(LN(INDEX(Dic2025!$N$6:$N$205,C310))+(LN(INDEX(Dic2025!$N$6:$N$205,MIN(C310+1,200)))-LN(INDEX(Dic2025!$N$6:$N$205,C310)))*(A310-6*C310)/6))</f>
        <v>0.224777921060538</v>
      </c>
      <c r="K310" s="12" t="n">
        <f aca="false">J310^(-1/B310)-1</f>
        <v>0.0602820900000001</v>
      </c>
      <c r="L310" s="12" t="n">
        <f aca="false">(1+K310)^(1/12)-1</f>
        <v>0.00488983268157006</v>
      </c>
    </row>
    <row r="311" customFormat="false" ht="15" hidden="false" customHeight="false" outlineLevel="0" collapsed="false">
      <c r="A311" s="4" t="n">
        <v>307</v>
      </c>
      <c r="B311" s="14" t="n">
        <f aca="false">A311/12</f>
        <v>25.5833333333333</v>
      </c>
      <c r="C311" s="15" t="n">
        <f aca="false">INT(A311/6)</f>
        <v>51</v>
      </c>
      <c r="D311" s="16" t="n">
        <f aca="false">IF(C311=0,(1+Dic2025!$G$6)^(-B311),EXP(LN(INDEX(Dic2025!$H$6:$H$205,C311))+(LN(INDEX(Dic2025!$H$6:$H$205,MIN(C311+1,200)))-LN(INDEX(Dic2025!$H$6:$H$205,C311)))*(A311-6*C311)/6))</f>
        <v>0.223495963338556</v>
      </c>
      <c r="E311" s="12" t="n">
        <f aca="false">D311^(-1/B311)-1</f>
        <v>0.0603169712253253</v>
      </c>
      <c r="F311" s="12" t="n">
        <f aca="false">(1+E311)^(1/12)-1</f>
        <v>0.00489258755065181</v>
      </c>
      <c r="G311" s="16" t="n">
        <f aca="false">IF(C311=0,(1+Dic2025!$J$6)^(-B311),EXP(LN(INDEX(Dic2025!$K$6:$K$205,C311))+(LN(INDEX(Dic2025!$K$6:$K$205,MIN(C311+1,200)))-LN(INDEX(Dic2025!$K$6:$K$205,C311)))*(A311-6*C311)/6))</f>
        <v>0.223495963338556</v>
      </c>
      <c r="H311" s="12" t="n">
        <f aca="false">G311^(-1/B311)-1</f>
        <v>0.0603169712253253</v>
      </c>
      <c r="I311" s="12" t="n">
        <f aca="false">(1+H311)^(1/12)-1</f>
        <v>0.00489258755065181</v>
      </c>
      <c r="J311" s="16" t="n">
        <f aca="false">IF(C311=0,(1+Dic2025!$M$6)^(-B311),EXP(LN(INDEX(Dic2025!$N$6:$N$205,C311))+(LN(INDEX(Dic2025!$N$6:$N$205,MIN(C311+1,200)))-LN(INDEX(Dic2025!$N$6:$N$205,C311)))*(A311-6*C311)/6))</f>
        <v>0.223495963338556</v>
      </c>
      <c r="K311" s="12" t="n">
        <f aca="false">J311^(-1/B311)-1</f>
        <v>0.0603169712253253</v>
      </c>
      <c r="L311" s="12" t="n">
        <f aca="false">(1+K311)^(1/12)-1</f>
        <v>0.00489258755065181</v>
      </c>
    </row>
    <row r="312" customFormat="false" ht="15" hidden="false" customHeight="false" outlineLevel="0" collapsed="false">
      <c r="A312" s="4" t="n">
        <v>308</v>
      </c>
      <c r="B312" s="14" t="n">
        <f aca="false">A312/12</f>
        <v>25.6666666666667</v>
      </c>
      <c r="C312" s="15" t="n">
        <f aca="false">INT(A312/6)</f>
        <v>51</v>
      </c>
      <c r="D312" s="16" t="n">
        <f aca="false">IF(C312=0,(1+Dic2025!$G$6)^(-B312),EXP(LN(INDEX(Dic2025!$H$6:$H$205,C312))+(LN(INDEX(Dic2025!$H$6:$H$205,MIN(C312+1,200)))-LN(INDEX(Dic2025!$H$6:$H$205,C312)))*(A312-6*C312)/6))</f>
        <v>0.222221316902279</v>
      </c>
      <c r="E312" s="12" t="n">
        <f aca="false">D312^(-1/B312)-1</f>
        <v>0.0603516270855591</v>
      </c>
      <c r="F312" s="12" t="n">
        <f aca="false">(1+E312)^(1/12)-1</f>
        <v>0.00489532453845221</v>
      </c>
      <c r="G312" s="16" t="n">
        <f aca="false">IF(C312=0,(1+Dic2025!$J$6)^(-B312),EXP(LN(INDEX(Dic2025!$K$6:$K$205,C312))+(LN(INDEX(Dic2025!$K$6:$K$205,MIN(C312+1,200)))-LN(INDEX(Dic2025!$K$6:$K$205,C312)))*(A312-6*C312)/6))</f>
        <v>0.222221316902279</v>
      </c>
      <c r="H312" s="12" t="n">
        <f aca="false">G312^(-1/B312)-1</f>
        <v>0.0603516270855591</v>
      </c>
      <c r="I312" s="12" t="n">
        <f aca="false">(1+H312)^(1/12)-1</f>
        <v>0.00489532453845221</v>
      </c>
      <c r="J312" s="16" t="n">
        <f aca="false">IF(C312=0,(1+Dic2025!$M$6)^(-B312),EXP(LN(INDEX(Dic2025!$N$6:$N$205,C312))+(LN(INDEX(Dic2025!$N$6:$N$205,MIN(C312+1,200)))-LN(INDEX(Dic2025!$N$6:$N$205,C312)))*(A312-6*C312)/6))</f>
        <v>0.222221316902279</v>
      </c>
      <c r="K312" s="12" t="n">
        <f aca="false">J312^(-1/B312)-1</f>
        <v>0.0603516270855591</v>
      </c>
      <c r="L312" s="12" t="n">
        <f aca="false">(1+K312)^(1/12)-1</f>
        <v>0.00489532453845221</v>
      </c>
    </row>
    <row r="313" customFormat="false" ht="15" hidden="false" customHeight="false" outlineLevel="0" collapsed="false">
      <c r="A313" s="4" t="n">
        <v>309</v>
      </c>
      <c r="B313" s="14" t="n">
        <f aca="false">A313/12</f>
        <v>25.75</v>
      </c>
      <c r="C313" s="15" t="n">
        <f aca="false">INT(A313/6)</f>
        <v>51</v>
      </c>
      <c r="D313" s="16" t="n">
        <f aca="false">IF(C313=0,(1+Dic2025!$G$6)^(-B313),EXP(LN(INDEX(Dic2025!$H$6:$H$205,C313))+(LN(INDEX(Dic2025!$H$6:$H$205,MIN(C313+1,200)))-LN(INDEX(Dic2025!$H$6:$H$205,C313)))*(A313-6*C313)/6))</f>
        <v>0.220953940053842</v>
      </c>
      <c r="E313" s="12" t="n">
        <f aca="false">D313^(-1/B313)-1</f>
        <v>0.0603860597577512</v>
      </c>
      <c r="F313" s="12" t="n">
        <f aca="false">(1+E313)^(1/12)-1</f>
        <v>0.00489804381850356</v>
      </c>
      <c r="G313" s="16" t="n">
        <f aca="false">IF(C313=0,(1+Dic2025!$J$6)^(-B313),EXP(LN(INDEX(Dic2025!$K$6:$K$205,C313))+(LN(INDEX(Dic2025!$K$6:$K$205,MIN(C313+1,200)))-LN(INDEX(Dic2025!$K$6:$K$205,C313)))*(A313-6*C313)/6))</f>
        <v>0.220953940053842</v>
      </c>
      <c r="H313" s="12" t="n">
        <f aca="false">G313^(-1/B313)-1</f>
        <v>0.0603860597577512</v>
      </c>
      <c r="I313" s="12" t="n">
        <f aca="false">(1+H313)^(1/12)-1</f>
        <v>0.00489804381850356</v>
      </c>
      <c r="J313" s="16" t="n">
        <f aca="false">IF(C313=0,(1+Dic2025!$M$6)^(-B313),EXP(LN(INDEX(Dic2025!$N$6:$N$205,C313))+(LN(INDEX(Dic2025!$N$6:$N$205,MIN(C313+1,200)))-LN(INDEX(Dic2025!$N$6:$N$205,C313)))*(A313-6*C313)/6))</f>
        <v>0.220953940053842</v>
      </c>
      <c r="K313" s="12" t="n">
        <f aca="false">J313^(-1/B313)-1</f>
        <v>0.0603860597577512</v>
      </c>
      <c r="L313" s="12" t="n">
        <f aca="false">(1+K313)^(1/12)-1</f>
        <v>0.00489804381850356</v>
      </c>
    </row>
    <row r="314" customFormat="false" ht="15" hidden="false" customHeight="false" outlineLevel="0" collapsed="false">
      <c r="A314" s="4" t="n">
        <v>310</v>
      </c>
      <c r="B314" s="14" t="n">
        <f aca="false">A314/12</f>
        <v>25.8333333333333</v>
      </c>
      <c r="C314" s="15" t="n">
        <f aca="false">INT(A314/6)</f>
        <v>51</v>
      </c>
      <c r="D314" s="16" t="n">
        <f aca="false">IF(C314=0,(1+Dic2025!$G$6)^(-B314),EXP(LN(INDEX(Dic2025!$H$6:$H$205,C314))+(LN(INDEX(Dic2025!$H$6:$H$205,MIN(C314+1,200)))-LN(INDEX(Dic2025!$H$6:$H$205,C314)))*(A314-6*C314)/6))</f>
        <v>0.219693791333194</v>
      </c>
      <c r="E314" s="12" t="n">
        <f aca="false">D314^(-1/B314)-1</f>
        <v>0.0604202713910023</v>
      </c>
      <c r="F314" s="12" t="n">
        <f aca="false">(1+E314)^(1/12)-1</f>
        <v>0.00490074556210018</v>
      </c>
      <c r="G314" s="16" t="n">
        <f aca="false">IF(C314=0,(1+Dic2025!$J$6)^(-B314),EXP(LN(INDEX(Dic2025!$K$6:$K$205,C314))+(LN(INDEX(Dic2025!$K$6:$K$205,MIN(C314+1,200)))-LN(INDEX(Dic2025!$K$6:$K$205,C314)))*(A314-6*C314)/6))</f>
        <v>0.219693791333194</v>
      </c>
      <c r="H314" s="12" t="n">
        <f aca="false">G314^(-1/B314)-1</f>
        <v>0.0604202713910023</v>
      </c>
      <c r="I314" s="12" t="n">
        <f aca="false">(1+H314)^(1/12)-1</f>
        <v>0.00490074556210018</v>
      </c>
      <c r="J314" s="16" t="n">
        <f aca="false">IF(C314=0,(1+Dic2025!$M$6)^(-B314),EXP(LN(INDEX(Dic2025!$N$6:$N$205,C314))+(LN(INDEX(Dic2025!$N$6:$N$205,MIN(C314+1,200)))-LN(INDEX(Dic2025!$N$6:$N$205,C314)))*(A314-6*C314)/6))</f>
        <v>0.219693791333194</v>
      </c>
      <c r="K314" s="12" t="n">
        <f aca="false">J314^(-1/B314)-1</f>
        <v>0.0604202713910023</v>
      </c>
      <c r="L314" s="12" t="n">
        <f aca="false">(1+K314)^(1/12)-1</f>
        <v>0.00490074556210018</v>
      </c>
    </row>
    <row r="315" customFormat="false" ht="15" hidden="false" customHeight="false" outlineLevel="0" collapsed="false">
      <c r="A315" s="4" t="n">
        <v>311</v>
      </c>
      <c r="B315" s="14" t="n">
        <f aca="false">A315/12</f>
        <v>25.9166666666667</v>
      </c>
      <c r="C315" s="15" t="n">
        <f aca="false">INT(A315/6)</f>
        <v>51</v>
      </c>
      <c r="D315" s="16" t="n">
        <f aca="false">IF(C315=0,(1+Dic2025!$G$6)^(-B315),EXP(LN(INDEX(Dic2025!$H$6:$H$205,C315))+(LN(INDEX(Dic2025!$H$6:$H$205,MIN(C315+1,200)))-LN(INDEX(Dic2025!$H$6:$H$205,C315)))*(A315-6*C315)/6))</f>
        <v>0.218440829516739</v>
      </c>
      <c r="E315" s="12" t="n">
        <f aca="false">D315^(-1/B315)-1</f>
        <v>0.0604542641069079</v>
      </c>
      <c r="F315" s="12" t="n">
        <f aca="false">(1+E315)^(1/12)-1</f>
        <v>0.0049034299383337</v>
      </c>
      <c r="G315" s="16" t="n">
        <f aca="false">IF(C315=0,(1+Dic2025!$J$6)^(-B315),EXP(LN(INDEX(Dic2025!$K$6:$K$205,C315))+(LN(INDEX(Dic2025!$K$6:$K$205,MIN(C315+1,200)))-LN(INDEX(Dic2025!$K$6:$K$205,C315)))*(A315-6*C315)/6))</f>
        <v>0.218440829516739</v>
      </c>
      <c r="H315" s="12" t="n">
        <f aca="false">G315^(-1/B315)-1</f>
        <v>0.0604542641069079</v>
      </c>
      <c r="I315" s="12" t="n">
        <f aca="false">(1+H315)^(1/12)-1</f>
        <v>0.0049034299383337</v>
      </c>
      <c r="J315" s="16" t="n">
        <f aca="false">IF(C315=0,(1+Dic2025!$M$6)^(-B315),EXP(LN(INDEX(Dic2025!$N$6:$N$205,C315))+(LN(INDEX(Dic2025!$N$6:$N$205,MIN(C315+1,200)))-LN(INDEX(Dic2025!$N$6:$N$205,C315)))*(A315-6*C315)/6))</f>
        <v>0.218440829516739</v>
      </c>
      <c r="K315" s="12" t="n">
        <f aca="false">J315^(-1/B315)-1</f>
        <v>0.0604542641069079</v>
      </c>
      <c r="L315" s="12" t="n">
        <f aca="false">(1+K315)^(1/12)-1</f>
        <v>0.0049034299383337</v>
      </c>
    </row>
    <row r="316" customFormat="false" ht="15" hidden="false" customHeight="false" outlineLevel="0" collapsed="false">
      <c r="A316" s="4" t="n">
        <v>312</v>
      </c>
      <c r="B316" s="14" t="n">
        <f aca="false">A316/12</f>
        <v>26</v>
      </c>
      <c r="C316" s="15" t="n">
        <f aca="false">INT(A316/6)</f>
        <v>52</v>
      </c>
      <c r="D316" s="16" t="n">
        <f aca="false">IF(C316=0,(1+Dic2025!$G$6)^(-B316),EXP(LN(INDEX(Dic2025!$H$6:$H$205,C316))+(LN(INDEX(Dic2025!$H$6:$H$205,MIN(C316+1,200)))-LN(INDEX(Dic2025!$H$6:$H$205,C316)))*(A316-6*C316)/6))</f>
        <v>0.217195013615987</v>
      </c>
      <c r="E316" s="12" t="n">
        <f aca="false">D316^(-1/B316)-1</f>
        <v>0.0604880400000001</v>
      </c>
      <c r="F316" s="12" t="n">
        <f aca="false">(1+E316)^(1/12)-1</f>
        <v>0.00490609711412926</v>
      </c>
      <c r="G316" s="16" t="n">
        <f aca="false">IF(C316=0,(1+Dic2025!$J$6)^(-B316),EXP(LN(INDEX(Dic2025!$K$6:$K$205,C316))+(LN(INDEX(Dic2025!$K$6:$K$205,MIN(C316+1,200)))-LN(INDEX(Dic2025!$K$6:$K$205,C316)))*(A316-6*C316)/6))</f>
        <v>0.217195013615987</v>
      </c>
      <c r="H316" s="12" t="n">
        <f aca="false">G316^(-1/B316)-1</f>
        <v>0.0604880400000001</v>
      </c>
      <c r="I316" s="12" t="n">
        <f aca="false">(1+H316)^(1/12)-1</f>
        <v>0.00490609711412926</v>
      </c>
      <c r="J316" s="16" t="n">
        <f aca="false">IF(C316=0,(1+Dic2025!$M$6)^(-B316),EXP(LN(INDEX(Dic2025!$N$6:$N$205,C316))+(LN(INDEX(Dic2025!$N$6:$N$205,MIN(C316+1,200)))-LN(INDEX(Dic2025!$N$6:$N$205,C316)))*(A316-6*C316)/6))</f>
        <v>0.217195013615987</v>
      </c>
      <c r="K316" s="12" t="n">
        <f aca="false">J316^(-1/B316)-1</f>
        <v>0.0604880400000001</v>
      </c>
      <c r="L316" s="12" t="n">
        <f aca="false">(1+K316)^(1/12)-1</f>
        <v>0.00490609711412926</v>
      </c>
    </row>
    <row r="317" customFormat="false" ht="15" hidden="false" customHeight="false" outlineLevel="0" collapsed="false">
      <c r="A317" s="4" t="n">
        <v>313</v>
      </c>
      <c r="B317" s="14" t="n">
        <f aca="false">A317/12</f>
        <v>26.0833333333333</v>
      </c>
      <c r="C317" s="15" t="n">
        <f aca="false">INT(A317/6)</f>
        <v>52</v>
      </c>
      <c r="D317" s="16" t="n">
        <f aca="false">IF(C317=0,(1+Dic2025!$G$6)^(-B317),EXP(LN(INDEX(Dic2025!$H$6:$H$205,C317))+(LN(INDEX(Dic2025!$H$6:$H$205,MIN(C317+1,200)))-LN(INDEX(Dic2025!$H$6:$H$205,C317)))*(A317-6*C317)/6))</f>
        <v>0.216041961135302</v>
      </c>
      <c r="E317" s="12" t="n">
        <f aca="false">D317^(-1/B317)-1</f>
        <v>0.0605054772280338</v>
      </c>
      <c r="F317" s="12" t="n">
        <f aca="false">(1+E317)^(1/12)-1</f>
        <v>0.0049074740465771</v>
      </c>
      <c r="G317" s="16" t="n">
        <f aca="false">IF(C317=0,(1+Dic2025!$J$6)^(-B317),EXP(LN(INDEX(Dic2025!$K$6:$K$205,C317))+(LN(INDEX(Dic2025!$K$6:$K$205,MIN(C317+1,200)))-LN(INDEX(Dic2025!$K$6:$K$205,C317)))*(A317-6*C317)/6))</f>
        <v>0.216041961135302</v>
      </c>
      <c r="H317" s="12" t="n">
        <f aca="false">G317^(-1/B317)-1</f>
        <v>0.0605054772280338</v>
      </c>
      <c r="I317" s="12" t="n">
        <f aca="false">(1+H317)^(1/12)-1</f>
        <v>0.0049074740465771</v>
      </c>
      <c r="J317" s="16" t="n">
        <f aca="false">IF(C317=0,(1+Dic2025!$M$6)^(-B317),EXP(LN(INDEX(Dic2025!$N$6:$N$205,C317))+(LN(INDEX(Dic2025!$N$6:$N$205,MIN(C317+1,200)))-LN(INDEX(Dic2025!$N$6:$N$205,C317)))*(A317-6*C317)/6))</f>
        <v>0.216041961135302</v>
      </c>
      <c r="K317" s="12" t="n">
        <f aca="false">J317^(-1/B317)-1</f>
        <v>0.0605054772280338</v>
      </c>
      <c r="L317" s="12" t="n">
        <f aca="false">(1+K317)^(1/12)-1</f>
        <v>0.0049074740465771</v>
      </c>
    </row>
    <row r="318" customFormat="false" ht="15" hidden="false" customHeight="false" outlineLevel="0" collapsed="false">
      <c r="A318" s="4" t="n">
        <v>314</v>
      </c>
      <c r="B318" s="14" t="n">
        <f aca="false">A318/12</f>
        <v>26.1666666666667</v>
      </c>
      <c r="C318" s="15" t="n">
        <f aca="false">INT(A318/6)</f>
        <v>52</v>
      </c>
      <c r="D318" s="16" t="n">
        <f aca="false">IF(C318=0,(1+Dic2025!$G$6)^(-B318),EXP(LN(INDEX(Dic2025!$H$6:$H$205,C318))+(LN(INDEX(Dic2025!$H$6:$H$205,MIN(C318+1,200)))-LN(INDEX(Dic2025!$H$6:$H$205,C318)))*(A318-6*C318)/6))</f>
        <v>0.214895030019933</v>
      </c>
      <c r="E318" s="12" t="n">
        <f aca="false">D318^(-1/B318)-1</f>
        <v>0.0605228036749015</v>
      </c>
      <c r="F318" s="12" t="n">
        <f aca="false">(1+E318)^(1/12)-1</f>
        <v>0.00490884221062315</v>
      </c>
      <c r="G318" s="16" t="n">
        <f aca="false">IF(C318=0,(1+Dic2025!$J$6)^(-B318),EXP(LN(INDEX(Dic2025!$K$6:$K$205,C318))+(LN(INDEX(Dic2025!$K$6:$K$205,MIN(C318+1,200)))-LN(INDEX(Dic2025!$K$6:$K$205,C318)))*(A318-6*C318)/6))</f>
        <v>0.214895030019933</v>
      </c>
      <c r="H318" s="12" t="n">
        <f aca="false">G318^(-1/B318)-1</f>
        <v>0.0605228036749015</v>
      </c>
      <c r="I318" s="12" t="n">
        <f aca="false">(1+H318)^(1/12)-1</f>
        <v>0.00490884221062315</v>
      </c>
      <c r="J318" s="16" t="n">
        <f aca="false">IF(C318=0,(1+Dic2025!$M$6)^(-B318),EXP(LN(INDEX(Dic2025!$N$6:$N$205,C318))+(LN(INDEX(Dic2025!$N$6:$N$205,MIN(C318+1,200)))-LN(INDEX(Dic2025!$N$6:$N$205,C318)))*(A318-6*C318)/6))</f>
        <v>0.214895030019933</v>
      </c>
      <c r="K318" s="12" t="n">
        <f aca="false">J318^(-1/B318)-1</f>
        <v>0.0605228036749015</v>
      </c>
      <c r="L318" s="12" t="n">
        <f aca="false">(1+K318)^(1/12)-1</f>
        <v>0.00490884221062315</v>
      </c>
    </row>
    <row r="319" customFormat="false" ht="15" hidden="false" customHeight="false" outlineLevel="0" collapsed="false">
      <c r="A319" s="4" t="n">
        <v>315</v>
      </c>
      <c r="B319" s="14" t="n">
        <f aca="false">A319/12</f>
        <v>26.25</v>
      </c>
      <c r="C319" s="15" t="n">
        <f aca="false">INT(A319/6)</f>
        <v>52</v>
      </c>
      <c r="D319" s="16" t="n">
        <f aca="false">IF(C319=0,(1+Dic2025!$G$6)^(-B319),EXP(LN(INDEX(Dic2025!$H$6:$H$205,C319))+(LN(INDEX(Dic2025!$H$6:$H$205,MIN(C319+1,200)))-LN(INDEX(Dic2025!$H$6:$H$205,C319)))*(A319-6*C319)/6))</f>
        <v>0.213754187772562</v>
      </c>
      <c r="E319" s="12" t="n">
        <f aca="false">D319^(-1/B319)-1</f>
        <v>0.0605400203929702</v>
      </c>
      <c r="F319" s="12" t="n">
        <f aca="false">(1+E319)^(1/12)-1</f>
        <v>0.00491020168975864</v>
      </c>
      <c r="G319" s="16" t="n">
        <f aca="false">IF(C319=0,(1+Dic2025!$J$6)^(-B319),EXP(LN(INDEX(Dic2025!$K$6:$K$205,C319))+(LN(INDEX(Dic2025!$K$6:$K$205,MIN(C319+1,200)))-LN(INDEX(Dic2025!$K$6:$K$205,C319)))*(A319-6*C319)/6))</f>
        <v>0.213754187772562</v>
      </c>
      <c r="H319" s="12" t="n">
        <f aca="false">G319^(-1/B319)-1</f>
        <v>0.0605400203929702</v>
      </c>
      <c r="I319" s="12" t="n">
        <f aca="false">(1+H319)^(1/12)-1</f>
        <v>0.00491020168975864</v>
      </c>
      <c r="J319" s="16" t="n">
        <f aca="false">IF(C319=0,(1+Dic2025!$M$6)^(-B319),EXP(LN(INDEX(Dic2025!$N$6:$N$205,C319))+(LN(INDEX(Dic2025!$N$6:$N$205,MIN(C319+1,200)))-LN(INDEX(Dic2025!$N$6:$N$205,C319)))*(A319-6*C319)/6))</f>
        <v>0.213754187772562</v>
      </c>
      <c r="K319" s="12" t="n">
        <f aca="false">J319^(-1/B319)-1</f>
        <v>0.0605400203929702</v>
      </c>
      <c r="L319" s="12" t="n">
        <f aca="false">(1+K319)^(1/12)-1</f>
        <v>0.00491020168975864</v>
      </c>
    </row>
    <row r="320" customFormat="false" ht="15" hidden="false" customHeight="false" outlineLevel="0" collapsed="false">
      <c r="A320" s="4" t="n">
        <v>316</v>
      </c>
      <c r="B320" s="14" t="n">
        <f aca="false">A320/12</f>
        <v>26.3333333333333</v>
      </c>
      <c r="C320" s="15" t="n">
        <f aca="false">INT(A320/6)</f>
        <v>52</v>
      </c>
      <c r="D320" s="16" t="n">
        <f aca="false">IF(C320=0,(1+Dic2025!$G$6)^(-B320),EXP(LN(INDEX(Dic2025!$H$6:$H$205,C320))+(LN(INDEX(Dic2025!$H$6:$H$205,MIN(C320+1,200)))-LN(INDEX(Dic2025!$H$6:$H$205,C320)))*(A320-6*C320)/6))</f>
        <v>0.212619402068394</v>
      </c>
      <c r="E320" s="12" t="n">
        <f aca="false">D320^(-1/B320)-1</f>
        <v>0.0605571284213207</v>
      </c>
      <c r="F320" s="12" t="n">
        <f aca="false">(1+E320)^(1/12)-1</f>
        <v>0.0049115525664174</v>
      </c>
      <c r="G320" s="16" t="n">
        <f aca="false">IF(C320=0,(1+Dic2025!$J$6)^(-B320),EXP(LN(INDEX(Dic2025!$K$6:$K$205,C320))+(LN(INDEX(Dic2025!$K$6:$K$205,MIN(C320+1,200)))-LN(INDEX(Dic2025!$K$6:$K$205,C320)))*(A320-6*C320)/6))</f>
        <v>0.212619402068394</v>
      </c>
      <c r="H320" s="12" t="n">
        <f aca="false">G320^(-1/B320)-1</f>
        <v>0.0605571284213207</v>
      </c>
      <c r="I320" s="12" t="n">
        <f aca="false">(1+H320)^(1/12)-1</f>
        <v>0.0049115525664174</v>
      </c>
      <c r="J320" s="16" t="n">
        <f aca="false">IF(C320=0,(1+Dic2025!$M$6)^(-B320),EXP(LN(INDEX(Dic2025!$N$6:$N$205,C320))+(LN(INDEX(Dic2025!$N$6:$N$205,MIN(C320+1,200)))-LN(INDEX(Dic2025!$N$6:$N$205,C320)))*(A320-6*C320)/6))</f>
        <v>0.212619402068394</v>
      </c>
      <c r="K320" s="12" t="n">
        <f aca="false">J320^(-1/B320)-1</f>
        <v>0.0605571284213207</v>
      </c>
      <c r="L320" s="12" t="n">
        <f aca="false">(1+K320)^(1/12)-1</f>
        <v>0.0049115525664174</v>
      </c>
    </row>
    <row r="321" customFormat="false" ht="15" hidden="false" customHeight="false" outlineLevel="0" collapsed="false">
      <c r="A321" s="4" t="n">
        <v>317</v>
      </c>
      <c r="B321" s="14" t="n">
        <f aca="false">A321/12</f>
        <v>26.4166666666667</v>
      </c>
      <c r="C321" s="15" t="n">
        <f aca="false">INT(A321/6)</f>
        <v>52</v>
      </c>
      <c r="D321" s="16" t="n">
        <f aca="false">IF(C321=0,(1+Dic2025!$G$6)^(-B321),EXP(LN(INDEX(Dic2025!$H$6:$H$205,C321))+(LN(INDEX(Dic2025!$H$6:$H$205,MIN(C321+1,200)))-LN(INDEX(Dic2025!$H$6:$H$205,C321)))*(A321-6*C321)/6))</f>
        <v>0.211490640754241</v>
      </c>
      <c r="E321" s="12" t="n">
        <f aca="false">D321^(-1/B321)-1</f>
        <v>0.0605741287859543</v>
      </c>
      <c r="F321" s="12" t="n">
        <f aca="false">(1+E321)^(1/12)-1</f>
        <v>0.00491289492199387</v>
      </c>
      <c r="G321" s="16" t="n">
        <f aca="false">IF(C321=0,(1+Dic2025!$J$6)^(-B321),EXP(LN(INDEX(Dic2025!$K$6:$K$205,C321))+(LN(INDEX(Dic2025!$K$6:$K$205,MIN(C321+1,200)))-LN(INDEX(Dic2025!$K$6:$K$205,C321)))*(A321-6*C321)/6))</f>
        <v>0.211490640754241</v>
      </c>
      <c r="H321" s="12" t="n">
        <f aca="false">G321^(-1/B321)-1</f>
        <v>0.0605741287859543</v>
      </c>
      <c r="I321" s="12" t="n">
        <f aca="false">(1+H321)^(1/12)-1</f>
        <v>0.00491289492199387</v>
      </c>
      <c r="J321" s="16" t="n">
        <f aca="false">IF(C321=0,(1+Dic2025!$M$6)^(-B321),EXP(LN(INDEX(Dic2025!$N$6:$N$205,C321))+(LN(INDEX(Dic2025!$N$6:$N$205,MIN(C321+1,200)))-LN(INDEX(Dic2025!$N$6:$N$205,C321)))*(A321-6*C321)/6))</f>
        <v>0.211490640754241</v>
      </c>
      <c r="K321" s="12" t="n">
        <f aca="false">J321^(-1/B321)-1</f>
        <v>0.0605741287859543</v>
      </c>
      <c r="L321" s="12" t="n">
        <f aca="false">(1+K321)^(1/12)-1</f>
        <v>0.00491289492199387</v>
      </c>
    </row>
    <row r="322" customFormat="false" ht="15" hidden="false" customHeight="false" outlineLevel="0" collapsed="false">
      <c r="A322" s="4" t="n">
        <v>318</v>
      </c>
      <c r="B322" s="14" t="n">
        <f aca="false">A322/12</f>
        <v>26.5</v>
      </c>
      <c r="C322" s="15" t="n">
        <f aca="false">INT(A322/6)</f>
        <v>53</v>
      </c>
      <c r="D322" s="16" t="n">
        <f aca="false">IF(C322=0,(1+Dic2025!$G$6)^(-B322),EXP(LN(INDEX(Dic2025!$H$6:$H$205,C322))+(LN(INDEX(Dic2025!$H$6:$H$205,MIN(C322+1,200)))-LN(INDEX(Dic2025!$H$6:$H$205,C322)))*(A322-6*C322)/6))</f>
        <v>0.21036787184761</v>
      </c>
      <c r="E322" s="12" t="n">
        <f aca="false">D322^(-1/B322)-1</f>
        <v>0.0605910224999999</v>
      </c>
      <c r="F322" s="12" t="n">
        <f aca="false">(1+E322)^(1/12)-1</f>
        <v>0.00491422883685844</v>
      </c>
      <c r="G322" s="16" t="n">
        <f aca="false">IF(C322=0,(1+Dic2025!$J$6)^(-B322),EXP(LN(INDEX(Dic2025!$K$6:$K$205,C322))+(LN(INDEX(Dic2025!$K$6:$K$205,MIN(C322+1,200)))-LN(INDEX(Dic2025!$K$6:$K$205,C322)))*(A322-6*C322)/6))</f>
        <v>0.21036787184761</v>
      </c>
      <c r="H322" s="12" t="n">
        <f aca="false">G322^(-1/B322)-1</f>
        <v>0.0605910224999999</v>
      </c>
      <c r="I322" s="12" t="n">
        <f aca="false">(1+H322)^(1/12)-1</f>
        <v>0.00491422883685844</v>
      </c>
      <c r="J322" s="16" t="n">
        <f aca="false">IF(C322=0,(1+Dic2025!$M$6)^(-B322),EXP(LN(INDEX(Dic2025!$N$6:$N$205,C322))+(LN(INDEX(Dic2025!$N$6:$N$205,MIN(C322+1,200)))-LN(INDEX(Dic2025!$N$6:$N$205,C322)))*(A322-6*C322)/6))</f>
        <v>0.21036787184761</v>
      </c>
      <c r="K322" s="12" t="n">
        <f aca="false">J322^(-1/B322)-1</f>
        <v>0.0605910224999999</v>
      </c>
      <c r="L322" s="12" t="n">
        <f aca="false">(1+K322)^(1/12)-1</f>
        <v>0.00491422883685844</v>
      </c>
    </row>
    <row r="323" customFormat="false" ht="15" hidden="false" customHeight="false" outlineLevel="0" collapsed="false">
      <c r="A323" s="4" t="n">
        <v>319</v>
      </c>
      <c r="B323" s="14" t="n">
        <f aca="false">A323/12</f>
        <v>26.5833333333333</v>
      </c>
      <c r="C323" s="15" t="n">
        <f aca="false">INT(A323/6)</f>
        <v>53</v>
      </c>
      <c r="D323" s="16" t="n">
        <f aca="false">IF(C323=0,(1+Dic2025!$G$6)^(-B323),EXP(LN(INDEX(Dic2025!$H$6:$H$205,C323))+(LN(INDEX(Dic2025!$H$6:$H$205,MIN(C323+1,200)))-LN(INDEX(Dic2025!$H$6:$H$205,C323)))*(A323-6*C323)/6))</f>
        <v>0.209247681487385</v>
      </c>
      <c r="E323" s="12" t="n">
        <f aca="false">D323^(-1/B323)-1</f>
        <v>0.060608455417579</v>
      </c>
      <c r="F323" s="12" t="n">
        <f aca="false">(1+E323)^(1/12)-1</f>
        <v>0.00491560530640678</v>
      </c>
      <c r="G323" s="16" t="n">
        <f aca="false">IF(C323=0,(1+Dic2025!$J$6)^(-B323),EXP(LN(INDEX(Dic2025!$K$6:$K$205,C323))+(LN(INDEX(Dic2025!$K$6:$K$205,MIN(C323+1,200)))-LN(INDEX(Dic2025!$K$6:$K$205,C323)))*(A323-6*C323)/6))</f>
        <v>0.209247681487385</v>
      </c>
      <c r="H323" s="12" t="n">
        <f aca="false">G323^(-1/B323)-1</f>
        <v>0.060608455417579</v>
      </c>
      <c r="I323" s="12" t="n">
        <f aca="false">(1+H323)^(1/12)-1</f>
        <v>0.00491560530640678</v>
      </c>
      <c r="J323" s="16" t="n">
        <f aca="false">IF(C323=0,(1+Dic2025!$M$6)^(-B323),EXP(LN(INDEX(Dic2025!$N$6:$N$205,C323))+(LN(INDEX(Dic2025!$N$6:$N$205,MIN(C323+1,200)))-LN(INDEX(Dic2025!$N$6:$N$205,C323)))*(A323-6*C323)/6))</f>
        <v>0.209247681487385</v>
      </c>
      <c r="K323" s="12" t="n">
        <f aca="false">J323^(-1/B323)-1</f>
        <v>0.060608455417579</v>
      </c>
      <c r="L323" s="12" t="n">
        <f aca="false">(1+K323)^(1/12)-1</f>
        <v>0.00491560530640678</v>
      </c>
    </row>
    <row r="324" customFormat="false" ht="15" hidden="false" customHeight="false" outlineLevel="0" collapsed="false">
      <c r="A324" s="4" t="n">
        <v>320</v>
      </c>
      <c r="B324" s="14" t="n">
        <f aca="false">A324/12</f>
        <v>26.6666666666667</v>
      </c>
      <c r="C324" s="15" t="n">
        <f aca="false">INT(A324/6)</f>
        <v>53</v>
      </c>
      <c r="D324" s="16" t="n">
        <f aca="false">IF(C324=0,(1+Dic2025!$G$6)^(-B324),EXP(LN(INDEX(Dic2025!$H$6:$H$205,C324))+(LN(INDEX(Dic2025!$H$6:$H$205,MIN(C324+1,200)))-LN(INDEX(Dic2025!$H$6:$H$205,C324)))*(A324-6*C324)/6))</f>
        <v>0.208133456042013</v>
      </c>
      <c r="E324" s="12" t="n">
        <f aca="false">D324^(-1/B324)-1</f>
        <v>0.0606257796632872</v>
      </c>
      <c r="F324" s="12" t="n">
        <f aca="false">(1+E324)^(1/12)-1</f>
        <v>0.00491697317488837</v>
      </c>
      <c r="G324" s="16" t="n">
        <f aca="false">IF(C324=0,(1+Dic2025!$J$6)^(-B324),EXP(LN(INDEX(Dic2025!$K$6:$K$205,C324))+(LN(INDEX(Dic2025!$K$6:$K$205,MIN(C324+1,200)))-LN(INDEX(Dic2025!$K$6:$K$205,C324)))*(A324-6*C324)/6))</f>
        <v>0.208133456042013</v>
      </c>
      <c r="H324" s="12" t="n">
        <f aca="false">G324^(-1/B324)-1</f>
        <v>0.0606257796632872</v>
      </c>
      <c r="I324" s="12" t="n">
        <f aca="false">(1+H324)^(1/12)-1</f>
        <v>0.00491697317488837</v>
      </c>
      <c r="J324" s="16" t="n">
        <f aca="false">IF(C324=0,(1+Dic2025!$M$6)^(-B324),EXP(LN(INDEX(Dic2025!$N$6:$N$205,C324))+(LN(INDEX(Dic2025!$N$6:$N$205,MIN(C324+1,200)))-LN(INDEX(Dic2025!$N$6:$N$205,C324)))*(A324-6*C324)/6))</f>
        <v>0.208133456042013</v>
      </c>
      <c r="K324" s="12" t="n">
        <f aca="false">J324^(-1/B324)-1</f>
        <v>0.0606257796632872</v>
      </c>
      <c r="L324" s="12" t="n">
        <f aca="false">(1+K324)^(1/12)-1</f>
        <v>0.00491697317488837</v>
      </c>
    </row>
    <row r="325" customFormat="false" ht="15" hidden="false" customHeight="false" outlineLevel="0" collapsed="false">
      <c r="A325" s="4" t="n">
        <v>321</v>
      </c>
      <c r="B325" s="14" t="n">
        <f aca="false">A325/12</f>
        <v>26.75</v>
      </c>
      <c r="C325" s="15" t="n">
        <f aca="false">INT(A325/6)</f>
        <v>53</v>
      </c>
      <c r="D325" s="16" t="n">
        <f aca="false">IF(C325=0,(1+Dic2025!$G$6)^(-B325),EXP(LN(INDEX(Dic2025!$H$6:$H$205,C325))+(LN(INDEX(Dic2025!$H$6:$H$205,MIN(C325+1,200)))-LN(INDEX(Dic2025!$H$6:$H$205,C325)))*(A325-6*C325)/6))</f>
        <v>0.207025163748847</v>
      </c>
      <c r="E325" s="12" t="n">
        <f aca="false">D325^(-1/B325)-1</f>
        <v>0.0606429962501089</v>
      </c>
      <c r="F325" s="12" t="n">
        <f aca="false">(1+E325)^(1/12)-1</f>
        <v>0.00491833252266916</v>
      </c>
      <c r="G325" s="16" t="n">
        <f aca="false">IF(C325=0,(1+Dic2025!$J$6)^(-B325),EXP(LN(INDEX(Dic2025!$K$6:$K$205,C325))+(LN(INDEX(Dic2025!$K$6:$K$205,MIN(C325+1,200)))-LN(INDEX(Dic2025!$K$6:$K$205,C325)))*(A325-6*C325)/6))</f>
        <v>0.207025163748847</v>
      </c>
      <c r="H325" s="12" t="n">
        <f aca="false">G325^(-1/B325)-1</f>
        <v>0.0606429962501089</v>
      </c>
      <c r="I325" s="12" t="n">
        <f aca="false">(1+H325)^(1/12)-1</f>
        <v>0.00491833252266916</v>
      </c>
      <c r="J325" s="16" t="n">
        <f aca="false">IF(C325=0,(1+Dic2025!$M$6)^(-B325),EXP(LN(INDEX(Dic2025!$N$6:$N$205,C325))+(LN(INDEX(Dic2025!$N$6:$N$205,MIN(C325+1,200)))-LN(INDEX(Dic2025!$N$6:$N$205,C325)))*(A325-6*C325)/6))</f>
        <v>0.207025163748847</v>
      </c>
      <c r="K325" s="12" t="n">
        <f aca="false">J325^(-1/B325)-1</f>
        <v>0.0606429962501089</v>
      </c>
      <c r="L325" s="12" t="n">
        <f aca="false">(1+K325)^(1/12)-1</f>
        <v>0.00491833252266916</v>
      </c>
    </row>
    <row r="326" customFormat="false" ht="15" hidden="false" customHeight="false" outlineLevel="0" collapsed="false">
      <c r="A326" s="4" t="n">
        <v>322</v>
      </c>
      <c r="B326" s="14" t="n">
        <f aca="false">A326/12</f>
        <v>26.8333333333333</v>
      </c>
      <c r="C326" s="15" t="n">
        <f aca="false">INT(A326/6)</f>
        <v>53</v>
      </c>
      <c r="D326" s="16" t="n">
        <f aca="false">IF(C326=0,(1+Dic2025!$G$6)^(-B326),EXP(LN(INDEX(Dic2025!$H$6:$H$205,C326))+(LN(INDEX(Dic2025!$H$6:$H$205,MIN(C326+1,200)))-LN(INDEX(Dic2025!$H$6:$H$205,C326)))*(A326-6*C326)/6))</f>
        <v>0.205922773014376</v>
      </c>
      <c r="E326" s="12" t="n">
        <f aca="false">D326^(-1/B326)-1</f>
        <v>0.0606601061784786</v>
      </c>
      <c r="F326" s="12" t="n">
        <f aca="false">(1+E326)^(1/12)-1</f>
        <v>0.00491968342911786</v>
      </c>
      <c r="G326" s="16" t="n">
        <f aca="false">IF(C326=0,(1+Dic2025!$J$6)^(-B326),EXP(LN(INDEX(Dic2025!$K$6:$K$205,C326))+(LN(INDEX(Dic2025!$K$6:$K$205,MIN(C326+1,200)))-LN(INDEX(Dic2025!$K$6:$K$205,C326)))*(A326-6*C326)/6))</f>
        <v>0.205922773014376</v>
      </c>
      <c r="H326" s="12" t="n">
        <f aca="false">G326^(-1/B326)-1</f>
        <v>0.0606601061784786</v>
      </c>
      <c r="I326" s="12" t="n">
        <f aca="false">(1+H326)^(1/12)-1</f>
        <v>0.00491968342911786</v>
      </c>
      <c r="J326" s="16" t="n">
        <f aca="false">IF(C326=0,(1+Dic2025!$M$6)^(-B326),EXP(LN(INDEX(Dic2025!$N$6:$N$205,C326))+(LN(INDEX(Dic2025!$N$6:$N$205,MIN(C326+1,200)))-LN(INDEX(Dic2025!$N$6:$N$205,C326)))*(A326-6*C326)/6))</f>
        <v>0.205922773014376</v>
      </c>
      <c r="K326" s="12" t="n">
        <f aca="false">J326^(-1/B326)-1</f>
        <v>0.0606601061784786</v>
      </c>
      <c r="L326" s="12" t="n">
        <f aca="false">(1+K326)^(1/12)-1</f>
        <v>0.00491968342911786</v>
      </c>
    </row>
    <row r="327" customFormat="false" ht="15" hidden="false" customHeight="false" outlineLevel="0" collapsed="false">
      <c r="A327" s="4" t="n">
        <v>323</v>
      </c>
      <c r="B327" s="14" t="n">
        <f aca="false">A327/12</f>
        <v>26.9166666666667</v>
      </c>
      <c r="C327" s="15" t="n">
        <f aca="false">INT(A327/6)</f>
        <v>53</v>
      </c>
      <c r="D327" s="16" t="n">
        <f aca="false">IF(C327=0,(1+Dic2025!$G$6)^(-B327),EXP(LN(INDEX(Dic2025!$H$6:$H$205,C327))+(LN(INDEX(Dic2025!$H$6:$H$205,MIN(C327+1,200)))-LN(INDEX(Dic2025!$H$6:$H$205,C327)))*(A327-6*C327)/6))</f>
        <v>0.204826252413319</v>
      </c>
      <c r="E327" s="12" t="n">
        <f aca="false">D327^(-1/B327)-1</f>
        <v>0.0606771104364725</v>
      </c>
      <c r="F327" s="12" t="n">
        <f aca="false">(1+E327)^(1/12)-1</f>
        <v>0.00492102597262001</v>
      </c>
      <c r="G327" s="16" t="n">
        <f aca="false">IF(C327=0,(1+Dic2025!$J$6)^(-B327),EXP(LN(INDEX(Dic2025!$K$6:$K$205,C327))+(LN(INDEX(Dic2025!$K$6:$K$205,MIN(C327+1,200)))-LN(INDEX(Dic2025!$K$6:$K$205,C327)))*(A327-6*C327)/6))</f>
        <v>0.204826252413319</v>
      </c>
      <c r="H327" s="12" t="n">
        <f aca="false">G327^(-1/B327)-1</f>
        <v>0.0606771104364725</v>
      </c>
      <c r="I327" s="12" t="n">
        <f aca="false">(1+H327)^(1/12)-1</f>
        <v>0.00492102597262001</v>
      </c>
      <c r="J327" s="16" t="n">
        <f aca="false">IF(C327=0,(1+Dic2025!$M$6)^(-B327),EXP(LN(INDEX(Dic2025!$N$6:$N$205,C327))+(LN(INDEX(Dic2025!$N$6:$N$205,MIN(C327+1,200)))-LN(INDEX(Dic2025!$N$6:$N$205,C327)))*(A327-6*C327)/6))</f>
        <v>0.204826252413319</v>
      </c>
      <c r="K327" s="12" t="n">
        <f aca="false">J327^(-1/B327)-1</f>
        <v>0.0606771104364725</v>
      </c>
      <c r="L327" s="12" t="n">
        <f aca="false">(1+K327)^(1/12)-1</f>
        <v>0.00492102597262001</v>
      </c>
    </row>
    <row r="328" customFormat="false" ht="15" hidden="false" customHeight="false" outlineLevel="0" collapsed="false">
      <c r="A328" s="4" t="n">
        <v>324</v>
      </c>
      <c r="B328" s="14" t="n">
        <f aca="false">A328/12</f>
        <v>27</v>
      </c>
      <c r="C328" s="15" t="n">
        <f aca="false">INT(A328/6)</f>
        <v>54</v>
      </c>
      <c r="D328" s="16" t="n">
        <f aca="false">IF(C328=0,(1+Dic2025!$G$6)^(-B328),EXP(LN(INDEX(Dic2025!$H$6:$H$205,C328))+(LN(INDEX(Dic2025!$H$6:$H$205,MIN(C328+1,200)))-LN(INDEX(Dic2025!$H$6:$H$205,C328)))*(A328-6*C328)/6))</f>
        <v>0.203735570687735</v>
      </c>
      <c r="E328" s="12" t="n">
        <f aca="false">D328^(-1/B328)-1</f>
        <v>0.0606940100000002</v>
      </c>
      <c r="F328" s="12" t="n">
        <f aca="false">(1+E328)^(1/12)-1</f>
        <v>0.00492236023059345</v>
      </c>
      <c r="G328" s="16" t="n">
        <f aca="false">IF(C328=0,(1+Dic2025!$J$6)^(-B328),EXP(LN(INDEX(Dic2025!$K$6:$K$205,C328))+(LN(INDEX(Dic2025!$K$6:$K$205,MIN(C328+1,200)))-LN(INDEX(Dic2025!$K$6:$K$205,C328)))*(A328-6*C328)/6))</f>
        <v>0.203735570687735</v>
      </c>
      <c r="H328" s="12" t="n">
        <f aca="false">G328^(-1/B328)-1</f>
        <v>0.0606940100000002</v>
      </c>
      <c r="I328" s="12" t="n">
        <f aca="false">(1+H328)^(1/12)-1</f>
        <v>0.00492236023059345</v>
      </c>
      <c r="J328" s="16" t="n">
        <f aca="false">IF(C328=0,(1+Dic2025!$M$6)^(-B328),EXP(LN(INDEX(Dic2025!$N$6:$N$205,C328))+(LN(INDEX(Dic2025!$N$6:$N$205,MIN(C328+1,200)))-LN(INDEX(Dic2025!$N$6:$N$205,C328)))*(A328-6*C328)/6))</f>
        <v>0.203735570687735</v>
      </c>
      <c r="K328" s="12" t="n">
        <f aca="false">J328^(-1/B328)-1</f>
        <v>0.0606940100000002</v>
      </c>
      <c r="L328" s="12" t="n">
        <f aca="false">(1+K328)^(1/12)-1</f>
        <v>0.00492236023059345</v>
      </c>
    </row>
    <row r="329" customFormat="false" ht="15" hidden="false" customHeight="false" outlineLevel="0" collapsed="false">
      <c r="A329" s="4" t="n">
        <v>325</v>
      </c>
      <c r="B329" s="14" t="n">
        <f aca="false">A329/12</f>
        <v>27.0833333333333</v>
      </c>
      <c r="C329" s="15" t="n">
        <f aca="false">INT(A329/6)</f>
        <v>54</v>
      </c>
      <c r="D329" s="16" t="n">
        <f aca="false">IF(C329=0,(1+Dic2025!$G$6)^(-B329),EXP(LN(INDEX(Dic2025!$H$6:$H$205,C329))+(LN(INDEX(Dic2025!$H$6:$H$205,MIN(C329+1,200)))-LN(INDEX(Dic2025!$H$6:$H$205,C329)))*(A329-6*C329)/6))</f>
        <v>0.202647421615442</v>
      </c>
      <c r="E329" s="12" t="n">
        <f aca="false">D329^(-1/B329)-1</f>
        <v>0.0607114387970491</v>
      </c>
      <c r="F329" s="12" t="n">
        <f aca="false">(1+E329)^(1/12)-1</f>
        <v>0.00492373625231424</v>
      </c>
      <c r="G329" s="16" t="n">
        <f aca="false">IF(C329=0,(1+Dic2025!$J$6)^(-B329),EXP(LN(INDEX(Dic2025!$K$6:$K$205,C329))+(LN(INDEX(Dic2025!$K$6:$K$205,MIN(C329+1,200)))-LN(INDEX(Dic2025!$K$6:$K$205,C329)))*(A329-6*C329)/6))</f>
        <v>0.202647421615442</v>
      </c>
      <c r="H329" s="12" t="n">
        <f aca="false">G329^(-1/B329)-1</f>
        <v>0.0607114387970491</v>
      </c>
      <c r="I329" s="12" t="n">
        <f aca="false">(1+H329)^(1/12)-1</f>
        <v>0.00492373625231424</v>
      </c>
      <c r="J329" s="16" t="n">
        <f aca="false">IF(C329=0,(1+Dic2025!$M$6)^(-B329),EXP(LN(INDEX(Dic2025!$N$6:$N$205,C329))+(LN(INDEX(Dic2025!$N$6:$N$205,MIN(C329+1,200)))-LN(INDEX(Dic2025!$N$6:$N$205,C329)))*(A329-6*C329)/6))</f>
        <v>0.202647421615442</v>
      </c>
      <c r="K329" s="12" t="n">
        <f aca="false">J329^(-1/B329)-1</f>
        <v>0.0607114387970491</v>
      </c>
      <c r="L329" s="12" t="n">
        <f aca="false">(1+K329)^(1/12)-1</f>
        <v>0.00492373625231424</v>
      </c>
    </row>
    <row r="330" customFormat="false" ht="15" hidden="false" customHeight="false" outlineLevel="0" collapsed="false">
      <c r="A330" s="4" t="n">
        <v>326</v>
      </c>
      <c r="B330" s="14" t="n">
        <f aca="false">A330/12</f>
        <v>27.1666666666667</v>
      </c>
      <c r="C330" s="15" t="n">
        <f aca="false">INT(A330/6)</f>
        <v>54</v>
      </c>
      <c r="D330" s="16" t="n">
        <f aca="false">IF(C330=0,(1+Dic2025!$G$6)^(-B330),EXP(LN(INDEX(Dic2025!$H$6:$H$205,C330))+(LN(INDEX(Dic2025!$H$6:$H$205,MIN(C330+1,200)))-LN(INDEX(Dic2025!$H$6:$H$205,C330)))*(A330-6*C330)/6))</f>
        <v>0.2015650843334</v>
      </c>
      <c r="E330" s="12" t="n">
        <f aca="false">D330^(-1/B330)-1</f>
        <v>0.0607287609527141</v>
      </c>
      <c r="F330" s="12" t="n">
        <f aca="false">(1+E330)^(1/12)-1</f>
        <v>0.00492510383405098</v>
      </c>
      <c r="G330" s="16" t="n">
        <f aca="false">IF(C330=0,(1+Dic2025!$J$6)^(-B330),EXP(LN(INDEX(Dic2025!$K$6:$K$205,C330))+(LN(INDEX(Dic2025!$K$6:$K$205,MIN(C330+1,200)))-LN(INDEX(Dic2025!$K$6:$K$205,C330)))*(A330-6*C330)/6))</f>
        <v>0.2015650843334</v>
      </c>
      <c r="H330" s="12" t="n">
        <f aca="false">G330^(-1/B330)-1</f>
        <v>0.0607287609527141</v>
      </c>
      <c r="I330" s="12" t="n">
        <f aca="false">(1+H330)^(1/12)-1</f>
        <v>0.00492510383405098</v>
      </c>
      <c r="J330" s="16" t="n">
        <f aca="false">IF(C330=0,(1+Dic2025!$M$6)^(-B330),EXP(LN(INDEX(Dic2025!$N$6:$N$205,C330))+(LN(INDEX(Dic2025!$N$6:$N$205,MIN(C330+1,200)))-LN(INDEX(Dic2025!$N$6:$N$205,C330)))*(A330-6*C330)/6))</f>
        <v>0.2015650843334</v>
      </c>
      <c r="K330" s="12" t="n">
        <f aca="false">J330^(-1/B330)-1</f>
        <v>0.0607287609527141</v>
      </c>
      <c r="L330" s="12" t="n">
        <f aca="false">(1+K330)^(1/12)-1</f>
        <v>0.00492510383405098</v>
      </c>
    </row>
    <row r="331" customFormat="false" ht="15" hidden="false" customHeight="false" outlineLevel="0" collapsed="false">
      <c r="A331" s="4" t="n">
        <v>327</v>
      </c>
      <c r="B331" s="14" t="n">
        <f aca="false">A331/12</f>
        <v>27.25</v>
      </c>
      <c r="C331" s="15" t="n">
        <f aca="false">INT(A331/6)</f>
        <v>54</v>
      </c>
      <c r="D331" s="16" t="n">
        <f aca="false">IF(C331=0,(1+Dic2025!$G$6)^(-B331),EXP(LN(INDEX(Dic2025!$H$6:$H$205,C331))+(LN(INDEX(Dic2025!$H$6:$H$205,MIN(C331+1,200)))-LN(INDEX(Dic2025!$H$6:$H$205,C331)))*(A331-6*C331)/6))</f>
        <v>0.200488527800911</v>
      </c>
      <c r="E331" s="12" t="n">
        <f aca="false">D331^(-1/B331)-1</f>
        <v>0.0607459774427654</v>
      </c>
      <c r="F331" s="12" t="n">
        <f aca="false">(1+E331)^(1/12)-1</f>
        <v>0.00492646305321753</v>
      </c>
      <c r="G331" s="16" t="n">
        <f aca="false">IF(C331=0,(1+Dic2025!$J$6)^(-B331),EXP(LN(INDEX(Dic2025!$K$6:$K$205,C331))+(LN(INDEX(Dic2025!$K$6:$K$205,MIN(C331+1,200)))-LN(INDEX(Dic2025!$K$6:$K$205,C331)))*(A331-6*C331)/6))</f>
        <v>0.200488527800911</v>
      </c>
      <c r="H331" s="12" t="n">
        <f aca="false">G331^(-1/B331)-1</f>
        <v>0.0607459774427654</v>
      </c>
      <c r="I331" s="12" t="n">
        <f aca="false">(1+H331)^(1/12)-1</f>
        <v>0.00492646305321753</v>
      </c>
      <c r="J331" s="16" t="n">
        <f aca="false">IF(C331=0,(1+Dic2025!$M$6)^(-B331),EXP(LN(INDEX(Dic2025!$N$6:$N$205,C331))+(LN(INDEX(Dic2025!$N$6:$N$205,MIN(C331+1,200)))-LN(INDEX(Dic2025!$N$6:$N$205,C331)))*(A331-6*C331)/6))</f>
        <v>0.200488527800911</v>
      </c>
      <c r="K331" s="12" t="n">
        <f aca="false">J331^(-1/B331)-1</f>
        <v>0.0607459774427654</v>
      </c>
      <c r="L331" s="12" t="n">
        <f aca="false">(1+K331)^(1/12)-1</f>
        <v>0.00492646305321753</v>
      </c>
    </row>
    <row r="332" customFormat="false" ht="15" hidden="false" customHeight="false" outlineLevel="0" collapsed="false">
      <c r="A332" s="4" t="n">
        <v>328</v>
      </c>
      <c r="B332" s="14" t="n">
        <f aca="false">A332/12</f>
        <v>27.3333333333333</v>
      </c>
      <c r="C332" s="15" t="n">
        <f aca="false">INT(A332/6)</f>
        <v>54</v>
      </c>
      <c r="D332" s="16" t="n">
        <f aca="false">IF(C332=0,(1+Dic2025!$G$6)^(-B332),EXP(LN(INDEX(Dic2025!$H$6:$H$205,C332))+(LN(INDEX(Dic2025!$H$6:$H$205,MIN(C332+1,200)))-LN(INDEX(Dic2025!$H$6:$H$205,C332)))*(A332-6*C332)/6))</f>
        <v>0.199417721143068</v>
      </c>
      <c r="E332" s="12" t="n">
        <f aca="false">D332^(-1/B332)-1</f>
        <v>0.0607630892311062</v>
      </c>
      <c r="F332" s="12" t="n">
        <f aca="false">(1+E332)^(1/12)-1</f>
        <v>0.00492781398628384</v>
      </c>
      <c r="G332" s="16" t="n">
        <f aca="false">IF(C332=0,(1+Dic2025!$J$6)^(-B332),EXP(LN(INDEX(Dic2025!$K$6:$K$205,C332))+(LN(INDEX(Dic2025!$K$6:$K$205,MIN(C332+1,200)))-LN(INDEX(Dic2025!$K$6:$K$205,C332)))*(A332-6*C332)/6))</f>
        <v>0.199417721143068</v>
      </c>
      <c r="H332" s="12" t="n">
        <f aca="false">G332^(-1/B332)-1</f>
        <v>0.0607630892311062</v>
      </c>
      <c r="I332" s="12" t="n">
        <f aca="false">(1+H332)^(1/12)-1</f>
        <v>0.00492781398628384</v>
      </c>
      <c r="J332" s="16" t="n">
        <f aca="false">IF(C332=0,(1+Dic2025!$M$6)^(-B332),EXP(LN(INDEX(Dic2025!$N$6:$N$205,C332))+(LN(INDEX(Dic2025!$N$6:$N$205,MIN(C332+1,200)))-LN(INDEX(Dic2025!$N$6:$N$205,C332)))*(A332-6*C332)/6))</f>
        <v>0.199417721143068</v>
      </c>
      <c r="K332" s="12" t="n">
        <f aca="false">J332^(-1/B332)-1</f>
        <v>0.0607630892311062</v>
      </c>
      <c r="L332" s="12" t="n">
        <f aca="false">(1+K332)^(1/12)-1</f>
        <v>0.00492781398628384</v>
      </c>
    </row>
    <row r="333" customFormat="false" ht="15" hidden="false" customHeight="false" outlineLevel="0" collapsed="false">
      <c r="A333" s="4" t="n">
        <v>329</v>
      </c>
      <c r="B333" s="14" t="n">
        <f aca="false">A333/12</f>
        <v>27.4166666666667</v>
      </c>
      <c r="C333" s="15" t="n">
        <f aca="false">INT(A333/6)</f>
        <v>54</v>
      </c>
      <c r="D333" s="16" t="n">
        <f aca="false">IF(C333=0,(1+Dic2025!$G$6)^(-B333),EXP(LN(INDEX(Dic2025!$H$6:$H$205,C333))+(LN(INDEX(Dic2025!$H$6:$H$205,MIN(C333+1,200)))-LN(INDEX(Dic2025!$H$6:$H$205,C333)))*(A333-6*C333)/6))</f>
        <v>0.198352633649862</v>
      </c>
      <c r="E333" s="12" t="n">
        <f aca="false">D333^(-1/B333)-1</f>
        <v>0.0607800972699502</v>
      </c>
      <c r="F333" s="12" t="n">
        <f aca="false">(1+E333)^(1/12)-1</f>
        <v>0.00492915670879057</v>
      </c>
      <c r="G333" s="16" t="n">
        <f aca="false">IF(C333=0,(1+Dic2025!$J$6)^(-B333),EXP(LN(INDEX(Dic2025!$K$6:$K$205,C333))+(LN(INDEX(Dic2025!$K$6:$K$205,MIN(C333+1,200)))-LN(INDEX(Dic2025!$K$6:$K$205,C333)))*(A333-6*C333)/6))</f>
        <v>0.198352633649862</v>
      </c>
      <c r="H333" s="12" t="n">
        <f aca="false">G333^(-1/B333)-1</f>
        <v>0.0607800972699502</v>
      </c>
      <c r="I333" s="12" t="n">
        <f aca="false">(1+H333)^(1/12)-1</f>
        <v>0.00492915670879057</v>
      </c>
      <c r="J333" s="16" t="n">
        <f aca="false">IF(C333=0,(1+Dic2025!$M$6)^(-B333),EXP(LN(INDEX(Dic2025!$N$6:$N$205,C333))+(LN(INDEX(Dic2025!$N$6:$N$205,MIN(C333+1,200)))-LN(INDEX(Dic2025!$N$6:$N$205,C333)))*(A333-6*C333)/6))</f>
        <v>0.198352633649862</v>
      </c>
      <c r="K333" s="12" t="n">
        <f aca="false">J333^(-1/B333)-1</f>
        <v>0.0607800972699502</v>
      </c>
      <c r="L333" s="12" t="n">
        <f aca="false">(1+K333)^(1/12)-1</f>
        <v>0.00492915670879057</v>
      </c>
    </row>
    <row r="334" customFormat="false" ht="15" hidden="false" customHeight="false" outlineLevel="0" collapsed="false">
      <c r="A334" s="4" t="n">
        <v>330</v>
      </c>
      <c r="B334" s="14" t="n">
        <f aca="false">A334/12</f>
        <v>27.5</v>
      </c>
      <c r="C334" s="15" t="n">
        <f aca="false">INT(A334/6)</f>
        <v>55</v>
      </c>
      <c r="D334" s="16" t="n">
        <f aca="false">IF(C334=0,(1+Dic2025!$G$6)^(-B334),EXP(LN(INDEX(Dic2025!$H$6:$H$205,C334))+(LN(INDEX(Dic2025!$H$6:$H$205,MIN(C334+1,200)))-LN(INDEX(Dic2025!$H$6:$H$205,C334)))*(A334-6*C334)/6))</f>
        <v>0.197293234775309</v>
      </c>
      <c r="E334" s="12" t="n">
        <f aca="false">D334^(-1/B334)-1</f>
        <v>0.0607970024999998</v>
      </c>
      <c r="F334" s="12" t="n">
        <f aca="false">(1+E334)^(1/12)-1</f>
        <v>0.00493049129536316</v>
      </c>
      <c r="G334" s="16" t="n">
        <f aca="false">IF(C334=0,(1+Dic2025!$J$6)^(-B334),EXP(LN(INDEX(Dic2025!$K$6:$K$205,C334))+(LN(INDEX(Dic2025!$K$6:$K$205,MIN(C334+1,200)))-LN(INDEX(Dic2025!$K$6:$K$205,C334)))*(A334-6*C334)/6))</f>
        <v>0.197293234775309</v>
      </c>
      <c r="H334" s="12" t="n">
        <f aca="false">G334^(-1/B334)-1</f>
        <v>0.0607970024999998</v>
      </c>
      <c r="I334" s="12" t="n">
        <f aca="false">(1+H334)^(1/12)-1</f>
        <v>0.00493049129536316</v>
      </c>
      <c r="J334" s="16" t="n">
        <f aca="false">IF(C334=0,(1+Dic2025!$M$6)^(-B334),EXP(LN(INDEX(Dic2025!$N$6:$N$205,C334))+(LN(INDEX(Dic2025!$N$6:$N$205,MIN(C334+1,200)))-LN(INDEX(Dic2025!$N$6:$N$205,C334)))*(A334-6*C334)/6))</f>
        <v>0.197293234775309</v>
      </c>
      <c r="K334" s="12" t="n">
        <f aca="false">J334^(-1/B334)-1</f>
        <v>0.0607970024999998</v>
      </c>
      <c r="L334" s="12" t="n">
        <f aca="false">(1+K334)^(1/12)-1</f>
        <v>0.00493049129536316</v>
      </c>
    </row>
    <row r="335" customFormat="false" ht="15" hidden="false" customHeight="false" outlineLevel="0" collapsed="false">
      <c r="A335" s="4" t="n">
        <v>331</v>
      </c>
      <c r="B335" s="14" t="n">
        <f aca="false">A335/12</f>
        <v>27.5833333333333</v>
      </c>
      <c r="C335" s="15" t="n">
        <f aca="false">INT(A335/6)</f>
        <v>55</v>
      </c>
      <c r="D335" s="16" t="n">
        <f aca="false">IF(C335=0,(1+Dic2025!$G$6)^(-B335),EXP(LN(INDEX(Dic2025!$H$6:$H$205,C335))+(LN(INDEX(Dic2025!$H$6:$H$205,MIN(C335+1,200)))-LN(INDEX(Dic2025!$H$6:$H$205,C335)))*(A335-6*C335)/6))</f>
        <v>0.196236322851104</v>
      </c>
      <c r="E335" s="12" t="n">
        <f aca="false">D335^(-1/B335)-1</f>
        <v>0.0608144273561149</v>
      </c>
      <c r="F335" s="12" t="n">
        <f aca="false">(1+E335)^(1/12)-1</f>
        <v>0.00493186688350922</v>
      </c>
      <c r="G335" s="16" t="n">
        <f aca="false">IF(C335=0,(1+Dic2025!$J$6)^(-B335),EXP(LN(INDEX(Dic2025!$K$6:$K$205,C335))+(LN(INDEX(Dic2025!$K$6:$K$205,MIN(C335+1,200)))-LN(INDEX(Dic2025!$K$6:$K$205,C335)))*(A335-6*C335)/6))</f>
        <v>0.196236322851104</v>
      </c>
      <c r="H335" s="12" t="n">
        <f aca="false">G335^(-1/B335)-1</f>
        <v>0.0608144273561149</v>
      </c>
      <c r="I335" s="12" t="n">
        <f aca="false">(1+H335)^(1/12)-1</f>
        <v>0.00493186688350922</v>
      </c>
      <c r="J335" s="16" t="n">
        <f aca="false">IF(C335=0,(1+Dic2025!$M$6)^(-B335),EXP(LN(INDEX(Dic2025!$N$6:$N$205,C335))+(LN(INDEX(Dic2025!$N$6:$N$205,MIN(C335+1,200)))-LN(INDEX(Dic2025!$N$6:$N$205,C335)))*(A335-6*C335)/6))</f>
        <v>0.196236322851104</v>
      </c>
      <c r="K335" s="12" t="n">
        <f aca="false">J335^(-1/B335)-1</f>
        <v>0.0608144273561149</v>
      </c>
      <c r="L335" s="12" t="n">
        <f aca="false">(1+K335)^(1/12)-1</f>
        <v>0.00493186688350922</v>
      </c>
    </row>
    <row r="336" customFormat="false" ht="15" hidden="false" customHeight="false" outlineLevel="0" collapsed="false">
      <c r="A336" s="4" t="n">
        <v>332</v>
      </c>
      <c r="B336" s="14" t="n">
        <f aca="false">A336/12</f>
        <v>27.6666666666667</v>
      </c>
      <c r="C336" s="15" t="n">
        <f aca="false">INT(A336/6)</f>
        <v>55</v>
      </c>
      <c r="D336" s="16" t="n">
        <f aca="false">IF(C336=0,(1+Dic2025!$G$6)^(-B336),EXP(LN(INDEX(Dic2025!$H$6:$H$205,C336))+(LN(INDEX(Dic2025!$H$6:$H$205,MIN(C336+1,200)))-LN(INDEX(Dic2025!$H$6:$H$205,C336)))*(A336-6*C336)/6))</f>
        <v>0.195185072868713</v>
      </c>
      <c r="E336" s="12" t="n">
        <f aca="false">D336^(-1/B336)-1</f>
        <v>0.0608317475268601</v>
      </c>
      <c r="F336" s="12" t="n">
        <f aca="false">(1+E336)^(1/12)-1</f>
        <v>0.00493323418684577</v>
      </c>
      <c r="G336" s="16" t="n">
        <f aca="false">IF(C336=0,(1+Dic2025!$J$6)^(-B336),EXP(LN(INDEX(Dic2025!$K$6:$K$205,C336))+(LN(INDEX(Dic2025!$K$6:$K$205,MIN(C336+1,200)))-LN(INDEX(Dic2025!$K$6:$K$205,C336)))*(A336-6*C336)/6))</f>
        <v>0.195185072868713</v>
      </c>
      <c r="H336" s="12" t="n">
        <f aca="false">G336^(-1/B336)-1</f>
        <v>0.0608317475268601</v>
      </c>
      <c r="I336" s="12" t="n">
        <f aca="false">(1+H336)^(1/12)-1</f>
        <v>0.00493323418684577</v>
      </c>
      <c r="J336" s="16" t="n">
        <f aca="false">IF(C336=0,(1+Dic2025!$M$6)^(-B336),EXP(LN(INDEX(Dic2025!$N$6:$N$205,C336))+(LN(INDEX(Dic2025!$N$6:$N$205,MIN(C336+1,200)))-LN(INDEX(Dic2025!$N$6:$N$205,C336)))*(A336-6*C336)/6))</f>
        <v>0.195185072868713</v>
      </c>
      <c r="K336" s="12" t="n">
        <f aca="false">J336^(-1/B336)-1</f>
        <v>0.0608317475268601</v>
      </c>
      <c r="L336" s="12" t="n">
        <f aca="false">(1+K336)^(1/12)-1</f>
        <v>0.00493323418684577</v>
      </c>
    </row>
    <row r="337" customFormat="false" ht="15" hidden="false" customHeight="false" outlineLevel="0" collapsed="false">
      <c r="A337" s="4" t="n">
        <v>333</v>
      </c>
      <c r="B337" s="14" t="n">
        <f aca="false">A337/12</f>
        <v>27.75</v>
      </c>
      <c r="C337" s="15" t="n">
        <f aca="false">INT(A337/6)</f>
        <v>55</v>
      </c>
      <c r="D337" s="16" t="n">
        <f aca="false">IF(C337=0,(1+Dic2025!$G$6)^(-B337),EXP(LN(INDEX(Dic2025!$H$6:$H$205,C337))+(LN(INDEX(Dic2025!$H$6:$H$205,MIN(C337+1,200)))-LN(INDEX(Dic2025!$H$6:$H$205,C337)))*(A337-6*C337)/6))</f>
        <v>0.194139454496767</v>
      </c>
      <c r="E337" s="12" t="n">
        <f aca="false">D337^(-1/B337)-1</f>
        <v>0.0608489639528038</v>
      </c>
      <c r="F337" s="12" t="n">
        <f aca="false">(1+E337)^(1/12)-1</f>
        <v>0.00493459327999379</v>
      </c>
      <c r="G337" s="16" t="n">
        <f aca="false">IF(C337=0,(1+Dic2025!$J$6)^(-B337),EXP(LN(INDEX(Dic2025!$K$6:$K$205,C337))+(LN(INDEX(Dic2025!$K$6:$K$205,MIN(C337+1,200)))-LN(INDEX(Dic2025!$K$6:$K$205,C337)))*(A337-6*C337)/6))</f>
        <v>0.194139454496767</v>
      </c>
      <c r="H337" s="12" t="n">
        <f aca="false">G337^(-1/B337)-1</f>
        <v>0.0608489639528038</v>
      </c>
      <c r="I337" s="12" t="n">
        <f aca="false">(1+H337)^(1/12)-1</f>
        <v>0.00493459327999379</v>
      </c>
      <c r="J337" s="16" t="n">
        <f aca="false">IF(C337=0,(1+Dic2025!$M$6)^(-B337),EXP(LN(INDEX(Dic2025!$N$6:$N$205,C337))+(LN(INDEX(Dic2025!$N$6:$N$205,MIN(C337+1,200)))-LN(INDEX(Dic2025!$N$6:$N$205,C337)))*(A337-6*C337)/6))</f>
        <v>0.194139454496767</v>
      </c>
      <c r="K337" s="12" t="n">
        <f aca="false">J337^(-1/B337)-1</f>
        <v>0.0608489639528038</v>
      </c>
      <c r="L337" s="12" t="n">
        <f aca="false">(1+K337)^(1/12)-1</f>
        <v>0.00493459327999379</v>
      </c>
    </row>
    <row r="338" customFormat="false" ht="15" hidden="false" customHeight="false" outlineLevel="0" collapsed="false">
      <c r="A338" s="4" t="n">
        <v>334</v>
      </c>
      <c r="B338" s="14" t="n">
        <f aca="false">A338/12</f>
        <v>27.8333333333333</v>
      </c>
      <c r="C338" s="15" t="n">
        <f aca="false">INT(A338/6)</f>
        <v>55</v>
      </c>
      <c r="D338" s="16" t="n">
        <f aca="false">IF(C338=0,(1+Dic2025!$G$6)^(-B338),EXP(LN(INDEX(Dic2025!$H$6:$H$205,C338))+(LN(INDEX(Dic2025!$H$6:$H$205,MIN(C338+1,200)))-LN(INDEX(Dic2025!$H$6:$H$205,C338)))*(A338-6*C338)/6))</f>
        <v>0.193099437566385</v>
      </c>
      <c r="E338" s="12" t="n">
        <f aca="false">D338^(-1/B338)-1</f>
        <v>0.0608660775632803</v>
      </c>
      <c r="F338" s="12" t="n">
        <f aca="false">(1+E338)^(1/12)-1</f>
        <v>0.0049359442366812</v>
      </c>
      <c r="G338" s="16" t="n">
        <f aca="false">IF(C338=0,(1+Dic2025!$J$6)^(-B338),EXP(LN(INDEX(Dic2025!$K$6:$K$205,C338))+(LN(INDEX(Dic2025!$K$6:$K$205,MIN(C338+1,200)))-LN(INDEX(Dic2025!$K$6:$K$205,C338)))*(A338-6*C338)/6))</f>
        <v>0.193099437566385</v>
      </c>
      <c r="H338" s="12" t="n">
        <f aca="false">G338^(-1/B338)-1</f>
        <v>0.0608660775632803</v>
      </c>
      <c r="I338" s="12" t="n">
        <f aca="false">(1+H338)^(1/12)-1</f>
        <v>0.0049359442366812</v>
      </c>
      <c r="J338" s="16" t="n">
        <f aca="false">IF(C338=0,(1+Dic2025!$M$6)^(-B338),EXP(LN(INDEX(Dic2025!$N$6:$N$205,C338))+(LN(INDEX(Dic2025!$N$6:$N$205,MIN(C338+1,200)))-LN(INDEX(Dic2025!$N$6:$N$205,C338)))*(A338-6*C338)/6))</f>
        <v>0.193099437566385</v>
      </c>
      <c r="K338" s="12" t="n">
        <f aca="false">J338^(-1/B338)-1</f>
        <v>0.0608660775632803</v>
      </c>
      <c r="L338" s="12" t="n">
        <f aca="false">(1+K338)^(1/12)-1</f>
        <v>0.0049359442366812</v>
      </c>
    </row>
    <row r="339" customFormat="false" ht="15" hidden="false" customHeight="false" outlineLevel="0" collapsed="false">
      <c r="A339" s="4" t="n">
        <v>335</v>
      </c>
      <c r="B339" s="14" t="n">
        <f aca="false">A339/12</f>
        <v>27.9166666666667</v>
      </c>
      <c r="C339" s="15" t="n">
        <f aca="false">INT(A339/6)</f>
        <v>55</v>
      </c>
      <c r="D339" s="16" t="n">
        <f aca="false">IF(C339=0,(1+Dic2025!$G$6)^(-B339),EXP(LN(INDEX(Dic2025!$H$6:$H$205,C339))+(LN(INDEX(Dic2025!$H$6:$H$205,MIN(C339+1,200)))-LN(INDEX(Dic2025!$H$6:$H$205,C339)))*(A339-6*C339)/6))</f>
        <v>0.192064992070301</v>
      </c>
      <c r="E339" s="12" t="n">
        <f aca="false">D339^(-1/B339)-1</f>
        <v>0.0608830892765575</v>
      </c>
      <c r="F339" s="12" t="n">
        <f aca="false">(1+E339)^(1/12)-1</f>
        <v>0.0049372871297555</v>
      </c>
      <c r="G339" s="16" t="n">
        <f aca="false">IF(C339=0,(1+Dic2025!$J$6)^(-B339),EXP(LN(INDEX(Dic2025!$K$6:$K$205,C339))+(LN(INDEX(Dic2025!$K$6:$K$205,MIN(C339+1,200)))-LN(INDEX(Dic2025!$K$6:$K$205,C339)))*(A339-6*C339)/6))</f>
        <v>0.192064992070301</v>
      </c>
      <c r="H339" s="12" t="n">
        <f aca="false">G339^(-1/B339)-1</f>
        <v>0.0608830892765575</v>
      </c>
      <c r="I339" s="12" t="n">
        <f aca="false">(1+H339)^(1/12)-1</f>
        <v>0.0049372871297555</v>
      </c>
      <c r="J339" s="16" t="n">
        <f aca="false">IF(C339=0,(1+Dic2025!$M$6)^(-B339),EXP(LN(INDEX(Dic2025!$N$6:$N$205,C339))+(LN(INDEX(Dic2025!$N$6:$N$205,MIN(C339+1,200)))-LN(INDEX(Dic2025!$N$6:$N$205,C339)))*(A339-6*C339)/6))</f>
        <v>0.192064992070301</v>
      </c>
      <c r="K339" s="12" t="n">
        <f aca="false">J339^(-1/B339)-1</f>
        <v>0.0608830892765575</v>
      </c>
      <c r="L339" s="12" t="n">
        <f aca="false">(1+K339)^(1/12)-1</f>
        <v>0.0049372871297555</v>
      </c>
    </row>
    <row r="340" customFormat="false" ht="15" hidden="false" customHeight="false" outlineLevel="0" collapsed="false">
      <c r="A340" s="4" t="n">
        <v>336</v>
      </c>
      <c r="B340" s="14" t="n">
        <f aca="false">A340/12</f>
        <v>28</v>
      </c>
      <c r="C340" s="15" t="n">
        <f aca="false">INT(A340/6)</f>
        <v>56</v>
      </c>
      <c r="D340" s="16" t="n">
        <f aca="false">IF(C340=0,(1+Dic2025!$G$6)^(-B340),EXP(LN(INDEX(Dic2025!$H$6:$H$205,C340))+(LN(INDEX(Dic2025!$H$6:$H$205,MIN(C340+1,200)))-LN(INDEX(Dic2025!$H$6:$H$205,C340)))*(A340-6*C340)/6))</f>
        <v>0.191036088162001</v>
      </c>
      <c r="E340" s="12" t="n">
        <f aca="false">D340^(-1/B340)-1</f>
        <v>0.0609</v>
      </c>
      <c r="F340" s="12" t="n">
        <f aca="false">(1+E340)^(1/12)-1</f>
        <v>0.00493862203119688</v>
      </c>
      <c r="G340" s="16" t="n">
        <f aca="false">IF(C340=0,(1+Dic2025!$J$6)^(-B340),EXP(LN(INDEX(Dic2025!$K$6:$K$205,C340))+(LN(INDEX(Dic2025!$K$6:$K$205,MIN(C340+1,200)))-LN(INDEX(Dic2025!$K$6:$K$205,C340)))*(A340-6*C340)/6))</f>
        <v>0.191036088162001</v>
      </c>
      <c r="H340" s="12" t="n">
        <f aca="false">G340^(-1/B340)-1</f>
        <v>0.0609</v>
      </c>
      <c r="I340" s="12" t="n">
        <f aca="false">(1+H340)^(1/12)-1</f>
        <v>0.00493862203119688</v>
      </c>
      <c r="J340" s="16" t="n">
        <f aca="false">IF(C340=0,(1+Dic2025!$M$6)^(-B340),EXP(LN(INDEX(Dic2025!$N$6:$N$205,C340))+(LN(INDEX(Dic2025!$N$6:$N$205,MIN(C340+1,200)))-LN(INDEX(Dic2025!$N$6:$N$205,C340)))*(A340-6*C340)/6))</f>
        <v>0.191036088162001</v>
      </c>
      <c r="K340" s="12" t="n">
        <f aca="false">J340^(-1/B340)-1</f>
        <v>0.0609</v>
      </c>
      <c r="L340" s="12" t="n">
        <f aca="false">(1+K340)^(1/12)-1</f>
        <v>0.00493862203119688</v>
      </c>
    </row>
    <row r="341" customFormat="false" ht="15" hidden="false" customHeight="false" outlineLevel="0" collapsed="false">
      <c r="A341" s="4" t="n">
        <v>337</v>
      </c>
      <c r="B341" s="14" t="n">
        <f aca="false">A341/12</f>
        <v>28.0833333333333</v>
      </c>
      <c r="C341" s="15" t="n">
        <f aca="false">INT(A341/6)</f>
        <v>56</v>
      </c>
      <c r="D341" s="16" t="n">
        <f aca="false">IF(C341=0,(1+Dic2025!$G$6)^(-B341),EXP(LN(INDEX(Dic2025!$H$6:$H$205,C341))+(LN(INDEX(Dic2025!$H$6:$H$205,MIN(C341+1,200)))-LN(INDEX(Dic2025!$H$6:$H$205,C341)))*(A341-6*C341)/6))</f>
        <v>0.190009625719692</v>
      </c>
      <c r="E341" s="12" t="n">
        <f aca="false">D341^(-1/B341)-1</f>
        <v>0.0609174210851848</v>
      </c>
      <c r="F341" s="12" t="n">
        <f aca="false">(1+E341)^(1/12)-1</f>
        <v>0.00493999719926008</v>
      </c>
      <c r="G341" s="16" t="n">
        <f aca="false">IF(C341=0,(1+Dic2025!$J$6)^(-B341),EXP(LN(INDEX(Dic2025!$K$6:$K$205,C341))+(LN(INDEX(Dic2025!$K$6:$K$205,MIN(C341+1,200)))-LN(INDEX(Dic2025!$K$6:$K$205,C341)))*(A341-6*C341)/6))</f>
        <v>0.190009625719692</v>
      </c>
      <c r="H341" s="12" t="n">
        <f aca="false">G341^(-1/B341)-1</f>
        <v>0.0609174210851848</v>
      </c>
      <c r="I341" s="12" t="n">
        <f aca="false">(1+H341)^(1/12)-1</f>
        <v>0.00493999719926008</v>
      </c>
      <c r="J341" s="16" t="n">
        <f aca="false">IF(C341=0,(1+Dic2025!$M$6)^(-B341),EXP(LN(INDEX(Dic2025!$N$6:$N$205,C341))+(LN(INDEX(Dic2025!$N$6:$N$205,MIN(C341+1,200)))-LN(INDEX(Dic2025!$N$6:$N$205,C341)))*(A341-6*C341)/6))</f>
        <v>0.190009625719692</v>
      </c>
      <c r="K341" s="12" t="n">
        <f aca="false">J341^(-1/B341)-1</f>
        <v>0.0609174210851848</v>
      </c>
      <c r="L341" s="12" t="n">
        <f aca="false">(1+K341)^(1/12)-1</f>
        <v>0.00493999719926008</v>
      </c>
    </row>
    <row r="342" customFormat="false" ht="15" hidden="false" customHeight="false" outlineLevel="0" collapsed="false">
      <c r="A342" s="4" t="n">
        <v>338</v>
      </c>
      <c r="B342" s="14" t="n">
        <f aca="false">A342/12</f>
        <v>28.1666666666667</v>
      </c>
      <c r="C342" s="15" t="n">
        <f aca="false">INT(A342/6)</f>
        <v>56</v>
      </c>
      <c r="D342" s="16" t="n">
        <f aca="false">IF(C342=0,(1+Dic2025!$G$6)^(-B342),EXP(LN(INDEX(Dic2025!$H$6:$H$205,C342))+(LN(INDEX(Dic2025!$H$6:$H$205,MIN(C342+1,200)))-LN(INDEX(Dic2025!$H$6:$H$205,C342)))*(A342-6*C342)/6))</f>
        <v>0.188988678597318</v>
      </c>
      <c r="E342" s="12" t="n">
        <f aca="false">D342^(-1/B342)-1</f>
        <v>0.0609347393705635</v>
      </c>
      <c r="F342" s="12" t="n">
        <f aca="false">(1+E342)^(1/12)-1</f>
        <v>0.00494136423209901</v>
      </c>
      <c r="G342" s="16" t="n">
        <f aca="false">IF(C342=0,(1+Dic2025!$J$6)^(-B342),EXP(LN(INDEX(Dic2025!$K$6:$K$205,C342))+(LN(INDEX(Dic2025!$K$6:$K$205,MIN(C342+1,200)))-LN(INDEX(Dic2025!$K$6:$K$205,C342)))*(A342-6*C342)/6))</f>
        <v>0.188988678597318</v>
      </c>
      <c r="H342" s="12" t="n">
        <f aca="false">G342^(-1/B342)-1</f>
        <v>0.0609347393705635</v>
      </c>
      <c r="I342" s="12" t="n">
        <f aca="false">(1+H342)^(1/12)-1</f>
        <v>0.00494136423209901</v>
      </c>
      <c r="J342" s="16" t="n">
        <f aca="false">IF(C342=0,(1+Dic2025!$M$6)^(-B342),EXP(LN(INDEX(Dic2025!$N$6:$N$205,C342))+(LN(INDEX(Dic2025!$N$6:$N$205,MIN(C342+1,200)))-LN(INDEX(Dic2025!$N$6:$N$205,C342)))*(A342-6*C342)/6))</f>
        <v>0.188988678597318</v>
      </c>
      <c r="K342" s="12" t="n">
        <f aca="false">J342^(-1/B342)-1</f>
        <v>0.0609347393705635</v>
      </c>
      <c r="L342" s="12" t="n">
        <f aca="false">(1+K342)^(1/12)-1</f>
        <v>0.00494136423209901</v>
      </c>
    </row>
    <row r="343" customFormat="false" ht="15" hidden="false" customHeight="false" outlineLevel="0" collapsed="false">
      <c r="A343" s="4" t="n">
        <v>339</v>
      </c>
      <c r="B343" s="14" t="n">
        <f aca="false">A343/12</f>
        <v>28.25</v>
      </c>
      <c r="C343" s="15" t="n">
        <f aca="false">INT(A343/6)</f>
        <v>56</v>
      </c>
      <c r="D343" s="16" t="n">
        <f aca="false">IF(C343=0,(1+Dic2025!$G$6)^(-B343),EXP(LN(INDEX(Dic2025!$H$6:$H$205,C343))+(LN(INDEX(Dic2025!$H$6:$H$205,MIN(C343+1,200)))-LN(INDEX(Dic2025!$H$6:$H$205,C343)))*(A343-6*C343)/6))</f>
        <v>0.187973217160329</v>
      </c>
      <c r="E343" s="12" t="n">
        <f aca="false">D343^(-1/B343)-1</f>
        <v>0.060951955763372</v>
      </c>
      <c r="F343" s="12" t="n">
        <f aca="false">(1+E343)^(1/12)-1</f>
        <v>0.00494272320169076</v>
      </c>
      <c r="G343" s="16" t="n">
        <f aca="false">IF(C343=0,(1+Dic2025!$J$6)^(-B343),EXP(LN(INDEX(Dic2025!$K$6:$K$205,C343))+(LN(INDEX(Dic2025!$K$6:$K$205,MIN(C343+1,200)))-LN(INDEX(Dic2025!$K$6:$K$205,C343)))*(A343-6*C343)/6))</f>
        <v>0.187973217160329</v>
      </c>
      <c r="H343" s="12" t="n">
        <f aca="false">G343^(-1/B343)-1</f>
        <v>0.060951955763372</v>
      </c>
      <c r="I343" s="12" t="n">
        <f aca="false">(1+H343)^(1/12)-1</f>
        <v>0.00494272320169076</v>
      </c>
      <c r="J343" s="16" t="n">
        <f aca="false">IF(C343=0,(1+Dic2025!$M$6)^(-B343),EXP(LN(INDEX(Dic2025!$N$6:$N$205,C343))+(LN(INDEX(Dic2025!$N$6:$N$205,MIN(C343+1,200)))-LN(INDEX(Dic2025!$N$6:$N$205,C343)))*(A343-6*C343)/6))</f>
        <v>0.187973217160329</v>
      </c>
      <c r="K343" s="12" t="n">
        <f aca="false">J343^(-1/B343)-1</f>
        <v>0.060951955763372</v>
      </c>
      <c r="L343" s="12" t="n">
        <f aca="false">(1+K343)^(1/12)-1</f>
        <v>0.00494272320169076</v>
      </c>
    </row>
    <row r="344" customFormat="false" ht="15" hidden="false" customHeight="false" outlineLevel="0" collapsed="false">
      <c r="A344" s="4" t="n">
        <v>340</v>
      </c>
      <c r="B344" s="14" t="n">
        <f aca="false">A344/12</f>
        <v>28.3333333333333</v>
      </c>
      <c r="C344" s="15" t="n">
        <f aca="false">INT(A344/6)</f>
        <v>56</v>
      </c>
      <c r="D344" s="16" t="n">
        <f aca="false">IF(C344=0,(1+Dic2025!$G$6)^(-B344),EXP(LN(INDEX(Dic2025!$H$6:$H$205,C344))+(LN(INDEX(Dic2025!$H$6:$H$205,MIN(C344+1,200)))-LN(INDEX(Dic2025!$H$6:$H$205,C344)))*(A344-6*C344)/6))</f>
        <v>0.186963211933403</v>
      </c>
      <c r="E344" s="12" t="n">
        <f aca="false">D344^(-1/B344)-1</f>
        <v>0.0609690711602013</v>
      </c>
      <c r="F344" s="12" t="n">
        <f aca="false">(1+E344)^(1/12)-1</f>
        <v>0.00494407417916531</v>
      </c>
      <c r="G344" s="16" t="n">
        <f aca="false">IF(C344=0,(1+Dic2025!$J$6)^(-B344),EXP(LN(INDEX(Dic2025!$K$6:$K$205,C344))+(LN(INDEX(Dic2025!$K$6:$K$205,MIN(C344+1,200)))-LN(INDEX(Dic2025!$K$6:$K$205,C344)))*(A344-6*C344)/6))</f>
        <v>0.186963211933403</v>
      </c>
      <c r="H344" s="12" t="n">
        <f aca="false">G344^(-1/B344)-1</f>
        <v>0.0609690711602013</v>
      </c>
      <c r="I344" s="12" t="n">
        <f aca="false">(1+H344)^(1/12)-1</f>
        <v>0.00494407417916531</v>
      </c>
      <c r="J344" s="16" t="n">
        <f aca="false">IF(C344=0,(1+Dic2025!$M$6)^(-B344),EXP(LN(INDEX(Dic2025!$N$6:$N$205,C344))+(LN(INDEX(Dic2025!$N$6:$N$205,MIN(C344+1,200)))-LN(INDEX(Dic2025!$N$6:$N$205,C344)))*(A344-6*C344)/6))</f>
        <v>0.186963211933403</v>
      </c>
      <c r="K344" s="12" t="n">
        <f aca="false">J344^(-1/B344)-1</f>
        <v>0.0609690711602013</v>
      </c>
      <c r="L344" s="12" t="n">
        <f aca="false">(1+K344)^(1/12)-1</f>
        <v>0.00494407417916531</v>
      </c>
    </row>
    <row r="345" customFormat="false" ht="15" hidden="false" customHeight="false" outlineLevel="0" collapsed="false">
      <c r="A345" s="4" t="n">
        <v>341</v>
      </c>
      <c r="B345" s="14" t="n">
        <f aca="false">A345/12</f>
        <v>28.4166666666667</v>
      </c>
      <c r="C345" s="15" t="n">
        <f aca="false">INT(A345/6)</f>
        <v>56</v>
      </c>
      <c r="D345" s="16" t="n">
        <f aca="false">IF(C345=0,(1+Dic2025!$G$6)^(-B345),EXP(LN(INDEX(Dic2025!$H$6:$H$205,C345))+(LN(INDEX(Dic2025!$H$6:$H$205,MIN(C345+1,200)))-LN(INDEX(Dic2025!$H$6:$H$205,C345)))*(A345-6*C345)/6))</f>
        <v>0.185958633599594</v>
      </c>
      <c r="E345" s="12" t="n">
        <f aca="false">D345^(-1/B345)-1</f>
        <v>0.060986086447155</v>
      </c>
      <c r="F345" s="12" t="n">
        <f aca="false">(1+E345)^(1/12)-1</f>
        <v>0.00494541723481845</v>
      </c>
      <c r="G345" s="16" t="n">
        <f aca="false">IF(C345=0,(1+Dic2025!$J$6)^(-B345),EXP(LN(INDEX(Dic2025!$K$6:$K$205,C345))+(LN(INDEX(Dic2025!$K$6:$K$205,MIN(C345+1,200)))-LN(INDEX(Dic2025!$K$6:$K$205,C345)))*(A345-6*C345)/6))</f>
        <v>0.185958633599594</v>
      </c>
      <c r="H345" s="12" t="n">
        <f aca="false">G345^(-1/B345)-1</f>
        <v>0.060986086447155</v>
      </c>
      <c r="I345" s="12" t="n">
        <f aca="false">(1+H345)^(1/12)-1</f>
        <v>0.00494541723481845</v>
      </c>
      <c r="J345" s="16" t="n">
        <f aca="false">IF(C345=0,(1+Dic2025!$M$6)^(-B345),EXP(LN(INDEX(Dic2025!$N$6:$N$205,C345))+(LN(INDEX(Dic2025!$N$6:$N$205,MIN(C345+1,200)))-LN(INDEX(Dic2025!$N$6:$N$205,C345)))*(A345-6*C345)/6))</f>
        <v>0.185958633599594</v>
      </c>
      <c r="K345" s="12" t="n">
        <f aca="false">J345^(-1/B345)-1</f>
        <v>0.060986086447155</v>
      </c>
      <c r="L345" s="12" t="n">
        <f aca="false">(1+K345)^(1/12)-1</f>
        <v>0.00494541723481845</v>
      </c>
    </row>
    <row r="346" customFormat="false" ht="15" hidden="false" customHeight="false" outlineLevel="0" collapsed="false">
      <c r="A346" s="4" t="n">
        <v>342</v>
      </c>
      <c r="B346" s="14" t="n">
        <f aca="false">A346/12</f>
        <v>28.5</v>
      </c>
      <c r="C346" s="15" t="n">
        <f aca="false">INT(A346/6)</f>
        <v>57</v>
      </c>
      <c r="D346" s="16" t="n">
        <f aca="false">IF(C346=0,(1+Dic2025!$G$6)^(-B346),EXP(LN(INDEX(Dic2025!$H$6:$H$205,C346))+(LN(INDEX(Dic2025!$H$6:$H$205,MIN(C346+1,200)))-LN(INDEX(Dic2025!$H$6:$H$205,C346)))*(A346-6*C346)/6))</f>
        <v>0.18495945299948</v>
      </c>
      <c r="E346" s="12" t="n">
        <f aca="false">D346^(-1/B346)-1</f>
        <v>0.0610030024999999</v>
      </c>
      <c r="F346" s="12" t="n">
        <f aca="false">(1+E346)^(1/12)-1</f>
        <v>0.00494675243812415</v>
      </c>
      <c r="G346" s="16" t="n">
        <f aca="false">IF(C346=0,(1+Dic2025!$J$6)^(-B346),EXP(LN(INDEX(Dic2025!$K$6:$K$205,C346))+(LN(INDEX(Dic2025!$K$6:$K$205,MIN(C346+1,200)))-LN(INDEX(Dic2025!$K$6:$K$205,C346)))*(A346-6*C346)/6))</f>
        <v>0.18495945299948</v>
      </c>
      <c r="H346" s="12" t="n">
        <f aca="false">G346^(-1/B346)-1</f>
        <v>0.0610030024999999</v>
      </c>
      <c r="I346" s="12" t="n">
        <f aca="false">(1+H346)^(1/12)-1</f>
        <v>0.00494675243812415</v>
      </c>
      <c r="J346" s="16" t="n">
        <f aca="false">IF(C346=0,(1+Dic2025!$M$6)^(-B346),EXP(LN(INDEX(Dic2025!$N$6:$N$205,C346))+(LN(INDEX(Dic2025!$N$6:$N$205,MIN(C346+1,200)))-LN(INDEX(Dic2025!$N$6:$N$205,C346)))*(A346-6*C346)/6))</f>
        <v>0.18495945299948</v>
      </c>
      <c r="K346" s="12" t="n">
        <f aca="false">J346^(-1/B346)-1</f>
        <v>0.0610030024999999</v>
      </c>
      <c r="L346" s="12" t="n">
        <f aca="false">(1+K346)^(1/12)-1</f>
        <v>0.00494675243812415</v>
      </c>
    </row>
    <row r="347" customFormat="false" ht="15" hidden="false" customHeight="false" outlineLevel="0" collapsed="false">
      <c r="A347" s="4" t="n">
        <v>343</v>
      </c>
      <c r="B347" s="14" t="n">
        <f aca="false">A347/12</f>
        <v>28.5833333333333</v>
      </c>
      <c r="C347" s="15" t="n">
        <f aca="false">INT(A347/6)</f>
        <v>57</v>
      </c>
      <c r="D347" s="16" t="n">
        <f aca="false">IF(C347=0,(1+Dic2025!$G$6)^(-B347),EXP(LN(INDEX(Dic2025!$H$6:$H$205,C347))+(LN(INDEX(Dic2025!$H$6:$H$205,MIN(C347+1,200)))-LN(INDEX(Dic2025!$H$6:$H$205,C347)))*(A347-6*C347)/6))</f>
        <v>0.183962668626491</v>
      </c>
      <c r="E347" s="12" t="n">
        <f aca="false">D347^(-1/B347)-1</f>
        <v>0.0610204199753366</v>
      </c>
      <c r="F347" s="12" t="n">
        <f aca="false">(1+E347)^(1/12)-1</f>
        <v>0.00494812719888804</v>
      </c>
      <c r="G347" s="16" t="n">
        <f aca="false">IF(C347=0,(1+Dic2025!$J$6)^(-B347),EXP(LN(INDEX(Dic2025!$K$6:$K$205,C347))+(LN(INDEX(Dic2025!$K$6:$K$205,MIN(C347+1,200)))-LN(INDEX(Dic2025!$K$6:$K$205,C347)))*(A347-6*C347)/6))</f>
        <v>0.183962668626491</v>
      </c>
      <c r="H347" s="12" t="n">
        <f aca="false">G347^(-1/B347)-1</f>
        <v>0.0610204199753366</v>
      </c>
      <c r="I347" s="12" t="n">
        <f aca="false">(1+H347)^(1/12)-1</f>
        <v>0.00494812719888804</v>
      </c>
      <c r="J347" s="16" t="n">
        <f aca="false">IF(C347=0,(1+Dic2025!$M$6)^(-B347),EXP(LN(INDEX(Dic2025!$N$6:$N$205,C347))+(LN(INDEX(Dic2025!$N$6:$N$205,MIN(C347+1,200)))-LN(INDEX(Dic2025!$N$6:$N$205,C347)))*(A347-6*C347)/6))</f>
        <v>0.183962668626491</v>
      </c>
      <c r="K347" s="12" t="n">
        <f aca="false">J347^(-1/B347)-1</f>
        <v>0.0610204199753366</v>
      </c>
      <c r="L347" s="12" t="n">
        <f aca="false">(1+K347)^(1/12)-1</f>
        <v>0.00494812719888804</v>
      </c>
    </row>
    <row r="348" customFormat="false" ht="15" hidden="false" customHeight="false" outlineLevel="0" collapsed="false">
      <c r="A348" s="4" t="n">
        <v>344</v>
      </c>
      <c r="B348" s="14" t="n">
        <f aca="false">A348/12</f>
        <v>28.6666666666667</v>
      </c>
      <c r="C348" s="15" t="n">
        <f aca="false">INT(A348/6)</f>
        <v>57</v>
      </c>
      <c r="D348" s="16" t="n">
        <f aca="false">IF(C348=0,(1+Dic2025!$G$6)^(-B348),EXP(LN(INDEX(Dic2025!$H$6:$H$205,C348))+(LN(INDEX(Dic2025!$H$6:$H$205,MIN(C348+1,200)))-LN(INDEX(Dic2025!$H$6:$H$205,C348)))*(A348-6*C348)/6))</f>
        <v>0.182971256128636</v>
      </c>
      <c r="E348" s="12" t="n">
        <f aca="false">D348^(-1/B348)-1</f>
        <v>0.0610377364697192</v>
      </c>
      <c r="F348" s="12" t="n">
        <f aca="false">(1+E348)^(1/12)-1</f>
        <v>0.00494949396872113</v>
      </c>
      <c r="G348" s="16" t="n">
        <f aca="false">IF(C348=0,(1+Dic2025!$J$6)^(-B348),EXP(LN(INDEX(Dic2025!$K$6:$K$205,C348))+(LN(INDEX(Dic2025!$K$6:$K$205,MIN(C348+1,200)))-LN(INDEX(Dic2025!$K$6:$K$205,C348)))*(A348-6*C348)/6))</f>
        <v>0.182971256128636</v>
      </c>
      <c r="H348" s="12" t="n">
        <f aca="false">G348^(-1/B348)-1</f>
        <v>0.0610377364697192</v>
      </c>
      <c r="I348" s="12" t="n">
        <f aca="false">(1+H348)^(1/12)-1</f>
        <v>0.00494949396872113</v>
      </c>
      <c r="J348" s="16" t="n">
        <f aca="false">IF(C348=0,(1+Dic2025!$M$6)^(-B348),EXP(LN(INDEX(Dic2025!$N$6:$N$205,C348))+(LN(INDEX(Dic2025!$N$6:$N$205,MIN(C348+1,200)))-LN(INDEX(Dic2025!$N$6:$N$205,C348)))*(A348-6*C348)/6))</f>
        <v>0.182971256128636</v>
      </c>
      <c r="K348" s="12" t="n">
        <f aca="false">J348^(-1/B348)-1</f>
        <v>0.0610377364697192</v>
      </c>
      <c r="L348" s="12" t="n">
        <f aca="false">(1+K348)^(1/12)-1</f>
        <v>0.00494949396872113</v>
      </c>
    </row>
    <row r="349" customFormat="false" ht="15" hidden="false" customHeight="false" outlineLevel="0" collapsed="false">
      <c r="A349" s="4" t="n">
        <v>345</v>
      </c>
      <c r="B349" s="14" t="n">
        <f aca="false">A349/12</f>
        <v>28.75</v>
      </c>
      <c r="C349" s="15" t="n">
        <f aca="false">INT(A349/6)</f>
        <v>57</v>
      </c>
      <c r="D349" s="16" t="n">
        <f aca="false">IF(C349=0,(1+Dic2025!$G$6)^(-B349),EXP(LN(INDEX(Dic2025!$H$6:$H$205,C349))+(LN(INDEX(Dic2025!$H$6:$H$205,MIN(C349+1,200)))-LN(INDEX(Dic2025!$H$6:$H$205,C349)))*(A349-6*C349)/6))</f>
        <v>0.181985186555779</v>
      </c>
      <c r="E349" s="12" t="n">
        <f aca="false">D349^(-1/B349)-1</f>
        <v>0.06105495285879</v>
      </c>
      <c r="F349" s="12" t="n">
        <f aca="false">(1+E349)^(1/12)-1</f>
        <v>0.00495085281709362</v>
      </c>
      <c r="G349" s="16" t="n">
        <f aca="false">IF(C349=0,(1+Dic2025!$J$6)^(-B349),EXP(LN(INDEX(Dic2025!$K$6:$K$205,C349))+(LN(INDEX(Dic2025!$K$6:$K$205,MIN(C349+1,200)))-LN(INDEX(Dic2025!$K$6:$K$205,C349)))*(A349-6*C349)/6))</f>
        <v>0.181985186555779</v>
      </c>
      <c r="H349" s="12" t="n">
        <f aca="false">G349^(-1/B349)-1</f>
        <v>0.06105495285879</v>
      </c>
      <c r="I349" s="12" t="n">
        <f aca="false">(1+H349)^(1/12)-1</f>
        <v>0.00495085281709362</v>
      </c>
      <c r="J349" s="16" t="n">
        <f aca="false">IF(C349=0,(1+Dic2025!$M$6)^(-B349),EXP(LN(INDEX(Dic2025!$N$6:$N$205,C349))+(LN(INDEX(Dic2025!$N$6:$N$205,MIN(C349+1,200)))-LN(INDEX(Dic2025!$N$6:$N$205,C349)))*(A349-6*C349)/6))</f>
        <v>0.181985186555779</v>
      </c>
      <c r="K349" s="12" t="n">
        <f aca="false">J349^(-1/B349)-1</f>
        <v>0.06105495285879</v>
      </c>
      <c r="L349" s="12" t="n">
        <f aca="false">(1+K349)^(1/12)-1</f>
        <v>0.00495085281709362</v>
      </c>
    </row>
    <row r="350" customFormat="false" ht="15" hidden="false" customHeight="false" outlineLevel="0" collapsed="false">
      <c r="A350" s="4" t="n">
        <v>346</v>
      </c>
      <c r="B350" s="14" t="n">
        <f aca="false">A350/12</f>
        <v>28.8333333333333</v>
      </c>
      <c r="C350" s="15" t="n">
        <f aca="false">INT(A350/6)</f>
        <v>57</v>
      </c>
      <c r="D350" s="16" t="n">
        <f aca="false">IF(C350=0,(1+Dic2025!$G$6)^(-B350),EXP(LN(INDEX(Dic2025!$H$6:$H$205,C350))+(LN(INDEX(Dic2025!$H$6:$H$205,MIN(C350+1,200)))-LN(INDEX(Dic2025!$H$6:$H$205,C350)))*(A350-6*C350)/6))</f>
        <v>0.181004431113802</v>
      </c>
      <c r="E350" s="12" t="n">
        <f aca="false">D350^(-1/B350)-1</f>
        <v>0.0610720700080964</v>
      </c>
      <c r="F350" s="12" t="n">
        <f aca="false">(1+E350)^(1/12)-1</f>
        <v>0.00495220381267258</v>
      </c>
      <c r="G350" s="16" t="n">
        <f aca="false">IF(C350=0,(1+Dic2025!$J$6)^(-B350),EXP(LN(INDEX(Dic2025!$K$6:$K$205,C350))+(LN(INDEX(Dic2025!$K$6:$K$205,MIN(C350+1,200)))-LN(INDEX(Dic2025!$K$6:$K$205,C350)))*(A350-6*C350)/6))</f>
        <v>0.181004431113802</v>
      </c>
      <c r="H350" s="12" t="n">
        <f aca="false">G350^(-1/B350)-1</f>
        <v>0.0610720700080964</v>
      </c>
      <c r="I350" s="12" t="n">
        <f aca="false">(1+H350)^(1/12)-1</f>
        <v>0.00495220381267258</v>
      </c>
      <c r="J350" s="16" t="n">
        <f aca="false">IF(C350=0,(1+Dic2025!$M$6)^(-B350),EXP(LN(INDEX(Dic2025!$N$6:$N$205,C350))+(LN(INDEX(Dic2025!$N$6:$N$205,MIN(C350+1,200)))-LN(INDEX(Dic2025!$N$6:$N$205,C350)))*(A350-6*C350)/6))</f>
        <v>0.181004431113802</v>
      </c>
      <c r="K350" s="12" t="n">
        <f aca="false">J350^(-1/B350)-1</f>
        <v>0.0610720700080964</v>
      </c>
      <c r="L350" s="12" t="n">
        <f aca="false">(1+K350)^(1/12)-1</f>
        <v>0.00495220381267258</v>
      </c>
    </row>
    <row r="351" customFormat="false" ht="15" hidden="false" customHeight="false" outlineLevel="0" collapsed="false">
      <c r="A351" s="4" t="n">
        <v>347</v>
      </c>
      <c r="B351" s="14" t="n">
        <f aca="false">A351/12</f>
        <v>28.9166666666667</v>
      </c>
      <c r="C351" s="15" t="n">
        <f aca="false">INT(A351/6)</f>
        <v>57</v>
      </c>
      <c r="D351" s="16" t="n">
        <f aca="false">IF(C351=0,(1+Dic2025!$G$6)^(-B351),EXP(LN(INDEX(Dic2025!$H$6:$H$205,C351))+(LN(INDEX(Dic2025!$H$6:$H$205,MIN(C351+1,200)))-LN(INDEX(Dic2025!$H$6:$H$205,C351)))*(A351-6*C351)/6))</f>
        <v>0.180028961163767</v>
      </c>
      <c r="E351" s="12" t="n">
        <f aca="false">D351^(-1/B351)-1</f>
        <v>0.0610890887732363</v>
      </c>
      <c r="F351" s="12" t="n">
        <f aca="false">(1+E351)^(1/12)-1</f>
        <v>0.00495354702333417</v>
      </c>
      <c r="G351" s="16" t="n">
        <f aca="false">IF(C351=0,(1+Dic2025!$J$6)^(-B351),EXP(LN(INDEX(Dic2025!$K$6:$K$205,C351))+(LN(INDEX(Dic2025!$K$6:$K$205,MIN(C351+1,200)))-LN(INDEX(Dic2025!$K$6:$K$205,C351)))*(A351-6*C351)/6))</f>
        <v>0.180028961163767</v>
      </c>
      <c r="H351" s="12" t="n">
        <f aca="false">G351^(-1/B351)-1</f>
        <v>0.0610890887732363</v>
      </c>
      <c r="I351" s="12" t="n">
        <f aca="false">(1+H351)^(1/12)-1</f>
        <v>0.00495354702333417</v>
      </c>
      <c r="J351" s="16" t="n">
        <f aca="false">IF(C351=0,(1+Dic2025!$M$6)^(-B351),EXP(LN(INDEX(Dic2025!$N$6:$N$205,C351))+(LN(INDEX(Dic2025!$N$6:$N$205,MIN(C351+1,200)))-LN(INDEX(Dic2025!$N$6:$N$205,C351)))*(A351-6*C351)/6))</f>
        <v>0.180028961163767</v>
      </c>
      <c r="K351" s="12" t="n">
        <f aca="false">J351^(-1/B351)-1</f>
        <v>0.0610890887732363</v>
      </c>
      <c r="L351" s="12" t="n">
        <f aca="false">(1+K351)^(1/12)-1</f>
        <v>0.00495354702333417</v>
      </c>
    </row>
    <row r="352" customFormat="false" ht="15" hidden="false" customHeight="false" outlineLevel="0" collapsed="false">
      <c r="A352" s="4" t="n">
        <v>348</v>
      </c>
      <c r="B352" s="14" t="n">
        <f aca="false">A352/12</f>
        <v>29</v>
      </c>
      <c r="C352" s="15" t="n">
        <f aca="false">INT(A352/6)</f>
        <v>58</v>
      </c>
      <c r="D352" s="16" t="n">
        <f aca="false">IF(C352=0,(1+Dic2025!$G$6)^(-B352),EXP(LN(INDEX(Dic2025!$H$6:$H$205,C352))+(LN(INDEX(Dic2025!$H$6:$H$205,MIN(C352+1,200)))-LN(INDEX(Dic2025!$H$6:$H$205,C352)))*(A352-6*C352)/6))</f>
        <v>0.179058748221075</v>
      </c>
      <c r="E352" s="12" t="n">
        <f aca="false">D352^(-1/B352)-1</f>
        <v>0.06110601</v>
      </c>
      <c r="F352" s="12" t="n">
        <f aca="false">(1+E352)^(1/12)-1</f>
        <v>0.00495488251617404</v>
      </c>
      <c r="G352" s="16" t="n">
        <f aca="false">IF(C352=0,(1+Dic2025!$J$6)^(-B352),EXP(LN(INDEX(Dic2025!$K$6:$K$205,C352))+(LN(INDEX(Dic2025!$K$6:$K$205,MIN(C352+1,200)))-LN(INDEX(Dic2025!$K$6:$K$205,C352)))*(A352-6*C352)/6))</f>
        <v>0.179058748221075</v>
      </c>
      <c r="H352" s="12" t="n">
        <f aca="false">G352^(-1/B352)-1</f>
        <v>0.06110601</v>
      </c>
      <c r="I352" s="12" t="n">
        <f aca="false">(1+H352)^(1/12)-1</f>
        <v>0.00495488251617404</v>
      </c>
      <c r="J352" s="16" t="n">
        <f aca="false">IF(C352=0,(1+Dic2025!$M$6)^(-B352),EXP(LN(INDEX(Dic2025!$N$6:$N$205,C352))+(LN(INDEX(Dic2025!$N$6:$N$205,MIN(C352+1,200)))-LN(INDEX(Dic2025!$N$6:$N$205,C352)))*(A352-6*C352)/6))</f>
        <v>0.179058748221075</v>
      </c>
      <c r="K352" s="12" t="n">
        <f aca="false">J352^(-1/B352)-1</f>
        <v>0.06110601</v>
      </c>
      <c r="L352" s="12" t="n">
        <f aca="false">(1+K352)^(1/12)-1</f>
        <v>0.00495488251617404</v>
      </c>
    </row>
    <row r="353" customFormat="false" ht="15" hidden="false" customHeight="false" outlineLevel="0" collapsed="false">
      <c r="A353" s="4" t="n">
        <v>349</v>
      </c>
      <c r="B353" s="14" t="n">
        <f aca="false">A353/12</f>
        <v>29.0833333333333</v>
      </c>
      <c r="C353" s="15" t="n">
        <f aca="false">INT(A353/6)</f>
        <v>58</v>
      </c>
      <c r="D353" s="16" t="n">
        <f aca="false">IF(C353=0,(1+Dic2025!$G$6)^(-B353),EXP(LN(INDEX(Dic2025!$H$6:$H$205,C353))+(LN(INDEX(Dic2025!$H$6:$H$205,MIN(C353+1,200)))-LN(INDEX(Dic2025!$H$6:$H$205,C353)))*(A353-6*C353)/6))</f>
        <v>0.178090886537602</v>
      </c>
      <c r="E353" s="12" t="n">
        <f aca="false">D353^(-1/B353)-1</f>
        <v>0.0611234240182628</v>
      </c>
      <c r="F353" s="12" t="n">
        <f aca="false">(1+E353)^(1/12)-1</f>
        <v>0.00495625688176382</v>
      </c>
      <c r="G353" s="16" t="n">
        <f aca="false">IF(C353=0,(1+Dic2025!$J$6)^(-B353),EXP(LN(INDEX(Dic2025!$K$6:$K$205,C353))+(LN(INDEX(Dic2025!$K$6:$K$205,MIN(C353+1,200)))-LN(INDEX(Dic2025!$K$6:$K$205,C353)))*(A353-6*C353)/6))</f>
        <v>0.178090886537602</v>
      </c>
      <c r="H353" s="12" t="n">
        <f aca="false">G353^(-1/B353)-1</f>
        <v>0.0611234240182628</v>
      </c>
      <c r="I353" s="12" t="n">
        <f aca="false">(1+H353)^(1/12)-1</f>
        <v>0.00495625688176382</v>
      </c>
      <c r="J353" s="16" t="n">
        <f aca="false">IF(C353=0,(1+Dic2025!$M$6)^(-B353),EXP(LN(INDEX(Dic2025!$N$6:$N$205,C353))+(LN(INDEX(Dic2025!$N$6:$N$205,MIN(C353+1,200)))-LN(INDEX(Dic2025!$N$6:$N$205,C353)))*(A353-6*C353)/6))</f>
        <v>0.178090886537602</v>
      </c>
      <c r="K353" s="12" t="n">
        <f aca="false">J353^(-1/B353)-1</f>
        <v>0.0611234240182628</v>
      </c>
      <c r="L353" s="12" t="n">
        <f aca="false">(1+K353)^(1/12)-1</f>
        <v>0.00495625688176382</v>
      </c>
    </row>
    <row r="354" customFormat="false" ht="15" hidden="false" customHeight="false" outlineLevel="0" collapsed="false">
      <c r="A354" s="4" t="n">
        <v>350</v>
      </c>
      <c r="B354" s="14" t="n">
        <f aca="false">A354/12</f>
        <v>29.1666666666667</v>
      </c>
      <c r="C354" s="15" t="n">
        <f aca="false">INT(A354/6)</f>
        <v>58</v>
      </c>
      <c r="D354" s="16" t="n">
        <f aca="false">IF(C354=0,(1+Dic2025!$G$6)^(-B354),EXP(LN(INDEX(Dic2025!$H$6:$H$205,C354))+(LN(INDEX(Dic2025!$H$6:$H$205,MIN(C354+1,200)))-LN(INDEX(Dic2025!$H$6:$H$205,C354)))*(A354-6*C354)/6))</f>
        <v>0.177128256412194</v>
      </c>
      <c r="E354" s="12" t="n">
        <f aca="false">D354^(-1/B354)-1</f>
        <v>0.0611407388111895</v>
      </c>
      <c r="F354" s="12" t="n">
        <f aca="false">(1+E354)^(1/12)-1</f>
        <v>0.00495762339569916</v>
      </c>
      <c r="G354" s="16" t="n">
        <f aca="false">IF(C354=0,(1+Dic2025!$J$6)^(-B354),EXP(LN(INDEX(Dic2025!$K$6:$K$205,C354))+(LN(INDEX(Dic2025!$K$6:$K$205,MIN(C354+1,200)))-LN(INDEX(Dic2025!$K$6:$K$205,C354)))*(A354-6*C354)/6))</f>
        <v>0.177128256412194</v>
      </c>
      <c r="H354" s="12" t="n">
        <f aca="false">G354^(-1/B354)-1</f>
        <v>0.0611407388111895</v>
      </c>
      <c r="I354" s="12" t="n">
        <f aca="false">(1+H354)^(1/12)-1</f>
        <v>0.00495762339569916</v>
      </c>
      <c r="J354" s="16" t="n">
        <f aca="false">IF(C354=0,(1+Dic2025!$M$6)^(-B354),EXP(LN(INDEX(Dic2025!$N$6:$N$205,C354))+(LN(INDEX(Dic2025!$N$6:$N$205,MIN(C354+1,200)))-LN(INDEX(Dic2025!$N$6:$N$205,C354)))*(A354-6*C354)/6))</f>
        <v>0.177128256412194</v>
      </c>
      <c r="K354" s="12" t="n">
        <f aca="false">J354^(-1/B354)-1</f>
        <v>0.0611407388111895</v>
      </c>
      <c r="L354" s="12" t="n">
        <f aca="false">(1+K354)^(1/12)-1</f>
        <v>0.00495762339569916</v>
      </c>
    </row>
    <row r="355" customFormat="false" ht="15" hidden="false" customHeight="false" outlineLevel="0" collapsed="false">
      <c r="A355" s="4" t="n">
        <v>351</v>
      </c>
      <c r="B355" s="14" t="n">
        <f aca="false">A355/12</f>
        <v>29.25</v>
      </c>
      <c r="C355" s="15" t="n">
        <f aca="false">INT(A355/6)</f>
        <v>58</v>
      </c>
      <c r="D355" s="16" t="n">
        <f aca="false">IF(C355=0,(1+Dic2025!$G$6)^(-B355),EXP(LN(INDEX(Dic2025!$H$6:$H$205,C355))+(LN(INDEX(Dic2025!$H$6:$H$205,MIN(C355+1,200)))-LN(INDEX(Dic2025!$H$6:$H$205,C355)))*(A355-6*C355)/6))</f>
        <v>0.176170829566843</v>
      </c>
      <c r="E355" s="12" t="n">
        <f aca="false">D355^(-1/B355)-1</f>
        <v>0.0611579552244499</v>
      </c>
      <c r="F355" s="12" t="n">
        <f aca="false">(1+E355)^(1/12)-1</f>
        <v>0.00495898212507262</v>
      </c>
      <c r="G355" s="16" t="n">
        <f aca="false">IF(C355=0,(1+Dic2025!$J$6)^(-B355),EXP(LN(INDEX(Dic2025!$K$6:$K$205,C355))+(LN(INDEX(Dic2025!$K$6:$K$205,MIN(C355+1,200)))-LN(INDEX(Dic2025!$K$6:$K$205,C355)))*(A355-6*C355)/6))</f>
        <v>0.176170829566843</v>
      </c>
      <c r="H355" s="12" t="n">
        <f aca="false">G355^(-1/B355)-1</f>
        <v>0.0611579552244499</v>
      </c>
      <c r="I355" s="12" t="n">
        <f aca="false">(1+H355)^(1/12)-1</f>
        <v>0.00495898212507262</v>
      </c>
      <c r="J355" s="16" t="n">
        <f aca="false">IF(C355=0,(1+Dic2025!$M$6)^(-B355),EXP(LN(INDEX(Dic2025!$N$6:$N$205,C355))+(LN(INDEX(Dic2025!$N$6:$N$205,MIN(C355+1,200)))-LN(INDEX(Dic2025!$N$6:$N$205,C355)))*(A355-6*C355)/6))</f>
        <v>0.176170829566843</v>
      </c>
      <c r="K355" s="12" t="n">
        <f aca="false">J355^(-1/B355)-1</f>
        <v>0.0611579552244499</v>
      </c>
      <c r="L355" s="12" t="n">
        <f aca="false">(1+K355)^(1/12)-1</f>
        <v>0.00495898212507262</v>
      </c>
    </row>
    <row r="356" customFormat="false" ht="15" hidden="false" customHeight="false" outlineLevel="0" collapsed="false">
      <c r="A356" s="4" t="n">
        <v>352</v>
      </c>
      <c r="B356" s="14" t="n">
        <f aca="false">A356/12</f>
        <v>29.3333333333333</v>
      </c>
      <c r="C356" s="15" t="n">
        <f aca="false">INT(A356/6)</f>
        <v>58</v>
      </c>
      <c r="D356" s="16" t="n">
        <f aca="false">IF(C356=0,(1+Dic2025!$G$6)^(-B356),EXP(LN(INDEX(Dic2025!$H$6:$H$205,C356))+(LN(INDEX(Dic2025!$H$6:$H$205,MIN(C356+1,200)))-LN(INDEX(Dic2025!$H$6:$H$205,C356)))*(A356-6*C356)/6))</f>
        <v>0.175218577876393</v>
      </c>
      <c r="E356" s="12" t="n">
        <f aca="false">D356^(-1/B356)-1</f>
        <v>0.061175074094131</v>
      </c>
      <c r="F356" s="12" t="n">
        <f aca="false">(1+E356)^(1/12)-1</f>
        <v>0.00496033313621447</v>
      </c>
      <c r="G356" s="16" t="n">
        <f aca="false">IF(C356=0,(1+Dic2025!$J$6)^(-B356),EXP(LN(INDEX(Dic2025!$K$6:$K$205,C356))+(LN(INDEX(Dic2025!$K$6:$K$205,MIN(C356+1,200)))-LN(INDEX(Dic2025!$K$6:$K$205,C356)))*(A356-6*C356)/6))</f>
        <v>0.175218577876393</v>
      </c>
      <c r="H356" s="12" t="n">
        <f aca="false">G356^(-1/B356)-1</f>
        <v>0.061175074094131</v>
      </c>
      <c r="I356" s="12" t="n">
        <f aca="false">(1+H356)^(1/12)-1</f>
        <v>0.00496033313621447</v>
      </c>
      <c r="J356" s="16" t="n">
        <f aca="false">IF(C356=0,(1+Dic2025!$M$6)^(-B356),EXP(LN(INDEX(Dic2025!$N$6:$N$205,C356))+(LN(INDEX(Dic2025!$N$6:$N$205,MIN(C356+1,200)))-LN(INDEX(Dic2025!$N$6:$N$205,C356)))*(A356-6*C356)/6))</f>
        <v>0.175218577876393</v>
      </c>
      <c r="K356" s="12" t="n">
        <f aca="false">J356^(-1/B356)-1</f>
        <v>0.061175074094131</v>
      </c>
      <c r="L356" s="12" t="n">
        <f aca="false">(1+K356)^(1/12)-1</f>
        <v>0.00496033313621447</v>
      </c>
    </row>
    <row r="357" customFormat="false" ht="15" hidden="false" customHeight="false" outlineLevel="0" collapsed="false">
      <c r="A357" s="4" t="n">
        <v>353</v>
      </c>
      <c r="B357" s="14" t="n">
        <f aca="false">A357/12</f>
        <v>29.4166666666667</v>
      </c>
      <c r="C357" s="15" t="n">
        <f aca="false">INT(A357/6)</f>
        <v>58</v>
      </c>
      <c r="D357" s="16" t="n">
        <f aca="false">IF(C357=0,(1+Dic2025!$G$6)^(-B357),EXP(LN(INDEX(Dic2025!$H$6:$H$205,C357))+(LN(INDEX(Dic2025!$H$6:$H$205,MIN(C357+1,200)))-LN(INDEX(Dic2025!$H$6:$H$205,C357)))*(A357-6*C357)/6))</f>
        <v>0.174271473367711</v>
      </c>
      <c r="E357" s="12" t="n">
        <f aca="false">D357^(-1/B357)-1</f>
        <v>0.0611920962468726</v>
      </c>
      <c r="F357" s="12" t="n">
        <f aca="false">(1+E357)^(1/12)-1</f>
        <v>0.00496167649470292</v>
      </c>
      <c r="G357" s="16" t="n">
        <f aca="false">IF(C357=0,(1+Dic2025!$J$6)^(-B357),EXP(LN(INDEX(Dic2025!$K$6:$K$205,C357))+(LN(INDEX(Dic2025!$K$6:$K$205,MIN(C357+1,200)))-LN(INDEX(Dic2025!$K$6:$K$205,C357)))*(A357-6*C357)/6))</f>
        <v>0.174271473367711</v>
      </c>
      <c r="H357" s="12" t="n">
        <f aca="false">G357^(-1/B357)-1</f>
        <v>0.0611920962468726</v>
      </c>
      <c r="I357" s="12" t="n">
        <f aca="false">(1+H357)^(1/12)-1</f>
        <v>0.00496167649470292</v>
      </c>
      <c r="J357" s="16" t="n">
        <f aca="false">IF(C357=0,(1+Dic2025!$M$6)^(-B357),EXP(LN(INDEX(Dic2025!$N$6:$N$205,C357))+(LN(INDEX(Dic2025!$N$6:$N$205,MIN(C357+1,200)))-LN(INDEX(Dic2025!$N$6:$N$205,C357)))*(A357-6*C357)/6))</f>
        <v>0.174271473367711</v>
      </c>
      <c r="K357" s="12" t="n">
        <f aca="false">J357^(-1/B357)-1</f>
        <v>0.0611920962468726</v>
      </c>
      <c r="L357" s="12" t="n">
        <f aca="false">(1+K357)^(1/12)-1</f>
        <v>0.00496167649470292</v>
      </c>
    </row>
    <row r="358" customFormat="false" ht="15" hidden="false" customHeight="false" outlineLevel="0" collapsed="false">
      <c r="A358" s="4" t="n">
        <v>354</v>
      </c>
      <c r="B358" s="14" t="n">
        <f aca="false">A358/12</f>
        <v>29.5</v>
      </c>
      <c r="C358" s="15" t="n">
        <f aca="false">INT(A358/6)</f>
        <v>59</v>
      </c>
      <c r="D358" s="16" t="n">
        <f aca="false">IF(C358=0,(1+Dic2025!$G$6)^(-B358),EXP(LN(INDEX(Dic2025!$H$6:$H$205,C358))+(LN(INDEX(Dic2025!$H$6:$H$205,MIN(C358+1,200)))-LN(INDEX(Dic2025!$H$6:$H$205,C358)))*(A358-6*C358)/6))</f>
        <v>0.173329488218866</v>
      </c>
      <c r="E358" s="12" t="n">
        <f aca="false">D358^(-1/B358)-1</f>
        <v>0.0612090224999997</v>
      </c>
      <c r="F358" s="12" t="n">
        <f aca="false">(1+E358)^(1/12)-1</f>
        <v>0.00496301226537588</v>
      </c>
      <c r="G358" s="16" t="n">
        <f aca="false">IF(C358=0,(1+Dic2025!$J$6)^(-B358),EXP(LN(INDEX(Dic2025!$K$6:$K$205,C358))+(LN(INDEX(Dic2025!$K$6:$K$205,MIN(C358+1,200)))-LN(INDEX(Dic2025!$K$6:$K$205,C358)))*(A358-6*C358)/6))</f>
        <v>0.173329488218866</v>
      </c>
      <c r="H358" s="12" t="n">
        <f aca="false">G358^(-1/B358)-1</f>
        <v>0.0612090224999997</v>
      </c>
      <c r="I358" s="12" t="n">
        <f aca="false">(1+H358)^(1/12)-1</f>
        <v>0.00496301226537588</v>
      </c>
      <c r="J358" s="16" t="n">
        <f aca="false">IF(C358=0,(1+Dic2025!$M$6)^(-B358),EXP(LN(INDEX(Dic2025!$N$6:$N$205,C358))+(LN(INDEX(Dic2025!$N$6:$N$205,MIN(C358+1,200)))-LN(INDEX(Dic2025!$N$6:$N$205,C358)))*(A358-6*C358)/6))</f>
        <v>0.173329488218866</v>
      </c>
      <c r="K358" s="12" t="n">
        <f aca="false">J358^(-1/B358)-1</f>
        <v>0.0612090224999997</v>
      </c>
      <c r="L358" s="12" t="n">
        <f aca="false">(1+K358)^(1/12)-1</f>
        <v>0.00496301226537588</v>
      </c>
    </row>
    <row r="359" customFormat="false" ht="15" hidden="false" customHeight="false" outlineLevel="0" collapsed="false">
      <c r="A359" s="4" t="n">
        <v>355</v>
      </c>
      <c r="B359" s="14" t="n">
        <f aca="false">A359/12</f>
        <v>29.5833333333333</v>
      </c>
      <c r="C359" s="15" t="n">
        <f aca="false">INT(A359/6)</f>
        <v>59</v>
      </c>
      <c r="D359" s="16" t="n">
        <f aca="false">IF(C359=0,(1+Dic2025!$G$6)^(-B359),EXP(LN(INDEX(Dic2025!$H$6:$H$205,C359))+(LN(INDEX(Dic2025!$H$6:$H$205,MIN(C359+1,200)))-LN(INDEX(Dic2025!$H$6:$H$205,C359)))*(A359-6*C359)/6))</f>
        <v>0.172389809656348</v>
      </c>
      <c r="E359" s="12" t="n">
        <f aca="false">D359^(-1/B359)-1</f>
        <v>0.0612264332062165</v>
      </c>
      <c r="F359" s="12" t="n">
        <f aca="false">(1+E359)^(1/12)-1</f>
        <v>0.00496438624730144</v>
      </c>
      <c r="G359" s="16" t="n">
        <f aca="false">IF(C359=0,(1+Dic2025!$J$6)^(-B359),EXP(LN(INDEX(Dic2025!$K$6:$K$205,C359))+(LN(INDEX(Dic2025!$K$6:$K$205,MIN(C359+1,200)))-LN(INDEX(Dic2025!$K$6:$K$205,C359)))*(A359-6*C359)/6))</f>
        <v>0.172389809656348</v>
      </c>
      <c r="H359" s="12" t="n">
        <f aca="false">G359^(-1/B359)-1</f>
        <v>0.0612264332062165</v>
      </c>
      <c r="I359" s="12" t="n">
        <f aca="false">(1+H359)^(1/12)-1</f>
        <v>0.00496438624730144</v>
      </c>
      <c r="J359" s="16" t="n">
        <f aca="false">IF(C359=0,(1+Dic2025!$M$6)^(-B359),EXP(LN(INDEX(Dic2025!$N$6:$N$205,C359))+(LN(INDEX(Dic2025!$N$6:$N$205,MIN(C359+1,200)))-LN(INDEX(Dic2025!$N$6:$N$205,C359)))*(A359-6*C359)/6))</f>
        <v>0.172389809656348</v>
      </c>
      <c r="K359" s="12" t="n">
        <f aca="false">J359^(-1/B359)-1</f>
        <v>0.0612264332062165</v>
      </c>
      <c r="L359" s="12" t="n">
        <f aca="false">(1+K359)^(1/12)-1</f>
        <v>0.00496438624730144</v>
      </c>
    </row>
    <row r="360" customFormat="false" ht="15" hidden="false" customHeight="false" outlineLevel="0" collapsed="false">
      <c r="A360" s="4" t="n">
        <v>356</v>
      </c>
      <c r="B360" s="14" t="n">
        <f aca="false">A360/12</f>
        <v>29.6666666666667</v>
      </c>
      <c r="C360" s="15" t="n">
        <f aca="false">INT(A360/6)</f>
        <v>59</v>
      </c>
      <c r="D360" s="16" t="n">
        <f aca="false">IF(C360=0,(1+Dic2025!$G$6)^(-B360),EXP(LN(INDEX(Dic2025!$H$6:$H$205,C360))+(LN(INDEX(Dic2025!$H$6:$H$205,MIN(C360+1,200)))-LN(INDEX(Dic2025!$H$6:$H$205,C360)))*(A360-6*C360)/6))</f>
        <v>0.171455225413382</v>
      </c>
      <c r="E360" s="12" t="n">
        <f aca="false">D360^(-1/B360)-1</f>
        <v>0.0612437463827225</v>
      </c>
      <c r="F360" s="12" t="n">
        <f aca="false">(1+E360)^(1/12)-1</f>
        <v>0.0049657525120903</v>
      </c>
      <c r="G360" s="16" t="n">
        <f aca="false">IF(C360=0,(1+Dic2025!$J$6)^(-B360),EXP(LN(INDEX(Dic2025!$K$6:$K$205,C360))+(LN(INDEX(Dic2025!$K$6:$K$205,MIN(C360+1,200)))-LN(INDEX(Dic2025!$K$6:$K$205,C360)))*(A360-6*C360)/6))</f>
        <v>0.171455225413382</v>
      </c>
      <c r="H360" s="12" t="n">
        <f aca="false">G360^(-1/B360)-1</f>
        <v>0.0612437463827225</v>
      </c>
      <c r="I360" s="12" t="n">
        <f aca="false">(1+H360)^(1/12)-1</f>
        <v>0.0049657525120903</v>
      </c>
      <c r="J360" s="16" t="n">
        <f aca="false">IF(C360=0,(1+Dic2025!$M$6)^(-B360),EXP(LN(INDEX(Dic2025!$N$6:$N$205,C360))+(LN(INDEX(Dic2025!$N$6:$N$205,MIN(C360+1,200)))-LN(INDEX(Dic2025!$N$6:$N$205,C360)))*(A360-6*C360)/6))</f>
        <v>0.171455225413382</v>
      </c>
      <c r="K360" s="12" t="n">
        <f aca="false">J360^(-1/B360)-1</f>
        <v>0.0612437463827225</v>
      </c>
      <c r="L360" s="12" t="n">
        <f aca="false">(1+K360)^(1/12)-1</f>
        <v>0.0049657525120903</v>
      </c>
    </row>
    <row r="361" customFormat="false" ht="15" hidden="false" customHeight="false" outlineLevel="0" collapsed="false">
      <c r="A361" s="4" t="n">
        <v>357</v>
      </c>
      <c r="B361" s="14" t="n">
        <f aca="false">A361/12</f>
        <v>29.75</v>
      </c>
      <c r="C361" s="15" t="n">
        <f aca="false">INT(A361/6)</f>
        <v>59</v>
      </c>
      <c r="D361" s="16" t="n">
        <f aca="false">IF(C361=0,(1+Dic2025!$G$6)^(-B361),EXP(LN(INDEX(Dic2025!$H$6:$H$205,C361))+(LN(INDEX(Dic2025!$H$6:$H$205,MIN(C361+1,200)))-LN(INDEX(Dic2025!$H$6:$H$205,C361)))*(A361-6*C361)/6))</f>
        <v>0.170525707871917</v>
      </c>
      <c r="E361" s="12" t="n">
        <f aca="false">D361^(-1/B361)-1</f>
        <v>0.0612609628467267</v>
      </c>
      <c r="F361" s="12" t="n">
        <f aca="false">(1+E361)^(1/12)-1</f>
        <v>0.00496711112457637</v>
      </c>
      <c r="G361" s="16" t="n">
        <f aca="false">IF(C361=0,(1+Dic2025!$J$6)^(-B361),EXP(LN(INDEX(Dic2025!$K$6:$K$205,C361))+(LN(INDEX(Dic2025!$K$6:$K$205,MIN(C361+1,200)))-LN(INDEX(Dic2025!$K$6:$K$205,C361)))*(A361-6*C361)/6))</f>
        <v>0.170525707871917</v>
      </c>
      <c r="H361" s="12" t="n">
        <f aca="false">G361^(-1/B361)-1</f>
        <v>0.0612609628467267</v>
      </c>
      <c r="I361" s="12" t="n">
        <f aca="false">(1+H361)^(1/12)-1</f>
        <v>0.00496711112457637</v>
      </c>
      <c r="J361" s="16" t="n">
        <f aca="false">IF(C361=0,(1+Dic2025!$M$6)^(-B361),EXP(LN(INDEX(Dic2025!$N$6:$N$205,C361))+(LN(INDEX(Dic2025!$N$6:$N$205,MIN(C361+1,200)))-LN(INDEX(Dic2025!$N$6:$N$205,C361)))*(A361-6*C361)/6))</f>
        <v>0.170525707871917</v>
      </c>
      <c r="K361" s="12" t="n">
        <f aca="false">J361^(-1/B361)-1</f>
        <v>0.0612609628467267</v>
      </c>
      <c r="L361" s="12" t="n">
        <f aca="false">(1+K361)^(1/12)-1</f>
        <v>0.00496711112457637</v>
      </c>
    </row>
    <row r="362" customFormat="false" ht="15" hidden="false" customHeight="false" outlineLevel="0" collapsed="false">
      <c r="A362" s="4" t="n">
        <v>358</v>
      </c>
      <c r="B362" s="14" t="n">
        <f aca="false">A362/12</f>
        <v>29.8333333333333</v>
      </c>
      <c r="C362" s="15" t="n">
        <f aca="false">INT(A362/6)</f>
        <v>59</v>
      </c>
      <c r="D362" s="16" t="n">
        <f aca="false">IF(C362=0,(1+Dic2025!$G$6)^(-B362),EXP(LN(INDEX(Dic2025!$H$6:$H$205,C362))+(LN(INDEX(Dic2025!$H$6:$H$205,MIN(C362+1,200)))-LN(INDEX(Dic2025!$H$6:$H$205,C362)))*(A362-6*C362)/6))</f>
        <v>0.169601229563626</v>
      </c>
      <c r="E362" s="12" t="n">
        <f aca="false">D362^(-1/B362)-1</f>
        <v>0.0612780834063327</v>
      </c>
      <c r="F362" s="12" t="n">
        <f aca="false">(1+E362)^(1/12)-1</f>
        <v>0.00496846214886992</v>
      </c>
      <c r="G362" s="16" t="n">
        <f aca="false">IF(C362=0,(1+Dic2025!$J$6)^(-B362),EXP(LN(INDEX(Dic2025!$K$6:$K$205,C362))+(LN(INDEX(Dic2025!$K$6:$K$205,MIN(C362+1,200)))-LN(INDEX(Dic2025!$K$6:$K$205,C362)))*(A362-6*C362)/6))</f>
        <v>0.169601229563626</v>
      </c>
      <c r="H362" s="12" t="n">
        <f aca="false">G362^(-1/B362)-1</f>
        <v>0.0612780834063327</v>
      </c>
      <c r="I362" s="12" t="n">
        <f aca="false">(1+H362)^(1/12)-1</f>
        <v>0.00496846214886992</v>
      </c>
      <c r="J362" s="16" t="n">
        <f aca="false">IF(C362=0,(1+Dic2025!$M$6)^(-B362),EXP(LN(INDEX(Dic2025!$N$6:$N$205,C362))+(LN(INDEX(Dic2025!$N$6:$N$205,MIN(C362+1,200)))-LN(INDEX(Dic2025!$N$6:$N$205,C362)))*(A362-6*C362)/6))</f>
        <v>0.169601229563626</v>
      </c>
      <c r="K362" s="12" t="n">
        <f aca="false">J362^(-1/B362)-1</f>
        <v>0.0612780834063327</v>
      </c>
      <c r="L362" s="12" t="n">
        <f aca="false">(1+K362)^(1/12)-1</f>
        <v>0.00496846214886992</v>
      </c>
    </row>
    <row r="363" customFormat="false" ht="15" hidden="false" customHeight="false" outlineLevel="0" collapsed="false">
      <c r="A363" s="4" t="n">
        <v>359</v>
      </c>
      <c r="B363" s="14" t="n">
        <f aca="false">A363/12</f>
        <v>29.9166666666667</v>
      </c>
      <c r="C363" s="15" t="n">
        <f aca="false">INT(A363/6)</f>
        <v>59</v>
      </c>
      <c r="D363" s="16" t="n">
        <f aca="false">IF(C363=0,(1+Dic2025!$G$6)^(-B363),EXP(LN(INDEX(Dic2025!$H$6:$H$205,C363))+(LN(INDEX(Dic2025!$H$6:$H$205,MIN(C363+1,200)))-LN(INDEX(Dic2025!$H$6:$H$205,C363)))*(A363-6*C363)/6))</f>
        <v>0.168681763169099</v>
      </c>
      <c r="E363" s="12" t="n">
        <f aca="false">D363^(-1/B363)-1</f>
        <v>0.0612951088606664</v>
      </c>
      <c r="F363" s="12" t="n">
        <f aca="false">(1+E363)^(1/12)-1</f>
        <v>0.00496980564836691</v>
      </c>
      <c r="G363" s="16" t="n">
        <f aca="false">IF(C363=0,(1+Dic2025!$J$6)^(-B363),EXP(LN(INDEX(Dic2025!$K$6:$K$205,C363))+(LN(INDEX(Dic2025!$K$6:$K$205,MIN(C363+1,200)))-LN(INDEX(Dic2025!$K$6:$K$205,C363)))*(A363-6*C363)/6))</f>
        <v>0.168681763169099</v>
      </c>
      <c r="H363" s="12" t="n">
        <f aca="false">G363^(-1/B363)-1</f>
        <v>0.0612951088606664</v>
      </c>
      <c r="I363" s="12" t="n">
        <f aca="false">(1+H363)^(1/12)-1</f>
        <v>0.00496980564836691</v>
      </c>
      <c r="J363" s="16" t="n">
        <f aca="false">IF(C363=0,(1+Dic2025!$M$6)^(-B363),EXP(LN(INDEX(Dic2025!$N$6:$N$205,C363))+(LN(INDEX(Dic2025!$N$6:$N$205,MIN(C363+1,200)))-LN(INDEX(Dic2025!$N$6:$N$205,C363)))*(A363-6*C363)/6))</f>
        <v>0.168681763169099</v>
      </c>
      <c r="K363" s="12" t="n">
        <f aca="false">J363^(-1/B363)-1</f>
        <v>0.0612951088606664</v>
      </c>
      <c r="L363" s="12" t="n">
        <f aca="false">(1+K363)^(1/12)-1</f>
        <v>0.00496980564836691</v>
      </c>
    </row>
    <row r="364" customFormat="false" ht="15" hidden="false" customHeight="false" outlineLevel="0" collapsed="false">
      <c r="A364" s="4" t="n">
        <v>360</v>
      </c>
      <c r="B364" s="14" t="n">
        <f aca="false">A364/12</f>
        <v>30</v>
      </c>
      <c r="C364" s="15" t="n">
        <f aca="false">INT(A364/6)</f>
        <v>60</v>
      </c>
      <c r="D364" s="16" t="n">
        <f aca="false">IF(C364=0,(1+Dic2025!$G$6)^(-B364),EXP(LN(INDEX(Dic2025!$H$6:$H$205,C364))+(LN(INDEX(Dic2025!$H$6:$H$205,MIN(C364+1,200)))-LN(INDEX(Dic2025!$H$6:$H$205,C364)))*(A364-6*C364)/6))</f>
        <v>0.167767281517035</v>
      </c>
      <c r="E364" s="12" t="n">
        <f aca="false">D364^(-1/B364)-1</f>
        <v>0.06131204</v>
      </c>
      <c r="F364" s="12" t="n">
        <f aca="false">(1+E364)^(1/12)-1</f>
        <v>0.00497114168575896</v>
      </c>
      <c r="G364" s="16" t="n">
        <f aca="false">IF(C364=0,(1+Dic2025!$J$6)^(-B364),EXP(LN(INDEX(Dic2025!$K$6:$K$205,C364))+(LN(INDEX(Dic2025!$K$6:$K$205,MIN(C364+1,200)))-LN(INDEX(Dic2025!$K$6:$K$205,C364)))*(A364-6*C364)/6))</f>
        <v>0.167767281517035</v>
      </c>
      <c r="H364" s="12" t="n">
        <f aca="false">G364^(-1/B364)-1</f>
        <v>0.06131204</v>
      </c>
      <c r="I364" s="12" t="n">
        <f aca="false">(1+H364)^(1/12)-1</f>
        <v>0.00497114168575896</v>
      </c>
      <c r="J364" s="16" t="n">
        <f aca="false">IF(C364=0,(1+Dic2025!$M$6)^(-B364),EXP(LN(INDEX(Dic2025!$N$6:$N$205,C364))+(LN(INDEX(Dic2025!$N$6:$N$205,MIN(C364+1,200)))-LN(INDEX(Dic2025!$N$6:$N$205,C364)))*(A364-6*C364)/6))</f>
        <v>0.167767281517035</v>
      </c>
      <c r="K364" s="12" t="n">
        <f aca="false">J364^(-1/B364)-1</f>
        <v>0.06131204</v>
      </c>
      <c r="L364" s="12" t="n">
        <f aca="false">(1+K364)^(1/12)-1</f>
        <v>0.00497114168575896</v>
      </c>
    </row>
    <row r="365" customFormat="false" ht="15" hidden="false" customHeight="false" outlineLevel="0" collapsed="false">
      <c r="A365" s="4" t="n">
        <v>361</v>
      </c>
      <c r="B365" s="14" t="n">
        <f aca="false">A365/12</f>
        <v>30.0833333333333</v>
      </c>
      <c r="C365" s="15" t="n">
        <f aca="false">INT(A365/6)</f>
        <v>60</v>
      </c>
      <c r="D365" s="16" t="n">
        <f aca="false">IF(C365=0,(1+Dic2025!$G$6)^(-B365),EXP(LN(INDEX(Dic2025!$H$6:$H$205,C365))+(LN(INDEX(Dic2025!$H$6:$H$205,MIN(C365+1,200)))-LN(INDEX(Dic2025!$H$6:$H$205,C365)))*(A365-6*C365)/6))</f>
        <v>0.166855062096114</v>
      </c>
      <c r="E365" s="12" t="n">
        <f aca="false">D365^(-1/B365)-1</f>
        <v>0.0613294475319672</v>
      </c>
      <c r="F365" s="12" t="n">
        <f aca="false">(1+E365)^(1/12)-1</f>
        <v>0.00497251529495713</v>
      </c>
      <c r="G365" s="16" t="n">
        <f aca="false">IF(C365=0,(1+Dic2025!$J$6)^(-B365),EXP(LN(INDEX(Dic2025!$K$6:$K$205,C365))+(LN(INDEX(Dic2025!$K$6:$K$205,MIN(C365+1,200)))-LN(INDEX(Dic2025!$K$6:$K$205,C365)))*(A365-6*C365)/6))</f>
        <v>0.166855062096114</v>
      </c>
      <c r="H365" s="12" t="n">
        <f aca="false">G365^(-1/B365)-1</f>
        <v>0.0613294475319672</v>
      </c>
      <c r="I365" s="12" t="n">
        <f aca="false">(1+H365)^(1/12)-1</f>
        <v>0.00497251529495713</v>
      </c>
      <c r="J365" s="16" t="n">
        <f aca="false">IF(C365=0,(1+Dic2025!$M$6)^(-B365),EXP(LN(INDEX(Dic2025!$N$6:$N$205,C365))+(LN(INDEX(Dic2025!$N$6:$N$205,MIN(C365+1,200)))-LN(INDEX(Dic2025!$N$6:$N$205,C365)))*(A365-6*C365)/6))</f>
        <v>0.166855062096114</v>
      </c>
      <c r="K365" s="12" t="n">
        <f aca="false">J365^(-1/B365)-1</f>
        <v>0.0613294475319672</v>
      </c>
      <c r="L365" s="12" t="n">
        <f aca="false">(1+K365)^(1/12)-1</f>
        <v>0.00497251529495713</v>
      </c>
    </row>
    <row r="366" customFormat="false" ht="15" hidden="false" customHeight="false" outlineLevel="0" collapsed="false">
      <c r="A366" s="4" t="n">
        <v>362</v>
      </c>
      <c r="B366" s="14" t="n">
        <f aca="false">A366/12</f>
        <v>30.1666666666667</v>
      </c>
      <c r="C366" s="15" t="n">
        <f aca="false">INT(A366/6)</f>
        <v>60</v>
      </c>
      <c r="D366" s="16" t="n">
        <f aca="false">IF(C366=0,(1+Dic2025!$G$6)^(-B366),EXP(LN(INDEX(Dic2025!$H$6:$H$205,C366))+(LN(INDEX(Dic2025!$H$6:$H$205,MIN(C366+1,200)))-LN(INDEX(Dic2025!$H$6:$H$205,C366)))*(A366-6*C366)/6))</f>
        <v>0.165947802785795</v>
      </c>
      <c r="E366" s="12" t="n">
        <f aca="false">D366^(-1/B366)-1</f>
        <v>0.0613467591728791</v>
      </c>
      <c r="F366" s="12" t="n">
        <f aca="false">(1+E366)^(1/12)-1</f>
        <v>0.00497388131701615</v>
      </c>
      <c r="G366" s="16" t="n">
        <f aca="false">IF(C366=0,(1+Dic2025!$J$6)^(-B366),EXP(LN(INDEX(Dic2025!$K$6:$K$205,C366))+(LN(INDEX(Dic2025!$K$6:$K$205,MIN(C366+1,200)))-LN(INDEX(Dic2025!$K$6:$K$205,C366)))*(A366-6*C366)/6))</f>
        <v>0.165947802785795</v>
      </c>
      <c r="H366" s="12" t="n">
        <f aca="false">G366^(-1/B366)-1</f>
        <v>0.0613467591728791</v>
      </c>
      <c r="I366" s="12" t="n">
        <f aca="false">(1+H366)^(1/12)-1</f>
        <v>0.00497388131701615</v>
      </c>
      <c r="J366" s="16" t="n">
        <f aca="false">IF(C366=0,(1+Dic2025!$M$6)^(-B366),EXP(LN(INDEX(Dic2025!$N$6:$N$205,C366))+(LN(INDEX(Dic2025!$N$6:$N$205,MIN(C366+1,200)))-LN(INDEX(Dic2025!$N$6:$N$205,C366)))*(A366-6*C366)/6))</f>
        <v>0.165947802785795</v>
      </c>
      <c r="K366" s="12" t="n">
        <f aca="false">J366^(-1/B366)-1</f>
        <v>0.0613467591728791</v>
      </c>
      <c r="L366" s="12" t="n">
        <f aca="false">(1+K366)^(1/12)-1</f>
        <v>0.00497388131701615</v>
      </c>
    </row>
    <row r="367" customFormat="false" ht="15" hidden="false" customHeight="false" outlineLevel="0" collapsed="false">
      <c r="A367" s="4" t="n">
        <v>363</v>
      </c>
      <c r="B367" s="14" t="n">
        <f aca="false">A367/12</f>
        <v>30.25</v>
      </c>
      <c r="C367" s="15" t="n">
        <f aca="false">INT(A367/6)</f>
        <v>60</v>
      </c>
      <c r="D367" s="16" t="n">
        <f aca="false">IF(C367=0,(1+Dic2025!$G$6)^(-B367),EXP(LN(INDEX(Dic2025!$H$6:$H$205,C367))+(LN(INDEX(Dic2025!$H$6:$H$205,MIN(C367+1,200)))-LN(INDEX(Dic2025!$H$6:$H$205,C367)))*(A367-6*C367)/6))</f>
        <v>0.165045476615927</v>
      </c>
      <c r="E367" s="12" t="n">
        <f aca="false">D367^(-1/B367)-1</f>
        <v>0.0613639757128952</v>
      </c>
      <c r="F367" s="12" t="n">
        <f aca="false">(1+E367)^(1/12)-1</f>
        <v>0.00497523981462433</v>
      </c>
      <c r="G367" s="16" t="n">
        <f aca="false">IF(C367=0,(1+Dic2025!$J$6)^(-B367),EXP(LN(INDEX(Dic2025!$K$6:$K$205,C367))+(LN(INDEX(Dic2025!$K$6:$K$205,MIN(C367+1,200)))-LN(INDEX(Dic2025!$K$6:$K$205,C367)))*(A367-6*C367)/6))</f>
        <v>0.165045476615927</v>
      </c>
      <c r="H367" s="12" t="n">
        <f aca="false">G367^(-1/B367)-1</f>
        <v>0.0613639757128952</v>
      </c>
      <c r="I367" s="12" t="n">
        <f aca="false">(1+H367)^(1/12)-1</f>
        <v>0.00497523981462433</v>
      </c>
      <c r="J367" s="16" t="n">
        <f aca="false">IF(C367=0,(1+Dic2025!$M$6)^(-B367),EXP(LN(INDEX(Dic2025!$N$6:$N$205,C367))+(LN(INDEX(Dic2025!$N$6:$N$205,MIN(C367+1,200)))-LN(INDEX(Dic2025!$N$6:$N$205,C367)))*(A367-6*C367)/6))</f>
        <v>0.165045476615927</v>
      </c>
      <c r="K367" s="12" t="n">
        <f aca="false">J367^(-1/B367)-1</f>
        <v>0.0613639757128952</v>
      </c>
      <c r="L367" s="12" t="n">
        <f aca="false">(1+K367)^(1/12)-1</f>
        <v>0.00497523981462433</v>
      </c>
    </row>
    <row r="368" customFormat="false" ht="15" hidden="false" customHeight="false" outlineLevel="0" collapsed="false">
      <c r="A368" s="4" t="n">
        <v>364</v>
      </c>
      <c r="B368" s="14" t="n">
        <f aca="false">A368/12</f>
        <v>30.3333333333333</v>
      </c>
      <c r="C368" s="15" t="n">
        <f aca="false">INT(A368/6)</f>
        <v>60</v>
      </c>
      <c r="D368" s="16" t="n">
        <f aca="false">IF(C368=0,(1+Dic2025!$G$6)^(-B368),EXP(LN(INDEX(Dic2025!$H$6:$H$205,C368))+(LN(INDEX(Dic2025!$H$6:$H$205,MIN(C368+1,200)))-LN(INDEX(Dic2025!$H$6:$H$205,C368)))*(A368-6*C368)/6))</f>
        <v>0.164148056763004</v>
      </c>
      <c r="E368" s="12" t="n">
        <f aca="false">D368^(-1/B368)-1</f>
        <v>0.0613810979335165</v>
      </c>
      <c r="F368" s="12" t="n">
        <f aca="false">(1+E368)^(1/12)-1</f>
        <v>0.00497659084978142</v>
      </c>
      <c r="G368" s="16" t="n">
        <f aca="false">IF(C368=0,(1+Dic2025!$J$6)^(-B368),EXP(LN(INDEX(Dic2025!$K$6:$K$205,C368))+(LN(INDEX(Dic2025!$K$6:$K$205,MIN(C368+1,200)))-LN(INDEX(Dic2025!$K$6:$K$205,C368)))*(A368-6*C368)/6))</f>
        <v>0.164148056763004</v>
      </c>
      <c r="H368" s="12" t="n">
        <f aca="false">G368^(-1/B368)-1</f>
        <v>0.0613810979335165</v>
      </c>
      <c r="I368" s="12" t="n">
        <f aca="false">(1+H368)^(1/12)-1</f>
        <v>0.00497659084978142</v>
      </c>
      <c r="J368" s="16" t="n">
        <f aca="false">IF(C368=0,(1+Dic2025!$M$6)^(-B368),EXP(LN(INDEX(Dic2025!$N$6:$N$205,C368))+(LN(INDEX(Dic2025!$N$6:$N$205,MIN(C368+1,200)))-LN(INDEX(Dic2025!$N$6:$N$205,C368)))*(A368-6*C368)/6))</f>
        <v>0.164148056763004</v>
      </c>
      <c r="K368" s="12" t="n">
        <f aca="false">J368^(-1/B368)-1</f>
        <v>0.0613810979335165</v>
      </c>
      <c r="L368" s="12" t="n">
        <f aca="false">(1+K368)^(1/12)-1</f>
        <v>0.00497659084978142</v>
      </c>
    </row>
    <row r="369" customFormat="false" ht="15" hidden="false" customHeight="false" outlineLevel="0" collapsed="false">
      <c r="A369" s="4" t="n">
        <v>365</v>
      </c>
      <c r="B369" s="14" t="n">
        <f aca="false">A369/12</f>
        <v>30.4166666666667</v>
      </c>
      <c r="C369" s="15" t="n">
        <f aca="false">INT(A369/6)</f>
        <v>60</v>
      </c>
      <c r="D369" s="16" t="n">
        <f aca="false">IF(C369=0,(1+Dic2025!$G$6)^(-B369),EXP(LN(INDEX(Dic2025!$H$6:$H$205,C369))+(LN(INDEX(Dic2025!$H$6:$H$205,MIN(C369+1,200)))-LN(INDEX(Dic2025!$H$6:$H$205,C369)))*(A369-6*C369)/6))</f>
        <v>0.163255516549372</v>
      </c>
      <c r="E369" s="12" t="n">
        <f aca="false">D369^(-1/B369)-1</f>
        <v>0.0613981266077053</v>
      </c>
      <c r="F369" s="12" t="n">
        <f aca="false">(1+E369)^(1/12)-1</f>
        <v>0.00497793448380723</v>
      </c>
      <c r="G369" s="16" t="n">
        <f aca="false">IF(C369=0,(1+Dic2025!$J$6)^(-B369),EXP(LN(INDEX(Dic2025!$K$6:$K$205,C369))+(LN(INDEX(Dic2025!$K$6:$K$205,MIN(C369+1,200)))-LN(INDEX(Dic2025!$K$6:$K$205,C369)))*(A369-6*C369)/6))</f>
        <v>0.163255516549372</v>
      </c>
      <c r="H369" s="12" t="n">
        <f aca="false">G369^(-1/B369)-1</f>
        <v>0.0613981266077053</v>
      </c>
      <c r="I369" s="12" t="n">
        <f aca="false">(1+H369)^(1/12)-1</f>
        <v>0.00497793448380723</v>
      </c>
      <c r="J369" s="16" t="n">
        <f aca="false">IF(C369=0,(1+Dic2025!$M$6)^(-B369),EXP(LN(INDEX(Dic2025!$N$6:$N$205,C369))+(LN(INDEX(Dic2025!$N$6:$N$205,MIN(C369+1,200)))-LN(INDEX(Dic2025!$N$6:$N$205,C369)))*(A369-6*C369)/6))</f>
        <v>0.163255516549372</v>
      </c>
      <c r="K369" s="12" t="n">
        <f aca="false">J369^(-1/B369)-1</f>
        <v>0.0613981266077053</v>
      </c>
      <c r="L369" s="12" t="n">
        <f aca="false">(1+K369)^(1/12)-1</f>
        <v>0.00497793448380723</v>
      </c>
    </row>
    <row r="370" customFormat="false" ht="15" hidden="false" customHeight="false" outlineLevel="0" collapsed="false">
      <c r="A370" s="4" t="n">
        <v>366</v>
      </c>
      <c r="B370" s="14" t="n">
        <f aca="false">A370/12</f>
        <v>30.5</v>
      </c>
      <c r="C370" s="15" t="n">
        <f aca="false">INT(A370/6)</f>
        <v>61</v>
      </c>
      <c r="D370" s="16" t="n">
        <f aca="false">IF(C370=0,(1+Dic2025!$G$6)^(-B370),EXP(LN(INDEX(Dic2025!$H$6:$H$205,C370))+(LN(INDEX(Dic2025!$H$6:$H$205,MIN(C370+1,200)))-LN(INDEX(Dic2025!$H$6:$H$205,C370)))*(A370-6*C370)/6))</f>
        <v>0.162367829442433</v>
      </c>
      <c r="E370" s="12" t="n">
        <f aca="false">D370^(-1/B370)-1</f>
        <v>0.0614150625000003</v>
      </c>
      <c r="F370" s="12" t="n">
        <f aca="false">(1+E370)^(1/12)-1</f>
        <v>0.00497927077735239</v>
      </c>
      <c r="G370" s="16" t="n">
        <f aca="false">IF(C370=0,(1+Dic2025!$J$6)^(-B370),EXP(LN(INDEX(Dic2025!$K$6:$K$205,C370))+(LN(INDEX(Dic2025!$K$6:$K$205,MIN(C370+1,200)))-LN(INDEX(Dic2025!$K$6:$K$205,C370)))*(A370-6*C370)/6))</f>
        <v>0.162367829442433</v>
      </c>
      <c r="H370" s="12" t="n">
        <f aca="false">G370^(-1/B370)-1</f>
        <v>0.0614150625000003</v>
      </c>
      <c r="I370" s="12" t="n">
        <f aca="false">(1+H370)^(1/12)-1</f>
        <v>0.00497927077735239</v>
      </c>
      <c r="J370" s="16" t="n">
        <f aca="false">IF(C370=0,(1+Dic2025!$M$6)^(-B370),EXP(LN(INDEX(Dic2025!$N$6:$N$205,C370))+(LN(INDEX(Dic2025!$N$6:$N$205,MIN(C370+1,200)))-LN(INDEX(Dic2025!$N$6:$N$205,C370)))*(A370-6*C370)/6))</f>
        <v>0.162367829442433</v>
      </c>
      <c r="K370" s="12" t="n">
        <f aca="false">J370^(-1/B370)-1</f>
        <v>0.0614150625000003</v>
      </c>
      <c r="L370" s="12" t="n">
        <f aca="false">(1+K370)^(1/12)-1</f>
        <v>0.00497927077735239</v>
      </c>
    </row>
    <row r="371" customFormat="false" ht="15" hidden="false" customHeight="false" outlineLevel="0" collapsed="false">
      <c r="A371" s="4" t="n">
        <v>367</v>
      </c>
      <c r="B371" s="14" t="n">
        <f aca="false">A371/12</f>
        <v>30.5833333333333</v>
      </c>
      <c r="C371" s="15" t="n">
        <f aca="false">INT(A371/6)</f>
        <v>61</v>
      </c>
      <c r="D371" s="16" t="n">
        <f aca="false">IF(C371=0,(1+Dic2025!$G$6)^(-B371),EXP(LN(INDEX(Dic2025!$H$6:$H$205,C371))+(LN(INDEX(Dic2025!$H$6:$H$205,MIN(C371+1,200)))-LN(INDEX(Dic2025!$H$6:$H$205,C371)))*(A371-6*C371)/6))</f>
        <v>0.161482360550534</v>
      </c>
      <c r="E371" s="12" t="n">
        <f aca="false">D371^(-1/B371)-1</f>
        <v>0.0614324669887558</v>
      </c>
      <c r="F371" s="12" t="n">
        <f aca="false">(1+E371)^(1/12)-1</f>
        <v>0.00498064402422371</v>
      </c>
      <c r="G371" s="16" t="n">
        <f aca="false">IF(C371=0,(1+Dic2025!$J$6)^(-B371),EXP(LN(INDEX(Dic2025!$K$6:$K$205,C371))+(LN(INDEX(Dic2025!$K$6:$K$205,MIN(C371+1,200)))-LN(INDEX(Dic2025!$K$6:$K$205,C371)))*(A371-6*C371)/6))</f>
        <v>0.161482360550534</v>
      </c>
      <c r="H371" s="12" t="n">
        <f aca="false">G371^(-1/B371)-1</f>
        <v>0.0614324669887558</v>
      </c>
      <c r="I371" s="12" t="n">
        <f aca="false">(1+H371)^(1/12)-1</f>
        <v>0.00498064402422371</v>
      </c>
      <c r="J371" s="16" t="n">
        <f aca="false">IF(C371=0,(1+Dic2025!$M$6)^(-B371),EXP(LN(INDEX(Dic2025!$N$6:$N$205,C371))+(LN(INDEX(Dic2025!$N$6:$N$205,MIN(C371+1,200)))-LN(INDEX(Dic2025!$N$6:$N$205,C371)))*(A371-6*C371)/6))</f>
        <v>0.161482360550534</v>
      </c>
      <c r="K371" s="12" t="n">
        <f aca="false">J371^(-1/B371)-1</f>
        <v>0.0614324669887558</v>
      </c>
      <c r="L371" s="12" t="n">
        <f aca="false">(1+K371)^(1/12)-1</f>
        <v>0.00498064402422371</v>
      </c>
    </row>
    <row r="372" customFormat="false" ht="15" hidden="false" customHeight="false" outlineLevel="0" collapsed="false">
      <c r="A372" s="4" t="n">
        <v>368</v>
      </c>
      <c r="B372" s="14" t="n">
        <f aca="false">A372/12</f>
        <v>30.6666666666667</v>
      </c>
      <c r="C372" s="15" t="n">
        <f aca="false">INT(A372/6)</f>
        <v>61</v>
      </c>
      <c r="D372" s="16" t="n">
        <f aca="false">IF(C372=0,(1+Dic2025!$G$6)^(-B372),EXP(LN(INDEX(Dic2025!$H$6:$H$205,C372))+(LN(INDEX(Dic2025!$H$6:$H$205,MIN(C372+1,200)))-LN(INDEX(Dic2025!$H$6:$H$205,C372)))*(A372-6*C372)/6))</f>
        <v>0.160601720541062</v>
      </c>
      <c r="E372" s="12" t="n">
        <f aca="false">D372^(-1/B372)-1</f>
        <v>0.0614497771709655</v>
      </c>
      <c r="F372" s="12" t="n">
        <f aca="false">(1+E372)^(1/12)-1</f>
        <v>0.00498200980965802</v>
      </c>
      <c r="G372" s="16" t="n">
        <f aca="false">IF(C372=0,(1+Dic2025!$J$6)^(-B372),EXP(LN(INDEX(Dic2025!$K$6:$K$205,C372))+(LN(INDEX(Dic2025!$K$6:$K$205,MIN(C372+1,200)))-LN(INDEX(Dic2025!$K$6:$K$205,C372)))*(A372-6*C372)/6))</f>
        <v>0.160601720541062</v>
      </c>
      <c r="H372" s="12" t="n">
        <f aca="false">G372^(-1/B372)-1</f>
        <v>0.0614497771709655</v>
      </c>
      <c r="I372" s="12" t="n">
        <f aca="false">(1+H372)^(1/12)-1</f>
        <v>0.00498200980965802</v>
      </c>
      <c r="J372" s="16" t="n">
        <f aca="false">IF(C372=0,(1+Dic2025!$M$6)^(-B372),EXP(LN(INDEX(Dic2025!$N$6:$N$205,C372))+(LN(INDEX(Dic2025!$N$6:$N$205,MIN(C372+1,200)))-LN(INDEX(Dic2025!$N$6:$N$205,C372)))*(A372-6*C372)/6))</f>
        <v>0.160601720541062</v>
      </c>
      <c r="K372" s="12" t="n">
        <f aca="false">J372^(-1/B372)-1</f>
        <v>0.0614497771709655</v>
      </c>
      <c r="L372" s="12" t="n">
        <f aca="false">(1+K372)^(1/12)-1</f>
        <v>0.00498200980965802</v>
      </c>
    </row>
    <row r="373" customFormat="false" ht="15" hidden="false" customHeight="false" outlineLevel="0" collapsed="false">
      <c r="A373" s="4" t="n">
        <v>369</v>
      </c>
      <c r="B373" s="14" t="n">
        <f aca="false">A373/12</f>
        <v>30.75</v>
      </c>
      <c r="C373" s="15" t="n">
        <f aca="false">INT(A373/6)</f>
        <v>61</v>
      </c>
      <c r="D373" s="16" t="n">
        <f aca="false">IF(C373=0,(1+Dic2025!$G$6)^(-B373),EXP(LN(INDEX(Dic2025!$H$6:$H$205,C373))+(LN(INDEX(Dic2025!$H$6:$H$205,MIN(C373+1,200)))-LN(INDEX(Dic2025!$H$6:$H$205,C373)))*(A373-6*C373)/6))</f>
        <v>0.15972588307983</v>
      </c>
      <c r="E373" s="12" t="n">
        <f aca="false">D373^(-1/B373)-1</f>
        <v>0.0614669938110584</v>
      </c>
      <c r="F373" s="12" t="n">
        <f aca="false">(1+E373)^(1/12)-1</f>
        <v>0.00498336819430212</v>
      </c>
      <c r="G373" s="16" t="n">
        <f aca="false">IF(C373=0,(1+Dic2025!$J$6)^(-B373),EXP(LN(INDEX(Dic2025!$K$6:$K$205,C373))+(LN(INDEX(Dic2025!$K$6:$K$205,MIN(C373+1,200)))-LN(INDEX(Dic2025!$K$6:$K$205,C373)))*(A373-6*C373)/6))</f>
        <v>0.15972588307983</v>
      </c>
      <c r="H373" s="12" t="n">
        <f aca="false">G373^(-1/B373)-1</f>
        <v>0.0614669938110584</v>
      </c>
      <c r="I373" s="12" t="n">
        <f aca="false">(1+H373)^(1/12)-1</f>
        <v>0.00498336819430212</v>
      </c>
      <c r="J373" s="16" t="n">
        <f aca="false">IF(C373=0,(1+Dic2025!$M$6)^(-B373),EXP(LN(INDEX(Dic2025!$N$6:$N$205,C373))+(LN(INDEX(Dic2025!$N$6:$N$205,MIN(C373+1,200)))-LN(INDEX(Dic2025!$N$6:$N$205,C373)))*(A373-6*C373)/6))</f>
        <v>0.15972588307983</v>
      </c>
      <c r="K373" s="12" t="n">
        <f aca="false">J373^(-1/B373)-1</f>
        <v>0.0614669938110584</v>
      </c>
      <c r="L373" s="12" t="n">
        <f aca="false">(1+K373)^(1/12)-1</f>
        <v>0.00498336819430212</v>
      </c>
    </row>
    <row r="374" customFormat="false" ht="15" hidden="false" customHeight="false" outlineLevel="0" collapsed="false">
      <c r="A374" s="4" t="n">
        <v>370</v>
      </c>
      <c r="B374" s="14" t="n">
        <f aca="false">A374/12</f>
        <v>30.8333333333333</v>
      </c>
      <c r="C374" s="15" t="n">
        <f aca="false">INT(A374/6)</f>
        <v>61</v>
      </c>
      <c r="D374" s="16" t="n">
        <f aca="false">IF(C374=0,(1+Dic2025!$G$6)^(-B374),EXP(LN(INDEX(Dic2025!$H$6:$H$205,C374))+(LN(INDEX(Dic2025!$H$6:$H$205,MIN(C374+1,200)))-LN(INDEX(Dic2025!$H$6:$H$205,C374)))*(A374-6*C374)/6))</f>
        <v>0.15885482197626</v>
      </c>
      <c r="E374" s="12" t="n">
        <f aca="false">D374^(-1/B374)-1</f>
        <v>0.0614841176652241</v>
      </c>
      <c r="F374" s="12" t="n">
        <f aca="false">(1+E374)^(1/12)-1</f>
        <v>0.00498471923814803</v>
      </c>
      <c r="G374" s="16" t="n">
        <f aca="false">IF(C374=0,(1+Dic2025!$J$6)^(-B374),EXP(LN(INDEX(Dic2025!$K$6:$K$205,C374))+(LN(INDEX(Dic2025!$K$6:$K$205,MIN(C374+1,200)))-LN(INDEX(Dic2025!$K$6:$K$205,C374)))*(A374-6*C374)/6))</f>
        <v>0.15885482197626</v>
      </c>
      <c r="H374" s="12" t="n">
        <f aca="false">G374^(-1/B374)-1</f>
        <v>0.0614841176652241</v>
      </c>
      <c r="I374" s="12" t="n">
        <f aca="false">(1+H374)^(1/12)-1</f>
        <v>0.00498471923814803</v>
      </c>
      <c r="J374" s="16" t="n">
        <f aca="false">IF(C374=0,(1+Dic2025!$M$6)^(-B374),EXP(LN(INDEX(Dic2025!$N$6:$N$205,C374))+(LN(INDEX(Dic2025!$N$6:$N$205,MIN(C374+1,200)))-LN(INDEX(Dic2025!$N$6:$N$205,C374)))*(A374-6*C374)/6))</f>
        <v>0.15885482197626</v>
      </c>
      <c r="K374" s="12" t="n">
        <f aca="false">J374^(-1/B374)-1</f>
        <v>0.0614841176652241</v>
      </c>
      <c r="L374" s="12" t="n">
        <f aca="false">(1+K374)^(1/12)-1</f>
        <v>0.00498471923814803</v>
      </c>
    </row>
    <row r="375" customFormat="false" ht="15" hidden="false" customHeight="false" outlineLevel="0" collapsed="false">
      <c r="A375" s="4" t="n">
        <v>371</v>
      </c>
      <c r="B375" s="14" t="n">
        <f aca="false">A375/12</f>
        <v>30.9166666666667</v>
      </c>
      <c r="C375" s="15" t="n">
        <f aca="false">INT(A375/6)</f>
        <v>61</v>
      </c>
      <c r="D375" s="16" t="n">
        <f aca="false">IF(C375=0,(1+Dic2025!$G$6)^(-B375),EXP(LN(INDEX(Dic2025!$H$6:$H$205,C375))+(LN(INDEX(Dic2025!$H$6:$H$205,MIN(C375+1,200)))-LN(INDEX(Dic2025!$H$6:$H$205,C375)))*(A375-6*C375)/6))</f>
        <v>0.157988511182606</v>
      </c>
      <c r="E375" s="12" t="n">
        <f aca="false">D375^(-1/B375)-1</f>
        <v>0.0615011494815243</v>
      </c>
      <c r="F375" s="12" t="n">
        <f aca="false">(1+E375)^(1/12)-1</f>
        <v>0.00498606300054005</v>
      </c>
      <c r="G375" s="16" t="n">
        <f aca="false">IF(C375=0,(1+Dic2025!$J$6)^(-B375),EXP(LN(INDEX(Dic2025!$K$6:$K$205,C375))+(LN(INDEX(Dic2025!$K$6:$K$205,MIN(C375+1,200)))-LN(INDEX(Dic2025!$K$6:$K$205,C375)))*(A375-6*C375)/6))</f>
        <v>0.157988511182606</v>
      </c>
      <c r="H375" s="12" t="n">
        <f aca="false">G375^(-1/B375)-1</f>
        <v>0.0615011494815243</v>
      </c>
      <c r="I375" s="12" t="n">
        <f aca="false">(1+H375)^(1/12)-1</f>
        <v>0.00498606300054005</v>
      </c>
      <c r="J375" s="16" t="n">
        <f aca="false">IF(C375=0,(1+Dic2025!$M$6)^(-B375),EXP(LN(INDEX(Dic2025!$N$6:$N$205,C375))+(LN(INDEX(Dic2025!$N$6:$N$205,MIN(C375+1,200)))-LN(INDEX(Dic2025!$N$6:$N$205,C375)))*(A375-6*C375)/6))</f>
        <v>0.157988511182606</v>
      </c>
      <c r="K375" s="12" t="n">
        <f aca="false">J375^(-1/B375)-1</f>
        <v>0.0615011494815243</v>
      </c>
      <c r="L375" s="12" t="n">
        <f aca="false">(1+K375)^(1/12)-1</f>
        <v>0.00498606300054005</v>
      </c>
    </row>
    <row r="376" customFormat="false" ht="15" hidden="false" customHeight="false" outlineLevel="0" collapsed="false">
      <c r="A376" s="4" t="n">
        <v>372</v>
      </c>
      <c r="B376" s="14" t="n">
        <f aca="false">A376/12</f>
        <v>31</v>
      </c>
      <c r="C376" s="15" t="n">
        <f aca="false">INT(A376/6)</f>
        <v>62</v>
      </c>
      <c r="D376" s="16" t="n">
        <f aca="false">IF(C376=0,(1+Dic2025!$G$6)^(-B376),EXP(LN(INDEX(Dic2025!$H$6:$H$205,C376))+(LN(INDEX(Dic2025!$H$6:$H$205,MIN(C376+1,200)))-LN(INDEX(Dic2025!$H$6:$H$205,C376)))*(A376-6*C376)/6))</f>
        <v>0.157126924793171</v>
      </c>
      <c r="E376" s="12" t="n">
        <f aca="false">D376^(-1/B376)-1</f>
        <v>0.0615180900000001</v>
      </c>
      <c r="F376" s="12" t="n">
        <f aca="false">(1+E376)^(1/12)-1</f>
        <v>0.00498739954018546</v>
      </c>
      <c r="G376" s="16" t="n">
        <f aca="false">IF(C376=0,(1+Dic2025!$J$6)^(-B376),EXP(LN(INDEX(Dic2025!$K$6:$K$205,C376))+(LN(INDEX(Dic2025!$K$6:$K$205,MIN(C376+1,200)))-LN(INDEX(Dic2025!$K$6:$K$205,C376)))*(A376-6*C376)/6))</f>
        <v>0.157126924793171</v>
      </c>
      <c r="H376" s="12" t="n">
        <f aca="false">G376^(-1/B376)-1</f>
        <v>0.0615180900000001</v>
      </c>
      <c r="I376" s="12" t="n">
        <f aca="false">(1+H376)^(1/12)-1</f>
        <v>0.00498739954018546</v>
      </c>
      <c r="J376" s="16" t="n">
        <f aca="false">IF(C376=0,(1+Dic2025!$M$6)^(-B376),EXP(LN(INDEX(Dic2025!$N$6:$N$205,C376))+(LN(INDEX(Dic2025!$N$6:$N$205,MIN(C376+1,200)))-LN(INDEX(Dic2025!$N$6:$N$205,C376)))*(A376-6*C376)/6))</f>
        <v>0.157126924793171</v>
      </c>
      <c r="K376" s="12" t="n">
        <f aca="false">J376^(-1/B376)-1</f>
        <v>0.0615180900000001</v>
      </c>
      <c r="L376" s="12" t="n">
        <f aca="false">(1+K376)^(1/12)-1</f>
        <v>0.00498739954018546</v>
      </c>
    </row>
    <row r="377" customFormat="false" ht="15" hidden="false" customHeight="false" outlineLevel="0" collapsed="false">
      <c r="A377" s="4" t="n">
        <v>373</v>
      </c>
      <c r="B377" s="14" t="n">
        <f aca="false">A377/12</f>
        <v>31.0833333333333</v>
      </c>
      <c r="C377" s="15" t="n">
        <f aca="false">INT(A377/6)</f>
        <v>62</v>
      </c>
      <c r="D377" s="16" t="n">
        <f aca="false">IF(C377=0,(1+Dic2025!$G$6)^(-B377),EXP(LN(INDEX(Dic2025!$H$6:$H$205,C377))+(LN(INDEX(Dic2025!$H$6:$H$205,MIN(C377+1,200)))-LN(INDEX(Dic2025!$H$6:$H$205,C377)))*(A377-6*C377)/6))</f>
        <v>0.156267512961845</v>
      </c>
      <c r="E377" s="12" t="n">
        <f aca="false">D377^(-1/B377)-1</f>
        <v>0.0615354915702591</v>
      </c>
      <c r="F377" s="12" t="n">
        <f aca="false">(1+E377)^(1/12)-1</f>
        <v>0.0049887724346287</v>
      </c>
      <c r="G377" s="16" t="n">
        <f aca="false">IF(C377=0,(1+Dic2025!$J$6)^(-B377),EXP(LN(INDEX(Dic2025!$K$6:$K$205,C377))+(LN(INDEX(Dic2025!$K$6:$K$205,MIN(C377+1,200)))-LN(INDEX(Dic2025!$K$6:$K$205,C377)))*(A377-6*C377)/6))</f>
        <v>0.156267512961845</v>
      </c>
      <c r="H377" s="12" t="n">
        <f aca="false">G377^(-1/B377)-1</f>
        <v>0.0615354915702591</v>
      </c>
      <c r="I377" s="12" t="n">
        <f aca="false">(1+H377)^(1/12)-1</f>
        <v>0.0049887724346287</v>
      </c>
      <c r="J377" s="16" t="n">
        <f aca="false">IF(C377=0,(1+Dic2025!$M$6)^(-B377),EXP(LN(INDEX(Dic2025!$N$6:$N$205,C377))+(LN(INDEX(Dic2025!$N$6:$N$205,MIN(C377+1,200)))-LN(INDEX(Dic2025!$N$6:$N$205,C377)))*(A377-6*C377)/6))</f>
        <v>0.156267512961845</v>
      </c>
      <c r="K377" s="12" t="n">
        <f aca="false">J377^(-1/B377)-1</f>
        <v>0.0615354915702591</v>
      </c>
      <c r="L377" s="12" t="n">
        <f aca="false">(1+K377)^(1/12)-1</f>
        <v>0.0049887724346287</v>
      </c>
    </row>
    <row r="378" customFormat="false" ht="15" hidden="false" customHeight="false" outlineLevel="0" collapsed="false">
      <c r="A378" s="4" t="n">
        <v>374</v>
      </c>
      <c r="B378" s="14" t="n">
        <f aca="false">A378/12</f>
        <v>31.1666666666667</v>
      </c>
      <c r="C378" s="15" t="n">
        <f aca="false">INT(A378/6)</f>
        <v>62</v>
      </c>
      <c r="D378" s="16" t="n">
        <f aca="false">IF(C378=0,(1+Dic2025!$G$6)^(-B378),EXP(LN(INDEX(Dic2025!$H$6:$H$205,C378))+(LN(INDEX(Dic2025!$H$6:$H$205,MIN(C378+1,200)))-LN(INDEX(Dic2025!$H$6:$H$205,C378)))*(A378-6*C378)/6))</f>
        <v>0.155412801716984</v>
      </c>
      <c r="E378" s="12" t="n">
        <f aca="false">D378^(-1/B378)-1</f>
        <v>0.0615528003669739</v>
      </c>
      <c r="F378" s="12" t="n">
        <f aca="false">(1+E378)^(1/12)-1</f>
        <v>0.00499013798925074</v>
      </c>
      <c r="G378" s="16" t="n">
        <f aca="false">IF(C378=0,(1+Dic2025!$J$6)^(-B378),EXP(LN(INDEX(Dic2025!$K$6:$K$205,C378))+(LN(INDEX(Dic2025!$K$6:$K$205,MIN(C378+1,200)))-LN(INDEX(Dic2025!$K$6:$K$205,C378)))*(A378-6*C378)/6))</f>
        <v>0.155412801716984</v>
      </c>
      <c r="H378" s="12" t="n">
        <f aca="false">G378^(-1/B378)-1</f>
        <v>0.0615528003669739</v>
      </c>
      <c r="I378" s="12" t="n">
        <f aca="false">(1+H378)^(1/12)-1</f>
        <v>0.00499013798925074</v>
      </c>
      <c r="J378" s="16" t="n">
        <f aca="false">IF(C378=0,(1+Dic2025!$M$6)^(-B378),EXP(LN(INDEX(Dic2025!$N$6:$N$205,C378))+(LN(INDEX(Dic2025!$N$6:$N$205,MIN(C378+1,200)))-LN(INDEX(Dic2025!$N$6:$N$205,C378)))*(A378-6*C378)/6))</f>
        <v>0.155412801716984</v>
      </c>
      <c r="K378" s="12" t="n">
        <f aca="false">J378^(-1/B378)-1</f>
        <v>0.0615528003669739</v>
      </c>
      <c r="L378" s="12" t="n">
        <f aca="false">(1+K378)^(1/12)-1</f>
        <v>0.00499013798925074</v>
      </c>
    </row>
    <row r="379" customFormat="false" ht="15" hidden="false" customHeight="false" outlineLevel="0" collapsed="false">
      <c r="A379" s="4" t="n">
        <v>375</v>
      </c>
      <c r="B379" s="14" t="n">
        <f aca="false">A379/12</f>
        <v>31.25</v>
      </c>
      <c r="C379" s="15" t="n">
        <f aca="false">INT(A379/6)</f>
        <v>62</v>
      </c>
      <c r="D379" s="16" t="n">
        <f aca="false">IF(C379=0,(1+Dic2025!$G$6)^(-B379),EXP(LN(INDEX(Dic2025!$H$6:$H$205,C379))+(LN(INDEX(Dic2025!$H$6:$H$205,MIN(C379+1,200)))-LN(INDEX(Dic2025!$H$6:$H$205,C379)))*(A379-6*C379)/6))</f>
        <v>0.154562765348547</v>
      </c>
      <c r="E379" s="12" t="n">
        <f aca="false">D379^(-1/B379)-1</f>
        <v>0.0615700171300799</v>
      </c>
      <c r="F379" s="12" t="n">
        <f aca="false">(1+E379)^(1/12)-1</f>
        <v>0.00499149626275552</v>
      </c>
      <c r="G379" s="16" t="n">
        <f aca="false">IF(C379=0,(1+Dic2025!$J$6)^(-B379),EXP(LN(INDEX(Dic2025!$K$6:$K$205,C379))+(LN(INDEX(Dic2025!$K$6:$K$205,MIN(C379+1,200)))-LN(INDEX(Dic2025!$K$6:$K$205,C379)))*(A379-6*C379)/6))</f>
        <v>0.154562765348547</v>
      </c>
      <c r="H379" s="12" t="n">
        <f aca="false">G379^(-1/B379)-1</f>
        <v>0.0615700171300799</v>
      </c>
      <c r="I379" s="12" t="n">
        <f aca="false">(1+H379)^(1/12)-1</f>
        <v>0.00499149626275552</v>
      </c>
      <c r="J379" s="16" t="n">
        <f aca="false">IF(C379=0,(1+Dic2025!$M$6)^(-B379),EXP(LN(INDEX(Dic2025!$N$6:$N$205,C379))+(LN(INDEX(Dic2025!$N$6:$N$205,MIN(C379+1,200)))-LN(INDEX(Dic2025!$N$6:$N$205,C379)))*(A379-6*C379)/6))</f>
        <v>0.154562765348547</v>
      </c>
      <c r="K379" s="12" t="n">
        <f aca="false">J379^(-1/B379)-1</f>
        <v>0.0615700171300799</v>
      </c>
      <c r="L379" s="12" t="n">
        <f aca="false">(1+K379)^(1/12)-1</f>
        <v>0.00499149626275552</v>
      </c>
    </row>
    <row r="380" customFormat="false" ht="15" hidden="false" customHeight="false" outlineLevel="0" collapsed="false">
      <c r="A380" s="4" t="n">
        <v>376</v>
      </c>
      <c r="B380" s="14" t="n">
        <f aca="false">A380/12</f>
        <v>31.3333333333333</v>
      </c>
      <c r="C380" s="15" t="n">
        <f aca="false">INT(A380/6)</f>
        <v>62</v>
      </c>
      <c r="D380" s="16" t="n">
        <f aca="false">IF(C380=0,(1+Dic2025!$G$6)^(-B380),EXP(LN(INDEX(Dic2025!$H$6:$H$205,C380))+(LN(INDEX(Dic2025!$H$6:$H$205,MIN(C380+1,200)))-LN(INDEX(Dic2025!$H$6:$H$205,C380)))*(A380-6*C380)/6))</f>
        <v>0.153717378287114</v>
      </c>
      <c r="E380" s="12" t="n">
        <f aca="false">D380^(-1/B380)-1</f>
        <v>0.0615871425916645</v>
      </c>
      <c r="F380" s="12" t="n">
        <f aca="false">(1+E380)^(1/12)-1</f>
        <v>0.00499284731322236</v>
      </c>
      <c r="G380" s="16" t="n">
        <f aca="false">IF(C380=0,(1+Dic2025!$J$6)^(-B380),EXP(LN(INDEX(Dic2025!$K$6:$K$205,C380))+(LN(INDEX(Dic2025!$K$6:$K$205,MIN(C380+1,200)))-LN(INDEX(Dic2025!$K$6:$K$205,C380)))*(A380-6*C380)/6))</f>
        <v>0.153717378287114</v>
      </c>
      <c r="H380" s="12" t="n">
        <f aca="false">G380^(-1/B380)-1</f>
        <v>0.0615871425916645</v>
      </c>
      <c r="I380" s="12" t="n">
        <f aca="false">(1+H380)^(1/12)-1</f>
        <v>0.00499284731322236</v>
      </c>
      <c r="J380" s="16" t="n">
        <f aca="false">IF(C380=0,(1+Dic2025!$M$6)^(-B380),EXP(LN(INDEX(Dic2025!$N$6:$N$205,C380))+(LN(INDEX(Dic2025!$N$6:$N$205,MIN(C380+1,200)))-LN(INDEX(Dic2025!$N$6:$N$205,C380)))*(A380-6*C380)/6))</f>
        <v>0.153717378287114</v>
      </c>
      <c r="K380" s="12" t="n">
        <f aca="false">J380^(-1/B380)-1</f>
        <v>0.0615871425916645</v>
      </c>
      <c r="L380" s="12" t="n">
        <f aca="false">(1+K380)^(1/12)-1</f>
        <v>0.00499284731322236</v>
      </c>
    </row>
    <row r="381" customFormat="false" ht="15" hidden="false" customHeight="false" outlineLevel="0" collapsed="false">
      <c r="A381" s="4" t="n">
        <v>377</v>
      </c>
      <c r="B381" s="14" t="n">
        <f aca="false">A381/12</f>
        <v>31.4166666666667</v>
      </c>
      <c r="C381" s="15" t="n">
        <f aca="false">INT(A381/6)</f>
        <v>62</v>
      </c>
      <c r="D381" s="16" t="n">
        <f aca="false">IF(C381=0,(1+Dic2025!$G$6)^(-B381),EXP(LN(INDEX(Dic2025!$H$6:$H$205,C381))+(LN(INDEX(Dic2025!$H$6:$H$205,MIN(C381+1,200)))-LN(INDEX(Dic2025!$H$6:$H$205,C381)))*(A381-6*C381)/6))</f>
        <v>0.15287661510312</v>
      </c>
      <c r="E381" s="12" t="n">
        <f aca="false">D381^(-1/B381)-1</f>
        <v>0.0616041774760709</v>
      </c>
      <c r="F381" s="12" t="n">
        <f aca="false">(1+E381)^(1/12)-1</f>
        <v>0.00499419119811462</v>
      </c>
      <c r="G381" s="16" t="n">
        <f aca="false">IF(C381=0,(1+Dic2025!$J$6)^(-B381),EXP(LN(INDEX(Dic2025!$K$6:$K$205,C381))+(LN(INDEX(Dic2025!$K$6:$K$205,MIN(C381+1,200)))-LN(INDEX(Dic2025!$K$6:$K$205,C381)))*(A381-6*C381)/6))</f>
        <v>0.15287661510312</v>
      </c>
      <c r="H381" s="12" t="n">
        <f aca="false">G381^(-1/B381)-1</f>
        <v>0.0616041774760709</v>
      </c>
      <c r="I381" s="12" t="n">
        <f aca="false">(1+H381)^(1/12)-1</f>
        <v>0.00499419119811462</v>
      </c>
      <c r="J381" s="16" t="n">
        <f aca="false">IF(C381=0,(1+Dic2025!$M$6)^(-B381),EXP(LN(INDEX(Dic2025!$N$6:$N$205,C381))+(LN(INDEX(Dic2025!$N$6:$N$205,MIN(C381+1,200)))-LN(INDEX(Dic2025!$N$6:$N$205,C381)))*(A381-6*C381)/6))</f>
        <v>0.15287661510312</v>
      </c>
      <c r="K381" s="12" t="n">
        <f aca="false">J381^(-1/B381)-1</f>
        <v>0.0616041774760709</v>
      </c>
      <c r="L381" s="12" t="n">
        <f aca="false">(1+K381)^(1/12)-1</f>
        <v>0.00499419119811462</v>
      </c>
    </row>
    <row r="382" customFormat="false" ht="15" hidden="false" customHeight="false" outlineLevel="0" collapsed="false">
      <c r="A382" s="4" t="n">
        <v>378</v>
      </c>
      <c r="B382" s="14" t="n">
        <f aca="false">A382/12</f>
        <v>31.5</v>
      </c>
      <c r="C382" s="15" t="n">
        <f aca="false">INT(A382/6)</f>
        <v>63</v>
      </c>
      <c r="D382" s="16" t="n">
        <f aca="false">IF(C382=0,(1+Dic2025!$G$6)^(-B382),EXP(LN(INDEX(Dic2025!$H$6:$H$205,C382))+(LN(INDEX(Dic2025!$H$6:$H$205,MIN(C382+1,200)))-LN(INDEX(Dic2025!$H$6:$H$205,C382)))*(A382-6*C382)/6))</f>
        <v>0.152040450506088</v>
      </c>
      <c r="E382" s="12" t="n">
        <f aca="false">D382^(-1/B382)-1</f>
        <v>0.0616211225000003</v>
      </c>
      <c r="F382" s="12" t="n">
        <f aca="false">(1+E382)^(1/12)-1</f>
        <v>0.00499552797428771</v>
      </c>
      <c r="G382" s="16" t="n">
        <f aca="false">IF(C382=0,(1+Dic2025!$J$6)^(-B382),EXP(LN(INDEX(Dic2025!$K$6:$K$205,C382))+(LN(INDEX(Dic2025!$K$6:$K$205,MIN(C382+1,200)))-LN(INDEX(Dic2025!$K$6:$K$205,C382)))*(A382-6*C382)/6))</f>
        <v>0.152040450506088</v>
      </c>
      <c r="H382" s="12" t="n">
        <f aca="false">G382^(-1/B382)-1</f>
        <v>0.0616211225000003</v>
      </c>
      <c r="I382" s="12" t="n">
        <f aca="false">(1+H382)^(1/12)-1</f>
        <v>0.00499552797428771</v>
      </c>
      <c r="J382" s="16" t="n">
        <f aca="false">IF(C382=0,(1+Dic2025!$M$6)^(-B382),EXP(LN(INDEX(Dic2025!$N$6:$N$205,C382))+(LN(INDEX(Dic2025!$N$6:$N$205,MIN(C382+1,200)))-LN(INDEX(Dic2025!$N$6:$N$205,C382)))*(A382-6*C382)/6))</f>
        <v>0.152040450506088</v>
      </c>
      <c r="K382" s="12" t="n">
        <f aca="false">J382^(-1/B382)-1</f>
        <v>0.0616211225000003</v>
      </c>
      <c r="L382" s="12" t="n">
        <f aca="false">(1+K382)^(1/12)-1</f>
        <v>0.00499552797428771</v>
      </c>
    </row>
    <row r="383" customFormat="false" ht="15" hidden="false" customHeight="false" outlineLevel="0" collapsed="false">
      <c r="A383" s="4" t="n">
        <v>379</v>
      </c>
      <c r="B383" s="14" t="n">
        <f aca="false">A383/12</f>
        <v>31.5833333333333</v>
      </c>
      <c r="C383" s="15" t="n">
        <f aca="false">INT(A383/6)</f>
        <v>63</v>
      </c>
      <c r="D383" s="16" t="n">
        <f aca="false">IF(C383=0,(1+Dic2025!$G$6)^(-B383),EXP(LN(INDEX(Dic2025!$H$6:$H$205,C383))+(LN(INDEX(Dic2025!$H$6:$H$205,MIN(C383+1,200)))-LN(INDEX(Dic2025!$H$6:$H$205,C383)))*(A383-6*C383)/6))</f>
        <v>0.151206417188267</v>
      </c>
      <c r="E383" s="12" t="n">
        <f aca="false">D383^(-1/B383)-1</f>
        <v>0.0616385212705537</v>
      </c>
      <c r="F383" s="12" t="n">
        <f aca="false">(1+E383)^(1/12)-1</f>
        <v>0.00499690052573154</v>
      </c>
      <c r="G383" s="16" t="n">
        <f aca="false">IF(C383=0,(1+Dic2025!$J$6)^(-B383),EXP(LN(INDEX(Dic2025!$K$6:$K$205,C383))+(LN(INDEX(Dic2025!$K$6:$K$205,MIN(C383+1,200)))-LN(INDEX(Dic2025!$K$6:$K$205,C383)))*(A383-6*C383)/6))</f>
        <v>0.151206417188267</v>
      </c>
      <c r="H383" s="12" t="n">
        <f aca="false">G383^(-1/B383)-1</f>
        <v>0.0616385212705537</v>
      </c>
      <c r="I383" s="12" t="n">
        <f aca="false">(1+H383)^(1/12)-1</f>
        <v>0.00499690052573154</v>
      </c>
      <c r="J383" s="16" t="n">
        <f aca="false">IF(C383=0,(1+Dic2025!$M$6)^(-B383),EXP(LN(INDEX(Dic2025!$N$6:$N$205,C383))+(LN(INDEX(Dic2025!$N$6:$N$205,MIN(C383+1,200)))-LN(INDEX(Dic2025!$N$6:$N$205,C383)))*(A383-6*C383)/6))</f>
        <v>0.151206417188267</v>
      </c>
      <c r="K383" s="12" t="n">
        <f aca="false">J383^(-1/B383)-1</f>
        <v>0.0616385212705537</v>
      </c>
      <c r="L383" s="12" t="n">
        <f aca="false">(1+K383)^(1/12)-1</f>
        <v>0.00499690052573154</v>
      </c>
    </row>
    <row r="384" customFormat="false" ht="15" hidden="false" customHeight="false" outlineLevel="0" collapsed="false">
      <c r="A384" s="4" t="n">
        <v>380</v>
      </c>
      <c r="B384" s="14" t="n">
        <f aca="false">A384/12</f>
        <v>31.6666666666667</v>
      </c>
      <c r="C384" s="15" t="n">
        <f aca="false">INT(A384/6)</f>
        <v>63</v>
      </c>
      <c r="D384" s="16" t="n">
        <f aca="false">IF(C384=0,(1+Dic2025!$G$6)^(-B384),EXP(LN(INDEX(Dic2025!$H$6:$H$205,C384))+(LN(INDEX(Dic2025!$H$6:$H$205,MIN(C384+1,200)))-LN(INDEX(Dic2025!$H$6:$H$205,C384)))*(A384-6*C384)/6))</f>
        <v>0.150376959044836</v>
      </c>
      <c r="E384" s="12" t="n">
        <f aca="false">D384^(-1/B384)-1</f>
        <v>0.0616558287515296</v>
      </c>
      <c r="F384" s="12" t="n">
        <f aca="false">(1+E384)^(1/12)-1</f>
        <v>0.00499826585508023</v>
      </c>
      <c r="G384" s="16" t="n">
        <f aca="false">IF(C384=0,(1+Dic2025!$J$6)^(-B384),EXP(LN(INDEX(Dic2025!$K$6:$K$205,C384))+(LN(INDEX(Dic2025!$K$6:$K$205,MIN(C384+1,200)))-LN(INDEX(Dic2025!$K$6:$K$205,C384)))*(A384-6*C384)/6))</f>
        <v>0.150376959044836</v>
      </c>
      <c r="H384" s="12" t="n">
        <f aca="false">G384^(-1/B384)-1</f>
        <v>0.0616558287515296</v>
      </c>
      <c r="I384" s="12" t="n">
        <f aca="false">(1+H384)^(1/12)-1</f>
        <v>0.00499826585508023</v>
      </c>
      <c r="J384" s="16" t="n">
        <f aca="false">IF(C384=0,(1+Dic2025!$M$6)^(-B384),EXP(LN(INDEX(Dic2025!$N$6:$N$205,C384))+(LN(INDEX(Dic2025!$N$6:$N$205,MIN(C384+1,200)))-LN(INDEX(Dic2025!$N$6:$N$205,C384)))*(A384-6*C384)/6))</f>
        <v>0.150376959044836</v>
      </c>
      <c r="K384" s="12" t="n">
        <f aca="false">J384^(-1/B384)-1</f>
        <v>0.0616558287515296</v>
      </c>
      <c r="L384" s="12" t="n">
        <f aca="false">(1+K384)^(1/12)-1</f>
        <v>0.00499826585508023</v>
      </c>
    </row>
    <row r="385" customFormat="false" ht="15" hidden="false" customHeight="false" outlineLevel="0" collapsed="false">
      <c r="A385" s="4" t="n">
        <v>381</v>
      </c>
      <c r="B385" s="14" t="n">
        <f aca="false">A385/12</f>
        <v>31.75</v>
      </c>
      <c r="C385" s="15" t="n">
        <f aca="false">INT(A385/6)</f>
        <v>63</v>
      </c>
      <c r="D385" s="16" t="n">
        <f aca="false">IF(C385=0,(1+Dic2025!$G$6)^(-B385),EXP(LN(INDEX(Dic2025!$H$6:$H$205,C385))+(LN(INDEX(Dic2025!$H$6:$H$205,MIN(C385+1,200)))-LN(INDEX(Dic2025!$H$6:$H$205,C385)))*(A385-6*C385)/6))</f>
        <v>0.149552050978209</v>
      </c>
      <c r="E385" s="12" t="n">
        <f aca="false">D385^(-1/B385)-1</f>
        <v>0.0616730456595263</v>
      </c>
      <c r="F385" s="12" t="n">
        <f aca="false">(1+E385)^(1/12)-1</f>
        <v>0.00499962401918608</v>
      </c>
      <c r="G385" s="16" t="n">
        <f aca="false">IF(C385=0,(1+Dic2025!$J$6)^(-B385),EXP(LN(INDEX(Dic2025!$K$6:$K$205,C385))+(LN(INDEX(Dic2025!$K$6:$K$205,MIN(C385+1,200)))-LN(INDEX(Dic2025!$K$6:$K$205,C385)))*(A385-6*C385)/6))</f>
        <v>0.149552050978209</v>
      </c>
      <c r="H385" s="12" t="n">
        <f aca="false">G385^(-1/B385)-1</f>
        <v>0.0616730456595263</v>
      </c>
      <c r="I385" s="12" t="n">
        <f aca="false">(1+H385)^(1/12)-1</f>
        <v>0.00499962401918608</v>
      </c>
      <c r="J385" s="16" t="n">
        <f aca="false">IF(C385=0,(1+Dic2025!$M$6)^(-B385),EXP(LN(INDEX(Dic2025!$N$6:$N$205,C385))+(LN(INDEX(Dic2025!$N$6:$N$205,MIN(C385+1,200)))-LN(INDEX(Dic2025!$N$6:$N$205,C385)))*(A385-6*C385)/6))</f>
        <v>0.149552050978209</v>
      </c>
      <c r="K385" s="12" t="n">
        <f aca="false">J385^(-1/B385)-1</f>
        <v>0.0616730456595263</v>
      </c>
      <c r="L385" s="12" t="n">
        <f aca="false">(1+K385)^(1/12)-1</f>
        <v>0.00499962401918608</v>
      </c>
    </row>
    <row r="386" customFormat="false" ht="15" hidden="false" customHeight="false" outlineLevel="0" collapsed="false">
      <c r="A386" s="4" t="n">
        <v>382</v>
      </c>
      <c r="B386" s="14" t="n">
        <f aca="false">A386/12</f>
        <v>31.8333333333333</v>
      </c>
      <c r="C386" s="15" t="n">
        <f aca="false">INT(A386/6)</f>
        <v>63</v>
      </c>
      <c r="D386" s="16" t="n">
        <f aca="false">IF(C386=0,(1+Dic2025!$G$6)^(-B386),EXP(LN(INDEX(Dic2025!$H$6:$H$205,C386))+(LN(INDEX(Dic2025!$H$6:$H$205,MIN(C386+1,200)))-LN(INDEX(Dic2025!$H$6:$H$205,C386)))*(A386-6*C386)/6))</f>
        <v>0.148731668028481</v>
      </c>
      <c r="E386" s="12" t="n">
        <f aca="false">D386^(-1/B386)-1</f>
        <v>0.0616901727036616</v>
      </c>
      <c r="F386" s="12" t="n">
        <f aca="false">(1+E386)^(1/12)-1</f>
        <v>0.00500097507430608</v>
      </c>
      <c r="G386" s="16" t="n">
        <f aca="false">IF(C386=0,(1+Dic2025!$J$6)^(-B386),EXP(LN(INDEX(Dic2025!$K$6:$K$205,C386))+(LN(INDEX(Dic2025!$K$6:$K$205,MIN(C386+1,200)))-LN(INDEX(Dic2025!$K$6:$K$205,C386)))*(A386-6*C386)/6))</f>
        <v>0.148731668028481</v>
      </c>
      <c r="H386" s="12" t="n">
        <f aca="false">G386^(-1/B386)-1</f>
        <v>0.0616901727036616</v>
      </c>
      <c r="I386" s="12" t="n">
        <f aca="false">(1+H386)^(1/12)-1</f>
        <v>0.00500097507430608</v>
      </c>
      <c r="J386" s="16" t="n">
        <f aca="false">IF(C386=0,(1+Dic2025!$M$6)^(-B386),EXP(LN(INDEX(Dic2025!$N$6:$N$205,C386))+(LN(INDEX(Dic2025!$N$6:$N$205,MIN(C386+1,200)))-LN(INDEX(Dic2025!$N$6:$N$205,C386)))*(A386-6*C386)/6))</f>
        <v>0.148731668028481</v>
      </c>
      <c r="K386" s="12" t="n">
        <f aca="false">J386^(-1/B386)-1</f>
        <v>0.0616901727036616</v>
      </c>
      <c r="L386" s="12" t="n">
        <f aca="false">(1+K386)^(1/12)-1</f>
        <v>0.00500097507430608</v>
      </c>
    </row>
    <row r="387" customFormat="false" ht="15" hidden="false" customHeight="false" outlineLevel="0" collapsed="false">
      <c r="A387" s="4" t="n">
        <v>383</v>
      </c>
      <c r="B387" s="14" t="n">
        <f aca="false">A387/12</f>
        <v>31.9166666666667</v>
      </c>
      <c r="C387" s="15" t="n">
        <f aca="false">INT(A387/6)</f>
        <v>63</v>
      </c>
      <c r="D387" s="16" t="n">
        <f aca="false">IF(C387=0,(1+Dic2025!$G$6)^(-B387),EXP(LN(INDEX(Dic2025!$H$6:$H$205,C387))+(LN(INDEX(Dic2025!$H$6:$H$205,MIN(C387+1,200)))-LN(INDEX(Dic2025!$H$6:$H$205,C387)))*(A387-6*C387)/6))</f>
        <v>0.147915785372662</v>
      </c>
      <c r="E387" s="12" t="n">
        <f aca="false">D387^(-1/B387)-1</f>
        <v>0.0617072105856704</v>
      </c>
      <c r="F387" s="12" t="n">
        <f aca="false">(1+E387)^(1/12)-1</f>
        <v>0.00500231907610993</v>
      </c>
      <c r="G387" s="16" t="n">
        <f aca="false">IF(C387=0,(1+Dic2025!$J$6)^(-B387),EXP(LN(INDEX(Dic2025!$K$6:$K$205,C387))+(LN(INDEX(Dic2025!$K$6:$K$205,MIN(C387+1,200)))-LN(INDEX(Dic2025!$K$6:$K$205,C387)))*(A387-6*C387)/6))</f>
        <v>0.147915785372662</v>
      </c>
      <c r="H387" s="12" t="n">
        <f aca="false">G387^(-1/B387)-1</f>
        <v>0.0617072105856704</v>
      </c>
      <c r="I387" s="12" t="n">
        <f aca="false">(1+H387)^(1/12)-1</f>
        <v>0.00500231907610993</v>
      </c>
      <c r="J387" s="16" t="n">
        <f aca="false">IF(C387=0,(1+Dic2025!$M$6)^(-B387),EXP(LN(INDEX(Dic2025!$N$6:$N$205,C387))+(LN(INDEX(Dic2025!$N$6:$N$205,MIN(C387+1,200)))-LN(INDEX(Dic2025!$N$6:$N$205,C387)))*(A387-6*C387)/6))</f>
        <v>0.147915785372662</v>
      </c>
      <c r="K387" s="12" t="n">
        <f aca="false">J387^(-1/B387)-1</f>
        <v>0.0617072105856704</v>
      </c>
      <c r="L387" s="12" t="n">
        <f aca="false">(1+K387)^(1/12)-1</f>
        <v>0.00500231907610993</v>
      </c>
    </row>
    <row r="388" customFormat="false" ht="15" hidden="false" customHeight="false" outlineLevel="0" collapsed="false">
      <c r="A388" s="4" t="n">
        <v>384</v>
      </c>
      <c r="B388" s="14" t="n">
        <f aca="false">A388/12</f>
        <v>32</v>
      </c>
      <c r="C388" s="15" t="n">
        <f aca="false">INT(A388/6)</f>
        <v>64</v>
      </c>
      <c r="D388" s="16" t="n">
        <f aca="false">IF(C388=0,(1+Dic2025!$G$6)^(-B388),EXP(LN(INDEX(Dic2025!$H$6:$H$205,C388))+(LN(INDEX(Dic2025!$H$6:$H$205,MIN(C388+1,200)))-LN(INDEX(Dic2025!$H$6:$H$205,C388)))*(A388-6*C388)/6))</f>
        <v>0.147104378323934</v>
      </c>
      <c r="E388" s="12" t="n">
        <f aca="false">D388^(-1/B388)-1</f>
        <v>0.06172416</v>
      </c>
      <c r="F388" s="12" t="n">
        <f aca="false">(1+E388)^(1/12)-1</f>
        <v>0.005003656079688</v>
      </c>
      <c r="G388" s="16" t="n">
        <f aca="false">IF(C388=0,(1+Dic2025!$J$6)^(-B388),EXP(LN(INDEX(Dic2025!$K$6:$K$205,C388))+(LN(INDEX(Dic2025!$K$6:$K$205,MIN(C388+1,200)))-LN(INDEX(Dic2025!$K$6:$K$205,C388)))*(A388-6*C388)/6))</f>
        <v>0.147104378323934</v>
      </c>
      <c r="H388" s="12" t="n">
        <f aca="false">G388^(-1/B388)-1</f>
        <v>0.06172416</v>
      </c>
      <c r="I388" s="12" t="n">
        <f aca="false">(1+H388)^(1/12)-1</f>
        <v>0.005003656079688</v>
      </c>
      <c r="J388" s="16" t="n">
        <f aca="false">IF(C388=0,(1+Dic2025!$M$6)^(-B388),EXP(LN(INDEX(Dic2025!$N$6:$N$205,C388))+(LN(INDEX(Dic2025!$N$6:$N$205,MIN(C388+1,200)))-LN(INDEX(Dic2025!$N$6:$N$205,C388)))*(A388-6*C388)/6))</f>
        <v>0.147104378323934</v>
      </c>
      <c r="K388" s="12" t="n">
        <f aca="false">J388^(-1/B388)-1</f>
        <v>0.06172416</v>
      </c>
      <c r="L388" s="12" t="n">
        <f aca="false">(1+K388)^(1/12)-1</f>
        <v>0.005003656079688</v>
      </c>
    </row>
    <row r="389" customFormat="false" ht="15" hidden="false" customHeight="false" outlineLevel="0" collapsed="false">
      <c r="A389" s="4" t="n">
        <v>385</v>
      </c>
      <c r="B389" s="14" t="n">
        <f aca="false">A389/12</f>
        <v>32.0833333333333</v>
      </c>
      <c r="C389" s="15" t="n">
        <f aca="false">INT(A389/6)</f>
        <v>64</v>
      </c>
      <c r="D389" s="16" t="n">
        <f aca="false">IF(C389=0,(1+Dic2025!$G$6)^(-B389),EXP(LN(INDEX(Dic2025!$H$6:$H$205,C389))+(LN(INDEX(Dic2025!$H$6:$H$205,MIN(C389+1,200)))-LN(INDEX(Dic2025!$H$6:$H$205,C389)))*(A389-6*C389)/6))</f>
        <v>0.146295059671204</v>
      </c>
      <c r="E389" s="12" t="n">
        <f aca="false">D389^(-1/B389)-1</f>
        <v>0.0617415560840857</v>
      </c>
      <c r="F389" s="12" t="n">
        <f aca="false">(1+E389)^(1/12)-1</f>
        <v>0.0050050282971208</v>
      </c>
      <c r="G389" s="16" t="n">
        <f aca="false">IF(C389=0,(1+Dic2025!$J$6)^(-B389),EXP(LN(INDEX(Dic2025!$K$6:$K$205,C389))+(LN(INDEX(Dic2025!$K$6:$K$205,MIN(C389+1,200)))-LN(INDEX(Dic2025!$K$6:$K$205,C389)))*(A389-6*C389)/6))</f>
        <v>0.146295059671204</v>
      </c>
      <c r="H389" s="12" t="n">
        <f aca="false">G389^(-1/B389)-1</f>
        <v>0.0617415560840857</v>
      </c>
      <c r="I389" s="12" t="n">
        <f aca="false">(1+H389)^(1/12)-1</f>
        <v>0.0050050282971208</v>
      </c>
      <c r="J389" s="16" t="n">
        <f aca="false">IF(C389=0,(1+Dic2025!$M$6)^(-B389),EXP(LN(INDEX(Dic2025!$N$6:$N$205,C389))+(LN(INDEX(Dic2025!$N$6:$N$205,MIN(C389+1,200)))-LN(INDEX(Dic2025!$N$6:$N$205,C389)))*(A389-6*C389)/6))</f>
        <v>0.146295059671204</v>
      </c>
      <c r="K389" s="12" t="n">
        <f aca="false">J389^(-1/B389)-1</f>
        <v>0.0617415560840857</v>
      </c>
      <c r="L389" s="12" t="n">
        <f aca="false">(1+K389)^(1/12)-1</f>
        <v>0.0050050282971208</v>
      </c>
    </row>
    <row r="390" customFormat="false" ht="15" hidden="false" customHeight="false" outlineLevel="0" collapsed="false">
      <c r="A390" s="4" t="n">
        <v>386</v>
      </c>
      <c r="B390" s="14" t="n">
        <f aca="false">A390/12</f>
        <v>32.1666666666667</v>
      </c>
      <c r="C390" s="15" t="n">
        <f aca="false">INT(A390/6)</f>
        <v>64</v>
      </c>
      <c r="D390" s="16" t="n">
        <f aca="false">IF(C390=0,(1+Dic2025!$G$6)^(-B390),EXP(LN(INDEX(Dic2025!$H$6:$H$205,C390))+(LN(INDEX(Dic2025!$H$6:$H$205,MIN(C390+1,200)))-LN(INDEX(Dic2025!$H$6:$H$205,C390)))*(A390-6*C390)/6))</f>
        <v>0.145490193616616</v>
      </c>
      <c r="E390" s="12" t="n">
        <f aca="false">D390^(-1/B390)-1</f>
        <v>0.06175886231584</v>
      </c>
      <c r="F390" s="12" t="n">
        <f aca="false">(1+E390)^(1/12)-1</f>
        <v>0.00500639340647813</v>
      </c>
      <c r="G390" s="16" t="n">
        <f aca="false">IF(C390=0,(1+Dic2025!$J$6)^(-B390),EXP(LN(INDEX(Dic2025!$K$6:$K$205,C390))+(LN(INDEX(Dic2025!$K$6:$K$205,MIN(C390+1,200)))-LN(INDEX(Dic2025!$K$6:$K$205,C390)))*(A390-6*C390)/6))</f>
        <v>0.145490193616616</v>
      </c>
      <c r="H390" s="12" t="n">
        <f aca="false">G390^(-1/B390)-1</f>
        <v>0.06175886231584</v>
      </c>
      <c r="I390" s="12" t="n">
        <f aca="false">(1+H390)^(1/12)-1</f>
        <v>0.00500639340647813</v>
      </c>
      <c r="J390" s="16" t="n">
        <f aca="false">IF(C390=0,(1+Dic2025!$M$6)^(-B390),EXP(LN(INDEX(Dic2025!$N$6:$N$205,C390))+(LN(INDEX(Dic2025!$N$6:$N$205,MIN(C390+1,200)))-LN(INDEX(Dic2025!$N$6:$N$205,C390)))*(A390-6*C390)/6))</f>
        <v>0.145490193616616</v>
      </c>
      <c r="K390" s="12" t="n">
        <f aca="false">J390^(-1/B390)-1</f>
        <v>0.06175886231584</v>
      </c>
      <c r="L390" s="12" t="n">
        <f aca="false">(1+K390)^(1/12)-1</f>
        <v>0.00500639340647813</v>
      </c>
    </row>
    <row r="391" customFormat="false" ht="15" hidden="false" customHeight="false" outlineLevel="0" collapsed="false">
      <c r="A391" s="4" t="n">
        <v>387</v>
      </c>
      <c r="B391" s="14" t="n">
        <f aca="false">A391/12</f>
        <v>32.25</v>
      </c>
      <c r="C391" s="15" t="n">
        <f aca="false">INT(A391/6)</f>
        <v>64</v>
      </c>
      <c r="D391" s="16" t="n">
        <f aca="false">IF(C391=0,(1+Dic2025!$G$6)^(-B391),EXP(LN(INDEX(Dic2025!$H$6:$H$205,C391))+(LN(INDEX(Dic2025!$H$6:$H$205,MIN(C391+1,200)))-LN(INDEX(Dic2025!$H$6:$H$205,C391)))*(A391-6*C391)/6))</f>
        <v>0.144689755663478</v>
      </c>
      <c r="E391" s="12" t="n">
        <f aca="false">D391^(-1/B391)-1</f>
        <v>0.0617760793896101</v>
      </c>
      <c r="F391" s="12" t="n">
        <f aca="false">(1+E391)^(1/12)-1</f>
        <v>0.00500775146284638</v>
      </c>
      <c r="G391" s="16" t="n">
        <f aca="false">IF(C391=0,(1+Dic2025!$J$6)^(-B391),EXP(LN(INDEX(Dic2025!$K$6:$K$205,C391))+(LN(INDEX(Dic2025!$K$6:$K$205,MIN(C391+1,200)))-LN(INDEX(Dic2025!$K$6:$K$205,C391)))*(A391-6*C391)/6))</f>
        <v>0.144689755663478</v>
      </c>
      <c r="H391" s="12" t="n">
        <f aca="false">G391^(-1/B391)-1</f>
        <v>0.0617760793896101</v>
      </c>
      <c r="I391" s="12" t="n">
        <f aca="false">(1+H391)^(1/12)-1</f>
        <v>0.00500775146284638</v>
      </c>
      <c r="J391" s="16" t="n">
        <f aca="false">IF(C391=0,(1+Dic2025!$M$6)^(-B391),EXP(LN(INDEX(Dic2025!$N$6:$N$205,C391))+(LN(INDEX(Dic2025!$N$6:$N$205,MIN(C391+1,200)))-LN(INDEX(Dic2025!$N$6:$N$205,C391)))*(A391-6*C391)/6))</f>
        <v>0.144689755663478</v>
      </c>
      <c r="K391" s="12" t="n">
        <f aca="false">J391^(-1/B391)-1</f>
        <v>0.0617760793896101</v>
      </c>
      <c r="L391" s="12" t="n">
        <f aca="false">(1+K391)^(1/12)-1</f>
        <v>0.00500775146284638</v>
      </c>
    </row>
    <row r="392" customFormat="false" ht="15" hidden="false" customHeight="false" outlineLevel="0" collapsed="false">
      <c r="A392" s="4" t="n">
        <v>388</v>
      </c>
      <c r="B392" s="14" t="n">
        <f aca="false">A392/12</f>
        <v>32.3333333333333</v>
      </c>
      <c r="C392" s="15" t="n">
        <f aca="false">INT(A392/6)</f>
        <v>64</v>
      </c>
      <c r="D392" s="16" t="n">
        <f aca="false">IF(C392=0,(1+Dic2025!$G$6)^(-B392),EXP(LN(INDEX(Dic2025!$H$6:$H$205,C392))+(LN(INDEX(Dic2025!$H$6:$H$205,MIN(C392+1,200)))-LN(INDEX(Dic2025!$H$6:$H$205,C392)))*(A392-6*C392)/6))</f>
        <v>0.14389372144987</v>
      </c>
      <c r="E392" s="12" t="n">
        <f aca="false">D392^(-1/B392)-1</f>
        <v>0.0617932079926076</v>
      </c>
      <c r="F392" s="12" t="n">
        <f aca="false">(1+E392)^(1/12)-1</f>
        <v>0.00500910252074505</v>
      </c>
      <c r="G392" s="16" t="n">
        <f aca="false">IF(C392=0,(1+Dic2025!$J$6)^(-B392),EXP(LN(INDEX(Dic2025!$K$6:$K$205,C392))+(LN(INDEX(Dic2025!$K$6:$K$205,MIN(C392+1,200)))-LN(INDEX(Dic2025!$K$6:$K$205,C392)))*(A392-6*C392)/6))</f>
        <v>0.14389372144987</v>
      </c>
      <c r="H392" s="12" t="n">
        <f aca="false">G392^(-1/B392)-1</f>
        <v>0.0617932079926076</v>
      </c>
      <c r="I392" s="12" t="n">
        <f aca="false">(1+H392)^(1/12)-1</f>
        <v>0.00500910252074505</v>
      </c>
      <c r="J392" s="16" t="n">
        <f aca="false">IF(C392=0,(1+Dic2025!$M$6)^(-B392),EXP(LN(INDEX(Dic2025!$N$6:$N$205,C392))+(LN(INDEX(Dic2025!$N$6:$N$205,MIN(C392+1,200)))-LN(INDEX(Dic2025!$N$6:$N$205,C392)))*(A392-6*C392)/6))</f>
        <v>0.14389372144987</v>
      </c>
      <c r="K392" s="12" t="n">
        <f aca="false">J392^(-1/B392)-1</f>
        <v>0.0617932079926076</v>
      </c>
      <c r="L392" s="12" t="n">
        <f aca="false">(1+K392)^(1/12)-1</f>
        <v>0.00500910252074505</v>
      </c>
    </row>
    <row r="393" customFormat="false" ht="15" hidden="false" customHeight="false" outlineLevel="0" collapsed="false">
      <c r="A393" s="4" t="n">
        <v>389</v>
      </c>
      <c r="B393" s="14" t="n">
        <f aca="false">A393/12</f>
        <v>32.4166666666667</v>
      </c>
      <c r="C393" s="15" t="n">
        <f aca="false">INT(A393/6)</f>
        <v>64</v>
      </c>
      <c r="D393" s="16" t="n">
        <f aca="false">IF(C393=0,(1+Dic2025!$G$6)^(-B393),EXP(LN(INDEX(Dic2025!$H$6:$H$205,C393))+(LN(INDEX(Dic2025!$H$6:$H$205,MIN(C393+1,200)))-LN(INDEX(Dic2025!$H$6:$H$205,C393)))*(A393-6*C393)/6))</f>
        <v>0.143102066747903</v>
      </c>
      <c r="E393" s="12" t="n">
        <f aca="false">D393^(-1/B393)-1</f>
        <v>0.0618102488049999</v>
      </c>
      <c r="F393" s="12" t="n">
        <f aca="false">(1+E393)^(1/12)-1</f>
        <v>0.00501044663413297</v>
      </c>
      <c r="G393" s="16" t="n">
        <f aca="false">IF(C393=0,(1+Dic2025!$J$6)^(-B393),EXP(LN(INDEX(Dic2025!$K$6:$K$205,C393))+(LN(INDEX(Dic2025!$K$6:$K$205,MIN(C393+1,200)))-LN(INDEX(Dic2025!$K$6:$K$205,C393)))*(A393-6*C393)/6))</f>
        <v>0.143102066747903</v>
      </c>
      <c r="H393" s="12" t="n">
        <f aca="false">G393^(-1/B393)-1</f>
        <v>0.0618102488049999</v>
      </c>
      <c r="I393" s="12" t="n">
        <f aca="false">(1+H393)^(1/12)-1</f>
        <v>0.00501044663413297</v>
      </c>
      <c r="J393" s="16" t="n">
        <f aca="false">IF(C393=0,(1+Dic2025!$M$6)^(-B393),EXP(LN(INDEX(Dic2025!$N$6:$N$205,C393))+(LN(INDEX(Dic2025!$N$6:$N$205,MIN(C393+1,200)))-LN(INDEX(Dic2025!$N$6:$N$205,C393)))*(A393-6*C393)/6))</f>
        <v>0.143102066747903</v>
      </c>
      <c r="K393" s="12" t="n">
        <f aca="false">J393^(-1/B393)-1</f>
        <v>0.0618102488049999</v>
      </c>
      <c r="L393" s="12" t="n">
        <f aca="false">(1+K393)^(1/12)-1</f>
        <v>0.00501044663413297</v>
      </c>
    </row>
    <row r="394" customFormat="false" ht="15" hidden="false" customHeight="false" outlineLevel="0" collapsed="false">
      <c r="A394" s="4" t="n">
        <v>390</v>
      </c>
      <c r="B394" s="14" t="n">
        <f aca="false">A394/12</f>
        <v>32.5</v>
      </c>
      <c r="C394" s="15" t="n">
        <f aca="false">INT(A394/6)</f>
        <v>65</v>
      </c>
      <c r="D394" s="16" t="n">
        <f aca="false">IF(C394=0,(1+Dic2025!$G$6)^(-B394),EXP(LN(INDEX(Dic2025!$H$6:$H$205,C394))+(LN(INDEX(Dic2025!$H$6:$H$205,MIN(C394+1,200)))-LN(INDEX(Dic2025!$H$6:$H$205,C394)))*(A394-6*C394)/6))</f>
        <v>0.142314767462981</v>
      </c>
      <c r="E394" s="12" t="n">
        <f aca="false">D394^(-1/B394)-1</f>
        <v>0.0618272025000002</v>
      </c>
      <c r="F394" s="12" t="n">
        <f aca="false">(1+E394)^(1/12)-1</f>
        <v>0.00501178385641565</v>
      </c>
      <c r="G394" s="16" t="n">
        <f aca="false">IF(C394=0,(1+Dic2025!$J$6)^(-B394),EXP(LN(INDEX(Dic2025!$K$6:$K$205,C394))+(LN(INDEX(Dic2025!$K$6:$K$205,MIN(C394+1,200)))-LN(INDEX(Dic2025!$K$6:$K$205,C394)))*(A394-6*C394)/6))</f>
        <v>0.142314767462981</v>
      </c>
      <c r="H394" s="12" t="n">
        <f aca="false">G394^(-1/B394)-1</f>
        <v>0.0618272025000002</v>
      </c>
      <c r="I394" s="12" t="n">
        <f aca="false">(1+H394)^(1/12)-1</f>
        <v>0.00501178385641565</v>
      </c>
      <c r="J394" s="16" t="n">
        <f aca="false">IF(C394=0,(1+Dic2025!$M$6)^(-B394),EXP(LN(INDEX(Dic2025!$N$6:$N$205,C394))+(LN(INDEX(Dic2025!$N$6:$N$205,MIN(C394+1,200)))-LN(INDEX(Dic2025!$N$6:$N$205,C394)))*(A394-6*C394)/6))</f>
        <v>0.142314767462981</v>
      </c>
      <c r="K394" s="12" t="n">
        <f aca="false">J394^(-1/B394)-1</f>
        <v>0.0618272025000002</v>
      </c>
      <c r="L394" s="12" t="n">
        <f aca="false">(1+K394)^(1/12)-1</f>
        <v>0.00501178385641565</v>
      </c>
    </row>
    <row r="395" customFormat="false" ht="15" hidden="false" customHeight="false" outlineLevel="0" collapsed="false">
      <c r="A395" s="4" t="n">
        <v>391</v>
      </c>
      <c r="B395" s="14" t="n">
        <f aca="false">A395/12</f>
        <v>32.5833333333333</v>
      </c>
      <c r="C395" s="15" t="n">
        <f aca="false">INT(A395/6)</f>
        <v>65</v>
      </c>
      <c r="D395" s="16" t="n">
        <f aca="false">IF(C395=0,(1+Dic2025!$G$6)^(-B395),EXP(LN(INDEX(Dic2025!$H$6:$H$205,C395))+(LN(INDEX(Dic2025!$H$6:$H$205,MIN(C395+1,200)))-LN(INDEX(Dic2025!$H$6:$H$205,C395)))*(A395-6*C395)/6))</f>
        <v>0.141605073441918</v>
      </c>
      <c r="E395" s="12" t="n">
        <f aca="false">D395^(-1/B395)-1</f>
        <v>0.0618272025000002</v>
      </c>
      <c r="F395" s="12" t="n">
        <f aca="false">(1+E395)^(1/12)-1</f>
        <v>0.00501178385641565</v>
      </c>
      <c r="G395" s="16" t="n">
        <f aca="false">IF(C395=0,(1+Dic2025!$J$6)^(-B395),EXP(LN(INDEX(Dic2025!$K$6:$K$205,C395))+(LN(INDEX(Dic2025!$K$6:$K$205,MIN(C395+1,200)))-LN(INDEX(Dic2025!$K$6:$K$205,C395)))*(A395-6*C395)/6))</f>
        <v>0.141605073441918</v>
      </c>
      <c r="H395" s="12" t="n">
        <f aca="false">G395^(-1/B395)-1</f>
        <v>0.0618272025000002</v>
      </c>
      <c r="I395" s="12" t="n">
        <f aca="false">(1+H395)^(1/12)-1</f>
        <v>0.00501178385641565</v>
      </c>
      <c r="J395" s="16" t="n">
        <f aca="false">IF(C395=0,(1+Dic2025!$M$6)^(-B395),EXP(LN(INDEX(Dic2025!$N$6:$N$205,C395))+(LN(INDEX(Dic2025!$N$6:$N$205,MIN(C395+1,200)))-LN(INDEX(Dic2025!$N$6:$N$205,C395)))*(A395-6*C395)/6))</f>
        <v>0.141605073441918</v>
      </c>
      <c r="K395" s="12" t="n">
        <f aca="false">J395^(-1/B395)-1</f>
        <v>0.0618272025000002</v>
      </c>
      <c r="L395" s="12" t="n">
        <f aca="false">(1+K395)^(1/12)-1</f>
        <v>0.00501178385641565</v>
      </c>
    </row>
    <row r="396" customFormat="false" ht="15" hidden="false" customHeight="false" outlineLevel="0" collapsed="false">
      <c r="A396" s="4" t="n">
        <v>392</v>
      </c>
      <c r="B396" s="14" t="n">
        <f aca="false">A396/12</f>
        <v>32.6666666666667</v>
      </c>
      <c r="C396" s="15" t="n">
        <f aca="false">INT(A396/6)</f>
        <v>65</v>
      </c>
      <c r="D396" s="16" t="n">
        <f aca="false">IF(C396=0,(1+Dic2025!$G$6)^(-B396),EXP(LN(INDEX(Dic2025!$H$6:$H$205,C396))+(LN(INDEX(Dic2025!$H$6:$H$205,MIN(C396+1,200)))-LN(INDEX(Dic2025!$H$6:$H$205,C396)))*(A396-6*C396)/6))</f>
        <v>0.14089891851671</v>
      </c>
      <c r="E396" s="12" t="n">
        <f aca="false">D396^(-1/B396)-1</f>
        <v>0.0618272025000002</v>
      </c>
      <c r="F396" s="12" t="n">
        <f aca="false">(1+E396)^(1/12)-1</f>
        <v>0.00501178385641565</v>
      </c>
      <c r="G396" s="16" t="n">
        <f aca="false">IF(C396=0,(1+Dic2025!$J$6)^(-B396),EXP(LN(INDEX(Dic2025!$K$6:$K$205,C396))+(LN(INDEX(Dic2025!$K$6:$K$205,MIN(C396+1,200)))-LN(INDEX(Dic2025!$K$6:$K$205,C396)))*(A396-6*C396)/6))</f>
        <v>0.14089891851671</v>
      </c>
      <c r="H396" s="12" t="n">
        <f aca="false">G396^(-1/B396)-1</f>
        <v>0.0618272025000002</v>
      </c>
      <c r="I396" s="12" t="n">
        <f aca="false">(1+H396)^(1/12)-1</f>
        <v>0.00501178385641565</v>
      </c>
      <c r="J396" s="16" t="n">
        <f aca="false">IF(C396=0,(1+Dic2025!$M$6)^(-B396),EXP(LN(INDEX(Dic2025!$N$6:$N$205,C396))+(LN(INDEX(Dic2025!$N$6:$N$205,MIN(C396+1,200)))-LN(INDEX(Dic2025!$N$6:$N$205,C396)))*(A396-6*C396)/6))</f>
        <v>0.14089891851671</v>
      </c>
      <c r="K396" s="12" t="n">
        <f aca="false">J396^(-1/B396)-1</f>
        <v>0.0618272025000002</v>
      </c>
      <c r="L396" s="12" t="n">
        <f aca="false">(1+K396)^(1/12)-1</f>
        <v>0.00501178385641565</v>
      </c>
    </row>
    <row r="397" customFormat="false" ht="15" hidden="false" customHeight="false" outlineLevel="0" collapsed="false">
      <c r="A397" s="4" t="n">
        <v>393</v>
      </c>
      <c r="B397" s="14" t="n">
        <f aca="false">A397/12</f>
        <v>32.75</v>
      </c>
      <c r="C397" s="15" t="n">
        <f aca="false">INT(A397/6)</f>
        <v>65</v>
      </c>
      <c r="D397" s="16" t="n">
        <f aca="false">IF(C397=0,(1+Dic2025!$G$6)^(-B397),EXP(LN(INDEX(Dic2025!$H$6:$H$205,C397))+(LN(INDEX(Dic2025!$H$6:$H$205,MIN(C397+1,200)))-LN(INDEX(Dic2025!$H$6:$H$205,C397)))*(A397-6*C397)/6))</f>
        <v>0.140196285038624</v>
      </c>
      <c r="E397" s="12" t="n">
        <f aca="false">D397^(-1/B397)-1</f>
        <v>0.0618272025000002</v>
      </c>
      <c r="F397" s="12" t="n">
        <f aca="false">(1+E397)^(1/12)-1</f>
        <v>0.00501178385641565</v>
      </c>
      <c r="G397" s="16" t="n">
        <f aca="false">IF(C397=0,(1+Dic2025!$J$6)^(-B397),EXP(LN(INDEX(Dic2025!$K$6:$K$205,C397))+(LN(INDEX(Dic2025!$K$6:$K$205,MIN(C397+1,200)))-LN(INDEX(Dic2025!$K$6:$K$205,C397)))*(A397-6*C397)/6))</f>
        <v>0.140196285038624</v>
      </c>
      <c r="H397" s="12" t="n">
        <f aca="false">G397^(-1/B397)-1</f>
        <v>0.0618272025000002</v>
      </c>
      <c r="I397" s="12" t="n">
        <f aca="false">(1+H397)^(1/12)-1</f>
        <v>0.00501178385641565</v>
      </c>
      <c r="J397" s="16" t="n">
        <f aca="false">IF(C397=0,(1+Dic2025!$M$6)^(-B397),EXP(LN(INDEX(Dic2025!$N$6:$N$205,C397))+(LN(INDEX(Dic2025!$N$6:$N$205,MIN(C397+1,200)))-LN(INDEX(Dic2025!$N$6:$N$205,C397)))*(A397-6*C397)/6))</f>
        <v>0.140196285038624</v>
      </c>
      <c r="K397" s="12" t="n">
        <f aca="false">J397^(-1/B397)-1</f>
        <v>0.0618272025000002</v>
      </c>
      <c r="L397" s="12" t="n">
        <f aca="false">(1+K397)^(1/12)-1</f>
        <v>0.00501178385641565</v>
      </c>
    </row>
    <row r="398" customFormat="false" ht="15" hidden="false" customHeight="false" outlineLevel="0" collapsed="false">
      <c r="A398" s="4" t="n">
        <v>394</v>
      </c>
      <c r="B398" s="14" t="n">
        <f aca="false">A398/12</f>
        <v>32.8333333333333</v>
      </c>
      <c r="C398" s="15" t="n">
        <f aca="false">INT(A398/6)</f>
        <v>65</v>
      </c>
      <c r="D398" s="16" t="n">
        <f aca="false">IF(C398=0,(1+Dic2025!$G$6)^(-B398),EXP(LN(INDEX(Dic2025!$H$6:$H$205,C398))+(LN(INDEX(Dic2025!$H$6:$H$205,MIN(C398+1,200)))-LN(INDEX(Dic2025!$H$6:$H$205,C398)))*(A398-6*C398)/6))</f>
        <v>0.139497155446939</v>
      </c>
      <c r="E398" s="12" t="n">
        <f aca="false">D398^(-1/B398)-1</f>
        <v>0.0618272025000002</v>
      </c>
      <c r="F398" s="12" t="n">
        <f aca="false">(1+E398)^(1/12)-1</f>
        <v>0.00501178385641565</v>
      </c>
      <c r="G398" s="16" t="n">
        <f aca="false">IF(C398=0,(1+Dic2025!$J$6)^(-B398),EXP(LN(INDEX(Dic2025!$K$6:$K$205,C398))+(LN(INDEX(Dic2025!$K$6:$K$205,MIN(C398+1,200)))-LN(INDEX(Dic2025!$K$6:$K$205,C398)))*(A398-6*C398)/6))</f>
        <v>0.139497155446939</v>
      </c>
      <c r="H398" s="12" t="n">
        <f aca="false">G398^(-1/B398)-1</f>
        <v>0.0618272025000002</v>
      </c>
      <c r="I398" s="12" t="n">
        <f aca="false">(1+H398)^(1/12)-1</f>
        <v>0.00501178385641565</v>
      </c>
      <c r="J398" s="16" t="n">
        <f aca="false">IF(C398=0,(1+Dic2025!$M$6)^(-B398),EXP(LN(INDEX(Dic2025!$N$6:$N$205,C398))+(LN(INDEX(Dic2025!$N$6:$N$205,MIN(C398+1,200)))-LN(INDEX(Dic2025!$N$6:$N$205,C398)))*(A398-6*C398)/6))</f>
        <v>0.139497155446939</v>
      </c>
      <c r="K398" s="12" t="n">
        <f aca="false">J398^(-1/B398)-1</f>
        <v>0.0618272025000002</v>
      </c>
      <c r="L398" s="12" t="n">
        <f aca="false">(1+K398)^(1/12)-1</f>
        <v>0.00501178385641565</v>
      </c>
    </row>
    <row r="399" customFormat="false" ht="15" hidden="false" customHeight="false" outlineLevel="0" collapsed="false">
      <c r="A399" s="4" t="n">
        <v>395</v>
      </c>
      <c r="B399" s="14" t="n">
        <f aca="false">A399/12</f>
        <v>32.9166666666667</v>
      </c>
      <c r="C399" s="15" t="n">
        <f aca="false">INT(A399/6)</f>
        <v>65</v>
      </c>
      <c r="D399" s="16" t="n">
        <f aca="false">IF(C399=0,(1+Dic2025!$G$6)^(-B399),EXP(LN(INDEX(Dic2025!$H$6:$H$205,C399))+(LN(INDEX(Dic2025!$H$6:$H$205,MIN(C399+1,200)))-LN(INDEX(Dic2025!$H$6:$H$205,C399)))*(A399-6*C399)/6))</f>
        <v>0.138801512268506</v>
      </c>
      <c r="E399" s="12" t="n">
        <f aca="false">D399^(-1/B399)-1</f>
        <v>0.0618272025000002</v>
      </c>
      <c r="F399" s="12" t="n">
        <f aca="false">(1+E399)^(1/12)-1</f>
        <v>0.00501178385641565</v>
      </c>
      <c r="G399" s="16" t="n">
        <f aca="false">IF(C399=0,(1+Dic2025!$J$6)^(-B399),EXP(LN(INDEX(Dic2025!$K$6:$K$205,C399))+(LN(INDEX(Dic2025!$K$6:$K$205,MIN(C399+1,200)))-LN(INDEX(Dic2025!$K$6:$K$205,C399)))*(A399-6*C399)/6))</f>
        <v>0.138801512268506</v>
      </c>
      <c r="H399" s="12" t="n">
        <f aca="false">G399^(-1/B399)-1</f>
        <v>0.0618272025000002</v>
      </c>
      <c r="I399" s="12" t="n">
        <f aca="false">(1+H399)^(1/12)-1</f>
        <v>0.00501178385641565</v>
      </c>
      <c r="J399" s="16" t="n">
        <f aca="false">IF(C399=0,(1+Dic2025!$M$6)^(-B399),EXP(LN(INDEX(Dic2025!$N$6:$N$205,C399))+(LN(INDEX(Dic2025!$N$6:$N$205,MIN(C399+1,200)))-LN(INDEX(Dic2025!$N$6:$N$205,C399)))*(A399-6*C399)/6))</f>
        <v>0.138801512268506</v>
      </c>
      <c r="K399" s="12" t="n">
        <f aca="false">J399^(-1/B399)-1</f>
        <v>0.0618272025000002</v>
      </c>
      <c r="L399" s="12" t="n">
        <f aca="false">(1+K399)^(1/12)-1</f>
        <v>0.00501178385641565</v>
      </c>
    </row>
    <row r="400" customFormat="false" ht="15" hidden="false" customHeight="false" outlineLevel="0" collapsed="false">
      <c r="A400" s="4" t="n">
        <v>396</v>
      </c>
      <c r="B400" s="14" t="n">
        <f aca="false">A400/12</f>
        <v>33</v>
      </c>
      <c r="C400" s="15" t="n">
        <f aca="false">INT(A400/6)</f>
        <v>66</v>
      </c>
      <c r="D400" s="16" t="n">
        <f aca="false">IF(C400=0,(1+Dic2025!$G$6)^(-B400),EXP(LN(INDEX(Dic2025!$H$6:$H$205,C400))+(LN(INDEX(Dic2025!$H$6:$H$205,MIN(C400+1,200)))-LN(INDEX(Dic2025!$H$6:$H$205,C400)))*(A400-6*C400)/6))</f>
        <v>0.138109338117309</v>
      </c>
      <c r="E400" s="12" t="n">
        <f aca="false">D400^(-1/B400)-1</f>
        <v>0.0618272025000002</v>
      </c>
      <c r="F400" s="12" t="n">
        <f aca="false">(1+E400)^(1/12)-1</f>
        <v>0.00501178385641565</v>
      </c>
      <c r="G400" s="16" t="n">
        <f aca="false">IF(C400=0,(1+Dic2025!$J$6)^(-B400),EXP(LN(INDEX(Dic2025!$K$6:$K$205,C400))+(LN(INDEX(Dic2025!$K$6:$K$205,MIN(C400+1,200)))-LN(INDEX(Dic2025!$K$6:$K$205,C400)))*(A400-6*C400)/6))</f>
        <v>0.138109338117309</v>
      </c>
      <c r="H400" s="12" t="n">
        <f aca="false">G400^(-1/B400)-1</f>
        <v>0.0618272025000002</v>
      </c>
      <c r="I400" s="12" t="n">
        <f aca="false">(1+H400)^(1/12)-1</f>
        <v>0.00501178385641565</v>
      </c>
      <c r="J400" s="16" t="n">
        <f aca="false">IF(C400=0,(1+Dic2025!$M$6)^(-B400),EXP(LN(INDEX(Dic2025!$N$6:$N$205,C400))+(LN(INDEX(Dic2025!$N$6:$N$205,MIN(C400+1,200)))-LN(INDEX(Dic2025!$N$6:$N$205,C400)))*(A400-6*C400)/6))</f>
        <v>0.138109338117309</v>
      </c>
      <c r="K400" s="12" t="n">
        <f aca="false">J400^(-1/B400)-1</f>
        <v>0.0618272025000002</v>
      </c>
      <c r="L400" s="12" t="n">
        <f aca="false">(1+K400)^(1/12)-1</f>
        <v>0.00501178385641565</v>
      </c>
    </row>
    <row r="401" customFormat="false" ht="15" hidden="false" customHeight="false" outlineLevel="0" collapsed="false">
      <c r="A401" s="4" t="n">
        <v>397</v>
      </c>
      <c r="B401" s="14" t="n">
        <f aca="false">A401/12</f>
        <v>33.0833333333333</v>
      </c>
      <c r="C401" s="15" t="n">
        <f aca="false">INT(A401/6)</f>
        <v>66</v>
      </c>
      <c r="D401" s="16" t="n">
        <f aca="false">IF(C401=0,(1+Dic2025!$G$6)^(-B401),EXP(LN(INDEX(Dic2025!$H$6:$H$205,C401))+(LN(INDEX(Dic2025!$H$6:$H$205,MIN(C401+1,200)))-LN(INDEX(Dic2025!$H$6:$H$205,C401)))*(A401-6*C401)/6))</f>
        <v>0.137346178441149</v>
      </c>
      <c r="E401" s="12" t="n">
        <f aca="false">D401^(-1/B401)-1</f>
        <v>0.0618445926864977</v>
      </c>
      <c r="F401" s="12" t="n">
        <f aca="false">(1+E401)^(1/12)-1</f>
        <v>0.00501315548662085</v>
      </c>
      <c r="G401" s="16" t="n">
        <f aca="false">IF(C401=0,(1+Dic2025!$J$6)^(-B401),EXP(LN(INDEX(Dic2025!$K$6:$K$205,C401))+(LN(INDEX(Dic2025!$K$6:$K$205,MIN(C401+1,200)))-LN(INDEX(Dic2025!$K$6:$K$205,C401)))*(A401-6*C401)/6))</f>
        <v>0.137346178441149</v>
      </c>
      <c r="H401" s="12" t="n">
        <f aca="false">G401^(-1/B401)-1</f>
        <v>0.0618445926864977</v>
      </c>
      <c r="I401" s="12" t="n">
        <f aca="false">(1+H401)^(1/12)-1</f>
        <v>0.00501315548662085</v>
      </c>
      <c r="J401" s="16" t="n">
        <f aca="false">IF(C401=0,(1+Dic2025!$M$6)^(-B401),EXP(LN(INDEX(Dic2025!$N$6:$N$205,C401))+(LN(INDEX(Dic2025!$N$6:$N$205,MIN(C401+1,200)))-LN(INDEX(Dic2025!$N$6:$N$205,C401)))*(A401-6*C401)/6))</f>
        <v>0.137346178441149</v>
      </c>
      <c r="K401" s="12" t="n">
        <f aca="false">J401^(-1/B401)-1</f>
        <v>0.0618445926864977</v>
      </c>
      <c r="L401" s="12" t="n">
        <f aca="false">(1+K401)^(1/12)-1</f>
        <v>0.00501315548662085</v>
      </c>
    </row>
    <row r="402" customFormat="false" ht="15" hidden="false" customHeight="false" outlineLevel="0" collapsed="false">
      <c r="A402" s="4" t="n">
        <v>398</v>
      </c>
      <c r="B402" s="14" t="n">
        <f aca="false">A402/12</f>
        <v>33.1666666666667</v>
      </c>
      <c r="C402" s="15" t="n">
        <f aca="false">INT(A402/6)</f>
        <v>66</v>
      </c>
      <c r="D402" s="16" t="n">
        <f aca="false">IF(C402=0,(1+Dic2025!$G$6)^(-B402),EXP(LN(INDEX(Dic2025!$H$6:$H$205,C402))+(LN(INDEX(Dic2025!$H$6:$H$205,MIN(C402+1,200)))-LN(INDEX(Dic2025!$H$6:$H$205,C402)))*(A402-6*C402)/6))</f>
        <v>0.136587235805627</v>
      </c>
      <c r="E402" s="12" t="n">
        <f aca="false">D402^(-1/B402)-1</f>
        <v>0.0618618957677897</v>
      </c>
      <c r="F402" s="12" t="n">
        <f aca="false">(1+E402)^(1/12)-1</f>
        <v>0.00501452022606963</v>
      </c>
      <c r="G402" s="16" t="n">
        <f aca="false">IF(C402=0,(1+Dic2025!$J$6)^(-B402),EXP(LN(INDEX(Dic2025!$K$6:$K$205,C402))+(LN(INDEX(Dic2025!$K$6:$K$205,MIN(C402+1,200)))-LN(INDEX(Dic2025!$K$6:$K$205,C402)))*(A402-6*C402)/6))</f>
        <v>0.136587235805627</v>
      </c>
      <c r="H402" s="12" t="n">
        <f aca="false">G402^(-1/B402)-1</f>
        <v>0.0618618957677897</v>
      </c>
      <c r="I402" s="12" t="n">
        <f aca="false">(1+H402)^(1/12)-1</f>
        <v>0.00501452022606963</v>
      </c>
      <c r="J402" s="16" t="n">
        <f aca="false">IF(C402=0,(1+Dic2025!$M$6)^(-B402),EXP(LN(INDEX(Dic2025!$N$6:$N$205,C402))+(LN(INDEX(Dic2025!$N$6:$N$205,MIN(C402+1,200)))-LN(INDEX(Dic2025!$N$6:$N$205,C402)))*(A402-6*C402)/6))</f>
        <v>0.136587235805627</v>
      </c>
      <c r="K402" s="12" t="n">
        <f aca="false">J402^(-1/B402)-1</f>
        <v>0.0618618957677897</v>
      </c>
      <c r="L402" s="12" t="n">
        <f aca="false">(1+K402)^(1/12)-1</f>
        <v>0.00501452022606963</v>
      </c>
    </row>
    <row r="403" customFormat="false" ht="15" hidden="false" customHeight="false" outlineLevel="0" collapsed="false">
      <c r="A403" s="4" t="n">
        <v>399</v>
      </c>
      <c r="B403" s="14" t="n">
        <f aca="false">A403/12</f>
        <v>33.25</v>
      </c>
      <c r="C403" s="15" t="n">
        <f aca="false">INT(A403/6)</f>
        <v>66</v>
      </c>
      <c r="D403" s="16" t="n">
        <f aca="false">IF(C403=0,(1+Dic2025!$G$6)^(-B403),EXP(LN(INDEX(Dic2025!$H$6:$H$205,C403))+(LN(INDEX(Dic2025!$H$6:$H$205,MIN(C403+1,200)))-LN(INDEX(Dic2025!$H$6:$H$205,C403)))*(A403-6*C403)/6))</f>
        <v>0.135832486908369</v>
      </c>
      <c r="E403" s="12" t="n">
        <f aca="false">D403^(-1/B403)-1</f>
        <v>0.0618791123966871</v>
      </c>
      <c r="F403" s="12" t="n">
        <f aca="false">(1+E403)^(1/12)-1</f>
        <v>0.00501587812655857</v>
      </c>
      <c r="G403" s="16" t="n">
        <f aca="false">IF(C403=0,(1+Dic2025!$J$6)^(-B403),EXP(LN(INDEX(Dic2025!$K$6:$K$205,C403))+(LN(INDEX(Dic2025!$K$6:$K$205,MIN(C403+1,200)))-LN(INDEX(Dic2025!$K$6:$K$205,C403)))*(A403-6*C403)/6))</f>
        <v>0.135832486908369</v>
      </c>
      <c r="H403" s="12" t="n">
        <f aca="false">G403^(-1/B403)-1</f>
        <v>0.0618791123966871</v>
      </c>
      <c r="I403" s="12" t="n">
        <f aca="false">(1+H403)^(1/12)-1</f>
        <v>0.00501587812655857</v>
      </c>
      <c r="J403" s="16" t="n">
        <f aca="false">IF(C403=0,(1+Dic2025!$M$6)^(-B403),EXP(LN(INDEX(Dic2025!$N$6:$N$205,C403))+(LN(INDEX(Dic2025!$N$6:$N$205,MIN(C403+1,200)))-LN(INDEX(Dic2025!$N$6:$N$205,C403)))*(A403-6*C403)/6))</f>
        <v>0.135832486908369</v>
      </c>
      <c r="K403" s="12" t="n">
        <f aca="false">J403^(-1/B403)-1</f>
        <v>0.0618791123966871</v>
      </c>
      <c r="L403" s="12" t="n">
        <f aca="false">(1+K403)^(1/12)-1</f>
        <v>0.00501587812655857</v>
      </c>
    </row>
    <row r="404" customFormat="false" ht="15" hidden="false" customHeight="false" outlineLevel="0" collapsed="false">
      <c r="A404" s="4" t="n">
        <v>400</v>
      </c>
      <c r="B404" s="14" t="n">
        <f aca="false">A404/12</f>
        <v>33.3333333333333</v>
      </c>
      <c r="C404" s="15" t="n">
        <f aca="false">INT(A404/6)</f>
        <v>66</v>
      </c>
      <c r="D404" s="16" t="n">
        <f aca="false">IF(C404=0,(1+Dic2025!$G$6)^(-B404),EXP(LN(INDEX(Dic2025!$H$6:$H$205,C404))+(LN(INDEX(Dic2025!$H$6:$H$205,MIN(C404+1,200)))-LN(INDEX(Dic2025!$H$6:$H$205,C404)))*(A404-6*C404)/6))</f>
        <v>0.135081908575766</v>
      </c>
      <c r="E404" s="12" t="n">
        <f aca="false">D404^(-1/B404)-1</f>
        <v>0.0618962432194938</v>
      </c>
      <c r="F404" s="12" t="n">
        <f aca="false">(1+E404)^(1/12)-1</f>
        <v>0.00501722923936621</v>
      </c>
      <c r="G404" s="16" t="n">
        <f aca="false">IF(C404=0,(1+Dic2025!$J$6)^(-B404),EXP(LN(INDEX(Dic2025!$K$6:$K$205,C404))+(LN(INDEX(Dic2025!$K$6:$K$205,MIN(C404+1,200)))-LN(INDEX(Dic2025!$K$6:$K$205,C404)))*(A404-6*C404)/6))</f>
        <v>0.135081908575766</v>
      </c>
      <c r="H404" s="12" t="n">
        <f aca="false">G404^(-1/B404)-1</f>
        <v>0.0618962432194938</v>
      </c>
      <c r="I404" s="12" t="n">
        <f aca="false">(1+H404)^(1/12)-1</f>
        <v>0.00501722923936621</v>
      </c>
      <c r="J404" s="16" t="n">
        <f aca="false">IF(C404=0,(1+Dic2025!$M$6)^(-B404),EXP(LN(INDEX(Dic2025!$N$6:$N$205,C404))+(LN(INDEX(Dic2025!$N$6:$N$205,MIN(C404+1,200)))-LN(INDEX(Dic2025!$N$6:$N$205,C404)))*(A404-6*C404)/6))</f>
        <v>0.135081908575766</v>
      </c>
      <c r="K404" s="12" t="n">
        <f aca="false">J404^(-1/B404)-1</f>
        <v>0.0618962432194938</v>
      </c>
      <c r="L404" s="12" t="n">
        <f aca="false">(1+K404)^(1/12)-1</f>
        <v>0.00501722923936621</v>
      </c>
    </row>
    <row r="405" customFormat="false" ht="15" hidden="false" customHeight="false" outlineLevel="0" collapsed="false">
      <c r="A405" s="4" t="n">
        <v>401</v>
      </c>
      <c r="B405" s="14" t="n">
        <f aca="false">A405/12</f>
        <v>33.4166666666667</v>
      </c>
      <c r="C405" s="15" t="n">
        <f aca="false">INT(A405/6)</f>
        <v>66</v>
      </c>
      <c r="D405" s="16" t="n">
        <f aca="false">IF(C405=0,(1+Dic2025!$G$6)^(-B405),EXP(LN(INDEX(Dic2025!$H$6:$H$205,C405))+(LN(INDEX(Dic2025!$H$6:$H$205,MIN(C405+1,200)))-LN(INDEX(Dic2025!$H$6:$H$205,C405)))*(A405-6*C405)/6))</f>
        <v>0.13433547776226</v>
      </c>
      <c r="E405" s="12" t="n">
        <f aca="false">D405^(-1/B405)-1</f>
        <v>0.0619132888760878</v>
      </c>
      <c r="F405" s="12" t="n">
        <f aca="false">(1+E405)^(1/12)-1</f>
        <v>0.00501857361525926</v>
      </c>
      <c r="G405" s="16" t="n">
        <f aca="false">IF(C405=0,(1+Dic2025!$J$6)^(-B405),EXP(LN(INDEX(Dic2025!$K$6:$K$205,C405))+(LN(INDEX(Dic2025!$K$6:$K$205,MIN(C405+1,200)))-LN(INDEX(Dic2025!$K$6:$K$205,C405)))*(A405-6*C405)/6))</f>
        <v>0.13433547776226</v>
      </c>
      <c r="H405" s="12" t="n">
        <f aca="false">G405^(-1/B405)-1</f>
        <v>0.0619132888760878</v>
      </c>
      <c r="I405" s="12" t="n">
        <f aca="false">(1+H405)^(1/12)-1</f>
        <v>0.00501857361525926</v>
      </c>
      <c r="J405" s="16" t="n">
        <f aca="false">IF(C405=0,(1+Dic2025!$M$6)^(-B405),EXP(LN(INDEX(Dic2025!$N$6:$N$205,C405))+(LN(INDEX(Dic2025!$N$6:$N$205,MIN(C405+1,200)))-LN(INDEX(Dic2025!$N$6:$N$205,C405)))*(A405-6*C405)/6))</f>
        <v>0.13433547776226</v>
      </c>
      <c r="K405" s="12" t="n">
        <f aca="false">J405^(-1/B405)-1</f>
        <v>0.0619132888760878</v>
      </c>
      <c r="L405" s="12" t="n">
        <f aca="false">(1+K405)^(1/12)-1</f>
        <v>0.00501857361525926</v>
      </c>
    </row>
    <row r="406" customFormat="false" ht="15" hidden="false" customHeight="false" outlineLevel="0" collapsed="false">
      <c r="A406" s="4" t="n">
        <v>402</v>
      </c>
      <c r="B406" s="14" t="n">
        <f aca="false">A406/12</f>
        <v>33.5</v>
      </c>
      <c r="C406" s="15" t="n">
        <f aca="false">INT(A406/6)</f>
        <v>67</v>
      </c>
      <c r="D406" s="16" t="n">
        <f aca="false">IF(C406=0,(1+Dic2025!$G$6)^(-B406),EXP(LN(INDEX(Dic2025!$H$6:$H$205,C406))+(LN(INDEX(Dic2025!$H$6:$H$205,MIN(C406+1,200)))-LN(INDEX(Dic2025!$H$6:$H$205,C406)))*(A406-6*C406)/6))</f>
        <v>0.133593171549636</v>
      </c>
      <c r="E406" s="12" t="n">
        <f aca="false">D406^(-1/B406)-1</f>
        <v>0.0619302499999999</v>
      </c>
      <c r="F406" s="12" t="n">
        <f aca="false">(1+E406)^(1/12)-1</f>
        <v>0.00501991130449997</v>
      </c>
      <c r="G406" s="16" t="n">
        <f aca="false">IF(C406=0,(1+Dic2025!$J$6)^(-B406),EXP(LN(INDEX(Dic2025!$K$6:$K$205,C406))+(LN(INDEX(Dic2025!$K$6:$K$205,MIN(C406+1,200)))-LN(INDEX(Dic2025!$K$6:$K$205,C406)))*(A406-6*C406)/6))</f>
        <v>0.133593171549636</v>
      </c>
      <c r="H406" s="12" t="n">
        <f aca="false">G406^(-1/B406)-1</f>
        <v>0.0619302499999999</v>
      </c>
      <c r="I406" s="12" t="n">
        <f aca="false">(1+H406)^(1/12)-1</f>
        <v>0.00501991130449997</v>
      </c>
      <c r="J406" s="16" t="n">
        <f aca="false">IF(C406=0,(1+Dic2025!$M$6)^(-B406),EXP(LN(INDEX(Dic2025!$N$6:$N$205,C406))+(LN(INDEX(Dic2025!$N$6:$N$205,MIN(C406+1,200)))-LN(INDEX(Dic2025!$N$6:$N$205,C406)))*(A406-6*C406)/6))</f>
        <v>0.133593171549636</v>
      </c>
      <c r="K406" s="12" t="n">
        <f aca="false">J406^(-1/B406)-1</f>
        <v>0.0619302499999999</v>
      </c>
      <c r="L406" s="12" t="n">
        <f aca="false">(1+K406)^(1/12)-1</f>
        <v>0.00501991130449997</v>
      </c>
    </row>
    <row r="407" customFormat="false" ht="15" hidden="false" customHeight="false" outlineLevel="0" collapsed="false">
      <c r="A407" s="4" t="n">
        <v>403</v>
      </c>
      <c r="B407" s="14" t="n">
        <f aca="false">A407/12</f>
        <v>33.5833333333333</v>
      </c>
      <c r="C407" s="15" t="n">
        <f aca="false">INT(A407/6)</f>
        <v>67</v>
      </c>
      <c r="D407" s="16" t="n">
        <f aca="false">IF(C407=0,(1+Dic2025!$G$6)^(-B407),EXP(LN(INDEX(Dic2025!$H$6:$H$205,C407))+(LN(INDEX(Dic2025!$H$6:$H$205,MIN(C407+1,200)))-LN(INDEX(Dic2025!$H$6:$H$205,C407)))*(A407-6*C407)/6))</f>
        <v>0.132852821942526</v>
      </c>
      <c r="E407" s="12" t="n">
        <f aca="false">D407^(-1/B407)-1</f>
        <v>0.0619476378098578</v>
      </c>
      <c r="F407" s="12" t="n">
        <f aca="false">(1+E407)^(1/12)-1</f>
        <v>0.00502128262526069</v>
      </c>
      <c r="G407" s="16" t="n">
        <f aca="false">IF(C407=0,(1+Dic2025!$J$6)^(-B407),EXP(LN(INDEX(Dic2025!$K$6:$K$205,C407))+(LN(INDEX(Dic2025!$K$6:$K$205,MIN(C407+1,200)))-LN(INDEX(Dic2025!$K$6:$K$205,C407)))*(A407-6*C407)/6))</f>
        <v>0.132852821942526</v>
      </c>
      <c r="H407" s="12" t="n">
        <f aca="false">G407^(-1/B407)-1</f>
        <v>0.0619476378098578</v>
      </c>
      <c r="I407" s="12" t="n">
        <f aca="false">(1+H407)^(1/12)-1</f>
        <v>0.00502128262526069</v>
      </c>
      <c r="J407" s="16" t="n">
        <f aca="false">IF(C407=0,(1+Dic2025!$M$6)^(-B407),EXP(LN(INDEX(Dic2025!$N$6:$N$205,C407))+(LN(INDEX(Dic2025!$N$6:$N$205,MIN(C407+1,200)))-LN(INDEX(Dic2025!$N$6:$N$205,C407)))*(A407-6*C407)/6))</f>
        <v>0.132852821942526</v>
      </c>
      <c r="K407" s="12" t="n">
        <f aca="false">J407^(-1/B407)-1</f>
        <v>0.0619476378098578</v>
      </c>
      <c r="L407" s="12" t="n">
        <f aca="false">(1+K407)^(1/12)-1</f>
        <v>0.00502128262526069</v>
      </c>
    </row>
    <row r="408" customFormat="false" ht="15" hidden="false" customHeight="false" outlineLevel="0" collapsed="false">
      <c r="A408" s="4" t="n">
        <v>404</v>
      </c>
      <c r="B408" s="14" t="n">
        <f aca="false">A408/12</f>
        <v>33.6666666666667</v>
      </c>
      <c r="C408" s="15" t="n">
        <f aca="false">INT(A408/6)</f>
        <v>67</v>
      </c>
      <c r="D408" s="16" t="n">
        <f aca="false">IF(C408=0,(1+Dic2025!$G$6)^(-B408),EXP(LN(INDEX(Dic2025!$H$6:$H$205,C408))+(LN(INDEX(Dic2025!$H$6:$H$205,MIN(C408+1,200)))-LN(INDEX(Dic2025!$H$6:$H$205,C408)))*(A408-6*C408)/6))</f>
        <v>0.132116575221322</v>
      </c>
      <c r="E408" s="12" t="n">
        <f aca="false">D408^(-1/B408)-1</f>
        <v>0.0619649398240427</v>
      </c>
      <c r="F408" s="12" t="n">
        <f aca="false">(1+E408)^(1/12)-1</f>
        <v>0.0050226471591619</v>
      </c>
      <c r="G408" s="16" t="n">
        <f aca="false">IF(C408=0,(1+Dic2025!$J$6)^(-B408),EXP(LN(INDEX(Dic2025!$K$6:$K$205,C408))+(LN(INDEX(Dic2025!$K$6:$K$205,MIN(C408+1,200)))-LN(INDEX(Dic2025!$K$6:$K$205,C408)))*(A408-6*C408)/6))</f>
        <v>0.132116575221322</v>
      </c>
      <c r="H408" s="12" t="n">
        <f aca="false">G408^(-1/B408)-1</f>
        <v>0.0619649398240427</v>
      </c>
      <c r="I408" s="12" t="n">
        <f aca="false">(1+H408)^(1/12)-1</f>
        <v>0.0050226471591619</v>
      </c>
      <c r="J408" s="16" t="n">
        <f aca="false">IF(C408=0,(1+Dic2025!$M$6)^(-B408),EXP(LN(INDEX(Dic2025!$N$6:$N$205,C408))+(LN(INDEX(Dic2025!$N$6:$N$205,MIN(C408+1,200)))-LN(INDEX(Dic2025!$N$6:$N$205,C408)))*(A408-6*C408)/6))</f>
        <v>0.132116575221322</v>
      </c>
      <c r="K408" s="12" t="n">
        <f aca="false">J408^(-1/B408)-1</f>
        <v>0.0619649398240427</v>
      </c>
      <c r="L408" s="12" t="n">
        <f aca="false">(1+K408)^(1/12)-1</f>
        <v>0.0050226471591619</v>
      </c>
    </row>
    <row r="409" customFormat="false" ht="15" hidden="false" customHeight="false" outlineLevel="0" collapsed="false">
      <c r="A409" s="4" t="n">
        <v>405</v>
      </c>
      <c r="B409" s="14" t="n">
        <f aca="false">A409/12</f>
        <v>33.75</v>
      </c>
      <c r="C409" s="15" t="n">
        <f aca="false">INT(A409/6)</f>
        <v>67</v>
      </c>
      <c r="D409" s="16" t="n">
        <f aca="false">IF(C409=0,(1+Dic2025!$G$6)^(-B409),EXP(LN(INDEX(Dic2025!$H$6:$H$205,C409))+(LN(INDEX(Dic2025!$H$6:$H$205,MIN(C409+1,200)))-LN(INDEX(Dic2025!$H$6:$H$205,C409)))*(A409-6*C409)/6))</f>
        <v>0.131384408648561</v>
      </c>
      <c r="E409" s="12" t="n">
        <f aca="false">D409^(-1/B409)-1</f>
        <v>0.0619821566759944</v>
      </c>
      <c r="F409" s="12" t="n">
        <f aca="false">(1+E409)^(1/12)-1</f>
        <v>0.00502400495646316</v>
      </c>
      <c r="G409" s="16" t="n">
        <f aca="false">IF(C409=0,(1+Dic2025!$J$6)^(-B409),EXP(LN(INDEX(Dic2025!$K$6:$K$205,C409))+(LN(INDEX(Dic2025!$K$6:$K$205,MIN(C409+1,200)))-LN(INDEX(Dic2025!$K$6:$K$205,C409)))*(A409-6*C409)/6))</f>
        <v>0.131384408648561</v>
      </c>
      <c r="H409" s="12" t="n">
        <f aca="false">G409^(-1/B409)-1</f>
        <v>0.0619821566759944</v>
      </c>
      <c r="I409" s="12" t="n">
        <f aca="false">(1+H409)^(1/12)-1</f>
        <v>0.00502400495646316</v>
      </c>
      <c r="J409" s="16" t="n">
        <f aca="false">IF(C409=0,(1+Dic2025!$M$6)^(-B409),EXP(LN(INDEX(Dic2025!$N$6:$N$205,C409))+(LN(INDEX(Dic2025!$N$6:$N$205,MIN(C409+1,200)))-LN(INDEX(Dic2025!$N$6:$N$205,C409)))*(A409-6*C409)/6))</f>
        <v>0.131384408648561</v>
      </c>
      <c r="K409" s="12" t="n">
        <f aca="false">J409^(-1/B409)-1</f>
        <v>0.0619821566759944</v>
      </c>
      <c r="L409" s="12" t="n">
        <f aca="false">(1+K409)^(1/12)-1</f>
        <v>0.00502400495646316</v>
      </c>
    </row>
    <row r="410" customFormat="false" ht="15" hidden="false" customHeight="false" outlineLevel="0" collapsed="false">
      <c r="A410" s="4" t="n">
        <v>406</v>
      </c>
      <c r="B410" s="14" t="n">
        <f aca="false">A410/12</f>
        <v>33.8333333333333</v>
      </c>
      <c r="C410" s="15" t="n">
        <f aca="false">INT(A410/6)</f>
        <v>67</v>
      </c>
      <c r="D410" s="16" t="n">
        <f aca="false">IF(C410=0,(1+Dic2025!$G$6)^(-B410),EXP(LN(INDEX(Dic2025!$H$6:$H$205,C410))+(LN(INDEX(Dic2025!$H$6:$H$205,MIN(C410+1,200)))-LN(INDEX(Dic2025!$H$6:$H$205,C410)))*(A410-6*C410)/6))</f>
        <v>0.130656299612784</v>
      </c>
      <c r="E410" s="12" t="n">
        <f aca="false">D410^(-1/B410)-1</f>
        <v>0.0619992889929324</v>
      </c>
      <c r="F410" s="12" t="n">
        <f aca="false">(1+E410)^(1/12)-1</f>
        <v>0.00502535606692844</v>
      </c>
      <c r="G410" s="16" t="n">
        <f aca="false">IF(C410=0,(1+Dic2025!$J$6)^(-B410),EXP(LN(INDEX(Dic2025!$K$6:$K$205,C410))+(LN(INDEX(Dic2025!$K$6:$K$205,MIN(C410+1,200)))-LN(INDEX(Dic2025!$K$6:$K$205,C410)))*(A410-6*C410)/6))</f>
        <v>0.130656299612784</v>
      </c>
      <c r="H410" s="12" t="n">
        <f aca="false">G410^(-1/B410)-1</f>
        <v>0.0619992889929324</v>
      </c>
      <c r="I410" s="12" t="n">
        <f aca="false">(1+H410)^(1/12)-1</f>
        <v>0.00502535606692844</v>
      </c>
      <c r="J410" s="16" t="n">
        <f aca="false">IF(C410=0,(1+Dic2025!$M$6)^(-B410),EXP(LN(INDEX(Dic2025!$N$6:$N$205,C410))+(LN(INDEX(Dic2025!$N$6:$N$205,MIN(C410+1,200)))-LN(INDEX(Dic2025!$N$6:$N$205,C410)))*(A410-6*C410)/6))</f>
        <v>0.130656299612784</v>
      </c>
      <c r="K410" s="12" t="n">
        <f aca="false">J410^(-1/B410)-1</f>
        <v>0.0619992889929324</v>
      </c>
      <c r="L410" s="12" t="n">
        <f aca="false">(1+K410)^(1/12)-1</f>
        <v>0.00502535606692844</v>
      </c>
    </row>
    <row r="411" customFormat="false" ht="15" hidden="false" customHeight="false" outlineLevel="0" collapsed="false">
      <c r="A411" s="4" t="n">
        <v>407</v>
      </c>
      <c r="B411" s="14" t="n">
        <f aca="false">A411/12</f>
        <v>33.9166666666667</v>
      </c>
      <c r="C411" s="15" t="n">
        <f aca="false">INT(A411/6)</f>
        <v>67</v>
      </c>
      <c r="D411" s="16" t="n">
        <f aca="false">IF(C411=0,(1+Dic2025!$G$6)^(-B411),EXP(LN(INDEX(Dic2025!$H$6:$H$205,C411))+(LN(INDEX(Dic2025!$H$6:$H$205,MIN(C411+1,200)))-LN(INDEX(Dic2025!$H$6:$H$205,C411)))*(A411-6*C411)/6))</f>
        <v>0.129932225627844</v>
      </c>
      <c r="E411" s="12" t="n">
        <f aca="false">D411^(-1/B411)-1</f>
        <v>0.0620163373959324</v>
      </c>
      <c r="F411" s="12" t="n">
        <f aca="false">(1+E411)^(1/12)-1</f>
        <v>0.00502670053983345</v>
      </c>
      <c r="G411" s="16" t="n">
        <f aca="false">IF(C411=0,(1+Dic2025!$J$6)^(-B411),EXP(LN(INDEX(Dic2025!$K$6:$K$205,C411))+(LN(INDEX(Dic2025!$K$6:$K$205,MIN(C411+1,200)))-LN(INDEX(Dic2025!$K$6:$K$205,C411)))*(A411-6*C411)/6))</f>
        <v>0.129932225627844</v>
      </c>
      <c r="H411" s="12" t="n">
        <f aca="false">G411^(-1/B411)-1</f>
        <v>0.0620163373959324</v>
      </c>
      <c r="I411" s="12" t="n">
        <f aca="false">(1+H411)^(1/12)-1</f>
        <v>0.00502670053983345</v>
      </c>
      <c r="J411" s="16" t="n">
        <f aca="false">IF(C411=0,(1+Dic2025!$M$6)^(-B411),EXP(LN(INDEX(Dic2025!$N$6:$N$205,C411))+(LN(INDEX(Dic2025!$N$6:$N$205,MIN(C411+1,200)))-LN(INDEX(Dic2025!$N$6:$N$205,C411)))*(A411-6*C411)/6))</f>
        <v>0.129932225627844</v>
      </c>
      <c r="K411" s="12" t="n">
        <f aca="false">J411^(-1/B411)-1</f>
        <v>0.0620163373959324</v>
      </c>
      <c r="L411" s="12" t="n">
        <f aca="false">(1+K411)^(1/12)-1</f>
        <v>0.00502670053983345</v>
      </c>
    </row>
    <row r="412" customFormat="false" ht="15" hidden="false" customHeight="false" outlineLevel="0" collapsed="false">
      <c r="A412" s="4" t="n">
        <v>408</v>
      </c>
      <c r="B412" s="14" t="n">
        <f aca="false">A412/12</f>
        <v>34</v>
      </c>
      <c r="C412" s="15" t="n">
        <f aca="false">INT(A412/6)</f>
        <v>68</v>
      </c>
      <c r="D412" s="16" t="n">
        <f aca="false">IF(C412=0,(1+Dic2025!$G$6)^(-B412),EXP(LN(INDEX(Dic2025!$H$6:$H$205,C412))+(LN(INDEX(Dic2025!$H$6:$H$205,MIN(C412+1,200)))-LN(INDEX(Dic2025!$H$6:$H$205,C412)))*(A412-6*C412)/6))</f>
        <v>0.129212164332205</v>
      </c>
      <c r="E412" s="12" t="n">
        <f aca="false">D412^(-1/B412)-1</f>
        <v>0.0620333025000002</v>
      </c>
      <c r="F412" s="12" t="n">
        <f aca="false">(1+E412)^(1/12)-1</f>
        <v>0.00502803842397026</v>
      </c>
      <c r="G412" s="16" t="n">
        <f aca="false">IF(C412=0,(1+Dic2025!$J$6)^(-B412),EXP(LN(INDEX(Dic2025!$K$6:$K$205,C412))+(LN(INDEX(Dic2025!$K$6:$K$205,MIN(C412+1,200)))-LN(INDEX(Dic2025!$K$6:$K$205,C412)))*(A412-6*C412)/6))</f>
        <v>0.129212164332205</v>
      </c>
      <c r="H412" s="12" t="n">
        <f aca="false">G412^(-1/B412)-1</f>
        <v>0.0620333025000002</v>
      </c>
      <c r="I412" s="12" t="n">
        <f aca="false">(1+H412)^(1/12)-1</f>
        <v>0.00502803842397026</v>
      </c>
      <c r="J412" s="16" t="n">
        <f aca="false">IF(C412=0,(1+Dic2025!$M$6)^(-B412),EXP(LN(INDEX(Dic2025!$N$6:$N$205,C412))+(LN(INDEX(Dic2025!$N$6:$N$205,MIN(C412+1,200)))-LN(INDEX(Dic2025!$N$6:$N$205,C412)))*(A412-6*C412)/6))</f>
        <v>0.129212164332205</v>
      </c>
      <c r="K412" s="12" t="n">
        <f aca="false">J412^(-1/B412)-1</f>
        <v>0.0620333025000002</v>
      </c>
      <c r="L412" s="12" t="n">
        <f aca="false">(1+K412)^(1/12)-1</f>
        <v>0.00502803842397026</v>
      </c>
    </row>
    <row r="413" customFormat="false" ht="15" hidden="false" customHeight="false" outlineLevel="0" collapsed="false">
      <c r="A413" s="4" t="n">
        <v>409</v>
      </c>
      <c r="B413" s="14" t="n">
        <f aca="false">A413/12</f>
        <v>34.0833333333333</v>
      </c>
      <c r="C413" s="15" t="n">
        <f aca="false">INT(A413/6)</f>
        <v>68</v>
      </c>
      <c r="D413" s="16" t="n">
        <f aca="false">IF(C413=0,(1+Dic2025!$G$6)^(-B413),EXP(LN(INDEX(Dic2025!$H$6:$H$205,C413))+(LN(INDEX(Dic2025!$H$6:$H$205,MIN(C413+1,200)))-LN(INDEX(Dic2025!$H$6:$H$205,C413)))*(A413-6*C413)/6))</f>
        <v>0.128494018817933</v>
      </c>
      <c r="E413" s="12" t="n">
        <f aca="false">D413^(-1/B413)-1</f>
        <v>0.0620506880273988</v>
      </c>
      <c r="F413" s="12" t="n">
        <f aca="false">(1+E413)^(1/12)-1</f>
        <v>0.00502940944276364</v>
      </c>
      <c r="G413" s="16" t="n">
        <f aca="false">IF(C413=0,(1+Dic2025!$J$6)^(-B413),EXP(LN(INDEX(Dic2025!$K$6:$K$205,C413))+(LN(INDEX(Dic2025!$K$6:$K$205,MIN(C413+1,200)))-LN(INDEX(Dic2025!$K$6:$K$205,C413)))*(A413-6*C413)/6))</f>
        <v>0.128494018817933</v>
      </c>
      <c r="H413" s="12" t="n">
        <f aca="false">G413^(-1/B413)-1</f>
        <v>0.0620506880273988</v>
      </c>
      <c r="I413" s="12" t="n">
        <f aca="false">(1+H413)^(1/12)-1</f>
        <v>0.00502940944276364</v>
      </c>
      <c r="J413" s="16" t="n">
        <f aca="false">IF(C413=0,(1+Dic2025!$M$6)^(-B413),EXP(LN(INDEX(Dic2025!$N$6:$N$205,C413))+(LN(INDEX(Dic2025!$N$6:$N$205,MIN(C413+1,200)))-LN(INDEX(Dic2025!$N$6:$N$205,C413)))*(A413-6*C413)/6))</f>
        <v>0.128494018817933</v>
      </c>
      <c r="K413" s="12" t="n">
        <f aca="false">J413^(-1/B413)-1</f>
        <v>0.0620506880273988</v>
      </c>
      <c r="L413" s="12" t="n">
        <f aca="false">(1+K413)^(1/12)-1</f>
        <v>0.00502940944276364</v>
      </c>
    </row>
    <row r="414" customFormat="false" ht="15" hidden="false" customHeight="false" outlineLevel="0" collapsed="false">
      <c r="A414" s="4" t="n">
        <v>410</v>
      </c>
      <c r="B414" s="14" t="n">
        <f aca="false">A414/12</f>
        <v>34.1666666666667</v>
      </c>
      <c r="C414" s="15" t="n">
        <f aca="false">INT(A414/6)</f>
        <v>68</v>
      </c>
      <c r="D414" s="16" t="n">
        <f aca="false">IF(C414=0,(1+Dic2025!$G$6)^(-B414),EXP(LN(INDEX(Dic2025!$H$6:$H$205,C414))+(LN(INDEX(Dic2025!$H$6:$H$205,MIN(C414+1,200)))-LN(INDEX(Dic2025!$H$6:$H$205,C414)))*(A414-6*C414)/6))</f>
        <v>0.127779864669197</v>
      </c>
      <c r="E414" s="12" t="n">
        <f aca="false">D414^(-1/B414)-1</f>
        <v>0.0620679890298692</v>
      </c>
      <c r="F414" s="12" t="n">
        <f aca="false">(1+E414)^(1/12)-1</f>
        <v>0.00503077377551686</v>
      </c>
      <c r="G414" s="16" t="n">
        <f aca="false">IF(C414=0,(1+Dic2025!$J$6)^(-B414),EXP(LN(INDEX(Dic2025!$K$6:$K$205,C414))+(LN(INDEX(Dic2025!$K$6:$K$205,MIN(C414+1,200)))-LN(INDEX(Dic2025!$K$6:$K$205,C414)))*(A414-6*C414)/6))</f>
        <v>0.127779864669197</v>
      </c>
      <c r="H414" s="12" t="n">
        <f aca="false">G414^(-1/B414)-1</f>
        <v>0.0620679890298692</v>
      </c>
      <c r="I414" s="12" t="n">
        <f aca="false">(1+H414)^(1/12)-1</f>
        <v>0.00503077377551686</v>
      </c>
      <c r="J414" s="16" t="n">
        <f aca="false">IF(C414=0,(1+Dic2025!$M$6)^(-B414),EXP(LN(INDEX(Dic2025!$N$6:$N$205,C414))+(LN(INDEX(Dic2025!$N$6:$N$205,MIN(C414+1,200)))-LN(INDEX(Dic2025!$N$6:$N$205,C414)))*(A414-6*C414)/6))</f>
        <v>0.127779864669197</v>
      </c>
      <c r="K414" s="12" t="n">
        <f aca="false">J414^(-1/B414)-1</f>
        <v>0.0620679890298692</v>
      </c>
      <c r="L414" s="12" t="n">
        <f aca="false">(1+K414)^(1/12)-1</f>
        <v>0.00503077377551686</v>
      </c>
    </row>
    <row r="415" customFormat="false" ht="15" hidden="false" customHeight="false" outlineLevel="0" collapsed="false">
      <c r="A415" s="4" t="n">
        <v>411</v>
      </c>
      <c r="B415" s="14" t="n">
        <f aca="false">A415/12</f>
        <v>34.25</v>
      </c>
      <c r="C415" s="15" t="n">
        <f aca="false">INT(A415/6)</f>
        <v>68</v>
      </c>
      <c r="D415" s="16" t="n">
        <f aca="false">IF(C415=0,(1+Dic2025!$G$6)^(-B415),EXP(LN(INDEX(Dic2025!$H$6:$H$205,C415))+(LN(INDEX(Dic2025!$H$6:$H$205,MIN(C415+1,200)))-LN(INDEX(Dic2025!$H$6:$H$205,C415)))*(A415-6*C415)/6))</f>
        <v>0.127069679702474</v>
      </c>
      <c r="E415" s="12" t="n">
        <f aca="false">D415^(-1/B415)-1</f>
        <v>0.0620852061223294</v>
      </c>
      <c r="F415" s="12" t="n">
        <f aca="false">(1+E415)^(1/12)-1</f>
        <v>0.00503213147102</v>
      </c>
      <c r="G415" s="16" t="n">
        <f aca="false">IF(C415=0,(1+Dic2025!$J$6)^(-B415),EXP(LN(INDEX(Dic2025!$K$6:$K$205,C415))+(LN(INDEX(Dic2025!$K$6:$K$205,MIN(C415+1,200)))-LN(INDEX(Dic2025!$K$6:$K$205,C415)))*(A415-6*C415)/6))</f>
        <v>0.127069679702474</v>
      </c>
      <c r="H415" s="12" t="n">
        <f aca="false">G415^(-1/B415)-1</f>
        <v>0.0620852061223294</v>
      </c>
      <c r="I415" s="12" t="n">
        <f aca="false">(1+H415)^(1/12)-1</f>
        <v>0.00503213147102</v>
      </c>
      <c r="J415" s="16" t="n">
        <f aca="false">IF(C415=0,(1+Dic2025!$M$6)^(-B415),EXP(LN(INDEX(Dic2025!$N$6:$N$205,C415))+(LN(INDEX(Dic2025!$N$6:$N$205,MIN(C415+1,200)))-LN(INDEX(Dic2025!$N$6:$N$205,C415)))*(A415-6*C415)/6))</f>
        <v>0.127069679702474</v>
      </c>
      <c r="K415" s="12" t="n">
        <f aca="false">J415^(-1/B415)-1</f>
        <v>0.0620852061223294</v>
      </c>
      <c r="L415" s="12" t="n">
        <f aca="false">(1+K415)^(1/12)-1</f>
        <v>0.00503213147102</v>
      </c>
    </row>
    <row r="416" customFormat="false" ht="15" hidden="false" customHeight="false" outlineLevel="0" collapsed="false">
      <c r="A416" s="4" t="n">
        <v>412</v>
      </c>
      <c r="B416" s="14" t="n">
        <f aca="false">A416/12</f>
        <v>34.3333333333333</v>
      </c>
      <c r="C416" s="15" t="n">
        <f aca="false">INT(A416/6)</f>
        <v>68</v>
      </c>
      <c r="D416" s="16" t="n">
        <f aca="false">IF(C416=0,(1+Dic2025!$G$6)^(-B416),EXP(LN(INDEX(Dic2025!$H$6:$H$205,C416))+(LN(INDEX(Dic2025!$H$6:$H$205,MIN(C416+1,200)))-LN(INDEX(Dic2025!$H$6:$H$205,C416)))*(A416-6*C416)/6))</f>
        <v>0.126363441857531</v>
      </c>
      <c r="E416" s="12" t="n">
        <f aca="false">D416^(-1/B416)-1</f>
        <v>0.0621023399137464</v>
      </c>
      <c r="F416" s="12" t="n">
        <f aca="false">(1+E416)^(1/12)-1</f>
        <v>0.00503348257758907</v>
      </c>
      <c r="G416" s="16" t="n">
        <f aca="false">IF(C416=0,(1+Dic2025!$J$6)^(-B416),EXP(LN(INDEX(Dic2025!$K$6:$K$205,C416))+(LN(INDEX(Dic2025!$K$6:$K$205,MIN(C416+1,200)))-LN(INDEX(Dic2025!$K$6:$K$205,C416)))*(A416-6*C416)/6))</f>
        <v>0.126363441857531</v>
      </c>
      <c r="H416" s="12" t="n">
        <f aca="false">G416^(-1/B416)-1</f>
        <v>0.0621023399137464</v>
      </c>
      <c r="I416" s="12" t="n">
        <f aca="false">(1+H416)^(1/12)-1</f>
        <v>0.00503348257758907</v>
      </c>
      <c r="J416" s="16" t="n">
        <f aca="false">IF(C416=0,(1+Dic2025!$M$6)^(-B416),EXP(LN(INDEX(Dic2025!$N$6:$N$205,C416))+(LN(INDEX(Dic2025!$N$6:$N$205,MIN(C416+1,200)))-LN(INDEX(Dic2025!$N$6:$N$205,C416)))*(A416-6*C416)/6))</f>
        <v>0.126363441857531</v>
      </c>
      <c r="K416" s="12" t="n">
        <f aca="false">J416^(-1/B416)-1</f>
        <v>0.0621023399137464</v>
      </c>
      <c r="L416" s="12" t="n">
        <f aca="false">(1+K416)^(1/12)-1</f>
        <v>0.00503348257758907</v>
      </c>
    </row>
    <row r="417" customFormat="false" ht="15" hidden="false" customHeight="false" outlineLevel="0" collapsed="false">
      <c r="A417" s="4" t="n">
        <v>413</v>
      </c>
      <c r="B417" s="14" t="n">
        <f aca="false">A417/12</f>
        <v>34.4166666666667</v>
      </c>
      <c r="C417" s="15" t="n">
        <f aca="false">INT(A417/6)</f>
        <v>68</v>
      </c>
      <c r="D417" s="16" t="n">
        <f aca="false">IF(C417=0,(1+Dic2025!$G$6)^(-B417),EXP(LN(INDEX(Dic2025!$H$6:$H$205,C417))+(LN(INDEX(Dic2025!$H$6:$H$205,MIN(C417+1,200)))-LN(INDEX(Dic2025!$H$6:$H$205,C417)))*(A417-6*C417)/6))</f>
        <v>0.125661129196746</v>
      </c>
      <c r="E417" s="12" t="n">
        <f aca="false">D417^(-1/B417)-1</f>
        <v>0.0621193910072095</v>
      </c>
      <c r="F417" s="12" t="n">
        <f aca="false">(1+E417)^(1/12)-1</f>
        <v>0.00503482714307224</v>
      </c>
      <c r="G417" s="16" t="n">
        <f aca="false">IF(C417=0,(1+Dic2025!$J$6)^(-B417),EXP(LN(INDEX(Dic2025!$K$6:$K$205,C417))+(LN(INDEX(Dic2025!$K$6:$K$205,MIN(C417+1,200)))-LN(INDEX(Dic2025!$K$6:$K$205,C417)))*(A417-6*C417)/6))</f>
        <v>0.125661129196746</v>
      </c>
      <c r="H417" s="12" t="n">
        <f aca="false">G417^(-1/B417)-1</f>
        <v>0.0621193910072095</v>
      </c>
      <c r="I417" s="12" t="n">
        <f aca="false">(1+H417)^(1/12)-1</f>
        <v>0.00503482714307224</v>
      </c>
      <c r="J417" s="16" t="n">
        <f aca="false">IF(C417=0,(1+Dic2025!$M$6)^(-B417),EXP(LN(INDEX(Dic2025!$N$6:$N$205,C417))+(LN(INDEX(Dic2025!$N$6:$N$205,MIN(C417+1,200)))-LN(INDEX(Dic2025!$N$6:$N$205,C417)))*(A417-6*C417)/6))</f>
        <v>0.125661129196746</v>
      </c>
      <c r="K417" s="12" t="n">
        <f aca="false">J417^(-1/B417)-1</f>
        <v>0.0621193910072095</v>
      </c>
      <c r="L417" s="12" t="n">
        <f aca="false">(1+K417)^(1/12)-1</f>
        <v>0.00503482714307224</v>
      </c>
    </row>
    <row r="418" customFormat="false" ht="15" hidden="false" customHeight="false" outlineLevel="0" collapsed="false">
      <c r="A418" s="4" t="n">
        <v>414</v>
      </c>
      <c r="B418" s="14" t="n">
        <f aca="false">A418/12</f>
        <v>34.5</v>
      </c>
      <c r="C418" s="15" t="n">
        <f aca="false">INT(A418/6)</f>
        <v>69</v>
      </c>
      <c r="D418" s="16" t="n">
        <f aca="false">IF(C418=0,(1+Dic2025!$G$6)^(-B418),EXP(LN(INDEX(Dic2025!$H$6:$H$205,C418))+(LN(INDEX(Dic2025!$H$6:$H$205,MIN(C418+1,200)))-LN(INDEX(Dic2025!$H$6:$H$205,C418)))*(A418-6*C418)/6))</f>
        <v>0.124962719904421</v>
      </c>
      <c r="E418" s="12" t="n">
        <f aca="false">D418^(-1/B418)-1</f>
        <v>0.06213636</v>
      </c>
      <c r="F418" s="12" t="n">
        <f aca="false">(1+E418)^(1/12)-1</f>
        <v>0.00503616521485584</v>
      </c>
      <c r="G418" s="16" t="n">
        <f aca="false">IF(C418=0,(1+Dic2025!$J$6)^(-B418),EXP(LN(INDEX(Dic2025!$K$6:$K$205,C418))+(LN(INDEX(Dic2025!$K$6:$K$205,MIN(C418+1,200)))-LN(INDEX(Dic2025!$K$6:$K$205,C418)))*(A418-6*C418)/6))</f>
        <v>0.124962719904421</v>
      </c>
      <c r="H418" s="12" t="n">
        <f aca="false">G418^(-1/B418)-1</f>
        <v>0.06213636</v>
      </c>
      <c r="I418" s="12" t="n">
        <f aca="false">(1+H418)^(1/12)-1</f>
        <v>0.00503616521485584</v>
      </c>
      <c r="J418" s="16" t="n">
        <f aca="false">IF(C418=0,(1+Dic2025!$M$6)^(-B418),EXP(LN(INDEX(Dic2025!$N$6:$N$205,C418))+(LN(INDEX(Dic2025!$N$6:$N$205,MIN(C418+1,200)))-LN(INDEX(Dic2025!$N$6:$N$205,C418)))*(A418-6*C418)/6))</f>
        <v>0.124962719904421</v>
      </c>
      <c r="K418" s="12" t="n">
        <f aca="false">J418^(-1/B418)-1</f>
        <v>0.06213636</v>
      </c>
      <c r="L418" s="12" t="n">
        <f aca="false">(1+K418)^(1/12)-1</f>
        <v>0.00503616521485584</v>
      </c>
    </row>
    <row r="419" customFormat="false" ht="15" hidden="false" customHeight="false" outlineLevel="0" collapsed="false">
      <c r="A419" s="4" t="n">
        <v>415</v>
      </c>
      <c r="B419" s="14" t="n">
        <f aca="false">A419/12</f>
        <v>34.5833333333333</v>
      </c>
      <c r="C419" s="15" t="n">
        <f aca="false">INT(A419/6)</f>
        <v>69</v>
      </c>
      <c r="D419" s="16" t="n">
        <f aca="false">IF(C419=0,(1+Dic2025!$G$6)^(-B419),EXP(LN(INDEX(Dic2025!$H$6:$H$205,C419))+(LN(INDEX(Dic2025!$H$6:$H$205,MIN(C419+1,200)))-LN(INDEX(Dic2025!$H$6:$H$205,C419)))*(A419-6*C419)/6))</f>
        <v>0.124266186024496</v>
      </c>
      <c r="E419" s="12" t="n">
        <f aca="false">D419^(-1/B419)-1</f>
        <v>0.0621537433350343</v>
      </c>
      <c r="F419" s="12" t="n">
        <f aca="false">(1+E419)^(1/12)-1</f>
        <v>0.0050375359388346</v>
      </c>
      <c r="G419" s="16" t="n">
        <f aca="false">IF(C419=0,(1+Dic2025!$J$6)^(-B419),EXP(LN(INDEX(Dic2025!$K$6:$K$205,C419))+(LN(INDEX(Dic2025!$K$6:$K$205,MIN(C419+1,200)))-LN(INDEX(Dic2025!$K$6:$K$205,C419)))*(A419-6*C419)/6))</f>
        <v>0.124266186024496</v>
      </c>
      <c r="H419" s="12" t="n">
        <f aca="false">G419^(-1/B419)-1</f>
        <v>0.0621537433350343</v>
      </c>
      <c r="I419" s="12" t="n">
        <f aca="false">(1+H419)^(1/12)-1</f>
        <v>0.0050375359388346</v>
      </c>
      <c r="J419" s="16" t="n">
        <f aca="false">IF(C419=0,(1+Dic2025!$M$6)^(-B419),EXP(LN(INDEX(Dic2025!$N$6:$N$205,C419))+(LN(INDEX(Dic2025!$N$6:$N$205,MIN(C419+1,200)))-LN(INDEX(Dic2025!$N$6:$N$205,C419)))*(A419-6*C419)/6))</f>
        <v>0.124266186024496</v>
      </c>
      <c r="K419" s="12" t="n">
        <f aca="false">J419^(-1/B419)-1</f>
        <v>0.0621537433350343</v>
      </c>
      <c r="L419" s="12" t="n">
        <f aca="false">(1+K419)^(1/12)-1</f>
        <v>0.0050375359388346</v>
      </c>
    </row>
    <row r="420" customFormat="false" ht="15" hidden="false" customHeight="false" outlineLevel="0" collapsed="false">
      <c r="A420" s="4" t="n">
        <v>416</v>
      </c>
      <c r="B420" s="14" t="n">
        <f aca="false">A420/12</f>
        <v>34.6666666666667</v>
      </c>
      <c r="C420" s="15" t="n">
        <f aca="false">INT(A420/6)</f>
        <v>69</v>
      </c>
      <c r="D420" s="16" t="n">
        <f aca="false">IF(C420=0,(1+Dic2025!$G$6)^(-B420),EXP(LN(INDEX(Dic2025!$H$6:$H$205,C420))+(LN(INDEX(Dic2025!$H$6:$H$205,MIN(C420+1,200)))-LN(INDEX(Dic2025!$H$6:$H$205,C420)))*(A420-6*C420)/6))</f>
        <v>0.123573534578039</v>
      </c>
      <c r="E420" s="12" t="n">
        <f aca="false">D420^(-1/B420)-1</f>
        <v>0.0621710433787965</v>
      </c>
      <c r="F420" s="12" t="n">
        <f aca="false">(1+E420)^(1/12)-1</f>
        <v>0.00503890007465024</v>
      </c>
      <c r="G420" s="16" t="n">
        <f aca="false">IF(C420=0,(1+Dic2025!$J$6)^(-B420),EXP(LN(INDEX(Dic2025!$K$6:$K$205,C420))+(LN(INDEX(Dic2025!$K$6:$K$205,MIN(C420+1,200)))-LN(INDEX(Dic2025!$K$6:$K$205,C420)))*(A420-6*C420)/6))</f>
        <v>0.123573534578039</v>
      </c>
      <c r="H420" s="12" t="n">
        <f aca="false">G420^(-1/B420)-1</f>
        <v>0.0621710433787965</v>
      </c>
      <c r="I420" s="12" t="n">
        <f aca="false">(1+H420)^(1/12)-1</f>
        <v>0.00503890007465024</v>
      </c>
      <c r="J420" s="16" t="n">
        <f aca="false">IF(C420=0,(1+Dic2025!$M$6)^(-B420),EXP(LN(INDEX(Dic2025!$N$6:$N$205,C420))+(LN(INDEX(Dic2025!$N$6:$N$205,MIN(C420+1,200)))-LN(INDEX(Dic2025!$N$6:$N$205,C420)))*(A420-6*C420)/6))</f>
        <v>0.123573534578039</v>
      </c>
      <c r="K420" s="12" t="n">
        <f aca="false">J420^(-1/B420)-1</f>
        <v>0.0621710433787965</v>
      </c>
      <c r="L420" s="12" t="n">
        <f aca="false">(1+K420)^(1/12)-1</f>
        <v>0.00503890007465024</v>
      </c>
    </row>
    <row r="421" customFormat="false" ht="15" hidden="false" customHeight="false" outlineLevel="0" collapsed="false">
      <c r="A421" s="4" t="n">
        <v>417</v>
      </c>
      <c r="B421" s="14" t="n">
        <f aca="false">A421/12</f>
        <v>34.75</v>
      </c>
      <c r="C421" s="15" t="n">
        <f aca="false">INT(A421/6)</f>
        <v>69</v>
      </c>
      <c r="D421" s="16" t="n">
        <f aca="false">IF(C421=0,(1+Dic2025!$G$6)^(-B421),EXP(LN(INDEX(Dic2025!$H$6:$H$205,C421))+(LN(INDEX(Dic2025!$H$6:$H$205,MIN(C421+1,200)))-LN(INDEX(Dic2025!$H$6:$H$205,C421)))*(A421-6*C421)/6))</f>
        <v>0.122884743924623</v>
      </c>
      <c r="E421" s="12" t="n">
        <f aca="false">D421^(-1/B421)-1</f>
        <v>0.0621882607284818</v>
      </c>
      <c r="F421" s="12" t="n">
        <f aca="false">(1+E421)^(1/12)-1</f>
        <v>0.00504025766968641</v>
      </c>
      <c r="G421" s="16" t="n">
        <f aca="false">IF(C421=0,(1+Dic2025!$J$6)^(-B421),EXP(LN(INDEX(Dic2025!$K$6:$K$205,C421))+(LN(INDEX(Dic2025!$K$6:$K$205,MIN(C421+1,200)))-LN(INDEX(Dic2025!$K$6:$K$205,C421)))*(A421-6*C421)/6))</f>
        <v>0.122884743924623</v>
      </c>
      <c r="H421" s="12" t="n">
        <f aca="false">G421^(-1/B421)-1</f>
        <v>0.0621882607284818</v>
      </c>
      <c r="I421" s="12" t="n">
        <f aca="false">(1+H421)^(1/12)-1</f>
        <v>0.00504025766968641</v>
      </c>
      <c r="J421" s="16" t="n">
        <f aca="false">IF(C421=0,(1+Dic2025!$M$6)^(-B421),EXP(LN(INDEX(Dic2025!$N$6:$N$205,C421))+(LN(INDEX(Dic2025!$N$6:$N$205,MIN(C421+1,200)))-LN(INDEX(Dic2025!$N$6:$N$205,C421)))*(A421-6*C421)/6))</f>
        <v>0.122884743924623</v>
      </c>
      <c r="K421" s="12" t="n">
        <f aca="false">J421^(-1/B421)-1</f>
        <v>0.0621882607284818</v>
      </c>
      <c r="L421" s="12" t="n">
        <f aca="false">(1+K421)^(1/12)-1</f>
        <v>0.00504025766968641</v>
      </c>
    </row>
    <row r="422" customFormat="false" ht="15" hidden="false" customHeight="false" outlineLevel="0" collapsed="false">
      <c r="A422" s="4" t="n">
        <v>418</v>
      </c>
      <c r="B422" s="14" t="n">
        <f aca="false">A422/12</f>
        <v>34.8333333333333</v>
      </c>
      <c r="C422" s="15" t="n">
        <f aca="false">INT(A422/6)</f>
        <v>69</v>
      </c>
      <c r="D422" s="16" t="n">
        <f aca="false">IF(C422=0,(1+Dic2025!$G$6)^(-B422),EXP(LN(INDEX(Dic2025!$H$6:$H$205,C422))+(LN(INDEX(Dic2025!$H$6:$H$205,MIN(C422+1,200)))-LN(INDEX(Dic2025!$H$6:$H$205,C422)))*(A422-6*C422)/6))</f>
        <v>0.122199792544445</v>
      </c>
      <c r="E422" s="12" t="n">
        <f aca="false">D422^(-1/B422)-1</f>
        <v>0.0622053959755897</v>
      </c>
      <c r="F422" s="12" t="n">
        <f aca="false">(1+E422)^(1/12)-1</f>
        <v>0.00504160877087334</v>
      </c>
      <c r="G422" s="16" t="n">
        <f aca="false">IF(C422=0,(1+Dic2025!$J$6)^(-B422),EXP(LN(INDEX(Dic2025!$K$6:$K$205,C422))+(LN(INDEX(Dic2025!$K$6:$K$205,MIN(C422+1,200)))-LN(INDEX(Dic2025!$K$6:$K$205,C422)))*(A422-6*C422)/6))</f>
        <v>0.122199792544445</v>
      </c>
      <c r="H422" s="12" t="n">
        <f aca="false">G422^(-1/B422)-1</f>
        <v>0.0622053959755897</v>
      </c>
      <c r="I422" s="12" t="n">
        <f aca="false">(1+H422)^(1/12)-1</f>
        <v>0.00504160877087334</v>
      </c>
      <c r="J422" s="16" t="n">
        <f aca="false">IF(C422=0,(1+Dic2025!$M$6)^(-B422),EXP(LN(INDEX(Dic2025!$N$6:$N$205,C422))+(LN(INDEX(Dic2025!$N$6:$N$205,MIN(C422+1,200)))-LN(INDEX(Dic2025!$N$6:$N$205,C422)))*(A422-6*C422)/6))</f>
        <v>0.122199792544445</v>
      </c>
      <c r="K422" s="12" t="n">
        <f aca="false">J422^(-1/B422)-1</f>
        <v>0.0622053959755897</v>
      </c>
      <c r="L422" s="12" t="n">
        <f aca="false">(1+K422)^(1/12)-1</f>
        <v>0.00504160877087334</v>
      </c>
    </row>
    <row r="423" customFormat="false" ht="15" hidden="false" customHeight="false" outlineLevel="0" collapsed="false">
      <c r="A423" s="4" t="n">
        <v>419</v>
      </c>
      <c r="B423" s="14" t="n">
        <f aca="false">A423/12</f>
        <v>34.9166666666667</v>
      </c>
      <c r="C423" s="15" t="n">
        <f aca="false">INT(A423/6)</f>
        <v>69</v>
      </c>
      <c r="D423" s="16" t="n">
        <f aca="false">IF(C423=0,(1+Dic2025!$G$6)^(-B423),EXP(LN(INDEX(Dic2025!$H$6:$H$205,C423))+(LN(INDEX(Dic2025!$H$6:$H$205,MIN(C423+1,200)))-LN(INDEX(Dic2025!$H$6:$H$205,C423)))*(A423-6*C423)/6))</f>
        <v>0.121518659037651</v>
      </c>
      <c r="E423" s="12" t="n">
        <f aca="false">D423^(-1/B423)-1</f>
        <v>0.0622224497059922</v>
      </c>
      <c r="F423" s="12" t="n">
        <f aca="false">(1+E423)^(1/12)-1</f>
        <v>0.00504295342469296</v>
      </c>
      <c r="G423" s="16" t="n">
        <f aca="false">IF(C423=0,(1+Dic2025!$J$6)^(-B423),EXP(LN(INDEX(Dic2025!$K$6:$K$205,C423))+(LN(INDEX(Dic2025!$K$6:$K$205,MIN(C423+1,200)))-LN(INDEX(Dic2025!$K$6:$K$205,C423)))*(A423-6*C423)/6))</f>
        <v>0.121518659037651</v>
      </c>
      <c r="H423" s="12" t="n">
        <f aca="false">G423^(-1/B423)-1</f>
        <v>0.0622224497059922</v>
      </c>
      <c r="I423" s="12" t="n">
        <f aca="false">(1+H423)^(1/12)-1</f>
        <v>0.00504295342469296</v>
      </c>
      <c r="J423" s="16" t="n">
        <f aca="false">IF(C423=0,(1+Dic2025!$M$6)^(-B423),EXP(LN(INDEX(Dic2025!$N$6:$N$205,C423))+(LN(INDEX(Dic2025!$N$6:$N$205,MIN(C423+1,200)))-LN(INDEX(Dic2025!$N$6:$N$205,C423)))*(A423-6*C423)/6))</f>
        <v>0.121518659037651</v>
      </c>
      <c r="K423" s="12" t="n">
        <f aca="false">J423^(-1/B423)-1</f>
        <v>0.0622224497059922</v>
      </c>
      <c r="L423" s="12" t="n">
        <f aca="false">(1+K423)^(1/12)-1</f>
        <v>0.00504295342469296</v>
      </c>
    </row>
    <row r="424" customFormat="false" ht="15" hidden="false" customHeight="false" outlineLevel="0" collapsed="false">
      <c r="A424" s="4" t="n">
        <v>420</v>
      </c>
      <c r="B424" s="14" t="n">
        <f aca="false">A424/12</f>
        <v>35</v>
      </c>
      <c r="C424" s="15" t="n">
        <f aca="false">INT(A424/6)</f>
        <v>70</v>
      </c>
      <c r="D424" s="16" t="n">
        <f aca="false">IF(C424=0,(1+Dic2025!$G$6)^(-B424),EXP(LN(INDEX(Dic2025!$H$6:$H$205,C424))+(LN(INDEX(Dic2025!$H$6:$H$205,MIN(C424+1,200)))-LN(INDEX(Dic2025!$H$6:$H$205,C424)))*(A424-6*C424)/6))</f>
        <v>0.12084132212367</v>
      </c>
      <c r="E424" s="12" t="n">
        <f aca="false">D424^(-1/B424)-1</f>
        <v>0.0622394225</v>
      </c>
      <c r="F424" s="12" t="n">
        <f aca="false">(1+E424)^(1/12)-1</f>
        <v>0.00504429167718556</v>
      </c>
      <c r="G424" s="16" t="n">
        <f aca="false">IF(C424=0,(1+Dic2025!$J$6)^(-B424),EXP(LN(INDEX(Dic2025!$K$6:$K$205,C424))+(LN(INDEX(Dic2025!$K$6:$K$205,MIN(C424+1,200)))-LN(INDEX(Dic2025!$K$6:$K$205,C424)))*(A424-6*C424)/6))</f>
        <v>0.12084132212367</v>
      </c>
      <c r="H424" s="12" t="n">
        <f aca="false">G424^(-1/B424)-1</f>
        <v>0.0622394225</v>
      </c>
      <c r="I424" s="12" t="n">
        <f aca="false">(1+H424)^(1/12)-1</f>
        <v>0.00504429167718556</v>
      </c>
      <c r="J424" s="16" t="n">
        <f aca="false">IF(C424=0,(1+Dic2025!$M$6)^(-B424),EXP(LN(INDEX(Dic2025!$N$6:$N$205,C424))+(LN(INDEX(Dic2025!$N$6:$N$205,MIN(C424+1,200)))-LN(INDEX(Dic2025!$N$6:$N$205,C424)))*(A424-6*C424)/6))</f>
        <v>0.12084132212367</v>
      </c>
      <c r="K424" s="12" t="n">
        <f aca="false">J424^(-1/B424)-1</f>
        <v>0.0622394225</v>
      </c>
      <c r="L424" s="12" t="n">
        <f aca="false">(1+K424)^(1/12)-1</f>
        <v>0.00504429167718556</v>
      </c>
    </row>
    <row r="425" customFormat="false" ht="15" hidden="false" customHeight="false" outlineLevel="0" collapsed="false">
      <c r="A425" s="4" t="n">
        <v>421</v>
      </c>
      <c r="B425" s="14" t="n">
        <f aca="false">A425/12</f>
        <v>35.0833333333333</v>
      </c>
      <c r="C425" s="15" t="n">
        <f aca="false">INT(A425/6)</f>
        <v>70</v>
      </c>
      <c r="D425" s="16" t="n">
        <f aca="false">IF(C425=0,(1+Dic2025!$G$6)^(-B425),EXP(LN(INDEX(Dic2025!$H$6:$H$205,C425))+(LN(INDEX(Dic2025!$H$6:$H$205,MIN(C425+1,200)))-LN(INDEX(Dic2025!$H$6:$H$205,C425)))*(A425-6*C425)/6))</f>
        <v>0.120234822608677</v>
      </c>
      <c r="E425" s="12" t="n">
        <f aca="false">D425^(-1/B425)-1</f>
        <v>0.0622394225</v>
      </c>
      <c r="F425" s="12" t="n">
        <f aca="false">(1+E425)^(1/12)-1</f>
        <v>0.00504429167718556</v>
      </c>
      <c r="G425" s="16" t="n">
        <f aca="false">IF(C425=0,(1+Dic2025!$J$6)^(-B425),EXP(LN(INDEX(Dic2025!$K$6:$K$205,C425))+(LN(INDEX(Dic2025!$K$6:$K$205,MIN(C425+1,200)))-LN(INDEX(Dic2025!$K$6:$K$205,C425)))*(A425-6*C425)/6))</f>
        <v>0.120234822608677</v>
      </c>
      <c r="H425" s="12" t="n">
        <f aca="false">G425^(-1/B425)-1</f>
        <v>0.0622394225</v>
      </c>
      <c r="I425" s="12" t="n">
        <f aca="false">(1+H425)^(1/12)-1</f>
        <v>0.00504429167718556</v>
      </c>
      <c r="J425" s="16" t="n">
        <f aca="false">IF(C425=0,(1+Dic2025!$M$6)^(-B425),EXP(LN(INDEX(Dic2025!$N$6:$N$205,C425))+(LN(INDEX(Dic2025!$N$6:$N$205,MIN(C425+1,200)))-LN(INDEX(Dic2025!$N$6:$N$205,C425)))*(A425-6*C425)/6))</f>
        <v>0.120234822608677</v>
      </c>
      <c r="K425" s="12" t="n">
        <f aca="false">J425^(-1/B425)-1</f>
        <v>0.0622394225</v>
      </c>
      <c r="L425" s="12" t="n">
        <f aca="false">(1+K425)^(1/12)-1</f>
        <v>0.00504429167718556</v>
      </c>
    </row>
    <row r="426" customFormat="false" ht="15" hidden="false" customHeight="false" outlineLevel="0" collapsed="false">
      <c r="A426" s="4" t="n">
        <v>422</v>
      </c>
      <c r="B426" s="14" t="n">
        <f aca="false">A426/12</f>
        <v>35.1666666666667</v>
      </c>
      <c r="C426" s="15" t="n">
        <f aca="false">INT(A426/6)</f>
        <v>70</v>
      </c>
      <c r="D426" s="16" t="n">
        <f aca="false">IF(C426=0,(1+Dic2025!$G$6)^(-B426),EXP(LN(INDEX(Dic2025!$H$6:$H$205,C426))+(LN(INDEX(Dic2025!$H$6:$H$205,MIN(C426+1,200)))-LN(INDEX(Dic2025!$H$6:$H$205,C426)))*(A426-6*C426)/6))</f>
        <v>0.119631367099288</v>
      </c>
      <c r="E426" s="12" t="n">
        <f aca="false">D426^(-1/B426)-1</f>
        <v>0.0622394225</v>
      </c>
      <c r="F426" s="12" t="n">
        <f aca="false">(1+E426)^(1/12)-1</f>
        <v>0.00504429167718556</v>
      </c>
      <c r="G426" s="16" t="n">
        <f aca="false">IF(C426=0,(1+Dic2025!$J$6)^(-B426),EXP(LN(INDEX(Dic2025!$K$6:$K$205,C426))+(LN(INDEX(Dic2025!$K$6:$K$205,MIN(C426+1,200)))-LN(INDEX(Dic2025!$K$6:$K$205,C426)))*(A426-6*C426)/6))</f>
        <v>0.119631367099288</v>
      </c>
      <c r="H426" s="12" t="n">
        <f aca="false">G426^(-1/B426)-1</f>
        <v>0.0622394225</v>
      </c>
      <c r="I426" s="12" t="n">
        <f aca="false">(1+H426)^(1/12)-1</f>
        <v>0.00504429167718556</v>
      </c>
      <c r="J426" s="16" t="n">
        <f aca="false">IF(C426=0,(1+Dic2025!$M$6)^(-B426),EXP(LN(INDEX(Dic2025!$N$6:$N$205,C426))+(LN(INDEX(Dic2025!$N$6:$N$205,MIN(C426+1,200)))-LN(INDEX(Dic2025!$N$6:$N$205,C426)))*(A426-6*C426)/6))</f>
        <v>0.119631367099288</v>
      </c>
      <c r="K426" s="12" t="n">
        <f aca="false">J426^(-1/B426)-1</f>
        <v>0.0622394225</v>
      </c>
      <c r="L426" s="12" t="n">
        <f aca="false">(1+K426)^(1/12)-1</f>
        <v>0.00504429167718556</v>
      </c>
    </row>
    <row r="427" customFormat="false" ht="15" hidden="false" customHeight="false" outlineLevel="0" collapsed="false">
      <c r="A427" s="4" t="n">
        <v>423</v>
      </c>
      <c r="B427" s="14" t="n">
        <f aca="false">A427/12</f>
        <v>35.25</v>
      </c>
      <c r="C427" s="15" t="n">
        <f aca="false">INT(A427/6)</f>
        <v>70</v>
      </c>
      <c r="D427" s="16" t="n">
        <f aca="false">IF(C427=0,(1+Dic2025!$G$6)^(-B427),EXP(LN(INDEX(Dic2025!$H$6:$H$205,C427))+(LN(INDEX(Dic2025!$H$6:$H$205,MIN(C427+1,200)))-LN(INDEX(Dic2025!$H$6:$H$205,C427)))*(A427-6*C427)/6))</f>
        <v>0.119030940317716</v>
      </c>
      <c r="E427" s="12" t="n">
        <f aca="false">D427^(-1/B427)-1</f>
        <v>0.0622394225</v>
      </c>
      <c r="F427" s="12" t="n">
        <f aca="false">(1+E427)^(1/12)-1</f>
        <v>0.00504429167718556</v>
      </c>
      <c r="G427" s="16" t="n">
        <f aca="false">IF(C427=0,(1+Dic2025!$J$6)^(-B427),EXP(LN(INDEX(Dic2025!$K$6:$K$205,C427))+(LN(INDEX(Dic2025!$K$6:$K$205,MIN(C427+1,200)))-LN(INDEX(Dic2025!$K$6:$K$205,C427)))*(A427-6*C427)/6))</f>
        <v>0.119030940317716</v>
      </c>
      <c r="H427" s="12" t="n">
        <f aca="false">G427^(-1/B427)-1</f>
        <v>0.0622394225</v>
      </c>
      <c r="I427" s="12" t="n">
        <f aca="false">(1+H427)^(1/12)-1</f>
        <v>0.00504429167718556</v>
      </c>
      <c r="J427" s="16" t="n">
        <f aca="false">IF(C427=0,(1+Dic2025!$M$6)^(-B427),EXP(LN(INDEX(Dic2025!$N$6:$N$205,C427))+(LN(INDEX(Dic2025!$N$6:$N$205,MIN(C427+1,200)))-LN(INDEX(Dic2025!$N$6:$N$205,C427)))*(A427-6*C427)/6))</f>
        <v>0.119030940317716</v>
      </c>
      <c r="K427" s="12" t="n">
        <f aca="false">J427^(-1/B427)-1</f>
        <v>0.0622394225</v>
      </c>
      <c r="L427" s="12" t="n">
        <f aca="false">(1+K427)^(1/12)-1</f>
        <v>0.00504429167718556</v>
      </c>
    </row>
    <row r="428" customFormat="false" ht="15" hidden="false" customHeight="false" outlineLevel="0" collapsed="false">
      <c r="A428" s="4" t="n">
        <v>424</v>
      </c>
      <c r="B428" s="14" t="n">
        <f aca="false">A428/12</f>
        <v>35.3333333333333</v>
      </c>
      <c r="C428" s="15" t="n">
        <f aca="false">INT(A428/6)</f>
        <v>70</v>
      </c>
      <c r="D428" s="16" t="n">
        <f aca="false">IF(C428=0,(1+Dic2025!$G$6)^(-B428),EXP(LN(INDEX(Dic2025!$H$6:$H$205,C428))+(LN(INDEX(Dic2025!$H$6:$H$205,MIN(C428+1,200)))-LN(INDEX(Dic2025!$H$6:$H$205,C428)))*(A428-6*C428)/6))</f>
        <v>0.118433527062853</v>
      </c>
      <c r="E428" s="12" t="n">
        <f aca="false">D428^(-1/B428)-1</f>
        <v>0.0622394225</v>
      </c>
      <c r="F428" s="12" t="n">
        <f aca="false">(1+E428)^(1/12)-1</f>
        <v>0.00504429167718556</v>
      </c>
      <c r="G428" s="16" t="n">
        <f aca="false">IF(C428=0,(1+Dic2025!$J$6)^(-B428),EXP(LN(INDEX(Dic2025!$K$6:$K$205,C428))+(LN(INDEX(Dic2025!$K$6:$K$205,MIN(C428+1,200)))-LN(INDEX(Dic2025!$K$6:$K$205,C428)))*(A428-6*C428)/6))</f>
        <v>0.118433527062853</v>
      </c>
      <c r="H428" s="12" t="n">
        <f aca="false">G428^(-1/B428)-1</f>
        <v>0.0622394225</v>
      </c>
      <c r="I428" s="12" t="n">
        <f aca="false">(1+H428)^(1/12)-1</f>
        <v>0.00504429167718556</v>
      </c>
      <c r="J428" s="16" t="n">
        <f aca="false">IF(C428=0,(1+Dic2025!$M$6)^(-B428),EXP(LN(INDEX(Dic2025!$N$6:$N$205,C428))+(LN(INDEX(Dic2025!$N$6:$N$205,MIN(C428+1,200)))-LN(INDEX(Dic2025!$N$6:$N$205,C428)))*(A428-6*C428)/6))</f>
        <v>0.118433527062853</v>
      </c>
      <c r="K428" s="12" t="n">
        <f aca="false">J428^(-1/B428)-1</f>
        <v>0.0622394225</v>
      </c>
      <c r="L428" s="12" t="n">
        <f aca="false">(1+K428)^(1/12)-1</f>
        <v>0.00504429167718556</v>
      </c>
    </row>
    <row r="429" customFormat="false" ht="15" hidden="false" customHeight="false" outlineLevel="0" collapsed="false">
      <c r="A429" s="4" t="n">
        <v>425</v>
      </c>
      <c r="B429" s="14" t="n">
        <f aca="false">A429/12</f>
        <v>35.4166666666667</v>
      </c>
      <c r="C429" s="15" t="n">
        <f aca="false">INT(A429/6)</f>
        <v>70</v>
      </c>
      <c r="D429" s="16" t="n">
        <f aca="false">IF(C429=0,(1+Dic2025!$G$6)^(-B429),EXP(LN(INDEX(Dic2025!$H$6:$H$205,C429))+(LN(INDEX(Dic2025!$H$6:$H$205,MIN(C429+1,200)))-LN(INDEX(Dic2025!$H$6:$H$205,C429)))*(A429-6*C429)/6))</f>
        <v>0.117839112209886</v>
      </c>
      <c r="E429" s="12" t="n">
        <f aca="false">D429^(-1/B429)-1</f>
        <v>0.0622394225</v>
      </c>
      <c r="F429" s="12" t="n">
        <f aca="false">(1+E429)^(1/12)-1</f>
        <v>0.00504429167718556</v>
      </c>
      <c r="G429" s="16" t="n">
        <f aca="false">IF(C429=0,(1+Dic2025!$J$6)^(-B429),EXP(LN(INDEX(Dic2025!$K$6:$K$205,C429))+(LN(INDEX(Dic2025!$K$6:$K$205,MIN(C429+1,200)))-LN(INDEX(Dic2025!$K$6:$K$205,C429)))*(A429-6*C429)/6))</f>
        <v>0.117839112209886</v>
      </c>
      <c r="H429" s="12" t="n">
        <f aca="false">G429^(-1/B429)-1</f>
        <v>0.0622394225</v>
      </c>
      <c r="I429" s="12" t="n">
        <f aca="false">(1+H429)^(1/12)-1</f>
        <v>0.00504429167718556</v>
      </c>
      <c r="J429" s="16" t="n">
        <f aca="false">IF(C429=0,(1+Dic2025!$M$6)^(-B429),EXP(LN(INDEX(Dic2025!$N$6:$N$205,C429))+(LN(INDEX(Dic2025!$N$6:$N$205,MIN(C429+1,200)))-LN(INDEX(Dic2025!$N$6:$N$205,C429)))*(A429-6*C429)/6))</f>
        <v>0.117839112209886</v>
      </c>
      <c r="K429" s="12" t="n">
        <f aca="false">J429^(-1/B429)-1</f>
        <v>0.0622394225</v>
      </c>
      <c r="L429" s="12" t="n">
        <f aca="false">(1+K429)^(1/12)-1</f>
        <v>0.00504429167718556</v>
      </c>
    </row>
    <row r="430" customFormat="false" ht="15" hidden="false" customHeight="false" outlineLevel="0" collapsed="false">
      <c r="A430" s="4" t="n">
        <v>426</v>
      </c>
      <c r="B430" s="14" t="n">
        <f aca="false">A430/12</f>
        <v>35.5</v>
      </c>
      <c r="C430" s="15" t="n">
        <f aca="false">INT(A430/6)</f>
        <v>71</v>
      </c>
      <c r="D430" s="16" t="n">
        <f aca="false">IF(C430=0,(1+Dic2025!$G$6)^(-B430),EXP(LN(INDEX(Dic2025!$H$6:$H$205,C430))+(LN(INDEX(Dic2025!$H$6:$H$205,MIN(C430+1,200)))-LN(INDEX(Dic2025!$H$6:$H$205,C430)))*(A430-6*C430)/6))</f>
        <v>0.117247680709911</v>
      </c>
      <c r="E430" s="12" t="n">
        <f aca="false">D430^(-1/B430)-1</f>
        <v>0.0622394225</v>
      </c>
      <c r="F430" s="12" t="n">
        <f aca="false">(1+E430)^(1/12)-1</f>
        <v>0.00504429167718556</v>
      </c>
      <c r="G430" s="16" t="n">
        <f aca="false">IF(C430=0,(1+Dic2025!$J$6)^(-B430),EXP(LN(INDEX(Dic2025!$K$6:$K$205,C430))+(LN(INDEX(Dic2025!$K$6:$K$205,MIN(C430+1,200)))-LN(INDEX(Dic2025!$K$6:$K$205,C430)))*(A430-6*C430)/6))</f>
        <v>0.117247680709911</v>
      </c>
      <c r="H430" s="12" t="n">
        <f aca="false">G430^(-1/B430)-1</f>
        <v>0.0622394225</v>
      </c>
      <c r="I430" s="12" t="n">
        <f aca="false">(1+H430)^(1/12)-1</f>
        <v>0.00504429167718556</v>
      </c>
      <c r="J430" s="16" t="n">
        <f aca="false">IF(C430=0,(1+Dic2025!$M$6)^(-B430),EXP(LN(INDEX(Dic2025!$N$6:$N$205,C430))+(LN(INDEX(Dic2025!$N$6:$N$205,MIN(C430+1,200)))-LN(INDEX(Dic2025!$N$6:$N$205,C430)))*(A430-6*C430)/6))</f>
        <v>0.117247680709911</v>
      </c>
      <c r="K430" s="12" t="n">
        <f aca="false">J430^(-1/B430)-1</f>
        <v>0.0622394225</v>
      </c>
      <c r="L430" s="12" t="n">
        <f aca="false">(1+K430)^(1/12)-1</f>
        <v>0.00504429167718556</v>
      </c>
    </row>
    <row r="431" customFormat="false" ht="15" hidden="false" customHeight="false" outlineLevel="0" collapsed="false">
      <c r="A431" s="4" t="n">
        <v>427</v>
      </c>
      <c r="B431" s="14" t="n">
        <f aca="false">A431/12</f>
        <v>35.5833333333333</v>
      </c>
      <c r="C431" s="15" t="n">
        <f aca="false">INT(A431/6)</f>
        <v>71</v>
      </c>
      <c r="D431" s="16" t="n">
        <f aca="false">IF(C431=0,(1+Dic2025!$G$6)^(-B431),EXP(LN(INDEX(Dic2025!$H$6:$H$205,C431))+(LN(INDEX(Dic2025!$H$6:$H$205,MIN(C431+1,200)))-LN(INDEX(Dic2025!$H$6:$H$205,C431)))*(A431-6*C431)/6))</f>
        <v>0.116591325032909</v>
      </c>
      <c r="E431" s="12" t="n">
        <f aca="false">D431^(-1/B431)-1</f>
        <v>0.0622568008623086</v>
      </c>
      <c r="F431" s="12" t="n">
        <f aca="false">(1+E431)^(1/12)-1</f>
        <v>0.00504566188717948</v>
      </c>
      <c r="G431" s="16" t="n">
        <f aca="false">IF(C431=0,(1+Dic2025!$J$6)^(-B431),EXP(LN(INDEX(Dic2025!$K$6:$K$205,C431))+(LN(INDEX(Dic2025!$K$6:$K$205,MIN(C431+1,200)))-LN(INDEX(Dic2025!$K$6:$K$205,C431)))*(A431-6*C431)/6))</f>
        <v>0.116591325032909</v>
      </c>
      <c r="H431" s="12" t="n">
        <f aca="false">G431^(-1/B431)-1</f>
        <v>0.0622568008623086</v>
      </c>
      <c r="I431" s="12" t="n">
        <f aca="false">(1+H431)^(1/12)-1</f>
        <v>0.00504566188717948</v>
      </c>
      <c r="J431" s="16" t="n">
        <f aca="false">IF(C431=0,(1+Dic2025!$M$6)^(-B431),EXP(LN(INDEX(Dic2025!$N$6:$N$205,C431))+(LN(INDEX(Dic2025!$N$6:$N$205,MIN(C431+1,200)))-LN(INDEX(Dic2025!$N$6:$N$205,C431)))*(A431-6*C431)/6))</f>
        <v>0.116591325032909</v>
      </c>
      <c r="K431" s="12" t="n">
        <f aca="false">J431^(-1/B431)-1</f>
        <v>0.0622568008623086</v>
      </c>
      <c r="L431" s="12" t="n">
        <f aca="false">(1+K431)^(1/12)-1</f>
        <v>0.00504566188717948</v>
      </c>
    </row>
    <row r="432" customFormat="false" ht="15" hidden="false" customHeight="false" outlineLevel="0" collapsed="false">
      <c r="A432" s="4" t="n">
        <v>428</v>
      </c>
      <c r="B432" s="14" t="n">
        <f aca="false">A432/12</f>
        <v>35.6666666666667</v>
      </c>
      <c r="C432" s="15" t="n">
        <f aca="false">INT(A432/6)</f>
        <v>71</v>
      </c>
      <c r="D432" s="16" t="n">
        <f aca="false">IF(C432=0,(1+Dic2025!$G$6)^(-B432),EXP(LN(INDEX(Dic2025!$H$6:$H$205,C432))+(LN(INDEX(Dic2025!$H$6:$H$205,MIN(C432+1,200)))-LN(INDEX(Dic2025!$H$6:$H$205,C432)))*(A432-6*C432)/6))</f>
        <v>0.115938643652677</v>
      </c>
      <c r="E432" s="12" t="n">
        <f aca="false">D432^(-1/B432)-1</f>
        <v>0.062274098299639</v>
      </c>
      <c r="F432" s="12" t="n">
        <f aca="false">(1+E432)^(1/12)-1</f>
        <v>0.00504702569617788</v>
      </c>
      <c r="G432" s="16" t="n">
        <f aca="false">IF(C432=0,(1+Dic2025!$J$6)^(-B432),EXP(LN(INDEX(Dic2025!$K$6:$K$205,C432))+(LN(INDEX(Dic2025!$K$6:$K$205,MIN(C432+1,200)))-LN(INDEX(Dic2025!$K$6:$K$205,C432)))*(A432-6*C432)/6))</f>
        <v>0.115938643652677</v>
      </c>
      <c r="H432" s="12" t="n">
        <f aca="false">G432^(-1/B432)-1</f>
        <v>0.062274098299639</v>
      </c>
      <c r="I432" s="12" t="n">
        <f aca="false">(1+H432)^(1/12)-1</f>
        <v>0.00504702569617788</v>
      </c>
      <c r="J432" s="16" t="n">
        <f aca="false">IF(C432=0,(1+Dic2025!$M$6)^(-B432),EXP(LN(INDEX(Dic2025!$N$6:$N$205,C432))+(LN(INDEX(Dic2025!$N$6:$N$205,MIN(C432+1,200)))-LN(INDEX(Dic2025!$N$6:$N$205,C432)))*(A432-6*C432)/6))</f>
        <v>0.115938643652677</v>
      </c>
      <c r="K432" s="12" t="n">
        <f aca="false">J432^(-1/B432)-1</f>
        <v>0.062274098299639</v>
      </c>
      <c r="L432" s="12" t="n">
        <f aca="false">(1+K432)^(1/12)-1</f>
        <v>0.00504702569617788</v>
      </c>
    </row>
    <row r="433" customFormat="false" ht="15" hidden="false" customHeight="false" outlineLevel="0" collapsed="false">
      <c r="A433" s="4" t="n">
        <v>429</v>
      </c>
      <c r="B433" s="14" t="n">
        <f aca="false">A433/12</f>
        <v>35.75</v>
      </c>
      <c r="C433" s="15" t="n">
        <f aca="false">INT(A433/6)</f>
        <v>71</v>
      </c>
      <c r="D433" s="16" t="n">
        <f aca="false">IF(C433=0,(1+Dic2025!$G$6)^(-B433),EXP(LN(INDEX(Dic2025!$H$6:$H$205,C433))+(LN(INDEX(Dic2025!$H$6:$H$205,MIN(C433+1,200)))-LN(INDEX(Dic2025!$H$6:$H$205,C433)))*(A433-6*C433)/6))</f>
        <v>0.115289616000406</v>
      </c>
      <c r="E433" s="12" t="n">
        <f aca="false">D433^(-1/B433)-1</f>
        <v>0.062291315375935</v>
      </c>
      <c r="F433" s="12" t="n">
        <f aca="false">(1+E433)^(1/12)-1</f>
        <v>0.00504838314893008</v>
      </c>
      <c r="G433" s="16" t="n">
        <f aca="false">IF(C433=0,(1+Dic2025!$J$6)^(-B433),EXP(LN(INDEX(Dic2025!$K$6:$K$205,C433))+(LN(INDEX(Dic2025!$K$6:$K$205,MIN(C433+1,200)))-LN(INDEX(Dic2025!$K$6:$K$205,C433)))*(A433-6*C433)/6))</f>
        <v>0.115289616000406</v>
      </c>
      <c r="H433" s="12" t="n">
        <f aca="false">G433^(-1/B433)-1</f>
        <v>0.062291315375935</v>
      </c>
      <c r="I433" s="12" t="n">
        <f aca="false">(1+H433)^(1/12)-1</f>
        <v>0.00504838314893008</v>
      </c>
      <c r="J433" s="16" t="n">
        <f aca="false">IF(C433=0,(1+Dic2025!$M$6)^(-B433),EXP(LN(INDEX(Dic2025!$N$6:$N$205,C433))+(LN(INDEX(Dic2025!$N$6:$N$205,MIN(C433+1,200)))-LN(INDEX(Dic2025!$N$6:$N$205,C433)))*(A433-6*C433)/6))</f>
        <v>0.115289616000406</v>
      </c>
      <c r="K433" s="12" t="n">
        <f aca="false">J433^(-1/B433)-1</f>
        <v>0.062291315375935</v>
      </c>
      <c r="L433" s="12" t="n">
        <f aca="false">(1+K433)^(1/12)-1</f>
        <v>0.00504838314893008</v>
      </c>
    </row>
    <row r="434" customFormat="false" ht="15" hidden="false" customHeight="false" outlineLevel="0" collapsed="false">
      <c r="A434" s="4" t="n">
        <v>430</v>
      </c>
      <c r="B434" s="14" t="n">
        <f aca="false">A434/12</f>
        <v>35.8333333333333</v>
      </c>
      <c r="C434" s="15" t="n">
        <f aca="false">INT(A434/6)</f>
        <v>71</v>
      </c>
      <c r="D434" s="16" t="n">
        <f aca="false">IF(C434=0,(1+Dic2025!$G$6)^(-B434),EXP(LN(INDEX(Dic2025!$H$6:$H$205,C434))+(LN(INDEX(Dic2025!$H$6:$H$205,MIN(C434+1,200)))-LN(INDEX(Dic2025!$H$6:$H$205,C434)))*(A434-6*C434)/6))</f>
        <v>0.114644221622426</v>
      </c>
      <c r="E434" s="12" t="n">
        <f aca="false">D434^(-1/B434)-1</f>
        <v>0.0623084526499127</v>
      </c>
      <c r="F434" s="12" t="n">
        <f aca="false">(1+E434)^(1/12)-1</f>
        <v>0.00504973428976929</v>
      </c>
      <c r="G434" s="16" t="n">
        <f aca="false">IF(C434=0,(1+Dic2025!$J$6)^(-B434),EXP(LN(INDEX(Dic2025!$K$6:$K$205,C434))+(LN(INDEX(Dic2025!$K$6:$K$205,MIN(C434+1,200)))-LN(INDEX(Dic2025!$K$6:$K$205,C434)))*(A434-6*C434)/6))</f>
        <v>0.114644221622426</v>
      </c>
      <c r="H434" s="12" t="n">
        <f aca="false">G434^(-1/B434)-1</f>
        <v>0.0623084526499127</v>
      </c>
      <c r="I434" s="12" t="n">
        <f aca="false">(1+H434)^(1/12)-1</f>
        <v>0.00504973428976929</v>
      </c>
      <c r="J434" s="16" t="n">
        <f aca="false">IF(C434=0,(1+Dic2025!$M$6)^(-B434),EXP(LN(INDEX(Dic2025!$N$6:$N$205,C434))+(LN(INDEX(Dic2025!$N$6:$N$205,MIN(C434+1,200)))-LN(INDEX(Dic2025!$N$6:$N$205,C434)))*(A434-6*C434)/6))</f>
        <v>0.114644221622426</v>
      </c>
      <c r="K434" s="12" t="n">
        <f aca="false">J434^(-1/B434)-1</f>
        <v>0.0623084526499127</v>
      </c>
      <c r="L434" s="12" t="n">
        <f aca="false">(1+K434)^(1/12)-1</f>
        <v>0.00504973428976929</v>
      </c>
    </row>
    <row r="435" customFormat="false" ht="15" hidden="false" customHeight="false" outlineLevel="0" collapsed="false">
      <c r="A435" s="4" t="n">
        <v>431</v>
      </c>
      <c r="B435" s="14" t="n">
        <f aca="false">A435/12</f>
        <v>35.9166666666667</v>
      </c>
      <c r="C435" s="15" t="n">
        <f aca="false">INT(A435/6)</f>
        <v>71</v>
      </c>
      <c r="D435" s="16" t="n">
        <f aca="false">IF(C435=0,(1+Dic2025!$G$6)^(-B435),EXP(LN(INDEX(Dic2025!$H$6:$H$205,C435))+(LN(INDEX(Dic2025!$H$6:$H$205,MIN(C435+1,200)))-LN(INDEX(Dic2025!$H$6:$H$205,C435)))*(A435-6*C435)/6))</f>
        <v>0.11400244017957</v>
      </c>
      <c r="E435" s="12" t="n">
        <f aca="false">D435^(-1/B435)-1</f>
        <v>0.0623255106751206</v>
      </c>
      <c r="F435" s="12" t="n">
        <f aca="false">(1+E435)^(1/12)-1</f>
        <v>0.00505107916261705</v>
      </c>
      <c r="G435" s="16" t="n">
        <f aca="false">IF(C435=0,(1+Dic2025!$J$6)^(-B435),EXP(LN(INDEX(Dic2025!$K$6:$K$205,C435))+(LN(INDEX(Dic2025!$K$6:$K$205,MIN(C435+1,200)))-LN(INDEX(Dic2025!$K$6:$K$205,C435)))*(A435-6*C435)/6))</f>
        <v>0.11400244017957</v>
      </c>
      <c r="H435" s="12" t="n">
        <f aca="false">G435^(-1/B435)-1</f>
        <v>0.0623255106751206</v>
      </c>
      <c r="I435" s="12" t="n">
        <f aca="false">(1+H435)^(1/12)-1</f>
        <v>0.00505107916261705</v>
      </c>
      <c r="J435" s="16" t="n">
        <f aca="false">IF(C435=0,(1+Dic2025!$M$6)^(-B435),EXP(LN(INDEX(Dic2025!$N$6:$N$205,C435))+(LN(INDEX(Dic2025!$N$6:$N$205,MIN(C435+1,200)))-LN(INDEX(Dic2025!$N$6:$N$205,C435)))*(A435-6*C435)/6))</f>
        <v>0.11400244017957</v>
      </c>
      <c r="K435" s="12" t="n">
        <f aca="false">J435^(-1/B435)-1</f>
        <v>0.0623255106751206</v>
      </c>
      <c r="L435" s="12" t="n">
        <f aca="false">(1+K435)^(1/12)-1</f>
        <v>0.00505107916261705</v>
      </c>
    </row>
    <row r="436" customFormat="false" ht="15" hidden="false" customHeight="false" outlineLevel="0" collapsed="false">
      <c r="A436" s="4" t="n">
        <v>432</v>
      </c>
      <c r="B436" s="14" t="n">
        <f aca="false">A436/12</f>
        <v>36</v>
      </c>
      <c r="C436" s="15" t="n">
        <f aca="false">INT(A436/6)</f>
        <v>72</v>
      </c>
      <c r="D436" s="16" t="n">
        <f aca="false">IF(C436=0,(1+Dic2025!$G$6)^(-B436),EXP(LN(INDEX(Dic2025!$H$6:$H$205,C436))+(LN(INDEX(Dic2025!$H$6:$H$205,MIN(C436+1,200)))-LN(INDEX(Dic2025!$H$6:$H$205,C436)))*(A436-6*C436)/6))</f>
        <v>0.113364251446531</v>
      </c>
      <c r="E436" s="12" t="n">
        <f aca="false">D436^(-1/B436)-1</f>
        <v>0.0623424899999998</v>
      </c>
      <c r="F436" s="12" t="n">
        <f aca="false">(1+E436)^(1/12)-1</f>
        <v>0.00505241781098897</v>
      </c>
      <c r="G436" s="16" t="n">
        <f aca="false">IF(C436=0,(1+Dic2025!$J$6)^(-B436),EXP(LN(INDEX(Dic2025!$K$6:$K$205,C436))+(LN(INDEX(Dic2025!$K$6:$K$205,MIN(C436+1,200)))-LN(INDEX(Dic2025!$K$6:$K$205,C436)))*(A436-6*C436)/6))</f>
        <v>0.113364251446531</v>
      </c>
      <c r="H436" s="12" t="n">
        <f aca="false">G436^(-1/B436)-1</f>
        <v>0.0623424899999998</v>
      </c>
      <c r="I436" s="12" t="n">
        <f aca="false">(1+H436)^(1/12)-1</f>
        <v>0.00505241781098897</v>
      </c>
      <c r="J436" s="16" t="n">
        <f aca="false">IF(C436=0,(1+Dic2025!$M$6)^(-B436),EXP(LN(INDEX(Dic2025!$N$6:$N$205,C436))+(LN(INDEX(Dic2025!$N$6:$N$205,MIN(C436+1,200)))-LN(INDEX(Dic2025!$N$6:$N$205,C436)))*(A436-6*C436)/6))</f>
        <v>0.113364251446531</v>
      </c>
      <c r="K436" s="12" t="n">
        <f aca="false">J436^(-1/B436)-1</f>
        <v>0.0623424899999998</v>
      </c>
      <c r="L436" s="12" t="n">
        <f aca="false">(1+K436)^(1/12)-1</f>
        <v>0.00505241781098897</v>
      </c>
    </row>
    <row r="437" customFormat="false" ht="15" hidden="false" customHeight="false" outlineLevel="0" collapsed="false">
      <c r="A437" s="4" t="n">
        <v>433</v>
      </c>
      <c r="B437" s="14" t="n">
        <f aca="false">A437/12</f>
        <v>36.0833333333333</v>
      </c>
      <c r="C437" s="15" t="n">
        <f aca="false">INT(A437/6)</f>
        <v>72</v>
      </c>
      <c r="D437" s="16" t="n">
        <f aca="false">IF(C437=0,(1+Dic2025!$G$6)^(-B437),EXP(LN(INDEX(Dic2025!$H$6:$H$205,C437))+(LN(INDEX(Dic2025!$H$6:$H$205,MIN(C437+1,200)))-LN(INDEX(Dic2025!$H$6:$H$205,C437)))*(A437-6*C437)/6))</f>
        <v>0.112727815644042</v>
      </c>
      <c r="E437" s="12" t="n">
        <f aca="false">D437^(-1/B437)-1</f>
        <v>0.062359866418104</v>
      </c>
      <c r="F437" s="12" t="n">
        <f aca="false">(1+E437)^(1/12)-1</f>
        <v>0.00505378774584742</v>
      </c>
      <c r="G437" s="16" t="n">
        <f aca="false">IF(C437=0,(1+Dic2025!$J$6)^(-B437),EXP(LN(INDEX(Dic2025!$K$6:$K$205,C437))+(LN(INDEX(Dic2025!$K$6:$K$205,MIN(C437+1,200)))-LN(INDEX(Dic2025!$K$6:$K$205,C437)))*(A437-6*C437)/6))</f>
        <v>0.112727815644042</v>
      </c>
      <c r="H437" s="12" t="n">
        <f aca="false">G437^(-1/B437)-1</f>
        <v>0.062359866418104</v>
      </c>
      <c r="I437" s="12" t="n">
        <f aca="false">(1+H437)^(1/12)-1</f>
        <v>0.00505378774584742</v>
      </c>
      <c r="J437" s="16" t="n">
        <f aca="false">IF(C437=0,(1+Dic2025!$M$6)^(-B437),EXP(LN(INDEX(Dic2025!$N$6:$N$205,C437))+(LN(INDEX(Dic2025!$N$6:$N$205,MIN(C437+1,200)))-LN(INDEX(Dic2025!$N$6:$N$205,C437)))*(A437-6*C437)/6))</f>
        <v>0.112727815644042</v>
      </c>
      <c r="K437" s="12" t="n">
        <f aca="false">J437^(-1/B437)-1</f>
        <v>0.062359866418104</v>
      </c>
      <c r="L437" s="12" t="n">
        <f aca="false">(1+K437)^(1/12)-1</f>
        <v>0.00505378774584742</v>
      </c>
    </row>
    <row r="438" customFormat="false" ht="15" hidden="false" customHeight="false" outlineLevel="0" collapsed="false">
      <c r="A438" s="4" t="n">
        <v>434</v>
      </c>
      <c r="B438" s="14" t="n">
        <f aca="false">A438/12</f>
        <v>36.1666666666667</v>
      </c>
      <c r="C438" s="15" t="n">
        <f aca="false">INT(A438/6)</f>
        <v>72</v>
      </c>
      <c r="D438" s="16" t="n">
        <f aca="false">IF(C438=0,(1+Dic2025!$G$6)^(-B438),EXP(LN(INDEX(Dic2025!$H$6:$H$205,C438))+(LN(INDEX(Dic2025!$H$6:$H$205,MIN(C438+1,200)))-LN(INDEX(Dic2025!$H$6:$H$205,C438)))*(A438-6*C438)/6))</f>
        <v>0.112094952842085</v>
      </c>
      <c r="E438" s="12" t="n">
        <f aca="false">D438^(-1/B438)-1</f>
        <v>0.0623771630428078</v>
      </c>
      <c r="F438" s="12" t="n">
        <f aca="false">(1+E438)^(1/12)-1</f>
        <v>0.0050551513694963</v>
      </c>
      <c r="G438" s="16" t="n">
        <f aca="false">IF(C438=0,(1+Dic2025!$J$6)^(-B438),EXP(LN(INDEX(Dic2025!$K$6:$K$205,C438))+(LN(INDEX(Dic2025!$K$6:$K$205,MIN(C438+1,200)))-LN(INDEX(Dic2025!$K$6:$K$205,C438)))*(A438-6*C438)/6))</f>
        <v>0.112094952842085</v>
      </c>
      <c r="H438" s="12" t="n">
        <f aca="false">G438^(-1/B438)-1</f>
        <v>0.0623771630428078</v>
      </c>
      <c r="I438" s="12" t="n">
        <f aca="false">(1+H438)^(1/12)-1</f>
        <v>0.0050551513694963</v>
      </c>
      <c r="J438" s="16" t="n">
        <f aca="false">IF(C438=0,(1+Dic2025!$M$6)^(-B438),EXP(LN(INDEX(Dic2025!$N$6:$N$205,C438))+(LN(INDEX(Dic2025!$N$6:$N$205,MIN(C438+1,200)))-LN(INDEX(Dic2025!$N$6:$N$205,C438)))*(A438-6*C438)/6))</f>
        <v>0.112094952842085</v>
      </c>
      <c r="K438" s="12" t="n">
        <f aca="false">J438^(-1/B438)-1</f>
        <v>0.0623771630428078</v>
      </c>
      <c r="L438" s="12" t="n">
        <f aca="false">(1+K438)^(1/12)-1</f>
        <v>0.0050551513694963</v>
      </c>
    </row>
    <row r="439" customFormat="false" ht="15" hidden="false" customHeight="false" outlineLevel="0" collapsed="false">
      <c r="A439" s="4" t="n">
        <v>435</v>
      </c>
      <c r="B439" s="14" t="n">
        <f aca="false">A439/12</f>
        <v>36.25</v>
      </c>
      <c r="C439" s="15" t="n">
        <f aca="false">INT(A439/6)</f>
        <v>72</v>
      </c>
      <c r="D439" s="16" t="n">
        <f aca="false">IF(C439=0,(1+Dic2025!$G$6)^(-B439),EXP(LN(INDEX(Dic2025!$H$6:$H$205,C439))+(LN(INDEX(Dic2025!$H$6:$H$205,MIN(C439+1,200)))-LN(INDEX(Dic2025!$H$6:$H$205,C439)))*(A439-6*C439)/6))</f>
        <v>0.111465642981553</v>
      </c>
      <c r="E439" s="12" t="n">
        <f aca="false">D439^(-1/B439)-1</f>
        <v>0.0623943804224731</v>
      </c>
      <c r="F439" s="12" t="n">
        <f aca="false">(1+E439)^(1/12)-1</f>
        <v>0.00505650872544861</v>
      </c>
      <c r="G439" s="16" t="n">
        <f aca="false">IF(C439=0,(1+Dic2025!$J$6)^(-B439),EXP(LN(INDEX(Dic2025!$K$6:$K$205,C439))+(LN(INDEX(Dic2025!$K$6:$K$205,MIN(C439+1,200)))-LN(INDEX(Dic2025!$K$6:$K$205,C439)))*(A439-6*C439)/6))</f>
        <v>0.111465642981553</v>
      </c>
      <c r="H439" s="12" t="n">
        <f aca="false">G439^(-1/B439)-1</f>
        <v>0.0623943804224731</v>
      </c>
      <c r="I439" s="12" t="n">
        <f aca="false">(1+H439)^(1/12)-1</f>
        <v>0.00505650872544861</v>
      </c>
      <c r="J439" s="16" t="n">
        <f aca="false">IF(C439=0,(1+Dic2025!$M$6)^(-B439),EXP(LN(INDEX(Dic2025!$N$6:$N$205,C439))+(LN(INDEX(Dic2025!$N$6:$N$205,MIN(C439+1,200)))-LN(INDEX(Dic2025!$N$6:$N$205,C439)))*(A439-6*C439)/6))</f>
        <v>0.111465642981553</v>
      </c>
      <c r="K439" s="12" t="n">
        <f aca="false">J439^(-1/B439)-1</f>
        <v>0.0623943804224731</v>
      </c>
      <c r="L439" s="12" t="n">
        <f aca="false">(1+K439)^(1/12)-1</f>
        <v>0.00505650872544861</v>
      </c>
    </row>
    <row r="440" customFormat="false" ht="15" hidden="false" customHeight="false" outlineLevel="0" collapsed="false">
      <c r="A440" s="4" t="n">
        <v>436</v>
      </c>
      <c r="B440" s="14" t="n">
        <f aca="false">A440/12</f>
        <v>36.3333333333333</v>
      </c>
      <c r="C440" s="15" t="n">
        <f aca="false">INT(A440/6)</f>
        <v>72</v>
      </c>
      <c r="D440" s="16" t="n">
        <f aca="false">IF(C440=0,(1+Dic2025!$G$6)^(-B440),EXP(LN(INDEX(Dic2025!$H$6:$H$205,C440))+(LN(INDEX(Dic2025!$H$6:$H$205,MIN(C440+1,200)))-LN(INDEX(Dic2025!$H$6:$H$205,C440)))*(A440-6*C440)/6))</f>
        <v>0.110839866115957</v>
      </c>
      <c r="E440" s="12" t="n">
        <f aca="false">D440^(-1/B440)-1</f>
        <v>0.0624115191004484</v>
      </c>
      <c r="F440" s="12" t="n">
        <f aca="false">(1+E440)^(1/12)-1</f>
        <v>0.00505785985681806</v>
      </c>
      <c r="G440" s="16" t="n">
        <f aca="false">IF(C440=0,(1+Dic2025!$J$6)^(-B440),EXP(LN(INDEX(Dic2025!$K$6:$K$205,C440))+(LN(INDEX(Dic2025!$K$6:$K$205,MIN(C440+1,200)))-LN(INDEX(Dic2025!$K$6:$K$205,C440)))*(A440-6*C440)/6))</f>
        <v>0.110839866115957</v>
      </c>
      <c r="H440" s="12" t="n">
        <f aca="false">G440^(-1/B440)-1</f>
        <v>0.0624115191004484</v>
      </c>
      <c r="I440" s="12" t="n">
        <f aca="false">(1+H440)^(1/12)-1</f>
        <v>0.00505785985681806</v>
      </c>
      <c r="J440" s="16" t="n">
        <f aca="false">IF(C440=0,(1+Dic2025!$M$6)^(-B440),EXP(LN(INDEX(Dic2025!$N$6:$N$205,C440))+(LN(INDEX(Dic2025!$N$6:$N$205,MIN(C440+1,200)))-LN(INDEX(Dic2025!$N$6:$N$205,C440)))*(A440-6*C440)/6))</f>
        <v>0.110839866115957</v>
      </c>
      <c r="K440" s="12" t="n">
        <f aca="false">J440^(-1/B440)-1</f>
        <v>0.0624115191004484</v>
      </c>
      <c r="L440" s="12" t="n">
        <f aca="false">(1+K440)^(1/12)-1</f>
        <v>0.00505785985681806</v>
      </c>
    </row>
    <row r="441" customFormat="false" ht="15" hidden="false" customHeight="false" outlineLevel="0" collapsed="false">
      <c r="A441" s="4" t="n">
        <v>437</v>
      </c>
      <c r="B441" s="14" t="n">
        <f aca="false">A441/12</f>
        <v>36.4166666666667</v>
      </c>
      <c r="C441" s="15" t="n">
        <f aca="false">INT(A441/6)</f>
        <v>72</v>
      </c>
      <c r="D441" s="16" t="n">
        <f aca="false">IF(C441=0,(1+Dic2025!$G$6)^(-B441),EXP(LN(INDEX(Dic2025!$H$6:$H$205,C441))+(LN(INDEX(Dic2025!$H$6:$H$205,MIN(C441+1,200)))-LN(INDEX(Dic2025!$H$6:$H$205,C441)))*(A441-6*C441)/6))</f>
        <v>0.110217602410784</v>
      </c>
      <c r="E441" s="12" t="n">
        <f aca="false">D441^(-1/B441)-1</f>
        <v>0.0624285796151265</v>
      </c>
      <c r="F441" s="12" t="n">
        <f aca="false">(1+E441)^(1/12)-1</f>
        <v>0.00505920480632383</v>
      </c>
      <c r="G441" s="16" t="n">
        <f aca="false">IF(C441=0,(1+Dic2025!$J$6)^(-B441),EXP(LN(INDEX(Dic2025!$K$6:$K$205,C441))+(LN(INDEX(Dic2025!$K$6:$K$205,MIN(C441+1,200)))-LN(INDEX(Dic2025!$K$6:$K$205,C441)))*(A441-6*C441)/6))</f>
        <v>0.110217602410784</v>
      </c>
      <c r="H441" s="12" t="n">
        <f aca="false">G441^(-1/B441)-1</f>
        <v>0.0624285796151265</v>
      </c>
      <c r="I441" s="12" t="n">
        <f aca="false">(1+H441)^(1/12)-1</f>
        <v>0.00505920480632383</v>
      </c>
      <c r="J441" s="16" t="n">
        <f aca="false">IF(C441=0,(1+Dic2025!$M$6)^(-B441),EXP(LN(INDEX(Dic2025!$N$6:$N$205,C441))+(LN(INDEX(Dic2025!$N$6:$N$205,MIN(C441+1,200)))-LN(INDEX(Dic2025!$N$6:$N$205,C441)))*(A441-6*C441)/6))</f>
        <v>0.110217602410784</v>
      </c>
      <c r="K441" s="12" t="n">
        <f aca="false">J441^(-1/B441)-1</f>
        <v>0.0624285796151265</v>
      </c>
      <c r="L441" s="12" t="n">
        <f aca="false">(1+K441)^(1/12)-1</f>
        <v>0.00505920480632383</v>
      </c>
    </row>
    <row r="442" customFormat="false" ht="15" hidden="false" customHeight="false" outlineLevel="0" collapsed="false">
      <c r="A442" s="4" t="n">
        <v>438</v>
      </c>
      <c r="B442" s="14" t="n">
        <f aca="false">A442/12</f>
        <v>36.5</v>
      </c>
      <c r="C442" s="15" t="n">
        <f aca="false">INT(A442/6)</f>
        <v>73</v>
      </c>
      <c r="D442" s="16" t="n">
        <f aca="false">IF(C442=0,(1+Dic2025!$G$6)^(-B442),EXP(LN(INDEX(Dic2025!$H$6:$H$205,C442))+(LN(INDEX(Dic2025!$H$6:$H$205,MIN(C442+1,200)))-LN(INDEX(Dic2025!$H$6:$H$205,C442)))*(A442-6*C442)/6))</f>
        <v>0.109598832142876</v>
      </c>
      <c r="E442" s="12" t="n">
        <f aca="false">D442^(-1/B442)-1</f>
        <v>0.0624455625000002</v>
      </c>
      <c r="F442" s="12" t="n">
        <f aca="false">(1+E442)^(1/12)-1</f>
        <v>0.00506054361629515</v>
      </c>
      <c r="G442" s="16" t="n">
        <f aca="false">IF(C442=0,(1+Dic2025!$J$6)^(-B442),EXP(LN(INDEX(Dic2025!$K$6:$K$205,C442))+(LN(INDEX(Dic2025!$K$6:$K$205,MIN(C442+1,200)))-LN(INDEX(Dic2025!$K$6:$K$205,C442)))*(A442-6*C442)/6))</f>
        <v>0.109598832142876</v>
      </c>
      <c r="H442" s="12" t="n">
        <f aca="false">G442^(-1/B442)-1</f>
        <v>0.0624455625000002</v>
      </c>
      <c r="I442" s="12" t="n">
        <f aca="false">(1+H442)^(1/12)-1</f>
        <v>0.00506054361629515</v>
      </c>
      <c r="J442" s="16" t="n">
        <f aca="false">IF(C442=0,(1+Dic2025!$M$6)^(-B442),EXP(LN(INDEX(Dic2025!$N$6:$N$205,C442))+(LN(INDEX(Dic2025!$N$6:$N$205,MIN(C442+1,200)))-LN(INDEX(Dic2025!$N$6:$N$205,C442)))*(A442-6*C442)/6))</f>
        <v>0.109598832142876</v>
      </c>
      <c r="K442" s="12" t="n">
        <f aca="false">J442^(-1/B442)-1</f>
        <v>0.0624455625000002</v>
      </c>
      <c r="L442" s="12" t="n">
        <f aca="false">(1+K442)^(1/12)-1</f>
        <v>0.00506054361629515</v>
      </c>
    </row>
    <row r="443" customFormat="false" ht="15" hidden="false" customHeight="false" outlineLevel="0" collapsed="false">
      <c r="A443" s="4" t="n">
        <v>439</v>
      </c>
      <c r="B443" s="14" t="n">
        <f aca="false">A443/12</f>
        <v>36.5833333333333</v>
      </c>
      <c r="C443" s="15" t="n">
        <f aca="false">INT(A443/6)</f>
        <v>73</v>
      </c>
      <c r="D443" s="16" t="n">
        <f aca="false">IF(C443=0,(1+Dic2025!$G$6)^(-B443),EXP(LN(INDEX(Dic2025!$H$6:$H$205,C443))+(LN(INDEX(Dic2025!$H$6:$H$205,MIN(C443+1,200)))-LN(INDEX(Dic2025!$H$6:$H$205,C443)))*(A443-6*C443)/6))</f>
        <v>0.109046995068108</v>
      </c>
      <c r="E443" s="12" t="n">
        <f aca="false">D443^(-1/B443)-1</f>
        <v>0.0624455625000002</v>
      </c>
      <c r="F443" s="12" t="n">
        <f aca="false">(1+E443)^(1/12)-1</f>
        <v>0.00506054361629515</v>
      </c>
      <c r="G443" s="16" t="n">
        <f aca="false">IF(C443=0,(1+Dic2025!$J$6)^(-B443),EXP(LN(INDEX(Dic2025!$K$6:$K$205,C443))+(LN(INDEX(Dic2025!$K$6:$K$205,MIN(C443+1,200)))-LN(INDEX(Dic2025!$K$6:$K$205,C443)))*(A443-6*C443)/6))</f>
        <v>0.109046995068108</v>
      </c>
      <c r="H443" s="12" t="n">
        <f aca="false">G443^(-1/B443)-1</f>
        <v>0.0624455625000002</v>
      </c>
      <c r="I443" s="12" t="n">
        <f aca="false">(1+H443)^(1/12)-1</f>
        <v>0.00506054361629515</v>
      </c>
      <c r="J443" s="16" t="n">
        <f aca="false">IF(C443=0,(1+Dic2025!$M$6)^(-B443),EXP(LN(INDEX(Dic2025!$N$6:$N$205,C443))+(LN(INDEX(Dic2025!$N$6:$N$205,MIN(C443+1,200)))-LN(INDEX(Dic2025!$N$6:$N$205,C443)))*(A443-6*C443)/6))</f>
        <v>0.109046995068108</v>
      </c>
      <c r="K443" s="12" t="n">
        <f aca="false">J443^(-1/B443)-1</f>
        <v>0.0624455625000002</v>
      </c>
      <c r="L443" s="12" t="n">
        <f aca="false">(1+K443)^(1/12)-1</f>
        <v>0.00506054361629515</v>
      </c>
    </row>
    <row r="444" customFormat="false" ht="15" hidden="false" customHeight="false" outlineLevel="0" collapsed="false">
      <c r="A444" s="4" t="n">
        <v>440</v>
      </c>
      <c r="B444" s="14" t="n">
        <f aca="false">A444/12</f>
        <v>36.6666666666667</v>
      </c>
      <c r="C444" s="15" t="n">
        <f aca="false">INT(A444/6)</f>
        <v>73</v>
      </c>
      <c r="D444" s="16" t="n">
        <f aca="false">IF(C444=0,(1+Dic2025!$G$6)^(-B444),EXP(LN(INDEX(Dic2025!$H$6:$H$205,C444))+(LN(INDEX(Dic2025!$H$6:$H$205,MIN(C444+1,200)))-LN(INDEX(Dic2025!$H$6:$H$205,C444)))*(A444-6*C444)/6))</f>
        <v>0.10849793652803</v>
      </c>
      <c r="E444" s="12" t="n">
        <f aca="false">D444^(-1/B444)-1</f>
        <v>0.0624455625000002</v>
      </c>
      <c r="F444" s="12" t="n">
        <f aca="false">(1+E444)^(1/12)-1</f>
        <v>0.00506054361629515</v>
      </c>
      <c r="G444" s="16" t="n">
        <f aca="false">IF(C444=0,(1+Dic2025!$J$6)^(-B444),EXP(LN(INDEX(Dic2025!$K$6:$K$205,C444))+(LN(INDEX(Dic2025!$K$6:$K$205,MIN(C444+1,200)))-LN(INDEX(Dic2025!$K$6:$K$205,C444)))*(A444-6*C444)/6))</f>
        <v>0.10849793652803</v>
      </c>
      <c r="H444" s="12" t="n">
        <f aca="false">G444^(-1/B444)-1</f>
        <v>0.0624455625000002</v>
      </c>
      <c r="I444" s="12" t="n">
        <f aca="false">(1+H444)^(1/12)-1</f>
        <v>0.00506054361629515</v>
      </c>
      <c r="J444" s="16" t="n">
        <f aca="false">IF(C444=0,(1+Dic2025!$M$6)^(-B444),EXP(LN(INDEX(Dic2025!$N$6:$N$205,C444))+(LN(INDEX(Dic2025!$N$6:$N$205,MIN(C444+1,200)))-LN(INDEX(Dic2025!$N$6:$N$205,C444)))*(A444-6*C444)/6))</f>
        <v>0.10849793652803</v>
      </c>
      <c r="K444" s="12" t="n">
        <f aca="false">J444^(-1/B444)-1</f>
        <v>0.0624455625000002</v>
      </c>
      <c r="L444" s="12" t="n">
        <f aca="false">(1+K444)^(1/12)-1</f>
        <v>0.00506054361629515</v>
      </c>
    </row>
    <row r="445" customFormat="false" ht="15" hidden="false" customHeight="false" outlineLevel="0" collapsed="false">
      <c r="A445" s="4" t="n">
        <v>441</v>
      </c>
      <c r="B445" s="14" t="n">
        <f aca="false">A445/12</f>
        <v>36.75</v>
      </c>
      <c r="C445" s="15" t="n">
        <f aca="false">INT(A445/6)</f>
        <v>73</v>
      </c>
      <c r="D445" s="16" t="n">
        <f aca="false">IF(C445=0,(1+Dic2025!$G$6)^(-B445),EXP(LN(INDEX(Dic2025!$H$6:$H$205,C445))+(LN(INDEX(Dic2025!$H$6:$H$205,MIN(C445+1,200)))-LN(INDEX(Dic2025!$H$6:$H$205,C445)))*(A445-6*C445)/6))</f>
        <v>0.107951642532543</v>
      </c>
      <c r="E445" s="12" t="n">
        <f aca="false">D445^(-1/B445)-1</f>
        <v>0.0624455625000002</v>
      </c>
      <c r="F445" s="12" t="n">
        <f aca="false">(1+E445)^(1/12)-1</f>
        <v>0.00506054361629515</v>
      </c>
      <c r="G445" s="16" t="n">
        <f aca="false">IF(C445=0,(1+Dic2025!$J$6)^(-B445),EXP(LN(INDEX(Dic2025!$K$6:$K$205,C445))+(LN(INDEX(Dic2025!$K$6:$K$205,MIN(C445+1,200)))-LN(INDEX(Dic2025!$K$6:$K$205,C445)))*(A445-6*C445)/6))</f>
        <v>0.107951642532543</v>
      </c>
      <c r="H445" s="12" t="n">
        <f aca="false">G445^(-1/B445)-1</f>
        <v>0.0624455625000002</v>
      </c>
      <c r="I445" s="12" t="n">
        <f aca="false">(1+H445)^(1/12)-1</f>
        <v>0.00506054361629515</v>
      </c>
      <c r="J445" s="16" t="n">
        <f aca="false">IF(C445=0,(1+Dic2025!$M$6)^(-B445),EXP(LN(INDEX(Dic2025!$N$6:$N$205,C445))+(LN(INDEX(Dic2025!$N$6:$N$205,MIN(C445+1,200)))-LN(INDEX(Dic2025!$N$6:$N$205,C445)))*(A445-6*C445)/6))</f>
        <v>0.107951642532543</v>
      </c>
      <c r="K445" s="12" t="n">
        <f aca="false">J445^(-1/B445)-1</f>
        <v>0.0624455625000002</v>
      </c>
      <c r="L445" s="12" t="n">
        <f aca="false">(1+K445)^(1/12)-1</f>
        <v>0.00506054361629515</v>
      </c>
    </row>
    <row r="446" customFormat="false" ht="15" hidden="false" customHeight="false" outlineLevel="0" collapsed="false">
      <c r="A446" s="4" t="n">
        <v>442</v>
      </c>
      <c r="B446" s="14" t="n">
        <f aca="false">A446/12</f>
        <v>36.8333333333333</v>
      </c>
      <c r="C446" s="15" t="n">
        <f aca="false">INT(A446/6)</f>
        <v>73</v>
      </c>
      <c r="D446" s="16" t="n">
        <f aca="false">IF(C446=0,(1+Dic2025!$G$6)^(-B446),EXP(LN(INDEX(Dic2025!$H$6:$H$205,C446))+(LN(INDEX(Dic2025!$H$6:$H$205,MIN(C446+1,200)))-LN(INDEX(Dic2025!$H$6:$H$205,C446)))*(A446-6*C446)/6))</f>
        <v>0.10740809916199</v>
      </c>
      <c r="E446" s="12" t="n">
        <f aca="false">D446^(-1/B446)-1</f>
        <v>0.0624455625000002</v>
      </c>
      <c r="F446" s="12" t="n">
        <f aca="false">(1+E446)^(1/12)-1</f>
        <v>0.00506054361629515</v>
      </c>
      <c r="G446" s="16" t="n">
        <f aca="false">IF(C446=0,(1+Dic2025!$J$6)^(-B446),EXP(LN(INDEX(Dic2025!$K$6:$K$205,C446))+(LN(INDEX(Dic2025!$K$6:$K$205,MIN(C446+1,200)))-LN(INDEX(Dic2025!$K$6:$K$205,C446)))*(A446-6*C446)/6))</f>
        <v>0.10740809916199</v>
      </c>
      <c r="H446" s="12" t="n">
        <f aca="false">G446^(-1/B446)-1</f>
        <v>0.0624455625000002</v>
      </c>
      <c r="I446" s="12" t="n">
        <f aca="false">(1+H446)^(1/12)-1</f>
        <v>0.00506054361629515</v>
      </c>
      <c r="J446" s="16" t="n">
        <f aca="false">IF(C446=0,(1+Dic2025!$M$6)^(-B446),EXP(LN(INDEX(Dic2025!$N$6:$N$205,C446))+(LN(INDEX(Dic2025!$N$6:$N$205,MIN(C446+1,200)))-LN(INDEX(Dic2025!$N$6:$N$205,C446)))*(A446-6*C446)/6))</f>
        <v>0.10740809916199</v>
      </c>
      <c r="K446" s="12" t="n">
        <f aca="false">J446^(-1/B446)-1</f>
        <v>0.0624455625000002</v>
      </c>
      <c r="L446" s="12" t="n">
        <f aca="false">(1+K446)^(1/12)-1</f>
        <v>0.00506054361629515</v>
      </c>
    </row>
    <row r="447" customFormat="false" ht="15" hidden="false" customHeight="false" outlineLevel="0" collapsed="false">
      <c r="A447" s="4" t="n">
        <v>443</v>
      </c>
      <c r="B447" s="14" t="n">
        <f aca="false">A447/12</f>
        <v>36.9166666666667</v>
      </c>
      <c r="C447" s="15" t="n">
        <f aca="false">INT(A447/6)</f>
        <v>73</v>
      </c>
      <c r="D447" s="16" t="n">
        <f aca="false">IF(C447=0,(1+Dic2025!$G$6)^(-B447),EXP(LN(INDEX(Dic2025!$H$6:$H$205,C447))+(LN(INDEX(Dic2025!$H$6:$H$205,MIN(C447+1,200)))-LN(INDEX(Dic2025!$H$6:$H$205,C447)))*(A447-6*C447)/6))</f>
        <v>0.106867292566801</v>
      </c>
      <c r="E447" s="12" t="n">
        <f aca="false">D447^(-1/B447)-1</f>
        <v>0.0624455625000002</v>
      </c>
      <c r="F447" s="12" t="n">
        <f aca="false">(1+E447)^(1/12)-1</f>
        <v>0.00506054361629515</v>
      </c>
      <c r="G447" s="16" t="n">
        <f aca="false">IF(C447=0,(1+Dic2025!$J$6)^(-B447),EXP(LN(INDEX(Dic2025!$K$6:$K$205,C447))+(LN(INDEX(Dic2025!$K$6:$K$205,MIN(C447+1,200)))-LN(INDEX(Dic2025!$K$6:$K$205,C447)))*(A447-6*C447)/6))</f>
        <v>0.106867292566801</v>
      </c>
      <c r="H447" s="12" t="n">
        <f aca="false">G447^(-1/B447)-1</f>
        <v>0.0624455625000002</v>
      </c>
      <c r="I447" s="12" t="n">
        <f aca="false">(1+H447)^(1/12)-1</f>
        <v>0.00506054361629515</v>
      </c>
      <c r="J447" s="16" t="n">
        <f aca="false">IF(C447=0,(1+Dic2025!$M$6)^(-B447),EXP(LN(INDEX(Dic2025!$N$6:$N$205,C447))+(LN(INDEX(Dic2025!$N$6:$N$205,MIN(C447+1,200)))-LN(INDEX(Dic2025!$N$6:$N$205,C447)))*(A447-6*C447)/6))</f>
        <v>0.106867292566801</v>
      </c>
      <c r="K447" s="12" t="n">
        <f aca="false">J447^(-1/B447)-1</f>
        <v>0.0624455625000002</v>
      </c>
      <c r="L447" s="12" t="n">
        <f aca="false">(1+K447)^(1/12)-1</f>
        <v>0.00506054361629515</v>
      </c>
    </row>
    <row r="448" customFormat="false" ht="15" hidden="false" customHeight="false" outlineLevel="0" collapsed="false">
      <c r="A448" s="4" t="n">
        <v>444</v>
      </c>
      <c r="B448" s="14" t="n">
        <f aca="false">A448/12</f>
        <v>37</v>
      </c>
      <c r="C448" s="15" t="n">
        <f aca="false">INT(A448/6)</f>
        <v>74</v>
      </c>
      <c r="D448" s="16" t="n">
        <f aca="false">IF(C448=0,(1+Dic2025!$G$6)^(-B448),EXP(LN(INDEX(Dic2025!$H$6:$H$205,C448))+(LN(INDEX(Dic2025!$H$6:$H$205,MIN(C448+1,200)))-LN(INDEX(Dic2025!$H$6:$H$205,C448)))*(A448-6*C448)/6))</f>
        <v>0.106329208967136</v>
      </c>
      <c r="E448" s="12" t="n">
        <f aca="false">D448^(-1/B448)-1</f>
        <v>0.0624455625000002</v>
      </c>
      <c r="F448" s="12" t="n">
        <f aca="false">(1+E448)^(1/12)-1</f>
        <v>0.00506054361629515</v>
      </c>
      <c r="G448" s="16" t="n">
        <f aca="false">IF(C448=0,(1+Dic2025!$J$6)^(-B448),EXP(LN(INDEX(Dic2025!$K$6:$K$205,C448))+(LN(INDEX(Dic2025!$K$6:$K$205,MIN(C448+1,200)))-LN(INDEX(Dic2025!$K$6:$K$205,C448)))*(A448-6*C448)/6))</f>
        <v>0.106329208967136</v>
      </c>
      <c r="H448" s="12" t="n">
        <f aca="false">G448^(-1/B448)-1</f>
        <v>0.0624455625000002</v>
      </c>
      <c r="I448" s="12" t="n">
        <f aca="false">(1+H448)^(1/12)-1</f>
        <v>0.00506054361629515</v>
      </c>
      <c r="J448" s="16" t="n">
        <f aca="false">IF(C448=0,(1+Dic2025!$M$6)^(-B448),EXP(LN(INDEX(Dic2025!$N$6:$N$205,C448))+(LN(INDEX(Dic2025!$N$6:$N$205,MIN(C448+1,200)))-LN(INDEX(Dic2025!$N$6:$N$205,C448)))*(A448-6*C448)/6))</f>
        <v>0.106329208967136</v>
      </c>
      <c r="K448" s="12" t="n">
        <f aca="false">J448^(-1/B448)-1</f>
        <v>0.0624455625000002</v>
      </c>
      <c r="L448" s="12" t="n">
        <f aca="false">(1+K448)^(1/12)-1</f>
        <v>0.00506054361629515</v>
      </c>
    </row>
    <row r="449" customFormat="false" ht="15" hidden="false" customHeight="false" outlineLevel="0" collapsed="false">
      <c r="A449" s="4" t="n">
        <v>445</v>
      </c>
      <c r="B449" s="14" t="n">
        <f aca="false">A449/12</f>
        <v>37.0833333333333</v>
      </c>
      <c r="C449" s="15" t="n">
        <f aca="false">INT(A449/6)</f>
        <v>74</v>
      </c>
      <c r="D449" s="16" t="n">
        <f aca="false">IF(C449=0,(1+Dic2025!$G$6)^(-B449),EXP(LN(INDEX(Dic2025!$H$6:$H$205,C449))+(LN(INDEX(Dic2025!$H$6:$H$205,MIN(C449+1,200)))-LN(INDEX(Dic2025!$H$6:$H$205,C449)))*(A449-6*C449)/6))</f>
        <v>0.105729707073995</v>
      </c>
      <c r="E449" s="12" t="n">
        <f aca="false">D449^(-1/B449)-1</f>
        <v>0.062462934411698</v>
      </c>
      <c r="F449" s="12" t="n">
        <f aca="false">(1+E449)^(1/12)-1</f>
        <v>0.00506191307408077</v>
      </c>
      <c r="G449" s="16" t="n">
        <f aca="false">IF(C449=0,(1+Dic2025!$J$6)^(-B449),EXP(LN(INDEX(Dic2025!$K$6:$K$205,C449))+(LN(INDEX(Dic2025!$K$6:$K$205,MIN(C449+1,200)))-LN(INDEX(Dic2025!$K$6:$K$205,C449)))*(A449-6*C449)/6))</f>
        <v>0.105729707073995</v>
      </c>
      <c r="H449" s="12" t="n">
        <f aca="false">G449^(-1/B449)-1</f>
        <v>0.062462934411698</v>
      </c>
      <c r="I449" s="12" t="n">
        <f aca="false">(1+H449)^(1/12)-1</f>
        <v>0.00506191307408077</v>
      </c>
      <c r="J449" s="16" t="n">
        <f aca="false">IF(C449=0,(1+Dic2025!$M$6)^(-B449),EXP(LN(INDEX(Dic2025!$N$6:$N$205,C449))+(LN(INDEX(Dic2025!$N$6:$N$205,MIN(C449+1,200)))-LN(INDEX(Dic2025!$N$6:$N$205,C449)))*(A449-6*C449)/6))</f>
        <v>0.105729707073995</v>
      </c>
      <c r="K449" s="12" t="n">
        <f aca="false">J449^(-1/B449)-1</f>
        <v>0.062462934411698</v>
      </c>
      <c r="L449" s="12" t="n">
        <f aca="false">(1+K449)^(1/12)-1</f>
        <v>0.00506191307408077</v>
      </c>
    </row>
    <row r="450" customFormat="false" ht="15" hidden="false" customHeight="false" outlineLevel="0" collapsed="false">
      <c r="A450" s="4" t="n">
        <v>446</v>
      </c>
      <c r="B450" s="14" t="n">
        <f aca="false">A450/12</f>
        <v>37.1666666666667</v>
      </c>
      <c r="C450" s="15" t="n">
        <f aca="false">INT(A450/6)</f>
        <v>74</v>
      </c>
      <c r="D450" s="16" t="n">
        <f aca="false">IF(C450=0,(1+Dic2025!$G$6)^(-B450),EXP(LN(INDEX(Dic2025!$H$6:$H$205,C450))+(LN(INDEX(Dic2025!$H$6:$H$205,MIN(C450+1,200)))-LN(INDEX(Dic2025!$H$6:$H$205,C450)))*(A450-6*C450)/6))</f>
        <v>0.105133585272959</v>
      </c>
      <c r="E450" s="12" t="n">
        <f aca="false">D450^(-1/B450)-1</f>
        <v>0.0624802287045849</v>
      </c>
      <c r="F450" s="12" t="n">
        <f aca="false">(1+E450)^(1/12)-1</f>
        <v>0.00506327639265369</v>
      </c>
      <c r="G450" s="16" t="n">
        <f aca="false">IF(C450=0,(1+Dic2025!$J$6)^(-B450),EXP(LN(INDEX(Dic2025!$K$6:$K$205,C450))+(LN(INDEX(Dic2025!$K$6:$K$205,MIN(C450+1,200)))-LN(INDEX(Dic2025!$K$6:$K$205,C450)))*(A450-6*C450)/6))</f>
        <v>0.105133585272959</v>
      </c>
      <c r="H450" s="12" t="n">
        <f aca="false">G450^(-1/B450)-1</f>
        <v>0.0624802287045849</v>
      </c>
      <c r="I450" s="12" t="n">
        <f aca="false">(1+H450)^(1/12)-1</f>
        <v>0.00506327639265369</v>
      </c>
      <c r="J450" s="16" t="n">
        <f aca="false">IF(C450=0,(1+Dic2025!$M$6)^(-B450),EXP(LN(INDEX(Dic2025!$N$6:$N$205,C450))+(LN(INDEX(Dic2025!$N$6:$N$205,MIN(C450+1,200)))-LN(INDEX(Dic2025!$N$6:$N$205,C450)))*(A450-6*C450)/6))</f>
        <v>0.105133585272959</v>
      </c>
      <c r="K450" s="12" t="n">
        <f aca="false">J450^(-1/B450)-1</f>
        <v>0.0624802287045849</v>
      </c>
      <c r="L450" s="12" t="n">
        <f aca="false">(1+K450)^(1/12)-1</f>
        <v>0.00506327639265369</v>
      </c>
    </row>
    <row r="451" customFormat="false" ht="15" hidden="false" customHeight="false" outlineLevel="0" collapsed="false">
      <c r="A451" s="4" t="n">
        <v>447</v>
      </c>
      <c r="B451" s="14" t="n">
        <f aca="false">A451/12</f>
        <v>37.25</v>
      </c>
      <c r="C451" s="15" t="n">
        <f aca="false">INT(A451/6)</f>
        <v>74</v>
      </c>
      <c r="D451" s="16" t="n">
        <f aca="false">IF(C451=0,(1+Dic2025!$G$6)^(-B451),EXP(LN(INDEX(Dic2025!$H$6:$H$205,C451))+(LN(INDEX(Dic2025!$H$6:$H$205,MIN(C451+1,200)))-LN(INDEX(Dic2025!$H$6:$H$205,C451)))*(A451-6*C451)/6))</f>
        <v>0.104540824506504</v>
      </c>
      <c r="E451" s="12" t="n">
        <f aca="false">D451^(-1/B451)-1</f>
        <v>0.0624974458977072</v>
      </c>
      <c r="F451" s="12" t="n">
        <f aca="false">(1+E451)^(1/12)-1</f>
        <v>0.00506463361320408</v>
      </c>
      <c r="G451" s="16" t="n">
        <f aca="false">IF(C451=0,(1+Dic2025!$J$6)^(-B451),EXP(LN(INDEX(Dic2025!$K$6:$K$205,C451))+(LN(INDEX(Dic2025!$K$6:$K$205,MIN(C451+1,200)))-LN(INDEX(Dic2025!$K$6:$K$205,C451)))*(A451-6*C451)/6))</f>
        <v>0.104540824506504</v>
      </c>
      <c r="H451" s="12" t="n">
        <f aca="false">G451^(-1/B451)-1</f>
        <v>0.0624974458977072</v>
      </c>
      <c r="I451" s="12" t="n">
        <f aca="false">(1+H451)^(1/12)-1</f>
        <v>0.00506463361320408</v>
      </c>
      <c r="J451" s="16" t="n">
        <f aca="false">IF(C451=0,(1+Dic2025!$M$6)^(-B451),EXP(LN(INDEX(Dic2025!$N$6:$N$205,C451))+(LN(INDEX(Dic2025!$N$6:$N$205,MIN(C451+1,200)))-LN(INDEX(Dic2025!$N$6:$N$205,C451)))*(A451-6*C451)/6))</f>
        <v>0.104540824506504</v>
      </c>
      <c r="K451" s="12" t="n">
        <f aca="false">J451^(-1/B451)-1</f>
        <v>0.0624974458977072</v>
      </c>
      <c r="L451" s="12" t="n">
        <f aca="false">(1+K451)^(1/12)-1</f>
        <v>0.00506463361320408</v>
      </c>
    </row>
    <row r="452" customFormat="false" ht="15" hidden="false" customHeight="false" outlineLevel="0" collapsed="false">
      <c r="A452" s="4" t="n">
        <v>448</v>
      </c>
      <c r="B452" s="14" t="n">
        <f aca="false">A452/12</f>
        <v>37.3333333333333</v>
      </c>
      <c r="C452" s="15" t="n">
        <f aca="false">INT(A452/6)</f>
        <v>74</v>
      </c>
      <c r="D452" s="16" t="n">
        <f aca="false">IF(C452=0,(1+Dic2025!$G$6)^(-B452),EXP(LN(INDEX(Dic2025!$H$6:$H$205,C452))+(LN(INDEX(Dic2025!$H$6:$H$205,MIN(C452+1,200)))-LN(INDEX(Dic2025!$H$6:$H$205,C452)))*(A452-6*C452)/6))</f>
        <v>0.103951405824554</v>
      </c>
      <c r="E452" s="12" t="n">
        <f aca="false">D452^(-1/B452)-1</f>
        <v>0.0625145865054946</v>
      </c>
      <c r="F452" s="12" t="n">
        <f aca="false">(1+E452)^(1/12)-1</f>
        <v>0.00506598477655462</v>
      </c>
      <c r="G452" s="16" t="n">
        <f aca="false">IF(C452=0,(1+Dic2025!$J$6)^(-B452),EXP(LN(INDEX(Dic2025!$K$6:$K$205,C452))+(LN(INDEX(Dic2025!$K$6:$K$205,MIN(C452+1,200)))-LN(INDEX(Dic2025!$K$6:$K$205,C452)))*(A452-6*C452)/6))</f>
        <v>0.103951405824554</v>
      </c>
      <c r="H452" s="12" t="n">
        <f aca="false">G452^(-1/B452)-1</f>
        <v>0.0625145865054946</v>
      </c>
      <c r="I452" s="12" t="n">
        <f aca="false">(1+H452)^(1/12)-1</f>
        <v>0.00506598477655462</v>
      </c>
      <c r="J452" s="16" t="n">
        <f aca="false">IF(C452=0,(1+Dic2025!$M$6)^(-B452),EXP(LN(INDEX(Dic2025!$N$6:$N$205,C452))+(LN(INDEX(Dic2025!$N$6:$N$205,MIN(C452+1,200)))-LN(INDEX(Dic2025!$N$6:$N$205,C452)))*(A452-6*C452)/6))</f>
        <v>0.103951405824554</v>
      </c>
      <c r="K452" s="12" t="n">
        <f aca="false">J452^(-1/B452)-1</f>
        <v>0.0625145865054946</v>
      </c>
      <c r="L452" s="12" t="n">
        <f aca="false">(1+K452)^(1/12)-1</f>
        <v>0.00506598477655462</v>
      </c>
    </row>
    <row r="453" customFormat="false" ht="15" hidden="false" customHeight="false" outlineLevel="0" collapsed="false">
      <c r="A453" s="4" t="n">
        <v>449</v>
      </c>
      <c r="B453" s="14" t="n">
        <f aca="false">A453/12</f>
        <v>37.4166666666667</v>
      </c>
      <c r="C453" s="15" t="n">
        <f aca="false">INT(A453/6)</f>
        <v>74</v>
      </c>
      <c r="D453" s="16" t="n">
        <f aca="false">IF(C453=0,(1+Dic2025!$G$6)^(-B453),EXP(LN(INDEX(Dic2025!$H$6:$H$205,C453))+(LN(INDEX(Dic2025!$H$6:$H$205,MIN(C453+1,200)))-LN(INDEX(Dic2025!$H$6:$H$205,C453)))*(A453-6*C453)/6))</f>
        <v>0.103365310383876</v>
      </c>
      <c r="E453" s="12" t="n">
        <f aca="false">D453^(-1/B453)-1</f>
        <v>0.0625316510378098</v>
      </c>
      <c r="F453" s="12" t="n">
        <f aca="false">(1+E453)^(1/12)-1</f>
        <v>0.0050673299231645</v>
      </c>
      <c r="G453" s="16" t="n">
        <f aca="false">IF(C453=0,(1+Dic2025!$J$6)^(-B453),EXP(LN(INDEX(Dic2025!$K$6:$K$205,C453))+(LN(INDEX(Dic2025!$K$6:$K$205,MIN(C453+1,200)))-LN(INDEX(Dic2025!$K$6:$K$205,C453)))*(A453-6*C453)/6))</f>
        <v>0.103365310383876</v>
      </c>
      <c r="H453" s="12" t="n">
        <f aca="false">G453^(-1/B453)-1</f>
        <v>0.0625316510378098</v>
      </c>
      <c r="I453" s="12" t="n">
        <f aca="false">(1+H453)^(1/12)-1</f>
        <v>0.0050673299231645</v>
      </c>
      <c r="J453" s="16" t="n">
        <f aca="false">IF(C453=0,(1+Dic2025!$M$6)^(-B453),EXP(LN(INDEX(Dic2025!$N$6:$N$205,C453))+(LN(INDEX(Dic2025!$N$6:$N$205,MIN(C453+1,200)))-LN(INDEX(Dic2025!$N$6:$N$205,C453)))*(A453-6*C453)/6))</f>
        <v>0.103365310383876</v>
      </c>
      <c r="K453" s="12" t="n">
        <f aca="false">J453^(-1/B453)-1</f>
        <v>0.0625316510378098</v>
      </c>
      <c r="L453" s="12" t="n">
        <f aca="false">(1+K453)^(1/12)-1</f>
        <v>0.0050673299231645</v>
      </c>
    </row>
    <row r="454" customFormat="false" ht="15" hidden="false" customHeight="false" outlineLevel="0" collapsed="false">
      <c r="A454" s="4" t="n">
        <v>450</v>
      </c>
      <c r="B454" s="14" t="n">
        <f aca="false">A454/12</f>
        <v>37.5</v>
      </c>
      <c r="C454" s="15" t="n">
        <f aca="false">INT(A454/6)</f>
        <v>75</v>
      </c>
      <c r="D454" s="16" t="n">
        <f aca="false">IF(C454=0,(1+Dic2025!$G$6)^(-B454),EXP(LN(INDEX(Dic2025!$H$6:$H$205,C454))+(LN(INDEX(Dic2025!$H$6:$H$205,MIN(C454+1,200)))-LN(INDEX(Dic2025!$H$6:$H$205,C454)))*(A454-6*C454)/6))</f>
        <v>0.102782519447479</v>
      </c>
      <c r="E454" s="12" t="n">
        <f aca="false">D454^(-1/B454)-1</f>
        <v>0.0625486399999999</v>
      </c>
      <c r="F454" s="12" t="n">
        <f aca="false">(1+E454)^(1/12)-1</f>
        <v>0.00506866909313319</v>
      </c>
      <c r="G454" s="16" t="n">
        <f aca="false">IF(C454=0,(1+Dic2025!$J$6)^(-B454),EXP(LN(INDEX(Dic2025!$K$6:$K$205,C454))+(LN(INDEX(Dic2025!$K$6:$K$205,MIN(C454+1,200)))-LN(INDEX(Dic2025!$K$6:$K$205,C454)))*(A454-6*C454)/6))</f>
        <v>0.102782519447479</v>
      </c>
      <c r="H454" s="12" t="n">
        <f aca="false">G454^(-1/B454)-1</f>
        <v>0.0625486399999999</v>
      </c>
      <c r="I454" s="12" t="n">
        <f aca="false">(1+H454)^(1/12)-1</f>
        <v>0.00506866909313319</v>
      </c>
      <c r="J454" s="16" t="n">
        <f aca="false">IF(C454=0,(1+Dic2025!$M$6)^(-B454),EXP(LN(INDEX(Dic2025!$N$6:$N$205,C454))+(LN(INDEX(Dic2025!$N$6:$N$205,MIN(C454+1,200)))-LN(INDEX(Dic2025!$N$6:$N$205,C454)))*(A454-6*C454)/6))</f>
        <v>0.102782519447479</v>
      </c>
      <c r="K454" s="12" t="n">
        <f aca="false">J454^(-1/B454)-1</f>
        <v>0.0625486399999999</v>
      </c>
      <c r="L454" s="12" t="n">
        <f aca="false">(1+K454)^(1/12)-1</f>
        <v>0.00506866909313319</v>
      </c>
    </row>
    <row r="455" customFormat="false" ht="15" hidden="false" customHeight="false" outlineLevel="0" collapsed="false">
      <c r="A455" s="4" t="n">
        <v>451</v>
      </c>
      <c r="B455" s="14" t="n">
        <f aca="false">A455/12</f>
        <v>37.5833333333333</v>
      </c>
      <c r="C455" s="15" t="n">
        <f aca="false">INT(A455/6)</f>
        <v>75</v>
      </c>
      <c r="D455" s="16" t="n">
        <f aca="false">IF(C455=0,(1+Dic2025!$G$6)^(-B455),EXP(LN(INDEX(Dic2025!$H$6:$H$205,C455))+(LN(INDEX(Dic2025!$H$6:$H$205,MIN(C455+1,200)))-LN(INDEX(Dic2025!$H$6:$H$205,C455)))*(A455-6*C455)/6))</f>
        <v>0.102201364916182</v>
      </c>
      <c r="E455" s="12" t="n">
        <f aca="false">D455^(-1/B455)-1</f>
        <v>0.062566010186339</v>
      </c>
      <c r="F455" s="12" t="n">
        <f aca="false">(1+E455)^(1/12)-1</f>
        <v>0.0050700382931399</v>
      </c>
      <c r="G455" s="16" t="n">
        <f aca="false">IF(C455=0,(1+Dic2025!$J$6)^(-B455),EXP(LN(INDEX(Dic2025!$K$6:$K$205,C455))+(LN(INDEX(Dic2025!$K$6:$K$205,MIN(C455+1,200)))-LN(INDEX(Dic2025!$K$6:$K$205,C455)))*(A455-6*C455)/6))</f>
        <v>0.102201364916182</v>
      </c>
      <c r="H455" s="12" t="n">
        <f aca="false">G455^(-1/B455)-1</f>
        <v>0.062566010186339</v>
      </c>
      <c r="I455" s="12" t="n">
        <f aca="false">(1+H455)^(1/12)-1</f>
        <v>0.0050700382931399</v>
      </c>
      <c r="J455" s="16" t="n">
        <f aca="false">IF(C455=0,(1+Dic2025!$M$6)^(-B455),EXP(LN(INDEX(Dic2025!$N$6:$N$205,C455))+(LN(INDEX(Dic2025!$N$6:$N$205,MIN(C455+1,200)))-LN(INDEX(Dic2025!$N$6:$N$205,C455)))*(A455-6*C455)/6))</f>
        <v>0.102201364916182</v>
      </c>
      <c r="K455" s="12" t="n">
        <f aca="false">J455^(-1/B455)-1</f>
        <v>0.062566010186339</v>
      </c>
      <c r="L455" s="12" t="n">
        <f aca="false">(1+K455)^(1/12)-1</f>
        <v>0.0050700382931399</v>
      </c>
    </row>
    <row r="456" customFormat="false" ht="15" hidden="false" customHeight="false" outlineLevel="0" collapsed="false">
      <c r="A456" s="4" t="n">
        <v>452</v>
      </c>
      <c r="B456" s="14" t="n">
        <f aca="false">A456/12</f>
        <v>37.6666666666667</v>
      </c>
      <c r="C456" s="15" t="n">
        <f aca="false">INT(A456/6)</f>
        <v>75</v>
      </c>
      <c r="D456" s="16" t="n">
        <f aca="false">IF(C456=0,(1+Dic2025!$G$6)^(-B456),EXP(LN(INDEX(Dic2025!$H$6:$H$205,C456))+(LN(INDEX(Dic2025!$H$6:$H$205,MIN(C456+1,200)))-LN(INDEX(Dic2025!$H$6:$H$205,C456)))*(A456-6*C456)/6))</f>
        <v>0.101623496357939</v>
      </c>
      <c r="E456" s="12" t="n">
        <f aca="false">D456^(-1/B456)-1</f>
        <v>0.0625833037955264</v>
      </c>
      <c r="F456" s="12" t="n">
        <f aca="false">(1+E456)^(1/12)-1</f>
        <v>0.00507140143659224</v>
      </c>
      <c r="G456" s="16" t="n">
        <f aca="false">IF(C456=0,(1+Dic2025!$J$6)^(-B456),EXP(LN(INDEX(Dic2025!$K$6:$K$205,C456))+(LN(INDEX(Dic2025!$K$6:$K$205,MIN(C456+1,200)))-LN(INDEX(Dic2025!$K$6:$K$205,C456)))*(A456-6*C456)/6))</f>
        <v>0.101623496357939</v>
      </c>
      <c r="H456" s="12" t="n">
        <f aca="false">G456^(-1/B456)-1</f>
        <v>0.0625833037955264</v>
      </c>
      <c r="I456" s="12" t="n">
        <f aca="false">(1+H456)^(1/12)-1</f>
        <v>0.00507140143659224</v>
      </c>
      <c r="J456" s="16" t="n">
        <f aca="false">IF(C456=0,(1+Dic2025!$M$6)^(-B456),EXP(LN(INDEX(Dic2025!$N$6:$N$205,C456))+(LN(INDEX(Dic2025!$N$6:$N$205,MIN(C456+1,200)))-LN(INDEX(Dic2025!$N$6:$N$205,C456)))*(A456-6*C456)/6))</f>
        <v>0.101623496357939</v>
      </c>
      <c r="K456" s="12" t="n">
        <f aca="false">J456^(-1/B456)-1</f>
        <v>0.0625833037955264</v>
      </c>
      <c r="L456" s="12" t="n">
        <f aca="false">(1+K456)^(1/12)-1</f>
        <v>0.00507140143659224</v>
      </c>
    </row>
    <row r="457" customFormat="false" ht="15" hidden="false" customHeight="false" outlineLevel="0" collapsed="false">
      <c r="A457" s="4" t="n">
        <v>453</v>
      </c>
      <c r="B457" s="14" t="n">
        <f aca="false">A457/12</f>
        <v>37.75</v>
      </c>
      <c r="C457" s="15" t="n">
        <f aca="false">INT(A457/6)</f>
        <v>75</v>
      </c>
      <c r="D457" s="16" t="n">
        <f aca="false">IF(C457=0,(1+Dic2025!$G$6)^(-B457),EXP(LN(INDEX(Dic2025!$H$6:$H$205,C457))+(LN(INDEX(Dic2025!$H$6:$H$205,MIN(C457+1,200)))-LN(INDEX(Dic2025!$H$6:$H$205,C457)))*(A457-6*C457)/6))</f>
        <v>0.101048895193149</v>
      </c>
      <c r="E457" s="12" t="n">
        <f aca="false">D457^(-1/B457)-1</f>
        <v>0.0626005213328362</v>
      </c>
      <c r="F457" s="12" t="n">
        <f aca="false">(1+E457)^(1/12)-1</f>
        <v>0.00507275856358769</v>
      </c>
      <c r="G457" s="16" t="n">
        <f aca="false">IF(C457=0,(1+Dic2025!$J$6)^(-B457),EXP(LN(INDEX(Dic2025!$K$6:$K$205,C457))+(LN(INDEX(Dic2025!$K$6:$K$205,MIN(C457+1,200)))-LN(INDEX(Dic2025!$K$6:$K$205,C457)))*(A457-6*C457)/6))</f>
        <v>0.101048895193149</v>
      </c>
      <c r="H457" s="12" t="n">
        <f aca="false">G457^(-1/B457)-1</f>
        <v>0.0626005213328362</v>
      </c>
      <c r="I457" s="12" t="n">
        <f aca="false">(1+H457)^(1/12)-1</f>
        <v>0.00507275856358769</v>
      </c>
      <c r="J457" s="16" t="n">
        <f aca="false">IF(C457=0,(1+Dic2025!$M$6)^(-B457),EXP(LN(INDEX(Dic2025!$N$6:$N$205,C457))+(LN(INDEX(Dic2025!$N$6:$N$205,MIN(C457+1,200)))-LN(INDEX(Dic2025!$N$6:$N$205,C457)))*(A457-6*C457)/6))</f>
        <v>0.101048895193149</v>
      </c>
      <c r="K457" s="12" t="n">
        <f aca="false">J457^(-1/B457)-1</f>
        <v>0.0626005213328362</v>
      </c>
      <c r="L457" s="12" t="n">
        <f aca="false">(1+K457)^(1/12)-1</f>
        <v>0.00507275856358769</v>
      </c>
    </row>
    <row r="458" customFormat="false" ht="15" hidden="false" customHeight="false" outlineLevel="0" collapsed="false">
      <c r="A458" s="4" t="n">
        <v>454</v>
      </c>
      <c r="B458" s="14" t="n">
        <f aca="false">A458/12</f>
        <v>37.8333333333333</v>
      </c>
      <c r="C458" s="15" t="n">
        <f aca="false">INT(A458/6)</f>
        <v>75</v>
      </c>
      <c r="D458" s="16" t="n">
        <f aca="false">IF(C458=0,(1+Dic2025!$G$6)^(-B458),EXP(LN(INDEX(Dic2025!$H$6:$H$205,C458))+(LN(INDEX(Dic2025!$H$6:$H$205,MIN(C458+1,200)))-LN(INDEX(Dic2025!$H$6:$H$205,C458)))*(A458-6*C458)/6))</f>
        <v>0.100477542947265</v>
      </c>
      <c r="E458" s="12" t="n">
        <f aca="false">D458^(-1/B458)-1</f>
        <v>0.0626176632991071</v>
      </c>
      <c r="F458" s="12" t="n">
        <f aca="false">(1+E458)^(1/12)-1</f>
        <v>0.00507410971387046</v>
      </c>
      <c r="G458" s="16" t="n">
        <f aca="false">IF(C458=0,(1+Dic2025!$J$6)^(-B458),EXP(LN(INDEX(Dic2025!$K$6:$K$205,C458))+(LN(INDEX(Dic2025!$K$6:$K$205,MIN(C458+1,200)))-LN(INDEX(Dic2025!$K$6:$K$205,C458)))*(A458-6*C458)/6))</f>
        <v>0.100477542947265</v>
      </c>
      <c r="H458" s="12" t="n">
        <f aca="false">G458^(-1/B458)-1</f>
        <v>0.0626176632991071</v>
      </c>
      <c r="I458" s="12" t="n">
        <f aca="false">(1+H458)^(1/12)-1</f>
        <v>0.00507410971387046</v>
      </c>
      <c r="J458" s="16" t="n">
        <f aca="false">IF(C458=0,(1+Dic2025!$M$6)^(-B458),EXP(LN(INDEX(Dic2025!$N$6:$N$205,C458))+(LN(INDEX(Dic2025!$N$6:$N$205,MIN(C458+1,200)))-LN(INDEX(Dic2025!$N$6:$N$205,C458)))*(A458-6*C458)/6))</f>
        <v>0.100477542947265</v>
      </c>
      <c r="K458" s="12" t="n">
        <f aca="false">J458^(-1/B458)-1</f>
        <v>0.0626176632991071</v>
      </c>
      <c r="L458" s="12" t="n">
        <f aca="false">(1+K458)^(1/12)-1</f>
        <v>0.00507410971387046</v>
      </c>
    </row>
    <row r="459" customFormat="false" ht="15" hidden="false" customHeight="false" outlineLevel="0" collapsed="false">
      <c r="A459" s="4" t="n">
        <v>455</v>
      </c>
      <c r="B459" s="14" t="n">
        <f aca="false">A459/12</f>
        <v>37.9166666666667</v>
      </c>
      <c r="C459" s="15" t="n">
        <f aca="false">INT(A459/6)</f>
        <v>75</v>
      </c>
      <c r="D459" s="16" t="n">
        <f aca="false">IF(C459=0,(1+Dic2025!$G$6)^(-B459),EXP(LN(INDEX(Dic2025!$H$6:$H$205,C459))+(LN(INDEX(Dic2025!$H$6:$H$205,MIN(C459+1,200)))-LN(INDEX(Dic2025!$H$6:$H$205,C459)))*(A459-6*C459)/6))</f>
        <v>0.0999094212501977</v>
      </c>
      <c r="E459" s="12" t="n">
        <f aca="false">D459^(-1/B459)-1</f>
        <v>0.0626347301907908</v>
      </c>
      <c r="F459" s="12" t="n">
        <f aca="false">(1+E459)^(1/12)-1</f>
        <v>0.0050754549268357</v>
      </c>
      <c r="G459" s="16" t="n">
        <f aca="false">IF(C459=0,(1+Dic2025!$J$6)^(-B459),EXP(LN(INDEX(Dic2025!$K$6:$K$205,C459))+(LN(INDEX(Dic2025!$K$6:$K$205,MIN(C459+1,200)))-LN(INDEX(Dic2025!$K$6:$K$205,C459)))*(A459-6*C459)/6))</f>
        <v>0.0999094212501977</v>
      </c>
      <c r="H459" s="12" t="n">
        <f aca="false">G459^(-1/B459)-1</f>
        <v>0.0626347301907908</v>
      </c>
      <c r="I459" s="12" t="n">
        <f aca="false">(1+H459)^(1/12)-1</f>
        <v>0.0050754549268357</v>
      </c>
      <c r="J459" s="16" t="n">
        <f aca="false">IF(C459=0,(1+Dic2025!$M$6)^(-B459),EXP(LN(INDEX(Dic2025!$N$6:$N$205,C459))+(LN(INDEX(Dic2025!$N$6:$N$205,MIN(C459+1,200)))-LN(INDEX(Dic2025!$N$6:$N$205,C459)))*(A459-6*C459)/6))</f>
        <v>0.0999094212501977</v>
      </c>
      <c r="K459" s="12" t="n">
        <f aca="false">J459^(-1/B459)-1</f>
        <v>0.0626347301907908</v>
      </c>
      <c r="L459" s="12" t="n">
        <f aca="false">(1+K459)^(1/12)-1</f>
        <v>0.0050754549268357</v>
      </c>
    </row>
    <row r="460" customFormat="false" ht="15" hidden="false" customHeight="false" outlineLevel="0" collapsed="false">
      <c r="A460" s="4" t="n">
        <v>456</v>
      </c>
      <c r="B460" s="14" t="n">
        <f aca="false">A460/12</f>
        <v>38</v>
      </c>
      <c r="C460" s="15" t="n">
        <f aca="false">INT(A460/6)</f>
        <v>76</v>
      </c>
      <c r="D460" s="16" t="n">
        <f aca="false">IF(C460=0,(1+Dic2025!$G$6)^(-B460),EXP(LN(INDEX(Dic2025!$H$6:$H$205,C460))+(LN(INDEX(Dic2025!$H$6:$H$205,MIN(C460+1,200)))-LN(INDEX(Dic2025!$H$6:$H$205,C460)))*(A460-6*C460)/6))</f>
        <v>0.0993445118357285</v>
      </c>
      <c r="E460" s="12" t="n">
        <f aca="false">D460^(-1/B460)-1</f>
        <v>0.0626517225000001</v>
      </c>
      <c r="F460" s="12" t="n">
        <f aca="false">(1+E460)^(1/12)-1</f>
        <v>0.00507679424153262</v>
      </c>
      <c r="G460" s="16" t="n">
        <f aca="false">IF(C460=0,(1+Dic2025!$J$6)^(-B460),EXP(LN(INDEX(Dic2025!$K$6:$K$205,C460))+(LN(INDEX(Dic2025!$K$6:$K$205,MIN(C460+1,200)))-LN(INDEX(Dic2025!$K$6:$K$205,C460)))*(A460-6*C460)/6))</f>
        <v>0.0993445118357285</v>
      </c>
      <c r="H460" s="12" t="n">
        <f aca="false">G460^(-1/B460)-1</f>
        <v>0.0626517225000001</v>
      </c>
      <c r="I460" s="12" t="n">
        <f aca="false">(1+H460)^(1/12)-1</f>
        <v>0.00507679424153262</v>
      </c>
      <c r="J460" s="16" t="n">
        <f aca="false">IF(C460=0,(1+Dic2025!$M$6)^(-B460),EXP(LN(INDEX(Dic2025!$N$6:$N$205,C460))+(LN(INDEX(Dic2025!$N$6:$N$205,MIN(C460+1,200)))-LN(INDEX(Dic2025!$N$6:$N$205,C460)))*(A460-6*C460)/6))</f>
        <v>0.0993445118357285</v>
      </c>
      <c r="K460" s="12" t="n">
        <f aca="false">J460^(-1/B460)-1</f>
        <v>0.0626517225000001</v>
      </c>
      <c r="L460" s="12" t="n">
        <f aca="false">(1+K460)^(1/12)-1</f>
        <v>0.00507679424153262</v>
      </c>
    </row>
    <row r="461" customFormat="false" ht="15" hidden="false" customHeight="false" outlineLevel="0" collapsed="false">
      <c r="A461" s="4" t="n">
        <v>457</v>
      </c>
      <c r="B461" s="14" t="n">
        <f aca="false">A461/12</f>
        <v>38.0833333333333</v>
      </c>
      <c r="C461" s="15" t="n">
        <f aca="false">INT(A461/6)</f>
        <v>76</v>
      </c>
      <c r="D461" s="16" t="n">
        <f aca="false">IF(C461=0,(1+Dic2025!$G$6)^(-B461),EXP(LN(INDEX(Dic2025!$H$6:$H$205,C461))+(LN(INDEX(Dic2025!$H$6:$H$205,MIN(C461+1,200)))-LN(INDEX(Dic2025!$H$6:$H$205,C461)))*(A461-6*C461)/6))</f>
        <v>0.0988427077462249</v>
      </c>
      <c r="E461" s="12" t="n">
        <f aca="false">D461^(-1/B461)-1</f>
        <v>0.0626517225000001</v>
      </c>
      <c r="F461" s="12" t="n">
        <f aca="false">(1+E461)^(1/12)-1</f>
        <v>0.00507679424153262</v>
      </c>
      <c r="G461" s="16" t="n">
        <f aca="false">IF(C461=0,(1+Dic2025!$J$6)^(-B461),EXP(LN(INDEX(Dic2025!$K$6:$K$205,C461))+(LN(INDEX(Dic2025!$K$6:$K$205,MIN(C461+1,200)))-LN(INDEX(Dic2025!$K$6:$K$205,C461)))*(A461-6*C461)/6))</f>
        <v>0.0988427077462249</v>
      </c>
      <c r="H461" s="12" t="n">
        <f aca="false">G461^(-1/B461)-1</f>
        <v>0.0626517225000001</v>
      </c>
      <c r="I461" s="12" t="n">
        <f aca="false">(1+H461)^(1/12)-1</f>
        <v>0.00507679424153262</v>
      </c>
      <c r="J461" s="16" t="n">
        <f aca="false">IF(C461=0,(1+Dic2025!$M$6)^(-B461),EXP(LN(INDEX(Dic2025!$N$6:$N$205,C461))+(LN(INDEX(Dic2025!$N$6:$N$205,MIN(C461+1,200)))-LN(INDEX(Dic2025!$N$6:$N$205,C461)))*(A461-6*C461)/6))</f>
        <v>0.0988427077462249</v>
      </c>
      <c r="K461" s="12" t="n">
        <f aca="false">J461^(-1/B461)-1</f>
        <v>0.0626517225000001</v>
      </c>
      <c r="L461" s="12" t="n">
        <f aca="false">(1+K461)^(1/12)-1</f>
        <v>0.00507679424153262</v>
      </c>
    </row>
    <row r="462" customFormat="false" ht="15" hidden="false" customHeight="false" outlineLevel="0" collapsed="false">
      <c r="A462" s="4" t="n">
        <v>458</v>
      </c>
      <c r="B462" s="14" t="n">
        <f aca="false">A462/12</f>
        <v>38.1666666666667</v>
      </c>
      <c r="C462" s="15" t="n">
        <f aca="false">INT(A462/6)</f>
        <v>76</v>
      </c>
      <c r="D462" s="16" t="n">
        <f aca="false">IF(C462=0,(1+Dic2025!$G$6)^(-B462),EXP(LN(INDEX(Dic2025!$H$6:$H$205,C462))+(LN(INDEX(Dic2025!$H$6:$H$205,MIN(C462+1,200)))-LN(INDEX(Dic2025!$H$6:$H$205,C462)))*(A462-6*C462)/6))</f>
        <v>0.0983434383447438</v>
      </c>
      <c r="E462" s="12" t="n">
        <f aca="false">D462^(-1/B462)-1</f>
        <v>0.0626517225000001</v>
      </c>
      <c r="F462" s="12" t="n">
        <f aca="false">(1+E462)^(1/12)-1</f>
        <v>0.00507679424153262</v>
      </c>
      <c r="G462" s="16" t="n">
        <f aca="false">IF(C462=0,(1+Dic2025!$J$6)^(-B462),EXP(LN(INDEX(Dic2025!$K$6:$K$205,C462))+(LN(INDEX(Dic2025!$K$6:$K$205,MIN(C462+1,200)))-LN(INDEX(Dic2025!$K$6:$K$205,C462)))*(A462-6*C462)/6))</f>
        <v>0.0983434383447438</v>
      </c>
      <c r="H462" s="12" t="n">
        <f aca="false">G462^(-1/B462)-1</f>
        <v>0.0626517225000001</v>
      </c>
      <c r="I462" s="12" t="n">
        <f aca="false">(1+H462)^(1/12)-1</f>
        <v>0.00507679424153262</v>
      </c>
      <c r="J462" s="16" t="n">
        <f aca="false">IF(C462=0,(1+Dic2025!$M$6)^(-B462),EXP(LN(INDEX(Dic2025!$N$6:$N$205,C462))+(LN(INDEX(Dic2025!$N$6:$N$205,MIN(C462+1,200)))-LN(INDEX(Dic2025!$N$6:$N$205,C462)))*(A462-6*C462)/6))</f>
        <v>0.0983434383447438</v>
      </c>
      <c r="K462" s="12" t="n">
        <f aca="false">J462^(-1/B462)-1</f>
        <v>0.0626517225000001</v>
      </c>
      <c r="L462" s="12" t="n">
        <f aca="false">(1+K462)^(1/12)-1</f>
        <v>0.00507679424153262</v>
      </c>
    </row>
    <row r="463" customFormat="false" ht="15" hidden="false" customHeight="false" outlineLevel="0" collapsed="false">
      <c r="A463" s="4" t="n">
        <v>459</v>
      </c>
      <c r="B463" s="14" t="n">
        <f aca="false">A463/12</f>
        <v>38.25</v>
      </c>
      <c r="C463" s="15" t="n">
        <f aca="false">INT(A463/6)</f>
        <v>76</v>
      </c>
      <c r="D463" s="16" t="n">
        <f aca="false">IF(C463=0,(1+Dic2025!$G$6)^(-B463),EXP(LN(INDEX(Dic2025!$H$6:$H$205,C463))+(LN(INDEX(Dic2025!$H$6:$H$205,MIN(C463+1,200)))-LN(INDEX(Dic2025!$H$6:$H$205,C463)))*(A463-6*C463)/6))</f>
        <v>0.0978466908281942</v>
      </c>
      <c r="E463" s="12" t="n">
        <f aca="false">D463^(-1/B463)-1</f>
        <v>0.0626517225000001</v>
      </c>
      <c r="F463" s="12" t="n">
        <f aca="false">(1+E463)^(1/12)-1</f>
        <v>0.00507679424153262</v>
      </c>
      <c r="G463" s="16" t="n">
        <f aca="false">IF(C463=0,(1+Dic2025!$J$6)^(-B463),EXP(LN(INDEX(Dic2025!$K$6:$K$205,C463))+(LN(INDEX(Dic2025!$K$6:$K$205,MIN(C463+1,200)))-LN(INDEX(Dic2025!$K$6:$K$205,C463)))*(A463-6*C463)/6))</f>
        <v>0.0978466908281942</v>
      </c>
      <c r="H463" s="12" t="n">
        <f aca="false">G463^(-1/B463)-1</f>
        <v>0.0626517225000001</v>
      </c>
      <c r="I463" s="12" t="n">
        <f aca="false">(1+H463)^(1/12)-1</f>
        <v>0.00507679424153262</v>
      </c>
      <c r="J463" s="16" t="n">
        <f aca="false">IF(C463=0,(1+Dic2025!$M$6)^(-B463),EXP(LN(INDEX(Dic2025!$N$6:$N$205,C463))+(LN(INDEX(Dic2025!$N$6:$N$205,MIN(C463+1,200)))-LN(INDEX(Dic2025!$N$6:$N$205,C463)))*(A463-6*C463)/6))</f>
        <v>0.0978466908281942</v>
      </c>
      <c r="K463" s="12" t="n">
        <f aca="false">J463^(-1/B463)-1</f>
        <v>0.0626517225000001</v>
      </c>
      <c r="L463" s="12" t="n">
        <f aca="false">(1+K463)^(1/12)-1</f>
        <v>0.00507679424153262</v>
      </c>
    </row>
    <row r="464" customFormat="false" ht="15" hidden="false" customHeight="false" outlineLevel="0" collapsed="false">
      <c r="A464" s="4" t="n">
        <v>460</v>
      </c>
      <c r="B464" s="14" t="n">
        <f aca="false">A464/12</f>
        <v>38.3333333333333</v>
      </c>
      <c r="C464" s="15" t="n">
        <f aca="false">INT(A464/6)</f>
        <v>76</v>
      </c>
      <c r="D464" s="16" t="n">
        <f aca="false">IF(C464=0,(1+Dic2025!$G$6)^(-B464),EXP(LN(INDEX(Dic2025!$H$6:$H$205,C464))+(LN(INDEX(Dic2025!$H$6:$H$205,MIN(C464+1,200)))-LN(INDEX(Dic2025!$H$6:$H$205,C464)))*(A464-6*C464)/6))</f>
        <v>0.0973524524581555</v>
      </c>
      <c r="E464" s="12" t="n">
        <f aca="false">D464^(-1/B464)-1</f>
        <v>0.0626517225000001</v>
      </c>
      <c r="F464" s="12" t="n">
        <f aca="false">(1+E464)^(1/12)-1</f>
        <v>0.00507679424153262</v>
      </c>
      <c r="G464" s="16" t="n">
        <f aca="false">IF(C464=0,(1+Dic2025!$J$6)^(-B464),EXP(LN(INDEX(Dic2025!$K$6:$K$205,C464))+(LN(INDEX(Dic2025!$K$6:$K$205,MIN(C464+1,200)))-LN(INDEX(Dic2025!$K$6:$K$205,C464)))*(A464-6*C464)/6))</f>
        <v>0.0973524524581555</v>
      </c>
      <c r="H464" s="12" t="n">
        <f aca="false">G464^(-1/B464)-1</f>
        <v>0.0626517225000001</v>
      </c>
      <c r="I464" s="12" t="n">
        <f aca="false">(1+H464)^(1/12)-1</f>
        <v>0.00507679424153262</v>
      </c>
      <c r="J464" s="16" t="n">
        <f aca="false">IF(C464=0,(1+Dic2025!$M$6)^(-B464),EXP(LN(INDEX(Dic2025!$N$6:$N$205,C464))+(LN(INDEX(Dic2025!$N$6:$N$205,MIN(C464+1,200)))-LN(INDEX(Dic2025!$N$6:$N$205,C464)))*(A464-6*C464)/6))</f>
        <v>0.0973524524581555</v>
      </c>
      <c r="K464" s="12" t="n">
        <f aca="false">J464^(-1/B464)-1</f>
        <v>0.0626517225000001</v>
      </c>
      <c r="L464" s="12" t="n">
        <f aca="false">(1+K464)^(1/12)-1</f>
        <v>0.00507679424153262</v>
      </c>
    </row>
    <row r="465" customFormat="false" ht="15" hidden="false" customHeight="false" outlineLevel="0" collapsed="false">
      <c r="A465" s="4" t="n">
        <v>461</v>
      </c>
      <c r="B465" s="14" t="n">
        <f aca="false">A465/12</f>
        <v>38.4166666666667</v>
      </c>
      <c r="C465" s="15" t="n">
        <f aca="false">INT(A465/6)</f>
        <v>76</v>
      </c>
      <c r="D465" s="16" t="n">
        <f aca="false">IF(C465=0,(1+Dic2025!$G$6)^(-B465),EXP(LN(INDEX(Dic2025!$H$6:$H$205,C465))+(LN(INDEX(Dic2025!$H$6:$H$205,MIN(C465+1,200)))-LN(INDEX(Dic2025!$H$6:$H$205,C465)))*(A465-6*C465)/6))</f>
        <v>0.096860710560551</v>
      </c>
      <c r="E465" s="12" t="n">
        <f aca="false">D465^(-1/B465)-1</f>
        <v>0.0626517225000001</v>
      </c>
      <c r="F465" s="12" t="n">
        <f aca="false">(1+E465)^(1/12)-1</f>
        <v>0.00507679424153262</v>
      </c>
      <c r="G465" s="16" t="n">
        <f aca="false">IF(C465=0,(1+Dic2025!$J$6)^(-B465),EXP(LN(INDEX(Dic2025!$K$6:$K$205,C465))+(LN(INDEX(Dic2025!$K$6:$K$205,MIN(C465+1,200)))-LN(INDEX(Dic2025!$K$6:$K$205,C465)))*(A465-6*C465)/6))</f>
        <v>0.096860710560551</v>
      </c>
      <c r="H465" s="12" t="n">
        <f aca="false">G465^(-1/B465)-1</f>
        <v>0.0626517225000001</v>
      </c>
      <c r="I465" s="12" t="n">
        <f aca="false">(1+H465)^(1/12)-1</f>
        <v>0.00507679424153262</v>
      </c>
      <c r="J465" s="16" t="n">
        <f aca="false">IF(C465=0,(1+Dic2025!$M$6)^(-B465),EXP(LN(INDEX(Dic2025!$N$6:$N$205,C465))+(LN(INDEX(Dic2025!$N$6:$N$205,MIN(C465+1,200)))-LN(INDEX(Dic2025!$N$6:$N$205,C465)))*(A465-6*C465)/6))</f>
        <v>0.096860710560551</v>
      </c>
      <c r="K465" s="12" t="n">
        <f aca="false">J465^(-1/B465)-1</f>
        <v>0.0626517225000001</v>
      </c>
      <c r="L465" s="12" t="n">
        <f aca="false">(1+K465)^(1/12)-1</f>
        <v>0.00507679424153262</v>
      </c>
    </row>
    <row r="466" customFormat="false" ht="15" hidden="false" customHeight="false" outlineLevel="0" collapsed="false">
      <c r="A466" s="4" t="n">
        <v>462</v>
      </c>
      <c r="B466" s="14" t="n">
        <f aca="false">A466/12</f>
        <v>38.5</v>
      </c>
      <c r="C466" s="15" t="n">
        <f aca="false">INT(A466/6)</f>
        <v>77</v>
      </c>
      <c r="D466" s="16" t="n">
        <f aca="false">IF(C466=0,(1+Dic2025!$G$6)^(-B466),EXP(LN(INDEX(Dic2025!$H$6:$H$205,C466))+(LN(INDEX(Dic2025!$H$6:$H$205,MIN(C466+1,200)))-LN(INDEX(Dic2025!$H$6:$H$205,C466)))*(A466-6*C466)/6))</f>
        <v>0.0963714525253223</v>
      </c>
      <c r="E466" s="12" t="n">
        <f aca="false">D466^(-1/B466)-1</f>
        <v>0.0626517225000001</v>
      </c>
      <c r="F466" s="12" t="n">
        <f aca="false">(1+E466)^(1/12)-1</f>
        <v>0.00507679424153262</v>
      </c>
      <c r="G466" s="16" t="n">
        <f aca="false">IF(C466=0,(1+Dic2025!$J$6)^(-B466),EXP(LN(INDEX(Dic2025!$K$6:$K$205,C466))+(LN(INDEX(Dic2025!$K$6:$K$205,MIN(C466+1,200)))-LN(INDEX(Dic2025!$K$6:$K$205,C466)))*(A466-6*C466)/6))</f>
        <v>0.0963714525253223</v>
      </c>
      <c r="H466" s="12" t="n">
        <f aca="false">G466^(-1/B466)-1</f>
        <v>0.0626517225000001</v>
      </c>
      <c r="I466" s="12" t="n">
        <f aca="false">(1+H466)^(1/12)-1</f>
        <v>0.00507679424153262</v>
      </c>
      <c r="J466" s="16" t="n">
        <f aca="false">IF(C466=0,(1+Dic2025!$M$6)^(-B466),EXP(LN(INDEX(Dic2025!$N$6:$N$205,C466))+(LN(INDEX(Dic2025!$N$6:$N$205,MIN(C466+1,200)))-LN(INDEX(Dic2025!$N$6:$N$205,C466)))*(A466-6*C466)/6))</f>
        <v>0.0963714525253223</v>
      </c>
      <c r="K466" s="12" t="n">
        <f aca="false">J466^(-1/B466)-1</f>
        <v>0.0626517225000001</v>
      </c>
      <c r="L466" s="12" t="n">
        <f aca="false">(1+K466)^(1/12)-1</f>
        <v>0.00507679424153262</v>
      </c>
    </row>
    <row r="467" customFormat="false" ht="15" hidden="false" customHeight="false" outlineLevel="0" collapsed="false">
      <c r="A467" s="4" t="n">
        <v>463</v>
      </c>
      <c r="B467" s="14" t="n">
        <f aca="false">A467/12</f>
        <v>38.5833333333333</v>
      </c>
      <c r="C467" s="15" t="n">
        <f aca="false">INT(A467/6)</f>
        <v>77</v>
      </c>
      <c r="D467" s="16" t="n">
        <f aca="false">IF(C467=0,(1+Dic2025!$G$6)^(-B467),EXP(LN(INDEX(Dic2025!$H$6:$H$205,C467))+(LN(INDEX(Dic2025!$H$6:$H$205,MIN(C467+1,200)))-LN(INDEX(Dic2025!$H$6:$H$205,C467)))*(A467-6*C467)/6))</f>
        <v>0.0958242264822878</v>
      </c>
      <c r="E467" s="12" t="n">
        <f aca="false">D467^(-1/B467)-1</f>
        <v>0.0626690885922363</v>
      </c>
      <c r="F467" s="12" t="n">
        <f aca="false">(1+E467)^(1/12)-1</f>
        <v>0.00507816299710351</v>
      </c>
      <c r="G467" s="16" t="n">
        <f aca="false">IF(C467=0,(1+Dic2025!$J$6)^(-B467),EXP(LN(INDEX(Dic2025!$K$6:$K$205,C467))+(LN(INDEX(Dic2025!$K$6:$K$205,MIN(C467+1,200)))-LN(INDEX(Dic2025!$K$6:$K$205,C467)))*(A467-6*C467)/6))</f>
        <v>0.0958242264822878</v>
      </c>
      <c r="H467" s="12" t="n">
        <f aca="false">G467^(-1/B467)-1</f>
        <v>0.0626690885922363</v>
      </c>
      <c r="I467" s="12" t="n">
        <f aca="false">(1+H467)^(1/12)-1</f>
        <v>0.00507816299710351</v>
      </c>
      <c r="J467" s="16" t="n">
        <f aca="false">IF(C467=0,(1+Dic2025!$M$6)^(-B467),EXP(LN(INDEX(Dic2025!$N$6:$N$205,C467))+(LN(INDEX(Dic2025!$N$6:$N$205,MIN(C467+1,200)))-LN(INDEX(Dic2025!$N$6:$N$205,C467)))*(A467-6*C467)/6))</f>
        <v>0.0958242264822878</v>
      </c>
      <c r="K467" s="12" t="n">
        <f aca="false">J467^(-1/B467)-1</f>
        <v>0.0626690885922363</v>
      </c>
      <c r="L467" s="12" t="n">
        <f aca="false">(1+K467)^(1/12)-1</f>
        <v>0.00507816299710351</v>
      </c>
    </row>
    <row r="468" customFormat="false" ht="15" hidden="false" customHeight="false" outlineLevel="0" collapsed="false">
      <c r="A468" s="4" t="n">
        <v>464</v>
      </c>
      <c r="B468" s="14" t="n">
        <f aca="false">A468/12</f>
        <v>38.6666666666667</v>
      </c>
      <c r="C468" s="15" t="n">
        <f aca="false">INT(A468/6)</f>
        <v>77</v>
      </c>
      <c r="D468" s="16" t="n">
        <f aca="false">IF(C468=0,(1+Dic2025!$G$6)^(-B468),EXP(LN(INDEX(Dic2025!$H$6:$H$205,C468))+(LN(INDEX(Dic2025!$H$6:$H$205,MIN(C468+1,200)))-LN(INDEX(Dic2025!$H$6:$H$205,C468)))*(A468-6*C468)/6))</f>
        <v>0.0952801077530307</v>
      </c>
      <c r="E468" s="12" t="n">
        <f aca="false">D468^(-1/B468)-1</f>
        <v>0.0626863801125952</v>
      </c>
      <c r="F468" s="12" t="n">
        <f aca="false">(1+E468)^(1/12)-1</f>
        <v>0.0050795258547176</v>
      </c>
      <c r="G468" s="16" t="n">
        <f aca="false">IF(C468=0,(1+Dic2025!$J$6)^(-B468),EXP(LN(INDEX(Dic2025!$K$6:$K$205,C468))+(LN(INDEX(Dic2025!$K$6:$K$205,MIN(C468+1,200)))-LN(INDEX(Dic2025!$K$6:$K$205,C468)))*(A468-6*C468)/6))</f>
        <v>0.0952801077530307</v>
      </c>
      <c r="H468" s="12" t="n">
        <f aca="false">G468^(-1/B468)-1</f>
        <v>0.0626863801125952</v>
      </c>
      <c r="I468" s="12" t="n">
        <f aca="false">(1+H468)^(1/12)-1</f>
        <v>0.0050795258547176</v>
      </c>
      <c r="J468" s="16" t="n">
        <f aca="false">IF(C468=0,(1+Dic2025!$M$6)^(-B468),EXP(LN(INDEX(Dic2025!$N$6:$N$205,C468))+(LN(INDEX(Dic2025!$N$6:$N$205,MIN(C468+1,200)))-LN(INDEX(Dic2025!$N$6:$N$205,C468)))*(A468-6*C468)/6))</f>
        <v>0.0952801077530307</v>
      </c>
      <c r="K468" s="12" t="n">
        <f aca="false">J468^(-1/B468)-1</f>
        <v>0.0626863801125952</v>
      </c>
      <c r="L468" s="12" t="n">
        <f aca="false">(1+K468)^(1/12)-1</f>
        <v>0.0050795258547176</v>
      </c>
    </row>
    <row r="469" customFormat="false" ht="15" hidden="false" customHeight="false" outlineLevel="0" collapsed="false">
      <c r="A469" s="4" t="n">
        <v>465</v>
      </c>
      <c r="B469" s="14" t="n">
        <f aca="false">A469/12</f>
        <v>38.75</v>
      </c>
      <c r="C469" s="15" t="n">
        <f aca="false">INT(A469/6)</f>
        <v>77</v>
      </c>
      <c r="D469" s="16" t="n">
        <f aca="false">IF(C469=0,(1+Dic2025!$G$6)^(-B469),EXP(LN(INDEX(Dic2025!$H$6:$H$205,C469))+(LN(INDEX(Dic2025!$H$6:$H$205,MIN(C469+1,200)))-LN(INDEX(Dic2025!$H$6:$H$205,C469)))*(A469-6*C469)/6))</f>
        <v>0.0947390786932903</v>
      </c>
      <c r="E469" s="12" t="n">
        <f aca="false">D469^(-1/B469)-1</f>
        <v>0.0627035975403745</v>
      </c>
      <c r="F469" s="12" t="n">
        <f aca="false">(1+E469)^(1/12)-1</f>
        <v>0.00508088285241493</v>
      </c>
      <c r="G469" s="16" t="n">
        <f aca="false">IF(C469=0,(1+Dic2025!$J$6)^(-B469),EXP(LN(INDEX(Dic2025!$K$6:$K$205,C469))+(LN(INDEX(Dic2025!$K$6:$K$205,MIN(C469+1,200)))-LN(INDEX(Dic2025!$K$6:$K$205,C469)))*(A469-6*C469)/6))</f>
        <v>0.0947390786932903</v>
      </c>
      <c r="H469" s="12" t="n">
        <f aca="false">G469^(-1/B469)-1</f>
        <v>0.0627035975403745</v>
      </c>
      <c r="I469" s="12" t="n">
        <f aca="false">(1+H469)^(1/12)-1</f>
        <v>0.00508088285241493</v>
      </c>
      <c r="J469" s="16" t="n">
        <f aca="false">IF(C469=0,(1+Dic2025!$M$6)^(-B469),EXP(LN(INDEX(Dic2025!$N$6:$N$205,C469))+(LN(INDEX(Dic2025!$N$6:$N$205,MIN(C469+1,200)))-LN(INDEX(Dic2025!$N$6:$N$205,C469)))*(A469-6*C469)/6))</f>
        <v>0.0947390786932903</v>
      </c>
      <c r="K469" s="12" t="n">
        <f aca="false">J469^(-1/B469)-1</f>
        <v>0.0627035975403745</v>
      </c>
      <c r="L469" s="12" t="n">
        <f aca="false">(1+K469)^(1/12)-1</f>
        <v>0.00508088285241493</v>
      </c>
    </row>
    <row r="470" customFormat="false" ht="15" hidden="false" customHeight="false" outlineLevel="0" collapsed="false">
      <c r="A470" s="4" t="n">
        <v>466</v>
      </c>
      <c r="B470" s="14" t="n">
        <f aca="false">A470/12</f>
        <v>38.8333333333333</v>
      </c>
      <c r="C470" s="15" t="n">
        <f aca="false">INT(A470/6)</f>
        <v>77</v>
      </c>
      <c r="D470" s="16" t="n">
        <f aca="false">IF(C470=0,(1+Dic2025!$G$6)^(-B470),EXP(LN(INDEX(Dic2025!$H$6:$H$205,C470))+(LN(INDEX(Dic2025!$H$6:$H$205,MIN(C470+1,200)))-LN(INDEX(Dic2025!$H$6:$H$205,C470)))*(A470-6*C470)/6))</f>
        <v>0.0942011217589955</v>
      </c>
      <c r="E470" s="12" t="n">
        <f aca="false">D470^(-1/B470)-1</f>
        <v>0.062720741350774</v>
      </c>
      <c r="F470" s="12" t="n">
        <f aca="false">(1+E470)^(1/12)-1</f>
        <v>0.00508223402790797</v>
      </c>
      <c r="G470" s="16" t="n">
        <f aca="false">IF(C470=0,(1+Dic2025!$J$6)^(-B470),EXP(LN(INDEX(Dic2025!$K$6:$K$205,C470))+(LN(INDEX(Dic2025!$K$6:$K$205,MIN(C470+1,200)))-LN(INDEX(Dic2025!$K$6:$K$205,C470)))*(A470-6*C470)/6))</f>
        <v>0.0942011217589955</v>
      </c>
      <c r="H470" s="12" t="n">
        <f aca="false">G470^(-1/B470)-1</f>
        <v>0.062720741350774</v>
      </c>
      <c r="I470" s="12" t="n">
        <f aca="false">(1+H470)^(1/12)-1</f>
        <v>0.00508223402790797</v>
      </c>
      <c r="J470" s="16" t="n">
        <f aca="false">IF(C470=0,(1+Dic2025!$M$6)^(-B470),EXP(LN(INDEX(Dic2025!$N$6:$N$205,C470))+(LN(INDEX(Dic2025!$N$6:$N$205,MIN(C470+1,200)))-LN(INDEX(Dic2025!$N$6:$N$205,C470)))*(A470-6*C470)/6))</f>
        <v>0.0942011217589955</v>
      </c>
      <c r="K470" s="12" t="n">
        <f aca="false">J470^(-1/B470)-1</f>
        <v>0.062720741350774</v>
      </c>
      <c r="L470" s="12" t="n">
        <f aca="false">(1+K470)^(1/12)-1</f>
        <v>0.00508223402790797</v>
      </c>
    </row>
    <row r="471" customFormat="false" ht="15" hidden="false" customHeight="false" outlineLevel="0" collapsed="false">
      <c r="A471" s="4" t="n">
        <v>467</v>
      </c>
      <c r="B471" s="14" t="n">
        <f aca="false">A471/12</f>
        <v>38.9166666666667</v>
      </c>
      <c r="C471" s="15" t="n">
        <f aca="false">INT(A471/6)</f>
        <v>77</v>
      </c>
      <c r="D471" s="16" t="n">
        <f aca="false">IF(C471=0,(1+Dic2025!$G$6)^(-B471),EXP(LN(INDEX(Dic2025!$H$6:$H$205,C471))+(LN(INDEX(Dic2025!$H$6:$H$205,MIN(C471+1,200)))-LN(INDEX(Dic2025!$H$6:$H$205,C471)))*(A471-6*C471)/6))</f>
        <v>0.0936662195056956</v>
      </c>
      <c r="E471" s="12" t="n">
        <f aca="false">D471^(-1/B471)-1</f>
        <v>0.0627378120149382</v>
      </c>
      <c r="F471" s="12" t="n">
        <f aca="false">(1+E471)^(1/12)-1</f>
        <v>0.00508357941858684</v>
      </c>
      <c r="G471" s="16" t="n">
        <f aca="false">IF(C471=0,(1+Dic2025!$J$6)^(-B471),EXP(LN(INDEX(Dic2025!$K$6:$K$205,C471))+(LN(INDEX(Dic2025!$K$6:$K$205,MIN(C471+1,200)))-LN(INDEX(Dic2025!$K$6:$K$205,C471)))*(A471-6*C471)/6))</f>
        <v>0.0936662195056956</v>
      </c>
      <c r="H471" s="12" t="n">
        <f aca="false">G471^(-1/B471)-1</f>
        <v>0.0627378120149382</v>
      </c>
      <c r="I471" s="12" t="n">
        <f aca="false">(1+H471)^(1/12)-1</f>
        <v>0.00508357941858684</v>
      </c>
      <c r="J471" s="16" t="n">
        <f aca="false">IF(C471=0,(1+Dic2025!$M$6)^(-B471),EXP(LN(INDEX(Dic2025!$N$6:$N$205,C471))+(LN(INDEX(Dic2025!$N$6:$N$205,MIN(C471+1,200)))-LN(INDEX(Dic2025!$N$6:$N$205,C471)))*(A471-6*C471)/6))</f>
        <v>0.0936662195056956</v>
      </c>
      <c r="K471" s="12" t="n">
        <f aca="false">J471^(-1/B471)-1</f>
        <v>0.0627378120149382</v>
      </c>
      <c r="L471" s="12" t="n">
        <f aca="false">(1+K471)^(1/12)-1</f>
        <v>0.00508357941858684</v>
      </c>
    </row>
    <row r="472" customFormat="false" ht="15" hidden="false" customHeight="false" outlineLevel="0" collapsed="false">
      <c r="A472" s="4" t="n">
        <v>468</v>
      </c>
      <c r="B472" s="14" t="n">
        <f aca="false">A472/12</f>
        <v>39</v>
      </c>
      <c r="C472" s="15" t="n">
        <f aca="false">INT(A472/6)</f>
        <v>78</v>
      </c>
      <c r="D472" s="16" t="n">
        <f aca="false">IF(C472=0,(1+Dic2025!$G$6)^(-B472),EXP(LN(INDEX(Dic2025!$H$6:$H$205,C472))+(LN(INDEX(Dic2025!$H$6:$H$205,MIN(C472+1,200)))-LN(INDEX(Dic2025!$H$6:$H$205,C472)))*(A472-6*C472)/6))</f>
        <v>0.0931343545879946</v>
      </c>
      <c r="E472" s="12" t="n">
        <f aca="false">D472^(-1/B472)-1</f>
        <v>0.0627548099999999</v>
      </c>
      <c r="F472" s="12" t="n">
        <f aca="false">(1+E472)^(1/12)-1</f>
        <v>0.00508491906152253</v>
      </c>
      <c r="G472" s="16" t="n">
        <f aca="false">IF(C472=0,(1+Dic2025!$J$6)^(-B472),EXP(LN(INDEX(Dic2025!$K$6:$K$205,C472))+(LN(INDEX(Dic2025!$K$6:$K$205,MIN(C472+1,200)))-LN(INDEX(Dic2025!$K$6:$K$205,C472)))*(A472-6*C472)/6))</f>
        <v>0.0931343545879946</v>
      </c>
      <c r="H472" s="12" t="n">
        <f aca="false">G472^(-1/B472)-1</f>
        <v>0.0627548099999999</v>
      </c>
      <c r="I472" s="12" t="n">
        <f aca="false">(1+H472)^(1/12)-1</f>
        <v>0.00508491906152253</v>
      </c>
      <c r="J472" s="16" t="n">
        <f aca="false">IF(C472=0,(1+Dic2025!$M$6)^(-B472),EXP(LN(INDEX(Dic2025!$N$6:$N$205,C472))+(LN(INDEX(Dic2025!$N$6:$N$205,MIN(C472+1,200)))-LN(INDEX(Dic2025!$N$6:$N$205,C472)))*(A472-6*C472)/6))</f>
        <v>0.0931343545879946</v>
      </c>
      <c r="K472" s="12" t="n">
        <f aca="false">J472^(-1/B472)-1</f>
        <v>0.0627548099999999</v>
      </c>
      <c r="L472" s="12" t="n">
        <f aca="false">(1+K472)^(1/12)-1</f>
        <v>0.00508491906152253</v>
      </c>
    </row>
    <row r="473" customFormat="false" ht="15" hidden="false" customHeight="false" outlineLevel="0" collapsed="false">
      <c r="A473" s="4" t="n">
        <v>469</v>
      </c>
      <c r="B473" s="14" t="n">
        <f aca="false">A473/12</f>
        <v>39.0833333333333</v>
      </c>
      <c r="C473" s="15" t="n">
        <f aca="false">INT(A473/6)</f>
        <v>78</v>
      </c>
      <c r="D473" s="16" t="n">
        <f aca="false">IF(C473=0,(1+Dic2025!$G$6)^(-B473),EXP(LN(INDEX(Dic2025!$H$6:$H$205,C473))+(LN(INDEX(Dic2025!$H$6:$H$205,MIN(C473+1,200)))-LN(INDEX(Dic2025!$H$6:$H$205,C473)))*(A473-6*C473)/6))</f>
        <v>0.0926040154401734</v>
      </c>
      <c r="E473" s="12" t="n">
        <f aca="false">D473^(-1/B473)-1</f>
        <v>0.0627721745608501</v>
      </c>
      <c r="F473" s="12" t="n">
        <f aca="false">(1+E473)^(1/12)-1</f>
        <v>0.00508628757469953</v>
      </c>
      <c r="G473" s="16" t="n">
        <f aca="false">IF(C473=0,(1+Dic2025!$J$6)^(-B473),EXP(LN(INDEX(Dic2025!$K$6:$K$205,C473))+(LN(INDEX(Dic2025!$K$6:$K$205,MIN(C473+1,200)))-LN(INDEX(Dic2025!$K$6:$K$205,C473)))*(A473-6*C473)/6))</f>
        <v>0.0926040154401734</v>
      </c>
      <c r="H473" s="12" t="n">
        <f aca="false">G473^(-1/B473)-1</f>
        <v>0.0627721745608501</v>
      </c>
      <c r="I473" s="12" t="n">
        <f aca="false">(1+H473)^(1/12)-1</f>
        <v>0.00508628757469953</v>
      </c>
      <c r="J473" s="16" t="n">
        <f aca="false">IF(C473=0,(1+Dic2025!$M$6)^(-B473),EXP(LN(INDEX(Dic2025!$N$6:$N$205,C473))+(LN(INDEX(Dic2025!$N$6:$N$205,MIN(C473+1,200)))-LN(INDEX(Dic2025!$N$6:$N$205,C473)))*(A473-6*C473)/6))</f>
        <v>0.0926040154401734</v>
      </c>
      <c r="K473" s="12" t="n">
        <f aca="false">J473^(-1/B473)-1</f>
        <v>0.0627721745608501</v>
      </c>
      <c r="L473" s="12" t="n">
        <f aca="false">(1+K473)^(1/12)-1</f>
        <v>0.00508628757469953</v>
      </c>
    </row>
    <row r="474" customFormat="false" ht="15" hidden="false" customHeight="false" outlineLevel="0" collapsed="false">
      <c r="A474" s="4" t="n">
        <v>470</v>
      </c>
      <c r="B474" s="14" t="n">
        <f aca="false">A474/12</f>
        <v>39.1666666666667</v>
      </c>
      <c r="C474" s="15" t="n">
        <f aca="false">INT(A474/6)</f>
        <v>78</v>
      </c>
      <c r="D474" s="16" t="n">
        <f aca="false">IF(C474=0,(1+Dic2025!$G$6)^(-B474),EXP(LN(INDEX(Dic2025!$H$6:$H$205,C474))+(LN(INDEX(Dic2025!$H$6:$H$205,MIN(C474+1,200)))-LN(INDEX(Dic2025!$H$6:$H$205,C474)))*(A474-6*C474)/6))</f>
        <v>0.092076696226435</v>
      </c>
      <c r="E474" s="12" t="n">
        <f aca="false">D474^(-1/B474)-1</f>
        <v>0.0627894655118664</v>
      </c>
      <c r="F474" s="12" t="n">
        <f aca="false">(1+E474)^(1/12)-1</f>
        <v>0.00508765026626779</v>
      </c>
      <c r="G474" s="16" t="n">
        <f aca="false">IF(C474=0,(1+Dic2025!$J$6)^(-B474),EXP(LN(INDEX(Dic2025!$K$6:$K$205,C474))+(LN(INDEX(Dic2025!$K$6:$K$205,MIN(C474+1,200)))-LN(INDEX(Dic2025!$K$6:$K$205,C474)))*(A474-6*C474)/6))</f>
        <v>0.092076696226435</v>
      </c>
      <c r="H474" s="12" t="n">
        <f aca="false">G474^(-1/B474)-1</f>
        <v>0.0627894655118664</v>
      </c>
      <c r="I474" s="12" t="n">
        <f aca="false">(1+H474)^(1/12)-1</f>
        <v>0.00508765026626779</v>
      </c>
      <c r="J474" s="16" t="n">
        <f aca="false">IF(C474=0,(1+Dic2025!$M$6)^(-B474),EXP(LN(INDEX(Dic2025!$N$6:$N$205,C474))+(LN(INDEX(Dic2025!$N$6:$N$205,MIN(C474+1,200)))-LN(INDEX(Dic2025!$N$6:$N$205,C474)))*(A474-6*C474)/6))</f>
        <v>0.092076696226435</v>
      </c>
      <c r="K474" s="12" t="n">
        <f aca="false">J474^(-1/B474)-1</f>
        <v>0.0627894655118664</v>
      </c>
      <c r="L474" s="12" t="n">
        <f aca="false">(1+K474)^(1/12)-1</f>
        <v>0.00508765026626779</v>
      </c>
    </row>
    <row r="475" customFormat="false" ht="15" hidden="false" customHeight="false" outlineLevel="0" collapsed="false">
      <c r="A475" s="4" t="n">
        <v>471</v>
      </c>
      <c r="B475" s="14" t="n">
        <f aca="false">A475/12</f>
        <v>39.25</v>
      </c>
      <c r="C475" s="15" t="n">
        <f aca="false">INT(A475/6)</f>
        <v>78</v>
      </c>
      <c r="D475" s="16" t="n">
        <f aca="false">IF(C475=0,(1+Dic2025!$G$6)^(-B475),EXP(LN(INDEX(Dic2025!$H$6:$H$205,C475))+(LN(INDEX(Dic2025!$H$6:$H$205,MIN(C475+1,200)))-LN(INDEX(Dic2025!$H$6:$H$205,C475)))*(A475-6*C475)/6))</f>
        <v>0.0915523797502329</v>
      </c>
      <c r="E475" s="12" t="n">
        <f aca="false">D475^(-1/B475)-1</f>
        <v>0.0628066833201142</v>
      </c>
      <c r="F475" s="12" t="n">
        <f aca="false">(1+E475)^(1/12)-1</f>
        <v>0.00508900717329563</v>
      </c>
      <c r="G475" s="16" t="n">
        <f aca="false">IF(C475=0,(1+Dic2025!$J$6)^(-B475),EXP(LN(INDEX(Dic2025!$K$6:$K$205,C475))+(LN(INDEX(Dic2025!$K$6:$K$205,MIN(C475+1,200)))-LN(INDEX(Dic2025!$K$6:$K$205,C475)))*(A475-6*C475)/6))</f>
        <v>0.0915523797502329</v>
      </c>
      <c r="H475" s="12" t="n">
        <f aca="false">G475^(-1/B475)-1</f>
        <v>0.0628066833201142</v>
      </c>
      <c r="I475" s="12" t="n">
        <f aca="false">(1+H475)^(1/12)-1</f>
        <v>0.00508900717329563</v>
      </c>
      <c r="J475" s="16" t="n">
        <f aca="false">IF(C475=0,(1+Dic2025!$M$6)^(-B475),EXP(LN(INDEX(Dic2025!$N$6:$N$205,C475))+(LN(INDEX(Dic2025!$N$6:$N$205,MIN(C475+1,200)))-LN(INDEX(Dic2025!$N$6:$N$205,C475)))*(A475-6*C475)/6))</f>
        <v>0.0915523797502329</v>
      </c>
      <c r="K475" s="12" t="n">
        <f aca="false">J475^(-1/B475)-1</f>
        <v>0.0628066833201142</v>
      </c>
      <c r="L475" s="12" t="n">
        <f aca="false">(1+K475)^(1/12)-1</f>
        <v>0.00508900717329563</v>
      </c>
    </row>
    <row r="476" customFormat="false" ht="15" hidden="false" customHeight="false" outlineLevel="0" collapsed="false">
      <c r="A476" s="4" t="n">
        <v>472</v>
      </c>
      <c r="B476" s="14" t="n">
        <f aca="false">A476/12</f>
        <v>39.3333333333333</v>
      </c>
      <c r="C476" s="15" t="n">
        <f aca="false">INT(A476/6)</f>
        <v>78</v>
      </c>
      <c r="D476" s="16" t="n">
        <f aca="false">IF(C476=0,(1+Dic2025!$G$6)^(-B476),EXP(LN(INDEX(Dic2025!$H$6:$H$205,C476))+(LN(INDEX(Dic2025!$H$6:$H$205,MIN(C476+1,200)))-LN(INDEX(Dic2025!$H$6:$H$205,C476)))*(A476-6*C476)/6))</f>
        <v>0.0910310489129437</v>
      </c>
      <c r="E476" s="12" t="n">
        <f aca="false">D476^(-1/B476)-1</f>
        <v>0.0628238284487155</v>
      </c>
      <c r="F476" s="12" t="n">
        <f aca="false">(1+E476)^(1/12)-1</f>
        <v>0.00509035833253768</v>
      </c>
      <c r="G476" s="16" t="n">
        <f aca="false">IF(C476=0,(1+Dic2025!$J$6)^(-B476),EXP(LN(INDEX(Dic2025!$K$6:$K$205,C476))+(LN(INDEX(Dic2025!$K$6:$K$205,MIN(C476+1,200)))-LN(INDEX(Dic2025!$K$6:$K$205,C476)))*(A476-6*C476)/6))</f>
        <v>0.0910310489129437</v>
      </c>
      <c r="H476" s="12" t="n">
        <f aca="false">G476^(-1/B476)-1</f>
        <v>0.0628238284487155</v>
      </c>
      <c r="I476" s="12" t="n">
        <f aca="false">(1+H476)^(1/12)-1</f>
        <v>0.00509035833253768</v>
      </c>
      <c r="J476" s="16" t="n">
        <f aca="false">IF(C476=0,(1+Dic2025!$M$6)^(-B476),EXP(LN(INDEX(Dic2025!$N$6:$N$205,C476))+(LN(INDEX(Dic2025!$N$6:$N$205,MIN(C476+1,200)))-LN(INDEX(Dic2025!$N$6:$N$205,C476)))*(A476-6*C476)/6))</f>
        <v>0.0910310489129437</v>
      </c>
      <c r="K476" s="12" t="n">
        <f aca="false">J476^(-1/B476)-1</f>
        <v>0.0628238284487155</v>
      </c>
      <c r="L476" s="12" t="n">
        <f aca="false">(1+K476)^(1/12)-1</f>
        <v>0.00509035833253768</v>
      </c>
    </row>
    <row r="477" customFormat="false" ht="15" hidden="false" customHeight="false" outlineLevel="0" collapsed="false">
      <c r="A477" s="4" t="n">
        <v>473</v>
      </c>
      <c r="B477" s="14" t="n">
        <f aca="false">A477/12</f>
        <v>39.4166666666667</v>
      </c>
      <c r="C477" s="15" t="n">
        <f aca="false">INT(A477/6)</f>
        <v>78</v>
      </c>
      <c r="D477" s="16" t="n">
        <f aca="false">IF(C477=0,(1+Dic2025!$G$6)^(-B477),EXP(LN(INDEX(Dic2025!$H$6:$H$205,C477))+(LN(INDEX(Dic2025!$H$6:$H$205,MIN(C477+1,200)))-LN(INDEX(Dic2025!$H$6:$H$205,C477)))*(A477-6*C477)/6))</f>
        <v>0.0905126867133092</v>
      </c>
      <c r="E477" s="12" t="n">
        <f aca="false">D477^(-1/B477)-1</f>
        <v>0.0628409013568909</v>
      </c>
      <c r="F477" s="12" t="n">
        <f aca="false">(1+E477)^(1/12)-1</f>
        <v>0.00509170378043766</v>
      </c>
      <c r="G477" s="16" t="n">
        <f aca="false">IF(C477=0,(1+Dic2025!$J$6)^(-B477),EXP(LN(INDEX(Dic2025!$K$6:$K$205,C477))+(LN(INDEX(Dic2025!$K$6:$K$205,MIN(C477+1,200)))-LN(INDEX(Dic2025!$K$6:$K$205,C477)))*(A477-6*C477)/6))</f>
        <v>0.0905126867133092</v>
      </c>
      <c r="H477" s="12" t="n">
        <f aca="false">G477^(-1/B477)-1</f>
        <v>0.0628409013568909</v>
      </c>
      <c r="I477" s="12" t="n">
        <f aca="false">(1+H477)^(1/12)-1</f>
        <v>0.00509170378043766</v>
      </c>
      <c r="J477" s="16" t="n">
        <f aca="false">IF(C477=0,(1+Dic2025!$M$6)^(-B477),EXP(LN(INDEX(Dic2025!$N$6:$N$205,C477))+(LN(INDEX(Dic2025!$N$6:$N$205,MIN(C477+1,200)))-LN(INDEX(Dic2025!$N$6:$N$205,C477)))*(A477-6*C477)/6))</f>
        <v>0.0905126867133092</v>
      </c>
      <c r="K477" s="12" t="n">
        <f aca="false">J477^(-1/B477)-1</f>
        <v>0.0628409013568909</v>
      </c>
      <c r="L477" s="12" t="n">
        <f aca="false">(1+K477)^(1/12)-1</f>
        <v>0.00509170378043766</v>
      </c>
    </row>
    <row r="478" customFormat="false" ht="15" hidden="false" customHeight="false" outlineLevel="0" collapsed="false">
      <c r="A478" s="4" t="n">
        <v>474</v>
      </c>
      <c r="B478" s="14" t="n">
        <f aca="false">A478/12</f>
        <v>39.5</v>
      </c>
      <c r="C478" s="15" t="n">
        <f aca="false">INT(A478/6)</f>
        <v>79</v>
      </c>
      <c r="D478" s="16" t="n">
        <f aca="false">IF(C478=0,(1+Dic2025!$G$6)^(-B478),EXP(LN(INDEX(Dic2025!$H$6:$H$205,C478))+(LN(INDEX(Dic2025!$H$6:$H$205,MIN(C478+1,200)))-LN(INDEX(Dic2025!$H$6:$H$205,C478)))*(A478-6*C478)/6))</f>
        <v>0.0899972762468825</v>
      </c>
      <c r="E478" s="12" t="n">
        <f aca="false">D478^(-1/B478)-1</f>
        <v>0.0628579025</v>
      </c>
      <c r="F478" s="12" t="n">
        <f aca="false">(1+E478)^(1/12)-1</f>
        <v>0.005093043553132</v>
      </c>
      <c r="G478" s="16" t="n">
        <f aca="false">IF(C478=0,(1+Dic2025!$J$6)^(-B478),EXP(LN(INDEX(Dic2025!$K$6:$K$205,C478))+(LN(INDEX(Dic2025!$K$6:$K$205,MIN(C478+1,200)))-LN(INDEX(Dic2025!$K$6:$K$205,C478)))*(A478-6*C478)/6))</f>
        <v>0.0899972762468825</v>
      </c>
      <c r="H478" s="12" t="n">
        <f aca="false">G478^(-1/B478)-1</f>
        <v>0.0628579025</v>
      </c>
      <c r="I478" s="12" t="n">
        <f aca="false">(1+H478)^(1/12)-1</f>
        <v>0.005093043553132</v>
      </c>
      <c r="J478" s="16" t="n">
        <f aca="false">IF(C478=0,(1+Dic2025!$M$6)^(-B478),EXP(LN(INDEX(Dic2025!$N$6:$N$205,C478))+(LN(INDEX(Dic2025!$N$6:$N$205,MIN(C478+1,200)))-LN(INDEX(Dic2025!$N$6:$N$205,C478)))*(A478-6*C478)/6))</f>
        <v>0.0899972762468825</v>
      </c>
      <c r="K478" s="12" t="n">
        <f aca="false">J478^(-1/B478)-1</f>
        <v>0.0628579025</v>
      </c>
      <c r="L478" s="12" t="n">
        <f aca="false">(1+K478)^(1/12)-1</f>
        <v>0.005093043553132</v>
      </c>
    </row>
    <row r="479" customFormat="false" ht="15" hidden="false" customHeight="false" outlineLevel="0" collapsed="false">
      <c r="A479" s="4" t="n">
        <v>475</v>
      </c>
      <c r="B479" s="14" t="n">
        <f aca="false">A479/12</f>
        <v>39.5833333333333</v>
      </c>
      <c r="C479" s="15" t="n">
        <f aca="false">INT(A479/6)</f>
        <v>79</v>
      </c>
      <c r="D479" s="16" t="n">
        <f aca="false">IF(C479=0,(1+Dic2025!$G$6)^(-B479),EXP(LN(INDEX(Dic2025!$H$6:$H$205,C479))+(LN(INDEX(Dic2025!$H$6:$H$205,MIN(C479+1,200)))-LN(INDEX(Dic2025!$H$6:$H$205,C479)))*(A479-6*C479)/6))</f>
        <v>0.0895412388177821</v>
      </c>
      <c r="E479" s="12" t="n">
        <f aca="false">D479^(-1/B479)-1</f>
        <v>0.0628579025</v>
      </c>
      <c r="F479" s="12" t="n">
        <f aca="false">(1+E479)^(1/12)-1</f>
        <v>0.005093043553132</v>
      </c>
      <c r="G479" s="16" t="n">
        <f aca="false">IF(C479=0,(1+Dic2025!$J$6)^(-B479),EXP(LN(INDEX(Dic2025!$K$6:$K$205,C479))+(LN(INDEX(Dic2025!$K$6:$K$205,MIN(C479+1,200)))-LN(INDEX(Dic2025!$K$6:$K$205,C479)))*(A479-6*C479)/6))</f>
        <v>0.0895412388177821</v>
      </c>
      <c r="H479" s="12" t="n">
        <f aca="false">G479^(-1/B479)-1</f>
        <v>0.0628579025</v>
      </c>
      <c r="I479" s="12" t="n">
        <f aca="false">(1+H479)^(1/12)-1</f>
        <v>0.005093043553132</v>
      </c>
      <c r="J479" s="16" t="n">
        <f aca="false">IF(C479=0,(1+Dic2025!$M$6)^(-B479),EXP(LN(INDEX(Dic2025!$N$6:$N$205,C479))+(LN(INDEX(Dic2025!$N$6:$N$205,MIN(C479+1,200)))-LN(INDEX(Dic2025!$N$6:$N$205,C479)))*(A479-6*C479)/6))</f>
        <v>0.0895412388177821</v>
      </c>
      <c r="K479" s="12" t="n">
        <f aca="false">J479^(-1/B479)-1</f>
        <v>0.0628579025</v>
      </c>
      <c r="L479" s="12" t="n">
        <f aca="false">(1+K479)^(1/12)-1</f>
        <v>0.005093043553132</v>
      </c>
    </row>
    <row r="480" customFormat="false" ht="15" hidden="false" customHeight="false" outlineLevel="0" collapsed="false">
      <c r="A480" s="4" t="n">
        <v>476</v>
      </c>
      <c r="B480" s="14" t="n">
        <f aca="false">A480/12</f>
        <v>39.6666666666667</v>
      </c>
      <c r="C480" s="15" t="n">
        <f aca="false">INT(A480/6)</f>
        <v>79</v>
      </c>
      <c r="D480" s="16" t="n">
        <f aca="false">IF(C480=0,(1+Dic2025!$G$6)^(-B480),EXP(LN(INDEX(Dic2025!$H$6:$H$205,C480))+(LN(INDEX(Dic2025!$H$6:$H$205,MIN(C480+1,200)))-LN(INDEX(Dic2025!$H$6:$H$205,C480)))*(A480-6*C480)/6))</f>
        <v>0.0890875122379142</v>
      </c>
      <c r="E480" s="12" t="n">
        <f aca="false">D480^(-1/B480)-1</f>
        <v>0.0628579025</v>
      </c>
      <c r="F480" s="12" t="n">
        <f aca="false">(1+E480)^(1/12)-1</f>
        <v>0.005093043553132</v>
      </c>
      <c r="G480" s="16" t="n">
        <f aca="false">IF(C480=0,(1+Dic2025!$J$6)^(-B480),EXP(LN(INDEX(Dic2025!$K$6:$K$205,C480))+(LN(INDEX(Dic2025!$K$6:$K$205,MIN(C480+1,200)))-LN(INDEX(Dic2025!$K$6:$K$205,C480)))*(A480-6*C480)/6))</f>
        <v>0.0890875122379142</v>
      </c>
      <c r="H480" s="12" t="n">
        <f aca="false">G480^(-1/B480)-1</f>
        <v>0.0628579025</v>
      </c>
      <c r="I480" s="12" t="n">
        <f aca="false">(1+H480)^(1/12)-1</f>
        <v>0.005093043553132</v>
      </c>
      <c r="J480" s="16" t="n">
        <f aca="false">IF(C480=0,(1+Dic2025!$M$6)^(-B480),EXP(LN(INDEX(Dic2025!$N$6:$N$205,C480))+(LN(INDEX(Dic2025!$N$6:$N$205,MIN(C480+1,200)))-LN(INDEX(Dic2025!$N$6:$N$205,C480)))*(A480-6*C480)/6))</f>
        <v>0.0890875122379142</v>
      </c>
      <c r="K480" s="12" t="n">
        <f aca="false">J480^(-1/B480)-1</f>
        <v>0.0628579025</v>
      </c>
      <c r="L480" s="12" t="n">
        <f aca="false">(1+K480)^(1/12)-1</f>
        <v>0.005093043553132</v>
      </c>
    </row>
    <row r="481" customFormat="false" ht="15" hidden="false" customHeight="false" outlineLevel="0" collapsed="false">
      <c r="A481" s="4" t="n">
        <v>477</v>
      </c>
      <c r="B481" s="14" t="n">
        <f aca="false">A481/12</f>
        <v>39.75</v>
      </c>
      <c r="C481" s="15" t="n">
        <f aca="false">INT(A481/6)</f>
        <v>79</v>
      </c>
      <c r="D481" s="16" t="n">
        <f aca="false">IF(C481=0,(1+Dic2025!$G$6)^(-B481),EXP(LN(INDEX(Dic2025!$H$6:$H$205,C481))+(LN(INDEX(Dic2025!$H$6:$H$205,MIN(C481+1,200)))-LN(INDEX(Dic2025!$H$6:$H$205,C481)))*(A481-6*C481)/6))</f>
        <v>0.0886360847976606</v>
      </c>
      <c r="E481" s="12" t="n">
        <f aca="false">D481^(-1/B481)-1</f>
        <v>0.0628579025</v>
      </c>
      <c r="F481" s="12" t="n">
        <f aca="false">(1+E481)^(1/12)-1</f>
        <v>0.005093043553132</v>
      </c>
      <c r="G481" s="16" t="n">
        <f aca="false">IF(C481=0,(1+Dic2025!$J$6)^(-B481),EXP(LN(INDEX(Dic2025!$K$6:$K$205,C481))+(LN(INDEX(Dic2025!$K$6:$K$205,MIN(C481+1,200)))-LN(INDEX(Dic2025!$K$6:$K$205,C481)))*(A481-6*C481)/6))</f>
        <v>0.0886360847976606</v>
      </c>
      <c r="H481" s="12" t="n">
        <f aca="false">G481^(-1/B481)-1</f>
        <v>0.0628579025</v>
      </c>
      <c r="I481" s="12" t="n">
        <f aca="false">(1+H481)^(1/12)-1</f>
        <v>0.005093043553132</v>
      </c>
      <c r="J481" s="16" t="n">
        <f aca="false">IF(C481=0,(1+Dic2025!$M$6)^(-B481),EXP(LN(INDEX(Dic2025!$N$6:$N$205,C481))+(LN(INDEX(Dic2025!$N$6:$N$205,MIN(C481+1,200)))-LN(INDEX(Dic2025!$N$6:$N$205,C481)))*(A481-6*C481)/6))</f>
        <v>0.0886360847976606</v>
      </c>
      <c r="K481" s="12" t="n">
        <f aca="false">J481^(-1/B481)-1</f>
        <v>0.0628579025</v>
      </c>
      <c r="L481" s="12" t="n">
        <f aca="false">(1+K481)^(1/12)-1</f>
        <v>0.005093043553132</v>
      </c>
    </row>
    <row r="482" customFormat="false" ht="15" hidden="false" customHeight="false" outlineLevel="0" collapsed="false">
      <c r="A482" s="4" t="n">
        <v>478</v>
      </c>
      <c r="B482" s="14" t="n">
        <f aca="false">A482/12</f>
        <v>39.8333333333333</v>
      </c>
      <c r="C482" s="15" t="n">
        <f aca="false">INT(A482/6)</f>
        <v>79</v>
      </c>
      <c r="D482" s="16" t="n">
        <f aca="false">IF(C482=0,(1+Dic2025!$G$6)^(-B482),EXP(LN(INDEX(Dic2025!$H$6:$H$205,C482))+(LN(INDEX(Dic2025!$H$6:$H$205,MIN(C482+1,200)))-LN(INDEX(Dic2025!$H$6:$H$205,C482)))*(A482-6*C482)/6))</f>
        <v>0.0881869448467385</v>
      </c>
      <c r="E482" s="12" t="n">
        <f aca="false">D482^(-1/B482)-1</f>
        <v>0.0628579025</v>
      </c>
      <c r="F482" s="12" t="n">
        <f aca="false">(1+E482)^(1/12)-1</f>
        <v>0.005093043553132</v>
      </c>
      <c r="G482" s="16" t="n">
        <f aca="false">IF(C482=0,(1+Dic2025!$J$6)^(-B482),EXP(LN(INDEX(Dic2025!$K$6:$K$205,C482))+(LN(INDEX(Dic2025!$K$6:$K$205,MIN(C482+1,200)))-LN(INDEX(Dic2025!$K$6:$K$205,C482)))*(A482-6*C482)/6))</f>
        <v>0.0881869448467385</v>
      </c>
      <c r="H482" s="12" t="n">
        <f aca="false">G482^(-1/B482)-1</f>
        <v>0.0628579025</v>
      </c>
      <c r="I482" s="12" t="n">
        <f aca="false">(1+H482)^(1/12)-1</f>
        <v>0.005093043553132</v>
      </c>
      <c r="J482" s="16" t="n">
        <f aca="false">IF(C482=0,(1+Dic2025!$M$6)^(-B482),EXP(LN(INDEX(Dic2025!$N$6:$N$205,C482))+(LN(INDEX(Dic2025!$N$6:$N$205,MIN(C482+1,200)))-LN(INDEX(Dic2025!$N$6:$N$205,C482)))*(A482-6*C482)/6))</f>
        <v>0.0881869448467385</v>
      </c>
      <c r="K482" s="12" t="n">
        <f aca="false">J482^(-1/B482)-1</f>
        <v>0.0628579025</v>
      </c>
      <c r="L482" s="12" t="n">
        <f aca="false">(1+K482)^(1/12)-1</f>
        <v>0.005093043553132</v>
      </c>
    </row>
    <row r="483" customFormat="false" ht="15" hidden="false" customHeight="false" outlineLevel="0" collapsed="false">
      <c r="A483" s="4" t="n">
        <v>479</v>
      </c>
      <c r="B483" s="14" t="n">
        <f aca="false">A483/12</f>
        <v>39.9166666666667</v>
      </c>
      <c r="C483" s="15" t="n">
        <f aca="false">INT(A483/6)</f>
        <v>79</v>
      </c>
      <c r="D483" s="16" t="n">
        <f aca="false">IF(C483=0,(1+Dic2025!$G$6)^(-B483),EXP(LN(INDEX(Dic2025!$H$6:$H$205,C483))+(LN(INDEX(Dic2025!$H$6:$H$205,MIN(C483+1,200)))-LN(INDEX(Dic2025!$H$6:$H$205,C483)))*(A483-6*C483)/6))</f>
        <v>0.0877400807938999</v>
      </c>
      <c r="E483" s="12" t="n">
        <f aca="false">D483^(-1/B483)-1</f>
        <v>0.0628579025</v>
      </c>
      <c r="F483" s="12" t="n">
        <f aca="false">(1+E483)^(1/12)-1</f>
        <v>0.005093043553132</v>
      </c>
      <c r="G483" s="16" t="n">
        <f aca="false">IF(C483=0,(1+Dic2025!$J$6)^(-B483),EXP(LN(INDEX(Dic2025!$K$6:$K$205,C483))+(LN(INDEX(Dic2025!$K$6:$K$205,MIN(C483+1,200)))-LN(INDEX(Dic2025!$K$6:$K$205,C483)))*(A483-6*C483)/6))</f>
        <v>0.0877400807938999</v>
      </c>
      <c r="H483" s="12" t="n">
        <f aca="false">G483^(-1/B483)-1</f>
        <v>0.0628579025</v>
      </c>
      <c r="I483" s="12" t="n">
        <f aca="false">(1+H483)^(1/12)-1</f>
        <v>0.005093043553132</v>
      </c>
      <c r="J483" s="16" t="n">
        <f aca="false">IF(C483=0,(1+Dic2025!$M$6)^(-B483),EXP(LN(INDEX(Dic2025!$N$6:$N$205,C483))+(LN(INDEX(Dic2025!$N$6:$N$205,MIN(C483+1,200)))-LN(INDEX(Dic2025!$N$6:$N$205,C483)))*(A483-6*C483)/6))</f>
        <v>0.0877400807938999</v>
      </c>
      <c r="K483" s="12" t="n">
        <f aca="false">J483^(-1/B483)-1</f>
        <v>0.0628579025</v>
      </c>
      <c r="L483" s="12" t="n">
        <f aca="false">(1+K483)^(1/12)-1</f>
        <v>0.005093043553132</v>
      </c>
    </row>
    <row r="484" customFormat="false" ht="15" hidden="false" customHeight="false" outlineLevel="0" collapsed="false">
      <c r="A484" s="4" t="n">
        <v>480</v>
      </c>
      <c r="B484" s="14" t="n">
        <f aca="false">A484/12</f>
        <v>40</v>
      </c>
      <c r="C484" s="15" t="n">
        <f aca="false">INT(A484/6)</f>
        <v>80</v>
      </c>
      <c r="D484" s="16" t="n">
        <f aca="false">IF(C484=0,(1+Dic2025!$G$6)^(-B484),EXP(LN(INDEX(Dic2025!$H$6:$H$205,C484))+(LN(INDEX(Dic2025!$H$6:$H$205,MIN(C484+1,200)))-LN(INDEX(Dic2025!$H$6:$H$205,C484)))*(A484-6*C484)/6))</f>
        <v>0.0872954811066322</v>
      </c>
      <c r="E484" s="12" t="n">
        <f aca="false">D484^(-1/B484)-1</f>
        <v>0.0628579025</v>
      </c>
      <c r="F484" s="12" t="n">
        <f aca="false">(1+E484)^(1/12)-1</f>
        <v>0.005093043553132</v>
      </c>
      <c r="G484" s="16" t="n">
        <f aca="false">IF(C484=0,(1+Dic2025!$J$6)^(-B484),EXP(LN(INDEX(Dic2025!$K$6:$K$205,C484))+(LN(INDEX(Dic2025!$K$6:$K$205,MIN(C484+1,200)))-LN(INDEX(Dic2025!$K$6:$K$205,C484)))*(A484-6*C484)/6))</f>
        <v>0.0872954811066322</v>
      </c>
      <c r="H484" s="12" t="n">
        <f aca="false">G484^(-1/B484)-1</f>
        <v>0.0628579025</v>
      </c>
      <c r="I484" s="12" t="n">
        <f aca="false">(1+H484)^(1/12)-1</f>
        <v>0.005093043553132</v>
      </c>
      <c r="J484" s="16" t="n">
        <f aca="false">IF(C484=0,(1+Dic2025!$M$6)^(-B484),EXP(LN(INDEX(Dic2025!$N$6:$N$205,C484))+(LN(INDEX(Dic2025!$N$6:$N$205,MIN(C484+1,200)))-LN(INDEX(Dic2025!$N$6:$N$205,C484)))*(A484-6*C484)/6))</f>
        <v>0.0872954811066322</v>
      </c>
      <c r="K484" s="12" t="n">
        <f aca="false">J484^(-1/B484)-1</f>
        <v>0.0628579025</v>
      </c>
      <c r="L484" s="12" t="n">
        <f aca="false">(1+K484)^(1/12)-1</f>
        <v>0.005093043553132</v>
      </c>
    </row>
    <row r="485" customFormat="false" ht="15" hidden="false" customHeight="false" outlineLevel="0" collapsed="false">
      <c r="A485" s="4" t="n">
        <v>481</v>
      </c>
      <c r="B485" s="14" t="n">
        <f aca="false">A485/12</f>
        <v>40.0833333333333</v>
      </c>
      <c r="C485" s="15" t="n">
        <f aca="false">INT(A485/6)</f>
        <v>80</v>
      </c>
      <c r="D485" s="16" t="n">
        <f aca="false">IF(C485=0,(1+Dic2025!$G$6)^(-B485),EXP(LN(INDEX(Dic2025!$H$6:$H$205,C485))+(LN(INDEX(Dic2025!$H$6:$H$205,MIN(C485+1,200)))-LN(INDEX(Dic2025!$H$6:$H$205,C485)))*(A485-6*C485)/6))</f>
        <v>0.0867962884338085</v>
      </c>
      <c r="E485" s="12" t="n">
        <f aca="false">D485^(-1/B485)-1</f>
        <v>0.0628752633330671</v>
      </c>
      <c r="F485" s="12" t="n">
        <f aca="false">(1+E485)^(1/12)-1</f>
        <v>0.00509441165087066</v>
      </c>
      <c r="G485" s="16" t="n">
        <f aca="false">IF(C485=0,(1+Dic2025!$J$6)^(-B485),EXP(LN(INDEX(Dic2025!$K$6:$K$205,C485))+(LN(INDEX(Dic2025!$K$6:$K$205,MIN(C485+1,200)))-LN(INDEX(Dic2025!$K$6:$K$205,C485)))*(A485-6*C485)/6))</f>
        <v>0.0867962884338085</v>
      </c>
      <c r="H485" s="12" t="n">
        <f aca="false">G485^(-1/B485)-1</f>
        <v>0.0628752633330671</v>
      </c>
      <c r="I485" s="12" t="n">
        <f aca="false">(1+H485)^(1/12)-1</f>
        <v>0.00509441165087066</v>
      </c>
      <c r="J485" s="16" t="n">
        <f aca="false">IF(C485=0,(1+Dic2025!$M$6)^(-B485),EXP(LN(INDEX(Dic2025!$N$6:$N$205,C485))+(LN(INDEX(Dic2025!$N$6:$N$205,MIN(C485+1,200)))-LN(INDEX(Dic2025!$N$6:$N$205,C485)))*(A485-6*C485)/6))</f>
        <v>0.0867962884338085</v>
      </c>
      <c r="K485" s="12" t="n">
        <f aca="false">J485^(-1/B485)-1</f>
        <v>0.0628752633330671</v>
      </c>
      <c r="L485" s="12" t="n">
        <f aca="false">(1+K485)^(1/12)-1</f>
        <v>0.00509441165087066</v>
      </c>
    </row>
    <row r="486" customFormat="false" ht="15" hidden="false" customHeight="false" outlineLevel="0" collapsed="false">
      <c r="A486" s="4" t="n">
        <v>482</v>
      </c>
      <c r="B486" s="14" t="n">
        <f aca="false">A486/12</f>
        <v>40.1666666666667</v>
      </c>
      <c r="C486" s="15" t="n">
        <f aca="false">INT(A486/6)</f>
        <v>80</v>
      </c>
      <c r="D486" s="16" t="n">
        <f aca="false">IF(C486=0,(1+Dic2025!$G$6)^(-B486),EXP(LN(INDEX(Dic2025!$H$6:$H$205,C486))+(LN(INDEX(Dic2025!$H$6:$H$205,MIN(C486+1,200)))-LN(INDEX(Dic2025!$H$6:$H$205,C486)))*(A486-6*C486)/6))</f>
        <v>0.0862999503569093</v>
      </c>
      <c r="E486" s="12" t="n">
        <f aca="false">D486^(-1/B486)-1</f>
        <v>0.0628925524112936</v>
      </c>
      <c r="F486" s="12" t="n">
        <f aca="false">(1+E486)^(1/12)-1</f>
        <v>0.00509577407370565</v>
      </c>
      <c r="G486" s="16" t="n">
        <f aca="false">IF(C486=0,(1+Dic2025!$J$6)^(-B486),EXP(LN(INDEX(Dic2025!$K$6:$K$205,C486))+(LN(INDEX(Dic2025!$K$6:$K$205,MIN(C486+1,200)))-LN(INDEX(Dic2025!$K$6:$K$205,C486)))*(A486-6*C486)/6))</f>
        <v>0.0862999503569093</v>
      </c>
      <c r="H486" s="12" t="n">
        <f aca="false">G486^(-1/B486)-1</f>
        <v>0.0628925524112936</v>
      </c>
      <c r="I486" s="12" t="n">
        <f aca="false">(1+H486)^(1/12)-1</f>
        <v>0.00509577407370565</v>
      </c>
      <c r="J486" s="16" t="n">
        <f aca="false">IF(C486=0,(1+Dic2025!$M$6)^(-B486),EXP(LN(INDEX(Dic2025!$N$6:$N$205,C486))+(LN(INDEX(Dic2025!$N$6:$N$205,MIN(C486+1,200)))-LN(INDEX(Dic2025!$N$6:$N$205,C486)))*(A486-6*C486)/6))</f>
        <v>0.0862999503569093</v>
      </c>
      <c r="K486" s="12" t="n">
        <f aca="false">J486^(-1/B486)-1</f>
        <v>0.0628925524112936</v>
      </c>
      <c r="L486" s="12" t="n">
        <f aca="false">(1+K486)^(1/12)-1</f>
        <v>0.00509577407370565</v>
      </c>
    </row>
    <row r="487" customFormat="false" ht="15" hidden="false" customHeight="false" outlineLevel="0" collapsed="false">
      <c r="A487" s="4" t="n">
        <v>483</v>
      </c>
      <c r="B487" s="14" t="n">
        <f aca="false">A487/12</f>
        <v>40.25</v>
      </c>
      <c r="C487" s="15" t="n">
        <f aca="false">INT(A487/6)</f>
        <v>80</v>
      </c>
      <c r="D487" s="16" t="n">
        <f aca="false">IF(C487=0,(1+Dic2025!$G$6)^(-B487),EXP(LN(INDEX(Dic2025!$H$6:$H$205,C487))+(LN(INDEX(Dic2025!$H$6:$H$205,MIN(C487+1,200)))-LN(INDEX(Dic2025!$H$6:$H$205,C487)))*(A487-6*C487)/6))</f>
        <v>0.0858064505521416</v>
      </c>
      <c r="E487" s="12" t="n">
        <f aca="false">D487^(-1/B487)-1</f>
        <v>0.0629097701786194</v>
      </c>
      <c r="F487" s="12" t="n">
        <f aca="false">(1+E487)^(1/12)-1</f>
        <v>0.00509713085687369</v>
      </c>
      <c r="G487" s="16" t="n">
        <f aca="false">IF(C487=0,(1+Dic2025!$J$6)^(-B487),EXP(LN(INDEX(Dic2025!$K$6:$K$205,C487))+(LN(INDEX(Dic2025!$K$6:$K$205,MIN(C487+1,200)))-LN(INDEX(Dic2025!$K$6:$K$205,C487)))*(A487-6*C487)/6))</f>
        <v>0.0858064505521416</v>
      </c>
      <c r="H487" s="12" t="n">
        <f aca="false">G487^(-1/B487)-1</f>
        <v>0.0629097701786194</v>
      </c>
      <c r="I487" s="12" t="n">
        <f aca="false">(1+H487)^(1/12)-1</f>
        <v>0.00509713085687369</v>
      </c>
      <c r="J487" s="16" t="n">
        <f aca="false">IF(C487=0,(1+Dic2025!$M$6)^(-B487),EXP(LN(INDEX(Dic2025!$N$6:$N$205,C487))+(LN(INDEX(Dic2025!$N$6:$N$205,MIN(C487+1,200)))-LN(INDEX(Dic2025!$N$6:$N$205,C487)))*(A487-6*C487)/6))</f>
        <v>0.0858064505521416</v>
      </c>
      <c r="K487" s="12" t="n">
        <f aca="false">J487^(-1/B487)-1</f>
        <v>0.0629097701786194</v>
      </c>
      <c r="L487" s="12" t="n">
        <f aca="false">(1+K487)^(1/12)-1</f>
        <v>0.00509713085687369</v>
      </c>
    </row>
    <row r="488" customFormat="false" ht="15" hidden="false" customHeight="false" outlineLevel="0" collapsed="false">
      <c r="A488" s="4" t="n">
        <v>484</v>
      </c>
      <c r="B488" s="14" t="n">
        <f aca="false">A488/12</f>
        <v>40.3333333333333</v>
      </c>
      <c r="C488" s="15" t="n">
        <f aca="false">INT(A488/6)</f>
        <v>80</v>
      </c>
      <c r="D488" s="16" t="n">
        <f aca="false">IF(C488=0,(1+Dic2025!$G$6)^(-B488),EXP(LN(INDEX(Dic2025!$H$6:$H$205,C488))+(LN(INDEX(Dic2025!$H$6:$H$205,MIN(C488+1,200)))-LN(INDEX(Dic2025!$H$6:$H$205,C488)))*(A488-6*C488)/6))</f>
        <v>0.0853157727890588</v>
      </c>
      <c r="E488" s="12" t="n">
        <f aca="false">D488^(-1/B488)-1</f>
        <v>0.0629269170753302</v>
      </c>
      <c r="F488" s="12" t="n">
        <f aca="false">(1+E488)^(1/12)-1</f>
        <v>0.00509848203531993</v>
      </c>
      <c r="G488" s="16" t="n">
        <f aca="false">IF(C488=0,(1+Dic2025!$J$6)^(-B488),EXP(LN(INDEX(Dic2025!$K$6:$K$205,C488))+(LN(INDEX(Dic2025!$K$6:$K$205,MIN(C488+1,200)))-LN(INDEX(Dic2025!$K$6:$K$205,C488)))*(A488-6*C488)/6))</f>
        <v>0.0853157727890588</v>
      </c>
      <c r="H488" s="12" t="n">
        <f aca="false">G488^(-1/B488)-1</f>
        <v>0.0629269170753302</v>
      </c>
      <c r="I488" s="12" t="n">
        <f aca="false">(1+H488)^(1/12)-1</f>
        <v>0.00509848203531993</v>
      </c>
      <c r="J488" s="16" t="n">
        <f aca="false">IF(C488=0,(1+Dic2025!$M$6)^(-B488),EXP(LN(INDEX(Dic2025!$N$6:$N$205,C488))+(LN(INDEX(Dic2025!$N$6:$N$205,MIN(C488+1,200)))-LN(INDEX(Dic2025!$N$6:$N$205,C488)))*(A488-6*C488)/6))</f>
        <v>0.0853157727890588</v>
      </c>
      <c r="K488" s="12" t="n">
        <f aca="false">J488^(-1/B488)-1</f>
        <v>0.0629269170753302</v>
      </c>
      <c r="L488" s="12" t="n">
        <f aca="false">(1+K488)^(1/12)-1</f>
        <v>0.00509848203531993</v>
      </c>
    </row>
    <row r="489" customFormat="false" ht="15" hidden="false" customHeight="false" outlineLevel="0" collapsed="false">
      <c r="A489" s="4" t="n">
        <v>485</v>
      </c>
      <c r="B489" s="14" t="n">
        <f aca="false">A489/12</f>
        <v>40.4166666666667</v>
      </c>
      <c r="C489" s="15" t="n">
        <f aca="false">INT(A489/6)</f>
        <v>80</v>
      </c>
      <c r="D489" s="16" t="n">
        <f aca="false">IF(C489=0,(1+Dic2025!$G$6)^(-B489),EXP(LN(INDEX(Dic2025!$H$6:$H$205,C489))+(LN(INDEX(Dic2025!$H$6:$H$205,MIN(C489+1,200)))-LN(INDEX(Dic2025!$H$6:$H$205,C489)))*(A489-6*C489)/6))</f>
        <v>0.0848279009300268</v>
      </c>
      <c r="E489" s="12" t="n">
        <f aca="false">D489^(-1/B489)-1</f>
        <v>0.0629439935380942</v>
      </c>
      <c r="F489" s="12" t="n">
        <f aca="false">(1+E489)^(1/12)-1</f>
        <v>0.00509982764370154</v>
      </c>
      <c r="G489" s="16" t="n">
        <f aca="false">IF(C489=0,(1+Dic2025!$J$6)^(-B489),EXP(LN(INDEX(Dic2025!$K$6:$K$205,C489))+(LN(INDEX(Dic2025!$K$6:$K$205,MIN(C489+1,200)))-LN(INDEX(Dic2025!$K$6:$K$205,C489)))*(A489-6*C489)/6))</f>
        <v>0.0848279009300268</v>
      </c>
      <c r="H489" s="12" t="n">
        <f aca="false">G489^(-1/B489)-1</f>
        <v>0.0629439935380942</v>
      </c>
      <c r="I489" s="12" t="n">
        <f aca="false">(1+H489)^(1/12)-1</f>
        <v>0.00509982764370154</v>
      </c>
      <c r="J489" s="16" t="n">
        <f aca="false">IF(C489=0,(1+Dic2025!$M$6)^(-B489),EXP(LN(INDEX(Dic2025!$N$6:$N$205,C489))+(LN(INDEX(Dic2025!$N$6:$N$205,MIN(C489+1,200)))-LN(INDEX(Dic2025!$N$6:$N$205,C489)))*(A489-6*C489)/6))</f>
        <v>0.0848279009300268</v>
      </c>
      <c r="K489" s="12" t="n">
        <f aca="false">J489^(-1/B489)-1</f>
        <v>0.0629439935380942</v>
      </c>
      <c r="L489" s="12" t="n">
        <f aca="false">(1+K489)^(1/12)-1</f>
        <v>0.00509982764370154</v>
      </c>
    </row>
    <row r="490" customFormat="false" ht="15" hidden="false" customHeight="false" outlineLevel="0" collapsed="false">
      <c r="A490" s="4" t="n">
        <v>486</v>
      </c>
      <c r="B490" s="14" t="n">
        <f aca="false">A490/12</f>
        <v>40.5</v>
      </c>
      <c r="C490" s="15" t="n">
        <f aca="false">INT(A490/6)</f>
        <v>81</v>
      </c>
      <c r="D490" s="16" t="n">
        <f aca="false">IF(C490=0,(1+Dic2025!$G$6)^(-B490),EXP(LN(INDEX(Dic2025!$H$6:$H$205,C490))+(LN(INDEX(Dic2025!$H$6:$H$205,MIN(C490+1,200)))-LN(INDEX(Dic2025!$H$6:$H$205,C490)))*(A490-6*C490)/6))</f>
        <v>0.0843428189296932</v>
      </c>
      <c r="E490" s="12" t="n">
        <f aca="false">D490^(-1/B490)-1</f>
        <v>0.0629609999999998</v>
      </c>
      <c r="F490" s="12" t="n">
        <f aca="false">(1+E490)^(1/12)-1</f>
        <v>0.00510116771639035</v>
      </c>
      <c r="G490" s="16" t="n">
        <f aca="false">IF(C490=0,(1+Dic2025!$J$6)^(-B490),EXP(LN(INDEX(Dic2025!$K$6:$K$205,C490))+(LN(INDEX(Dic2025!$K$6:$K$205,MIN(C490+1,200)))-LN(INDEX(Dic2025!$K$6:$K$205,C490)))*(A490-6*C490)/6))</f>
        <v>0.0843428189296932</v>
      </c>
      <c r="H490" s="12" t="n">
        <f aca="false">G490^(-1/B490)-1</f>
        <v>0.0629609999999998</v>
      </c>
      <c r="I490" s="12" t="n">
        <f aca="false">(1+H490)^(1/12)-1</f>
        <v>0.00510116771639035</v>
      </c>
      <c r="J490" s="16" t="n">
        <f aca="false">IF(C490=0,(1+Dic2025!$M$6)^(-B490),EXP(LN(INDEX(Dic2025!$N$6:$N$205,C490))+(LN(INDEX(Dic2025!$N$6:$N$205,MIN(C490+1,200)))-LN(INDEX(Dic2025!$N$6:$N$205,C490)))*(A490-6*C490)/6))</f>
        <v>0.0843428189296932</v>
      </c>
      <c r="K490" s="12" t="n">
        <f aca="false">J490^(-1/B490)-1</f>
        <v>0.0629609999999998</v>
      </c>
      <c r="L490" s="12" t="n">
        <f aca="false">(1+K490)^(1/12)-1</f>
        <v>0.00510116771639035</v>
      </c>
    </row>
    <row r="491" customFormat="false" ht="15" hidden="false" customHeight="false" outlineLevel="0" collapsed="false">
      <c r="A491" s="4" t="n">
        <v>487</v>
      </c>
      <c r="B491" s="14" t="n">
        <f aca="false">A491/12</f>
        <v>40.5833333333333</v>
      </c>
      <c r="C491" s="15" t="n">
        <f aca="false">INT(A491/6)</f>
        <v>81</v>
      </c>
      <c r="D491" s="16" t="n">
        <f aca="false">IF(C491=0,(1+Dic2025!$G$6)^(-B491),EXP(LN(INDEX(Dic2025!$H$6:$H$205,C491))+(LN(INDEX(Dic2025!$H$6:$H$205,MIN(C491+1,200)))-LN(INDEX(Dic2025!$H$6:$H$205,C491)))*(A491-6*C491)/6))</f>
        <v>0.0839147556870536</v>
      </c>
      <c r="E491" s="12" t="n">
        <f aca="false">D491^(-1/B491)-1</f>
        <v>0.0629609999999998</v>
      </c>
      <c r="F491" s="12" t="n">
        <f aca="false">(1+E491)^(1/12)-1</f>
        <v>0.00510116771639035</v>
      </c>
      <c r="G491" s="16" t="n">
        <f aca="false">IF(C491=0,(1+Dic2025!$J$6)^(-B491),EXP(LN(INDEX(Dic2025!$K$6:$K$205,C491))+(LN(INDEX(Dic2025!$K$6:$K$205,MIN(C491+1,200)))-LN(INDEX(Dic2025!$K$6:$K$205,C491)))*(A491-6*C491)/6))</f>
        <v>0.0839147556870536</v>
      </c>
      <c r="H491" s="12" t="n">
        <f aca="false">G491^(-1/B491)-1</f>
        <v>0.0629609999999998</v>
      </c>
      <c r="I491" s="12" t="n">
        <f aca="false">(1+H491)^(1/12)-1</f>
        <v>0.00510116771639035</v>
      </c>
      <c r="J491" s="16" t="n">
        <f aca="false">IF(C491=0,(1+Dic2025!$M$6)^(-B491),EXP(LN(INDEX(Dic2025!$N$6:$N$205,C491))+(LN(INDEX(Dic2025!$N$6:$N$205,MIN(C491+1,200)))-LN(INDEX(Dic2025!$N$6:$N$205,C491)))*(A491-6*C491)/6))</f>
        <v>0.0839147556870536</v>
      </c>
      <c r="K491" s="12" t="n">
        <f aca="false">J491^(-1/B491)-1</f>
        <v>0.0629609999999998</v>
      </c>
      <c r="L491" s="12" t="n">
        <f aca="false">(1+K491)^(1/12)-1</f>
        <v>0.00510116771639035</v>
      </c>
    </row>
    <row r="492" customFormat="false" ht="15" hidden="false" customHeight="false" outlineLevel="0" collapsed="false">
      <c r="A492" s="4" t="n">
        <v>488</v>
      </c>
      <c r="B492" s="14" t="n">
        <f aca="false">A492/12</f>
        <v>40.6666666666667</v>
      </c>
      <c r="C492" s="15" t="n">
        <f aca="false">INT(A492/6)</f>
        <v>81</v>
      </c>
      <c r="D492" s="16" t="n">
        <f aca="false">IF(C492=0,(1+Dic2025!$G$6)^(-B492),EXP(LN(INDEX(Dic2025!$H$6:$H$205,C492))+(LN(INDEX(Dic2025!$H$6:$H$205,MIN(C492+1,200)))-LN(INDEX(Dic2025!$H$6:$H$205,C492)))*(A492-6*C492)/6))</f>
        <v>0.0834888649843176</v>
      </c>
      <c r="E492" s="12" t="n">
        <f aca="false">D492^(-1/B492)-1</f>
        <v>0.0629609999999998</v>
      </c>
      <c r="F492" s="12" t="n">
        <f aca="false">(1+E492)^(1/12)-1</f>
        <v>0.00510116771639035</v>
      </c>
      <c r="G492" s="16" t="n">
        <f aca="false">IF(C492=0,(1+Dic2025!$J$6)^(-B492),EXP(LN(INDEX(Dic2025!$K$6:$K$205,C492))+(LN(INDEX(Dic2025!$K$6:$K$205,MIN(C492+1,200)))-LN(INDEX(Dic2025!$K$6:$K$205,C492)))*(A492-6*C492)/6))</f>
        <v>0.0834888649843176</v>
      </c>
      <c r="H492" s="12" t="n">
        <f aca="false">G492^(-1/B492)-1</f>
        <v>0.0629609999999998</v>
      </c>
      <c r="I492" s="12" t="n">
        <f aca="false">(1+H492)^(1/12)-1</f>
        <v>0.00510116771639035</v>
      </c>
      <c r="J492" s="16" t="n">
        <f aca="false">IF(C492=0,(1+Dic2025!$M$6)^(-B492),EXP(LN(INDEX(Dic2025!$N$6:$N$205,C492))+(LN(INDEX(Dic2025!$N$6:$N$205,MIN(C492+1,200)))-LN(INDEX(Dic2025!$N$6:$N$205,C492)))*(A492-6*C492)/6))</f>
        <v>0.0834888649843176</v>
      </c>
      <c r="K492" s="12" t="n">
        <f aca="false">J492^(-1/B492)-1</f>
        <v>0.0629609999999998</v>
      </c>
      <c r="L492" s="12" t="n">
        <f aca="false">(1+K492)^(1/12)-1</f>
        <v>0.00510116771639035</v>
      </c>
    </row>
    <row r="493" customFormat="false" ht="15" hidden="false" customHeight="false" outlineLevel="0" collapsed="false">
      <c r="A493" s="4" t="n">
        <v>489</v>
      </c>
      <c r="B493" s="14" t="n">
        <f aca="false">A493/12</f>
        <v>40.75</v>
      </c>
      <c r="C493" s="15" t="n">
        <f aca="false">INT(A493/6)</f>
        <v>81</v>
      </c>
      <c r="D493" s="16" t="n">
        <f aca="false">IF(C493=0,(1+Dic2025!$G$6)^(-B493),EXP(LN(INDEX(Dic2025!$H$6:$H$205,C493))+(LN(INDEX(Dic2025!$H$6:$H$205,MIN(C493+1,200)))-LN(INDEX(Dic2025!$H$6:$H$205,C493)))*(A493-6*C493)/6))</f>
        <v>0.0830651357952413</v>
      </c>
      <c r="E493" s="12" t="n">
        <f aca="false">D493^(-1/B493)-1</f>
        <v>0.0629609999999998</v>
      </c>
      <c r="F493" s="12" t="n">
        <f aca="false">(1+E493)^(1/12)-1</f>
        <v>0.00510116771639035</v>
      </c>
      <c r="G493" s="16" t="n">
        <f aca="false">IF(C493=0,(1+Dic2025!$J$6)^(-B493),EXP(LN(INDEX(Dic2025!$K$6:$K$205,C493))+(LN(INDEX(Dic2025!$K$6:$K$205,MIN(C493+1,200)))-LN(INDEX(Dic2025!$K$6:$K$205,C493)))*(A493-6*C493)/6))</f>
        <v>0.0830651357952413</v>
      </c>
      <c r="H493" s="12" t="n">
        <f aca="false">G493^(-1/B493)-1</f>
        <v>0.0629609999999998</v>
      </c>
      <c r="I493" s="12" t="n">
        <f aca="false">(1+H493)^(1/12)-1</f>
        <v>0.00510116771639035</v>
      </c>
      <c r="J493" s="16" t="n">
        <f aca="false">IF(C493=0,(1+Dic2025!$M$6)^(-B493),EXP(LN(INDEX(Dic2025!$N$6:$N$205,C493))+(LN(INDEX(Dic2025!$N$6:$N$205,MIN(C493+1,200)))-LN(INDEX(Dic2025!$N$6:$N$205,C493)))*(A493-6*C493)/6))</f>
        <v>0.0830651357952413</v>
      </c>
      <c r="K493" s="12" t="n">
        <f aca="false">J493^(-1/B493)-1</f>
        <v>0.0629609999999998</v>
      </c>
      <c r="L493" s="12" t="n">
        <f aca="false">(1+K493)^(1/12)-1</f>
        <v>0.00510116771639035</v>
      </c>
    </row>
    <row r="494" customFormat="false" ht="15" hidden="false" customHeight="false" outlineLevel="0" collapsed="false">
      <c r="A494" s="4" t="n">
        <v>490</v>
      </c>
      <c r="B494" s="14" t="n">
        <f aca="false">A494/12</f>
        <v>40.8333333333333</v>
      </c>
      <c r="C494" s="15" t="n">
        <f aca="false">INT(A494/6)</f>
        <v>81</v>
      </c>
      <c r="D494" s="16" t="n">
        <f aca="false">IF(C494=0,(1+Dic2025!$G$6)^(-B494),EXP(LN(INDEX(Dic2025!$H$6:$H$205,C494))+(LN(INDEX(Dic2025!$H$6:$H$205,MIN(C494+1,200)))-LN(INDEX(Dic2025!$H$6:$H$205,C494)))*(A494-6*C494)/6))</f>
        <v>0.0826435571495424</v>
      </c>
      <c r="E494" s="12" t="n">
        <f aca="false">D494^(-1/B494)-1</f>
        <v>0.0629609999999998</v>
      </c>
      <c r="F494" s="12" t="n">
        <f aca="false">(1+E494)^(1/12)-1</f>
        <v>0.00510116771639035</v>
      </c>
      <c r="G494" s="16" t="n">
        <f aca="false">IF(C494=0,(1+Dic2025!$J$6)^(-B494),EXP(LN(INDEX(Dic2025!$K$6:$K$205,C494))+(LN(INDEX(Dic2025!$K$6:$K$205,MIN(C494+1,200)))-LN(INDEX(Dic2025!$K$6:$K$205,C494)))*(A494-6*C494)/6))</f>
        <v>0.0826435571495424</v>
      </c>
      <c r="H494" s="12" t="n">
        <f aca="false">G494^(-1/B494)-1</f>
        <v>0.0629609999999998</v>
      </c>
      <c r="I494" s="12" t="n">
        <f aca="false">(1+H494)^(1/12)-1</f>
        <v>0.00510116771639035</v>
      </c>
      <c r="J494" s="16" t="n">
        <f aca="false">IF(C494=0,(1+Dic2025!$M$6)^(-B494),EXP(LN(INDEX(Dic2025!$N$6:$N$205,C494))+(LN(INDEX(Dic2025!$N$6:$N$205,MIN(C494+1,200)))-LN(INDEX(Dic2025!$N$6:$N$205,C494)))*(A494-6*C494)/6))</f>
        <v>0.0826435571495424</v>
      </c>
      <c r="K494" s="12" t="n">
        <f aca="false">J494^(-1/B494)-1</f>
        <v>0.0629609999999998</v>
      </c>
      <c r="L494" s="12" t="n">
        <f aca="false">(1+K494)^(1/12)-1</f>
        <v>0.00510116771639035</v>
      </c>
    </row>
    <row r="495" customFormat="false" ht="15" hidden="false" customHeight="false" outlineLevel="0" collapsed="false">
      <c r="A495" s="4" t="n">
        <v>491</v>
      </c>
      <c r="B495" s="14" t="n">
        <f aca="false">A495/12</f>
        <v>40.9166666666667</v>
      </c>
      <c r="C495" s="15" t="n">
        <f aca="false">INT(A495/6)</f>
        <v>81</v>
      </c>
      <c r="D495" s="16" t="n">
        <f aca="false">IF(C495=0,(1+Dic2025!$G$6)^(-B495),EXP(LN(INDEX(Dic2025!$H$6:$H$205,C495))+(LN(INDEX(Dic2025!$H$6:$H$205,MIN(C495+1,200)))-LN(INDEX(Dic2025!$H$6:$H$205,C495)))*(A495-6*C495)/6))</f>
        <v>0.0822241181326156</v>
      </c>
      <c r="E495" s="12" t="n">
        <f aca="false">D495^(-1/B495)-1</f>
        <v>0.0629609999999998</v>
      </c>
      <c r="F495" s="12" t="n">
        <f aca="false">(1+E495)^(1/12)-1</f>
        <v>0.00510116771639035</v>
      </c>
      <c r="G495" s="16" t="n">
        <f aca="false">IF(C495=0,(1+Dic2025!$J$6)^(-B495),EXP(LN(INDEX(Dic2025!$K$6:$K$205,C495))+(LN(INDEX(Dic2025!$K$6:$K$205,MIN(C495+1,200)))-LN(INDEX(Dic2025!$K$6:$K$205,C495)))*(A495-6*C495)/6))</f>
        <v>0.0822241181326156</v>
      </c>
      <c r="H495" s="12" t="n">
        <f aca="false">G495^(-1/B495)-1</f>
        <v>0.0629609999999998</v>
      </c>
      <c r="I495" s="12" t="n">
        <f aca="false">(1+H495)^(1/12)-1</f>
        <v>0.00510116771639035</v>
      </c>
      <c r="J495" s="16" t="n">
        <f aca="false">IF(C495=0,(1+Dic2025!$M$6)^(-B495),EXP(LN(INDEX(Dic2025!$N$6:$N$205,C495))+(LN(INDEX(Dic2025!$N$6:$N$205,MIN(C495+1,200)))-LN(INDEX(Dic2025!$N$6:$N$205,C495)))*(A495-6*C495)/6))</f>
        <v>0.0822241181326156</v>
      </c>
      <c r="K495" s="12" t="n">
        <f aca="false">J495^(-1/B495)-1</f>
        <v>0.0629609999999998</v>
      </c>
      <c r="L495" s="12" t="n">
        <f aca="false">(1+K495)^(1/12)-1</f>
        <v>0.00510116771639035</v>
      </c>
    </row>
    <row r="496" customFormat="false" ht="15" hidden="false" customHeight="false" outlineLevel="0" collapsed="false">
      <c r="A496" s="4" t="n">
        <v>492</v>
      </c>
      <c r="B496" s="14" t="n">
        <f aca="false">A496/12</f>
        <v>41</v>
      </c>
      <c r="C496" s="15" t="n">
        <f aca="false">INT(A496/6)</f>
        <v>82</v>
      </c>
      <c r="D496" s="16" t="n">
        <f aca="false">IF(C496=0,(1+Dic2025!$G$6)^(-B496),EXP(LN(INDEX(Dic2025!$H$6:$H$205,C496))+(LN(INDEX(Dic2025!$H$6:$H$205,MIN(C496+1,200)))-LN(INDEX(Dic2025!$H$6:$H$205,C496)))*(A496-6*C496)/6))</f>
        <v>0.0818068078852504</v>
      </c>
      <c r="E496" s="12" t="n">
        <f aca="false">D496^(-1/B496)-1</f>
        <v>0.0629609999999998</v>
      </c>
      <c r="F496" s="12" t="n">
        <f aca="false">(1+E496)^(1/12)-1</f>
        <v>0.00510116771639035</v>
      </c>
      <c r="G496" s="16" t="n">
        <f aca="false">IF(C496=0,(1+Dic2025!$J$6)^(-B496),EXP(LN(INDEX(Dic2025!$K$6:$K$205,C496))+(LN(INDEX(Dic2025!$K$6:$K$205,MIN(C496+1,200)))-LN(INDEX(Dic2025!$K$6:$K$205,C496)))*(A496-6*C496)/6))</f>
        <v>0.0818068078852504</v>
      </c>
      <c r="H496" s="12" t="n">
        <f aca="false">G496^(-1/B496)-1</f>
        <v>0.0629609999999998</v>
      </c>
      <c r="I496" s="12" t="n">
        <f aca="false">(1+H496)^(1/12)-1</f>
        <v>0.00510116771639035</v>
      </c>
      <c r="J496" s="16" t="n">
        <f aca="false">IF(C496=0,(1+Dic2025!$M$6)^(-B496),EXP(LN(INDEX(Dic2025!$N$6:$N$205,C496))+(LN(INDEX(Dic2025!$N$6:$N$205,MIN(C496+1,200)))-LN(INDEX(Dic2025!$N$6:$N$205,C496)))*(A496-6*C496)/6))</f>
        <v>0.0818068078852504</v>
      </c>
      <c r="K496" s="12" t="n">
        <f aca="false">J496^(-1/B496)-1</f>
        <v>0.0629609999999998</v>
      </c>
      <c r="L496" s="12" t="n">
        <f aca="false">(1+K496)^(1/12)-1</f>
        <v>0.00510116771639035</v>
      </c>
    </row>
    <row r="497" customFormat="false" ht="15" hidden="false" customHeight="false" outlineLevel="0" collapsed="false">
      <c r="A497" s="4" t="n">
        <v>493</v>
      </c>
      <c r="B497" s="14" t="n">
        <f aca="false">A497/12</f>
        <v>41.0833333333333</v>
      </c>
      <c r="C497" s="15" t="n">
        <f aca="false">INT(A497/6)</f>
        <v>82</v>
      </c>
      <c r="D497" s="16" t="n">
        <f aca="false">IF(C497=0,(1+Dic2025!$G$6)^(-B497),EXP(LN(INDEX(Dic2025!$H$6:$H$205,C497))+(LN(INDEX(Dic2025!$H$6:$H$205,MIN(C497+1,200)))-LN(INDEX(Dic2025!$H$6:$H$205,C497)))*(A497-6*C497)/6))</f>
        <v>0.0813370320689506</v>
      </c>
      <c r="E497" s="12" t="n">
        <f aca="false">D497^(-1/B497)-1</f>
        <v>0.0629783573273262</v>
      </c>
      <c r="F497" s="12" t="n">
        <f aca="false">(1+E497)^(1/12)-1</f>
        <v>0.00510253541625549</v>
      </c>
      <c r="G497" s="16" t="n">
        <f aca="false">IF(C497=0,(1+Dic2025!$J$6)^(-B497),EXP(LN(INDEX(Dic2025!$K$6:$K$205,C497))+(LN(INDEX(Dic2025!$K$6:$K$205,MIN(C497+1,200)))-LN(INDEX(Dic2025!$K$6:$K$205,C497)))*(A497-6*C497)/6))</f>
        <v>0.0813370320689506</v>
      </c>
      <c r="H497" s="12" t="n">
        <f aca="false">G497^(-1/B497)-1</f>
        <v>0.0629783573273262</v>
      </c>
      <c r="I497" s="12" t="n">
        <f aca="false">(1+H497)^(1/12)-1</f>
        <v>0.00510253541625549</v>
      </c>
      <c r="J497" s="16" t="n">
        <f aca="false">IF(C497=0,(1+Dic2025!$M$6)^(-B497),EXP(LN(INDEX(Dic2025!$N$6:$N$205,C497))+(LN(INDEX(Dic2025!$N$6:$N$205,MIN(C497+1,200)))-LN(INDEX(Dic2025!$N$6:$N$205,C497)))*(A497-6*C497)/6))</f>
        <v>0.0813370320689506</v>
      </c>
      <c r="K497" s="12" t="n">
        <f aca="false">J497^(-1/B497)-1</f>
        <v>0.0629783573273262</v>
      </c>
      <c r="L497" s="12" t="n">
        <f aca="false">(1+K497)^(1/12)-1</f>
        <v>0.00510253541625549</v>
      </c>
    </row>
    <row r="498" customFormat="false" ht="15" hidden="false" customHeight="false" outlineLevel="0" collapsed="false">
      <c r="A498" s="4" t="n">
        <v>494</v>
      </c>
      <c r="B498" s="14" t="n">
        <f aca="false">A498/12</f>
        <v>41.1666666666667</v>
      </c>
      <c r="C498" s="15" t="n">
        <f aca="false">INT(A498/6)</f>
        <v>82</v>
      </c>
      <c r="D498" s="16" t="n">
        <f aca="false">IF(C498=0,(1+Dic2025!$G$6)^(-B498),EXP(LN(INDEX(Dic2025!$H$6:$H$205,C498))+(LN(INDEX(Dic2025!$H$6:$H$205,MIN(C498+1,200)))-LN(INDEX(Dic2025!$H$6:$H$205,C498)))*(A498-6*C498)/6))</f>
        <v>0.0808699539415509</v>
      </c>
      <c r="E498" s="12" t="n">
        <f aca="false">D498^(-1/B498)-1</f>
        <v>0.0629956446637849</v>
      </c>
      <c r="F498" s="12" t="n">
        <f aca="false">(1+E498)^(1/12)-1</f>
        <v>0.00510389758072405</v>
      </c>
      <c r="G498" s="16" t="n">
        <f aca="false">IF(C498=0,(1+Dic2025!$J$6)^(-B498),EXP(LN(INDEX(Dic2025!$K$6:$K$205,C498))+(LN(INDEX(Dic2025!$K$6:$K$205,MIN(C498+1,200)))-LN(INDEX(Dic2025!$K$6:$K$205,C498)))*(A498-6*C498)/6))</f>
        <v>0.0808699539415509</v>
      </c>
      <c r="H498" s="12" t="n">
        <f aca="false">G498^(-1/B498)-1</f>
        <v>0.0629956446637849</v>
      </c>
      <c r="I498" s="12" t="n">
        <f aca="false">(1+H498)^(1/12)-1</f>
        <v>0.00510389758072405</v>
      </c>
      <c r="J498" s="16" t="n">
        <f aca="false">IF(C498=0,(1+Dic2025!$M$6)^(-B498),EXP(LN(INDEX(Dic2025!$N$6:$N$205,C498))+(LN(INDEX(Dic2025!$N$6:$N$205,MIN(C498+1,200)))-LN(INDEX(Dic2025!$N$6:$N$205,C498)))*(A498-6*C498)/6))</f>
        <v>0.0808699539415509</v>
      </c>
      <c r="K498" s="12" t="n">
        <f aca="false">J498^(-1/B498)-1</f>
        <v>0.0629956446637849</v>
      </c>
      <c r="L498" s="12" t="n">
        <f aca="false">(1+K498)^(1/12)-1</f>
        <v>0.00510389758072405</v>
      </c>
    </row>
    <row r="499" customFormat="false" ht="15" hidden="false" customHeight="false" outlineLevel="0" collapsed="false">
      <c r="A499" s="4" t="n">
        <v>495</v>
      </c>
      <c r="B499" s="14" t="n">
        <f aca="false">A499/12</f>
        <v>41.25</v>
      </c>
      <c r="C499" s="15" t="n">
        <f aca="false">INT(A499/6)</f>
        <v>82</v>
      </c>
      <c r="D499" s="16" t="n">
        <f aca="false">IF(C499=0,(1+Dic2025!$G$6)^(-B499),EXP(LN(INDEX(Dic2025!$H$6:$H$205,C499))+(LN(INDEX(Dic2025!$H$6:$H$205,MIN(C499+1,200)))-LN(INDEX(Dic2025!$H$6:$H$205,C499)))*(A499-6*C499)/6))</f>
        <v>0.0804055580115653</v>
      </c>
      <c r="E499" s="12" t="n">
        <f aca="false">D499^(-1/B499)-1</f>
        <v>0.063012862431864</v>
      </c>
      <c r="F499" s="12" t="n">
        <f aca="false">(1+E499)^(1/12)-1</f>
        <v>0.00510525424333275</v>
      </c>
      <c r="G499" s="16" t="n">
        <f aca="false">IF(C499=0,(1+Dic2025!$J$6)^(-B499),EXP(LN(INDEX(Dic2025!$K$6:$K$205,C499))+(LN(INDEX(Dic2025!$K$6:$K$205,MIN(C499+1,200)))-LN(INDEX(Dic2025!$K$6:$K$205,C499)))*(A499-6*C499)/6))</f>
        <v>0.0804055580115653</v>
      </c>
      <c r="H499" s="12" t="n">
        <f aca="false">G499^(-1/B499)-1</f>
        <v>0.063012862431864</v>
      </c>
      <c r="I499" s="12" t="n">
        <f aca="false">(1+H499)^(1/12)-1</f>
        <v>0.00510525424333275</v>
      </c>
      <c r="J499" s="16" t="n">
        <f aca="false">IF(C499=0,(1+Dic2025!$M$6)^(-B499),EXP(LN(INDEX(Dic2025!$N$6:$N$205,C499))+(LN(INDEX(Dic2025!$N$6:$N$205,MIN(C499+1,200)))-LN(INDEX(Dic2025!$N$6:$N$205,C499)))*(A499-6*C499)/6))</f>
        <v>0.0804055580115653</v>
      </c>
      <c r="K499" s="12" t="n">
        <f aca="false">J499^(-1/B499)-1</f>
        <v>0.063012862431864</v>
      </c>
      <c r="L499" s="12" t="n">
        <f aca="false">(1+K499)^(1/12)-1</f>
        <v>0.00510525424333275</v>
      </c>
    </row>
    <row r="500" customFormat="false" ht="15" hidden="false" customHeight="false" outlineLevel="0" collapsed="false">
      <c r="A500" s="4" t="n">
        <v>496</v>
      </c>
      <c r="B500" s="14" t="n">
        <f aca="false">A500/12</f>
        <v>41.3333333333333</v>
      </c>
      <c r="C500" s="15" t="n">
        <f aca="false">INT(A500/6)</f>
        <v>82</v>
      </c>
      <c r="D500" s="16" t="n">
        <f aca="false">IF(C500=0,(1+Dic2025!$G$6)^(-B500),EXP(LN(INDEX(Dic2025!$H$6:$H$205,C500))+(LN(INDEX(Dic2025!$H$6:$H$205,MIN(C500+1,200)))-LN(INDEX(Dic2025!$H$6:$H$205,C500)))*(A500-6*C500)/6))</f>
        <v>0.079943828876468</v>
      </c>
      <c r="E500" s="12" t="n">
        <f aca="false">D500^(-1/B500)-1</f>
        <v>0.0630300110506572</v>
      </c>
      <c r="F500" s="12" t="n">
        <f aca="false">(1+E500)^(1/12)-1</f>
        <v>0.00510660543734764</v>
      </c>
      <c r="G500" s="16" t="n">
        <f aca="false">IF(C500=0,(1+Dic2025!$J$6)^(-B500),EXP(LN(INDEX(Dic2025!$K$6:$K$205,C500))+(LN(INDEX(Dic2025!$K$6:$K$205,MIN(C500+1,200)))-LN(INDEX(Dic2025!$K$6:$K$205,C500)))*(A500-6*C500)/6))</f>
        <v>0.079943828876468</v>
      </c>
      <c r="H500" s="12" t="n">
        <f aca="false">G500^(-1/B500)-1</f>
        <v>0.0630300110506572</v>
      </c>
      <c r="I500" s="12" t="n">
        <f aca="false">(1+H500)^(1/12)-1</f>
        <v>0.00510660543734764</v>
      </c>
      <c r="J500" s="16" t="n">
        <f aca="false">IF(C500=0,(1+Dic2025!$M$6)^(-B500),EXP(LN(INDEX(Dic2025!$N$6:$N$205,C500))+(LN(INDEX(Dic2025!$N$6:$N$205,MIN(C500+1,200)))-LN(INDEX(Dic2025!$N$6:$N$205,C500)))*(A500-6*C500)/6))</f>
        <v>0.079943828876468</v>
      </c>
      <c r="K500" s="12" t="n">
        <f aca="false">J500^(-1/B500)-1</f>
        <v>0.0630300110506572</v>
      </c>
      <c r="L500" s="12" t="n">
        <f aca="false">(1+K500)^(1/12)-1</f>
        <v>0.00510660543734764</v>
      </c>
    </row>
    <row r="501" customFormat="false" ht="15" hidden="false" customHeight="false" outlineLevel="0" collapsed="false">
      <c r="A501" s="4" t="n">
        <v>497</v>
      </c>
      <c r="B501" s="14" t="n">
        <f aca="false">A501/12</f>
        <v>41.4166666666667</v>
      </c>
      <c r="C501" s="15" t="n">
        <f aca="false">INT(A501/6)</f>
        <v>82</v>
      </c>
      <c r="D501" s="16" t="n">
        <f aca="false">IF(C501=0,(1+Dic2025!$G$6)^(-B501),EXP(LN(INDEX(Dic2025!$H$6:$H$205,C501))+(LN(INDEX(Dic2025!$H$6:$H$205,MIN(C501+1,200)))-LN(INDEX(Dic2025!$H$6:$H$205,C501)))*(A501-6*C501)/6))</f>
        <v>0.0794847512221821</v>
      </c>
      <c r="E501" s="12" t="n">
        <f aca="false">D501^(-1/B501)-1</f>
        <v>0.0630470909358998</v>
      </c>
      <c r="F501" s="12" t="n">
        <f aca="false">(1+E501)^(1/12)-1</f>
        <v>0.0051079511957679</v>
      </c>
      <c r="G501" s="16" t="n">
        <f aca="false">IF(C501=0,(1+Dic2025!$J$6)^(-B501),EXP(LN(INDEX(Dic2025!$K$6:$K$205,C501))+(LN(INDEX(Dic2025!$K$6:$K$205,MIN(C501+1,200)))-LN(INDEX(Dic2025!$K$6:$K$205,C501)))*(A501-6*C501)/6))</f>
        <v>0.0794847512221821</v>
      </c>
      <c r="H501" s="12" t="n">
        <f aca="false">G501^(-1/B501)-1</f>
        <v>0.0630470909358998</v>
      </c>
      <c r="I501" s="12" t="n">
        <f aca="false">(1+H501)^(1/12)-1</f>
        <v>0.0051079511957679</v>
      </c>
      <c r="J501" s="16" t="n">
        <f aca="false">IF(C501=0,(1+Dic2025!$M$6)^(-B501),EXP(LN(INDEX(Dic2025!$N$6:$N$205,C501))+(LN(INDEX(Dic2025!$N$6:$N$205,MIN(C501+1,200)))-LN(INDEX(Dic2025!$N$6:$N$205,C501)))*(A501-6*C501)/6))</f>
        <v>0.0794847512221821</v>
      </c>
      <c r="K501" s="12" t="n">
        <f aca="false">J501^(-1/B501)-1</f>
        <v>0.0630470909358998</v>
      </c>
      <c r="L501" s="12" t="n">
        <f aca="false">(1+K501)^(1/12)-1</f>
        <v>0.0051079511957679</v>
      </c>
    </row>
    <row r="502" customFormat="false" ht="15" hidden="false" customHeight="false" outlineLevel="0" collapsed="false">
      <c r="A502" s="4" t="n">
        <v>498</v>
      </c>
      <c r="B502" s="14" t="n">
        <f aca="false">A502/12</f>
        <v>41.5</v>
      </c>
      <c r="C502" s="15" t="n">
        <f aca="false">INT(A502/6)</f>
        <v>83</v>
      </c>
      <c r="D502" s="16" t="n">
        <f aca="false">IF(C502=0,(1+Dic2025!$G$6)^(-B502),EXP(LN(INDEX(Dic2025!$H$6:$H$205,C502))+(LN(INDEX(Dic2025!$H$6:$H$205,MIN(C502+1,200)))-LN(INDEX(Dic2025!$H$6:$H$205,C502)))*(A502-6*C502)/6))</f>
        <v>0.0790283098225719</v>
      </c>
      <c r="E502" s="12" t="n">
        <f aca="false">D502^(-1/B502)-1</f>
        <v>0.0630641025000001</v>
      </c>
      <c r="F502" s="12" t="n">
        <f aca="false">(1+E502)^(1/12)-1</f>
        <v>0.00510929155132667</v>
      </c>
      <c r="G502" s="16" t="n">
        <f aca="false">IF(C502=0,(1+Dic2025!$J$6)^(-B502),EXP(LN(INDEX(Dic2025!$K$6:$K$205,C502))+(LN(INDEX(Dic2025!$K$6:$K$205,MIN(C502+1,200)))-LN(INDEX(Dic2025!$K$6:$K$205,C502)))*(A502-6*C502)/6))</f>
        <v>0.0790283098225719</v>
      </c>
      <c r="H502" s="12" t="n">
        <f aca="false">G502^(-1/B502)-1</f>
        <v>0.0630641025000001</v>
      </c>
      <c r="I502" s="12" t="n">
        <f aca="false">(1+H502)^(1/12)-1</f>
        <v>0.00510929155132667</v>
      </c>
      <c r="J502" s="16" t="n">
        <f aca="false">IF(C502=0,(1+Dic2025!$M$6)^(-B502),EXP(LN(INDEX(Dic2025!$N$6:$N$205,C502))+(LN(INDEX(Dic2025!$N$6:$N$205,MIN(C502+1,200)))-LN(INDEX(Dic2025!$N$6:$N$205,C502)))*(A502-6*C502)/6))</f>
        <v>0.0790283098225719</v>
      </c>
      <c r="K502" s="12" t="n">
        <f aca="false">J502^(-1/B502)-1</f>
        <v>0.0630641025000001</v>
      </c>
      <c r="L502" s="12" t="n">
        <f aca="false">(1+K502)^(1/12)-1</f>
        <v>0.00510929155132667</v>
      </c>
    </row>
    <row r="503" customFormat="false" ht="15" hidden="false" customHeight="false" outlineLevel="0" collapsed="false">
      <c r="A503" s="4" t="n">
        <v>499</v>
      </c>
      <c r="B503" s="14" t="n">
        <f aca="false">A503/12</f>
        <v>41.5833333333333</v>
      </c>
      <c r="C503" s="15" t="n">
        <f aca="false">INT(A503/6)</f>
        <v>83</v>
      </c>
      <c r="D503" s="16" t="n">
        <f aca="false">IF(C503=0,(1+Dic2025!$G$6)^(-B503),EXP(LN(INDEX(Dic2025!$H$6:$H$205,C503))+(LN(INDEX(Dic2025!$H$6:$H$205,MIN(C503+1,200)))-LN(INDEX(Dic2025!$H$6:$H$205,C503)))*(A503-6*C503)/6))</f>
        <v>0.0786265836828514</v>
      </c>
      <c r="E503" s="12" t="n">
        <f aca="false">D503^(-1/B503)-1</f>
        <v>0.0630641025000001</v>
      </c>
      <c r="F503" s="12" t="n">
        <f aca="false">(1+E503)^(1/12)-1</f>
        <v>0.00510929155132667</v>
      </c>
      <c r="G503" s="16" t="n">
        <f aca="false">IF(C503=0,(1+Dic2025!$J$6)^(-B503),EXP(LN(INDEX(Dic2025!$K$6:$K$205,C503))+(LN(INDEX(Dic2025!$K$6:$K$205,MIN(C503+1,200)))-LN(INDEX(Dic2025!$K$6:$K$205,C503)))*(A503-6*C503)/6))</f>
        <v>0.0786265836828514</v>
      </c>
      <c r="H503" s="12" t="n">
        <f aca="false">G503^(-1/B503)-1</f>
        <v>0.0630641025000001</v>
      </c>
      <c r="I503" s="12" t="n">
        <f aca="false">(1+H503)^(1/12)-1</f>
        <v>0.00510929155132667</v>
      </c>
      <c r="J503" s="16" t="n">
        <f aca="false">IF(C503=0,(1+Dic2025!$M$6)^(-B503),EXP(LN(INDEX(Dic2025!$N$6:$N$205,C503))+(LN(INDEX(Dic2025!$N$6:$N$205,MIN(C503+1,200)))-LN(INDEX(Dic2025!$N$6:$N$205,C503)))*(A503-6*C503)/6))</f>
        <v>0.0786265836828514</v>
      </c>
      <c r="K503" s="12" t="n">
        <f aca="false">J503^(-1/B503)-1</f>
        <v>0.0630641025000001</v>
      </c>
      <c r="L503" s="12" t="n">
        <f aca="false">(1+K503)^(1/12)-1</f>
        <v>0.00510929155132667</v>
      </c>
    </row>
    <row r="504" customFormat="false" ht="15" hidden="false" customHeight="false" outlineLevel="0" collapsed="false">
      <c r="A504" s="4" t="n">
        <v>500</v>
      </c>
      <c r="B504" s="14" t="n">
        <f aca="false">A504/12</f>
        <v>41.6666666666667</v>
      </c>
      <c r="C504" s="15" t="n">
        <f aca="false">INT(A504/6)</f>
        <v>83</v>
      </c>
      <c r="D504" s="16" t="n">
        <f aca="false">IF(C504=0,(1+Dic2025!$G$6)^(-B504),EXP(LN(INDEX(Dic2025!$H$6:$H$205,C504))+(LN(INDEX(Dic2025!$H$6:$H$205,MIN(C504+1,200)))-LN(INDEX(Dic2025!$H$6:$H$205,C504)))*(A504-6*C504)/6))</f>
        <v>0.0782268996454067</v>
      </c>
      <c r="E504" s="12" t="n">
        <f aca="false">D504^(-1/B504)-1</f>
        <v>0.0630641025000001</v>
      </c>
      <c r="F504" s="12" t="n">
        <f aca="false">(1+E504)^(1/12)-1</f>
        <v>0.00510929155132667</v>
      </c>
      <c r="G504" s="16" t="n">
        <f aca="false">IF(C504=0,(1+Dic2025!$J$6)^(-B504),EXP(LN(INDEX(Dic2025!$K$6:$K$205,C504))+(LN(INDEX(Dic2025!$K$6:$K$205,MIN(C504+1,200)))-LN(INDEX(Dic2025!$K$6:$K$205,C504)))*(A504-6*C504)/6))</f>
        <v>0.0782268996454067</v>
      </c>
      <c r="H504" s="12" t="n">
        <f aca="false">G504^(-1/B504)-1</f>
        <v>0.0630641025000001</v>
      </c>
      <c r="I504" s="12" t="n">
        <f aca="false">(1+H504)^(1/12)-1</f>
        <v>0.00510929155132667</v>
      </c>
      <c r="J504" s="16" t="n">
        <f aca="false">IF(C504=0,(1+Dic2025!$M$6)^(-B504),EXP(LN(INDEX(Dic2025!$N$6:$N$205,C504))+(LN(INDEX(Dic2025!$N$6:$N$205,MIN(C504+1,200)))-LN(INDEX(Dic2025!$N$6:$N$205,C504)))*(A504-6*C504)/6))</f>
        <v>0.0782268996454067</v>
      </c>
      <c r="K504" s="12" t="n">
        <f aca="false">J504^(-1/B504)-1</f>
        <v>0.0630641025000001</v>
      </c>
      <c r="L504" s="12" t="n">
        <f aca="false">(1+K504)^(1/12)-1</f>
        <v>0.00510929155132667</v>
      </c>
    </row>
    <row r="505" customFormat="false" ht="15" hidden="false" customHeight="false" outlineLevel="0" collapsed="false">
      <c r="A505" s="4" t="n">
        <v>501</v>
      </c>
      <c r="B505" s="14" t="n">
        <f aca="false">A505/12</f>
        <v>41.75</v>
      </c>
      <c r="C505" s="15" t="n">
        <f aca="false">INT(A505/6)</f>
        <v>83</v>
      </c>
      <c r="D505" s="16" t="n">
        <f aca="false">IF(C505=0,(1+Dic2025!$G$6)^(-B505),EXP(LN(INDEX(Dic2025!$H$6:$H$205,C505))+(LN(INDEX(Dic2025!$H$6:$H$205,MIN(C505+1,200)))-LN(INDEX(Dic2025!$H$6:$H$205,C505)))*(A505-6*C505)/6))</f>
        <v>0.0778292473295796</v>
      </c>
      <c r="E505" s="12" t="n">
        <f aca="false">D505^(-1/B505)-1</f>
        <v>0.0630641025000001</v>
      </c>
      <c r="F505" s="12" t="n">
        <f aca="false">(1+E505)^(1/12)-1</f>
        <v>0.00510929155132667</v>
      </c>
      <c r="G505" s="16" t="n">
        <f aca="false">IF(C505=0,(1+Dic2025!$J$6)^(-B505),EXP(LN(INDEX(Dic2025!$K$6:$K$205,C505))+(LN(INDEX(Dic2025!$K$6:$K$205,MIN(C505+1,200)))-LN(INDEX(Dic2025!$K$6:$K$205,C505)))*(A505-6*C505)/6))</f>
        <v>0.0778292473295796</v>
      </c>
      <c r="H505" s="12" t="n">
        <f aca="false">G505^(-1/B505)-1</f>
        <v>0.0630641025000001</v>
      </c>
      <c r="I505" s="12" t="n">
        <f aca="false">(1+H505)^(1/12)-1</f>
        <v>0.00510929155132667</v>
      </c>
      <c r="J505" s="16" t="n">
        <f aca="false">IF(C505=0,(1+Dic2025!$M$6)^(-B505),EXP(LN(INDEX(Dic2025!$N$6:$N$205,C505))+(LN(INDEX(Dic2025!$N$6:$N$205,MIN(C505+1,200)))-LN(INDEX(Dic2025!$N$6:$N$205,C505)))*(A505-6*C505)/6))</f>
        <v>0.0778292473295796</v>
      </c>
      <c r="K505" s="12" t="n">
        <f aca="false">J505^(-1/B505)-1</f>
        <v>0.0630641025000001</v>
      </c>
      <c r="L505" s="12" t="n">
        <f aca="false">(1+K505)^(1/12)-1</f>
        <v>0.00510929155132667</v>
      </c>
    </row>
    <row r="506" customFormat="false" ht="15" hidden="false" customHeight="false" outlineLevel="0" collapsed="false">
      <c r="A506" s="4" t="n">
        <v>502</v>
      </c>
      <c r="B506" s="14" t="n">
        <f aca="false">A506/12</f>
        <v>41.8333333333333</v>
      </c>
      <c r="C506" s="15" t="n">
        <f aca="false">INT(A506/6)</f>
        <v>83</v>
      </c>
      <c r="D506" s="16" t="n">
        <f aca="false">IF(C506=0,(1+Dic2025!$G$6)^(-B506),EXP(LN(INDEX(Dic2025!$H$6:$H$205,C506))+(LN(INDEX(Dic2025!$H$6:$H$205,MIN(C506+1,200)))-LN(INDEX(Dic2025!$H$6:$H$205,C506)))*(A506-6*C506)/6))</f>
        <v>0.0774336164074801</v>
      </c>
      <c r="E506" s="12" t="n">
        <f aca="false">D506^(-1/B506)-1</f>
        <v>0.0630641025000001</v>
      </c>
      <c r="F506" s="12" t="n">
        <f aca="false">(1+E506)^(1/12)-1</f>
        <v>0.00510929155132667</v>
      </c>
      <c r="G506" s="16" t="n">
        <f aca="false">IF(C506=0,(1+Dic2025!$J$6)^(-B506),EXP(LN(INDEX(Dic2025!$K$6:$K$205,C506))+(LN(INDEX(Dic2025!$K$6:$K$205,MIN(C506+1,200)))-LN(INDEX(Dic2025!$K$6:$K$205,C506)))*(A506-6*C506)/6))</f>
        <v>0.0774336164074801</v>
      </c>
      <c r="H506" s="12" t="n">
        <f aca="false">G506^(-1/B506)-1</f>
        <v>0.0630641025000001</v>
      </c>
      <c r="I506" s="12" t="n">
        <f aca="false">(1+H506)^(1/12)-1</f>
        <v>0.00510929155132667</v>
      </c>
      <c r="J506" s="16" t="n">
        <f aca="false">IF(C506=0,(1+Dic2025!$M$6)^(-B506),EXP(LN(INDEX(Dic2025!$N$6:$N$205,C506))+(LN(INDEX(Dic2025!$N$6:$N$205,MIN(C506+1,200)))-LN(INDEX(Dic2025!$N$6:$N$205,C506)))*(A506-6*C506)/6))</f>
        <v>0.0774336164074801</v>
      </c>
      <c r="K506" s="12" t="n">
        <f aca="false">J506^(-1/B506)-1</f>
        <v>0.0630641025000001</v>
      </c>
      <c r="L506" s="12" t="n">
        <f aca="false">(1+K506)^(1/12)-1</f>
        <v>0.00510929155132667</v>
      </c>
    </row>
    <row r="507" customFormat="false" ht="15" hidden="false" customHeight="false" outlineLevel="0" collapsed="false">
      <c r="A507" s="4" t="n">
        <v>503</v>
      </c>
      <c r="B507" s="14" t="n">
        <f aca="false">A507/12</f>
        <v>41.9166666666667</v>
      </c>
      <c r="C507" s="15" t="n">
        <f aca="false">INT(A507/6)</f>
        <v>83</v>
      </c>
      <c r="D507" s="16" t="n">
        <f aca="false">IF(C507=0,(1+Dic2025!$G$6)^(-B507),EXP(LN(INDEX(Dic2025!$H$6:$H$205,C507))+(LN(INDEX(Dic2025!$H$6:$H$205,MIN(C507+1,200)))-LN(INDEX(Dic2025!$H$6:$H$205,C507)))*(A507-6*C507)/6))</f>
        <v>0.0770399966037186</v>
      </c>
      <c r="E507" s="12" t="n">
        <f aca="false">D507^(-1/B507)-1</f>
        <v>0.0630641025000001</v>
      </c>
      <c r="F507" s="12" t="n">
        <f aca="false">(1+E507)^(1/12)-1</f>
        <v>0.00510929155132667</v>
      </c>
      <c r="G507" s="16" t="n">
        <f aca="false">IF(C507=0,(1+Dic2025!$J$6)^(-B507),EXP(LN(INDEX(Dic2025!$K$6:$K$205,C507))+(LN(INDEX(Dic2025!$K$6:$K$205,MIN(C507+1,200)))-LN(INDEX(Dic2025!$K$6:$K$205,C507)))*(A507-6*C507)/6))</f>
        <v>0.0770399966037186</v>
      </c>
      <c r="H507" s="12" t="n">
        <f aca="false">G507^(-1/B507)-1</f>
        <v>0.0630641025000001</v>
      </c>
      <c r="I507" s="12" t="n">
        <f aca="false">(1+H507)^(1/12)-1</f>
        <v>0.00510929155132667</v>
      </c>
      <c r="J507" s="16" t="n">
        <f aca="false">IF(C507=0,(1+Dic2025!$M$6)^(-B507),EXP(LN(INDEX(Dic2025!$N$6:$N$205,C507))+(LN(INDEX(Dic2025!$N$6:$N$205,MIN(C507+1,200)))-LN(INDEX(Dic2025!$N$6:$N$205,C507)))*(A507-6*C507)/6))</f>
        <v>0.0770399966037186</v>
      </c>
      <c r="K507" s="12" t="n">
        <f aca="false">J507^(-1/B507)-1</f>
        <v>0.0630641025000001</v>
      </c>
      <c r="L507" s="12" t="n">
        <f aca="false">(1+K507)^(1/12)-1</f>
        <v>0.00510929155132667</v>
      </c>
    </row>
    <row r="508" customFormat="false" ht="15" hidden="false" customHeight="false" outlineLevel="0" collapsed="false">
      <c r="A508" s="4" t="n">
        <v>504</v>
      </c>
      <c r="B508" s="14" t="n">
        <f aca="false">A508/12</f>
        <v>42</v>
      </c>
      <c r="C508" s="15" t="n">
        <f aca="false">INT(A508/6)</f>
        <v>84</v>
      </c>
      <c r="D508" s="16" t="n">
        <f aca="false">IF(C508=0,(1+Dic2025!$G$6)^(-B508),EXP(LN(INDEX(Dic2025!$H$6:$H$205,C508))+(LN(INDEX(Dic2025!$H$6:$H$205,MIN(C508+1,200)))-LN(INDEX(Dic2025!$H$6:$H$205,C508)))*(A508-6*C508)/6))</f>
        <v>0.0766483776951379</v>
      </c>
      <c r="E508" s="12" t="n">
        <f aca="false">D508^(-1/B508)-1</f>
        <v>0.0630641025000001</v>
      </c>
      <c r="F508" s="12" t="n">
        <f aca="false">(1+E508)^(1/12)-1</f>
        <v>0.00510929155132667</v>
      </c>
      <c r="G508" s="16" t="n">
        <f aca="false">IF(C508=0,(1+Dic2025!$J$6)^(-B508),EXP(LN(INDEX(Dic2025!$K$6:$K$205,C508))+(LN(INDEX(Dic2025!$K$6:$K$205,MIN(C508+1,200)))-LN(INDEX(Dic2025!$K$6:$K$205,C508)))*(A508-6*C508)/6))</f>
        <v>0.0766483776951379</v>
      </c>
      <c r="H508" s="12" t="n">
        <f aca="false">G508^(-1/B508)-1</f>
        <v>0.0630641025000001</v>
      </c>
      <c r="I508" s="12" t="n">
        <f aca="false">(1+H508)^(1/12)-1</f>
        <v>0.00510929155132667</v>
      </c>
      <c r="J508" s="16" t="n">
        <f aca="false">IF(C508=0,(1+Dic2025!$M$6)^(-B508),EXP(LN(INDEX(Dic2025!$N$6:$N$205,C508))+(LN(INDEX(Dic2025!$N$6:$N$205,MIN(C508+1,200)))-LN(INDEX(Dic2025!$N$6:$N$205,C508)))*(A508-6*C508)/6))</f>
        <v>0.0766483776951379</v>
      </c>
      <c r="K508" s="12" t="n">
        <f aca="false">J508^(-1/B508)-1</f>
        <v>0.0630641025000001</v>
      </c>
      <c r="L508" s="12" t="n">
        <f aca="false">(1+K508)^(1/12)-1</f>
        <v>0.00510929155132667</v>
      </c>
    </row>
    <row r="509" customFormat="false" ht="15" hidden="false" customHeight="false" outlineLevel="0" collapsed="false">
      <c r="A509" s="4" t="n">
        <v>505</v>
      </c>
      <c r="B509" s="14" t="n">
        <f aca="false">A509/12</f>
        <v>42.0833333333333</v>
      </c>
      <c r="C509" s="15" t="n">
        <f aca="false">INT(A509/6)</f>
        <v>84</v>
      </c>
      <c r="D509" s="16" t="n">
        <f aca="false">IF(C509=0,(1+Dic2025!$G$6)^(-B509),EXP(LN(INDEX(Dic2025!$H$6:$H$205,C509))+(LN(INDEX(Dic2025!$H$6:$H$205,MIN(C509+1,200)))-LN(INDEX(Dic2025!$H$6:$H$205,C509)))*(A509-6*C509)/6))</f>
        <v>0.0762063788641981</v>
      </c>
      <c r="E509" s="12" t="n">
        <f aca="false">D509^(-1/B509)-1</f>
        <v>0.0630814565277988</v>
      </c>
      <c r="F509" s="12" t="n">
        <f aca="false">(1+E509)^(1/12)-1</f>
        <v>0.00511065886963169</v>
      </c>
      <c r="G509" s="16" t="n">
        <f aca="false">IF(C509=0,(1+Dic2025!$J$6)^(-B509),EXP(LN(INDEX(Dic2025!$K$6:$K$205,C509))+(LN(INDEX(Dic2025!$K$6:$K$205,MIN(C509+1,200)))-LN(INDEX(Dic2025!$K$6:$K$205,C509)))*(A509-6*C509)/6))</f>
        <v>0.0762063788641981</v>
      </c>
      <c r="H509" s="12" t="n">
        <f aca="false">G509^(-1/B509)-1</f>
        <v>0.0630814565277988</v>
      </c>
      <c r="I509" s="12" t="n">
        <f aca="false">(1+H509)^(1/12)-1</f>
        <v>0.00511065886963169</v>
      </c>
      <c r="J509" s="16" t="n">
        <f aca="false">IF(C509=0,(1+Dic2025!$M$6)^(-B509),EXP(LN(INDEX(Dic2025!$N$6:$N$205,C509))+(LN(INDEX(Dic2025!$N$6:$N$205,MIN(C509+1,200)))-LN(INDEX(Dic2025!$N$6:$N$205,C509)))*(A509-6*C509)/6))</f>
        <v>0.0762063788641981</v>
      </c>
      <c r="K509" s="12" t="n">
        <f aca="false">J509^(-1/B509)-1</f>
        <v>0.0630814565277988</v>
      </c>
      <c r="L509" s="12" t="n">
        <f aca="false">(1+K509)^(1/12)-1</f>
        <v>0.00511065886963169</v>
      </c>
    </row>
    <row r="510" customFormat="false" ht="15" hidden="false" customHeight="false" outlineLevel="0" collapsed="false">
      <c r="A510" s="4" t="n">
        <v>506</v>
      </c>
      <c r="B510" s="14" t="n">
        <f aca="false">A510/12</f>
        <v>42.1666666666667</v>
      </c>
      <c r="C510" s="15" t="n">
        <f aca="false">INT(A510/6)</f>
        <v>84</v>
      </c>
      <c r="D510" s="16" t="n">
        <f aca="false">IF(C510=0,(1+Dic2025!$G$6)^(-B510),EXP(LN(INDEX(Dic2025!$H$6:$H$205,C510))+(LN(INDEX(Dic2025!$H$6:$H$205,MIN(C510+1,200)))-LN(INDEX(Dic2025!$H$6:$H$205,C510)))*(A510-6*C510)/6))</f>
        <v>0.0757669288538913</v>
      </c>
      <c r="E510" s="12" t="n">
        <f aca="false">D510^(-1/B510)-1</f>
        <v>0.0630987422442215</v>
      </c>
      <c r="F510" s="12" t="n">
        <f aca="false">(1+E510)^(1/12)-1</f>
        <v>0.00511202078536543</v>
      </c>
      <c r="G510" s="16" t="n">
        <f aca="false">IF(C510=0,(1+Dic2025!$J$6)^(-B510),EXP(LN(INDEX(Dic2025!$K$6:$K$205,C510))+(LN(INDEX(Dic2025!$K$6:$K$205,MIN(C510+1,200)))-LN(INDEX(Dic2025!$K$6:$K$205,C510)))*(A510-6*C510)/6))</f>
        <v>0.0757669288538913</v>
      </c>
      <c r="H510" s="12" t="n">
        <f aca="false">G510^(-1/B510)-1</f>
        <v>0.0630987422442215</v>
      </c>
      <c r="I510" s="12" t="n">
        <f aca="false">(1+H510)^(1/12)-1</f>
        <v>0.00511202078536543</v>
      </c>
      <c r="J510" s="16" t="n">
        <f aca="false">IF(C510=0,(1+Dic2025!$M$6)^(-B510),EXP(LN(INDEX(Dic2025!$N$6:$N$205,C510))+(LN(INDEX(Dic2025!$N$6:$N$205,MIN(C510+1,200)))-LN(INDEX(Dic2025!$N$6:$N$205,C510)))*(A510-6*C510)/6))</f>
        <v>0.0757669288538913</v>
      </c>
      <c r="K510" s="12" t="n">
        <f aca="false">J510^(-1/B510)-1</f>
        <v>0.0630987422442215</v>
      </c>
      <c r="L510" s="12" t="n">
        <f aca="false">(1+K510)^(1/12)-1</f>
        <v>0.00511202078536543</v>
      </c>
    </row>
    <row r="511" customFormat="false" ht="15" hidden="false" customHeight="false" outlineLevel="0" collapsed="false">
      <c r="A511" s="4" t="n">
        <v>507</v>
      </c>
      <c r="B511" s="14" t="n">
        <f aca="false">A511/12</f>
        <v>42.25</v>
      </c>
      <c r="C511" s="15" t="n">
        <f aca="false">INT(A511/6)</f>
        <v>84</v>
      </c>
      <c r="D511" s="16" t="n">
        <f aca="false">IF(C511=0,(1+Dic2025!$G$6)^(-B511),EXP(LN(INDEX(Dic2025!$H$6:$H$205,C511))+(LN(INDEX(Dic2025!$H$6:$H$205,MIN(C511+1,200)))-LN(INDEX(Dic2025!$H$6:$H$205,C511)))*(A511-6*C511)/6))</f>
        <v>0.075330012966245</v>
      </c>
      <c r="E511" s="12" t="n">
        <f aca="false">D511^(-1/B511)-1</f>
        <v>0.0631159600518187</v>
      </c>
      <c r="F511" s="12" t="n">
        <f aca="false">(1+E511)^(1/12)-1</f>
        <v>0.005113377330485</v>
      </c>
      <c r="G511" s="16" t="n">
        <f aca="false">IF(C511=0,(1+Dic2025!$J$6)^(-B511),EXP(LN(INDEX(Dic2025!$K$6:$K$205,C511))+(LN(INDEX(Dic2025!$K$6:$K$205,MIN(C511+1,200)))-LN(INDEX(Dic2025!$K$6:$K$205,C511)))*(A511-6*C511)/6))</f>
        <v>0.075330012966245</v>
      </c>
      <c r="H511" s="12" t="n">
        <f aca="false">G511^(-1/B511)-1</f>
        <v>0.0631159600518187</v>
      </c>
      <c r="I511" s="12" t="n">
        <f aca="false">(1+H511)^(1/12)-1</f>
        <v>0.005113377330485</v>
      </c>
      <c r="J511" s="16" t="n">
        <f aca="false">IF(C511=0,(1+Dic2025!$M$6)^(-B511),EXP(LN(INDEX(Dic2025!$N$6:$N$205,C511))+(LN(INDEX(Dic2025!$N$6:$N$205,MIN(C511+1,200)))-LN(INDEX(Dic2025!$N$6:$N$205,C511)))*(A511-6*C511)/6))</f>
        <v>0.075330012966245</v>
      </c>
      <c r="K511" s="12" t="n">
        <f aca="false">J511^(-1/B511)-1</f>
        <v>0.0631159600518187</v>
      </c>
      <c r="L511" s="12" t="n">
        <f aca="false">(1+K511)^(1/12)-1</f>
        <v>0.005113377330485</v>
      </c>
    </row>
    <row r="512" customFormat="false" ht="15" hidden="false" customHeight="false" outlineLevel="0" collapsed="false">
      <c r="A512" s="4" t="n">
        <v>508</v>
      </c>
      <c r="B512" s="14" t="n">
        <f aca="false">A512/12</f>
        <v>42.3333333333333</v>
      </c>
      <c r="C512" s="15" t="n">
        <f aca="false">INT(A512/6)</f>
        <v>84</v>
      </c>
      <c r="D512" s="16" t="n">
        <f aca="false">IF(C512=0,(1+Dic2025!$G$6)^(-B512),EXP(LN(INDEX(Dic2025!$H$6:$H$205,C512))+(LN(INDEX(Dic2025!$H$6:$H$205,MIN(C512+1,200)))-LN(INDEX(Dic2025!$H$6:$H$205,C512)))*(A512-6*C512)/6))</f>
        <v>0.0748956165880439</v>
      </c>
      <c r="E512" s="12" t="n">
        <f aca="false">D512^(-1/B512)-1</f>
        <v>0.0631331103499846</v>
      </c>
      <c r="F512" s="12" t="n">
        <f aca="false">(1+E512)^(1/12)-1</f>
        <v>0.00511472853669592</v>
      </c>
      <c r="G512" s="16" t="n">
        <f aca="false">IF(C512=0,(1+Dic2025!$J$6)^(-B512),EXP(LN(INDEX(Dic2025!$K$6:$K$205,C512))+(LN(INDEX(Dic2025!$K$6:$K$205,MIN(C512+1,200)))-LN(INDEX(Dic2025!$K$6:$K$205,C512)))*(A512-6*C512)/6))</f>
        <v>0.0748956165880439</v>
      </c>
      <c r="H512" s="12" t="n">
        <f aca="false">G512^(-1/B512)-1</f>
        <v>0.0631331103499846</v>
      </c>
      <c r="I512" s="12" t="n">
        <f aca="false">(1+H512)^(1/12)-1</f>
        <v>0.00511472853669592</v>
      </c>
      <c r="J512" s="16" t="n">
        <f aca="false">IF(C512=0,(1+Dic2025!$M$6)^(-B512),EXP(LN(INDEX(Dic2025!$N$6:$N$205,C512))+(LN(INDEX(Dic2025!$N$6:$N$205,MIN(C512+1,200)))-LN(INDEX(Dic2025!$N$6:$N$205,C512)))*(A512-6*C512)/6))</f>
        <v>0.0748956165880439</v>
      </c>
      <c r="K512" s="12" t="n">
        <f aca="false">J512^(-1/B512)-1</f>
        <v>0.0631331103499846</v>
      </c>
      <c r="L512" s="12" t="n">
        <f aca="false">(1+K512)^(1/12)-1</f>
        <v>0.00511472853669592</v>
      </c>
    </row>
    <row r="513" customFormat="false" ht="15" hidden="false" customHeight="false" outlineLevel="0" collapsed="false">
      <c r="A513" s="4" t="n">
        <v>509</v>
      </c>
      <c r="B513" s="14" t="n">
        <f aca="false">A513/12</f>
        <v>42.4166666666667</v>
      </c>
      <c r="C513" s="15" t="n">
        <f aca="false">INT(A513/6)</f>
        <v>84</v>
      </c>
      <c r="D513" s="16" t="n">
        <f aca="false">IF(C513=0,(1+Dic2025!$G$6)^(-B513),EXP(LN(INDEX(Dic2025!$H$6:$H$205,C513))+(LN(INDEX(Dic2025!$H$6:$H$205,MIN(C513+1,200)))-LN(INDEX(Dic2025!$H$6:$H$205,C513)))*(A513-6*C513)/6))</f>
        <v>0.0744637251903408</v>
      </c>
      <c r="E513" s="12" t="n">
        <f aca="false">D513^(-1/B513)-1</f>
        <v>0.0631501935349872</v>
      </c>
      <c r="F513" s="12" t="n">
        <f aca="false">(1+E513)^(1/12)-1</f>
        <v>0.00511607443545437</v>
      </c>
      <c r="G513" s="16" t="n">
        <f aca="false">IF(C513=0,(1+Dic2025!$J$6)^(-B513),EXP(LN(INDEX(Dic2025!$K$6:$K$205,C513))+(LN(INDEX(Dic2025!$K$6:$K$205,MIN(C513+1,200)))-LN(INDEX(Dic2025!$K$6:$K$205,C513)))*(A513-6*C513)/6))</f>
        <v>0.0744637251903408</v>
      </c>
      <c r="H513" s="12" t="n">
        <f aca="false">G513^(-1/B513)-1</f>
        <v>0.0631501935349872</v>
      </c>
      <c r="I513" s="12" t="n">
        <f aca="false">(1+H513)^(1/12)-1</f>
        <v>0.00511607443545437</v>
      </c>
      <c r="J513" s="16" t="n">
        <f aca="false">IF(C513=0,(1+Dic2025!$M$6)^(-B513),EXP(LN(INDEX(Dic2025!$N$6:$N$205,C513))+(LN(INDEX(Dic2025!$N$6:$N$205,MIN(C513+1,200)))-LN(INDEX(Dic2025!$N$6:$N$205,C513)))*(A513-6*C513)/6))</f>
        <v>0.0744637251903408</v>
      </c>
      <c r="K513" s="12" t="n">
        <f aca="false">J513^(-1/B513)-1</f>
        <v>0.0631501935349872</v>
      </c>
      <c r="L513" s="12" t="n">
        <f aca="false">(1+K513)^(1/12)-1</f>
        <v>0.00511607443545437</v>
      </c>
    </row>
    <row r="514" customFormat="false" ht="15" hidden="false" customHeight="false" outlineLevel="0" collapsed="false">
      <c r="A514" s="4" t="n">
        <v>510</v>
      </c>
      <c r="B514" s="14" t="n">
        <f aca="false">A514/12</f>
        <v>42.5</v>
      </c>
      <c r="C514" s="15" t="n">
        <f aca="false">INT(A514/6)</f>
        <v>85</v>
      </c>
      <c r="D514" s="16" t="n">
        <f aca="false">IF(C514=0,(1+Dic2025!$G$6)^(-B514),EXP(LN(INDEX(Dic2025!$H$6:$H$205,C514))+(LN(INDEX(Dic2025!$H$6:$H$205,MIN(C514+1,200)))-LN(INDEX(Dic2025!$H$6:$H$205,C514)))*(A514-6*C514)/6))</f>
        <v>0.0740343243279708</v>
      </c>
      <c r="E514" s="12" t="n">
        <f aca="false">D514^(-1/B514)-1</f>
        <v>0.0631672099999998</v>
      </c>
      <c r="F514" s="12" t="n">
        <f aca="false">(1+E514)^(1/12)-1</f>
        <v>0.00511741505797003</v>
      </c>
      <c r="G514" s="16" t="n">
        <f aca="false">IF(C514=0,(1+Dic2025!$J$6)^(-B514),EXP(LN(INDEX(Dic2025!$K$6:$K$205,C514))+(LN(INDEX(Dic2025!$K$6:$K$205,MIN(C514+1,200)))-LN(INDEX(Dic2025!$K$6:$K$205,C514)))*(A514-6*C514)/6))</f>
        <v>0.0740343243279708</v>
      </c>
      <c r="H514" s="12" t="n">
        <f aca="false">G514^(-1/B514)-1</f>
        <v>0.0631672099999998</v>
      </c>
      <c r="I514" s="12" t="n">
        <f aca="false">(1+H514)^(1/12)-1</f>
        <v>0.00511741505797003</v>
      </c>
      <c r="J514" s="16" t="n">
        <f aca="false">IF(C514=0,(1+Dic2025!$M$6)^(-B514),EXP(LN(INDEX(Dic2025!$N$6:$N$205,C514))+(LN(INDEX(Dic2025!$N$6:$N$205,MIN(C514+1,200)))-LN(INDEX(Dic2025!$N$6:$N$205,C514)))*(A514-6*C514)/6))</f>
        <v>0.0740343243279708</v>
      </c>
      <c r="K514" s="12" t="n">
        <f aca="false">J514^(-1/B514)-1</f>
        <v>0.0631672099999998</v>
      </c>
      <c r="L514" s="12" t="n">
        <f aca="false">(1+K514)^(1/12)-1</f>
        <v>0.00511741505797003</v>
      </c>
    </row>
    <row r="515" customFormat="false" ht="15" hidden="false" customHeight="false" outlineLevel="0" collapsed="false">
      <c r="A515" s="4" t="n">
        <v>511</v>
      </c>
      <c r="B515" s="14" t="n">
        <f aca="false">A515/12</f>
        <v>42.5833333333333</v>
      </c>
      <c r="C515" s="15" t="n">
        <f aca="false">INT(A515/6)</f>
        <v>85</v>
      </c>
      <c r="D515" s="16" t="n">
        <f aca="false">IF(C515=0,(1+Dic2025!$G$6)^(-B515),EXP(LN(INDEX(Dic2025!$H$6:$H$205,C515))+(LN(INDEX(Dic2025!$H$6:$H$205,MIN(C515+1,200)))-LN(INDEX(Dic2025!$H$6:$H$205,C515)))*(A515-6*C515)/6))</f>
        <v>0.0736573888968991</v>
      </c>
      <c r="E515" s="12" t="n">
        <f aca="false">D515^(-1/B515)-1</f>
        <v>0.0631672099999998</v>
      </c>
      <c r="F515" s="12" t="n">
        <f aca="false">(1+E515)^(1/12)-1</f>
        <v>0.00511741505797003</v>
      </c>
      <c r="G515" s="16" t="n">
        <f aca="false">IF(C515=0,(1+Dic2025!$J$6)^(-B515),EXP(LN(INDEX(Dic2025!$K$6:$K$205,C515))+(LN(INDEX(Dic2025!$K$6:$K$205,MIN(C515+1,200)))-LN(INDEX(Dic2025!$K$6:$K$205,C515)))*(A515-6*C515)/6))</f>
        <v>0.0736573888968991</v>
      </c>
      <c r="H515" s="12" t="n">
        <f aca="false">G515^(-1/B515)-1</f>
        <v>0.0631672099999998</v>
      </c>
      <c r="I515" s="12" t="n">
        <f aca="false">(1+H515)^(1/12)-1</f>
        <v>0.00511741505797003</v>
      </c>
      <c r="J515" s="16" t="n">
        <f aca="false">IF(C515=0,(1+Dic2025!$M$6)^(-B515),EXP(LN(INDEX(Dic2025!$N$6:$N$205,C515))+(LN(INDEX(Dic2025!$N$6:$N$205,MIN(C515+1,200)))-LN(INDEX(Dic2025!$N$6:$N$205,C515)))*(A515-6*C515)/6))</f>
        <v>0.0736573888968991</v>
      </c>
      <c r="K515" s="12" t="n">
        <f aca="false">J515^(-1/B515)-1</f>
        <v>0.0631672099999998</v>
      </c>
      <c r="L515" s="12" t="n">
        <f aca="false">(1+K515)^(1/12)-1</f>
        <v>0.00511741505797003</v>
      </c>
    </row>
    <row r="516" customFormat="false" ht="15" hidden="false" customHeight="false" outlineLevel="0" collapsed="false">
      <c r="A516" s="4" t="n">
        <v>512</v>
      </c>
      <c r="B516" s="14" t="n">
        <f aca="false">A516/12</f>
        <v>42.6666666666667</v>
      </c>
      <c r="C516" s="15" t="n">
        <f aca="false">INT(A516/6)</f>
        <v>85</v>
      </c>
      <c r="D516" s="16" t="n">
        <f aca="false">IF(C516=0,(1+Dic2025!$G$6)^(-B516),EXP(LN(INDEX(Dic2025!$H$6:$H$205,C516))+(LN(INDEX(Dic2025!$H$6:$H$205,MIN(C516+1,200)))-LN(INDEX(Dic2025!$H$6:$H$205,C516)))*(A516-6*C516)/6))</f>
        <v>0.0732823725799745</v>
      </c>
      <c r="E516" s="12" t="n">
        <f aca="false">D516^(-1/B516)-1</f>
        <v>0.0631672099999998</v>
      </c>
      <c r="F516" s="12" t="n">
        <f aca="false">(1+E516)^(1/12)-1</f>
        <v>0.00511741505797003</v>
      </c>
      <c r="G516" s="16" t="n">
        <f aca="false">IF(C516=0,(1+Dic2025!$J$6)^(-B516),EXP(LN(INDEX(Dic2025!$K$6:$K$205,C516))+(LN(INDEX(Dic2025!$K$6:$K$205,MIN(C516+1,200)))-LN(INDEX(Dic2025!$K$6:$K$205,C516)))*(A516-6*C516)/6))</f>
        <v>0.0732823725799745</v>
      </c>
      <c r="H516" s="12" t="n">
        <f aca="false">G516^(-1/B516)-1</f>
        <v>0.0631672099999998</v>
      </c>
      <c r="I516" s="12" t="n">
        <f aca="false">(1+H516)^(1/12)-1</f>
        <v>0.00511741505797003</v>
      </c>
      <c r="J516" s="16" t="n">
        <f aca="false">IF(C516=0,(1+Dic2025!$M$6)^(-B516),EXP(LN(INDEX(Dic2025!$N$6:$N$205,C516))+(LN(INDEX(Dic2025!$N$6:$N$205,MIN(C516+1,200)))-LN(INDEX(Dic2025!$N$6:$N$205,C516)))*(A516-6*C516)/6))</f>
        <v>0.0732823725799745</v>
      </c>
      <c r="K516" s="12" t="n">
        <f aca="false">J516^(-1/B516)-1</f>
        <v>0.0631672099999998</v>
      </c>
      <c r="L516" s="12" t="n">
        <f aca="false">(1+K516)^(1/12)-1</f>
        <v>0.00511741505797003</v>
      </c>
    </row>
    <row r="517" customFormat="false" ht="15" hidden="false" customHeight="false" outlineLevel="0" collapsed="false">
      <c r="A517" s="4" t="n">
        <v>513</v>
      </c>
      <c r="B517" s="14" t="n">
        <f aca="false">A517/12</f>
        <v>42.75</v>
      </c>
      <c r="C517" s="15" t="n">
        <f aca="false">INT(A517/6)</f>
        <v>85</v>
      </c>
      <c r="D517" s="16" t="n">
        <f aca="false">IF(C517=0,(1+Dic2025!$G$6)^(-B517),EXP(LN(INDEX(Dic2025!$H$6:$H$205,C517))+(LN(INDEX(Dic2025!$H$6:$H$205,MIN(C517+1,200)))-LN(INDEX(Dic2025!$H$6:$H$205,C517)))*(A517-6*C517)/6))</f>
        <v>0.0729092656062953</v>
      </c>
      <c r="E517" s="12" t="n">
        <f aca="false">D517^(-1/B517)-1</f>
        <v>0.0631672099999998</v>
      </c>
      <c r="F517" s="12" t="n">
        <f aca="false">(1+E517)^(1/12)-1</f>
        <v>0.00511741505797003</v>
      </c>
      <c r="G517" s="16" t="n">
        <f aca="false">IF(C517=0,(1+Dic2025!$J$6)^(-B517),EXP(LN(INDEX(Dic2025!$K$6:$K$205,C517))+(LN(INDEX(Dic2025!$K$6:$K$205,MIN(C517+1,200)))-LN(INDEX(Dic2025!$K$6:$K$205,C517)))*(A517-6*C517)/6))</f>
        <v>0.0729092656062953</v>
      </c>
      <c r="H517" s="12" t="n">
        <f aca="false">G517^(-1/B517)-1</f>
        <v>0.0631672099999998</v>
      </c>
      <c r="I517" s="12" t="n">
        <f aca="false">(1+H517)^(1/12)-1</f>
        <v>0.00511741505797003</v>
      </c>
      <c r="J517" s="16" t="n">
        <f aca="false">IF(C517=0,(1+Dic2025!$M$6)^(-B517),EXP(LN(INDEX(Dic2025!$N$6:$N$205,C517))+(LN(INDEX(Dic2025!$N$6:$N$205,MIN(C517+1,200)))-LN(INDEX(Dic2025!$N$6:$N$205,C517)))*(A517-6*C517)/6))</f>
        <v>0.0729092656062953</v>
      </c>
      <c r="K517" s="12" t="n">
        <f aca="false">J517^(-1/B517)-1</f>
        <v>0.0631672099999998</v>
      </c>
      <c r="L517" s="12" t="n">
        <f aca="false">(1+K517)^(1/12)-1</f>
        <v>0.00511741505797003</v>
      </c>
    </row>
    <row r="518" customFormat="false" ht="15" hidden="false" customHeight="false" outlineLevel="0" collapsed="false">
      <c r="A518" s="4" t="n">
        <v>514</v>
      </c>
      <c r="B518" s="14" t="n">
        <f aca="false">A518/12</f>
        <v>42.8333333333333</v>
      </c>
      <c r="C518" s="15" t="n">
        <f aca="false">INT(A518/6)</f>
        <v>85</v>
      </c>
      <c r="D518" s="16" t="n">
        <f aca="false">IF(C518=0,(1+Dic2025!$G$6)^(-B518),EXP(LN(INDEX(Dic2025!$H$6:$H$205,C518))+(LN(INDEX(Dic2025!$H$6:$H$205,MIN(C518+1,200)))-LN(INDEX(Dic2025!$H$6:$H$205,C518)))*(A518-6*C518)/6))</f>
        <v>0.0725380582547068</v>
      </c>
      <c r="E518" s="12" t="n">
        <f aca="false">D518^(-1/B518)-1</f>
        <v>0.0631672099999998</v>
      </c>
      <c r="F518" s="12" t="n">
        <f aca="false">(1+E518)^(1/12)-1</f>
        <v>0.00511741505797003</v>
      </c>
      <c r="G518" s="16" t="n">
        <f aca="false">IF(C518=0,(1+Dic2025!$J$6)^(-B518),EXP(LN(INDEX(Dic2025!$K$6:$K$205,C518))+(LN(INDEX(Dic2025!$K$6:$K$205,MIN(C518+1,200)))-LN(INDEX(Dic2025!$K$6:$K$205,C518)))*(A518-6*C518)/6))</f>
        <v>0.0725380582547068</v>
      </c>
      <c r="H518" s="12" t="n">
        <f aca="false">G518^(-1/B518)-1</f>
        <v>0.0631672099999998</v>
      </c>
      <c r="I518" s="12" t="n">
        <f aca="false">(1+H518)^(1/12)-1</f>
        <v>0.00511741505797003</v>
      </c>
      <c r="J518" s="16" t="n">
        <f aca="false">IF(C518=0,(1+Dic2025!$M$6)^(-B518),EXP(LN(INDEX(Dic2025!$N$6:$N$205,C518))+(LN(INDEX(Dic2025!$N$6:$N$205,MIN(C518+1,200)))-LN(INDEX(Dic2025!$N$6:$N$205,C518)))*(A518-6*C518)/6))</f>
        <v>0.0725380582547068</v>
      </c>
      <c r="K518" s="12" t="n">
        <f aca="false">J518^(-1/B518)-1</f>
        <v>0.0631672099999998</v>
      </c>
      <c r="L518" s="12" t="n">
        <f aca="false">(1+K518)^(1/12)-1</f>
        <v>0.00511741505797003</v>
      </c>
    </row>
    <row r="519" customFormat="false" ht="15" hidden="false" customHeight="false" outlineLevel="0" collapsed="false">
      <c r="A519" s="4" t="n">
        <v>515</v>
      </c>
      <c r="B519" s="14" t="n">
        <f aca="false">A519/12</f>
        <v>42.9166666666667</v>
      </c>
      <c r="C519" s="15" t="n">
        <f aca="false">INT(A519/6)</f>
        <v>85</v>
      </c>
      <c r="D519" s="16" t="n">
        <f aca="false">IF(C519=0,(1+Dic2025!$G$6)^(-B519),EXP(LN(INDEX(Dic2025!$H$6:$H$205,C519))+(LN(INDEX(Dic2025!$H$6:$H$205,MIN(C519+1,200)))-LN(INDEX(Dic2025!$H$6:$H$205,C519)))*(A519-6*C519)/6))</f>
        <v>0.0721687408535481</v>
      </c>
      <c r="E519" s="12" t="n">
        <f aca="false">D519^(-1/B519)-1</f>
        <v>0.0631672099999998</v>
      </c>
      <c r="F519" s="12" t="n">
        <f aca="false">(1+E519)^(1/12)-1</f>
        <v>0.00511741505797003</v>
      </c>
      <c r="G519" s="16" t="n">
        <f aca="false">IF(C519=0,(1+Dic2025!$J$6)^(-B519),EXP(LN(INDEX(Dic2025!$K$6:$K$205,C519))+(LN(INDEX(Dic2025!$K$6:$K$205,MIN(C519+1,200)))-LN(INDEX(Dic2025!$K$6:$K$205,C519)))*(A519-6*C519)/6))</f>
        <v>0.0721687408535481</v>
      </c>
      <c r="H519" s="12" t="n">
        <f aca="false">G519^(-1/B519)-1</f>
        <v>0.0631672099999998</v>
      </c>
      <c r="I519" s="12" t="n">
        <f aca="false">(1+H519)^(1/12)-1</f>
        <v>0.00511741505797003</v>
      </c>
      <c r="J519" s="16" t="n">
        <f aca="false">IF(C519=0,(1+Dic2025!$M$6)^(-B519),EXP(LN(INDEX(Dic2025!$N$6:$N$205,C519))+(LN(INDEX(Dic2025!$N$6:$N$205,MIN(C519+1,200)))-LN(INDEX(Dic2025!$N$6:$N$205,C519)))*(A519-6*C519)/6))</f>
        <v>0.0721687408535481</v>
      </c>
      <c r="K519" s="12" t="n">
        <f aca="false">J519^(-1/B519)-1</f>
        <v>0.0631672099999998</v>
      </c>
      <c r="L519" s="12" t="n">
        <f aca="false">(1+K519)^(1/12)-1</f>
        <v>0.00511741505797003</v>
      </c>
    </row>
    <row r="520" customFormat="false" ht="15" hidden="false" customHeight="false" outlineLevel="0" collapsed="false">
      <c r="A520" s="4" t="n">
        <v>516</v>
      </c>
      <c r="B520" s="14" t="n">
        <f aca="false">A520/12</f>
        <v>43</v>
      </c>
      <c r="C520" s="15" t="n">
        <f aca="false">INT(A520/6)</f>
        <v>86</v>
      </c>
      <c r="D520" s="16" t="n">
        <f aca="false">IF(C520=0,(1+Dic2025!$G$6)^(-B520),EXP(LN(INDEX(Dic2025!$H$6:$H$205,C520))+(LN(INDEX(Dic2025!$H$6:$H$205,MIN(C520+1,200)))-LN(INDEX(Dic2025!$H$6:$H$205,C520)))*(A520-6*C520)/6))</f>
        <v>0.0718013037804004</v>
      </c>
      <c r="E520" s="12" t="n">
        <f aca="false">D520^(-1/B520)-1</f>
        <v>0.0631672099999998</v>
      </c>
      <c r="F520" s="12" t="n">
        <f aca="false">(1+E520)^(1/12)-1</f>
        <v>0.00511741505797003</v>
      </c>
      <c r="G520" s="16" t="n">
        <f aca="false">IF(C520=0,(1+Dic2025!$J$6)^(-B520),EXP(LN(INDEX(Dic2025!$K$6:$K$205,C520))+(LN(INDEX(Dic2025!$K$6:$K$205,MIN(C520+1,200)))-LN(INDEX(Dic2025!$K$6:$K$205,C520)))*(A520-6*C520)/6))</f>
        <v>0.0718013037804004</v>
      </c>
      <c r="H520" s="12" t="n">
        <f aca="false">G520^(-1/B520)-1</f>
        <v>0.0631672099999998</v>
      </c>
      <c r="I520" s="12" t="n">
        <f aca="false">(1+H520)^(1/12)-1</f>
        <v>0.00511741505797003</v>
      </c>
      <c r="J520" s="16" t="n">
        <f aca="false">IF(C520=0,(1+Dic2025!$M$6)^(-B520),EXP(LN(INDEX(Dic2025!$N$6:$N$205,C520))+(LN(INDEX(Dic2025!$N$6:$N$205,MIN(C520+1,200)))-LN(INDEX(Dic2025!$N$6:$N$205,C520)))*(A520-6*C520)/6))</f>
        <v>0.0718013037804004</v>
      </c>
      <c r="K520" s="12" t="n">
        <f aca="false">J520^(-1/B520)-1</f>
        <v>0.0631672099999998</v>
      </c>
      <c r="L520" s="12" t="n">
        <f aca="false">(1+K520)^(1/12)-1</f>
        <v>0.00511741505797003</v>
      </c>
    </row>
    <row r="521" customFormat="false" ht="15" hidden="false" customHeight="false" outlineLevel="0" collapsed="false">
      <c r="A521" s="4" t="n">
        <v>517</v>
      </c>
      <c r="B521" s="14" t="n">
        <f aca="false">A521/12</f>
        <v>43.0833333333333</v>
      </c>
      <c r="C521" s="15" t="n">
        <f aca="false">INT(A521/6)</f>
        <v>86</v>
      </c>
      <c r="D521" s="16" t="n">
        <f aca="false">IF(C521=0,(1+Dic2025!$G$6)^(-B521),EXP(LN(INDEX(Dic2025!$H$6:$H$205,C521))+(LN(INDEX(Dic2025!$H$6:$H$205,MIN(C521+1,200)))-LN(INDEX(Dic2025!$H$6:$H$205,C521)))*(A521-6*C521)/6))</f>
        <v>0.0713855275392367</v>
      </c>
      <c r="E521" s="12" t="n">
        <f aca="false">D521^(-1/B521)-1</f>
        <v>0.0631845609201256</v>
      </c>
      <c r="F521" s="12" t="n">
        <f aca="false">(1+E521)^(1/12)-1</f>
        <v>0.00511878200989258</v>
      </c>
      <c r="G521" s="16" t="n">
        <f aca="false">IF(C521=0,(1+Dic2025!$J$6)^(-B521),EXP(LN(INDEX(Dic2025!$K$6:$K$205,C521))+(LN(INDEX(Dic2025!$K$6:$K$205,MIN(C521+1,200)))-LN(INDEX(Dic2025!$K$6:$K$205,C521)))*(A521-6*C521)/6))</f>
        <v>0.0713855275392367</v>
      </c>
      <c r="H521" s="12" t="n">
        <f aca="false">G521^(-1/B521)-1</f>
        <v>0.0631845609201256</v>
      </c>
      <c r="I521" s="12" t="n">
        <f aca="false">(1+H521)^(1/12)-1</f>
        <v>0.00511878200989258</v>
      </c>
      <c r="J521" s="16" t="n">
        <f aca="false">IF(C521=0,(1+Dic2025!$M$6)^(-B521),EXP(LN(INDEX(Dic2025!$N$6:$N$205,C521))+(LN(INDEX(Dic2025!$N$6:$N$205,MIN(C521+1,200)))-LN(INDEX(Dic2025!$N$6:$N$205,C521)))*(A521-6*C521)/6))</f>
        <v>0.0713855275392367</v>
      </c>
      <c r="K521" s="12" t="n">
        <f aca="false">J521^(-1/B521)-1</f>
        <v>0.0631845609201256</v>
      </c>
      <c r="L521" s="12" t="n">
        <f aca="false">(1+K521)^(1/12)-1</f>
        <v>0.00511878200989258</v>
      </c>
    </row>
    <row r="522" customFormat="false" ht="15" hidden="false" customHeight="false" outlineLevel="0" collapsed="false">
      <c r="A522" s="4" t="n">
        <v>518</v>
      </c>
      <c r="B522" s="14" t="n">
        <f aca="false">A522/12</f>
        <v>43.1666666666667</v>
      </c>
      <c r="C522" s="15" t="n">
        <f aca="false">INT(A522/6)</f>
        <v>86</v>
      </c>
      <c r="D522" s="16" t="n">
        <f aca="false">IF(C522=0,(1+Dic2025!$G$6)^(-B522),EXP(LN(INDEX(Dic2025!$H$6:$H$205,C522))+(LN(INDEX(Dic2025!$H$6:$H$205,MIN(C522+1,200)))-LN(INDEX(Dic2025!$H$6:$H$205,C522)))*(A522-6*C522)/6))</f>
        <v>0.0709721589128879</v>
      </c>
      <c r="E522" s="12" t="n">
        <f aca="false">D522^(-1/B522)-1</f>
        <v>0.0632018451298115</v>
      </c>
      <c r="F522" s="12" t="n">
        <f aca="false">(1+E522)^(1/12)-1</f>
        <v>0.00512014368585656</v>
      </c>
      <c r="G522" s="16" t="n">
        <f aca="false">IF(C522=0,(1+Dic2025!$J$6)^(-B522),EXP(LN(INDEX(Dic2025!$K$6:$K$205,C522))+(LN(INDEX(Dic2025!$K$6:$K$205,MIN(C522+1,200)))-LN(INDEX(Dic2025!$K$6:$K$205,C522)))*(A522-6*C522)/6))</f>
        <v>0.0709721589128879</v>
      </c>
      <c r="H522" s="12" t="n">
        <f aca="false">G522^(-1/B522)-1</f>
        <v>0.0632018451298115</v>
      </c>
      <c r="I522" s="12" t="n">
        <f aca="false">(1+H522)^(1/12)-1</f>
        <v>0.00512014368585656</v>
      </c>
      <c r="J522" s="16" t="n">
        <f aca="false">IF(C522=0,(1+Dic2025!$M$6)^(-B522),EXP(LN(INDEX(Dic2025!$N$6:$N$205,C522))+(LN(INDEX(Dic2025!$N$6:$N$205,MIN(C522+1,200)))-LN(INDEX(Dic2025!$N$6:$N$205,C522)))*(A522-6*C522)/6))</f>
        <v>0.0709721589128879</v>
      </c>
      <c r="K522" s="12" t="n">
        <f aca="false">J522^(-1/B522)-1</f>
        <v>0.0632018451298115</v>
      </c>
      <c r="L522" s="12" t="n">
        <f aca="false">(1+K522)^(1/12)-1</f>
        <v>0.00512014368585656</v>
      </c>
    </row>
    <row r="523" customFormat="false" ht="15" hidden="false" customHeight="false" outlineLevel="0" collapsed="false">
      <c r="A523" s="4" t="n">
        <v>519</v>
      </c>
      <c r="B523" s="14" t="n">
        <f aca="false">A523/12</f>
        <v>43.25</v>
      </c>
      <c r="C523" s="15" t="n">
        <f aca="false">INT(A523/6)</f>
        <v>86</v>
      </c>
      <c r="D523" s="16" t="n">
        <f aca="false">IF(C523=0,(1+Dic2025!$G$6)^(-B523),EXP(LN(INDEX(Dic2025!$H$6:$H$205,C523))+(LN(INDEX(Dic2025!$H$6:$H$205,MIN(C523+1,200)))-LN(INDEX(Dic2025!$H$6:$H$205,C523)))*(A523-6*C523)/6))</f>
        <v>0.0705611839596987</v>
      </c>
      <c r="E523" s="12" t="n">
        <f aca="false">D523^(-1/B523)-1</f>
        <v>0.0632190630130474</v>
      </c>
      <c r="F523" s="12" t="n">
        <f aca="false">(1+E523)^(1/12)-1</f>
        <v>0.00512150011634827</v>
      </c>
      <c r="G523" s="16" t="n">
        <f aca="false">IF(C523=0,(1+Dic2025!$J$6)^(-B523),EXP(LN(INDEX(Dic2025!$K$6:$K$205,C523))+(LN(INDEX(Dic2025!$K$6:$K$205,MIN(C523+1,200)))-LN(INDEX(Dic2025!$K$6:$K$205,C523)))*(A523-6*C523)/6))</f>
        <v>0.0705611839596987</v>
      </c>
      <c r="H523" s="12" t="n">
        <f aca="false">G523^(-1/B523)-1</f>
        <v>0.0632190630130474</v>
      </c>
      <c r="I523" s="12" t="n">
        <f aca="false">(1+H523)^(1/12)-1</f>
        <v>0.00512150011634827</v>
      </c>
      <c r="J523" s="16" t="n">
        <f aca="false">IF(C523=0,(1+Dic2025!$M$6)^(-B523),EXP(LN(INDEX(Dic2025!$N$6:$N$205,C523))+(LN(INDEX(Dic2025!$N$6:$N$205,MIN(C523+1,200)))-LN(INDEX(Dic2025!$N$6:$N$205,C523)))*(A523-6*C523)/6))</f>
        <v>0.0705611839596987</v>
      </c>
      <c r="K523" s="12" t="n">
        <f aca="false">J523^(-1/B523)-1</f>
        <v>0.0632190630130474</v>
      </c>
      <c r="L523" s="12" t="n">
        <f aca="false">(1+K523)^(1/12)-1</f>
        <v>0.00512150011634827</v>
      </c>
    </row>
    <row r="524" customFormat="false" ht="15" hidden="false" customHeight="false" outlineLevel="0" collapsed="false">
      <c r="A524" s="4" t="n">
        <v>520</v>
      </c>
      <c r="B524" s="14" t="n">
        <f aca="false">A524/12</f>
        <v>43.3333333333333</v>
      </c>
      <c r="C524" s="15" t="n">
        <f aca="false">INT(A524/6)</f>
        <v>86</v>
      </c>
      <c r="D524" s="16" t="n">
        <f aca="false">IF(C524=0,(1+Dic2025!$G$6)^(-B524),EXP(LN(INDEX(Dic2025!$H$6:$H$205,C524))+(LN(INDEX(Dic2025!$H$6:$H$205,MIN(C524+1,200)))-LN(INDEX(Dic2025!$H$6:$H$205,C524)))*(A524-6*C524)/6))</f>
        <v>0.0701525888187449</v>
      </c>
      <c r="E524" s="12" t="n">
        <f aca="false">D524^(-1/B524)-1</f>
        <v>0.0632362149508814</v>
      </c>
      <c r="F524" s="12" t="n">
        <f aca="false">(1+E524)^(1/12)-1</f>
        <v>0.00512285133161972</v>
      </c>
      <c r="G524" s="16" t="n">
        <f aca="false">IF(C524=0,(1+Dic2025!$J$6)^(-B524),EXP(LN(INDEX(Dic2025!$K$6:$K$205,C524))+(LN(INDEX(Dic2025!$K$6:$K$205,MIN(C524+1,200)))-LN(INDEX(Dic2025!$K$6:$K$205,C524)))*(A524-6*C524)/6))</f>
        <v>0.0701525888187449</v>
      </c>
      <c r="H524" s="12" t="n">
        <f aca="false">G524^(-1/B524)-1</f>
        <v>0.0632362149508814</v>
      </c>
      <c r="I524" s="12" t="n">
        <f aca="false">(1+H524)^(1/12)-1</f>
        <v>0.00512285133161972</v>
      </c>
      <c r="J524" s="16" t="n">
        <f aca="false">IF(C524=0,(1+Dic2025!$M$6)^(-B524),EXP(LN(INDEX(Dic2025!$N$6:$N$205,C524))+(LN(INDEX(Dic2025!$N$6:$N$205,MIN(C524+1,200)))-LN(INDEX(Dic2025!$N$6:$N$205,C524)))*(A524-6*C524)/6))</f>
        <v>0.0701525888187449</v>
      </c>
      <c r="K524" s="12" t="n">
        <f aca="false">J524^(-1/B524)-1</f>
        <v>0.0632362149508814</v>
      </c>
      <c r="L524" s="12" t="n">
        <f aca="false">(1+K524)^(1/12)-1</f>
        <v>0.00512285133161972</v>
      </c>
    </row>
    <row r="525" customFormat="false" ht="15" hidden="false" customHeight="false" outlineLevel="0" collapsed="false">
      <c r="A525" s="4" t="n">
        <v>521</v>
      </c>
      <c r="B525" s="14" t="n">
        <f aca="false">A525/12</f>
        <v>43.4166666666667</v>
      </c>
      <c r="C525" s="15" t="n">
        <f aca="false">INT(A525/6)</f>
        <v>86</v>
      </c>
      <c r="D525" s="16" t="n">
        <f aca="false">IF(C525=0,(1+Dic2025!$G$6)^(-B525),EXP(LN(INDEX(Dic2025!$H$6:$H$205,C525))+(LN(INDEX(Dic2025!$H$6:$H$205,MIN(C525+1,200)))-LN(INDEX(Dic2025!$H$6:$H$205,C525)))*(A525-6*C525)/6))</f>
        <v>0.0697463597093659</v>
      </c>
      <c r="E525" s="12" t="n">
        <f aca="false">D525^(-1/B525)-1</f>
        <v>0.0632533013214491</v>
      </c>
      <c r="F525" s="12" t="n">
        <f aca="false">(1+E525)^(1/12)-1</f>
        <v>0.00512419736169045</v>
      </c>
      <c r="G525" s="16" t="n">
        <f aca="false">IF(C525=0,(1+Dic2025!$J$6)^(-B525),EXP(LN(INDEX(Dic2025!$K$6:$K$205,C525))+(LN(INDEX(Dic2025!$K$6:$K$205,MIN(C525+1,200)))-LN(INDEX(Dic2025!$K$6:$K$205,C525)))*(A525-6*C525)/6))</f>
        <v>0.0697463597093659</v>
      </c>
      <c r="H525" s="12" t="n">
        <f aca="false">G525^(-1/B525)-1</f>
        <v>0.0632533013214491</v>
      </c>
      <c r="I525" s="12" t="n">
        <f aca="false">(1+H525)^(1/12)-1</f>
        <v>0.00512419736169045</v>
      </c>
      <c r="J525" s="16" t="n">
        <f aca="false">IF(C525=0,(1+Dic2025!$M$6)^(-B525),EXP(LN(INDEX(Dic2025!$N$6:$N$205,C525))+(LN(INDEX(Dic2025!$N$6:$N$205,MIN(C525+1,200)))-LN(INDEX(Dic2025!$N$6:$N$205,C525)))*(A525-6*C525)/6))</f>
        <v>0.0697463597093659</v>
      </c>
      <c r="K525" s="12" t="n">
        <f aca="false">J525^(-1/B525)-1</f>
        <v>0.0632533013214491</v>
      </c>
      <c r="L525" s="12" t="n">
        <f aca="false">(1+K525)^(1/12)-1</f>
        <v>0.00512419736169045</v>
      </c>
    </row>
    <row r="526" customFormat="false" ht="15" hidden="false" customHeight="false" outlineLevel="0" collapsed="false">
      <c r="A526" s="4" t="n">
        <v>522</v>
      </c>
      <c r="B526" s="14" t="n">
        <f aca="false">A526/12</f>
        <v>43.5</v>
      </c>
      <c r="C526" s="15" t="n">
        <f aca="false">INT(A526/6)</f>
        <v>87</v>
      </c>
      <c r="D526" s="16" t="n">
        <f aca="false">IF(C526=0,(1+Dic2025!$G$6)^(-B526),EXP(LN(INDEX(Dic2025!$H$6:$H$205,C526))+(LN(INDEX(Dic2025!$H$6:$H$205,MIN(C526+1,200)))-LN(INDEX(Dic2025!$H$6:$H$205,C526)))*(A526-6*C526)/6))</f>
        <v>0.0693424829307004</v>
      </c>
      <c r="E526" s="12" t="n">
        <f aca="false">D526^(-1/B526)-1</f>
        <v>0.0632703225</v>
      </c>
      <c r="F526" s="12" t="n">
        <f aca="false">(1+E526)^(1/12)-1</f>
        <v>0.00512553823634998</v>
      </c>
      <c r="G526" s="16" t="n">
        <f aca="false">IF(C526=0,(1+Dic2025!$J$6)^(-B526),EXP(LN(INDEX(Dic2025!$K$6:$K$205,C526))+(LN(INDEX(Dic2025!$K$6:$K$205,MIN(C526+1,200)))-LN(INDEX(Dic2025!$K$6:$K$205,C526)))*(A526-6*C526)/6))</f>
        <v>0.0693424829307004</v>
      </c>
      <c r="H526" s="12" t="n">
        <f aca="false">G526^(-1/B526)-1</f>
        <v>0.0632703225</v>
      </c>
      <c r="I526" s="12" t="n">
        <f aca="false">(1+H526)^(1/12)-1</f>
        <v>0.00512553823634998</v>
      </c>
      <c r="J526" s="16" t="n">
        <f aca="false">IF(C526=0,(1+Dic2025!$M$6)^(-B526),EXP(LN(INDEX(Dic2025!$N$6:$N$205,C526))+(LN(INDEX(Dic2025!$N$6:$N$205,MIN(C526+1,200)))-LN(INDEX(Dic2025!$N$6:$N$205,C526)))*(A526-6*C526)/6))</f>
        <v>0.0693424829307004</v>
      </c>
      <c r="K526" s="12" t="n">
        <f aca="false">J526^(-1/B526)-1</f>
        <v>0.0632703225</v>
      </c>
      <c r="L526" s="12" t="n">
        <f aca="false">(1+K526)^(1/12)-1</f>
        <v>0.00512553823634998</v>
      </c>
    </row>
    <row r="527" customFormat="false" ht="15" hidden="false" customHeight="false" outlineLevel="0" collapsed="false">
      <c r="A527" s="4" t="n">
        <v>523</v>
      </c>
      <c r="B527" s="14" t="n">
        <f aca="false">A527/12</f>
        <v>43.5833333333333</v>
      </c>
      <c r="C527" s="15" t="n">
        <f aca="false">INT(A527/6)</f>
        <v>87</v>
      </c>
      <c r="D527" s="16" t="n">
        <f aca="false">IF(C527=0,(1+Dic2025!$G$6)^(-B527),EXP(LN(INDEX(Dic2025!$H$6:$H$205,C527))+(LN(INDEX(Dic2025!$H$6:$H$205,MIN(C527+1,200)))-LN(INDEX(Dic2025!$H$6:$H$205,C527)))*(A527-6*C527)/6))</f>
        <v>0.0689888777996554</v>
      </c>
      <c r="E527" s="12" t="n">
        <f aca="false">D527^(-1/B527)-1</f>
        <v>0.0632703225</v>
      </c>
      <c r="F527" s="12" t="n">
        <f aca="false">(1+E527)^(1/12)-1</f>
        <v>0.00512553823634998</v>
      </c>
      <c r="G527" s="16" t="n">
        <f aca="false">IF(C527=0,(1+Dic2025!$J$6)^(-B527),EXP(LN(INDEX(Dic2025!$K$6:$K$205,C527))+(LN(INDEX(Dic2025!$K$6:$K$205,MIN(C527+1,200)))-LN(INDEX(Dic2025!$K$6:$K$205,C527)))*(A527-6*C527)/6))</f>
        <v>0.0689888777996554</v>
      </c>
      <c r="H527" s="12" t="n">
        <f aca="false">G527^(-1/B527)-1</f>
        <v>0.0632703225</v>
      </c>
      <c r="I527" s="12" t="n">
        <f aca="false">(1+H527)^(1/12)-1</f>
        <v>0.00512553823634998</v>
      </c>
      <c r="J527" s="16" t="n">
        <f aca="false">IF(C527=0,(1+Dic2025!$M$6)^(-B527),EXP(LN(INDEX(Dic2025!$N$6:$N$205,C527))+(LN(INDEX(Dic2025!$N$6:$N$205,MIN(C527+1,200)))-LN(INDEX(Dic2025!$N$6:$N$205,C527)))*(A527-6*C527)/6))</f>
        <v>0.0689888777996554</v>
      </c>
      <c r="K527" s="12" t="n">
        <f aca="false">J527^(-1/B527)-1</f>
        <v>0.0632703225</v>
      </c>
      <c r="L527" s="12" t="n">
        <f aca="false">(1+K527)^(1/12)-1</f>
        <v>0.00512553823634998</v>
      </c>
    </row>
    <row r="528" customFormat="false" ht="15" hidden="false" customHeight="false" outlineLevel="0" collapsed="false">
      <c r="A528" s="4" t="n">
        <v>524</v>
      </c>
      <c r="B528" s="14" t="n">
        <f aca="false">A528/12</f>
        <v>43.6666666666667</v>
      </c>
      <c r="C528" s="15" t="n">
        <f aca="false">INT(A528/6)</f>
        <v>87</v>
      </c>
      <c r="D528" s="16" t="n">
        <f aca="false">IF(C528=0,(1+Dic2025!$G$6)^(-B528),EXP(LN(INDEX(Dic2025!$H$6:$H$205,C528))+(LN(INDEX(Dic2025!$H$6:$H$205,MIN(C528+1,200)))-LN(INDEX(Dic2025!$H$6:$H$205,C528)))*(A528-6*C528)/6))</f>
        <v>0.0686370758429909</v>
      </c>
      <c r="E528" s="12" t="n">
        <f aca="false">D528^(-1/B528)-1</f>
        <v>0.0632703225</v>
      </c>
      <c r="F528" s="12" t="n">
        <f aca="false">(1+E528)^(1/12)-1</f>
        <v>0.00512553823634998</v>
      </c>
      <c r="G528" s="16" t="n">
        <f aca="false">IF(C528=0,(1+Dic2025!$J$6)^(-B528),EXP(LN(INDEX(Dic2025!$K$6:$K$205,C528))+(LN(INDEX(Dic2025!$K$6:$K$205,MIN(C528+1,200)))-LN(INDEX(Dic2025!$K$6:$K$205,C528)))*(A528-6*C528)/6))</f>
        <v>0.0686370758429909</v>
      </c>
      <c r="H528" s="12" t="n">
        <f aca="false">G528^(-1/B528)-1</f>
        <v>0.0632703225</v>
      </c>
      <c r="I528" s="12" t="n">
        <f aca="false">(1+H528)^(1/12)-1</f>
        <v>0.00512553823634998</v>
      </c>
      <c r="J528" s="16" t="n">
        <f aca="false">IF(C528=0,(1+Dic2025!$M$6)^(-B528),EXP(LN(INDEX(Dic2025!$N$6:$N$205,C528))+(LN(INDEX(Dic2025!$N$6:$N$205,MIN(C528+1,200)))-LN(INDEX(Dic2025!$N$6:$N$205,C528)))*(A528-6*C528)/6))</f>
        <v>0.0686370758429909</v>
      </c>
      <c r="K528" s="12" t="n">
        <f aca="false">J528^(-1/B528)-1</f>
        <v>0.0632703225</v>
      </c>
      <c r="L528" s="12" t="n">
        <f aca="false">(1+K528)^(1/12)-1</f>
        <v>0.00512553823634998</v>
      </c>
    </row>
    <row r="529" customFormat="false" ht="15" hidden="false" customHeight="false" outlineLevel="0" collapsed="false">
      <c r="A529" s="4" t="n">
        <v>525</v>
      </c>
      <c r="B529" s="14" t="n">
        <f aca="false">A529/12</f>
        <v>43.75</v>
      </c>
      <c r="C529" s="15" t="n">
        <f aca="false">INT(A529/6)</f>
        <v>87</v>
      </c>
      <c r="D529" s="16" t="n">
        <f aca="false">IF(C529=0,(1+Dic2025!$G$6)^(-B529),EXP(LN(INDEX(Dic2025!$H$6:$H$205,C529))+(LN(INDEX(Dic2025!$H$6:$H$205,MIN(C529+1,200)))-LN(INDEX(Dic2025!$H$6:$H$205,C529)))*(A529-6*C529)/6))</f>
        <v>0.0682870678655975</v>
      </c>
      <c r="E529" s="12" t="n">
        <f aca="false">D529^(-1/B529)-1</f>
        <v>0.0632703225</v>
      </c>
      <c r="F529" s="12" t="n">
        <f aca="false">(1+E529)^(1/12)-1</f>
        <v>0.00512553823634998</v>
      </c>
      <c r="G529" s="16" t="n">
        <f aca="false">IF(C529=0,(1+Dic2025!$J$6)^(-B529),EXP(LN(INDEX(Dic2025!$K$6:$K$205,C529))+(LN(INDEX(Dic2025!$K$6:$K$205,MIN(C529+1,200)))-LN(INDEX(Dic2025!$K$6:$K$205,C529)))*(A529-6*C529)/6))</f>
        <v>0.0682870678655975</v>
      </c>
      <c r="H529" s="12" t="n">
        <f aca="false">G529^(-1/B529)-1</f>
        <v>0.0632703225</v>
      </c>
      <c r="I529" s="12" t="n">
        <f aca="false">(1+H529)^(1/12)-1</f>
        <v>0.00512553823634998</v>
      </c>
      <c r="J529" s="16" t="n">
        <f aca="false">IF(C529=0,(1+Dic2025!$M$6)^(-B529),EXP(LN(INDEX(Dic2025!$N$6:$N$205,C529))+(LN(INDEX(Dic2025!$N$6:$N$205,MIN(C529+1,200)))-LN(INDEX(Dic2025!$N$6:$N$205,C529)))*(A529-6*C529)/6))</f>
        <v>0.0682870678655975</v>
      </c>
      <c r="K529" s="12" t="n">
        <f aca="false">J529^(-1/B529)-1</f>
        <v>0.0632703225</v>
      </c>
      <c r="L529" s="12" t="n">
        <f aca="false">(1+K529)^(1/12)-1</f>
        <v>0.00512553823634998</v>
      </c>
    </row>
    <row r="530" customFormat="false" ht="15" hidden="false" customHeight="false" outlineLevel="0" collapsed="false">
      <c r="A530" s="4" t="n">
        <v>526</v>
      </c>
      <c r="B530" s="14" t="n">
        <f aca="false">A530/12</f>
        <v>43.8333333333333</v>
      </c>
      <c r="C530" s="15" t="n">
        <f aca="false">INT(A530/6)</f>
        <v>87</v>
      </c>
      <c r="D530" s="16" t="n">
        <f aca="false">IF(C530=0,(1+Dic2025!$G$6)^(-B530),EXP(LN(INDEX(Dic2025!$H$6:$H$205,C530))+(LN(INDEX(Dic2025!$H$6:$H$205,MIN(C530+1,200)))-LN(INDEX(Dic2025!$H$6:$H$205,C530)))*(A530-6*C530)/6))</f>
        <v>0.0679388447192555</v>
      </c>
      <c r="E530" s="12" t="n">
        <f aca="false">D530^(-1/B530)-1</f>
        <v>0.0632703225</v>
      </c>
      <c r="F530" s="12" t="n">
        <f aca="false">(1+E530)^(1/12)-1</f>
        <v>0.00512553823634998</v>
      </c>
      <c r="G530" s="16" t="n">
        <f aca="false">IF(C530=0,(1+Dic2025!$J$6)^(-B530),EXP(LN(INDEX(Dic2025!$K$6:$K$205,C530))+(LN(INDEX(Dic2025!$K$6:$K$205,MIN(C530+1,200)))-LN(INDEX(Dic2025!$K$6:$K$205,C530)))*(A530-6*C530)/6))</f>
        <v>0.0679388447192555</v>
      </c>
      <c r="H530" s="12" t="n">
        <f aca="false">G530^(-1/B530)-1</f>
        <v>0.0632703225</v>
      </c>
      <c r="I530" s="12" t="n">
        <f aca="false">(1+H530)^(1/12)-1</f>
        <v>0.00512553823634998</v>
      </c>
      <c r="J530" s="16" t="n">
        <f aca="false">IF(C530=0,(1+Dic2025!$M$6)^(-B530),EXP(LN(INDEX(Dic2025!$N$6:$N$205,C530))+(LN(INDEX(Dic2025!$N$6:$N$205,MIN(C530+1,200)))-LN(INDEX(Dic2025!$N$6:$N$205,C530)))*(A530-6*C530)/6))</f>
        <v>0.0679388447192555</v>
      </c>
      <c r="K530" s="12" t="n">
        <f aca="false">J530^(-1/B530)-1</f>
        <v>0.0632703225</v>
      </c>
      <c r="L530" s="12" t="n">
        <f aca="false">(1+K530)^(1/12)-1</f>
        <v>0.00512553823634998</v>
      </c>
    </row>
    <row r="531" customFormat="false" ht="15" hidden="false" customHeight="false" outlineLevel="0" collapsed="false">
      <c r="A531" s="4" t="n">
        <v>527</v>
      </c>
      <c r="B531" s="14" t="n">
        <f aca="false">A531/12</f>
        <v>43.9166666666667</v>
      </c>
      <c r="C531" s="15" t="n">
        <f aca="false">INT(A531/6)</f>
        <v>87</v>
      </c>
      <c r="D531" s="16" t="n">
        <f aca="false">IF(C531=0,(1+Dic2025!$G$6)^(-B531),EXP(LN(INDEX(Dic2025!$H$6:$H$205,C531))+(LN(INDEX(Dic2025!$H$6:$H$205,MIN(C531+1,200)))-LN(INDEX(Dic2025!$H$6:$H$205,C531)))*(A531-6*C531)/6))</f>
        <v>0.0675923973023955</v>
      </c>
      <c r="E531" s="12" t="n">
        <f aca="false">D531^(-1/B531)-1</f>
        <v>0.0632703225</v>
      </c>
      <c r="F531" s="12" t="n">
        <f aca="false">(1+E531)^(1/12)-1</f>
        <v>0.00512553823634998</v>
      </c>
      <c r="G531" s="16" t="n">
        <f aca="false">IF(C531=0,(1+Dic2025!$J$6)^(-B531),EXP(LN(INDEX(Dic2025!$K$6:$K$205,C531))+(LN(INDEX(Dic2025!$K$6:$K$205,MIN(C531+1,200)))-LN(INDEX(Dic2025!$K$6:$K$205,C531)))*(A531-6*C531)/6))</f>
        <v>0.0675923973023955</v>
      </c>
      <c r="H531" s="12" t="n">
        <f aca="false">G531^(-1/B531)-1</f>
        <v>0.0632703225</v>
      </c>
      <c r="I531" s="12" t="n">
        <f aca="false">(1+H531)^(1/12)-1</f>
        <v>0.00512553823634998</v>
      </c>
      <c r="J531" s="16" t="n">
        <f aca="false">IF(C531=0,(1+Dic2025!$M$6)^(-B531),EXP(LN(INDEX(Dic2025!$N$6:$N$205,C531))+(LN(INDEX(Dic2025!$N$6:$N$205,MIN(C531+1,200)))-LN(INDEX(Dic2025!$N$6:$N$205,C531)))*(A531-6*C531)/6))</f>
        <v>0.0675923973023955</v>
      </c>
      <c r="K531" s="12" t="n">
        <f aca="false">J531^(-1/B531)-1</f>
        <v>0.0632703225</v>
      </c>
      <c r="L531" s="12" t="n">
        <f aca="false">(1+K531)^(1/12)-1</f>
        <v>0.00512553823634998</v>
      </c>
    </row>
    <row r="532" customFormat="false" ht="15" hidden="false" customHeight="false" outlineLevel="0" collapsed="false">
      <c r="A532" s="4" t="n">
        <v>528</v>
      </c>
      <c r="B532" s="14" t="n">
        <f aca="false">A532/12</f>
        <v>44</v>
      </c>
      <c r="C532" s="15" t="n">
        <f aca="false">INT(A532/6)</f>
        <v>88</v>
      </c>
      <c r="D532" s="16" t="n">
        <f aca="false">IF(C532=0,(1+Dic2025!$G$6)^(-B532),EXP(LN(INDEX(Dic2025!$H$6:$H$205,C532))+(LN(INDEX(Dic2025!$H$6:$H$205,MIN(C532+1,200)))-LN(INDEX(Dic2025!$H$6:$H$205,C532)))*(A532-6*C532)/6))</f>
        <v>0.0672477165598607</v>
      </c>
      <c r="E532" s="12" t="n">
        <f aca="false">D532^(-1/B532)-1</f>
        <v>0.0632703225</v>
      </c>
      <c r="F532" s="12" t="n">
        <f aca="false">(1+E532)^(1/12)-1</f>
        <v>0.00512553823634998</v>
      </c>
      <c r="G532" s="16" t="n">
        <f aca="false">IF(C532=0,(1+Dic2025!$J$6)^(-B532),EXP(LN(INDEX(Dic2025!$K$6:$K$205,C532))+(LN(INDEX(Dic2025!$K$6:$K$205,MIN(C532+1,200)))-LN(INDEX(Dic2025!$K$6:$K$205,C532)))*(A532-6*C532)/6))</f>
        <v>0.0672477165598607</v>
      </c>
      <c r="H532" s="12" t="n">
        <f aca="false">G532^(-1/B532)-1</f>
        <v>0.0632703225</v>
      </c>
      <c r="I532" s="12" t="n">
        <f aca="false">(1+H532)^(1/12)-1</f>
        <v>0.00512553823634998</v>
      </c>
      <c r="J532" s="16" t="n">
        <f aca="false">IF(C532=0,(1+Dic2025!$M$6)^(-B532),EXP(LN(INDEX(Dic2025!$N$6:$N$205,C532))+(LN(INDEX(Dic2025!$N$6:$N$205,MIN(C532+1,200)))-LN(INDEX(Dic2025!$N$6:$N$205,C532)))*(A532-6*C532)/6))</f>
        <v>0.0672477165598607</v>
      </c>
      <c r="K532" s="12" t="n">
        <f aca="false">J532^(-1/B532)-1</f>
        <v>0.0632703225</v>
      </c>
      <c r="L532" s="12" t="n">
        <f aca="false">(1+K532)^(1/12)-1</f>
        <v>0.00512553823634998</v>
      </c>
    </row>
    <row r="533" customFormat="false" ht="15" hidden="false" customHeight="false" outlineLevel="0" collapsed="false">
      <c r="A533" s="4" t="n">
        <v>529</v>
      </c>
      <c r="B533" s="14" t="n">
        <f aca="false">A533/12</f>
        <v>44.0833333333333</v>
      </c>
      <c r="C533" s="15" t="n">
        <f aca="false">INT(A533/6)</f>
        <v>88</v>
      </c>
      <c r="D533" s="16" t="n">
        <f aca="false">IF(C533=0,(1+Dic2025!$G$6)^(-B533),EXP(LN(INDEX(Dic2025!$H$6:$H$205,C533))+(LN(INDEX(Dic2025!$H$6:$H$205,MIN(C533+1,200)))-LN(INDEX(Dic2025!$H$6:$H$205,C533)))*(A533-6*C533)/6))</f>
        <v>0.0668566898973188</v>
      </c>
      <c r="E533" s="12" t="n">
        <f aca="false">D533^(-1/B533)-1</f>
        <v>0.0632876704912506</v>
      </c>
      <c r="F533" s="12" t="n">
        <f aca="false">(1+E533)^(1/12)-1</f>
        <v>0.00512690483603495</v>
      </c>
      <c r="G533" s="16" t="n">
        <f aca="false">IF(C533=0,(1+Dic2025!$J$6)^(-B533),EXP(LN(INDEX(Dic2025!$K$6:$K$205,C533))+(LN(INDEX(Dic2025!$K$6:$K$205,MIN(C533+1,200)))-LN(INDEX(Dic2025!$K$6:$K$205,C533)))*(A533-6*C533)/6))</f>
        <v>0.0668566898973188</v>
      </c>
      <c r="H533" s="12" t="n">
        <f aca="false">G533^(-1/B533)-1</f>
        <v>0.0632876704912506</v>
      </c>
      <c r="I533" s="12" t="n">
        <f aca="false">(1+H533)^(1/12)-1</f>
        <v>0.00512690483603495</v>
      </c>
      <c r="J533" s="16" t="n">
        <f aca="false">IF(C533=0,(1+Dic2025!$M$6)^(-B533),EXP(LN(INDEX(Dic2025!$N$6:$N$205,C533))+(LN(INDEX(Dic2025!$N$6:$N$205,MIN(C533+1,200)))-LN(INDEX(Dic2025!$N$6:$N$205,C533)))*(A533-6*C533)/6))</f>
        <v>0.0668566898973188</v>
      </c>
      <c r="K533" s="12" t="n">
        <f aca="false">J533^(-1/B533)-1</f>
        <v>0.0632876704912506</v>
      </c>
      <c r="L533" s="12" t="n">
        <f aca="false">(1+K533)^(1/12)-1</f>
        <v>0.00512690483603495</v>
      </c>
    </row>
    <row r="534" customFormat="false" ht="15" hidden="false" customHeight="false" outlineLevel="0" collapsed="false">
      <c r="A534" s="4" t="n">
        <v>530</v>
      </c>
      <c r="B534" s="14" t="n">
        <f aca="false">A534/12</f>
        <v>44.1666666666667</v>
      </c>
      <c r="C534" s="15" t="n">
        <f aca="false">INT(A534/6)</f>
        <v>88</v>
      </c>
      <c r="D534" s="16" t="n">
        <f aca="false">IF(C534=0,(1+Dic2025!$G$6)^(-B534),EXP(LN(INDEX(Dic2025!$H$6:$H$205,C534))+(LN(INDEX(Dic2025!$H$6:$H$205,MIN(C534+1,200)))-LN(INDEX(Dic2025!$H$6:$H$205,C534)))*(A534-6*C534)/6))</f>
        <v>0.066467936945449</v>
      </c>
      <c r="E534" s="12" t="n">
        <f aca="false">D534^(-1/B534)-1</f>
        <v>0.0633049532998278</v>
      </c>
      <c r="F534" s="12" t="n">
        <f aca="false">(1+E534)^(1/12)-1</f>
        <v>0.00512826628058716</v>
      </c>
      <c r="G534" s="16" t="n">
        <f aca="false">IF(C534=0,(1+Dic2025!$J$6)^(-B534),EXP(LN(INDEX(Dic2025!$K$6:$K$205,C534))+(LN(INDEX(Dic2025!$K$6:$K$205,MIN(C534+1,200)))-LN(INDEX(Dic2025!$K$6:$K$205,C534)))*(A534-6*C534)/6))</f>
        <v>0.066467936945449</v>
      </c>
      <c r="H534" s="12" t="n">
        <f aca="false">G534^(-1/B534)-1</f>
        <v>0.0633049532998278</v>
      </c>
      <c r="I534" s="12" t="n">
        <f aca="false">(1+H534)^(1/12)-1</f>
        <v>0.00512826628058716</v>
      </c>
      <c r="J534" s="16" t="n">
        <f aca="false">IF(C534=0,(1+Dic2025!$M$6)^(-B534),EXP(LN(INDEX(Dic2025!$N$6:$N$205,C534))+(LN(INDEX(Dic2025!$N$6:$N$205,MIN(C534+1,200)))-LN(INDEX(Dic2025!$N$6:$N$205,C534)))*(A534-6*C534)/6))</f>
        <v>0.066467936945449</v>
      </c>
      <c r="K534" s="12" t="n">
        <f aca="false">J534^(-1/B534)-1</f>
        <v>0.0633049532998278</v>
      </c>
      <c r="L534" s="12" t="n">
        <f aca="false">(1+K534)^(1/12)-1</f>
        <v>0.00512826628058716</v>
      </c>
    </row>
    <row r="535" customFormat="false" ht="15" hidden="false" customHeight="false" outlineLevel="0" collapsed="false">
      <c r="A535" s="4" t="n">
        <v>531</v>
      </c>
      <c r="B535" s="14" t="n">
        <f aca="false">A535/12</f>
        <v>44.25</v>
      </c>
      <c r="C535" s="15" t="n">
        <f aca="false">INT(A535/6)</f>
        <v>88</v>
      </c>
      <c r="D535" s="16" t="n">
        <f aca="false">IF(C535=0,(1+Dic2025!$G$6)^(-B535),EXP(LN(INDEX(Dic2025!$H$6:$H$205,C535))+(LN(INDEX(Dic2025!$H$6:$H$205,MIN(C535+1,200)))-LN(INDEX(Dic2025!$H$6:$H$205,C535)))*(A535-6*C535)/6))</f>
        <v>0.0660814444832597</v>
      </c>
      <c r="E535" s="12" t="n">
        <f aca="false">D535^(-1/B535)-1</f>
        <v>0.0633221712924126</v>
      </c>
      <c r="F535" s="12" t="n">
        <f aca="false">(1+E535)^(1/12)-1</f>
        <v>0.00512962259912198</v>
      </c>
      <c r="G535" s="16" t="n">
        <f aca="false">IF(C535=0,(1+Dic2025!$J$6)^(-B535),EXP(LN(INDEX(Dic2025!$K$6:$K$205,C535))+(LN(INDEX(Dic2025!$K$6:$K$205,MIN(C535+1,200)))-LN(INDEX(Dic2025!$K$6:$K$205,C535)))*(A535-6*C535)/6))</f>
        <v>0.0660814444832597</v>
      </c>
      <c r="H535" s="12" t="n">
        <f aca="false">G535^(-1/B535)-1</f>
        <v>0.0633221712924126</v>
      </c>
      <c r="I535" s="12" t="n">
        <f aca="false">(1+H535)^(1/12)-1</f>
        <v>0.00512962259912198</v>
      </c>
      <c r="J535" s="16" t="n">
        <f aca="false">IF(C535=0,(1+Dic2025!$M$6)^(-B535),EXP(LN(INDEX(Dic2025!$N$6:$N$205,C535))+(LN(INDEX(Dic2025!$N$6:$N$205,MIN(C535+1,200)))-LN(INDEX(Dic2025!$N$6:$N$205,C535)))*(A535-6*C535)/6))</f>
        <v>0.0660814444832597</v>
      </c>
      <c r="K535" s="12" t="n">
        <f aca="false">J535^(-1/B535)-1</f>
        <v>0.0633221712924126</v>
      </c>
      <c r="L535" s="12" t="n">
        <f aca="false">(1+K535)^(1/12)-1</f>
        <v>0.00512962259912198</v>
      </c>
    </row>
    <row r="536" customFormat="false" ht="15" hidden="false" customHeight="false" outlineLevel="0" collapsed="false">
      <c r="A536" s="4" t="n">
        <v>532</v>
      </c>
      <c r="B536" s="14" t="n">
        <f aca="false">A536/12</f>
        <v>44.3333333333333</v>
      </c>
      <c r="C536" s="15" t="n">
        <f aca="false">INT(A536/6)</f>
        <v>88</v>
      </c>
      <c r="D536" s="16" t="n">
        <f aca="false">IF(C536=0,(1+Dic2025!$G$6)^(-B536),EXP(LN(INDEX(Dic2025!$H$6:$H$205,C536))+(LN(INDEX(Dic2025!$H$6:$H$205,MIN(C536+1,200)))-LN(INDEX(Dic2025!$H$6:$H$205,C536)))*(A536-6*C536)/6))</f>
        <v>0.0656971993666358</v>
      </c>
      <c r="E536" s="12" t="n">
        <f aca="false">D536^(-1/B536)-1</f>
        <v>0.0633393248329408</v>
      </c>
      <c r="F536" s="12" t="n">
        <f aca="false">(1+E536)^(1/12)-1</f>
        <v>0.00513097382053473</v>
      </c>
      <c r="G536" s="16" t="n">
        <f aca="false">IF(C536=0,(1+Dic2025!$J$6)^(-B536),EXP(LN(INDEX(Dic2025!$K$6:$K$205,C536))+(LN(INDEX(Dic2025!$K$6:$K$205,MIN(C536+1,200)))-LN(INDEX(Dic2025!$K$6:$K$205,C536)))*(A536-6*C536)/6))</f>
        <v>0.0656971993666358</v>
      </c>
      <c r="H536" s="12" t="n">
        <f aca="false">G536^(-1/B536)-1</f>
        <v>0.0633393248329408</v>
      </c>
      <c r="I536" s="12" t="n">
        <f aca="false">(1+H536)^(1/12)-1</f>
        <v>0.00513097382053473</v>
      </c>
      <c r="J536" s="16" t="n">
        <f aca="false">IF(C536=0,(1+Dic2025!$M$6)^(-B536),EXP(LN(INDEX(Dic2025!$N$6:$N$205,C536))+(LN(INDEX(Dic2025!$N$6:$N$205,MIN(C536+1,200)))-LN(INDEX(Dic2025!$N$6:$N$205,C536)))*(A536-6*C536)/6))</f>
        <v>0.0656971993666358</v>
      </c>
      <c r="K536" s="12" t="n">
        <f aca="false">J536^(-1/B536)-1</f>
        <v>0.0633393248329408</v>
      </c>
      <c r="L536" s="12" t="n">
        <f aca="false">(1+K536)^(1/12)-1</f>
        <v>0.00513097382053473</v>
      </c>
    </row>
    <row r="537" customFormat="false" ht="15" hidden="false" customHeight="false" outlineLevel="0" collapsed="false">
      <c r="A537" s="4" t="n">
        <v>533</v>
      </c>
      <c r="B537" s="14" t="n">
        <f aca="false">A537/12</f>
        <v>44.4166666666667</v>
      </c>
      <c r="C537" s="15" t="n">
        <f aca="false">INT(A537/6)</f>
        <v>88</v>
      </c>
      <c r="D537" s="16" t="n">
        <f aca="false">IF(C537=0,(1+Dic2025!$G$6)^(-B537),EXP(LN(INDEX(Dic2025!$H$6:$H$205,C537))+(LN(INDEX(Dic2025!$H$6:$H$205,MIN(C537+1,200)))-LN(INDEX(Dic2025!$H$6:$H$205,C537)))*(A537-6*C537)/6))</f>
        <v>0.0653151885278912</v>
      </c>
      <c r="E537" s="12" t="n">
        <f aca="false">D537^(-1/B537)-1</f>
        <v>0.0633564142826293</v>
      </c>
      <c r="F537" s="12" t="n">
        <f aca="false">(1+E537)^(1/12)-1</f>
        <v>0.0051323199735045</v>
      </c>
      <c r="G537" s="16" t="n">
        <f aca="false">IF(C537=0,(1+Dic2025!$J$6)^(-B537),EXP(LN(INDEX(Dic2025!$K$6:$K$205,C537))+(LN(INDEX(Dic2025!$K$6:$K$205,MIN(C537+1,200)))-LN(INDEX(Dic2025!$K$6:$K$205,C537)))*(A537-6*C537)/6))</f>
        <v>0.0653151885278912</v>
      </c>
      <c r="H537" s="12" t="n">
        <f aca="false">G537^(-1/B537)-1</f>
        <v>0.0633564142826293</v>
      </c>
      <c r="I537" s="12" t="n">
        <f aca="false">(1+H537)^(1/12)-1</f>
        <v>0.0051323199735045</v>
      </c>
      <c r="J537" s="16" t="n">
        <f aca="false">IF(C537=0,(1+Dic2025!$M$6)^(-B537),EXP(LN(INDEX(Dic2025!$N$6:$N$205,C537))+(LN(INDEX(Dic2025!$N$6:$N$205,MIN(C537+1,200)))-LN(INDEX(Dic2025!$N$6:$N$205,C537)))*(A537-6*C537)/6))</f>
        <v>0.0653151885278912</v>
      </c>
      <c r="K537" s="12" t="n">
        <f aca="false">J537^(-1/B537)-1</f>
        <v>0.0633564142826293</v>
      </c>
      <c r="L537" s="12" t="n">
        <f aca="false">(1+K537)^(1/12)-1</f>
        <v>0.0051323199735045</v>
      </c>
    </row>
    <row r="538" customFormat="false" ht="15" hidden="false" customHeight="false" outlineLevel="0" collapsed="false">
      <c r="A538" s="4" t="n">
        <v>534</v>
      </c>
      <c r="B538" s="14" t="n">
        <f aca="false">A538/12</f>
        <v>44.5</v>
      </c>
      <c r="C538" s="15" t="n">
        <f aca="false">INT(A538/6)</f>
        <v>89</v>
      </c>
      <c r="D538" s="16" t="n">
        <f aca="false">IF(C538=0,(1+Dic2025!$G$6)^(-B538),EXP(LN(INDEX(Dic2025!$H$6:$H$205,C538))+(LN(INDEX(Dic2025!$H$6:$H$205,MIN(C538+1,200)))-LN(INDEX(Dic2025!$H$6:$H$205,C538)))*(A538-6*C538)/6))</f>
        <v>0.0649353989753252</v>
      </c>
      <c r="E538" s="12" t="n">
        <f aca="false">D538^(-1/B538)-1</f>
        <v>0.0633734399999999</v>
      </c>
      <c r="F538" s="12" t="n">
        <f aca="false">(1+E538)^(1/12)-1</f>
        <v>0.0051336610864956</v>
      </c>
      <c r="G538" s="16" t="n">
        <f aca="false">IF(C538=0,(1+Dic2025!$J$6)^(-B538),EXP(LN(INDEX(Dic2025!$K$6:$K$205,C538))+(LN(INDEX(Dic2025!$K$6:$K$205,MIN(C538+1,200)))-LN(INDEX(Dic2025!$K$6:$K$205,C538)))*(A538-6*C538)/6))</f>
        <v>0.0649353989753252</v>
      </c>
      <c r="H538" s="12" t="n">
        <f aca="false">G538^(-1/B538)-1</f>
        <v>0.0633734399999999</v>
      </c>
      <c r="I538" s="12" t="n">
        <f aca="false">(1+H538)^(1/12)-1</f>
        <v>0.0051336610864956</v>
      </c>
      <c r="J538" s="16" t="n">
        <f aca="false">IF(C538=0,(1+Dic2025!$M$6)^(-B538),EXP(LN(INDEX(Dic2025!$N$6:$N$205,C538))+(LN(INDEX(Dic2025!$N$6:$N$205,MIN(C538+1,200)))-LN(INDEX(Dic2025!$N$6:$N$205,C538)))*(A538-6*C538)/6))</f>
        <v>0.0649353989753252</v>
      </c>
      <c r="K538" s="12" t="n">
        <f aca="false">J538^(-1/B538)-1</f>
        <v>0.0633734399999999</v>
      </c>
      <c r="L538" s="12" t="n">
        <f aca="false">(1+K538)^(1/12)-1</f>
        <v>0.0051336610864956</v>
      </c>
    </row>
    <row r="539" customFormat="false" ht="15" hidden="false" customHeight="false" outlineLevel="0" collapsed="false">
      <c r="A539" s="4" t="n">
        <v>535</v>
      </c>
      <c r="B539" s="14" t="n">
        <f aca="false">A539/12</f>
        <v>44.5833333333333</v>
      </c>
      <c r="C539" s="15" t="n">
        <f aca="false">INT(A539/6)</f>
        <v>89</v>
      </c>
      <c r="D539" s="16" t="n">
        <f aca="false">IF(C539=0,(1+Dic2025!$G$6)^(-B539),EXP(LN(INDEX(Dic2025!$H$6:$H$205,C539))+(LN(INDEX(Dic2025!$H$6:$H$205,MIN(C539+1,200)))-LN(INDEX(Dic2025!$H$6:$H$205,C539)))*(A539-6*C539)/6))</f>
        <v>0.0646037452423328</v>
      </c>
      <c r="E539" s="12" t="n">
        <f aca="false">D539^(-1/B539)-1</f>
        <v>0.0633734399999999</v>
      </c>
      <c r="F539" s="12" t="n">
        <f aca="false">(1+E539)^(1/12)-1</f>
        <v>0.0051336610864956</v>
      </c>
      <c r="G539" s="16" t="n">
        <f aca="false">IF(C539=0,(1+Dic2025!$J$6)^(-B539),EXP(LN(INDEX(Dic2025!$K$6:$K$205,C539))+(LN(INDEX(Dic2025!$K$6:$K$205,MIN(C539+1,200)))-LN(INDEX(Dic2025!$K$6:$K$205,C539)))*(A539-6*C539)/6))</f>
        <v>0.0646037452423328</v>
      </c>
      <c r="H539" s="12" t="n">
        <f aca="false">G539^(-1/B539)-1</f>
        <v>0.0633734399999999</v>
      </c>
      <c r="I539" s="12" t="n">
        <f aca="false">(1+H539)^(1/12)-1</f>
        <v>0.0051336610864956</v>
      </c>
      <c r="J539" s="16" t="n">
        <f aca="false">IF(C539=0,(1+Dic2025!$M$6)^(-B539),EXP(LN(INDEX(Dic2025!$N$6:$N$205,C539))+(LN(INDEX(Dic2025!$N$6:$N$205,MIN(C539+1,200)))-LN(INDEX(Dic2025!$N$6:$N$205,C539)))*(A539-6*C539)/6))</f>
        <v>0.0646037452423328</v>
      </c>
      <c r="K539" s="12" t="n">
        <f aca="false">J539^(-1/B539)-1</f>
        <v>0.0633734399999999</v>
      </c>
      <c r="L539" s="12" t="n">
        <f aca="false">(1+K539)^(1/12)-1</f>
        <v>0.0051336610864956</v>
      </c>
    </row>
    <row r="540" customFormat="false" ht="15" hidden="false" customHeight="false" outlineLevel="0" collapsed="false">
      <c r="A540" s="4" t="n">
        <v>536</v>
      </c>
      <c r="B540" s="14" t="n">
        <f aca="false">A540/12</f>
        <v>44.6666666666667</v>
      </c>
      <c r="C540" s="15" t="n">
        <f aca="false">INT(A540/6)</f>
        <v>89</v>
      </c>
      <c r="D540" s="16" t="n">
        <f aca="false">IF(C540=0,(1+Dic2025!$G$6)^(-B540),EXP(LN(INDEX(Dic2025!$H$6:$H$205,C540))+(LN(INDEX(Dic2025!$H$6:$H$205,MIN(C540+1,200)))-LN(INDEX(Dic2025!$H$6:$H$205,C540)))*(A540-6*C540)/6))</f>
        <v>0.0642737854112851</v>
      </c>
      <c r="E540" s="12" t="n">
        <f aca="false">D540^(-1/B540)-1</f>
        <v>0.0633734399999999</v>
      </c>
      <c r="F540" s="12" t="n">
        <f aca="false">(1+E540)^(1/12)-1</f>
        <v>0.0051336610864956</v>
      </c>
      <c r="G540" s="16" t="n">
        <f aca="false">IF(C540=0,(1+Dic2025!$J$6)^(-B540),EXP(LN(INDEX(Dic2025!$K$6:$K$205,C540))+(LN(INDEX(Dic2025!$K$6:$K$205,MIN(C540+1,200)))-LN(INDEX(Dic2025!$K$6:$K$205,C540)))*(A540-6*C540)/6))</f>
        <v>0.0642737854112851</v>
      </c>
      <c r="H540" s="12" t="n">
        <f aca="false">G540^(-1/B540)-1</f>
        <v>0.0633734399999999</v>
      </c>
      <c r="I540" s="12" t="n">
        <f aca="false">(1+H540)^(1/12)-1</f>
        <v>0.0051336610864956</v>
      </c>
      <c r="J540" s="16" t="n">
        <f aca="false">IF(C540=0,(1+Dic2025!$M$6)^(-B540),EXP(LN(INDEX(Dic2025!$N$6:$N$205,C540))+(LN(INDEX(Dic2025!$N$6:$N$205,MIN(C540+1,200)))-LN(INDEX(Dic2025!$N$6:$N$205,C540)))*(A540-6*C540)/6))</f>
        <v>0.0642737854112851</v>
      </c>
      <c r="K540" s="12" t="n">
        <f aca="false">J540^(-1/B540)-1</f>
        <v>0.0633734399999999</v>
      </c>
      <c r="L540" s="12" t="n">
        <f aca="false">(1+K540)^(1/12)-1</f>
        <v>0.0051336610864956</v>
      </c>
    </row>
    <row r="541" customFormat="false" ht="15" hidden="false" customHeight="false" outlineLevel="0" collapsed="false">
      <c r="A541" s="4" t="n">
        <v>537</v>
      </c>
      <c r="B541" s="14" t="n">
        <f aca="false">A541/12</f>
        <v>44.75</v>
      </c>
      <c r="C541" s="15" t="n">
        <f aca="false">INT(A541/6)</f>
        <v>89</v>
      </c>
      <c r="D541" s="16" t="n">
        <f aca="false">IF(C541=0,(1+Dic2025!$G$6)^(-B541),EXP(LN(INDEX(Dic2025!$H$6:$H$205,C541))+(LN(INDEX(Dic2025!$H$6:$H$205,MIN(C541+1,200)))-LN(INDEX(Dic2025!$H$6:$H$205,C541)))*(A541-6*C541)/6))</f>
        <v>0.0639455108306775</v>
      </c>
      <c r="E541" s="12" t="n">
        <f aca="false">D541^(-1/B541)-1</f>
        <v>0.0633734399999999</v>
      </c>
      <c r="F541" s="12" t="n">
        <f aca="false">(1+E541)^(1/12)-1</f>
        <v>0.0051336610864956</v>
      </c>
      <c r="G541" s="16" t="n">
        <f aca="false">IF(C541=0,(1+Dic2025!$J$6)^(-B541),EXP(LN(INDEX(Dic2025!$K$6:$K$205,C541))+(LN(INDEX(Dic2025!$K$6:$K$205,MIN(C541+1,200)))-LN(INDEX(Dic2025!$K$6:$K$205,C541)))*(A541-6*C541)/6))</f>
        <v>0.0639455108306775</v>
      </c>
      <c r="H541" s="12" t="n">
        <f aca="false">G541^(-1/B541)-1</f>
        <v>0.0633734399999999</v>
      </c>
      <c r="I541" s="12" t="n">
        <f aca="false">(1+H541)^(1/12)-1</f>
        <v>0.0051336610864956</v>
      </c>
      <c r="J541" s="16" t="n">
        <f aca="false">IF(C541=0,(1+Dic2025!$M$6)^(-B541),EXP(LN(INDEX(Dic2025!$N$6:$N$205,C541))+(LN(INDEX(Dic2025!$N$6:$N$205,MIN(C541+1,200)))-LN(INDEX(Dic2025!$N$6:$N$205,C541)))*(A541-6*C541)/6))</f>
        <v>0.0639455108306775</v>
      </c>
      <c r="K541" s="12" t="n">
        <f aca="false">J541^(-1/B541)-1</f>
        <v>0.0633734399999999</v>
      </c>
      <c r="L541" s="12" t="n">
        <f aca="false">(1+K541)^(1/12)-1</f>
        <v>0.0051336610864956</v>
      </c>
    </row>
    <row r="542" customFormat="false" ht="15" hidden="false" customHeight="false" outlineLevel="0" collapsed="false">
      <c r="A542" s="4" t="n">
        <v>538</v>
      </c>
      <c r="B542" s="14" t="n">
        <f aca="false">A542/12</f>
        <v>44.8333333333333</v>
      </c>
      <c r="C542" s="15" t="n">
        <f aca="false">INT(A542/6)</f>
        <v>89</v>
      </c>
      <c r="D542" s="16" t="n">
        <f aca="false">IF(C542=0,(1+Dic2025!$G$6)^(-B542),EXP(LN(INDEX(Dic2025!$H$6:$H$205,C542))+(LN(INDEX(Dic2025!$H$6:$H$205,MIN(C542+1,200)))-LN(INDEX(Dic2025!$H$6:$H$205,C542)))*(A542-6*C542)/6))</f>
        <v>0.0636189128931926</v>
      </c>
      <c r="E542" s="12" t="n">
        <f aca="false">D542^(-1/B542)-1</f>
        <v>0.0633734399999999</v>
      </c>
      <c r="F542" s="12" t="n">
        <f aca="false">(1+E542)^(1/12)-1</f>
        <v>0.0051336610864956</v>
      </c>
      <c r="G542" s="16" t="n">
        <f aca="false">IF(C542=0,(1+Dic2025!$J$6)^(-B542),EXP(LN(INDEX(Dic2025!$K$6:$K$205,C542))+(LN(INDEX(Dic2025!$K$6:$K$205,MIN(C542+1,200)))-LN(INDEX(Dic2025!$K$6:$K$205,C542)))*(A542-6*C542)/6))</f>
        <v>0.0636189128931926</v>
      </c>
      <c r="H542" s="12" t="n">
        <f aca="false">G542^(-1/B542)-1</f>
        <v>0.0633734399999999</v>
      </c>
      <c r="I542" s="12" t="n">
        <f aca="false">(1+H542)^(1/12)-1</f>
        <v>0.0051336610864956</v>
      </c>
      <c r="J542" s="16" t="n">
        <f aca="false">IF(C542=0,(1+Dic2025!$M$6)^(-B542),EXP(LN(INDEX(Dic2025!$N$6:$N$205,C542))+(LN(INDEX(Dic2025!$N$6:$N$205,MIN(C542+1,200)))-LN(INDEX(Dic2025!$N$6:$N$205,C542)))*(A542-6*C542)/6))</f>
        <v>0.0636189128931926</v>
      </c>
      <c r="K542" s="12" t="n">
        <f aca="false">J542^(-1/B542)-1</f>
        <v>0.0633734399999999</v>
      </c>
      <c r="L542" s="12" t="n">
        <f aca="false">(1+K542)^(1/12)-1</f>
        <v>0.0051336610864956</v>
      </c>
    </row>
    <row r="543" customFormat="false" ht="15" hidden="false" customHeight="false" outlineLevel="0" collapsed="false">
      <c r="A543" s="4" t="n">
        <v>539</v>
      </c>
      <c r="B543" s="14" t="n">
        <f aca="false">A543/12</f>
        <v>44.9166666666667</v>
      </c>
      <c r="C543" s="15" t="n">
        <f aca="false">INT(A543/6)</f>
        <v>89</v>
      </c>
      <c r="D543" s="16" t="n">
        <f aca="false">IF(C543=0,(1+Dic2025!$G$6)^(-B543),EXP(LN(INDEX(Dic2025!$H$6:$H$205,C543))+(LN(INDEX(Dic2025!$H$6:$H$205,MIN(C543+1,200)))-LN(INDEX(Dic2025!$H$6:$H$205,C543)))*(A543-6*C543)/6))</f>
        <v>0.0632939830354741</v>
      </c>
      <c r="E543" s="12" t="n">
        <f aca="false">D543^(-1/B543)-1</f>
        <v>0.0633734399999999</v>
      </c>
      <c r="F543" s="12" t="n">
        <f aca="false">(1+E543)^(1/12)-1</f>
        <v>0.0051336610864956</v>
      </c>
      <c r="G543" s="16" t="n">
        <f aca="false">IF(C543=0,(1+Dic2025!$J$6)^(-B543),EXP(LN(INDEX(Dic2025!$K$6:$K$205,C543))+(LN(INDEX(Dic2025!$K$6:$K$205,MIN(C543+1,200)))-LN(INDEX(Dic2025!$K$6:$K$205,C543)))*(A543-6*C543)/6))</f>
        <v>0.0632939830354741</v>
      </c>
      <c r="H543" s="12" t="n">
        <f aca="false">G543^(-1/B543)-1</f>
        <v>0.0633734399999999</v>
      </c>
      <c r="I543" s="12" t="n">
        <f aca="false">(1+H543)^(1/12)-1</f>
        <v>0.0051336610864956</v>
      </c>
      <c r="J543" s="16" t="n">
        <f aca="false">IF(C543=0,(1+Dic2025!$M$6)^(-B543),EXP(LN(INDEX(Dic2025!$N$6:$N$205,C543))+(LN(INDEX(Dic2025!$N$6:$N$205,MIN(C543+1,200)))-LN(INDEX(Dic2025!$N$6:$N$205,C543)))*(A543-6*C543)/6))</f>
        <v>0.0632939830354741</v>
      </c>
      <c r="K543" s="12" t="n">
        <f aca="false">J543^(-1/B543)-1</f>
        <v>0.0633734399999999</v>
      </c>
      <c r="L543" s="12" t="n">
        <f aca="false">(1+K543)^(1/12)-1</f>
        <v>0.0051336610864956</v>
      </c>
    </row>
    <row r="544" customFormat="false" ht="15" hidden="false" customHeight="false" outlineLevel="0" collapsed="false">
      <c r="A544" s="4" t="n">
        <v>540</v>
      </c>
      <c r="B544" s="14" t="n">
        <f aca="false">A544/12</f>
        <v>45</v>
      </c>
      <c r="C544" s="15" t="n">
        <f aca="false">INT(A544/6)</f>
        <v>90</v>
      </c>
      <c r="D544" s="16" t="n">
        <f aca="false">IF(C544=0,(1+Dic2025!$G$6)^(-B544),EXP(LN(INDEX(Dic2025!$H$6:$H$205,C544))+(LN(INDEX(Dic2025!$H$6:$H$205,MIN(C544+1,200)))-LN(INDEX(Dic2025!$H$6:$H$205,C544)))*(A544-6*C544)/6))</f>
        <v>0.0629707127379026</v>
      </c>
      <c r="E544" s="12" t="n">
        <f aca="false">D544^(-1/B544)-1</f>
        <v>0.0633734399999999</v>
      </c>
      <c r="F544" s="12" t="n">
        <f aca="false">(1+E544)^(1/12)-1</f>
        <v>0.0051336610864956</v>
      </c>
      <c r="G544" s="16" t="n">
        <f aca="false">IF(C544=0,(1+Dic2025!$J$6)^(-B544),EXP(LN(INDEX(Dic2025!$K$6:$K$205,C544))+(LN(INDEX(Dic2025!$K$6:$K$205,MIN(C544+1,200)))-LN(INDEX(Dic2025!$K$6:$K$205,C544)))*(A544-6*C544)/6))</f>
        <v>0.0629707127379026</v>
      </c>
      <c r="H544" s="12" t="n">
        <f aca="false">G544^(-1/B544)-1</f>
        <v>0.0633734399999999</v>
      </c>
      <c r="I544" s="12" t="n">
        <f aca="false">(1+H544)^(1/12)-1</f>
        <v>0.0051336610864956</v>
      </c>
      <c r="J544" s="16" t="n">
        <f aca="false">IF(C544=0,(1+Dic2025!$M$6)^(-B544),EXP(LN(INDEX(Dic2025!$N$6:$N$205,C544))+(LN(INDEX(Dic2025!$N$6:$N$205,MIN(C544+1,200)))-LN(INDEX(Dic2025!$N$6:$N$205,C544)))*(A544-6*C544)/6))</f>
        <v>0.0629707127379026</v>
      </c>
      <c r="K544" s="12" t="n">
        <f aca="false">J544^(-1/B544)-1</f>
        <v>0.0633734399999999</v>
      </c>
      <c r="L544" s="12" t="n">
        <f aca="false">(1+K544)^(1/12)-1</f>
        <v>0.0051336610864956</v>
      </c>
    </row>
    <row r="545" customFormat="false" ht="15" hidden="false" customHeight="false" outlineLevel="0" collapsed="false">
      <c r="A545" s="4" t="n">
        <v>541</v>
      </c>
      <c r="B545" s="14" t="n">
        <f aca="false">A545/12</f>
        <v>45.0833333333333</v>
      </c>
      <c r="C545" s="15" t="n">
        <f aca="false">INT(A545/6)</f>
        <v>90</v>
      </c>
      <c r="D545" s="16" t="n">
        <f aca="false">IF(C545=0,(1+Dic2025!$G$6)^(-B545),EXP(LN(INDEX(Dic2025!$H$6:$H$205,C545))+(LN(INDEX(Dic2025!$H$6:$H$205,MIN(C545+1,200)))-LN(INDEX(Dic2025!$H$6:$H$205,C545)))*(A545-6*C545)/6))</f>
        <v>0.0626030401103527</v>
      </c>
      <c r="E545" s="12" t="n">
        <f aca="false">D545^(-1/B545)-1</f>
        <v>0.0633907852292759</v>
      </c>
      <c r="F545" s="12" t="n">
        <f aca="false">(1+E545)^(1/12)-1</f>
        <v>0.00513502734714688</v>
      </c>
      <c r="G545" s="16" t="n">
        <f aca="false">IF(C545=0,(1+Dic2025!$J$6)^(-B545),EXP(LN(INDEX(Dic2025!$K$6:$K$205,C545))+(LN(INDEX(Dic2025!$K$6:$K$205,MIN(C545+1,200)))-LN(INDEX(Dic2025!$K$6:$K$205,C545)))*(A545-6*C545)/6))</f>
        <v>0.0626030401103527</v>
      </c>
      <c r="H545" s="12" t="n">
        <f aca="false">G545^(-1/B545)-1</f>
        <v>0.0633907852292759</v>
      </c>
      <c r="I545" s="12" t="n">
        <f aca="false">(1+H545)^(1/12)-1</f>
        <v>0.00513502734714688</v>
      </c>
      <c r="J545" s="16" t="n">
        <f aca="false">IF(C545=0,(1+Dic2025!$M$6)^(-B545),EXP(LN(INDEX(Dic2025!$N$6:$N$205,C545))+(LN(INDEX(Dic2025!$N$6:$N$205,MIN(C545+1,200)))-LN(INDEX(Dic2025!$N$6:$N$205,C545)))*(A545-6*C545)/6))</f>
        <v>0.0626030401103527</v>
      </c>
      <c r="K545" s="12" t="n">
        <f aca="false">J545^(-1/B545)-1</f>
        <v>0.0633907852292759</v>
      </c>
      <c r="L545" s="12" t="n">
        <f aca="false">(1+K545)^(1/12)-1</f>
        <v>0.00513502734714688</v>
      </c>
    </row>
    <row r="546" customFormat="false" ht="15" hidden="false" customHeight="false" outlineLevel="0" collapsed="false">
      <c r="A546" s="4" t="n">
        <v>542</v>
      </c>
      <c r="B546" s="14" t="n">
        <f aca="false">A546/12</f>
        <v>45.1666666666667</v>
      </c>
      <c r="C546" s="15" t="n">
        <f aca="false">INT(A546/6)</f>
        <v>90</v>
      </c>
      <c r="D546" s="16" t="n">
        <f aca="false">IF(C546=0,(1+Dic2025!$G$6)^(-B546),EXP(LN(INDEX(Dic2025!$H$6:$H$205,C546))+(LN(INDEX(Dic2025!$H$6:$H$205,MIN(C546+1,200)))-LN(INDEX(Dic2025!$H$6:$H$205,C546)))*(A546-6*C546)/6))</f>
        <v>0.0622375142452448</v>
      </c>
      <c r="E546" s="12" t="n">
        <f aca="false">D546^(-1/B546)-1</f>
        <v>0.0634080667353785</v>
      </c>
      <c r="F546" s="12" t="n">
        <f aca="false">(1+E546)^(1/12)-1</f>
        <v>0.00513638856809284</v>
      </c>
      <c r="G546" s="16" t="n">
        <f aca="false">IF(C546=0,(1+Dic2025!$J$6)^(-B546),EXP(LN(INDEX(Dic2025!$K$6:$K$205,C546))+(LN(INDEX(Dic2025!$K$6:$K$205,MIN(C546+1,200)))-LN(INDEX(Dic2025!$K$6:$K$205,C546)))*(A546-6*C546)/6))</f>
        <v>0.0622375142452448</v>
      </c>
      <c r="H546" s="12" t="n">
        <f aca="false">G546^(-1/B546)-1</f>
        <v>0.0634080667353785</v>
      </c>
      <c r="I546" s="12" t="n">
        <f aca="false">(1+H546)^(1/12)-1</f>
        <v>0.00513638856809284</v>
      </c>
      <c r="J546" s="16" t="n">
        <f aca="false">IF(C546=0,(1+Dic2025!$M$6)^(-B546),EXP(LN(INDEX(Dic2025!$N$6:$N$205,C546))+(LN(INDEX(Dic2025!$N$6:$N$205,MIN(C546+1,200)))-LN(INDEX(Dic2025!$N$6:$N$205,C546)))*(A546-6*C546)/6))</f>
        <v>0.0622375142452448</v>
      </c>
      <c r="K546" s="12" t="n">
        <f aca="false">J546^(-1/B546)-1</f>
        <v>0.0634080667353785</v>
      </c>
      <c r="L546" s="12" t="n">
        <f aca="false">(1+K546)^(1/12)-1</f>
        <v>0.00513638856809284</v>
      </c>
    </row>
    <row r="547" customFormat="false" ht="15" hidden="false" customHeight="false" outlineLevel="0" collapsed="false">
      <c r="A547" s="4" t="n">
        <v>543</v>
      </c>
      <c r="B547" s="14" t="n">
        <f aca="false">A547/12</f>
        <v>45.25</v>
      </c>
      <c r="C547" s="15" t="n">
        <f aca="false">INT(A547/6)</f>
        <v>90</v>
      </c>
      <c r="D547" s="16" t="n">
        <f aca="false">IF(C547=0,(1+Dic2025!$G$6)^(-B547),EXP(LN(INDEX(Dic2025!$H$6:$H$205,C547))+(LN(INDEX(Dic2025!$H$6:$H$205,MIN(C547+1,200)))-LN(INDEX(Dic2025!$H$6:$H$205,C547)))*(A547-6*C547)/6))</f>
        <v>0.0618741226080886</v>
      </c>
      <c r="E547" s="12" t="n">
        <f aca="false">D547^(-1/B547)-1</f>
        <v>0.0634252848688226</v>
      </c>
      <c r="F547" s="12" t="n">
        <f aca="false">(1+E547)^(1/12)-1</f>
        <v>0.005137744777167</v>
      </c>
      <c r="G547" s="16" t="n">
        <f aca="false">IF(C547=0,(1+Dic2025!$J$6)^(-B547),EXP(LN(INDEX(Dic2025!$K$6:$K$205,C547))+(LN(INDEX(Dic2025!$K$6:$K$205,MIN(C547+1,200)))-LN(INDEX(Dic2025!$K$6:$K$205,C547)))*(A547-6*C547)/6))</f>
        <v>0.0618741226080886</v>
      </c>
      <c r="H547" s="12" t="n">
        <f aca="false">G547^(-1/B547)-1</f>
        <v>0.0634252848688226</v>
      </c>
      <c r="I547" s="12" t="n">
        <f aca="false">(1+H547)^(1/12)-1</f>
        <v>0.005137744777167</v>
      </c>
      <c r="J547" s="16" t="n">
        <f aca="false">IF(C547=0,(1+Dic2025!$M$6)^(-B547),EXP(LN(INDEX(Dic2025!$N$6:$N$205,C547))+(LN(INDEX(Dic2025!$N$6:$N$205,MIN(C547+1,200)))-LN(INDEX(Dic2025!$N$6:$N$205,C547)))*(A547-6*C547)/6))</f>
        <v>0.0618741226080886</v>
      </c>
      <c r="K547" s="12" t="n">
        <f aca="false">J547^(-1/B547)-1</f>
        <v>0.0634252848688226</v>
      </c>
      <c r="L547" s="12" t="n">
        <f aca="false">(1+K547)^(1/12)-1</f>
        <v>0.005137744777167</v>
      </c>
    </row>
    <row r="548" customFormat="false" ht="15" hidden="false" customHeight="false" outlineLevel="0" collapsed="false">
      <c r="A548" s="4" t="n">
        <v>544</v>
      </c>
      <c r="B548" s="14" t="n">
        <f aca="false">A548/12</f>
        <v>45.3333333333333</v>
      </c>
      <c r="C548" s="15" t="n">
        <f aca="false">INT(A548/6)</f>
        <v>90</v>
      </c>
      <c r="D548" s="16" t="n">
        <f aca="false">IF(C548=0,(1+Dic2025!$G$6)^(-B548),EXP(LN(INDEX(Dic2025!$H$6:$H$205,C548))+(LN(INDEX(Dic2025!$H$6:$H$205,MIN(C548+1,200)))-LN(INDEX(Dic2025!$H$6:$H$205,C548)))*(A548-6*C548)/6))</f>
        <v>0.0615128527375799</v>
      </c>
      <c r="E548" s="12" t="n">
        <f aca="false">D548^(-1/B548)-1</f>
        <v>0.0634424399775566</v>
      </c>
      <c r="F548" s="12" t="n">
        <f aca="false">(1+E548)^(1/12)-1</f>
        <v>0.00513909600199836</v>
      </c>
      <c r="G548" s="16" t="n">
        <f aca="false">IF(C548=0,(1+Dic2025!$J$6)^(-B548),EXP(LN(INDEX(Dic2025!$K$6:$K$205,C548))+(LN(INDEX(Dic2025!$K$6:$K$205,MIN(C548+1,200)))-LN(INDEX(Dic2025!$K$6:$K$205,C548)))*(A548-6*C548)/6))</f>
        <v>0.0615128527375799</v>
      </c>
      <c r="H548" s="12" t="n">
        <f aca="false">G548^(-1/B548)-1</f>
        <v>0.0634424399775566</v>
      </c>
      <c r="I548" s="12" t="n">
        <f aca="false">(1+H548)^(1/12)-1</f>
        <v>0.00513909600199836</v>
      </c>
      <c r="J548" s="16" t="n">
        <f aca="false">IF(C548=0,(1+Dic2025!$M$6)^(-B548),EXP(LN(INDEX(Dic2025!$N$6:$N$205,C548))+(LN(INDEX(Dic2025!$N$6:$N$205,MIN(C548+1,200)))-LN(INDEX(Dic2025!$N$6:$N$205,C548)))*(A548-6*C548)/6))</f>
        <v>0.0615128527375799</v>
      </c>
      <c r="K548" s="12" t="n">
        <f aca="false">J548^(-1/B548)-1</f>
        <v>0.0634424399775566</v>
      </c>
      <c r="L548" s="12" t="n">
        <f aca="false">(1+K548)^(1/12)-1</f>
        <v>0.00513909600199836</v>
      </c>
    </row>
    <row r="549" customFormat="false" ht="15" hidden="false" customHeight="false" outlineLevel="0" collapsed="false">
      <c r="A549" s="4" t="n">
        <v>545</v>
      </c>
      <c r="B549" s="14" t="n">
        <f aca="false">A549/12</f>
        <v>45.4166666666667</v>
      </c>
      <c r="C549" s="15" t="n">
        <f aca="false">INT(A549/6)</f>
        <v>90</v>
      </c>
      <c r="D549" s="16" t="n">
        <f aca="false">IF(C549=0,(1+Dic2025!$G$6)^(-B549),EXP(LN(INDEX(Dic2025!$H$6:$H$205,C549))+(LN(INDEX(Dic2025!$H$6:$H$205,MIN(C549+1,200)))-LN(INDEX(Dic2025!$H$6:$H$205,C549)))*(A549-6*C549)/6))</f>
        <v>0.0611536922451737</v>
      </c>
      <c r="E549" s="12" t="n">
        <f aca="false">D549^(-1/B549)-1</f>
        <v>0.0634595324069869</v>
      </c>
      <c r="F549" s="12" t="n">
        <f aca="false">(1+E549)^(1/12)-1</f>
        <v>0.00514044227001276</v>
      </c>
      <c r="G549" s="16" t="n">
        <f aca="false">IF(C549=0,(1+Dic2025!$J$6)^(-B549),EXP(LN(INDEX(Dic2025!$K$6:$K$205,C549))+(LN(INDEX(Dic2025!$K$6:$K$205,MIN(C549+1,200)))-LN(INDEX(Dic2025!$K$6:$K$205,C549)))*(A549-6*C549)/6))</f>
        <v>0.0611536922451737</v>
      </c>
      <c r="H549" s="12" t="n">
        <f aca="false">G549^(-1/B549)-1</f>
        <v>0.0634595324069869</v>
      </c>
      <c r="I549" s="12" t="n">
        <f aca="false">(1+H549)^(1/12)-1</f>
        <v>0.00514044227001276</v>
      </c>
      <c r="J549" s="16" t="n">
        <f aca="false">IF(C549=0,(1+Dic2025!$M$6)^(-B549),EXP(LN(INDEX(Dic2025!$N$6:$N$205,C549))+(LN(INDEX(Dic2025!$N$6:$N$205,MIN(C549+1,200)))-LN(INDEX(Dic2025!$N$6:$N$205,C549)))*(A549-6*C549)/6))</f>
        <v>0.0611536922451737</v>
      </c>
      <c r="K549" s="12" t="n">
        <f aca="false">J549^(-1/B549)-1</f>
        <v>0.0634595324069869</v>
      </c>
      <c r="L549" s="12" t="n">
        <f aca="false">(1+K549)^(1/12)-1</f>
        <v>0.00514044227001276</v>
      </c>
    </row>
    <row r="550" customFormat="false" ht="15" hidden="false" customHeight="false" outlineLevel="0" collapsed="false">
      <c r="A550" s="4" t="n">
        <v>546</v>
      </c>
      <c r="B550" s="14" t="n">
        <f aca="false">A550/12</f>
        <v>45.5</v>
      </c>
      <c r="C550" s="15" t="n">
        <f aca="false">INT(A550/6)</f>
        <v>91</v>
      </c>
      <c r="D550" s="16" t="n">
        <f aca="false">IF(C550=0,(1+Dic2025!$G$6)^(-B550),EXP(LN(INDEX(Dic2025!$H$6:$H$205,C550))+(LN(INDEX(Dic2025!$H$6:$H$205,MIN(C550+1,200)))-LN(INDEX(Dic2025!$H$6:$H$205,C550)))*(A550-6*C550)/6))</f>
        <v>0.0607966288146589</v>
      </c>
      <c r="E550" s="12" t="n">
        <f aca="false">D550^(-1/B550)-1</f>
        <v>0.0634765625</v>
      </c>
      <c r="F550" s="12" t="n">
        <f aca="false">(1+E550)^(1/12)-1</f>
        <v>0.00514178360843576</v>
      </c>
      <c r="G550" s="16" t="n">
        <f aca="false">IF(C550=0,(1+Dic2025!$J$6)^(-B550),EXP(LN(INDEX(Dic2025!$K$6:$K$205,C550))+(LN(INDEX(Dic2025!$K$6:$K$205,MIN(C550+1,200)))-LN(INDEX(Dic2025!$K$6:$K$205,C550)))*(A550-6*C550)/6))</f>
        <v>0.0607966288146589</v>
      </c>
      <c r="H550" s="12" t="n">
        <f aca="false">G550^(-1/B550)-1</f>
        <v>0.0634765625</v>
      </c>
      <c r="I550" s="12" t="n">
        <f aca="false">(1+H550)^(1/12)-1</f>
        <v>0.00514178360843576</v>
      </c>
      <c r="J550" s="16" t="n">
        <f aca="false">IF(C550=0,(1+Dic2025!$M$6)^(-B550),EXP(LN(INDEX(Dic2025!$N$6:$N$205,C550))+(LN(INDEX(Dic2025!$N$6:$N$205,MIN(C550+1,200)))-LN(INDEX(Dic2025!$N$6:$N$205,C550)))*(A550-6*C550)/6))</f>
        <v>0.0607966288146589</v>
      </c>
      <c r="K550" s="12" t="n">
        <f aca="false">J550^(-1/B550)-1</f>
        <v>0.0634765625</v>
      </c>
      <c r="L550" s="12" t="n">
        <f aca="false">(1+K550)^(1/12)-1</f>
        <v>0.00514178360843576</v>
      </c>
    </row>
    <row r="551" customFormat="false" ht="15" hidden="false" customHeight="false" outlineLevel="0" collapsed="false">
      <c r="A551" s="4" t="n">
        <v>547</v>
      </c>
      <c r="B551" s="14" t="n">
        <f aca="false">A551/12</f>
        <v>45.5833333333333</v>
      </c>
      <c r="C551" s="15" t="n">
        <f aca="false">INT(A551/6)</f>
        <v>91</v>
      </c>
      <c r="D551" s="16" t="n">
        <f aca="false">IF(C551=0,(1+Dic2025!$G$6)^(-B551),EXP(LN(INDEX(Dic2025!$H$6:$H$205,C551))+(LN(INDEX(Dic2025!$H$6:$H$205,MIN(C551+1,200)))-LN(INDEX(Dic2025!$H$6:$H$205,C551)))*(A551-6*C551)/6))</f>
        <v>0.0604856248204113</v>
      </c>
      <c r="E551" s="12" t="n">
        <f aca="false">D551^(-1/B551)-1</f>
        <v>0.0634765625</v>
      </c>
      <c r="F551" s="12" t="n">
        <f aca="false">(1+E551)^(1/12)-1</f>
        <v>0.00514178360843576</v>
      </c>
      <c r="G551" s="16" t="n">
        <f aca="false">IF(C551=0,(1+Dic2025!$J$6)^(-B551),EXP(LN(INDEX(Dic2025!$K$6:$K$205,C551))+(LN(INDEX(Dic2025!$K$6:$K$205,MIN(C551+1,200)))-LN(INDEX(Dic2025!$K$6:$K$205,C551)))*(A551-6*C551)/6))</f>
        <v>0.0604856248204113</v>
      </c>
      <c r="H551" s="12" t="n">
        <f aca="false">G551^(-1/B551)-1</f>
        <v>0.0634765625</v>
      </c>
      <c r="I551" s="12" t="n">
        <f aca="false">(1+H551)^(1/12)-1</f>
        <v>0.00514178360843576</v>
      </c>
      <c r="J551" s="16" t="n">
        <f aca="false">IF(C551=0,(1+Dic2025!$M$6)^(-B551),EXP(LN(INDEX(Dic2025!$N$6:$N$205,C551))+(LN(INDEX(Dic2025!$N$6:$N$205,MIN(C551+1,200)))-LN(INDEX(Dic2025!$N$6:$N$205,C551)))*(A551-6*C551)/6))</f>
        <v>0.0604856248204113</v>
      </c>
      <c r="K551" s="12" t="n">
        <f aca="false">J551^(-1/B551)-1</f>
        <v>0.0634765625</v>
      </c>
      <c r="L551" s="12" t="n">
        <f aca="false">(1+K551)^(1/12)-1</f>
        <v>0.00514178360843576</v>
      </c>
    </row>
    <row r="552" customFormat="false" ht="15" hidden="false" customHeight="false" outlineLevel="0" collapsed="false">
      <c r="A552" s="4" t="n">
        <v>548</v>
      </c>
      <c r="B552" s="14" t="n">
        <f aca="false">A552/12</f>
        <v>45.6666666666667</v>
      </c>
      <c r="C552" s="15" t="n">
        <f aca="false">INT(A552/6)</f>
        <v>91</v>
      </c>
      <c r="D552" s="16" t="n">
        <f aca="false">IF(C552=0,(1+Dic2025!$G$6)^(-B552),EXP(LN(INDEX(Dic2025!$H$6:$H$205,C552))+(LN(INDEX(Dic2025!$H$6:$H$205,MIN(C552+1,200)))-LN(INDEX(Dic2025!$H$6:$H$205,C552)))*(A552-6*C552)/6))</f>
        <v>0.06017621176116</v>
      </c>
      <c r="E552" s="12" t="n">
        <f aca="false">D552^(-1/B552)-1</f>
        <v>0.0634765625</v>
      </c>
      <c r="F552" s="12" t="n">
        <f aca="false">(1+E552)^(1/12)-1</f>
        <v>0.00514178360843576</v>
      </c>
      <c r="G552" s="16" t="n">
        <f aca="false">IF(C552=0,(1+Dic2025!$J$6)^(-B552),EXP(LN(INDEX(Dic2025!$K$6:$K$205,C552))+(LN(INDEX(Dic2025!$K$6:$K$205,MIN(C552+1,200)))-LN(INDEX(Dic2025!$K$6:$K$205,C552)))*(A552-6*C552)/6))</f>
        <v>0.06017621176116</v>
      </c>
      <c r="H552" s="12" t="n">
        <f aca="false">G552^(-1/B552)-1</f>
        <v>0.0634765625</v>
      </c>
      <c r="I552" s="12" t="n">
        <f aca="false">(1+H552)^(1/12)-1</f>
        <v>0.00514178360843576</v>
      </c>
      <c r="J552" s="16" t="n">
        <f aca="false">IF(C552=0,(1+Dic2025!$M$6)^(-B552),EXP(LN(INDEX(Dic2025!$N$6:$N$205,C552))+(LN(INDEX(Dic2025!$N$6:$N$205,MIN(C552+1,200)))-LN(INDEX(Dic2025!$N$6:$N$205,C552)))*(A552-6*C552)/6))</f>
        <v>0.06017621176116</v>
      </c>
      <c r="K552" s="12" t="n">
        <f aca="false">J552^(-1/B552)-1</f>
        <v>0.0634765625</v>
      </c>
      <c r="L552" s="12" t="n">
        <f aca="false">(1+K552)^(1/12)-1</f>
        <v>0.00514178360843576</v>
      </c>
    </row>
    <row r="553" customFormat="false" ht="15" hidden="false" customHeight="false" outlineLevel="0" collapsed="false">
      <c r="A553" s="4" t="n">
        <v>549</v>
      </c>
      <c r="B553" s="14" t="n">
        <f aca="false">A553/12</f>
        <v>45.75</v>
      </c>
      <c r="C553" s="15" t="n">
        <f aca="false">INT(A553/6)</f>
        <v>91</v>
      </c>
      <c r="D553" s="16" t="n">
        <f aca="false">IF(C553=0,(1+Dic2025!$G$6)^(-B553),EXP(LN(INDEX(Dic2025!$H$6:$H$205,C553))+(LN(INDEX(Dic2025!$H$6:$H$205,MIN(C553+1,200)))-LN(INDEX(Dic2025!$H$6:$H$205,C553)))*(A553-6*C553)/6))</f>
        <v>0.0598683814985074</v>
      </c>
      <c r="E553" s="12" t="n">
        <f aca="false">D553^(-1/B553)-1</f>
        <v>0.0634765625</v>
      </c>
      <c r="F553" s="12" t="n">
        <f aca="false">(1+E553)^(1/12)-1</f>
        <v>0.00514178360843576</v>
      </c>
      <c r="G553" s="16" t="n">
        <f aca="false">IF(C553=0,(1+Dic2025!$J$6)^(-B553),EXP(LN(INDEX(Dic2025!$K$6:$K$205,C553))+(LN(INDEX(Dic2025!$K$6:$K$205,MIN(C553+1,200)))-LN(INDEX(Dic2025!$K$6:$K$205,C553)))*(A553-6*C553)/6))</f>
        <v>0.0598683814985074</v>
      </c>
      <c r="H553" s="12" t="n">
        <f aca="false">G553^(-1/B553)-1</f>
        <v>0.0634765625</v>
      </c>
      <c r="I553" s="12" t="n">
        <f aca="false">(1+H553)^(1/12)-1</f>
        <v>0.00514178360843576</v>
      </c>
      <c r="J553" s="16" t="n">
        <f aca="false">IF(C553=0,(1+Dic2025!$M$6)^(-B553),EXP(LN(INDEX(Dic2025!$N$6:$N$205,C553))+(LN(INDEX(Dic2025!$N$6:$N$205,MIN(C553+1,200)))-LN(INDEX(Dic2025!$N$6:$N$205,C553)))*(A553-6*C553)/6))</f>
        <v>0.0598683814985074</v>
      </c>
      <c r="K553" s="12" t="n">
        <f aca="false">J553^(-1/B553)-1</f>
        <v>0.0634765625</v>
      </c>
      <c r="L553" s="12" t="n">
        <f aca="false">(1+K553)^(1/12)-1</f>
        <v>0.00514178360843576</v>
      </c>
    </row>
    <row r="554" customFormat="false" ht="15" hidden="false" customHeight="false" outlineLevel="0" collapsed="false">
      <c r="A554" s="4" t="n">
        <v>550</v>
      </c>
      <c r="B554" s="14" t="n">
        <f aca="false">A554/12</f>
        <v>45.8333333333333</v>
      </c>
      <c r="C554" s="15" t="n">
        <f aca="false">INT(A554/6)</f>
        <v>91</v>
      </c>
      <c r="D554" s="16" t="n">
        <f aca="false">IF(C554=0,(1+Dic2025!$G$6)^(-B554),EXP(LN(INDEX(Dic2025!$H$6:$H$205,C554))+(LN(INDEX(Dic2025!$H$6:$H$205,MIN(C554+1,200)))-LN(INDEX(Dic2025!$H$6:$H$205,C554)))*(A554-6*C554)/6))</f>
        <v>0.0595621259356877</v>
      </c>
      <c r="E554" s="12" t="n">
        <f aca="false">D554^(-1/B554)-1</f>
        <v>0.0634765625</v>
      </c>
      <c r="F554" s="12" t="n">
        <f aca="false">(1+E554)^(1/12)-1</f>
        <v>0.00514178360843576</v>
      </c>
      <c r="G554" s="16" t="n">
        <f aca="false">IF(C554=0,(1+Dic2025!$J$6)^(-B554),EXP(LN(INDEX(Dic2025!$K$6:$K$205,C554))+(LN(INDEX(Dic2025!$K$6:$K$205,MIN(C554+1,200)))-LN(INDEX(Dic2025!$K$6:$K$205,C554)))*(A554-6*C554)/6))</f>
        <v>0.0595621259356877</v>
      </c>
      <c r="H554" s="12" t="n">
        <f aca="false">G554^(-1/B554)-1</f>
        <v>0.0634765625</v>
      </c>
      <c r="I554" s="12" t="n">
        <f aca="false">(1+H554)^(1/12)-1</f>
        <v>0.00514178360843576</v>
      </c>
      <c r="J554" s="16" t="n">
        <f aca="false">IF(C554=0,(1+Dic2025!$M$6)^(-B554),EXP(LN(INDEX(Dic2025!$N$6:$N$205,C554))+(LN(INDEX(Dic2025!$N$6:$N$205,MIN(C554+1,200)))-LN(INDEX(Dic2025!$N$6:$N$205,C554)))*(A554-6*C554)/6))</f>
        <v>0.0595621259356877</v>
      </c>
      <c r="K554" s="12" t="n">
        <f aca="false">J554^(-1/B554)-1</f>
        <v>0.0634765625</v>
      </c>
      <c r="L554" s="12" t="n">
        <f aca="false">(1+K554)^(1/12)-1</f>
        <v>0.00514178360843576</v>
      </c>
    </row>
    <row r="555" customFormat="false" ht="15" hidden="false" customHeight="false" outlineLevel="0" collapsed="false">
      <c r="A555" s="4" t="n">
        <v>551</v>
      </c>
      <c r="B555" s="14" t="n">
        <f aca="false">A555/12</f>
        <v>45.9166666666667</v>
      </c>
      <c r="C555" s="15" t="n">
        <f aca="false">INT(A555/6)</f>
        <v>91</v>
      </c>
      <c r="D555" s="16" t="n">
        <f aca="false">IF(C555=0,(1+Dic2025!$G$6)^(-B555),EXP(LN(INDEX(Dic2025!$H$6:$H$205,C555))+(LN(INDEX(Dic2025!$H$6:$H$205,MIN(C555+1,200)))-LN(INDEX(Dic2025!$H$6:$H$205,C555)))*(A555-6*C555)/6))</f>
        <v>0.0592574370173539</v>
      </c>
      <c r="E555" s="12" t="n">
        <f aca="false">D555^(-1/B555)-1</f>
        <v>0.0634765625</v>
      </c>
      <c r="F555" s="12" t="n">
        <f aca="false">(1+E555)^(1/12)-1</f>
        <v>0.00514178360843576</v>
      </c>
      <c r="G555" s="16" t="n">
        <f aca="false">IF(C555=0,(1+Dic2025!$J$6)^(-B555),EXP(LN(INDEX(Dic2025!$K$6:$K$205,C555))+(LN(INDEX(Dic2025!$K$6:$K$205,MIN(C555+1,200)))-LN(INDEX(Dic2025!$K$6:$K$205,C555)))*(A555-6*C555)/6))</f>
        <v>0.0592574370173539</v>
      </c>
      <c r="H555" s="12" t="n">
        <f aca="false">G555^(-1/B555)-1</f>
        <v>0.0634765625</v>
      </c>
      <c r="I555" s="12" t="n">
        <f aca="false">(1+H555)^(1/12)-1</f>
        <v>0.00514178360843576</v>
      </c>
      <c r="J555" s="16" t="n">
        <f aca="false">IF(C555=0,(1+Dic2025!$M$6)^(-B555),EXP(LN(INDEX(Dic2025!$N$6:$N$205,C555))+(LN(INDEX(Dic2025!$N$6:$N$205,MIN(C555+1,200)))-LN(INDEX(Dic2025!$N$6:$N$205,C555)))*(A555-6*C555)/6))</f>
        <v>0.0592574370173539</v>
      </c>
      <c r="K555" s="12" t="n">
        <f aca="false">J555^(-1/B555)-1</f>
        <v>0.0634765625</v>
      </c>
      <c r="L555" s="12" t="n">
        <f aca="false">(1+K555)^(1/12)-1</f>
        <v>0.00514178360843576</v>
      </c>
    </row>
    <row r="556" customFormat="false" ht="15" hidden="false" customHeight="false" outlineLevel="0" collapsed="false">
      <c r="A556" s="4" t="n">
        <v>552</v>
      </c>
      <c r="B556" s="14" t="n">
        <f aca="false">A556/12</f>
        <v>46</v>
      </c>
      <c r="C556" s="15" t="n">
        <f aca="false">INT(A556/6)</f>
        <v>92</v>
      </c>
      <c r="D556" s="16" t="n">
        <f aca="false">IF(C556=0,(1+Dic2025!$G$6)^(-B556),EXP(LN(INDEX(Dic2025!$H$6:$H$205,C556))+(LN(INDEX(Dic2025!$H$6:$H$205,MIN(C556+1,200)))-LN(INDEX(Dic2025!$H$6:$H$205,C556)))*(A556-6*C556)/6))</f>
        <v>0.0589543067293662</v>
      </c>
      <c r="E556" s="12" t="n">
        <f aca="false">D556^(-1/B556)-1</f>
        <v>0.0634765625</v>
      </c>
      <c r="F556" s="12" t="n">
        <f aca="false">(1+E556)^(1/12)-1</f>
        <v>0.00514178360843576</v>
      </c>
      <c r="G556" s="16" t="n">
        <f aca="false">IF(C556=0,(1+Dic2025!$J$6)^(-B556),EXP(LN(INDEX(Dic2025!$K$6:$K$205,C556))+(LN(INDEX(Dic2025!$K$6:$K$205,MIN(C556+1,200)))-LN(INDEX(Dic2025!$K$6:$K$205,C556)))*(A556-6*C556)/6))</f>
        <v>0.0589543067293662</v>
      </c>
      <c r="H556" s="12" t="n">
        <f aca="false">G556^(-1/B556)-1</f>
        <v>0.0634765625</v>
      </c>
      <c r="I556" s="12" t="n">
        <f aca="false">(1+H556)^(1/12)-1</f>
        <v>0.00514178360843576</v>
      </c>
      <c r="J556" s="16" t="n">
        <f aca="false">IF(C556=0,(1+Dic2025!$M$6)^(-B556),EXP(LN(INDEX(Dic2025!$N$6:$N$205,C556))+(LN(INDEX(Dic2025!$N$6:$N$205,MIN(C556+1,200)))-LN(INDEX(Dic2025!$N$6:$N$205,C556)))*(A556-6*C556)/6))</f>
        <v>0.0589543067293662</v>
      </c>
      <c r="K556" s="12" t="n">
        <f aca="false">J556^(-1/B556)-1</f>
        <v>0.0634765625</v>
      </c>
      <c r="L556" s="12" t="n">
        <f aca="false">(1+K556)^(1/12)-1</f>
        <v>0.00514178360843576</v>
      </c>
    </row>
    <row r="557" customFormat="false" ht="15" hidden="false" customHeight="false" outlineLevel="0" collapsed="false">
      <c r="A557" s="4" t="n">
        <v>553</v>
      </c>
      <c r="B557" s="14" t="n">
        <f aca="false">A557/12</f>
        <v>46.0833333333333</v>
      </c>
      <c r="C557" s="15" t="n">
        <f aca="false">INT(A557/6)</f>
        <v>92</v>
      </c>
      <c r="D557" s="16" t="n">
        <f aca="false">IF(C557=0,(1+Dic2025!$G$6)^(-B557),EXP(LN(INDEX(Dic2025!$H$6:$H$205,C557))+(LN(INDEX(Dic2025!$H$6:$H$205,MIN(C557+1,200)))-LN(INDEX(Dic2025!$H$6:$H$205,C557)))*(A557-6*C557)/6))</f>
        <v>0.0586527270985806</v>
      </c>
      <c r="E557" s="12" t="n">
        <f aca="false">D557^(-1/B557)-1</f>
        <v>0.0634765625</v>
      </c>
      <c r="F557" s="12" t="n">
        <f aca="false">(1+E557)^(1/12)-1</f>
        <v>0.00514178360843576</v>
      </c>
      <c r="G557" s="16" t="n">
        <f aca="false">IF(C557=0,(1+Dic2025!$J$6)^(-B557),EXP(LN(INDEX(Dic2025!$K$6:$K$205,C557))+(LN(INDEX(Dic2025!$K$6:$K$205,MIN(C557+1,200)))-LN(INDEX(Dic2025!$K$6:$K$205,C557)))*(A557-6*C557)/6))</f>
        <v>0.0586527270985806</v>
      </c>
      <c r="H557" s="12" t="n">
        <f aca="false">G557^(-1/B557)-1</f>
        <v>0.0634765625</v>
      </c>
      <c r="I557" s="12" t="n">
        <f aca="false">(1+H557)^(1/12)-1</f>
        <v>0.00514178360843576</v>
      </c>
      <c r="J557" s="16" t="n">
        <f aca="false">IF(C557=0,(1+Dic2025!$M$6)^(-B557),EXP(LN(INDEX(Dic2025!$N$6:$N$205,C557))+(LN(INDEX(Dic2025!$N$6:$N$205,MIN(C557+1,200)))-LN(INDEX(Dic2025!$N$6:$N$205,C557)))*(A557-6*C557)/6))</f>
        <v>0.0586527270985806</v>
      </c>
      <c r="K557" s="12" t="n">
        <f aca="false">J557^(-1/B557)-1</f>
        <v>0.0634765625</v>
      </c>
      <c r="L557" s="12" t="n">
        <f aca="false">(1+K557)^(1/12)-1</f>
        <v>0.00514178360843576</v>
      </c>
    </row>
    <row r="558" customFormat="false" ht="15" hidden="false" customHeight="false" outlineLevel="0" collapsed="false">
      <c r="A558" s="4" t="n">
        <v>554</v>
      </c>
      <c r="B558" s="14" t="n">
        <f aca="false">A558/12</f>
        <v>46.1666666666667</v>
      </c>
      <c r="C558" s="15" t="n">
        <f aca="false">INT(A558/6)</f>
        <v>92</v>
      </c>
      <c r="D558" s="16" t="n">
        <f aca="false">IF(C558=0,(1+Dic2025!$G$6)^(-B558),EXP(LN(INDEX(Dic2025!$H$6:$H$205,C558))+(LN(INDEX(Dic2025!$H$6:$H$205,MIN(C558+1,200)))-LN(INDEX(Dic2025!$H$6:$H$205,C558)))*(A558-6*C558)/6))</f>
        <v>0.05835269019264</v>
      </c>
      <c r="E558" s="12" t="n">
        <f aca="false">D558^(-1/B558)-1</f>
        <v>0.0634765625</v>
      </c>
      <c r="F558" s="12" t="n">
        <f aca="false">(1+E558)^(1/12)-1</f>
        <v>0.00514178360843576</v>
      </c>
      <c r="G558" s="16" t="n">
        <f aca="false">IF(C558=0,(1+Dic2025!$J$6)^(-B558),EXP(LN(INDEX(Dic2025!$K$6:$K$205,C558))+(LN(INDEX(Dic2025!$K$6:$K$205,MIN(C558+1,200)))-LN(INDEX(Dic2025!$K$6:$K$205,C558)))*(A558-6*C558)/6))</f>
        <v>0.05835269019264</v>
      </c>
      <c r="H558" s="12" t="n">
        <f aca="false">G558^(-1/B558)-1</f>
        <v>0.0634765625</v>
      </c>
      <c r="I558" s="12" t="n">
        <f aca="false">(1+H558)^(1/12)-1</f>
        <v>0.00514178360843576</v>
      </c>
      <c r="J558" s="16" t="n">
        <f aca="false">IF(C558=0,(1+Dic2025!$M$6)^(-B558),EXP(LN(INDEX(Dic2025!$N$6:$N$205,C558))+(LN(INDEX(Dic2025!$N$6:$N$205,MIN(C558+1,200)))-LN(INDEX(Dic2025!$N$6:$N$205,C558)))*(A558-6*C558)/6))</f>
        <v>0.05835269019264</v>
      </c>
      <c r="K558" s="12" t="n">
        <f aca="false">J558^(-1/B558)-1</f>
        <v>0.0634765625</v>
      </c>
      <c r="L558" s="12" t="n">
        <f aca="false">(1+K558)^(1/12)-1</f>
        <v>0.00514178360843576</v>
      </c>
    </row>
    <row r="559" customFormat="false" ht="15" hidden="false" customHeight="false" outlineLevel="0" collapsed="false">
      <c r="A559" s="4" t="n">
        <v>555</v>
      </c>
      <c r="B559" s="14" t="n">
        <f aca="false">A559/12</f>
        <v>46.25</v>
      </c>
      <c r="C559" s="15" t="n">
        <f aca="false">INT(A559/6)</f>
        <v>92</v>
      </c>
      <c r="D559" s="16" t="n">
        <f aca="false">IF(C559=0,(1+Dic2025!$G$6)^(-B559),EXP(LN(INDEX(Dic2025!$H$6:$H$205,C559))+(LN(INDEX(Dic2025!$H$6:$H$205,MIN(C559+1,200)))-LN(INDEX(Dic2025!$H$6:$H$205,C559)))*(A559-6*C559)/6))</f>
        <v>0.0580541881197647</v>
      </c>
      <c r="E559" s="12" t="n">
        <f aca="false">D559^(-1/B559)-1</f>
        <v>0.0634765625</v>
      </c>
      <c r="F559" s="12" t="n">
        <f aca="false">(1+E559)^(1/12)-1</f>
        <v>0.00514178360843576</v>
      </c>
      <c r="G559" s="16" t="n">
        <f aca="false">IF(C559=0,(1+Dic2025!$J$6)^(-B559),EXP(LN(INDEX(Dic2025!$K$6:$K$205,C559))+(LN(INDEX(Dic2025!$K$6:$K$205,MIN(C559+1,200)))-LN(INDEX(Dic2025!$K$6:$K$205,C559)))*(A559-6*C559)/6))</f>
        <v>0.0580541881197647</v>
      </c>
      <c r="H559" s="12" t="n">
        <f aca="false">G559^(-1/B559)-1</f>
        <v>0.0634765625</v>
      </c>
      <c r="I559" s="12" t="n">
        <f aca="false">(1+H559)^(1/12)-1</f>
        <v>0.00514178360843576</v>
      </c>
      <c r="J559" s="16" t="n">
        <f aca="false">IF(C559=0,(1+Dic2025!$M$6)^(-B559),EXP(LN(INDEX(Dic2025!$N$6:$N$205,C559))+(LN(INDEX(Dic2025!$N$6:$N$205,MIN(C559+1,200)))-LN(INDEX(Dic2025!$N$6:$N$205,C559)))*(A559-6*C559)/6))</f>
        <v>0.0580541881197647</v>
      </c>
      <c r="K559" s="12" t="n">
        <f aca="false">J559^(-1/B559)-1</f>
        <v>0.0634765625</v>
      </c>
      <c r="L559" s="12" t="n">
        <f aca="false">(1+K559)^(1/12)-1</f>
        <v>0.00514178360843576</v>
      </c>
    </row>
    <row r="560" customFormat="false" ht="15" hidden="false" customHeight="false" outlineLevel="0" collapsed="false">
      <c r="A560" s="4" t="n">
        <v>556</v>
      </c>
      <c r="B560" s="14" t="n">
        <f aca="false">A560/12</f>
        <v>46.3333333333333</v>
      </c>
      <c r="C560" s="15" t="n">
        <f aca="false">INT(A560/6)</f>
        <v>92</v>
      </c>
      <c r="D560" s="16" t="n">
        <f aca="false">IF(C560=0,(1+Dic2025!$G$6)^(-B560),EXP(LN(INDEX(Dic2025!$H$6:$H$205,C560))+(LN(INDEX(Dic2025!$H$6:$H$205,MIN(C560+1,200)))-LN(INDEX(Dic2025!$H$6:$H$205,C560)))*(A560-6*C560)/6))</f>
        <v>0.0577572130285456</v>
      </c>
      <c r="E560" s="12" t="n">
        <f aca="false">D560^(-1/B560)-1</f>
        <v>0.0634765625</v>
      </c>
      <c r="F560" s="12" t="n">
        <f aca="false">(1+E560)^(1/12)-1</f>
        <v>0.00514178360843576</v>
      </c>
      <c r="G560" s="16" t="n">
        <f aca="false">IF(C560=0,(1+Dic2025!$J$6)^(-B560),EXP(LN(INDEX(Dic2025!$K$6:$K$205,C560))+(LN(INDEX(Dic2025!$K$6:$K$205,MIN(C560+1,200)))-LN(INDEX(Dic2025!$K$6:$K$205,C560)))*(A560-6*C560)/6))</f>
        <v>0.0577572130285456</v>
      </c>
      <c r="H560" s="12" t="n">
        <f aca="false">G560^(-1/B560)-1</f>
        <v>0.0634765625</v>
      </c>
      <c r="I560" s="12" t="n">
        <f aca="false">(1+H560)^(1/12)-1</f>
        <v>0.00514178360843576</v>
      </c>
      <c r="J560" s="16" t="n">
        <f aca="false">IF(C560=0,(1+Dic2025!$M$6)^(-B560),EXP(LN(INDEX(Dic2025!$N$6:$N$205,C560))+(LN(INDEX(Dic2025!$N$6:$N$205,MIN(C560+1,200)))-LN(INDEX(Dic2025!$N$6:$N$205,C560)))*(A560-6*C560)/6))</f>
        <v>0.0577572130285456</v>
      </c>
      <c r="K560" s="12" t="n">
        <f aca="false">J560^(-1/B560)-1</f>
        <v>0.0634765625</v>
      </c>
      <c r="L560" s="12" t="n">
        <f aca="false">(1+K560)^(1/12)-1</f>
        <v>0.00514178360843576</v>
      </c>
    </row>
    <row r="561" customFormat="false" ht="15" hidden="false" customHeight="false" outlineLevel="0" collapsed="false">
      <c r="A561" s="4" t="n">
        <v>557</v>
      </c>
      <c r="B561" s="14" t="n">
        <f aca="false">A561/12</f>
        <v>46.4166666666667</v>
      </c>
      <c r="C561" s="15" t="n">
        <f aca="false">INT(A561/6)</f>
        <v>92</v>
      </c>
      <c r="D561" s="16" t="n">
        <f aca="false">IF(C561=0,(1+Dic2025!$G$6)^(-B561),EXP(LN(INDEX(Dic2025!$H$6:$H$205,C561))+(LN(INDEX(Dic2025!$H$6:$H$205,MIN(C561+1,200)))-LN(INDEX(Dic2025!$H$6:$H$205,C561)))*(A561-6*C561)/6))</f>
        <v>0.0574617571077372</v>
      </c>
      <c r="E561" s="12" t="n">
        <f aca="false">D561^(-1/B561)-1</f>
        <v>0.0634765625</v>
      </c>
      <c r="F561" s="12" t="n">
        <f aca="false">(1+E561)^(1/12)-1</f>
        <v>0.00514178360843576</v>
      </c>
      <c r="G561" s="16" t="n">
        <f aca="false">IF(C561=0,(1+Dic2025!$J$6)^(-B561),EXP(LN(INDEX(Dic2025!$K$6:$K$205,C561))+(LN(INDEX(Dic2025!$K$6:$K$205,MIN(C561+1,200)))-LN(INDEX(Dic2025!$K$6:$K$205,C561)))*(A561-6*C561)/6))</f>
        <v>0.0574617571077372</v>
      </c>
      <c r="H561" s="12" t="n">
        <f aca="false">G561^(-1/B561)-1</f>
        <v>0.0634765625</v>
      </c>
      <c r="I561" s="12" t="n">
        <f aca="false">(1+H561)^(1/12)-1</f>
        <v>0.00514178360843576</v>
      </c>
      <c r="J561" s="16" t="n">
        <f aca="false">IF(C561=0,(1+Dic2025!$M$6)^(-B561),EXP(LN(INDEX(Dic2025!$N$6:$N$205,C561))+(LN(INDEX(Dic2025!$N$6:$N$205,MIN(C561+1,200)))-LN(INDEX(Dic2025!$N$6:$N$205,C561)))*(A561-6*C561)/6))</f>
        <v>0.0574617571077372</v>
      </c>
      <c r="K561" s="12" t="n">
        <f aca="false">J561^(-1/B561)-1</f>
        <v>0.0634765625</v>
      </c>
      <c r="L561" s="12" t="n">
        <f aca="false">(1+K561)^(1/12)-1</f>
        <v>0.00514178360843576</v>
      </c>
    </row>
    <row r="562" customFormat="false" ht="15" hidden="false" customHeight="false" outlineLevel="0" collapsed="false">
      <c r="A562" s="4" t="n">
        <v>558</v>
      </c>
      <c r="B562" s="14" t="n">
        <f aca="false">A562/12</f>
        <v>46.5</v>
      </c>
      <c r="C562" s="15" t="n">
        <f aca="false">INT(A562/6)</f>
        <v>93</v>
      </c>
      <c r="D562" s="16" t="n">
        <f aca="false">IF(C562=0,(1+Dic2025!$G$6)^(-B562),EXP(LN(INDEX(Dic2025!$H$6:$H$205,C562))+(LN(INDEX(Dic2025!$H$6:$H$205,MIN(C562+1,200)))-LN(INDEX(Dic2025!$H$6:$H$205,C562)))*(A562-6*C562)/6))</f>
        <v>0.0571678125860521</v>
      </c>
      <c r="E562" s="12" t="n">
        <f aca="false">D562^(-1/B562)-1</f>
        <v>0.0634765625</v>
      </c>
      <c r="F562" s="12" t="n">
        <f aca="false">(1+E562)^(1/12)-1</f>
        <v>0.00514178360843576</v>
      </c>
      <c r="G562" s="16" t="n">
        <f aca="false">IF(C562=0,(1+Dic2025!$J$6)^(-B562),EXP(LN(INDEX(Dic2025!$K$6:$K$205,C562))+(LN(INDEX(Dic2025!$K$6:$K$205,MIN(C562+1,200)))-LN(INDEX(Dic2025!$K$6:$K$205,C562)))*(A562-6*C562)/6))</f>
        <v>0.0571678125860521</v>
      </c>
      <c r="H562" s="12" t="n">
        <f aca="false">G562^(-1/B562)-1</f>
        <v>0.0634765625</v>
      </c>
      <c r="I562" s="12" t="n">
        <f aca="false">(1+H562)^(1/12)-1</f>
        <v>0.00514178360843576</v>
      </c>
      <c r="J562" s="16" t="n">
        <f aca="false">IF(C562=0,(1+Dic2025!$M$6)^(-B562),EXP(LN(INDEX(Dic2025!$N$6:$N$205,C562))+(LN(INDEX(Dic2025!$N$6:$N$205,MIN(C562+1,200)))-LN(INDEX(Dic2025!$N$6:$N$205,C562)))*(A562-6*C562)/6))</f>
        <v>0.0571678125860521</v>
      </c>
      <c r="K562" s="12" t="n">
        <f aca="false">J562^(-1/B562)-1</f>
        <v>0.0634765625</v>
      </c>
      <c r="L562" s="12" t="n">
        <f aca="false">(1+K562)^(1/12)-1</f>
        <v>0.00514178360843576</v>
      </c>
    </row>
    <row r="563" customFormat="false" ht="15" hidden="false" customHeight="false" outlineLevel="0" collapsed="false">
      <c r="A563" s="4" t="n">
        <v>559</v>
      </c>
      <c r="B563" s="14" t="n">
        <f aca="false">A563/12</f>
        <v>46.5833333333333</v>
      </c>
      <c r="C563" s="15" t="n">
        <f aca="false">INT(A563/6)</f>
        <v>93</v>
      </c>
      <c r="D563" s="16" t="n">
        <f aca="false">IF(C563=0,(1+Dic2025!$G$6)^(-B563),EXP(LN(INDEX(Dic2025!$H$6:$H$205,C563))+(LN(INDEX(Dic2025!$H$6:$H$205,MIN(C563+1,200)))-LN(INDEX(Dic2025!$H$6:$H$205,C563)))*(A563-6*C563)/6))</f>
        <v>0.0568321868798817</v>
      </c>
      <c r="E563" s="12" t="n">
        <f aca="false">D563^(-1/B563)-1</f>
        <v>0.0634939034553457</v>
      </c>
      <c r="F563" s="12" t="n">
        <f aca="false">(1+E563)^(1/12)-1</f>
        <v>0.00514314941102589</v>
      </c>
      <c r="G563" s="16" t="n">
        <f aca="false">IF(C563=0,(1+Dic2025!$J$6)^(-B563),EXP(LN(INDEX(Dic2025!$K$6:$K$205,C563))+(LN(INDEX(Dic2025!$K$6:$K$205,MIN(C563+1,200)))-LN(INDEX(Dic2025!$K$6:$K$205,C563)))*(A563-6*C563)/6))</f>
        <v>0.0568321868798817</v>
      </c>
      <c r="H563" s="12" t="n">
        <f aca="false">G563^(-1/B563)-1</f>
        <v>0.0634939034553457</v>
      </c>
      <c r="I563" s="12" t="n">
        <f aca="false">(1+H563)^(1/12)-1</f>
        <v>0.00514314941102589</v>
      </c>
      <c r="J563" s="16" t="n">
        <f aca="false">IF(C563=0,(1+Dic2025!$M$6)^(-B563),EXP(LN(INDEX(Dic2025!$N$6:$N$205,C563))+(LN(INDEX(Dic2025!$N$6:$N$205,MIN(C563+1,200)))-LN(INDEX(Dic2025!$N$6:$N$205,C563)))*(A563-6*C563)/6))</f>
        <v>0.0568321868798817</v>
      </c>
      <c r="K563" s="12" t="n">
        <f aca="false">J563^(-1/B563)-1</f>
        <v>0.0634939034553457</v>
      </c>
      <c r="L563" s="12" t="n">
        <f aca="false">(1+K563)^(1/12)-1</f>
        <v>0.00514314941102589</v>
      </c>
    </row>
    <row r="564" customFormat="false" ht="15" hidden="false" customHeight="false" outlineLevel="0" collapsed="false">
      <c r="A564" s="4" t="n">
        <v>560</v>
      </c>
      <c r="B564" s="14" t="n">
        <f aca="false">A564/12</f>
        <v>46.6666666666667</v>
      </c>
      <c r="C564" s="15" t="n">
        <f aca="false">INT(A564/6)</f>
        <v>93</v>
      </c>
      <c r="D564" s="16" t="n">
        <f aca="false">IF(C564=0,(1+Dic2025!$G$6)^(-B564),EXP(LN(INDEX(Dic2025!$H$6:$H$205,C564))+(LN(INDEX(Dic2025!$H$6:$H$205,MIN(C564+1,200)))-LN(INDEX(Dic2025!$H$6:$H$205,C564)))*(A564-6*C564)/6))</f>
        <v>0.0564985315939452</v>
      </c>
      <c r="E564" s="12" t="n">
        <f aca="false">D564^(-1/B564)-1</f>
        <v>0.063511182759955</v>
      </c>
      <c r="F564" s="12" t="n">
        <f aca="false">(1+E564)^(1/12)-1</f>
        <v>0.00514451033759533</v>
      </c>
      <c r="G564" s="16" t="n">
        <f aca="false">IF(C564=0,(1+Dic2025!$J$6)^(-B564),EXP(LN(INDEX(Dic2025!$K$6:$K$205,C564))+(LN(INDEX(Dic2025!$K$6:$K$205,MIN(C564+1,200)))-LN(INDEX(Dic2025!$K$6:$K$205,C564)))*(A564-6*C564)/6))</f>
        <v>0.0564985315939452</v>
      </c>
      <c r="H564" s="12" t="n">
        <f aca="false">G564^(-1/B564)-1</f>
        <v>0.063511182759955</v>
      </c>
      <c r="I564" s="12" t="n">
        <f aca="false">(1+H564)^(1/12)-1</f>
        <v>0.00514451033759533</v>
      </c>
      <c r="J564" s="16" t="n">
        <f aca="false">IF(C564=0,(1+Dic2025!$M$6)^(-B564),EXP(LN(INDEX(Dic2025!$N$6:$N$205,C564))+(LN(INDEX(Dic2025!$N$6:$N$205,MIN(C564+1,200)))-LN(INDEX(Dic2025!$N$6:$N$205,C564)))*(A564-6*C564)/6))</f>
        <v>0.0564985315939452</v>
      </c>
      <c r="K564" s="12" t="n">
        <f aca="false">J564^(-1/B564)-1</f>
        <v>0.063511182759955</v>
      </c>
      <c r="L564" s="12" t="n">
        <f aca="false">(1+K564)^(1/12)-1</f>
        <v>0.00514451033759533</v>
      </c>
    </row>
    <row r="565" customFormat="false" ht="15" hidden="false" customHeight="false" outlineLevel="0" collapsed="false">
      <c r="A565" s="4" t="n">
        <v>561</v>
      </c>
      <c r="B565" s="14" t="n">
        <f aca="false">A565/12</f>
        <v>46.75</v>
      </c>
      <c r="C565" s="15" t="n">
        <f aca="false">INT(A565/6)</f>
        <v>93</v>
      </c>
      <c r="D565" s="16" t="n">
        <f aca="false">IF(C565=0,(1+Dic2025!$G$6)^(-B565),EXP(LN(INDEX(Dic2025!$H$6:$H$205,C565))+(LN(INDEX(Dic2025!$H$6:$H$205,MIN(C565+1,200)))-LN(INDEX(Dic2025!$H$6:$H$205,C565)))*(A565-6*C565)/6))</f>
        <v>0.0561668351601301</v>
      </c>
      <c r="E565" s="12" t="n">
        <f aca="false">D565^(-1/B565)-1</f>
        <v>0.0635284007420145</v>
      </c>
      <c r="F565" s="12" t="n">
        <f aca="false">(1+E565)^(1/12)-1</f>
        <v>0.00514586641420967</v>
      </c>
      <c r="G565" s="16" t="n">
        <f aca="false">IF(C565=0,(1+Dic2025!$J$6)^(-B565),EXP(LN(INDEX(Dic2025!$K$6:$K$205,C565))+(LN(INDEX(Dic2025!$K$6:$K$205,MIN(C565+1,200)))-LN(INDEX(Dic2025!$K$6:$K$205,C565)))*(A565-6*C565)/6))</f>
        <v>0.0561668351601301</v>
      </c>
      <c r="H565" s="12" t="n">
        <f aca="false">G565^(-1/B565)-1</f>
        <v>0.0635284007420145</v>
      </c>
      <c r="I565" s="12" t="n">
        <f aca="false">(1+H565)^(1/12)-1</f>
        <v>0.00514586641420967</v>
      </c>
      <c r="J565" s="16" t="n">
        <f aca="false">IF(C565=0,(1+Dic2025!$M$6)^(-B565),EXP(LN(INDEX(Dic2025!$N$6:$N$205,C565))+(LN(INDEX(Dic2025!$N$6:$N$205,MIN(C565+1,200)))-LN(INDEX(Dic2025!$N$6:$N$205,C565)))*(A565-6*C565)/6))</f>
        <v>0.0561668351601301</v>
      </c>
      <c r="K565" s="12" t="n">
        <f aca="false">J565^(-1/B565)-1</f>
        <v>0.0635284007420145</v>
      </c>
      <c r="L565" s="12" t="n">
        <f aca="false">(1+K565)^(1/12)-1</f>
        <v>0.00514586641420967</v>
      </c>
    </row>
    <row r="566" customFormat="false" ht="15" hidden="false" customHeight="false" outlineLevel="0" collapsed="false">
      <c r="A566" s="4" t="n">
        <v>562</v>
      </c>
      <c r="B566" s="14" t="n">
        <f aca="false">A566/12</f>
        <v>46.8333333333333</v>
      </c>
      <c r="C566" s="15" t="n">
        <f aca="false">INT(A566/6)</f>
        <v>93</v>
      </c>
      <c r="D566" s="16" t="n">
        <f aca="false">IF(C566=0,(1+Dic2025!$G$6)^(-B566),EXP(LN(INDEX(Dic2025!$H$6:$H$205,C566))+(LN(INDEX(Dic2025!$H$6:$H$205,MIN(C566+1,200)))-LN(INDEX(Dic2025!$H$6:$H$205,C566)))*(A566-6*C566)/6))</f>
        <v>0.0558370860782391</v>
      </c>
      <c r="E566" s="12" t="n">
        <f aca="false">D566^(-1/B566)-1</f>
        <v>0.0635455577273849</v>
      </c>
      <c r="F566" s="12" t="n">
        <f aca="false">(1+E566)^(1/12)-1</f>
        <v>0.00514721766674842</v>
      </c>
      <c r="G566" s="16" t="n">
        <f aca="false">IF(C566=0,(1+Dic2025!$J$6)^(-B566),EXP(LN(INDEX(Dic2025!$K$6:$K$205,C566))+(LN(INDEX(Dic2025!$K$6:$K$205,MIN(C566+1,200)))-LN(INDEX(Dic2025!$K$6:$K$205,C566)))*(A566-6*C566)/6))</f>
        <v>0.0558370860782391</v>
      </c>
      <c r="H566" s="12" t="n">
        <f aca="false">G566^(-1/B566)-1</f>
        <v>0.0635455577273849</v>
      </c>
      <c r="I566" s="12" t="n">
        <f aca="false">(1+H566)^(1/12)-1</f>
        <v>0.00514721766674842</v>
      </c>
      <c r="J566" s="16" t="n">
        <f aca="false">IF(C566=0,(1+Dic2025!$M$6)^(-B566),EXP(LN(INDEX(Dic2025!$N$6:$N$205,C566))+(LN(INDEX(Dic2025!$N$6:$N$205,MIN(C566+1,200)))-LN(INDEX(Dic2025!$N$6:$N$205,C566)))*(A566-6*C566)/6))</f>
        <v>0.0558370860782391</v>
      </c>
      <c r="K566" s="12" t="n">
        <f aca="false">J566^(-1/B566)-1</f>
        <v>0.0635455577273849</v>
      </c>
      <c r="L566" s="12" t="n">
        <f aca="false">(1+K566)^(1/12)-1</f>
        <v>0.00514721766674842</v>
      </c>
    </row>
    <row r="567" customFormat="false" ht="15" hidden="false" customHeight="false" outlineLevel="0" collapsed="false">
      <c r="A567" s="4" t="n">
        <v>563</v>
      </c>
      <c r="B567" s="14" t="n">
        <f aca="false">A567/12</f>
        <v>46.9166666666667</v>
      </c>
      <c r="C567" s="15" t="n">
        <f aca="false">INT(A567/6)</f>
        <v>93</v>
      </c>
      <c r="D567" s="16" t="n">
        <f aca="false">IF(C567=0,(1+Dic2025!$G$6)^(-B567),EXP(LN(INDEX(Dic2025!$H$6:$H$205,C567))+(LN(INDEX(Dic2025!$H$6:$H$205,MIN(C567+1,200)))-LN(INDEX(Dic2025!$H$6:$H$205,C567)))*(A567-6*C567)/6))</f>
        <v>0.0555092729155911</v>
      </c>
      <c r="E567" s="12" t="n">
        <f aca="false">D567^(-1/B567)-1</f>
        <v>0.0635626540396228</v>
      </c>
      <c r="F567" s="12" t="n">
        <f aca="false">(1+E567)^(1/12)-1</f>
        <v>0.00514856412090725</v>
      </c>
      <c r="G567" s="16" t="n">
        <f aca="false">IF(C567=0,(1+Dic2025!$J$6)^(-B567),EXP(LN(INDEX(Dic2025!$K$6:$K$205,C567))+(LN(INDEX(Dic2025!$K$6:$K$205,MIN(C567+1,200)))-LN(INDEX(Dic2025!$K$6:$K$205,C567)))*(A567-6*C567)/6))</f>
        <v>0.0555092729155911</v>
      </c>
      <c r="H567" s="12" t="n">
        <f aca="false">G567^(-1/B567)-1</f>
        <v>0.0635626540396228</v>
      </c>
      <c r="I567" s="12" t="n">
        <f aca="false">(1+H567)^(1/12)-1</f>
        <v>0.00514856412090725</v>
      </c>
      <c r="J567" s="16" t="n">
        <f aca="false">IF(C567=0,(1+Dic2025!$M$6)^(-B567),EXP(LN(INDEX(Dic2025!$N$6:$N$205,C567))+(LN(INDEX(Dic2025!$N$6:$N$205,MIN(C567+1,200)))-LN(INDEX(Dic2025!$N$6:$N$205,C567)))*(A567-6*C567)/6))</f>
        <v>0.0555092729155911</v>
      </c>
      <c r="K567" s="12" t="n">
        <f aca="false">J567^(-1/B567)-1</f>
        <v>0.0635626540396228</v>
      </c>
      <c r="L567" s="12" t="n">
        <f aca="false">(1+K567)^(1/12)-1</f>
        <v>0.00514856412090725</v>
      </c>
    </row>
    <row r="568" customFormat="false" ht="15" hidden="false" customHeight="false" outlineLevel="0" collapsed="false">
      <c r="A568" s="4" t="n">
        <v>564</v>
      </c>
      <c r="B568" s="14" t="n">
        <f aca="false">A568/12</f>
        <v>47</v>
      </c>
      <c r="C568" s="15" t="n">
        <f aca="false">INT(A568/6)</f>
        <v>94</v>
      </c>
      <c r="D568" s="16" t="n">
        <f aca="false">IF(C568=0,(1+Dic2025!$G$6)^(-B568),EXP(LN(INDEX(Dic2025!$H$6:$H$205,C568))+(LN(INDEX(Dic2025!$H$6:$H$205,MIN(C568+1,200)))-LN(INDEX(Dic2025!$H$6:$H$205,C568)))*(A568-6*C568)/6))</f>
        <v>0.0551833843066251</v>
      </c>
      <c r="E568" s="12" t="n">
        <f aca="false">D568^(-1/B568)-1</f>
        <v>0.0635796900000003</v>
      </c>
      <c r="F568" s="12" t="n">
        <f aca="false">(1+E568)^(1/12)-1</f>
        <v>0.00514990580219998</v>
      </c>
      <c r="G568" s="16" t="n">
        <f aca="false">IF(C568=0,(1+Dic2025!$J$6)^(-B568),EXP(LN(INDEX(Dic2025!$K$6:$K$205,C568))+(LN(INDEX(Dic2025!$K$6:$K$205,MIN(C568+1,200)))-LN(INDEX(Dic2025!$K$6:$K$205,C568)))*(A568-6*C568)/6))</f>
        <v>0.0551833843066251</v>
      </c>
      <c r="H568" s="12" t="n">
        <f aca="false">G568^(-1/B568)-1</f>
        <v>0.0635796900000003</v>
      </c>
      <c r="I568" s="12" t="n">
        <f aca="false">(1+H568)^(1/12)-1</f>
        <v>0.00514990580219998</v>
      </c>
      <c r="J568" s="16" t="n">
        <f aca="false">IF(C568=0,(1+Dic2025!$M$6)^(-B568),EXP(LN(INDEX(Dic2025!$N$6:$N$205,C568))+(LN(INDEX(Dic2025!$N$6:$N$205,MIN(C568+1,200)))-LN(INDEX(Dic2025!$N$6:$N$205,C568)))*(A568-6*C568)/6))</f>
        <v>0.0551833843066251</v>
      </c>
      <c r="K568" s="12" t="n">
        <f aca="false">J568^(-1/B568)-1</f>
        <v>0.0635796900000003</v>
      </c>
      <c r="L568" s="12" t="n">
        <f aca="false">(1+K568)^(1/12)-1</f>
        <v>0.00514990580219998</v>
      </c>
    </row>
    <row r="569" customFormat="false" ht="15" hidden="false" customHeight="false" outlineLevel="0" collapsed="false">
      <c r="A569" s="4" t="n">
        <v>565</v>
      </c>
      <c r="B569" s="14" t="n">
        <f aca="false">A569/12</f>
        <v>47.0833333333333</v>
      </c>
      <c r="C569" s="15" t="n">
        <f aca="false">INT(A569/6)</f>
        <v>94</v>
      </c>
      <c r="D569" s="16" t="n">
        <f aca="false">IF(C569=0,(1+Dic2025!$G$6)^(-B569),EXP(LN(INDEX(Dic2025!$H$6:$H$205,C569))+(LN(INDEX(Dic2025!$H$6:$H$205,MIN(C569+1,200)))-LN(INDEX(Dic2025!$H$6:$H$205,C569)))*(A569-6*C569)/6))</f>
        <v>0.0549006511248527</v>
      </c>
      <c r="E569" s="12" t="n">
        <f aca="false">D569^(-1/B569)-1</f>
        <v>0.0635796900000003</v>
      </c>
      <c r="F569" s="12" t="n">
        <f aca="false">(1+E569)^(1/12)-1</f>
        <v>0.00514990580219998</v>
      </c>
      <c r="G569" s="16" t="n">
        <f aca="false">IF(C569=0,(1+Dic2025!$J$6)^(-B569),EXP(LN(INDEX(Dic2025!$K$6:$K$205,C569))+(LN(INDEX(Dic2025!$K$6:$K$205,MIN(C569+1,200)))-LN(INDEX(Dic2025!$K$6:$K$205,C569)))*(A569-6*C569)/6))</f>
        <v>0.0549006511248527</v>
      </c>
      <c r="H569" s="12" t="n">
        <f aca="false">G569^(-1/B569)-1</f>
        <v>0.0635796900000003</v>
      </c>
      <c r="I569" s="12" t="n">
        <f aca="false">(1+H569)^(1/12)-1</f>
        <v>0.00514990580219998</v>
      </c>
      <c r="J569" s="16" t="n">
        <f aca="false">IF(C569=0,(1+Dic2025!$M$6)^(-B569),EXP(LN(INDEX(Dic2025!$N$6:$N$205,C569))+(LN(INDEX(Dic2025!$N$6:$N$205,MIN(C569+1,200)))-LN(INDEX(Dic2025!$N$6:$N$205,C569)))*(A569-6*C569)/6))</f>
        <v>0.0549006511248527</v>
      </c>
      <c r="K569" s="12" t="n">
        <f aca="false">J569^(-1/B569)-1</f>
        <v>0.0635796900000003</v>
      </c>
      <c r="L569" s="12" t="n">
        <f aca="false">(1+K569)^(1/12)-1</f>
        <v>0.00514990580219998</v>
      </c>
    </row>
    <row r="570" customFormat="false" ht="15" hidden="false" customHeight="false" outlineLevel="0" collapsed="false">
      <c r="A570" s="4" t="n">
        <v>566</v>
      </c>
      <c r="B570" s="14" t="n">
        <f aca="false">A570/12</f>
        <v>47.1666666666667</v>
      </c>
      <c r="C570" s="15" t="n">
        <f aca="false">INT(A570/6)</f>
        <v>94</v>
      </c>
      <c r="D570" s="16" t="n">
        <f aca="false">IF(C570=0,(1+Dic2025!$G$6)^(-B570),EXP(LN(INDEX(Dic2025!$H$6:$H$205,C570))+(LN(INDEX(Dic2025!$H$6:$H$205,MIN(C570+1,200)))-LN(INDEX(Dic2025!$H$6:$H$205,C570)))*(A570-6*C570)/6))</f>
        <v>0.0546193665322358</v>
      </c>
      <c r="E570" s="12" t="n">
        <f aca="false">D570^(-1/B570)-1</f>
        <v>0.0635796900000003</v>
      </c>
      <c r="F570" s="12" t="n">
        <f aca="false">(1+E570)^(1/12)-1</f>
        <v>0.00514990580219998</v>
      </c>
      <c r="G570" s="16" t="n">
        <f aca="false">IF(C570=0,(1+Dic2025!$J$6)^(-B570),EXP(LN(INDEX(Dic2025!$K$6:$K$205,C570))+(LN(INDEX(Dic2025!$K$6:$K$205,MIN(C570+1,200)))-LN(INDEX(Dic2025!$K$6:$K$205,C570)))*(A570-6*C570)/6))</f>
        <v>0.0546193665322358</v>
      </c>
      <c r="H570" s="12" t="n">
        <f aca="false">G570^(-1/B570)-1</f>
        <v>0.0635796900000003</v>
      </c>
      <c r="I570" s="12" t="n">
        <f aca="false">(1+H570)^(1/12)-1</f>
        <v>0.00514990580219998</v>
      </c>
      <c r="J570" s="16" t="n">
        <f aca="false">IF(C570=0,(1+Dic2025!$M$6)^(-B570),EXP(LN(INDEX(Dic2025!$N$6:$N$205,C570))+(LN(INDEX(Dic2025!$N$6:$N$205,MIN(C570+1,200)))-LN(INDEX(Dic2025!$N$6:$N$205,C570)))*(A570-6*C570)/6))</f>
        <v>0.0546193665322358</v>
      </c>
      <c r="K570" s="12" t="n">
        <f aca="false">J570^(-1/B570)-1</f>
        <v>0.0635796900000003</v>
      </c>
      <c r="L570" s="12" t="n">
        <f aca="false">(1+K570)^(1/12)-1</f>
        <v>0.00514990580219998</v>
      </c>
    </row>
    <row r="571" customFormat="false" ht="15" hidden="false" customHeight="false" outlineLevel="0" collapsed="false">
      <c r="A571" s="4" t="n">
        <v>567</v>
      </c>
      <c r="B571" s="14" t="n">
        <f aca="false">A571/12</f>
        <v>47.25</v>
      </c>
      <c r="C571" s="15" t="n">
        <f aca="false">INT(A571/6)</f>
        <v>94</v>
      </c>
      <c r="D571" s="16" t="n">
        <f aca="false">IF(C571=0,(1+Dic2025!$G$6)^(-B571),EXP(LN(INDEX(Dic2025!$H$6:$H$205,C571))+(LN(INDEX(Dic2025!$H$6:$H$205,MIN(C571+1,200)))-LN(INDEX(Dic2025!$H$6:$H$205,C571)))*(A571-6*C571)/6))</f>
        <v>0.0543395231068988</v>
      </c>
      <c r="E571" s="12" t="n">
        <f aca="false">D571^(-1/B571)-1</f>
        <v>0.0635796900000003</v>
      </c>
      <c r="F571" s="12" t="n">
        <f aca="false">(1+E571)^(1/12)-1</f>
        <v>0.00514990580219998</v>
      </c>
      <c r="G571" s="16" t="n">
        <f aca="false">IF(C571=0,(1+Dic2025!$J$6)^(-B571),EXP(LN(INDEX(Dic2025!$K$6:$K$205,C571))+(LN(INDEX(Dic2025!$K$6:$K$205,MIN(C571+1,200)))-LN(INDEX(Dic2025!$K$6:$K$205,C571)))*(A571-6*C571)/6))</f>
        <v>0.0543395231068988</v>
      </c>
      <c r="H571" s="12" t="n">
        <f aca="false">G571^(-1/B571)-1</f>
        <v>0.0635796900000003</v>
      </c>
      <c r="I571" s="12" t="n">
        <f aca="false">(1+H571)^(1/12)-1</f>
        <v>0.00514990580219998</v>
      </c>
      <c r="J571" s="16" t="n">
        <f aca="false">IF(C571=0,(1+Dic2025!$M$6)^(-B571),EXP(LN(INDEX(Dic2025!$N$6:$N$205,C571))+(LN(INDEX(Dic2025!$N$6:$N$205,MIN(C571+1,200)))-LN(INDEX(Dic2025!$N$6:$N$205,C571)))*(A571-6*C571)/6))</f>
        <v>0.0543395231068988</v>
      </c>
      <c r="K571" s="12" t="n">
        <f aca="false">J571^(-1/B571)-1</f>
        <v>0.0635796900000003</v>
      </c>
      <c r="L571" s="12" t="n">
        <f aca="false">(1+K571)^(1/12)-1</f>
        <v>0.00514990580219998</v>
      </c>
    </row>
    <row r="572" customFormat="false" ht="15" hidden="false" customHeight="false" outlineLevel="0" collapsed="false">
      <c r="A572" s="4" t="n">
        <v>568</v>
      </c>
      <c r="B572" s="14" t="n">
        <f aca="false">A572/12</f>
        <v>47.3333333333333</v>
      </c>
      <c r="C572" s="15" t="n">
        <f aca="false">INT(A572/6)</f>
        <v>94</v>
      </c>
      <c r="D572" s="16" t="n">
        <f aca="false">IF(C572=0,(1+Dic2025!$G$6)^(-B572),EXP(LN(INDEX(Dic2025!$H$6:$H$205,C572))+(LN(INDEX(Dic2025!$H$6:$H$205,MIN(C572+1,200)))-LN(INDEX(Dic2025!$H$6:$H$205,C572)))*(A572-6*C572)/6))</f>
        <v>0.0540611134649921</v>
      </c>
      <c r="E572" s="12" t="n">
        <f aca="false">D572^(-1/B572)-1</f>
        <v>0.0635796900000003</v>
      </c>
      <c r="F572" s="12" t="n">
        <f aca="false">(1+E572)^(1/12)-1</f>
        <v>0.00514990580219998</v>
      </c>
      <c r="G572" s="16" t="n">
        <f aca="false">IF(C572=0,(1+Dic2025!$J$6)^(-B572),EXP(LN(INDEX(Dic2025!$K$6:$K$205,C572))+(LN(INDEX(Dic2025!$K$6:$K$205,MIN(C572+1,200)))-LN(INDEX(Dic2025!$K$6:$K$205,C572)))*(A572-6*C572)/6))</f>
        <v>0.0540611134649921</v>
      </c>
      <c r="H572" s="12" t="n">
        <f aca="false">G572^(-1/B572)-1</f>
        <v>0.0635796900000003</v>
      </c>
      <c r="I572" s="12" t="n">
        <f aca="false">(1+H572)^(1/12)-1</f>
        <v>0.00514990580219998</v>
      </c>
      <c r="J572" s="16" t="n">
        <f aca="false">IF(C572=0,(1+Dic2025!$M$6)^(-B572),EXP(LN(INDEX(Dic2025!$N$6:$N$205,C572))+(LN(INDEX(Dic2025!$N$6:$N$205,MIN(C572+1,200)))-LN(INDEX(Dic2025!$N$6:$N$205,C572)))*(A572-6*C572)/6))</f>
        <v>0.0540611134649921</v>
      </c>
      <c r="K572" s="12" t="n">
        <f aca="false">J572^(-1/B572)-1</f>
        <v>0.0635796900000003</v>
      </c>
      <c r="L572" s="12" t="n">
        <f aca="false">(1+K572)^(1/12)-1</f>
        <v>0.00514990580219998</v>
      </c>
    </row>
    <row r="573" customFormat="false" ht="15" hidden="false" customHeight="false" outlineLevel="0" collapsed="false">
      <c r="A573" s="4" t="n">
        <v>569</v>
      </c>
      <c r="B573" s="14" t="n">
        <f aca="false">A573/12</f>
        <v>47.4166666666667</v>
      </c>
      <c r="C573" s="15" t="n">
        <f aca="false">INT(A573/6)</f>
        <v>94</v>
      </c>
      <c r="D573" s="16" t="n">
        <f aca="false">IF(C573=0,(1+Dic2025!$G$6)^(-B573),EXP(LN(INDEX(Dic2025!$H$6:$H$205,C573))+(LN(INDEX(Dic2025!$H$6:$H$205,MIN(C573+1,200)))-LN(INDEX(Dic2025!$H$6:$H$205,C573)))*(A573-6*C573)/6))</f>
        <v>0.0537841302604973</v>
      </c>
      <c r="E573" s="12" t="n">
        <f aca="false">D573^(-1/B573)-1</f>
        <v>0.0635796900000003</v>
      </c>
      <c r="F573" s="12" t="n">
        <f aca="false">(1+E573)^(1/12)-1</f>
        <v>0.00514990580219998</v>
      </c>
      <c r="G573" s="16" t="n">
        <f aca="false">IF(C573=0,(1+Dic2025!$J$6)^(-B573),EXP(LN(INDEX(Dic2025!$K$6:$K$205,C573))+(LN(INDEX(Dic2025!$K$6:$K$205,MIN(C573+1,200)))-LN(INDEX(Dic2025!$K$6:$K$205,C573)))*(A573-6*C573)/6))</f>
        <v>0.0537841302604973</v>
      </c>
      <c r="H573" s="12" t="n">
        <f aca="false">G573^(-1/B573)-1</f>
        <v>0.0635796900000003</v>
      </c>
      <c r="I573" s="12" t="n">
        <f aca="false">(1+H573)^(1/12)-1</f>
        <v>0.00514990580219998</v>
      </c>
      <c r="J573" s="16" t="n">
        <f aca="false">IF(C573=0,(1+Dic2025!$M$6)^(-B573),EXP(LN(INDEX(Dic2025!$N$6:$N$205,C573))+(LN(INDEX(Dic2025!$N$6:$N$205,MIN(C573+1,200)))-LN(INDEX(Dic2025!$N$6:$N$205,C573)))*(A573-6*C573)/6))</f>
        <v>0.0537841302604973</v>
      </c>
      <c r="K573" s="12" t="n">
        <f aca="false">J573^(-1/B573)-1</f>
        <v>0.0635796900000003</v>
      </c>
      <c r="L573" s="12" t="n">
        <f aca="false">(1+K573)^(1/12)-1</f>
        <v>0.00514990580219998</v>
      </c>
    </row>
    <row r="574" customFormat="false" ht="15" hidden="false" customHeight="false" outlineLevel="0" collapsed="false">
      <c r="A574" s="4" t="n">
        <v>570</v>
      </c>
      <c r="B574" s="14" t="n">
        <f aca="false">A574/12</f>
        <v>47.5</v>
      </c>
      <c r="C574" s="15" t="n">
        <f aca="false">INT(A574/6)</f>
        <v>95</v>
      </c>
      <c r="D574" s="16" t="n">
        <f aca="false">IF(C574=0,(1+Dic2025!$G$6)^(-B574),EXP(LN(INDEX(Dic2025!$H$6:$H$205,C574))+(LN(INDEX(Dic2025!$H$6:$H$205,MIN(C574+1,200)))-LN(INDEX(Dic2025!$H$6:$H$205,C574)))*(A574-6*C574)/6))</f>
        <v>0.0535085661850336</v>
      </c>
      <c r="E574" s="12" t="n">
        <f aca="false">D574^(-1/B574)-1</f>
        <v>0.0635796900000003</v>
      </c>
      <c r="F574" s="12" t="n">
        <f aca="false">(1+E574)^(1/12)-1</f>
        <v>0.00514990580219998</v>
      </c>
      <c r="G574" s="16" t="n">
        <f aca="false">IF(C574=0,(1+Dic2025!$J$6)^(-B574),EXP(LN(INDEX(Dic2025!$K$6:$K$205,C574))+(LN(INDEX(Dic2025!$K$6:$K$205,MIN(C574+1,200)))-LN(INDEX(Dic2025!$K$6:$K$205,C574)))*(A574-6*C574)/6))</f>
        <v>0.0535085661850336</v>
      </c>
      <c r="H574" s="12" t="n">
        <f aca="false">G574^(-1/B574)-1</f>
        <v>0.0635796900000003</v>
      </c>
      <c r="I574" s="12" t="n">
        <f aca="false">(1+H574)^(1/12)-1</f>
        <v>0.00514990580219998</v>
      </c>
      <c r="J574" s="16" t="n">
        <f aca="false">IF(C574=0,(1+Dic2025!$M$6)^(-B574),EXP(LN(INDEX(Dic2025!$N$6:$N$205,C574))+(LN(INDEX(Dic2025!$N$6:$N$205,MIN(C574+1,200)))-LN(INDEX(Dic2025!$N$6:$N$205,C574)))*(A574-6*C574)/6))</f>
        <v>0.0535085661850336</v>
      </c>
      <c r="K574" s="12" t="n">
        <f aca="false">J574^(-1/B574)-1</f>
        <v>0.0635796900000003</v>
      </c>
      <c r="L574" s="12" t="n">
        <f aca="false">(1+K574)^(1/12)-1</f>
        <v>0.00514990580219998</v>
      </c>
    </row>
    <row r="575" customFormat="false" ht="15" hidden="false" customHeight="false" outlineLevel="0" collapsed="false">
      <c r="A575" s="4" t="n">
        <v>571</v>
      </c>
      <c r="B575" s="14" t="n">
        <f aca="false">A575/12</f>
        <v>47.5833333333333</v>
      </c>
      <c r="C575" s="15" t="n">
        <f aca="false">INT(A575/6)</f>
        <v>95</v>
      </c>
      <c r="D575" s="16" t="n">
        <f aca="false">IF(C575=0,(1+Dic2025!$G$6)^(-B575),EXP(LN(INDEX(Dic2025!$H$6:$H$205,C575))+(LN(INDEX(Dic2025!$H$6:$H$205,MIN(C575+1,200)))-LN(INDEX(Dic2025!$H$6:$H$205,C575)))*(A575-6*C575)/6))</f>
        <v>0.0531931359826904</v>
      </c>
      <c r="E575" s="12" t="n">
        <f aca="false">D575^(-1/B575)-1</f>
        <v>0.0635970285651575</v>
      </c>
      <c r="F575" s="12" t="n">
        <f aca="false">(1+E575)^(1/12)-1</f>
        <v>0.00515127129515758</v>
      </c>
      <c r="G575" s="16" t="n">
        <f aca="false">IF(C575=0,(1+Dic2025!$J$6)^(-B575),EXP(LN(INDEX(Dic2025!$K$6:$K$205,C575))+(LN(INDEX(Dic2025!$K$6:$K$205,MIN(C575+1,200)))-LN(INDEX(Dic2025!$K$6:$K$205,C575)))*(A575-6*C575)/6))</f>
        <v>0.0531931359826904</v>
      </c>
      <c r="H575" s="12" t="n">
        <f aca="false">G575^(-1/B575)-1</f>
        <v>0.0635970285651575</v>
      </c>
      <c r="I575" s="12" t="n">
        <f aca="false">(1+H575)^(1/12)-1</f>
        <v>0.00515127129515758</v>
      </c>
      <c r="J575" s="16" t="n">
        <f aca="false">IF(C575=0,(1+Dic2025!$M$6)^(-B575),EXP(LN(INDEX(Dic2025!$N$6:$N$205,C575))+(LN(INDEX(Dic2025!$N$6:$N$205,MIN(C575+1,200)))-LN(INDEX(Dic2025!$N$6:$N$205,C575)))*(A575-6*C575)/6))</f>
        <v>0.0531931359826904</v>
      </c>
      <c r="K575" s="12" t="n">
        <f aca="false">J575^(-1/B575)-1</f>
        <v>0.0635970285651575</v>
      </c>
      <c r="L575" s="12" t="n">
        <f aca="false">(1+K575)^(1/12)-1</f>
        <v>0.00515127129515758</v>
      </c>
    </row>
    <row r="576" customFormat="false" ht="15" hidden="false" customHeight="false" outlineLevel="0" collapsed="false">
      <c r="A576" s="4" t="n">
        <v>572</v>
      </c>
      <c r="B576" s="14" t="n">
        <f aca="false">A576/12</f>
        <v>47.6666666666667</v>
      </c>
      <c r="C576" s="15" t="n">
        <f aca="false">INT(A576/6)</f>
        <v>95</v>
      </c>
      <c r="D576" s="16" t="n">
        <f aca="false">IF(C576=0,(1+Dic2025!$G$6)^(-B576),EXP(LN(INDEX(Dic2025!$H$6:$H$205,C576))+(LN(INDEX(Dic2025!$H$6:$H$205,MIN(C576+1,200)))-LN(INDEX(Dic2025!$H$6:$H$205,C576)))*(A576-6*C576)/6))</f>
        <v>0.0528795652249118</v>
      </c>
      <c r="E576" s="12" t="n">
        <f aca="false">D576^(-1/B576)-1</f>
        <v>0.0636143067871351</v>
      </c>
      <c r="F576" s="12" t="n">
        <f aca="false">(1+E576)^(1/12)-1</f>
        <v>0.00515263201550953</v>
      </c>
      <c r="G576" s="16" t="n">
        <f aca="false">IF(C576=0,(1+Dic2025!$J$6)^(-B576),EXP(LN(INDEX(Dic2025!$K$6:$K$205,C576))+(LN(INDEX(Dic2025!$K$6:$K$205,MIN(C576+1,200)))-LN(INDEX(Dic2025!$K$6:$K$205,C576)))*(A576-6*C576)/6))</f>
        <v>0.0528795652249118</v>
      </c>
      <c r="H576" s="12" t="n">
        <f aca="false">G576^(-1/B576)-1</f>
        <v>0.0636143067871351</v>
      </c>
      <c r="I576" s="12" t="n">
        <f aca="false">(1+H576)^(1/12)-1</f>
        <v>0.00515263201550953</v>
      </c>
      <c r="J576" s="16" t="n">
        <f aca="false">IF(C576=0,(1+Dic2025!$M$6)^(-B576),EXP(LN(INDEX(Dic2025!$N$6:$N$205,C576))+(LN(INDEX(Dic2025!$N$6:$N$205,MIN(C576+1,200)))-LN(INDEX(Dic2025!$N$6:$N$205,C576)))*(A576-6*C576)/6))</f>
        <v>0.0528795652249118</v>
      </c>
      <c r="K576" s="12" t="n">
        <f aca="false">J576^(-1/B576)-1</f>
        <v>0.0636143067871351</v>
      </c>
      <c r="L576" s="12" t="n">
        <f aca="false">(1+K576)^(1/12)-1</f>
        <v>0.00515263201550953</v>
      </c>
    </row>
    <row r="577" customFormat="false" ht="15" hidden="false" customHeight="false" outlineLevel="0" collapsed="false">
      <c r="A577" s="4" t="n">
        <v>573</v>
      </c>
      <c r="B577" s="14" t="n">
        <f aca="false">A577/12</f>
        <v>47.75</v>
      </c>
      <c r="C577" s="15" t="n">
        <f aca="false">INT(A577/6)</f>
        <v>95</v>
      </c>
      <c r="D577" s="16" t="n">
        <f aca="false">IF(C577=0,(1+Dic2025!$G$6)^(-B577),EXP(LN(INDEX(Dic2025!$H$6:$H$205,C577))+(LN(INDEX(Dic2025!$H$6:$H$205,MIN(C577+1,200)))-LN(INDEX(Dic2025!$H$6:$H$205,C577)))*(A577-6*C577)/6))</f>
        <v>0.0525678429503692</v>
      </c>
      <c r="E577" s="12" t="n">
        <f aca="false">D577^(-1/B577)-1</f>
        <v>0.0636315249804007</v>
      </c>
      <c r="F577" s="12" t="n">
        <f aca="false">(1+E577)^(1/12)-1</f>
        <v>0.00515398798823386</v>
      </c>
      <c r="G577" s="16" t="n">
        <f aca="false">IF(C577=0,(1+Dic2025!$J$6)^(-B577),EXP(LN(INDEX(Dic2025!$K$6:$K$205,C577))+(LN(INDEX(Dic2025!$K$6:$K$205,MIN(C577+1,200)))-LN(INDEX(Dic2025!$K$6:$K$205,C577)))*(A577-6*C577)/6))</f>
        <v>0.0525678429503692</v>
      </c>
      <c r="H577" s="12" t="n">
        <f aca="false">G577^(-1/B577)-1</f>
        <v>0.0636315249804007</v>
      </c>
      <c r="I577" s="12" t="n">
        <f aca="false">(1+H577)^(1/12)-1</f>
        <v>0.00515398798823386</v>
      </c>
      <c r="J577" s="16" t="n">
        <f aca="false">IF(C577=0,(1+Dic2025!$M$6)^(-B577),EXP(LN(INDEX(Dic2025!$N$6:$N$205,C577))+(LN(INDEX(Dic2025!$N$6:$N$205,MIN(C577+1,200)))-LN(INDEX(Dic2025!$N$6:$N$205,C577)))*(A577-6*C577)/6))</f>
        <v>0.0525678429503692</v>
      </c>
      <c r="K577" s="12" t="n">
        <f aca="false">J577^(-1/B577)-1</f>
        <v>0.0636315249804007</v>
      </c>
      <c r="L577" s="12" t="n">
        <f aca="false">(1+K577)^(1/12)-1</f>
        <v>0.00515398798823386</v>
      </c>
    </row>
    <row r="578" customFormat="false" ht="15" hidden="false" customHeight="false" outlineLevel="0" collapsed="false">
      <c r="A578" s="4" t="n">
        <v>574</v>
      </c>
      <c r="B578" s="14" t="n">
        <f aca="false">A578/12</f>
        <v>47.8333333333333</v>
      </c>
      <c r="C578" s="15" t="n">
        <f aca="false">INT(A578/6)</f>
        <v>95</v>
      </c>
      <c r="D578" s="16" t="n">
        <f aca="false">IF(C578=0,(1+Dic2025!$G$6)^(-B578),EXP(LN(INDEX(Dic2025!$H$6:$H$205,C578))+(LN(INDEX(Dic2025!$H$6:$H$205,MIN(C578+1,200)))-LN(INDEX(Dic2025!$H$6:$H$205,C578)))*(A578-6*C578)/6))</f>
        <v>0.0522579582623505</v>
      </c>
      <c r="E578" s="12" t="n">
        <f aca="false">D578^(-1/B578)-1</f>
        <v>0.0636486834572412</v>
      </c>
      <c r="F578" s="12" t="n">
        <f aca="false">(1+E578)^(1/12)-1</f>
        <v>0.00515533923813405</v>
      </c>
      <c r="G578" s="16" t="n">
        <f aca="false">IF(C578=0,(1+Dic2025!$J$6)^(-B578),EXP(LN(INDEX(Dic2025!$K$6:$K$205,C578))+(LN(INDEX(Dic2025!$K$6:$K$205,MIN(C578+1,200)))-LN(INDEX(Dic2025!$K$6:$K$205,C578)))*(A578-6*C578)/6))</f>
        <v>0.0522579582623505</v>
      </c>
      <c r="H578" s="12" t="n">
        <f aca="false">G578^(-1/B578)-1</f>
        <v>0.0636486834572412</v>
      </c>
      <c r="I578" s="12" t="n">
        <f aca="false">(1+H578)^(1/12)-1</f>
        <v>0.00515533923813405</v>
      </c>
      <c r="J578" s="16" t="n">
        <f aca="false">IF(C578=0,(1+Dic2025!$M$6)^(-B578),EXP(LN(INDEX(Dic2025!$N$6:$N$205,C578))+(LN(INDEX(Dic2025!$N$6:$N$205,MIN(C578+1,200)))-LN(INDEX(Dic2025!$N$6:$N$205,C578)))*(A578-6*C578)/6))</f>
        <v>0.0522579582623505</v>
      </c>
      <c r="K578" s="12" t="n">
        <f aca="false">J578^(-1/B578)-1</f>
        <v>0.0636486834572412</v>
      </c>
      <c r="L578" s="12" t="n">
        <f aca="false">(1+K578)^(1/12)-1</f>
        <v>0.00515533923813405</v>
      </c>
    </row>
    <row r="579" customFormat="false" ht="15" hidden="false" customHeight="false" outlineLevel="0" collapsed="false">
      <c r="A579" s="4" t="n">
        <v>575</v>
      </c>
      <c r="B579" s="14" t="n">
        <f aca="false">A579/12</f>
        <v>47.9166666666667</v>
      </c>
      <c r="C579" s="15" t="n">
        <f aca="false">INT(A579/6)</f>
        <v>95</v>
      </c>
      <c r="D579" s="16" t="n">
        <f aca="false">IF(C579=0,(1+Dic2025!$G$6)^(-B579),EXP(LN(INDEX(Dic2025!$H$6:$H$205,C579))+(LN(INDEX(Dic2025!$H$6:$H$205,MIN(C579+1,200)))-LN(INDEX(Dic2025!$H$6:$H$205,C579)))*(A579-6*C579)/6))</f>
        <v>0.051949900328379</v>
      </c>
      <c r="E579" s="12" t="n">
        <f aca="false">D579^(-1/B579)-1</f>
        <v>0.0636657825277809</v>
      </c>
      <c r="F579" s="12" t="n">
        <f aca="false">(1+E579)^(1/12)-1</f>
        <v>0.00515668578984174</v>
      </c>
      <c r="G579" s="16" t="n">
        <f aca="false">IF(C579=0,(1+Dic2025!$J$6)^(-B579),EXP(LN(INDEX(Dic2025!$K$6:$K$205,C579))+(LN(INDEX(Dic2025!$K$6:$K$205,MIN(C579+1,200)))-LN(INDEX(Dic2025!$K$6:$K$205,C579)))*(A579-6*C579)/6))</f>
        <v>0.051949900328379</v>
      </c>
      <c r="H579" s="12" t="n">
        <f aca="false">G579^(-1/B579)-1</f>
        <v>0.0636657825277809</v>
      </c>
      <c r="I579" s="12" t="n">
        <f aca="false">(1+H579)^(1/12)-1</f>
        <v>0.00515668578984174</v>
      </c>
      <c r="J579" s="16" t="n">
        <f aca="false">IF(C579=0,(1+Dic2025!$M$6)^(-B579),EXP(LN(INDEX(Dic2025!$N$6:$N$205,C579))+(LN(INDEX(Dic2025!$N$6:$N$205,MIN(C579+1,200)))-LN(INDEX(Dic2025!$N$6:$N$205,C579)))*(A579-6*C579)/6))</f>
        <v>0.051949900328379</v>
      </c>
      <c r="K579" s="12" t="n">
        <f aca="false">J579^(-1/B579)-1</f>
        <v>0.0636657825277809</v>
      </c>
      <c r="L579" s="12" t="n">
        <f aca="false">(1+K579)^(1/12)-1</f>
        <v>0.00515668578984174</v>
      </c>
    </row>
    <row r="580" customFormat="false" ht="15" hidden="false" customHeight="false" outlineLevel="0" collapsed="false">
      <c r="A580" s="4" t="n">
        <v>576</v>
      </c>
      <c r="B580" s="14" t="n">
        <f aca="false">A580/12</f>
        <v>48</v>
      </c>
      <c r="C580" s="15" t="n">
        <f aca="false">INT(A580/6)</f>
        <v>96</v>
      </c>
      <c r="D580" s="16" t="n">
        <f aca="false">IF(C580=0,(1+Dic2025!$G$6)^(-B580),EXP(LN(INDEX(Dic2025!$H$6:$H$205,C580))+(LN(INDEX(Dic2025!$H$6:$H$205,MIN(C580+1,200)))-LN(INDEX(Dic2025!$H$6:$H$205,C580)))*(A580-6*C580)/6))</f>
        <v>0.0516436583798353</v>
      </c>
      <c r="E580" s="12" t="n">
        <f aca="false">D580^(-1/B580)-1</f>
        <v>0.0636828224999999</v>
      </c>
      <c r="F580" s="12" t="n">
        <f aca="false">(1+E580)^(1/12)-1</f>
        <v>0.00515802766781714</v>
      </c>
      <c r="G580" s="16" t="n">
        <f aca="false">IF(C580=0,(1+Dic2025!$J$6)^(-B580),EXP(LN(INDEX(Dic2025!$K$6:$K$205,C580))+(LN(INDEX(Dic2025!$K$6:$K$205,MIN(C580+1,200)))-LN(INDEX(Dic2025!$K$6:$K$205,C580)))*(A580-6*C580)/6))</f>
        <v>0.0516436583798353</v>
      </c>
      <c r="H580" s="12" t="n">
        <f aca="false">G580^(-1/B580)-1</f>
        <v>0.0636828224999999</v>
      </c>
      <c r="I580" s="12" t="n">
        <f aca="false">(1+H580)^(1/12)-1</f>
        <v>0.00515802766781714</v>
      </c>
      <c r="J580" s="16" t="n">
        <f aca="false">IF(C580=0,(1+Dic2025!$M$6)^(-B580),EXP(LN(INDEX(Dic2025!$N$6:$N$205,C580))+(LN(INDEX(Dic2025!$N$6:$N$205,MIN(C580+1,200)))-LN(INDEX(Dic2025!$N$6:$N$205,C580)))*(A580-6*C580)/6))</f>
        <v>0.0516436583798353</v>
      </c>
      <c r="K580" s="12" t="n">
        <f aca="false">J580^(-1/B580)-1</f>
        <v>0.0636828224999999</v>
      </c>
      <c r="L580" s="12" t="n">
        <f aca="false">(1+K580)^(1/12)-1</f>
        <v>0.00515802766781714</v>
      </c>
    </row>
    <row r="581" customFormat="false" ht="15" hidden="false" customHeight="false" outlineLevel="0" collapsed="false">
      <c r="A581" s="4" t="n">
        <v>577</v>
      </c>
      <c r="B581" s="14" t="n">
        <f aca="false">A581/12</f>
        <v>48.0833333333333</v>
      </c>
      <c r="C581" s="15" t="n">
        <f aca="false">INT(A581/6)</f>
        <v>96</v>
      </c>
      <c r="D581" s="16" t="n">
        <f aca="false">IF(C581=0,(1+Dic2025!$G$6)^(-B581),EXP(LN(INDEX(Dic2025!$H$6:$H$205,C581))+(LN(INDEX(Dic2025!$H$6:$H$205,MIN(C581+1,200)))-LN(INDEX(Dic2025!$H$6:$H$205,C581)))*(A581-6*C581)/6))</f>
        <v>0.051378645902734</v>
      </c>
      <c r="E581" s="12" t="n">
        <f aca="false">D581^(-1/B581)-1</f>
        <v>0.0636828224999999</v>
      </c>
      <c r="F581" s="12" t="n">
        <f aca="false">(1+E581)^(1/12)-1</f>
        <v>0.00515802766781714</v>
      </c>
      <c r="G581" s="16" t="n">
        <f aca="false">IF(C581=0,(1+Dic2025!$J$6)^(-B581),EXP(LN(INDEX(Dic2025!$K$6:$K$205,C581))+(LN(INDEX(Dic2025!$K$6:$K$205,MIN(C581+1,200)))-LN(INDEX(Dic2025!$K$6:$K$205,C581)))*(A581-6*C581)/6))</f>
        <v>0.051378645902734</v>
      </c>
      <c r="H581" s="12" t="n">
        <f aca="false">G581^(-1/B581)-1</f>
        <v>0.0636828224999999</v>
      </c>
      <c r="I581" s="12" t="n">
        <f aca="false">(1+H581)^(1/12)-1</f>
        <v>0.00515802766781714</v>
      </c>
      <c r="J581" s="16" t="n">
        <f aca="false">IF(C581=0,(1+Dic2025!$M$6)^(-B581),EXP(LN(INDEX(Dic2025!$N$6:$N$205,C581))+(LN(INDEX(Dic2025!$N$6:$N$205,MIN(C581+1,200)))-LN(INDEX(Dic2025!$N$6:$N$205,C581)))*(A581-6*C581)/6))</f>
        <v>0.051378645902734</v>
      </c>
      <c r="K581" s="12" t="n">
        <f aca="false">J581^(-1/B581)-1</f>
        <v>0.0636828224999999</v>
      </c>
      <c r="L581" s="12" t="n">
        <f aca="false">(1+K581)^(1/12)-1</f>
        <v>0.00515802766781714</v>
      </c>
    </row>
    <row r="582" customFormat="false" ht="15" hidden="false" customHeight="false" outlineLevel="0" collapsed="false">
      <c r="A582" s="4" t="n">
        <v>578</v>
      </c>
      <c r="B582" s="14" t="n">
        <f aca="false">A582/12</f>
        <v>48.1666666666667</v>
      </c>
      <c r="C582" s="15" t="n">
        <f aca="false">INT(A582/6)</f>
        <v>96</v>
      </c>
      <c r="D582" s="16" t="n">
        <f aca="false">IF(C582=0,(1+Dic2025!$G$6)^(-B582),EXP(LN(INDEX(Dic2025!$H$6:$H$205,C582))+(LN(INDEX(Dic2025!$H$6:$H$205,MIN(C582+1,200)))-LN(INDEX(Dic2025!$H$6:$H$205,C582)))*(A582-6*C582)/6))</f>
        <v>0.0511149933527801</v>
      </c>
      <c r="E582" s="12" t="n">
        <f aca="false">D582^(-1/B582)-1</f>
        <v>0.0636828224999999</v>
      </c>
      <c r="F582" s="12" t="n">
        <f aca="false">(1+E582)^(1/12)-1</f>
        <v>0.00515802766781714</v>
      </c>
      <c r="G582" s="16" t="n">
        <f aca="false">IF(C582=0,(1+Dic2025!$J$6)^(-B582),EXP(LN(INDEX(Dic2025!$K$6:$K$205,C582))+(LN(INDEX(Dic2025!$K$6:$K$205,MIN(C582+1,200)))-LN(INDEX(Dic2025!$K$6:$K$205,C582)))*(A582-6*C582)/6))</f>
        <v>0.0511149933527801</v>
      </c>
      <c r="H582" s="12" t="n">
        <f aca="false">G582^(-1/B582)-1</f>
        <v>0.0636828224999999</v>
      </c>
      <c r="I582" s="12" t="n">
        <f aca="false">(1+H582)^(1/12)-1</f>
        <v>0.00515802766781714</v>
      </c>
      <c r="J582" s="16" t="n">
        <f aca="false">IF(C582=0,(1+Dic2025!$M$6)^(-B582),EXP(LN(INDEX(Dic2025!$N$6:$N$205,C582))+(LN(INDEX(Dic2025!$N$6:$N$205,MIN(C582+1,200)))-LN(INDEX(Dic2025!$N$6:$N$205,C582)))*(A582-6*C582)/6))</f>
        <v>0.0511149933527801</v>
      </c>
      <c r="K582" s="12" t="n">
        <f aca="false">J582^(-1/B582)-1</f>
        <v>0.0636828224999999</v>
      </c>
      <c r="L582" s="12" t="n">
        <f aca="false">(1+K582)^(1/12)-1</f>
        <v>0.00515802766781714</v>
      </c>
    </row>
    <row r="583" customFormat="false" ht="15" hidden="false" customHeight="false" outlineLevel="0" collapsed="false">
      <c r="A583" s="4" t="n">
        <v>579</v>
      </c>
      <c r="B583" s="14" t="n">
        <f aca="false">A583/12</f>
        <v>48.25</v>
      </c>
      <c r="C583" s="15" t="n">
        <f aca="false">INT(A583/6)</f>
        <v>96</v>
      </c>
      <c r="D583" s="16" t="n">
        <f aca="false">IF(C583=0,(1+Dic2025!$G$6)^(-B583),EXP(LN(INDEX(Dic2025!$H$6:$H$205,C583))+(LN(INDEX(Dic2025!$H$6:$H$205,MIN(C583+1,200)))-LN(INDEX(Dic2025!$H$6:$H$205,C583)))*(A583-6*C583)/6))</f>
        <v>0.0508526937514272</v>
      </c>
      <c r="E583" s="12" t="n">
        <f aca="false">D583^(-1/B583)-1</f>
        <v>0.0636828224999999</v>
      </c>
      <c r="F583" s="12" t="n">
        <f aca="false">(1+E583)^(1/12)-1</f>
        <v>0.00515802766781714</v>
      </c>
      <c r="G583" s="16" t="n">
        <f aca="false">IF(C583=0,(1+Dic2025!$J$6)^(-B583),EXP(LN(INDEX(Dic2025!$K$6:$K$205,C583))+(LN(INDEX(Dic2025!$K$6:$K$205,MIN(C583+1,200)))-LN(INDEX(Dic2025!$K$6:$K$205,C583)))*(A583-6*C583)/6))</f>
        <v>0.0508526937514272</v>
      </c>
      <c r="H583" s="12" t="n">
        <f aca="false">G583^(-1/B583)-1</f>
        <v>0.0636828224999999</v>
      </c>
      <c r="I583" s="12" t="n">
        <f aca="false">(1+H583)^(1/12)-1</f>
        <v>0.00515802766781714</v>
      </c>
      <c r="J583" s="16" t="n">
        <f aca="false">IF(C583=0,(1+Dic2025!$M$6)^(-B583),EXP(LN(INDEX(Dic2025!$N$6:$N$205,C583))+(LN(INDEX(Dic2025!$N$6:$N$205,MIN(C583+1,200)))-LN(INDEX(Dic2025!$N$6:$N$205,C583)))*(A583-6*C583)/6))</f>
        <v>0.0508526937514272</v>
      </c>
      <c r="K583" s="12" t="n">
        <f aca="false">J583^(-1/B583)-1</f>
        <v>0.0636828224999999</v>
      </c>
      <c r="L583" s="12" t="n">
        <f aca="false">(1+K583)^(1/12)-1</f>
        <v>0.00515802766781714</v>
      </c>
    </row>
    <row r="584" customFormat="false" ht="15" hidden="false" customHeight="false" outlineLevel="0" collapsed="false">
      <c r="A584" s="4" t="n">
        <v>580</v>
      </c>
      <c r="B584" s="14" t="n">
        <f aca="false">A584/12</f>
        <v>48.3333333333333</v>
      </c>
      <c r="C584" s="15" t="n">
        <f aca="false">INT(A584/6)</f>
        <v>96</v>
      </c>
      <c r="D584" s="16" t="n">
        <f aca="false">IF(C584=0,(1+Dic2025!$G$6)^(-B584),EXP(LN(INDEX(Dic2025!$H$6:$H$205,C584))+(LN(INDEX(Dic2025!$H$6:$H$205,MIN(C584+1,200)))-LN(INDEX(Dic2025!$H$6:$H$205,C584)))*(A584-6*C584)/6))</f>
        <v>0.0505917401559398</v>
      </c>
      <c r="E584" s="12" t="n">
        <f aca="false">D584^(-1/B584)-1</f>
        <v>0.0636828224999999</v>
      </c>
      <c r="F584" s="12" t="n">
        <f aca="false">(1+E584)^(1/12)-1</f>
        <v>0.00515802766781714</v>
      </c>
      <c r="G584" s="16" t="n">
        <f aca="false">IF(C584=0,(1+Dic2025!$J$6)^(-B584),EXP(LN(INDEX(Dic2025!$K$6:$K$205,C584))+(LN(INDEX(Dic2025!$K$6:$K$205,MIN(C584+1,200)))-LN(INDEX(Dic2025!$K$6:$K$205,C584)))*(A584-6*C584)/6))</f>
        <v>0.0505917401559398</v>
      </c>
      <c r="H584" s="12" t="n">
        <f aca="false">G584^(-1/B584)-1</f>
        <v>0.0636828224999999</v>
      </c>
      <c r="I584" s="12" t="n">
        <f aca="false">(1+H584)^(1/12)-1</f>
        <v>0.00515802766781714</v>
      </c>
      <c r="J584" s="16" t="n">
        <f aca="false">IF(C584=0,(1+Dic2025!$M$6)^(-B584),EXP(LN(INDEX(Dic2025!$N$6:$N$205,C584))+(LN(INDEX(Dic2025!$N$6:$N$205,MIN(C584+1,200)))-LN(INDEX(Dic2025!$N$6:$N$205,C584)))*(A584-6*C584)/6))</f>
        <v>0.0505917401559398</v>
      </c>
      <c r="K584" s="12" t="n">
        <f aca="false">J584^(-1/B584)-1</f>
        <v>0.0636828224999999</v>
      </c>
      <c r="L584" s="12" t="n">
        <f aca="false">(1+K584)^(1/12)-1</f>
        <v>0.00515802766781714</v>
      </c>
    </row>
    <row r="585" customFormat="false" ht="15" hidden="false" customHeight="false" outlineLevel="0" collapsed="false">
      <c r="A585" s="4" t="n">
        <v>581</v>
      </c>
      <c r="B585" s="14" t="n">
        <f aca="false">A585/12</f>
        <v>48.4166666666667</v>
      </c>
      <c r="C585" s="15" t="n">
        <f aca="false">INT(A585/6)</f>
        <v>96</v>
      </c>
      <c r="D585" s="16" t="n">
        <f aca="false">IF(C585=0,(1+Dic2025!$G$6)^(-B585),EXP(LN(INDEX(Dic2025!$H$6:$H$205,C585))+(LN(INDEX(Dic2025!$H$6:$H$205,MIN(C585+1,200)))-LN(INDEX(Dic2025!$H$6:$H$205,C585)))*(A585-6*C585)/6))</f>
        <v>0.0503321256592096</v>
      </c>
      <c r="E585" s="12" t="n">
        <f aca="false">D585^(-1/B585)-1</f>
        <v>0.0636828224999999</v>
      </c>
      <c r="F585" s="12" t="n">
        <f aca="false">(1+E585)^(1/12)-1</f>
        <v>0.00515802766781714</v>
      </c>
      <c r="G585" s="16" t="n">
        <f aca="false">IF(C585=0,(1+Dic2025!$J$6)^(-B585),EXP(LN(INDEX(Dic2025!$K$6:$K$205,C585))+(LN(INDEX(Dic2025!$K$6:$K$205,MIN(C585+1,200)))-LN(INDEX(Dic2025!$K$6:$K$205,C585)))*(A585-6*C585)/6))</f>
        <v>0.0503321256592096</v>
      </c>
      <c r="H585" s="12" t="n">
        <f aca="false">G585^(-1/B585)-1</f>
        <v>0.0636828224999999</v>
      </c>
      <c r="I585" s="12" t="n">
        <f aca="false">(1+H585)^(1/12)-1</f>
        <v>0.00515802766781714</v>
      </c>
      <c r="J585" s="16" t="n">
        <f aca="false">IF(C585=0,(1+Dic2025!$M$6)^(-B585),EXP(LN(INDEX(Dic2025!$N$6:$N$205,C585))+(LN(INDEX(Dic2025!$N$6:$N$205,MIN(C585+1,200)))-LN(INDEX(Dic2025!$N$6:$N$205,C585)))*(A585-6*C585)/6))</f>
        <v>0.0503321256592096</v>
      </c>
      <c r="K585" s="12" t="n">
        <f aca="false">J585^(-1/B585)-1</f>
        <v>0.0636828224999999</v>
      </c>
      <c r="L585" s="12" t="n">
        <f aca="false">(1+K585)^(1/12)-1</f>
        <v>0.00515802766781714</v>
      </c>
    </row>
    <row r="586" customFormat="false" ht="15" hidden="false" customHeight="false" outlineLevel="0" collapsed="false">
      <c r="A586" s="4" t="n">
        <v>582</v>
      </c>
      <c r="B586" s="14" t="n">
        <f aca="false">A586/12</f>
        <v>48.5</v>
      </c>
      <c r="C586" s="15" t="n">
        <f aca="false">INT(A586/6)</f>
        <v>97</v>
      </c>
      <c r="D586" s="16" t="n">
        <f aca="false">IF(C586=0,(1+Dic2025!$G$6)^(-B586),EXP(LN(INDEX(Dic2025!$H$6:$H$205,C586))+(LN(INDEX(Dic2025!$H$6:$H$205,MIN(C586+1,200)))-LN(INDEX(Dic2025!$H$6:$H$205,C586)))*(A586-6*C586)/6))</f>
        <v>0.0500738433895722</v>
      </c>
      <c r="E586" s="12" t="n">
        <f aca="false">D586^(-1/B586)-1</f>
        <v>0.0636828224999999</v>
      </c>
      <c r="F586" s="12" t="n">
        <f aca="false">(1+E586)^(1/12)-1</f>
        <v>0.00515802766781714</v>
      </c>
      <c r="G586" s="16" t="n">
        <f aca="false">IF(C586=0,(1+Dic2025!$J$6)^(-B586),EXP(LN(INDEX(Dic2025!$K$6:$K$205,C586))+(LN(INDEX(Dic2025!$K$6:$K$205,MIN(C586+1,200)))-LN(INDEX(Dic2025!$K$6:$K$205,C586)))*(A586-6*C586)/6))</f>
        <v>0.0500738433895722</v>
      </c>
      <c r="H586" s="12" t="n">
        <f aca="false">G586^(-1/B586)-1</f>
        <v>0.0636828224999999</v>
      </c>
      <c r="I586" s="12" t="n">
        <f aca="false">(1+H586)^(1/12)-1</f>
        <v>0.00515802766781714</v>
      </c>
      <c r="J586" s="16" t="n">
        <f aca="false">IF(C586=0,(1+Dic2025!$M$6)^(-B586),EXP(LN(INDEX(Dic2025!$N$6:$N$205,C586))+(LN(INDEX(Dic2025!$N$6:$N$205,MIN(C586+1,200)))-LN(INDEX(Dic2025!$N$6:$N$205,C586)))*(A586-6*C586)/6))</f>
        <v>0.0500738433895722</v>
      </c>
      <c r="K586" s="12" t="n">
        <f aca="false">J586^(-1/B586)-1</f>
        <v>0.0636828224999999</v>
      </c>
      <c r="L586" s="12" t="n">
        <f aca="false">(1+K586)^(1/12)-1</f>
        <v>0.00515802766781714</v>
      </c>
    </row>
    <row r="587" customFormat="false" ht="15" hidden="false" customHeight="false" outlineLevel="0" collapsed="false">
      <c r="A587" s="4" t="n">
        <v>583</v>
      </c>
      <c r="B587" s="14" t="n">
        <f aca="false">A587/12</f>
        <v>48.5833333333333</v>
      </c>
      <c r="C587" s="15" t="n">
        <f aca="false">INT(A587/6)</f>
        <v>97</v>
      </c>
      <c r="D587" s="16" t="n">
        <f aca="false">IF(C587=0,(1+Dic2025!$G$6)^(-B587),EXP(LN(INDEX(Dic2025!$H$6:$H$205,C587))+(LN(INDEX(Dic2025!$H$6:$H$205,MIN(C587+1,200)))-LN(INDEX(Dic2025!$H$6:$H$205,C587)))*(A587-6*C587)/6))</f>
        <v>0.0498168865106259</v>
      </c>
      <c r="E587" s="12" t="n">
        <f aca="false">D587^(-1/B587)-1</f>
        <v>0.0636828224999999</v>
      </c>
      <c r="F587" s="12" t="n">
        <f aca="false">(1+E587)^(1/12)-1</f>
        <v>0.00515802766781714</v>
      </c>
      <c r="G587" s="16" t="n">
        <f aca="false">IF(C587=0,(1+Dic2025!$J$6)^(-B587),EXP(LN(INDEX(Dic2025!$K$6:$K$205,C587))+(LN(INDEX(Dic2025!$K$6:$K$205,MIN(C587+1,200)))-LN(INDEX(Dic2025!$K$6:$K$205,C587)))*(A587-6*C587)/6))</f>
        <v>0.0498168865106259</v>
      </c>
      <c r="H587" s="12" t="n">
        <f aca="false">G587^(-1/B587)-1</f>
        <v>0.0636828224999999</v>
      </c>
      <c r="I587" s="12" t="n">
        <f aca="false">(1+H587)^(1/12)-1</f>
        <v>0.00515802766781714</v>
      </c>
      <c r="J587" s="16" t="n">
        <f aca="false">IF(C587=0,(1+Dic2025!$M$6)^(-B587),EXP(LN(INDEX(Dic2025!$N$6:$N$205,C587))+(LN(INDEX(Dic2025!$N$6:$N$205,MIN(C587+1,200)))-LN(INDEX(Dic2025!$N$6:$N$205,C587)))*(A587-6*C587)/6))</f>
        <v>0.0498168865106259</v>
      </c>
      <c r="K587" s="12" t="n">
        <f aca="false">J587^(-1/B587)-1</f>
        <v>0.0636828224999999</v>
      </c>
      <c r="L587" s="12" t="n">
        <f aca="false">(1+K587)^(1/12)-1</f>
        <v>0.00515802766781714</v>
      </c>
    </row>
    <row r="588" customFormat="false" ht="15" hidden="false" customHeight="false" outlineLevel="0" collapsed="false">
      <c r="A588" s="4" t="n">
        <v>584</v>
      </c>
      <c r="B588" s="14" t="n">
        <f aca="false">A588/12</f>
        <v>48.6666666666667</v>
      </c>
      <c r="C588" s="15" t="n">
        <f aca="false">INT(A588/6)</f>
        <v>97</v>
      </c>
      <c r="D588" s="16" t="n">
        <f aca="false">IF(C588=0,(1+Dic2025!$G$6)^(-B588),EXP(LN(INDEX(Dic2025!$H$6:$H$205,C588))+(LN(INDEX(Dic2025!$H$6:$H$205,MIN(C588+1,200)))-LN(INDEX(Dic2025!$H$6:$H$205,C588)))*(A588-6*C588)/6))</f>
        <v>0.0495612482210501</v>
      </c>
      <c r="E588" s="12" t="n">
        <f aca="false">D588^(-1/B588)-1</f>
        <v>0.0636828224999999</v>
      </c>
      <c r="F588" s="12" t="n">
        <f aca="false">(1+E588)^(1/12)-1</f>
        <v>0.00515802766781714</v>
      </c>
      <c r="G588" s="16" t="n">
        <f aca="false">IF(C588=0,(1+Dic2025!$J$6)^(-B588),EXP(LN(INDEX(Dic2025!$K$6:$K$205,C588))+(LN(INDEX(Dic2025!$K$6:$K$205,MIN(C588+1,200)))-LN(INDEX(Dic2025!$K$6:$K$205,C588)))*(A588-6*C588)/6))</f>
        <v>0.0495612482210501</v>
      </c>
      <c r="H588" s="12" t="n">
        <f aca="false">G588^(-1/B588)-1</f>
        <v>0.0636828224999999</v>
      </c>
      <c r="I588" s="12" t="n">
        <f aca="false">(1+H588)^(1/12)-1</f>
        <v>0.00515802766781714</v>
      </c>
      <c r="J588" s="16" t="n">
        <f aca="false">IF(C588=0,(1+Dic2025!$M$6)^(-B588),EXP(LN(INDEX(Dic2025!$N$6:$N$205,C588))+(LN(INDEX(Dic2025!$N$6:$N$205,MIN(C588+1,200)))-LN(INDEX(Dic2025!$N$6:$N$205,C588)))*(A588-6*C588)/6))</f>
        <v>0.0495612482210501</v>
      </c>
      <c r="K588" s="12" t="n">
        <f aca="false">J588^(-1/B588)-1</f>
        <v>0.0636828224999999</v>
      </c>
      <c r="L588" s="12" t="n">
        <f aca="false">(1+K588)^(1/12)-1</f>
        <v>0.00515802766781714</v>
      </c>
    </row>
    <row r="589" customFormat="false" ht="15" hidden="false" customHeight="false" outlineLevel="0" collapsed="false">
      <c r="A589" s="4" t="n">
        <v>585</v>
      </c>
      <c r="B589" s="14" t="n">
        <f aca="false">A589/12</f>
        <v>48.75</v>
      </c>
      <c r="C589" s="15" t="n">
        <f aca="false">INT(A589/6)</f>
        <v>97</v>
      </c>
      <c r="D589" s="16" t="n">
        <f aca="false">IF(C589=0,(1+Dic2025!$G$6)^(-B589),EXP(LN(INDEX(Dic2025!$H$6:$H$205,C589))+(LN(INDEX(Dic2025!$H$6:$H$205,MIN(C589+1,200)))-LN(INDEX(Dic2025!$H$6:$H$205,C589)))*(A589-6*C589)/6))</f>
        <v>0.0493069217544259</v>
      </c>
      <c r="E589" s="12" t="n">
        <f aca="false">D589^(-1/B589)-1</f>
        <v>0.0636828224999999</v>
      </c>
      <c r="F589" s="12" t="n">
        <f aca="false">(1+E589)^(1/12)-1</f>
        <v>0.00515802766781714</v>
      </c>
      <c r="G589" s="16" t="n">
        <f aca="false">IF(C589=0,(1+Dic2025!$J$6)^(-B589),EXP(LN(INDEX(Dic2025!$K$6:$K$205,C589))+(LN(INDEX(Dic2025!$K$6:$K$205,MIN(C589+1,200)))-LN(INDEX(Dic2025!$K$6:$K$205,C589)))*(A589-6*C589)/6))</f>
        <v>0.0493069217544259</v>
      </c>
      <c r="H589" s="12" t="n">
        <f aca="false">G589^(-1/B589)-1</f>
        <v>0.0636828224999999</v>
      </c>
      <c r="I589" s="12" t="n">
        <f aca="false">(1+H589)^(1/12)-1</f>
        <v>0.00515802766781714</v>
      </c>
      <c r="J589" s="16" t="n">
        <f aca="false">IF(C589=0,(1+Dic2025!$M$6)^(-B589),EXP(LN(INDEX(Dic2025!$N$6:$N$205,C589))+(LN(INDEX(Dic2025!$N$6:$N$205,MIN(C589+1,200)))-LN(INDEX(Dic2025!$N$6:$N$205,C589)))*(A589-6*C589)/6))</f>
        <v>0.0493069217544259</v>
      </c>
      <c r="K589" s="12" t="n">
        <f aca="false">J589^(-1/B589)-1</f>
        <v>0.0636828224999999</v>
      </c>
      <c r="L589" s="12" t="n">
        <f aca="false">(1+K589)^(1/12)-1</f>
        <v>0.00515802766781714</v>
      </c>
    </row>
    <row r="590" customFormat="false" ht="15" hidden="false" customHeight="false" outlineLevel="0" collapsed="false">
      <c r="A590" s="4" t="n">
        <v>586</v>
      </c>
      <c r="B590" s="14" t="n">
        <f aca="false">A590/12</f>
        <v>48.8333333333333</v>
      </c>
      <c r="C590" s="15" t="n">
        <f aca="false">INT(A590/6)</f>
        <v>97</v>
      </c>
      <c r="D590" s="16" t="n">
        <f aca="false">IF(C590=0,(1+Dic2025!$G$6)^(-B590),EXP(LN(INDEX(Dic2025!$H$6:$H$205,C590))+(LN(INDEX(Dic2025!$H$6:$H$205,MIN(C590+1,200)))-LN(INDEX(Dic2025!$H$6:$H$205,C590)))*(A590-6*C590)/6))</f>
        <v>0.0490539003790564</v>
      </c>
      <c r="E590" s="12" t="n">
        <f aca="false">D590^(-1/B590)-1</f>
        <v>0.0636828224999999</v>
      </c>
      <c r="F590" s="12" t="n">
        <f aca="false">(1+E590)^(1/12)-1</f>
        <v>0.00515802766781714</v>
      </c>
      <c r="G590" s="16" t="n">
        <f aca="false">IF(C590=0,(1+Dic2025!$J$6)^(-B590),EXP(LN(INDEX(Dic2025!$K$6:$K$205,C590))+(LN(INDEX(Dic2025!$K$6:$K$205,MIN(C590+1,200)))-LN(INDEX(Dic2025!$K$6:$K$205,C590)))*(A590-6*C590)/6))</f>
        <v>0.0490539003790564</v>
      </c>
      <c r="H590" s="12" t="n">
        <f aca="false">G590^(-1/B590)-1</f>
        <v>0.0636828224999999</v>
      </c>
      <c r="I590" s="12" t="n">
        <f aca="false">(1+H590)^(1/12)-1</f>
        <v>0.00515802766781714</v>
      </c>
      <c r="J590" s="16" t="n">
        <f aca="false">IF(C590=0,(1+Dic2025!$M$6)^(-B590),EXP(LN(INDEX(Dic2025!$N$6:$N$205,C590))+(LN(INDEX(Dic2025!$N$6:$N$205,MIN(C590+1,200)))-LN(INDEX(Dic2025!$N$6:$N$205,C590)))*(A590-6*C590)/6))</f>
        <v>0.0490539003790564</v>
      </c>
      <c r="K590" s="12" t="n">
        <f aca="false">J590^(-1/B590)-1</f>
        <v>0.0636828224999999</v>
      </c>
      <c r="L590" s="12" t="n">
        <f aca="false">(1+K590)^(1/12)-1</f>
        <v>0.00515802766781714</v>
      </c>
    </row>
    <row r="591" customFormat="false" ht="15" hidden="false" customHeight="false" outlineLevel="0" collapsed="false">
      <c r="A591" s="4" t="n">
        <v>587</v>
      </c>
      <c r="B591" s="14" t="n">
        <f aca="false">A591/12</f>
        <v>48.9166666666667</v>
      </c>
      <c r="C591" s="15" t="n">
        <f aca="false">INT(A591/6)</f>
        <v>97</v>
      </c>
      <c r="D591" s="16" t="n">
        <f aca="false">IF(C591=0,(1+Dic2025!$G$6)^(-B591),EXP(LN(INDEX(Dic2025!$H$6:$H$205,C591))+(LN(INDEX(Dic2025!$H$6:$H$205,MIN(C591+1,200)))-LN(INDEX(Dic2025!$H$6:$H$205,C591)))*(A591-6*C591)/6))</f>
        <v>0.0488021773977889</v>
      </c>
      <c r="E591" s="12" t="n">
        <f aca="false">D591^(-1/B591)-1</f>
        <v>0.0636828224999999</v>
      </c>
      <c r="F591" s="12" t="n">
        <f aca="false">(1+E591)^(1/12)-1</f>
        <v>0.00515802766781714</v>
      </c>
      <c r="G591" s="16" t="n">
        <f aca="false">IF(C591=0,(1+Dic2025!$J$6)^(-B591),EXP(LN(INDEX(Dic2025!$K$6:$K$205,C591))+(LN(INDEX(Dic2025!$K$6:$K$205,MIN(C591+1,200)))-LN(INDEX(Dic2025!$K$6:$K$205,C591)))*(A591-6*C591)/6))</f>
        <v>0.0488021773977889</v>
      </c>
      <c r="H591" s="12" t="n">
        <f aca="false">G591^(-1/B591)-1</f>
        <v>0.0636828224999999</v>
      </c>
      <c r="I591" s="12" t="n">
        <f aca="false">(1+H591)^(1/12)-1</f>
        <v>0.00515802766781714</v>
      </c>
      <c r="J591" s="16" t="n">
        <f aca="false">IF(C591=0,(1+Dic2025!$M$6)^(-B591),EXP(LN(INDEX(Dic2025!$N$6:$N$205,C591))+(LN(INDEX(Dic2025!$N$6:$N$205,MIN(C591+1,200)))-LN(INDEX(Dic2025!$N$6:$N$205,C591)))*(A591-6*C591)/6))</f>
        <v>0.0488021773977889</v>
      </c>
      <c r="K591" s="12" t="n">
        <f aca="false">J591^(-1/B591)-1</f>
        <v>0.0636828224999999</v>
      </c>
      <c r="L591" s="12" t="n">
        <f aca="false">(1+K591)^(1/12)-1</f>
        <v>0.00515802766781714</v>
      </c>
    </row>
    <row r="592" customFormat="false" ht="15" hidden="false" customHeight="false" outlineLevel="0" collapsed="false">
      <c r="A592" s="4" t="n">
        <v>588</v>
      </c>
      <c r="B592" s="14" t="n">
        <f aca="false">A592/12</f>
        <v>49</v>
      </c>
      <c r="C592" s="15" t="n">
        <f aca="false">INT(A592/6)</f>
        <v>98</v>
      </c>
      <c r="D592" s="16" t="n">
        <f aca="false">IF(C592=0,(1+Dic2025!$G$6)^(-B592),EXP(LN(INDEX(Dic2025!$H$6:$H$205,C592))+(LN(INDEX(Dic2025!$H$6:$H$205,MIN(C592+1,200)))-LN(INDEX(Dic2025!$H$6:$H$205,C592)))*(A592-6*C592)/6))</f>
        <v>0.0485517461478375</v>
      </c>
      <c r="E592" s="12" t="n">
        <f aca="false">D592^(-1/B592)-1</f>
        <v>0.0636828224999999</v>
      </c>
      <c r="F592" s="12" t="n">
        <f aca="false">(1+E592)^(1/12)-1</f>
        <v>0.00515802766781714</v>
      </c>
      <c r="G592" s="16" t="n">
        <f aca="false">IF(C592=0,(1+Dic2025!$J$6)^(-B592),EXP(LN(INDEX(Dic2025!$K$6:$K$205,C592))+(LN(INDEX(Dic2025!$K$6:$K$205,MIN(C592+1,200)))-LN(INDEX(Dic2025!$K$6:$K$205,C592)))*(A592-6*C592)/6))</f>
        <v>0.0485517461478375</v>
      </c>
      <c r="H592" s="12" t="n">
        <f aca="false">G592^(-1/B592)-1</f>
        <v>0.0636828224999999</v>
      </c>
      <c r="I592" s="12" t="n">
        <f aca="false">(1+H592)^(1/12)-1</f>
        <v>0.00515802766781714</v>
      </c>
      <c r="J592" s="16" t="n">
        <f aca="false">IF(C592=0,(1+Dic2025!$M$6)^(-B592),EXP(LN(INDEX(Dic2025!$N$6:$N$205,C592))+(LN(INDEX(Dic2025!$N$6:$N$205,MIN(C592+1,200)))-LN(INDEX(Dic2025!$N$6:$N$205,C592)))*(A592-6*C592)/6))</f>
        <v>0.0485517461478375</v>
      </c>
      <c r="K592" s="12" t="n">
        <f aca="false">J592^(-1/B592)-1</f>
        <v>0.0636828224999999</v>
      </c>
      <c r="L592" s="12" t="n">
        <f aca="false">(1+K592)^(1/12)-1</f>
        <v>0.00515802766781714</v>
      </c>
    </row>
    <row r="593" customFormat="false" ht="15" hidden="false" customHeight="false" outlineLevel="0" collapsed="false">
      <c r="A593" s="4" t="n">
        <v>589</v>
      </c>
      <c r="B593" s="14" t="n">
        <f aca="false">A593/12</f>
        <v>49.0833333333333</v>
      </c>
      <c r="C593" s="15" t="n">
        <f aca="false">INT(A593/6)</f>
        <v>98</v>
      </c>
      <c r="D593" s="16" t="n">
        <f aca="false">IF(C593=0,(1+Dic2025!$G$6)^(-B593),EXP(LN(INDEX(Dic2025!$H$6:$H$205,C593))+(LN(INDEX(Dic2025!$H$6:$H$205,MIN(C593+1,200)))-LN(INDEX(Dic2025!$H$6:$H$205,C593)))*(A593-6*C593)/6))</f>
        <v>0.0482639780528856</v>
      </c>
      <c r="E593" s="12" t="n">
        <f aca="false">D593^(-1/B593)-1</f>
        <v>0.0637001573059504</v>
      </c>
      <c r="F593" s="12" t="n">
        <f aca="false">(1+E593)^(1/12)-1</f>
        <v>0.00515939274338639</v>
      </c>
      <c r="G593" s="16" t="n">
        <f aca="false">IF(C593=0,(1+Dic2025!$J$6)^(-B593),EXP(LN(INDEX(Dic2025!$K$6:$K$205,C593))+(LN(INDEX(Dic2025!$K$6:$K$205,MIN(C593+1,200)))-LN(INDEX(Dic2025!$K$6:$K$205,C593)))*(A593-6*C593)/6))</f>
        <v>0.0482639780528856</v>
      </c>
      <c r="H593" s="12" t="n">
        <f aca="false">G593^(-1/B593)-1</f>
        <v>0.0637001573059504</v>
      </c>
      <c r="I593" s="12" t="n">
        <f aca="false">(1+H593)^(1/12)-1</f>
        <v>0.00515939274338639</v>
      </c>
      <c r="J593" s="16" t="n">
        <f aca="false">IF(C593=0,(1+Dic2025!$M$6)^(-B593),EXP(LN(INDEX(Dic2025!$N$6:$N$205,C593))+(LN(INDEX(Dic2025!$N$6:$N$205,MIN(C593+1,200)))-LN(INDEX(Dic2025!$N$6:$N$205,C593)))*(A593-6*C593)/6))</f>
        <v>0.0482639780528856</v>
      </c>
      <c r="K593" s="12" t="n">
        <f aca="false">J593^(-1/B593)-1</f>
        <v>0.0637001573059504</v>
      </c>
      <c r="L593" s="12" t="n">
        <f aca="false">(1+K593)^(1/12)-1</f>
        <v>0.00515939274338639</v>
      </c>
    </row>
    <row r="594" customFormat="false" ht="15" hidden="false" customHeight="false" outlineLevel="0" collapsed="false">
      <c r="A594" s="4" t="n">
        <v>590</v>
      </c>
      <c r="B594" s="14" t="n">
        <f aca="false">A594/12</f>
        <v>49.1666666666667</v>
      </c>
      <c r="C594" s="15" t="n">
        <f aca="false">INT(A594/6)</f>
        <v>98</v>
      </c>
      <c r="D594" s="16" t="n">
        <f aca="false">IF(C594=0,(1+Dic2025!$G$6)^(-B594),EXP(LN(INDEX(Dic2025!$H$6:$H$205,C594))+(LN(INDEX(Dic2025!$H$6:$H$205,MIN(C594+1,200)))-LN(INDEX(Dic2025!$H$6:$H$205,C594)))*(A594-6*C594)/6))</f>
        <v>0.0479779155706674</v>
      </c>
      <c r="E594" s="12" t="n">
        <f aca="false">D594^(-1/B594)-1</f>
        <v>0.0637174336309165</v>
      </c>
      <c r="F594" s="12" t="n">
        <f aca="false">(1+E594)^(1/12)-1</f>
        <v>0.00516075319342502</v>
      </c>
      <c r="G594" s="16" t="n">
        <f aca="false">IF(C594=0,(1+Dic2025!$J$6)^(-B594),EXP(LN(INDEX(Dic2025!$K$6:$K$205,C594))+(LN(INDEX(Dic2025!$K$6:$K$205,MIN(C594+1,200)))-LN(INDEX(Dic2025!$K$6:$K$205,C594)))*(A594-6*C594)/6))</f>
        <v>0.0479779155706674</v>
      </c>
      <c r="H594" s="12" t="n">
        <f aca="false">G594^(-1/B594)-1</f>
        <v>0.0637174336309165</v>
      </c>
      <c r="I594" s="12" t="n">
        <f aca="false">(1+H594)^(1/12)-1</f>
        <v>0.00516075319342502</v>
      </c>
      <c r="J594" s="16" t="n">
        <f aca="false">IF(C594=0,(1+Dic2025!$M$6)^(-B594),EXP(LN(INDEX(Dic2025!$N$6:$N$205,C594))+(LN(INDEX(Dic2025!$N$6:$N$205,MIN(C594+1,200)))-LN(INDEX(Dic2025!$N$6:$N$205,C594)))*(A594-6*C594)/6))</f>
        <v>0.0479779155706674</v>
      </c>
      <c r="K594" s="12" t="n">
        <f aca="false">J594^(-1/B594)-1</f>
        <v>0.0637174336309165</v>
      </c>
      <c r="L594" s="12" t="n">
        <f aca="false">(1+K594)^(1/12)-1</f>
        <v>0.00516075319342502</v>
      </c>
    </row>
    <row r="595" customFormat="false" ht="15" hidden="false" customHeight="false" outlineLevel="0" collapsed="false">
      <c r="A595" s="4" t="n">
        <v>591</v>
      </c>
      <c r="B595" s="14" t="n">
        <f aca="false">A595/12</f>
        <v>49.25</v>
      </c>
      <c r="C595" s="15" t="n">
        <f aca="false">INT(A595/6)</f>
        <v>98</v>
      </c>
      <c r="D595" s="16" t="n">
        <f aca="false">IF(C595=0,(1+Dic2025!$G$6)^(-B595),EXP(LN(INDEX(Dic2025!$H$6:$H$205,C595))+(LN(INDEX(Dic2025!$H$6:$H$205,MIN(C595+1,200)))-LN(INDEX(Dic2025!$H$6:$H$205,C595)))*(A595-6*C595)/6))</f>
        <v>0.0476935485919496</v>
      </c>
      <c r="E595" s="12" t="n">
        <f aca="false">D595^(-1/B595)-1</f>
        <v>0.0637346517703368</v>
      </c>
      <c r="F595" s="12" t="n">
        <f aca="false">(1+E595)^(1/12)-1</f>
        <v>0.00516210904140402</v>
      </c>
      <c r="G595" s="16" t="n">
        <f aca="false">IF(C595=0,(1+Dic2025!$J$6)^(-B595),EXP(LN(INDEX(Dic2025!$K$6:$K$205,C595))+(LN(INDEX(Dic2025!$K$6:$K$205,MIN(C595+1,200)))-LN(INDEX(Dic2025!$K$6:$K$205,C595)))*(A595-6*C595)/6))</f>
        <v>0.0476935485919496</v>
      </c>
      <c r="H595" s="12" t="n">
        <f aca="false">G595^(-1/B595)-1</f>
        <v>0.0637346517703368</v>
      </c>
      <c r="I595" s="12" t="n">
        <f aca="false">(1+H595)^(1/12)-1</f>
        <v>0.00516210904140402</v>
      </c>
      <c r="J595" s="16" t="n">
        <f aca="false">IF(C595=0,(1+Dic2025!$M$6)^(-B595),EXP(LN(INDEX(Dic2025!$N$6:$N$205,C595))+(LN(INDEX(Dic2025!$N$6:$N$205,MIN(C595+1,200)))-LN(INDEX(Dic2025!$N$6:$N$205,C595)))*(A595-6*C595)/6))</f>
        <v>0.0476935485919496</v>
      </c>
      <c r="K595" s="12" t="n">
        <f aca="false">J595^(-1/B595)-1</f>
        <v>0.0637346517703368</v>
      </c>
      <c r="L595" s="12" t="n">
        <f aca="false">(1+K595)^(1/12)-1</f>
        <v>0.00516210904140402</v>
      </c>
    </row>
    <row r="596" customFormat="false" ht="15" hidden="false" customHeight="false" outlineLevel="0" collapsed="false">
      <c r="A596" s="4" t="n">
        <v>592</v>
      </c>
      <c r="B596" s="14" t="n">
        <f aca="false">A596/12</f>
        <v>49.3333333333333</v>
      </c>
      <c r="C596" s="15" t="n">
        <f aca="false">INT(A596/6)</f>
        <v>98</v>
      </c>
      <c r="D596" s="16" t="n">
        <f aca="false">IF(C596=0,(1+Dic2025!$G$6)^(-B596),EXP(LN(INDEX(Dic2025!$H$6:$H$205,C596))+(LN(INDEX(Dic2025!$H$6:$H$205,MIN(C596+1,200)))-LN(INDEX(Dic2025!$H$6:$H$205,C596)))*(A596-6*C596)/6))</f>
        <v>0.0474108670674168</v>
      </c>
      <c r="E596" s="12" t="n">
        <f aca="false">D596^(-1/B596)-1</f>
        <v>0.0637518120176621</v>
      </c>
      <c r="F596" s="12" t="n">
        <f aca="false">(1+E596)^(1/12)-1</f>
        <v>0.00516346031063497</v>
      </c>
      <c r="G596" s="16" t="n">
        <f aca="false">IF(C596=0,(1+Dic2025!$J$6)^(-B596),EXP(LN(INDEX(Dic2025!$K$6:$K$205,C596))+(LN(INDEX(Dic2025!$K$6:$K$205,MIN(C596+1,200)))-LN(INDEX(Dic2025!$K$6:$K$205,C596)))*(A596-6*C596)/6))</f>
        <v>0.0474108670674168</v>
      </c>
      <c r="H596" s="12" t="n">
        <f aca="false">G596^(-1/B596)-1</f>
        <v>0.0637518120176621</v>
      </c>
      <c r="I596" s="12" t="n">
        <f aca="false">(1+H596)^(1/12)-1</f>
        <v>0.00516346031063497</v>
      </c>
      <c r="J596" s="16" t="n">
        <f aca="false">IF(C596=0,(1+Dic2025!$M$6)^(-B596),EXP(LN(INDEX(Dic2025!$N$6:$N$205,C596))+(LN(INDEX(Dic2025!$N$6:$N$205,MIN(C596+1,200)))-LN(INDEX(Dic2025!$N$6:$N$205,C596)))*(A596-6*C596)/6))</f>
        <v>0.0474108670674168</v>
      </c>
      <c r="K596" s="12" t="n">
        <f aca="false">J596^(-1/B596)-1</f>
        <v>0.0637518120176621</v>
      </c>
      <c r="L596" s="12" t="n">
        <f aca="false">(1+K596)^(1/12)-1</f>
        <v>0.00516346031063497</v>
      </c>
    </row>
    <row r="597" customFormat="false" ht="15" hidden="false" customHeight="false" outlineLevel="0" collapsed="false">
      <c r="A597" s="4" t="n">
        <v>593</v>
      </c>
      <c r="B597" s="14" t="n">
        <f aca="false">A597/12</f>
        <v>49.4166666666667</v>
      </c>
      <c r="C597" s="15" t="n">
        <f aca="false">INT(A597/6)</f>
        <v>98</v>
      </c>
      <c r="D597" s="16" t="n">
        <f aca="false">IF(C597=0,(1+Dic2025!$G$6)^(-B597),EXP(LN(INDEX(Dic2025!$H$6:$H$205,C597))+(LN(INDEX(Dic2025!$H$6:$H$205,MIN(C597+1,200)))-LN(INDEX(Dic2025!$H$6:$H$205,C597)))*(A597-6*C597)/6))</f>
        <v>0.0471298610073162</v>
      </c>
      <c r="E597" s="12" t="n">
        <f aca="false">D597^(-1/B597)-1</f>
        <v>0.0637689146643738</v>
      </c>
      <c r="F597" s="12" t="n">
        <f aca="false">(1+E597)^(1/12)-1</f>
        <v>0.00516480702427291</v>
      </c>
      <c r="G597" s="16" t="n">
        <f aca="false">IF(C597=0,(1+Dic2025!$J$6)^(-B597),EXP(LN(INDEX(Dic2025!$K$6:$K$205,C597))+(LN(INDEX(Dic2025!$K$6:$K$205,MIN(C597+1,200)))-LN(INDEX(Dic2025!$K$6:$K$205,C597)))*(A597-6*C597)/6))</f>
        <v>0.0471298610073162</v>
      </c>
      <c r="H597" s="12" t="n">
        <f aca="false">G597^(-1/B597)-1</f>
        <v>0.0637689146643738</v>
      </c>
      <c r="I597" s="12" t="n">
        <f aca="false">(1+H597)^(1/12)-1</f>
        <v>0.00516480702427291</v>
      </c>
      <c r="J597" s="16" t="n">
        <f aca="false">IF(C597=0,(1+Dic2025!$M$6)^(-B597),EXP(LN(INDEX(Dic2025!$N$6:$N$205,C597))+(LN(INDEX(Dic2025!$N$6:$N$205,MIN(C597+1,200)))-LN(INDEX(Dic2025!$N$6:$N$205,C597)))*(A597-6*C597)/6))</f>
        <v>0.0471298610073162</v>
      </c>
      <c r="K597" s="12" t="n">
        <f aca="false">J597^(-1/B597)-1</f>
        <v>0.0637689146643738</v>
      </c>
      <c r="L597" s="12" t="n">
        <f aca="false">(1+K597)^(1/12)-1</f>
        <v>0.00516480702427291</v>
      </c>
    </row>
    <row r="598" customFormat="false" ht="15" hidden="false" customHeight="false" outlineLevel="0" collapsed="false">
      <c r="A598" s="4" t="n">
        <v>594</v>
      </c>
      <c r="B598" s="14" t="n">
        <f aca="false">A598/12</f>
        <v>49.5</v>
      </c>
      <c r="C598" s="15" t="n">
        <f aca="false">INT(A598/6)</f>
        <v>99</v>
      </c>
      <c r="D598" s="16" t="n">
        <f aca="false">IF(C598=0,(1+Dic2025!$G$6)^(-B598),EXP(LN(INDEX(Dic2025!$H$6:$H$205,C598))+(LN(INDEX(Dic2025!$H$6:$H$205,MIN(C598+1,200)))-LN(INDEX(Dic2025!$H$6:$H$205,C598)))*(A598-6*C598)/6))</f>
        <v>0.0468505204811047</v>
      </c>
      <c r="E598" s="12" t="n">
        <f aca="false">D598^(-1/B598)-1</f>
        <v>0.0637859600000001</v>
      </c>
      <c r="F598" s="12" t="n">
        <f aca="false">(1+E598)^(1/12)-1</f>
        <v>0.00516614920531677</v>
      </c>
      <c r="G598" s="16" t="n">
        <f aca="false">IF(C598=0,(1+Dic2025!$J$6)^(-B598),EXP(LN(INDEX(Dic2025!$K$6:$K$205,C598))+(LN(INDEX(Dic2025!$K$6:$K$205,MIN(C598+1,200)))-LN(INDEX(Dic2025!$K$6:$K$205,C598)))*(A598-6*C598)/6))</f>
        <v>0.0468505204811047</v>
      </c>
      <c r="H598" s="12" t="n">
        <f aca="false">G598^(-1/B598)-1</f>
        <v>0.0637859600000001</v>
      </c>
      <c r="I598" s="12" t="n">
        <f aca="false">(1+H598)^(1/12)-1</f>
        <v>0.00516614920531677</v>
      </c>
      <c r="J598" s="16" t="n">
        <f aca="false">IF(C598=0,(1+Dic2025!$M$6)^(-B598),EXP(LN(INDEX(Dic2025!$N$6:$N$205,C598))+(LN(INDEX(Dic2025!$N$6:$N$205,MIN(C598+1,200)))-LN(INDEX(Dic2025!$N$6:$N$205,C598)))*(A598-6*C598)/6))</f>
        <v>0.0468505204811047</v>
      </c>
      <c r="K598" s="12" t="n">
        <f aca="false">J598^(-1/B598)-1</f>
        <v>0.0637859600000001</v>
      </c>
      <c r="L598" s="12" t="n">
        <f aca="false">(1+K598)^(1/12)-1</f>
        <v>0.00516614920531677</v>
      </c>
    </row>
    <row r="599" customFormat="false" ht="15" hidden="false" customHeight="false" outlineLevel="0" collapsed="false">
      <c r="A599" s="4" t="n">
        <v>595</v>
      </c>
      <c r="B599" s="14" t="n">
        <f aca="false">A599/12</f>
        <v>49.5833333333333</v>
      </c>
      <c r="C599" s="15" t="n">
        <f aca="false">INT(A599/6)</f>
        <v>99</v>
      </c>
      <c r="D599" s="16" t="n">
        <f aca="false">IF(C599=0,(1+Dic2025!$G$6)^(-B599),EXP(LN(INDEX(Dic2025!$H$6:$H$205,C599))+(LN(INDEX(Dic2025!$H$6:$H$205,MIN(C599+1,200)))-LN(INDEX(Dic2025!$H$6:$H$205,C599)))*(A599-6*C599)/6))</f>
        <v>0.0466097276735241</v>
      </c>
      <c r="E599" s="12" t="n">
        <f aca="false">D599^(-1/B599)-1</f>
        <v>0.0637859600000001</v>
      </c>
      <c r="F599" s="12" t="n">
        <f aca="false">(1+E599)^(1/12)-1</f>
        <v>0.00516614920531677</v>
      </c>
      <c r="G599" s="16" t="n">
        <f aca="false">IF(C599=0,(1+Dic2025!$J$6)^(-B599),EXP(LN(INDEX(Dic2025!$K$6:$K$205,C599))+(LN(INDEX(Dic2025!$K$6:$K$205,MIN(C599+1,200)))-LN(INDEX(Dic2025!$K$6:$K$205,C599)))*(A599-6*C599)/6))</f>
        <v>0.0466097276735241</v>
      </c>
      <c r="H599" s="12" t="n">
        <f aca="false">G599^(-1/B599)-1</f>
        <v>0.0637859600000001</v>
      </c>
      <c r="I599" s="12" t="n">
        <f aca="false">(1+H599)^(1/12)-1</f>
        <v>0.00516614920531677</v>
      </c>
      <c r="J599" s="16" t="n">
        <f aca="false">IF(C599=0,(1+Dic2025!$M$6)^(-B599),EXP(LN(INDEX(Dic2025!$N$6:$N$205,C599))+(LN(INDEX(Dic2025!$N$6:$N$205,MIN(C599+1,200)))-LN(INDEX(Dic2025!$N$6:$N$205,C599)))*(A599-6*C599)/6))</f>
        <v>0.0466097276735241</v>
      </c>
      <c r="K599" s="12" t="n">
        <f aca="false">J599^(-1/B599)-1</f>
        <v>0.0637859600000001</v>
      </c>
      <c r="L599" s="12" t="n">
        <f aca="false">(1+K599)^(1/12)-1</f>
        <v>0.00516614920531677</v>
      </c>
    </row>
    <row r="600" customFormat="false" ht="15" hidden="false" customHeight="false" outlineLevel="0" collapsed="false">
      <c r="A600" s="4" t="n">
        <v>596</v>
      </c>
      <c r="B600" s="14" t="n">
        <f aca="false">A600/12</f>
        <v>49.6666666666667</v>
      </c>
      <c r="C600" s="15" t="n">
        <f aca="false">INT(A600/6)</f>
        <v>99</v>
      </c>
      <c r="D600" s="16" t="n">
        <f aca="false">IF(C600=0,(1+Dic2025!$G$6)^(-B600),EXP(LN(INDEX(Dic2025!$H$6:$H$205,C600))+(LN(INDEX(Dic2025!$H$6:$H$205,MIN(C600+1,200)))-LN(INDEX(Dic2025!$H$6:$H$205,C600)))*(A600-6*C600)/6))</f>
        <v>0.0463701724440021</v>
      </c>
      <c r="E600" s="12" t="n">
        <f aca="false">D600^(-1/B600)-1</f>
        <v>0.0637859600000001</v>
      </c>
      <c r="F600" s="12" t="n">
        <f aca="false">(1+E600)^(1/12)-1</f>
        <v>0.00516614920531677</v>
      </c>
      <c r="G600" s="16" t="n">
        <f aca="false">IF(C600=0,(1+Dic2025!$J$6)^(-B600),EXP(LN(INDEX(Dic2025!$K$6:$K$205,C600))+(LN(INDEX(Dic2025!$K$6:$K$205,MIN(C600+1,200)))-LN(INDEX(Dic2025!$K$6:$K$205,C600)))*(A600-6*C600)/6))</f>
        <v>0.0463701724440021</v>
      </c>
      <c r="H600" s="12" t="n">
        <f aca="false">G600^(-1/B600)-1</f>
        <v>0.0637859600000001</v>
      </c>
      <c r="I600" s="12" t="n">
        <f aca="false">(1+H600)^(1/12)-1</f>
        <v>0.00516614920531677</v>
      </c>
      <c r="J600" s="16" t="n">
        <f aca="false">IF(C600=0,(1+Dic2025!$M$6)^(-B600),EXP(LN(INDEX(Dic2025!$N$6:$N$205,C600))+(LN(INDEX(Dic2025!$N$6:$N$205,MIN(C600+1,200)))-LN(INDEX(Dic2025!$N$6:$N$205,C600)))*(A600-6*C600)/6))</f>
        <v>0.0463701724440021</v>
      </c>
      <c r="K600" s="12" t="n">
        <f aca="false">J600^(-1/B600)-1</f>
        <v>0.0637859600000001</v>
      </c>
      <c r="L600" s="12" t="n">
        <f aca="false">(1+K600)^(1/12)-1</f>
        <v>0.00516614920531677</v>
      </c>
    </row>
    <row r="601" customFormat="false" ht="15" hidden="false" customHeight="false" outlineLevel="0" collapsed="false">
      <c r="A601" s="4" t="n">
        <v>597</v>
      </c>
      <c r="B601" s="14" t="n">
        <f aca="false">A601/12</f>
        <v>49.75</v>
      </c>
      <c r="C601" s="15" t="n">
        <f aca="false">INT(A601/6)</f>
        <v>99</v>
      </c>
      <c r="D601" s="16" t="n">
        <f aca="false">IF(C601=0,(1+Dic2025!$G$6)^(-B601),EXP(LN(INDEX(Dic2025!$H$6:$H$205,C601))+(LN(INDEX(Dic2025!$H$6:$H$205,MIN(C601+1,200)))-LN(INDEX(Dic2025!$H$6:$H$205,C601)))*(A601-6*C601)/6))</f>
        <v>0.046131848431886</v>
      </c>
      <c r="E601" s="12" t="n">
        <f aca="false">D601^(-1/B601)-1</f>
        <v>0.0637859600000001</v>
      </c>
      <c r="F601" s="12" t="n">
        <f aca="false">(1+E601)^(1/12)-1</f>
        <v>0.00516614920531677</v>
      </c>
      <c r="G601" s="16" t="n">
        <f aca="false">IF(C601=0,(1+Dic2025!$J$6)^(-B601),EXP(LN(INDEX(Dic2025!$K$6:$K$205,C601))+(LN(INDEX(Dic2025!$K$6:$K$205,MIN(C601+1,200)))-LN(INDEX(Dic2025!$K$6:$K$205,C601)))*(A601-6*C601)/6))</f>
        <v>0.046131848431886</v>
      </c>
      <c r="H601" s="12" t="n">
        <f aca="false">G601^(-1/B601)-1</f>
        <v>0.0637859600000001</v>
      </c>
      <c r="I601" s="12" t="n">
        <f aca="false">(1+H601)^(1/12)-1</f>
        <v>0.00516614920531677</v>
      </c>
      <c r="J601" s="16" t="n">
        <f aca="false">IF(C601=0,(1+Dic2025!$M$6)^(-B601),EXP(LN(INDEX(Dic2025!$N$6:$N$205,C601))+(LN(INDEX(Dic2025!$N$6:$N$205,MIN(C601+1,200)))-LN(INDEX(Dic2025!$N$6:$N$205,C601)))*(A601-6*C601)/6))</f>
        <v>0.046131848431886</v>
      </c>
      <c r="K601" s="12" t="n">
        <f aca="false">J601^(-1/B601)-1</f>
        <v>0.0637859600000001</v>
      </c>
      <c r="L601" s="12" t="n">
        <f aca="false">(1+K601)^(1/12)-1</f>
        <v>0.00516614920531677</v>
      </c>
    </row>
    <row r="602" customFormat="false" ht="15" hidden="false" customHeight="false" outlineLevel="0" collapsed="false">
      <c r="A602" s="4" t="n">
        <v>598</v>
      </c>
      <c r="B602" s="14" t="n">
        <f aca="false">A602/12</f>
        <v>49.8333333333333</v>
      </c>
      <c r="C602" s="15" t="n">
        <f aca="false">INT(A602/6)</f>
        <v>99</v>
      </c>
      <c r="D602" s="16" t="n">
        <f aca="false">IF(C602=0,(1+Dic2025!$G$6)^(-B602),EXP(LN(INDEX(Dic2025!$H$6:$H$205,C602))+(LN(INDEX(Dic2025!$H$6:$H$205,MIN(C602+1,200)))-LN(INDEX(Dic2025!$H$6:$H$205,C602)))*(A602-6*C602)/6))</f>
        <v>0.0458947493092139</v>
      </c>
      <c r="E602" s="12" t="n">
        <f aca="false">D602^(-1/B602)-1</f>
        <v>0.0637859600000001</v>
      </c>
      <c r="F602" s="12" t="n">
        <f aca="false">(1+E602)^(1/12)-1</f>
        <v>0.00516614920531677</v>
      </c>
      <c r="G602" s="16" t="n">
        <f aca="false">IF(C602=0,(1+Dic2025!$J$6)^(-B602),EXP(LN(INDEX(Dic2025!$K$6:$K$205,C602))+(LN(INDEX(Dic2025!$K$6:$K$205,MIN(C602+1,200)))-LN(INDEX(Dic2025!$K$6:$K$205,C602)))*(A602-6*C602)/6))</f>
        <v>0.0458947493092139</v>
      </c>
      <c r="H602" s="12" t="n">
        <f aca="false">G602^(-1/B602)-1</f>
        <v>0.0637859600000001</v>
      </c>
      <c r="I602" s="12" t="n">
        <f aca="false">(1+H602)^(1/12)-1</f>
        <v>0.00516614920531677</v>
      </c>
      <c r="J602" s="16" t="n">
        <f aca="false">IF(C602=0,(1+Dic2025!$M$6)^(-B602),EXP(LN(INDEX(Dic2025!$N$6:$N$205,C602))+(LN(INDEX(Dic2025!$N$6:$N$205,MIN(C602+1,200)))-LN(INDEX(Dic2025!$N$6:$N$205,C602)))*(A602-6*C602)/6))</f>
        <v>0.0458947493092139</v>
      </c>
      <c r="K602" s="12" t="n">
        <f aca="false">J602^(-1/B602)-1</f>
        <v>0.0637859600000001</v>
      </c>
      <c r="L602" s="12" t="n">
        <f aca="false">(1+K602)^(1/12)-1</f>
        <v>0.00516614920531677</v>
      </c>
    </row>
    <row r="603" customFormat="false" ht="15" hidden="false" customHeight="false" outlineLevel="0" collapsed="false">
      <c r="A603" s="4" t="n">
        <v>599</v>
      </c>
      <c r="B603" s="14" t="n">
        <f aca="false">A603/12</f>
        <v>49.9166666666667</v>
      </c>
      <c r="C603" s="15" t="n">
        <f aca="false">INT(A603/6)</f>
        <v>99</v>
      </c>
      <c r="D603" s="16" t="n">
        <f aca="false">IF(C603=0,(1+Dic2025!$G$6)^(-B603),EXP(LN(INDEX(Dic2025!$H$6:$H$205,C603))+(LN(INDEX(Dic2025!$H$6:$H$205,MIN(C603+1,200)))-LN(INDEX(Dic2025!$H$6:$H$205,C603)))*(A603-6*C603)/6))</f>
        <v>0.0456588687805477</v>
      </c>
      <c r="E603" s="12" t="n">
        <f aca="false">D603^(-1/B603)-1</f>
        <v>0.0637859600000001</v>
      </c>
      <c r="F603" s="12" t="n">
        <f aca="false">(1+E603)^(1/12)-1</f>
        <v>0.00516614920531677</v>
      </c>
      <c r="G603" s="16" t="n">
        <f aca="false">IF(C603=0,(1+Dic2025!$J$6)^(-B603),EXP(LN(INDEX(Dic2025!$K$6:$K$205,C603))+(LN(INDEX(Dic2025!$K$6:$K$205,MIN(C603+1,200)))-LN(INDEX(Dic2025!$K$6:$K$205,C603)))*(A603-6*C603)/6))</f>
        <v>0.0456588687805477</v>
      </c>
      <c r="H603" s="12" t="n">
        <f aca="false">G603^(-1/B603)-1</f>
        <v>0.0637859600000001</v>
      </c>
      <c r="I603" s="12" t="n">
        <f aca="false">(1+H603)^(1/12)-1</f>
        <v>0.00516614920531677</v>
      </c>
      <c r="J603" s="16" t="n">
        <f aca="false">IF(C603=0,(1+Dic2025!$M$6)^(-B603),EXP(LN(INDEX(Dic2025!$N$6:$N$205,C603))+(LN(INDEX(Dic2025!$N$6:$N$205,MIN(C603+1,200)))-LN(INDEX(Dic2025!$N$6:$N$205,C603)))*(A603-6*C603)/6))</f>
        <v>0.0456588687805477</v>
      </c>
      <c r="K603" s="12" t="n">
        <f aca="false">J603^(-1/B603)-1</f>
        <v>0.0637859600000001</v>
      </c>
      <c r="L603" s="12" t="n">
        <f aca="false">(1+K603)^(1/12)-1</f>
        <v>0.00516614920531677</v>
      </c>
    </row>
    <row r="604" customFormat="false" ht="15" hidden="false" customHeight="false" outlineLevel="0" collapsed="false">
      <c r="A604" s="4" t="n">
        <v>600</v>
      </c>
      <c r="B604" s="14" t="n">
        <f aca="false">A604/12</f>
        <v>50</v>
      </c>
      <c r="C604" s="15" t="n">
        <f aca="false">INT(A604/6)</f>
        <v>100</v>
      </c>
      <c r="D604" s="16" t="n">
        <f aca="false">IF(C604=0,(1+Dic2025!$G$6)^(-B604),EXP(LN(INDEX(Dic2025!$H$6:$H$205,C604))+(LN(INDEX(Dic2025!$H$6:$H$205,MIN(C604+1,200)))-LN(INDEX(Dic2025!$H$6:$H$205,C604)))*(A604-6*C604)/6))</f>
        <v>0.0454242005828047</v>
      </c>
      <c r="E604" s="12" t="n">
        <f aca="false">D604^(-1/B604)-1</f>
        <v>0.0637859600000001</v>
      </c>
      <c r="F604" s="12" t="n">
        <f aca="false">(1+E604)^(1/12)-1</f>
        <v>0.00516614920531677</v>
      </c>
      <c r="G604" s="16" t="n">
        <f aca="false">IF(C604=0,(1+Dic2025!$J$6)^(-B604),EXP(LN(INDEX(Dic2025!$K$6:$K$205,C604))+(LN(INDEX(Dic2025!$K$6:$K$205,MIN(C604+1,200)))-LN(INDEX(Dic2025!$K$6:$K$205,C604)))*(A604-6*C604)/6))</f>
        <v>0.0454242005828047</v>
      </c>
      <c r="H604" s="12" t="n">
        <f aca="false">G604^(-1/B604)-1</f>
        <v>0.0637859600000001</v>
      </c>
      <c r="I604" s="12" t="n">
        <f aca="false">(1+H604)^(1/12)-1</f>
        <v>0.00516614920531677</v>
      </c>
      <c r="J604" s="16" t="n">
        <f aca="false">IF(C604=0,(1+Dic2025!$M$6)^(-B604),EXP(LN(INDEX(Dic2025!$N$6:$N$205,C604))+(LN(INDEX(Dic2025!$N$6:$N$205,MIN(C604+1,200)))-LN(INDEX(Dic2025!$N$6:$N$205,C604)))*(A604-6*C604)/6))</f>
        <v>0.0454242005828047</v>
      </c>
      <c r="K604" s="12" t="n">
        <f aca="false">J604^(-1/B604)-1</f>
        <v>0.0637859600000001</v>
      </c>
      <c r="L604" s="12" t="n">
        <f aca="false">(1+K604)^(1/12)-1</f>
        <v>0.00516614920531677</v>
      </c>
    </row>
    <row r="605" customFormat="false" ht="15" hidden="false" customHeight="false" outlineLevel="0" collapsed="false">
      <c r="A605" s="4" t="n">
        <v>601</v>
      </c>
      <c r="B605" s="14" t="n">
        <f aca="false">A605/12</f>
        <v>50.0833333333333</v>
      </c>
      <c r="C605" s="15" t="n">
        <f aca="false">INT(A605/6)</f>
        <v>100</v>
      </c>
      <c r="D605" s="16" t="n">
        <f aca="false">IF(C605=0,(1+Dic2025!$G$6)^(-B605),EXP(LN(INDEX(Dic2025!$H$6:$H$205,C605))+(LN(INDEX(Dic2025!$H$6:$H$205,MIN(C605+1,200)))-LN(INDEX(Dic2025!$H$6:$H$205,C605)))*(A605-6*C605)/6))</f>
        <v>0.0451538768388135</v>
      </c>
      <c r="E605" s="12" t="n">
        <f aca="false">D605^(-1/B605)-1</f>
        <v>0.0638032927327312</v>
      </c>
      <c r="F605" s="12" t="n">
        <f aca="false">(1+E605)^(1/12)-1</f>
        <v>0.00516751399632143</v>
      </c>
      <c r="G605" s="16" t="n">
        <f aca="false">IF(C605=0,(1+Dic2025!$J$6)^(-B605),EXP(LN(INDEX(Dic2025!$K$6:$K$205,C605))+(LN(INDEX(Dic2025!$K$6:$K$205,MIN(C605+1,200)))-LN(INDEX(Dic2025!$K$6:$K$205,C605)))*(A605-6*C605)/6))</f>
        <v>0.0451538768388135</v>
      </c>
      <c r="H605" s="12" t="n">
        <f aca="false">G605^(-1/B605)-1</f>
        <v>0.0638032927327312</v>
      </c>
      <c r="I605" s="12" t="n">
        <f aca="false">(1+H605)^(1/12)-1</f>
        <v>0.00516751399632143</v>
      </c>
      <c r="J605" s="16" t="n">
        <f aca="false">IF(C605=0,(1+Dic2025!$M$6)^(-B605),EXP(LN(INDEX(Dic2025!$N$6:$N$205,C605))+(LN(INDEX(Dic2025!$N$6:$N$205,MIN(C605+1,200)))-LN(INDEX(Dic2025!$N$6:$N$205,C605)))*(A605-6*C605)/6))</f>
        <v>0.0451538768388135</v>
      </c>
      <c r="K605" s="12" t="n">
        <f aca="false">J605^(-1/B605)-1</f>
        <v>0.0638032927327312</v>
      </c>
      <c r="L605" s="12" t="n">
        <f aca="false">(1+K605)^(1/12)-1</f>
        <v>0.00516751399632143</v>
      </c>
    </row>
    <row r="606" customFormat="false" ht="15" hidden="false" customHeight="false" outlineLevel="0" collapsed="false">
      <c r="A606" s="4" t="n">
        <v>602</v>
      </c>
      <c r="B606" s="14" t="n">
        <f aca="false">A606/12</f>
        <v>50.1666666666667</v>
      </c>
      <c r="C606" s="15" t="n">
        <f aca="false">INT(A606/6)</f>
        <v>100</v>
      </c>
      <c r="D606" s="16" t="n">
        <f aca="false">IF(C606=0,(1+Dic2025!$G$6)^(-B606),EXP(LN(INDEX(Dic2025!$H$6:$H$205,C606))+(LN(INDEX(Dic2025!$H$6:$H$205,MIN(C606+1,200)))-LN(INDEX(Dic2025!$H$6:$H$205,C606)))*(A606-6*C606)/6))</f>
        <v>0.0448851618171691</v>
      </c>
      <c r="E606" s="12" t="n">
        <f aca="false">D606^(-1/B606)-1</f>
        <v>0.0638205681626367</v>
      </c>
      <c r="F606" s="12" t="n">
        <f aca="false">(1+E606)^(1/12)-1</f>
        <v>0.00516887425498047</v>
      </c>
      <c r="G606" s="16" t="n">
        <f aca="false">IF(C606=0,(1+Dic2025!$J$6)^(-B606),EXP(LN(INDEX(Dic2025!$K$6:$K$205,C606))+(LN(INDEX(Dic2025!$K$6:$K$205,MIN(C606+1,200)))-LN(INDEX(Dic2025!$K$6:$K$205,C606)))*(A606-6*C606)/6))</f>
        <v>0.0448851618171691</v>
      </c>
      <c r="H606" s="12" t="n">
        <f aca="false">G606^(-1/B606)-1</f>
        <v>0.0638205681626367</v>
      </c>
      <c r="I606" s="12" t="n">
        <f aca="false">(1+H606)^(1/12)-1</f>
        <v>0.00516887425498047</v>
      </c>
      <c r="J606" s="16" t="n">
        <f aca="false">IF(C606=0,(1+Dic2025!$M$6)^(-B606),EXP(LN(INDEX(Dic2025!$N$6:$N$205,C606))+(LN(INDEX(Dic2025!$N$6:$N$205,MIN(C606+1,200)))-LN(INDEX(Dic2025!$N$6:$N$205,C606)))*(A606-6*C606)/6))</f>
        <v>0.0448851618171691</v>
      </c>
      <c r="K606" s="12" t="n">
        <f aca="false">J606^(-1/B606)-1</f>
        <v>0.0638205681626367</v>
      </c>
      <c r="L606" s="12" t="n">
        <f aca="false">(1+K606)^(1/12)-1</f>
        <v>0.00516887425498047</v>
      </c>
    </row>
    <row r="607" customFormat="false" ht="15" hidden="false" customHeight="false" outlineLevel="0" collapsed="false">
      <c r="A607" s="4" t="n">
        <v>603</v>
      </c>
      <c r="B607" s="14" t="n">
        <f aca="false">A607/12</f>
        <v>50.25</v>
      </c>
      <c r="C607" s="15" t="n">
        <f aca="false">INT(A607/6)</f>
        <v>100</v>
      </c>
      <c r="D607" s="16" t="n">
        <f aca="false">IF(C607=0,(1+Dic2025!$G$6)^(-B607),EXP(LN(INDEX(Dic2025!$H$6:$H$205,C607))+(LN(INDEX(Dic2025!$H$6:$H$205,MIN(C607+1,200)))-LN(INDEX(Dic2025!$H$6:$H$205,C607)))*(A607-6*C607)/6))</f>
        <v>0.0446180459442117</v>
      </c>
      <c r="E607" s="12" t="n">
        <f aca="false">D607^(-1/B607)-1</f>
        <v>0.0638377865734139</v>
      </c>
      <c r="F607" s="12" t="n">
        <f aca="false">(1+E607)^(1/12)-1</f>
        <v>0.0051702300038341</v>
      </c>
      <c r="G607" s="16" t="n">
        <f aca="false">IF(C607=0,(1+Dic2025!$J$6)^(-B607),EXP(LN(INDEX(Dic2025!$K$6:$K$205,C607))+(LN(INDEX(Dic2025!$K$6:$K$205,MIN(C607+1,200)))-LN(INDEX(Dic2025!$K$6:$K$205,C607)))*(A607-6*C607)/6))</f>
        <v>0.0446180459442117</v>
      </c>
      <c r="H607" s="12" t="n">
        <f aca="false">G607^(-1/B607)-1</f>
        <v>0.0638377865734139</v>
      </c>
      <c r="I607" s="12" t="n">
        <f aca="false">(1+H607)^(1/12)-1</f>
        <v>0.0051702300038341</v>
      </c>
      <c r="J607" s="16" t="n">
        <f aca="false">IF(C607=0,(1+Dic2025!$M$6)^(-B607),EXP(LN(INDEX(Dic2025!$N$6:$N$205,C607))+(LN(INDEX(Dic2025!$N$6:$N$205,MIN(C607+1,200)))-LN(INDEX(Dic2025!$N$6:$N$205,C607)))*(A607-6*C607)/6))</f>
        <v>0.0446180459442117</v>
      </c>
      <c r="K607" s="12" t="n">
        <f aca="false">J607^(-1/B607)-1</f>
        <v>0.0638377865734139</v>
      </c>
      <c r="L607" s="12" t="n">
        <f aca="false">(1+K607)^(1/12)-1</f>
        <v>0.0051702300038341</v>
      </c>
    </row>
    <row r="608" customFormat="false" ht="15" hidden="false" customHeight="false" outlineLevel="0" collapsed="false">
      <c r="A608" s="4" t="n">
        <v>604</v>
      </c>
      <c r="B608" s="14" t="n">
        <f aca="false">A608/12</f>
        <v>50.3333333333333</v>
      </c>
      <c r="C608" s="15" t="n">
        <f aca="false">INT(A608/6)</f>
        <v>100</v>
      </c>
      <c r="D608" s="16" t="n">
        <f aca="false">IF(C608=0,(1+Dic2025!$G$6)^(-B608),EXP(LN(INDEX(Dic2025!$H$6:$H$205,C608))+(LN(INDEX(Dic2025!$H$6:$H$205,MIN(C608+1,200)))-LN(INDEX(Dic2025!$H$6:$H$205,C608)))*(A608-6*C608)/6))</f>
        <v>0.0443525197032552</v>
      </c>
      <c r="E608" s="12" t="n">
        <f aca="false">D608^(-1/B608)-1</f>
        <v>0.0638549482468911</v>
      </c>
      <c r="F608" s="12" t="n">
        <f aca="false">(1+E608)^(1/12)-1</f>
        <v>0.0051715812652724</v>
      </c>
      <c r="G608" s="16" t="n">
        <f aca="false">IF(C608=0,(1+Dic2025!$J$6)^(-B608),EXP(LN(INDEX(Dic2025!$K$6:$K$205,C608))+(LN(INDEX(Dic2025!$K$6:$K$205,MIN(C608+1,200)))-LN(INDEX(Dic2025!$K$6:$K$205,C608)))*(A608-6*C608)/6))</f>
        <v>0.0443525197032552</v>
      </c>
      <c r="H608" s="12" t="n">
        <f aca="false">G608^(-1/B608)-1</f>
        <v>0.0638549482468911</v>
      </c>
      <c r="I608" s="12" t="n">
        <f aca="false">(1+H608)^(1/12)-1</f>
        <v>0.0051715812652724</v>
      </c>
      <c r="J608" s="16" t="n">
        <f aca="false">IF(C608=0,(1+Dic2025!$M$6)^(-B608),EXP(LN(INDEX(Dic2025!$N$6:$N$205,C608))+(LN(INDEX(Dic2025!$N$6:$N$205,MIN(C608+1,200)))-LN(INDEX(Dic2025!$N$6:$N$205,C608)))*(A608-6*C608)/6))</f>
        <v>0.0443525197032552</v>
      </c>
      <c r="K608" s="12" t="n">
        <f aca="false">J608^(-1/B608)-1</f>
        <v>0.0638549482468911</v>
      </c>
      <c r="L608" s="12" t="n">
        <f aca="false">(1+K608)^(1/12)-1</f>
        <v>0.0051715812652724</v>
      </c>
    </row>
    <row r="609" customFormat="false" ht="15" hidden="false" customHeight="false" outlineLevel="0" collapsed="false">
      <c r="A609" s="4" t="n">
        <v>605</v>
      </c>
      <c r="B609" s="14" t="n">
        <f aca="false">A609/12</f>
        <v>50.4166666666667</v>
      </c>
      <c r="C609" s="15" t="n">
        <f aca="false">INT(A609/6)</f>
        <v>100</v>
      </c>
      <c r="D609" s="16" t="n">
        <f aca="false">IF(C609=0,(1+Dic2025!$G$6)^(-B609),EXP(LN(INDEX(Dic2025!$H$6:$H$205,C609))+(LN(INDEX(Dic2025!$H$6:$H$205,MIN(C609+1,200)))-LN(INDEX(Dic2025!$H$6:$H$205,C609)))*(A609-6*C609)/6))</f>
        <v>0.0440885736342479</v>
      </c>
      <c r="E609" s="12" t="n">
        <f aca="false">D609^(-1/B609)-1</f>
        <v>0.0638720534630415</v>
      </c>
      <c r="F609" s="12" t="n">
        <f aca="false">(1+E609)^(1/12)-1</f>
        <v>0.00517292806153824</v>
      </c>
      <c r="G609" s="16" t="n">
        <f aca="false">IF(C609=0,(1+Dic2025!$J$6)^(-B609),EXP(LN(INDEX(Dic2025!$K$6:$K$205,C609))+(LN(INDEX(Dic2025!$K$6:$K$205,MIN(C609+1,200)))-LN(INDEX(Dic2025!$K$6:$K$205,C609)))*(A609-6*C609)/6))</f>
        <v>0.0440885736342479</v>
      </c>
      <c r="H609" s="12" t="n">
        <f aca="false">G609^(-1/B609)-1</f>
        <v>0.0638720534630415</v>
      </c>
      <c r="I609" s="12" t="n">
        <f aca="false">(1+H609)^(1/12)-1</f>
        <v>0.00517292806153824</v>
      </c>
      <c r="J609" s="16" t="n">
        <f aca="false">IF(C609=0,(1+Dic2025!$M$6)^(-B609),EXP(LN(INDEX(Dic2025!$N$6:$N$205,C609))+(LN(INDEX(Dic2025!$N$6:$N$205,MIN(C609+1,200)))-LN(INDEX(Dic2025!$N$6:$N$205,C609)))*(A609-6*C609)/6))</f>
        <v>0.0440885736342479</v>
      </c>
      <c r="K609" s="12" t="n">
        <f aca="false">J609^(-1/B609)-1</f>
        <v>0.0638720534630415</v>
      </c>
      <c r="L609" s="12" t="n">
        <f aca="false">(1+K609)^(1/12)-1</f>
        <v>0.00517292806153824</v>
      </c>
    </row>
    <row r="610" customFormat="false" ht="15" hidden="false" customHeight="false" outlineLevel="0" collapsed="false">
      <c r="A610" s="4" t="n">
        <v>606</v>
      </c>
      <c r="B610" s="14" t="n">
        <f aca="false">A610/12</f>
        <v>50.5</v>
      </c>
      <c r="C610" s="15" t="n">
        <f aca="false">INT(A610/6)</f>
        <v>101</v>
      </c>
      <c r="D610" s="16" t="n">
        <f aca="false">IF(C610=0,(1+Dic2025!$G$6)^(-B610),EXP(LN(INDEX(Dic2025!$H$6:$H$205,C610))+(LN(INDEX(Dic2025!$H$6:$H$205,MIN(C610+1,200)))-LN(INDEX(Dic2025!$H$6:$H$205,C610)))*(A610-6*C610)/6))</f>
        <v>0.0438261983334363</v>
      </c>
      <c r="E610" s="12" t="n">
        <f aca="false">D610^(-1/B610)-1</f>
        <v>0.0638891024999999</v>
      </c>
      <c r="F610" s="12" t="n">
        <f aca="false">(1+E610)^(1/12)-1</f>
        <v>0.00517427041472773</v>
      </c>
      <c r="G610" s="16" t="n">
        <f aca="false">IF(C610=0,(1+Dic2025!$J$6)^(-B610),EXP(LN(INDEX(Dic2025!$K$6:$K$205,C610))+(LN(INDEX(Dic2025!$K$6:$K$205,MIN(C610+1,200)))-LN(INDEX(Dic2025!$K$6:$K$205,C610)))*(A610-6*C610)/6))</f>
        <v>0.0438261983334363</v>
      </c>
      <c r="H610" s="12" t="n">
        <f aca="false">G610^(-1/B610)-1</f>
        <v>0.0638891024999999</v>
      </c>
      <c r="I610" s="12" t="n">
        <f aca="false">(1+H610)^(1/12)-1</f>
        <v>0.00517427041472773</v>
      </c>
      <c r="J610" s="16" t="n">
        <f aca="false">IF(C610=0,(1+Dic2025!$M$6)^(-B610),EXP(LN(INDEX(Dic2025!$N$6:$N$205,C610))+(LN(INDEX(Dic2025!$N$6:$N$205,MIN(C610+1,200)))-LN(INDEX(Dic2025!$N$6:$N$205,C610)))*(A610-6*C610)/6))</f>
        <v>0.0438261983334363</v>
      </c>
      <c r="K610" s="12" t="n">
        <f aca="false">J610^(-1/B610)-1</f>
        <v>0.0638891024999999</v>
      </c>
      <c r="L610" s="12" t="n">
        <f aca="false">(1+K610)^(1/12)-1</f>
        <v>0.00517427041472773</v>
      </c>
    </row>
    <row r="611" customFormat="false" ht="15" hidden="false" customHeight="false" outlineLevel="0" collapsed="false">
      <c r="A611" s="4" t="n">
        <v>607</v>
      </c>
      <c r="B611" s="14" t="n">
        <f aca="false">A611/12</f>
        <v>50.5833333333333</v>
      </c>
      <c r="C611" s="15" t="n">
        <f aca="false">INT(A611/6)</f>
        <v>101</v>
      </c>
      <c r="D611" s="16" t="n">
        <f aca="false">IF(C611=0,(1+Dic2025!$G$6)^(-B611),EXP(LN(INDEX(Dic2025!$H$6:$H$205,C611))+(LN(INDEX(Dic2025!$H$6:$H$205,MIN(C611+1,200)))-LN(INDEX(Dic2025!$H$6:$H$205,C611)))*(A611-6*C611)/6))</f>
        <v>0.0436005970540352</v>
      </c>
      <c r="E611" s="12" t="n">
        <f aca="false">D611^(-1/B611)-1</f>
        <v>0.0638891024999999</v>
      </c>
      <c r="F611" s="12" t="n">
        <f aca="false">(1+E611)^(1/12)-1</f>
        <v>0.00517427041472773</v>
      </c>
      <c r="G611" s="16" t="n">
        <f aca="false">IF(C611=0,(1+Dic2025!$J$6)^(-B611),EXP(LN(INDEX(Dic2025!$K$6:$K$205,C611))+(LN(INDEX(Dic2025!$K$6:$K$205,MIN(C611+1,200)))-LN(INDEX(Dic2025!$K$6:$K$205,C611)))*(A611-6*C611)/6))</f>
        <v>0.0436005970540352</v>
      </c>
      <c r="H611" s="12" t="n">
        <f aca="false">G611^(-1/B611)-1</f>
        <v>0.0638891024999999</v>
      </c>
      <c r="I611" s="12" t="n">
        <f aca="false">(1+H611)^(1/12)-1</f>
        <v>0.00517427041472773</v>
      </c>
      <c r="J611" s="16" t="n">
        <f aca="false">IF(C611=0,(1+Dic2025!$M$6)^(-B611),EXP(LN(INDEX(Dic2025!$N$6:$N$205,C611))+(LN(INDEX(Dic2025!$N$6:$N$205,MIN(C611+1,200)))-LN(INDEX(Dic2025!$N$6:$N$205,C611)))*(A611-6*C611)/6))</f>
        <v>0.0436005970540352</v>
      </c>
      <c r="K611" s="12" t="n">
        <f aca="false">J611^(-1/B611)-1</f>
        <v>0.0638891024999999</v>
      </c>
      <c r="L611" s="12" t="n">
        <f aca="false">(1+K611)^(1/12)-1</f>
        <v>0.00517427041472773</v>
      </c>
    </row>
    <row r="612" customFormat="false" ht="15" hidden="false" customHeight="false" outlineLevel="0" collapsed="false">
      <c r="A612" s="4" t="n">
        <v>608</v>
      </c>
      <c r="B612" s="14" t="n">
        <f aca="false">A612/12</f>
        <v>50.6666666666667</v>
      </c>
      <c r="C612" s="15" t="n">
        <f aca="false">INT(A612/6)</f>
        <v>101</v>
      </c>
      <c r="D612" s="16" t="n">
        <f aca="false">IF(C612=0,(1+Dic2025!$G$6)^(-B612),EXP(LN(INDEX(Dic2025!$H$6:$H$205,C612))+(LN(INDEX(Dic2025!$H$6:$H$205,MIN(C612+1,200)))-LN(INDEX(Dic2025!$H$6:$H$205,C612)))*(A612-6*C612)/6))</f>
        <v>0.0433761570877116</v>
      </c>
      <c r="E612" s="12" t="n">
        <f aca="false">D612^(-1/B612)-1</f>
        <v>0.0638891024999999</v>
      </c>
      <c r="F612" s="12" t="n">
        <f aca="false">(1+E612)^(1/12)-1</f>
        <v>0.00517427041472773</v>
      </c>
      <c r="G612" s="16" t="n">
        <f aca="false">IF(C612=0,(1+Dic2025!$J$6)^(-B612),EXP(LN(INDEX(Dic2025!$K$6:$K$205,C612))+(LN(INDEX(Dic2025!$K$6:$K$205,MIN(C612+1,200)))-LN(INDEX(Dic2025!$K$6:$K$205,C612)))*(A612-6*C612)/6))</f>
        <v>0.0433761570877116</v>
      </c>
      <c r="H612" s="12" t="n">
        <f aca="false">G612^(-1/B612)-1</f>
        <v>0.0638891024999999</v>
      </c>
      <c r="I612" s="12" t="n">
        <f aca="false">(1+H612)^(1/12)-1</f>
        <v>0.00517427041472773</v>
      </c>
      <c r="J612" s="16" t="n">
        <f aca="false">IF(C612=0,(1+Dic2025!$M$6)^(-B612),EXP(LN(INDEX(Dic2025!$N$6:$N$205,C612))+(LN(INDEX(Dic2025!$N$6:$N$205,MIN(C612+1,200)))-LN(INDEX(Dic2025!$N$6:$N$205,C612)))*(A612-6*C612)/6))</f>
        <v>0.0433761570877116</v>
      </c>
      <c r="K612" s="12" t="n">
        <f aca="false">J612^(-1/B612)-1</f>
        <v>0.0638891024999999</v>
      </c>
      <c r="L612" s="12" t="n">
        <f aca="false">(1+K612)^(1/12)-1</f>
        <v>0.00517427041472773</v>
      </c>
    </row>
    <row r="613" customFormat="false" ht="15" hidden="false" customHeight="false" outlineLevel="0" collapsed="false">
      <c r="A613" s="4" t="n">
        <v>609</v>
      </c>
      <c r="B613" s="14" t="n">
        <f aca="false">A613/12</f>
        <v>50.75</v>
      </c>
      <c r="C613" s="15" t="n">
        <f aca="false">INT(A613/6)</f>
        <v>101</v>
      </c>
      <c r="D613" s="16" t="n">
        <f aca="false">IF(C613=0,(1+Dic2025!$G$6)^(-B613),EXP(LN(INDEX(Dic2025!$H$6:$H$205,C613))+(LN(INDEX(Dic2025!$H$6:$H$205,MIN(C613+1,200)))-LN(INDEX(Dic2025!$H$6:$H$205,C613)))*(A613-6*C613)/6))</f>
        <v>0.0431528724564497</v>
      </c>
      <c r="E613" s="12" t="n">
        <f aca="false">D613^(-1/B613)-1</f>
        <v>0.0638891024999999</v>
      </c>
      <c r="F613" s="12" t="n">
        <f aca="false">(1+E613)^(1/12)-1</f>
        <v>0.00517427041472773</v>
      </c>
      <c r="G613" s="16" t="n">
        <f aca="false">IF(C613=0,(1+Dic2025!$J$6)^(-B613),EXP(LN(INDEX(Dic2025!$K$6:$K$205,C613))+(LN(INDEX(Dic2025!$K$6:$K$205,MIN(C613+1,200)))-LN(INDEX(Dic2025!$K$6:$K$205,C613)))*(A613-6*C613)/6))</f>
        <v>0.0431528724564497</v>
      </c>
      <c r="H613" s="12" t="n">
        <f aca="false">G613^(-1/B613)-1</f>
        <v>0.0638891024999999</v>
      </c>
      <c r="I613" s="12" t="n">
        <f aca="false">(1+H613)^(1/12)-1</f>
        <v>0.00517427041472773</v>
      </c>
      <c r="J613" s="16" t="n">
        <f aca="false">IF(C613=0,(1+Dic2025!$M$6)^(-B613),EXP(LN(INDEX(Dic2025!$N$6:$N$205,C613))+(LN(INDEX(Dic2025!$N$6:$N$205,MIN(C613+1,200)))-LN(INDEX(Dic2025!$N$6:$N$205,C613)))*(A613-6*C613)/6))</f>
        <v>0.0431528724564497</v>
      </c>
      <c r="K613" s="12" t="n">
        <f aca="false">J613^(-1/B613)-1</f>
        <v>0.0638891024999999</v>
      </c>
      <c r="L613" s="12" t="n">
        <f aca="false">(1+K613)^(1/12)-1</f>
        <v>0.00517427041472773</v>
      </c>
    </row>
    <row r="614" customFormat="false" ht="15" hidden="false" customHeight="false" outlineLevel="0" collapsed="false">
      <c r="A614" s="4" t="n">
        <v>610</v>
      </c>
      <c r="B614" s="14" t="n">
        <f aca="false">A614/12</f>
        <v>50.8333333333333</v>
      </c>
      <c r="C614" s="15" t="n">
        <f aca="false">INT(A614/6)</f>
        <v>101</v>
      </c>
      <c r="D614" s="16" t="n">
        <f aca="false">IF(C614=0,(1+Dic2025!$G$6)^(-B614),EXP(LN(INDEX(Dic2025!$H$6:$H$205,C614))+(LN(INDEX(Dic2025!$H$6:$H$205,MIN(C614+1,200)))-LN(INDEX(Dic2025!$H$6:$H$205,C614)))*(A614-6*C614)/6))</f>
        <v>0.042930737213006</v>
      </c>
      <c r="E614" s="12" t="n">
        <f aca="false">D614^(-1/B614)-1</f>
        <v>0.0638891024999999</v>
      </c>
      <c r="F614" s="12" t="n">
        <f aca="false">(1+E614)^(1/12)-1</f>
        <v>0.00517427041472773</v>
      </c>
      <c r="G614" s="16" t="n">
        <f aca="false">IF(C614=0,(1+Dic2025!$J$6)^(-B614),EXP(LN(INDEX(Dic2025!$K$6:$K$205,C614))+(LN(INDEX(Dic2025!$K$6:$K$205,MIN(C614+1,200)))-LN(INDEX(Dic2025!$K$6:$K$205,C614)))*(A614-6*C614)/6))</f>
        <v>0.042930737213006</v>
      </c>
      <c r="H614" s="12" t="n">
        <f aca="false">G614^(-1/B614)-1</f>
        <v>0.0638891024999999</v>
      </c>
      <c r="I614" s="12" t="n">
        <f aca="false">(1+H614)^(1/12)-1</f>
        <v>0.00517427041472773</v>
      </c>
      <c r="J614" s="16" t="n">
        <f aca="false">IF(C614=0,(1+Dic2025!$M$6)^(-B614),EXP(LN(INDEX(Dic2025!$N$6:$N$205,C614))+(LN(INDEX(Dic2025!$N$6:$N$205,MIN(C614+1,200)))-LN(INDEX(Dic2025!$N$6:$N$205,C614)))*(A614-6*C614)/6))</f>
        <v>0.042930737213006</v>
      </c>
      <c r="K614" s="12" t="n">
        <f aca="false">J614^(-1/B614)-1</f>
        <v>0.0638891024999999</v>
      </c>
      <c r="L614" s="12" t="n">
        <f aca="false">(1+K614)^(1/12)-1</f>
        <v>0.00517427041472773</v>
      </c>
    </row>
    <row r="615" customFormat="false" ht="15" hidden="false" customHeight="false" outlineLevel="0" collapsed="false">
      <c r="A615" s="4" t="n">
        <v>611</v>
      </c>
      <c r="B615" s="14" t="n">
        <f aca="false">A615/12</f>
        <v>50.9166666666667</v>
      </c>
      <c r="C615" s="15" t="n">
        <f aca="false">INT(A615/6)</f>
        <v>101</v>
      </c>
      <c r="D615" s="16" t="n">
        <f aca="false">IF(C615=0,(1+Dic2025!$G$6)^(-B615),EXP(LN(INDEX(Dic2025!$H$6:$H$205,C615))+(LN(INDEX(Dic2025!$H$6:$H$205,MIN(C615+1,200)))-LN(INDEX(Dic2025!$H$6:$H$205,C615)))*(A615-6*C615)/6))</f>
        <v>0.0427097454407514</v>
      </c>
      <c r="E615" s="12" t="n">
        <f aca="false">D615^(-1/B615)-1</f>
        <v>0.0638891024999999</v>
      </c>
      <c r="F615" s="12" t="n">
        <f aca="false">(1+E615)^(1/12)-1</f>
        <v>0.00517427041472773</v>
      </c>
      <c r="G615" s="16" t="n">
        <f aca="false">IF(C615=0,(1+Dic2025!$J$6)^(-B615),EXP(LN(INDEX(Dic2025!$K$6:$K$205,C615))+(LN(INDEX(Dic2025!$K$6:$K$205,MIN(C615+1,200)))-LN(INDEX(Dic2025!$K$6:$K$205,C615)))*(A615-6*C615)/6))</f>
        <v>0.0427097454407514</v>
      </c>
      <c r="H615" s="12" t="n">
        <f aca="false">G615^(-1/B615)-1</f>
        <v>0.0638891024999999</v>
      </c>
      <c r="I615" s="12" t="n">
        <f aca="false">(1+H615)^(1/12)-1</f>
        <v>0.00517427041472773</v>
      </c>
      <c r="J615" s="16" t="n">
        <f aca="false">IF(C615=0,(1+Dic2025!$M$6)^(-B615),EXP(LN(INDEX(Dic2025!$N$6:$N$205,C615))+(LN(INDEX(Dic2025!$N$6:$N$205,MIN(C615+1,200)))-LN(INDEX(Dic2025!$N$6:$N$205,C615)))*(A615-6*C615)/6))</f>
        <v>0.0427097454407514</v>
      </c>
      <c r="K615" s="12" t="n">
        <f aca="false">J615^(-1/B615)-1</f>
        <v>0.0638891024999999</v>
      </c>
      <c r="L615" s="12" t="n">
        <f aca="false">(1+K615)^(1/12)-1</f>
        <v>0.00517427041472773</v>
      </c>
    </row>
    <row r="616" customFormat="false" ht="15" hidden="false" customHeight="false" outlineLevel="0" collapsed="false">
      <c r="A616" s="4" t="n">
        <v>612</v>
      </c>
      <c r="B616" s="14" t="n">
        <f aca="false">A616/12</f>
        <v>51</v>
      </c>
      <c r="C616" s="15" t="n">
        <f aca="false">INT(A616/6)</f>
        <v>102</v>
      </c>
      <c r="D616" s="16" t="n">
        <f aca="false">IF(C616=0,(1+Dic2025!$G$6)^(-B616),EXP(LN(INDEX(Dic2025!$H$6:$H$205,C616))+(LN(INDEX(Dic2025!$H$6:$H$205,MIN(C616+1,200)))-LN(INDEX(Dic2025!$H$6:$H$205,C616)))*(A616-6*C616)/6))</f>
        <v>0.0424898912535133</v>
      </c>
      <c r="E616" s="12" t="n">
        <f aca="false">D616^(-1/B616)-1</f>
        <v>0.0638891024999999</v>
      </c>
      <c r="F616" s="12" t="n">
        <f aca="false">(1+E616)^(1/12)-1</f>
        <v>0.00517427041472773</v>
      </c>
      <c r="G616" s="16" t="n">
        <f aca="false">IF(C616=0,(1+Dic2025!$J$6)^(-B616),EXP(LN(INDEX(Dic2025!$K$6:$K$205,C616))+(LN(INDEX(Dic2025!$K$6:$K$205,MIN(C616+1,200)))-LN(INDEX(Dic2025!$K$6:$K$205,C616)))*(A616-6*C616)/6))</f>
        <v>0.0424898912535133</v>
      </c>
      <c r="H616" s="12" t="n">
        <f aca="false">G616^(-1/B616)-1</f>
        <v>0.0638891024999999</v>
      </c>
      <c r="I616" s="12" t="n">
        <f aca="false">(1+H616)^(1/12)-1</f>
        <v>0.00517427041472773</v>
      </c>
      <c r="J616" s="16" t="n">
        <f aca="false">IF(C616=0,(1+Dic2025!$M$6)^(-B616),EXP(LN(INDEX(Dic2025!$N$6:$N$205,C616))+(LN(INDEX(Dic2025!$N$6:$N$205,MIN(C616+1,200)))-LN(INDEX(Dic2025!$N$6:$N$205,C616)))*(A616-6*C616)/6))</f>
        <v>0.0424898912535133</v>
      </c>
      <c r="K616" s="12" t="n">
        <f aca="false">J616^(-1/B616)-1</f>
        <v>0.0638891024999999</v>
      </c>
      <c r="L616" s="12" t="n">
        <f aca="false">(1+K616)^(1/12)-1</f>
        <v>0.00517427041472773</v>
      </c>
    </row>
    <row r="617" customFormat="false" ht="15" hidden="false" customHeight="false" outlineLevel="0" collapsed="false">
      <c r="A617" s="4" t="n">
        <v>613</v>
      </c>
      <c r="B617" s="14" t="n">
        <f aca="false">A617/12</f>
        <v>51.0833333333333</v>
      </c>
      <c r="C617" s="15" t="n">
        <f aca="false">INT(A617/6)</f>
        <v>102</v>
      </c>
      <c r="D617" s="16" t="n">
        <f aca="false">IF(C617=0,(1+Dic2025!$G$6)^(-B617),EXP(LN(INDEX(Dic2025!$H$6:$H$205,C617))+(LN(INDEX(Dic2025!$H$6:$H$205,MIN(C617+1,200)))-LN(INDEX(Dic2025!$H$6:$H$205,C617)))*(A617-6*C617)/6))</f>
        <v>0.0422711687954192</v>
      </c>
      <c r="E617" s="12" t="n">
        <f aca="false">D617^(-1/B617)-1</f>
        <v>0.0638891024999999</v>
      </c>
      <c r="F617" s="12" t="n">
        <f aca="false">(1+E617)^(1/12)-1</f>
        <v>0.00517427041472773</v>
      </c>
      <c r="G617" s="16" t="n">
        <f aca="false">IF(C617=0,(1+Dic2025!$J$6)^(-B617),EXP(LN(INDEX(Dic2025!$K$6:$K$205,C617))+(LN(INDEX(Dic2025!$K$6:$K$205,MIN(C617+1,200)))-LN(INDEX(Dic2025!$K$6:$K$205,C617)))*(A617-6*C617)/6))</f>
        <v>0.0422711687954192</v>
      </c>
      <c r="H617" s="12" t="n">
        <f aca="false">G617^(-1/B617)-1</f>
        <v>0.0638891024999999</v>
      </c>
      <c r="I617" s="12" t="n">
        <f aca="false">(1+H617)^(1/12)-1</f>
        <v>0.00517427041472773</v>
      </c>
      <c r="J617" s="16" t="n">
        <f aca="false">IF(C617=0,(1+Dic2025!$M$6)^(-B617),EXP(LN(INDEX(Dic2025!$N$6:$N$205,C617))+(LN(INDEX(Dic2025!$N$6:$N$205,MIN(C617+1,200)))-LN(INDEX(Dic2025!$N$6:$N$205,C617)))*(A617-6*C617)/6))</f>
        <v>0.0422711687954192</v>
      </c>
      <c r="K617" s="12" t="n">
        <f aca="false">J617^(-1/B617)-1</f>
        <v>0.0638891024999999</v>
      </c>
      <c r="L617" s="12" t="n">
        <f aca="false">(1+K617)^(1/12)-1</f>
        <v>0.00517427041472773</v>
      </c>
    </row>
    <row r="618" customFormat="false" ht="15" hidden="false" customHeight="false" outlineLevel="0" collapsed="false">
      <c r="A618" s="4" t="n">
        <v>614</v>
      </c>
      <c r="B618" s="14" t="n">
        <f aca="false">A618/12</f>
        <v>51.1666666666667</v>
      </c>
      <c r="C618" s="15" t="n">
        <f aca="false">INT(A618/6)</f>
        <v>102</v>
      </c>
      <c r="D618" s="16" t="n">
        <f aca="false">IF(C618=0,(1+Dic2025!$G$6)^(-B618),EXP(LN(INDEX(Dic2025!$H$6:$H$205,C618))+(LN(INDEX(Dic2025!$H$6:$H$205,MIN(C618+1,200)))-LN(INDEX(Dic2025!$H$6:$H$205,C618)))*(A618-6*C618)/6))</f>
        <v>0.0420535722407403</v>
      </c>
      <c r="E618" s="12" t="n">
        <f aca="false">D618^(-1/B618)-1</f>
        <v>0.0638891024999999</v>
      </c>
      <c r="F618" s="12" t="n">
        <f aca="false">(1+E618)^(1/12)-1</f>
        <v>0.00517427041472773</v>
      </c>
      <c r="G618" s="16" t="n">
        <f aca="false">IF(C618=0,(1+Dic2025!$J$6)^(-B618),EXP(LN(INDEX(Dic2025!$K$6:$K$205,C618))+(LN(INDEX(Dic2025!$K$6:$K$205,MIN(C618+1,200)))-LN(INDEX(Dic2025!$K$6:$K$205,C618)))*(A618-6*C618)/6))</f>
        <v>0.0420535722407403</v>
      </c>
      <c r="H618" s="12" t="n">
        <f aca="false">G618^(-1/B618)-1</f>
        <v>0.0638891024999999</v>
      </c>
      <c r="I618" s="12" t="n">
        <f aca="false">(1+H618)^(1/12)-1</f>
        <v>0.00517427041472773</v>
      </c>
      <c r="J618" s="16" t="n">
        <f aca="false">IF(C618=0,(1+Dic2025!$M$6)^(-B618),EXP(LN(INDEX(Dic2025!$N$6:$N$205,C618))+(LN(INDEX(Dic2025!$N$6:$N$205,MIN(C618+1,200)))-LN(INDEX(Dic2025!$N$6:$N$205,C618)))*(A618-6*C618)/6))</f>
        <v>0.0420535722407403</v>
      </c>
      <c r="K618" s="12" t="n">
        <f aca="false">J618^(-1/B618)-1</f>
        <v>0.0638891024999999</v>
      </c>
      <c r="L618" s="12" t="n">
        <f aca="false">(1+K618)^(1/12)-1</f>
        <v>0.00517427041472773</v>
      </c>
    </row>
    <row r="619" customFormat="false" ht="15" hidden="false" customHeight="false" outlineLevel="0" collapsed="false">
      <c r="A619" s="4" t="n">
        <v>615</v>
      </c>
      <c r="B619" s="14" t="n">
        <f aca="false">A619/12</f>
        <v>51.25</v>
      </c>
      <c r="C619" s="15" t="n">
        <f aca="false">INT(A619/6)</f>
        <v>102</v>
      </c>
      <c r="D619" s="16" t="n">
        <f aca="false">IF(C619=0,(1+Dic2025!$G$6)^(-B619),EXP(LN(INDEX(Dic2025!$H$6:$H$205,C619))+(LN(INDEX(Dic2025!$H$6:$H$205,MIN(C619+1,200)))-LN(INDEX(Dic2025!$H$6:$H$205,C619)))*(A619-6*C619)/6))</f>
        <v>0.0418370957937367</v>
      </c>
      <c r="E619" s="12" t="n">
        <f aca="false">D619^(-1/B619)-1</f>
        <v>0.0638891024999999</v>
      </c>
      <c r="F619" s="12" t="n">
        <f aca="false">(1+E619)^(1/12)-1</f>
        <v>0.00517427041472773</v>
      </c>
      <c r="G619" s="16" t="n">
        <f aca="false">IF(C619=0,(1+Dic2025!$J$6)^(-B619),EXP(LN(INDEX(Dic2025!$K$6:$K$205,C619))+(LN(INDEX(Dic2025!$K$6:$K$205,MIN(C619+1,200)))-LN(INDEX(Dic2025!$K$6:$K$205,C619)))*(A619-6*C619)/6))</f>
        <v>0.0418370957937367</v>
      </c>
      <c r="H619" s="12" t="n">
        <f aca="false">G619^(-1/B619)-1</f>
        <v>0.0638891024999999</v>
      </c>
      <c r="I619" s="12" t="n">
        <f aca="false">(1+H619)^(1/12)-1</f>
        <v>0.00517427041472773</v>
      </c>
      <c r="J619" s="16" t="n">
        <f aca="false">IF(C619=0,(1+Dic2025!$M$6)^(-B619),EXP(LN(INDEX(Dic2025!$N$6:$N$205,C619))+(LN(INDEX(Dic2025!$N$6:$N$205,MIN(C619+1,200)))-LN(INDEX(Dic2025!$N$6:$N$205,C619)))*(A619-6*C619)/6))</f>
        <v>0.0418370957937367</v>
      </c>
      <c r="K619" s="12" t="n">
        <f aca="false">J619^(-1/B619)-1</f>
        <v>0.0638891024999999</v>
      </c>
      <c r="L619" s="12" t="n">
        <f aca="false">(1+K619)^(1/12)-1</f>
        <v>0.00517427041472773</v>
      </c>
    </row>
    <row r="620" customFormat="false" ht="15" hidden="false" customHeight="false" outlineLevel="0" collapsed="false">
      <c r="A620" s="4" t="n">
        <v>616</v>
      </c>
      <c r="B620" s="14" t="n">
        <f aca="false">A620/12</f>
        <v>51.3333333333333</v>
      </c>
      <c r="C620" s="15" t="n">
        <f aca="false">INT(A620/6)</f>
        <v>102</v>
      </c>
      <c r="D620" s="16" t="n">
        <f aca="false">IF(C620=0,(1+Dic2025!$G$6)^(-B620),EXP(LN(INDEX(Dic2025!$H$6:$H$205,C620))+(LN(INDEX(Dic2025!$H$6:$H$205,MIN(C620+1,200)))-LN(INDEX(Dic2025!$H$6:$H$205,C620)))*(A620-6*C620)/6))</f>
        <v>0.0416217336885026</v>
      </c>
      <c r="E620" s="12" t="n">
        <f aca="false">D620^(-1/B620)-1</f>
        <v>0.0638891024999999</v>
      </c>
      <c r="F620" s="12" t="n">
        <f aca="false">(1+E620)^(1/12)-1</f>
        <v>0.00517427041472773</v>
      </c>
      <c r="G620" s="16" t="n">
        <f aca="false">IF(C620=0,(1+Dic2025!$J$6)^(-B620),EXP(LN(INDEX(Dic2025!$K$6:$K$205,C620))+(LN(INDEX(Dic2025!$K$6:$K$205,MIN(C620+1,200)))-LN(INDEX(Dic2025!$K$6:$K$205,C620)))*(A620-6*C620)/6))</f>
        <v>0.0416217336885026</v>
      </c>
      <c r="H620" s="12" t="n">
        <f aca="false">G620^(-1/B620)-1</f>
        <v>0.0638891024999999</v>
      </c>
      <c r="I620" s="12" t="n">
        <f aca="false">(1+H620)^(1/12)-1</f>
        <v>0.00517427041472773</v>
      </c>
      <c r="J620" s="16" t="n">
        <f aca="false">IF(C620=0,(1+Dic2025!$M$6)^(-B620),EXP(LN(INDEX(Dic2025!$N$6:$N$205,C620))+(LN(INDEX(Dic2025!$N$6:$N$205,MIN(C620+1,200)))-LN(INDEX(Dic2025!$N$6:$N$205,C620)))*(A620-6*C620)/6))</f>
        <v>0.0416217336885026</v>
      </c>
      <c r="K620" s="12" t="n">
        <f aca="false">J620^(-1/B620)-1</f>
        <v>0.0638891024999999</v>
      </c>
      <c r="L620" s="12" t="n">
        <f aca="false">(1+K620)^(1/12)-1</f>
        <v>0.00517427041472773</v>
      </c>
    </row>
    <row r="621" customFormat="false" ht="15" hidden="false" customHeight="false" outlineLevel="0" collapsed="false">
      <c r="A621" s="4" t="n">
        <v>617</v>
      </c>
      <c r="B621" s="14" t="n">
        <f aca="false">A621/12</f>
        <v>51.4166666666667</v>
      </c>
      <c r="C621" s="15" t="n">
        <f aca="false">INT(A621/6)</f>
        <v>102</v>
      </c>
      <c r="D621" s="16" t="n">
        <f aca="false">IF(C621=0,(1+Dic2025!$G$6)^(-B621),EXP(LN(INDEX(Dic2025!$H$6:$H$205,C621))+(LN(INDEX(Dic2025!$H$6:$H$205,MIN(C621+1,200)))-LN(INDEX(Dic2025!$H$6:$H$205,C621)))*(A621-6*C621)/6))</f>
        <v>0.0414074801888132</v>
      </c>
      <c r="E621" s="12" t="n">
        <f aca="false">D621^(-1/B621)-1</f>
        <v>0.0638891024999999</v>
      </c>
      <c r="F621" s="12" t="n">
        <f aca="false">(1+E621)^(1/12)-1</f>
        <v>0.00517427041472773</v>
      </c>
      <c r="G621" s="16" t="n">
        <f aca="false">IF(C621=0,(1+Dic2025!$J$6)^(-B621),EXP(LN(INDEX(Dic2025!$K$6:$K$205,C621))+(LN(INDEX(Dic2025!$K$6:$K$205,MIN(C621+1,200)))-LN(INDEX(Dic2025!$K$6:$K$205,C621)))*(A621-6*C621)/6))</f>
        <v>0.0414074801888132</v>
      </c>
      <c r="H621" s="12" t="n">
        <f aca="false">G621^(-1/B621)-1</f>
        <v>0.0638891024999999</v>
      </c>
      <c r="I621" s="12" t="n">
        <f aca="false">(1+H621)^(1/12)-1</f>
        <v>0.00517427041472773</v>
      </c>
      <c r="J621" s="16" t="n">
        <f aca="false">IF(C621=0,(1+Dic2025!$M$6)^(-B621),EXP(LN(INDEX(Dic2025!$N$6:$N$205,C621))+(LN(INDEX(Dic2025!$N$6:$N$205,MIN(C621+1,200)))-LN(INDEX(Dic2025!$N$6:$N$205,C621)))*(A621-6*C621)/6))</f>
        <v>0.0414074801888132</v>
      </c>
      <c r="K621" s="12" t="n">
        <f aca="false">J621^(-1/B621)-1</f>
        <v>0.0638891024999999</v>
      </c>
      <c r="L621" s="12" t="n">
        <f aca="false">(1+K621)^(1/12)-1</f>
        <v>0.00517427041472773</v>
      </c>
    </row>
    <row r="622" customFormat="false" ht="15" hidden="false" customHeight="false" outlineLevel="0" collapsed="false">
      <c r="A622" s="4" t="n">
        <v>618</v>
      </c>
      <c r="B622" s="14" t="n">
        <f aca="false">A622/12</f>
        <v>51.5</v>
      </c>
      <c r="C622" s="15" t="n">
        <f aca="false">INT(A622/6)</f>
        <v>103</v>
      </c>
      <c r="D622" s="16" t="n">
        <f aca="false">IF(C622=0,(1+Dic2025!$G$6)^(-B622),EXP(LN(INDEX(Dic2025!$H$6:$H$205,C622))+(LN(INDEX(Dic2025!$H$6:$H$205,MIN(C622+1,200)))-LN(INDEX(Dic2025!$H$6:$H$205,C622)))*(A622-6*C622)/6))</f>
        <v>0.0411943295879716</v>
      </c>
      <c r="E622" s="12" t="n">
        <f aca="false">D622^(-1/B622)-1</f>
        <v>0.0638891024999999</v>
      </c>
      <c r="F622" s="12" t="n">
        <f aca="false">(1+E622)^(1/12)-1</f>
        <v>0.00517427041472773</v>
      </c>
      <c r="G622" s="16" t="n">
        <f aca="false">IF(C622=0,(1+Dic2025!$J$6)^(-B622),EXP(LN(INDEX(Dic2025!$K$6:$K$205,C622))+(LN(INDEX(Dic2025!$K$6:$K$205,MIN(C622+1,200)))-LN(INDEX(Dic2025!$K$6:$K$205,C622)))*(A622-6*C622)/6))</f>
        <v>0.0411943295879716</v>
      </c>
      <c r="H622" s="12" t="n">
        <f aca="false">G622^(-1/B622)-1</f>
        <v>0.0638891024999999</v>
      </c>
      <c r="I622" s="12" t="n">
        <f aca="false">(1+H622)^(1/12)-1</f>
        <v>0.00517427041472773</v>
      </c>
      <c r="J622" s="16" t="n">
        <f aca="false">IF(C622=0,(1+Dic2025!$M$6)^(-B622),EXP(LN(INDEX(Dic2025!$N$6:$N$205,C622))+(LN(INDEX(Dic2025!$N$6:$N$205,MIN(C622+1,200)))-LN(INDEX(Dic2025!$N$6:$N$205,C622)))*(A622-6*C622)/6))</f>
        <v>0.0411943295879716</v>
      </c>
      <c r="K622" s="12" t="n">
        <f aca="false">J622^(-1/B622)-1</f>
        <v>0.0638891024999999</v>
      </c>
      <c r="L622" s="12" t="n">
        <f aca="false">(1+K622)^(1/12)-1</f>
        <v>0.00517427041472773</v>
      </c>
    </row>
    <row r="623" customFormat="false" ht="15" hidden="false" customHeight="false" outlineLevel="0" collapsed="false">
      <c r="A623" s="4" t="n">
        <v>619</v>
      </c>
      <c r="B623" s="14" t="n">
        <f aca="false">A623/12</f>
        <v>51.5833333333333</v>
      </c>
      <c r="C623" s="15" t="n">
        <f aca="false">INT(A623/6)</f>
        <v>103</v>
      </c>
      <c r="D623" s="16" t="n">
        <f aca="false">IF(C623=0,(1+Dic2025!$G$6)^(-B623),EXP(LN(INDEX(Dic2025!$H$6:$H$205,C623))+(LN(INDEX(Dic2025!$H$6:$H$205,MIN(C623+1,200)))-LN(INDEX(Dic2025!$H$6:$H$205,C623)))*(A623-6*C623)/6))</f>
        <v>0.0409478565131421</v>
      </c>
      <c r="E623" s="12" t="n">
        <f aca="false">D623^(-1/B623)-1</f>
        <v>0.0639064319141702</v>
      </c>
      <c r="F623" s="12" t="n">
        <f aca="false">(1+E623)^(1/12)-1</f>
        <v>0.00517563482316397</v>
      </c>
      <c r="G623" s="16" t="n">
        <f aca="false">IF(C623=0,(1+Dic2025!$J$6)^(-B623),EXP(LN(INDEX(Dic2025!$K$6:$K$205,C623))+(LN(INDEX(Dic2025!$K$6:$K$205,MIN(C623+1,200)))-LN(INDEX(Dic2025!$K$6:$K$205,C623)))*(A623-6*C623)/6))</f>
        <v>0.0409478565131421</v>
      </c>
      <c r="H623" s="12" t="n">
        <f aca="false">G623^(-1/B623)-1</f>
        <v>0.0639064319141702</v>
      </c>
      <c r="I623" s="12" t="n">
        <f aca="false">(1+H623)^(1/12)-1</f>
        <v>0.00517563482316397</v>
      </c>
      <c r="J623" s="16" t="n">
        <f aca="false">IF(C623=0,(1+Dic2025!$M$6)^(-B623),EXP(LN(INDEX(Dic2025!$N$6:$N$205,C623))+(LN(INDEX(Dic2025!$N$6:$N$205,MIN(C623+1,200)))-LN(INDEX(Dic2025!$N$6:$N$205,C623)))*(A623-6*C623)/6))</f>
        <v>0.0409478565131421</v>
      </c>
      <c r="K623" s="12" t="n">
        <f aca="false">J623^(-1/B623)-1</f>
        <v>0.0639064319141702</v>
      </c>
      <c r="L623" s="12" t="n">
        <f aca="false">(1+K623)^(1/12)-1</f>
        <v>0.00517563482316397</v>
      </c>
    </row>
    <row r="624" customFormat="false" ht="15" hidden="false" customHeight="false" outlineLevel="0" collapsed="false">
      <c r="A624" s="4" t="n">
        <v>620</v>
      </c>
      <c r="B624" s="14" t="n">
        <f aca="false">A624/12</f>
        <v>51.6666666666667</v>
      </c>
      <c r="C624" s="15" t="n">
        <f aca="false">INT(A624/6)</f>
        <v>103</v>
      </c>
      <c r="D624" s="16" t="n">
        <f aca="false">IF(C624=0,(1+Dic2025!$G$6)^(-B624),EXP(LN(INDEX(Dic2025!$H$6:$H$205,C624))+(LN(INDEX(Dic2025!$H$6:$H$205,MIN(C624+1,200)))-LN(INDEX(Dic2025!$H$6:$H$205,C624)))*(A624-6*C624)/6))</f>
        <v>0.0407028581310004</v>
      </c>
      <c r="E624" s="12" t="n">
        <f aca="false">D624^(-1/B624)-1</f>
        <v>0.0639237057079143</v>
      </c>
      <c r="F624" s="12" t="n">
        <f aca="false">(1+E624)^(1/12)-1</f>
        <v>0.00517699483212586</v>
      </c>
      <c r="G624" s="16" t="n">
        <f aca="false">IF(C624=0,(1+Dic2025!$J$6)^(-B624),EXP(LN(INDEX(Dic2025!$K$6:$K$205,C624))+(LN(INDEX(Dic2025!$K$6:$K$205,MIN(C624+1,200)))-LN(INDEX(Dic2025!$K$6:$K$205,C624)))*(A624-6*C624)/6))</f>
        <v>0.0407028581310004</v>
      </c>
      <c r="H624" s="12" t="n">
        <f aca="false">G624^(-1/B624)-1</f>
        <v>0.0639237057079143</v>
      </c>
      <c r="I624" s="12" t="n">
        <f aca="false">(1+H624)^(1/12)-1</f>
        <v>0.00517699483212586</v>
      </c>
      <c r="J624" s="16" t="n">
        <f aca="false">IF(C624=0,(1+Dic2025!$M$6)^(-B624),EXP(LN(INDEX(Dic2025!$N$6:$N$205,C624))+(LN(INDEX(Dic2025!$N$6:$N$205,MIN(C624+1,200)))-LN(INDEX(Dic2025!$N$6:$N$205,C624)))*(A624-6*C624)/6))</f>
        <v>0.0407028581310004</v>
      </c>
      <c r="K624" s="12" t="n">
        <f aca="false">J624^(-1/B624)-1</f>
        <v>0.0639237057079143</v>
      </c>
      <c r="L624" s="12" t="n">
        <f aca="false">(1+K624)^(1/12)-1</f>
        <v>0.00517699483212586</v>
      </c>
    </row>
    <row r="625" customFormat="false" ht="15" hidden="false" customHeight="false" outlineLevel="0" collapsed="false">
      <c r="A625" s="4" t="n">
        <v>621</v>
      </c>
      <c r="B625" s="14" t="n">
        <f aca="false">A625/12</f>
        <v>51.75</v>
      </c>
      <c r="C625" s="15" t="n">
        <f aca="false">INT(A625/6)</f>
        <v>103</v>
      </c>
      <c r="D625" s="16" t="n">
        <f aca="false">IF(C625=0,(1+Dic2025!$G$6)^(-B625),EXP(LN(INDEX(Dic2025!$H$6:$H$205,C625))+(LN(INDEX(Dic2025!$H$6:$H$205,MIN(C625+1,200)))-LN(INDEX(Dic2025!$H$6:$H$205,C625)))*(A625-6*C625)/6))</f>
        <v>0.0404593256181949</v>
      </c>
      <c r="E625" s="12" t="n">
        <f aca="false">D625^(-1/B625)-1</f>
        <v>0.0639409241485798</v>
      </c>
      <c r="F625" s="12" t="n">
        <f aca="false">(1+E625)^(1/12)-1</f>
        <v>0.00517835046285797</v>
      </c>
      <c r="G625" s="16" t="n">
        <f aca="false">IF(C625=0,(1+Dic2025!$J$6)^(-B625),EXP(LN(INDEX(Dic2025!$K$6:$K$205,C625))+(LN(INDEX(Dic2025!$K$6:$K$205,MIN(C625+1,200)))-LN(INDEX(Dic2025!$K$6:$K$205,C625)))*(A625-6*C625)/6))</f>
        <v>0.0404593256181949</v>
      </c>
      <c r="H625" s="12" t="n">
        <f aca="false">G625^(-1/B625)-1</f>
        <v>0.0639409241485798</v>
      </c>
      <c r="I625" s="12" t="n">
        <f aca="false">(1+H625)^(1/12)-1</f>
        <v>0.00517835046285797</v>
      </c>
      <c r="J625" s="16" t="n">
        <f aca="false">IF(C625=0,(1+Dic2025!$M$6)^(-B625),EXP(LN(INDEX(Dic2025!$N$6:$N$205,C625))+(LN(INDEX(Dic2025!$N$6:$N$205,MIN(C625+1,200)))-LN(INDEX(Dic2025!$N$6:$N$205,C625)))*(A625-6*C625)/6))</f>
        <v>0.0404593256181949</v>
      </c>
      <c r="K625" s="12" t="n">
        <f aca="false">J625^(-1/B625)-1</f>
        <v>0.0639409241485798</v>
      </c>
      <c r="L625" s="12" t="n">
        <f aca="false">(1+K625)^(1/12)-1</f>
        <v>0.00517835046285797</v>
      </c>
    </row>
    <row r="626" customFormat="false" ht="15" hidden="false" customHeight="false" outlineLevel="0" collapsed="false">
      <c r="A626" s="4" t="n">
        <v>622</v>
      </c>
      <c r="B626" s="14" t="n">
        <f aca="false">A626/12</f>
        <v>51.8333333333333</v>
      </c>
      <c r="C626" s="15" t="n">
        <f aca="false">INT(A626/6)</f>
        <v>103</v>
      </c>
      <c r="D626" s="16" t="n">
        <f aca="false">IF(C626=0,(1+Dic2025!$G$6)^(-B626),EXP(LN(INDEX(Dic2025!$H$6:$H$205,C626))+(LN(INDEX(Dic2025!$H$6:$H$205,MIN(C626+1,200)))-LN(INDEX(Dic2025!$H$6:$H$205,C626)))*(A626-6*C626)/6))</f>
        <v>0.0402172502041663</v>
      </c>
      <c r="E626" s="12" t="n">
        <f aca="false">D626^(-1/B626)-1</f>
        <v>0.0639580875018033</v>
      </c>
      <c r="F626" s="12" t="n">
        <f aca="false">(1+E626)^(1/12)-1</f>
        <v>0.00517970173646809</v>
      </c>
      <c r="G626" s="16" t="n">
        <f aca="false">IF(C626=0,(1+Dic2025!$J$6)^(-B626),EXP(LN(INDEX(Dic2025!$K$6:$K$205,C626))+(LN(INDEX(Dic2025!$K$6:$K$205,MIN(C626+1,200)))-LN(INDEX(Dic2025!$K$6:$K$205,C626)))*(A626-6*C626)/6))</f>
        <v>0.0402172502041663</v>
      </c>
      <c r="H626" s="12" t="n">
        <f aca="false">G626^(-1/B626)-1</f>
        <v>0.0639580875018033</v>
      </c>
      <c r="I626" s="12" t="n">
        <f aca="false">(1+H626)^(1/12)-1</f>
        <v>0.00517970173646809</v>
      </c>
      <c r="J626" s="16" t="n">
        <f aca="false">IF(C626=0,(1+Dic2025!$M$6)^(-B626),EXP(LN(INDEX(Dic2025!$N$6:$N$205,C626))+(LN(INDEX(Dic2025!$N$6:$N$205,MIN(C626+1,200)))-LN(INDEX(Dic2025!$N$6:$N$205,C626)))*(A626-6*C626)/6))</f>
        <v>0.0402172502041663</v>
      </c>
      <c r="K626" s="12" t="n">
        <f aca="false">J626^(-1/B626)-1</f>
        <v>0.0639580875018033</v>
      </c>
      <c r="L626" s="12" t="n">
        <f aca="false">(1+K626)^(1/12)-1</f>
        <v>0.00517970173646809</v>
      </c>
    </row>
    <row r="627" customFormat="false" ht="15" hidden="false" customHeight="false" outlineLevel="0" collapsed="false">
      <c r="A627" s="4" t="n">
        <v>623</v>
      </c>
      <c r="B627" s="14" t="n">
        <f aca="false">A627/12</f>
        <v>51.9166666666667</v>
      </c>
      <c r="C627" s="15" t="n">
        <f aca="false">INT(A627/6)</f>
        <v>103</v>
      </c>
      <c r="D627" s="16" t="n">
        <f aca="false">IF(C627=0,(1+Dic2025!$G$6)^(-B627),EXP(LN(INDEX(Dic2025!$H$6:$H$205,C627))+(LN(INDEX(Dic2025!$H$6:$H$205,MIN(C627+1,200)))-LN(INDEX(Dic2025!$H$6:$H$205,C627)))*(A627-6*C627)/6))</f>
        <v>0.0399766231708306</v>
      </c>
      <c r="E627" s="12" t="n">
        <f aca="false">D627^(-1/B627)-1</f>
        <v>0.0639751960315247</v>
      </c>
      <c r="F627" s="12" t="n">
        <f aca="false">(1+E627)^(1/12)-1</f>
        <v>0.00518104867392921</v>
      </c>
      <c r="G627" s="16" t="n">
        <f aca="false">IF(C627=0,(1+Dic2025!$J$6)^(-B627),EXP(LN(INDEX(Dic2025!$K$6:$K$205,C627))+(LN(INDEX(Dic2025!$K$6:$K$205,MIN(C627+1,200)))-LN(INDEX(Dic2025!$K$6:$K$205,C627)))*(A627-6*C627)/6))</f>
        <v>0.0399766231708306</v>
      </c>
      <c r="H627" s="12" t="n">
        <f aca="false">G627^(-1/B627)-1</f>
        <v>0.0639751960315247</v>
      </c>
      <c r="I627" s="12" t="n">
        <f aca="false">(1+H627)^(1/12)-1</f>
        <v>0.00518104867392921</v>
      </c>
      <c r="J627" s="16" t="n">
        <f aca="false">IF(C627=0,(1+Dic2025!$M$6)^(-B627),EXP(LN(INDEX(Dic2025!$N$6:$N$205,C627))+(LN(INDEX(Dic2025!$N$6:$N$205,MIN(C627+1,200)))-LN(INDEX(Dic2025!$N$6:$N$205,C627)))*(A627-6*C627)/6))</f>
        <v>0.0399766231708306</v>
      </c>
      <c r="K627" s="12" t="n">
        <f aca="false">J627^(-1/B627)-1</f>
        <v>0.0639751960315247</v>
      </c>
      <c r="L627" s="12" t="n">
        <f aca="false">(1+K627)^(1/12)-1</f>
        <v>0.00518104867392921</v>
      </c>
    </row>
    <row r="628" customFormat="false" ht="15" hidden="false" customHeight="false" outlineLevel="0" collapsed="false">
      <c r="A628" s="4" t="n">
        <v>624</v>
      </c>
      <c r="B628" s="14" t="n">
        <f aca="false">A628/12</f>
        <v>52</v>
      </c>
      <c r="C628" s="15" t="n">
        <f aca="false">INT(A628/6)</f>
        <v>104</v>
      </c>
      <c r="D628" s="16" t="n">
        <f aca="false">IF(C628=0,(1+Dic2025!$G$6)^(-B628),EXP(LN(INDEX(Dic2025!$H$6:$H$205,C628))+(LN(INDEX(Dic2025!$H$6:$H$205,MIN(C628+1,200)))-LN(INDEX(Dic2025!$H$6:$H$205,C628)))*(A628-6*C628)/6))</f>
        <v>0.039737435852266</v>
      </c>
      <c r="E628" s="12" t="n">
        <f aca="false">D628^(-1/B628)-1</f>
        <v>0.0639922500000001</v>
      </c>
      <c r="F628" s="12" t="n">
        <f aca="false">(1+E628)^(1/12)-1</f>
        <v>0.00518239129607911</v>
      </c>
      <c r="G628" s="16" t="n">
        <f aca="false">IF(C628=0,(1+Dic2025!$J$6)^(-B628),EXP(LN(INDEX(Dic2025!$K$6:$K$205,C628))+(LN(INDEX(Dic2025!$K$6:$K$205,MIN(C628+1,200)))-LN(INDEX(Dic2025!$K$6:$K$205,C628)))*(A628-6*C628)/6))</f>
        <v>0.039737435852266</v>
      </c>
      <c r="H628" s="12" t="n">
        <f aca="false">G628^(-1/B628)-1</f>
        <v>0.0639922500000001</v>
      </c>
      <c r="I628" s="12" t="n">
        <f aca="false">(1+H628)^(1/12)-1</f>
        <v>0.00518239129607911</v>
      </c>
      <c r="J628" s="16" t="n">
        <f aca="false">IF(C628=0,(1+Dic2025!$M$6)^(-B628),EXP(LN(INDEX(Dic2025!$N$6:$N$205,C628))+(LN(INDEX(Dic2025!$N$6:$N$205,MIN(C628+1,200)))-LN(INDEX(Dic2025!$N$6:$N$205,C628)))*(A628-6*C628)/6))</f>
        <v>0.039737435852266</v>
      </c>
      <c r="K628" s="12" t="n">
        <f aca="false">J628^(-1/B628)-1</f>
        <v>0.0639922500000001</v>
      </c>
      <c r="L628" s="12" t="n">
        <f aca="false">(1+K628)^(1/12)-1</f>
        <v>0.00518239129607911</v>
      </c>
    </row>
    <row r="629" customFormat="false" ht="15" hidden="false" customHeight="false" outlineLevel="0" collapsed="false">
      <c r="A629" s="4" t="n">
        <v>625</v>
      </c>
      <c r="B629" s="14" t="n">
        <f aca="false">A629/12</f>
        <v>52.0833333333333</v>
      </c>
      <c r="C629" s="15" t="n">
        <f aca="false">INT(A629/6)</f>
        <v>104</v>
      </c>
      <c r="D629" s="16" t="n">
        <f aca="false">IF(C629=0,(1+Dic2025!$G$6)^(-B629),EXP(LN(INDEX(Dic2025!$H$6:$H$205,C629))+(LN(INDEX(Dic2025!$H$6:$H$205,MIN(C629+1,200)))-LN(INDEX(Dic2025!$H$6:$H$205,C629)))*(A629-6*C629)/6))</f>
        <v>0.0395325626437095</v>
      </c>
      <c r="E629" s="12" t="n">
        <f aca="false">D629^(-1/B629)-1</f>
        <v>0.0639922500000001</v>
      </c>
      <c r="F629" s="12" t="n">
        <f aca="false">(1+E629)^(1/12)-1</f>
        <v>0.00518239129607911</v>
      </c>
      <c r="G629" s="16" t="n">
        <f aca="false">IF(C629=0,(1+Dic2025!$J$6)^(-B629),EXP(LN(INDEX(Dic2025!$K$6:$K$205,C629))+(LN(INDEX(Dic2025!$K$6:$K$205,MIN(C629+1,200)))-LN(INDEX(Dic2025!$K$6:$K$205,C629)))*(A629-6*C629)/6))</f>
        <v>0.0395325626437095</v>
      </c>
      <c r="H629" s="12" t="n">
        <f aca="false">G629^(-1/B629)-1</f>
        <v>0.0639922500000001</v>
      </c>
      <c r="I629" s="12" t="n">
        <f aca="false">(1+H629)^(1/12)-1</f>
        <v>0.00518239129607911</v>
      </c>
      <c r="J629" s="16" t="n">
        <f aca="false">IF(C629=0,(1+Dic2025!$M$6)^(-B629),EXP(LN(INDEX(Dic2025!$N$6:$N$205,C629))+(LN(INDEX(Dic2025!$N$6:$N$205,MIN(C629+1,200)))-LN(INDEX(Dic2025!$N$6:$N$205,C629)))*(A629-6*C629)/6))</f>
        <v>0.0395325626437095</v>
      </c>
      <c r="K629" s="12" t="n">
        <f aca="false">J629^(-1/B629)-1</f>
        <v>0.0639922500000001</v>
      </c>
      <c r="L629" s="12" t="n">
        <f aca="false">(1+K629)^(1/12)-1</f>
        <v>0.00518239129607911</v>
      </c>
    </row>
    <row r="630" customFormat="false" ht="15" hidden="false" customHeight="false" outlineLevel="0" collapsed="false">
      <c r="A630" s="4" t="n">
        <v>626</v>
      </c>
      <c r="B630" s="14" t="n">
        <f aca="false">A630/12</f>
        <v>52.1666666666667</v>
      </c>
      <c r="C630" s="15" t="n">
        <f aca="false">INT(A630/6)</f>
        <v>104</v>
      </c>
      <c r="D630" s="16" t="n">
        <f aca="false">IF(C630=0,(1+Dic2025!$G$6)^(-B630),EXP(LN(INDEX(Dic2025!$H$6:$H$205,C630))+(LN(INDEX(Dic2025!$H$6:$H$205,MIN(C630+1,200)))-LN(INDEX(Dic2025!$H$6:$H$205,C630)))*(A630-6*C630)/6))</f>
        <v>0.0393287456943375</v>
      </c>
      <c r="E630" s="12" t="n">
        <f aca="false">D630^(-1/B630)-1</f>
        <v>0.0639922500000001</v>
      </c>
      <c r="F630" s="12" t="n">
        <f aca="false">(1+E630)^(1/12)-1</f>
        <v>0.00518239129607911</v>
      </c>
      <c r="G630" s="16" t="n">
        <f aca="false">IF(C630=0,(1+Dic2025!$J$6)^(-B630),EXP(LN(INDEX(Dic2025!$K$6:$K$205,C630))+(LN(INDEX(Dic2025!$K$6:$K$205,MIN(C630+1,200)))-LN(INDEX(Dic2025!$K$6:$K$205,C630)))*(A630-6*C630)/6))</f>
        <v>0.0393287456943375</v>
      </c>
      <c r="H630" s="12" t="n">
        <f aca="false">G630^(-1/B630)-1</f>
        <v>0.0639922500000001</v>
      </c>
      <c r="I630" s="12" t="n">
        <f aca="false">(1+H630)^(1/12)-1</f>
        <v>0.00518239129607911</v>
      </c>
      <c r="J630" s="16" t="n">
        <f aca="false">IF(C630=0,(1+Dic2025!$M$6)^(-B630),EXP(LN(INDEX(Dic2025!$N$6:$N$205,C630))+(LN(INDEX(Dic2025!$N$6:$N$205,MIN(C630+1,200)))-LN(INDEX(Dic2025!$N$6:$N$205,C630)))*(A630-6*C630)/6))</f>
        <v>0.0393287456943375</v>
      </c>
      <c r="K630" s="12" t="n">
        <f aca="false">J630^(-1/B630)-1</f>
        <v>0.0639922500000001</v>
      </c>
      <c r="L630" s="12" t="n">
        <f aca="false">(1+K630)^(1/12)-1</f>
        <v>0.00518239129607911</v>
      </c>
    </row>
    <row r="631" customFormat="false" ht="15" hidden="false" customHeight="false" outlineLevel="0" collapsed="false">
      <c r="A631" s="4" t="n">
        <v>627</v>
      </c>
      <c r="B631" s="14" t="n">
        <f aca="false">A631/12</f>
        <v>52.25</v>
      </c>
      <c r="C631" s="15" t="n">
        <f aca="false">INT(A631/6)</f>
        <v>104</v>
      </c>
      <c r="D631" s="16" t="n">
        <f aca="false">IF(C631=0,(1+Dic2025!$G$6)^(-B631),EXP(LN(INDEX(Dic2025!$H$6:$H$205,C631))+(LN(INDEX(Dic2025!$H$6:$H$205,MIN(C631+1,200)))-LN(INDEX(Dic2025!$H$6:$H$205,C631)))*(A631-6*C631)/6))</f>
        <v>0.0391259795584233</v>
      </c>
      <c r="E631" s="12" t="n">
        <f aca="false">D631^(-1/B631)-1</f>
        <v>0.0639922500000001</v>
      </c>
      <c r="F631" s="12" t="n">
        <f aca="false">(1+E631)^(1/12)-1</f>
        <v>0.00518239129607911</v>
      </c>
      <c r="G631" s="16" t="n">
        <f aca="false">IF(C631=0,(1+Dic2025!$J$6)^(-B631),EXP(LN(INDEX(Dic2025!$K$6:$K$205,C631))+(LN(INDEX(Dic2025!$K$6:$K$205,MIN(C631+1,200)))-LN(INDEX(Dic2025!$K$6:$K$205,C631)))*(A631-6*C631)/6))</f>
        <v>0.0391259795584233</v>
      </c>
      <c r="H631" s="12" t="n">
        <f aca="false">G631^(-1/B631)-1</f>
        <v>0.0639922500000001</v>
      </c>
      <c r="I631" s="12" t="n">
        <f aca="false">(1+H631)^(1/12)-1</f>
        <v>0.00518239129607911</v>
      </c>
      <c r="J631" s="16" t="n">
        <f aca="false">IF(C631=0,(1+Dic2025!$M$6)^(-B631),EXP(LN(INDEX(Dic2025!$N$6:$N$205,C631))+(LN(INDEX(Dic2025!$N$6:$N$205,MIN(C631+1,200)))-LN(INDEX(Dic2025!$N$6:$N$205,C631)))*(A631-6*C631)/6))</f>
        <v>0.0391259795584233</v>
      </c>
      <c r="K631" s="12" t="n">
        <f aca="false">J631^(-1/B631)-1</f>
        <v>0.0639922500000001</v>
      </c>
      <c r="L631" s="12" t="n">
        <f aca="false">(1+K631)^(1/12)-1</f>
        <v>0.00518239129607911</v>
      </c>
    </row>
    <row r="632" customFormat="false" ht="15" hidden="false" customHeight="false" outlineLevel="0" collapsed="false">
      <c r="A632" s="4" t="n">
        <v>628</v>
      </c>
      <c r="B632" s="14" t="n">
        <f aca="false">A632/12</f>
        <v>52.3333333333333</v>
      </c>
      <c r="C632" s="15" t="n">
        <f aca="false">INT(A632/6)</f>
        <v>104</v>
      </c>
      <c r="D632" s="16" t="n">
        <f aca="false">IF(C632=0,(1+Dic2025!$G$6)^(-B632),EXP(LN(INDEX(Dic2025!$H$6:$H$205,C632))+(LN(INDEX(Dic2025!$H$6:$H$205,MIN(C632+1,200)))-LN(INDEX(Dic2025!$H$6:$H$205,C632)))*(A632-6*C632)/6))</f>
        <v>0.038924258818317</v>
      </c>
      <c r="E632" s="12" t="n">
        <f aca="false">D632^(-1/B632)-1</f>
        <v>0.0639922500000001</v>
      </c>
      <c r="F632" s="12" t="n">
        <f aca="false">(1+E632)^(1/12)-1</f>
        <v>0.00518239129607911</v>
      </c>
      <c r="G632" s="16" t="n">
        <f aca="false">IF(C632=0,(1+Dic2025!$J$6)^(-B632),EXP(LN(INDEX(Dic2025!$K$6:$K$205,C632))+(LN(INDEX(Dic2025!$K$6:$K$205,MIN(C632+1,200)))-LN(INDEX(Dic2025!$K$6:$K$205,C632)))*(A632-6*C632)/6))</f>
        <v>0.038924258818317</v>
      </c>
      <c r="H632" s="12" t="n">
        <f aca="false">G632^(-1/B632)-1</f>
        <v>0.0639922500000001</v>
      </c>
      <c r="I632" s="12" t="n">
        <f aca="false">(1+H632)^(1/12)-1</f>
        <v>0.00518239129607911</v>
      </c>
      <c r="J632" s="16" t="n">
        <f aca="false">IF(C632=0,(1+Dic2025!$M$6)^(-B632),EXP(LN(INDEX(Dic2025!$N$6:$N$205,C632))+(LN(INDEX(Dic2025!$N$6:$N$205,MIN(C632+1,200)))-LN(INDEX(Dic2025!$N$6:$N$205,C632)))*(A632-6*C632)/6))</f>
        <v>0.038924258818317</v>
      </c>
      <c r="K632" s="12" t="n">
        <f aca="false">J632^(-1/B632)-1</f>
        <v>0.0639922500000001</v>
      </c>
      <c r="L632" s="12" t="n">
        <f aca="false">(1+K632)^(1/12)-1</f>
        <v>0.00518239129607911</v>
      </c>
    </row>
    <row r="633" customFormat="false" ht="15" hidden="false" customHeight="false" outlineLevel="0" collapsed="false">
      <c r="A633" s="4" t="n">
        <v>629</v>
      </c>
      <c r="B633" s="14" t="n">
        <f aca="false">A633/12</f>
        <v>52.4166666666667</v>
      </c>
      <c r="C633" s="15" t="n">
        <f aca="false">INT(A633/6)</f>
        <v>104</v>
      </c>
      <c r="D633" s="16" t="n">
        <f aca="false">IF(C633=0,(1+Dic2025!$G$6)^(-B633),EXP(LN(INDEX(Dic2025!$H$6:$H$205,C633))+(LN(INDEX(Dic2025!$H$6:$H$205,MIN(C633+1,200)))-LN(INDEX(Dic2025!$H$6:$H$205,C633)))*(A633-6*C633)/6))</f>
        <v>0.0387235780842998</v>
      </c>
      <c r="E633" s="12" t="n">
        <f aca="false">D633^(-1/B633)-1</f>
        <v>0.0639922500000001</v>
      </c>
      <c r="F633" s="12" t="n">
        <f aca="false">(1+E633)^(1/12)-1</f>
        <v>0.00518239129607911</v>
      </c>
      <c r="G633" s="16" t="n">
        <f aca="false">IF(C633=0,(1+Dic2025!$J$6)^(-B633),EXP(LN(INDEX(Dic2025!$K$6:$K$205,C633))+(LN(INDEX(Dic2025!$K$6:$K$205,MIN(C633+1,200)))-LN(INDEX(Dic2025!$K$6:$K$205,C633)))*(A633-6*C633)/6))</f>
        <v>0.0387235780842998</v>
      </c>
      <c r="H633" s="12" t="n">
        <f aca="false">G633^(-1/B633)-1</f>
        <v>0.0639922500000001</v>
      </c>
      <c r="I633" s="12" t="n">
        <f aca="false">(1+H633)^(1/12)-1</f>
        <v>0.00518239129607911</v>
      </c>
      <c r="J633" s="16" t="n">
        <f aca="false">IF(C633=0,(1+Dic2025!$M$6)^(-B633),EXP(LN(INDEX(Dic2025!$N$6:$N$205,C633))+(LN(INDEX(Dic2025!$N$6:$N$205,MIN(C633+1,200)))-LN(INDEX(Dic2025!$N$6:$N$205,C633)))*(A633-6*C633)/6))</f>
        <v>0.0387235780842998</v>
      </c>
      <c r="K633" s="12" t="n">
        <f aca="false">J633^(-1/B633)-1</f>
        <v>0.0639922500000001</v>
      </c>
      <c r="L633" s="12" t="n">
        <f aca="false">(1+K633)^(1/12)-1</f>
        <v>0.00518239129607911</v>
      </c>
    </row>
    <row r="634" customFormat="false" ht="15" hidden="false" customHeight="false" outlineLevel="0" collapsed="false">
      <c r="A634" s="4" t="n">
        <v>630</v>
      </c>
      <c r="B634" s="14" t="n">
        <f aca="false">A634/12</f>
        <v>52.5</v>
      </c>
      <c r="C634" s="15" t="n">
        <f aca="false">INT(A634/6)</f>
        <v>105</v>
      </c>
      <c r="D634" s="16" t="n">
        <f aca="false">IF(C634=0,(1+Dic2025!$G$6)^(-B634),EXP(LN(INDEX(Dic2025!$H$6:$H$205,C634))+(LN(INDEX(Dic2025!$H$6:$H$205,MIN(C634+1,200)))-LN(INDEX(Dic2025!$H$6:$H$205,C634)))*(A634-6*C634)/6))</f>
        <v>0.0385239319944411</v>
      </c>
      <c r="E634" s="12" t="n">
        <f aca="false">D634^(-1/B634)-1</f>
        <v>0.0639922500000001</v>
      </c>
      <c r="F634" s="12" t="n">
        <f aca="false">(1+E634)^(1/12)-1</f>
        <v>0.00518239129607911</v>
      </c>
      <c r="G634" s="16" t="n">
        <f aca="false">IF(C634=0,(1+Dic2025!$J$6)^(-B634),EXP(LN(INDEX(Dic2025!$K$6:$K$205,C634))+(LN(INDEX(Dic2025!$K$6:$K$205,MIN(C634+1,200)))-LN(INDEX(Dic2025!$K$6:$K$205,C634)))*(A634-6*C634)/6))</f>
        <v>0.0385239319944411</v>
      </c>
      <c r="H634" s="12" t="n">
        <f aca="false">G634^(-1/B634)-1</f>
        <v>0.0639922500000001</v>
      </c>
      <c r="I634" s="12" t="n">
        <f aca="false">(1+H634)^(1/12)-1</f>
        <v>0.00518239129607911</v>
      </c>
      <c r="J634" s="16" t="n">
        <f aca="false">IF(C634=0,(1+Dic2025!$M$6)^(-B634),EXP(LN(INDEX(Dic2025!$N$6:$N$205,C634))+(LN(INDEX(Dic2025!$N$6:$N$205,MIN(C634+1,200)))-LN(INDEX(Dic2025!$N$6:$N$205,C634)))*(A634-6*C634)/6))</f>
        <v>0.0385239319944411</v>
      </c>
      <c r="K634" s="12" t="n">
        <f aca="false">J634^(-1/B634)-1</f>
        <v>0.0639922500000001</v>
      </c>
      <c r="L634" s="12" t="n">
        <f aca="false">(1+K634)^(1/12)-1</f>
        <v>0.00518239129607911</v>
      </c>
    </row>
    <row r="635" customFormat="false" ht="15" hidden="false" customHeight="false" outlineLevel="0" collapsed="false">
      <c r="A635" s="4" t="n">
        <v>631</v>
      </c>
      <c r="B635" s="14" t="n">
        <f aca="false">A635/12</f>
        <v>52.5833333333333</v>
      </c>
      <c r="C635" s="15" t="n">
        <f aca="false">INT(A635/6)</f>
        <v>105</v>
      </c>
      <c r="D635" s="16" t="n">
        <f aca="false">IF(C635=0,(1+Dic2025!$G$6)^(-B635),EXP(LN(INDEX(Dic2025!$H$6:$H$205,C635))+(LN(INDEX(Dic2025!$H$6:$H$205,MIN(C635+1,200)))-LN(INDEX(Dic2025!$H$6:$H$205,C635)))*(A635-6*C635)/6))</f>
        <v>0.0383253152144542</v>
      </c>
      <c r="E635" s="12" t="n">
        <f aca="false">D635^(-1/B635)-1</f>
        <v>0.0639922500000001</v>
      </c>
      <c r="F635" s="12" t="n">
        <f aca="false">(1+E635)^(1/12)-1</f>
        <v>0.00518239129607911</v>
      </c>
      <c r="G635" s="16" t="n">
        <f aca="false">IF(C635=0,(1+Dic2025!$J$6)^(-B635),EXP(LN(INDEX(Dic2025!$K$6:$K$205,C635))+(LN(INDEX(Dic2025!$K$6:$K$205,MIN(C635+1,200)))-LN(INDEX(Dic2025!$K$6:$K$205,C635)))*(A635-6*C635)/6))</f>
        <v>0.0383253152144542</v>
      </c>
      <c r="H635" s="12" t="n">
        <f aca="false">G635^(-1/B635)-1</f>
        <v>0.0639922500000001</v>
      </c>
      <c r="I635" s="12" t="n">
        <f aca="false">(1+H635)^(1/12)-1</f>
        <v>0.00518239129607911</v>
      </c>
      <c r="J635" s="16" t="n">
        <f aca="false">IF(C635=0,(1+Dic2025!$M$6)^(-B635),EXP(LN(INDEX(Dic2025!$N$6:$N$205,C635))+(LN(INDEX(Dic2025!$N$6:$N$205,MIN(C635+1,200)))-LN(INDEX(Dic2025!$N$6:$N$205,C635)))*(A635-6*C635)/6))</f>
        <v>0.0383253152144542</v>
      </c>
      <c r="K635" s="12" t="n">
        <f aca="false">J635^(-1/B635)-1</f>
        <v>0.0639922500000001</v>
      </c>
      <c r="L635" s="12" t="n">
        <f aca="false">(1+K635)^(1/12)-1</f>
        <v>0.00518239129607911</v>
      </c>
    </row>
    <row r="636" customFormat="false" ht="15" hidden="false" customHeight="false" outlineLevel="0" collapsed="false">
      <c r="A636" s="4" t="n">
        <v>632</v>
      </c>
      <c r="B636" s="14" t="n">
        <f aca="false">A636/12</f>
        <v>52.6666666666667</v>
      </c>
      <c r="C636" s="15" t="n">
        <f aca="false">INT(A636/6)</f>
        <v>105</v>
      </c>
      <c r="D636" s="16" t="n">
        <f aca="false">IF(C636=0,(1+Dic2025!$G$6)^(-B636),EXP(LN(INDEX(Dic2025!$H$6:$H$205,C636))+(LN(INDEX(Dic2025!$H$6:$H$205,MIN(C636+1,200)))-LN(INDEX(Dic2025!$H$6:$H$205,C636)))*(A636-6*C636)/6))</f>
        <v>0.0381277224375545</v>
      </c>
      <c r="E636" s="12" t="n">
        <f aca="false">D636^(-1/B636)-1</f>
        <v>0.0639922500000001</v>
      </c>
      <c r="F636" s="12" t="n">
        <f aca="false">(1+E636)^(1/12)-1</f>
        <v>0.00518239129607911</v>
      </c>
      <c r="G636" s="16" t="n">
        <f aca="false">IF(C636=0,(1+Dic2025!$J$6)^(-B636),EXP(LN(INDEX(Dic2025!$K$6:$K$205,C636))+(LN(INDEX(Dic2025!$K$6:$K$205,MIN(C636+1,200)))-LN(INDEX(Dic2025!$K$6:$K$205,C636)))*(A636-6*C636)/6))</f>
        <v>0.0381277224375545</v>
      </c>
      <c r="H636" s="12" t="n">
        <f aca="false">G636^(-1/B636)-1</f>
        <v>0.0639922500000001</v>
      </c>
      <c r="I636" s="12" t="n">
        <f aca="false">(1+H636)^(1/12)-1</f>
        <v>0.00518239129607911</v>
      </c>
      <c r="J636" s="16" t="n">
        <f aca="false">IF(C636=0,(1+Dic2025!$M$6)^(-B636),EXP(LN(INDEX(Dic2025!$N$6:$N$205,C636))+(LN(INDEX(Dic2025!$N$6:$N$205,MIN(C636+1,200)))-LN(INDEX(Dic2025!$N$6:$N$205,C636)))*(A636-6*C636)/6))</f>
        <v>0.0381277224375545</v>
      </c>
      <c r="K636" s="12" t="n">
        <f aca="false">J636^(-1/B636)-1</f>
        <v>0.0639922500000001</v>
      </c>
      <c r="L636" s="12" t="n">
        <f aca="false">(1+K636)^(1/12)-1</f>
        <v>0.00518239129607911</v>
      </c>
    </row>
    <row r="637" customFormat="false" ht="15" hidden="false" customHeight="false" outlineLevel="0" collapsed="false">
      <c r="A637" s="4" t="n">
        <v>633</v>
      </c>
      <c r="B637" s="14" t="n">
        <f aca="false">A637/12</f>
        <v>52.75</v>
      </c>
      <c r="C637" s="15" t="n">
        <f aca="false">INT(A637/6)</f>
        <v>105</v>
      </c>
      <c r="D637" s="16" t="n">
        <f aca="false">IF(C637=0,(1+Dic2025!$G$6)^(-B637),EXP(LN(INDEX(Dic2025!$H$6:$H$205,C637))+(LN(INDEX(Dic2025!$H$6:$H$205,MIN(C637+1,200)))-LN(INDEX(Dic2025!$H$6:$H$205,C637)))*(A637-6*C637)/6))</f>
        <v>0.0379311483843174</v>
      </c>
      <c r="E637" s="12" t="n">
        <f aca="false">D637^(-1/B637)-1</f>
        <v>0.0639922500000001</v>
      </c>
      <c r="F637" s="12" t="n">
        <f aca="false">(1+E637)^(1/12)-1</f>
        <v>0.00518239129607911</v>
      </c>
      <c r="G637" s="16" t="n">
        <f aca="false">IF(C637=0,(1+Dic2025!$J$6)^(-B637),EXP(LN(INDEX(Dic2025!$K$6:$K$205,C637))+(LN(INDEX(Dic2025!$K$6:$K$205,MIN(C637+1,200)))-LN(INDEX(Dic2025!$K$6:$K$205,C637)))*(A637-6*C637)/6))</f>
        <v>0.0379311483843174</v>
      </c>
      <c r="H637" s="12" t="n">
        <f aca="false">G637^(-1/B637)-1</f>
        <v>0.0639922500000001</v>
      </c>
      <c r="I637" s="12" t="n">
        <f aca="false">(1+H637)^(1/12)-1</f>
        <v>0.00518239129607911</v>
      </c>
      <c r="J637" s="16" t="n">
        <f aca="false">IF(C637=0,(1+Dic2025!$M$6)^(-B637),EXP(LN(INDEX(Dic2025!$N$6:$N$205,C637))+(LN(INDEX(Dic2025!$N$6:$N$205,MIN(C637+1,200)))-LN(INDEX(Dic2025!$N$6:$N$205,C637)))*(A637-6*C637)/6))</f>
        <v>0.0379311483843174</v>
      </c>
      <c r="K637" s="12" t="n">
        <f aca="false">J637^(-1/B637)-1</f>
        <v>0.0639922500000001</v>
      </c>
      <c r="L637" s="12" t="n">
        <f aca="false">(1+K637)^(1/12)-1</f>
        <v>0.00518239129607911</v>
      </c>
    </row>
    <row r="638" customFormat="false" ht="15" hidden="false" customHeight="false" outlineLevel="0" collapsed="false">
      <c r="A638" s="4" t="n">
        <v>634</v>
      </c>
      <c r="B638" s="14" t="n">
        <f aca="false">A638/12</f>
        <v>52.8333333333333</v>
      </c>
      <c r="C638" s="15" t="n">
        <f aca="false">INT(A638/6)</f>
        <v>105</v>
      </c>
      <c r="D638" s="16" t="n">
        <f aca="false">IF(C638=0,(1+Dic2025!$G$6)^(-B638),EXP(LN(INDEX(Dic2025!$H$6:$H$205,C638))+(LN(INDEX(Dic2025!$H$6:$H$205,MIN(C638+1,200)))-LN(INDEX(Dic2025!$H$6:$H$205,C638)))*(A638-6*C638)/6))</f>
        <v>0.037735587802537</v>
      </c>
      <c r="E638" s="12" t="n">
        <f aca="false">D638^(-1/B638)-1</f>
        <v>0.0639922500000001</v>
      </c>
      <c r="F638" s="12" t="n">
        <f aca="false">(1+E638)^(1/12)-1</f>
        <v>0.00518239129607911</v>
      </c>
      <c r="G638" s="16" t="n">
        <f aca="false">IF(C638=0,(1+Dic2025!$J$6)^(-B638),EXP(LN(INDEX(Dic2025!$K$6:$K$205,C638))+(LN(INDEX(Dic2025!$K$6:$K$205,MIN(C638+1,200)))-LN(INDEX(Dic2025!$K$6:$K$205,C638)))*(A638-6*C638)/6))</f>
        <v>0.037735587802537</v>
      </c>
      <c r="H638" s="12" t="n">
        <f aca="false">G638^(-1/B638)-1</f>
        <v>0.0639922500000001</v>
      </c>
      <c r="I638" s="12" t="n">
        <f aca="false">(1+H638)^(1/12)-1</f>
        <v>0.00518239129607911</v>
      </c>
      <c r="J638" s="16" t="n">
        <f aca="false">IF(C638=0,(1+Dic2025!$M$6)^(-B638),EXP(LN(INDEX(Dic2025!$N$6:$N$205,C638))+(LN(INDEX(Dic2025!$N$6:$N$205,MIN(C638+1,200)))-LN(INDEX(Dic2025!$N$6:$N$205,C638)))*(A638-6*C638)/6))</f>
        <v>0.037735587802537</v>
      </c>
      <c r="K638" s="12" t="n">
        <f aca="false">J638^(-1/B638)-1</f>
        <v>0.0639922500000001</v>
      </c>
      <c r="L638" s="12" t="n">
        <f aca="false">(1+K638)^(1/12)-1</f>
        <v>0.00518239129607911</v>
      </c>
    </row>
    <row r="639" customFormat="false" ht="15" hidden="false" customHeight="false" outlineLevel="0" collapsed="false">
      <c r="A639" s="4" t="n">
        <v>635</v>
      </c>
      <c r="B639" s="14" t="n">
        <f aca="false">A639/12</f>
        <v>52.9166666666667</v>
      </c>
      <c r="C639" s="15" t="n">
        <f aca="false">INT(A639/6)</f>
        <v>105</v>
      </c>
      <c r="D639" s="16" t="n">
        <f aca="false">IF(C639=0,(1+Dic2025!$G$6)^(-B639),EXP(LN(INDEX(Dic2025!$H$6:$H$205,C639))+(LN(INDEX(Dic2025!$H$6:$H$205,MIN(C639+1,200)))-LN(INDEX(Dic2025!$H$6:$H$205,C639)))*(A639-6*C639)/6))</f>
        <v>0.0375410354670866</v>
      </c>
      <c r="E639" s="12" t="n">
        <f aca="false">D639^(-1/B639)-1</f>
        <v>0.0639922500000001</v>
      </c>
      <c r="F639" s="12" t="n">
        <f aca="false">(1+E639)^(1/12)-1</f>
        <v>0.00518239129607911</v>
      </c>
      <c r="G639" s="16" t="n">
        <f aca="false">IF(C639=0,(1+Dic2025!$J$6)^(-B639),EXP(LN(INDEX(Dic2025!$K$6:$K$205,C639))+(LN(INDEX(Dic2025!$K$6:$K$205,MIN(C639+1,200)))-LN(INDEX(Dic2025!$K$6:$K$205,C639)))*(A639-6*C639)/6))</f>
        <v>0.0375410354670866</v>
      </c>
      <c r="H639" s="12" t="n">
        <f aca="false">G639^(-1/B639)-1</f>
        <v>0.0639922500000001</v>
      </c>
      <c r="I639" s="12" t="n">
        <f aca="false">(1+H639)^(1/12)-1</f>
        <v>0.00518239129607911</v>
      </c>
      <c r="J639" s="16" t="n">
        <f aca="false">IF(C639=0,(1+Dic2025!$M$6)^(-B639),EXP(LN(INDEX(Dic2025!$N$6:$N$205,C639))+(LN(INDEX(Dic2025!$N$6:$N$205,MIN(C639+1,200)))-LN(INDEX(Dic2025!$N$6:$N$205,C639)))*(A639-6*C639)/6))</f>
        <v>0.0375410354670866</v>
      </c>
      <c r="K639" s="12" t="n">
        <f aca="false">J639^(-1/B639)-1</f>
        <v>0.0639922500000001</v>
      </c>
      <c r="L639" s="12" t="n">
        <f aca="false">(1+K639)^(1/12)-1</f>
        <v>0.00518239129607911</v>
      </c>
    </row>
    <row r="640" customFormat="false" ht="15" hidden="false" customHeight="false" outlineLevel="0" collapsed="false">
      <c r="A640" s="4" t="n">
        <v>636</v>
      </c>
      <c r="B640" s="14" t="n">
        <f aca="false">A640/12</f>
        <v>53</v>
      </c>
      <c r="C640" s="15" t="n">
        <f aca="false">INT(A640/6)</f>
        <v>106</v>
      </c>
      <c r="D640" s="16" t="n">
        <f aca="false">IF(C640=0,(1+Dic2025!$G$6)^(-B640),EXP(LN(INDEX(Dic2025!$H$6:$H$205,C640))+(LN(INDEX(Dic2025!$H$6:$H$205,MIN(C640+1,200)))-LN(INDEX(Dic2025!$H$6:$H$205,C640)))*(A640-6*C640)/6))</f>
        <v>0.0373474861797781</v>
      </c>
      <c r="E640" s="12" t="n">
        <f aca="false">D640^(-1/B640)-1</f>
        <v>0.0639922500000001</v>
      </c>
      <c r="F640" s="12" t="n">
        <f aca="false">(1+E640)^(1/12)-1</f>
        <v>0.00518239129607911</v>
      </c>
      <c r="G640" s="16" t="n">
        <f aca="false">IF(C640=0,(1+Dic2025!$J$6)^(-B640),EXP(LN(INDEX(Dic2025!$K$6:$K$205,C640))+(LN(INDEX(Dic2025!$K$6:$K$205,MIN(C640+1,200)))-LN(INDEX(Dic2025!$K$6:$K$205,C640)))*(A640-6*C640)/6))</f>
        <v>0.0373474861797781</v>
      </c>
      <c r="H640" s="12" t="n">
        <f aca="false">G640^(-1/B640)-1</f>
        <v>0.0639922500000001</v>
      </c>
      <c r="I640" s="12" t="n">
        <f aca="false">(1+H640)^(1/12)-1</f>
        <v>0.00518239129607911</v>
      </c>
      <c r="J640" s="16" t="n">
        <f aca="false">IF(C640=0,(1+Dic2025!$M$6)^(-B640),EXP(LN(INDEX(Dic2025!$N$6:$N$205,C640))+(LN(INDEX(Dic2025!$N$6:$N$205,MIN(C640+1,200)))-LN(INDEX(Dic2025!$N$6:$N$205,C640)))*(A640-6*C640)/6))</f>
        <v>0.0373474861797781</v>
      </c>
      <c r="K640" s="12" t="n">
        <f aca="false">J640^(-1/B640)-1</f>
        <v>0.0639922500000001</v>
      </c>
      <c r="L640" s="12" t="n">
        <f aca="false">(1+K640)^(1/12)-1</f>
        <v>0.00518239129607911</v>
      </c>
    </row>
    <row r="641" customFormat="false" ht="15" hidden="false" customHeight="false" outlineLevel="0" collapsed="false">
      <c r="A641" s="4" t="n">
        <v>637</v>
      </c>
      <c r="B641" s="14" t="n">
        <f aca="false">A641/12</f>
        <v>53.0833333333333</v>
      </c>
      <c r="C641" s="15" t="n">
        <f aca="false">INT(A641/6)</f>
        <v>106</v>
      </c>
      <c r="D641" s="16" t="n">
        <f aca="false">IF(C641=0,(1+Dic2025!$G$6)^(-B641),EXP(LN(INDEX(Dic2025!$H$6:$H$205,C641))+(LN(INDEX(Dic2025!$H$6:$H$205,MIN(C641+1,200)))-LN(INDEX(Dic2025!$H$6:$H$205,C641)))*(A641-6*C641)/6))</f>
        <v>0.0371228313282056</v>
      </c>
      <c r="E641" s="12" t="n">
        <f aca="false">D641^(-1/B641)-1</f>
        <v>0.0640095763302533</v>
      </c>
      <c r="F641" s="12" t="n">
        <f aca="false">(1+E641)^(1/12)-1</f>
        <v>0.00518375534048299</v>
      </c>
      <c r="G641" s="16" t="n">
        <f aca="false">IF(C641=0,(1+Dic2025!$J$6)^(-B641),EXP(LN(INDEX(Dic2025!$K$6:$K$205,C641))+(LN(INDEX(Dic2025!$K$6:$K$205,MIN(C641+1,200)))-LN(INDEX(Dic2025!$K$6:$K$205,C641)))*(A641-6*C641)/6))</f>
        <v>0.0371228313282056</v>
      </c>
      <c r="H641" s="12" t="n">
        <f aca="false">G641^(-1/B641)-1</f>
        <v>0.0640095763302533</v>
      </c>
      <c r="I641" s="12" t="n">
        <f aca="false">(1+H641)^(1/12)-1</f>
        <v>0.00518375534048299</v>
      </c>
      <c r="J641" s="16" t="n">
        <f aca="false">IF(C641=0,(1+Dic2025!$M$6)^(-B641),EXP(LN(INDEX(Dic2025!$N$6:$N$205,C641))+(LN(INDEX(Dic2025!$N$6:$N$205,MIN(C641+1,200)))-LN(INDEX(Dic2025!$N$6:$N$205,C641)))*(A641-6*C641)/6))</f>
        <v>0.0371228313282056</v>
      </c>
      <c r="K641" s="12" t="n">
        <f aca="false">J641^(-1/B641)-1</f>
        <v>0.0640095763302533</v>
      </c>
      <c r="L641" s="12" t="n">
        <f aca="false">(1+K641)^(1/12)-1</f>
        <v>0.00518375534048299</v>
      </c>
    </row>
    <row r="642" customFormat="false" ht="15" hidden="false" customHeight="false" outlineLevel="0" collapsed="false">
      <c r="A642" s="4" t="n">
        <v>638</v>
      </c>
      <c r="B642" s="14" t="n">
        <f aca="false">A642/12</f>
        <v>53.1666666666667</v>
      </c>
      <c r="C642" s="15" t="n">
        <f aca="false">INT(A642/6)</f>
        <v>106</v>
      </c>
      <c r="D642" s="16" t="n">
        <f aca="false">IF(C642=0,(1+Dic2025!$G$6)^(-B642),EXP(LN(INDEX(Dic2025!$H$6:$H$205,C642))+(LN(INDEX(Dic2025!$H$6:$H$205,MIN(C642+1,200)))-LN(INDEX(Dic2025!$H$6:$H$205,C642)))*(A642-6*C642)/6))</f>
        <v>0.0368995278340468</v>
      </c>
      <c r="E642" s="12" t="n">
        <f aca="false">D642^(-1/B642)-1</f>
        <v>0.064026848626813</v>
      </c>
      <c r="F642" s="12" t="n">
        <f aca="false">(1+E642)^(1/12)-1</f>
        <v>0.00518511511072761</v>
      </c>
      <c r="G642" s="16" t="n">
        <f aca="false">IF(C642=0,(1+Dic2025!$J$6)^(-B642),EXP(LN(INDEX(Dic2025!$K$6:$K$205,C642))+(LN(INDEX(Dic2025!$K$6:$K$205,MIN(C642+1,200)))-LN(INDEX(Dic2025!$K$6:$K$205,C642)))*(A642-6*C642)/6))</f>
        <v>0.0368995278340468</v>
      </c>
      <c r="H642" s="12" t="n">
        <f aca="false">G642^(-1/B642)-1</f>
        <v>0.064026848626813</v>
      </c>
      <c r="I642" s="12" t="n">
        <f aca="false">(1+H642)^(1/12)-1</f>
        <v>0.00518511511072761</v>
      </c>
      <c r="J642" s="16" t="n">
        <f aca="false">IF(C642=0,(1+Dic2025!$M$6)^(-B642),EXP(LN(INDEX(Dic2025!$N$6:$N$205,C642))+(LN(INDEX(Dic2025!$N$6:$N$205,MIN(C642+1,200)))-LN(INDEX(Dic2025!$N$6:$N$205,C642)))*(A642-6*C642)/6))</f>
        <v>0.0368995278340468</v>
      </c>
      <c r="K642" s="12" t="n">
        <f aca="false">J642^(-1/B642)-1</f>
        <v>0.064026848626813</v>
      </c>
      <c r="L642" s="12" t="n">
        <f aca="false">(1+K642)^(1/12)-1</f>
        <v>0.00518511511072761</v>
      </c>
    </row>
    <row r="643" customFormat="false" ht="15" hidden="false" customHeight="false" outlineLevel="0" collapsed="false">
      <c r="A643" s="4" t="n">
        <v>639</v>
      </c>
      <c r="B643" s="14" t="n">
        <f aca="false">A643/12</f>
        <v>53.25</v>
      </c>
      <c r="C643" s="15" t="n">
        <f aca="false">INT(A643/6)</f>
        <v>106</v>
      </c>
      <c r="D643" s="16" t="n">
        <f aca="false">IF(C643=0,(1+Dic2025!$G$6)^(-B643),EXP(LN(INDEX(Dic2025!$H$6:$H$205,C643))+(LN(INDEX(Dic2025!$H$6:$H$205,MIN(C643+1,200)))-LN(INDEX(Dic2025!$H$6:$H$205,C643)))*(A643-6*C643)/6))</f>
        <v>0.0366775675685353</v>
      </c>
      <c r="E643" s="12" t="n">
        <f aca="false">D643^(-1/B643)-1</f>
        <v>0.0640440671420464</v>
      </c>
      <c r="F643" s="12" t="n">
        <f aca="false">(1+E643)^(1/12)-1</f>
        <v>0.00518647062687139</v>
      </c>
      <c r="G643" s="16" t="n">
        <f aca="false">IF(C643=0,(1+Dic2025!$J$6)^(-B643),EXP(LN(INDEX(Dic2025!$K$6:$K$205,C643))+(LN(INDEX(Dic2025!$K$6:$K$205,MIN(C643+1,200)))-LN(INDEX(Dic2025!$K$6:$K$205,C643)))*(A643-6*C643)/6))</f>
        <v>0.0366775675685353</v>
      </c>
      <c r="H643" s="12" t="n">
        <f aca="false">G643^(-1/B643)-1</f>
        <v>0.0640440671420464</v>
      </c>
      <c r="I643" s="12" t="n">
        <f aca="false">(1+H643)^(1/12)-1</f>
        <v>0.00518647062687139</v>
      </c>
      <c r="J643" s="16" t="n">
        <f aca="false">IF(C643=0,(1+Dic2025!$M$6)^(-B643),EXP(LN(INDEX(Dic2025!$N$6:$N$205,C643))+(LN(INDEX(Dic2025!$N$6:$N$205,MIN(C643+1,200)))-LN(INDEX(Dic2025!$N$6:$N$205,C643)))*(A643-6*C643)/6))</f>
        <v>0.0366775675685353</v>
      </c>
      <c r="K643" s="12" t="n">
        <f aca="false">J643^(-1/B643)-1</f>
        <v>0.0640440671420464</v>
      </c>
      <c r="L643" s="12" t="n">
        <f aca="false">(1+K643)^(1/12)-1</f>
        <v>0.00518647062687139</v>
      </c>
    </row>
    <row r="644" customFormat="false" ht="15" hidden="false" customHeight="false" outlineLevel="0" collapsed="false">
      <c r="A644" s="4" t="n">
        <v>640</v>
      </c>
      <c r="B644" s="14" t="n">
        <f aca="false">A644/12</f>
        <v>53.3333333333333</v>
      </c>
      <c r="C644" s="15" t="n">
        <f aca="false">INT(A644/6)</f>
        <v>106</v>
      </c>
      <c r="D644" s="16" t="n">
        <f aca="false">IF(C644=0,(1+Dic2025!$G$6)^(-B644),EXP(LN(INDEX(Dic2025!$H$6:$H$205,C644))+(LN(INDEX(Dic2025!$H$6:$H$205,MIN(C644+1,200)))-LN(INDEX(Dic2025!$H$6:$H$205,C644)))*(A644-6*C644)/6))</f>
        <v>0.0364569424518008</v>
      </c>
      <c r="E644" s="12" t="n">
        <f aca="false">D644^(-1/B644)-1</f>
        <v>0.0640612321267517</v>
      </c>
      <c r="F644" s="12" t="n">
        <f aca="false">(1+E644)^(1/12)-1</f>
        <v>0.00518782190884637</v>
      </c>
      <c r="G644" s="16" t="n">
        <f aca="false">IF(C644=0,(1+Dic2025!$J$6)^(-B644),EXP(LN(INDEX(Dic2025!$K$6:$K$205,C644))+(LN(INDEX(Dic2025!$K$6:$K$205,MIN(C644+1,200)))-LN(INDEX(Dic2025!$K$6:$K$205,C644)))*(A644-6*C644)/6))</f>
        <v>0.0364569424518008</v>
      </c>
      <c r="H644" s="12" t="n">
        <f aca="false">G644^(-1/B644)-1</f>
        <v>0.0640612321267517</v>
      </c>
      <c r="I644" s="12" t="n">
        <f aca="false">(1+H644)^(1/12)-1</f>
        <v>0.00518782190884637</v>
      </c>
      <c r="J644" s="16" t="n">
        <f aca="false">IF(C644=0,(1+Dic2025!$M$6)^(-B644),EXP(LN(INDEX(Dic2025!$N$6:$N$205,C644))+(LN(INDEX(Dic2025!$N$6:$N$205,MIN(C644+1,200)))-LN(INDEX(Dic2025!$N$6:$N$205,C644)))*(A644-6*C644)/6))</f>
        <v>0.0364569424518008</v>
      </c>
      <c r="K644" s="12" t="n">
        <f aca="false">J644^(-1/B644)-1</f>
        <v>0.0640612321267517</v>
      </c>
      <c r="L644" s="12" t="n">
        <f aca="false">(1+K644)^(1/12)-1</f>
        <v>0.00518782190884637</v>
      </c>
    </row>
    <row r="645" customFormat="false" ht="15" hidden="false" customHeight="false" outlineLevel="0" collapsed="false">
      <c r="A645" s="4" t="n">
        <v>641</v>
      </c>
      <c r="B645" s="14" t="n">
        <f aca="false">A645/12</f>
        <v>53.4166666666667</v>
      </c>
      <c r="C645" s="15" t="n">
        <f aca="false">INT(A645/6)</f>
        <v>106</v>
      </c>
      <c r="D645" s="16" t="n">
        <f aca="false">IF(C645=0,(1+Dic2025!$G$6)^(-B645),EXP(LN(INDEX(Dic2025!$H$6:$H$205,C645))+(LN(INDEX(Dic2025!$H$6:$H$205,MIN(C645+1,200)))-LN(INDEX(Dic2025!$H$6:$H$205,C645)))*(A645-6*C645)/6))</f>
        <v>0.0362376444525762</v>
      </c>
      <c r="E645" s="12" t="n">
        <f aca="false">D645^(-1/B645)-1</f>
        <v>0.0640783438301709</v>
      </c>
      <c r="F645" s="12" t="n">
        <f aca="false">(1+E645)^(1/12)-1</f>
        <v>0.00518916897646116</v>
      </c>
      <c r="G645" s="16" t="n">
        <f aca="false">IF(C645=0,(1+Dic2025!$J$6)^(-B645),EXP(LN(INDEX(Dic2025!$K$6:$K$205,C645))+(LN(INDEX(Dic2025!$K$6:$K$205,MIN(C645+1,200)))-LN(INDEX(Dic2025!$K$6:$K$205,C645)))*(A645-6*C645)/6))</f>
        <v>0.0362376444525762</v>
      </c>
      <c r="H645" s="12" t="n">
        <f aca="false">G645^(-1/B645)-1</f>
        <v>0.0640783438301709</v>
      </c>
      <c r="I645" s="12" t="n">
        <f aca="false">(1+H645)^(1/12)-1</f>
        <v>0.00518916897646116</v>
      </c>
      <c r="J645" s="16" t="n">
        <f aca="false">IF(C645=0,(1+Dic2025!$M$6)^(-B645),EXP(LN(INDEX(Dic2025!$N$6:$N$205,C645))+(LN(INDEX(Dic2025!$N$6:$N$205,MIN(C645+1,200)))-LN(INDEX(Dic2025!$N$6:$N$205,C645)))*(A645-6*C645)/6))</f>
        <v>0.0362376444525762</v>
      </c>
      <c r="K645" s="12" t="n">
        <f aca="false">J645^(-1/B645)-1</f>
        <v>0.0640783438301709</v>
      </c>
      <c r="L645" s="12" t="n">
        <f aca="false">(1+K645)^(1/12)-1</f>
        <v>0.00518916897646116</v>
      </c>
    </row>
    <row r="646" customFormat="false" ht="15" hidden="false" customHeight="false" outlineLevel="0" collapsed="false">
      <c r="A646" s="4" t="n">
        <v>642</v>
      </c>
      <c r="B646" s="14" t="n">
        <f aca="false">A646/12</f>
        <v>53.5</v>
      </c>
      <c r="C646" s="15" t="n">
        <f aca="false">INT(A646/6)</f>
        <v>107</v>
      </c>
      <c r="D646" s="16" t="n">
        <f aca="false">IF(C646=0,(1+Dic2025!$G$6)^(-B646),EXP(LN(INDEX(Dic2025!$H$6:$H$205,C646))+(LN(INDEX(Dic2025!$H$6:$H$205,MIN(C646+1,200)))-LN(INDEX(Dic2025!$H$6:$H$205,C646)))*(A646-6*C646)/6))</f>
        <v>0.0360196655879039</v>
      </c>
      <c r="E646" s="12" t="n">
        <f aca="false">D646^(-1/B646)-1</f>
        <v>0.0640954025</v>
      </c>
      <c r="F646" s="12" t="n">
        <f aca="false">(1+E646)^(1/12)-1</f>
        <v>0.00519051184940045</v>
      </c>
      <c r="G646" s="16" t="n">
        <f aca="false">IF(C646=0,(1+Dic2025!$J$6)^(-B646),EXP(LN(INDEX(Dic2025!$K$6:$K$205,C646))+(LN(INDEX(Dic2025!$K$6:$K$205,MIN(C646+1,200)))-LN(INDEX(Dic2025!$K$6:$K$205,C646)))*(A646-6*C646)/6))</f>
        <v>0.0360196655879039</v>
      </c>
      <c r="H646" s="12" t="n">
        <f aca="false">G646^(-1/B646)-1</f>
        <v>0.0640954025</v>
      </c>
      <c r="I646" s="12" t="n">
        <f aca="false">(1+H646)^(1/12)-1</f>
        <v>0.00519051184940045</v>
      </c>
      <c r="J646" s="16" t="n">
        <f aca="false">IF(C646=0,(1+Dic2025!$M$6)^(-B646),EXP(LN(INDEX(Dic2025!$N$6:$N$205,C646))+(LN(INDEX(Dic2025!$N$6:$N$205,MIN(C646+1,200)))-LN(INDEX(Dic2025!$N$6:$N$205,C646)))*(A646-6*C646)/6))</f>
        <v>0.0360196655879039</v>
      </c>
      <c r="K646" s="12" t="n">
        <f aca="false">J646^(-1/B646)-1</f>
        <v>0.0640954025</v>
      </c>
      <c r="L646" s="12" t="n">
        <f aca="false">(1+K646)^(1/12)-1</f>
        <v>0.00519051184940045</v>
      </c>
    </row>
    <row r="647" customFormat="false" ht="15" hidden="false" customHeight="false" outlineLevel="0" collapsed="false">
      <c r="A647" s="4" t="n">
        <v>643</v>
      </c>
      <c r="B647" s="14" t="n">
        <f aca="false">A647/12</f>
        <v>53.5833333333333</v>
      </c>
      <c r="C647" s="15" t="n">
        <f aca="false">INT(A647/6)</f>
        <v>107</v>
      </c>
      <c r="D647" s="16" t="n">
        <f aca="false">IF(C647=0,(1+Dic2025!$G$6)^(-B647),EXP(LN(INDEX(Dic2025!$H$6:$H$205,C647))+(LN(INDEX(Dic2025!$H$6:$H$205,MIN(C647+1,200)))-LN(INDEX(Dic2025!$H$6:$H$205,C647)))*(A647-6*C647)/6))</f>
        <v>0.0358336704965839</v>
      </c>
      <c r="E647" s="12" t="n">
        <f aca="false">D647^(-1/B647)-1</f>
        <v>0.0640954025</v>
      </c>
      <c r="F647" s="12" t="n">
        <f aca="false">(1+E647)^(1/12)-1</f>
        <v>0.00519051184940045</v>
      </c>
      <c r="G647" s="16" t="n">
        <f aca="false">IF(C647=0,(1+Dic2025!$J$6)^(-B647),EXP(LN(INDEX(Dic2025!$K$6:$K$205,C647))+(LN(INDEX(Dic2025!$K$6:$K$205,MIN(C647+1,200)))-LN(INDEX(Dic2025!$K$6:$K$205,C647)))*(A647-6*C647)/6))</f>
        <v>0.0358336704965839</v>
      </c>
      <c r="H647" s="12" t="n">
        <f aca="false">G647^(-1/B647)-1</f>
        <v>0.0640954025</v>
      </c>
      <c r="I647" s="12" t="n">
        <f aca="false">(1+H647)^(1/12)-1</f>
        <v>0.00519051184940045</v>
      </c>
      <c r="J647" s="16" t="n">
        <f aca="false">IF(C647=0,(1+Dic2025!$M$6)^(-B647),EXP(LN(INDEX(Dic2025!$N$6:$N$205,C647))+(LN(INDEX(Dic2025!$N$6:$N$205,MIN(C647+1,200)))-LN(INDEX(Dic2025!$N$6:$N$205,C647)))*(A647-6*C647)/6))</f>
        <v>0.0358336704965839</v>
      </c>
      <c r="K647" s="12" t="n">
        <f aca="false">J647^(-1/B647)-1</f>
        <v>0.0640954025</v>
      </c>
      <c r="L647" s="12" t="n">
        <f aca="false">(1+K647)^(1/12)-1</f>
        <v>0.00519051184940045</v>
      </c>
    </row>
    <row r="648" customFormat="false" ht="15" hidden="false" customHeight="false" outlineLevel="0" collapsed="false">
      <c r="A648" s="4" t="n">
        <v>644</v>
      </c>
      <c r="B648" s="14" t="n">
        <f aca="false">A648/12</f>
        <v>53.6666666666667</v>
      </c>
      <c r="C648" s="15" t="n">
        <f aca="false">INT(A648/6)</f>
        <v>107</v>
      </c>
      <c r="D648" s="16" t="n">
        <f aca="false">IF(C648=0,(1+Dic2025!$G$6)^(-B648),EXP(LN(INDEX(Dic2025!$H$6:$H$205,C648))+(LN(INDEX(Dic2025!$H$6:$H$205,MIN(C648+1,200)))-LN(INDEX(Dic2025!$H$6:$H$205,C648)))*(A648-6*C648)/6))</f>
        <v>0.0356486358298938</v>
      </c>
      <c r="E648" s="12" t="n">
        <f aca="false">D648^(-1/B648)-1</f>
        <v>0.0640954025</v>
      </c>
      <c r="F648" s="12" t="n">
        <f aca="false">(1+E648)^(1/12)-1</f>
        <v>0.00519051184940045</v>
      </c>
      <c r="G648" s="16" t="n">
        <f aca="false">IF(C648=0,(1+Dic2025!$J$6)^(-B648),EXP(LN(INDEX(Dic2025!$K$6:$K$205,C648))+(LN(INDEX(Dic2025!$K$6:$K$205,MIN(C648+1,200)))-LN(INDEX(Dic2025!$K$6:$K$205,C648)))*(A648-6*C648)/6))</f>
        <v>0.0356486358298938</v>
      </c>
      <c r="H648" s="12" t="n">
        <f aca="false">G648^(-1/B648)-1</f>
        <v>0.0640954025</v>
      </c>
      <c r="I648" s="12" t="n">
        <f aca="false">(1+H648)^(1/12)-1</f>
        <v>0.00519051184940045</v>
      </c>
      <c r="J648" s="16" t="n">
        <f aca="false">IF(C648=0,(1+Dic2025!$M$6)^(-B648),EXP(LN(INDEX(Dic2025!$N$6:$N$205,C648))+(LN(INDEX(Dic2025!$N$6:$N$205,MIN(C648+1,200)))-LN(INDEX(Dic2025!$N$6:$N$205,C648)))*(A648-6*C648)/6))</f>
        <v>0.0356486358298938</v>
      </c>
      <c r="K648" s="12" t="n">
        <f aca="false">J648^(-1/B648)-1</f>
        <v>0.0640954025</v>
      </c>
      <c r="L648" s="12" t="n">
        <f aca="false">(1+K648)^(1/12)-1</f>
        <v>0.00519051184940045</v>
      </c>
    </row>
    <row r="649" customFormat="false" ht="15" hidden="false" customHeight="false" outlineLevel="0" collapsed="false">
      <c r="A649" s="4" t="n">
        <v>645</v>
      </c>
      <c r="B649" s="14" t="n">
        <f aca="false">A649/12</f>
        <v>53.75</v>
      </c>
      <c r="C649" s="15" t="n">
        <f aca="false">INT(A649/6)</f>
        <v>107</v>
      </c>
      <c r="D649" s="16" t="n">
        <f aca="false">IF(C649=0,(1+Dic2025!$G$6)^(-B649),EXP(LN(INDEX(Dic2025!$H$6:$H$205,C649))+(LN(INDEX(Dic2025!$H$6:$H$205,MIN(C649+1,200)))-LN(INDEX(Dic2025!$H$6:$H$205,C649)))*(A649-6*C649)/6))</f>
        <v>0.03546455662848</v>
      </c>
      <c r="E649" s="12" t="n">
        <f aca="false">D649^(-1/B649)-1</f>
        <v>0.0640954025</v>
      </c>
      <c r="F649" s="12" t="n">
        <f aca="false">(1+E649)^(1/12)-1</f>
        <v>0.00519051184940045</v>
      </c>
      <c r="G649" s="16" t="n">
        <f aca="false">IF(C649=0,(1+Dic2025!$J$6)^(-B649),EXP(LN(INDEX(Dic2025!$K$6:$K$205,C649))+(LN(INDEX(Dic2025!$K$6:$K$205,MIN(C649+1,200)))-LN(INDEX(Dic2025!$K$6:$K$205,C649)))*(A649-6*C649)/6))</f>
        <v>0.03546455662848</v>
      </c>
      <c r="H649" s="12" t="n">
        <f aca="false">G649^(-1/B649)-1</f>
        <v>0.0640954025</v>
      </c>
      <c r="I649" s="12" t="n">
        <f aca="false">(1+H649)^(1/12)-1</f>
        <v>0.00519051184940045</v>
      </c>
      <c r="J649" s="16" t="n">
        <f aca="false">IF(C649=0,(1+Dic2025!$M$6)^(-B649),EXP(LN(INDEX(Dic2025!$N$6:$N$205,C649))+(LN(INDEX(Dic2025!$N$6:$N$205,MIN(C649+1,200)))-LN(INDEX(Dic2025!$N$6:$N$205,C649)))*(A649-6*C649)/6))</f>
        <v>0.03546455662848</v>
      </c>
      <c r="K649" s="12" t="n">
        <f aca="false">J649^(-1/B649)-1</f>
        <v>0.0640954025</v>
      </c>
      <c r="L649" s="12" t="n">
        <f aca="false">(1+K649)^(1/12)-1</f>
        <v>0.00519051184940045</v>
      </c>
    </row>
    <row r="650" customFormat="false" ht="15" hidden="false" customHeight="false" outlineLevel="0" collapsed="false">
      <c r="A650" s="4" t="n">
        <v>646</v>
      </c>
      <c r="B650" s="14" t="n">
        <f aca="false">A650/12</f>
        <v>53.8333333333333</v>
      </c>
      <c r="C650" s="15" t="n">
        <f aca="false">INT(A650/6)</f>
        <v>107</v>
      </c>
      <c r="D650" s="16" t="n">
        <f aca="false">IF(C650=0,(1+Dic2025!$G$6)^(-B650),EXP(LN(INDEX(Dic2025!$H$6:$H$205,C650))+(LN(INDEX(Dic2025!$H$6:$H$205,MIN(C650+1,200)))-LN(INDEX(Dic2025!$H$6:$H$205,C650)))*(A650-6*C650)/6))</f>
        <v>0.0352814279585971</v>
      </c>
      <c r="E650" s="12" t="n">
        <f aca="false">D650^(-1/B650)-1</f>
        <v>0.0640954025</v>
      </c>
      <c r="F650" s="12" t="n">
        <f aca="false">(1+E650)^(1/12)-1</f>
        <v>0.00519051184940045</v>
      </c>
      <c r="G650" s="16" t="n">
        <f aca="false">IF(C650=0,(1+Dic2025!$J$6)^(-B650),EXP(LN(INDEX(Dic2025!$K$6:$K$205,C650))+(LN(INDEX(Dic2025!$K$6:$K$205,MIN(C650+1,200)))-LN(INDEX(Dic2025!$K$6:$K$205,C650)))*(A650-6*C650)/6))</f>
        <v>0.0352814279585971</v>
      </c>
      <c r="H650" s="12" t="n">
        <f aca="false">G650^(-1/B650)-1</f>
        <v>0.0640954025</v>
      </c>
      <c r="I650" s="12" t="n">
        <f aca="false">(1+H650)^(1/12)-1</f>
        <v>0.00519051184940045</v>
      </c>
      <c r="J650" s="16" t="n">
        <f aca="false">IF(C650=0,(1+Dic2025!$M$6)^(-B650),EXP(LN(INDEX(Dic2025!$N$6:$N$205,C650))+(LN(INDEX(Dic2025!$N$6:$N$205,MIN(C650+1,200)))-LN(INDEX(Dic2025!$N$6:$N$205,C650)))*(A650-6*C650)/6))</f>
        <v>0.0352814279585971</v>
      </c>
      <c r="K650" s="12" t="n">
        <f aca="false">J650^(-1/B650)-1</f>
        <v>0.0640954025</v>
      </c>
      <c r="L650" s="12" t="n">
        <f aca="false">(1+K650)^(1/12)-1</f>
        <v>0.00519051184940045</v>
      </c>
    </row>
    <row r="651" customFormat="false" ht="15" hidden="false" customHeight="false" outlineLevel="0" collapsed="false">
      <c r="A651" s="4" t="n">
        <v>647</v>
      </c>
      <c r="B651" s="14" t="n">
        <f aca="false">A651/12</f>
        <v>53.9166666666667</v>
      </c>
      <c r="C651" s="15" t="n">
        <f aca="false">INT(A651/6)</f>
        <v>107</v>
      </c>
      <c r="D651" s="16" t="n">
        <f aca="false">IF(C651=0,(1+Dic2025!$G$6)^(-B651),EXP(LN(INDEX(Dic2025!$H$6:$H$205,C651))+(LN(INDEX(Dic2025!$H$6:$H$205,MIN(C651+1,200)))-LN(INDEX(Dic2025!$H$6:$H$205,C651)))*(A651-6*C651)/6))</f>
        <v>0.0350992449119765</v>
      </c>
      <c r="E651" s="12" t="n">
        <f aca="false">D651^(-1/B651)-1</f>
        <v>0.0640954025</v>
      </c>
      <c r="F651" s="12" t="n">
        <f aca="false">(1+E651)^(1/12)-1</f>
        <v>0.00519051184940045</v>
      </c>
      <c r="G651" s="16" t="n">
        <f aca="false">IF(C651=0,(1+Dic2025!$J$6)^(-B651),EXP(LN(INDEX(Dic2025!$K$6:$K$205,C651))+(LN(INDEX(Dic2025!$K$6:$K$205,MIN(C651+1,200)))-LN(INDEX(Dic2025!$K$6:$K$205,C651)))*(A651-6*C651)/6))</f>
        <v>0.0350992449119765</v>
      </c>
      <c r="H651" s="12" t="n">
        <f aca="false">G651^(-1/B651)-1</f>
        <v>0.0640954025</v>
      </c>
      <c r="I651" s="12" t="n">
        <f aca="false">(1+H651)^(1/12)-1</f>
        <v>0.00519051184940045</v>
      </c>
      <c r="J651" s="16" t="n">
        <f aca="false">IF(C651=0,(1+Dic2025!$M$6)^(-B651),EXP(LN(INDEX(Dic2025!$N$6:$N$205,C651))+(LN(INDEX(Dic2025!$N$6:$N$205,MIN(C651+1,200)))-LN(INDEX(Dic2025!$N$6:$N$205,C651)))*(A651-6*C651)/6))</f>
        <v>0.0350992449119765</v>
      </c>
      <c r="K651" s="12" t="n">
        <f aca="false">J651^(-1/B651)-1</f>
        <v>0.0640954025</v>
      </c>
      <c r="L651" s="12" t="n">
        <f aca="false">(1+K651)^(1/12)-1</f>
        <v>0.00519051184940045</v>
      </c>
    </row>
    <row r="652" customFormat="false" ht="15" hidden="false" customHeight="false" outlineLevel="0" collapsed="false">
      <c r="A652" s="4" t="n">
        <v>648</v>
      </c>
      <c r="B652" s="14" t="n">
        <f aca="false">A652/12</f>
        <v>54</v>
      </c>
      <c r="C652" s="15" t="n">
        <f aca="false">INT(A652/6)</f>
        <v>108</v>
      </c>
      <c r="D652" s="16" t="n">
        <f aca="false">IF(C652=0,(1+Dic2025!$G$6)^(-B652),EXP(LN(INDEX(Dic2025!$H$6:$H$205,C652))+(LN(INDEX(Dic2025!$H$6:$H$205,MIN(C652+1,200)))-LN(INDEX(Dic2025!$H$6:$H$205,C652)))*(A652-6*C652)/6))</f>
        <v>0.0349180026056942</v>
      </c>
      <c r="E652" s="12" t="n">
        <f aca="false">D652^(-1/B652)-1</f>
        <v>0.0640954025</v>
      </c>
      <c r="F652" s="12" t="n">
        <f aca="false">(1+E652)^(1/12)-1</f>
        <v>0.00519051184940045</v>
      </c>
      <c r="G652" s="16" t="n">
        <f aca="false">IF(C652=0,(1+Dic2025!$J$6)^(-B652),EXP(LN(INDEX(Dic2025!$K$6:$K$205,C652))+(LN(INDEX(Dic2025!$K$6:$K$205,MIN(C652+1,200)))-LN(INDEX(Dic2025!$K$6:$K$205,C652)))*(A652-6*C652)/6))</f>
        <v>0.0349180026056942</v>
      </c>
      <c r="H652" s="12" t="n">
        <f aca="false">G652^(-1/B652)-1</f>
        <v>0.0640954025</v>
      </c>
      <c r="I652" s="12" t="n">
        <f aca="false">(1+H652)^(1/12)-1</f>
        <v>0.00519051184940045</v>
      </c>
      <c r="J652" s="16" t="n">
        <f aca="false">IF(C652=0,(1+Dic2025!$M$6)^(-B652),EXP(LN(INDEX(Dic2025!$N$6:$N$205,C652))+(LN(INDEX(Dic2025!$N$6:$N$205,MIN(C652+1,200)))-LN(INDEX(Dic2025!$N$6:$N$205,C652)))*(A652-6*C652)/6))</f>
        <v>0.0349180026056942</v>
      </c>
      <c r="K652" s="12" t="n">
        <f aca="false">J652^(-1/B652)-1</f>
        <v>0.0640954025</v>
      </c>
      <c r="L652" s="12" t="n">
        <f aca="false">(1+K652)^(1/12)-1</f>
        <v>0.00519051184940045</v>
      </c>
    </row>
    <row r="653" customFormat="false" ht="15" hidden="false" customHeight="false" outlineLevel="0" collapsed="false">
      <c r="A653" s="4" t="n">
        <v>649</v>
      </c>
      <c r="B653" s="14" t="n">
        <f aca="false">A653/12</f>
        <v>54.0833333333333</v>
      </c>
      <c r="C653" s="15" t="n">
        <f aca="false">INT(A653/6)</f>
        <v>108</v>
      </c>
      <c r="D653" s="16" t="n">
        <f aca="false">IF(C653=0,(1+Dic2025!$G$6)^(-B653),EXP(LN(INDEX(Dic2025!$H$6:$H$205,C653))+(LN(INDEX(Dic2025!$H$6:$H$205,MIN(C653+1,200)))-LN(INDEX(Dic2025!$H$6:$H$205,C653)))*(A653-6*C653)/6))</f>
        <v>0.0347376961820405</v>
      </c>
      <c r="E653" s="12" t="n">
        <f aca="false">D653^(-1/B653)-1</f>
        <v>0.0640954025</v>
      </c>
      <c r="F653" s="12" t="n">
        <f aca="false">(1+E653)^(1/12)-1</f>
        <v>0.00519051184940045</v>
      </c>
      <c r="G653" s="16" t="n">
        <f aca="false">IF(C653=0,(1+Dic2025!$J$6)^(-B653),EXP(LN(INDEX(Dic2025!$K$6:$K$205,C653))+(LN(INDEX(Dic2025!$K$6:$K$205,MIN(C653+1,200)))-LN(INDEX(Dic2025!$K$6:$K$205,C653)))*(A653-6*C653)/6))</f>
        <v>0.0347376961820405</v>
      </c>
      <c r="H653" s="12" t="n">
        <f aca="false">G653^(-1/B653)-1</f>
        <v>0.0640954025</v>
      </c>
      <c r="I653" s="12" t="n">
        <f aca="false">(1+H653)^(1/12)-1</f>
        <v>0.00519051184940045</v>
      </c>
      <c r="J653" s="16" t="n">
        <f aca="false">IF(C653=0,(1+Dic2025!$M$6)^(-B653),EXP(LN(INDEX(Dic2025!$N$6:$N$205,C653))+(LN(INDEX(Dic2025!$N$6:$N$205,MIN(C653+1,200)))-LN(INDEX(Dic2025!$N$6:$N$205,C653)))*(A653-6*C653)/6))</f>
        <v>0.0347376961820405</v>
      </c>
      <c r="K653" s="12" t="n">
        <f aca="false">J653^(-1/B653)-1</f>
        <v>0.0640954025</v>
      </c>
      <c r="L653" s="12" t="n">
        <f aca="false">(1+K653)^(1/12)-1</f>
        <v>0.00519051184940045</v>
      </c>
    </row>
    <row r="654" customFormat="false" ht="15" hidden="false" customHeight="false" outlineLevel="0" collapsed="false">
      <c r="A654" s="4" t="n">
        <v>650</v>
      </c>
      <c r="B654" s="14" t="n">
        <f aca="false">A654/12</f>
        <v>54.1666666666667</v>
      </c>
      <c r="C654" s="15" t="n">
        <f aca="false">INT(A654/6)</f>
        <v>108</v>
      </c>
      <c r="D654" s="16" t="n">
        <f aca="false">IF(C654=0,(1+Dic2025!$G$6)^(-B654),EXP(LN(INDEX(Dic2025!$H$6:$H$205,C654))+(LN(INDEX(Dic2025!$H$6:$H$205,MIN(C654+1,200)))-LN(INDEX(Dic2025!$H$6:$H$205,C654)))*(A654-6*C654)/6))</f>
        <v>0.0345583208083892</v>
      </c>
      <c r="E654" s="12" t="n">
        <f aca="false">D654^(-1/B654)-1</f>
        <v>0.0640954025</v>
      </c>
      <c r="F654" s="12" t="n">
        <f aca="false">(1+E654)^(1/12)-1</f>
        <v>0.00519051184940045</v>
      </c>
      <c r="G654" s="16" t="n">
        <f aca="false">IF(C654=0,(1+Dic2025!$J$6)^(-B654),EXP(LN(INDEX(Dic2025!$K$6:$K$205,C654))+(LN(INDEX(Dic2025!$K$6:$K$205,MIN(C654+1,200)))-LN(INDEX(Dic2025!$K$6:$K$205,C654)))*(A654-6*C654)/6))</f>
        <v>0.0345583208083892</v>
      </c>
      <c r="H654" s="12" t="n">
        <f aca="false">G654^(-1/B654)-1</f>
        <v>0.0640954025</v>
      </c>
      <c r="I654" s="12" t="n">
        <f aca="false">(1+H654)^(1/12)-1</f>
        <v>0.00519051184940045</v>
      </c>
      <c r="J654" s="16" t="n">
        <f aca="false">IF(C654=0,(1+Dic2025!$M$6)^(-B654),EXP(LN(INDEX(Dic2025!$N$6:$N$205,C654))+(LN(INDEX(Dic2025!$N$6:$N$205,MIN(C654+1,200)))-LN(INDEX(Dic2025!$N$6:$N$205,C654)))*(A654-6*C654)/6))</f>
        <v>0.0345583208083892</v>
      </c>
      <c r="K654" s="12" t="n">
        <f aca="false">J654^(-1/B654)-1</f>
        <v>0.0640954025</v>
      </c>
      <c r="L654" s="12" t="n">
        <f aca="false">(1+K654)^(1/12)-1</f>
        <v>0.00519051184940045</v>
      </c>
    </row>
    <row r="655" customFormat="false" ht="15" hidden="false" customHeight="false" outlineLevel="0" collapsed="false">
      <c r="A655" s="4" t="n">
        <v>651</v>
      </c>
      <c r="B655" s="14" t="n">
        <f aca="false">A655/12</f>
        <v>54.25</v>
      </c>
      <c r="C655" s="15" t="n">
        <f aca="false">INT(A655/6)</f>
        <v>108</v>
      </c>
      <c r="D655" s="16" t="n">
        <f aca="false">IF(C655=0,(1+Dic2025!$G$6)^(-B655),EXP(LN(INDEX(Dic2025!$H$6:$H$205,C655))+(LN(INDEX(Dic2025!$H$6:$H$205,MIN(C655+1,200)))-LN(INDEX(Dic2025!$H$6:$H$205,C655)))*(A655-6*C655)/6))</f>
        <v>0.0343798716770685</v>
      </c>
      <c r="E655" s="12" t="n">
        <f aca="false">D655^(-1/B655)-1</f>
        <v>0.0640954025</v>
      </c>
      <c r="F655" s="12" t="n">
        <f aca="false">(1+E655)^(1/12)-1</f>
        <v>0.00519051184940045</v>
      </c>
      <c r="G655" s="16" t="n">
        <f aca="false">IF(C655=0,(1+Dic2025!$J$6)^(-B655),EXP(LN(INDEX(Dic2025!$K$6:$K$205,C655))+(LN(INDEX(Dic2025!$K$6:$K$205,MIN(C655+1,200)))-LN(INDEX(Dic2025!$K$6:$K$205,C655)))*(A655-6*C655)/6))</f>
        <v>0.0343798716770685</v>
      </c>
      <c r="H655" s="12" t="n">
        <f aca="false">G655^(-1/B655)-1</f>
        <v>0.0640954025</v>
      </c>
      <c r="I655" s="12" t="n">
        <f aca="false">(1+H655)^(1/12)-1</f>
        <v>0.00519051184940045</v>
      </c>
      <c r="J655" s="16" t="n">
        <f aca="false">IF(C655=0,(1+Dic2025!$M$6)^(-B655),EXP(LN(INDEX(Dic2025!$N$6:$N$205,C655))+(LN(INDEX(Dic2025!$N$6:$N$205,MIN(C655+1,200)))-LN(INDEX(Dic2025!$N$6:$N$205,C655)))*(A655-6*C655)/6))</f>
        <v>0.0343798716770685</v>
      </c>
      <c r="K655" s="12" t="n">
        <f aca="false">J655^(-1/B655)-1</f>
        <v>0.0640954025</v>
      </c>
      <c r="L655" s="12" t="n">
        <f aca="false">(1+K655)^(1/12)-1</f>
        <v>0.00519051184940045</v>
      </c>
    </row>
    <row r="656" customFormat="false" ht="15" hidden="false" customHeight="false" outlineLevel="0" collapsed="false">
      <c r="A656" s="4" t="n">
        <v>652</v>
      </c>
      <c r="B656" s="14" t="n">
        <f aca="false">A656/12</f>
        <v>54.3333333333333</v>
      </c>
      <c r="C656" s="15" t="n">
        <f aca="false">INT(A656/6)</f>
        <v>108</v>
      </c>
      <c r="D656" s="16" t="n">
        <f aca="false">IF(C656=0,(1+Dic2025!$G$6)^(-B656),EXP(LN(INDEX(Dic2025!$H$6:$H$205,C656))+(LN(INDEX(Dic2025!$H$6:$H$205,MIN(C656+1,200)))-LN(INDEX(Dic2025!$H$6:$H$205,C656)))*(A656-6*C656)/6))</f>
        <v>0.034202344005232</v>
      </c>
      <c r="E656" s="12" t="n">
        <f aca="false">D656^(-1/B656)-1</f>
        <v>0.0640954025</v>
      </c>
      <c r="F656" s="12" t="n">
        <f aca="false">(1+E656)^(1/12)-1</f>
        <v>0.00519051184940045</v>
      </c>
      <c r="G656" s="16" t="n">
        <f aca="false">IF(C656=0,(1+Dic2025!$J$6)^(-B656),EXP(LN(INDEX(Dic2025!$K$6:$K$205,C656))+(LN(INDEX(Dic2025!$K$6:$K$205,MIN(C656+1,200)))-LN(INDEX(Dic2025!$K$6:$K$205,C656)))*(A656-6*C656)/6))</f>
        <v>0.034202344005232</v>
      </c>
      <c r="H656" s="12" t="n">
        <f aca="false">G656^(-1/B656)-1</f>
        <v>0.0640954025</v>
      </c>
      <c r="I656" s="12" t="n">
        <f aca="false">(1+H656)^(1/12)-1</f>
        <v>0.00519051184940045</v>
      </c>
      <c r="J656" s="16" t="n">
        <f aca="false">IF(C656=0,(1+Dic2025!$M$6)^(-B656),EXP(LN(INDEX(Dic2025!$N$6:$N$205,C656))+(LN(INDEX(Dic2025!$N$6:$N$205,MIN(C656+1,200)))-LN(INDEX(Dic2025!$N$6:$N$205,C656)))*(A656-6*C656)/6))</f>
        <v>0.034202344005232</v>
      </c>
      <c r="K656" s="12" t="n">
        <f aca="false">J656^(-1/B656)-1</f>
        <v>0.0640954025</v>
      </c>
      <c r="L656" s="12" t="n">
        <f aca="false">(1+K656)^(1/12)-1</f>
        <v>0.00519051184940045</v>
      </c>
    </row>
    <row r="657" customFormat="false" ht="15" hidden="false" customHeight="false" outlineLevel="0" collapsed="false">
      <c r="A657" s="4" t="n">
        <v>653</v>
      </c>
      <c r="B657" s="14" t="n">
        <f aca="false">A657/12</f>
        <v>54.4166666666667</v>
      </c>
      <c r="C657" s="15" t="n">
        <f aca="false">INT(A657/6)</f>
        <v>108</v>
      </c>
      <c r="D657" s="16" t="n">
        <f aca="false">IF(C657=0,(1+Dic2025!$G$6)^(-B657),EXP(LN(INDEX(Dic2025!$H$6:$H$205,C657))+(LN(INDEX(Dic2025!$H$6:$H$205,MIN(C657+1,200)))-LN(INDEX(Dic2025!$H$6:$H$205,C657)))*(A657-6*C657)/6))</f>
        <v>0.0340257330347307</v>
      </c>
      <c r="E657" s="12" t="n">
        <f aca="false">D657^(-1/B657)-1</f>
        <v>0.0640954025</v>
      </c>
      <c r="F657" s="12" t="n">
        <f aca="false">(1+E657)^(1/12)-1</f>
        <v>0.00519051184940045</v>
      </c>
      <c r="G657" s="16" t="n">
        <f aca="false">IF(C657=0,(1+Dic2025!$J$6)^(-B657),EXP(LN(INDEX(Dic2025!$K$6:$K$205,C657))+(LN(INDEX(Dic2025!$K$6:$K$205,MIN(C657+1,200)))-LN(INDEX(Dic2025!$K$6:$K$205,C657)))*(A657-6*C657)/6))</f>
        <v>0.0340257330347307</v>
      </c>
      <c r="H657" s="12" t="n">
        <f aca="false">G657^(-1/B657)-1</f>
        <v>0.0640954025</v>
      </c>
      <c r="I657" s="12" t="n">
        <f aca="false">(1+H657)^(1/12)-1</f>
        <v>0.00519051184940045</v>
      </c>
      <c r="J657" s="16" t="n">
        <f aca="false">IF(C657=0,(1+Dic2025!$M$6)^(-B657),EXP(LN(INDEX(Dic2025!$N$6:$N$205,C657))+(LN(INDEX(Dic2025!$N$6:$N$205,MIN(C657+1,200)))-LN(INDEX(Dic2025!$N$6:$N$205,C657)))*(A657-6*C657)/6))</f>
        <v>0.0340257330347307</v>
      </c>
      <c r="K657" s="12" t="n">
        <f aca="false">J657^(-1/B657)-1</f>
        <v>0.0640954025</v>
      </c>
      <c r="L657" s="12" t="n">
        <f aca="false">(1+K657)^(1/12)-1</f>
        <v>0.00519051184940045</v>
      </c>
    </row>
    <row r="658" customFormat="false" ht="15" hidden="false" customHeight="false" outlineLevel="0" collapsed="false">
      <c r="A658" s="4" t="n">
        <v>654</v>
      </c>
      <c r="B658" s="14" t="n">
        <f aca="false">A658/12</f>
        <v>54.5</v>
      </c>
      <c r="C658" s="15" t="n">
        <f aca="false">INT(A658/6)</f>
        <v>109</v>
      </c>
      <c r="D658" s="16" t="n">
        <f aca="false">IF(C658=0,(1+Dic2025!$G$6)^(-B658),EXP(LN(INDEX(Dic2025!$H$6:$H$205,C658))+(LN(INDEX(Dic2025!$H$6:$H$205,MIN(C658+1,200)))-LN(INDEX(Dic2025!$H$6:$H$205,C658)))*(A658-6*C658)/6))</f>
        <v>0.0338500340319851</v>
      </c>
      <c r="E658" s="12" t="n">
        <f aca="false">D658^(-1/B658)-1</f>
        <v>0.0640954025</v>
      </c>
      <c r="F658" s="12" t="n">
        <f aca="false">(1+E658)^(1/12)-1</f>
        <v>0.00519051184940045</v>
      </c>
      <c r="G658" s="16" t="n">
        <f aca="false">IF(C658=0,(1+Dic2025!$J$6)^(-B658),EXP(LN(INDEX(Dic2025!$K$6:$K$205,C658))+(LN(INDEX(Dic2025!$K$6:$K$205,MIN(C658+1,200)))-LN(INDEX(Dic2025!$K$6:$K$205,C658)))*(A658-6*C658)/6))</f>
        <v>0.0338500340319851</v>
      </c>
      <c r="H658" s="12" t="n">
        <f aca="false">G658^(-1/B658)-1</f>
        <v>0.0640954025</v>
      </c>
      <c r="I658" s="12" t="n">
        <f aca="false">(1+H658)^(1/12)-1</f>
        <v>0.00519051184940045</v>
      </c>
      <c r="J658" s="16" t="n">
        <f aca="false">IF(C658=0,(1+Dic2025!$M$6)^(-B658),EXP(LN(INDEX(Dic2025!$N$6:$N$205,C658))+(LN(INDEX(Dic2025!$N$6:$N$205,MIN(C658+1,200)))-LN(INDEX(Dic2025!$N$6:$N$205,C658)))*(A658-6*C658)/6))</f>
        <v>0.0338500340319851</v>
      </c>
      <c r="K658" s="12" t="n">
        <f aca="false">J658^(-1/B658)-1</f>
        <v>0.0640954025</v>
      </c>
      <c r="L658" s="12" t="n">
        <f aca="false">(1+K658)^(1/12)-1</f>
        <v>0.00519051184940045</v>
      </c>
    </row>
    <row r="659" customFormat="false" ht="15" hidden="false" customHeight="false" outlineLevel="0" collapsed="false">
      <c r="A659" s="4" t="n">
        <v>655</v>
      </c>
      <c r="B659" s="14" t="n">
        <f aca="false">A659/12</f>
        <v>54.5833333333333</v>
      </c>
      <c r="C659" s="15" t="n">
        <f aca="false">INT(A659/6)</f>
        <v>109</v>
      </c>
      <c r="D659" s="16" t="n">
        <f aca="false">IF(C659=0,(1+Dic2025!$G$6)^(-B659),EXP(LN(INDEX(Dic2025!$H$6:$H$205,C659))+(LN(INDEX(Dic2025!$H$6:$H$205,MIN(C659+1,200)))-LN(INDEX(Dic2025!$H$6:$H$205,C659)))*(A659-6*C659)/6))</f>
        <v>0.0336752422878586</v>
      </c>
      <c r="E659" s="12" t="n">
        <f aca="false">D659^(-1/B659)-1</f>
        <v>0.0640954025</v>
      </c>
      <c r="F659" s="12" t="n">
        <f aca="false">(1+E659)^(1/12)-1</f>
        <v>0.00519051184940045</v>
      </c>
      <c r="G659" s="16" t="n">
        <f aca="false">IF(C659=0,(1+Dic2025!$J$6)^(-B659),EXP(LN(INDEX(Dic2025!$K$6:$K$205,C659))+(LN(INDEX(Dic2025!$K$6:$K$205,MIN(C659+1,200)))-LN(INDEX(Dic2025!$K$6:$K$205,C659)))*(A659-6*C659)/6))</f>
        <v>0.0336752422878586</v>
      </c>
      <c r="H659" s="12" t="n">
        <f aca="false">G659^(-1/B659)-1</f>
        <v>0.0640954025</v>
      </c>
      <c r="I659" s="12" t="n">
        <f aca="false">(1+H659)^(1/12)-1</f>
        <v>0.00519051184940045</v>
      </c>
      <c r="J659" s="16" t="n">
        <f aca="false">IF(C659=0,(1+Dic2025!$M$6)^(-B659),EXP(LN(INDEX(Dic2025!$N$6:$N$205,C659))+(LN(INDEX(Dic2025!$N$6:$N$205,MIN(C659+1,200)))-LN(INDEX(Dic2025!$N$6:$N$205,C659)))*(A659-6*C659)/6))</f>
        <v>0.0336752422878586</v>
      </c>
      <c r="K659" s="12" t="n">
        <f aca="false">J659^(-1/B659)-1</f>
        <v>0.0640954025</v>
      </c>
      <c r="L659" s="12" t="n">
        <f aca="false">(1+K659)^(1/12)-1</f>
        <v>0.00519051184940045</v>
      </c>
    </row>
    <row r="660" customFormat="false" ht="15" hidden="false" customHeight="false" outlineLevel="0" collapsed="false">
      <c r="A660" s="4" t="n">
        <v>656</v>
      </c>
      <c r="B660" s="14" t="n">
        <f aca="false">A660/12</f>
        <v>54.6666666666667</v>
      </c>
      <c r="C660" s="15" t="n">
        <f aca="false">INT(A660/6)</f>
        <v>109</v>
      </c>
      <c r="D660" s="16" t="n">
        <f aca="false">IF(C660=0,(1+Dic2025!$G$6)^(-B660),EXP(LN(INDEX(Dic2025!$H$6:$H$205,C660))+(LN(INDEX(Dic2025!$H$6:$H$205,MIN(C660+1,200)))-LN(INDEX(Dic2025!$H$6:$H$205,C660)))*(A660-6*C660)/6))</f>
        <v>0.0335013531175311</v>
      </c>
      <c r="E660" s="12" t="n">
        <f aca="false">D660^(-1/B660)-1</f>
        <v>0.0640954025</v>
      </c>
      <c r="F660" s="12" t="n">
        <f aca="false">(1+E660)^(1/12)-1</f>
        <v>0.00519051184940045</v>
      </c>
      <c r="G660" s="16" t="n">
        <f aca="false">IF(C660=0,(1+Dic2025!$J$6)^(-B660),EXP(LN(INDEX(Dic2025!$K$6:$K$205,C660))+(LN(INDEX(Dic2025!$K$6:$K$205,MIN(C660+1,200)))-LN(INDEX(Dic2025!$K$6:$K$205,C660)))*(A660-6*C660)/6))</f>
        <v>0.0335013531175311</v>
      </c>
      <c r="H660" s="12" t="n">
        <f aca="false">G660^(-1/B660)-1</f>
        <v>0.0640954025</v>
      </c>
      <c r="I660" s="12" t="n">
        <f aca="false">(1+H660)^(1/12)-1</f>
        <v>0.00519051184940045</v>
      </c>
      <c r="J660" s="16" t="n">
        <f aca="false">IF(C660=0,(1+Dic2025!$M$6)^(-B660),EXP(LN(INDEX(Dic2025!$N$6:$N$205,C660))+(LN(INDEX(Dic2025!$N$6:$N$205,MIN(C660+1,200)))-LN(INDEX(Dic2025!$N$6:$N$205,C660)))*(A660-6*C660)/6))</f>
        <v>0.0335013531175311</v>
      </c>
      <c r="K660" s="12" t="n">
        <f aca="false">J660^(-1/B660)-1</f>
        <v>0.0640954025</v>
      </c>
      <c r="L660" s="12" t="n">
        <f aca="false">(1+K660)^(1/12)-1</f>
        <v>0.00519051184940045</v>
      </c>
    </row>
    <row r="661" customFormat="false" ht="15" hidden="false" customHeight="false" outlineLevel="0" collapsed="false">
      <c r="A661" s="4" t="n">
        <v>657</v>
      </c>
      <c r="B661" s="14" t="n">
        <f aca="false">A661/12</f>
        <v>54.75</v>
      </c>
      <c r="C661" s="15" t="n">
        <f aca="false">INT(A661/6)</f>
        <v>109</v>
      </c>
      <c r="D661" s="16" t="n">
        <f aca="false">IF(C661=0,(1+Dic2025!$G$6)^(-B661),EXP(LN(INDEX(Dic2025!$H$6:$H$205,C661))+(LN(INDEX(Dic2025!$H$6:$H$205,MIN(C661+1,200)))-LN(INDEX(Dic2025!$H$6:$H$205,C661)))*(A661-6*C661)/6))</f>
        <v>0.0333283618603737</v>
      </c>
      <c r="E661" s="12" t="n">
        <f aca="false">D661^(-1/B661)-1</f>
        <v>0.0640954025</v>
      </c>
      <c r="F661" s="12" t="n">
        <f aca="false">(1+E661)^(1/12)-1</f>
        <v>0.00519051184940045</v>
      </c>
      <c r="G661" s="16" t="n">
        <f aca="false">IF(C661=0,(1+Dic2025!$J$6)^(-B661),EXP(LN(INDEX(Dic2025!$K$6:$K$205,C661))+(LN(INDEX(Dic2025!$K$6:$K$205,MIN(C661+1,200)))-LN(INDEX(Dic2025!$K$6:$K$205,C661)))*(A661-6*C661)/6))</f>
        <v>0.0333283618603737</v>
      </c>
      <c r="H661" s="12" t="n">
        <f aca="false">G661^(-1/B661)-1</f>
        <v>0.0640954025</v>
      </c>
      <c r="I661" s="12" t="n">
        <f aca="false">(1+H661)^(1/12)-1</f>
        <v>0.00519051184940045</v>
      </c>
      <c r="J661" s="16" t="n">
        <f aca="false">IF(C661=0,(1+Dic2025!$M$6)^(-B661),EXP(LN(INDEX(Dic2025!$N$6:$N$205,C661))+(LN(INDEX(Dic2025!$N$6:$N$205,MIN(C661+1,200)))-LN(INDEX(Dic2025!$N$6:$N$205,C661)))*(A661-6*C661)/6))</f>
        <v>0.0333283618603737</v>
      </c>
      <c r="K661" s="12" t="n">
        <f aca="false">J661^(-1/B661)-1</f>
        <v>0.0640954025</v>
      </c>
      <c r="L661" s="12" t="n">
        <f aca="false">(1+K661)^(1/12)-1</f>
        <v>0.00519051184940045</v>
      </c>
    </row>
    <row r="662" customFormat="false" ht="15" hidden="false" customHeight="false" outlineLevel="0" collapsed="false">
      <c r="A662" s="4" t="n">
        <v>658</v>
      </c>
      <c r="B662" s="14" t="n">
        <f aca="false">A662/12</f>
        <v>54.8333333333333</v>
      </c>
      <c r="C662" s="15" t="n">
        <f aca="false">INT(A662/6)</f>
        <v>109</v>
      </c>
      <c r="D662" s="16" t="n">
        <f aca="false">IF(C662=0,(1+Dic2025!$G$6)^(-B662),EXP(LN(INDEX(Dic2025!$H$6:$H$205,C662))+(LN(INDEX(Dic2025!$H$6:$H$205,MIN(C662+1,200)))-LN(INDEX(Dic2025!$H$6:$H$205,C662)))*(A662-6*C662)/6))</f>
        <v>0.0331562638798236</v>
      </c>
      <c r="E662" s="12" t="n">
        <f aca="false">D662^(-1/B662)-1</f>
        <v>0.0640954025</v>
      </c>
      <c r="F662" s="12" t="n">
        <f aca="false">(1+E662)^(1/12)-1</f>
        <v>0.00519051184940045</v>
      </c>
      <c r="G662" s="16" t="n">
        <f aca="false">IF(C662=0,(1+Dic2025!$J$6)^(-B662),EXP(LN(INDEX(Dic2025!$K$6:$K$205,C662))+(LN(INDEX(Dic2025!$K$6:$K$205,MIN(C662+1,200)))-LN(INDEX(Dic2025!$K$6:$K$205,C662)))*(A662-6*C662)/6))</f>
        <v>0.0331562638798236</v>
      </c>
      <c r="H662" s="12" t="n">
        <f aca="false">G662^(-1/B662)-1</f>
        <v>0.0640954025</v>
      </c>
      <c r="I662" s="12" t="n">
        <f aca="false">(1+H662)^(1/12)-1</f>
        <v>0.00519051184940045</v>
      </c>
      <c r="J662" s="16" t="n">
        <f aca="false">IF(C662=0,(1+Dic2025!$M$6)^(-B662),EXP(LN(INDEX(Dic2025!$N$6:$N$205,C662))+(LN(INDEX(Dic2025!$N$6:$N$205,MIN(C662+1,200)))-LN(INDEX(Dic2025!$N$6:$N$205,C662)))*(A662-6*C662)/6))</f>
        <v>0.0331562638798236</v>
      </c>
      <c r="K662" s="12" t="n">
        <f aca="false">J662^(-1/B662)-1</f>
        <v>0.0640954025</v>
      </c>
      <c r="L662" s="12" t="n">
        <f aca="false">(1+K662)^(1/12)-1</f>
        <v>0.00519051184940045</v>
      </c>
    </row>
    <row r="663" customFormat="false" ht="15" hidden="false" customHeight="false" outlineLevel="0" collapsed="false">
      <c r="A663" s="4" t="n">
        <v>659</v>
      </c>
      <c r="B663" s="14" t="n">
        <f aca="false">A663/12</f>
        <v>54.9166666666667</v>
      </c>
      <c r="C663" s="15" t="n">
        <f aca="false">INT(A663/6)</f>
        <v>109</v>
      </c>
      <c r="D663" s="16" t="n">
        <f aca="false">IF(C663=0,(1+Dic2025!$G$6)^(-B663),EXP(LN(INDEX(Dic2025!$H$6:$H$205,C663))+(LN(INDEX(Dic2025!$H$6:$H$205,MIN(C663+1,200)))-LN(INDEX(Dic2025!$H$6:$H$205,C663)))*(A663-6*C663)/6))</f>
        <v>0.0329850545632599</v>
      </c>
      <c r="E663" s="12" t="n">
        <f aca="false">D663^(-1/B663)-1</f>
        <v>0.0640954025</v>
      </c>
      <c r="F663" s="12" t="n">
        <f aca="false">(1+E663)^(1/12)-1</f>
        <v>0.00519051184940045</v>
      </c>
      <c r="G663" s="16" t="n">
        <f aca="false">IF(C663=0,(1+Dic2025!$J$6)^(-B663),EXP(LN(INDEX(Dic2025!$K$6:$K$205,C663))+(LN(INDEX(Dic2025!$K$6:$K$205,MIN(C663+1,200)))-LN(INDEX(Dic2025!$K$6:$K$205,C663)))*(A663-6*C663)/6))</f>
        <v>0.0329850545632599</v>
      </c>
      <c r="H663" s="12" t="n">
        <f aca="false">G663^(-1/B663)-1</f>
        <v>0.0640954025</v>
      </c>
      <c r="I663" s="12" t="n">
        <f aca="false">(1+H663)^(1/12)-1</f>
        <v>0.00519051184940045</v>
      </c>
      <c r="J663" s="16" t="n">
        <f aca="false">IF(C663=0,(1+Dic2025!$M$6)^(-B663),EXP(LN(INDEX(Dic2025!$N$6:$N$205,C663))+(LN(INDEX(Dic2025!$N$6:$N$205,MIN(C663+1,200)))-LN(INDEX(Dic2025!$N$6:$N$205,C663)))*(A663-6*C663)/6))</f>
        <v>0.0329850545632599</v>
      </c>
      <c r="K663" s="12" t="n">
        <f aca="false">J663^(-1/B663)-1</f>
        <v>0.0640954025</v>
      </c>
      <c r="L663" s="12" t="n">
        <f aca="false">(1+K663)^(1/12)-1</f>
        <v>0.00519051184940045</v>
      </c>
    </row>
    <row r="664" customFormat="false" ht="15" hidden="false" customHeight="false" outlineLevel="0" collapsed="false">
      <c r="A664" s="4" t="n">
        <v>660</v>
      </c>
      <c r="B664" s="14" t="n">
        <f aca="false">A664/12</f>
        <v>55</v>
      </c>
      <c r="C664" s="15" t="n">
        <f aca="false">INT(A664/6)</f>
        <v>110</v>
      </c>
      <c r="D664" s="16" t="n">
        <f aca="false">IF(C664=0,(1+Dic2025!$G$6)^(-B664),EXP(LN(INDEX(Dic2025!$H$6:$H$205,C664))+(LN(INDEX(Dic2025!$H$6:$H$205,MIN(C664+1,200)))-LN(INDEX(Dic2025!$H$6:$H$205,C664)))*(A664-6*C664)/6))</f>
        <v>0.0328147293218798</v>
      </c>
      <c r="E664" s="12" t="n">
        <f aca="false">D664^(-1/B664)-1</f>
        <v>0.0640954025</v>
      </c>
      <c r="F664" s="12" t="n">
        <f aca="false">(1+E664)^(1/12)-1</f>
        <v>0.00519051184940045</v>
      </c>
      <c r="G664" s="16" t="n">
        <f aca="false">IF(C664=0,(1+Dic2025!$J$6)^(-B664),EXP(LN(INDEX(Dic2025!$K$6:$K$205,C664))+(LN(INDEX(Dic2025!$K$6:$K$205,MIN(C664+1,200)))-LN(INDEX(Dic2025!$K$6:$K$205,C664)))*(A664-6*C664)/6))</f>
        <v>0.0328147293218798</v>
      </c>
      <c r="H664" s="12" t="n">
        <f aca="false">G664^(-1/B664)-1</f>
        <v>0.0640954025</v>
      </c>
      <c r="I664" s="12" t="n">
        <f aca="false">(1+H664)^(1/12)-1</f>
        <v>0.00519051184940045</v>
      </c>
      <c r="J664" s="16" t="n">
        <f aca="false">IF(C664=0,(1+Dic2025!$M$6)^(-B664),EXP(LN(INDEX(Dic2025!$N$6:$N$205,C664))+(LN(INDEX(Dic2025!$N$6:$N$205,MIN(C664+1,200)))-LN(INDEX(Dic2025!$N$6:$N$205,C664)))*(A664-6*C664)/6))</f>
        <v>0.0328147293218798</v>
      </c>
      <c r="K664" s="12" t="n">
        <f aca="false">J664^(-1/B664)-1</f>
        <v>0.0640954025</v>
      </c>
      <c r="L664" s="12" t="n">
        <f aca="false">(1+K664)^(1/12)-1</f>
        <v>0.00519051184940045</v>
      </c>
    </row>
    <row r="665" customFormat="false" ht="15" hidden="false" customHeight="false" outlineLevel="0" collapsed="false">
      <c r="A665" s="4" t="n">
        <v>661</v>
      </c>
      <c r="B665" s="14" t="n">
        <f aca="false">A665/12</f>
        <v>55.0833333333333</v>
      </c>
      <c r="C665" s="15" t="n">
        <f aca="false">INT(A665/6)</f>
        <v>110</v>
      </c>
      <c r="D665" s="16" t="n">
        <f aca="false">IF(C665=0,(1+Dic2025!$G$6)^(-B665),EXP(LN(INDEX(Dic2025!$H$6:$H$205,C665))+(LN(INDEX(Dic2025!$H$6:$H$205,MIN(C665+1,200)))-LN(INDEX(Dic2025!$H$6:$H$205,C665)))*(A665-6*C665)/6))</f>
        <v>0.0326160241060079</v>
      </c>
      <c r="E665" s="12" t="n">
        <f aca="false">D665^(-1/B665)-1</f>
        <v>0.064112724770355</v>
      </c>
      <c r="F665" s="12" t="n">
        <f aca="false">(1+E665)^(1/12)-1</f>
        <v>0.00519187545300293</v>
      </c>
      <c r="G665" s="16" t="n">
        <f aca="false">IF(C665=0,(1+Dic2025!$J$6)^(-B665),EXP(LN(INDEX(Dic2025!$K$6:$K$205,C665))+(LN(INDEX(Dic2025!$K$6:$K$205,MIN(C665+1,200)))-LN(INDEX(Dic2025!$K$6:$K$205,C665)))*(A665-6*C665)/6))</f>
        <v>0.0326160241060079</v>
      </c>
      <c r="H665" s="12" t="n">
        <f aca="false">G665^(-1/B665)-1</f>
        <v>0.064112724770355</v>
      </c>
      <c r="I665" s="12" t="n">
        <f aca="false">(1+H665)^(1/12)-1</f>
        <v>0.00519187545300293</v>
      </c>
      <c r="J665" s="16" t="n">
        <f aca="false">IF(C665=0,(1+Dic2025!$M$6)^(-B665),EXP(LN(INDEX(Dic2025!$N$6:$N$205,C665))+(LN(INDEX(Dic2025!$N$6:$N$205,MIN(C665+1,200)))-LN(INDEX(Dic2025!$N$6:$N$205,C665)))*(A665-6*C665)/6))</f>
        <v>0.0326160241060079</v>
      </c>
      <c r="K665" s="12" t="n">
        <f aca="false">J665^(-1/B665)-1</f>
        <v>0.064112724770355</v>
      </c>
      <c r="L665" s="12" t="n">
        <f aca="false">(1+K665)^(1/12)-1</f>
        <v>0.00519187545300293</v>
      </c>
    </row>
    <row r="666" customFormat="false" ht="15" hidden="false" customHeight="false" outlineLevel="0" collapsed="false">
      <c r="A666" s="4" t="n">
        <v>662</v>
      </c>
      <c r="B666" s="14" t="n">
        <f aca="false">A666/12</f>
        <v>55.1666666666667</v>
      </c>
      <c r="C666" s="15" t="n">
        <f aca="false">INT(A666/6)</f>
        <v>110</v>
      </c>
      <c r="D666" s="16" t="n">
        <f aca="false">IF(C666=0,(1+Dic2025!$G$6)^(-B666),EXP(LN(INDEX(Dic2025!$H$6:$H$205,C666))+(LN(INDEX(Dic2025!$H$6:$H$205,MIN(C666+1,200)))-LN(INDEX(Dic2025!$H$6:$H$205,C666)))*(A666-6*C666)/6))</f>
        <v>0.0324185221230631</v>
      </c>
      <c r="E666" s="12" t="n">
        <f aca="false">D666^(-1/B666)-1</f>
        <v>0.0641299949882774</v>
      </c>
      <c r="F666" s="12" t="n">
        <f aca="false">(1+E666)^(1/12)-1</f>
        <v>0.00519323493879864</v>
      </c>
      <c r="G666" s="16" t="n">
        <f aca="false">IF(C666=0,(1+Dic2025!$J$6)^(-B666),EXP(LN(INDEX(Dic2025!$K$6:$K$205,C666))+(LN(INDEX(Dic2025!$K$6:$K$205,MIN(C666+1,200)))-LN(INDEX(Dic2025!$K$6:$K$205,C666)))*(A666-6*C666)/6))</f>
        <v>0.0324185221230631</v>
      </c>
      <c r="H666" s="12" t="n">
        <f aca="false">G666^(-1/B666)-1</f>
        <v>0.0641299949882774</v>
      </c>
      <c r="I666" s="12" t="n">
        <f aca="false">(1+H666)^(1/12)-1</f>
        <v>0.00519323493879864</v>
      </c>
      <c r="J666" s="16" t="n">
        <f aca="false">IF(C666=0,(1+Dic2025!$M$6)^(-B666),EXP(LN(INDEX(Dic2025!$N$6:$N$205,C666))+(LN(INDEX(Dic2025!$N$6:$N$205,MIN(C666+1,200)))-LN(INDEX(Dic2025!$N$6:$N$205,C666)))*(A666-6*C666)/6))</f>
        <v>0.0324185221230631</v>
      </c>
      <c r="K666" s="12" t="n">
        <f aca="false">J666^(-1/B666)-1</f>
        <v>0.0641299949882774</v>
      </c>
      <c r="L666" s="12" t="n">
        <f aca="false">(1+K666)^(1/12)-1</f>
        <v>0.00519323493879864</v>
      </c>
    </row>
    <row r="667" customFormat="false" ht="15" hidden="false" customHeight="false" outlineLevel="0" collapsed="false">
      <c r="A667" s="4" t="n">
        <v>663</v>
      </c>
      <c r="B667" s="14" t="n">
        <f aca="false">A667/12</f>
        <v>55.25</v>
      </c>
      <c r="C667" s="15" t="n">
        <f aca="false">INT(A667/6)</f>
        <v>110</v>
      </c>
      <c r="D667" s="16" t="n">
        <f aca="false">IF(C667=0,(1+Dic2025!$G$6)^(-B667),EXP(LN(INDEX(Dic2025!$H$6:$H$205,C667))+(LN(INDEX(Dic2025!$H$6:$H$205,MIN(C667+1,200)))-LN(INDEX(Dic2025!$H$6:$H$205,C667)))*(A667-6*C667)/6))</f>
        <v>0.032222216087029</v>
      </c>
      <c r="E667" s="12" t="n">
        <f aca="false">D667^(-1/B667)-1</f>
        <v>0.0641472133880345</v>
      </c>
      <c r="F667" s="12" t="n">
        <f aca="false">(1+E667)^(1/12)-1</f>
        <v>0.00519459032541159</v>
      </c>
      <c r="G667" s="16" t="n">
        <f aca="false">IF(C667=0,(1+Dic2025!$J$6)^(-B667),EXP(LN(INDEX(Dic2025!$K$6:$K$205,C667))+(LN(INDEX(Dic2025!$K$6:$K$205,MIN(C667+1,200)))-LN(INDEX(Dic2025!$K$6:$K$205,C667)))*(A667-6*C667)/6))</f>
        <v>0.032222216087029</v>
      </c>
      <c r="H667" s="12" t="n">
        <f aca="false">G667^(-1/B667)-1</f>
        <v>0.0641472133880345</v>
      </c>
      <c r="I667" s="12" t="n">
        <f aca="false">(1+H667)^(1/12)-1</f>
        <v>0.00519459032541159</v>
      </c>
      <c r="J667" s="16" t="n">
        <f aca="false">IF(C667=0,(1+Dic2025!$M$6)^(-B667),EXP(LN(INDEX(Dic2025!$N$6:$N$205,C667))+(LN(INDEX(Dic2025!$N$6:$N$205,MIN(C667+1,200)))-LN(INDEX(Dic2025!$N$6:$N$205,C667)))*(A667-6*C667)/6))</f>
        <v>0.032222216087029</v>
      </c>
      <c r="K667" s="12" t="n">
        <f aca="false">J667^(-1/B667)-1</f>
        <v>0.0641472133880345</v>
      </c>
      <c r="L667" s="12" t="n">
        <f aca="false">(1+K667)^(1/12)-1</f>
        <v>0.00519459032541159</v>
      </c>
    </row>
    <row r="668" customFormat="false" ht="15" hidden="false" customHeight="false" outlineLevel="0" collapsed="false">
      <c r="A668" s="4" t="n">
        <v>664</v>
      </c>
      <c r="B668" s="14" t="n">
        <f aca="false">A668/12</f>
        <v>55.3333333333333</v>
      </c>
      <c r="C668" s="15" t="n">
        <f aca="false">INT(A668/6)</f>
        <v>110</v>
      </c>
      <c r="D668" s="16" t="n">
        <f aca="false">IF(C668=0,(1+Dic2025!$G$6)^(-B668),EXP(LN(INDEX(Dic2025!$H$6:$H$205,C668))+(LN(INDEX(Dic2025!$H$6:$H$205,MIN(C668+1,200)))-LN(INDEX(Dic2025!$H$6:$H$205,C668)))*(A668-6*C668)/6))</f>
        <v>0.0320270987560085</v>
      </c>
      <c r="E668" s="12" t="n">
        <f aca="false">D668^(-1/B668)-1</f>
        <v>0.0641643802024907</v>
      </c>
      <c r="F668" s="12" t="n">
        <f aca="false">(1+E668)^(1/12)-1</f>
        <v>0.00519594163135406</v>
      </c>
      <c r="G668" s="16" t="n">
        <f aca="false">IF(C668=0,(1+Dic2025!$J$6)^(-B668),EXP(LN(INDEX(Dic2025!$K$6:$K$205,C668))+(LN(INDEX(Dic2025!$K$6:$K$205,MIN(C668+1,200)))-LN(INDEX(Dic2025!$K$6:$K$205,C668)))*(A668-6*C668)/6))</f>
        <v>0.0320270987560085</v>
      </c>
      <c r="H668" s="12" t="n">
        <f aca="false">G668^(-1/B668)-1</f>
        <v>0.0641643802024907</v>
      </c>
      <c r="I668" s="12" t="n">
        <f aca="false">(1+H668)^(1/12)-1</f>
        <v>0.00519594163135406</v>
      </c>
      <c r="J668" s="16" t="n">
        <f aca="false">IF(C668=0,(1+Dic2025!$M$6)^(-B668),EXP(LN(INDEX(Dic2025!$N$6:$N$205,C668))+(LN(INDEX(Dic2025!$N$6:$N$205,MIN(C668+1,200)))-LN(INDEX(Dic2025!$N$6:$N$205,C668)))*(A668-6*C668)/6))</f>
        <v>0.0320270987560085</v>
      </c>
      <c r="K668" s="12" t="n">
        <f aca="false">J668^(-1/B668)-1</f>
        <v>0.0641643802024907</v>
      </c>
      <c r="L668" s="12" t="n">
        <f aca="false">(1+K668)^(1/12)-1</f>
        <v>0.00519594163135406</v>
      </c>
    </row>
    <row r="669" customFormat="false" ht="15" hidden="false" customHeight="false" outlineLevel="0" collapsed="false">
      <c r="A669" s="4" t="n">
        <v>665</v>
      </c>
      <c r="B669" s="14" t="n">
        <f aca="false">A669/12</f>
        <v>55.4166666666667</v>
      </c>
      <c r="C669" s="15" t="n">
        <f aca="false">INT(A669/6)</f>
        <v>110</v>
      </c>
      <c r="D669" s="16" t="n">
        <f aca="false">IF(C669=0,(1+Dic2025!$G$6)^(-B669),EXP(LN(INDEX(Dic2025!$H$6:$H$205,C669))+(LN(INDEX(Dic2025!$H$6:$H$205,MIN(C669+1,200)))-LN(INDEX(Dic2025!$H$6:$H$205,C669)))*(A669-6*C669)/6))</f>
        <v>0.0318331629319571</v>
      </c>
      <c r="E669" s="12" t="n">
        <f aca="false">D669^(-1/B669)-1</f>
        <v>0.0641814956631166</v>
      </c>
      <c r="F669" s="12" t="n">
        <f aca="false">(1+E669)^(1/12)-1</f>
        <v>0.00519728887502691</v>
      </c>
      <c r="G669" s="16" t="n">
        <f aca="false">IF(C669=0,(1+Dic2025!$J$6)^(-B669),EXP(LN(INDEX(Dic2025!$K$6:$K$205,C669))+(LN(INDEX(Dic2025!$K$6:$K$205,MIN(C669+1,200)))-LN(INDEX(Dic2025!$K$6:$K$205,C669)))*(A669-6*C669)/6))</f>
        <v>0.0318331629319571</v>
      </c>
      <c r="H669" s="12" t="n">
        <f aca="false">G669^(-1/B669)-1</f>
        <v>0.0641814956631166</v>
      </c>
      <c r="I669" s="12" t="n">
        <f aca="false">(1+H669)^(1/12)-1</f>
        <v>0.00519728887502691</v>
      </c>
      <c r="J669" s="16" t="n">
        <f aca="false">IF(C669=0,(1+Dic2025!$M$6)^(-B669),EXP(LN(INDEX(Dic2025!$N$6:$N$205,C669))+(LN(INDEX(Dic2025!$N$6:$N$205,MIN(C669+1,200)))-LN(INDEX(Dic2025!$N$6:$N$205,C669)))*(A669-6*C669)/6))</f>
        <v>0.0318331629319571</v>
      </c>
      <c r="K669" s="12" t="n">
        <f aca="false">J669^(-1/B669)-1</f>
        <v>0.0641814956631166</v>
      </c>
      <c r="L669" s="12" t="n">
        <f aca="false">(1+K669)^(1/12)-1</f>
        <v>0.00519728887502691</v>
      </c>
    </row>
    <row r="670" customFormat="false" ht="15" hidden="false" customHeight="false" outlineLevel="0" collapsed="false">
      <c r="A670" s="4" t="n">
        <v>666</v>
      </c>
      <c r="B670" s="14" t="n">
        <f aca="false">A670/12</f>
        <v>55.5</v>
      </c>
      <c r="C670" s="15" t="n">
        <f aca="false">INT(A670/6)</f>
        <v>111</v>
      </c>
      <c r="D670" s="16" t="n">
        <f aca="false">IF(C670=0,(1+Dic2025!$G$6)^(-B670),EXP(LN(INDEX(Dic2025!$H$6:$H$205,C670))+(LN(INDEX(Dic2025!$H$6:$H$205,MIN(C670+1,200)))-LN(INDEX(Dic2025!$H$6:$H$205,C670)))*(A670-6*C670)/6))</f>
        <v>0.0316404014604169</v>
      </c>
      <c r="E670" s="12" t="n">
        <f aca="false">D670^(-1/B670)-1</f>
        <v>0.0641985600000001</v>
      </c>
      <c r="F670" s="12" t="n">
        <f aca="false">(1+E670)^(1/12)-1</f>
        <v>0.0051986320747206</v>
      </c>
      <c r="G670" s="16" t="n">
        <f aca="false">IF(C670=0,(1+Dic2025!$J$6)^(-B670),EXP(LN(INDEX(Dic2025!$K$6:$K$205,C670))+(LN(INDEX(Dic2025!$K$6:$K$205,MIN(C670+1,200)))-LN(INDEX(Dic2025!$K$6:$K$205,C670)))*(A670-6*C670)/6))</f>
        <v>0.0316404014604169</v>
      </c>
      <c r="H670" s="12" t="n">
        <f aca="false">G670^(-1/B670)-1</f>
        <v>0.0641985600000001</v>
      </c>
      <c r="I670" s="12" t="n">
        <f aca="false">(1+H670)^(1/12)-1</f>
        <v>0.0051986320747206</v>
      </c>
      <c r="J670" s="16" t="n">
        <f aca="false">IF(C670=0,(1+Dic2025!$M$6)^(-B670),EXP(LN(INDEX(Dic2025!$N$6:$N$205,C670))+(LN(INDEX(Dic2025!$N$6:$N$205,MIN(C670+1,200)))-LN(INDEX(Dic2025!$N$6:$N$205,C670)))*(A670-6*C670)/6))</f>
        <v>0.0316404014604169</v>
      </c>
      <c r="K670" s="12" t="n">
        <f aca="false">J670^(-1/B670)-1</f>
        <v>0.0641985600000001</v>
      </c>
      <c r="L670" s="12" t="n">
        <f aca="false">(1+K670)^(1/12)-1</f>
        <v>0.0051986320747206</v>
      </c>
    </row>
    <row r="671" customFormat="false" ht="15" hidden="false" customHeight="false" outlineLevel="0" collapsed="false">
      <c r="A671" s="4" t="n">
        <v>667</v>
      </c>
      <c r="B671" s="14" t="n">
        <f aca="false">A671/12</f>
        <v>55.5833333333333</v>
      </c>
      <c r="C671" s="15" t="n">
        <f aca="false">INT(A671/6)</f>
        <v>111</v>
      </c>
      <c r="D671" s="16" t="n">
        <f aca="false">IF(C671=0,(1+Dic2025!$G$6)^(-B671),EXP(LN(INDEX(Dic2025!$H$6:$H$205,C671))+(LN(INDEX(Dic2025!$H$6:$H$205,MIN(C671+1,200)))-LN(INDEX(Dic2025!$H$6:$H$205,C671)))*(A671-6*C671)/6))</f>
        <v>0.0314767653385196</v>
      </c>
      <c r="E671" s="12" t="n">
        <f aca="false">D671^(-1/B671)-1</f>
        <v>0.0641985600000001</v>
      </c>
      <c r="F671" s="12" t="n">
        <f aca="false">(1+E671)^(1/12)-1</f>
        <v>0.0051986320747206</v>
      </c>
      <c r="G671" s="16" t="n">
        <f aca="false">IF(C671=0,(1+Dic2025!$J$6)^(-B671),EXP(LN(INDEX(Dic2025!$K$6:$K$205,C671))+(LN(INDEX(Dic2025!$K$6:$K$205,MIN(C671+1,200)))-LN(INDEX(Dic2025!$K$6:$K$205,C671)))*(A671-6*C671)/6))</f>
        <v>0.0314767653385196</v>
      </c>
      <c r="H671" s="12" t="n">
        <f aca="false">G671^(-1/B671)-1</f>
        <v>0.0641985600000001</v>
      </c>
      <c r="I671" s="12" t="n">
        <f aca="false">(1+H671)^(1/12)-1</f>
        <v>0.0051986320747206</v>
      </c>
      <c r="J671" s="16" t="n">
        <f aca="false">IF(C671=0,(1+Dic2025!$M$6)^(-B671),EXP(LN(INDEX(Dic2025!$N$6:$N$205,C671))+(LN(INDEX(Dic2025!$N$6:$N$205,MIN(C671+1,200)))-LN(INDEX(Dic2025!$N$6:$N$205,C671)))*(A671-6*C671)/6))</f>
        <v>0.0314767653385196</v>
      </c>
      <c r="K671" s="12" t="n">
        <f aca="false">J671^(-1/B671)-1</f>
        <v>0.0641985600000001</v>
      </c>
      <c r="L671" s="12" t="n">
        <f aca="false">(1+K671)^(1/12)-1</f>
        <v>0.0051986320747206</v>
      </c>
    </row>
    <row r="672" customFormat="false" ht="15" hidden="false" customHeight="false" outlineLevel="0" collapsed="false">
      <c r="A672" s="4" t="n">
        <v>668</v>
      </c>
      <c r="B672" s="14" t="n">
        <f aca="false">A672/12</f>
        <v>55.6666666666667</v>
      </c>
      <c r="C672" s="15" t="n">
        <f aca="false">INT(A672/6)</f>
        <v>111</v>
      </c>
      <c r="D672" s="16" t="n">
        <f aca="false">IF(C672=0,(1+Dic2025!$G$6)^(-B672),EXP(LN(INDEX(Dic2025!$H$6:$H$205,C672))+(LN(INDEX(Dic2025!$H$6:$H$205,MIN(C672+1,200)))-LN(INDEX(Dic2025!$H$6:$H$205,C672)))*(A672-6*C672)/6))</f>
        <v>0.0313139755010926</v>
      </c>
      <c r="E672" s="12" t="n">
        <f aca="false">D672^(-1/B672)-1</f>
        <v>0.0641985600000001</v>
      </c>
      <c r="F672" s="12" t="n">
        <f aca="false">(1+E672)^(1/12)-1</f>
        <v>0.0051986320747206</v>
      </c>
      <c r="G672" s="16" t="n">
        <f aca="false">IF(C672=0,(1+Dic2025!$J$6)^(-B672),EXP(LN(INDEX(Dic2025!$K$6:$K$205,C672))+(LN(INDEX(Dic2025!$K$6:$K$205,MIN(C672+1,200)))-LN(INDEX(Dic2025!$K$6:$K$205,C672)))*(A672-6*C672)/6))</f>
        <v>0.0313139755010926</v>
      </c>
      <c r="H672" s="12" t="n">
        <f aca="false">G672^(-1/B672)-1</f>
        <v>0.0641985600000001</v>
      </c>
      <c r="I672" s="12" t="n">
        <f aca="false">(1+H672)^(1/12)-1</f>
        <v>0.0051986320747206</v>
      </c>
      <c r="J672" s="16" t="n">
        <f aca="false">IF(C672=0,(1+Dic2025!$M$6)^(-B672),EXP(LN(INDEX(Dic2025!$N$6:$N$205,C672))+(LN(INDEX(Dic2025!$N$6:$N$205,MIN(C672+1,200)))-LN(INDEX(Dic2025!$N$6:$N$205,C672)))*(A672-6*C672)/6))</f>
        <v>0.0313139755010926</v>
      </c>
      <c r="K672" s="12" t="n">
        <f aca="false">J672^(-1/B672)-1</f>
        <v>0.0641985600000001</v>
      </c>
      <c r="L672" s="12" t="n">
        <f aca="false">(1+K672)^(1/12)-1</f>
        <v>0.0051986320747206</v>
      </c>
    </row>
    <row r="673" customFormat="false" ht="15" hidden="false" customHeight="false" outlineLevel="0" collapsed="false">
      <c r="A673" s="4" t="n">
        <v>669</v>
      </c>
      <c r="B673" s="14" t="n">
        <f aca="false">A673/12</f>
        <v>55.75</v>
      </c>
      <c r="C673" s="15" t="n">
        <f aca="false">INT(A673/6)</f>
        <v>111</v>
      </c>
      <c r="D673" s="16" t="n">
        <f aca="false">IF(C673=0,(1+Dic2025!$G$6)^(-B673),EXP(LN(INDEX(Dic2025!$H$6:$H$205,C673))+(LN(INDEX(Dic2025!$H$6:$H$205,MIN(C673+1,200)))-LN(INDEX(Dic2025!$H$6:$H$205,C673)))*(A673-6*C673)/6))</f>
        <v>0.0311520275713675</v>
      </c>
      <c r="E673" s="12" t="n">
        <f aca="false">D673^(-1/B673)-1</f>
        <v>0.0641985600000001</v>
      </c>
      <c r="F673" s="12" t="n">
        <f aca="false">(1+E673)^(1/12)-1</f>
        <v>0.0051986320747206</v>
      </c>
      <c r="G673" s="16" t="n">
        <f aca="false">IF(C673=0,(1+Dic2025!$J$6)^(-B673),EXP(LN(INDEX(Dic2025!$K$6:$K$205,C673))+(LN(INDEX(Dic2025!$K$6:$K$205,MIN(C673+1,200)))-LN(INDEX(Dic2025!$K$6:$K$205,C673)))*(A673-6*C673)/6))</f>
        <v>0.0311520275713675</v>
      </c>
      <c r="H673" s="12" t="n">
        <f aca="false">G673^(-1/B673)-1</f>
        <v>0.0641985600000001</v>
      </c>
      <c r="I673" s="12" t="n">
        <f aca="false">(1+H673)^(1/12)-1</f>
        <v>0.0051986320747206</v>
      </c>
      <c r="J673" s="16" t="n">
        <f aca="false">IF(C673=0,(1+Dic2025!$M$6)^(-B673),EXP(LN(INDEX(Dic2025!$N$6:$N$205,C673))+(LN(INDEX(Dic2025!$N$6:$N$205,MIN(C673+1,200)))-LN(INDEX(Dic2025!$N$6:$N$205,C673)))*(A673-6*C673)/6))</f>
        <v>0.0311520275713675</v>
      </c>
      <c r="K673" s="12" t="n">
        <f aca="false">J673^(-1/B673)-1</f>
        <v>0.0641985600000001</v>
      </c>
      <c r="L673" s="12" t="n">
        <f aca="false">(1+K673)^(1/12)-1</f>
        <v>0.0051986320747206</v>
      </c>
    </row>
    <row r="674" customFormat="false" ht="15" hidden="false" customHeight="false" outlineLevel="0" collapsed="false">
      <c r="A674" s="4" t="n">
        <v>670</v>
      </c>
      <c r="B674" s="14" t="n">
        <f aca="false">A674/12</f>
        <v>55.8333333333333</v>
      </c>
      <c r="C674" s="15" t="n">
        <f aca="false">INT(A674/6)</f>
        <v>111</v>
      </c>
      <c r="D674" s="16" t="n">
        <f aca="false">IF(C674=0,(1+Dic2025!$G$6)^(-B674),EXP(LN(INDEX(Dic2025!$H$6:$H$205,C674))+(LN(INDEX(Dic2025!$H$6:$H$205,MIN(C674+1,200)))-LN(INDEX(Dic2025!$H$6:$H$205,C674)))*(A674-6*C674)/6))</f>
        <v>0.0309909171952115</v>
      </c>
      <c r="E674" s="12" t="n">
        <f aca="false">D674^(-1/B674)-1</f>
        <v>0.0641985600000001</v>
      </c>
      <c r="F674" s="12" t="n">
        <f aca="false">(1+E674)^(1/12)-1</f>
        <v>0.0051986320747206</v>
      </c>
      <c r="G674" s="16" t="n">
        <f aca="false">IF(C674=0,(1+Dic2025!$J$6)^(-B674),EXP(LN(INDEX(Dic2025!$K$6:$K$205,C674))+(LN(INDEX(Dic2025!$K$6:$K$205,MIN(C674+1,200)))-LN(INDEX(Dic2025!$K$6:$K$205,C674)))*(A674-6*C674)/6))</f>
        <v>0.0309909171952115</v>
      </c>
      <c r="H674" s="12" t="n">
        <f aca="false">G674^(-1/B674)-1</f>
        <v>0.0641985600000001</v>
      </c>
      <c r="I674" s="12" t="n">
        <f aca="false">(1+H674)^(1/12)-1</f>
        <v>0.0051986320747206</v>
      </c>
      <c r="J674" s="16" t="n">
        <f aca="false">IF(C674=0,(1+Dic2025!$M$6)^(-B674),EXP(LN(INDEX(Dic2025!$N$6:$N$205,C674))+(LN(INDEX(Dic2025!$N$6:$N$205,MIN(C674+1,200)))-LN(INDEX(Dic2025!$N$6:$N$205,C674)))*(A674-6*C674)/6))</f>
        <v>0.0309909171952115</v>
      </c>
      <c r="K674" s="12" t="n">
        <f aca="false">J674^(-1/B674)-1</f>
        <v>0.0641985600000001</v>
      </c>
      <c r="L674" s="12" t="n">
        <f aca="false">(1+K674)^(1/12)-1</f>
        <v>0.0051986320747206</v>
      </c>
    </row>
    <row r="675" customFormat="false" ht="15" hidden="false" customHeight="false" outlineLevel="0" collapsed="false">
      <c r="A675" s="4" t="n">
        <v>671</v>
      </c>
      <c r="B675" s="14" t="n">
        <f aca="false">A675/12</f>
        <v>55.9166666666667</v>
      </c>
      <c r="C675" s="15" t="n">
        <f aca="false">INT(A675/6)</f>
        <v>111</v>
      </c>
      <c r="D675" s="16" t="n">
        <f aca="false">IF(C675=0,(1+Dic2025!$G$6)^(-B675),EXP(LN(INDEX(Dic2025!$H$6:$H$205,C675))+(LN(INDEX(Dic2025!$H$6:$H$205,MIN(C675+1,200)))-LN(INDEX(Dic2025!$H$6:$H$205,C675)))*(A675-6*C675)/6))</f>
        <v>0.0308306400410101</v>
      </c>
      <c r="E675" s="12" t="n">
        <f aca="false">D675^(-1/B675)-1</f>
        <v>0.0641985600000001</v>
      </c>
      <c r="F675" s="12" t="n">
        <f aca="false">(1+E675)^(1/12)-1</f>
        <v>0.0051986320747206</v>
      </c>
      <c r="G675" s="16" t="n">
        <f aca="false">IF(C675=0,(1+Dic2025!$J$6)^(-B675),EXP(LN(INDEX(Dic2025!$K$6:$K$205,C675))+(LN(INDEX(Dic2025!$K$6:$K$205,MIN(C675+1,200)))-LN(INDEX(Dic2025!$K$6:$K$205,C675)))*(A675-6*C675)/6))</f>
        <v>0.0308306400410101</v>
      </c>
      <c r="H675" s="12" t="n">
        <f aca="false">G675^(-1/B675)-1</f>
        <v>0.0641985600000001</v>
      </c>
      <c r="I675" s="12" t="n">
        <f aca="false">(1+H675)^(1/12)-1</f>
        <v>0.0051986320747206</v>
      </c>
      <c r="J675" s="16" t="n">
        <f aca="false">IF(C675=0,(1+Dic2025!$M$6)^(-B675),EXP(LN(INDEX(Dic2025!$N$6:$N$205,C675))+(LN(INDEX(Dic2025!$N$6:$N$205,MIN(C675+1,200)))-LN(INDEX(Dic2025!$N$6:$N$205,C675)))*(A675-6*C675)/6))</f>
        <v>0.0308306400410101</v>
      </c>
      <c r="K675" s="12" t="n">
        <f aca="false">J675^(-1/B675)-1</f>
        <v>0.0641985600000001</v>
      </c>
      <c r="L675" s="12" t="n">
        <f aca="false">(1+K675)^(1/12)-1</f>
        <v>0.0051986320747206</v>
      </c>
    </row>
    <row r="676" customFormat="false" ht="15" hidden="false" customHeight="false" outlineLevel="0" collapsed="false">
      <c r="A676" s="4" t="n">
        <v>672</v>
      </c>
      <c r="B676" s="14" t="n">
        <f aca="false">A676/12</f>
        <v>56</v>
      </c>
      <c r="C676" s="15" t="n">
        <f aca="false">INT(A676/6)</f>
        <v>112</v>
      </c>
      <c r="D676" s="16" t="n">
        <f aca="false">IF(C676=0,(1+Dic2025!$G$6)^(-B676),EXP(LN(INDEX(Dic2025!$H$6:$H$205,C676))+(LN(INDEX(Dic2025!$H$6:$H$205,MIN(C676+1,200)))-LN(INDEX(Dic2025!$H$6:$H$205,C676)))*(A676-6*C676)/6))</f>
        <v>0.0306711917995511</v>
      </c>
      <c r="E676" s="12" t="n">
        <f aca="false">D676^(-1/B676)-1</f>
        <v>0.0641985600000001</v>
      </c>
      <c r="F676" s="12" t="n">
        <f aca="false">(1+E676)^(1/12)-1</f>
        <v>0.0051986320747206</v>
      </c>
      <c r="G676" s="16" t="n">
        <f aca="false">IF(C676=0,(1+Dic2025!$J$6)^(-B676),EXP(LN(INDEX(Dic2025!$K$6:$K$205,C676))+(LN(INDEX(Dic2025!$K$6:$K$205,MIN(C676+1,200)))-LN(INDEX(Dic2025!$K$6:$K$205,C676)))*(A676-6*C676)/6))</f>
        <v>0.0306711917995511</v>
      </c>
      <c r="H676" s="12" t="n">
        <f aca="false">G676^(-1/B676)-1</f>
        <v>0.0641985600000001</v>
      </c>
      <c r="I676" s="12" t="n">
        <f aca="false">(1+H676)^(1/12)-1</f>
        <v>0.0051986320747206</v>
      </c>
      <c r="J676" s="16" t="n">
        <f aca="false">IF(C676=0,(1+Dic2025!$M$6)^(-B676),EXP(LN(INDEX(Dic2025!$N$6:$N$205,C676))+(LN(INDEX(Dic2025!$N$6:$N$205,MIN(C676+1,200)))-LN(INDEX(Dic2025!$N$6:$N$205,C676)))*(A676-6*C676)/6))</f>
        <v>0.0306711917995511</v>
      </c>
      <c r="K676" s="12" t="n">
        <f aca="false">J676^(-1/B676)-1</f>
        <v>0.0641985600000001</v>
      </c>
      <c r="L676" s="12" t="n">
        <f aca="false">(1+K676)^(1/12)-1</f>
        <v>0.0051986320747206</v>
      </c>
    </row>
    <row r="677" customFormat="false" ht="15" hidden="false" customHeight="false" outlineLevel="0" collapsed="false">
      <c r="A677" s="4" t="n">
        <v>673</v>
      </c>
      <c r="B677" s="14" t="n">
        <f aca="false">A677/12</f>
        <v>56.0833333333333</v>
      </c>
      <c r="C677" s="15" t="n">
        <f aca="false">INT(A677/6)</f>
        <v>112</v>
      </c>
      <c r="D677" s="16" t="n">
        <f aca="false">IF(C677=0,(1+Dic2025!$G$6)^(-B677),EXP(LN(INDEX(Dic2025!$H$6:$H$205,C677))+(LN(INDEX(Dic2025!$H$6:$H$205,MIN(C677+1,200)))-LN(INDEX(Dic2025!$H$6:$H$205,C677)))*(A677-6*C677)/6))</f>
        <v>0.0305125681839081</v>
      </c>
      <c r="E677" s="12" t="n">
        <f aca="false">D677^(-1/B677)-1</f>
        <v>0.0641985600000001</v>
      </c>
      <c r="F677" s="12" t="n">
        <f aca="false">(1+E677)^(1/12)-1</f>
        <v>0.0051986320747206</v>
      </c>
      <c r="G677" s="16" t="n">
        <f aca="false">IF(C677=0,(1+Dic2025!$J$6)^(-B677),EXP(LN(INDEX(Dic2025!$K$6:$K$205,C677))+(LN(INDEX(Dic2025!$K$6:$K$205,MIN(C677+1,200)))-LN(INDEX(Dic2025!$K$6:$K$205,C677)))*(A677-6*C677)/6))</f>
        <v>0.0305125681839081</v>
      </c>
      <c r="H677" s="12" t="n">
        <f aca="false">G677^(-1/B677)-1</f>
        <v>0.0641985600000001</v>
      </c>
      <c r="I677" s="12" t="n">
        <f aca="false">(1+H677)^(1/12)-1</f>
        <v>0.0051986320747206</v>
      </c>
      <c r="J677" s="16" t="n">
        <f aca="false">IF(C677=0,(1+Dic2025!$M$6)^(-B677),EXP(LN(INDEX(Dic2025!$N$6:$N$205,C677))+(LN(INDEX(Dic2025!$N$6:$N$205,MIN(C677+1,200)))-LN(INDEX(Dic2025!$N$6:$N$205,C677)))*(A677-6*C677)/6))</f>
        <v>0.0305125681839081</v>
      </c>
      <c r="K677" s="12" t="n">
        <f aca="false">J677^(-1/B677)-1</f>
        <v>0.0641985600000001</v>
      </c>
      <c r="L677" s="12" t="n">
        <f aca="false">(1+K677)^(1/12)-1</f>
        <v>0.0051986320747206</v>
      </c>
    </row>
    <row r="678" customFormat="false" ht="15" hidden="false" customHeight="false" outlineLevel="0" collapsed="false">
      <c r="A678" s="4" t="n">
        <v>674</v>
      </c>
      <c r="B678" s="14" t="n">
        <f aca="false">A678/12</f>
        <v>56.1666666666667</v>
      </c>
      <c r="C678" s="15" t="n">
        <f aca="false">INT(A678/6)</f>
        <v>112</v>
      </c>
      <c r="D678" s="16" t="n">
        <f aca="false">IF(C678=0,(1+Dic2025!$G$6)^(-B678),EXP(LN(INDEX(Dic2025!$H$6:$H$205,C678))+(LN(INDEX(Dic2025!$H$6:$H$205,MIN(C678+1,200)))-LN(INDEX(Dic2025!$H$6:$H$205,C678)))*(A678-6*C678)/6))</f>
        <v>0.0303547649293259</v>
      </c>
      <c r="E678" s="12" t="n">
        <f aca="false">D678^(-1/B678)-1</f>
        <v>0.0641985600000001</v>
      </c>
      <c r="F678" s="12" t="n">
        <f aca="false">(1+E678)^(1/12)-1</f>
        <v>0.0051986320747206</v>
      </c>
      <c r="G678" s="16" t="n">
        <f aca="false">IF(C678=0,(1+Dic2025!$J$6)^(-B678),EXP(LN(INDEX(Dic2025!$K$6:$K$205,C678))+(LN(INDEX(Dic2025!$K$6:$K$205,MIN(C678+1,200)))-LN(INDEX(Dic2025!$K$6:$K$205,C678)))*(A678-6*C678)/6))</f>
        <v>0.0303547649293259</v>
      </c>
      <c r="H678" s="12" t="n">
        <f aca="false">G678^(-1/B678)-1</f>
        <v>0.0641985600000001</v>
      </c>
      <c r="I678" s="12" t="n">
        <f aca="false">(1+H678)^(1/12)-1</f>
        <v>0.0051986320747206</v>
      </c>
      <c r="J678" s="16" t="n">
        <f aca="false">IF(C678=0,(1+Dic2025!$M$6)^(-B678),EXP(LN(INDEX(Dic2025!$N$6:$N$205,C678))+(LN(INDEX(Dic2025!$N$6:$N$205,MIN(C678+1,200)))-LN(INDEX(Dic2025!$N$6:$N$205,C678)))*(A678-6*C678)/6))</f>
        <v>0.0303547649293259</v>
      </c>
      <c r="K678" s="12" t="n">
        <f aca="false">J678^(-1/B678)-1</f>
        <v>0.0641985600000001</v>
      </c>
      <c r="L678" s="12" t="n">
        <f aca="false">(1+K678)^(1/12)-1</f>
        <v>0.0051986320747206</v>
      </c>
    </row>
    <row r="679" customFormat="false" ht="15" hidden="false" customHeight="false" outlineLevel="0" collapsed="false">
      <c r="A679" s="4" t="n">
        <v>675</v>
      </c>
      <c r="B679" s="14" t="n">
        <f aca="false">A679/12</f>
        <v>56.25</v>
      </c>
      <c r="C679" s="15" t="n">
        <f aca="false">INT(A679/6)</f>
        <v>112</v>
      </c>
      <c r="D679" s="16" t="n">
        <f aca="false">IF(C679=0,(1+Dic2025!$G$6)^(-B679),EXP(LN(INDEX(Dic2025!$H$6:$H$205,C679))+(LN(INDEX(Dic2025!$H$6:$H$205,MIN(C679+1,200)))-LN(INDEX(Dic2025!$H$6:$H$205,C679)))*(A679-6*C679)/6))</f>
        <v>0.0301977777931054</v>
      </c>
      <c r="E679" s="12" t="n">
        <f aca="false">D679^(-1/B679)-1</f>
        <v>0.0641985600000001</v>
      </c>
      <c r="F679" s="12" t="n">
        <f aca="false">(1+E679)^(1/12)-1</f>
        <v>0.0051986320747206</v>
      </c>
      <c r="G679" s="16" t="n">
        <f aca="false">IF(C679=0,(1+Dic2025!$J$6)^(-B679),EXP(LN(INDEX(Dic2025!$K$6:$K$205,C679))+(LN(INDEX(Dic2025!$K$6:$K$205,MIN(C679+1,200)))-LN(INDEX(Dic2025!$K$6:$K$205,C679)))*(A679-6*C679)/6))</f>
        <v>0.0301977777931054</v>
      </c>
      <c r="H679" s="12" t="n">
        <f aca="false">G679^(-1/B679)-1</f>
        <v>0.0641985600000001</v>
      </c>
      <c r="I679" s="12" t="n">
        <f aca="false">(1+H679)^(1/12)-1</f>
        <v>0.0051986320747206</v>
      </c>
      <c r="J679" s="16" t="n">
        <f aca="false">IF(C679=0,(1+Dic2025!$M$6)^(-B679),EXP(LN(INDEX(Dic2025!$N$6:$N$205,C679))+(LN(INDEX(Dic2025!$N$6:$N$205,MIN(C679+1,200)))-LN(INDEX(Dic2025!$N$6:$N$205,C679)))*(A679-6*C679)/6))</f>
        <v>0.0301977777931054</v>
      </c>
      <c r="K679" s="12" t="n">
        <f aca="false">J679^(-1/B679)-1</f>
        <v>0.0641985600000001</v>
      </c>
      <c r="L679" s="12" t="n">
        <f aca="false">(1+K679)^(1/12)-1</f>
        <v>0.0051986320747206</v>
      </c>
    </row>
    <row r="680" customFormat="false" ht="15" hidden="false" customHeight="false" outlineLevel="0" collapsed="false">
      <c r="A680" s="4" t="n">
        <v>676</v>
      </c>
      <c r="B680" s="14" t="n">
        <f aca="false">A680/12</f>
        <v>56.3333333333333</v>
      </c>
      <c r="C680" s="15" t="n">
        <f aca="false">INT(A680/6)</f>
        <v>112</v>
      </c>
      <c r="D680" s="16" t="n">
        <f aca="false">IF(C680=0,(1+Dic2025!$G$6)^(-B680),EXP(LN(INDEX(Dic2025!$H$6:$H$205,C680))+(LN(INDEX(Dic2025!$H$6:$H$205,MIN(C680+1,200)))-LN(INDEX(Dic2025!$H$6:$H$205,C680)))*(A680-6*C680)/6))</f>
        <v>0.0300416025544896</v>
      </c>
      <c r="E680" s="12" t="n">
        <f aca="false">D680^(-1/B680)-1</f>
        <v>0.0641985600000001</v>
      </c>
      <c r="F680" s="12" t="n">
        <f aca="false">(1+E680)^(1/12)-1</f>
        <v>0.0051986320747206</v>
      </c>
      <c r="G680" s="16" t="n">
        <f aca="false">IF(C680=0,(1+Dic2025!$J$6)^(-B680),EXP(LN(INDEX(Dic2025!$K$6:$K$205,C680))+(LN(INDEX(Dic2025!$K$6:$K$205,MIN(C680+1,200)))-LN(INDEX(Dic2025!$K$6:$K$205,C680)))*(A680-6*C680)/6))</f>
        <v>0.0300416025544896</v>
      </c>
      <c r="H680" s="12" t="n">
        <f aca="false">G680^(-1/B680)-1</f>
        <v>0.0641985600000001</v>
      </c>
      <c r="I680" s="12" t="n">
        <f aca="false">(1+H680)^(1/12)-1</f>
        <v>0.0051986320747206</v>
      </c>
      <c r="J680" s="16" t="n">
        <f aca="false">IF(C680=0,(1+Dic2025!$M$6)^(-B680),EXP(LN(INDEX(Dic2025!$N$6:$N$205,C680))+(LN(INDEX(Dic2025!$N$6:$N$205,MIN(C680+1,200)))-LN(INDEX(Dic2025!$N$6:$N$205,C680)))*(A680-6*C680)/6))</f>
        <v>0.0300416025544896</v>
      </c>
      <c r="K680" s="12" t="n">
        <f aca="false">J680^(-1/B680)-1</f>
        <v>0.0641985600000001</v>
      </c>
      <c r="L680" s="12" t="n">
        <f aca="false">(1+K680)^(1/12)-1</f>
        <v>0.0051986320747206</v>
      </c>
    </row>
    <row r="681" customFormat="false" ht="15" hidden="false" customHeight="false" outlineLevel="0" collapsed="false">
      <c r="A681" s="4" t="n">
        <v>677</v>
      </c>
      <c r="B681" s="14" t="n">
        <f aca="false">A681/12</f>
        <v>56.4166666666667</v>
      </c>
      <c r="C681" s="15" t="n">
        <f aca="false">INT(A681/6)</f>
        <v>112</v>
      </c>
      <c r="D681" s="16" t="n">
        <f aca="false">IF(C681=0,(1+Dic2025!$G$6)^(-B681),EXP(LN(INDEX(Dic2025!$H$6:$H$205,C681))+(LN(INDEX(Dic2025!$H$6:$H$205,MIN(C681+1,200)))-LN(INDEX(Dic2025!$H$6:$H$205,C681)))*(A681-6*C681)/6))</f>
        <v>0.0298862350145503</v>
      </c>
      <c r="E681" s="12" t="n">
        <f aca="false">D681^(-1/B681)-1</f>
        <v>0.0641985600000001</v>
      </c>
      <c r="F681" s="12" t="n">
        <f aca="false">(1+E681)^(1/12)-1</f>
        <v>0.0051986320747206</v>
      </c>
      <c r="G681" s="16" t="n">
        <f aca="false">IF(C681=0,(1+Dic2025!$J$6)^(-B681),EXP(LN(INDEX(Dic2025!$K$6:$K$205,C681))+(LN(INDEX(Dic2025!$K$6:$K$205,MIN(C681+1,200)))-LN(INDEX(Dic2025!$K$6:$K$205,C681)))*(A681-6*C681)/6))</f>
        <v>0.0298862350145503</v>
      </c>
      <c r="H681" s="12" t="n">
        <f aca="false">G681^(-1/B681)-1</f>
        <v>0.0641985600000001</v>
      </c>
      <c r="I681" s="12" t="n">
        <f aca="false">(1+H681)^(1/12)-1</f>
        <v>0.0051986320747206</v>
      </c>
      <c r="J681" s="16" t="n">
        <f aca="false">IF(C681=0,(1+Dic2025!$M$6)^(-B681),EXP(LN(INDEX(Dic2025!$N$6:$N$205,C681))+(LN(INDEX(Dic2025!$N$6:$N$205,MIN(C681+1,200)))-LN(INDEX(Dic2025!$N$6:$N$205,C681)))*(A681-6*C681)/6))</f>
        <v>0.0298862350145503</v>
      </c>
      <c r="K681" s="12" t="n">
        <f aca="false">J681^(-1/B681)-1</f>
        <v>0.0641985600000001</v>
      </c>
      <c r="L681" s="12" t="n">
        <f aca="false">(1+K681)^(1/12)-1</f>
        <v>0.0051986320747206</v>
      </c>
    </row>
    <row r="682" customFormat="false" ht="15" hidden="false" customHeight="false" outlineLevel="0" collapsed="false">
      <c r="A682" s="4" t="n">
        <v>678</v>
      </c>
      <c r="B682" s="14" t="n">
        <f aca="false">A682/12</f>
        <v>56.5</v>
      </c>
      <c r="C682" s="15" t="n">
        <f aca="false">INT(A682/6)</f>
        <v>113</v>
      </c>
      <c r="D682" s="16" t="n">
        <f aca="false">IF(C682=0,(1+Dic2025!$G$6)^(-B682),EXP(LN(INDEX(Dic2025!$H$6:$H$205,C682))+(LN(INDEX(Dic2025!$H$6:$H$205,MIN(C682+1,200)))-LN(INDEX(Dic2025!$H$6:$H$205,C682)))*(A682-6*C682)/6))</f>
        <v>0.0297316709960751</v>
      </c>
      <c r="E682" s="12" t="n">
        <f aca="false">D682^(-1/B682)-1</f>
        <v>0.0641985600000001</v>
      </c>
      <c r="F682" s="12" t="n">
        <f aca="false">(1+E682)^(1/12)-1</f>
        <v>0.0051986320747206</v>
      </c>
      <c r="G682" s="16" t="n">
        <f aca="false">IF(C682=0,(1+Dic2025!$J$6)^(-B682),EXP(LN(INDEX(Dic2025!$K$6:$K$205,C682))+(LN(INDEX(Dic2025!$K$6:$K$205,MIN(C682+1,200)))-LN(INDEX(Dic2025!$K$6:$K$205,C682)))*(A682-6*C682)/6))</f>
        <v>0.0297316709960751</v>
      </c>
      <c r="H682" s="12" t="n">
        <f aca="false">G682^(-1/B682)-1</f>
        <v>0.0641985600000001</v>
      </c>
      <c r="I682" s="12" t="n">
        <f aca="false">(1+H682)^(1/12)-1</f>
        <v>0.0051986320747206</v>
      </c>
      <c r="J682" s="16" t="n">
        <f aca="false">IF(C682=0,(1+Dic2025!$M$6)^(-B682),EXP(LN(INDEX(Dic2025!$N$6:$N$205,C682))+(LN(INDEX(Dic2025!$N$6:$N$205,MIN(C682+1,200)))-LN(INDEX(Dic2025!$N$6:$N$205,C682)))*(A682-6*C682)/6))</f>
        <v>0.0297316709960751</v>
      </c>
      <c r="K682" s="12" t="n">
        <f aca="false">J682^(-1/B682)-1</f>
        <v>0.0641985600000001</v>
      </c>
      <c r="L682" s="12" t="n">
        <f aca="false">(1+K682)^(1/12)-1</f>
        <v>0.0051986320747206</v>
      </c>
    </row>
    <row r="683" customFormat="false" ht="15" hidden="false" customHeight="false" outlineLevel="0" collapsed="false">
      <c r="A683" s="4" t="n">
        <v>679</v>
      </c>
      <c r="B683" s="14" t="n">
        <f aca="false">A683/12</f>
        <v>56.5833333333333</v>
      </c>
      <c r="C683" s="15" t="n">
        <f aca="false">INT(A683/6)</f>
        <v>113</v>
      </c>
      <c r="D683" s="16" t="n">
        <f aca="false">IF(C683=0,(1+Dic2025!$G$6)^(-B683),EXP(LN(INDEX(Dic2025!$H$6:$H$205,C683))+(LN(INDEX(Dic2025!$H$6:$H$205,MIN(C683+1,200)))-LN(INDEX(Dic2025!$H$6:$H$205,C683)))*(A683-6*C683)/6))</f>
        <v>0.0295506812595997</v>
      </c>
      <c r="E683" s="12" t="n">
        <f aca="false">D683^(-1/B683)-1</f>
        <v>0.0642158796623045</v>
      </c>
      <c r="F683" s="12" t="n">
        <f aca="false">(1+E683)^(1/12)-1</f>
        <v>0.00519999535187332</v>
      </c>
      <c r="G683" s="16" t="n">
        <f aca="false">IF(C683=0,(1+Dic2025!$J$6)^(-B683),EXP(LN(INDEX(Dic2025!$K$6:$K$205,C683))+(LN(INDEX(Dic2025!$K$6:$K$205,MIN(C683+1,200)))-LN(INDEX(Dic2025!$K$6:$K$205,C683)))*(A683-6*C683)/6))</f>
        <v>0.0295506812595997</v>
      </c>
      <c r="H683" s="12" t="n">
        <f aca="false">G683^(-1/B683)-1</f>
        <v>0.0642158796623045</v>
      </c>
      <c r="I683" s="12" t="n">
        <f aca="false">(1+H683)^(1/12)-1</f>
        <v>0.00519999535187332</v>
      </c>
      <c r="J683" s="16" t="n">
        <f aca="false">IF(C683=0,(1+Dic2025!$M$6)^(-B683),EXP(LN(INDEX(Dic2025!$N$6:$N$205,C683))+(LN(INDEX(Dic2025!$N$6:$N$205,MIN(C683+1,200)))-LN(INDEX(Dic2025!$N$6:$N$205,C683)))*(A683-6*C683)/6))</f>
        <v>0.0295506812595997</v>
      </c>
      <c r="K683" s="12" t="n">
        <f aca="false">J683^(-1/B683)-1</f>
        <v>0.0642158796623045</v>
      </c>
      <c r="L683" s="12" t="n">
        <f aca="false">(1+K683)^(1/12)-1</f>
        <v>0.00519999535187332</v>
      </c>
    </row>
    <row r="684" customFormat="false" ht="15" hidden="false" customHeight="false" outlineLevel="0" collapsed="false">
      <c r="A684" s="4" t="n">
        <v>680</v>
      </c>
      <c r="B684" s="14" t="n">
        <f aca="false">A684/12</f>
        <v>56.6666666666667</v>
      </c>
      <c r="C684" s="15" t="n">
        <f aca="false">INT(A684/6)</f>
        <v>113</v>
      </c>
      <c r="D684" s="16" t="n">
        <f aca="false">IF(C684=0,(1+Dic2025!$G$6)^(-B684),EXP(LN(INDEX(Dic2025!$H$6:$H$205,C684))+(LN(INDEX(Dic2025!$H$6:$H$205,MIN(C684+1,200)))-LN(INDEX(Dic2025!$H$6:$H$205,C684)))*(A684-6*C684)/6))</f>
        <v>0.0293707932871225</v>
      </c>
      <c r="E684" s="12" t="n">
        <f aca="false">D684^(-1/B684)-1</f>
        <v>0.064233148665058</v>
      </c>
      <c r="F684" s="12" t="n">
        <f aca="false">(1+E684)^(1/12)-1</f>
        <v>0.00520135462122817</v>
      </c>
      <c r="G684" s="16" t="n">
        <f aca="false">IF(C684=0,(1+Dic2025!$J$6)^(-B684),EXP(LN(INDEX(Dic2025!$K$6:$K$205,C684))+(LN(INDEX(Dic2025!$K$6:$K$205,MIN(C684+1,200)))-LN(INDEX(Dic2025!$K$6:$K$205,C684)))*(A684-6*C684)/6))</f>
        <v>0.0293707932871225</v>
      </c>
      <c r="H684" s="12" t="n">
        <f aca="false">G684^(-1/B684)-1</f>
        <v>0.064233148665058</v>
      </c>
      <c r="I684" s="12" t="n">
        <f aca="false">(1+H684)^(1/12)-1</f>
        <v>0.00520135462122817</v>
      </c>
      <c r="J684" s="16" t="n">
        <f aca="false">IF(C684=0,(1+Dic2025!$M$6)^(-B684),EXP(LN(INDEX(Dic2025!$N$6:$N$205,C684))+(LN(INDEX(Dic2025!$N$6:$N$205,MIN(C684+1,200)))-LN(INDEX(Dic2025!$N$6:$N$205,C684)))*(A684-6*C684)/6))</f>
        <v>0.0293707932871225</v>
      </c>
      <c r="K684" s="12" t="n">
        <f aca="false">J684^(-1/B684)-1</f>
        <v>0.064233148665058</v>
      </c>
      <c r="L684" s="12" t="n">
        <f aca="false">(1+K684)^(1/12)-1</f>
        <v>0.00520135462122817</v>
      </c>
    </row>
    <row r="685" customFormat="false" ht="15" hidden="false" customHeight="false" outlineLevel="0" collapsed="false">
      <c r="A685" s="4" t="n">
        <v>681</v>
      </c>
      <c r="B685" s="14" t="n">
        <f aca="false">A685/12</f>
        <v>56.75</v>
      </c>
      <c r="C685" s="15" t="n">
        <f aca="false">INT(A685/6)</f>
        <v>113</v>
      </c>
      <c r="D685" s="16" t="n">
        <f aca="false">IF(C685=0,(1+Dic2025!$G$6)^(-B685),EXP(LN(INDEX(Dic2025!$H$6:$H$205,C685))+(LN(INDEX(Dic2025!$H$6:$H$205,MIN(C685+1,200)))-LN(INDEX(Dic2025!$H$6:$H$205,C685)))*(A685-6*C685)/6))</f>
        <v>0.0291920003717223</v>
      </c>
      <c r="E685" s="12" t="n">
        <f aca="false">D685^(-1/B685)-1</f>
        <v>0.0642503672302004</v>
      </c>
      <c r="F685" s="12" t="n">
        <f aca="false">(1+E685)^(1/12)-1</f>
        <v>0.00520270990043237</v>
      </c>
      <c r="G685" s="16" t="n">
        <f aca="false">IF(C685=0,(1+Dic2025!$J$6)^(-B685),EXP(LN(INDEX(Dic2025!$K$6:$K$205,C685))+(LN(INDEX(Dic2025!$K$6:$K$205,MIN(C685+1,200)))-LN(INDEX(Dic2025!$K$6:$K$205,C685)))*(A685-6*C685)/6))</f>
        <v>0.0291920003717223</v>
      </c>
      <c r="H685" s="12" t="n">
        <f aca="false">G685^(-1/B685)-1</f>
        <v>0.0642503672302004</v>
      </c>
      <c r="I685" s="12" t="n">
        <f aca="false">(1+H685)^(1/12)-1</f>
        <v>0.00520270990043237</v>
      </c>
      <c r="J685" s="16" t="n">
        <f aca="false">IF(C685=0,(1+Dic2025!$M$6)^(-B685),EXP(LN(INDEX(Dic2025!$N$6:$N$205,C685))+(LN(INDEX(Dic2025!$N$6:$N$205,MIN(C685+1,200)))-LN(INDEX(Dic2025!$N$6:$N$205,C685)))*(A685-6*C685)/6))</f>
        <v>0.0291920003717223</v>
      </c>
      <c r="K685" s="12" t="n">
        <f aca="false">J685^(-1/B685)-1</f>
        <v>0.0642503672302004</v>
      </c>
      <c r="L685" s="12" t="n">
        <f aca="false">(1+K685)^(1/12)-1</f>
        <v>0.00520270990043237</v>
      </c>
    </row>
    <row r="686" customFormat="false" ht="15" hidden="false" customHeight="false" outlineLevel="0" collapsed="false">
      <c r="A686" s="4" t="n">
        <v>682</v>
      </c>
      <c r="B686" s="14" t="n">
        <f aca="false">A686/12</f>
        <v>56.8333333333333</v>
      </c>
      <c r="C686" s="15" t="n">
        <f aca="false">INT(A686/6)</f>
        <v>113</v>
      </c>
      <c r="D686" s="16" t="n">
        <f aca="false">IF(C686=0,(1+Dic2025!$G$6)^(-B686),EXP(LN(INDEX(Dic2025!$H$6:$H$205,C686))+(LN(INDEX(Dic2025!$H$6:$H$205,MIN(C686+1,200)))-LN(INDEX(Dic2025!$H$6:$H$205,C686)))*(A686-6*C686)/6))</f>
        <v>0.0290142958473058</v>
      </c>
      <c r="E686" s="12" t="n">
        <f aca="false">D686^(-1/B686)-1</f>
        <v>0.0642675355783773</v>
      </c>
      <c r="F686" s="12" t="n">
        <f aca="false">(1+E686)^(1/12)-1</f>
        <v>0.0052040612070301</v>
      </c>
      <c r="G686" s="16" t="n">
        <f aca="false">IF(C686=0,(1+Dic2025!$J$6)^(-B686),EXP(LN(INDEX(Dic2025!$K$6:$K$205,C686))+(LN(INDEX(Dic2025!$K$6:$K$205,MIN(C686+1,200)))-LN(INDEX(Dic2025!$K$6:$K$205,C686)))*(A686-6*C686)/6))</f>
        <v>0.0290142958473058</v>
      </c>
      <c r="H686" s="12" t="n">
        <f aca="false">G686^(-1/B686)-1</f>
        <v>0.0642675355783773</v>
      </c>
      <c r="I686" s="12" t="n">
        <f aca="false">(1+H686)^(1/12)-1</f>
        <v>0.0052040612070301</v>
      </c>
      <c r="J686" s="16" t="n">
        <f aca="false">IF(C686=0,(1+Dic2025!$M$6)^(-B686),EXP(LN(INDEX(Dic2025!$N$6:$N$205,C686))+(LN(INDEX(Dic2025!$N$6:$N$205,MIN(C686+1,200)))-LN(INDEX(Dic2025!$N$6:$N$205,C686)))*(A686-6*C686)/6))</f>
        <v>0.0290142958473058</v>
      </c>
      <c r="K686" s="12" t="n">
        <f aca="false">J686^(-1/B686)-1</f>
        <v>0.0642675355783773</v>
      </c>
      <c r="L686" s="12" t="n">
        <f aca="false">(1+K686)^(1/12)-1</f>
        <v>0.0052040612070301</v>
      </c>
    </row>
    <row r="687" customFormat="false" ht="15" hidden="false" customHeight="false" outlineLevel="0" collapsed="false">
      <c r="A687" s="4" t="n">
        <v>683</v>
      </c>
      <c r="B687" s="14" t="n">
        <f aca="false">A687/12</f>
        <v>56.9166666666667</v>
      </c>
      <c r="C687" s="15" t="n">
        <f aca="false">INT(A687/6)</f>
        <v>113</v>
      </c>
      <c r="D687" s="16" t="n">
        <f aca="false">IF(C687=0,(1+Dic2025!$G$6)^(-B687),EXP(LN(INDEX(Dic2025!$H$6:$H$205,C687))+(LN(INDEX(Dic2025!$H$6:$H$205,MIN(C687+1,200)))-LN(INDEX(Dic2025!$H$6:$H$205,C687)))*(A687-6*C687)/6))</f>
        <v>0.028837673088359</v>
      </c>
      <c r="E687" s="12" t="n">
        <f aca="false">D687^(-1/B687)-1</f>
        <v>0.064284653928949</v>
      </c>
      <c r="F687" s="12" t="n">
        <f aca="false">(1+E687)^(1/12)-1</f>
        <v>0.0052054085584623</v>
      </c>
      <c r="G687" s="16" t="n">
        <f aca="false">IF(C687=0,(1+Dic2025!$J$6)^(-B687),EXP(LN(INDEX(Dic2025!$K$6:$K$205,C687))+(LN(INDEX(Dic2025!$K$6:$K$205,MIN(C687+1,200)))-LN(INDEX(Dic2025!$K$6:$K$205,C687)))*(A687-6*C687)/6))</f>
        <v>0.028837673088359</v>
      </c>
      <c r="H687" s="12" t="n">
        <f aca="false">G687^(-1/B687)-1</f>
        <v>0.064284653928949</v>
      </c>
      <c r="I687" s="12" t="n">
        <f aca="false">(1+H687)^(1/12)-1</f>
        <v>0.0052054085584623</v>
      </c>
      <c r="J687" s="16" t="n">
        <f aca="false">IF(C687=0,(1+Dic2025!$M$6)^(-B687),EXP(LN(INDEX(Dic2025!$N$6:$N$205,C687))+(LN(INDEX(Dic2025!$N$6:$N$205,MIN(C687+1,200)))-LN(INDEX(Dic2025!$N$6:$N$205,C687)))*(A687-6*C687)/6))</f>
        <v>0.028837673088359</v>
      </c>
      <c r="K687" s="12" t="n">
        <f aca="false">J687^(-1/B687)-1</f>
        <v>0.064284653928949</v>
      </c>
      <c r="L687" s="12" t="n">
        <f aca="false">(1+K687)^(1/12)-1</f>
        <v>0.0052054085584623</v>
      </c>
    </row>
    <row r="688" customFormat="false" ht="15" hidden="false" customHeight="false" outlineLevel="0" collapsed="false">
      <c r="A688" s="4" t="n">
        <v>684</v>
      </c>
      <c r="B688" s="14" t="n">
        <f aca="false">A688/12</f>
        <v>57</v>
      </c>
      <c r="C688" s="15" t="n">
        <f aca="false">INT(A688/6)</f>
        <v>114</v>
      </c>
      <c r="D688" s="16" t="n">
        <f aca="false">IF(C688=0,(1+Dic2025!$G$6)^(-B688),EXP(LN(INDEX(Dic2025!$H$6:$H$205,C688))+(LN(INDEX(Dic2025!$H$6:$H$205,MIN(C688+1,200)))-LN(INDEX(Dic2025!$H$6:$H$205,C688)))*(A688-6*C688)/6))</f>
        <v>0.0286621255097008</v>
      </c>
      <c r="E688" s="12" t="n">
        <f aca="false">D688^(-1/B688)-1</f>
        <v>0.0643017225</v>
      </c>
      <c r="F688" s="12" t="n">
        <f aca="false">(1+E688)^(1/12)-1</f>
        <v>0.00520675197206866</v>
      </c>
      <c r="G688" s="16" t="n">
        <f aca="false">IF(C688=0,(1+Dic2025!$J$6)^(-B688),EXP(LN(INDEX(Dic2025!$K$6:$K$205,C688))+(LN(INDEX(Dic2025!$K$6:$K$205,MIN(C688+1,200)))-LN(INDEX(Dic2025!$K$6:$K$205,C688)))*(A688-6*C688)/6))</f>
        <v>0.0286621255097008</v>
      </c>
      <c r="H688" s="12" t="n">
        <f aca="false">G688^(-1/B688)-1</f>
        <v>0.0643017225</v>
      </c>
      <c r="I688" s="12" t="n">
        <f aca="false">(1+H688)^(1/12)-1</f>
        <v>0.00520675197206866</v>
      </c>
      <c r="J688" s="16" t="n">
        <f aca="false">IF(C688=0,(1+Dic2025!$M$6)^(-B688),EXP(LN(INDEX(Dic2025!$N$6:$N$205,C688))+(LN(INDEX(Dic2025!$N$6:$N$205,MIN(C688+1,200)))-LN(INDEX(Dic2025!$N$6:$N$205,C688)))*(A688-6*C688)/6))</f>
        <v>0.0286621255097008</v>
      </c>
      <c r="K688" s="12" t="n">
        <f aca="false">J688^(-1/B688)-1</f>
        <v>0.0643017225</v>
      </c>
      <c r="L688" s="12" t="n">
        <f aca="false">(1+K688)^(1/12)-1</f>
        <v>0.00520675197206866</v>
      </c>
    </row>
    <row r="689" customFormat="false" ht="15" hidden="false" customHeight="false" outlineLevel="0" collapsed="false">
      <c r="A689" s="4" t="n">
        <v>685</v>
      </c>
      <c r="B689" s="14" t="n">
        <f aca="false">A689/12</f>
        <v>57.0833333333333</v>
      </c>
      <c r="C689" s="15" t="n">
        <f aca="false">INT(A689/6)</f>
        <v>114</v>
      </c>
      <c r="D689" s="16" t="n">
        <f aca="false">IF(C689=0,(1+Dic2025!$G$6)^(-B689),EXP(LN(INDEX(Dic2025!$H$6:$H$205,C689))+(LN(INDEX(Dic2025!$H$6:$H$205,MIN(C689+1,200)))-LN(INDEX(Dic2025!$H$6:$H$205,C689)))*(A689-6*C689)/6))</f>
        <v>0.0285136619441422</v>
      </c>
      <c r="E689" s="12" t="n">
        <f aca="false">D689^(-1/B689)-1</f>
        <v>0.0643017225</v>
      </c>
      <c r="F689" s="12" t="n">
        <f aca="false">(1+E689)^(1/12)-1</f>
        <v>0.00520675197206866</v>
      </c>
      <c r="G689" s="16" t="n">
        <f aca="false">IF(C689=0,(1+Dic2025!$J$6)^(-B689),EXP(LN(INDEX(Dic2025!$K$6:$K$205,C689))+(LN(INDEX(Dic2025!$K$6:$K$205,MIN(C689+1,200)))-LN(INDEX(Dic2025!$K$6:$K$205,C689)))*(A689-6*C689)/6))</f>
        <v>0.0285136619441422</v>
      </c>
      <c r="H689" s="12" t="n">
        <f aca="false">G689^(-1/B689)-1</f>
        <v>0.0643017225</v>
      </c>
      <c r="I689" s="12" t="n">
        <f aca="false">(1+H689)^(1/12)-1</f>
        <v>0.00520675197206866</v>
      </c>
      <c r="J689" s="16" t="n">
        <f aca="false">IF(C689=0,(1+Dic2025!$M$6)^(-B689),EXP(LN(INDEX(Dic2025!$N$6:$N$205,C689))+(LN(INDEX(Dic2025!$N$6:$N$205,MIN(C689+1,200)))-LN(INDEX(Dic2025!$N$6:$N$205,C689)))*(A689-6*C689)/6))</f>
        <v>0.0285136619441422</v>
      </c>
      <c r="K689" s="12" t="n">
        <f aca="false">J689^(-1/B689)-1</f>
        <v>0.0643017225</v>
      </c>
      <c r="L689" s="12" t="n">
        <f aca="false">(1+K689)^(1/12)-1</f>
        <v>0.00520675197206866</v>
      </c>
    </row>
    <row r="690" customFormat="false" ht="15" hidden="false" customHeight="false" outlineLevel="0" collapsed="false">
      <c r="A690" s="4" t="n">
        <v>686</v>
      </c>
      <c r="B690" s="14" t="n">
        <f aca="false">A690/12</f>
        <v>57.1666666666667</v>
      </c>
      <c r="C690" s="15" t="n">
        <f aca="false">INT(A690/6)</f>
        <v>114</v>
      </c>
      <c r="D690" s="16" t="n">
        <f aca="false">IF(C690=0,(1+Dic2025!$G$6)^(-B690),EXP(LN(INDEX(Dic2025!$H$6:$H$205,C690))+(LN(INDEX(Dic2025!$H$6:$H$205,MIN(C690+1,200)))-LN(INDEX(Dic2025!$H$6:$H$205,C690)))*(A690-6*C690)/6))</f>
        <v>0.0283659673875077</v>
      </c>
      <c r="E690" s="12" t="n">
        <f aca="false">D690^(-1/B690)-1</f>
        <v>0.0643017225</v>
      </c>
      <c r="F690" s="12" t="n">
        <f aca="false">(1+E690)^(1/12)-1</f>
        <v>0.00520675197206866</v>
      </c>
      <c r="G690" s="16" t="n">
        <f aca="false">IF(C690=0,(1+Dic2025!$J$6)^(-B690),EXP(LN(INDEX(Dic2025!$K$6:$K$205,C690))+(LN(INDEX(Dic2025!$K$6:$K$205,MIN(C690+1,200)))-LN(INDEX(Dic2025!$K$6:$K$205,C690)))*(A690-6*C690)/6))</f>
        <v>0.0283659673875077</v>
      </c>
      <c r="H690" s="12" t="n">
        <f aca="false">G690^(-1/B690)-1</f>
        <v>0.0643017225</v>
      </c>
      <c r="I690" s="12" t="n">
        <f aca="false">(1+H690)^(1/12)-1</f>
        <v>0.00520675197206866</v>
      </c>
      <c r="J690" s="16" t="n">
        <f aca="false">IF(C690=0,(1+Dic2025!$M$6)^(-B690),EXP(LN(INDEX(Dic2025!$N$6:$N$205,C690))+(LN(INDEX(Dic2025!$N$6:$N$205,MIN(C690+1,200)))-LN(INDEX(Dic2025!$N$6:$N$205,C690)))*(A690-6*C690)/6))</f>
        <v>0.0283659673875077</v>
      </c>
      <c r="K690" s="12" t="n">
        <f aca="false">J690^(-1/B690)-1</f>
        <v>0.0643017225</v>
      </c>
      <c r="L690" s="12" t="n">
        <f aca="false">(1+K690)^(1/12)-1</f>
        <v>0.00520675197206866</v>
      </c>
    </row>
    <row r="691" customFormat="false" ht="15" hidden="false" customHeight="false" outlineLevel="0" collapsed="false">
      <c r="A691" s="4" t="n">
        <v>687</v>
      </c>
      <c r="B691" s="14" t="n">
        <f aca="false">A691/12</f>
        <v>57.25</v>
      </c>
      <c r="C691" s="15" t="n">
        <f aca="false">INT(A691/6)</f>
        <v>114</v>
      </c>
      <c r="D691" s="16" t="n">
        <f aca="false">IF(C691=0,(1+Dic2025!$G$6)^(-B691),EXP(LN(INDEX(Dic2025!$H$6:$H$205,C691))+(LN(INDEX(Dic2025!$H$6:$H$205,MIN(C691+1,200)))-LN(INDEX(Dic2025!$H$6:$H$205,C691)))*(A691-6*C691)/6))</f>
        <v>0.0282190378564985</v>
      </c>
      <c r="E691" s="12" t="n">
        <f aca="false">D691^(-1/B691)-1</f>
        <v>0.0643017225</v>
      </c>
      <c r="F691" s="12" t="n">
        <f aca="false">(1+E691)^(1/12)-1</f>
        <v>0.00520675197206866</v>
      </c>
      <c r="G691" s="16" t="n">
        <f aca="false">IF(C691=0,(1+Dic2025!$J$6)^(-B691),EXP(LN(INDEX(Dic2025!$K$6:$K$205,C691))+(LN(INDEX(Dic2025!$K$6:$K$205,MIN(C691+1,200)))-LN(INDEX(Dic2025!$K$6:$K$205,C691)))*(A691-6*C691)/6))</f>
        <v>0.0282190378564985</v>
      </c>
      <c r="H691" s="12" t="n">
        <f aca="false">G691^(-1/B691)-1</f>
        <v>0.0643017225</v>
      </c>
      <c r="I691" s="12" t="n">
        <f aca="false">(1+H691)^(1/12)-1</f>
        <v>0.00520675197206866</v>
      </c>
      <c r="J691" s="16" t="n">
        <f aca="false">IF(C691=0,(1+Dic2025!$M$6)^(-B691),EXP(LN(INDEX(Dic2025!$N$6:$N$205,C691))+(LN(INDEX(Dic2025!$N$6:$N$205,MIN(C691+1,200)))-LN(INDEX(Dic2025!$N$6:$N$205,C691)))*(A691-6*C691)/6))</f>
        <v>0.0282190378564985</v>
      </c>
      <c r="K691" s="12" t="n">
        <f aca="false">J691^(-1/B691)-1</f>
        <v>0.0643017225</v>
      </c>
      <c r="L691" s="12" t="n">
        <f aca="false">(1+K691)^(1/12)-1</f>
        <v>0.00520675197206866</v>
      </c>
    </row>
    <row r="692" customFormat="false" ht="15" hidden="false" customHeight="false" outlineLevel="0" collapsed="false">
      <c r="A692" s="4" t="n">
        <v>688</v>
      </c>
      <c r="B692" s="14" t="n">
        <f aca="false">A692/12</f>
        <v>57.3333333333333</v>
      </c>
      <c r="C692" s="15" t="n">
        <f aca="false">INT(A692/6)</f>
        <v>114</v>
      </c>
      <c r="D692" s="16" t="n">
        <f aca="false">IF(C692=0,(1+Dic2025!$G$6)^(-B692),EXP(LN(INDEX(Dic2025!$H$6:$H$205,C692))+(LN(INDEX(Dic2025!$H$6:$H$205,MIN(C692+1,200)))-LN(INDEX(Dic2025!$H$6:$H$205,C692)))*(A692-6*C692)/6))</f>
        <v>0.0280728693884485</v>
      </c>
      <c r="E692" s="12" t="n">
        <f aca="false">D692^(-1/B692)-1</f>
        <v>0.0643017225</v>
      </c>
      <c r="F692" s="12" t="n">
        <f aca="false">(1+E692)^(1/12)-1</f>
        <v>0.00520675197206866</v>
      </c>
      <c r="G692" s="16" t="n">
        <f aca="false">IF(C692=0,(1+Dic2025!$J$6)^(-B692),EXP(LN(INDEX(Dic2025!$K$6:$K$205,C692))+(LN(INDEX(Dic2025!$K$6:$K$205,MIN(C692+1,200)))-LN(INDEX(Dic2025!$K$6:$K$205,C692)))*(A692-6*C692)/6))</f>
        <v>0.0280728693884485</v>
      </c>
      <c r="H692" s="12" t="n">
        <f aca="false">G692^(-1/B692)-1</f>
        <v>0.0643017225</v>
      </c>
      <c r="I692" s="12" t="n">
        <f aca="false">(1+H692)^(1/12)-1</f>
        <v>0.00520675197206866</v>
      </c>
      <c r="J692" s="16" t="n">
        <f aca="false">IF(C692=0,(1+Dic2025!$M$6)^(-B692),EXP(LN(INDEX(Dic2025!$N$6:$N$205,C692))+(LN(INDEX(Dic2025!$N$6:$N$205,MIN(C692+1,200)))-LN(INDEX(Dic2025!$N$6:$N$205,C692)))*(A692-6*C692)/6))</f>
        <v>0.0280728693884485</v>
      </c>
      <c r="K692" s="12" t="n">
        <f aca="false">J692^(-1/B692)-1</f>
        <v>0.0643017225</v>
      </c>
      <c r="L692" s="12" t="n">
        <f aca="false">(1+K692)^(1/12)-1</f>
        <v>0.00520675197206866</v>
      </c>
    </row>
    <row r="693" customFormat="false" ht="15" hidden="false" customHeight="false" outlineLevel="0" collapsed="false">
      <c r="A693" s="4" t="n">
        <v>689</v>
      </c>
      <c r="B693" s="14" t="n">
        <f aca="false">A693/12</f>
        <v>57.4166666666667</v>
      </c>
      <c r="C693" s="15" t="n">
        <f aca="false">INT(A693/6)</f>
        <v>114</v>
      </c>
      <c r="D693" s="16" t="n">
        <f aca="false">IF(C693=0,(1+Dic2025!$G$6)^(-B693),EXP(LN(INDEX(Dic2025!$H$6:$H$205,C693))+(LN(INDEX(Dic2025!$H$6:$H$205,MIN(C693+1,200)))-LN(INDEX(Dic2025!$H$6:$H$205,C693)))*(A693-6*C693)/6))</f>
        <v>0.0279274580412176</v>
      </c>
      <c r="E693" s="12" t="n">
        <f aca="false">D693^(-1/B693)-1</f>
        <v>0.0643017225</v>
      </c>
      <c r="F693" s="12" t="n">
        <f aca="false">(1+E693)^(1/12)-1</f>
        <v>0.00520675197206866</v>
      </c>
      <c r="G693" s="16" t="n">
        <f aca="false">IF(C693=0,(1+Dic2025!$J$6)^(-B693),EXP(LN(INDEX(Dic2025!$K$6:$K$205,C693))+(LN(INDEX(Dic2025!$K$6:$K$205,MIN(C693+1,200)))-LN(INDEX(Dic2025!$K$6:$K$205,C693)))*(A693-6*C693)/6))</f>
        <v>0.0279274580412176</v>
      </c>
      <c r="H693" s="12" t="n">
        <f aca="false">G693^(-1/B693)-1</f>
        <v>0.0643017225</v>
      </c>
      <c r="I693" s="12" t="n">
        <f aca="false">(1+H693)^(1/12)-1</f>
        <v>0.00520675197206866</v>
      </c>
      <c r="J693" s="16" t="n">
        <f aca="false">IF(C693=0,(1+Dic2025!$M$6)^(-B693),EXP(LN(INDEX(Dic2025!$N$6:$N$205,C693))+(LN(INDEX(Dic2025!$N$6:$N$205,MIN(C693+1,200)))-LN(INDEX(Dic2025!$N$6:$N$205,C693)))*(A693-6*C693)/6))</f>
        <v>0.0279274580412176</v>
      </c>
      <c r="K693" s="12" t="n">
        <f aca="false">J693^(-1/B693)-1</f>
        <v>0.0643017225</v>
      </c>
      <c r="L693" s="12" t="n">
        <f aca="false">(1+K693)^(1/12)-1</f>
        <v>0.00520675197206866</v>
      </c>
    </row>
    <row r="694" customFormat="false" ht="15" hidden="false" customHeight="false" outlineLevel="0" collapsed="false">
      <c r="A694" s="4" t="n">
        <v>690</v>
      </c>
      <c r="B694" s="14" t="n">
        <f aca="false">A694/12</f>
        <v>57.5</v>
      </c>
      <c r="C694" s="15" t="n">
        <f aca="false">INT(A694/6)</f>
        <v>115</v>
      </c>
      <c r="D694" s="16" t="n">
        <f aca="false">IF(C694=0,(1+Dic2025!$G$6)^(-B694),EXP(LN(INDEX(Dic2025!$H$6:$H$205,C694))+(LN(INDEX(Dic2025!$H$6:$H$205,MIN(C694+1,200)))-LN(INDEX(Dic2025!$H$6:$H$205,C694)))*(A694-6*C694)/6))</f>
        <v>0.0277827998930847</v>
      </c>
      <c r="E694" s="12" t="n">
        <f aca="false">D694^(-1/B694)-1</f>
        <v>0.0643017225</v>
      </c>
      <c r="F694" s="12" t="n">
        <f aca="false">(1+E694)^(1/12)-1</f>
        <v>0.00520675197206866</v>
      </c>
      <c r="G694" s="16" t="n">
        <f aca="false">IF(C694=0,(1+Dic2025!$J$6)^(-B694),EXP(LN(INDEX(Dic2025!$K$6:$K$205,C694))+(LN(INDEX(Dic2025!$K$6:$K$205,MIN(C694+1,200)))-LN(INDEX(Dic2025!$K$6:$K$205,C694)))*(A694-6*C694)/6))</f>
        <v>0.0277827998930847</v>
      </c>
      <c r="H694" s="12" t="n">
        <f aca="false">G694^(-1/B694)-1</f>
        <v>0.0643017225</v>
      </c>
      <c r="I694" s="12" t="n">
        <f aca="false">(1+H694)^(1/12)-1</f>
        <v>0.00520675197206866</v>
      </c>
      <c r="J694" s="16" t="n">
        <f aca="false">IF(C694=0,(1+Dic2025!$M$6)^(-B694),EXP(LN(INDEX(Dic2025!$N$6:$N$205,C694))+(LN(INDEX(Dic2025!$N$6:$N$205,MIN(C694+1,200)))-LN(INDEX(Dic2025!$N$6:$N$205,C694)))*(A694-6*C694)/6))</f>
        <v>0.0277827998930847</v>
      </c>
      <c r="K694" s="12" t="n">
        <f aca="false">J694^(-1/B694)-1</f>
        <v>0.0643017225</v>
      </c>
      <c r="L694" s="12" t="n">
        <f aca="false">(1+K694)^(1/12)-1</f>
        <v>0.00520675197206866</v>
      </c>
    </row>
    <row r="695" customFormat="false" ht="15" hidden="false" customHeight="false" outlineLevel="0" collapsed="false">
      <c r="A695" s="4" t="n">
        <v>691</v>
      </c>
      <c r="B695" s="14" t="n">
        <f aca="false">A695/12</f>
        <v>57.5833333333333</v>
      </c>
      <c r="C695" s="15" t="n">
        <f aca="false">INT(A695/6)</f>
        <v>115</v>
      </c>
      <c r="D695" s="16" t="n">
        <f aca="false">IF(C695=0,(1+Dic2025!$G$6)^(-B695),EXP(LN(INDEX(Dic2025!$H$6:$H$205,C695))+(LN(INDEX(Dic2025!$H$6:$H$205,MIN(C695+1,200)))-LN(INDEX(Dic2025!$H$6:$H$205,C695)))*(A695-6*C695)/6))</f>
        <v>0.0276388910426426</v>
      </c>
      <c r="E695" s="12" t="n">
        <f aca="false">D695^(-1/B695)-1</f>
        <v>0.0643017225</v>
      </c>
      <c r="F695" s="12" t="n">
        <f aca="false">(1+E695)^(1/12)-1</f>
        <v>0.00520675197206866</v>
      </c>
      <c r="G695" s="16" t="n">
        <f aca="false">IF(C695=0,(1+Dic2025!$J$6)^(-B695),EXP(LN(INDEX(Dic2025!$K$6:$K$205,C695))+(LN(INDEX(Dic2025!$K$6:$K$205,MIN(C695+1,200)))-LN(INDEX(Dic2025!$K$6:$K$205,C695)))*(A695-6*C695)/6))</f>
        <v>0.0276388910426426</v>
      </c>
      <c r="H695" s="12" t="n">
        <f aca="false">G695^(-1/B695)-1</f>
        <v>0.0643017225</v>
      </c>
      <c r="I695" s="12" t="n">
        <f aca="false">(1+H695)^(1/12)-1</f>
        <v>0.00520675197206866</v>
      </c>
      <c r="J695" s="16" t="n">
        <f aca="false">IF(C695=0,(1+Dic2025!$M$6)^(-B695),EXP(LN(INDEX(Dic2025!$N$6:$N$205,C695))+(LN(INDEX(Dic2025!$N$6:$N$205,MIN(C695+1,200)))-LN(INDEX(Dic2025!$N$6:$N$205,C695)))*(A695-6*C695)/6))</f>
        <v>0.0276388910426426</v>
      </c>
      <c r="K695" s="12" t="n">
        <f aca="false">J695^(-1/B695)-1</f>
        <v>0.0643017225</v>
      </c>
      <c r="L695" s="12" t="n">
        <f aca="false">(1+K695)^(1/12)-1</f>
        <v>0.00520675197206866</v>
      </c>
    </row>
    <row r="696" customFormat="false" ht="15" hidden="false" customHeight="false" outlineLevel="0" collapsed="false">
      <c r="A696" s="4" t="n">
        <v>692</v>
      </c>
      <c r="B696" s="14" t="n">
        <f aca="false">A696/12</f>
        <v>57.6666666666667</v>
      </c>
      <c r="C696" s="15" t="n">
        <f aca="false">INT(A696/6)</f>
        <v>115</v>
      </c>
      <c r="D696" s="16" t="n">
        <f aca="false">IF(C696=0,(1+Dic2025!$G$6)^(-B696),EXP(LN(INDEX(Dic2025!$H$6:$H$205,C696))+(LN(INDEX(Dic2025!$H$6:$H$205,MIN(C696+1,200)))-LN(INDEX(Dic2025!$H$6:$H$205,C696)))*(A696-6*C696)/6))</f>
        <v>0.0274957276086926</v>
      </c>
      <c r="E696" s="12" t="n">
        <f aca="false">D696^(-1/B696)-1</f>
        <v>0.0643017225</v>
      </c>
      <c r="F696" s="12" t="n">
        <f aca="false">(1+E696)^(1/12)-1</f>
        <v>0.00520675197206866</v>
      </c>
      <c r="G696" s="16" t="n">
        <f aca="false">IF(C696=0,(1+Dic2025!$J$6)^(-B696),EXP(LN(INDEX(Dic2025!$K$6:$K$205,C696))+(LN(INDEX(Dic2025!$K$6:$K$205,MIN(C696+1,200)))-LN(INDEX(Dic2025!$K$6:$K$205,C696)))*(A696-6*C696)/6))</f>
        <v>0.0274957276086926</v>
      </c>
      <c r="H696" s="12" t="n">
        <f aca="false">G696^(-1/B696)-1</f>
        <v>0.0643017225</v>
      </c>
      <c r="I696" s="12" t="n">
        <f aca="false">(1+H696)^(1/12)-1</f>
        <v>0.00520675197206866</v>
      </c>
      <c r="J696" s="16" t="n">
        <f aca="false">IF(C696=0,(1+Dic2025!$M$6)^(-B696),EXP(LN(INDEX(Dic2025!$N$6:$N$205,C696))+(LN(INDEX(Dic2025!$N$6:$N$205,MIN(C696+1,200)))-LN(INDEX(Dic2025!$N$6:$N$205,C696)))*(A696-6*C696)/6))</f>
        <v>0.0274957276086926</v>
      </c>
      <c r="K696" s="12" t="n">
        <f aca="false">J696^(-1/B696)-1</f>
        <v>0.0643017225</v>
      </c>
      <c r="L696" s="12" t="n">
        <f aca="false">(1+K696)^(1/12)-1</f>
        <v>0.00520675197206866</v>
      </c>
    </row>
    <row r="697" customFormat="false" ht="15" hidden="false" customHeight="false" outlineLevel="0" collapsed="false">
      <c r="A697" s="4" t="n">
        <v>693</v>
      </c>
      <c r="B697" s="14" t="n">
        <f aca="false">A697/12</f>
        <v>57.75</v>
      </c>
      <c r="C697" s="15" t="n">
        <f aca="false">INT(A697/6)</f>
        <v>115</v>
      </c>
      <c r="D697" s="16" t="n">
        <f aca="false">IF(C697=0,(1+Dic2025!$G$6)^(-B697),EXP(LN(INDEX(Dic2025!$H$6:$H$205,C697))+(LN(INDEX(Dic2025!$H$6:$H$205,MIN(C697+1,200)))-LN(INDEX(Dic2025!$H$6:$H$205,C697)))*(A697-6*C697)/6))</f>
        <v>0.0273533057301396</v>
      </c>
      <c r="E697" s="12" t="n">
        <f aca="false">D697^(-1/B697)-1</f>
        <v>0.0643017225</v>
      </c>
      <c r="F697" s="12" t="n">
        <f aca="false">(1+E697)^(1/12)-1</f>
        <v>0.00520675197206866</v>
      </c>
      <c r="G697" s="16" t="n">
        <f aca="false">IF(C697=0,(1+Dic2025!$J$6)^(-B697),EXP(LN(INDEX(Dic2025!$K$6:$K$205,C697))+(LN(INDEX(Dic2025!$K$6:$K$205,MIN(C697+1,200)))-LN(INDEX(Dic2025!$K$6:$K$205,C697)))*(A697-6*C697)/6))</f>
        <v>0.0273533057301396</v>
      </c>
      <c r="H697" s="12" t="n">
        <f aca="false">G697^(-1/B697)-1</f>
        <v>0.0643017225</v>
      </c>
      <c r="I697" s="12" t="n">
        <f aca="false">(1+H697)^(1/12)-1</f>
        <v>0.00520675197206866</v>
      </c>
      <c r="J697" s="16" t="n">
        <f aca="false">IF(C697=0,(1+Dic2025!$M$6)^(-B697),EXP(LN(INDEX(Dic2025!$N$6:$N$205,C697))+(LN(INDEX(Dic2025!$N$6:$N$205,MIN(C697+1,200)))-LN(INDEX(Dic2025!$N$6:$N$205,C697)))*(A697-6*C697)/6))</f>
        <v>0.0273533057301396</v>
      </c>
      <c r="K697" s="12" t="n">
        <f aca="false">J697^(-1/B697)-1</f>
        <v>0.0643017225</v>
      </c>
      <c r="L697" s="12" t="n">
        <f aca="false">(1+K697)^(1/12)-1</f>
        <v>0.00520675197206866</v>
      </c>
    </row>
    <row r="698" customFormat="false" ht="15" hidden="false" customHeight="false" outlineLevel="0" collapsed="false">
      <c r="A698" s="4" t="n">
        <v>694</v>
      </c>
      <c r="B698" s="14" t="n">
        <f aca="false">A698/12</f>
        <v>57.8333333333333</v>
      </c>
      <c r="C698" s="15" t="n">
        <f aca="false">INT(A698/6)</f>
        <v>115</v>
      </c>
      <c r="D698" s="16" t="n">
        <f aca="false">IF(C698=0,(1+Dic2025!$G$6)^(-B698),EXP(LN(INDEX(Dic2025!$H$6:$H$205,C698))+(LN(INDEX(Dic2025!$H$6:$H$205,MIN(C698+1,200)))-LN(INDEX(Dic2025!$H$6:$H$205,C698)))*(A698-6*C698)/6))</f>
        <v>0.0272116215658882</v>
      </c>
      <c r="E698" s="12" t="n">
        <f aca="false">D698^(-1/B698)-1</f>
        <v>0.0643017225</v>
      </c>
      <c r="F698" s="12" t="n">
        <f aca="false">(1+E698)^(1/12)-1</f>
        <v>0.00520675197206866</v>
      </c>
      <c r="G698" s="16" t="n">
        <f aca="false">IF(C698=0,(1+Dic2025!$J$6)^(-B698),EXP(LN(INDEX(Dic2025!$K$6:$K$205,C698))+(LN(INDEX(Dic2025!$K$6:$K$205,MIN(C698+1,200)))-LN(INDEX(Dic2025!$K$6:$K$205,C698)))*(A698-6*C698)/6))</f>
        <v>0.0272116215658882</v>
      </c>
      <c r="H698" s="12" t="n">
        <f aca="false">G698^(-1/B698)-1</f>
        <v>0.0643017225</v>
      </c>
      <c r="I698" s="12" t="n">
        <f aca="false">(1+H698)^(1/12)-1</f>
        <v>0.00520675197206866</v>
      </c>
      <c r="J698" s="16" t="n">
        <f aca="false">IF(C698=0,(1+Dic2025!$M$6)^(-B698),EXP(LN(INDEX(Dic2025!$N$6:$N$205,C698))+(LN(INDEX(Dic2025!$N$6:$N$205,MIN(C698+1,200)))-LN(INDEX(Dic2025!$N$6:$N$205,C698)))*(A698-6*C698)/6))</f>
        <v>0.0272116215658882</v>
      </c>
      <c r="K698" s="12" t="n">
        <f aca="false">J698^(-1/B698)-1</f>
        <v>0.0643017225</v>
      </c>
      <c r="L698" s="12" t="n">
        <f aca="false">(1+K698)^(1/12)-1</f>
        <v>0.00520675197206866</v>
      </c>
    </row>
    <row r="699" customFormat="false" ht="15" hidden="false" customHeight="false" outlineLevel="0" collapsed="false">
      <c r="A699" s="4" t="n">
        <v>695</v>
      </c>
      <c r="B699" s="14" t="n">
        <f aca="false">A699/12</f>
        <v>57.9166666666667</v>
      </c>
      <c r="C699" s="15" t="n">
        <f aca="false">INT(A699/6)</f>
        <v>115</v>
      </c>
      <c r="D699" s="16" t="n">
        <f aca="false">IF(C699=0,(1+Dic2025!$G$6)^(-B699),EXP(LN(INDEX(Dic2025!$H$6:$H$205,C699))+(LN(INDEX(Dic2025!$H$6:$H$205,MIN(C699+1,200)))-LN(INDEX(Dic2025!$H$6:$H$205,C699)))*(A699-6*C699)/6))</f>
        <v>0.0270706712947391</v>
      </c>
      <c r="E699" s="12" t="n">
        <f aca="false">D699^(-1/B699)-1</f>
        <v>0.0643017225</v>
      </c>
      <c r="F699" s="12" t="n">
        <f aca="false">(1+E699)^(1/12)-1</f>
        <v>0.00520675197206866</v>
      </c>
      <c r="G699" s="16" t="n">
        <f aca="false">IF(C699=0,(1+Dic2025!$J$6)^(-B699),EXP(LN(INDEX(Dic2025!$K$6:$K$205,C699))+(LN(INDEX(Dic2025!$K$6:$K$205,MIN(C699+1,200)))-LN(INDEX(Dic2025!$K$6:$K$205,C699)))*(A699-6*C699)/6))</f>
        <v>0.0270706712947391</v>
      </c>
      <c r="H699" s="12" t="n">
        <f aca="false">G699^(-1/B699)-1</f>
        <v>0.0643017225</v>
      </c>
      <c r="I699" s="12" t="n">
        <f aca="false">(1+H699)^(1/12)-1</f>
        <v>0.00520675197206866</v>
      </c>
      <c r="J699" s="16" t="n">
        <f aca="false">IF(C699=0,(1+Dic2025!$M$6)^(-B699),EXP(LN(INDEX(Dic2025!$N$6:$N$205,C699))+(LN(INDEX(Dic2025!$N$6:$N$205,MIN(C699+1,200)))-LN(INDEX(Dic2025!$N$6:$N$205,C699)))*(A699-6*C699)/6))</f>
        <v>0.0270706712947391</v>
      </c>
      <c r="K699" s="12" t="n">
        <f aca="false">J699^(-1/B699)-1</f>
        <v>0.0643017225</v>
      </c>
      <c r="L699" s="12" t="n">
        <f aca="false">(1+K699)^(1/12)-1</f>
        <v>0.00520675197206866</v>
      </c>
    </row>
    <row r="700" customFormat="false" ht="15" hidden="false" customHeight="false" outlineLevel="0" collapsed="false">
      <c r="A700" s="4" t="n">
        <v>696</v>
      </c>
      <c r="B700" s="14" t="n">
        <f aca="false">A700/12</f>
        <v>58</v>
      </c>
      <c r="C700" s="15" t="n">
        <f aca="false">INT(A700/6)</f>
        <v>116</v>
      </c>
      <c r="D700" s="16" t="n">
        <f aca="false">IF(C700=0,(1+Dic2025!$G$6)^(-B700),EXP(LN(INDEX(Dic2025!$H$6:$H$205,C700))+(LN(INDEX(Dic2025!$H$6:$H$205,MIN(C700+1,200)))-LN(INDEX(Dic2025!$H$6:$H$205,C700)))*(A700-6*C700)/6))</f>
        <v>0.0269304511152859</v>
      </c>
      <c r="E700" s="12" t="n">
        <f aca="false">D700^(-1/B700)-1</f>
        <v>0.0643017225</v>
      </c>
      <c r="F700" s="12" t="n">
        <f aca="false">(1+E700)^(1/12)-1</f>
        <v>0.00520675197206866</v>
      </c>
      <c r="G700" s="16" t="n">
        <f aca="false">IF(C700=0,(1+Dic2025!$J$6)^(-B700),EXP(LN(INDEX(Dic2025!$K$6:$K$205,C700))+(LN(INDEX(Dic2025!$K$6:$K$205,MIN(C700+1,200)))-LN(INDEX(Dic2025!$K$6:$K$205,C700)))*(A700-6*C700)/6))</f>
        <v>0.0269304511152859</v>
      </c>
      <c r="H700" s="12" t="n">
        <f aca="false">G700^(-1/B700)-1</f>
        <v>0.0643017225</v>
      </c>
      <c r="I700" s="12" t="n">
        <f aca="false">(1+H700)^(1/12)-1</f>
        <v>0.00520675197206866</v>
      </c>
      <c r="J700" s="16" t="n">
        <f aca="false">IF(C700=0,(1+Dic2025!$M$6)^(-B700),EXP(LN(INDEX(Dic2025!$N$6:$N$205,C700))+(LN(INDEX(Dic2025!$N$6:$N$205,MIN(C700+1,200)))-LN(INDEX(Dic2025!$N$6:$N$205,C700)))*(A700-6*C700)/6))</f>
        <v>0.0269304511152859</v>
      </c>
      <c r="K700" s="12" t="n">
        <f aca="false">J700^(-1/B700)-1</f>
        <v>0.0643017225</v>
      </c>
      <c r="L700" s="12" t="n">
        <f aca="false">(1+K700)^(1/12)-1</f>
        <v>0.00520675197206866</v>
      </c>
    </row>
    <row r="701" customFormat="false" ht="15" hidden="false" customHeight="false" outlineLevel="0" collapsed="false">
      <c r="A701" s="4" t="n">
        <v>697</v>
      </c>
      <c r="B701" s="14" t="n">
        <f aca="false">A701/12</f>
        <v>58.0833333333333</v>
      </c>
      <c r="C701" s="15" t="n">
        <f aca="false">INT(A701/6)</f>
        <v>116</v>
      </c>
      <c r="D701" s="16" t="n">
        <f aca="false">IF(C701=0,(1+Dic2025!$G$6)^(-B701),EXP(LN(INDEX(Dic2025!$H$6:$H$205,C701))+(LN(INDEX(Dic2025!$H$6:$H$205,MIN(C701+1,200)))-LN(INDEX(Dic2025!$H$6:$H$205,C701)))*(A701-6*C701)/6))</f>
        <v>0.0267909572458126</v>
      </c>
      <c r="E701" s="12" t="n">
        <f aca="false">D701^(-1/B701)-1</f>
        <v>0.0643017225</v>
      </c>
      <c r="F701" s="12" t="n">
        <f aca="false">(1+E701)^(1/12)-1</f>
        <v>0.00520675197206866</v>
      </c>
      <c r="G701" s="16" t="n">
        <f aca="false">IF(C701=0,(1+Dic2025!$J$6)^(-B701),EXP(LN(INDEX(Dic2025!$K$6:$K$205,C701))+(LN(INDEX(Dic2025!$K$6:$K$205,MIN(C701+1,200)))-LN(INDEX(Dic2025!$K$6:$K$205,C701)))*(A701-6*C701)/6))</f>
        <v>0.0267909572458126</v>
      </c>
      <c r="H701" s="12" t="n">
        <f aca="false">G701^(-1/B701)-1</f>
        <v>0.0643017225</v>
      </c>
      <c r="I701" s="12" t="n">
        <f aca="false">(1+H701)^(1/12)-1</f>
        <v>0.00520675197206866</v>
      </c>
      <c r="J701" s="16" t="n">
        <f aca="false">IF(C701=0,(1+Dic2025!$M$6)^(-B701),EXP(LN(INDEX(Dic2025!$N$6:$N$205,C701))+(LN(INDEX(Dic2025!$N$6:$N$205,MIN(C701+1,200)))-LN(INDEX(Dic2025!$N$6:$N$205,C701)))*(A701-6*C701)/6))</f>
        <v>0.0267909572458126</v>
      </c>
      <c r="K701" s="12" t="n">
        <f aca="false">J701^(-1/B701)-1</f>
        <v>0.0643017225</v>
      </c>
      <c r="L701" s="12" t="n">
        <f aca="false">(1+K701)^(1/12)-1</f>
        <v>0.00520675197206866</v>
      </c>
    </row>
    <row r="702" customFormat="false" ht="15" hidden="false" customHeight="false" outlineLevel="0" collapsed="false">
      <c r="A702" s="4" t="n">
        <v>698</v>
      </c>
      <c r="B702" s="14" t="n">
        <f aca="false">A702/12</f>
        <v>58.1666666666667</v>
      </c>
      <c r="C702" s="15" t="n">
        <f aca="false">INT(A702/6)</f>
        <v>116</v>
      </c>
      <c r="D702" s="16" t="n">
        <f aca="false">IF(C702=0,(1+Dic2025!$G$6)^(-B702),EXP(LN(INDEX(Dic2025!$H$6:$H$205,C702))+(LN(INDEX(Dic2025!$H$6:$H$205,MIN(C702+1,200)))-LN(INDEX(Dic2025!$H$6:$H$205,C702)))*(A702-6*C702)/6))</f>
        <v>0.0266521859241919</v>
      </c>
      <c r="E702" s="12" t="n">
        <f aca="false">D702^(-1/B702)-1</f>
        <v>0.0643017225</v>
      </c>
      <c r="F702" s="12" t="n">
        <f aca="false">(1+E702)^(1/12)-1</f>
        <v>0.00520675197206866</v>
      </c>
      <c r="G702" s="16" t="n">
        <f aca="false">IF(C702=0,(1+Dic2025!$J$6)^(-B702),EXP(LN(INDEX(Dic2025!$K$6:$K$205,C702))+(LN(INDEX(Dic2025!$K$6:$K$205,MIN(C702+1,200)))-LN(INDEX(Dic2025!$K$6:$K$205,C702)))*(A702-6*C702)/6))</f>
        <v>0.0266521859241919</v>
      </c>
      <c r="H702" s="12" t="n">
        <f aca="false">G702^(-1/B702)-1</f>
        <v>0.0643017225</v>
      </c>
      <c r="I702" s="12" t="n">
        <f aca="false">(1+H702)^(1/12)-1</f>
        <v>0.00520675197206866</v>
      </c>
      <c r="J702" s="16" t="n">
        <f aca="false">IF(C702=0,(1+Dic2025!$M$6)^(-B702),EXP(LN(INDEX(Dic2025!$N$6:$N$205,C702))+(LN(INDEX(Dic2025!$N$6:$N$205,MIN(C702+1,200)))-LN(INDEX(Dic2025!$N$6:$N$205,C702)))*(A702-6*C702)/6))</f>
        <v>0.0266521859241919</v>
      </c>
      <c r="K702" s="12" t="n">
        <f aca="false">J702^(-1/B702)-1</f>
        <v>0.0643017225</v>
      </c>
      <c r="L702" s="12" t="n">
        <f aca="false">(1+K702)^(1/12)-1</f>
        <v>0.00520675197206866</v>
      </c>
    </row>
    <row r="703" customFormat="false" ht="15" hidden="false" customHeight="false" outlineLevel="0" collapsed="false">
      <c r="A703" s="4" t="n">
        <v>699</v>
      </c>
      <c r="B703" s="14" t="n">
        <f aca="false">A703/12</f>
        <v>58.25</v>
      </c>
      <c r="C703" s="15" t="n">
        <f aca="false">INT(A703/6)</f>
        <v>116</v>
      </c>
      <c r="D703" s="16" t="n">
        <f aca="false">IF(C703=0,(1+Dic2025!$G$6)^(-B703),EXP(LN(INDEX(Dic2025!$H$6:$H$205,C703))+(LN(INDEX(Dic2025!$H$6:$H$205,MIN(C703+1,200)))-LN(INDEX(Dic2025!$H$6:$H$205,C703)))*(A703-6*C703)/6))</f>
        <v>0.0265141334077832</v>
      </c>
      <c r="E703" s="12" t="n">
        <f aca="false">D703^(-1/B703)-1</f>
        <v>0.0643017225</v>
      </c>
      <c r="F703" s="12" t="n">
        <f aca="false">(1+E703)^(1/12)-1</f>
        <v>0.00520675197206866</v>
      </c>
      <c r="G703" s="16" t="n">
        <f aca="false">IF(C703=0,(1+Dic2025!$J$6)^(-B703),EXP(LN(INDEX(Dic2025!$K$6:$K$205,C703))+(LN(INDEX(Dic2025!$K$6:$K$205,MIN(C703+1,200)))-LN(INDEX(Dic2025!$K$6:$K$205,C703)))*(A703-6*C703)/6))</f>
        <v>0.0265141334077832</v>
      </c>
      <c r="H703" s="12" t="n">
        <f aca="false">G703^(-1/B703)-1</f>
        <v>0.0643017225</v>
      </c>
      <c r="I703" s="12" t="n">
        <f aca="false">(1+H703)^(1/12)-1</f>
        <v>0.00520675197206866</v>
      </c>
      <c r="J703" s="16" t="n">
        <f aca="false">IF(C703=0,(1+Dic2025!$M$6)^(-B703),EXP(LN(INDEX(Dic2025!$N$6:$N$205,C703))+(LN(INDEX(Dic2025!$N$6:$N$205,MIN(C703+1,200)))-LN(INDEX(Dic2025!$N$6:$N$205,C703)))*(A703-6*C703)/6))</f>
        <v>0.0265141334077832</v>
      </c>
      <c r="K703" s="12" t="n">
        <f aca="false">J703^(-1/B703)-1</f>
        <v>0.0643017225</v>
      </c>
      <c r="L703" s="12" t="n">
        <f aca="false">(1+K703)^(1/12)-1</f>
        <v>0.00520675197206866</v>
      </c>
    </row>
    <row r="704" customFormat="false" ht="15" hidden="false" customHeight="false" outlineLevel="0" collapsed="false">
      <c r="A704" s="4" t="n">
        <v>700</v>
      </c>
      <c r="B704" s="14" t="n">
        <f aca="false">A704/12</f>
        <v>58.3333333333333</v>
      </c>
      <c r="C704" s="15" t="n">
        <f aca="false">INT(A704/6)</f>
        <v>116</v>
      </c>
      <c r="D704" s="16" t="n">
        <f aca="false">IF(C704=0,(1+Dic2025!$G$6)^(-B704),EXP(LN(INDEX(Dic2025!$H$6:$H$205,C704))+(LN(INDEX(Dic2025!$H$6:$H$205,MIN(C704+1,200)))-LN(INDEX(Dic2025!$H$6:$H$205,C704)))*(A704-6*C704)/6))</f>
        <v>0.0263767959733322</v>
      </c>
      <c r="E704" s="12" t="n">
        <f aca="false">D704^(-1/B704)-1</f>
        <v>0.0643017225</v>
      </c>
      <c r="F704" s="12" t="n">
        <f aca="false">(1+E704)^(1/12)-1</f>
        <v>0.00520675197206866</v>
      </c>
      <c r="G704" s="16" t="n">
        <f aca="false">IF(C704=0,(1+Dic2025!$J$6)^(-B704),EXP(LN(INDEX(Dic2025!$K$6:$K$205,C704))+(LN(INDEX(Dic2025!$K$6:$K$205,MIN(C704+1,200)))-LN(INDEX(Dic2025!$K$6:$K$205,C704)))*(A704-6*C704)/6))</f>
        <v>0.0263767959733322</v>
      </c>
      <c r="H704" s="12" t="n">
        <f aca="false">G704^(-1/B704)-1</f>
        <v>0.0643017225</v>
      </c>
      <c r="I704" s="12" t="n">
        <f aca="false">(1+H704)^(1/12)-1</f>
        <v>0.00520675197206866</v>
      </c>
      <c r="J704" s="16" t="n">
        <f aca="false">IF(C704=0,(1+Dic2025!$M$6)^(-B704),EXP(LN(INDEX(Dic2025!$N$6:$N$205,C704))+(LN(INDEX(Dic2025!$N$6:$N$205,MIN(C704+1,200)))-LN(INDEX(Dic2025!$N$6:$N$205,C704)))*(A704-6*C704)/6))</f>
        <v>0.0263767959733322</v>
      </c>
      <c r="K704" s="12" t="n">
        <f aca="false">J704^(-1/B704)-1</f>
        <v>0.0643017225</v>
      </c>
      <c r="L704" s="12" t="n">
        <f aca="false">(1+K704)^(1/12)-1</f>
        <v>0.00520675197206866</v>
      </c>
    </row>
    <row r="705" customFormat="false" ht="15" hidden="false" customHeight="false" outlineLevel="0" collapsed="false">
      <c r="A705" s="4" t="n">
        <v>701</v>
      </c>
      <c r="B705" s="14" t="n">
        <f aca="false">A705/12</f>
        <v>58.4166666666667</v>
      </c>
      <c r="C705" s="15" t="n">
        <f aca="false">INT(A705/6)</f>
        <v>116</v>
      </c>
      <c r="D705" s="16" t="n">
        <f aca="false">IF(C705=0,(1+Dic2025!$G$6)^(-B705),EXP(LN(INDEX(Dic2025!$H$6:$H$205,C705))+(LN(INDEX(Dic2025!$H$6:$H$205,MIN(C705+1,200)))-LN(INDEX(Dic2025!$H$6:$H$205,C705)))*(A705-6*C705)/6))</f>
        <v>0.0262401699168701</v>
      </c>
      <c r="E705" s="12" t="n">
        <f aca="false">D705^(-1/B705)-1</f>
        <v>0.0643017225</v>
      </c>
      <c r="F705" s="12" t="n">
        <f aca="false">(1+E705)^(1/12)-1</f>
        <v>0.00520675197206866</v>
      </c>
      <c r="G705" s="16" t="n">
        <f aca="false">IF(C705=0,(1+Dic2025!$J$6)^(-B705),EXP(LN(INDEX(Dic2025!$K$6:$K$205,C705))+(LN(INDEX(Dic2025!$K$6:$K$205,MIN(C705+1,200)))-LN(INDEX(Dic2025!$K$6:$K$205,C705)))*(A705-6*C705)/6))</f>
        <v>0.0262401699168701</v>
      </c>
      <c r="H705" s="12" t="n">
        <f aca="false">G705^(-1/B705)-1</f>
        <v>0.0643017225</v>
      </c>
      <c r="I705" s="12" t="n">
        <f aca="false">(1+H705)^(1/12)-1</f>
        <v>0.00520675197206866</v>
      </c>
      <c r="J705" s="16" t="n">
        <f aca="false">IF(C705=0,(1+Dic2025!$M$6)^(-B705),EXP(LN(INDEX(Dic2025!$N$6:$N$205,C705))+(LN(INDEX(Dic2025!$N$6:$N$205,MIN(C705+1,200)))-LN(INDEX(Dic2025!$N$6:$N$205,C705)))*(A705-6*C705)/6))</f>
        <v>0.0262401699168701</v>
      </c>
      <c r="K705" s="12" t="n">
        <f aca="false">J705^(-1/B705)-1</f>
        <v>0.0643017225</v>
      </c>
      <c r="L705" s="12" t="n">
        <f aca="false">(1+K705)^(1/12)-1</f>
        <v>0.00520675197206866</v>
      </c>
    </row>
    <row r="706" customFormat="false" ht="15" hidden="false" customHeight="false" outlineLevel="0" collapsed="false">
      <c r="A706" s="4" t="n">
        <v>702</v>
      </c>
      <c r="B706" s="14" t="n">
        <f aca="false">A706/12</f>
        <v>58.5</v>
      </c>
      <c r="C706" s="15" t="n">
        <f aca="false">INT(A706/6)</f>
        <v>117</v>
      </c>
      <c r="D706" s="16" t="n">
        <f aca="false">IF(C706=0,(1+Dic2025!$G$6)^(-B706),EXP(LN(INDEX(Dic2025!$H$6:$H$205,C706))+(LN(INDEX(Dic2025!$H$6:$H$205,MIN(C706+1,200)))-LN(INDEX(Dic2025!$H$6:$H$205,C706)))*(A706-6*C706)/6))</f>
        <v>0.026104251553614</v>
      </c>
      <c r="E706" s="12" t="n">
        <f aca="false">D706^(-1/B706)-1</f>
        <v>0.0643017225</v>
      </c>
      <c r="F706" s="12" t="n">
        <f aca="false">(1+E706)^(1/12)-1</f>
        <v>0.00520675197206866</v>
      </c>
      <c r="G706" s="16" t="n">
        <f aca="false">IF(C706=0,(1+Dic2025!$J$6)^(-B706),EXP(LN(INDEX(Dic2025!$K$6:$K$205,C706))+(LN(INDEX(Dic2025!$K$6:$K$205,MIN(C706+1,200)))-LN(INDEX(Dic2025!$K$6:$K$205,C706)))*(A706-6*C706)/6))</f>
        <v>0.026104251553614</v>
      </c>
      <c r="H706" s="12" t="n">
        <f aca="false">G706^(-1/B706)-1</f>
        <v>0.0643017225</v>
      </c>
      <c r="I706" s="12" t="n">
        <f aca="false">(1+H706)^(1/12)-1</f>
        <v>0.00520675197206866</v>
      </c>
      <c r="J706" s="16" t="n">
        <f aca="false">IF(C706=0,(1+Dic2025!$M$6)^(-B706),EXP(LN(INDEX(Dic2025!$N$6:$N$205,C706))+(LN(INDEX(Dic2025!$N$6:$N$205,MIN(C706+1,200)))-LN(INDEX(Dic2025!$N$6:$N$205,C706)))*(A706-6*C706)/6))</f>
        <v>0.026104251553614</v>
      </c>
      <c r="K706" s="12" t="n">
        <f aca="false">J706^(-1/B706)-1</f>
        <v>0.0643017225</v>
      </c>
      <c r="L706" s="12" t="n">
        <f aca="false">(1+K706)^(1/12)-1</f>
        <v>0.00520675197206866</v>
      </c>
    </row>
    <row r="707" customFormat="false" ht="15" hidden="false" customHeight="false" outlineLevel="0" collapsed="false">
      <c r="A707" s="4" t="n">
        <v>703</v>
      </c>
      <c r="B707" s="14" t="n">
        <f aca="false">A707/12</f>
        <v>58.5833333333333</v>
      </c>
      <c r="C707" s="15" t="n">
        <f aca="false">INT(A707/6)</f>
        <v>117</v>
      </c>
      <c r="D707" s="16" t="n">
        <f aca="false">IF(C707=0,(1+Dic2025!$G$6)^(-B707),EXP(LN(INDEX(Dic2025!$H$6:$H$205,C707))+(LN(INDEX(Dic2025!$H$6:$H$205,MIN(C707+1,200)))-LN(INDEX(Dic2025!$H$6:$H$205,C707)))*(A707-6*C707)/6))</f>
        <v>0.0259442968161198</v>
      </c>
      <c r="E707" s="12" t="n">
        <f aca="false">D707^(-1/B707)-1</f>
        <v>0.0643190386792858</v>
      </c>
      <c r="F707" s="12" t="n">
        <f aca="false">(1+E707)^(1/12)-1</f>
        <v>0.00520811485396022</v>
      </c>
      <c r="G707" s="16" t="n">
        <f aca="false">IF(C707=0,(1+Dic2025!$J$6)^(-B707),EXP(LN(INDEX(Dic2025!$K$6:$K$205,C707))+(LN(INDEX(Dic2025!$K$6:$K$205,MIN(C707+1,200)))-LN(INDEX(Dic2025!$K$6:$K$205,C707)))*(A707-6*C707)/6))</f>
        <v>0.0259442968161198</v>
      </c>
      <c r="H707" s="12" t="n">
        <f aca="false">G707^(-1/B707)-1</f>
        <v>0.0643190386792858</v>
      </c>
      <c r="I707" s="12" t="n">
        <f aca="false">(1+H707)^(1/12)-1</f>
        <v>0.00520811485396022</v>
      </c>
      <c r="J707" s="16" t="n">
        <f aca="false">IF(C707=0,(1+Dic2025!$M$6)^(-B707),EXP(LN(INDEX(Dic2025!$N$6:$N$205,C707))+(LN(INDEX(Dic2025!$N$6:$N$205,MIN(C707+1,200)))-LN(INDEX(Dic2025!$N$6:$N$205,C707)))*(A707-6*C707)/6))</f>
        <v>0.0259442968161198</v>
      </c>
      <c r="K707" s="12" t="n">
        <f aca="false">J707^(-1/B707)-1</f>
        <v>0.0643190386792858</v>
      </c>
      <c r="L707" s="12" t="n">
        <f aca="false">(1+K707)^(1/12)-1</f>
        <v>0.00520811485396022</v>
      </c>
    </row>
    <row r="708" customFormat="false" ht="15" hidden="false" customHeight="false" outlineLevel="0" collapsed="false">
      <c r="A708" s="4" t="n">
        <v>704</v>
      </c>
      <c r="B708" s="14" t="n">
        <f aca="false">A708/12</f>
        <v>58.6666666666667</v>
      </c>
      <c r="C708" s="15" t="n">
        <f aca="false">INT(A708/6)</f>
        <v>117</v>
      </c>
      <c r="D708" s="16" t="n">
        <f aca="false">IF(C708=0,(1+Dic2025!$G$6)^(-B708),EXP(LN(INDEX(Dic2025!$H$6:$H$205,C708))+(LN(INDEX(Dic2025!$H$6:$H$205,MIN(C708+1,200)))-LN(INDEX(Dic2025!$H$6:$H$205,C708)))*(A708-6*C708)/6))</f>
        <v>0.0257853222070155</v>
      </c>
      <c r="E708" s="12" t="n">
        <f aca="false">D708^(-1/B708)-1</f>
        <v>0.0643363059454154</v>
      </c>
      <c r="F708" s="12" t="n">
        <f aca="false">(1+E708)^(1/12)-1</f>
        <v>0.00520947386586834</v>
      </c>
      <c r="G708" s="16" t="n">
        <f aca="false">IF(C708=0,(1+Dic2025!$J$6)^(-B708),EXP(LN(INDEX(Dic2025!$K$6:$K$205,C708))+(LN(INDEX(Dic2025!$K$6:$K$205,MIN(C708+1,200)))-LN(INDEX(Dic2025!$K$6:$K$205,C708)))*(A708-6*C708)/6))</f>
        <v>0.0257853222070155</v>
      </c>
      <c r="H708" s="12" t="n">
        <f aca="false">G708^(-1/B708)-1</f>
        <v>0.0643363059454154</v>
      </c>
      <c r="I708" s="12" t="n">
        <f aca="false">(1+H708)^(1/12)-1</f>
        <v>0.00520947386586834</v>
      </c>
      <c r="J708" s="16" t="n">
        <f aca="false">IF(C708=0,(1+Dic2025!$M$6)^(-B708),EXP(LN(INDEX(Dic2025!$N$6:$N$205,C708))+(LN(INDEX(Dic2025!$N$6:$N$205,MIN(C708+1,200)))-LN(INDEX(Dic2025!$N$6:$N$205,C708)))*(A708-6*C708)/6))</f>
        <v>0.0257853222070155</v>
      </c>
      <c r="K708" s="12" t="n">
        <f aca="false">J708^(-1/B708)-1</f>
        <v>0.0643363059454154</v>
      </c>
      <c r="L708" s="12" t="n">
        <f aca="false">(1+K708)^(1/12)-1</f>
        <v>0.00520947386586834</v>
      </c>
    </row>
    <row r="709" customFormat="false" ht="15" hidden="false" customHeight="false" outlineLevel="0" collapsed="false">
      <c r="A709" s="4" t="n">
        <v>705</v>
      </c>
      <c r="B709" s="14" t="n">
        <f aca="false">A709/12</f>
        <v>58.75</v>
      </c>
      <c r="C709" s="15" t="n">
        <f aca="false">INT(A709/6)</f>
        <v>117</v>
      </c>
      <c r="D709" s="16" t="n">
        <f aca="false">IF(C709=0,(1+Dic2025!$G$6)^(-B709),EXP(LN(INDEX(Dic2025!$H$6:$H$205,C709))+(LN(INDEX(Dic2025!$H$6:$H$205,MIN(C709+1,200)))-LN(INDEX(Dic2025!$H$6:$H$205,C709)))*(A709-6*C709)/6))</f>
        <v>0.0256273217205294</v>
      </c>
      <c r="E709" s="12" t="n">
        <f aca="false">D709^(-1/B709)-1</f>
        <v>0.0643535245053417</v>
      </c>
      <c r="F709" s="12" t="n">
        <f aca="false">(1+E709)^(1/12)-1</f>
        <v>0.00521082902425296</v>
      </c>
      <c r="G709" s="16" t="n">
        <f aca="false">IF(C709=0,(1+Dic2025!$J$6)^(-B709),EXP(LN(INDEX(Dic2025!$K$6:$K$205,C709))+(LN(INDEX(Dic2025!$K$6:$K$205,MIN(C709+1,200)))-LN(INDEX(Dic2025!$K$6:$K$205,C709)))*(A709-6*C709)/6))</f>
        <v>0.0256273217205294</v>
      </c>
      <c r="H709" s="12" t="n">
        <f aca="false">G709^(-1/B709)-1</f>
        <v>0.0643535245053417</v>
      </c>
      <c r="I709" s="12" t="n">
        <f aca="false">(1+H709)^(1/12)-1</f>
        <v>0.00521082902425296</v>
      </c>
      <c r="J709" s="16" t="n">
        <f aca="false">IF(C709=0,(1+Dic2025!$M$6)^(-B709),EXP(LN(INDEX(Dic2025!$N$6:$N$205,C709))+(LN(INDEX(Dic2025!$N$6:$N$205,MIN(C709+1,200)))-LN(INDEX(Dic2025!$N$6:$N$205,C709)))*(A709-6*C709)/6))</f>
        <v>0.0256273217205294</v>
      </c>
      <c r="K709" s="12" t="n">
        <f aca="false">J709^(-1/B709)-1</f>
        <v>0.0643535245053417</v>
      </c>
      <c r="L709" s="12" t="n">
        <f aca="false">(1+K709)^(1/12)-1</f>
        <v>0.00521082902425296</v>
      </c>
    </row>
    <row r="710" customFormat="false" ht="15" hidden="false" customHeight="false" outlineLevel="0" collapsed="false">
      <c r="A710" s="4" t="n">
        <v>706</v>
      </c>
      <c r="B710" s="14" t="n">
        <f aca="false">A710/12</f>
        <v>58.8333333333333</v>
      </c>
      <c r="C710" s="15" t="n">
        <f aca="false">INT(A710/6)</f>
        <v>117</v>
      </c>
      <c r="D710" s="16" t="n">
        <f aca="false">IF(C710=0,(1+Dic2025!$G$6)^(-B710),EXP(LN(INDEX(Dic2025!$H$6:$H$205,C710))+(LN(INDEX(Dic2025!$H$6:$H$205,MIN(C710+1,200)))-LN(INDEX(Dic2025!$H$6:$H$205,C710)))*(A710-6*C710)/6))</f>
        <v>0.0254702893876901</v>
      </c>
      <c r="E710" s="12" t="n">
        <f aca="false">D710^(-1/B710)-1</f>
        <v>0.0643706945648528</v>
      </c>
      <c r="F710" s="12" t="n">
        <f aca="false">(1+E710)^(1/12)-1</f>
        <v>0.00521218034548099</v>
      </c>
      <c r="G710" s="16" t="n">
        <f aca="false">IF(C710=0,(1+Dic2025!$J$6)^(-B710),EXP(LN(INDEX(Dic2025!$K$6:$K$205,C710))+(LN(INDEX(Dic2025!$K$6:$K$205,MIN(C710+1,200)))-LN(INDEX(Dic2025!$K$6:$K$205,C710)))*(A710-6*C710)/6))</f>
        <v>0.0254702893876901</v>
      </c>
      <c r="H710" s="12" t="n">
        <f aca="false">G710^(-1/B710)-1</f>
        <v>0.0643706945648528</v>
      </c>
      <c r="I710" s="12" t="n">
        <f aca="false">(1+H710)^(1/12)-1</f>
        <v>0.00521218034548099</v>
      </c>
      <c r="J710" s="16" t="n">
        <f aca="false">IF(C710=0,(1+Dic2025!$M$6)^(-B710),EXP(LN(INDEX(Dic2025!$N$6:$N$205,C710))+(LN(INDEX(Dic2025!$N$6:$N$205,MIN(C710+1,200)))-LN(INDEX(Dic2025!$N$6:$N$205,C710)))*(A710-6*C710)/6))</f>
        <v>0.0254702893876901</v>
      </c>
      <c r="K710" s="12" t="n">
        <f aca="false">J710^(-1/B710)-1</f>
        <v>0.0643706945648528</v>
      </c>
      <c r="L710" s="12" t="n">
        <f aca="false">(1+K710)^(1/12)-1</f>
        <v>0.00521218034548099</v>
      </c>
    </row>
    <row r="711" customFormat="false" ht="15" hidden="false" customHeight="false" outlineLevel="0" collapsed="false">
      <c r="A711" s="4" t="n">
        <v>707</v>
      </c>
      <c r="B711" s="14" t="n">
        <f aca="false">A711/12</f>
        <v>58.9166666666667</v>
      </c>
      <c r="C711" s="15" t="n">
        <f aca="false">INT(A711/6)</f>
        <v>117</v>
      </c>
      <c r="D711" s="16" t="n">
        <f aca="false">IF(C711=0,(1+Dic2025!$G$6)^(-B711),EXP(LN(INDEX(Dic2025!$H$6:$H$205,C711))+(LN(INDEX(Dic2025!$H$6:$H$205,MIN(C711+1,200)))-LN(INDEX(Dic2025!$H$6:$H$205,C711)))*(A711-6*C711)/6))</f>
        <v>0.0253142192761015</v>
      </c>
      <c r="E711" s="12" t="n">
        <f aca="false">D711^(-1/B711)-1</f>
        <v>0.0643878163285787</v>
      </c>
      <c r="F711" s="12" t="n">
        <f aca="false">(1+E711)^(1/12)-1</f>
        <v>0.0052135278458274</v>
      </c>
      <c r="G711" s="16" t="n">
        <f aca="false">IF(C711=0,(1+Dic2025!$J$6)^(-B711),EXP(LN(INDEX(Dic2025!$K$6:$K$205,C711))+(LN(INDEX(Dic2025!$K$6:$K$205,MIN(C711+1,200)))-LN(INDEX(Dic2025!$K$6:$K$205,C711)))*(A711-6*C711)/6))</f>
        <v>0.0253142192761015</v>
      </c>
      <c r="H711" s="12" t="n">
        <f aca="false">G711^(-1/B711)-1</f>
        <v>0.0643878163285787</v>
      </c>
      <c r="I711" s="12" t="n">
        <f aca="false">(1+H711)^(1/12)-1</f>
        <v>0.0052135278458274</v>
      </c>
      <c r="J711" s="16" t="n">
        <f aca="false">IF(C711=0,(1+Dic2025!$M$6)^(-B711),EXP(LN(INDEX(Dic2025!$N$6:$N$205,C711))+(LN(INDEX(Dic2025!$N$6:$N$205,MIN(C711+1,200)))-LN(INDEX(Dic2025!$N$6:$N$205,C711)))*(A711-6*C711)/6))</f>
        <v>0.0253142192761015</v>
      </c>
      <c r="K711" s="12" t="n">
        <f aca="false">J711^(-1/B711)-1</f>
        <v>0.0643878163285787</v>
      </c>
      <c r="L711" s="12" t="n">
        <f aca="false">(1+K711)^(1/12)-1</f>
        <v>0.0052135278458274</v>
      </c>
    </row>
    <row r="712" customFormat="false" ht="15" hidden="false" customHeight="false" outlineLevel="0" collapsed="false">
      <c r="A712" s="4" t="n">
        <v>708</v>
      </c>
      <c r="B712" s="14" t="n">
        <f aca="false">A712/12</f>
        <v>59</v>
      </c>
      <c r="C712" s="15" t="n">
        <f aca="false">INT(A712/6)</f>
        <v>118</v>
      </c>
      <c r="D712" s="16" t="n">
        <f aca="false">IF(C712=0,(1+Dic2025!$G$6)^(-B712),EXP(LN(INDEX(Dic2025!$H$6:$H$205,C712))+(LN(INDEX(Dic2025!$H$6:$H$205,MIN(C712+1,200)))-LN(INDEX(Dic2025!$H$6:$H$205,C712)))*(A712-6*C712)/6))</f>
        <v>0.0251591054897183</v>
      </c>
      <c r="E712" s="12" t="n">
        <f aca="false">D712^(-1/B712)-1</f>
        <v>0.0644048900000001</v>
      </c>
      <c r="F712" s="12" t="n">
        <f aca="false">(1+E712)^(1/12)-1</f>
        <v>0.00521487154147415</v>
      </c>
      <c r="G712" s="16" t="n">
        <f aca="false">IF(C712=0,(1+Dic2025!$J$6)^(-B712),EXP(LN(INDEX(Dic2025!$K$6:$K$205,C712))+(LN(INDEX(Dic2025!$K$6:$K$205,MIN(C712+1,200)))-LN(INDEX(Dic2025!$K$6:$K$205,C712)))*(A712-6*C712)/6))</f>
        <v>0.0251591054897183</v>
      </c>
      <c r="H712" s="12" t="n">
        <f aca="false">G712^(-1/B712)-1</f>
        <v>0.0644048900000001</v>
      </c>
      <c r="I712" s="12" t="n">
        <f aca="false">(1+H712)^(1/12)-1</f>
        <v>0.00521487154147415</v>
      </c>
      <c r="J712" s="16" t="n">
        <f aca="false">IF(C712=0,(1+Dic2025!$M$6)^(-B712),EXP(LN(INDEX(Dic2025!$N$6:$N$205,C712))+(LN(INDEX(Dic2025!$N$6:$N$205,MIN(C712+1,200)))-LN(INDEX(Dic2025!$N$6:$N$205,C712)))*(A712-6*C712)/6))</f>
        <v>0.0251591054897183</v>
      </c>
      <c r="K712" s="12" t="n">
        <f aca="false">J712^(-1/B712)-1</f>
        <v>0.0644048900000001</v>
      </c>
      <c r="L712" s="12" t="n">
        <f aca="false">(1+K712)^(1/12)-1</f>
        <v>0.00521487154147415</v>
      </c>
    </row>
    <row r="713" customFormat="false" ht="15" hidden="false" customHeight="false" outlineLevel="0" collapsed="false">
      <c r="A713" s="4" t="n">
        <v>709</v>
      </c>
      <c r="B713" s="14" t="n">
        <f aca="false">A713/12</f>
        <v>59.0833333333333</v>
      </c>
      <c r="C713" s="15" t="n">
        <f aca="false">INT(A713/6)</f>
        <v>118</v>
      </c>
      <c r="D713" s="16" t="n">
        <f aca="false">IF(C713=0,(1+Dic2025!$G$6)^(-B713),EXP(LN(INDEX(Dic2025!$H$6:$H$205,C713))+(LN(INDEX(Dic2025!$H$6:$H$205,MIN(C713+1,200)))-LN(INDEX(Dic2025!$H$6:$H$205,C713)))*(A713-6*C713)/6))</f>
        <v>0.0250285846359768</v>
      </c>
      <c r="E713" s="12" t="n">
        <f aca="false">D713^(-1/B713)-1</f>
        <v>0.0644048900000001</v>
      </c>
      <c r="F713" s="12" t="n">
        <f aca="false">(1+E713)^(1/12)-1</f>
        <v>0.00521487154147415</v>
      </c>
      <c r="G713" s="16" t="n">
        <f aca="false">IF(C713=0,(1+Dic2025!$J$6)^(-B713),EXP(LN(INDEX(Dic2025!$K$6:$K$205,C713))+(LN(INDEX(Dic2025!$K$6:$K$205,MIN(C713+1,200)))-LN(INDEX(Dic2025!$K$6:$K$205,C713)))*(A713-6*C713)/6))</f>
        <v>0.0250285846359768</v>
      </c>
      <c r="H713" s="12" t="n">
        <f aca="false">G713^(-1/B713)-1</f>
        <v>0.0644048900000001</v>
      </c>
      <c r="I713" s="12" t="n">
        <f aca="false">(1+H713)^(1/12)-1</f>
        <v>0.00521487154147415</v>
      </c>
      <c r="J713" s="16" t="n">
        <f aca="false">IF(C713=0,(1+Dic2025!$M$6)^(-B713),EXP(LN(INDEX(Dic2025!$N$6:$N$205,C713))+(LN(INDEX(Dic2025!$N$6:$N$205,MIN(C713+1,200)))-LN(INDEX(Dic2025!$N$6:$N$205,C713)))*(A713-6*C713)/6))</f>
        <v>0.0250285846359768</v>
      </c>
      <c r="K713" s="12" t="n">
        <f aca="false">J713^(-1/B713)-1</f>
        <v>0.0644048900000001</v>
      </c>
      <c r="L713" s="12" t="n">
        <f aca="false">(1+K713)^(1/12)-1</f>
        <v>0.00521487154147415</v>
      </c>
    </row>
    <row r="714" customFormat="false" ht="15" hidden="false" customHeight="false" outlineLevel="0" collapsed="false">
      <c r="A714" s="4" t="n">
        <v>710</v>
      </c>
      <c r="B714" s="14" t="n">
        <f aca="false">A714/12</f>
        <v>59.1666666666667</v>
      </c>
      <c r="C714" s="15" t="n">
        <f aca="false">INT(A714/6)</f>
        <v>118</v>
      </c>
      <c r="D714" s="16" t="n">
        <f aca="false">IF(C714=0,(1+Dic2025!$G$6)^(-B714),EXP(LN(INDEX(Dic2025!$H$6:$H$205,C714))+(LN(INDEX(Dic2025!$H$6:$H$205,MIN(C714+1,200)))-LN(INDEX(Dic2025!$H$6:$H$205,C714)))*(A714-6*C714)/6))</f>
        <v>0.0248987409006355</v>
      </c>
      <c r="E714" s="12" t="n">
        <f aca="false">D714^(-1/B714)-1</f>
        <v>0.0644048900000001</v>
      </c>
      <c r="F714" s="12" t="n">
        <f aca="false">(1+E714)^(1/12)-1</f>
        <v>0.00521487154147415</v>
      </c>
      <c r="G714" s="16" t="n">
        <f aca="false">IF(C714=0,(1+Dic2025!$J$6)^(-B714),EXP(LN(INDEX(Dic2025!$K$6:$K$205,C714))+(LN(INDEX(Dic2025!$K$6:$K$205,MIN(C714+1,200)))-LN(INDEX(Dic2025!$K$6:$K$205,C714)))*(A714-6*C714)/6))</f>
        <v>0.0248987409006355</v>
      </c>
      <c r="H714" s="12" t="n">
        <f aca="false">G714^(-1/B714)-1</f>
        <v>0.0644048900000001</v>
      </c>
      <c r="I714" s="12" t="n">
        <f aca="false">(1+H714)^(1/12)-1</f>
        <v>0.00521487154147415</v>
      </c>
      <c r="J714" s="16" t="n">
        <f aca="false">IF(C714=0,(1+Dic2025!$M$6)^(-B714),EXP(LN(INDEX(Dic2025!$N$6:$N$205,C714))+(LN(INDEX(Dic2025!$N$6:$N$205,MIN(C714+1,200)))-LN(INDEX(Dic2025!$N$6:$N$205,C714)))*(A714-6*C714)/6))</f>
        <v>0.0248987409006355</v>
      </c>
      <c r="K714" s="12" t="n">
        <f aca="false">J714^(-1/B714)-1</f>
        <v>0.0644048900000001</v>
      </c>
      <c r="L714" s="12" t="n">
        <f aca="false">(1+K714)^(1/12)-1</f>
        <v>0.00521487154147415</v>
      </c>
    </row>
    <row r="715" customFormat="false" ht="15" hidden="false" customHeight="false" outlineLevel="0" collapsed="false">
      <c r="A715" s="4" t="n">
        <v>711</v>
      </c>
      <c r="B715" s="14" t="n">
        <f aca="false">A715/12</f>
        <v>59.25</v>
      </c>
      <c r="C715" s="15" t="n">
        <f aca="false">INT(A715/6)</f>
        <v>118</v>
      </c>
      <c r="D715" s="16" t="n">
        <f aca="false">IF(C715=0,(1+Dic2025!$G$6)^(-B715),EXP(LN(INDEX(Dic2025!$H$6:$H$205,C715))+(LN(INDEX(Dic2025!$H$6:$H$205,MIN(C715+1,200)))-LN(INDEX(Dic2025!$H$6:$H$205,C715)))*(A715-6*C715)/6))</f>
        <v>0.0247695707709277</v>
      </c>
      <c r="E715" s="12" t="n">
        <f aca="false">D715^(-1/B715)-1</f>
        <v>0.0644048900000001</v>
      </c>
      <c r="F715" s="12" t="n">
        <f aca="false">(1+E715)^(1/12)-1</f>
        <v>0.00521487154147415</v>
      </c>
      <c r="G715" s="16" t="n">
        <f aca="false">IF(C715=0,(1+Dic2025!$J$6)^(-B715),EXP(LN(INDEX(Dic2025!$K$6:$K$205,C715))+(LN(INDEX(Dic2025!$K$6:$K$205,MIN(C715+1,200)))-LN(INDEX(Dic2025!$K$6:$K$205,C715)))*(A715-6*C715)/6))</f>
        <v>0.0247695707709277</v>
      </c>
      <c r="H715" s="12" t="n">
        <f aca="false">G715^(-1/B715)-1</f>
        <v>0.0644048900000001</v>
      </c>
      <c r="I715" s="12" t="n">
        <f aca="false">(1+H715)^(1/12)-1</f>
        <v>0.00521487154147415</v>
      </c>
      <c r="J715" s="16" t="n">
        <f aca="false">IF(C715=0,(1+Dic2025!$M$6)^(-B715),EXP(LN(INDEX(Dic2025!$N$6:$N$205,C715))+(LN(INDEX(Dic2025!$N$6:$N$205,MIN(C715+1,200)))-LN(INDEX(Dic2025!$N$6:$N$205,C715)))*(A715-6*C715)/6))</f>
        <v>0.0247695707709277</v>
      </c>
      <c r="K715" s="12" t="n">
        <f aca="false">J715^(-1/B715)-1</f>
        <v>0.0644048900000001</v>
      </c>
      <c r="L715" s="12" t="n">
        <f aca="false">(1+K715)^(1/12)-1</f>
        <v>0.00521487154147415</v>
      </c>
    </row>
    <row r="716" customFormat="false" ht="15" hidden="false" customHeight="false" outlineLevel="0" collapsed="false">
      <c r="A716" s="4" t="n">
        <v>712</v>
      </c>
      <c r="B716" s="14" t="n">
        <f aca="false">A716/12</f>
        <v>59.3333333333333</v>
      </c>
      <c r="C716" s="15" t="n">
        <f aca="false">INT(A716/6)</f>
        <v>118</v>
      </c>
      <c r="D716" s="16" t="n">
        <f aca="false">IF(C716=0,(1+Dic2025!$G$6)^(-B716),EXP(LN(INDEX(Dic2025!$H$6:$H$205,C716))+(LN(INDEX(Dic2025!$H$6:$H$205,MIN(C716+1,200)))-LN(INDEX(Dic2025!$H$6:$H$205,C716)))*(A716-6*C716)/6))</f>
        <v>0.02464107075231</v>
      </c>
      <c r="E716" s="12" t="n">
        <f aca="false">D716^(-1/B716)-1</f>
        <v>0.0644048900000001</v>
      </c>
      <c r="F716" s="12" t="n">
        <f aca="false">(1+E716)^(1/12)-1</f>
        <v>0.00521487154147415</v>
      </c>
      <c r="G716" s="16" t="n">
        <f aca="false">IF(C716=0,(1+Dic2025!$J$6)^(-B716),EXP(LN(INDEX(Dic2025!$K$6:$K$205,C716))+(LN(INDEX(Dic2025!$K$6:$K$205,MIN(C716+1,200)))-LN(INDEX(Dic2025!$K$6:$K$205,C716)))*(A716-6*C716)/6))</f>
        <v>0.02464107075231</v>
      </c>
      <c r="H716" s="12" t="n">
        <f aca="false">G716^(-1/B716)-1</f>
        <v>0.0644048900000001</v>
      </c>
      <c r="I716" s="12" t="n">
        <f aca="false">(1+H716)^(1/12)-1</f>
        <v>0.00521487154147415</v>
      </c>
      <c r="J716" s="16" t="n">
        <f aca="false">IF(C716=0,(1+Dic2025!$M$6)^(-B716),EXP(LN(INDEX(Dic2025!$N$6:$N$205,C716))+(LN(INDEX(Dic2025!$N$6:$N$205,MIN(C716+1,200)))-LN(INDEX(Dic2025!$N$6:$N$205,C716)))*(A716-6*C716)/6))</f>
        <v>0.02464107075231</v>
      </c>
      <c r="K716" s="12" t="n">
        <f aca="false">J716^(-1/B716)-1</f>
        <v>0.0644048900000001</v>
      </c>
      <c r="L716" s="12" t="n">
        <f aca="false">(1+K716)^(1/12)-1</f>
        <v>0.00521487154147415</v>
      </c>
    </row>
    <row r="717" customFormat="false" ht="15" hidden="false" customHeight="false" outlineLevel="0" collapsed="false">
      <c r="A717" s="4" t="n">
        <v>713</v>
      </c>
      <c r="B717" s="14" t="n">
        <f aca="false">A717/12</f>
        <v>59.4166666666667</v>
      </c>
      <c r="C717" s="15" t="n">
        <f aca="false">INT(A717/6)</f>
        <v>118</v>
      </c>
      <c r="D717" s="16" t="n">
        <f aca="false">IF(C717=0,(1+Dic2025!$G$6)^(-B717),EXP(LN(INDEX(Dic2025!$H$6:$H$205,C717))+(LN(INDEX(Dic2025!$H$6:$H$205,MIN(C717+1,200)))-LN(INDEX(Dic2025!$H$6:$H$205,C717)))*(A717-6*C717)/6))</f>
        <v>0.0245132373683683</v>
      </c>
      <c r="E717" s="12" t="n">
        <f aca="false">D717^(-1/B717)-1</f>
        <v>0.0644048900000001</v>
      </c>
      <c r="F717" s="12" t="n">
        <f aca="false">(1+E717)^(1/12)-1</f>
        <v>0.00521487154147415</v>
      </c>
      <c r="G717" s="16" t="n">
        <f aca="false">IF(C717=0,(1+Dic2025!$J$6)^(-B717),EXP(LN(INDEX(Dic2025!$K$6:$K$205,C717))+(LN(INDEX(Dic2025!$K$6:$K$205,MIN(C717+1,200)))-LN(INDEX(Dic2025!$K$6:$K$205,C717)))*(A717-6*C717)/6))</f>
        <v>0.0245132373683683</v>
      </c>
      <c r="H717" s="12" t="n">
        <f aca="false">G717^(-1/B717)-1</f>
        <v>0.0644048900000001</v>
      </c>
      <c r="I717" s="12" t="n">
        <f aca="false">(1+H717)^(1/12)-1</f>
        <v>0.00521487154147415</v>
      </c>
      <c r="J717" s="16" t="n">
        <f aca="false">IF(C717=0,(1+Dic2025!$M$6)^(-B717),EXP(LN(INDEX(Dic2025!$N$6:$N$205,C717))+(LN(INDEX(Dic2025!$N$6:$N$205,MIN(C717+1,200)))-LN(INDEX(Dic2025!$N$6:$N$205,C717)))*(A717-6*C717)/6))</f>
        <v>0.0245132373683683</v>
      </c>
      <c r="K717" s="12" t="n">
        <f aca="false">J717^(-1/B717)-1</f>
        <v>0.0644048900000001</v>
      </c>
      <c r="L717" s="12" t="n">
        <f aca="false">(1+K717)^(1/12)-1</f>
        <v>0.00521487154147415</v>
      </c>
    </row>
    <row r="718" customFormat="false" ht="15" hidden="false" customHeight="false" outlineLevel="0" collapsed="false">
      <c r="A718" s="4" t="n">
        <v>714</v>
      </c>
      <c r="B718" s="14" t="n">
        <f aca="false">A718/12</f>
        <v>59.5</v>
      </c>
      <c r="C718" s="15" t="n">
        <f aca="false">INT(A718/6)</f>
        <v>119</v>
      </c>
      <c r="D718" s="16" t="n">
        <f aca="false">IF(C718=0,(1+Dic2025!$G$6)^(-B718),EXP(LN(INDEX(Dic2025!$H$6:$H$205,C718))+(LN(INDEX(Dic2025!$H$6:$H$205,MIN(C718+1,200)))-LN(INDEX(Dic2025!$H$6:$H$205,C718)))*(A718-6*C718)/6))</f>
        <v>0.0243860671607234</v>
      </c>
      <c r="E718" s="12" t="n">
        <f aca="false">D718^(-1/B718)-1</f>
        <v>0.0644048900000001</v>
      </c>
      <c r="F718" s="12" t="n">
        <f aca="false">(1+E718)^(1/12)-1</f>
        <v>0.00521487154147415</v>
      </c>
      <c r="G718" s="16" t="n">
        <f aca="false">IF(C718=0,(1+Dic2025!$J$6)^(-B718),EXP(LN(INDEX(Dic2025!$K$6:$K$205,C718))+(LN(INDEX(Dic2025!$K$6:$K$205,MIN(C718+1,200)))-LN(INDEX(Dic2025!$K$6:$K$205,C718)))*(A718-6*C718)/6))</f>
        <v>0.0243860671607234</v>
      </c>
      <c r="H718" s="12" t="n">
        <f aca="false">G718^(-1/B718)-1</f>
        <v>0.0644048900000001</v>
      </c>
      <c r="I718" s="12" t="n">
        <f aca="false">(1+H718)^(1/12)-1</f>
        <v>0.00521487154147415</v>
      </c>
      <c r="J718" s="16" t="n">
        <f aca="false">IF(C718=0,(1+Dic2025!$M$6)^(-B718),EXP(LN(INDEX(Dic2025!$N$6:$N$205,C718))+(LN(INDEX(Dic2025!$N$6:$N$205,MIN(C718+1,200)))-LN(INDEX(Dic2025!$N$6:$N$205,C718)))*(A718-6*C718)/6))</f>
        <v>0.0243860671607234</v>
      </c>
      <c r="K718" s="12" t="n">
        <f aca="false">J718^(-1/B718)-1</f>
        <v>0.0644048900000001</v>
      </c>
      <c r="L718" s="12" t="n">
        <f aca="false">(1+K718)^(1/12)-1</f>
        <v>0.00521487154147415</v>
      </c>
    </row>
    <row r="719" customFormat="false" ht="15" hidden="false" customHeight="false" outlineLevel="0" collapsed="false">
      <c r="A719" s="4" t="n">
        <v>715</v>
      </c>
      <c r="B719" s="14" t="n">
        <f aca="false">A719/12</f>
        <v>59.5833333333333</v>
      </c>
      <c r="C719" s="15" t="n">
        <f aca="false">INT(A719/6)</f>
        <v>119</v>
      </c>
      <c r="D719" s="16" t="n">
        <f aca="false">IF(C719=0,(1+Dic2025!$G$6)^(-B719),EXP(LN(INDEX(Dic2025!$H$6:$H$205,C719))+(LN(INDEX(Dic2025!$H$6:$H$205,MIN(C719+1,200)))-LN(INDEX(Dic2025!$H$6:$H$205,C719)))*(A719-6*C719)/6))</f>
        <v>0.0242595566889375</v>
      </c>
      <c r="E719" s="12" t="n">
        <f aca="false">D719^(-1/B719)-1</f>
        <v>0.0644048900000001</v>
      </c>
      <c r="F719" s="12" t="n">
        <f aca="false">(1+E719)^(1/12)-1</f>
        <v>0.00521487154147415</v>
      </c>
      <c r="G719" s="16" t="n">
        <f aca="false">IF(C719=0,(1+Dic2025!$J$6)^(-B719),EXP(LN(INDEX(Dic2025!$K$6:$K$205,C719))+(LN(INDEX(Dic2025!$K$6:$K$205,MIN(C719+1,200)))-LN(INDEX(Dic2025!$K$6:$K$205,C719)))*(A719-6*C719)/6))</f>
        <v>0.0242595566889375</v>
      </c>
      <c r="H719" s="12" t="n">
        <f aca="false">G719^(-1/B719)-1</f>
        <v>0.0644048900000001</v>
      </c>
      <c r="I719" s="12" t="n">
        <f aca="false">(1+H719)^(1/12)-1</f>
        <v>0.00521487154147415</v>
      </c>
      <c r="J719" s="16" t="n">
        <f aca="false">IF(C719=0,(1+Dic2025!$M$6)^(-B719),EXP(LN(INDEX(Dic2025!$N$6:$N$205,C719))+(LN(INDEX(Dic2025!$N$6:$N$205,MIN(C719+1,200)))-LN(INDEX(Dic2025!$N$6:$N$205,C719)))*(A719-6*C719)/6))</f>
        <v>0.0242595566889375</v>
      </c>
      <c r="K719" s="12" t="n">
        <f aca="false">J719^(-1/B719)-1</f>
        <v>0.0644048900000001</v>
      </c>
      <c r="L719" s="12" t="n">
        <f aca="false">(1+K719)^(1/12)-1</f>
        <v>0.00521487154147415</v>
      </c>
    </row>
    <row r="720" customFormat="false" ht="15" hidden="false" customHeight="false" outlineLevel="0" collapsed="false">
      <c r="A720" s="4" t="n">
        <v>716</v>
      </c>
      <c r="B720" s="14" t="n">
        <f aca="false">A720/12</f>
        <v>59.6666666666667</v>
      </c>
      <c r="C720" s="15" t="n">
        <f aca="false">INT(A720/6)</f>
        <v>119</v>
      </c>
      <c r="D720" s="16" t="n">
        <f aca="false">IF(C720=0,(1+Dic2025!$G$6)^(-B720),EXP(LN(INDEX(Dic2025!$H$6:$H$205,C720))+(LN(INDEX(Dic2025!$H$6:$H$205,MIN(C720+1,200)))-LN(INDEX(Dic2025!$H$6:$H$205,C720)))*(A720-6*C720)/6))</f>
        <v>0.0241337025304212</v>
      </c>
      <c r="E720" s="12" t="n">
        <f aca="false">D720^(-1/B720)-1</f>
        <v>0.0644048900000001</v>
      </c>
      <c r="F720" s="12" t="n">
        <f aca="false">(1+E720)^(1/12)-1</f>
        <v>0.00521487154147415</v>
      </c>
      <c r="G720" s="16" t="n">
        <f aca="false">IF(C720=0,(1+Dic2025!$J$6)^(-B720),EXP(LN(INDEX(Dic2025!$K$6:$K$205,C720))+(LN(INDEX(Dic2025!$K$6:$K$205,MIN(C720+1,200)))-LN(INDEX(Dic2025!$K$6:$K$205,C720)))*(A720-6*C720)/6))</f>
        <v>0.0241337025304212</v>
      </c>
      <c r="H720" s="12" t="n">
        <f aca="false">G720^(-1/B720)-1</f>
        <v>0.0644048900000001</v>
      </c>
      <c r="I720" s="12" t="n">
        <f aca="false">(1+H720)^(1/12)-1</f>
        <v>0.00521487154147415</v>
      </c>
      <c r="J720" s="16" t="n">
        <f aca="false">IF(C720=0,(1+Dic2025!$M$6)^(-B720),EXP(LN(INDEX(Dic2025!$N$6:$N$205,C720))+(LN(INDEX(Dic2025!$N$6:$N$205,MIN(C720+1,200)))-LN(INDEX(Dic2025!$N$6:$N$205,C720)))*(A720-6*C720)/6))</f>
        <v>0.0241337025304212</v>
      </c>
      <c r="K720" s="12" t="n">
        <f aca="false">J720^(-1/B720)-1</f>
        <v>0.0644048900000001</v>
      </c>
      <c r="L720" s="12" t="n">
        <f aca="false">(1+K720)^(1/12)-1</f>
        <v>0.00521487154147415</v>
      </c>
    </row>
    <row r="721" customFormat="false" ht="15" hidden="false" customHeight="false" outlineLevel="0" collapsed="false">
      <c r="A721" s="4" t="n">
        <v>717</v>
      </c>
      <c r="B721" s="14" t="n">
        <f aca="false">A721/12</f>
        <v>59.75</v>
      </c>
      <c r="C721" s="15" t="n">
        <f aca="false">INT(A721/6)</f>
        <v>119</v>
      </c>
      <c r="D721" s="16" t="n">
        <f aca="false">IF(C721=0,(1+Dic2025!$G$6)^(-B721),EXP(LN(INDEX(Dic2025!$H$6:$H$205,C721))+(LN(INDEX(Dic2025!$H$6:$H$205,MIN(C721+1,200)))-LN(INDEX(Dic2025!$H$6:$H$205,C721)))*(A721-6*C721)/6))</f>
        <v>0.0240085012803409</v>
      </c>
      <c r="E721" s="12" t="n">
        <f aca="false">D721^(-1/B721)-1</f>
        <v>0.0644048900000001</v>
      </c>
      <c r="F721" s="12" t="n">
        <f aca="false">(1+E721)^(1/12)-1</f>
        <v>0.00521487154147415</v>
      </c>
      <c r="G721" s="16" t="n">
        <f aca="false">IF(C721=0,(1+Dic2025!$J$6)^(-B721),EXP(LN(INDEX(Dic2025!$K$6:$K$205,C721))+(LN(INDEX(Dic2025!$K$6:$K$205,MIN(C721+1,200)))-LN(INDEX(Dic2025!$K$6:$K$205,C721)))*(A721-6*C721)/6))</f>
        <v>0.0240085012803409</v>
      </c>
      <c r="H721" s="12" t="n">
        <f aca="false">G721^(-1/B721)-1</f>
        <v>0.0644048900000001</v>
      </c>
      <c r="I721" s="12" t="n">
        <f aca="false">(1+H721)^(1/12)-1</f>
        <v>0.00521487154147415</v>
      </c>
      <c r="J721" s="16" t="n">
        <f aca="false">IF(C721=0,(1+Dic2025!$M$6)^(-B721),EXP(LN(INDEX(Dic2025!$N$6:$N$205,C721))+(LN(INDEX(Dic2025!$N$6:$N$205,MIN(C721+1,200)))-LN(INDEX(Dic2025!$N$6:$N$205,C721)))*(A721-6*C721)/6))</f>
        <v>0.0240085012803409</v>
      </c>
      <c r="K721" s="12" t="n">
        <f aca="false">J721^(-1/B721)-1</f>
        <v>0.0644048900000001</v>
      </c>
      <c r="L721" s="12" t="n">
        <f aca="false">(1+K721)^(1/12)-1</f>
        <v>0.00521487154147415</v>
      </c>
    </row>
    <row r="722" customFormat="false" ht="15" hidden="false" customHeight="false" outlineLevel="0" collapsed="false">
      <c r="A722" s="4" t="n">
        <v>718</v>
      </c>
      <c r="B722" s="14" t="n">
        <f aca="false">A722/12</f>
        <v>59.8333333333333</v>
      </c>
      <c r="C722" s="15" t="n">
        <f aca="false">INT(A722/6)</f>
        <v>119</v>
      </c>
      <c r="D722" s="16" t="n">
        <f aca="false">IF(C722=0,(1+Dic2025!$G$6)^(-B722),EXP(LN(INDEX(Dic2025!$H$6:$H$205,C722))+(LN(INDEX(Dic2025!$H$6:$H$205,MIN(C722+1,200)))-LN(INDEX(Dic2025!$H$6:$H$205,C722)))*(A722-6*C722)/6))</f>
        <v>0.0238839495515267</v>
      </c>
      <c r="E722" s="12" t="n">
        <f aca="false">D722^(-1/B722)-1</f>
        <v>0.0644048900000001</v>
      </c>
      <c r="F722" s="12" t="n">
        <f aca="false">(1+E722)^(1/12)-1</f>
        <v>0.00521487154147415</v>
      </c>
      <c r="G722" s="16" t="n">
        <f aca="false">IF(C722=0,(1+Dic2025!$J$6)^(-B722),EXP(LN(INDEX(Dic2025!$K$6:$K$205,C722))+(LN(INDEX(Dic2025!$K$6:$K$205,MIN(C722+1,200)))-LN(INDEX(Dic2025!$K$6:$K$205,C722)))*(A722-6*C722)/6))</f>
        <v>0.0238839495515267</v>
      </c>
      <c r="H722" s="12" t="n">
        <f aca="false">G722^(-1/B722)-1</f>
        <v>0.0644048900000001</v>
      </c>
      <c r="I722" s="12" t="n">
        <f aca="false">(1+H722)^(1/12)-1</f>
        <v>0.00521487154147415</v>
      </c>
      <c r="J722" s="16" t="n">
        <f aca="false">IF(C722=0,(1+Dic2025!$M$6)^(-B722),EXP(LN(INDEX(Dic2025!$N$6:$N$205,C722))+(LN(INDEX(Dic2025!$N$6:$N$205,MIN(C722+1,200)))-LN(INDEX(Dic2025!$N$6:$N$205,C722)))*(A722-6*C722)/6))</f>
        <v>0.0238839495515267</v>
      </c>
      <c r="K722" s="12" t="n">
        <f aca="false">J722^(-1/B722)-1</f>
        <v>0.0644048900000001</v>
      </c>
      <c r="L722" s="12" t="n">
        <f aca="false">(1+K722)^(1/12)-1</f>
        <v>0.00521487154147415</v>
      </c>
    </row>
    <row r="723" customFormat="false" ht="15" hidden="false" customHeight="false" outlineLevel="0" collapsed="false">
      <c r="A723" s="4" t="n">
        <v>719</v>
      </c>
      <c r="B723" s="14" t="n">
        <f aca="false">A723/12</f>
        <v>59.9166666666667</v>
      </c>
      <c r="C723" s="15" t="n">
        <f aca="false">INT(A723/6)</f>
        <v>119</v>
      </c>
      <c r="D723" s="16" t="n">
        <f aca="false">IF(C723=0,(1+Dic2025!$G$6)^(-B723),EXP(LN(INDEX(Dic2025!$H$6:$H$205,C723))+(LN(INDEX(Dic2025!$H$6:$H$205,MIN(C723+1,200)))-LN(INDEX(Dic2025!$H$6:$H$205,C723)))*(A723-6*C723)/6))</f>
        <v>0.0237600439743805</v>
      </c>
      <c r="E723" s="12" t="n">
        <f aca="false">D723^(-1/B723)-1</f>
        <v>0.0644048900000001</v>
      </c>
      <c r="F723" s="12" t="n">
        <f aca="false">(1+E723)^(1/12)-1</f>
        <v>0.00521487154147415</v>
      </c>
      <c r="G723" s="16" t="n">
        <f aca="false">IF(C723=0,(1+Dic2025!$J$6)^(-B723),EXP(LN(INDEX(Dic2025!$K$6:$K$205,C723))+(LN(INDEX(Dic2025!$K$6:$K$205,MIN(C723+1,200)))-LN(INDEX(Dic2025!$K$6:$K$205,C723)))*(A723-6*C723)/6))</f>
        <v>0.0237600439743805</v>
      </c>
      <c r="H723" s="12" t="n">
        <f aca="false">G723^(-1/B723)-1</f>
        <v>0.0644048900000001</v>
      </c>
      <c r="I723" s="12" t="n">
        <f aca="false">(1+H723)^(1/12)-1</f>
        <v>0.00521487154147415</v>
      </c>
      <c r="J723" s="16" t="n">
        <f aca="false">IF(C723=0,(1+Dic2025!$M$6)^(-B723),EXP(LN(INDEX(Dic2025!$N$6:$N$205,C723))+(LN(INDEX(Dic2025!$N$6:$N$205,MIN(C723+1,200)))-LN(INDEX(Dic2025!$N$6:$N$205,C723)))*(A723-6*C723)/6))</f>
        <v>0.0237600439743805</v>
      </c>
      <c r="K723" s="12" t="n">
        <f aca="false">J723^(-1/B723)-1</f>
        <v>0.0644048900000001</v>
      </c>
      <c r="L723" s="12" t="n">
        <f aca="false">(1+K723)^(1/12)-1</f>
        <v>0.00521487154147415</v>
      </c>
    </row>
    <row r="724" customFormat="false" ht="15" hidden="false" customHeight="false" outlineLevel="0" collapsed="false">
      <c r="A724" s="4" t="n">
        <v>720</v>
      </c>
      <c r="B724" s="14" t="n">
        <f aca="false">A724/12</f>
        <v>60</v>
      </c>
      <c r="C724" s="15" t="n">
        <f aca="false">INT(A724/6)</f>
        <v>120</v>
      </c>
      <c r="D724" s="16" t="n">
        <f aca="false">IF(C724=0,(1+Dic2025!$G$6)^(-B724),EXP(LN(INDEX(Dic2025!$H$6:$H$205,C724))+(LN(INDEX(Dic2025!$H$6:$H$205,MIN(C724+1,200)))-LN(INDEX(Dic2025!$H$6:$H$205,C724)))*(A724-6*C724)/6))</f>
        <v>0.0236367811967853</v>
      </c>
      <c r="E724" s="12" t="n">
        <f aca="false">D724^(-1/B724)-1</f>
        <v>0.0644048900000001</v>
      </c>
      <c r="F724" s="12" t="n">
        <f aca="false">(1+E724)^(1/12)-1</f>
        <v>0.00521487154147415</v>
      </c>
      <c r="G724" s="16" t="n">
        <f aca="false">IF(C724=0,(1+Dic2025!$J$6)^(-B724),EXP(LN(INDEX(Dic2025!$K$6:$K$205,C724))+(LN(INDEX(Dic2025!$K$6:$K$205,MIN(C724+1,200)))-LN(INDEX(Dic2025!$K$6:$K$205,C724)))*(A724-6*C724)/6))</f>
        <v>0.0236367811967853</v>
      </c>
      <c r="H724" s="12" t="n">
        <f aca="false">G724^(-1/B724)-1</f>
        <v>0.0644048900000001</v>
      </c>
      <c r="I724" s="12" t="n">
        <f aca="false">(1+H724)^(1/12)-1</f>
        <v>0.00521487154147415</v>
      </c>
      <c r="J724" s="16" t="n">
        <f aca="false">IF(C724=0,(1+Dic2025!$M$6)^(-B724),EXP(LN(INDEX(Dic2025!$N$6:$N$205,C724))+(LN(INDEX(Dic2025!$N$6:$N$205,MIN(C724+1,200)))-LN(INDEX(Dic2025!$N$6:$N$205,C724)))*(A724-6*C724)/6))</f>
        <v>0.0236367811967853</v>
      </c>
      <c r="K724" s="12" t="n">
        <f aca="false">J724^(-1/B724)-1</f>
        <v>0.0644048900000001</v>
      </c>
      <c r="L724" s="12" t="n">
        <f aca="false">(1+K724)^(1/12)-1</f>
        <v>0.00521487154147415</v>
      </c>
    </row>
    <row r="725" customFormat="false" ht="15" hidden="false" customHeight="false" outlineLevel="0" collapsed="false">
      <c r="A725" s="4" t="n">
        <v>721</v>
      </c>
      <c r="B725" s="14" t="n">
        <f aca="false">A725/12</f>
        <v>60.0833333333333</v>
      </c>
      <c r="C725" s="15" t="n">
        <f aca="false">INT(A725/6)</f>
        <v>120</v>
      </c>
      <c r="D725" s="16" t="n">
        <f aca="false">IF(C725=0,(1+Dic2025!$G$6)^(-B725),EXP(LN(INDEX(Dic2025!$H$6:$H$205,C725))+(LN(INDEX(Dic2025!$H$6:$H$205,MIN(C725+1,200)))-LN(INDEX(Dic2025!$H$6:$H$205,C725)))*(A725-6*C725)/6))</f>
        <v>0.0235141578840142</v>
      </c>
      <c r="E725" s="12" t="n">
        <f aca="false">D725^(-1/B725)-1</f>
        <v>0.0644048900000001</v>
      </c>
      <c r="F725" s="12" t="n">
        <f aca="false">(1+E725)^(1/12)-1</f>
        <v>0.00521487154147415</v>
      </c>
      <c r="G725" s="16" t="n">
        <f aca="false">IF(C725=0,(1+Dic2025!$J$6)^(-B725),EXP(LN(INDEX(Dic2025!$K$6:$K$205,C725))+(LN(INDEX(Dic2025!$K$6:$K$205,MIN(C725+1,200)))-LN(INDEX(Dic2025!$K$6:$K$205,C725)))*(A725-6*C725)/6))</f>
        <v>0.0235141578840142</v>
      </c>
      <c r="H725" s="12" t="n">
        <f aca="false">G725^(-1/B725)-1</f>
        <v>0.0644048900000001</v>
      </c>
      <c r="I725" s="12" t="n">
        <f aca="false">(1+H725)^(1/12)-1</f>
        <v>0.00521487154147415</v>
      </c>
      <c r="J725" s="16" t="n">
        <f aca="false">IF(C725=0,(1+Dic2025!$M$6)^(-B725),EXP(LN(INDEX(Dic2025!$N$6:$N$205,C725))+(LN(INDEX(Dic2025!$N$6:$N$205,MIN(C725+1,200)))-LN(INDEX(Dic2025!$N$6:$N$205,C725)))*(A725-6*C725)/6))</f>
        <v>0.0235141578840142</v>
      </c>
      <c r="K725" s="12" t="n">
        <f aca="false">J725^(-1/B725)-1</f>
        <v>0.0644048900000001</v>
      </c>
      <c r="L725" s="12" t="n">
        <f aca="false">(1+K725)^(1/12)-1</f>
        <v>0.00521487154147415</v>
      </c>
    </row>
    <row r="726" customFormat="false" ht="15" hidden="false" customHeight="false" outlineLevel="0" collapsed="false">
      <c r="A726" s="4" t="n">
        <v>722</v>
      </c>
      <c r="B726" s="14" t="n">
        <f aca="false">A726/12</f>
        <v>60.1666666666667</v>
      </c>
      <c r="C726" s="15" t="n">
        <f aca="false">INT(A726/6)</f>
        <v>120</v>
      </c>
      <c r="D726" s="16" t="n">
        <f aca="false">IF(C726=0,(1+Dic2025!$G$6)^(-B726),EXP(LN(INDEX(Dic2025!$H$6:$H$205,C726))+(LN(INDEX(Dic2025!$H$6:$H$205,MIN(C726+1,200)))-LN(INDEX(Dic2025!$H$6:$H$205,C726)))*(A726-6*C726)/6))</f>
        <v>0.0233921707186403</v>
      </c>
      <c r="E726" s="12" t="n">
        <f aca="false">D726^(-1/B726)-1</f>
        <v>0.0644048900000001</v>
      </c>
      <c r="F726" s="12" t="n">
        <f aca="false">(1+E726)^(1/12)-1</f>
        <v>0.00521487154147415</v>
      </c>
      <c r="G726" s="16" t="n">
        <f aca="false">IF(C726=0,(1+Dic2025!$J$6)^(-B726),EXP(LN(INDEX(Dic2025!$K$6:$K$205,C726))+(LN(INDEX(Dic2025!$K$6:$K$205,MIN(C726+1,200)))-LN(INDEX(Dic2025!$K$6:$K$205,C726)))*(A726-6*C726)/6))</f>
        <v>0.0233921707186403</v>
      </c>
      <c r="H726" s="12" t="n">
        <f aca="false">G726^(-1/B726)-1</f>
        <v>0.0644048900000001</v>
      </c>
      <c r="I726" s="12" t="n">
        <f aca="false">(1+H726)^(1/12)-1</f>
        <v>0.00521487154147415</v>
      </c>
      <c r="J726" s="16" t="n">
        <f aca="false">IF(C726=0,(1+Dic2025!$M$6)^(-B726),EXP(LN(INDEX(Dic2025!$N$6:$N$205,C726))+(LN(INDEX(Dic2025!$N$6:$N$205,MIN(C726+1,200)))-LN(INDEX(Dic2025!$N$6:$N$205,C726)))*(A726-6*C726)/6))</f>
        <v>0.0233921707186403</v>
      </c>
      <c r="K726" s="12" t="n">
        <f aca="false">J726^(-1/B726)-1</f>
        <v>0.0644048900000001</v>
      </c>
      <c r="L726" s="12" t="n">
        <f aca="false">(1+K726)^(1/12)-1</f>
        <v>0.00521487154147415</v>
      </c>
    </row>
    <row r="727" customFormat="false" ht="15" hidden="false" customHeight="false" outlineLevel="0" collapsed="false">
      <c r="A727" s="4" t="n">
        <v>723</v>
      </c>
      <c r="B727" s="14" t="n">
        <f aca="false">A727/12</f>
        <v>60.25</v>
      </c>
      <c r="C727" s="15" t="n">
        <f aca="false">INT(A727/6)</f>
        <v>120</v>
      </c>
      <c r="D727" s="16" t="n">
        <f aca="false">IF(C727=0,(1+Dic2025!$G$6)^(-B727),EXP(LN(INDEX(Dic2025!$H$6:$H$205,C727))+(LN(INDEX(Dic2025!$H$6:$H$205,MIN(C727+1,200)))-LN(INDEX(Dic2025!$H$6:$H$205,C727)))*(A727-6*C727)/6))</f>
        <v>0.0232708164004467</v>
      </c>
      <c r="E727" s="12" t="n">
        <f aca="false">D727^(-1/B727)-1</f>
        <v>0.0644048900000001</v>
      </c>
      <c r="F727" s="12" t="n">
        <f aca="false">(1+E727)^(1/12)-1</f>
        <v>0.00521487154147415</v>
      </c>
      <c r="G727" s="16" t="n">
        <f aca="false">IF(C727=0,(1+Dic2025!$J$6)^(-B727),EXP(LN(INDEX(Dic2025!$K$6:$K$205,C727))+(LN(INDEX(Dic2025!$K$6:$K$205,MIN(C727+1,200)))-LN(INDEX(Dic2025!$K$6:$K$205,C727)))*(A727-6*C727)/6))</f>
        <v>0.0232708164004467</v>
      </c>
      <c r="H727" s="12" t="n">
        <f aca="false">G727^(-1/B727)-1</f>
        <v>0.0644048900000001</v>
      </c>
      <c r="I727" s="12" t="n">
        <f aca="false">(1+H727)^(1/12)-1</f>
        <v>0.00521487154147415</v>
      </c>
      <c r="J727" s="16" t="n">
        <f aca="false">IF(C727=0,(1+Dic2025!$M$6)^(-B727),EXP(LN(INDEX(Dic2025!$N$6:$N$205,C727))+(LN(INDEX(Dic2025!$N$6:$N$205,MIN(C727+1,200)))-LN(INDEX(Dic2025!$N$6:$N$205,C727)))*(A727-6*C727)/6))</f>
        <v>0.0232708164004467</v>
      </c>
      <c r="K727" s="12" t="n">
        <f aca="false">J727^(-1/B727)-1</f>
        <v>0.0644048900000001</v>
      </c>
      <c r="L727" s="12" t="n">
        <f aca="false">(1+K727)^(1/12)-1</f>
        <v>0.00521487154147415</v>
      </c>
    </row>
    <row r="728" customFormat="false" ht="15" hidden="false" customHeight="false" outlineLevel="0" collapsed="false">
      <c r="A728" s="4" t="n">
        <v>724</v>
      </c>
      <c r="B728" s="14" t="n">
        <f aca="false">A728/12</f>
        <v>60.3333333333333</v>
      </c>
      <c r="C728" s="15" t="n">
        <f aca="false">INT(A728/6)</f>
        <v>120</v>
      </c>
      <c r="D728" s="16" t="n">
        <f aca="false">IF(C728=0,(1+Dic2025!$G$6)^(-B728),EXP(LN(INDEX(Dic2025!$H$6:$H$205,C728))+(LN(INDEX(Dic2025!$H$6:$H$205,MIN(C728+1,200)))-LN(INDEX(Dic2025!$H$6:$H$205,C728)))*(A728-6*C728)/6))</f>
        <v>0.0231500916463377</v>
      </c>
      <c r="E728" s="12" t="n">
        <f aca="false">D728^(-1/B728)-1</f>
        <v>0.0644048900000001</v>
      </c>
      <c r="F728" s="12" t="n">
        <f aca="false">(1+E728)^(1/12)-1</f>
        <v>0.00521487154147415</v>
      </c>
      <c r="G728" s="16" t="n">
        <f aca="false">IF(C728=0,(1+Dic2025!$J$6)^(-B728),EXP(LN(INDEX(Dic2025!$K$6:$K$205,C728))+(LN(INDEX(Dic2025!$K$6:$K$205,MIN(C728+1,200)))-LN(INDEX(Dic2025!$K$6:$K$205,C728)))*(A728-6*C728)/6))</f>
        <v>0.0231500916463377</v>
      </c>
      <c r="H728" s="12" t="n">
        <f aca="false">G728^(-1/B728)-1</f>
        <v>0.0644048900000001</v>
      </c>
      <c r="I728" s="12" t="n">
        <f aca="false">(1+H728)^(1/12)-1</f>
        <v>0.00521487154147415</v>
      </c>
      <c r="J728" s="16" t="n">
        <f aca="false">IF(C728=0,(1+Dic2025!$M$6)^(-B728),EXP(LN(INDEX(Dic2025!$N$6:$N$205,C728))+(LN(INDEX(Dic2025!$N$6:$N$205,MIN(C728+1,200)))-LN(INDEX(Dic2025!$N$6:$N$205,C728)))*(A728-6*C728)/6))</f>
        <v>0.0231500916463377</v>
      </c>
      <c r="K728" s="12" t="n">
        <f aca="false">J728^(-1/B728)-1</f>
        <v>0.0644048900000001</v>
      </c>
      <c r="L728" s="12" t="n">
        <f aca="false">(1+K728)^(1/12)-1</f>
        <v>0.00521487154147415</v>
      </c>
    </row>
    <row r="729" customFormat="false" ht="15" hidden="false" customHeight="false" outlineLevel="0" collapsed="false">
      <c r="A729" s="4" t="n">
        <v>725</v>
      </c>
      <c r="B729" s="14" t="n">
        <f aca="false">A729/12</f>
        <v>60.4166666666667</v>
      </c>
      <c r="C729" s="15" t="n">
        <f aca="false">INT(A729/6)</f>
        <v>120</v>
      </c>
      <c r="D729" s="16" t="n">
        <f aca="false">IF(C729=0,(1+Dic2025!$G$6)^(-B729),EXP(LN(INDEX(Dic2025!$H$6:$H$205,C729))+(LN(INDEX(Dic2025!$H$6:$H$205,MIN(C729+1,200)))-LN(INDEX(Dic2025!$H$6:$H$205,C729)))*(A729-6*C729)/6))</f>
        <v>0.0230299931902496</v>
      </c>
      <c r="E729" s="12" t="n">
        <f aca="false">D729^(-1/B729)-1</f>
        <v>0.0644048900000001</v>
      </c>
      <c r="F729" s="12" t="n">
        <f aca="false">(1+E729)^(1/12)-1</f>
        <v>0.00521487154147415</v>
      </c>
      <c r="G729" s="16" t="n">
        <f aca="false">IF(C729=0,(1+Dic2025!$J$6)^(-B729),EXP(LN(INDEX(Dic2025!$K$6:$K$205,C729))+(LN(INDEX(Dic2025!$K$6:$K$205,MIN(C729+1,200)))-LN(INDEX(Dic2025!$K$6:$K$205,C729)))*(A729-6*C729)/6))</f>
        <v>0.0230299931902496</v>
      </c>
      <c r="H729" s="12" t="n">
        <f aca="false">G729^(-1/B729)-1</f>
        <v>0.0644048900000001</v>
      </c>
      <c r="I729" s="12" t="n">
        <f aca="false">(1+H729)^(1/12)-1</f>
        <v>0.00521487154147415</v>
      </c>
      <c r="J729" s="16" t="n">
        <f aca="false">IF(C729=0,(1+Dic2025!$M$6)^(-B729),EXP(LN(INDEX(Dic2025!$N$6:$N$205,C729))+(LN(INDEX(Dic2025!$N$6:$N$205,MIN(C729+1,200)))-LN(INDEX(Dic2025!$N$6:$N$205,C729)))*(A729-6*C729)/6))</f>
        <v>0.0230299931902496</v>
      </c>
      <c r="K729" s="12" t="n">
        <f aca="false">J729^(-1/B729)-1</f>
        <v>0.0644048900000001</v>
      </c>
      <c r="L729" s="12" t="n">
        <f aca="false">(1+K729)^(1/12)-1</f>
        <v>0.00521487154147415</v>
      </c>
    </row>
    <row r="730" customFormat="false" ht="15" hidden="false" customHeight="false" outlineLevel="0" collapsed="false">
      <c r="A730" s="4" t="n">
        <v>726</v>
      </c>
      <c r="B730" s="14" t="n">
        <f aca="false">A730/12</f>
        <v>60.5</v>
      </c>
      <c r="C730" s="15" t="n">
        <f aca="false">INT(A730/6)</f>
        <v>121</v>
      </c>
      <c r="D730" s="16" t="n">
        <f aca="false">IF(C730=0,(1+Dic2025!$G$6)^(-B730),EXP(LN(INDEX(Dic2025!$H$6:$H$205,C730))+(LN(INDEX(Dic2025!$H$6:$H$205,MIN(C730+1,200)))-LN(INDEX(Dic2025!$H$6:$H$205,C730)))*(A730-6*C730)/6))</f>
        <v>0.0229105177830622</v>
      </c>
      <c r="E730" s="12" t="n">
        <f aca="false">D730^(-1/B730)-1</f>
        <v>0.0644048900000001</v>
      </c>
      <c r="F730" s="12" t="n">
        <f aca="false">(1+E730)^(1/12)-1</f>
        <v>0.00521487154147415</v>
      </c>
      <c r="G730" s="16" t="n">
        <f aca="false">IF(C730=0,(1+Dic2025!$J$6)^(-B730),EXP(LN(INDEX(Dic2025!$K$6:$K$205,C730))+(LN(INDEX(Dic2025!$K$6:$K$205,MIN(C730+1,200)))-LN(INDEX(Dic2025!$K$6:$K$205,C730)))*(A730-6*C730)/6))</f>
        <v>0.0229105177830622</v>
      </c>
      <c r="H730" s="12" t="n">
        <f aca="false">G730^(-1/B730)-1</f>
        <v>0.0644048900000001</v>
      </c>
      <c r="I730" s="12" t="n">
        <f aca="false">(1+H730)^(1/12)-1</f>
        <v>0.00521487154147415</v>
      </c>
      <c r="J730" s="16" t="n">
        <f aca="false">IF(C730=0,(1+Dic2025!$M$6)^(-B730),EXP(LN(INDEX(Dic2025!$N$6:$N$205,C730))+(LN(INDEX(Dic2025!$N$6:$N$205,MIN(C730+1,200)))-LN(INDEX(Dic2025!$N$6:$N$205,C730)))*(A730-6*C730)/6))</f>
        <v>0.0229105177830622</v>
      </c>
      <c r="K730" s="12" t="n">
        <f aca="false">J730^(-1/B730)-1</f>
        <v>0.0644048900000001</v>
      </c>
      <c r="L730" s="12" t="n">
        <f aca="false">(1+K730)^(1/12)-1</f>
        <v>0.00521487154147415</v>
      </c>
    </row>
    <row r="731" customFormat="false" ht="15" hidden="false" customHeight="false" outlineLevel="0" collapsed="false">
      <c r="A731" s="4" t="n">
        <v>727</v>
      </c>
      <c r="B731" s="14" t="n">
        <f aca="false">A731/12</f>
        <v>60.5833333333333</v>
      </c>
      <c r="C731" s="15" t="n">
        <f aca="false">INT(A731/6)</f>
        <v>121</v>
      </c>
      <c r="D731" s="16" t="n">
        <f aca="false">IF(C731=0,(1+Dic2025!$G$6)^(-B731),EXP(LN(INDEX(Dic2025!$H$6:$H$205,C731))+(LN(INDEX(Dic2025!$H$6:$H$205,MIN(C731+1,200)))-LN(INDEX(Dic2025!$H$6:$H$205,C731)))*(A731-6*C731)/6))</f>
        <v>0.0227692142433792</v>
      </c>
      <c r="E731" s="12" t="n">
        <f aca="false">D731^(-1/B731)-1</f>
        <v>0.0644222029812536</v>
      </c>
      <c r="F731" s="12" t="n">
        <f aca="false">(1+E731)^(1/12)-1</f>
        <v>0.00521623405059768</v>
      </c>
      <c r="G731" s="16" t="n">
        <f aca="false">IF(C731=0,(1+Dic2025!$J$6)^(-B731),EXP(LN(INDEX(Dic2025!$K$6:$K$205,C731))+(LN(INDEX(Dic2025!$K$6:$K$205,MIN(C731+1,200)))-LN(INDEX(Dic2025!$K$6:$K$205,C731)))*(A731-6*C731)/6))</f>
        <v>0.0227692142433792</v>
      </c>
      <c r="H731" s="12" t="n">
        <f aca="false">G731^(-1/B731)-1</f>
        <v>0.0644222029812536</v>
      </c>
      <c r="I731" s="12" t="n">
        <f aca="false">(1+H731)^(1/12)-1</f>
        <v>0.00521623405059768</v>
      </c>
      <c r="J731" s="16" t="n">
        <f aca="false">IF(C731=0,(1+Dic2025!$M$6)^(-B731),EXP(LN(INDEX(Dic2025!$N$6:$N$205,C731))+(LN(INDEX(Dic2025!$N$6:$N$205,MIN(C731+1,200)))-LN(INDEX(Dic2025!$N$6:$N$205,C731)))*(A731-6*C731)/6))</f>
        <v>0.0227692142433792</v>
      </c>
      <c r="K731" s="12" t="n">
        <f aca="false">J731^(-1/B731)-1</f>
        <v>0.0644222029812536</v>
      </c>
      <c r="L731" s="12" t="n">
        <f aca="false">(1+K731)^(1/12)-1</f>
        <v>0.00521623405059768</v>
      </c>
    </row>
    <row r="732" customFormat="false" ht="15" hidden="false" customHeight="false" outlineLevel="0" collapsed="false">
      <c r="A732" s="4" t="n">
        <v>728</v>
      </c>
      <c r="B732" s="14" t="n">
        <f aca="false">A732/12</f>
        <v>60.6666666666667</v>
      </c>
      <c r="C732" s="15" t="n">
        <f aca="false">INT(A732/6)</f>
        <v>121</v>
      </c>
      <c r="D732" s="16" t="n">
        <f aca="false">IF(C732=0,(1+Dic2025!$G$6)^(-B732),EXP(LN(INDEX(Dic2025!$H$6:$H$205,C732))+(LN(INDEX(Dic2025!$H$6:$H$205,MIN(C732+1,200)))-LN(INDEX(Dic2025!$H$6:$H$205,C732)))*(A732-6*C732)/6))</f>
        <v>0.0226287822112944</v>
      </c>
      <c r="E732" s="12" t="n">
        <f aca="false">D732^(-1/B732)-1</f>
        <v>0.0644394686798151</v>
      </c>
      <c r="F732" s="12" t="n">
        <f aca="false">(1+E732)^(1/12)-1</f>
        <v>0.00521759281840373</v>
      </c>
      <c r="G732" s="16" t="n">
        <f aca="false">IF(C732=0,(1+Dic2025!$J$6)^(-B732),EXP(LN(INDEX(Dic2025!$K$6:$K$205,C732))+(LN(INDEX(Dic2025!$K$6:$K$205,MIN(C732+1,200)))-LN(INDEX(Dic2025!$K$6:$K$205,C732)))*(A732-6*C732)/6))</f>
        <v>0.0226287822112944</v>
      </c>
      <c r="H732" s="12" t="n">
        <f aca="false">G732^(-1/B732)-1</f>
        <v>0.0644394686798151</v>
      </c>
      <c r="I732" s="12" t="n">
        <f aca="false">(1+H732)^(1/12)-1</f>
        <v>0.00521759281840373</v>
      </c>
      <c r="J732" s="16" t="n">
        <f aca="false">IF(C732=0,(1+Dic2025!$M$6)^(-B732),EXP(LN(INDEX(Dic2025!$N$6:$N$205,C732))+(LN(INDEX(Dic2025!$N$6:$N$205,MIN(C732+1,200)))-LN(INDEX(Dic2025!$N$6:$N$205,C732)))*(A732-6*C732)/6))</f>
        <v>0.0226287822112944</v>
      </c>
      <c r="K732" s="12" t="n">
        <f aca="false">J732^(-1/B732)-1</f>
        <v>0.0644394686798151</v>
      </c>
      <c r="L732" s="12" t="n">
        <f aca="false">(1+K732)^(1/12)-1</f>
        <v>0.00521759281840373</v>
      </c>
    </row>
    <row r="733" customFormat="false" ht="15" hidden="false" customHeight="false" outlineLevel="0" collapsed="false">
      <c r="A733" s="4" t="n">
        <v>729</v>
      </c>
      <c r="B733" s="14" t="n">
        <f aca="false">A733/12</f>
        <v>60.75</v>
      </c>
      <c r="C733" s="15" t="n">
        <f aca="false">INT(A733/6)</f>
        <v>121</v>
      </c>
      <c r="D733" s="16" t="n">
        <f aca="false">IF(C733=0,(1+Dic2025!$G$6)^(-B733),EXP(LN(INDEX(Dic2025!$H$6:$H$205,C733))+(LN(INDEX(Dic2025!$H$6:$H$205,MIN(C733+1,200)))-LN(INDEX(Dic2025!$H$6:$H$205,C733)))*(A733-6*C733)/6))</f>
        <v>0.0224892163116735</v>
      </c>
      <c r="E733" s="12" t="n">
        <f aca="false">D733^(-1/B733)-1</f>
        <v>0.0644566872891157</v>
      </c>
      <c r="F733" s="12" t="n">
        <f aca="false">(1+E733)^(1/12)-1</f>
        <v>0.00521894786028065</v>
      </c>
      <c r="G733" s="16" t="n">
        <f aca="false">IF(C733=0,(1+Dic2025!$J$6)^(-B733),EXP(LN(INDEX(Dic2025!$K$6:$K$205,C733))+(LN(INDEX(Dic2025!$K$6:$K$205,MIN(C733+1,200)))-LN(INDEX(Dic2025!$K$6:$K$205,C733)))*(A733-6*C733)/6))</f>
        <v>0.0224892163116735</v>
      </c>
      <c r="H733" s="12" t="n">
        <f aca="false">G733^(-1/B733)-1</f>
        <v>0.0644566872891157</v>
      </c>
      <c r="I733" s="12" t="n">
        <f aca="false">(1+H733)^(1/12)-1</f>
        <v>0.00521894786028065</v>
      </c>
      <c r="J733" s="16" t="n">
        <f aca="false">IF(C733=0,(1+Dic2025!$M$6)^(-B733),EXP(LN(INDEX(Dic2025!$N$6:$N$205,C733))+(LN(INDEX(Dic2025!$N$6:$N$205,MIN(C733+1,200)))-LN(INDEX(Dic2025!$N$6:$N$205,C733)))*(A733-6*C733)/6))</f>
        <v>0.0224892163116735</v>
      </c>
      <c r="K733" s="12" t="n">
        <f aca="false">J733^(-1/B733)-1</f>
        <v>0.0644566872891157</v>
      </c>
      <c r="L733" s="12" t="n">
        <f aca="false">(1+K733)^(1/12)-1</f>
        <v>0.00521894786028065</v>
      </c>
    </row>
    <row r="734" customFormat="false" ht="15" hidden="false" customHeight="false" outlineLevel="0" collapsed="false">
      <c r="A734" s="4" t="n">
        <v>730</v>
      </c>
      <c r="B734" s="14" t="n">
        <f aca="false">A734/12</f>
        <v>60.8333333333333</v>
      </c>
      <c r="C734" s="15" t="n">
        <f aca="false">INT(A734/6)</f>
        <v>121</v>
      </c>
      <c r="D734" s="16" t="n">
        <f aca="false">IF(C734=0,(1+Dic2025!$G$6)^(-B734),EXP(LN(INDEX(Dic2025!$H$6:$H$205,C734))+(LN(INDEX(Dic2025!$H$6:$H$205,MIN(C734+1,200)))-LN(INDEX(Dic2025!$H$6:$H$205,C734)))*(A734-6*C734)/6))</f>
        <v>0.0223505112025342</v>
      </c>
      <c r="E734" s="12" t="n">
        <f aca="false">D734^(-1/B734)-1</f>
        <v>0.0644738590015326</v>
      </c>
      <c r="F734" s="12" t="n">
        <f aca="false">(1+E734)^(1/12)-1</f>
        <v>0.00522029919153333</v>
      </c>
      <c r="G734" s="16" t="n">
        <f aca="false">IF(C734=0,(1+Dic2025!$J$6)^(-B734),EXP(LN(INDEX(Dic2025!$K$6:$K$205,C734))+(LN(INDEX(Dic2025!$K$6:$K$205,MIN(C734+1,200)))-LN(INDEX(Dic2025!$K$6:$K$205,C734)))*(A734-6*C734)/6))</f>
        <v>0.0223505112025342</v>
      </c>
      <c r="H734" s="12" t="n">
        <f aca="false">G734^(-1/B734)-1</f>
        <v>0.0644738590015326</v>
      </c>
      <c r="I734" s="12" t="n">
        <f aca="false">(1+H734)^(1/12)-1</f>
        <v>0.00522029919153333</v>
      </c>
      <c r="J734" s="16" t="n">
        <f aca="false">IF(C734=0,(1+Dic2025!$M$6)^(-B734),EXP(LN(INDEX(Dic2025!$N$6:$N$205,C734))+(LN(INDEX(Dic2025!$N$6:$N$205,MIN(C734+1,200)))-LN(INDEX(Dic2025!$N$6:$N$205,C734)))*(A734-6*C734)/6))</f>
        <v>0.0223505112025342</v>
      </c>
      <c r="K734" s="12" t="n">
        <f aca="false">J734^(-1/B734)-1</f>
        <v>0.0644738590015326</v>
      </c>
      <c r="L734" s="12" t="n">
        <f aca="false">(1+K734)^(1/12)-1</f>
        <v>0.00522029919153333</v>
      </c>
    </row>
    <row r="735" customFormat="false" ht="15" hidden="false" customHeight="false" outlineLevel="0" collapsed="false">
      <c r="A735" s="4" t="n">
        <v>731</v>
      </c>
      <c r="B735" s="14" t="n">
        <f aca="false">A735/12</f>
        <v>60.9166666666667</v>
      </c>
      <c r="C735" s="15" t="n">
        <f aca="false">INT(A735/6)</f>
        <v>121</v>
      </c>
      <c r="D735" s="16" t="n">
        <f aca="false">IF(C735=0,(1+Dic2025!$G$6)^(-B735),EXP(LN(INDEX(Dic2025!$H$6:$H$205,C735))+(LN(INDEX(Dic2025!$H$6:$H$205,MIN(C735+1,200)))-LN(INDEX(Dic2025!$H$6:$H$205,C735)))*(A735-6*C735)/6))</f>
        <v>0.0222126615748415</v>
      </c>
      <c r="E735" s="12" t="n">
        <f aca="false">D735^(-1/B735)-1</f>
        <v>0.0644909840083969</v>
      </c>
      <c r="F735" s="12" t="n">
        <f aca="false">(1+E735)^(1/12)-1</f>
        <v>0.00522164682738246</v>
      </c>
      <c r="G735" s="16" t="n">
        <f aca="false">IF(C735=0,(1+Dic2025!$J$6)^(-B735),EXP(LN(INDEX(Dic2025!$K$6:$K$205,C735))+(LN(INDEX(Dic2025!$K$6:$K$205,MIN(C735+1,200)))-LN(INDEX(Dic2025!$K$6:$K$205,C735)))*(A735-6*C735)/6))</f>
        <v>0.0222126615748415</v>
      </c>
      <c r="H735" s="12" t="n">
        <f aca="false">G735^(-1/B735)-1</f>
        <v>0.0644909840083969</v>
      </c>
      <c r="I735" s="12" t="n">
        <f aca="false">(1+H735)^(1/12)-1</f>
        <v>0.00522164682738246</v>
      </c>
      <c r="J735" s="16" t="n">
        <f aca="false">IF(C735=0,(1+Dic2025!$M$6)^(-B735),EXP(LN(INDEX(Dic2025!$N$6:$N$205,C735))+(LN(INDEX(Dic2025!$N$6:$N$205,MIN(C735+1,200)))-LN(INDEX(Dic2025!$N$6:$N$205,C735)))*(A735-6*C735)/6))</f>
        <v>0.0222126615748415</v>
      </c>
      <c r="K735" s="12" t="n">
        <f aca="false">J735^(-1/B735)-1</f>
        <v>0.0644909840083969</v>
      </c>
      <c r="L735" s="12" t="n">
        <f aca="false">(1+K735)^(1/12)-1</f>
        <v>0.00522164682738246</v>
      </c>
    </row>
    <row r="736" customFormat="false" ht="15" hidden="false" customHeight="false" outlineLevel="0" collapsed="false">
      <c r="A736" s="4" t="n">
        <v>732</v>
      </c>
      <c r="B736" s="14" t="n">
        <f aca="false">A736/12</f>
        <v>61</v>
      </c>
      <c r="C736" s="15" t="n">
        <f aca="false">INT(A736/6)</f>
        <v>122</v>
      </c>
      <c r="D736" s="16" t="n">
        <f aca="false">IF(C736=0,(1+Dic2025!$G$6)^(-B736),EXP(LN(INDEX(Dic2025!$H$6:$H$205,C736))+(LN(INDEX(Dic2025!$H$6:$H$205,MIN(C736+1,200)))-LN(INDEX(Dic2025!$H$6:$H$205,C736)))*(A736-6*C736)/6))</f>
        <v>0.0220756621523043</v>
      </c>
      <c r="E736" s="12" t="n">
        <f aca="false">D736^(-1/B736)-1</f>
        <v>0.0645080624999999</v>
      </c>
      <c r="F736" s="12" t="n">
        <f aca="false">(1+E736)^(1/12)-1</f>
        <v>0.00522299078296573</v>
      </c>
      <c r="G736" s="16" t="n">
        <f aca="false">IF(C736=0,(1+Dic2025!$J$6)^(-B736),EXP(LN(INDEX(Dic2025!$K$6:$K$205,C736))+(LN(INDEX(Dic2025!$K$6:$K$205,MIN(C736+1,200)))-LN(INDEX(Dic2025!$K$6:$K$205,C736)))*(A736-6*C736)/6))</f>
        <v>0.0220756621523043</v>
      </c>
      <c r="H736" s="12" t="n">
        <f aca="false">G736^(-1/B736)-1</f>
        <v>0.0645080624999999</v>
      </c>
      <c r="I736" s="12" t="n">
        <f aca="false">(1+H736)^(1/12)-1</f>
        <v>0.00522299078296573</v>
      </c>
      <c r="J736" s="16" t="n">
        <f aca="false">IF(C736=0,(1+Dic2025!$M$6)^(-B736),EXP(LN(INDEX(Dic2025!$N$6:$N$205,C736))+(LN(INDEX(Dic2025!$N$6:$N$205,MIN(C736+1,200)))-LN(INDEX(Dic2025!$N$6:$N$205,C736)))*(A736-6*C736)/6))</f>
        <v>0.0220756621523043</v>
      </c>
      <c r="K736" s="12" t="n">
        <f aca="false">J736^(-1/B736)-1</f>
        <v>0.0645080624999999</v>
      </c>
      <c r="L736" s="12" t="n">
        <f aca="false">(1+K736)^(1/12)-1</f>
        <v>0.00522299078296573</v>
      </c>
    </row>
    <row r="737" customFormat="false" ht="15" hidden="false" customHeight="false" outlineLevel="0" collapsed="false">
      <c r="A737" s="4" t="n">
        <v>733</v>
      </c>
      <c r="B737" s="14" t="n">
        <f aca="false">A737/12</f>
        <v>61.0833333333333</v>
      </c>
      <c r="C737" s="15" t="n">
        <f aca="false">INT(A737/6)</f>
        <v>122</v>
      </c>
      <c r="D737" s="16" t="n">
        <f aca="false">IF(C737=0,(1+Dic2025!$G$6)^(-B737),EXP(LN(INDEX(Dic2025!$H$6:$H$205,C737))+(LN(INDEX(Dic2025!$H$6:$H$205,MIN(C737+1,200)))-LN(INDEX(Dic2025!$H$6:$H$205,C737)))*(A737-6*C737)/6))</f>
        <v>0.021960960259285</v>
      </c>
      <c r="E737" s="12" t="n">
        <f aca="false">D737^(-1/B737)-1</f>
        <v>0.0645080624999999</v>
      </c>
      <c r="F737" s="12" t="n">
        <f aca="false">(1+E737)^(1/12)-1</f>
        <v>0.00522299078296573</v>
      </c>
      <c r="G737" s="16" t="n">
        <f aca="false">IF(C737=0,(1+Dic2025!$J$6)^(-B737),EXP(LN(INDEX(Dic2025!$K$6:$K$205,C737))+(LN(INDEX(Dic2025!$K$6:$K$205,MIN(C737+1,200)))-LN(INDEX(Dic2025!$K$6:$K$205,C737)))*(A737-6*C737)/6))</f>
        <v>0.021960960259285</v>
      </c>
      <c r="H737" s="12" t="n">
        <f aca="false">G737^(-1/B737)-1</f>
        <v>0.0645080624999999</v>
      </c>
      <c r="I737" s="12" t="n">
        <f aca="false">(1+H737)^(1/12)-1</f>
        <v>0.00522299078296573</v>
      </c>
      <c r="J737" s="16" t="n">
        <f aca="false">IF(C737=0,(1+Dic2025!$M$6)^(-B737),EXP(LN(INDEX(Dic2025!$N$6:$N$205,C737))+(LN(INDEX(Dic2025!$N$6:$N$205,MIN(C737+1,200)))-LN(INDEX(Dic2025!$N$6:$N$205,C737)))*(A737-6*C737)/6))</f>
        <v>0.021960960259285</v>
      </c>
      <c r="K737" s="12" t="n">
        <f aca="false">J737^(-1/B737)-1</f>
        <v>0.0645080624999999</v>
      </c>
      <c r="L737" s="12" t="n">
        <f aca="false">(1+K737)^(1/12)-1</f>
        <v>0.00522299078296573</v>
      </c>
    </row>
    <row r="738" customFormat="false" ht="15" hidden="false" customHeight="false" outlineLevel="0" collapsed="false">
      <c r="A738" s="4" t="n">
        <v>734</v>
      </c>
      <c r="B738" s="14" t="n">
        <f aca="false">A738/12</f>
        <v>61.1666666666667</v>
      </c>
      <c r="C738" s="15" t="n">
        <f aca="false">INT(A738/6)</f>
        <v>122</v>
      </c>
      <c r="D738" s="16" t="n">
        <f aca="false">IF(C738=0,(1+Dic2025!$G$6)^(-B738),EXP(LN(INDEX(Dic2025!$H$6:$H$205,C738))+(LN(INDEX(Dic2025!$H$6:$H$205,MIN(C738+1,200)))-LN(INDEX(Dic2025!$H$6:$H$205,C738)))*(A738-6*C738)/6))</f>
        <v>0.0218468543404281</v>
      </c>
      <c r="E738" s="12" t="n">
        <f aca="false">D738^(-1/B738)-1</f>
        <v>0.0645080624999999</v>
      </c>
      <c r="F738" s="12" t="n">
        <f aca="false">(1+E738)^(1/12)-1</f>
        <v>0.00522299078296573</v>
      </c>
      <c r="G738" s="16" t="n">
        <f aca="false">IF(C738=0,(1+Dic2025!$J$6)^(-B738),EXP(LN(INDEX(Dic2025!$K$6:$K$205,C738))+(LN(INDEX(Dic2025!$K$6:$K$205,MIN(C738+1,200)))-LN(INDEX(Dic2025!$K$6:$K$205,C738)))*(A738-6*C738)/6))</f>
        <v>0.0218468543404281</v>
      </c>
      <c r="H738" s="12" t="n">
        <f aca="false">G738^(-1/B738)-1</f>
        <v>0.0645080624999999</v>
      </c>
      <c r="I738" s="12" t="n">
        <f aca="false">(1+H738)^(1/12)-1</f>
        <v>0.00522299078296573</v>
      </c>
      <c r="J738" s="16" t="n">
        <f aca="false">IF(C738=0,(1+Dic2025!$M$6)^(-B738),EXP(LN(INDEX(Dic2025!$N$6:$N$205,C738))+(LN(INDEX(Dic2025!$N$6:$N$205,MIN(C738+1,200)))-LN(INDEX(Dic2025!$N$6:$N$205,C738)))*(A738-6*C738)/6))</f>
        <v>0.0218468543404281</v>
      </c>
      <c r="K738" s="12" t="n">
        <f aca="false">J738^(-1/B738)-1</f>
        <v>0.0645080624999999</v>
      </c>
      <c r="L738" s="12" t="n">
        <f aca="false">(1+K738)^(1/12)-1</f>
        <v>0.00522299078296573</v>
      </c>
    </row>
    <row r="739" customFormat="false" ht="15" hidden="false" customHeight="false" outlineLevel="0" collapsed="false">
      <c r="A739" s="4" t="n">
        <v>735</v>
      </c>
      <c r="B739" s="14" t="n">
        <f aca="false">A739/12</f>
        <v>61.25</v>
      </c>
      <c r="C739" s="15" t="n">
        <f aca="false">INT(A739/6)</f>
        <v>122</v>
      </c>
      <c r="D739" s="16" t="n">
        <f aca="false">IF(C739=0,(1+Dic2025!$G$6)^(-B739),EXP(LN(INDEX(Dic2025!$H$6:$H$205,C739))+(LN(INDEX(Dic2025!$H$6:$H$205,MIN(C739+1,200)))-LN(INDEX(Dic2025!$H$6:$H$205,C739)))*(A739-6*C739)/6))</f>
        <v>0.0217333412991397</v>
      </c>
      <c r="E739" s="12" t="n">
        <f aca="false">D739^(-1/B739)-1</f>
        <v>0.0645080624999999</v>
      </c>
      <c r="F739" s="12" t="n">
        <f aca="false">(1+E739)^(1/12)-1</f>
        <v>0.00522299078296573</v>
      </c>
      <c r="G739" s="16" t="n">
        <f aca="false">IF(C739=0,(1+Dic2025!$J$6)^(-B739),EXP(LN(INDEX(Dic2025!$K$6:$K$205,C739))+(LN(INDEX(Dic2025!$K$6:$K$205,MIN(C739+1,200)))-LN(INDEX(Dic2025!$K$6:$K$205,C739)))*(A739-6*C739)/6))</f>
        <v>0.0217333412991397</v>
      </c>
      <c r="H739" s="12" t="n">
        <f aca="false">G739^(-1/B739)-1</f>
        <v>0.0645080624999999</v>
      </c>
      <c r="I739" s="12" t="n">
        <f aca="false">(1+H739)^(1/12)-1</f>
        <v>0.00522299078296573</v>
      </c>
      <c r="J739" s="16" t="n">
        <f aca="false">IF(C739=0,(1+Dic2025!$M$6)^(-B739),EXP(LN(INDEX(Dic2025!$N$6:$N$205,C739))+(LN(INDEX(Dic2025!$N$6:$N$205,MIN(C739+1,200)))-LN(INDEX(Dic2025!$N$6:$N$205,C739)))*(A739-6*C739)/6))</f>
        <v>0.0217333412991397</v>
      </c>
      <c r="K739" s="12" t="n">
        <f aca="false">J739^(-1/B739)-1</f>
        <v>0.0645080624999999</v>
      </c>
      <c r="L739" s="12" t="n">
        <f aca="false">(1+K739)^(1/12)-1</f>
        <v>0.00522299078296573</v>
      </c>
    </row>
    <row r="740" customFormat="false" ht="15" hidden="false" customHeight="false" outlineLevel="0" collapsed="false">
      <c r="A740" s="4" t="n">
        <v>736</v>
      </c>
      <c r="B740" s="14" t="n">
        <f aca="false">A740/12</f>
        <v>61.3333333333333</v>
      </c>
      <c r="C740" s="15" t="n">
        <f aca="false">INT(A740/6)</f>
        <v>122</v>
      </c>
      <c r="D740" s="16" t="n">
        <f aca="false">IF(C740=0,(1+Dic2025!$G$6)^(-B740),EXP(LN(INDEX(Dic2025!$H$6:$H$205,C740))+(LN(INDEX(Dic2025!$H$6:$H$205,MIN(C740+1,200)))-LN(INDEX(Dic2025!$H$6:$H$205,C740)))*(A740-6*C740)/6))</f>
        <v>0.021620418054915</v>
      </c>
      <c r="E740" s="12" t="n">
        <f aca="false">D740^(-1/B740)-1</f>
        <v>0.0645080624999999</v>
      </c>
      <c r="F740" s="12" t="n">
        <f aca="false">(1+E740)^(1/12)-1</f>
        <v>0.00522299078296573</v>
      </c>
      <c r="G740" s="16" t="n">
        <f aca="false">IF(C740=0,(1+Dic2025!$J$6)^(-B740),EXP(LN(INDEX(Dic2025!$K$6:$K$205,C740))+(LN(INDEX(Dic2025!$K$6:$K$205,MIN(C740+1,200)))-LN(INDEX(Dic2025!$K$6:$K$205,C740)))*(A740-6*C740)/6))</f>
        <v>0.021620418054915</v>
      </c>
      <c r="H740" s="12" t="n">
        <f aca="false">G740^(-1/B740)-1</f>
        <v>0.0645080624999999</v>
      </c>
      <c r="I740" s="12" t="n">
        <f aca="false">(1+H740)^(1/12)-1</f>
        <v>0.00522299078296573</v>
      </c>
      <c r="J740" s="16" t="n">
        <f aca="false">IF(C740=0,(1+Dic2025!$M$6)^(-B740),EXP(LN(INDEX(Dic2025!$N$6:$N$205,C740))+(LN(INDEX(Dic2025!$N$6:$N$205,MIN(C740+1,200)))-LN(INDEX(Dic2025!$N$6:$N$205,C740)))*(A740-6*C740)/6))</f>
        <v>0.021620418054915</v>
      </c>
      <c r="K740" s="12" t="n">
        <f aca="false">J740^(-1/B740)-1</f>
        <v>0.0645080624999999</v>
      </c>
      <c r="L740" s="12" t="n">
        <f aca="false">(1+K740)^(1/12)-1</f>
        <v>0.00522299078296573</v>
      </c>
    </row>
    <row r="741" customFormat="false" ht="15" hidden="false" customHeight="false" outlineLevel="0" collapsed="false">
      <c r="A741" s="4" t="n">
        <v>737</v>
      </c>
      <c r="B741" s="14" t="n">
        <f aca="false">A741/12</f>
        <v>61.4166666666667</v>
      </c>
      <c r="C741" s="15" t="n">
        <f aca="false">INT(A741/6)</f>
        <v>122</v>
      </c>
      <c r="D741" s="16" t="n">
        <f aca="false">IF(C741=0,(1+Dic2025!$G$6)^(-B741),EXP(LN(INDEX(Dic2025!$H$6:$H$205,C741))+(LN(INDEX(Dic2025!$H$6:$H$205,MIN(C741+1,200)))-LN(INDEX(Dic2025!$H$6:$H$205,C741)))*(A741-6*C741)/6))</f>
        <v>0.0215080815432553</v>
      </c>
      <c r="E741" s="12" t="n">
        <f aca="false">D741^(-1/B741)-1</f>
        <v>0.0645080624999999</v>
      </c>
      <c r="F741" s="12" t="n">
        <f aca="false">(1+E741)^(1/12)-1</f>
        <v>0.00522299078296573</v>
      </c>
      <c r="G741" s="16" t="n">
        <f aca="false">IF(C741=0,(1+Dic2025!$J$6)^(-B741),EXP(LN(INDEX(Dic2025!$K$6:$K$205,C741))+(LN(INDEX(Dic2025!$K$6:$K$205,MIN(C741+1,200)))-LN(INDEX(Dic2025!$K$6:$K$205,C741)))*(A741-6*C741)/6))</f>
        <v>0.0215080815432553</v>
      </c>
      <c r="H741" s="12" t="n">
        <f aca="false">G741^(-1/B741)-1</f>
        <v>0.0645080624999999</v>
      </c>
      <c r="I741" s="12" t="n">
        <f aca="false">(1+H741)^(1/12)-1</f>
        <v>0.00522299078296573</v>
      </c>
      <c r="J741" s="16" t="n">
        <f aca="false">IF(C741=0,(1+Dic2025!$M$6)^(-B741),EXP(LN(INDEX(Dic2025!$N$6:$N$205,C741))+(LN(INDEX(Dic2025!$N$6:$N$205,MIN(C741+1,200)))-LN(INDEX(Dic2025!$N$6:$N$205,C741)))*(A741-6*C741)/6))</f>
        <v>0.0215080815432553</v>
      </c>
      <c r="K741" s="12" t="n">
        <f aca="false">J741^(-1/B741)-1</f>
        <v>0.0645080624999999</v>
      </c>
      <c r="L741" s="12" t="n">
        <f aca="false">(1+K741)^(1/12)-1</f>
        <v>0.00522299078296573</v>
      </c>
    </row>
    <row r="742" customFormat="false" ht="15" hidden="false" customHeight="false" outlineLevel="0" collapsed="false">
      <c r="A742" s="4" t="n">
        <v>738</v>
      </c>
      <c r="B742" s="14" t="n">
        <f aca="false">A742/12</f>
        <v>61.5</v>
      </c>
      <c r="C742" s="15" t="n">
        <f aca="false">INT(A742/6)</f>
        <v>123</v>
      </c>
      <c r="D742" s="16" t="n">
        <f aca="false">IF(C742=0,(1+Dic2025!$G$6)^(-B742),EXP(LN(INDEX(Dic2025!$H$6:$H$205,C742))+(LN(INDEX(Dic2025!$H$6:$H$205,MIN(C742+1,200)))-LN(INDEX(Dic2025!$H$6:$H$205,C742)))*(A742-6*C742)/6))</f>
        <v>0.0213963287155845</v>
      </c>
      <c r="E742" s="12" t="n">
        <f aca="false">D742^(-1/B742)-1</f>
        <v>0.0645080624999999</v>
      </c>
      <c r="F742" s="12" t="n">
        <f aca="false">(1+E742)^(1/12)-1</f>
        <v>0.00522299078296573</v>
      </c>
      <c r="G742" s="16" t="n">
        <f aca="false">IF(C742=0,(1+Dic2025!$J$6)^(-B742),EXP(LN(INDEX(Dic2025!$K$6:$K$205,C742))+(LN(INDEX(Dic2025!$K$6:$K$205,MIN(C742+1,200)))-LN(INDEX(Dic2025!$K$6:$K$205,C742)))*(A742-6*C742)/6))</f>
        <v>0.0213963287155845</v>
      </c>
      <c r="H742" s="12" t="n">
        <f aca="false">G742^(-1/B742)-1</f>
        <v>0.0645080624999999</v>
      </c>
      <c r="I742" s="12" t="n">
        <f aca="false">(1+H742)^(1/12)-1</f>
        <v>0.00522299078296573</v>
      </c>
      <c r="J742" s="16" t="n">
        <f aca="false">IF(C742=0,(1+Dic2025!$M$6)^(-B742),EXP(LN(INDEX(Dic2025!$N$6:$N$205,C742))+(LN(INDEX(Dic2025!$N$6:$N$205,MIN(C742+1,200)))-LN(INDEX(Dic2025!$N$6:$N$205,C742)))*(A742-6*C742)/6))</f>
        <v>0.0213963287155845</v>
      </c>
      <c r="K742" s="12" t="n">
        <f aca="false">J742^(-1/B742)-1</f>
        <v>0.0645080624999999</v>
      </c>
      <c r="L742" s="12" t="n">
        <f aca="false">(1+K742)^(1/12)-1</f>
        <v>0.00522299078296573</v>
      </c>
    </row>
    <row r="743" customFormat="false" ht="15" hidden="false" customHeight="false" outlineLevel="0" collapsed="false">
      <c r="A743" s="4" t="n">
        <v>739</v>
      </c>
      <c r="B743" s="14" t="n">
        <f aca="false">A743/12</f>
        <v>61.5833333333333</v>
      </c>
      <c r="C743" s="15" t="n">
        <f aca="false">INT(A743/6)</f>
        <v>123</v>
      </c>
      <c r="D743" s="16" t="n">
        <f aca="false">IF(C743=0,(1+Dic2025!$G$6)^(-B743),EXP(LN(INDEX(Dic2025!$H$6:$H$205,C743))+(LN(INDEX(Dic2025!$H$6:$H$205,MIN(C743+1,200)))-LN(INDEX(Dic2025!$H$6:$H$205,C743)))*(A743-6*C743)/6))</f>
        <v>0.0212851565391665</v>
      </c>
      <c r="E743" s="12" t="n">
        <f aca="false">D743^(-1/B743)-1</f>
        <v>0.0645080624999999</v>
      </c>
      <c r="F743" s="12" t="n">
        <f aca="false">(1+E743)^(1/12)-1</f>
        <v>0.00522299078296573</v>
      </c>
      <c r="G743" s="16" t="n">
        <f aca="false">IF(C743=0,(1+Dic2025!$J$6)^(-B743),EXP(LN(INDEX(Dic2025!$K$6:$K$205,C743))+(LN(INDEX(Dic2025!$K$6:$K$205,MIN(C743+1,200)))-LN(INDEX(Dic2025!$K$6:$K$205,C743)))*(A743-6*C743)/6))</f>
        <v>0.0212851565391665</v>
      </c>
      <c r="H743" s="12" t="n">
        <f aca="false">G743^(-1/B743)-1</f>
        <v>0.0645080624999999</v>
      </c>
      <c r="I743" s="12" t="n">
        <f aca="false">(1+H743)^(1/12)-1</f>
        <v>0.00522299078296573</v>
      </c>
      <c r="J743" s="16" t="n">
        <f aca="false">IF(C743=0,(1+Dic2025!$M$6)^(-B743),EXP(LN(INDEX(Dic2025!$N$6:$N$205,C743))+(LN(INDEX(Dic2025!$N$6:$N$205,MIN(C743+1,200)))-LN(INDEX(Dic2025!$N$6:$N$205,C743)))*(A743-6*C743)/6))</f>
        <v>0.0212851565391665</v>
      </c>
      <c r="K743" s="12" t="n">
        <f aca="false">J743^(-1/B743)-1</f>
        <v>0.0645080624999999</v>
      </c>
      <c r="L743" s="12" t="n">
        <f aca="false">(1+K743)^(1/12)-1</f>
        <v>0.00522299078296573</v>
      </c>
    </row>
    <row r="744" customFormat="false" ht="15" hidden="false" customHeight="false" outlineLevel="0" collapsed="false">
      <c r="A744" s="4" t="n">
        <v>740</v>
      </c>
      <c r="B744" s="14" t="n">
        <f aca="false">A744/12</f>
        <v>61.6666666666667</v>
      </c>
      <c r="C744" s="15" t="n">
        <f aca="false">INT(A744/6)</f>
        <v>123</v>
      </c>
      <c r="D744" s="16" t="n">
        <f aca="false">IF(C744=0,(1+Dic2025!$G$6)^(-B744),EXP(LN(INDEX(Dic2025!$H$6:$H$205,C744))+(LN(INDEX(Dic2025!$H$6:$H$205,MIN(C744+1,200)))-LN(INDEX(Dic2025!$H$6:$H$205,C744)))*(A744-6*C744)/6))</f>
        <v>0.0211745619970227</v>
      </c>
      <c r="E744" s="12" t="n">
        <f aca="false">D744^(-1/B744)-1</f>
        <v>0.0645080624999999</v>
      </c>
      <c r="F744" s="12" t="n">
        <f aca="false">(1+E744)^(1/12)-1</f>
        <v>0.00522299078296573</v>
      </c>
      <c r="G744" s="16" t="n">
        <f aca="false">IF(C744=0,(1+Dic2025!$J$6)^(-B744),EXP(LN(INDEX(Dic2025!$K$6:$K$205,C744))+(LN(INDEX(Dic2025!$K$6:$K$205,MIN(C744+1,200)))-LN(INDEX(Dic2025!$K$6:$K$205,C744)))*(A744-6*C744)/6))</f>
        <v>0.0211745619970227</v>
      </c>
      <c r="H744" s="12" t="n">
        <f aca="false">G744^(-1/B744)-1</f>
        <v>0.0645080624999999</v>
      </c>
      <c r="I744" s="12" t="n">
        <f aca="false">(1+H744)^(1/12)-1</f>
        <v>0.00522299078296573</v>
      </c>
      <c r="J744" s="16" t="n">
        <f aca="false">IF(C744=0,(1+Dic2025!$M$6)^(-B744),EXP(LN(INDEX(Dic2025!$N$6:$N$205,C744))+(LN(INDEX(Dic2025!$N$6:$N$205,MIN(C744+1,200)))-LN(INDEX(Dic2025!$N$6:$N$205,C744)))*(A744-6*C744)/6))</f>
        <v>0.0211745619970227</v>
      </c>
      <c r="K744" s="12" t="n">
        <f aca="false">J744^(-1/B744)-1</f>
        <v>0.0645080624999999</v>
      </c>
      <c r="L744" s="12" t="n">
        <f aca="false">(1+K744)^(1/12)-1</f>
        <v>0.00522299078296573</v>
      </c>
    </row>
    <row r="745" customFormat="false" ht="15" hidden="false" customHeight="false" outlineLevel="0" collapsed="false">
      <c r="A745" s="4" t="n">
        <v>741</v>
      </c>
      <c r="B745" s="14" t="n">
        <f aca="false">A745/12</f>
        <v>61.75</v>
      </c>
      <c r="C745" s="15" t="n">
        <f aca="false">INT(A745/6)</f>
        <v>123</v>
      </c>
      <c r="D745" s="16" t="n">
        <f aca="false">IF(C745=0,(1+Dic2025!$G$6)^(-B745),EXP(LN(INDEX(Dic2025!$H$6:$H$205,C745))+(LN(INDEX(Dic2025!$H$6:$H$205,MIN(C745+1,200)))-LN(INDEX(Dic2025!$H$6:$H$205,C745)))*(A745-6*C745)/6))</f>
        <v>0.0210645420878504</v>
      </c>
      <c r="E745" s="12" t="n">
        <f aca="false">D745^(-1/B745)-1</f>
        <v>0.0645080624999999</v>
      </c>
      <c r="F745" s="12" t="n">
        <f aca="false">(1+E745)^(1/12)-1</f>
        <v>0.00522299078296573</v>
      </c>
      <c r="G745" s="16" t="n">
        <f aca="false">IF(C745=0,(1+Dic2025!$J$6)^(-B745),EXP(LN(INDEX(Dic2025!$K$6:$K$205,C745))+(LN(INDEX(Dic2025!$K$6:$K$205,MIN(C745+1,200)))-LN(INDEX(Dic2025!$K$6:$K$205,C745)))*(A745-6*C745)/6))</f>
        <v>0.0210645420878504</v>
      </c>
      <c r="H745" s="12" t="n">
        <f aca="false">G745^(-1/B745)-1</f>
        <v>0.0645080624999999</v>
      </c>
      <c r="I745" s="12" t="n">
        <f aca="false">(1+H745)^(1/12)-1</f>
        <v>0.00522299078296573</v>
      </c>
      <c r="J745" s="16" t="n">
        <f aca="false">IF(C745=0,(1+Dic2025!$M$6)^(-B745),EXP(LN(INDEX(Dic2025!$N$6:$N$205,C745))+(LN(INDEX(Dic2025!$N$6:$N$205,MIN(C745+1,200)))-LN(INDEX(Dic2025!$N$6:$N$205,C745)))*(A745-6*C745)/6))</f>
        <v>0.0210645420878504</v>
      </c>
      <c r="K745" s="12" t="n">
        <f aca="false">J745^(-1/B745)-1</f>
        <v>0.0645080624999999</v>
      </c>
      <c r="L745" s="12" t="n">
        <f aca="false">(1+K745)^(1/12)-1</f>
        <v>0.00522299078296573</v>
      </c>
    </row>
    <row r="746" customFormat="false" ht="15" hidden="false" customHeight="false" outlineLevel="0" collapsed="false">
      <c r="A746" s="4" t="n">
        <v>742</v>
      </c>
      <c r="B746" s="14" t="n">
        <f aca="false">A746/12</f>
        <v>61.8333333333333</v>
      </c>
      <c r="C746" s="15" t="n">
        <f aca="false">INT(A746/6)</f>
        <v>123</v>
      </c>
      <c r="D746" s="16" t="n">
        <f aca="false">IF(C746=0,(1+Dic2025!$G$6)^(-B746),EXP(LN(INDEX(Dic2025!$H$6:$H$205,C746))+(LN(INDEX(Dic2025!$H$6:$H$205,MIN(C746+1,200)))-LN(INDEX(Dic2025!$H$6:$H$205,C746)))*(A746-6*C746)/6))</f>
        <v>0.0209550938259414</v>
      </c>
      <c r="E746" s="12" t="n">
        <f aca="false">D746^(-1/B746)-1</f>
        <v>0.0645080624999999</v>
      </c>
      <c r="F746" s="12" t="n">
        <f aca="false">(1+E746)^(1/12)-1</f>
        <v>0.00522299078296573</v>
      </c>
      <c r="G746" s="16" t="n">
        <f aca="false">IF(C746=0,(1+Dic2025!$J$6)^(-B746),EXP(LN(INDEX(Dic2025!$K$6:$K$205,C746))+(LN(INDEX(Dic2025!$K$6:$K$205,MIN(C746+1,200)))-LN(INDEX(Dic2025!$K$6:$K$205,C746)))*(A746-6*C746)/6))</f>
        <v>0.0209550938259414</v>
      </c>
      <c r="H746" s="12" t="n">
        <f aca="false">G746^(-1/B746)-1</f>
        <v>0.0645080624999999</v>
      </c>
      <c r="I746" s="12" t="n">
        <f aca="false">(1+H746)^(1/12)-1</f>
        <v>0.00522299078296573</v>
      </c>
      <c r="J746" s="16" t="n">
        <f aca="false">IF(C746=0,(1+Dic2025!$M$6)^(-B746),EXP(LN(INDEX(Dic2025!$N$6:$N$205,C746))+(LN(INDEX(Dic2025!$N$6:$N$205,MIN(C746+1,200)))-LN(INDEX(Dic2025!$N$6:$N$205,C746)))*(A746-6*C746)/6))</f>
        <v>0.0209550938259414</v>
      </c>
      <c r="K746" s="12" t="n">
        <f aca="false">J746^(-1/B746)-1</f>
        <v>0.0645080624999999</v>
      </c>
      <c r="L746" s="12" t="n">
        <f aca="false">(1+K746)^(1/12)-1</f>
        <v>0.00522299078296573</v>
      </c>
    </row>
    <row r="747" customFormat="false" ht="15" hidden="false" customHeight="false" outlineLevel="0" collapsed="false">
      <c r="A747" s="4" t="n">
        <v>743</v>
      </c>
      <c r="B747" s="14" t="n">
        <f aca="false">A747/12</f>
        <v>61.9166666666667</v>
      </c>
      <c r="C747" s="15" t="n">
        <f aca="false">INT(A747/6)</f>
        <v>123</v>
      </c>
      <c r="D747" s="16" t="n">
        <f aca="false">IF(C747=0,(1+Dic2025!$G$6)^(-B747),EXP(LN(INDEX(Dic2025!$H$6:$H$205,C747))+(LN(INDEX(Dic2025!$H$6:$H$205,MIN(C747+1,200)))-LN(INDEX(Dic2025!$H$6:$H$205,C747)))*(A747-6*C747)/6))</f>
        <v>0.0208462142411004</v>
      </c>
      <c r="E747" s="12" t="n">
        <f aca="false">D747^(-1/B747)-1</f>
        <v>0.0645080624999999</v>
      </c>
      <c r="F747" s="12" t="n">
        <f aca="false">(1+E747)^(1/12)-1</f>
        <v>0.00522299078296573</v>
      </c>
      <c r="G747" s="16" t="n">
        <f aca="false">IF(C747=0,(1+Dic2025!$J$6)^(-B747),EXP(LN(INDEX(Dic2025!$K$6:$K$205,C747))+(LN(INDEX(Dic2025!$K$6:$K$205,MIN(C747+1,200)))-LN(INDEX(Dic2025!$K$6:$K$205,C747)))*(A747-6*C747)/6))</f>
        <v>0.0208462142411004</v>
      </c>
      <c r="H747" s="12" t="n">
        <f aca="false">G747^(-1/B747)-1</f>
        <v>0.0645080624999999</v>
      </c>
      <c r="I747" s="12" t="n">
        <f aca="false">(1+H747)^(1/12)-1</f>
        <v>0.00522299078296573</v>
      </c>
      <c r="J747" s="16" t="n">
        <f aca="false">IF(C747=0,(1+Dic2025!$M$6)^(-B747),EXP(LN(INDEX(Dic2025!$N$6:$N$205,C747))+(LN(INDEX(Dic2025!$N$6:$N$205,MIN(C747+1,200)))-LN(INDEX(Dic2025!$N$6:$N$205,C747)))*(A747-6*C747)/6))</f>
        <v>0.0208462142411004</v>
      </c>
      <c r="K747" s="12" t="n">
        <f aca="false">J747^(-1/B747)-1</f>
        <v>0.0645080624999999</v>
      </c>
      <c r="L747" s="12" t="n">
        <f aca="false">(1+K747)^(1/12)-1</f>
        <v>0.00522299078296573</v>
      </c>
    </row>
    <row r="748" customFormat="false" ht="15" hidden="false" customHeight="false" outlineLevel="0" collapsed="false">
      <c r="A748" s="4" t="n">
        <v>744</v>
      </c>
      <c r="B748" s="14" t="n">
        <f aca="false">A748/12</f>
        <v>62</v>
      </c>
      <c r="C748" s="15" t="n">
        <f aca="false">INT(A748/6)</f>
        <v>124</v>
      </c>
      <c r="D748" s="16" t="n">
        <f aca="false">IF(C748=0,(1+Dic2025!$G$6)^(-B748),EXP(LN(INDEX(Dic2025!$H$6:$H$205,C748))+(LN(INDEX(Dic2025!$H$6:$H$205,MIN(C748+1,200)))-LN(INDEX(Dic2025!$H$6:$H$205,C748)))*(A748-6*C748)/6))</f>
        <v>0.0207379003785651</v>
      </c>
      <c r="E748" s="12" t="n">
        <f aca="false">D748^(-1/B748)-1</f>
        <v>0.0645080624999999</v>
      </c>
      <c r="F748" s="12" t="n">
        <f aca="false">(1+E748)^(1/12)-1</f>
        <v>0.00522299078296573</v>
      </c>
      <c r="G748" s="16" t="n">
        <f aca="false">IF(C748=0,(1+Dic2025!$J$6)^(-B748),EXP(LN(INDEX(Dic2025!$K$6:$K$205,C748))+(LN(INDEX(Dic2025!$K$6:$K$205,MIN(C748+1,200)))-LN(INDEX(Dic2025!$K$6:$K$205,C748)))*(A748-6*C748)/6))</f>
        <v>0.0207379003785651</v>
      </c>
      <c r="H748" s="12" t="n">
        <f aca="false">G748^(-1/B748)-1</f>
        <v>0.0645080624999999</v>
      </c>
      <c r="I748" s="12" t="n">
        <f aca="false">(1+H748)^(1/12)-1</f>
        <v>0.00522299078296573</v>
      </c>
      <c r="J748" s="16" t="n">
        <f aca="false">IF(C748=0,(1+Dic2025!$M$6)^(-B748),EXP(LN(INDEX(Dic2025!$N$6:$N$205,C748))+(LN(INDEX(Dic2025!$N$6:$N$205,MIN(C748+1,200)))-LN(INDEX(Dic2025!$N$6:$N$205,C748)))*(A748-6*C748)/6))</f>
        <v>0.0207379003785651</v>
      </c>
      <c r="K748" s="12" t="n">
        <f aca="false">J748^(-1/B748)-1</f>
        <v>0.0645080624999999</v>
      </c>
      <c r="L748" s="12" t="n">
        <f aca="false">(1+K748)^(1/12)-1</f>
        <v>0.00522299078296573</v>
      </c>
    </row>
    <row r="749" customFormat="false" ht="15" hidden="false" customHeight="false" outlineLevel="0" collapsed="false">
      <c r="A749" s="4" t="n">
        <v>745</v>
      </c>
      <c r="B749" s="14" t="n">
        <f aca="false">A749/12</f>
        <v>62.0833333333333</v>
      </c>
      <c r="C749" s="15" t="n">
        <f aca="false">INT(A749/6)</f>
        <v>124</v>
      </c>
      <c r="D749" s="16" t="n">
        <f aca="false">IF(C749=0,(1+Dic2025!$G$6)^(-B749),EXP(LN(INDEX(Dic2025!$H$6:$H$205,C749))+(LN(INDEX(Dic2025!$H$6:$H$205,MIN(C749+1,200)))-LN(INDEX(Dic2025!$H$6:$H$205,C749)))*(A749-6*C749)/6))</f>
        <v>0.0206301492989256</v>
      </c>
      <c r="E749" s="12" t="n">
        <f aca="false">D749^(-1/B749)-1</f>
        <v>0.0645080624999999</v>
      </c>
      <c r="F749" s="12" t="n">
        <f aca="false">(1+E749)^(1/12)-1</f>
        <v>0.00522299078296573</v>
      </c>
      <c r="G749" s="16" t="n">
        <f aca="false">IF(C749=0,(1+Dic2025!$J$6)^(-B749),EXP(LN(INDEX(Dic2025!$K$6:$K$205,C749))+(LN(INDEX(Dic2025!$K$6:$K$205,MIN(C749+1,200)))-LN(INDEX(Dic2025!$K$6:$K$205,C749)))*(A749-6*C749)/6))</f>
        <v>0.0206301492989256</v>
      </c>
      <c r="H749" s="12" t="n">
        <f aca="false">G749^(-1/B749)-1</f>
        <v>0.0645080624999999</v>
      </c>
      <c r="I749" s="12" t="n">
        <f aca="false">(1+H749)^(1/12)-1</f>
        <v>0.00522299078296573</v>
      </c>
      <c r="J749" s="16" t="n">
        <f aca="false">IF(C749=0,(1+Dic2025!$M$6)^(-B749),EXP(LN(INDEX(Dic2025!$N$6:$N$205,C749))+(LN(INDEX(Dic2025!$N$6:$N$205,MIN(C749+1,200)))-LN(INDEX(Dic2025!$N$6:$N$205,C749)))*(A749-6*C749)/6))</f>
        <v>0.0206301492989256</v>
      </c>
      <c r="K749" s="12" t="n">
        <f aca="false">J749^(-1/B749)-1</f>
        <v>0.0645080624999999</v>
      </c>
      <c r="L749" s="12" t="n">
        <f aca="false">(1+K749)^(1/12)-1</f>
        <v>0.00522299078296573</v>
      </c>
    </row>
    <row r="750" customFormat="false" ht="15" hidden="false" customHeight="false" outlineLevel="0" collapsed="false">
      <c r="A750" s="4" t="n">
        <v>746</v>
      </c>
      <c r="B750" s="14" t="n">
        <f aca="false">A750/12</f>
        <v>62.1666666666667</v>
      </c>
      <c r="C750" s="15" t="n">
        <f aca="false">INT(A750/6)</f>
        <v>124</v>
      </c>
      <c r="D750" s="16" t="n">
        <f aca="false">IF(C750=0,(1+Dic2025!$G$6)^(-B750),EXP(LN(INDEX(Dic2025!$H$6:$H$205,C750))+(LN(INDEX(Dic2025!$H$6:$H$205,MIN(C750+1,200)))-LN(INDEX(Dic2025!$H$6:$H$205,C750)))*(A750-6*C750)/6))</f>
        <v>0.0205229580780448</v>
      </c>
      <c r="E750" s="12" t="n">
        <f aca="false">D750^(-1/B750)-1</f>
        <v>0.0645080624999999</v>
      </c>
      <c r="F750" s="12" t="n">
        <f aca="false">(1+E750)^(1/12)-1</f>
        <v>0.00522299078296573</v>
      </c>
      <c r="G750" s="16" t="n">
        <f aca="false">IF(C750=0,(1+Dic2025!$J$6)^(-B750),EXP(LN(INDEX(Dic2025!$K$6:$K$205,C750))+(LN(INDEX(Dic2025!$K$6:$K$205,MIN(C750+1,200)))-LN(INDEX(Dic2025!$K$6:$K$205,C750)))*(A750-6*C750)/6))</f>
        <v>0.0205229580780448</v>
      </c>
      <c r="H750" s="12" t="n">
        <f aca="false">G750^(-1/B750)-1</f>
        <v>0.0645080624999999</v>
      </c>
      <c r="I750" s="12" t="n">
        <f aca="false">(1+H750)^(1/12)-1</f>
        <v>0.00522299078296573</v>
      </c>
      <c r="J750" s="16" t="n">
        <f aca="false">IF(C750=0,(1+Dic2025!$M$6)^(-B750),EXP(LN(INDEX(Dic2025!$N$6:$N$205,C750))+(LN(INDEX(Dic2025!$N$6:$N$205,MIN(C750+1,200)))-LN(INDEX(Dic2025!$N$6:$N$205,C750)))*(A750-6*C750)/6))</f>
        <v>0.0205229580780448</v>
      </c>
      <c r="K750" s="12" t="n">
        <f aca="false">J750^(-1/B750)-1</f>
        <v>0.0645080624999999</v>
      </c>
      <c r="L750" s="12" t="n">
        <f aca="false">(1+K750)^(1/12)-1</f>
        <v>0.00522299078296573</v>
      </c>
    </row>
    <row r="751" customFormat="false" ht="15" hidden="false" customHeight="false" outlineLevel="0" collapsed="false">
      <c r="A751" s="4" t="n">
        <v>747</v>
      </c>
      <c r="B751" s="14" t="n">
        <f aca="false">A751/12</f>
        <v>62.25</v>
      </c>
      <c r="C751" s="15" t="n">
        <f aca="false">INT(A751/6)</f>
        <v>124</v>
      </c>
      <c r="D751" s="16" t="n">
        <f aca="false">IF(C751=0,(1+Dic2025!$G$6)^(-B751),EXP(LN(INDEX(Dic2025!$H$6:$H$205,C751))+(LN(INDEX(Dic2025!$H$6:$H$205,MIN(C751+1,200)))-LN(INDEX(Dic2025!$H$6:$H$205,C751)))*(A751-6*C751)/6))</f>
        <v>0.0204163238069789</v>
      </c>
      <c r="E751" s="12" t="n">
        <f aca="false">D751^(-1/B751)-1</f>
        <v>0.0645080624999999</v>
      </c>
      <c r="F751" s="12" t="n">
        <f aca="false">(1+E751)^(1/12)-1</f>
        <v>0.00522299078296573</v>
      </c>
      <c r="G751" s="16" t="n">
        <f aca="false">IF(C751=0,(1+Dic2025!$J$6)^(-B751),EXP(LN(INDEX(Dic2025!$K$6:$K$205,C751))+(LN(INDEX(Dic2025!$K$6:$K$205,MIN(C751+1,200)))-LN(INDEX(Dic2025!$K$6:$K$205,C751)))*(A751-6*C751)/6))</f>
        <v>0.0204163238069789</v>
      </c>
      <c r="H751" s="12" t="n">
        <f aca="false">G751^(-1/B751)-1</f>
        <v>0.0645080624999999</v>
      </c>
      <c r="I751" s="12" t="n">
        <f aca="false">(1+H751)^(1/12)-1</f>
        <v>0.00522299078296573</v>
      </c>
      <c r="J751" s="16" t="n">
        <f aca="false">IF(C751=0,(1+Dic2025!$M$6)^(-B751),EXP(LN(INDEX(Dic2025!$N$6:$N$205,C751))+(LN(INDEX(Dic2025!$N$6:$N$205,MIN(C751+1,200)))-LN(INDEX(Dic2025!$N$6:$N$205,C751)))*(A751-6*C751)/6))</f>
        <v>0.0204163238069789</v>
      </c>
      <c r="K751" s="12" t="n">
        <f aca="false">J751^(-1/B751)-1</f>
        <v>0.0645080624999999</v>
      </c>
      <c r="L751" s="12" t="n">
        <f aca="false">(1+K751)^(1/12)-1</f>
        <v>0.00522299078296573</v>
      </c>
    </row>
    <row r="752" customFormat="false" ht="15" hidden="false" customHeight="false" outlineLevel="0" collapsed="false">
      <c r="A752" s="4" t="n">
        <v>748</v>
      </c>
      <c r="B752" s="14" t="n">
        <f aca="false">A752/12</f>
        <v>62.3333333333333</v>
      </c>
      <c r="C752" s="15" t="n">
        <f aca="false">INT(A752/6)</f>
        <v>124</v>
      </c>
      <c r="D752" s="16" t="n">
        <f aca="false">IF(C752=0,(1+Dic2025!$G$6)^(-B752),EXP(LN(INDEX(Dic2025!$H$6:$H$205,C752))+(LN(INDEX(Dic2025!$H$6:$H$205,MIN(C752+1,200)))-LN(INDEX(Dic2025!$H$6:$H$205,C752)))*(A752-6*C752)/6))</f>
        <v>0.0203102435918986</v>
      </c>
      <c r="E752" s="12" t="n">
        <f aca="false">D752^(-1/B752)-1</f>
        <v>0.0645080624999999</v>
      </c>
      <c r="F752" s="12" t="n">
        <f aca="false">(1+E752)^(1/12)-1</f>
        <v>0.00522299078296573</v>
      </c>
      <c r="G752" s="16" t="n">
        <f aca="false">IF(C752=0,(1+Dic2025!$J$6)^(-B752),EXP(LN(INDEX(Dic2025!$K$6:$K$205,C752))+(LN(INDEX(Dic2025!$K$6:$K$205,MIN(C752+1,200)))-LN(INDEX(Dic2025!$K$6:$K$205,C752)))*(A752-6*C752)/6))</f>
        <v>0.0203102435918986</v>
      </c>
      <c r="H752" s="12" t="n">
        <f aca="false">G752^(-1/B752)-1</f>
        <v>0.0645080624999999</v>
      </c>
      <c r="I752" s="12" t="n">
        <f aca="false">(1+H752)^(1/12)-1</f>
        <v>0.00522299078296573</v>
      </c>
      <c r="J752" s="16" t="n">
        <f aca="false">IF(C752=0,(1+Dic2025!$M$6)^(-B752),EXP(LN(INDEX(Dic2025!$N$6:$N$205,C752))+(LN(INDEX(Dic2025!$N$6:$N$205,MIN(C752+1,200)))-LN(INDEX(Dic2025!$N$6:$N$205,C752)))*(A752-6*C752)/6))</f>
        <v>0.0203102435918986</v>
      </c>
      <c r="K752" s="12" t="n">
        <f aca="false">J752^(-1/B752)-1</f>
        <v>0.0645080624999999</v>
      </c>
      <c r="L752" s="12" t="n">
        <f aca="false">(1+K752)^(1/12)-1</f>
        <v>0.00522299078296573</v>
      </c>
    </row>
    <row r="753" customFormat="false" ht="15" hidden="false" customHeight="false" outlineLevel="0" collapsed="false">
      <c r="A753" s="4" t="n">
        <v>749</v>
      </c>
      <c r="B753" s="14" t="n">
        <f aca="false">A753/12</f>
        <v>62.4166666666667</v>
      </c>
      <c r="C753" s="15" t="n">
        <f aca="false">INT(A753/6)</f>
        <v>124</v>
      </c>
      <c r="D753" s="16" t="n">
        <f aca="false">IF(C753=0,(1+Dic2025!$G$6)^(-B753),EXP(LN(INDEX(Dic2025!$H$6:$H$205,C753))+(LN(INDEX(Dic2025!$H$6:$H$205,MIN(C753+1,200)))-LN(INDEX(Dic2025!$H$6:$H$205,C753)))*(A753-6*C753)/6))</f>
        <v>0.0202047145540105</v>
      </c>
      <c r="E753" s="12" t="n">
        <f aca="false">D753^(-1/B753)-1</f>
        <v>0.0645080624999999</v>
      </c>
      <c r="F753" s="12" t="n">
        <f aca="false">(1+E753)^(1/12)-1</f>
        <v>0.00522299078296573</v>
      </c>
      <c r="G753" s="16" t="n">
        <f aca="false">IF(C753=0,(1+Dic2025!$J$6)^(-B753),EXP(LN(INDEX(Dic2025!$K$6:$K$205,C753))+(LN(INDEX(Dic2025!$K$6:$K$205,MIN(C753+1,200)))-LN(INDEX(Dic2025!$K$6:$K$205,C753)))*(A753-6*C753)/6))</f>
        <v>0.0202047145540105</v>
      </c>
      <c r="H753" s="12" t="n">
        <f aca="false">G753^(-1/B753)-1</f>
        <v>0.0645080624999999</v>
      </c>
      <c r="I753" s="12" t="n">
        <f aca="false">(1+H753)^(1/12)-1</f>
        <v>0.00522299078296573</v>
      </c>
      <c r="J753" s="16" t="n">
        <f aca="false">IF(C753=0,(1+Dic2025!$M$6)^(-B753),EXP(LN(INDEX(Dic2025!$N$6:$N$205,C753))+(LN(INDEX(Dic2025!$N$6:$N$205,MIN(C753+1,200)))-LN(INDEX(Dic2025!$N$6:$N$205,C753)))*(A753-6*C753)/6))</f>
        <v>0.0202047145540105</v>
      </c>
      <c r="K753" s="12" t="n">
        <f aca="false">J753^(-1/B753)-1</f>
        <v>0.0645080624999999</v>
      </c>
      <c r="L753" s="12" t="n">
        <f aca="false">(1+K753)^(1/12)-1</f>
        <v>0.00522299078296573</v>
      </c>
    </row>
    <row r="754" customFormat="false" ht="15" hidden="false" customHeight="false" outlineLevel="0" collapsed="false">
      <c r="A754" s="4" t="n">
        <v>750</v>
      </c>
      <c r="B754" s="14" t="n">
        <f aca="false">A754/12</f>
        <v>62.5</v>
      </c>
      <c r="C754" s="15" t="n">
        <f aca="false">INT(A754/6)</f>
        <v>125</v>
      </c>
      <c r="D754" s="16" t="n">
        <f aca="false">IF(C754=0,(1+Dic2025!$G$6)^(-B754),EXP(LN(INDEX(Dic2025!$H$6:$H$205,C754))+(LN(INDEX(Dic2025!$H$6:$H$205,MIN(C754+1,200)))-LN(INDEX(Dic2025!$H$6:$H$205,C754)))*(A754-6*C754)/6))</f>
        <v>0.0200997338294791</v>
      </c>
      <c r="E754" s="12" t="n">
        <f aca="false">D754^(-1/B754)-1</f>
        <v>0.0645080624999999</v>
      </c>
      <c r="F754" s="12" t="n">
        <f aca="false">(1+E754)^(1/12)-1</f>
        <v>0.00522299078296573</v>
      </c>
      <c r="G754" s="16" t="n">
        <f aca="false">IF(C754=0,(1+Dic2025!$J$6)^(-B754),EXP(LN(INDEX(Dic2025!$K$6:$K$205,C754))+(LN(INDEX(Dic2025!$K$6:$K$205,MIN(C754+1,200)))-LN(INDEX(Dic2025!$K$6:$K$205,C754)))*(A754-6*C754)/6))</f>
        <v>0.0200997338294791</v>
      </c>
      <c r="H754" s="12" t="n">
        <f aca="false">G754^(-1/B754)-1</f>
        <v>0.0645080624999999</v>
      </c>
      <c r="I754" s="12" t="n">
        <f aca="false">(1+H754)^(1/12)-1</f>
        <v>0.00522299078296573</v>
      </c>
      <c r="J754" s="16" t="n">
        <f aca="false">IF(C754=0,(1+Dic2025!$M$6)^(-B754),EXP(LN(INDEX(Dic2025!$N$6:$N$205,C754))+(LN(INDEX(Dic2025!$N$6:$N$205,MIN(C754+1,200)))-LN(INDEX(Dic2025!$N$6:$N$205,C754)))*(A754-6*C754)/6))</f>
        <v>0.0200997338294791</v>
      </c>
      <c r="K754" s="12" t="n">
        <f aca="false">J754^(-1/B754)-1</f>
        <v>0.0645080624999999</v>
      </c>
      <c r="L754" s="12" t="n">
        <f aca="false">(1+K754)^(1/12)-1</f>
        <v>0.00522299078296573</v>
      </c>
    </row>
    <row r="755" customFormat="false" ht="15" hidden="false" customHeight="false" outlineLevel="0" collapsed="false">
      <c r="A755" s="4" t="n">
        <v>751</v>
      </c>
      <c r="B755" s="14" t="n">
        <f aca="false">A755/12</f>
        <v>62.5833333333333</v>
      </c>
      <c r="C755" s="15" t="n">
        <f aca="false">INT(A755/6)</f>
        <v>125</v>
      </c>
      <c r="D755" s="16" t="n">
        <f aca="false">IF(C755=0,(1+Dic2025!$G$6)^(-B755),EXP(LN(INDEX(Dic2025!$H$6:$H$205,C755))+(LN(INDEX(Dic2025!$H$6:$H$205,MIN(C755+1,200)))-LN(INDEX(Dic2025!$H$6:$H$205,C755)))*(A755-6*C755)/6))</f>
        <v>0.0199749604295726</v>
      </c>
      <c r="E755" s="12" t="n">
        <f aca="false">D755^(-1/B755)-1</f>
        <v>0.064525372540885</v>
      </c>
      <c r="F755" s="12" t="n">
        <f aca="false">(1+E755)^(1/12)-1</f>
        <v>0.00522435293965873</v>
      </c>
      <c r="G755" s="16" t="n">
        <f aca="false">IF(C755=0,(1+Dic2025!$J$6)^(-B755),EXP(LN(INDEX(Dic2025!$K$6:$K$205,C755))+(LN(INDEX(Dic2025!$K$6:$K$205,MIN(C755+1,200)))-LN(INDEX(Dic2025!$K$6:$K$205,C755)))*(A755-6*C755)/6))</f>
        <v>0.0199749604295726</v>
      </c>
      <c r="H755" s="12" t="n">
        <f aca="false">G755^(-1/B755)-1</f>
        <v>0.064525372540885</v>
      </c>
      <c r="I755" s="12" t="n">
        <f aca="false">(1+H755)^(1/12)-1</f>
        <v>0.00522435293965873</v>
      </c>
      <c r="J755" s="16" t="n">
        <f aca="false">IF(C755=0,(1+Dic2025!$M$6)^(-B755),EXP(LN(INDEX(Dic2025!$N$6:$N$205,C755))+(LN(INDEX(Dic2025!$N$6:$N$205,MIN(C755+1,200)))-LN(INDEX(Dic2025!$N$6:$N$205,C755)))*(A755-6*C755)/6))</f>
        <v>0.0199749604295726</v>
      </c>
      <c r="K755" s="12" t="n">
        <f aca="false">J755^(-1/B755)-1</f>
        <v>0.064525372540885</v>
      </c>
      <c r="L755" s="12" t="n">
        <f aca="false">(1+K755)^(1/12)-1</f>
        <v>0.00522435293965873</v>
      </c>
    </row>
    <row r="756" customFormat="false" ht="15" hidden="false" customHeight="false" outlineLevel="0" collapsed="false">
      <c r="A756" s="4" t="n">
        <v>752</v>
      </c>
      <c r="B756" s="14" t="n">
        <f aca="false">A756/12</f>
        <v>62.6666666666667</v>
      </c>
      <c r="C756" s="15" t="n">
        <f aca="false">INT(A756/6)</f>
        <v>125</v>
      </c>
      <c r="D756" s="16" t="n">
        <f aca="false">IF(C756=0,(1+Dic2025!$G$6)^(-B756),EXP(LN(INDEX(Dic2025!$H$6:$H$205,C756))+(LN(INDEX(Dic2025!$H$6:$H$205,MIN(C756+1,200)))-LN(INDEX(Dic2025!$H$6:$H$205,C756)))*(A756-6*C756)/6))</f>
        <v>0.0198509615872525</v>
      </c>
      <c r="E756" s="12" t="n">
        <f aca="false">D756^(-1/B756)-1</f>
        <v>0.0645426368247852</v>
      </c>
      <c r="F756" s="12" t="n">
        <f aca="false">(1+E756)^(1/12)-1</f>
        <v>0.00522571147543305</v>
      </c>
      <c r="G756" s="16" t="n">
        <f aca="false">IF(C756=0,(1+Dic2025!$J$6)^(-B756),EXP(LN(INDEX(Dic2025!$K$6:$K$205,C756))+(LN(INDEX(Dic2025!$K$6:$K$205,MIN(C756+1,200)))-LN(INDEX(Dic2025!$K$6:$K$205,C756)))*(A756-6*C756)/6))</f>
        <v>0.0198509615872525</v>
      </c>
      <c r="H756" s="12" t="n">
        <f aca="false">G756^(-1/B756)-1</f>
        <v>0.0645426368247852</v>
      </c>
      <c r="I756" s="12" t="n">
        <f aca="false">(1+H756)^(1/12)-1</f>
        <v>0.00522571147543305</v>
      </c>
      <c r="J756" s="16" t="n">
        <f aca="false">IF(C756=0,(1+Dic2025!$M$6)^(-B756),EXP(LN(INDEX(Dic2025!$N$6:$N$205,C756))+(LN(INDEX(Dic2025!$N$6:$N$205,MIN(C756+1,200)))-LN(INDEX(Dic2025!$N$6:$N$205,C756)))*(A756-6*C756)/6))</f>
        <v>0.0198509615872525</v>
      </c>
      <c r="K756" s="12" t="n">
        <f aca="false">J756^(-1/B756)-1</f>
        <v>0.0645426368247852</v>
      </c>
      <c r="L756" s="12" t="n">
        <f aca="false">(1+K756)^(1/12)-1</f>
        <v>0.00522571147543305</v>
      </c>
    </row>
    <row r="757" customFormat="false" ht="15" hidden="false" customHeight="false" outlineLevel="0" collapsed="false">
      <c r="A757" s="4" t="n">
        <v>753</v>
      </c>
      <c r="B757" s="14" t="n">
        <f aca="false">A757/12</f>
        <v>62.75</v>
      </c>
      <c r="C757" s="15" t="n">
        <f aca="false">INT(A757/6)</f>
        <v>125</v>
      </c>
      <c r="D757" s="16" t="n">
        <f aca="false">IF(C757=0,(1+Dic2025!$G$6)^(-B757),EXP(LN(INDEX(Dic2025!$H$6:$H$205,C757))+(LN(INDEX(Dic2025!$H$6:$H$205,MIN(C757+1,200)))-LN(INDEX(Dic2025!$H$6:$H$205,C757)))*(A757-6*C757)/6))</f>
        <v>0.019727732494287</v>
      </c>
      <c r="E757" s="12" t="n">
        <f aca="false">D757^(-1/B757)-1</f>
        <v>0.0645598555328883</v>
      </c>
      <c r="F757" s="12" t="n">
        <f aca="false">(1+E757)^(1/12)-1</f>
        <v>0.00522706640470716</v>
      </c>
      <c r="G757" s="16" t="n">
        <f aca="false">IF(C757=0,(1+Dic2025!$J$6)^(-B757),EXP(LN(INDEX(Dic2025!$K$6:$K$205,C757))+(LN(INDEX(Dic2025!$K$6:$K$205,MIN(C757+1,200)))-LN(INDEX(Dic2025!$K$6:$K$205,C757)))*(A757-6*C757)/6))</f>
        <v>0.019727732494287</v>
      </c>
      <c r="H757" s="12" t="n">
        <f aca="false">G757^(-1/B757)-1</f>
        <v>0.0645598555328883</v>
      </c>
      <c r="I757" s="12" t="n">
        <f aca="false">(1+H757)^(1/12)-1</f>
        <v>0.00522706640470716</v>
      </c>
      <c r="J757" s="16" t="n">
        <f aca="false">IF(C757=0,(1+Dic2025!$M$6)^(-B757),EXP(LN(INDEX(Dic2025!$N$6:$N$205,C757))+(LN(INDEX(Dic2025!$N$6:$N$205,MIN(C757+1,200)))-LN(INDEX(Dic2025!$N$6:$N$205,C757)))*(A757-6*C757)/6))</f>
        <v>0.019727732494287</v>
      </c>
      <c r="K757" s="12" t="n">
        <f aca="false">J757^(-1/B757)-1</f>
        <v>0.0645598555328883</v>
      </c>
      <c r="L757" s="12" t="n">
        <f aca="false">(1+K757)^(1/12)-1</f>
        <v>0.00522706640470716</v>
      </c>
    </row>
    <row r="758" customFormat="false" ht="15" hidden="false" customHeight="false" outlineLevel="0" collapsed="false">
      <c r="A758" s="4" t="n">
        <v>754</v>
      </c>
      <c r="B758" s="14" t="n">
        <f aca="false">A758/12</f>
        <v>62.8333333333333</v>
      </c>
      <c r="C758" s="15" t="n">
        <f aca="false">INT(A758/6)</f>
        <v>125</v>
      </c>
      <c r="D758" s="16" t="n">
        <f aca="false">IF(C758=0,(1+Dic2025!$G$6)^(-B758),EXP(LN(INDEX(Dic2025!$H$6:$H$205,C758))+(LN(INDEX(Dic2025!$H$6:$H$205,MIN(C758+1,200)))-LN(INDEX(Dic2025!$H$6:$H$205,C758)))*(A758-6*C758)/6))</f>
        <v>0.0196052683722921</v>
      </c>
      <c r="E758" s="12" t="n">
        <f aca="false">D758^(-1/B758)-1</f>
        <v>0.0645770288454266</v>
      </c>
      <c r="F758" s="12" t="n">
        <f aca="false">(1+E758)^(1/12)-1</f>
        <v>0.00522841774182381</v>
      </c>
      <c r="G758" s="16" t="n">
        <f aca="false">IF(C758=0,(1+Dic2025!$J$6)^(-B758),EXP(LN(INDEX(Dic2025!$K$6:$K$205,C758))+(LN(INDEX(Dic2025!$K$6:$K$205,MIN(C758+1,200)))-LN(INDEX(Dic2025!$K$6:$K$205,C758)))*(A758-6*C758)/6))</f>
        <v>0.0196052683722921</v>
      </c>
      <c r="H758" s="12" t="n">
        <f aca="false">G758^(-1/B758)-1</f>
        <v>0.0645770288454266</v>
      </c>
      <c r="I758" s="12" t="n">
        <f aca="false">(1+H758)^(1/12)-1</f>
        <v>0.00522841774182381</v>
      </c>
      <c r="J758" s="16" t="n">
        <f aca="false">IF(C758=0,(1+Dic2025!$M$6)^(-B758),EXP(LN(INDEX(Dic2025!$N$6:$N$205,C758))+(LN(INDEX(Dic2025!$N$6:$N$205,MIN(C758+1,200)))-LN(INDEX(Dic2025!$N$6:$N$205,C758)))*(A758-6*C758)/6))</f>
        <v>0.0196052683722921</v>
      </c>
      <c r="K758" s="12" t="n">
        <f aca="false">J758^(-1/B758)-1</f>
        <v>0.0645770288454266</v>
      </c>
      <c r="L758" s="12" t="n">
        <f aca="false">(1+K758)^(1/12)-1</f>
        <v>0.00522841774182381</v>
      </c>
    </row>
    <row r="759" customFormat="false" ht="15" hidden="false" customHeight="false" outlineLevel="0" collapsed="false">
      <c r="A759" s="4" t="n">
        <v>755</v>
      </c>
      <c r="B759" s="14" t="n">
        <f aca="false">A759/12</f>
        <v>62.9166666666667</v>
      </c>
      <c r="C759" s="15" t="n">
        <f aca="false">INT(A759/6)</f>
        <v>125</v>
      </c>
      <c r="D759" s="16" t="n">
        <f aca="false">IF(C759=0,(1+Dic2025!$G$6)^(-B759),EXP(LN(INDEX(Dic2025!$H$6:$H$205,C759))+(LN(INDEX(Dic2025!$H$6:$H$205,MIN(C759+1,200)))-LN(INDEX(Dic2025!$H$6:$H$205,C759)))*(A759-6*C759)/6))</f>
        <v>0.0194835644725468</v>
      </c>
      <c r="E759" s="12" t="n">
        <f aca="false">D759^(-1/B759)-1</f>
        <v>0.0645941569416837</v>
      </c>
      <c r="F759" s="12" t="n">
        <f aca="false">(1+E759)^(1/12)-1</f>
        <v>0.0052297655010487</v>
      </c>
      <c r="G759" s="16" t="n">
        <f aca="false">IF(C759=0,(1+Dic2025!$J$6)^(-B759),EXP(LN(INDEX(Dic2025!$K$6:$K$205,C759))+(LN(INDEX(Dic2025!$K$6:$K$205,MIN(C759+1,200)))-LN(INDEX(Dic2025!$K$6:$K$205,C759)))*(A759-6*C759)/6))</f>
        <v>0.0194835644725468</v>
      </c>
      <c r="H759" s="12" t="n">
        <f aca="false">G759^(-1/B759)-1</f>
        <v>0.0645941569416837</v>
      </c>
      <c r="I759" s="12" t="n">
        <f aca="false">(1+H759)^(1/12)-1</f>
        <v>0.0052297655010487</v>
      </c>
      <c r="J759" s="16" t="n">
        <f aca="false">IF(C759=0,(1+Dic2025!$M$6)^(-B759),EXP(LN(INDEX(Dic2025!$N$6:$N$205,C759))+(LN(INDEX(Dic2025!$N$6:$N$205,MIN(C759+1,200)))-LN(INDEX(Dic2025!$N$6:$N$205,C759)))*(A759-6*C759)/6))</f>
        <v>0.0194835644725468</v>
      </c>
      <c r="K759" s="12" t="n">
        <f aca="false">J759^(-1/B759)-1</f>
        <v>0.0645941569416837</v>
      </c>
      <c r="L759" s="12" t="n">
        <f aca="false">(1+K759)^(1/12)-1</f>
        <v>0.0052297655010487</v>
      </c>
    </row>
    <row r="760" customFormat="false" ht="15" hidden="false" customHeight="false" outlineLevel="0" collapsed="false">
      <c r="A760" s="4" t="n">
        <v>756</v>
      </c>
      <c r="B760" s="14" t="n">
        <f aca="false">A760/12</f>
        <v>63</v>
      </c>
      <c r="C760" s="15" t="n">
        <f aca="false">INT(A760/6)</f>
        <v>126</v>
      </c>
      <c r="D760" s="16" t="n">
        <f aca="false">IF(C760=0,(1+Dic2025!$G$6)^(-B760),EXP(LN(INDEX(Dic2025!$H$6:$H$205,C760))+(LN(INDEX(Dic2025!$H$6:$H$205,MIN(C760+1,200)))-LN(INDEX(Dic2025!$H$6:$H$205,C760)))*(A760-6*C760)/6))</f>
        <v>0.0193626160758087</v>
      </c>
      <c r="E760" s="12" t="n">
        <f aca="false">D760^(-1/B760)-1</f>
        <v>0.0646112400000001</v>
      </c>
      <c r="F760" s="12" t="n">
        <f aca="false">(1+E760)^(1/12)-1</f>
        <v>0.0052311096965727</v>
      </c>
      <c r="G760" s="16" t="n">
        <f aca="false">IF(C760=0,(1+Dic2025!$J$6)^(-B760),EXP(LN(INDEX(Dic2025!$K$6:$K$205,C760))+(LN(INDEX(Dic2025!$K$6:$K$205,MIN(C760+1,200)))-LN(INDEX(Dic2025!$K$6:$K$205,C760)))*(A760-6*C760)/6))</f>
        <v>0.0193626160758087</v>
      </c>
      <c r="H760" s="12" t="n">
        <f aca="false">G760^(-1/B760)-1</f>
        <v>0.0646112400000001</v>
      </c>
      <c r="I760" s="12" t="n">
        <f aca="false">(1+H760)^(1/12)-1</f>
        <v>0.0052311096965727</v>
      </c>
      <c r="J760" s="16" t="n">
        <f aca="false">IF(C760=0,(1+Dic2025!$M$6)^(-B760),EXP(LN(INDEX(Dic2025!$N$6:$N$205,C760))+(LN(INDEX(Dic2025!$N$6:$N$205,MIN(C760+1,200)))-LN(INDEX(Dic2025!$N$6:$N$205,C760)))*(A760-6*C760)/6))</f>
        <v>0.0193626160758087</v>
      </c>
      <c r="K760" s="12" t="n">
        <f aca="false">J760^(-1/B760)-1</f>
        <v>0.0646112400000001</v>
      </c>
      <c r="L760" s="12" t="n">
        <f aca="false">(1+K760)^(1/12)-1</f>
        <v>0.0052311096965727</v>
      </c>
    </row>
    <row r="761" customFormat="false" ht="15" hidden="false" customHeight="false" outlineLevel="0" collapsed="false">
      <c r="A761" s="4" t="n">
        <v>757</v>
      </c>
      <c r="B761" s="14" t="n">
        <f aca="false">A761/12</f>
        <v>63.0833333333333</v>
      </c>
      <c r="C761" s="15" t="n">
        <f aca="false">INT(A761/6)</f>
        <v>126</v>
      </c>
      <c r="D761" s="16" t="n">
        <f aca="false">IF(C761=0,(1+Dic2025!$G$6)^(-B761),EXP(LN(INDEX(Dic2025!$H$6:$H$205,C761))+(LN(INDEX(Dic2025!$H$6:$H$205,MIN(C761+1,200)))-LN(INDEX(Dic2025!$H$6:$H$205,C761)))*(A761-6*C761)/6))</f>
        <v>0.0192618551983068</v>
      </c>
      <c r="E761" s="12" t="n">
        <f aca="false">D761^(-1/B761)-1</f>
        <v>0.0646112400000001</v>
      </c>
      <c r="F761" s="12" t="n">
        <f aca="false">(1+E761)^(1/12)-1</f>
        <v>0.0052311096965727</v>
      </c>
      <c r="G761" s="16" t="n">
        <f aca="false">IF(C761=0,(1+Dic2025!$J$6)^(-B761),EXP(LN(INDEX(Dic2025!$K$6:$K$205,C761))+(LN(INDEX(Dic2025!$K$6:$K$205,MIN(C761+1,200)))-LN(INDEX(Dic2025!$K$6:$K$205,C761)))*(A761-6*C761)/6))</f>
        <v>0.0192618551983068</v>
      </c>
      <c r="H761" s="12" t="n">
        <f aca="false">G761^(-1/B761)-1</f>
        <v>0.0646112400000001</v>
      </c>
      <c r="I761" s="12" t="n">
        <f aca="false">(1+H761)^(1/12)-1</f>
        <v>0.0052311096965727</v>
      </c>
      <c r="J761" s="16" t="n">
        <f aca="false">IF(C761=0,(1+Dic2025!$M$6)^(-B761),EXP(LN(INDEX(Dic2025!$N$6:$N$205,C761))+(LN(INDEX(Dic2025!$N$6:$N$205,MIN(C761+1,200)))-LN(INDEX(Dic2025!$N$6:$N$205,C761)))*(A761-6*C761)/6))</f>
        <v>0.0192618551983068</v>
      </c>
      <c r="K761" s="12" t="n">
        <f aca="false">J761^(-1/B761)-1</f>
        <v>0.0646112400000001</v>
      </c>
      <c r="L761" s="12" t="n">
        <f aca="false">(1+K761)^(1/12)-1</f>
        <v>0.0052311096965727</v>
      </c>
    </row>
    <row r="762" customFormat="false" ht="15" hidden="false" customHeight="false" outlineLevel="0" collapsed="false">
      <c r="A762" s="4" t="n">
        <v>758</v>
      </c>
      <c r="B762" s="14" t="n">
        <f aca="false">A762/12</f>
        <v>63.1666666666667</v>
      </c>
      <c r="C762" s="15" t="n">
        <f aca="false">INT(A762/6)</f>
        <v>126</v>
      </c>
      <c r="D762" s="16" t="n">
        <f aca="false">IF(C762=0,(1+Dic2025!$G$6)^(-B762),EXP(LN(INDEX(Dic2025!$H$6:$H$205,C762))+(LN(INDEX(Dic2025!$H$6:$H$205,MIN(C762+1,200)))-LN(INDEX(Dic2025!$H$6:$H$205,C762)))*(A762-6*C762)/6))</f>
        <v>0.019161618669085</v>
      </c>
      <c r="E762" s="12" t="n">
        <f aca="false">D762^(-1/B762)-1</f>
        <v>0.0646112400000001</v>
      </c>
      <c r="F762" s="12" t="n">
        <f aca="false">(1+E762)^(1/12)-1</f>
        <v>0.0052311096965727</v>
      </c>
      <c r="G762" s="16" t="n">
        <f aca="false">IF(C762=0,(1+Dic2025!$J$6)^(-B762),EXP(LN(INDEX(Dic2025!$K$6:$K$205,C762))+(LN(INDEX(Dic2025!$K$6:$K$205,MIN(C762+1,200)))-LN(INDEX(Dic2025!$K$6:$K$205,C762)))*(A762-6*C762)/6))</f>
        <v>0.019161618669085</v>
      </c>
      <c r="H762" s="12" t="n">
        <f aca="false">G762^(-1/B762)-1</f>
        <v>0.0646112400000001</v>
      </c>
      <c r="I762" s="12" t="n">
        <f aca="false">(1+H762)^(1/12)-1</f>
        <v>0.0052311096965727</v>
      </c>
      <c r="J762" s="16" t="n">
        <f aca="false">IF(C762=0,(1+Dic2025!$M$6)^(-B762),EXP(LN(INDEX(Dic2025!$N$6:$N$205,C762))+(LN(INDEX(Dic2025!$N$6:$N$205,MIN(C762+1,200)))-LN(INDEX(Dic2025!$N$6:$N$205,C762)))*(A762-6*C762)/6))</f>
        <v>0.019161618669085</v>
      </c>
      <c r="K762" s="12" t="n">
        <f aca="false">J762^(-1/B762)-1</f>
        <v>0.0646112400000001</v>
      </c>
      <c r="L762" s="12" t="n">
        <f aca="false">(1+K762)^(1/12)-1</f>
        <v>0.0052311096965727</v>
      </c>
    </row>
    <row r="763" customFormat="false" ht="15" hidden="false" customHeight="false" outlineLevel="0" collapsed="false">
      <c r="A763" s="4" t="n">
        <v>759</v>
      </c>
      <c r="B763" s="14" t="n">
        <f aca="false">A763/12</f>
        <v>63.25</v>
      </c>
      <c r="C763" s="15" t="n">
        <f aca="false">INT(A763/6)</f>
        <v>126</v>
      </c>
      <c r="D763" s="16" t="n">
        <f aca="false">IF(C763=0,(1+Dic2025!$G$6)^(-B763),EXP(LN(INDEX(Dic2025!$H$6:$H$205,C763))+(LN(INDEX(Dic2025!$H$6:$H$205,MIN(C763+1,200)))-LN(INDEX(Dic2025!$H$6:$H$205,C763)))*(A763-6*C763)/6))</f>
        <v>0.0190619037594935</v>
      </c>
      <c r="E763" s="12" t="n">
        <f aca="false">D763^(-1/B763)-1</f>
        <v>0.0646112400000001</v>
      </c>
      <c r="F763" s="12" t="n">
        <f aca="false">(1+E763)^(1/12)-1</f>
        <v>0.0052311096965727</v>
      </c>
      <c r="G763" s="16" t="n">
        <f aca="false">IF(C763=0,(1+Dic2025!$J$6)^(-B763),EXP(LN(INDEX(Dic2025!$K$6:$K$205,C763))+(LN(INDEX(Dic2025!$K$6:$K$205,MIN(C763+1,200)))-LN(INDEX(Dic2025!$K$6:$K$205,C763)))*(A763-6*C763)/6))</f>
        <v>0.0190619037594935</v>
      </c>
      <c r="H763" s="12" t="n">
        <f aca="false">G763^(-1/B763)-1</f>
        <v>0.0646112400000001</v>
      </c>
      <c r="I763" s="12" t="n">
        <f aca="false">(1+H763)^(1/12)-1</f>
        <v>0.0052311096965727</v>
      </c>
      <c r="J763" s="16" t="n">
        <f aca="false">IF(C763=0,(1+Dic2025!$M$6)^(-B763),EXP(LN(INDEX(Dic2025!$N$6:$N$205,C763))+(LN(INDEX(Dic2025!$N$6:$N$205,MIN(C763+1,200)))-LN(INDEX(Dic2025!$N$6:$N$205,C763)))*(A763-6*C763)/6))</f>
        <v>0.0190619037594935</v>
      </c>
      <c r="K763" s="12" t="n">
        <f aca="false">J763^(-1/B763)-1</f>
        <v>0.0646112400000001</v>
      </c>
      <c r="L763" s="12" t="n">
        <f aca="false">(1+K763)^(1/12)-1</f>
        <v>0.0052311096965727</v>
      </c>
    </row>
    <row r="764" customFormat="false" ht="15" hidden="false" customHeight="false" outlineLevel="0" collapsed="false">
      <c r="A764" s="4" t="n">
        <v>760</v>
      </c>
      <c r="B764" s="14" t="n">
        <f aca="false">A764/12</f>
        <v>63.3333333333333</v>
      </c>
      <c r="C764" s="15" t="n">
        <f aca="false">INT(A764/6)</f>
        <v>126</v>
      </c>
      <c r="D764" s="16" t="n">
        <f aca="false">IF(C764=0,(1+Dic2025!$G$6)^(-B764),EXP(LN(INDEX(Dic2025!$H$6:$H$205,C764))+(LN(INDEX(Dic2025!$H$6:$H$205,MIN(C764+1,200)))-LN(INDEX(Dic2025!$H$6:$H$205,C764)))*(A764-6*C764)/6))</f>
        <v>0.0189627077550826</v>
      </c>
      <c r="E764" s="12" t="n">
        <f aca="false">D764^(-1/B764)-1</f>
        <v>0.0646112400000001</v>
      </c>
      <c r="F764" s="12" t="n">
        <f aca="false">(1+E764)^(1/12)-1</f>
        <v>0.0052311096965727</v>
      </c>
      <c r="G764" s="16" t="n">
        <f aca="false">IF(C764=0,(1+Dic2025!$J$6)^(-B764),EXP(LN(INDEX(Dic2025!$K$6:$K$205,C764))+(LN(INDEX(Dic2025!$K$6:$K$205,MIN(C764+1,200)))-LN(INDEX(Dic2025!$K$6:$K$205,C764)))*(A764-6*C764)/6))</f>
        <v>0.0189627077550826</v>
      </c>
      <c r="H764" s="12" t="n">
        <f aca="false">G764^(-1/B764)-1</f>
        <v>0.0646112400000001</v>
      </c>
      <c r="I764" s="12" t="n">
        <f aca="false">(1+H764)^(1/12)-1</f>
        <v>0.0052311096965727</v>
      </c>
      <c r="J764" s="16" t="n">
        <f aca="false">IF(C764=0,(1+Dic2025!$M$6)^(-B764),EXP(LN(INDEX(Dic2025!$N$6:$N$205,C764))+(LN(INDEX(Dic2025!$N$6:$N$205,MIN(C764+1,200)))-LN(INDEX(Dic2025!$N$6:$N$205,C764)))*(A764-6*C764)/6))</f>
        <v>0.0189627077550826</v>
      </c>
      <c r="K764" s="12" t="n">
        <f aca="false">J764^(-1/B764)-1</f>
        <v>0.0646112400000001</v>
      </c>
      <c r="L764" s="12" t="n">
        <f aca="false">(1+K764)^(1/12)-1</f>
        <v>0.0052311096965727</v>
      </c>
    </row>
    <row r="765" customFormat="false" ht="15" hidden="false" customHeight="false" outlineLevel="0" collapsed="false">
      <c r="A765" s="4" t="n">
        <v>761</v>
      </c>
      <c r="B765" s="14" t="n">
        <f aca="false">A765/12</f>
        <v>63.4166666666667</v>
      </c>
      <c r="C765" s="15" t="n">
        <f aca="false">INT(A765/6)</f>
        <v>126</v>
      </c>
      <c r="D765" s="16" t="n">
        <f aca="false">IF(C765=0,(1+Dic2025!$G$6)^(-B765),EXP(LN(INDEX(Dic2025!$H$6:$H$205,C765))+(LN(INDEX(Dic2025!$H$6:$H$205,MIN(C765+1,200)))-LN(INDEX(Dic2025!$H$6:$H$205,C765)))*(A765-6*C765)/6))</f>
        <v>0.0188640279555281</v>
      </c>
      <c r="E765" s="12" t="n">
        <f aca="false">D765^(-1/B765)-1</f>
        <v>0.0646112400000001</v>
      </c>
      <c r="F765" s="12" t="n">
        <f aca="false">(1+E765)^(1/12)-1</f>
        <v>0.0052311096965727</v>
      </c>
      <c r="G765" s="16" t="n">
        <f aca="false">IF(C765=0,(1+Dic2025!$J$6)^(-B765),EXP(LN(INDEX(Dic2025!$K$6:$K$205,C765))+(LN(INDEX(Dic2025!$K$6:$K$205,MIN(C765+1,200)))-LN(INDEX(Dic2025!$K$6:$K$205,C765)))*(A765-6*C765)/6))</f>
        <v>0.0188640279555281</v>
      </c>
      <c r="H765" s="12" t="n">
        <f aca="false">G765^(-1/B765)-1</f>
        <v>0.0646112400000001</v>
      </c>
      <c r="I765" s="12" t="n">
        <f aca="false">(1+H765)^(1/12)-1</f>
        <v>0.0052311096965727</v>
      </c>
      <c r="J765" s="16" t="n">
        <f aca="false">IF(C765=0,(1+Dic2025!$M$6)^(-B765),EXP(LN(INDEX(Dic2025!$N$6:$N$205,C765))+(LN(INDEX(Dic2025!$N$6:$N$205,MIN(C765+1,200)))-LN(INDEX(Dic2025!$N$6:$N$205,C765)))*(A765-6*C765)/6))</f>
        <v>0.0188640279555281</v>
      </c>
      <c r="K765" s="12" t="n">
        <f aca="false">J765^(-1/B765)-1</f>
        <v>0.0646112400000001</v>
      </c>
      <c r="L765" s="12" t="n">
        <f aca="false">(1+K765)^(1/12)-1</f>
        <v>0.0052311096965727</v>
      </c>
    </row>
    <row r="766" customFormat="false" ht="15" hidden="false" customHeight="false" outlineLevel="0" collapsed="false">
      <c r="A766" s="4" t="n">
        <v>762</v>
      </c>
      <c r="B766" s="14" t="n">
        <f aca="false">A766/12</f>
        <v>63.5</v>
      </c>
      <c r="C766" s="15" t="n">
        <f aca="false">INT(A766/6)</f>
        <v>127</v>
      </c>
      <c r="D766" s="16" t="n">
        <f aca="false">IF(C766=0,(1+Dic2025!$G$6)^(-B766),EXP(LN(INDEX(Dic2025!$H$6:$H$205,C766))+(LN(INDEX(Dic2025!$H$6:$H$205,MIN(C766+1,200)))-LN(INDEX(Dic2025!$H$6:$H$205,C766)))*(A766-6*C766)/6))</f>
        <v>0.0187658616745577</v>
      </c>
      <c r="E766" s="12" t="n">
        <f aca="false">D766^(-1/B766)-1</f>
        <v>0.0646112400000001</v>
      </c>
      <c r="F766" s="12" t="n">
        <f aca="false">(1+E766)^(1/12)-1</f>
        <v>0.0052311096965727</v>
      </c>
      <c r="G766" s="16" t="n">
        <f aca="false">IF(C766=0,(1+Dic2025!$J$6)^(-B766),EXP(LN(INDEX(Dic2025!$K$6:$K$205,C766))+(LN(INDEX(Dic2025!$K$6:$K$205,MIN(C766+1,200)))-LN(INDEX(Dic2025!$K$6:$K$205,C766)))*(A766-6*C766)/6))</f>
        <v>0.0187658616745577</v>
      </c>
      <c r="H766" s="12" t="n">
        <f aca="false">G766^(-1/B766)-1</f>
        <v>0.0646112400000001</v>
      </c>
      <c r="I766" s="12" t="n">
        <f aca="false">(1+H766)^(1/12)-1</f>
        <v>0.0052311096965727</v>
      </c>
      <c r="J766" s="16" t="n">
        <f aca="false">IF(C766=0,(1+Dic2025!$M$6)^(-B766),EXP(LN(INDEX(Dic2025!$N$6:$N$205,C766))+(LN(INDEX(Dic2025!$N$6:$N$205,MIN(C766+1,200)))-LN(INDEX(Dic2025!$N$6:$N$205,C766)))*(A766-6*C766)/6))</f>
        <v>0.0187658616745577</v>
      </c>
      <c r="K766" s="12" t="n">
        <f aca="false">J766^(-1/B766)-1</f>
        <v>0.0646112400000001</v>
      </c>
      <c r="L766" s="12" t="n">
        <f aca="false">(1+K766)^(1/12)-1</f>
        <v>0.0052311096965727</v>
      </c>
    </row>
    <row r="767" customFormat="false" ht="15" hidden="false" customHeight="false" outlineLevel="0" collapsed="false">
      <c r="A767" s="4" t="n">
        <v>763</v>
      </c>
      <c r="B767" s="14" t="n">
        <f aca="false">A767/12</f>
        <v>63.5833333333333</v>
      </c>
      <c r="C767" s="15" t="n">
        <f aca="false">INT(A767/6)</f>
        <v>127</v>
      </c>
      <c r="D767" s="16" t="n">
        <f aca="false">IF(C767=0,(1+Dic2025!$G$6)^(-B767),EXP(LN(INDEX(Dic2025!$H$6:$H$205,C767))+(LN(INDEX(Dic2025!$H$6:$H$205,MIN(C767+1,200)))-LN(INDEX(Dic2025!$H$6:$H$205,C767)))*(A767-6*C767)/6))</f>
        <v>0.0186682062398787</v>
      </c>
      <c r="E767" s="12" t="n">
        <f aca="false">D767^(-1/B767)-1</f>
        <v>0.0646112400000001</v>
      </c>
      <c r="F767" s="12" t="n">
        <f aca="false">(1+E767)^(1/12)-1</f>
        <v>0.0052311096965727</v>
      </c>
      <c r="G767" s="16" t="n">
        <f aca="false">IF(C767=0,(1+Dic2025!$J$6)^(-B767),EXP(LN(INDEX(Dic2025!$K$6:$K$205,C767))+(LN(INDEX(Dic2025!$K$6:$K$205,MIN(C767+1,200)))-LN(INDEX(Dic2025!$K$6:$K$205,C767)))*(A767-6*C767)/6))</f>
        <v>0.0186682062398787</v>
      </c>
      <c r="H767" s="12" t="n">
        <f aca="false">G767^(-1/B767)-1</f>
        <v>0.0646112400000001</v>
      </c>
      <c r="I767" s="12" t="n">
        <f aca="false">(1+H767)^(1/12)-1</f>
        <v>0.0052311096965727</v>
      </c>
      <c r="J767" s="16" t="n">
        <f aca="false">IF(C767=0,(1+Dic2025!$M$6)^(-B767),EXP(LN(INDEX(Dic2025!$N$6:$N$205,C767))+(LN(INDEX(Dic2025!$N$6:$N$205,MIN(C767+1,200)))-LN(INDEX(Dic2025!$N$6:$N$205,C767)))*(A767-6*C767)/6))</f>
        <v>0.0186682062398787</v>
      </c>
      <c r="K767" s="12" t="n">
        <f aca="false">J767^(-1/B767)-1</f>
        <v>0.0646112400000001</v>
      </c>
      <c r="L767" s="12" t="n">
        <f aca="false">(1+K767)^(1/12)-1</f>
        <v>0.0052311096965727</v>
      </c>
    </row>
    <row r="768" customFormat="false" ht="15" hidden="false" customHeight="false" outlineLevel="0" collapsed="false">
      <c r="A768" s="4" t="n">
        <v>764</v>
      </c>
      <c r="B768" s="14" t="n">
        <f aca="false">A768/12</f>
        <v>63.6666666666667</v>
      </c>
      <c r="C768" s="15" t="n">
        <f aca="false">INT(A768/6)</f>
        <v>127</v>
      </c>
      <c r="D768" s="16" t="n">
        <f aca="false">IF(C768=0,(1+Dic2025!$G$6)^(-B768),EXP(LN(INDEX(Dic2025!$H$6:$H$205,C768))+(LN(INDEX(Dic2025!$H$6:$H$205,MIN(C768+1,200)))-LN(INDEX(Dic2025!$H$6:$H$205,C768)))*(A768-6*C768)/6))</f>
        <v>0.0185710589931042</v>
      </c>
      <c r="E768" s="12" t="n">
        <f aca="false">D768^(-1/B768)-1</f>
        <v>0.0646112400000001</v>
      </c>
      <c r="F768" s="12" t="n">
        <f aca="false">(1+E768)^(1/12)-1</f>
        <v>0.0052311096965727</v>
      </c>
      <c r="G768" s="16" t="n">
        <f aca="false">IF(C768=0,(1+Dic2025!$J$6)^(-B768),EXP(LN(INDEX(Dic2025!$K$6:$K$205,C768))+(LN(INDEX(Dic2025!$K$6:$K$205,MIN(C768+1,200)))-LN(INDEX(Dic2025!$K$6:$K$205,C768)))*(A768-6*C768)/6))</f>
        <v>0.0185710589931042</v>
      </c>
      <c r="H768" s="12" t="n">
        <f aca="false">G768^(-1/B768)-1</f>
        <v>0.0646112400000001</v>
      </c>
      <c r="I768" s="12" t="n">
        <f aca="false">(1+H768)^(1/12)-1</f>
        <v>0.0052311096965727</v>
      </c>
      <c r="J768" s="16" t="n">
        <f aca="false">IF(C768=0,(1+Dic2025!$M$6)^(-B768),EXP(LN(INDEX(Dic2025!$N$6:$N$205,C768))+(LN(INDEX(Dic2025!$N$6:$N$205,MIN(C768+1,200)))-LN(INDEX(Dic2025!$N$6:$N$205,C768)))*(A768-6*C768)/6))</f>
        <v>0.0185710589931042</v>
      </c>
      <c r="K768" s="12" t="n">
        <f aca="false">J768^(-1/B768)-1</f>
        <v>0.0646112400000001</v>
      </c>
      <c r="L768" s="12" t="n">
        <f aca="false">(1+K768)^(1/12)-1</f>
        <v>0.0052311096965727</v>
      </c>
    </row>
    <row r="769" customFormat="false" ht="15" hidden="false" customHeight="false" outlineLevel="0" collapsed="false">
      <c r="A769" s="4" t="n">
        <v>765</v>
      </c>
      <c r="B769" s="14" t="n">
        <f aca="false">A769/12</f>
        <v>63.75</v>
      </c>
      <c r="C769" s="15" t="n">
        <f aca="false">INT(A769/6)</f>
        <v>127</v>
      </c>
      <c r="D769" s="16" t="n">
        <f aca="false">IF(C769=0,(1+Dic2025!$G$6)^(-B769),EXP(LN(INDEX(Dic2025!$H$6:$H$205,C769))+(LN(INDEX(Dic2025!$H$6:$H$205,MIN(C769+1,200)))-LN(INDEX(Dic2025!$H$6:$H$205,C769)))*(A769-6*C769)/6))</f>
        <v>0.0184744172896816</v>
      </c>
      <c r="E769" s="12" t="n">
        <f aca="false">D769^(-1/B769)-1</f>
        <v>0.0646112400000001</v>
      </c>
      <c r="F769" s="12" t="n">
        <f aca="false">(1+E769)^(1/12)-1</f>
        <v>0.0052311096965727</v>
      </c>
      <c r="G769" s="16" t="n">
        <f aca="false">IF(C769=0,(1+Dic2025!$J$6)^(-B769),EXP(LN(INDEX(Dic2025!$K$6:$K$205,C769))+(LN(INDEX(Dic2025!$K$6:$K$205,MIN(C769+1,200)))-LN(INDEX(Dic2025!$K$6:$K$205,C769)))*(A769-6*C769)/6))</f>
        <v>0.0184744172896816</v>
      </c>
      <c r="H769" s="12" t="n">
        <f aca="false">G769^(-1/B769)-1</f>
        <v>0.0646112400000001</v>
      </c>
      <c r="I769" s="12" t="n">
        <f aca="false">(1+H769)^(1/12)-1</f>
        <v>0.0052311096965727</v>
      </c>
      <c r="J769" s="16" t="n">
        <f aca="false">IF(C769=0,(1+Dic2025!$M$6)^(-B769),EXP(LN(INDEX(Dic2025!$N$6:$N$205,C769))+(LN(INDEX(Dic2025!$N$6:$N$205,MIN(C769+1,200)))-LN(INDEX(Dic2025!$N$6:$N$205,C769)))*(A769-6*C769)/6))</f>
        <v>0.0184744172896816</v>
      </c>
      <c r="K769" s="12" t="n">
        <f aca="false">J769^(-1/B769)-1</f>
        <v>0.0646112400000001</v>
      </c>
      <c r="L769" s="12" t="n">
        <f aca="false">(1+K769)^(1/12)-1</f>
        <v>0.0052311096965727</v>
      </c>
    </row>
    <row r="770" customFormat="false" ht="15" hidden="false" customHeight="false" outlineLevel="0" collapsed="false">
      <c r="A770" s="4" t="n">
        <v>766</v>
      </c>
      <c r="B770" s="14" t="n">
        <f aca="false">A770/12</f>
        <v>63.8333333333333</v>
      </c>
      <c r="C770" s="15" t="n">
        <f aca="false">INT(A770/6)</f>
        <v>127</v>
      </c>
      <c r="D770" s="16" t="n">
        <f aca="false">IF(C770=0,(1+Dic2025!$G$6)^(-B770),EXP(LN(INDEX(Dic2025!$H$6:$H$205,C770))+(LN(INDEX(Dic2025!$H$6:$H$205,MIN(C770+1,200)))-LN(INDEX(Dic2025!$H$6:$H$205,C770)))*(A770-6*C770)/6))</f>
        <v>0.0183782784988202</v>
      </c>
      <c r="E770" s="12" t="n">
        <f aca="false">D770^(-1/B770)-1</f>
        <v>0.0646112400000001</v>
      </c>
      <c r="F770" s="12" t="n">
        <f aca="false">(1+E770)^(1/12)-1</f>
        <v>0.0052311096965727</v>
      </c>
      <c r="G770" s="16" t="n">
        <f aca="false">IF(C770=0,(1+Dic2025!$J$6)^(-B770),EXP(LN(INDEX(Dic2025!$K$6:$K$205,C770))+(LN(INDEX(Dic2025!$K$6:$K$205,MIN(C770+1,200)))-LN(INDEX(Dic2025!$K$6:$K$205,C770)))*(A770-6*C770)/6))</f>
        <v>0.0183782784988202</v>
      </c>
      <c r="H770" s="12" t="n">
        <f aca="false">G770^(-1/B770)-1</f>
        <v>0.0646112400000001</v>
      </c>
      <c r="I770" s="12" t="n">
        <f aca="false">(1+H770)^(1/12)-1</f>
        <v>0.0052311096965727</v>
      </c>
      <c r="J770" s="16" t="n">
        <f aca="false">IF(C770=0,(1+Dic2025!$M$6)^(-B770),EXP(LN(INDEX(Dic2025!$N$6:$N$205,C770))+(LN(INDEX(Dic2025!$N$6:$N$205,MIN(C770+1,200)))-LN(INDEX(Dic2025!$N$6:$N$205,C770)))*(A770-6*C770)/6))</f>
        <v>0.0183782784988202</v>
      </c>
      <c r="K770" s="12" t="n">
        <f aca="false">J770^(-1/B770)-1</f>
        <v>0.0646112400000001</v>
      </c>
      <c r="L770" s="12" t="n">
        <f aca="false">(1+K770)^(1/12)-1</f>
        <v>0.0052311096965727</v>
      </c>
    </row>
    <row r="771" customFormat="false" ht="15" hidden="false" customHeight="false" outlineLevel="0" collapsed="false">
      <c r="A771" s="4" t="n">
        <v>767</v>
      </c>
      <c r="B771" s="14" t="n">
        <f aca="false">A771/12</f>
        <v>63.9166666666667</v>
      </c>
      <c r="C771" s="15" t="n">
        <f aca="false">INT(A771/6)</f>
        <v>127</v>
      </c>
      <c r="D771" s="16" t="n">
        <f aca="false">IF(C771=0,(1+Dic2025!$G$6)^(-B771),EXP(LN(INDEX(Dic2025!$H$6:$H$205,C771))+(LN(INDEX(Dic2025!$H$6:$H$205,MIN(C771+1,200)))-LN(INDEX(Dic2025!$H$6:$H$205,C771)))*(A771-6*C771)/6))</f>
        <v>0.0182826400034193</v>
      </c>
      <c r="E771" s="12" t="n">
        <f aca="false">D771^(-1/B771)-1</f>
        <v>0.0646112400000001</v>
      </c>
      <c r="F771" s="12" t="n">
        <f aca="false">(1+E771)^(1/12)-1</f>
        <v>0.0052311096965727</v>
      </c>
      <c r="G771" s="16" t="n">
        <f aca="false">IF(C771=0,(1+Dic2025!$J$6)^(-B771),EXP(LN(INDEX(Dic2025!$K$6:$K$205,C771))+(LN(INDEX(Dic2025!$K$6:$K$205,MIN(C771+1,200)))-LN(INDEX(Dic2025!$K$6:$K$205,C771)))*(A771-6*C771)/6))</f>
        <v>0.0182826400034193</v>
      </c>
      <c r="H771" s="12" t="n">
        <f aca="false">G771^(-1/B771)-1</f>
        <v>0.0646112400000001</v>
      </c>
      <c r="I771" s="12" t="n">
        <f aca="false">(1+H771)^(1/12)-1</f>
        <v>0.0052311096965727</v>
      </c>
      <c r="J771" s="16" t="n">
        <f aca="false">IF(C771=0,(1+Dic2025!$M$6)^(-B771),EXP(LN(INDEX(Dic2025!$N$6:$N$205,C771))+(LN(INDEX(Dic2025!$N$6:$N$205,MIN(C771+1,200)))-LN(INDEX(Dic2025!$N$6:$N$205,C771)))*(A771-6*C771)/6))</f>
        <v>0.0182826400034193</v>
      </c>
      <c r="K771" s="12" t="n">
        <f aca="false">J771^(-1/B771)-1</f>
        <v>0.0646112400000001</v>
      </c>
      <c r="L771" s="12" t="n">
        <f aca="false">(1+K771)^(1/12)-1</f>
        <v>0.0052311096965727</v>
      </c>
    </row>
    <row r="772" customFormat="false" ht="15" hidden="false" customHeight="false" outlineLevel="0" collapsed="false">
      <c r="A772" s="4" t="n">
        <v>768</v>
      </c>
      <c r="B772" s="14" t="n">
        <f aca="false">A772/12</f>
        <v>64</v>
      </c>
      <c r="C772" s="15" t="n">
        <f aca="false">INT(A772/6)</f>
        <v>128</v>
      </c>
      <c r="D772" s="16" t="n">
        <f aca="false">IF(C772=0,(1+Dic2025!$G$6)^(-B772),EXP(LN(INDEX(Dic2025!$H$6:$H$205,C772))+(LN(INDEX(Dic2025!$H$6:$H$205,MIN(C772+1,200)))-LN(INDEX(Dic2025!$H$6:$H$205,C772)))*(A772-6*C772)/6))</f>
        <v>0.0181874991999978</v>
      </c>
      <c r="E772" s="12" t="n">
        <f aca="false">D772^(-1/B772)-1</f>
        <v>0.0646112400000001</v>
      </c>
      <c r="F772" s="12" t="n">
        <f aca="false">(1+E772)^(1/12)-1</f>
        <v>0.0052311096965727</v>
      </c>
      <c r="G772" s="16" t="n">
        <f aca="false">IF(C772=0,(1+Dic2025!$J$6)^(-B772),EXP(LN(INDEX(Dic2025!$K$6:$K$205,C772))+(LN(INDEX(Dic2025!$K$6:$K$205,MIN(C772+1,200)))-LN(INDEX(Dic2025!$K$6:$K$205,C772)))*(A772-6*C772)/6))</f>
        <v>0.0181874991999978</v>
      </c>
      <c r="H772" s="12" t="n">
        <f aca="false">G772^(-1/B772)-1</f>
        <v>0.0646112400000001</v>
      </c>
      <c r="I772" s="12" t="n">
        <f aca="false">(1+H772)^(1/12)-1</f>
        <v>0.0052311096965727</v>
      </c>
      <c r="J772" s="16" t="n">
        <f aca="false">IF(C772=0,(1+Dic2025!$M$6)^(-B772),EXP(LN(INDEX(Dic2025!$N$6:$N$205,C772))+(LN(INDEX(Dic2025!$N$6:$N$205,MIN(C772+1,200)))-LN(INDEX(Dic2025!$N$6:$N$205,C772)))*(A772-6*C772)/6))</f>
        <v>0.0181874991999978</v>
      </c>
      <c r="K772" s="12" t="n">
        <f aca="false">J772^(-1/B772)-1</f>
        <v>0.0646112400000001</v>
      </c>
      <c r="L772" s="12" t="n">
        <f aca="false">(1+K772)^(1/12)-1</f>
        <v>0.0052311096965727</v>
      </c>
    </row>
    <row r="773" customFormat="false" ht="15" hidden="false" customHeight="false" outlineLevel="0" collapsed="false">
      <c r="A773" s="4" t="n">
        <v>769</v>
      </c>
      <c r="B773" s="14" t="n">
        <f aca="false">A773/12</f>
        <v>64.0833333333333</v>
      </c>
      <c r="C773" s="15" t="n">
        <f aca="false">INT(A773/6)</f>
        <v>128</v>
      </c>
      <c r="D773" s="16" t="n">
        <f aca="false">IF(C773=0,(1+Dic2025!$G$6)^(-B773),EXP(LN(INDEX(Dic2025!$H$6:$H$205,C773))+(LN(INDEX(Dic2025!$H$6:$H$205,MIN(C773+1,200)))-LN(INDEX(Dic2025!$H$6:$H$205,C773)))*(A773-6*C773)/6))</f>
        <v>0.0180928534986225</v>
      </c>
      <c r="E773" s="12" t="n">
        <f aca="false">D773^(-1/B773)-1</f>
        <v>0.0646112400000001</v>
      </c>
      <c r="F773" s="12" t="n">
        <f aca="false">(1+E773)^(1/12)-1</f>
        <v>0.0052311096965727</v>
      </c>
      <c r="G773" s="16" t="n">
        <f aca="false">IF(C773=0,(1+Dic2025!$J$6)^(-B773),EXP(LN(INDEX(Dic2025!$K$6:$K$205,C773))+(LN(INDEX(Dic2025!$K$6:$K$205,MIN(C773+1,200)))-LN(INDEX(Dic2025!$K$6:$K$205,C773)))*(A773-6*C773)/6))</f>
        <v>0.0180928534986225</v>
      </c>
      <c r="H773" s="12" t="n">
        <f aca="false">G773^(-1/B773)-1</f>
        <v>0.0646112400000001</v>
      </c>
      <c r="I773" s="12" t="n">
        <f aca="false">(1+H773)^(1/12)-1</f>
        <v>0.0052311096965727</v>
      </c>
      <c r="J773" s="16" t="n">
        <f aca="false">IF(C773=0,(1+Dic2025!$M$6)^(-B773),EXP(LN(INDEX(Dic2025!$N$6:$N$205,C773))+(LN(INDEX(Dic2025!$N$6:$N$205,MIN(C773+1,200)))-LN(INDEX(Dic2025!$N$6:$N$205,C773)))*(A773-6*C773)/6))</f>
        <v>0.0180928534986225</v>
      </c>
      <c r="K773" s="12" t="n">
        <f aca="false">J773^(-1/B773)-1</f>
        <v>0.0646112400000001</v>
      </c>
      <c r="L773" s="12" t="n">
        <f aca="false">(1+K773)^(1/12)-1</f>
        <v>0.0052311096965727</v>
      </c>
    </row>
    <row r="774" customFormat="false" ht="15" hidden="false" customHeight="false" outlineLevel="0" collapsed="false">
      <c r="A774" s="4" t="n">
        <v>770</v>
      </c>
      <c r="B774" s="14" t="n">
        <f aca="false">A774/12</f>
        <v>64.1666666666667</v>
      </c>
      <c r="C774" s="15" t="n">
        <f aca="false">INT(A774/6)</f>
        <v>128</v>
      </c>
      <c r="D774" s="16" t="n">
        <f aca="false">IF(C774=0,(1+Dic2025!$G$6)^(-B774),EXP(LN(INDEX(Dic2025!$H$6:$H$205,C774))+(LN(INDEX(Dic2025!$H$6:$H$205,MIN(C774+1,200)))-LN(INDEX(Dic2025!$H$6:$H$205,C774)))*(A774-6*C774)/6))</f>
        <v>0.017998700322838</v>
      </c>
      <c r="E774" s="12" t="n">
        <f aca="false">D774^(-1/B774)-1</f>
        <v>0.0646112400000001</v>
      </c>
      <c r="F774" s="12" t="n">
        <f aca="false">(1+E774)^(1/12)-1</f>
        <v>0.0052311096965727</v>
      </c>
      <c r="G774" s="16" t="n">
        <f aca="false">IF(C774=0,(1+Dic2025!$J$6)^(-B774),EXP(LN(INDEX(Dic2025!$K$6:$K$205,C774))+(LN(INDEX(Dic2025!$K$6:$K$205,MIN(C774+1,200)))-LN(INDEX(Dic2025!$K$6:$K$205,C774)))*(A774-6*C774)/6))</f>
        <v>0.017998700322838</v>
      </c>
      <c r="H774" s="12" t="n">
        <f aca="false">G774^(-1/B774)-1</f>
        <v>0.0646112400000001</v>
      </c>
      <c r="I774" s="12" t="n">
        <f aca="false">(1+H774)^(1/12)-1</f>
        <v>0.0052311096965727</v>
      </c>
      <c r="J774" s="16" t="n">
        <f aca="false">IF(C774=0,(1+Dic2025!$M$6)^(-B774),EXP(LN(INDEX(Dic2025!$N$6:$N$205,C774))+(LN(INDEX(Dic2025!$N$6:$N$205,MIN(C774+1,200)))-LN(INDEX(Dic2025!$N$6:$N$205,C774)))*(A774-6*C774)/6))</f>
        <v>0.017998700322838</v>
      </c>
      <c r="K774" s="12" t="n">
        <f aca="false">J774^(-1/B774)-1</f>
        <v>0.0646112400000001</v>
      </c>
      <c r="L774" s="12" t="n">
        <f aca="false">(1+K774)^(1/12)-1</f>
        <v>0.0052311096965727</v>
      </c>
    </row>
    <row r="775" customFormat="false" ht="15" hidden="false" customHeight="false" outlineLevel="0" collapsed="false">
      <c r="A775" s="4" t="n">
        <v>771</v>
      </c>
      <c r="B775" s="14" t="n">
        <f aca="false">A775/12</f>
        <v>64.25</v>
      </c>
      <c r="C775" s="15" t="n">
        <f aca="false">INT(A775/6)</f>
        <v>128</v>
      </c>
      <c r="D775" s="16" t="n">
        <f aca="false">IF(C775=0,(1+Dic2025!$G$6)^(-B775),EXP(LN(INDEX(Dic2025!$H$6:$H$205,C775))+(LN(INDEX(Dic2025!$H$6:$H$205,MIN(C775+1,200)))-LN(INDEX(Dic2025!$H$6:$H$205,C775)))*(A775-6*C775)/6))</f>
        <v>0.0179050371095965</v>
      </c>
      <c r="E775" s="12" t="n">
        <f aca="false">D775^(-1/B775)-1</f>
        <v>0.0646112400000001</v>
      </c>
      <c r="F775" s="12" t="n">
        <f aca="false">(1+E775)^(1/12)-1</f>
        <v>0.0052311096965727</v>
      </c>
      <c r="G775" s="16" t="n">
        <f aca="false">IF(C775=0,(1+Dic2025!$J$6)^(-B775),EXP(LN(INDEX(Dic2025!$K$6:$K$205,C775))+(LN(INDEX(Dic2025!$K$6:$K$205,MIN(C775+1,200)))-LN(INDEX(Dic2025!$K$6:$K$205,C775)))*(A775-6*C775)/6))</f>
        <v>0.0179050371095965</v>
      </c>
      <c r="H775" s="12" t="n">
        <f aca="false">G775^(-1/B775)-1</f>
        <v>0.0646112400000001</v>
      </c>
      <c r="I775" s="12" t="n">
        <f aca="false">(1+H775)^(1/12)-1</f>
        <v>0.0052311096965727</v>
      </c>
      <c r="J775" s="16" t="n">
        <f aca="false">IF(C775=0,(1+Dic2025!$M$6)^(-B775),EXP(LN(INDEX(Dic2025!$N$6:$N$205,C775))+(LN(INDEX(Dic2025!$N$6:$N$205,MIN(C775+1,200)))-LN(INDEX(Dic2025!$N$6:$N$205,C775)))*(A775-6*C775)/6))</f>
        <v>0.0179050371095965</v>
      </c>
      <c r="K775" s="12" t="n">
        <f aca="false">J775^(-1/B775)-1</f>
        <v>0.0646112400000001</v>
      </c>
      <c r="L775" s="12" t="n">
        <f aca="false">(1+K775)^(1/12)-1</f>
        <v>0.0052311096965727</v>
      </c>
    </row>
    <row r="776" customFormat="false" ht="15" hidden="false" customHeight="false" outlineLevel="0" collapsed="false">
      <c r="A776" s="4" t="n">
        <v>772</v>
      </c>
      <c r="B776" s="14" t="n">
        <f aca="false">A776/12</f>
        <v>64.3333333333333</v>
      </c>
      <c r="C776" s="15" t="n">
        <f aca="false">INT(A776/6)</f>
        <v>128</v>
      </c>
      <c r="D776" s="16" t="n">
        <f aca="false">IF(C776=0,(1+Dic2025!$G$6)^(-B776),EXP(LN(INDEX(Dic2025!$H$6:$H$205,C776))+(LN(INDEX(Dic2025!$H$6:$H$205,MIN(C776+1,200)))-LN(INDEX(Dic2025!$H$6:$H$205,C776)))*(A776-6*C776)/6))</f>
        <v>0.017811861309188</v>
      </c>
      <c r="E776" s="12" t="n">
        <f aca="false">D776^(-1/B776)-1</f>
        <v>0.0646112400000001</v>
      </c>
      <c r="F776" s="12" t="n">
        <f aca="false">(1+E776)^(1/12)-1</f>
        <v>0.0052311096965727</v>
      </c>
      <c r="G776" s="16" t="n">
        <f aca="false">IF(C776=0,(1+Dic2025!$J$6)^(-B776),EXP(LN(INDEX(Dic2025!$K$6:$K$205,C776))+(LN(INDEX(Dic2025!$K$6:$K$205,MIN(C776+1,200)))-LN(INDEX(Dic2025!$K$6:$K$205,C776)))*(A776-6*C776)/6))</f>
        <v>0.017811861309188</v>
      </c>
      <c r="H776" s="12" t="n">
        <f aca="false">G776^(-1/B776)-1</f>
        <v>0.0646112400000001</v>
      </c>
      <c r="I776" s="12" t="n">
        <f aca="false">(1+H776)^(1/12)-1</f>
        <v>0.0052311096965727</v>
      </c>
      <c r="J776" s="16" t="n">
        <f aca="false">IF(C776=0,(1+Dic2025!$M$6)^(-B776),EXP(LN(INDEX(Dic2025!$N$6:$N$205,C776))+(LN(INDEX(Dic2025!$N$6:$N$205,MIN(C776+1,200)))-LN(INDEX(Dic2025!$N$6:$N$205,C776)))*(A776-6*C776)/6))</f>
        <v>0.017811861309188</v>
      </c>
      <c r="K776" s="12" t="n">
        <f aca="false">J776^(-1/B776)-1</f>
        <v>0.0646112400000001</v>
      </c>
      <c r="L776" s="12" t="n">
        <f aca="false">(1+K776)^(1/12)-1</f>
        <v>0.0052311096965727</v>
      </c>
    </row>
    <row r="777" customFormat="false" ht="15" hidden="false" customHeight="false" outlineLevel="0" collapsed="false">
      <c r="A777" s="4" t="n">
        <v>773</v>
      </c>
      <c r="B777" s="14" t="n">
        <f aca="false">A777/12</f>
        <v>64.4166666666667</v>
      </c>
      <c r="C777" s="15" t="n">
        <f aca="false">INT(A777/6)</f>
        <v>128</v>
      </c>
      <c r="D777" s="16" t="n">
        <f aca="false">IF(C777=0,(1+Dic2025!$G$6)^(-B777),EXP(LN(INDEX(Dic2025!$H$6:$H$205,C777))+(LN(INDEX(Dic2025!$H$6:$H$205,MIN(C777+1,200)))-LN(INDEX(Dic2025!$H$6:$H$205,C777)))*(A777-6*C777)/6))</f>
        <v>0.0177191703851709</v>
      </c>
      <c r="E777" s="12" t="n">
        <f aca="false">D777^(-1/B777)-1</f>
        <v>0.0646112400000001</v>
      </c>
      <c r="F777" s="12" t="n">
        <f aca="false">(1+E777)^(1/12)-1</f>
        <v>0.0052311096965727</v>
      </c>
      <c r="G777" s="16" t="n">
        <f aca="false">IF(C777=0,(1+Dic2025!$J$6)^(-B777),EXP(LN(INDEX(Dic2025!$K$6:$K$205,C777))+(LN(INDEX(Dic2025!$K$6:$K$205,MIN(C777+1,200)))-LN(INDEX(Dic2025!$K$6:$K$205,C777)))*(A777-6*C777)/6))</f>
        <v>0.0177191703851709</v>
      </c>
      <c r="H777" s="12" t="n">
        <f aca="false">G777^(-1/B777)-1</f>
        <v>0.0646112400000001</v>
      </c>
      <c r="I777" s="12" t="n">
        <f aca="false">(1+H777)^(1/12)-1</f>
        <v>0.0052311096965727</v>
      </c>
      <c r="J777" s="16" t="n">
        <f aca="false">IF(C777=0,(1+Dic2025!$M$6)^(-B777),EXP(LN(INDEX(Dic2025!$N$6:$N$205,C777))+(LN(INDEX(Dic2025!$N$6:$N$205,MIN(C777+1,200)))-LN(INDEX(Dic2025!$N$6:$N$205,C777)))*(A777-6*C777)/6))</f>
        <v>0.0177191703851709</v>
      </c>
      <c r="K777" s="12" t="n">
        <f aca="false">J777^(-1/B777)-1</f>
        <v>0.0646112400000001</v>
      </c>
      <c r="L777" s="12" t="n">
        <f aca="false">(1+K777)^(1/12)-1</f>
        <v>0.0052311096965727</v>
      </c>
    </row>
    <row r="778" customFormat="false" ht="15" hidden="false" customHeight="false" outlineLevel="0" collapsed="false">
      <c r="A778" s="4" t="n">
        <v>774</v>
      </c>
      <c r="B778" s="14" t="n">
        <f aca="false">A778/12</f>
        <v>64.5</v>
      </c>
      <c r="C778" s="15" t="n">
        <f aca="false">INT(A778/6)</f>
        <v>129</v>
      </c>
      <c r="D778" s="16" t="n">
        <f aca="false">IF(C778=0,(1+Dic2025!$G$6)^(-B778),EXP(LN(INDEX(Dic2025!$H$6:$H$205,C778))+(LN(INDEX(Dic2025!$H$6:$H$205,MIN(C778+1,200)))-LN(INDEX(Dic2025!$H$6:$H$205,C778)))*(A778-6*C778)/6))</f>
        <v>0.017626961814303</v>
      </c>
      <c r="E778" s="12" t="n">
        <f aca="false">D778^(-1/B778)-1</f>
        <v>0.0646112400000001</v>
      </c>
      <c r="F778" s="12" t="n">
        <f aca="false">(1+E778)^(1/12)-1</f>
        <v>0.0052311096965727</v>
      </c>
      <c r="G778" s="16" t="n">
        <f aca="false">IF(C778=0,(1+Dic2025!$J$6)^(-B778),EXP(LN(INDEX(Dic2025!$K$6:$K$205,C778))+(LN(INDEX(Dic2025!$K$6:$K$205,MIN(C778+1,200)))-LN(INDEX(Dic2025!$K$6:$K$205,C778)))*(A778-6*C778)/6))</f>
        <v>0.017626961814303</v>
      </c>
      <c r="H778" s="12" t="n">
        <f aca="false">G778^(-1/B778)-1</f>
        <v>0.0646112400000001</v>
      </c>
      <c r="I778" s="12" t="n">
        <f aca="false">(1+H778)^(1/12)-1</f>
        <v>0.0052311096965727</v>
      </c>
      <c r="J778" s="16" t="n">
        <f aca="false">IF(C778=0,(1+Dic2025!$M$6)^(-B778),EXP(LN(INDEX(Dic2025!$N$6:$N$205,C778))+(LN(INDEX(Dic2025!$N$6:$N$205,MIN(C778+1,200)))-LN(INDEX(Dic2025!$N$6:$N$205,C778)))*(A778-6*C778)/6))</f>
        <v>0.017626961814303</v>
      </c>
      <c r="K778" s="12" t="n">
        <f aca="false">J778^(-1/B778)-1</f>
        <v>0.0646112400000001</v>
      </c>
      <c r="L778" s="12" t="n">
        <f aca="false">(1+K778)^(1/12)-1</f>
        <v>0.0052311096965727</v>
      </c>
    </row>
    <row r="779" customFormat="false" ht="15" hidden="false" customHeight="false" outlineLevel="0" collapsed="false">
      <c r="A779" s="4" t="n">
        <v>775</v>
      </c>
      <c r="B779" s="14" t="n">
        <f aca="false">A779/12</f>
        <v>64.5833333333333</v>
      </c>
      <c r="C779" s="15" t="n">
        <f aca="false">INT(A779/6)</f>
        <v>129</v>
      </c>
      <c r="D779" s="16" t="n">
        <f aca="false">IF(C779=0,(1+Dic2025!$G$6)^(-B779),EXP(LN(INDEX(Dic2025!$H$6:$H$205,C779))+(LN(INDEX(Dic2025!$H$6:$H$205,MIN(C779+1,200)))-LN(INDEX(Dic2025!$H$6:$H$205,C779)))*(A779-6*C779)/6))</f>
        <v>0.0175168321622824</v>
      </c>
      <c r="E779" s="12" t="n">
        <f aca="false">D779^(-1/B779)-1</f>
        <v>0.0646285473342427</v>
      </c>
      <c r="F779" s="12" t="n">
        <f aca="false">(1+E779)^(1/12)-1</f>
        <v>0.0052324715192833</v>
      </c>
      <c r="G779" s="16" t="n">
        <f aca="false">IF(C779=0,(1+Dic2025!$J$6)^(-B779),EXP(LN(INDEX(Dic2025!$K$6:$K$205,C779))+(LN(INDEX(Dic2025!$K$6:$K$205,MIN(C779+1,200)))-LN(INDEX(Dic2025!$K$6:$K$205,C779)))*(A779-6*C779)/6))</f>
        <v>0.0175168321622824</v>
      </c>
      <c r="H779" s="12" t="n">
        <f aca="false">G779^(-1/B779)-1</f>
        <v>0.0646285473342427</v>
      </c>
      <c r="I779" s="12" t="n">
        <f aca="false">(1+H779)^(1/12)-1</f>
        <v>0.0052324715192833</v>
      </c>
      <c r="J779" s="16" t="n">
        <f aca="false">IF(C779=0,(1+Dic2025!$M$6)^(-B779),EXP(LN(INDEX(Dic2025!$N$6:$N$205,C779))+(LN(INDEX(Dic2025!$N$6:$N$205,MIN(C779+1,200)))-LN(INDEX(Dic2025!$N$6:$N$205,C779)))*(A779-6*C779)/6))</f>
        <v>0.0175168321622824</v>
      </c>
      <c r="K779" s="12" t="n">
        <f aca="false">J779^(-1/B779)-1</f>
        <v>0.0646285473342427</v>
      </c>
      <c r="L779" s="12" t="n">
        <f aca="false">(1+K779)^(1/12)-1</f>
        <v>0.0052324715192833</v>
      </c>
    </row>
    <row r="780" customFormat="false" ht="15" hidden="false" customHeight="false" outlineLevel="0" collapsed="false">
      <c r="A780" s="4" t="n">
        <v>776</v>
      </c>
      <c r="B780" s="14" t="n">
        <f aca="false">A780/12</f>
        <v>64.6666666666667</v>
      </c>
      <c r="C780" s="15" t="n">
        <f aca="false">INT(A780/6)</f>
        <v>129</v>
      </c>
      <c r="D780" s="16" t="n">
        <f aca="false">IF(C780=0,(1+Dic2025!$G$6)^(-B780),EXP(LN(INDEX(Dic2025!$H$6:$H$205,C780))+(LN(INDEX(Dic2025!$H$6:$H$205,MIN(C780+1,200)))-LN(INDEX(Dic2025!$H$6:$H$205,C780)))*(A780-6*C780)/6))</f>
        <v>0.0174073905778019</v>
      </c>
      <c r="E780" s="12" t="n">
        <f aca="false">D780^(-1/B780)-1</f>
        <v>0.0646458103422314</v>
      </c>
      <c r="F780" s="12" t="n">
        <f aca="false">(1+E780)^(1/12)-1</f>
        <v>0.00523382983397935</v>
      </c>
      <c r="G780" s="16" t="n">
        <f aca="false">IF(C780=0,(1+Dic2025!$J$6)^(-B780),EXP(LN(INDEX(Dic2025!$K$6:$K$205,C780))+(LN(INDEX(Dic2025!$K$6:$K$205,MIN(C780+1,200)))-LN(INDEX(Dic2025!$K$6:$K$205,C780)))*(A780-6*C780)/6))</f>
        <v>0.0174073905778019</v>
      </c>
      <c r="H780" s="12" t="n">
        <f aca="false">G780^(-1/B780)-1</f>
        <v>0.0646458103422314</v>
      </c>
      <c r="I780" s="12" t="n">
        <f aca="false">(1+H780)^(1/12)-1</f>
        <v>0.00523382983397935</v>
      </c>
      <c r="J780" s="16" t="n">
        <f aca="false">IF(C780=0,(1+Dic2025!$M$6)^(-B780),EXP(LN(INDEX(Dic2025!$N$6:$N$205,C780))+(LN(INDEX(Dic2025!$N$6:$N$205,MIN(C780+1,200)))-LN(INDEX(Dic2025!$N$6:$N$205,C780)))*(A780-6*C780)/6))</f>
        <v>0.0174073905778019</v>
      </c>
      <c r="K780" s="12" t="n">
        <f aca="false">J780^(-1/B780)-1</f>
        <v>0.0646458103422314</v>
      </c>
      <c r="L780" s="12" t="n">
        <f aca="false">(1+K780)^(1/12)-1</f>
        <v>0.00523382983397935</v>
      </c>
    </row>
    <row r="781" customFormat="false" ht="15" hidden="false" customHeight="false" outlineLevel="0" collapsed="false">
      <c r="A781" s="4" t="n">
        <v>777</v>
      </c>
      <c r="B781" s="14" t="n">
        <f aca="false">A781/12</f>
        <v>64.75</v>
      </c>
      <c r="C781" s="15" t="n">
        <f aca="false">INT(A781/6)</f>
        <v>129</v>
      </c>
      <c r="D781" s="16" t="n">
        <f aca="false">IF(C781=0,(1+Dic2025!$G$6)^(-B781),EXP(LN(INDEX(Dic2025!$H$6:$H$205,C781))+(LN(INDEX(Dic2025!$H$6:$H$205,MIN(C781+1,200)))-LN(INDEX(Dic2025!$H$6:$H$205,C781)))*(A781-6*C781)/6))</f>
        <v>0.0172986327619561</v>
      </c>
      <c r="E781" s="12" t="n">
        <f aca="false">D781^(-1/B781)-1</f>
        <v>0.064663029194034</v>
      </c>
      <c r="F781" s="12" t="n">
        <f aca="false">(1+E781)^(1/12)-1</f>
        <v>0.00523518465419803</v>
      </c>
      <c r="G781" s="16" t="n">
        <f aca="false">IF(C781=0,(1+Dic2025!$J$6)^(-B781),EXP(LN(INDEX(Dic2025!$K$6:$K$205,C781))+(LN(INDEX(Dic2025!$K$6:$K$205,MIN(C781+1,200)))-LN(INDEX(Dic2025!$K$6:$K$205,C781)))*(A781-6*C781)/6))</f>
        <v>0.0172986327619561</v>
      </c>
      <c r="H781" s="12" t="n">
        <f aca="false">G781^(-1/B781)-1</f>
        <v>0.064663029194034</v>
      </c>
      <c r="I781" s="12" t="n">
        <f aca="false">(1+H781)^(1/12)-1</f>
        <v>0.00523518465419803</v>
      </c>
      <c r="J781" s="16" t="n">
        <f aca="false">IF(C781=0,(1+Dic2025!$M$6)^(-B781),EXP(LN(INDEX(Dic2025!$N$6:$N$205,C781))+(LN(INDEX(Dic2025!$N$6:$N$205,MIN(C781+1,200)))-LN(INDEX(Dic2025!$N$6:$N$205,C781)))*(A781-6*C781)/6))</f>
        <v>0.0172986327619561</v>
      </c>
      <c r="K781" s="12" t="n">
        <f aca="false">J781^(-1/B781)-1</f>
        <v>0.064663029194034</v>
      </c>
      <c r="L781" s="12" t="n">
        <f aca="false">(1+K781)^(1/12)-1</f>
        <v>0.00523518465419803</v>
      </c>
    </row>
    <row r="782" customFormat="false" ht="15" hidden="false" customHeight="false" outlineLevel="0" collapsed="false">
      <c r="A782" s="4" t="n">
        <v>778</v>
      </c>
      <c r="B782" s="14" t="n">
        <f aca="false">A782/12</f>
        <v>64.8333333333333</v>
      </c>
      <c r="C782" s="15" t="n">
        <f aca="false">INT(A782/6)</f>
        <v>129</v>
      </c>
      <c r="D782" s="16" t="n">
        <f aca="false">IF(C782=0,(1+Dic2025!$G$6)^(-B782),EXP(LN(INDEX(Dic2025!$H$6:$H$205,C782))+(LN(INDEX(Dic2025!$H$6:$H$205,MIN(C782+1,200)))-LN(INDEX(Dic2025!$H$6:$H$205,C782)))*(A782-6*C782)/6))</f>
        <v>0.0171905544426986</v>
      </c>
      <c r="E782" s="12" t="n">
        <f aca="false">D782^(-1/B782)-1</f>
        <v>0.064680204058849</v>
      </c>
      <c r="F782" s="12" t="n">
        <f aca="false">(1+E782)^(1/12)-1</f>
        <v>0.00523653599340745</v>
      </c>
      <c r="G782" s="16" t="n">
        <f aca="false">IF(C782=0,(1+Dic2025!$J$6)^(-B782),EXP(LN(INDEX(Dic2025!$K$6:$K$205,C782))+(LN(INDEX(Dic2025!$K$6:$K$205,MIN(C782+1,200)))-LN(INDEX(Dic2025!$K$6:$K$205,C782)))*(A782-6*C782)/6))</f>
        <v>0.0171905544426986</v>
      </c>
      <c r="H782" s="12" t="n">
        <f aca="false">G782^(-1/B782)-1</f>
        <v>0.064680204058849</v>
      </c>
      <c r="I782" s="12" t="n">
        <f aca="false">(1+H782)^(1/12)-1</f>
        <v>0.00523653599340745</v>
      </c>
      <c r="J782" s="16" t="n">
        <f aca="false">IF(C782=0,(1+Dic2025!$M$6)^(-B782),EXP(LN(INDEX(Dic2025!$N$6:$N$205,C782))+(LN(INDEX(Dic2025!$N$6:$N$205,MIN(C782+1,200)))-LN(INDEX(Dic2025!$N$6:$N$205,C782)))*(A782-6*C782)/6))</f>
        <v>0.0171905544426986</v>
      </c>
      <c r="K782" s="12" t="n">
        <f aca="false">J782^(-1/B782)-1</f>
        <v>0.064680204058849</v>
      </c>
      <c r="L782" s="12" t="n">
        <f aca="false">(1+K782)^(1/12)-1</f>
        <v>0.00523653599340745</v>
      </c>
    </row>
    <row r="783" customFormat="false" ht="15" hidden="false" customHeight="false" outlineLevel="0" collapsed="false">
      <c r="A783" s="4" t="n">
        <v>779</v>
      </c>
      <c r="B783" s="14" t="n">
        <f aca="false">A783/12</f>
        <v>64.9166666666667</v>
      </c>
      <c r="C783" s="15" t="n">
        <f aca="false">INT(A783/6)</f>
        <v>129</v>
      </c>
      <c r="D783" s="16" t="n">
        <f aca="false">IF(C783=0,(1+Dic2025!$G$6)^(-B783),EXP(LN(INDEX(Dic2025!$H$6:$H$205,C783))+(LN(INDEX(Dic2025!$H$6:$H$205,MIN(C783+1,200)))-LN(INDEX(Dic2025!$H$6:$H$205,C783)))*(A783-6*C783)/6))</f>
        <v>0.0170831513746737</v>
      </c>
      <c r="E783" s="12" t="n">
        <f aca="false">D783^(-1/B783)-1</f>
        <v>0.0646973351050117</v>
      </c>
      <c r="F783" s="12" t="n">
        <f aca="false">(1+E783)^(1/12)-1</f>
        <v>0.00523788386500623</v>
      </c>
      <c r="G783" s="16" t="n">
        <f aca="false">IF(C783=0,(1+Dic2025!$J$6)^(-B783),EXP(LN(INDEX(Dic2025!$K$6:$K$205,C783))+(LN(INDEX(Dic2025!$K$6:$K$205,MIN(C783+1,200)))-LN(INDEX(Dic2025!$K$6:$K$205,C783)))*(A783-6*C783)/6))</f>
        <v>0.0170831513746737</v>
      </c>
      <c r="H783" s="12" t="n">
        <f aca="false">G783^(-1/B783)-1</f>
        <v>0.0646973351050117</v>
      </c>
      <c r="I783" s="12" t="n">
        <f aca="false">(1+H783)^(1/12)-1</f>
        <v>0.00523788386500623</v>
      </c>
      <c r="J783" s="16" t="n">
        <f aca="false">IF(C783=0,(1+Dic2025!$M$6)^(-B783),EXP(LN(INDEX(Dic2025!$N$6:$N$205,C783))+(LN(INDEX(Dic2025!$N$6:$N$205,MIN(C783+1,200)))-LN(INDEX(Dic2025!$N$6:$N$205,C783)))*(A783-6*C783)/6))</f>
        <v>0.0170831513746737</v>
      </c>
      <c r="K783" s="12" t="n">
        <f aca="false">J783^(-1/B783)-1</f>
        <v>0.0646973351050117</v>
      </c>
      <c r="L783" s="12" t="n">
        <f aca="false">(1+K783)^(1/12)-1</f>
        <v>0.00523788386500623</v>
      </c>
    </row>
    <row r="784" customFormat="false" ht="15" hidden="false" customHeight="false" outlineLevel="0" collapsed="false">
      <c r="A784" s="4" t="n">
        <v>780</v>
      </c>
      <c r="B784" s="14" t="n">
        <f aca="false">A784/12</f>
        <v>65</v>
      </c>
      <c r="C784" s="15" t="n">
        <f aca="false">INT(A784/6)</f>
        <v>130</v>
      </c>
      <c r="D784" s="16" t="n">
        <f aca="false">IF(C784=0,(1+Dic2025!$G$6)^(-B784),EXP(LN(INDEX(Dic2025!$H$6:$H$205,C784))+(LN(INDEX(Dic2025!$H$6:$H$205,MIN(C784+1,200)))-LN(INDEX(Dic2025!$H$6:$H$205,C784)))*(A784-6*C784)/6))</f>
        <v>0.0169764193390496</v>
      </c>
      <c r="E784" s="12" t="n">
        <f aca="false">D784^(-1/B784)-1</f>
        <v>0.0647144224999998</v>
      </c>
      <c r="F784" s="12" t="n">
        <f aca="false">(1+E784)^(1/12)-1</f>
        <v>0.00523922828232437</v>
      </c>
      <c r="G784" s="16" t="n">
        <f aca="false">IF(C784=0,(1+Dic2025!$J$6)^(-B784),EXP(LN(INDEX(Dic2025!$K$6:$K$205,C784))+(LN(INDEX(Dic2025!$K$6:$K$205,MIN(C784+1,200)))-LN(INDEX(Dic2025!$K$6:$K$205,C784)))*(A784-6*C784)/6))</f>
        <v>0.0169764193390496</v>
      </c>
      <c r="H784" s="12" t="n">
        <f aca="false">G784^(-1/B784)-1</f>
        <v>0.0647144224999998</v>
      </c>
      <c r="I784" s="12" t="n">
        <f aca="false">(1+H784)^(1/12)-1</f>
        <v>0.00523922828232437</v>
      </c>
      <c r="J784" s="16" t="n">
        <f aca="false">IF(C784=0,(1+Dic2025!$M$6)^(-B784),EXP(LN(INDEX(Dic2025!$N$6:$N$205,C784))+(LN(INDEX(Dic2025!$N$6:$N$205,MIN(C784+1,200)))-LN(INDEX(Dic2025!$N$6:$N$205,C784)))*(A784-6*C784)/6))</f>
        <v>0.0169764193390496</v>
      </c>
      <c r="K784" s="12" t="n">
        <f aca="false">J784^(-1/B784)-1</f>
        <v>0.0647144224999998</v>
      </c>
      <c r="L784" s="12" t="n">
        <f aca="false">(1+K784)^(1/12)-1</f>
        <v>0.00523922828232437</v>
      </c>
    </row>
    <row r="785" customFormat="false" ht="15" hidden="false" customHeight="false" outlineLevel="0" collapsed="false">
      <c r="A785" s="4" t="n">
        <v>781</v>
      </c>
      <c r="B785" s="14" t="n">
        <f aca="false">A785/12</f>
        <v>65.0833333333333</v>
      </c>
      <c r="C785" s="15" t="n">
        <f aca="false">INT(A785/6)</f>
        <v>130</v>
      </c>
      <c r="D785" s="16" t="n">
        <f aca="false">IF(C785=0,(1+Dic2025!$G$6)^(-B785),EXP(LN(INDEX(Dic2025!$H$6:$H$205,C785))+(LN(INDEX(Dic2025!$H$6:$H$205,MIN(C785+1,200)))-LN(INDEX(Dic2025!$H$6:$H$205,C785)))*(A785-6*C785)/6))</f>
        <v>0.0168879395684325</v>
      </c>
      <c r="E785" s="12" t="n">
        <f aca="false">D785^(-1/B785)-1</f>
        <v>0.0647144224999998</v>
      </c>
      <c r="F785" s="12" t="n">
        <f aca="false">(1+E785)^(1/12)-1</f>
        <v>0.00523922828232437</v>
      </c>
      <c r="G785" s="16" t="n">
        <f aca="false">IF(C785=0,(1+Dic2025!$J$6)^(-B785),EXP(LN(INDEX(Dic2025!$K$6:$K$205,C785))+(LN(INDEX(Dic2025!$K$6:$K$205,MIN(C785+1,200)))-LN(INDEX(Dic2025!$K$6:$K$205,C785)))*(A785-6*C785)/6))</f>
        <v>0.0168879395684325</v>
      </c>
      <c r="H785" s="12" t="n">
        <f aca="false">G785^(-1/B785)-1</f>
        <v>0.0647144224999998</v>
      </c>
      <c r="I785" s="12" t="n">
        <f aca="false">(1+H785)^(1/12)-1</f>
        <v>0.00523922828232437</v>
      </c>
      <c r="J785" s="16" t="n">
        <f aca="false">IF(C785=0,(1+Dic2025!$M$6)^(-B785),EXP(LN(INDEX(Dic2025!$N$6:$N$205,C785))+(LN(INDEX(Dic2025!$N$6:$N$205,MIN(C785+1,200)))-LN(INDEX(Dic2025!$N$6:$N$205,C785)))*(A785-6*C785)/6))</f>
        <v>0.0168879395684325</v>
      </c>
      <c r="K785" s="12" t="n">
        <f aca="false">J785^(-1/B785)-1</f>
        <v>0.0647144224999998</v>
      </c>
      <c r="L785" s="12" t="n">
        <f aca="false">(1+K785)^(1/12)-1</f>
        <v>0.00523922828232437</v>
      </c>
    </row>
    <row r="786" customFormat="false" ht="15" hidden="false" customHeight="false" outlineLevel="0" collapsed="false">
      <c r="A786" s="4" t="n">
        <v>782</v>
      </c>
      <c r="B786" s="14" t="n">
        <f aca="false">A786/12</f>
        <v>65.1666666666667</v>
      </c>
      <c r="C786" s="15" t="n">
        <f aca="false">INT(A786/6)</f>
        <v>130</v>
      </c>
      <c r="D786" s="16" t="n">
        <f aca="false">IF(C786=0,(1+Dic2025!$G$6)^(-B786),EXP(LN(INDEX(Dic2025!$H$6:$H$205,C786))+(LN(INDEX(Dic2025!$H$6:$H$205,MIN(C786+1,200)))-LN(INDEX(Dic2025!$H$6:$H$205,C786)))*(A786-6*C786)/6))</f>
        <v>0.0167999209474637</v>
      </c>
      <c r="E786" s="12" t="n">
        <f aca="false">D786^(-1/B786)-1</f>
        <v>0.0647144224999998</v>
      </c>
      <c r="F786" s="12" t="n">
        <f aca="false">(1+E786)^(1/12)-1</f>
        <v>0.00523922828232437</v>
      </c>
      <c r="G786" s="16" t="n">
        <f aca="false">IF(C786=0,(1+Dic2025!$J$6)^(-B786),EXP(LN(INDEX(Dic2025!$K$6:$K$205,C786))+(LN(INDEX(Dic2025!$K$6:$K$205,MIN(C786+1,200)))-LN(INDEX(Dic2025!$K$6:$K$205,C786)))*(A786-6*C786)/6))</f>
        <v>0.0167999209474637</v>
      </c>
      <c r="H786" s="12" t="n">
        <f aca="false">G786^(-1/B786)-1</f>
        <v>0.0647144224999998</v>
      </c>
      <c r="I786" s="12" t="n">
        <f aca="false">(1+H786)^(1/12)-1</f>
        <v>0.00523922828232437</v>
      </c>
      <c r="J786" s="16" t="n">
        <f aca="false">IF(C786=0,(1+Dic2025!$M$6)^(-B786),EXP(LN(INDEX(Dic2025!$N$6:$N$205,C786))+(LN(INDEX(Dic2025!$N$6:$N$205,MIN(C786+1,200)))-LN(INDEX(Dic2025!$N$6:$N$205,C786)))*(A786-6*C786)/6))</f>
        <v>0.0167999209474637</v>
      </c>
      <c r="K786" s="12" t="n">
        <f aca="false">J786^(-1/B786)-1</f>
        <v>0.0647144224999998</v>
      </c>
      <c r="L786" s="12" t="n">
        <f aca="false">(1+K786)^(1/12)-1</f>
        <v>0.00523922828232437</v>
      </c>
    </row>
    <row r="787" customFormat="false" ht="15" hidden="false" customHeight="false" outlineLevel="0" collapsed="false">
      <c r="A787" s="4" t="n">
        <v>783</v>
      </c>
      <c r="B787" s="14" t="n">
        <f aca="false">A787/12</f>
        <v>65.25</v>
      </c>
      <c r="C787" s="15" t="n">
        <f aca="false">INT(A787/6)</f>
        <v>130</v>
      </c>
      <c r="D787" s="16" t="n">
        <f aca="false">IF(C787=0,(1+Dic2025!$G$6)^(-B787),EXP(LN(INDEX(Dic2025!$H$6:$H$205,C787))+(LN(INDEX(Dic2025!$H$6:$H$205,MIN(C787+1,200)))-LN(INDEX(Dic2025!$H$6:$H$205,C787)))*(A787-6*C787)/6))</f>
        <v>0.0167123610726674</v>
      </c>
      <c r="E787" s="12" t="n">
        <f aca="false">D787^(-1/B787)-1</f>
        <v>0.0647144224999998</v>
      </c>
      <c r="F787" s="12" t="n">
        <f aca="false">(1+E787)^(1/12)-1</f>
        <v>0.00523922828232437</v>
      </c>
      <c r="G787" s="16" t="n">
        <f aca="false">IF(C787=0,(1+Dic2025!$J$6)^(-B787),EXP(LN(INDEX(Dic2025!$K$6:$K$205,C787))+(LN(INDEX(Dic2025!$K$6:$K$205,MIN(C787+1,200)))-LN(INDEX(Dic2025!$K$6:$K$205,C787)))*(A787-6*C787)/6))</f>
        <v>0.0167123610726674</v>
      </c>
      <c r="H787" s="12" t="n">
        <f aca="false">G787^(-1/B787)-1</f>
        <v>0.0647144224999998</v>
      </c>
      <c r="I787" s="12" t="n">
        <f aca="false">(1+H787)^(1/12)-1</f>
        <v>0.00523922828232437</v>
      </c>
      <c r="J787" s="16" t="n">
        <f aca="false">IF(C787=0,(1+Dic2025!$M$6)^(-B787),EXP(LN(INDEX(Dic2025!$N$6:$N$205,C787))+(LN(INDEX(Dic2025!$N$6:$N$205,MIN(C787+1,200)))-LN(INDEX(Dic2025!$N$6:$N$205,C787)))*(A787-6*C787)/6))</f>
        <v>0.0167123610726674</v>
      </c>
      <c r="K787" s="12" t="n">
        <f aca="false">J787^(-1/B787)-1</f>
        <v>0.0647144224999998</v>
      </c>
      <c r="L787" s="12" t="n">
        <f aca="false">(1+K787)^(1/12)-1</f>
        <v>0.00523922828232437</v>
      </c>
    </row>
    <row r="788" customFormat="false" ht="15" hidden="false" customHeight="false" outlineLevel="0" collapsed="false">
      <c r="A788" s="4" t="n">
        <v>784</v>
      </c>
      <c r="B788" s="14" t="n">
        <f aca="false">A788/12</f>
        <v>65.3333333333333</v>
      </c>
      <c r="C788" s="15" t="n">
        <f aca="false">INT(A788/6)</f>
        <v>130</v>
      </c>
      <c r="D788" s="16" t="n">
        <f aca="false">IF(C788=0,(1+Dic2025!$G$6)^(-B788),EXP(LN(INDEX(Dic2025!$H$6:$H$205,C788))+(LN(INDEX(Dic2025!$H$6:$H$205,MIN(C788+1,200)))-LN(INDEX(Dic2025!$H$6:$H$205,C788)))*(A788-6*C788)/6))</f>
        <v>0.0166252575530943</v>
      </c>
      <c r="E788" s="12" t="n">
        <f aca="false">D788^(-1/B788)-1</f>
        <v>0.0647144224999998</v>
      </c>
      <c r="F788" s="12" t="n">
        <f aca="false">(1+E788)^(1/12)-1</f>
        <v>0.00523922828232437</v>
      </c>
      <c r="G788" s="16" t="n">
        <f aca="false">IF(C788=0,(1+Dic2025!$J$6)^(-B788),EXP(LN(INDEX(Dic2025!$K$6:$K$205,C788))+(LN(INDEX(Dic2025!$K$6:$K$205,MIN(C788+1,200)))-LN(INDEX(Dic2025!$K$6:$K$205,C788)))*(A788-6*C788)/6))</f>
        <v>0.0166252575530943</v>
      </c>
      <c r="H788" s="12" t="n">
        <f aca="false">G788^(-1/B788)-1</f>
        <v>0.0647144224999998</v>
      </c>
      <c r="I788" s="12" t="n">
        <f aca="false">(1+H788)^(1/12)-1</f>
        <v>0.00523922828232437</v>
      </c>
      <c r="J788" s="16" t="n">
        <f aca="false">IF(C788=0,(1+Dic2025!$M$6)^(-B788),EXP(LN(INDEX(Dic2025!$N$6:$N$205,C788))+(LN(INDEX(Dic2025!$N$6:$N$205,MIN(C788+1,200)))-LN(INDEX(Dic2025!$N$6:$N$205,C788)))*(A788-6*C788)/6))</f>
        <v>0.0166252575530943</v>
      </c>
      <c r="K788" s="12" t="n">
        <f aca="false">J788^(-1/B788)-1</f>
        <v>0.0647144224999998</v>
      </c>
      <c r="L788" s="12" t="n">
        <f aca="false">(1+K788)^(1/12)-1</f>
        <v>0.00523922828232437</v>
      </c>
    </row>
    <row r="789" customFormat="false" ht="15" hidden="false" customHeight="false" outlineLevel="0" collapsed="false">
      <c r="A789" s="4" t="n">
        <v>785</v>
      </c>
      <c r="B789" s="14" t="n">
        <f aca="false">A789/12</f>
        <v>65.4166666666667</v>
      </c>
      <c r="C789" s="15" t="n">
        <f aca="false">INT(A789/6)</f>
        <v>130</v>
      </c>
      <c r="D789" s="16" t="n">
        <f aca="false">IF(C789=0,(1+Dic2025!$G$6)^(-B789),EXP(LN(INDEX(Dic2025!$H$6:$H$205,C789))+(LN(INDEX(Dic2025!$H$6:$H$205,MIN(C789+1,200)))-LN(INDEX(Dic2025!$H$6:$H$205,C789)))*(A789-6*C789)/6))</f>
        <v>0.0165386080102567</v>
      </c>
      <c r="E789" s="12" t="n">
        <f aca="false">D789^(-1/B789)-1</f>
        <v>0.0647144224999998</v>
      </c>
      <c r="F789" s="12" t="n">
        <f aca="false">(1+E789)^(1/12)-1</f>
        <v>0.00523922828232437</v>
      </c>
      <c r="G789" s="16" t="n">
        <f aca="false">IF(C789=0,(1+Dic2025!$J$6)^(-B789),EXP(LN(INDEX(Dic2025!$K$6:$K$205,C789))+(LN(INDEX(Dic2025!$K$6:$K$205,MIN(C789+1,200)))-LN(INDEX(Dic2025!$K$6:$K$205,C789)))*(A789-6*C789)/6))</f>
        <v>0.0165386080102567</v>
      </c>
      <c r="H789" s="12" t="n">
        <f aca="false">G789^(-1/B789)-1</f>
        <v>0.0647144224999998</v>
      </c>
      <c r="I789" s="12" t="n">
        <f aca="false">(1+H789)^(1/12)-1</f>
        <v>0.00523922828232437</v>
      </c>
      <c r="J789" s="16" t="n">
        <f aca="false">IF(C789=0,(1+Dic2025!$M$6)^(-B789),EXP(LN(INDEX(Dic2025!$N$6:$N$205,C789))+(LN(INDEX(Dic2025!$N$6:$N$205,MIN(C789+1,200)))-LN(INDEX(Dic2025!$N$6:$N$205,C789)))*(A789-6*C789)/6))</f>
        <v>0.0165386080102567</v>
      </c>
      <c r="K789" s="12" t="n">
        <f aca="false">J789^(-1/B789)-1</f>
        <v>0.0647144224999998</v>
      </c>
      <c r="L789" s="12" t="n">
        <f aca="false">(1+K789)^(1/12)-1</f>
        <v>0.00523922828232437</v>
      </c>
    </row>
    <row r="790" customFormat="false" ht="15" hidden="false" customHeight="false" outlineLevel="0" collapsed="false">
      <c r="A790" s="4" t="n">
        <v>786</v>
      </c>
      <c r="B790" s="14" t="n">
        <f aca="false">A790/12</f>
        <v>65.5</v>
      </c>
      <c r="C790" s="15" t="n">
        <f aca="false">INT(A790/6)</f>
        <v>131</v>
      </c>
      <c r="D790" s="16" t="n">
        <f aca="false">IF(C790=0,(1+Dic2025!$G$6)^(-B790),EXP(LN(INDEX(Dic2025!$H$6:$H$205,C790))+(LN(INDEX(Dic2025!$H$6:$H$205,MIN(C790+1,200)))-LN(INDEX(Dic2025!$H$6:$H$205,C790)))*(A790-6*C790)/6))</f>
        <v>0.0164524100780633</v>
      </c>
      <c r="E790" s="12" t="n">
        <f aca="false">D790^(-1/B790)-1</f>
        <v>0.0647144224999998</v>
      </c>
      <c r="F790" s="12" t="n">
        <f aca="false">(1+E790)^(1/12)-1</f>
        <v>0.00523922828232437</v>
      </c>
      <c r="G790" s="16" t="n">
        <f aca="false">IF(C790=0,(1+Dic2025!$J$6)^(-B790),EXP(LN(INDEX(Dic2025!$K$6:$K$205,C790))+(LN(INDEX(Dic2025!$K$6:$K$205,MIN(C790+1,200)))-LN(INDEX(Dic2025!$K$6:$K$205,C790)))*(A790-6*C790)/6))</f>
        <v>0.0164524100780633</v>
      </c>
      <c r="H790" s="12" t="n">
        <f aca="false">G790^(-1/B790)-1</f>
        <v>0.0647144224999998</v>
      </c>
      <c r="I790" s="12" t="n">
        <f aca="false">(1+H790)^(1/12)-1</f>
        <v>0.00523922828232437</v>
      </c>
      <c r="J790" s="16" t="n">
        <f aca="false">IF(C790=0,(1+Dic2025!$M$6)^(-B790),EXP(LN(INDEX(Dic2025!$N$6:$N$205,C790))+(LN(INDEX(Dic2025!$N$6:$N$205,MIN(C790+1,200)))-LN(INDEX(Dic2025!$N$6:$N$205,C790)))*(A790-6*C790)/6))</f>
        <v>0.0164524100780633</v>
      </c>
      <c r="K790" s="12" t="n">
        <f aca="false">J790^(-1/B790)-1</f>
        <v>0.0647144224999998</v>
      </c>
      <c r="L790" s="12" t="n">
        <f aca="false">(1+K790)^(1/12)-1</f>
        <v>0.00523922828232437</v>
      </c>
    </row>
    <row r="791" customFormat="false" ht="15" hidden="false" customHeight="false" outlineLevel="0" collapsed="false">
      <c r="A791" s="4" t="n">
        <v>787</v>
      </c>
      <c r="B791" s="14" t="n">
        <f aca="false">A791/12</f>
        <v>65.5833333333333</v>
      </c>
      <c r="C791" s="15" t="n">
        <f aca="false">INT(A791/6)</f>
        <v>131</v>
      </c>
      <c r="D791" s="16" t="n">
        <f aca="false">IF(C791=0,(1+Dic2025!$G$6)^(-B791),EXP(LN(INDEX(Dic2025!$H$6:$H$205,C791))+(LN(INDEX(Dic2025!$H$6:$H$205,MIN(C791+1,200)))-LN(INDEX(Dic2025!$H$6:$H$205,C791)))*(A791-6*C791)/6))</f>
        <v>0.0163666614027548</v>
      </c>
      <c r="E791" s="12" t="n">
        <f aca="false">D791^(-1/B791)-1</f>
        <v>0.0647144224999998</v>
      </c>
      <c r="F791" s="12" t="n">
        <f aca="false">(1+E791)^(1/12)-1</f>
        <v>0.00523922828232437</v>
      </c>
      <c r="G791" s="16" t="n">
        <f aca="false">IF(C791=0,(1+Dic2025!$J$6)^(-B791),EXP(LN(INDEX(Dic2025!$K$6:$K$205,C791))+(LN(INDEX(Dic2025!$K$6:$K$205,MIN(C791+1,200)))-LN(INDEX(Dic2025!$K$6:$K$205,C791)))*(A791-6*C791)/6))</f>
        <v>0.0163666614027548</v>
      </c>
      <c r="H791" s="12" t="n">
        <f aca="false">G791^(-1/B791)-1</f>
        <v>0.0647144224999998</v>
      </c>
      <c r="I791" s="12" t="n">
        <f aca="false">(1+H791)^(1/12)-1</f>
        <v>0.00523922828232437</v>
      </c>
      <c r="J791" s="16" t="n">
        <f aca="false">IF(C791=0,(1+Dic2025!$M$6)^(-B791),EXP(LN(INDEX(Dic2025!$N$6:$N$205,C791))+(LN(INDEX(Dic2025!$N$6:$N$205,MIN(C791+1,200)))-LN(INDEX(Dic2025!$N$6:$N$205,C791)))*(A791-6*C791)/6))</f>
        <v>0.0163666614027548</v>
      </c>
      <c r="K791" s="12" t="n">
        <f aca="false">J791^(-1/B791)-1</f>
        <v>0.0647144224999998</v>
      </c>
      <c r="L791" s="12" t="n">
        <f aca="false">(1+K791)^(1/12)-1</f>
        <v>0.00523922828232437</v>
      </c>
    </row>
    <row r="792" customFormat="false" ht="15" hidden="false" customHeight="false" outlineLevel="0" collapsed="false">
      <c r="A792" s="4" t="n">
        <v>788</v>
      </c>
      <c r="B792" s="14" t="n">
        <f aca="false">A792/12</f>
        <v>65.6666666666667</v>
      </c>
      <c r="C792" s="15" t="n">
        <f aca="false">INT(A792/6)</f>
        <v>131</v>
      </c>
      <c r="D792" s="16" t="n">
        <f aca="false">IF(C792=0,(1+Dic2025!$G$6)^(-B792),EXP(LN(INDEX(Dic2025!$H$6:$H$205,C792))+(LN(INDEX(Dic2025!$H$6:$H$205,MIN(C792+1,200)))-LN(INDEX(Dic2025!$H$6:$H$205,C792)))*(A792-6*C792)/6))</f>
        <v>0.0162813596428393</v>
      </c>
      <c r="E792" s="12" t="n">
        <f aca="false">D792^(-1/B792)-1</f>
        <v>0.0647144224999998</v>
      </c>
      <c r="F792" s="12" t="n">
        <f aca="false">(1+E792)^(1/12)-1</f>
        <v>0.00523922828232437</v>
      </c>
      <c r="G792" s="16" t="n">
        <f aca="false">IF(C792=0,(1+Dic2025!$J$6)^(-B792),EXP(LN(INDEX(Dic2025!$K$6:$K$205,C792))+(LN(INDEX(Dic2025!$K$6:$K$205,MIN(C792+1,200)))-LN(INDEX(Dic2025!$K$6:$K$205,C792)))*(A792-6*C792)/6))</f>
        <v>0.0162813596428393</v>
      </c>
      <c r="H792" s="12" t="n">
        <f aca="false">G792^(-1/B792)-1</f>
        <v>0.0647144224999998</v>
      </c>
      <c r="I792" s="12" t="n">
        <f aca="false">(1+H792)^(1/12)-1</f>
        <v>0.00523922828232437</v>
      </c>
      <c r="J792" s="16" t="n">
        <f aca="false">IF(C792=0,(1+Dic2025!$M$6)^(-B792),EXP(LN(INDEX(Dic2025!$N$6:$N$205,C792))+(LN(INDEX(Dic2025!$N$6:$N$205,MIN(C792+1,200)))-LN(INDEX(Dic2025!$N$6:$N$205,C792)))*(A792-6*C792)/6))</f>
        <v>0.0162813596428393</v>
      </c>
      <c r="K792" s="12" t="n">
        <f aca="false">J792^(-1/B792)-1</f>
        <v>0.0647144224999998</v>
      </c>
      <c r="L792" s="12" t="n">
        <f aca="false">(1+K792)^(1/12)-1</f>
        <v>0.00523922828232437</v>
      </c>
    </row>
    <row r="793" customFormat="false" ht="15" hidden="false" customHeight="false" outlineLevel="0" collapsed="false">
      <c r="A793" s="4" t="n">
        <v>789</v>
      </c>
      <c r="B793" s="14" t="n">
        <f aca="false">A793/12</f>
        <v>65.75</v>
      </c>
      <c r="C793" s="15" t="n">
        <f aca="false">INT(A793/6)</f>
        <v>131</v>
      </c>
      <c r="D793" s="16" t="n">
        <f aca="false">IF(C793=0,(1+Dic2025!$G$6)^(-B793),EXP(LN(INDEX(Dic2025!$H$6:$H$205,C793))+(LN(INDEX(Dic2025!$H$6:$H$205,MIN(C793+1,200)))-LN(INDEX(Dic2025!$H$6:$H$205,C793)))*(A793-6*C793)/6))</f>
        <v>0.0161965024690289</v>
      </c>
      <c r="E793" s="12" t="n">
        <f aca="false">D793^(-1/B793)-1</f>
        <v>0.0647144224999998</v>
      </c>
      <c r="F793" s="12" t="n">
        <f aca="false">(1+E793)^(1/12)-1</f>
        <v>0.00523922828232437</v>
      </c>
      <c r="G793" s="16" t="n">
        <f aca="false">IF(C793=0,(1+Dic2025!$J$6)^(-B793),EXP(LN(INDEX(Dic2025!$K$6:$K$205,C793))+(LN(INDEX(Dic2025!$K$6:$K$205,MIN(C793+1,200)))-LN(INDEX(Dic2025!$K$6:$K$205,C793)))*(A793-6*C793)/6))</f>
        <v>0.0161965024690289</v>
      </c>
      <c r="H793" s="12" t="n">
        <f aca="false">G793^(-1/B793)-1</f>
        <v>0.0647144224999998</v>
      </c>
      <c r="I793" s="12" t="n">
        <f aca="false">(1+H793)^(1/12)-1</f>
        <v>0.00523922828232437</v>
      </c>
      <c r="J793" s="16" t="n">
        <f aca="false">IF(C793=0,(1+Dic2025!$M$6)^(-B793),EXP(LN(INDEX(Dic2025!$N$6:$N$205,C793))+(LN(INDEX(Dic2025!$N$6:$N$205,MIN(C793+1,200)))-LN(INDEX(Dic2025!$N$6:$N$205,C793)))*(A793-6*C793)/6))</f>
        <v>0.0161965024690289</v>
      </c>
      <c r="K793" s="12" t="n">
        <f aca="false">J793^(-1/B793)-1</f>
        <v>0.0647144224999998</v>
      </c>
      <c r="L793" s="12" t="n">
        <f aca="false">(1+K793)^(1/12)-1</f>
        <v>0.00523922828232437</v>
      </c>
    </row>
    <row r="794" customFormat="false" ht="15" hidden="false" customHeight="false" outlineLevel="0" collapsed="false">
      <c r="A794" s="4" t="n">
        <v>790</v>
      </c>
      <c r="B794" s="14" t="n">
        <f aca="false">A794/12</f>
        <v>65.8333333333333</v>
      </c>
      <c r="C794" s="15" t="n">
        <f aca="false">INT(A794/6)</f>
        <v>131</v>
      </c>
      <c r="D794" s="16" t="n">
        <f aca="false">IF(C794=0,(1+Dic2025!$G$6)^(-B794),EXP(LN(INDEX(Dic2025!$H$6:$H$205,C794))+(LN(INDEX(Dic2025!$H$6:$H$205,MIN(C794+1,200)))-LN(INDEX(Dic2025!$H$6:$H$205,C794)))*(A794-6*C794)/6))</f>
        <v>0.0161120875641753</v>
      </c>
      <c r="E794" s="12" t="n">
        <f aca="false">D794^(-1/B794)-1</f>
        <v>0.0647144224999998</v>
      </c>
      <c r="F794" s="12" t="n">
        <f aca="false">(1+E794)^(1/12)-1</f>
        <v>0.00523922828232437</v>
      </c>
      <c r="G794" s="16" t="n">
        <f aca="false">IF(C794=0,(1+Dic2025!$J$6)^(-B794),EXP(LN(INDEX(Dic2025!$K$6:$K$205,C794))+(LN(INDEX(Dic2025!$K$6:$K$205,MIN(C794+1,200)))-LN(INDEX(Dic2025!$K$6:$K$205,C794)))*(A794-6*C794)/6))</f>
        <v>0.0161120875641753</v>
      </c>
      <c r="H794" s="12" t="n">
        <f aca="false">G794^(-1/B794)-1</f>
        <v>0.0647144224999998</v>
      </c>
      <c r="I794" s="12" t="n">
        <f aca="false">(1+H794)^(1/12)-1</f>
        <v>0.00523922828232437</v>
      </c>
      <c r="J794" s="16" t="n">
        <f aca="false">IF(C794=0,(1+Dic2025!$M$6)^(-B794),EXP(LN(INDEX(Dic2025!$N$6:$N$205,C794))+(LN(INDEX(Dic2025!$N$6:$N$205,MIN(C794+1,200)))-LN(INDEX(Dic2025!$N$6:$N$205,C794)))*(A794-6*C794)/6))</f>
        <v>0.0161120875641753</v>
      </c>
      <c r="K794" s="12" t="n">
        <f aca="false">J794^(-1/B794)-1</f>
        <v>0.0647144224999998</v>
      </c>
      <c r="L794" s="12" t="n">
        <f aca="false">(1+K794)^(1/12)-1</f>
        <v>0.00523922828232437</v>
      </c>
    </row>
    <row r="795" customFormat="false" ht="15" hidden="false" customHeight="false" outlineLevel="0" collapsed="false">
      <c r="A795" s="4" t="n">
        <v>791</v>
      </c>
      <c r="B795" s="14" t="n">
        <f aca="false">A795/12</f>
        <v>65.9166666666667</v>
      </c>
      <c r="C795" s="15" t="n">
        <f aca="false">INT(A795/6)</f>
        <v>131</v>
      </c>
      <c r="D795" s="16" t="n">
        <f aca="false">IF(C795=0,(1+Dic2025!$G$6)^(-B795),EXP(LN(INDEX(Dic2025!$H$6:$H$205,C795))+(LN(INDEX(Dic2025!$H$6:$H$205,MIN(C795+1,200)))-LN(INDEX(Dic2025!$H$6:$H$205,C795)))*(A795-6*C795)/6))</f>
        <v>0.0160281126232075</v>
      </c>
      <c r="E795" s="12" t="n">
        <f aca="false">D795^(-1/B795)-1</f>
        <v>0.0647144224999998</v>
      </c>
      <c r="F795" s="12" t="n">
        <f aca="false">(1+E795)^(1/12)-1</f>
        <v>0.00523922828232437</v>
      </c>
      <c r="G795" s="16" t="n">
        <f aca="false">IF(C795=0,(1+Dic2025!$J$6)^(-B795),EXP(LN(INDEX(Dic2025!$K$6:$K$205,C795))+(LN(INDEX(Dic2025!$K$6:$K$205,MIN(C795+1,200)))-LN(INDEX(Dic2025!$K$6:$K$205,C795)))*(A795-6*C795)/6))</f>
        <v>0.0160281126232075</v>
      </c>
      <c r="H795" s="12" t="n">
        <f aca="false">G795^(-1/B795)-1</f>
        <v>0.0647144224999998</v>
      </c>
      <c r="I795" s="12" t="n">
        <f aca="false">(1+H795)^(1/12)-1</f>
        <v>0.00523922828232437</v>
      </c>
      <c r="J795" s="16" t="n">
        <f aca="false">IF(C795=0,(1+Dic2025!$M$6)^(-B795),EXP(LN(INDEX(Dic2025!$N$6:$N$205,C795))+(LN(INDEX(Dic2025!$N$6:$N$205,MIN(C795+1,200)))-LN(INDEX(Dic2025!$N$6:$N$205,C795)))*(A795-6*C795)/6))</f>
        <v>0.0160281126232075</v>
      </c>
      <c r="K795" s="12" t="n">
        <f aca="false">J795^(-1/B795)-1</f>
        <v>0.0647144224999998</v>
      </c>
      <c r="L795" s="12" t="n">
        <f aca="false">(1+K795)^(1/12)-1</f>
        <v>0.00523922828232437</v>
      </c>
    </row>
    <row r="796" customFormat="false" ht="15" hidden="false" customHeight="false" outlineLevel="0" collapsed="false">
      <c r="A796" s="4" t="n">
        <v>792</v>
      </c>
      <c r="B796" s="14" t="n">
        <f aca="false">A796/12</f>
        <v>66</v>
      </c>
      <c r="C796" s="15" t="n">
        <f aca="false">INT(A796/6)</f>
        <v>132</v>
      </c>
      <c r="D796" s="16" t="n">
        <f aca="false">IF(C796=0,(1+Dic2025!$G$6)^(-B796),EXP(LN(INDEX(Dic2025!$H$6:$H$205,C796))+(LN(INDEX(Dic2025!$H$6:$H$205,MIN(C796+1,200)))-LN(INDEX(Dic2025!$H$6:$H$205,C796)))*(A796-6*C796)/6))</f>
        <v>0.0159445753530681</v>
      </c>
      <c r="E796" s="12" t="n">
        <f aca="false">D796^(-1/B796)-1</f>
        <v>0.0647144224999998</v>
      </c>
      <c r="F796" s="12" t="n">
        <f aca="false">(1+E796)^(1/12)-1</f>
        <v>0.00523922828232437</v>
      </c>
      <c r="G796" s="16" t="n">
        <f aca="false">IF(C796=0,(1+Dic2025!$J$6)^(-B796),EXP(LN(INDEX(Dic2025!$K$6:$K$205,C796))+(LN(INDEX(Dic2025!$K$6:$K$205,MIN(C796+1,200)))-LN(INDEX(Dic2025!$K$6:$K$205,C796)))*(A796-6*C796)/6))</f>
        <v>0.0159445753530681</v>
      </c>
      <c r="H796" s="12" t="n">
        <f aca="false">G796^(-1/B796)-1</f>
        <v>0.0647144224999998</v>
      </c>
      <c r="I796" s="12" t="n">
        <f aca="false">(1+H796)^(1/12)-1</f>
        <v>0.00523922828232437</v>
      </c>
      <c r="J796" s="16" t="n">
        <f aca="false">IF(C796=0,(1+Dic2025!$M$6)^(-B796),EXP(LN(INDEX(Dic2025!$N$6:$N$205,C796))+(LN(INDEX(Dic2025!$N$6:$N$205,MIN(C796+1,200)))-LN(INDEX(Dic2025!$N$6:$N$205,C796)))*(A796-6*C796)/6))</f>
        <v>0.0159445753530681</v>
      </c>
      <c r="K796" s="12" t="n">
        <f aca="false">J796^(-1/B796)-1</f>
        <v>0.0647144224999998</v>
      </c>
      <c r="L796" s="12" t="n">
        <f aca="false">(1+K796)^(1/12)-1</f>
        <v>0.00523922828232437</v>
      </c>
    </row>
    <row r="797" customFormat="false" ht="15" hidden="false" customHeight="false" outlineLevel="0" collapsed="false">
      <c r="A797" s="4" t="n">
        <v>793</v>
      </c>
      <c r="B797" s="14" t="n">
        <f aca="false">A797/12</f>
        <v>66.0833333333333</v>
      </c>
      <c r="C797" s="15" t="n">
        <f aca="false">INT(A797/6)</f>
        <v>132</v>
      </c>
      <c r="D797" s="16" t="n">
        <f aca="false">IF(C797=0,(1+Dic2025!$G$6)^(-B797),EXP(LN(INDEX(Dic2025!$H$6:$H$205,C797))+(LN(INDEX(Dic2025!$H$6:$H$205,MIN(C797+1,200)))-LN(INDEX(Dic2025!$H$6:$H$205,C797)))*(A797-6*C797)/6))</f>
        <v>0.0158614734726509</v>
      </c>
      <c r="E797" s="12" t="n">
        <f aca="false">D797^(-1/B797)-1</f>
        <v>0.0647144224999998</v>
      </c>
      <c r="F797" s="12" t="n">
        <f aca="false">(1+E797)^(1/12)-1</f>
        <v>0.00523922828232437</v>
      </c>
      <c r="G797" s="16" t="n">
        <f aca="false">IF(C797=0,(1+Dic2025!$J$6)^(-B797),EXP(LN(INDEX(Dic2025!$K$6:$K$205,C797))+(LN(INDEX(Dic2025!$K$6:$K$205,MIN(C797+1,200)))-LN(INDEX(Dic2025!$K$6:$K$205,C797)))*(A797-6*C797)/6))</f>
        <v>0.0158614734726509</v>
      </c>
      <c r="H797" s="12" t="n">
        <f aca="false">G797^(-1/B797)-1</f>
        <v>0.0647144224999998</v>
      </c>
      <c r="I797" s="12" t="n">
        <f aca="false">(1+H797)^(1/12)-1</f>
        <v>0.00523922828232437</v>
      </c>
      <c r="J797" s="16" t="n">
        <f aca="false">IF(C797=0,(1+Dic2025!$M$6)^(-B797),EXP(LN(INDEX(Dic2025!$N$6:$N$205,C797))+(LN(INDEX(Dic2025!$N$6:$N$205,MIN(C797+1,200)))-LN(INDEX(Dic2025!$N$6:$N$205,C797)))*(A797-6*C797)/6))</f>
        <v>0.0158614734726509</v>
      </c>
      <c r="K797" s="12" t="n">
        <f aca="false">J797^(-1/B797)-1</f>
        <v>0.0647144224999998</v>
      </c>
      <c r="L797" s="12" t="n">
        <f aca="false">(1+K797)^(1/12)-1</f>
        <v>0.00523922828232437</v>
      </c>
    </row>
    <row r="798" customFormat="false" ht="15" hidden="false" customHeight="false" outlineLevel="0" collapsed="false">
      <c r="A798" s="4" t="n">
        <v>794</v>
      </c>
      <c r="B798" s="14" t="n">
        <f aca="false">A798/12</f>
        <v>66.1666666666667</v>
      </c>
      <c r="C798" s="15" t="n">
        <f aca="false">INT(A798/6)</f>
        <v>132</v>
      </c>
      <c r="D798" s="16" t="n">
        <f aca="false">IF(C798=0,(1+Dic2025!$G$6)^(-B798),EXP(LN(INDEX(Dic2025!$H$6:$H$205,C798))+(LN(INDEX(Dic2025!$H$6:$H$205,MIN(C798+1,200)))-LN(INDEX(Dic2025!$H$6:$H$205,C798)))*(A798-6*C798)/6))</f>
        <v>0.0157788047127386</v>
      </c>
      <c r="E798" s="12" t="n">
        <f aca="false">D798^(-1/B798)-1</f>
        <v>0.0647144224999998</v>
      </c>
      <c r="F798" s="12" t="n">
        <f aca="false">(1+E798)^(1/12)-1</f>
        <v>0.00523922828232437</v>
      </c>
      <c r="G798" s="16" t="n">
        <f aca="false">IF(C798=0,(1+Dic2025!$J$6)^(-B798),EXP(LN(INDEX(Dic2025!$K$6:$K$205,C798))+(LN(INDEX(Dic2025!$K$6:$K$205,MIN(C798+1,200)))-LN(INDEX(Dic2025!$K$6:$K$205,C798)))*(A798-6*C798)/6))</f>
        <v>0.0157788047127386</v>
      </c>
      <c r="H798" s="12" t="n">
        <f aca="false">G798^(-1/B798)-1</f>
        <v>0.0647144224999998</v>
      </c>
      <c r="I798" s="12" t="n">
        <f aca="false">(1+H798)^(1/12)-1</f>
        <v>0.00523922828232437</v>
      </c>
      <c r="J798" s="16" t="n">
        <f aca="false">IF(C798=0,(1+Dic2025!$M$6)^(-B798),EXP(LN(INDEX(Dic2025!$N$6:$N$205,C798))+(LN(INDEX(Dic2025!$N$6:$N$205,MIN(C798+1,200)))-LN(INDEX(Dic2025!$N$6:$N$205,C798)))*(A798-6*C798)/6))</f>
        <v>0.0157788047127386</v>
      </c>
      <c r="K798" s="12" t="n">
        <f aca="false">J798^(-1/B798)-1</f>
        <v>0.0647144224999998</v>
      </c>
      <c r="L798" s="12" t="n">
        <f aca="false">(1+K798)^(1/12)-1</f>
        <v>0.00523922828232437</v>
      </c>
    </row>
    <row r="799" customFormat="false" ht="15" hidden="false" customHeight="false" outlineLevel="0" collapsed="false">
      <c r="A799" s="4" t="n">
        <v>795</v>
      </c>
      <c r="B799" s="14" t="n">
        <f aca="false">A799/12</f>
        <v>66.25</v>
      </c>
      <c r="C799" s="15" t="n">
        <f aca="false">INT(A799/6)</f>
        <v>132</v>
      </c>
      <c r="D799" s="16" t="n">
        <f aca="false">IF(C799=0,(1+Dic2025!$G$6)^(-B799),EXP(LN(INDEX(Dic2025!$H$6:$H$205,C799))+(LN(INDEX(Dic2025!$H$6:$H$205,MIN(C799+1,200)))-LN(INDEX(Dic2025!$H$6:$H$205,C799)))*(A799-6*C799)/6))</f>
        <v>0.0156965668159411</v>
      </c>
      <c r="E799" s="12" t="n">
        <f aca="false">D799^(-1/B799)-1</f>
        <v>0.0647144224999998</v>
      </c>
      <c r="F799" s="12" t="n">
        <f aca="false">(1+E799)^(1/12)-1</f>
        <v>0.00523922828232437</v>
      </c>
      <c r="G799" s="16" t="n">
        <f aca="false">IF(C799=0,(1+Dic2025!$J$6)^(-B799),EXP(LN(INDEX(Dic2025!$K$6:$K$205,C799))+(LN(INDEX(Dic2025!$K$6:$K$205,MIN(C799+1,200)))-LN(INDEX(Dic2025!$K$6:$K$205,C799)))*(A799-6*C799)/6))</f>
        <v>0.0156965668159411</v>
      </c>
      <c r="H799" s="12" t="n">
        <f aca="false">G799^(-1/B799)-1</f>
        <v>0.0647144224999998</v>
      </c>
      <c r="I799" s="12" t="n">
        <f aca="false">(1+H799)^(1/12)-1</f>
        <v>0.00523922828232437</v>
      </c>
      <c r="J799" s="16" t="n">
        <f aca="false">IF(C799=0,(1+Dic2025!$M$6)^(-B799),EXP(LN(INDEX(Dic2025!$N$6:$N$205,C799))+(LN(INDEX(Dic2025!$N$6:$N$205,MIN(C799+1,200)))-LN(INDEX(Dic2025!$N$6:$N$205,C799)))*(A799-6*C799)/6))</f>
        <v>0.0156965668159411</v>
      </c>
      <c r="K799" s="12" t="n">
        <f aca="false">J799^(-1/B799)-1</f>
        <v>0.0647144224999998</v>
      </c>
      <c r="L799" s="12" t="n">
        <f aca="false">(1+K799)^(1/12)-1</f>
        <v>0.00523922828232437</v>
      </c>
    </row>
    <row r="800" customFormat="false" ht="15" hidden="false" customHeight="false" outlineLevel="0" collapsed="false">
      <c r="A800" s="4" t="n">
        <v>796</v>
      </c>
      <c r="B800" s="14" t="n">
        <f aca="false">A800/12</f>
        <v>66.3333333333333</v>
      </c>
      <c r="C800" s="15" t="n">
        <f aca="false">INT(A800/6)</f>
        <v>132</v>
      </c>
      <c r="D800" s="16" t="n">
        <f aca="false">IF(C800=0,(1+Dic2025!$G$6)^(-B800),EXP(LN(INDEX(Dic2025!$H$6:$H$205,C800))+(LN(INDEX(Dic2025!$H$6:$H$205,MIN(C800+1,200)))-LN(INDEX(Dic2025!$H$6:$H$205,C800)))*(A800-6*C800)/6))</f>
        <v>0.0156147575366336</v>
      </c>
      <c r="E800" s="12" t="n">
        <f aca="false">D800^(-1/B800)-1</f>
        <v>0.0647144224999998</v>
      </c>
      <c r="F800" s="12" t="n">
        <f aca="false">(1+E800)^(1/12)-1</f>
        <v>0.00523922828232437</v>
      </c>
      <c r="G800" s="16" t="n">
        <f aca="false">IF(C800=0,(1+Dic2025!$J$6)^(-B800),EXP(LN(INDEX(Dic2025!$K$6:$K$205,C800))+(LN(INDEX(Dic2025!$K$6:$K$205,MIN(C800+1,200)))-LN(INDEX(Dic2025!$K$6:$K$205,C800)))*(A800-6*C800)/6))</f>
        <v>0.0156147575366336</v>
      </c>
      <c r="H800" s="12" t="n">
        <f aca="false">G800^(-1/B800)-1</f>
        <v>0.0647144224999998</v>
      </c>
      <c r="I800" s="12" t="n">
        <f aca="false">(1+H800)^(1/12)-1</f>
        <v>0.00523922828232437</v>
      </c>
      <c r="J800" s="16" t="n">
        <f aca="false">IF(C800=0,(1+Dic2025!$M$6)^(-B800),EXP(LN(INDEX(Dic2025!$N$6:$N$205,C800))+(LN(INDEX(Dic2025!$N$6:$N$205,MIN(C800+1,200)))-LN(INDEX(Dic2025!$N$6:$N$205,C800)))*(A800-6*C800)/6))</f>
        <v>0.0156147575366336</v>
      </c>
      <c r="K800" s="12" t="n">
        <f aca="false">J800^(-1/B800)-1</f>
        <v>0.0647144224999998</v>
      </c>
      <c r="L800" s="12" t="n">
        <f aca="false">(1+K800)^(1/12)-1</f>
        <v>0.00523922828232437</v>
      </c>
    </row>
    <row r="801" customFormat="false" ht="15" hidden="false" customHeight="false" outlineLevel="0" collapsed="false">
      <c r="A801" s="4" t="n">
        <v>797</v>
      </c>
      <c r="B801" s="14" t="n">
        <f aca="false">A801/12</f>
        <v>66.4166666666667</v>
      </c>
      <c r="C801" s="15" t="n">
        <f aca="false">INT(A801/6)</f>
        <v>132</v>
      </c>
      <c r="D801" s="16" t="n">
        <f aca="false">IF(C801=0,(1+Dic2025!$G$6)^(-B801),EXP(LN(INDEX(Dic2025!$H$6:$H$205,C801))+(LN(INDEX(Dic2025!$H$6:$H$205,MIN(C801+1,200)))-LN(INDEX(Dic2025!$H$6:$H$205,C801)))*(A801-6*C801)/6))</f>
        <v>0.015533374640895</v>
      </c>
      <c r="E801" s="12" t="n">
        <f aca="false">D801^(-1/B801)-1</f>
        <v>0.0647144224999998</v>
      </c>
      <c r="F801" s="12" t="n">
        <f aca="false">(1+E801)^(1/12)-1</f>
        <v>0.00523922828232437</v>
      </c>
      <c r="G801" s="16" t="n">
        <f aca="false">IF(C801=0,(1+Dic2025!$J$6)^(-B801),EXP(LN(INDEX(Dic2025!$K$6:$K$205,C801))+(LN(INDEX(Dic2025!$K$6:$K$205,MIN(C801+1,200)))-LN(INDEX(Dic2025!$K$6:$K$205,C801)))*(A801-6*C801)/6))</f>
        <v>0.015533374640895</v>
      </c>
      <c r="H801" s="12" t="n">
        <f aca="false">G801^(-1/B801)-1</f>
        <v>0.0647144224999998</v>
      </c>
      <c r="I801" s="12" t="n">
        <f aca="false">(1+H801)^(1/12)-1</f>
        <v>0.00523922828232437</v>
      </c>
      <c r="J801" s="16" t="n">
        <f aca="false">IF(C801=0,(1+Dic2025!$M$6)^(-B801),EXP(LN(INDEX(Dic2025!$N$6:$N$205,C801))+(LN(INDEX(Dic2025!$N$6:$N$205,MIN(C801+1,200)))-LN(INDEX(Dic2025!$N$6:$N$205,C801)))*(A801-6*C801)/6))</f>
        <v>0.015533374640895</v>
      </c>
      <c r="K801" s="12" t="n">
        <f aca="false">J801^(-1/B801)-1</f>
        <v>0.0647144224999998</v>
      </c>
      <c r="L801" s="12" t="n">
        <f aca="false">(1+K801)^(1/12)-1</f>
        <v>0.00523922828232437</v>
      </c>
    </row>
    <row r="802" customFormat="false" ht="15" hidden="false" customHeight="false" outlineLevel="0" collapsed="false">
      <c r="A802" s="4" t="n">
        <v>798</v>
      </c>
      <c r="B802" s="14" t="n">
        <f aca="false">A802/12</f>
        <v>66.5</v>
      </c>
      <c r="C802" s="15" t="n">
        <f aca="false">INT(A802/6)</f>
        <v>133</v>
      </c>
      <c r="D802" s="16" t="n">
        <f aca="false">IF(C802=0,(1+Dic2025!$G$6)^(-B802),EXP(LN(INDEX(Dic2025!$H$6:$H$205,C802))+(LN(INDEX(Dic2025!$H$6:$H$205,MIN(C802+1,200)))-LN(INDEX(Dic2025!$H$6:$H$205,C802)))*(A802-6*C802)/6))</f>
        <v>0.0154524159064477</v>
      </c>
      <c r="E802" s="12" t="n">
        <f aca="false">D802^(-1/B802)-1</f>
        <v>0.0647144224999998</v>
      </c>
      <c r="F802" s="12" t="n">
        <f aca="false">(1+E802)^(1/12)-1</f>
        <v>0.00523922828232437</v>
      </c>
      <c r="G802" s="16" t="n">
        <f aca="false">IF(C802=0,(1+Dic2025!$J$6)^(-B802),EXP(LN(INDEX(Dic2025!$K$6:$K$205,C802))+(LN(INDEX(Dic2025!$K$6:$K$205,MIN(C802+1,200)))-LN(INDEX(Dic2025!$K$6:$K$205,C802)))*(A802-6*C802)/6))</f>
        <v>0.0154524159064477</v>
      </c>
      <c r="H802" s="12" t="n">
        <f aca="false">G802^(-1/B802)-1</f>
        <v>0.0647144224999998</v>
      </c>
      <c r="I802" s="12" t="n">
        <f aca="false">(1+H802)^(1/12)-1</f>
        <v>0.00523922828232437</v>
      </c>
      <c r="J802" s="16" t="n">
        <f aca="false">IF(C802=0,(1+Dic2025!$M$6)^(-B802),EXP(LN(INDEX(Dic2025!$N$6:$N$205,C802))+(LN(INDEX(Dic2025!$N$6:$N$205,MIN(C802+1,200)))-LN(INDEX(Dic2025!$N$6:$N$205,C802)))*(A802-6*C802)/6))</f>
        <v>0.0154524159064477</v>
      </c>
      <c r="K802" s="12" t="n">
        <f aca="false">J802^(-1/B802)-1</f>
        <v>0.0647144224999998</v>
      </c>
      <c r="L802" s="12" t="n">
        <f aca="false">(1+K802)^(1/12)-1</f>
        <v>0.00523922828232437</v>
      </c>
    </row>
    <row r="803" customFormat="false" ht="15" hidden="false" customHeight="false" outlineLevel="0" collapsed="false">
      <c r="A803" s="4" t="n">
        <v>799</v>
      </c>
      <c r="B803" s="14" t="n">
        <f aca="false">A803/12</f>
        <v>66.5833333333333</v>
      </c>
      <c r="C803" s="15" t="n">
        <f aca="false">INT(A803/6)</f>
        <v>133</v>
      </c>
      <c r="D803" s="16" t="n">
        <f aca="false">IF(C803=0,(1+Dic2025!$G$6)^(-B803),EXP(LN(INDEX(Dic2025!$H$6:$H$205,C803))+(LN(INDEX(Dic2025!$H$6:$H$205,MIN(C803+1,200)))-LN(INDEX(Dic2025!$H$6:$H$205,C803)))*(A803-6*C803)/6))</f>
        <v>0.0153718791225962</v>
      </c>
      <c r="E803" s="12" t="n">
        <f aca="false">D803^(-1/B803)-1</f>
        <v>0.0647144224999998</v>
      </c>
      <c r="F803" s="12" t="n">
        <f aca="false">(1+E803)^(1/12)-1</f>
        <v>0.00523922828232437</v>
      </c>
      <c r="G803" s="16" t="n">
        <f aca="false">IF(C803=0,(1+Dic2025!$J$6)^(-B803),EXP(LN(INDEX(Dic2025!$K$6:$K$205,C803))+(LN(INDEX(Dic2025!$K$6:$K$205,MIN(C803+1,200)))-LN(INDEX(Dic2025!$K$6:$K$205,C803)))*(A803-6*C803)/6))</f>
        <v>0.0153718791225962</v>
      </c>
      <c r="H803" s="12" t="n">
        <f aca="false">G803^(-1/B803)-1</f>
        <v>0.0647144224999998</v>
      </c>
      <c r="I803" s="12" t="n">
        <f aca="false">(1+H803)^(1/12)-1</f>
        <v>0.00523922828232437</v>
      </c>
      <c r="J803" s="16" t="n">
        <f aca="false">IF(C803=0,(1+Dic2025!$M$6)^(-B803),EXP(LN(INDEX(Dic2025!$N$6:$N$205,C803))+(LN(INDEX(Dic2025!$N$6:$N$205,MIN(C803+1,200)))-LN(INDEX(Dic2025!$N$6:$N$205,C803)))*(A803-6*C803)/6))</f>
        <v>0.0153718791225962</v>
      </c>
      <c r="K803" s="12" t="n">
        <f aca="false">J803^(-1/B803)-1</f>
        <v>0.0647144224999998</v>
      </c>
      <c r="L803" s="12" t="n">
        <f aca="false">(1+K803)^(1/12)-1</f>
        <v>0.00523922828232437</v>
      </c>
    </row>
    <row r="804" customFormat="false" ht="15" hidden="false" customHeight="false" outlineLevel="0" collapsed="false">
      <c r="A804" s="4" t="n">
        <v>800</v>
      </c>
      <c r="B804" s="14" t="n">
        <f aca="false">A804/12</f>
        <v>66.6666666666667</v>
      </c>
      <c r="C804" s="15" t="n">
        <f aca="false">INT(A804/6)</f>
        <v>133</v>
      </c>
      <c r="D804" s="16" t="n">
        <f aca="false">IF(C804=0,(1+Dic2025!$G$6)^(-B804),EXP(LN(INDEX(Dic2025!$H$6:$H$205,C804))+(LN(INDEX(Dic2025!$H$6:$H$205,MIN(C804+1,200)))-LN(INDEX(Dic2025!$H$6:$H$205,C804)))*(A804-6*C804)/6))</f>
        <v>0.0152917620901668</v>
      </c>
      <c r="E804" s="12" t="n">
        <f aca="false">D804^(-1/B804)-1</f>
        <v>0.0647144224999998</v>
      </c>
      <c r="F804" s="12" t="n">
        <f aca="false">(1+E804)^(1/12)-1</f>
        <v>0.00523922828232437</v>
      </c>
      <c r="G804" s="16" t="n">
        <f aca="false">IF(C804=0,(1+Dic2025!$J$6)^(-B804),EXP(LN(INDEX(Dic2025!$K$6:$K$205,C804))+(LN(INDEX(Dic2025!$K$6:$K$205,MIN(C804+1,200)))-LN(INDEX(Dic2025!$K$6:$K$205,C804)))*(A804-6*C804)/6))</f>
        <v>0.0152917620901668</v>
      </c>
      <c r="H804" s="12" t="n">
        <f aca="false">G804^(-1/B804)-1</f>
        <v>0.0647144224999998</v>
      </c>
      <c r="I804" s="12" t="n">
        <f aca="false">(1+H804)^(1/12)-1</f>
        <v>0.00523922828232437</v>
      </c>
      <c r="J804" s="16" t="n">
        <f aca="false">IF(C804=0,(1+Dic2025!$M$6)^(-B804),EXP(LN(INDEX(Dic2025!$N$6:$N$205,C804))+(LN(INDEX(Dic2025!$N$6:$N$205,MIN(C804+1,200)))-LN(INDEX(Dic2025!$N$6:$N$205,C804)))*(A804-6*C804)/6))</f>
        <v>0.0152917620901668</v>
      </c>
      <c r="K804" s="12" t="n">
        <f aca="false">J804^(-1/B804)-1</f>
        <v>0.0647144224999998</v>
      </c>
      <c r="L804" s="12" t="n">
        <f aca="false">(1+K804)^(1/12)-1</f>
        <v>0.00523922828232437</v>
      </c>
    </row>
    <row r="805" customFormat="false" ht="15" hidden="false" customHeight="false" outlineLevel="0" collapsed="false">
      <c r="A805" s="4" t="n">
        <v>801</v>
      </c>
      <c r="B805" s="14" t="n">
        <f aca="false">A805/12</f>
        <v>66.75</v>
      </c>
      <c r="C805" s="15" t="n">
        <f aca="false">INT(A805/6)</f>
        <v>133</v>
      </c>
      <c r="D805" s="16" t="n">
        <f aca="false">IF(C805=0,(1+Dic2025!$G$6)^(-B805),EXP(LN(INDEX(Dic2025!$H$6:$H$205,C805))+(LN(INDEX(Dic2025!$H$6:$H$205,MIN(C805+1,200)))-LN(INDEX(Dic2025!$H$6:$H$205,C805)))*(A805-6*C805)/6))</f>
        <v>0.015212062621448</v>
      </c>
      <c r="E805" s="12" t="n">
        <f aca="false">D805^(-1/B805)-1</f>
        <v>0.0647144224999998</v>
      </c>
      <c r="F805" s="12" t="n">
        <f aca="false">(1+E805)^(1/12)-1</f>
        <v>0.00523922828232437</v>
      </c>
      <c r="G805" s="16" t="n">
        <f aca="false">IF(C805=0,(1+Dic2025!$J$6)^(-B805),EXP(LN(INDEX(Dic2025!$K$6:$K$205,C805))+(LN(INDEX(Dic2025!$K$6:$K$205,MIN(C805+1,200)))-LN(INDEX(Dic2025!$K$6:$K$205,C805)))*(A805-6*C805)/6))</f>
        <v>0.015212062621448</v>
      </c>
      <c r="H805" s="12" t="n">
        <f aca="false">G805^(-1/B805)-1</f>
        <v>0.0647144224999998</v>
      </c>
      <c r="I805" s="12" t="n">
        <f aca="false">(1+H805)^(1/12)-1</f>
        <v>0.00523922828232437</v>
      </c>
      <c r="J805" s="16" t="n">
        <f aca="false">IF(C805=0,(1+Dic2025!$M$6)^(-B805),EXP(LN(INDEX(Dic2025!$N$6:$N$205,C805))+(LN(INDEX(Dic2025!$N$6:$N$205,MIN(C805+1,200)))-LN(INDEX(Dic2025!$N$6:$N$205,C805)))*(A805-6*C805)/6))</f>
        <v>0.015212062621448</v>
      </c>
      <c r="K805" s="12" t="n">
        <f aca="false">J805^(-1/B805)-1</f>
        <v>0.0647144224999998</v>
      </c>
      <c r="L805" s="12" t="n">
        <f aca="false">(1+K805)^(1/12)-1</f>
        <v>0.00523922828232437</v>
      </c>
    </row>
    <row r="806" customFormat="false" ht="15" hidden="false" customHeight="false" outlineLevel="0" collapsed="false">
      <c r="A806" s="4" t="n">
        <v>802</v>
      </c>
      <c r="B806" s="14" t="n">
        <f aca="false">A806/12</f>
        <v>66.8333333333333</v>
      </c>
      <c r="C806" s="15" t="n">
        <f aca="false">INT(A806/6)</f>
        <v>133</v>
      </c>
      <c r="D806" s="16" t="n">
        <f aca="false">IF(C806=0,(1+Dic2025!$G$6)^(-B806),EXP(LN(INDEX(Dic2025!$H$6:$H$205,C806))+(LN(INDEX(Dic2025!$H$6:$H$205,MIN(C806+1,200)))-LN(INDEX(Dic2025!$H$6:$H$205,C806)))*(A806-6*C806)/6))</f>
        <v>0.0151327785401304</v>
      </c>
      <c r="E806" s="12" t="n">
        <f aca="false">D806^(-1/B806)-1</f>
        <v>0.0647144224999998</v>
      </c>
      <c r="F806" s="12" t="n">
        <f aca="false">(1+E806)^(1/12)-1</f>
        <v>0.00523922828232437</v>
      </c>
      <c r="G806" s="16" t="n">
        <f aca="false">IF(C806=0,(1+Dic2025!$J$6)^(-B806),EXP(LN(INDEX(Dic2025!$K$6:$K$205,C806))+(LN(INDEX(Dic2025!$K$6:$K$205,MIN(C806+1,200)))-LN(INDEX(Dic2025!$K$6:$K$205,C806)))*(A806-6*C806)/6))</f>
        <v>0.0151327785401304</v>
      </c>
      <c r="H806" s="12" t="n">
        <f aca="false">G806^(-1/B806)-1</f>
        <v>0.0647144224999998</v>
      </c>
      <c r="I806" s="12" t="n">
        <f aca="false">(1+H806)^(1/12)-1</f>
        <v>0.00523922828232437</v>
      </c>
      <c r="J806" s="16" t="n">
        <f aca="false">IF(C806=0,(1+Dic2025!$M$6)^(-B806),EXP(LN(INDEX(Dic2025!$N$6:$N$205,C806))+(LN(INDEX(Dic2025!$N$6:$N$205,MIN(C806+1,200)))-LN(INDEX(Dic2025!$N$6:$N$205,C806)))*(A806-6*C806)/6))</f>
        <v>0.0151327785401304</v>
      </c>
      <c r="K806" s="12" t="n">
        <f aca="false">J806^(-1/B806)-1</f>
        <v>0.0647144224999998</v>
      </c>
      <c r="L806" s="12" t="n">
        <f aca="false">(1+K806)^(1/12)-1</f>
        <v>0.00523922828232437</v>
      </c>
    </row>
    <row r="807" customFormat="false" ht="15" hidden="false" customHeight="false" outlineLevel="0" collapsed="false">
      <c r="A807" s="4" t="n">
        <v>803</v>
      </c>
      <c r="B807" s="14" t="n">
        <f aca="false">A807/12</f>
        <v>66.9166666666667</v>
      </c>
      <c r="C807" s="15" t="n">
        <f aca="false">INT(A807/6)</f>
        <v>133</v>
      </c>
      <c r="D807" s="16" t="n">
        <f aca="false">IF(C807=0,(1+Dic2025!$G$6)^(-B807),EXP(LN(INDEX(Dic2025!$H$6:$H$205,C807))+(LN(INDEX(Dic2025!$H$6:$H$205,MIN(C807+1,200)))-LN(INDEX(Dic2025!$H$6:$H$205,C807)))*(A807-6*C807)/6))</f>
        <v>0.0150539076812473</v>
      </c>
      <c r="E807" s="12" t="n">
        <f aca="false">D807^(-1/B807)-1</f>
        <v>0.0647144224999998</v>
      </c>
      <c r="F807" s="12" t="n">
        <f aca="false">(1+E807)^(1/12)-1</f>
        <v>0.00523922828232437</v>
      </c>
      <c r="G807" s="16" t="n">
        <f aca="false">IF(C807=0,(1+Dic2025!$J$6)^(-B807),EXP(LN(INDEX(Dic2025!$K$6:$K$205,C807))+(LN(INDEX(Dic2025!$K$6:$K$205,MIN(C807+1,200)))-LN(INDEX(Dic2025!$K$6:$K$205,C807)))*(A807-6*C807)/6))</f>
        <v>0.0150539076812473</v>
      </c>
      <c r="H807" s="12" t="n">
        <f aca="false">G807^(-1/B807)-1</f>
        <v>0.0647144224999998</v>
      </c>
      <c r="I807" s="12" t="n">
        <f aca="false">(1+H807)^(1/12)-1</f>
        <v>0.00523922828232437</v>
      </c>
      <c r="J807" s="16" t="n">
        <f aca="false">IF(C807=0,(1+Dic2025!$M$6)^(-B807),EXP(LN(INDEX(Dic2025!$N$6:$N$205,C807))+(LN(INDEX(Dic2025!$N$6:$N$205,MIN(C807+1,200)))-LN(INDEX(Dic2025!$N$6:$N$205,C807)))*(A807-6*C807)/6))</f>
        <v>0.0150539076812473</v>
      </c>
      <c r="K807" s="12" t="n">
        <f aca="false">J807^(-1/B807)-1</f>
        <v>0.0647144224999998</v>
      </c>
      <c r="L807" s="12" t="n">
        <f aca="false">(1+K807)^(1/12)-1</f>
        <v>0.00523922828232437</v>
      </c>
    </row>
    <row r="808" customFormat="false" ht="15" hidden="false" customHeight="false" outlineLevel="0" collapsed="false">
      <c r="A808" s="4" t="n">
        <v>804</v>
      </c>
      <c r="B808" s="14" t="n">
        <f aca="false">A808/12</f>
        <v>67</v>
      </c>
      <c r="C808" s="15" t="n">
        <f aca="false">INT(A808/6)</f>
        <v>134</v>
      </c>
      <c r="D808" s="16" t="n">
        <f aca="false">IF(C808=0,(1+Dic2025!$G$6)^(-B808),EXP(LN(INDEX(Dic2025!$H$6:$H$205,C808))+(LN(INDEX(Dic2025!$H$6:$H$205,MIN(C808+1,200)))-LN(INDEX(Dic2025!$H$6:$H$205,C808)))*(A808-6*C808)/6))</f>
        <v>0.0149754478911157</v>
      </c>
      <c r="E808" s="12" t="n">
        <f aca="false">D808^(-1/B808)-1</f>
        <v>0.0647144224999998</v>
      </c>
      <c r="F808" s="12" t="n">
        <f aca="false">(1+E808)^(1/12)-1</f>
        <v>0.00523922828232437</v>
      </c>
      <c r="G808" s="16" t="n">
        <f aca="false">IF(C808=0,(1+Dic2025!$J$6)^(-B808),EXP(LN(INDEX(Dic2025!$K$6:$K$205,C808))+(LN(INDEX(Dic2025!$K$6:$K$205,MIN(C808+1,200)))-LN(INDEX(Dic2025!$K$6:$K$205,C808)))*(A808-6*C808)/6))</f>
        <v>0.0149754478911157</v>
      </c>
      <c r="H808" s="12" t="n">
        <f aca="false">G808^(-1/B808)-1</f>
        <v>0.0647144224999998</v>
      </c>
      <c r="I808" s="12" t="n">
        <f aca="false">(1+H808)^(1/12)-1</f>
        <v>0.00523922828232437</v>
      </c>
      <c r="J808" s="16" t="n">
        <f aca="false">IF(C808=0,(1+Dic2025!$M$6)^(-B808),EXP(LN(INDEX(Dic2025!$N$6:$N$205,C808))+(LN(INDEX(Dic2025!$N$6:$N$205,MIN(C808+1,200)))-LN(INDEX(Dic2025!$N$6:$N$205,C808)))*(A808-6*C808)/6))</f>
        <v>0.0149754478911157</v>
      </c>
      <c r="K808" s="12" t="n">
        <f aca="false">J808^(-1/B808)-1</f>
        <v>0.0647144224999998</v>
      </c>
      <c r="L808" s="12" t="n">
        <f aca="false">(1+K808)^(1/12)-1</f>
        <v>0.00523922828232437</v>
      </c>
    </row>
    <row r="809" customFormat="false" ht="15" hidden="false" customHeight="false" outlineLevel="0" collapsed="false">
      <c r="A809" s="4" t="n">
        <v>805</v>
      </c>
      <c r="B809" s="14" t="n">
        <f aca="false">A809/12</f>
        <v>67.0833333333333</v>
      </c>
      <c r="C809" s="15" t="n">
        <f aca="false">INT(A809/6)</f>
        <v>134</v>
      </c>
      <c r="D809" s="16" t="n">
        <f aca="false">IF(C809=0,(1+Dic2025!$G$6)^(-B809),EXP(LN(INDEX(Dic2025!$H$6:$H$205,C809))+(LN(INDEX(Dic2025!$H$6:$H$205,MIN(C809+1,200)))-LN(INDEX(Dic2025!$H$6:$H$205,C809)))*(A809-6*C809)/6))</f>
        <v>0.014881164015594</v>
      </c>
      <c r="E809" s="12" t="n">
        <f aca="false">D809^(-1/B809)-1</f>
        <v>0.0647317265381424</v>
      </c>
      <c r="F809" s="12" t="n">
        <f aca="false">(1+E809)^(1/12)-1</f>
        <v>0.00524058972473007</v>
      </c>
      <c r="G809" s="16" t="n">
        <f aca="false">IF(C809=0,(1+Dic2025!$J$6)^(-B809),EXP(LN(INDEX(Dic2025!$K$6:$K$205,C809))+(LN(INDEX(Dic2025!$K$6:$K$205,MIN(C809+1,200)))-LN(INDEX(Dic2025!$K$6:$K$205,C809)))*(A809-6*C809)/6))</f>
        <v>0.014881164015594</v>
      </c>
      <c r="H809" s="12" t="n">
        <f aca="false">G809^(-1/B809)-1</f>
        <v>0.0647317265381424</v>
      </c>
      <c r="I809" s="12" t="n">
        <f aca="false">(1+H809)^(1/12)-1</f>
        <v>0.00524058972473007</v>
      </c>
      <c r="J809" s="16" t="n">
        <f aca="false">IF(C809=0,(1+Dic2025!$M$6)^(-B809),EXP(LN(INDEX(Dic2025!$N$6:$N$205,C809))+(LN(INDEX(Dic2025!$N$6:$N$205,MIN(C809+1,200)))-LN(INDEX(Dic2025!$N$6:$N$205,C809)))*(A809-6*C809)/6))</f>
        <v>0.014881164015594</v>
      </c>
      <c r="K809" s="12" t="n">
        <f aca="false">J809^(-1/B809)-1</f>
        <v>0.0647317265381424</v>
      </c>
      <c r="L809" s="12" t="n">
        <f aca="false">(1+K809)^(1/12)-1</f>
        <v>0.00524058972473007</v>
      </c>
    </row>
    <row r="810" customFormat="false" ht="15" hidden="false" customHeight="false" outlineLevel="0" collapsed="false">
      <c r="A810" s="4" t="n">
        <v>806</v>
      </c>
      <c r="B810" s="14" t="n">
        <f aca="false">A810/12</f>
        <v>67.1666666666667</v>
      </c>
      <c r="C810" s="15" t="n">
        <f aca="false">INT(A810/6)</f>
        <v>134</v>
      </c>
      <c r="D810" s="16" t="n">
        <f aca="false">IF(C810=0,(1+Dic2025!$G$6)^(-B810),EXP(LN(INDEX(Dic2025!$H$6:$H$205,C810))+(LN(INDEX(Dic2025!$H$6:$H$205,MIN(C810+1,200)))-LN(INDEX(Dic2025!$H$6:$H$205,C810)))*(A810-6*C810)/6))</f>
        <v>0.0147874737416292</v>
      </c>
      <c r="E810" s="12" t="n">
        <f aca="false">D810^(-1/B810)-1</f>
        <v>0.0647489879184093</v>
      </c>
      <c r="F810" s="12" t="n">
        <f aca="false">(1+E810)^(1/12)-1</f>
        <v>0.00524194779070375</v>
      </c>
      <c r="G810" s="16" t="n">
        <f aca="false">IF(C810=0,(1+Dic2025!$J$6)^(-B810),EXP(LN(INDEX(Dic2025!$K$6:$K$205,C810))+(LN(INDEX(Dic2025!$K$6:$K$205,MIN(C810+1,200)))-LN(INDEX(Dic2025!$K$6:$K$205,C810)))*(A810-6*C810)/6))</f>
        <v>0.0147874737416292</v>
      </c>
      <c r="H810" s="12" t="n">
        <f aca="false">G810^(-1/B810)-1</f>
        <v>0.0647489879184093</v>
      </c>
      <c r="I810" s="12" t="n">
        <f aca="false">(1+H810)^(1/12)-1</f>
        <v>0.00524194779070375</v>
      </c>
      <c r="J810" s="16" t="n">
        <f aca="false">IF(C810=0,(1+Dic2025!$M$6)^(-B810),EXP(LN(INDEX(Dic2025!$N$6:$N$205,C810))+(LN(INDEX(Dic2025!$N$6:$N$205,MIN(C810+1,200)))-LN(INDEX(Dic2025!$N$6:$N$205,C810)))*(A810-6*C810)/6))</f>
        <v>0.0147874737416292</v>
      </c>
      <c r="K810" s="12" t="n">
        <f aca="false">J810^(-1/B810)-1</f>
        <v>0.0647489879184093</v>
      </c>
      <c r="L810" s="12" t="n">
        <f aca="false">(1+K810)^(1/12)-1</f>
        <v>0.00524194779070375</v>
      </c>
    </row>
    <row r="811" customFormat="false" ht="15" hidden="false" customHeight="false" outlineLevel="0" collapsed="false">
      <c r="A811" s="4" t="n">
        <v>807</v>
      </c>
      <c r="B811" s="14" t="n">
        <f aca="false">A811/12</f>
        <v>67.25</v>
      </c>
      <c r="C811" s="15" t="n">
        <f aca="false">INT(A811/6)</f>
        <v>134</v>
      </c>
      <c r="D811" s="16" t="n">
        <f aca="false">IF(C811=0,(1+Dic2025!$G$6)^(-B811),EXP(LN(INDEX(Dic2025!$H$6:$H$205,C811))+(LN(INDEX(Dic2025!$H$6:$H$205,MIN(C811+1,200)))-LN(INDEX(Dic2025!$H$6:$H$205,C811)))*(A811-6*C811)/6))</f>
        <v>0.0146943733319672</v>
      </c>
      <c r="E811" s="12" t="n">
        <f aca="false">D811^(-1/B811)-1</f>
        <v>0.0647662067983443</v>
      </c>
      <c r="F811" s="12" t="n">
        <f aca="false">(1+E811)^(1/12)-1</f>
        <v>0.00524330249279048</v>
      </c>
      <c r="G811" s="16" t="n">
        <f aca="false">IF(C811=0,(1+Dic2025!$J$6)^(-B811),EXP(LN(INDEX(Dic2025!$K$6:$K$205,C811))+(LN(INDEX(Dic2025!$K$6:$K$205,MIN(C811+1,200)))-LN(INDEX(Dic2025!$K$6:$K$205,C811)))*(A811-6*C811)/6))</f>
        <v>0.0146943733319672</v>
      </c>
      <c r="H811" s="12" t="n">
        <f aca="false">G811^(-1/B811)-1</f>
        <v>0.0647662067983443</v>
      </c>
      <c r="I811" s="12" t="n">
        <f aca="false">(1+H811)^(1/12)-1</f>
        <v>0.00524330249279048</v>
      </c>
      <c r="J811" s="16" t="n">
        <f aca="false">IF(C811=0,(1+Dic2025!$M$6)^(-B811),EXP(LN(INDEX(Dic2025!$N$6:$N$205,C811))+(LN(INDEX(Dic2025!$N$6:$N$205,MIN(C811+1,200)))-LN(INDEX(Dic2025!$N$6:$N$205,C811)))*(A811-6*C811)/6))</f>
        <v>0.0146943733319672</v>
      </c>
      <c r="K811" s="12" t="n">
        <f aca="false">J811^(-1/B811)-1</f>
        <v>0.0647662067983443</v>
      </c>
      <c r="L811" s="12" t="n">
        <f aca="false">(1+K811)^(1/12)-1</f>
        <v>0.00524330249279048</v>
      </c>
    </row>
    <row r="812" customFormat="false" ht="15" hidden="false" customHeight="false" outlineLevel="0" collapsed="false">
      <c r="A812" s="4" t="n">
        <v>808</v>
      </c>
      <c r="B812" s="14" t="n">
        <f aca="false">A812/12</f>
        <v>67.3333333333333</v>
      </c>
      <c r="C812" s="15" t="n">
        <f aca="false">INT(A812/6)</f>
        <v>134</v>
      </c>
      <c r="D812" s="16" t="n">
        <f aca="false">IF(C812=0,(1+Dic2025!$G$6)^(-B812),EXP(LN(INDEX(Dic2025!$H$6:$H$205,C812))+(LN(INDEX(Dic2025!$H$6:$H$205,MIN(C812+1,200)))-LN(INDEX(Dic2025!$H$6:$H$205,C812)))*(A812-6*C812)/6))</f>
        <v>0.014601859072883</v>
      </c>
      <c r="E812" s="12" t="n">
        <f aca="false">D812^(-1/B812)-1</f>
        <v>0.0647833833347162</v>
      </c>
      <c r="F812" s="12" t="n">
        <f aca="false">(1+E812)^(1/12)-1</f>
        <v>0.00524465384347317</v>
      </c>
      <c r="G812" s="16" t="n">
        <f aca="false">IF(C812=0,(1+Dic2025!$J$6)^(-B812),EXP(LN(INDEX(Dic2025!$K$6:$K$205,C812))+(LN(INDEX(Dic2025!$K$6:$K$205,MIN(C812+1,200)))-LN(INDEX(Dic2025!$K$6:$K$205,C812)))*(A812-6*C812)/6))</f>
        <v>0.014601859072883</v>
      </c>
      <c r="H812" s="12" t="n">
        <f aca="false">G812^(-1/B812)-1</f>
        <v>0.0647833833347162</v>
      </c>
      <c r="I812" s="12" t="n">
        <f aca="false">(1+H812)^(1/12)-1</f>
        <v>0.00524465384347317</v>
      </c>
      <c r="J812" s="16" t="n">
        <f aca="false">IF(C812=0,(1+Dic2025!$M$6)^(-B812),EXP(LN(INDEX(Dic2025!$N$6:$N$205,C812))+(LN(INDEX(Dic2025!$N$6:$N$205,MIN(C812+1,200)))-LN(INDEX(Dic2025!$N$6:$N$205,C812)))*(A812-6*C812)/6))</f>
        <v>0.014601859072883</v>
      </c>
      <c r="K812" s="12" t="n">
        <f aca="false">J812^(-1/B812)-1</f>
        <v>0.0647833833347162</v>
      </c>
      <c r="L812" s="12" t="n">
        <f aca="false">(1+K812)^(1/12)-1</f>
        <v>0.00524465384347317</v>
      </c>
    </row>
    <row r="813" customFormat="false" ht="15" hidden="false" customHeight="false" outlineLevel="0" collapsed="false">
      <c r="A813" s="4" t="n">
        <v>809</v>
      </c>
      <c r="B813" s="14" t="n">
        <f aca="false">A813/12</f>
        <v>67.4166666666667</v>
      </c>
      <c r="C813" s="15" t="n">
        <f aca="false">INT(A813/6)</f>
        <v>134</v>
      </c>
      <c r="D813" s="16" t="n">
        <f aca="false">IF(C813=0,(1+Dic2025!$G$6)^(-B813),EXP(LN(INDEX(Dic2025!$H$6:$H$205,C813))+(LN(INDEX(Dic2025!$H$6:$H$205,MIN(C813+1,200)))-LN(INDEX(Dic2025!$H$6:$H$205,C813)))*(A813-6*C813)/6))</f>
        <v>0.0145099272740331</v>
      </c>
      <c r="E813" s="12" t="n">
        <f aca="false">D813^(-1/B813)-1</f>
        <v>0.0648005176835236</v>
      </c>
      <c r="F813" s="12" t="n">
        <f aca="false">(1+E813)^(1/12)-1</f>
        <v>0.00524600185517299</v>
      </c>
      <c r="G813" s="16" t="n">
        <f aca="false">IF(C813=0,(1+Dic2025!$J$6)^(-B813),EXP(LN(INDEX(Dic2025!$K$6:$K$205,C813))+(LN(INDEX(Dic2025!$K$6:$K$205,MIN(C813+1,200)))-LN(INDEX(Dic2025!$K$6:$K$205,C813)))*(A813-6*C813)/6))</f>
        <v>0.0145099272740331</v>
      </c>
      <c r="H813" s="12" t="n">
        <f aca="false">G813^(-1/B813)-1</f>
        <v>0.0648005176835236</v>
      </c>
      <c r="I813" s="12" t="n">
        <f aca="false">(1+H813)^(1/12)-1</f>
        <v>0.00524600185517299</v>
      </c>
      <c r="J813" s="16" t="n">
        <f aca="false">IF(C813=0,(1+Dic2025!$M$6)^(-B813),EXP(LN(INDEX(Dic2025!$N$6:$N$205,C813))+(LN(INDEX(Dic2025!$N$6:$N$205,MIN(C813+1,200)))-LN(INDEX(Dic2025!$N$6:$N$205,C813)))*(A813-6*C813)/6))</f>
        <v>0.0145099272740331</v>
      </c>
      <c r="K813" s="12" t="n">
        <f aca="false">J813^(-1/B813)-1</f>
        <v>0.0648005176835236</v>
      </c>
      <c r="L813" s="12" t="n">
        <f aca="false">(1+K813)^(1/12)-1</f>
        <v>0.00524600185517299</v>
      </c>
    </row>
    <row r="814" customFormat="false" ht="15" hidden="false" customHeight="false" outlineLevel="0" collapsed="false">
      <c r="A814" s="4" t="n">
        <v>810</v>
      </c>
      <c r="B814" s="14" t="n">
        <f aca="false">A814/12</f>
        <v>67.5</v>
      </c>
      <c r="C814" s="15" t="n">
        <f aca="false">INT(A814/6)</f>
        <v>135</v>
      </c>
      <c r="D814" s="16" t="n">
        <f aca="false">IF(C814=0,(1+Dic2025!$G$6)^(-B814),EXP(LN(INDEX(Dic2025!$H$6:$H$205,C814))+(LN(INDEX(Dic2025!$H$6:$H$205,MIN(C814+1,200)))-LN(INDEX(Dic2025!$H$6:$H$205,C814)))*(A814-6*C814)/6))</f>
        <v>0.014418574268308</v>
      </c>
      <c r="E814" s="12" t="n">
        <f aca="false">D814^(-1/B814)-1</f>
        <v>0.0648176100000002</v>
      </c>
      <c r="F814" s="12" t="n">
        <f aca="false">(1+E814)^(1/12)-1</f>
        <v>0.00524734654024961</v>
      </c>
      <c r="G814" s="16" t="n">
        <f aca="false">IF(C814=0,(1+Dic2025!$J$6)^(-B814),EXP(LN(INDEX(Dic2025!$K$6:$K$205,C814))+(LN(INDEX(Dic2025!$K$6:$K$205,MIN(C814+1,200)))-LN(INDEX(Dic2025!$K$6:$K$205,C814)))*(A814-6*C814)/6))</f>
        <v>0.014418574268308</v>
      </c>
      <c r="H814" s="12" t="n">
        <f aca="false">G814^(-1/B814)-1</f>
        <v>0.0648176100000002</v>
      </c>
      <c r="I814" s="12" t="n">
        <f aca="false">(1+H814)^(1/12)-1</f>
        <v>0.00524734654024961</v>
      </c>
      <c r="J814" s="16" t="n">
        <f aca="false">IF(C814=0,(1+Dic2025!$M$6)^(-B814),EXP(LN(INDEX(Dic2025!$N$6:$N$205,C814))+(LN(INDEX(Dic2025!$N$6:$N$205,MIN(C814+1,200)))-LN(INDEX(Dic2025!$N$6:$N$205,C814)))*(A814-6*C814)/6))</f>
        <v>0.014418574268308</v>
      </c>
      <c r="K814" s="12" t="n">
        <f aca="false">J814^(-1/B814)-1</f>
        <v>0.0648176100000002</v>
      </c>
      <c r="L814" s="12" t="n">
        <f aca="false">(1+K814)^(1/12)-1</f>
        <v>0.00524734654024961</v>
      </c>
    </row>
    <row r="815" customFormat="false" ht="15" hidden="false" customHeight="false" outlineLevel="0" collapsed="false">
      <c r="A815" s="4" t="n">
        <v>811</v>
      </c>
      <c r="B815" s="14" t="n">
        <f aca="false">A815/12</f>
        <v>67.5833333333333</v>
      </c>
      <c r="C815" s="15" t="n">
        <f aca="false">INT(A815/6)</f>
        <v>135</v>
      </c>
      <c r="D815" s="16" t="n">
        <f aca="false">IF(C815=0,(1+Dic2025!$G$6)^(-B815),EXP(LN(INDEX(Dic2025!$H$6:$H$205,C815))+(LN(INDEX(Dic2025!$H$6:$H$205,MIN(C815+1,200)))-LN(INDEX(Dic2025!$H$6:$H$205,C815)))*(A815-6*C815)/6))</f>
        <v>0.0143433099504637</v>
      </c>
      <c r="E815" s="12" t="n">
        <f aca="false">D815^(-1/B815)-1</f>
        <v>0.0648176100000002</v>
      </c>
      <c r="F815" s="12" t="n">
        <f aca="false">(1+E815)^(1/12)-1</f>
        <v>0.00524734654024961</v>
      </c>
      <c r="G815" s="16" t="n">
        <f aca="false">IF(C815=0,(1+Dic2025!$J$6)^(-B815),EXP(LN(INDEX(Dic2025!$K$6:$K$205,C815))+(LN(INDEX(Dic2025!$K$6:$K$205,MIN(C815+1,200)))-LN(INDEX(Dic2025!$K$6:$K$205,C815)))*(A815-6*C815)/6))</f>
        <v>0.0143433099504637</v>
      </c>
      <c r="H815" s="12" t="n">
        <f aca="false">G815^(-1/B815)-1</f>
        <v>0.0648176100000002</v>
      </c>
      <c r="I815" s="12" t="n">
        <f aca="false">(1+H815)^(1/12)-1</f>
        <v>0.00524734654024961</v>
      </c>
      <c r="J815" s="16" t="n">
        <f aca="false">IF(C815=0,(1+Dic2025!$M$6)^(-B815),EXP(LN(INDEX(Dic2025!$N$6:$N$205,C815))+(LN(INDEX(Dic2025!$N$6:$N$205,MIN(C815+1,200)))-LN(INDEX(Dic2025!$N$6:$N$205,C815)))*(A815-6*C815)/6))</f>
        <v>0.0143433099504637</v>
      </c>
      <c r="K815" s="12" t="n">
        <f aca="false">J815^(-1/B815)-1</f>
        <v>0.0648176100000002</v>
      </c>
      <c r="L815" s="12" t="n">
        <f aca="false">(1+K815)^(1/12)-1</f>
        <v>0.00524734654024961</v>
      </c>
    </row>
    <row r="816" customFormat="false" ht="15" hidden="false" customHeight="false" outlineLevel="0" collapsed="false">
      <c r="A816" s="4" t="n">
        <v>812</v>
      </c>
      <c r="B816" s="14" t="n">
        <f aca="false">A816/12</f>
        <v>67.6666666666667</v>
      </c>
      <c r="C816" s="15" t="n">
        <f aca="false">INT(A816/6)</f>
        <v>135</v>
      </c>
      <c r="D816" s="16" t="n">
        <f aca="false">IF(C816=0,(1+Dic2025!$G$6)^(-B816),EXP(LN(INDEX(Dic2025!$H$6:$H$205,C816))+(LN(INDEX(Dic2025!$H$6:$H$205,MIN(C816+1,200)))-LN(INDEX(Dic2025!$H$6:$H$205,C816)))*(A816-6*C816)/6))</f>
        <v>0.0142684385090186</v>
      </c>
      <c r="E816" s="12" t="n">
        <f aca="false">D816^(-1/B816)-1</f>
        <v>0.0648176100000002</v>
      </c>
      <c r="F816" s="12" t="n">
        <f aca="false">(1+E816)^(1/12)-1</f>
        <v>0.00524734654024961</v>
      </c>
      <c r="G816" s="16" t="n">
        <f aca="false">IF(C816=0,(1+Dic2025!$J$6)^(-B816),EXP(LN(INDEX(Dic2025!$K$6:$K$205,C816))+(LN(INDEX(Dic2025!$K$6:$K$205,MIN(C816+1,200)))-LN(INDEX(Dic2025!$K$6:$K$205,C816)))*(A816-6*C816)/6))</f>
        <v>0.0142684385090186</v>
      </c>
      <c r="H816" s="12" t="n">
        <f aca="false">G816^(-1/B816)-1</f>
        <v>0.0648176100000002</v>
      </c>
      <c r="I816" s="12" t="n">
        <f aca="false">(1+H816)^(1/12)-1</f>
        <v>0.00524734654024961</v>
      </c>
      <c r="J816" s="16" t="n">
        <f aca="false">IF(C816=0,(1+Dic2025!$M$6)^(-B816),EXP(LN(INDEX(Dic2025!$N$6:$N$205,C816))+(LN(INDEX(Dic2025!$N$6:$N$205,MIN(C816+1,200)))-LN(INDEX(Dic2025!$N$6:$N$205,C816)))*(A816-6*C816)/6))</f>
        <v>0.0142684385090186</v>
      </c>
      <c r="K816" s="12" t="n">
        <f aca="false">J816^(-1/B816)-1</f>
        <v>0.0648176100000002</v>
      </c>
      <c r="L816" s="12" t="n">
        <f aca="false">(1+K816)^(1/12)-1</f>
        <v>0.00524734654024961</v>
      </c>
    </row>
    <row r="817" customFormat="false" ht="15" hidden="false" customHeight="false" outlineLevel="0" collapsed="false">
      <c r="A817" s="4" t="n">
        <v>813</v>
      </c>
      <c r="B817" s="14" t="n">
        <f aca="false">A817/12</f>
        <v>67.75</v>
      </c>
      <c r="C817" s="15" t="n">
        <f aca="false">INT(A817/6)</f>
        <v>135</v>
      </c>
      <c r="D817" s="16" t="n">
        <f aca="false">IF(C817=0,(1+Dic2025!$G$6)^(-B817),EXP(LN(INDEX(Dic2025!$H$6:$H$205,C817))+(LN(INDEX(Dic2025!$H$6:$H$205,MIN(C817+1,200)))-LN(INDEX(Dic2025!$H$6:$H$205,C817)))*(A817-6*C817)/6))</f>
        <v>0.0141939578931754</v>
      </c>
      <c r="E817" s="12" t="n">
        <f aca="false">D817^(-1/B817)-1</f>
        <v>0.0648176100000002</v>
      </c>
      <c r="F817" s="12" t="n">
        <f aca="false">(1+E817)^(1/12)-1</f>
        <v>0.00524734654024961</v>
      </c>
      <c r="G817" s="16" t="n">
        <f aca="false">IF(C817=0,(1+Dic2025!$J$6)^(-B817),EXP(LN(INDEX(Dic2025!$K$6:$K$205,C817))+(LN(INDEX(Dic2025!$K$6:$K$205,MIN(C817+1,200)))-LN(INDEX(Dic2025!$K$6:$K$205,C817)))*(A817-6*C817)/6))</f>
        <v>0.0141939578931754</v>
      </c>
      <c r="H817" s="12" t="n">
        <f aca="false">G817^(-1/B817)-1</f>
        <v>0.0648176100000002</v>
      </c>
      <c r="I817" s="12" t="n">
        <f aca="false">(1+H817)^(1/12)-1</f>
        <v>0.00524734654024961</v>
      </c>
      <c r="J817" s="16" t="n">
        <f aca="false">IF(C817=0,(1+Dic2025!$M$6)^(-B817),EXP(LN(INDEX(Dic2025!$N$6:$N$205,C817))+(LN(INDEX(Dic2025!$N$6:$N$205,MIN(C817+1,200)))-LN(INDEX(Dic2025!$N$6:$N$205,C817)))*(A817-6*C817)/6))</f>
        <v>0.0141939578931754</v>
      </c>
      <c r="K817" s="12" t="n">
        <f aca="false">J817^(-1/B817)-1</f>
        <v>0.0648176100000002</v>
      </c>
      <c r="L817" s="12" t="n">
        <f aca="false">(1+K817)^(1/12)-1</f>
        <v>0.00524734654024961</v>
      </c>
    </row>
    <row r="818" customFormat="false" ht="15" hidden="false" customHeight="false" outlineLevel="0" collapsed="false">
      <c r="A818" s="4" t="n">
        <v>814</v>
      </c>
      <c r="B818" s="14" t="n">
        <f aca="false">A818/12</f>
        <v>67.8333333333333</v>
      </c>
      <c r="C818" s="15" t="n">
        <f aca="false">INT(A818/6)</f>
        <v>135</v>
      </c>
      <c r="D818" s="16" t="n">
        <f aca="false">IF(C818=0,(1+Dic2025!$G$6)^(-B818),EXP(LN(INDEX(Dic2025!$H$6:$H$205,C818))+(LN(INDEX(Dic2025!$H$6:$H$205,MIN(C818+1,200)))-LN(INDEX(Dic2025!$H$6:$H$205,C818)))*(A818-6*C818)/6))</f>
        <v>0.0141198660628417</v>
      </c>
      <c r="E818" s="12" t="n">
        <f aca="false">D818^(-1/B818)-1</f>
        <v>0.0648176100000002</v>
      </c>
      <c r="F818" s="12" t="n">
        <f aca="false">(1+E818)^(1/12)-1</f>
        <v>0.00524734654024961</v>
      </c>
      <c r="G818" s="16" t="n">
        <f aca="false">IF(C818=0,(1+Dic2025!$J$6)^(-B818),EXP(LN(INDEX(Dic2025!$K$6:$K$205,C818))+(LN(INDEX(Dic2025!$K$6:$K$205,MIN(C818+1,200)))-LN(INDEX(Dic2025!$K$6:$K$205,C818)))*(A818-6*C818)/6))</f>
        <v>0.0141198660628417</v>
      </c>
      <c r="H818" s="12" t="n">
        <f aca="false">G818^(-1/B818)-1</f>
        <v>0.0648176100000002</v>
      </c>
      <c r="I818" s="12" t="n">
        <f aca="false">(1+H818)^(1/12)-1</f>
        <v>0.00524734654024961</v>
      </c>
      <c r="J818" s="16" t="n">
        <f aca="false">IF(C818=0,(1+Dic2025!$M$6)^(-B818),EXP(LN(INDEX(Dic2025!$N$6:$N$205,C818))+(LN(INDEX(Dic2025!$N$6:$N$205,MIN(C818+1,200)))-LN(INDEX(Dic2025!$N$6:$N$205,C818)))*(A818-6*C818)/6))</f>
        <v>0.0141198660628417</v>
      </c>
      <c r="K818" s="12" t="n">
        <f aca="false">J818^(-1/B818)-1</f>
        <v>0.0648176100000002</v>
      </c>
      <c r="L818" s="12" t="n">
        <f aca="false">(1+K818)^(1/12)-1</f>
        <v>0.00524734654024961</v>
      </c>
    </row>
    <row r="819" customFormat="false" ht="15" hidden="false" customHeight="false" outlineLevel="0" collapsed="false">
      <c r="A819" s="4" t="n">
        <v>815</v>
      </c>
      <c r="B819" s="14" t="n">
        <f aca="false">A819/12</f>
        <v>67.9166666666667</v>
      </c>
      <c r="C819" s="15" t="n">
        <f aca="false">INT(A819/6)</f>
        <v>135</v>
      </c>
      <c r="D819" s="16" t="n">
        <f aca="false">IF(C819=0,(1+Dic2025!$G$6)^(-B819),EXP(LN(INDEX(Dic2025!$H$6:$H$205,C819))+(LN(INDEX(Dic2025!$H$6:$H$205,MIN(C819+1,200)))-LN(INDEX(Dic2025!$H$6:$H$205,C819)))*(A819-6*C819)/6))</f>
        <v>0.0140461609885746</v>
      </c>
      <c r="E819" s="12" t="n">
        <f aca="false">D819^(-1/B819)-1</f>
        <v>0.0648176100000002</v>
      </c>
      <c r="F819" s="12" t="n">
        <f aca="false">(1+E819)^(1/12)-1</f>
        <v>0.00524734654024961</v>
      </c>
      <c r="G819" s="16" t="n">
        <f aca="false">IF(C819=0,(1+Dic2025!$J$6)^(-B819),EXP(LN(INDEX(Dic2025!$K$6:$K$205,C819))+(LN(INDEX(Dic2025!$K$6:$K$205,MIN(C819+1,200)))-LN(INDEX(Dic2025!$K$6:$K$205,C819)))*(A819-6*C819)/6))</f>
        <v>0.0140461609885746</v>
      </c>
      <c r="H819" s="12" t="n">
        <f aca="false">G819^(-1/B819)-1</f>
        <v>0.0648176100000002</v>
      </c>
      <c r="I819" s="12" t="n">
        <f aca="false">(1+H819)^(1/12)-1</f>
        <v>0.00524734654024961</v>
      </c>
      <c r="J819" s="16" t="n">
        <f aca="false">IF(C819=0,(1+Dic2025!$M$6)^(-B819),EXP(LN(INDEX(Dic2025!$N$6:$N$205,C819))+(LN(INDEX(Dic2025!$N$6:$N$205,MIN(C819+1,200)))-LN(INDEX(Dic2025!$N$6:$N$205,C819)))*(A819-6*C819)/6))</f>
        <v>0.0140461609885746</v>
      </c>
      <c r="K819" s="12" t="n">
        <f aca="false">J819^(-1/B819)-1</f>
        <v>0.0648176100000002</v>
      </c>
      <c r="L819" s="12" t="n">
        <f aca="false">(1+K819)^(1/12)-1</f>
        <v>0.00524734654024961</v>
      </c>
    </row>
    <row r="820" customFormat="false" ht="15" hidden="false" customHeight="false" outlineLevel="0" collapsed="false">
      <c r="A820" s="4" t="n">
        <v>816</v>
      </c>
      <c r="B820" s="14" t="n">
        <f aca="false">A820/12</f>
        <v>68</v>
      </c>
      <c r="C820" s="15" t="n">
        <f aca="false">INT(A820/6)</f>
        <v>136</v>
      </c>
      <c r="D820" s="16" t="n">
        <f aca="false">IF(C820=0,(1+Dic2025!$G$6)^(-B820),EXP(LN(INDEX(Dic2025!$H$6:$H$205,C820))+(LN(INDEX(Dic2025!$H$6:$H$205,MIN(C820+1,200)))-LN(INDEX(Dic2025!$H$6:$H$205,C820)))*(A820-6*C820)/6))</f>
        <v>0.0139728406515243</v>
      </c>
      <c r="E820" s="12" t="n">
        <f aca="false">D820^(-1/B820)-1</f>
        <v>0.0648176100000002</v>
      </c>
      <c r="F820" s="12" t="n">
        <f aca="false">(1+E820)^(1/12)-1</f>
        <v>0.00524734654024961</v>
      </c>
      <c r="G820" s="16" t="n">
        <f aca="false">IF(C820=0,(1+Dic2025!$J$6)^(-B820),EXP(LN(INDEX(Dic2025!$K$6:$K$205,C820))+(LN(INDEX(Dic2025!$K$6:$K$205,MIN(C820+1,200)))-LN(INDEX(Dic2025!$K$6:$K$205,C820)))*(A820-6*C820)/6))</f>
        <v>0.0139728406515243</v>
      </c>
      <c r="H820" s="12" t="n">
        <f aca="false">G820^(-1/B820)-1</f>
        <v>0.0648176100000002</v>
      </c>
      <c r="I820" s="12" t="n">
        <f aca="false">(1+H820)^(1/12)-1</f>
        <v>0.00524734654024961</v>
      </c>
      <c r="J820" s="16" t="n">
        <f aca="false">IF(C820=0,(1+Dic2025!$M$6)^(-B820),EXP(LN(INDEX(Dic2025!$N$6:$N$205,C820))+(LN(INDEX(Dic2025!$N$6:$N$205,MIN(C820+1,200)))-LN(INDEX(Dic2025!$N$6:$N$205,C820)))*(A820-6*C820)/6))</f>
        <v>0.0139728406515243</v>
      </c>
      <c r="K820" s="12" t="n">
        <f aca="false">J820^(-1/B820)-1</f>
        <v>0.0648176100000002</v>
      </c>
      <c r="L820" s="12" t="n">
        <f aca="false">(1+K820)^(1/12)-1</f>
        <v>0.00524734654024961</v>
      </c>
    </row>
    <row r="821" customFormat="false" ht="15" hidden="false" customHeight="false" outlineLevel="0" collapsed="false">
      <c r="A821" s="4" t="n">
        <v>817</v>
      </c>
      <c r="B821" s="14" t="n">
        <f aca="false">A821/12</f>
        <v>68.0833333333333</v>
      </c>
      <c r="C821" s="15" t="n">
        <f aca="false">INT(A821/6)</f>
        <v>136</v>
      </c>
      <c r="D821" s="16" t="n">
        <f aca="false">IF(C821=0,(1+Dic2025!$G$6)^(-B821),EXP(LN(INDEX(Dic2025!$H$6:$H$205,C821))+(LN(INDEX(Dic2025!$H$6:$H$205,MIN(C821+1,200)))-LN(INDEX(Dic2025!$H$6:$H$205,C821)))*(A821-6*C821)/6))</f>
        <v>0.0138999030433798</v>
      </c>
      <c r="E821" s="12" t="n">
        <f aca="false">D821^(-1/B821)-1</f>
        <v>0.0648176100000002</v>
      </c>
      <c r="F821" s="12" t="n">
        <f aca="false">(1+E821)^(1/12)-1</f>
        <v>0.00524734654024961</v>
      </c>
      <c r="G821" s="16" t="n">
        <f aca="false">IF(C821=0,(1+Dic2025!$J$6)^(-B821),EXP(LN(INDEX(Dic2025!$K$6:$K$205,C821))+(LN(INDEX(Dic2025!$K$6:$K$205,MIN(C821+1,200)))-LN(INDEX(Dic2025!$K$6:$K$205,C821)))*(A821-6*C821)/6))</f>
        <v>0.0138999030433798</v>
      </c>
      <c r="H821" s="12" t="n">
        <f aca="false">G821^(-1/B821)-1</f>
        <v>0.0648176100000002</v>
      </c>
      <c r="I821" s="12" t="n">
        <f aca="false">(1+H821)^(1/12)-1</f>
        <v>0.00524734654024961</v>
      </c>
      <c r="J821" s="16" t="n">
        <f aca="false">IF(C821=0,(1+Dic2025!$M$6)^(-B821),EXP(LN(INDEX(Dic2025!$N$6:$N$205,C821))+(LN(INDEX(Dic2025!$N$6:$N$205,MIN(C821+1,200)))-LN(INDEX(Dic2025!$N$6:$N$205,C821)))*(A821-6*C821)/6))</f>
        <v>0.0138999030433798</v>
      </c>
      <c r="K821" s="12" t="n">
        <f aca="false">J821^(-1/B821)-1</f>
        <v>0.0648176100000002</v>
      </c>
      <c r="L821" s="12" t="n">
        <f aca="false">(1+K821)^(1/12)-1</f>
        <v>0.00524734654024961</v>
      </c>
    </row>
    <row r="822" customFormat="false" ht="15" hidden="false" customHeight="false" outlineLevel="0" collapsed="false">
      <c r="A822" s="4" t="n">
        <v>818</v>
      </c>
      <c r="B822" s="14" t="n">
        <f aca="false">A822/12</f>
        <v>68.1666666666667</v>
      </c>
      <c r="C822" s="15" t="n">
        <f aca="false">INT(A822/6)</f>
        <v>136</v>
      </c>
      <c r="D822" s="16" t="n">
        <f aca="false">IF(C822=0,(1+Dic2025!$G$6)^(-B822),EXP(LN(INDEX(Dic2025!$H$6:$H$205,C822))+(LN(INDEX(Dic2025!$H$6:$H$205,MIN(C822+1,200)))-LN(INDEX(Dic2025!$H$6:$H$205,C822)))*(A822-6*C822)/6))</f>
        <v>0.0138273461663132</v>
      </c>
      <c r="E822" s="12" t="n">
        <f aca="false">D822^(-1/B822)-1</f>
        <v>0.0648176100000002</v>
      </c>
      <c r="F822" s="12" t="n">
        <f aca="false">(1+E822)^(1/12)-1</f>
        <v>0.00524734654024961</v>
      </c>
      <c r="G822" s="16" t="n">
        <f aca="false">IF(C822=0,(1+Dic2025!$J$6)^(-B822),EXP(LN(INDEX(Dic2025!$K$6:$K$205,C822))+(LN(INDEX(Dic2025!$K$6:$K$205,MIN(C822+1,200)))-LN(INDEX(Dic2025!$K$6:$K$205,C822)))*(A822-6*C822)/6))</f>
        <v>0.0138273461663132</v>
      </c>
      <c r="H822" s="12" t="n">
        <f aca="false">G822^(-1/B822)-1</f>
        <v>0.0648176100000002</v>
      </c>
      <c r="I822" s="12" t="n">
        <f aca="false">(1+H822)^(1/12)-1</f>
        <v>0.00524734654024961</v>
      </c>
      <c r="J822" s="16" t="n">
        <f aca="false">IF(C822=0,(1+Dic2025!$M$6)^(-B822),EXP(LN(INDEX(Dic2025!$N$6:$N$205,C822))+(LN(INDEX(Dic2025!$N$6:$N$205,MIN(C822+1,200)))-LN(INDEX(Dic2025!$N$6:$N$205,C822)))*(A822-6*C822)/6))</f>
        <v>0.0138273461663132</v>
      </c>
      <c r="K822" s="12" t="n">
        <f aca="false">J822^(-1/B822)-1</f>
        <v>0.0648176100000002</v>
      </c>
      <c r="L822" s="12" t="n">
        <f aca="false">(1+K822)^(1/12)-1</f>
        <v>0.00524734654024961</v>
      </c>
    </row>
    <row r="823" customFormat="false" ht="15" hidden="false" customHeight="false" outlineLevel="0" collapsed="false">
      <c r="A823" s="4" t="n">
        <v>819</v>
      </c>
      <c r="B823" s="14" t="n">
        <f aca="false">A823/12</f>
        <v>68.25</v>
      </c>
      <c r="C823" s="15" t="n">
        <f aca="false">INT(A823/6)</f>
        <v>136</v>
      </c>
      <c r="D823" s="16" t="n">
        <f aca="false">IF(C823=0,(1+Dic2025!$G$6)^(-B823),EXP(LN(INDEX(Dic2025!$H$6:$H$205,C823))+(LN(INDEX(Dic2025!$H$6:$H$205,MIN(C823+1,200)))-LN(INDEX(Dic2025!$H$6:$H$205,C823)))*(A823-6*C823)/6))</f>
        <v>0.0137551680329251</v>
      </c>
      <c r="E823" s="12" t="n">
        <f aca="false">D823^(-1/B823)-1</f>
        <v>0.0648176100000002</v>
      </c>
      <c r="F823" s="12" t="n">
        <f aca="false">(1+E823)^(1/12)-1</f>
        <v>0.00524734654024961</v>
      </c>
      <c r="G823" s="16" t="n">
        <f aca="false">IF(C823=0,(1+Dic2025!$J$6)^(-B823),EXP(LN(INDEX(Dic2025!$K$6:$K$205,C823))+(LN(INDEX(Dic2025!$K$6:$K$205,MIN(C823+1,200)))-LN(INDEX(Dic2025!$K$6:$K$205,C823)))*(A823-6*C823)/6))</f>
        <v>0.0137551680329251</v>
      </c>
      <c r="H823" s="12" t="n">
        <f aca="false">G823^(-1/B823)-1</f>
        <v>0.0648176100000002</v>
      </c>
      <c r="I823" s="12" t="n">
        <f aca="false">(1+H823)^(1/12)-1</f>
        <v>0.00524734654024961</v>
      </c>
      <c r="J823" s="16" t="n">
        <f aca="false">IF(C823=0,(1+Dic2025!$M$6)^(-B823),EXP(LN(INDEX(Dic2025!$N$6:$N$205,C823))+(LN(INDEX(Dic2025!$N$6:$N$205,MIN(C823+1,200)))-LN(INDEX(Dic2025!$N$6:$N$205,C823)))*(A823-6*C823)/6))</f>
        <v>0.0137551680329251</v>
      </c>
      <c r="K823" s="12" t="n">
        <f aca="false">J823^(-1/B823)-1</f>
        <v>0.0648176100000002</v>
      </c>
      <c r="L823" s="12" t="n">
        <f aca="false">(1+K823)^(1/12)-1</f>
        <v>0.00524734654024961</v>
      </c>
    </row>
    <row r="824" customFormat="false" ht="15" hidden="false" customHeight="false" outlineLevel="0" collapsed="false">
      <c r="A824" s="4" t="n">
        <v>820</v>
      </c>
      <c r="B824" s="14" t="n">
        <f aca="false">A824/12</f>
        <v>68.3333333333333</v>
      </c>
      <c r="C824" s="15" t="n">
        <f aca="false">INT(A824/6)</f>
        <v>136</v>
      </c>
      <c r="D824" s="16" t="n">
        <f aca="false">IF(C824=0,(1+Dic2025!$G$6)^(-B824),EXP(LN(INDEX(Dic2025!$H$6:$H$205,C824))+(LN(INDEX(Dic2025!$H$6:$H$205,MIN(C824+1,200)))-LN(INDEX(Dic2025!$H$6:$H$205,C824)))*(A824-6*C824)/6))</f>
        <v>0.0136833666661903</v>
      </c>
      <c r="E824" s="12" t="n">
        <f aca="false">D824^(-1/B824)-1</f>
        <v>0.0648176100000002</v>
      </c>
      <c r="F824" s="12" t="n">
        <f aca="false">(1+E824)^(1/12)-1</f>
        <v>0.00524734654024961</v>
      </c>
      <c r="G824" s="16" t="n">
        <f aca="false">IF(C824=0,(1+Dic2025!$J$6)^(-B824),EXP(LN(INDEX(Dic2025!$K$6:$K$205,C824))+(LN(INDEX(Dic2025!$K$6:$K$205,MIN(C824+1,200)))-LN(INDEX(Dic2025!$K$6:$K$205,C824)))*(A824-6*C824)/6))</f>
        <v>0.0136833666661903</v>
      </c>
      <c r="H824" s="12" t="n">
        <f aca="false">G824^(-1/B824)-1</f>
        <v>0.0648176100000002</v>
      </c>
      <c r="I824" s="12" t="n">
        <f aca="false">(1+H824)^(1/12)-1</f>
        <v>0.00524734654024961</v>
      </c>
      <c r="J824" s="16" t="n">
        <f aca="false">IF(C824=0,(1+Dic2025!$M$6)^(-B824),EXP(LN(INDEX(Dic2025!$N$6:$N$205,C824))+(LN(INDEX(Dic2025!$N$6:$N$205,MIN(C824+1,200)))-LN(INDEX(Dic2025!$N$6:$N$205,C824)))*(A824-6*C824)/6))</f>
        <v>0.0136833666661903</v>
      </c>
      <c r="K824" s="12" t="n">
        <f aca="false">J824^(-1/B824)-1</f>
        <v>0.0648176100000002</v>
      </c>
      <c r="L824" s="12" t="n">
        <f aca="false">(1+K824)^(1/12)-1</f>
        <v>0.00524734654024961</v>
      </c>
    </row>
    <row r="825" customFormat="false" ht="15" hidden="false" customHeight="false" outlineLevel="0" collapsed="false">
      <c r="A825" s="4" t="n">
        <v>821</v>
      </c>
      <c r="B825" s="14" t="n">
        <f aca="false">A825/12</f>
        <v>68.4166666666667</v>
      </c>
      <c r="C825" s="15" t="n">
        <f aca="false">INT(A825/6)</f>
        <v>136</v>
      </c>
      <c r="D825" s="16" t="n">
        <f aca="false">IF(C825=0,(1+Dic2025!$G$6)^(-B825),EXP(LN(INDEX(Dic2025!$H$6:$H$205,C825))+(LN(INDEX(Dic2025!$H$6:$H$205,MIN(C825+1,200)))-LN(INDEX(Dic2025!$H$6:$H$205,C825)))*(A825-6*C825)/6))</f>
        <v>0.0136119400994036</v>
      </c>
      <c r="E825" s="12" t="n">
        <f aca="false">D825^(-1/B825)-1</f>
        <v>0.0648176100000002</v>
      </c>
      <c r="F825" s="12" t="n">
        <f aca="false">(1+E825)^(1/12)-1</f>
        <v>0.00524734654024961</v>
      </c>
      <c r="G825" s="16" t="n">
        <f aca="false">IF(C825=0,(1+Dic2025!$J$6)^(-B825),EXP(LN(INDEX(Dic2025!$K$6:$K$205,C825))+(LN(INDEX(Dic2025!$K$6:$K$205,MIN(C825+1,200)))-LN(INDEX(Dic2025!$K$6:$K$205,C825)))*(A825-6*C825)/6))</f>
        <v>0.0136119400994036</v>
      </c>
      <c r="H825" s="12" t="n">
        <f aca="false">G825^(-1/B825)-1</f>
        <v>0.0648176100000002</v>
      </c>
      <c r="I825" s="12" t="n">
        <f aca="false">(1+H825)^(1/12)-1</f>
        <v>0.00524734654024961</v>
      </c>
      <c r="J825" s="16" t="n">
        <f aca="false">IF(C825=0,(1+Dic2025!$M$6)^(-B825),EXP(LN(INDEX(Dic2025!$N$6:$N$205,C825))+(LN(INDEX(Dic2025!$N$6:$N$205,MIN(C825+1,200)))-LN(INDEX(Dic2025!$N$6:$N$205,C825)))*(A825-6*C825)/6))</f>
        <v>0.0136119400994036</v>
      </c>
      <c r="K825" s="12" t="n">
        <f aca="false">J825^(-1/B825)-1</f>
        <v>0.0648176100000002</v>
      </c>
      <c r="L825" s="12" t="n">
        <f aca="false">(1+K825)^(1/12)-1</f>
        <v>0.00524734654024961</v>
      </c>
    </row>
    <row r="826" customFormat="false" ht="15" hidden="false" customHeight="false" outlineLevel="0" collapsed="false">
      <c r="A826" s="4" t="n">
        <v>822</v>
      </c>
      <c r="B826" s="14" t="n">
        <f aca="false">A826/12</f>
        <v>68.5</v>
      </c>
      <c r="C826" s="15" t="n">
        <f aca="false">INT(A826/6)</f>
        <v>137</v>
      </c>
      <c r="D826" s="16" t="n">
        <f aca="false">IF(C826=0,(1+Dic2025!$G$6)^(-B826),EXP(LN(INDEX(Dic2025!$H$6:$H$205,C826))+(LN(INDEX(Dic2025!$H$6:$H$205,MIN(C826+1,200)))-LN(INDEX(Dic2025!$H$6:$H$205,C826)))*(A826-6*C826)/6))</f>
        <v>0.0135408863761259</v>
      </c>
      <c r="E826" s="12" t="n">
        <f aca="false">D826^(-1/B826)-1</f>
        <v>0.0648176100000002</v>
      </c>
      <c r="F826" s="12" t="n">
        <f aca="false">(1+E826)^(1/12)-1</f>
        <v>0.00524734654024961</v>
      </c>
      <c r="G826" s="16" t="n">
        <f aca="false">IF(C826=0,(1+Dic2025!$J$6)^(-B826),EXP(LN(INDEX(Dic2025!$K$6:$K$205,C826))+(LN(INDEX(Dic2025!$K$6:$K$205,MIN(C826+1,200)))-LN(INDEX(Dic2025!$K$6:$K$205,C826)))*(A826-6*C826)/6))</f>
        <v>0.0135408863761259</v>
      </c>
      <c r="H826" s="12" t="n">
        <f aca="false">G826^(-1/B826)-1</f>
        <v>0.0648176100000002</v>
      </c>
      <c r="I826" s="12" t="n">
        <f aca="false">(1+H826)^(1/12)-1</f>
        <v>0.00524734654024961</v>
      </c>
      <c r="J826" s="16" t="n">
        <f aca="false">IF(C826=0,(1+Dic2025!$M$6)^(-B826),EXP(LN(INDEX(Dic2025!$N$6:$N$205,C826))+(LN(INDEX(Dic2025!$N$6:$N$205,MIN(C826+1,200)))-LN(INDEX(Dic2025!$N$6:$N$205,C826)))*(A826-6*C826)/6))</f>
        <v>0.0135408863761259</v>
      </c>
      <c r="K826" s="12" t="n">
        <f aca="false">J826^(-1/B826)-1</f>
        <v>0.0648176100000002</v>
      </c>
      <c r="L826" s="12" t="n">
        <f aca="false">(1+K826)^(1/12)-1</f>
        <v>0.00524734654024961</v>
      </c>
    </row>
    <row r="827" customFormat="false" ht="15" hidden="false" customHeight="false" outlineLevel="0" collapsed="false">
      <c r="A827" s="4" t="n">
        <v>823</v>
      </c>
      <c r="B827" s="14" t="n">
        <f aca="false">A827/12</f>
        <v>68.5833333333333</v>
      </c>
      <c r="C827" s="15" t="n">
        <f aca="false">INT(A827/6)</f>
        <v>137</v>
      </c>
      <c r="D827" s="16" t="n">
        <f aca="false">IF(C827=0,(1+Dic2025!$G$6)^(-B827),EXP(LN(INDEX(Dic2025!$H$6:$H$205,C827))+(LN(INDEX(Dic2025!$H$6:$H$205,MIN(C827+1,200)))-LN(INDEX(Dic2025!$H$6:$H$205,C827)))*(A827-6*C827)/6))</f>
        <v>0.0134702035501307</v>
      </c>
      <c r="E827" s="12" t="n">
        <f aca="false">D827^(-1/B827)-1</f>
        <v>0.0648176100000002</v>
      </c>
      <c r="F827" s="12" t="n">
        <f aca="false">(1+E827)^(1/12)-1</f>
        <v>0.00524734654024961</v>
      </c>
      <c r="G827" s="16" t="n">
        <f aca="false">IF(C827=0,(1+Dic2025!$J$6)^(-B827),EXP(LN(INDEX(Dic2025!$K$6:$K$205,C827))+(LN(INDEX(Dic2025!$K$6:$K$205,MIN(C827+1,200)))-LN(INDEX(Dic2025!$K$6:$K$205,C827)))*(A827-6*C827)/6))</f>
        <v>0.0134702035501307</v>
      </c>
      <c r="H827" s="12" t="n">
        <f aca="false">G827^(-1/B827)-1</f>
        <v>0.0648176100000002</v>
      </c>
      <c r="I827" s="12" t="n">
        <f aca="false">(1+H827)^(1/12)-1</f>
        <v>0.00524734654024961</v>
      </c>
      <c r="J827" s="16" t="n">
        <f aca="false">IF(C827=0,(1+Dic2025!$M$6)^(-B827),EXP(LN(INDEX(Dic2025!$N$6:$N$205,C827))+(LN(INDEX(Dic2025!$N$6:$N$205,MIN(C827+1,200)))-LN(INDEX(Dic2025!$N$6:$N$205,C827)))*(A827-6*C827)/6))</f>
        <v>0.0134702035501307</v>
      </c>
      <c r="K827" s="12" t="n">
        <f aca="false">J827^(-1/B827)-1</f>
        <v>0.0648176100000002</v>
      </c>
      <c r="L827" s="12" t="n">
        <f aca="false">(1+K827)^(1/12)-1</f>
        <v>0.00524734654024961</v>
      </c>
    </row>
    <row r="828" customFormat="false" ht="15" hidden="false" customHeight="false" outlineLevel="0" collapsed="false">
      <c r="A828" s="4" t="n">
        <v>824</v>
      </c>
      <c r="B828" s="14" t="n">
        <f aca="false">A828/12</f>
        <v>68.6666666666667</v>
      </c>
      <c r="C828" s="15" t="n">
        <f aca="false">INT(A828/6)</f>
        <v>137</v>
      </c>
      <c r="D828" s="16" t="n">
        <f aca="false">IF(C828=0,(1+Dic2025!$G$6)^(-B828),EXP(LN(INDEX(Dic2025!$H$6:$H$205,C828))+(LN(INDEX(Dic2025!$H$6:$H$205,MIN(C828+1,200)))-LN(INDEX(Dic2025!$H$6:$H$205,C828)))*(A828-6*C828)/6))</f>
        <v>0.0133998896853505</v>
      </c>
      <c r="E828" s="12" t="n">
        <f aca="false">D828^(-1/B828)-1</f>
        <v>0.0648176100000002</v>
      </c>
      <c r="F828" s="12" t="n">
        <f aca="false">(1+E828)^(1/12)-1</f>
        <v>0.00524734654024961</v>
      </c>
      <c r="G828" s="16" t="n">
        <f aca="false">IF(C828=0,(1+Dic2025!$J$6)^(-B828),EXP(LN(INDEX(Dic2025!$K$6:$K$205,C828))+(LN(INDEX(Dic2025!$K$6:$K$205,MIN(C828+1,200)))-LN(INDEX(Dic2025!$K$6:$K$205,C828)))*(A828-6*C828)/6))</f>
        <v>0.0133998896853505</v>
      </c>
      <c r="H828" s="12" t="n">
        <f aca="false">G828^(-1/B828)-1</f>
        <v>0.0648176100000002</v>
      </c>
      <c r="I828" s="12" t="n">
        <f aca="false">(1+H828)^(1/12)-1</f>
        <v>0.00524734654024961</v>
      </c>
      <c r="J828" s="16" t="n">
        <f aca="false">IF(C828=0,(1+Dic2025!$M$6)^(-B828),EXP(LN(INDEX(Dic2025!$N$6:$N$205,C828))+(LN(INDEX(Dic2025!$N$6:$N$205,MIN(C828+1,200)))-LN(INDEX(Dic2025!$N$6:$N$205,C828)))*(A828-6*C828)/6))</f>
        <v>0.0133998896853505</v>
      </c>
      <c r="K828" s="12" t="n">
        <f aca="false">J828^(-1/B828)-1</f>
        <v>0.0648176100000002</v>
      </c>
      <c r="L828" s="12" t="n">
        <f aca="false">(1+K828)^(1/12)-1</f>
        <v>0.00524734654024961</v>
      </c>
    </row>
    <row r="829" customFormat="false" ht="15" hidden="false" customHeight="false" outlineLevel="0" collapsed="false">
      <c r="A829" s="4" t="n">
        <v>825</v>
      </c>
      <c r="B829" s="14" t="n">
        <f aca="false">A829/12</f>
        <v>68.75</v>
      </c>
      <c r="C829" s="15" t="n">
        <f aca="false">INT(A829/6)</f>
        <v>137</v>
      </c>
      <c r="D829" s="16" t="n">
        <f aca="false">IF(C829=0,(1+Dic2025!$G$6)^(-B829),EXP(LN(INDEX(Dic2025!$H$6:$H$205,C829))+(LN(INDEX(Dic2025!$H$6:$H$205,MIN(C829+1,200)))-LN(INDEX(Dic2025!$H$6:$H$205,C829)))*(A829-6*C829)/6))</f>
        <v>0.0133299428558243</v>
      </c>
      <c r="E829" s="12" t="n">
        <f aca="false">D829^(-1/B829)-1</f>
        <v>0.0648176100000002</v>
      </c>
      <c r="F829" s="12" t="n">
        <f aca="false">(1+E829)^(1/12)-1</f>
        <v>0.00524734654024961</v>
      </c>
      <c r="G829" s="16" t="n">
        <f aca="false">IF(C829=0,(1+Dic2025!$J$6)^(-B829),EXP(LN(INDEX(Dic2025!$K$6:$K$205,C829))+(LN(INDEX(Dic2025!$K$6:$K$205,MIN(C829+1,200)))-LN(INDEX(Dic2025!$K$6:$K$205,C829)))*(A829-6*C829)/6))</f>
        <v>0.0133299428558243</v>
      </c>
      <c r="H829" s="12" t="n">
        <f aca="false">G829^(-1/B829)-1</f>
        <v>0.0648176100000002</v>
      </c>
      <c r="I829" s="12" t="n">
        <f aca="false">(1+H829)^(1/12)-1</f>
        <v>0.00524734654024961</v>
      </c>
      <c r="J829" s="16" t="n">
        <f aca="false">IF(C829=0,(1+Dic2025!$M$6)^(-B829),EXP(LN(INDEX(Dic2025!$N$6:$N$205,C829))+(LN(INDEX(Dic2025!$N$6:$N$205,MIN(C829+1,200)))-LN(INDEX(Dic2025!$N$6:$N$205,C829)))*(A829-6*C829)/6))</f>
        <v>0.0133299428558243</v>
      </c>
      <c r="K829" s="12" t="n">
        <f aca="false">J829^(-1/B829)-1</f>
        <v>0.0648176100000002</v>
      </c>
      <c r="L829" s="12" t="n">
        <f aca="false">(1+K829)^(1/12)-1</f>
        <v>0.00524734654024961</v>
      </c>
    </row>
    <row r="830" customFormat="false" ht="15" hidden="false" customHeight="false" outlineLevel="0" collapsed="false">
      <c r="A830" s="4" t="n">
        <v>826</v>
      </c>
      <c r="B830" s="14" t="n">
        <f aca="false">A830/12</f>
        <v>68.8333333333333</v>
      </c>
      <c r="C830" s="15" t="n">
        <f aca="false">INT(A830/6)</f>
        <v>137</v>
      </c>
      <c r="D830" s="16" t="n">
        <f aca="false">IF(C830=0,(1+Dic2025!$G$6)^(-B830),EXP(LN(INDEX(Dic2025!$H$6:$H$205,C830))+(LN(INDEX(Dic2025!$H$6:$H$205,MIN(C830+1,200)))-LN(INDEX(Dic2025!$H$6:$H$205,C830)))*(A830-6*C830)/6))</f>
        <v>0.0132603611456442</v>
      </c>
      <c r="E830" s="12" t="n">
        <f aca="false">D830^(-1/B830)-1</f>
        <v>0.0648176100000002</v>
      </c>
      <c r="F830" s="12" t="n">
        <f aca="false">(1+E830)^(1/12)-1</f>
        <v>0.00524734654024961</v>
      </c>
      <c r="G830" s="16" t="n">
        <f aca="false">IF(C830=0,(1+Dic2025!$J$6)^(-B830),EXP(LN(INDEX(Dic2025!$K$6:$K$205,C830))+(LN(INDEX(Dic2025!$K$6:$K$205,MIN(C830+1,200)))-LN(INDEX(Dic2025!$K$6:$K$205,C830)))*(A830-6*C830)/6))</f>
        <v>0.0132603611456442</v>
      </c>
      <c r="H830" s="12" t="n">
        <f aca="false">G830^(-1/B830)-1</f>
        <v>0.0648176100000002</v>
      </c>
      <c r="I830" s="12" t="n">
        <f aca="false">(1+H830)^(1/12)-1</f>
        <v>0.00524734654024961</v>
      </c>
      <c r="J830" s="16" t="n">
        <f aca="false">IF(C830=0,(1+Dic2025!$M$6)^(-B830),EXP(LN(INDEX(Dic2025!$N$6:$N$205,C830))+(LN(INDEX(Dic2025!$N$6:$N$205,MIN(C830+1,200)))-LN(INDEX(Dic2025!$N$6:$N$205,C830)))*(A830-6*C830)/6))</f>
        <v>0.0132603611456442</v>
      </c>
      <c r="K830" s="12" t="n">
        <f aca="false">J830^(-1/B830)-1</f>
        <v>0.0648176100000002</v>
      </c>
      <c r="L830" s="12" t="n">
        <f aca="false">(1+K830)^(1/12)-1</f>
        <v>0.00524734654024961</v>
      </c>
    </row>
    <row r="831" customFormat="false" ht="15" hidden="false" customHeight="false" outlineLevel="0" collapsed="false">
      <c r="A831" s="4" t="n">
        <v>827</v>
      </c>
      <c r="B831" s="14" t="n">
        <f aca="false">A831/12</f>
        <v>68.9166666666667</v>
      </c>
      <c r="C831" s="15" t="n">
        <f aca="false">INT(A831/6)</f>
        <v>137</v>
      </c>
      <c r="D831" s="16" t="n">
        <f aca="false">IF(C831=0,(1+Dic2025!$G$6)^(-B831),EXP(LN(INDEX(Dic2025!$H$6:$H$205,C831))+(LN(INDEX(Dic2025!$H$6:$H$205,MIN(C831+1,200)))-LN(INDEX(Dic2025!$H$6:$H$205,C831)))*(A831-6*C831)/6))</f>
        <v>0.0131911426489036</v>
      </c>
      <c r="E831" s="12" t="n">
        <f aca="false">D831^(-1/B831)-1</f>
        <v>0.0648176100000002</v>
      </c>
      <c r="F831" s="12" t="n">
        <f aca="false">(1+E831)^(1/12)-1</f>
        <v>0.00524734654024961</v>
      </c>
      <c r="G831" s="16" t="n">
        <f aca="false">IF(C831=0,(1+Dic2025!$J$6)^(-B831),EXP(LN(INDEX(Dic2025!$K$6:$K$205,C831))+(LN(INDEX(Dic2025!$K$6:$K$205,MIN(C831+1,200)))-LN(INDEX(Dic2025!$K$6:$K$205,C831)))*(A831-6*C831)/6))</f>
        <v>0.0131911426489036</v>
      </c>
      <c r="H831" s="12" t="n">
        <f aca="false">G831^(-1/B831)-1</f>
        <v>0.0648176100000002</v>
      </c>
      <c r="I831" s="12" t="n">
        <f aca="false">(1+H831)^(1/12)-1</f>
        <v>0.00524734654024961</v>
      </c>
      <c r="J831" s="16" t="n">
        <f aca="false">IF(C831=0,(1+Dic2025!$M$6)^(-B831),EXP(LN(INDEX(Dic2025!$N$6:$N$205,C831))+(LN(INDEX(Dic2025!$N$6:$N$205,MIN(C831+1,200)))-LN(INDEX(Dic2025!$N$6:$N$205,C831)))*(A831-6*C831)/6))</f>
        <v>0.0131911426489036</v>
      </c>
      <c r="K831" s="12" t="n">
        <f aca="false">J831^(-1/B831)-1</f>
        <v>0.0648176100000002</v>
      </c>
      <c r="L831" s="12" t="n">
        <f aca="false">(1+K831)^(1/12)-1</f>
        <v>0.00524734654024961</v>
      </c>
    </row>
    <row r="832" customFormat="false" ht="15" hidden="false" customHeight="false" outlineLevel="0" collapsed="false">
      <c r="A832" s="4" t="n">
        <v>828</v>
      </c>
      <c r="B832" s="14" t="n">
        <f aca="false">A832/12</f>
        <v>69</v>
      </c>
      <c r="C832" s="15" t="n">
        <f aca="false">INT(A832/6)</f>
        <v>138</v>
      </c>
      <c r="D832" s="16" t="n">
        <f aca="false">IF(C832=0,(1+Dic2025!$G$6)^(-B832),EXP(LN(INDEX(Dic2025!$H$6:$H$205,C832))+(LN(INDEX(Dic2025!$H$6:$H$205,MIN(C832+1,200)))-LN(INDEX(Dic2025!$H$6:$H$205,C832)))*(A832-6*C832)/6))</f>
        <v>0.0131222854696443</v>
      </c>
      <c r="E832" s="12" t="n">
        <f aca="false">D832^(-1/B832)-1</f>
        <v>0.0648176100000002</v>
      </c>
      <c r="F832" s="12" t="n">
        <f aca="false">(1+E832)^(1/12)-1</f>
        <v>0.00524734654024961</v>
      </c>
      <c r="G832" s="16" t="n">
        <f aca="false">IF(C832=0,(1+Dic2025!$J$6)^(-B832),EXP(LN(INDEX(Dic2025!$K$6:$K$205,C832))+(LN(INDEX(Dic2025!$K$6:$K$205,MIN(C832+1,200)))-LN(INDEX(Dic2025!$K$6:$K$205,C832)))*(A832-6*C832)/6))</f>
        <v>0.0131222854696443</v>
      </c>
      <c r="H832" s="12" t="n">
        <f aca="false">G832^(-1/B832)-1</f>
        <v>0.0648176100000002</v>
      </c>
      <c r="I832" s="12" t="n">
        <f aca="false">(1+H832)^(1/12)-1</f>
        <v>0.00524734654024961</v>
      </c>
      <c r="J832" s="16" t="n">
        <f aca="false">IF(C832=0,(1+Dic2025!$M$6)^(-B832),EXP(LN(INDEX(Dic2025!$N$6:$N$205,C832))+(LN(INDEX(Dic2025!$N$6:$N$205,MIN(C832+1,200)))-LN(INDEX(Dic2025!$N$6:$N$205,C832)))*(A832-6*C832)/6))</f>
        <v>0.0131222854696443</v>
      </c>
      <c r="K832" s="12" t="n">
        <f aca="false">J832^(-1/B832)-1</f>
        <v>0.0648176100000002</v>
      </c>
      <c r="L832" s="12" t="n">
        <f aca="false">(1+K832)^(1/12)-1</f>
        <v>0.00524734654024961</v>
      </c>
    </row>
    <row r="833" customFormat="false" ht="15" hidden="false" customHeight="false" outlineLevel="0" collapsed="false">
      <c r="A833" s="4" t="n">
        <v>829</v>
      </c>
      <c r="B833" s="14" t="n">
        <f aca="false">A833/12</f>
        <v>69.0833333333333</v>
      </c>
      <c r="C833" s="15" t="n">
        <f aca="false">INT(A833/6)</f>
        <v>138</v>
      </c>
      <c r="D833" s="16" t="n">
        <f aca="false">IF(C833=0,(1+Dic2025!$G$6)^(-B833),EXP(LN(INDEX(Dic2025!$H$6:$H$205,C833))+(LN(INDEX(Dic2025!$H$6:$H$205,MIN(C833+1,200)))-LN(INDEX(Dic2025!$H$6:$H$205,C833)))*(A833-6*C833)/6))</f>
        <v>0.0130537877218051</v>
      </c>
      <c r="E833" s="12" t="n">
        <f aca="false">D833^(-1/B833)-1</f>
        <v>0.0648176100000002</v>
      </c>
      <c r="F833" s="12" t="n">
        <f aca="false">(1+E833)^(1/12)-1</f>
        <v>0.00524734654024961</v>
      </c>
      <c r="G833" s="16" t="n">
        <f aca="false">IF(C833=0,(1+Dic2025!$J$6)^(-B833),EXP(LN(INDEX(Dic2025!$K$6:$K$205,C833))+(LN(INDEX(Dic2025!$K$6:$K$205,MIN(C833+1,200)))-LN(INDEX(Dic2025!$K$6:$K$205,C833)))*(A833-6*C833)/6))</f>
        <v>0.0130537877218051</v>
      </c>
      <c r="H833" s="12" t="n">
        <f aca="false">G833^(-1/B833)-1</f>
        <v>0.0648176100000002</v>
      </c>
      <c r="I833" s="12" t="n">
        <f aca="false">(1+H833)^(1/12)-1</f>
        <v>0.00524734654024961</v>
      </c>
      <c r="J833" s="16" t="n">
        <f aca="false">IF(C833=0,(1+Dic2025!$M$6)^(-B833),EXP(LN(INDEX(Dic2025!$N$6:$N$205,C833))+(LN(INDEX(Dic2025!$N$6:$N$205,MIN(C833+1,200)))-LN(INDEX(Dic2025!$N$6:$N$205,C833)))*(A833-6*C833)/6))</f>
        <v>0.0130537877218051</v>
      </c>
      <c r="K833" s="12" t="n">
        <f aca="false">J833^(-1/B833)-1</f>
        <v>0.0648176100000002</v>
      </c>
      <c r="L833" s="12" t="n">
        <f aca="false">(1+K833)^(1/12)-1</f>
        <v>0.00524734654024961</v>
      </c>
    </row>
    <row r="834" customFormat="false" ht="15" hidden="false" customHeight="false" outlineLevel="0" collapsed="false">
      <c r="A834" s="4" t="n">
        <v>830</v>
      </c>
      <c r="B834" s="14" t="n">
        <f aca="false">A834/12</f>
        <v>69.1666666666667</v>
      </c>
      <c r="C834" s="15" t="n">
        <f aca="false">INT(A834/6)</f>
        <v>138</v>
      </c>
      <c r="D834" s="16" t="n">
        <f aca="false">IF(C834=0,(1+Dic2025!$G$6)^(-B834),EXP(LN(INDEX(Dic2025!$H$6:$H$205,C834))+(LN(INDEX(Dic2025!$H$6:$H$205,MIN(C834+1,200)))-LN(INDEX(Dic2025!$H$6:$H$205,C834)))*(A834-6*C834)/6))</f>
        <v>0.01298564752917</v>
      </c>
      <c r="E834" s="12" t="n">
        <f aca="false">D834^(-1/B834)-1</f>
        <v>0.0648176100000002</v>
      </c>
      <c r="F834" s="12" t="n">
        <f aca="false">(1+E834)^(1/12)-1</f>
        <v>0.00524734654024961</v>
      </c>
      <c r="G834" s="16" t="n">
        <f aca="false">IF(C834=0,(1+Dic2025!$J$6)^(-B834),EXP(LN(INDEX(Dic2025!$K$6:$K$205,C834))+(LN(INDEX(Dic2025!$K$6:$K$205,MIN(C834+1,200)))-LN(INDEX(Dic2025!$K$6:$K$205,C834)))*(A834-6*C834)/6))</f>
        <v>0.01298564752917</v>
      </c>
      <c r="H834" s="12" t="n">
        <f aca="false">G834^(-1/B834)-1</f>
        <v>0.0648176100000002</v>
      </c>
      <c r="I834" s="12" t="n">
        <f aca="false">(1+H834)^(1/12)-1</f>
        <v>0.00524734654024961</v>
      </c>
      <c r="J834" s="16" t="n">
        <f aca="false">IF(C834=0,(1+Dic2025!$M$6)^(-B834),EXP(LN(INDEX(Dic2025!$N$6:$N$205,C834))+(LN(INDEX(Dic2025!$N$6:$N$205,MIN(C834+1,200)))-LN(INDEX(Dic2025!$N$6:$N$205,C834)))*(A834-6*C834)/6))</f>
        <v>0.01298564752917</v>
      </c>
      <c r="K834" s="12" t="n">
        <f aca="false">J834^(-1/B834)-1</f>
        <v>0.0648176100000002</v>
      </c>
      <c r="L834" s="12" t="n">
        <f aca="false">(1+K834)^(1/12)-1</f>
        <v>0.00524734654024961</v>
      </c>
    </row>
    <row r="835" customFormat="false" ht="15" hidden="false" customHeight="false" outlineLevel="0" collapsed="false">
      <c r="A835" s="4" t="n">
        <v>831</v>
      </c>
      <c r="B835" s="14" t="n">
        <f aca="false">A835/12</f>
        <v>69.25</v>
      </c>
      <c r="C835" s="15" t="n">
        <f aca="false">INT(A835/6)</f>
        <v>138</v>
      </c>
      <c r="D835" s="16" t="n">
        <f aca="false">IF(C835=0,(1+Dic2025!$G$6)^(-B835),EXP(LN(INDEX(Dic2025!$H$6:$H$205,C835))+(LN(INDEX(Dic2025!$H$6:$H$205,MIN(C835+1,200)))-LN(INDEX(Dic2025!$H$6:$H$205,C835)))*(A835-6*C835)/6))</f>
        <v>0.0129178630253167</v>
      </c>
      <c r="E835" s="12" t="n">
        <f aca="false">D835^(-1/B835)-1</f>
        <v>0.0648176100000002</v>
      </c>
      <c r="F835" s="12" t="n">
        <f aca="false">(1+E835)^(1/12)-1</f>
        <v>0.00524734654024961</v>
      </c>
      <c r="G835" s="16" t="n">
        <f aca="false">IF(C835=0,(1+Dic2025!$J$6)^(-B835),EXP(LN(INDEX(Dic2025!$K$6:$K$205,C835))+(LN(INDEX(Dic2025!$K$6:$K$205,MIN(C835+1,200)))-LN(INDEX(Dic2025!$K$6:$K$205,C835)))*(A835-6*C835)/6))</f>
        <v>0.0129178630253167</v>
      </c>
      <c r="H835" s="12" t="n">
        <f aca="false">G835^(-1/B835)-1</f>
        <v>0.0648176100000002</v>
      </c>
      <c r="I835" s="12" t="n">
        <f aca="false">(1+H835)^(1/12)-1</f>
        <v>0.00524734654024961</v>
      </c>
      <c r="J835" s="16" t="n">
        <f aca="false">IF(C835=0,(1+Dic2025!$M$6)^(-B835),EXP(LN(INDEX(Dic2025!$N$6:$N$205,C835))+(LN(INDEX(Dic2025!$N$6:$N$205,MIN(C835+1,200)))-LN(INDEX(Dic2025!$N$6:$N$205,C835)))*(A835-6*C835)/6))</f>
        <v>0.0129178630253167</v>
      </c>
      <c r="K835" s="12" t="n">
        <f aca="false">J835^(-1/B835)-1</f>
        <v>0.0648176100000002</v>
      </c>
      <c r="L835" s="12" t="n">
        <f aca="false">(1+K835)^(1/12)-1</f>
        <v>0.00524734654024961</v>
      </c>
    </row>
    <row r="836" customFormat="false" ht="15" hidden="false" customHeight="false" outlineLevel="0" collapsed="false">
      <c r="A836" s="4" t="n">
        <v>832</v>
      </c>
      <c r="B836" s="14" t="n">
        <f aca="false">A836/12</f>
        <v>69.3333333333333</v>
      </c>
      <c r="C836" s="15" t="n">
        <f aca="false">INT(A836/6)</f>
        <v>138</v>
      </c>
      <c r="D836" s="16" t="n">
        <f aca="false">IF(C836=0,(1+Dic2025!$G$6)^(-B836),EXP(LN(INDEX(Dic2025!$H$6:$H$205,C836))+(LN(INDEX(Dic2025!$H$6:$H$205,MIN(C836+1,200)))-LN(INDEX(Dic2025!$H$6:$H$205,C836)))*(A836-6*C836)/6))</f>
        <v>0.0128504323535655</v>
      </c>
      <c r="E836" s="12" t="n">
        <f aca="false">D836^(-1/B836)-1</f>
        <v>0.0648176100000002</v>
      </c>
      <c r="F836" s="12" t="n">
        <f aca="false">(1+E836)^(1/12)-1</f>
        <v>0.00524734654024961</v>
      </c>
      <c r="G836" s="16" t="n">
        <f aca="false">IF(C836=0,(1+Dic2025!$J$6)^(-B836),EXP(LN(INDEX(Dic2025!$K$6:$K$205,C836))+(LN(INDEX(Dic2025!$K$6:$K$205,MIN(C836+1,200)))-LN(INDEX(Dic2025!$K$6:$K$205,C836)))*(A836-6*C836)/6))</f>
        <v>0.0128504323535655</v>
      </c>
      <c r="H836" s="12" t="n">
        <f aca="false">G836^(-1/B836)-1</f>
        <v>0.0648176100000002</v>
      </c>
      <c r="I836" s="12" t="n">
        <f aca="false">(1+H836)^(1/12)-1</f>
        <v>0.00524734654024961</v>
      </c>
      <c r="J836" s="16" t="n">
        <f aca="false">IF(C836=0,(1+Dic2025!$M$6)^(-B836),EXP(LN(INDEX(Dic2025!$N$6:$N$205,C836))+(LN(INDEX(Dic2025!$N$6:$N$205,MIN(C836+1,200)))-LN(INDEX(Dic2025!$N$6:$N$205,C836)))*(A836-6*C836)/6))</f>
        <v>0.0128504323535655</v>
      </c>
      <c r="K836" s="12" t="n">
        <f aca="false">J836^(-1/B836)-1</f>
        <v>0.0648176100000002</v>
      </c>
      <c r="L836" s="12" t="n">
        <f aca="false">(1+K836)^(1/12)-1</f>
        <v>0.00524734654024961</v>
      </c>
    </row>
    <row r="837" customFormat="false" ht="15" hidden="false" customHeight="false" outlineLevel="0" collapsed="false">
      <c r="A837" s="4" t="n">
        <v>833</v>
      </c>
      <c r="B837" s="14" t="n">
        <f aca="false">A837/12</f>
        <v>69.4166666666667</v>
      </c>
      <c r="C837" s="15" t="n">
        <f aca="false">INT(A837/6)</f>
        <v>138</v>
      </c>
      <c r="D837" s="16" t="n">
        <f aca="false">IF(C837=0,(1+Dic2025!$G$6)^(-B837),EXP(LN(INDEX(Dic2025!$H$6:$H$205,C837))+(LN(INDEX(Dic2025!$H$6:$H$205,MIN(C837+1,200)))-LN(INDEX(Dic2025!$H$6:$H$205,C837)))*(A837-6*C837)/6))</f>
        <v>0.0127833536669285</v>
      </c>
      <c r="E837" s="12" t="n">
        <f aca="false">D837^(-1/B837)-1</f>
        <v>0.0648176100000002</v>
      </c>
      <c r="F837" s="12" t="n">
        <f aca="false">(1+E837)^(1/12)-1</f>
        <v>0.00524734654024961</v>
      </c>
      <c r="G837" s="16" t="n">
        <f aca="false">IF(C837=0,(1+Dic2025!$J$6)^(-B837),EXP(LN(INDEX(Dic2025!$K$6:$K$205,C837))+(LN(INDEX(Dic2025!$K$6:$K$205,MIN(C837+1,200)))-LN(INDEX(Dic2025!$K$6:$K$205,C837)))*(A837-6*C837)/6))</f>
        <v>0.0127833536669285</v>
      </c>
      <c r="H837" s="12" t="n">
        <f aca="false">G837^(-1/B837)-1</f>
        <v>0.0648176100000002</v>
      </c>
      <c r="I837" s="12" t="n">
        <f aca="false">(1+H837)^(1/12)-1</f>
        <v>0.00524734654024961</v>
      </c>
      <c r="J837" s="16" t="n">
        <f aca="false">IF(C837=0,(1+Dic2025!$M$6)^(-B837),EXP(LN(INDEX(Dic2025!$N$6:$N$205,C837))+(LN(INDEX(Dic2025!$N$6:$N$205,MIN(C837+1,200)))-LN(INDEX(Dic2025!$N$6:$N$205,C837)))*(A837-6*C837)/6))</f>
        <v>0.0127833536669285</v>
      </c>
      <c r="K837" s="12" t="n">
        <f aca="false">J837^(-1/B837)-1</f>
        <v>0.0648176100000002</v>
      </c>
      <c r="L837" s="12" t="n">
        <f aca="false">(1+K837)^(1/12)-1</f>
        <v>0.00524734654024961</v>
      </c>
    </row>
    <row r="838" customFormat="false" ht="15" hidden="false" customHeight="false" outlineLevel="0" collapsed="false">
      <c r="A838" s="4" t="n">
        <v>834</v>
      </c>
      <c r="B838" s="14" t="n">
        <f aca="false">A838/12</f>
        <v>69.5</v>
      </c>
      <c r="C838" s="15" t="n">
        <f aca="false">INT(A838/6)</f>
        <v>139</v>
      </c>
      <c r="D838" s="16" t="n">
        <f aca="false">IF(C838=0,(1+Dic2025!$G$6)^(-B838),EXP(LN(INDEX(Dic2025!$H$6:$H$205,C838))+(LN(INDEX(Dic2025!$H$6:$H$205,MIN(C838+1,200)))-LN(INDEX(Dic2025!$H$6:$H$205,C838)))*(A838-6*C838)/6))</f>
        <v>0.0127166251280592</v>
      </c>
      <c r="E838" s="12" t="n">
        <f aca="false">D838^(-1/B838)-1</f>
        <v>0.0648176100000002</v>
      </c>
      <c r="F838" s="12" t="n">
        <f aca="false">(1+E838)^(1/12)-1</f>
        <v>0.00524734654024961</v>
      </c>
      <c r="G838" s="16" t="n">
        <f aca="false">IF(C838=0,(1+Dic2025!$J$6)^(-B838),EXP(LN(INDEX(Dic2025!$K$6:$K$205,C838))+(LN(INDEX(Dic2025!$K$6:$K$205,MIN(C838+1,200)))-LN(INDEX(Dic2025!$K$6:$K$205,C838)))*(A838-6*C838)/6))</f>
        <v>0.0127166251280592</v>
      </c>
      <c r="H838" s="12" t="n">
        <f aca="false">G838^(-1/B838)-1</f>
        <v>0.0648176100000002</v>
      </c>
      <c r="I838" s="12" t="n">
        <f aca="false">(1+H838)^(1/12)-1</f>
        <v>0.00524734654024961</v>
      </c>
      <c r="J838" s="16" t="n">
        <f aca="false">IF(C838=0,(1+Dic2025!$M$6)^(-B838),EXP(LN(INDEX(Dic2025!$N$6:$N$205,C838))+(LN(INDEX(Dic2025!$N$6:$N$205,MIN(C838+1,200)))-LN(INDEX(Dic2025!$N$6:$N$205,C838)))*(A838-6*C838)/6))</f>
        <v>0.0127166251280592</v>
      </c>
      <c r="K838" s="12" t="n">
        <f aca="false">J838^(-1/B838)-1</f>
        <v>0.0648176100000002</v>
      </c>
      <c r="L838" s="12" t="n">
        <f aca="false">(1+K838)^(1/12)-1</f>
        <v>0.00524734654024961</v>
      </c>
    </row>
    <row r="839" customFormat="false" ht="15" hidden="false" customHeight="false" outlineLevel="0" collapsed="false">
      <c r="A839" s="4" t="n">
        <v>835</v>
      </c>
      <c r="B839" s="14" t="n">
        <f aca="false">A839/12</f>
        <v>69.5833333333333</v>
      </c>
      <c r="C839" s="15" t="n">
        <f aca="false">INT(A839/6)</f>
        <v>139</v>
      </c>
      <c r="D839" s="16" t="n">
        <f aca="false">IF(C839=0,(1+Dic2025!$G$6)^(-B839),EXP(LN(INDEX(Dic2025!$H$6:$H$205,C839))+(LN(INDEX(Dic2025!$H$6:$H$205,MIN(C839+1,200)))-LN(INDEX(Dic2025!$H$6:$H$205,C839)))*(A839-6*C839)/6))</f>
        <v>0.012635950964043</v>
      </c>
      <c r="E839" s="12" t="n">
        <f aca="false">D839^(-1/B839)-1</f>
        <v>0.0648349110387685</v>
      </c>
      <c r="F839" s="12" t="n">
        <f aca="false">(1+E839)^(1/12)-1</f>
        <v>0.0052487076257568</v>
      </c>
      <c r="G839" s="16" t="n">
        <f aca="false">IF(C839=0,(1+Dic2025!$J$6)^(-B839),EXP(LN(INDEX(Dic2025!$K$6:$K$205,C839))+(LN(INDEX(Dic2025!$K$6:$K$205,MIN(C839+1,200)))-LN(INDEX(Dic2025!$K$6:$K$205,C839)))*(A839-6*C839)/6))</f>
        <v>0.012635950964043</v>
      </c>
      <c r="H839" s="12" t="n">
        <f aca="false">G839^(-1/B839)-1</f>
        <v>0.0648349110387685</v>
      </c>
      <c r="I839" s="12" t="n">
        <f aca="false">(1+H839)^(1/12)-1</f>
        <v>0.0052487076257568</v>
      </c>
      <c r="J839" s="16" t="n">
        <f aca="false">IF(C839=0,(1+Dic2025!$M$6)^(-B839),EXP(LN(INDEX(Dic2025!$N$6:$N$205,C839))+(LN(INDEX(Dic2025!$N$6:$N$205,MIN(C839+1,200)))-LN(INDEX(Dic2025!$N$6:$N$205,C839)))*(A839-6*C839)/6))</f>
        <v>0.012635950964043</v>
      </c>
      <c r="K839" s="12" t="n">
        <f aca="false">J839^(-1/B839)-1</f>
        <v>0.0648349110387685</v>
      </c>
      <c r="L839" s="12" t="n">
        <f aca="false">(1+K839)^(1/12)-1</f>
        <v>0.0052487076257568</v>
      </c>
    </row>
    <row r="840" customFormat="false" ht="15" hidden="false" customHeight="false" outlineLevel="0" collapsed="false">
      <c r="A840" s="4" t="n">
        <v>836</v>
      </c>
      <c r="B840" s="14" t="n">
        <f aca="false">A840/12</f>
        <v>69.6666666666667</v>
      </c>
      <c r="C840" s="15" t="n">
        <f aca="false">INT(A840/6)</f>
        <v>139</v>
      </c>
      <c r="D840" s="16" t="n">
        <f aca="false">IF(C840=0,(1+Dic2025!$G$6)^(-B840),EXP(LN(INDEX(Dic2025!$H$6:$H$205,C840))+(LN(INDEX(Dic2025!$H$6:$H$205,MIN(C840+1,200)))-LN(INDEX(Dic2025!$H$6:$H$205,C840)))*(A840-6*C840)/6))</f>
        <v>0.0125557885962522</v>
      </c>
      <c r="E840" s="12" t="n">
        <f aca="false">D840^(-1/B840)-1</f>
        <v>0.0648521709675891</v>
      </c>
      <c r="F840" s="12" t="n">
        <f aca="false">(1+E840)^(1/12)-1</f>
        <v>0.00525006545691453</v>
      </c>
      <c r="G840" s="16" t="n">
        <f aca="false">IF(C840=0,(1+Dic2025!$J$6)^(-B840),EXP(LN(INDEX(Dic2025!$K$6:$K$205,C840))+(LN(INDEX(Dic2025!$K$6:$K$205,MIN(C840+1,200)))-LN(INDEX(Dic2025!$K$6:$K$205,C840)))*(A840-6*C840)/6))</f>
        <v>0.0125557885962522</v>
      </c>
      <c r="H840" s="12" t="n">
        <f aca="false">G840^(-1/B840)-1</f>
        <v>0.0648521709675891</v>
      </c>
      <c r="I840" s="12" t="n">
        <f aca="false">(1+H840)^(1/12)-1</f>
        <v>0.00525006545691453</v>
      </c>
      <c r="J840" s="16" t="n">
        <f aca="false">IF(C840=0,(1+Dic2025!$M$6)^(-B840),EXP(LN(INDEX(Dic2025!$N$6:$N$205,C840))+(LN(INDEX(Dic2025!$N$6:$N$205,MIN(C840+1,200)))-LN(INDEX(Dic2025!$N$6:$N$205,C840)))*(A840-6*C840)/6))</f>
        <v>0.0125557885962522</v>
      </c>
      <c r="K840" s="12" t="n">
        <f aca="false">J840^(-1/B840)-1</f>
        <v>0.0648521709675891</v>
      </c>
      <c r="L840" s="12" t="n">
        <f aca="false">(1+K840)^(1/12)-1</f>
        <v>0.00525006545691453</v>
      </c>
    </row>
    <row r="841" customFormat="false" ht="15" hidden="false" customHeight="false" outlineLevel="0" collapsed="false">
      <c r="A841" s="4" t="n">
        <v>837</v>
      </c>
      <c r="B841" s="14" t="n">
        <f aca="false">A841/12</f>
        <v>69.75</v>
      </c>
      <c r="C841" s="15" t="n">
        <f aca="false">INT(A841/6)</f>
        <v>139</v>
      </c>
      <c r="D841" s="16" t="n">
        <f aca="false">IF(C841=0,(1+Dic2025!$G$6)^(-B841),EXP(LN(INDEX(Dic2025!$H$6:$H$205,C841))+(LN(INDEX(Dic2025!$H$6:$H$205,MIN(C841+1,200)))-LN(INDEX(Dic2025!$H$6:$H$205,C841)))*(A841-6*C841)/6))</f>
        <v>0.0124761347778557</v>
      </c>
      <c r="E841" s="12" t="n">
        <f aca="false">D841^(-1/B841)-1</f>
        <v>0.0648693899328117</v>
      </c>
      <c r="F841" s="12" t="n">
        <f aca="false">(1+E841)^(1/12)-1</f>
        <v>0.00525142004538126</v>
      </c>
      <c r="G841" s="16" t="n">
        <f aca="false">IF(C841=0,(1+Dic2025!$J$6)^(-B841),EXP(LN(INDEX(Dic2025!$K$6:$K$205,C841))+(LN(INDEX(Dic2025!$K$6:$K$205,MIN(C841+1,200)))-LN(INDEX(Dic2025!$K$6:$K$205,C841)))*(A841-6*C841)/6))</f>
        <v>0.0124761347778557</v>
      </c>
      <c r="H841" s="12" t="n">
        <f aca="false">G841^(-1/B841)-1</f>
        <v>0.0648693899328117</v>
      </c>
      <c r="I841" s="12" t="n">
        <f aca="false">(1+H841)^(1/12)-1</f>
        <v>0.00525142004538126</v>
      </c>
      <c r="J841" s="16" t="n">
        <f aca="false">IF(C841=0,(1+Dic2025!$M$6)^(-B841),EXP(LN(INDEX(Dic2025!$N$6:$N$205,C841))+(LN(INDEX(Dic2025!$N$6:$N$205,MIN(C841+1,200)))-LN(INDEX(Dic2025!$N$6:$N$205,C841)))*(A841-6*C841)/6))</f>
        <v>0.0124761347778557</v>
      </c>
      <c r="K841" s="12" t="n">
        <f aca="false">J841^(-1/B841)-1</f>
        <v>0.0648693899328117</v>
      </c>
      <c r="L841" s="12" t="n">
        <f aca="false">(1+K841)^(1/12)-1</f>
        <v>0.00525142004538126</v>
      </c>
    </row>
    <row r="842" customFormat="false" ht="15" hidden="false" customHeight="false" outlineLevel="0" collapsed="false">
      <c r="A842" s="4" t="n">
        <v>838</v>
      </c>
      <c r="B842" s="14" t="n">
        <f aca="false">A842/12</f>
        <v>69.8333333333333</v>
      </c>
      <c r="C842" s="15" t="n">
        <f aca="false">INT(A842/6)</f>
        <v>139</v>
      </c>
      <c r="D842" s="16" t="n">
        <f aca="false">IF(C842=0,(1+Dic2025!$G$6)^(-B842),EXP(LN(INDEX(Dic2025!$H$6:$H$205,C842))+(LN(INDEX(Dic2025!$H$6:$H$205,MIN(C842+1,200)))-LN(INDEX(Dic2025!$H$6:$H$205,C842)))*(A842-6*C842)/6))</f>
        <v>0.0123969862826204</v>
      </c>
      <c r="E842" s="12" t="n">
        <f aca="false">D842^(-1/B842)-1</f>
        <v>0.0648865680800914</v>
      </c>
      <c r="F842" s="12" t="n">
        <f aca="false">(1+E842)^(1/12)-1</f>
        <v>0.00525277140275837</v>
      </c>
      <c r="G842" s="16" t="n">
        <f aca="false">IF(C842=0,(1+Dic2025!$J$6)^(-B842),EXP(LN(INDEX(Dic2025!$K$6:$K$205,C842))+(LN(INDEX(Dic2025!$K$6:$K$205,MIN(C842+1,200)))-LN(INDEX(Dic2025!$K$6:$K$205,C842)))*(A842-6*C842)/6))</f>
        <v>0.0123969862826204</v>
      </c>
      <c r="H842" s="12" t="n">
        <f aca="false">G842^(-1/B842)-1</f>
        <v>0.0648865680800914</v>
      </c>
      <c r="I842" s="12" t="n">
        <f aca="false">(1+H842)^(1/12)-1</f>
        <v>0.00525277140275837</v>
      </c>
      <c r="J842" s="16" t="n">
        <f aca="false">IF(C842=0,(1+Dic2025!$M$6)^(-B842),EXP(LN(INDEX(Dic2025!$N$6:$N$205,C842))+(LN(INDEX(Dic2025!$N$6:$N$205,MIN(C842+1,200)))-LN(INDEX(Dic2025!$N$6:$N$205,C842)))*(A842-6*C842)/6))</f>
        <v>0.0123969862826204</v>
      </c>
      <c r="K842" s="12" t="n">
        <f aca="false">J842^(-1/B842)-1</f>
        <v>0.0648865680800914</v>
      </c>
      <c r="L842" s="12" t="n">
        <f aca="false">(1+K842)^(1/12)-1</f>
        <v>0.00525277140275837</v>
      </c>
    </row>
    <row r="843" customFormat="false" ht="15" hidden="false" customHeight="false" outlineLevel="0" collapsed="false">
      <c r="A843" s="4" t="n">
        <v>839</v>
      </c>
      <c r="B843" s="14" t="n">
        <f aca="false">A843/12</f>
        <v>69.9166666666667</v>
      </c>
      <c r="C843" s="15" t="n">
        <f aca="false">INT(A843/6)</f>
        <v>139</v>
      </c>
      <c r="D843" s="16" t="n">
        <f aca="false">IF(C843=0,(1+Dic2025!$G$6)^(-B843),EXP(LN(INDEX(Dic2025!$H$6:$H$205,C843))+(LN(INDEX(Dic2025!$H$6:$H$205,MIN(C843+1,200)))-LN(INDEX(Dic2025!$H$6:$H$205,C843)))*(A843-6*C843)/6))</f>
        <v>0.0123183399047805</v>
      </c>
      <c r="E843" s="12" t="n">
        <f aca="false">D843^(-1/B843)-1</f>
        <v>0.0649037055543942</v>
      </c>
      <c r="F843" s="12" t="n">
        <f aca="false">(1+E843)^(1/12)-1</f>
        <v>0.00525411954059329</v>
      </c>
      <c r="G843" s="16" t="n">
        <f aca="false">IF(C843=0,(1+Dic2025!$J$6)^(-B843),EXP(LN(INDEX(Dic2025!$K$6:$K$205,C843))+(LN(INDEX(Dic2025!$K$6:$K$205,MIN(C843+1,200)))-LN(INDEX(Dic2025!$K$6:$K$205,C843)))*(A843-6*C843)/6))</f>
        <v>0.0123183399047805</v>
      </c>
      <c r="H843" s="12" t="n">
        <f aca="false">G843^(-1/B843)-1</f>
        <v>0.0649037055543942</v>
      </c>
      <c r="I843" s="12" t="n">
        <f aca="false">(1+H843)^(1/12)-1</f>
        <v>0.00525411954059329</v>
      </c>
      <c r="J843" s="16" t="n">
        <f aca="false">IF(C843=0,(1+Dic2025!$M$6)^(-B843),EXP(LN(INDEX(Dic2025!$N$6:$N$205,C843))+(LN(INDEX(Dic2025!$N$6:$N$205,MIN(C843+1,200)))-LN(INDEX(Dic2025!$N$6:$N$205,C843)))*(A843-6*C843)/6))</f>
        <v>0.0123183399047805</v>
      </c>
      <c r="K843" s="12" t="n">
        <f aca="false">J843^(-1/B843)-1</f>
        <v>0.0649037055543942</v>
      </c>
      <c r="L843" s="12" t="n">
        <f aca="false">(1+K843)^(1/12)-1</f>
        <v>0.00525411954059329</v>
      </c>
    </row>
    <row r="844" customFormat="false" ht="15" hidden="false" customHeight="false" outlineLevel="0" collapsed="false">
      <c r="A844" s="4" t="n">
        <v>840</v>
      </c>
      <c r="B844" s="14" t="n">
        <f aca="false">A844/12</f>
        <v>70</v>
      </c>
      <c r="C844" s="15" t="n">
        <f aca="false">INT(A844/6)</f>
        <v>140</v>
      </c>
      <c r="D844" s="16" t="n">
        <f aca="false">IF(C844=0,(1+Dic2025!$G$6)^(-B844),EXP(LN(INDEX(Dic2025!$H$6:$H$205,C844))+(LN(INDEX(Dic2025!$H$6:$H$205,MIN(C844+1,200)))-LN(INDEX(Dic2025!$H$6:$H$205,C844)))*(A844-6*C844)/6))</f>
        <v>0.0122401924589072</v>
      </c>
      <c r="E844" s="12" t="n">
        <f aca="false">D844^(-1/B844)-1</f>
        <v>0.0649208024999999</v>
      </c>
      <c r="F844" s="12" t="n">
        <f aca="false">(1+E844)^(1/12)-1</f>
        <v>0.00525546447037772</v>
      </c>
      <c r="G844" s="16" t="n">
        <f aca="false">IF(C844=0,(1+Dic2025!$J$6)^(-B844),EXP(LN(INDEX(Dic2025!$K$6:$K$205,C844))+(LN(INDEX(Dic2025!$K$6:$K$205,MIN(C844+1,200)))-LN(INDEX(Dic2025!$K$6:$K$205,C844)))*(A844-6*C844)/6))</f>
        <v>0.0122401924589072</v>
      </c>
      <c r="H844" s="12" t="n">
        <f aca="false">G844^(-1/B844)-1</f>
        <v>0.0649208024999999</v>
      </c>
      <c r="I844" s="12" t="n">
        <f aca="false">(1+H844)^(1/12)-1</f>
        <v>0.00525546447037772</v>
      </c>
      <c r="J844" s="16" t="n">
        <f aca="false">IF(C844=0,(1+Dic2025!$M$6)^(-B844),EXP(LN(INDEX(Dic2025!$N$6:$N$205,C844))+(LN(INDEX(Dic2025!$N$6:$N$205,MIN(C844+1,200)))-LN(INDEX(Dic2025!$N$6:$N$205,C844)))*(A844-6*C844)/6))</f>
        <v>0.0122401924589072</v>
      </c>
      <c r="K844" s="12" t="n">
        <f aca="false">J844^(-1/B844)-1</f>
        <v>0.0649208024999999</v>
      </c>
      <c r="L844" s="12" t="n">
        <f aca="false">(1+K844)^(1/12)-1</f>
        <v>0.00525546447037772</v>
      </c>
    </row>
    <row r="845" customFormat="false" ht="15" hidden="false" customHeight="false" outlineLevel="0" collapsed="false">
      <c r="A845" s="4" t="n">
        <v>841</v>
      </c>
      <c r="B845" s="14" t="n">
        <f aca="false">A845/12</f>
        <v>70.0833333333333</v>
      </c>
      <c r="C845" s="15" t="n">
        <f aca="false">INT(A845/6)</f>
        <v>140</v>
      </c>
      <c r="D845" s="16" t="n">
        <f aca="false">IF(C845=0,(1+Dic2025!$G$6)^(-B845),EXP(LN(INDEX(Dic2025!$H$6:$H$205,C845))+(LN(INDEX(Dic2025!$H$6:$H$205,MIN(C845+1,200)))-LN(INDEX(Dic2025!$H$6:$H$205,C845)))*(A845-6*C845)/6))</f>
        <v>0.012176200867862</v>
      </c>
      <c r="E845" s="12" t="n">
        <f aca="false">D845^(-1/B845)-1</f>
        <v>0.0649208024999999</v>
      </c>
      <c r="F845" s="12" t="n">
        <f aca="false">(1+E845)^(1/12)-1</f>
        <v>0.00525546447037772</v>
      </c>
      <c r="G845" s="16" t="n">
        <f aca="false">IF(C845=0,(1+Dic2025!$J$6)^(-B845),EXP(LN(INDEX(Dic2025!$K$6:$K$205,C845))+(LN(INDEX(Dic2025!$K$6:$K$205,MIN(C845+1,200)))-LN(INDEX(Dic2025!$K$6:$K$205,C845)))*(A845-6*C845)/6))</f>
        <v>0.012176200867862</v>
      </c>
      <c r="H845" s="12" t="n">
        <f aca="false">G845^(-1/B845)-1</f>
        <v>0.0649208024999999</v>
      </c>
      <c r="I845" s="12" t="n">
        <f aca="false">(1+H845)^(1/12)-1</f>
        <v>0.00525546447037772</v>
      </c>
      <c r="J845" s="16" t="n">
        <f aca="false">IF(C845=0,(1+Dic2025!$M$6)^(-B845),EXP(LN(INDEX(Dic2025!$N$6:$N$205,C845))+(LN(INDEX(Dic2025!$N$6:$N$205,MIN(C845+1,200)))-LN(INDEX(Dic2025!$N$6:$N$205,C845)))*(A845-6*C845)/6))</f>
        <v>0.012176200867862</v>
      </c>
      <c r="K845" s="12" t="n">
        <f aca="false">J845^(-1/B845)-1</f>
        <v>0.0649208024999999</v>
      </c>
      <c r="L845" s="12" t="n">
        <f aca="false">(1+K845)^(1/12)-1</f>
        <v>0.00525546447037772</v>
      </c>
    </row>
    <row r="846" customFormat="false" ht="15" hidden="false" customHeight="false" outlineLevel="0" collapsed="false">
      <c r="A846" s="4" t="n">
        <v>842</v>
      </c>
      <c r="B846" s="14" t="n">
        <f aca="false">A846/12</f>
        <v>70.1666666666667</v>
      </c>
      <c r="C846" s="15" t="n">
        <f aca="false">INT(A846/6)</f>
        <v>140</v>
      </c>
      <c r="D846" s="16" t="n">
        <f aca="false">IF(C846=0,(1+Dic2025!$G$6)^(-B846),EXP(LN(INDEX(Dic2025!$H$6:$H$205,C846))+(LN(INDEX(Dic2025!$H$6:$H$205,MIN(C846+1,200)))-LN(INDEX(Dic2025!$H$6:$H$205,C846)))*(A846-6*C846)/6))</f>
        <v>0.0121125438241483</v>
      </c>
      <c r="E846" s="12" t="n">
        <f aca="false">D846^(-1/B846)-1</f>
        <v>0.0649208024999999</v>
      </c>
      <c r="F846" s="12" t="n">
        <f aca="false">(1+E846)^(1/12)-1</f>
        <v>0.00525546447037772</v>
      </c>
      <c r="G846" s="16" t="n">
        <f aca="false">IF(C846=0,(1+Dic2025!$J$6)^(-B846),EXP(LN(INDEX(Dic2025!$K$6:$K$205,C846))+(LN(INDEX(Dic2025!$K$6:$K$205,MIN(C846+1,200)))-LN(INDEX(Dic2025!$K$6:$K$205,C846)))*(A846-6*C846)/6))</f>
        <v>0.0121125438241483</v>
      </c>
      <c r="H846" s="12" t="n">
        <f aca="false">G846^(-1/B846)-1</f>
        <v>0.0649208024999999</v>
      </c>
      <c r="I846" s="12" t="n">
        <f aca="false">(1+H846)^(1/12)-1</f>
        <v>0.00525546447037772</v>
      </c>
      <c r="J846" s="16" t="n">
        <f aca="false">IF(C846=0,(1+Dic2025!$M$6)^(-B846),EXP(LN(INDEX(Dic2025!$N$6:$N$205,C846))+(LN(INDEX(Dic2025!$N$6:$N$205,MIN(C846+1,200)))-LN(INDEX(Dic2025!$N$6:$N$205,C846)))*(A846-6*C846)/6))</f>
        <v>0.0121125438241483</v>
      </c>
      <c r="K846" s="12" t="n">
        <f aca="false">J846^(-1/B846)-1</f>
        <v>0.0649208024999999</v>
      </c>
      <c r="L846" s="12" t="n">
        <f aca="false">(1+K846)^(1/12)-1</f>
        <v>0.00525546447037772</v>
      </c>
    </row>
    <row r="847" customFormat="false" ht="15" hidden="false" customHeight="false" outlineLevel="0" collapsed="false">
      <c r="A847" s="4" t="n">
        <v>843</v>
      </c>
      <c r="B847" s="14" t="n">
        <f aca="false">A847/12</f>
        <v>70.25</v>
      </c>
      <c r="C847" s="15" t="n">
        <f aca="false">INT(A847/6)</f>
        <v>140</v>
      </c>
      <c r="D847" s="16" t="n">
        <f aca="false">IF(C847=0,(1+Dic2025!$G$6)^(-B847),EXP(LN(INDEX(Dic2025!$H$6:$H$205,C847))+(LN(INDEX(Dic2025!$H$6:$H$205,MIN(C847+1,200)))-LN(INDEX(Dic2025!$H$6:$H$205,C847)))*(A847-6*C847)/6))</f>
        <v>0.0120492195787564</v>
      </c>
      <c r="E847" s="12" t="n">
        <f aca="false">D847^(-1/B847)-1</f>
        <v>0.0649208024999999</v>
      </c>
      <c r="F847" s="12" t="n">
        <f aca="false">(1+E847)^(1/12)-1</f>
        <v>0.00525546447037772</v>
      </c>
      <c r="G847" s="16" t="n">
        <f aca="false">IF(C847=0,(1+Dic2025!$J$6)^(-B847),EXP(LN(INDEX(Dic2025!$K$6:$K$205,C847))+(LN(INDEX(Dic2025!$K$6:$K$205,MIN(C847+1,200)))-LN(INDEX(Dic2025!$K$6:$K$205,C847)))*(A847-6*C847)/6))</f>
        <v>0.0120492195787564</v>
      </c>
      <c r="H847" s="12" t="n">
        <f aca="false">G847^(-1/B847)-1</f>
        <v>0.0649208024999999</v>
      </c>
      <c r="I847" s="12" t="n">
        <f aca="false">(1+H847)^(1/12)-1</f>
        <v>0.00525546447037772</v>
      </c>
      <c r="J847" s="16" t="n">
        <f aca="false">IF(C847=0,(1+Dic2025!$M$6)^(-B847),EXP(LN(INDEX(Dic2025!$N$6:$N$205,C847))+(LN(INDEX(Dic2025!$N$6:$N$205,MIN(C847+1,200)))-LN(INDEX(Dic2025!$N$6:$N$205,C847)))*(A847-6*C847)/6))</f>
        <v>0.0120492195787564</v>
      </c>
      <c r="K847" s="12" t="n">
        <f aca="false">J847^(-1/B847)-1</f>
        <v>0.0649208024999999</v>
      </c>
      <c r="L847" s="12" t="n">
        <f aca="false">(1+K847)^(1/12)-1</f>
        <v>0.00525546447037772</v>
      </c>
    </row>
    <row r="848" customFormat="false" ht="15" hidden="false" customHeight="false" outlineLevel="0" collapsed="false">
      <c r="A848" s="4" t="n">
        <v>844</v>
      </c>
      <c r="B848" s="14" t="n">
        <f aca="false">A848/12</f>
        <v>70.3333333333333</v>
      </c>
      <c r="C848" s="15" t="n">
        <f aca="false">INT(A848/6)</f>
        <v>140</v>
      </c>
      <c r="D848" s="16" t="n">
        <f aca="false">IF(C848=0,(1+Dic2025!$G$6)^(-B848),EXP(LN(INDEX(Dic2025!$H$6:$H$205,C848))+(LN(INDEX(Dic2025!$H$6:$H$205,MIN(C848+1,200)))-LN(INDEX(Dic2025!$H$6:$H$205,C848)))*(A848-6*C848)/6))</f>
        <v>0.0119862263918202</v>
      </c>
      <c r="E848" s="12" t="n">
        <f aca="false">D848^(-1/B848)-1</f>
        <v>0.0649208024999999</v>
      </c>
      <c r="F848" s="12" t="n">
        <f aca="false">(1+E848)^(1/12)-1</f>
        <v>0.00525546447037772</v>
      </c>
      <c r="G848" s="16" t="n">
        <f aca="false">IF(C848=0,(1+Dic2025!$J$6)^(-B848),EXP(LN(INDEX(Dic2025!$K$6:$K$205,C848))+(LN(INDEX(Dic2025!$K$6:$K$205,MIN(C848+1,200)))-LN(INDEX(Dic2025!$K$6:$K$205,C848)))*(A848-6*C848)/6))</f>
        <v>0.0119862263918202</v>
      </c>
      <c r="H848" s="12" t="n">
        <f aca="false">G848^(-1/B848)-1</f>
        <v>0.0649208024999999</v>
      </c>
      <c r="I848" s="12" t="n">
        <f aca="false">(1+H848)^(1/12)-1</f>
        <v>0.00525546447037772</v>
      </c>
      <c r="J848" s="16" t="n">
        <f aca="false">IF(C848=0,(1+Dic2025!$M$6)^(-B848),EXP(LN(INDEX(Dic2025!$N$6:$N$205,C848))+(LN(INDEX(Dic2025!$N$6:$N$205,MIN(C848+1,200)))-LN(INDEX(Dic2025!$N$6:$N$205,C848)))*(A848-6*C848)/6))</f>
        <v>0.0119862263918202</v>
      </c>
      <c r="K848" s="12" t="n">
        <f aca="false">J848^(-1/B848)-1</f>
        <v>0.0649208024999999</v>
      </c>
      <c r="L848" s="12" t="n">
        <f aca="false">(1+K848)^(1/12)-1</f>
        <v>0.00525546447037772</v>
      </c>
    </row>
    <row r="849" customFormat="false" ht="15" hidden="false" customHeight="false" outlineLevel="0" collapsed="false">
      <c r="A849" s="4" t="n">
        <v>845</v>
      </c>
      <c r="B849" s="14" t="n">
        <f aca="false">A849/12</f>
        <v>70.4166666666667</v>
      </c>
      <c r="C849" s="15" t="n">
        <f aca="false">INT(A849/6)</f>
        <v>140</v>
      </c>
      <c r="D849" s="16" t="n">
        <f aca="false">IF(C849=0,(1+Dic2025!$G$6)^(-B849),EXP(LN(INDEX(Dic2025!$H$6:$H$205,C849))+(LN(INDEX(Dic2025!$H$6:$H$205,MIN(C849+1,200)))-LN(INDEX(Dic2025!$H$6:$H$205,C849)))*(A849-6*C849)/6))</f>
        <v>0.01192356253257</v>
      </c>
      <c r="E849" s="12" t="n">
        <f aca="false">D849^(-1/B849)-1</f>
        <v>0.0649208024999999</v>
      </c>
      <c r="F849" s="12" t="n">
        <f aca="false">(1+E849)^(1/12)-1</f>
        <v>0.00525546447037772</v>
      </c>
      <c r="G849" s="16" t="n">
        <f aca="false">IF(C849=0,(1+Dic2025!$J$6)^(-B849),EXP(LN(INDEX(Dic2025!$K$6:$K$205,C849))+(LN(INDEX(Dic2025!$K$6:$K$205,MIN(C849+1,200)))-LN(INDEX(Dic2025!$K$6:$K$205,C849)))*(A849-6*C849)/6))</f>
        <v>0.01192356253257</v>
      </c>
      <c r="H849" s="12" t="n">
        <f aca="false">G849^(-1/B849)-1</f>
        <v>0.0649208024999999</v>
      </c>
      <c r="I849" s="12" t="n">
        <f aca="false">(1+H849)^(1/12)-1</f>
        <v>0.00525546447037772</v>
      </c>
      <c r="J849" s="16" t="n">
        <f aca="false">IF(C849=0,(1+Dic2025!$M$6)^(-B849),EXP(LN(INDEX(Dic2025!$N$6:$N$205,C849))+(LN(INDEX(Dic2025!$N$6:$N$205,MIN(C849+1,200)))-LN(INDEX(Dic2025!$N$6:$N$205,C849)))*(A849-6*C849)/6))</f>
        <v>0.01192356253257</v>
      </c>
      <c r="K849" s="12" t="n">
        <f aca="false">J849^(-1/B849)-1</f>
        <v>0.0649208024999999</v>
      </c>
      <c r="L849" s="12" t="n">
        <f aca="false">(1+K849)^(1/12)-1</f>
        <v>0.00525546447037772</v>
      </c>
    </row>
    <row r="850" customFormat="false" ht="15" hidden="false" customHeight="false" outlineLevel="0" collapsed="false">
      <c r="A850" s="4" t="n">
        <v>846</v>
      </c>
      <c r="B850" s="14" t="n">
        <f aca="false">A850/12</f>
        <v>70.5</v>
      </c>
      <c r="C850" s="15" t="n">
        <f aca="false">INT(A850/6)</f>
        <v>141</v>
      </c>
      <c r="D850" s="16" t="n">
        <f aca="false">IF(C850=0,(1+Dic2025!$G$6)^(-B850),EXP(LN(INDEX(Dic2025!$H$6:$H$205,C850))+(LN(INDEX(Dic2025!$H$6:$H$205,MIN(C850+1,200)))-LN(INDEX(Dic2025!$H$6:$H$205,C850)))*(A850-6*C850)/6))</f>
        <v>0.0118612262792841</v>
      </c>
      <c r="E850" s="12" t="n">
        <f aca="false">D850^(-1/B850)-1</f>
        <v>0.0649208024999999</v>
      </c>
      <c r="F850" s="12" t="n">
        <f aca="false">(1+E850)^(1/12)-1</f>
        <v>0.00525546447037772</v>
      </c>
      <c r="G850" s="16" t="n">
        <f aca="false">IF(C850=0,(1+Dic2025!$J$6)^(-B850),EXP(LN(INDEX(Dic2025!$K$6:$K$205,C850))+(LN(INDEX(Dic2025!$K$6:$K$205,MIN(C850+1,200)))-LN(INDEX(Dic2025!$K$6:$K$205,C850)))*(A850-6*C850)/6))</f>
        <v>0.0118612262792841</v>
      </c>
      <c r="H850" s="12" t="n">
        <f aca="false">G850^(-1/B850)-1</f>
        <v>0.0649208024999999</v>
      </c>
      <c r="I850" s="12" t="n">
        <f aca="false">(1+H850)^(1/12)-1</f>
        <v>0.00525546447037772</v>
      </c>
      <c r="J850" s="16" t="n">
        <f aca="false">IF(C850=0,(1+Dic2025!$M$6)^(-B850),EXP(LN(INDEX(Dic2025!$N$6:$N$205,C850))+(LN(INDEX(Dic2025!$N$6:$N$205,MIN(C850+1,200)))-LN(INDEX(Dic2025!$N$6:$N$205,C850)))*(A850-6*C850)/6))</f>
        <v>0.0118612262792841</v>
      </c>
      <c r="K850" s="12" t="n">
        <f aca="false">J850^(-1/B850)-1</f>
        <v>0.0649208024999999</v>
      </c>
      <c r="L850" s="12" t="n">
        <f aca="false">(1+K850)^(1/12)-1</f>
        <v>0.00525546447037772</v>
      </c>
    </row>
    <row r="851" customFormat="false" ht="15" hidden="false" customHeight="false" outlineLevel="0" collapsed="false">
      <c r="A851" s="4" t="n">
        <v>847</v>
      </c>
      <c r="B851" s="14" t="n">
        <f aca="false">A851/12</f>
        <v>70.5833333333333</v>
      </c>
      <c r="C851" s="15" t="n">
        <f aca="false">INT(A851/6)</f>
        <v>141</v>
      </c>
      <c r="D851" s="16" t="n">
        <f aca="false">IF(C851=0,(1+Dic2025!$G$6)^(-B851),EXP(LN(INDEX(Dic2025!$H$6:$H$205,C851))+(LN(INDEX(Dic2025!$H$6:$H$205,MIN(C851+1,200)))-LN(INDEX(Dic2025!$H$6:$H$205,C851)))*(A851-6*C851)/6))</f>
        <v>0.0117992159192422</v>
      </c>
      <c r="E851" s="12" t="n">
        <f aca="false">D851^(-1/B851)-1</f>
        <v>0.0649208024999999</v>
      </c>
      <c r="F851" s="12" t="n">
        <f aca="false">(1+E851)^(1/12)-1</f>
        <v>0.00525546447037772</v>
      </c>
      <c r="G851" s="16" t="n">
        <f aca="false">IF(C851=0,(1+Dic2025!$J$6)^(-B851),EXP(LN(INDEX(Dic2025!$K$6:$K$205,C851))+(LN(INDEX(Dic2025!$K$6:$K$205,MIN(C851+1,200)))-LN(INDEX(Dic2025!$K$6:$K$205,C851)))*(A851-6*C851)/6))</f>
        <v>0.0117992159192422</v>
      </c>
      <c r="H851" s="12" t="n">
        <f aca="false">G851^(-1/B851)-1</f>
        <v>0.0649208024999999</v>
      </c>
      <c r="I851" s="12" t="n">
        <f aca="false">(1+H851)^(1/12)-1</f>
        <v>0.00525546447037772</v>
      </c>
      <c r="J851" s="16" t="n">
        <f aca="false">IF(C851=0,(1+Dic2025!$M$6)^(-B851),EXP(LN(INDEX(Dic2025!$N$6:$N$205,C851))+(LN(INDEX(Dic2025!$N$6:$N$205,MIN(C851+1,200)))-LN(INDEX(Dic2025!$N$6:$N$205,C851)))*(A851-6*C851)/6))</f>
        <v>0.0117992159192422</v>
      </c>
      <c r="K851" s="12" t="n">
        <f aca="false">J851^(-1/B851)-1</f>
        <v>0.0649208024999999</v>
      </c>
      <c r="L851" s="12" t="n">
        <f aca="false">(1+K851)^(1/12)-1</f>
        <v>0.00525546447037772</v>
      </c>
    </row>
    <row r="852" customFormat="false" ht="15" hidden="false" customHeight="false" outlineLevel="0" collapsed="false">
      <c r="A852" s="4" t="n">
        <v>848</v>
      </c>
      <c r="B852" s="14" t="n">
        <f aca="false">A852/12</f>
        <v>70.6666666666667</v>
      </c>
      <c r="C852" s="15" t="n">
        <f aca="false">INT(A852/6)</f>
        <v>141</v>
      </c>
      <c r="D852" s="16" t="n">
        <f aca="false">IF(C852=0,(1+Dic2025!$G$6)^(-B852),EXP(LN(INDEX(Dic2025!$H$6:$H$205,C852))+(LN(INDEX(Dic2025!$H$6:$H$205,MIN(C852+1,200)))-LN(INDEX(Dic2025!$H$6:$H$205,C852)))*(A852-6*C852)/6))</f>
        <v>0.011737529748678</v>
      </c>
      <c r="E852" s="12" t="n">
        <f aca="false">D852^(-1/B852)-1</f>
        <v>0.0649208024999999</v>
      </c>
      <c r="F852" s="12" t="n">
        <f aca="false">(1+E852)^(1/12)-1</f>
        <v>0.00525546447037772</v>
      </c>
      <c r="G852" s="16" t="n">
        <f aca="false">IF(C852=0,(1+Dic2025!$J$6)^(-B852),EXP(LN(INDEX(Dic2025!$K$6:$K$205,C852))+(LN(INDEX(Dic2025!$K$6:$K$205,MIN(C852+1,200)))-LN(INDEX(Dic2025!$K$6:$K$205,C852)))*(A852-6*C852)/6))</f>
        <v>0.011737529748678</v>
      </c>
      <c r="H852" s="12" t="n">
        <f aca="false">G852^(-1/B852)-1</f>
        <v>0.0649208024999999</v>
      </c>
      <c r="I852" s="12" t="n">
        <f aca="false">(1+H852)^(1/12)-1</f>
        <v>0.00525546447037772</v>
      </c>
      <c r="J852" s="16" t="n">
        <f aca="false">IF(C852=0,(1+Dic2025!$M$6)^(-B852),EXP(LN(INDEX(Dic2025!$N$6:$N$205,C852))+(LN(INDEX(Dic2025!$N$6:$N$205,MIN(C852+1,200)))-LN(INDEX(Dic2025!$N$6:$N$205,C852)))*(A852-6*C852)/6))</f>
        <v>0.011737529748678</v>
      </c>
      <c r="K852" s="12" t="n">
        <f aca="false">J852^(-1/B852)-1</f>
        <v>0.0649208024999999</v>
      </c>
      <c r="L852" s="12" t="n">
        <f aca="false">(1+K852)^(1/12)-1</f>
        <v>0.00525546447037772</v>
      </c>
    </row>
    <row r="853" customFormat="false" ht="15" hidden="false" customHeight="false" outlineLevel="0" collapsed="false">
      <c r="A853" s="4" t="n">
        <v>849</v>
      </c>
      <c r="B853" s="14" t="n">
        <f aca="false">A853/12</f>
        <v>70.75</v>
      </c>
      <c r="C853" s="15" t="n">
        <f aca="false">INT(A853/6)</f>
        <v>141</v>
      </c>
      <c r="D853" s="16" t="n">
        <f aca="false">IF(C853=0,(1+Dic2025!$G$6)^(-B853),EXP(LN(INDEX(Dic2025!$H$6:$H$205,C853))+(LN(INDEX(Dic2025!$H$6:$H$205,MIN(C853+1,200)))-LN(INDEX(Dic2025!$H$6:$H$205,C853)))*(A853-6*C853)/6))</f>
        <v>0.0116761660727326</v>
      </c>
      <c r="E853" s="12" t="n">
        <f aca="false">D853^(-1/B853)-1</f>
        <v>0.0649208024999999</v>
      </c>
      <c r="F853" s="12" t="n">
        <f aca="false">(1+E853)^(1/12)-1</f>
        <v>0.00525546447037772</v>
      </c>
      <c r="G853" s="16" t="n">
        <f aca="false">IF(C853=0,(1+Dic2025!$J$6)^(-B853),EXP(LN(INDEX(Dic2025!$K$6:$K$205,C853))+(LN(INDEX(Dic2025!$K$6:$K$205,MIN(C853+1,200)))-LN(INDEX(Dic2025!$K$6:$K$205,C853)))*(A853-6*C853)/6))</f>
        <v>0.0116761660727326</v>
      </c>
      <c r="H853" s="12" t="n">
        <f aca="false">G853^(-1/B853)-1</f>
        <v>0.0649208024999999</v>
      </c>
      <c r="I853" s="12" t="n">
        <f aca="false">(1+H853)^(1/12)-1</f>
        <v>0.00525546447037772</v>
      </c>
      <c r="J853" s="16" t="n">
        <f aca="false">IF(C853=0,(1+Dic2025!$M$6)^(-B853),EXP(LN(INDEX(Dic2025!$N$6:$N$205,C853))+(LN(INDEX(Dic2025!$N$6:$N$205,MIN(C853+1,200)))-LN(INDEX(Dic2025!$N$6:$N$205,C853)))*(A853-6*C853)/6))</f>
        <v>0.0116761660727326</v>
      </c>
      <c r="K853" s="12" t="n">
        <f aca="false">J853^(-1/B853)-1</f>
        <v>0.0649208024999999</v>
      </c>
      <c r="L853" s="12" t="n">
        <f aca="false">(1+K853)^(1/12)-1</f>
        <v>0.00525546447037772</v>
      </c>
    </row>
    <row r="854" customFormat="false" ht="15" hidden="false" customHeight="false" outlineLevel="0" collapsed="false">
      <c r="A854" s="4" t="n">
        <v>850</v>
      </c>
      <c r="B854" s="14" t="n">
        <f aca="false">A854/12</f>
        <v>70.8333333333333</v>
      </c>
      <c r="C854" s="15" t="n">
        <f aca="false">INT(A854/6)</f>
        <v>141</v>
      </c>
      <c r="D854" s="16" t="n">
        <f aca="false">IF(C854=0,(1+Dic2025!$G$6)^(-B854),EXP(LN(INDEX(Dic2025!$H$6:$H$205,C854))+(LN(INDEX(Dic2025!$H$6:$H$205,MIN(C854+1,200)))-LN(INDEX(Dic2025!$H$6:$H$205,C854)))*(A854-6*C854)/6))</f>
        <v>0.0116151232054075</v>
      </c>
      <c r="E854" s="12" t="n">
        <f aca="false">D854^(-1/B854)-1</f>
        <v>0.0649208024999999</v>
      </c>
      <c r="F854" s="12" t="n">
        <f aca="false">(1+E854)^(1/12)-1</f>
        <v>0.00525546447037772</v>
      </c>
      <c r="G854" s="16" t="n">
        <f aca="false">IF(C854=0,(1+Dic2025!$J$6)^(-B854),EXP(LN(INDEX(Dic2025!$K$6:$K$205,C854))+(LN(INDEX(Dic2025!$K$6:$K$205,MIN(C854+1,200)))-LN(INDEX(Dic2025!$K$6:$K$205,C854)))*(A854-6*C854)/6))</f>
        <v>0.0116151232054075</v>
      </c>
      <c r="H854" s="12" t="n">
        <f aca="false">G854^(-1/B854)-1</f>
        <v>0.0649208024999999</v>
      </c>
      <c r="I854" s="12" t="n">
        <f aca="false">(1+H854)^(1/12)-1</f>
        <v>0.00525546447037772</v>
      </c>
      <c r="J854" s="16" t="n">
        <f aca="false">IF(C854=0,(1+Dic2025!$M$6)^(-B854),EXP(LN(INDEX(Dic2025!$N$6:$N$205,C854))+(LN(INDEX(Dic2025!$N$6:$N$205,MIN(C854+1,200)))-LN(INDEX(Dic2025!$N$6:$N$205,C854)))*(A854-6*C854)/6))</f>
        <v>0.0116151232054075</v>
      </c>
      <c r="K854" s="12" t="n">
        <f aca="false">J854^(-1/B854)-1</f>
        <v>0.0649208024999999</v>
      </c>
      <c r="L854" s="12" t="n">
        <f aca="false">(1+K854)^(1/12)-1</f>
        <v>0.00525546447037772</v>
      </c>
    </row>
    <row r="855" customFormat="false" ht="15" hidden="false" customHeight="false" outlineLevel="0" collapsed="false">
      <c r="A855" s="4" t="n">
        <v>851</v>
      </c>
      <c r="B855" s="14" t="n">
        <f aca="false">A855/12</f>
        <v>70.9166666666667</v>
      </c>
      <c r="C855" s="15" t="n">
        <f aca="false">INT(A855/6)</f>
        <v>141</v>
      </c>
      <c r="D855" s="16" t="n">
        <f aca="false">IF(C855=0,(1+Dic2025!$G$6)^(-B855),EXP(LN(INDEX(Dic2025!$H$6:$H$205,C855))+(LN(INDEX(Dic2025!$H$6:$H$205,MIN(C855+1,200)))-LN(INDEX(Dic2025!$H$6:$H$205,C855)))*(A855-6*C855)/6))</f>
        <v>0.0115543994695189</v>
      </c>
      <c r="E855" s="12" t="n">
        <f aca="false">D855^(-1/B855)-1</f>
        <v>0.0649208024999999</v>
      </c>
      <c r="F855" s="12" t="n">
        <f aca="false">(1+E855)^(1/12)-1</f>
        <v>0.00525546447037772</v>
      </c>
      <c r="G855" s="16" t="n">
        <f aca="false">IF(C855=0,(1+Dic2025!$J$6)^(-B855),EXP(LN(INDEX(Dic2025!$K$6:$K$205,C855))+(LN(INDEX(Dic2025!$K$6:$K$205,MIN(C855+1,200)))-LN(INDEX(Dic2025!$K$6:$K$205,C855)))*(A855-6*C855)/6))</f>
        <v>0.0115543994695189</v>
      </c>
      <c r="H855" s="12" t="n">
        <f aca="false">G855^(-1/B855)-1</f>
        <v>0.0649208024999999</v>
      </c>
      <c r="I855" s="12" t="n">
        <f aca="false">(1+H855)^(1/12)-1</f>
        <v>0.00525546447037772</v>
      </c>
      <c r="J855" s="16" t="n">
        <f aca="false">IF(C855=0,(1+Dic2025!$M$6)^(-B855),EXP(LN(INDEX(Dic2025!$N$6:$N$205,C855))+(LN(INDEX(Dic2025!$N$6:$N$205,MIN(C855+1,200)))-LN(INDEX(Dic2025!$N$6:$N$205,C855)))*(A855-6*C855)/6))</f>
        <v>0.0115543994695189</v>
      </c>
      <c r="K855" s="12" t="n">
        <f aca="false">J855^(-1/B855)-1</f>
        <v>0.0649208024999999</v>
      </c>
      <c r="L855" s="12" t="n">
        <f aca="false">(1+K855)^(1/12)-1</f>
        <v>0.00525546447037772</v>
      </c>
    </row>
    <row r="856" customFormat="false" ht="15" hidden="false" customHeight="false" outlineLevel="0" collapsed="false">
      <c r="A856" s="4" t="n">
        <v>852</v>
      </c>
      <c r="B856" s="14" t="n">
        <f aca="false">A856/12</f>
        <v>71</v>
      </c>
      <c r="C856" s="15" t="n">
        <f aca="false">INT(A856/6)</f>
        <v>142</v>
      </c>
      <c r="D856" s="16" t="n">
        <f aca="false">IF(C856=0,(1+Dic2025!$G$6)^(-B856),EXP(LN(INDEX(Dic2025!$H$6:$H$205,C856))+(LN(INDEX(Dic2025!$H$6:$H$205,MIN(C856+1,200)))-LN(INDEX(Dic2025!$H$6:$H$205,C856)))*(A856-6*C856)/6))</f>
        <v>0.0114939931966511</v>
      </c>
      <c r="E856" s="12" t="n">
        <f aca="false">D856^(-1/B856)-1</f>
        <v>0.0649208024999999</v>
      </c>
      <c r="F856" s="12" t="n">
        <f aca="false">(1+E856)^(1/12)-1</f>
        <v>0.00525546447037772</v>
      </c>
      <c r="G856" s="16" t="n">
        <f aca="false">IF(C856=0,(1+Dic2025!$J$6)^(-B856),EXP(LN(INDEX(Dic2025!$K$6:$K$205,C856))+(LN(INDEX(Dic2025!$K$6:$K$205,MIN(C856+1,200)))-LN(INDEX(Dic2025!$K$6:$K$205,C856)))*(A856-6*C856)/6))</f>
        <v>0.0114939931966511</v>
      </c>
      <c r="H856" s="12" t="n">
        <f aca="false">G856^(-1/B856)-1</f>
        <v>0.0649208024999999</v>
      </c>
      <c r="I856" s="12" t="n">
        <f aca="false">(1+H856)^(1/12)-1</f>
        <v>0.00525546447037772</v>
      </c>
      <c r="J856" s="16" t="n">
        <f aca="false">IF(C856=0,(1+Dic2025!$M$6)^(-B856),EXP(LN(INDEX(Dic2025!$N$6:$N$205,C856))+(LN(INDEX(Dic2025!$N$6:$N$205,MIN(C856+1,200)))-LN(INDEX(Dic2025!$N$6:$N$205,C856)))*(A856-6*C856)/6))</f>
        <v>0.0114939931966511</v>
      </c>
      <c r="K856" s="12" t="n">
        <f aca="false">J856^(-1/B856)-1</f>
        <v>0.0649208024999999</v>
      </c>
      <c r="L856" s="12" t="n">
        <f aca="false">(1+K856)^(1/12)-1</f>
        <v>0.00525546447037772</v>
      </c>
    </row>
    <row r="857" customFormat="false" ht="15" hidden="false" customHeight="false" outlineLevel="0" collapsed="false">
      <c r="A857" s="4" t="n">
        <v>853</v>
      </c>
      <c r="B857" s="14" t="n">
        <f aca="false">A857/12</f>
        <v>71.0833333333333</v>
      </c>
      <c r="C857" s="15" t="n">
        <f aca="false">INT(A857/6)</f>
        <v>142</v>
      </c>
      <c r="D857" s="16" t="n">
        <f aca="false">IF(C857=0,(1+Dic2025!$G$6)^(-B857),EXP(LN(INDEX(Dic2025!$H$6:$H$205,C857))+(LN(INDEX(Dic2025!$H$6:$H$205,MIN(C857+1,200)))-LN(INDEX(Dic2025!$H$6:$H$205,C857)))*(A857-6*C857)/6))</f>
        <v>0.011433902727111</v>
      </c>
      <c r="E857" s="12" t="n">
        <f aca="false">D857^(-1/B857)-1</f>
        <v>0.0649208024999999</v>
      </c>
      <c r="F857" s="12" t="n">
        <f aca="false">(1+E857)^(1/12)-1</f>
        <v>0.00525546447037772</v>
      </c>
      <c r="G857" s="16" t="n">
        <f aca="false">IF(C857=0,(1+Dic2025!$J$6)^(-B857),EXP(LN(INDEX(Dic2025!$K$6:$K$205,C857))+(LN(INDEX(Dic2025!$K$6:$K$205,MIN(C857+1,200)))-LN(INDEX(Dic2025!$K$6:$K$205,C857)))*(A857-6*C857)/6))</f>
        <v>0.011433902727111</v>
      </c>
      <c r="H857" s="12" t="n">
        <f aca="false">G857^(-1/B857)-1</f>
        <v>0.0649208024999999</v>
      </c>
      <c r="I857" s="12" t="n">
        <f aca="false">(1+H857)^(1/12)-1</f>
        <v>0.00525546447037772</v>
      </c>
      <c r="J857" s="16" t="n">
        <f aca="false">IF(C857=0,(1+Dic2025!$M$6)^(-B857),EXP(LN(INDEX(Dic2025!$N$6:$N$205,C857))+(LN(INDEX(Dic2025!$N$6:$N$205,MIN(C857+1,200)))-LN(INDEX(Dic2025!$N$6:$N$205,C857)))*(A857-6*C857)/6))</f>
        <v>0.011433902727111</v>
      </c>
      <c r="K857" s="12" t="n">
        <f aca="false">J857^(-1/B857)-1</f>
        <v>0.0649208024999999</v>
      </c>
      <c r="L857" s="12" t="n">
        <f aca="false">(1+K857)^(1/12)-1</f>
        <v>0.00525546447037772</v>
      </c>
    </row>
    <row r="858" customFormat="false" ht="15" hidden="false" customHeight="false" outlineLevel="0" collapsed="false">
      <c r="A858" s="4" t="n">
        <v>854</v>
      </c>
      <c r="B858" s="14" t="n">
        <f aca="false">A858/12</f>
        <v>71.1666666666667</v>
      </c>
      <c r="C858" s="15" t="n">
        <f aca="false">INT(A858/6)</f>
        <v>142</v>
      </c>
      <c r="D858" s="16" t="n">
        <f aca="false">IF(C858=0,(1+Dic2025!$G$6)^(-B858),EXP(LN(INDEX(Dic2025!$H$6:$H$205,C858))+(LN(INDEX(Dic2025!$H$6:$H$205,MIN(C858+1,200)))-LN(INDEX(Dic2025!$H$6:$H$205,C858)))*(A858-6*C858)/6))</f>
        <v>0.0113741264098823</v>
      </c>
      <c r="E858" s="12" t="n">
        <f aca="false">D858^(-1/B858)-1</f>
        <v>0.0649208024999999</v>
      </c>
      <c r="F858" s="12" t="n">
        <f aca="false">(1+E858)^(1/12)-1</f>
        <v>0.00525546447037772</v>
      </c>
      <c r="G858" s="16" t="n">
        <f aca="false">IF(C858=0,(1+Dic2025!$J$6)^(-B858),EXP(LN(INDEX(Dic2025!$K$6:$K$205,C858))+(LN(INDEX(Dic2025!$K$6:$K$205,MIN(C858+1,200)))-LN(INDEX(Dic2025!$K$6:$K$205,C858)))*(A858-6*C858)/6))</f>
        <v>0.0113741264098823</v>
      </c>
      <c r="H858" s="12" t="n">
        <f aca="false">G858^(-1/B858)-1</f>
        <v>0.0649208024999999</v>
      </c>
      <c r="I858" s="12" t="n">
        <f aca="false">(1+H858)^(1/12)-1</f>
        <v>0.00525546447037772</v>
      </c>
      <c r="J858" s="16" t="n">
        <f aca="false">IF(C858=0,(1+Dic2025!$M$6)^(-B858),EXP(LN(INDEX(Dic2025!$N$6:$N$205,C858))+(LN(INDEX(Dic2025!$N$6:$N$205,MIN(C858+1,200)))-LN(INDEX(Dic2025!$N$6:$N$205,C858)))*(A858-6*C858)/6))</f>
        <v>0.0113741264098823</v>
      </c>
      <c r="K858" s="12" t="n">
        <f aca="false">J858^(-1/B858)-1</f>
        <v>0.0649208024999999</v>
      </c>
      <c r="L858" s="12" t="n">
        <f aca="false">(1+K858)^(1/12)-1</f>
        <v>0.00525546447037772</v>
      </c>
    </row>
    <row r="859" customFormat="false" ht="15" hidden="false" customHeight="false" outlineLevel="0" collapsed="false">
      <c r="A859" s="4" t="n">
        <v>855</v>
      </c>
      <c r="B859" s="14" t="n">
        <f aca="false">A859/12</f>
        <v>71.25</v>
      </c>
      <c r="C859" s="15" t="n">
        <f aca="false">INT(A859/6)</f>
        <v>142</v>
      </c>
      <c r="D859" s="16" t="n">
        <f aca="false">IF(C859=0,(1+Dic2025!$G$6)^(-B859),EXP(LN(INDEX(Dic2025!$H$6:$H$205,C859))+(LN(INDEX(Dic2025!$H$6:$H$205,MIN(C859+1,200)))-LN(INDEX(Dic2025!$H$6:$H$205,C859)))*(A859-6*C859)/6))</f>
        <v>0.0113146626025801</v>
      </c>
      <c r="E859" s="12" t="n">
        <f aca="false">D859^(-1/B859)-1</f>
        <v>0.0649208024999999</v>
      </c>
      <c r="F859" s="12" t="n">
        <f aca="false">(1+E859)^(1/12)-1</f>
        <v>0.00525546447037772</v>
      </c>
      <c r="G859" s="16" t="n">
        <f aca="false">IF(C859=0,(1+Dic2025!$J$6)^(-B859),EXP(LN(INDEX(Dic2025!$K$6:$K$205,C859))+(LN(INDEX(Dic2025!$K$6:$K$205,MIN(C859+1,200)))-LN(INDEX(Dic2025!$K$6:$K$205,C859)))*(A859-6*C859)/6))</f>
        <v>0.0113146626025801</v>
      </c>
      <c r="H859" s="12" t="n">
        <f aca="false">G859^(-1/B859)-1</f>
        <v>0.0649208024999999</v>
      </c>
      <c r="I859" s="12" t="n">
        <f aca="false">(1+H859)^(1/12)-1</f>
        <v>0.00525546447037772</v>
      </c>
      <c r="J859" s="16" t="n">
        <f aca="false">IF(C859=0,(1+Dic2025!$M$6)^(-B859),EXP(LN(INDEX(Dic2025!$N$6:$N$205,C859))+(LN(INDEX(Dic2025!$N$6:$N$205,MIN(C859+1,200)))-LN(INDEX(Dic2025!$N$6:$N$205,C859)))*(A859-6*C859)/6))</f>
        <v>0.0113146626025801</v>
      </c>
      <c r="K859" s="12" t="n">
        <f aca="false">J859^(-1/B859)-1</f>
        <v>0.0649208024999999</v>
      </c>
      <c r="L859" s="12" t="n">
        <f aca="false">(1+K859)^(1/12)-1</f>
        <v>0.00525546447037772</v>
      </c>
    </row>
    <row r="860" customFormat="false" ht="15" hidden="false" customHeight="false" outlineLevel="0" collapsed="false">
      <c r="A860" s="4" t="n">
        <v>856</v>
      </c>
      <c r="B860" s="14" t="n">
        <f aca="false">A860/12</f>
        <v>71.3333333333333</v>
      </c>
      <c r="C860" s="15" t="n">
        <f aca="false">INT(A860/6)</f>
        <v>142</v>
      </c>
      <c r="D860" s="16" t="n">
        <f aca="false">IF(C860=0,(1+Dic2025!$G$6)^(-B860),EXP(LN(INDEX(Dic2025!$H$6:$H$205,C860))+(LN(INDEX(Dic2025!$H$6:$H$205,MIN(C860+1,200)))-LN(INDEX(Dic2025!$H$6:$H$205,C860)))*(A860-6*C860)/6))</f>
        <v>0.0112555096714061</v>
      </c>
      <c r="E860" s="12" t="n">
        <f aca="false">D860^(-1/B860)-1</f>
        <v>0.0649208024999999</v>
      </c>
      <c r="F860" s="12" t="n">
        <f aca="false">(1+E860)^(1/12)-1</f>
        <v>0.00525546447037772</v>
      </c>
      <c r="G860" s="16" t="n">
        <f aca="false">IF(C860=0,(1+Dic2025!$J$6)^(-B860),EXP(LN(INDEX(Dic2025!$K$6:$K$205,C860))+(LN(INDEX(Dic2025!$K$6:$K$205,MIN(C860+1,200)))-LN(INDEX(Dic2025!$K$6:$K$205,C860)))*(A860-6*C860)/6))</f>
        <v>0.0112555096714061</v>
      </c>
      <c r="H860" s="12" t="n">
        <f aca="false">G860^(-1/B860)-1</f>
        <v>0.0649208024999999</v>
      </c>
      <c r="I860" s="12" t="n">
        <f aca="false">(1+H860)^(1/12)-1</f>
        <v>0.00525546447037772</v>
      </c>
      <c r="J860" s="16" t="n">
        <f aca="false">IF(C860=0,(1+Dic2025!$M$6)^(-B860),EXP(LN(INDEX(Dic2025!$N$6:$N$205,C860))+(LN(INDEX(Dic2025!$N$6:$N$205,MIN(C860+1,200)))-LN(INDEX(Dic2025!$N$6:$N$205,C860)))*(A860-6*C860)/6))</f>
        <v>0.0112555096714061</v>
      </c>
      <c r="K860" s="12" t="n">
        <f aca="false">J860^(-1/B860)-1</f>
        <v>0.0649208024999999</v>
      </c>
      <c r="L860" s="12" t="n">
        <f aca="false">(1+K860)^(1/12)-1</f>
        <v>0.00525546447037772</v>
      </c>
    </row>
    <row r="861" customFormat="false" ht="15" hidden="false" customHeight="false" outlineLevel="0" collapsed="false">
      <c r="A861" s="4" t="n">
        <v>857</v>
      </c>
      <c r="B861" s="14" t="n">
        <f aca="false">A861/12</f>
        <v>71.4166666666667</v>
      </c>
      <c r="C861" s="15" t="n">
        <f aca="false">INT(A861/6)</f>
        <v>142</v>
      </c>
      <c r="D861" s="16" t="n">
        <f aca="false">IF(C861=0,(1+Dic2025!$G$6)^(-B861),EXP(LN(INDEX(Dic2025!$H$6:$H$205,C861))+(LN(INDEX(Dic2025!$H$6:$H$205,MIN(C861+1,200)))-LN(INDEX(Dic2025!$H$6:$H$205,C861)))*(A861-6*C861)/6))</f>
        <v>0.0111966659911031</v>
      </c>
      <c r="E861" s="12" t="n">
        <f aca="false">D861^(-1/B861)-1</f>
        <v>0.0649208024999999</v>
      </c>
      <c r="F861" s="12" t="n">
        <f aca="false">(1+E861)^(1/12)-1</f>
        <v>0.00525546447037772</v>
      </c>
      <c r="G861" s="16" t="n">
        <f aca="false">IF(C861=0,(1+Dic2025!$J$6)^(-B861),EXP(LN(INDEX(Dic2025!$K$6:$K$205,C861))+(LN(INDEX(Dic2025!$K$6:$K$205,MIN(C861+1,200)))-LN(INDEX(Dic2025!$K$6:$K$205,C861)))*(A861-6*C861)/6))</f>
        <v>0.0111966659911031</v>
      </c>
      <c r="H861" s="12" t="n">
        <f aca="false">G861^(-1/B861)-1</f>
        <v>0.0649208024999999</v>
      </c>
      <c r="I861" s="12" t="n">
        <f aca="false">(1+H861)^(1/12)-1</f>
        <v>0.00525546447037772</v>
      </c>
      <c r="J861" s="16" t="n">
        <f aca="false">IF(C861=0,(1+Dic2025!$M$6)^(-B861),EXP(LN(INDEX(Dic2025!$N$6:$N$205,C861))+(LN(INDEX(Dic2025!$N$6:$N$205,MIN(C861+1,200)))-LN(INDEX(Dic2025!$N$6:$N$205,C861)))*(A861-6*C861)/6))</f>
        <v>0.0111966659911031</v>
      </c>
      <c r="K861" s="12" t="n">
        <f aca="false">J861^(-1/B861)-1</f>
        <v>0.0649208024999999</v>
      </c>
      <c r="L861" s="12" t="n">
        <f aca="false">(1+K861)^(1/12)-1</f>
        <v>0.00525546447037772</v>
      </c>
    </row>
    <row r="862" customFormat="false" ht="15" hidden="false" customHeight="false" outlineLevel="0" collapsed="false">
      <c r="A862" s="4" t="n">
        <v>858</v>
      </c>
      <c r="B862" s="14" t="n">
        <f aca="false">A862/12</f>
        <v>71.5</v>
      </c>
      <c r="C862" s="15" t="n">
        <f aca="false">INT(A862/6)</f>
        <v>143</v>
      </c>
      <c r="D862" s="16" t="n">
        <f aca="false">IF(C862=0,(1+Dic2025!$G$6)^(-B862),EXP(LN(INDEX(Dic2025!$H$6:$H$205,C862))+(LN(INDEX(Dic2025!$H$6:$H$205,MIN(C862+1,200)))-LN(INDEX(Dic2025!$H$6:$H$205,C862)))*(A862-6*C862)/6))</f>
        <v>0.0111381299449112</v>
      </c>
      <c r="E862" s="12" t="n">
        <f aca="false">D862^(-1/B862)-1</f>
        <v>0.0649208024999999</v>
      </c>
      <c r="F862" s="12" t="n">
        <f aca="false">(1+E862)^(1/12)-1</f>
        <v>0.00525546447037772</v>
      </c>
      <c r="G862" s="16" t="n">
        <f aca="false">IF(C862=0,(1+Dic2025!$J$6)^(-B862),EXP(LN(INDEX(Dic2025!$K$6:$K$205,C862))+(LN(INDEX(Dic2025!$K$6:$K$205,MIN(C862+1,200)))-LN(INDEX(Dic2025!$K$6:$K$205,C862)))*(A862-6*C862)/6))</f>
        <v>0.0111381299449112</v>
      </c>
      <c r="H862" s="12" t="n">
        <f aca="false">G862^(-1/B862)-1</f>
        <v>0.0649208024999999</v>
      </c>
      <c r="I862" s="12" t="n">
        <f aca="false">(1+H862)^(1/12)-1</f>
        <v>0.00525546447037772</v>
      </c>
      <c r="J862" s="16" t="n">
        <f aca="false">IF(C862=0,(1+Dic2025!$M$6)^(-B862),EXP(LN(INDEX(Dic2025!$N$6:$N$205,C862))+(LN(INDEX(Dic2025!$N$6:$N$205,MIN(C862+1,200)))-LN(INDEX(Dic2025!$N$6:$N$205,C862)))*(A862-6*C862)/6))</f>
        <v>0.0111381299449112</v>
      </c>
      <c r="K862" s="12" t="n">
        <f aca="false">J862^(-1/B862)-1</f>
        <v>0.0649208024999999</v>
      </c>
      <c r="L862" s="12" t="n">
        <f aca="false">(1+K862)^(1/12)-1</f>
        <v>0.00525546447037772</v>
      </c>
    </row>
    <row r="863" customFormat="false" ht="15" hidden="false" customHeight="false" outlineLevel="0" collapsed="false">
      <c r="A863" s="4" t="n">
        <v>859</v>
      </c>
      <c r="B863" s="14" t="n">
        <f aca="false">A863/12</f>
        <v>71.5833333333333</v>
      </c>
      <c r="C863" s="15" t="n">
        <f aca="false">INT(A863/6)</f>
        <v>143</v>
      </c>
      <c r="D863" s="16" t="n">
        <f aca="false">IF(C863=0,(1+Dic2025!$G$6)^(-B863),EXP(LN(INDEX(Dic2025!$H$6:$H$205,C863))+(LN(INDEX(Dic2025!$H$6:$H$205,MIN(C863+1,200)))-LN(INDEX(Dic2025!$H$6:$H$205,C863)))*(A863-6*C863)/6))</f>
        <v>0.0110798999245225</v>
      </c>
      <c r="E863" s="12" t="n">
        <f aca="false">D863^(-1/B863)-1</f>
        <v>0.0649208024999999</v>
      </c>
      <c r="F863" s="12" t="n">
        <f aca="false">(1+E863)^(1/12)-1</f>
        <v>0.00525546447037772</v>
      </c>
      <c r="G863" s="16" t="n">
        <f aca="false">IF(C863=0,(1+Dic2025!$J$6)^(-B863),EXP(LN(INDEX(Dic2025!$K$6:$K$205,C863))+(LN(INDEX(Dic2025!$K$6:$K$205,MIN(C863+1,200)))-LN(INDEX(Dic2025!$K$6:$K$205,C863)))*(A863-6*C863)/6))</f>
        <v>0.0110798999245225</v>
      </c>
      <c r="H863" s="12" t="n">
        <f aca="false">G863^(-1/B863)-1</f>
        <v>0.0649208024999999</v>
      </c>
      <c r="I863" s="12" t="n">
        <f aca="false">(1+H863)^(1/12)-1</f>
        <v>0.00525546447037772</v>
      </c>
      <c r="J863" s="16" t="n">
        <f aca="false">IF(C863=0,(1+Dic2025!$M$6)^(-B863),EXP(LN(INDEX(Dic2025!$N$6:$N$205,C863))+(LN(INDEX(Dic2025!$N$6:$N$205,MIN(C863+1,200)))-LN(INDEX(Dic2025!$N$6:$N$205,C863)))*(A863-6*C863)/6))</f>
        <v>0.0110798999245225</v>
      </c>
      <c r="K863" s="12" t="n">
        <f aca="false">J863^(-1/B863)-1</f>
        <v>0.0649208024999999</v>
      </c>
      <c r="L863" s="12" t="n">
        <f aca="false">(1+K863)^(1/12)-1</f>
        <v>0.00525546447037772</v>
      </c>
    </row>
    <row r="864" customFormat="false" ht="15" hidden="false" customHeight="false" outlineLevel="0" collapsed="false">
      <c r="A864" s="4" t="n">
        <v>860</v>
      </c>
      <c r="B864" s="14" t="n">
        <f aca="false">A864/12</f>
        <v>71.6666666666667</v>
      </c>
      <c r="C864" s="15" t="n">
        <f aca="false">INT(A864/6)</f>
        <v>143</v>
      </c>
      <c r="D864" s="16" t="n">
        <f aca="false">IF(C864=0,(1+Dic2025!$G$6)^(-B864),EXP(LN(INDEX(Dic2025!$H$6:$H$205,C864))+(LN(INDEX(Dic2025!$H$6:$H$205,MIN(C864+1,200)))-LN(INDEX(Dic2025!$H$6:$H$205,C864)))*(A864-6*C864)/6))</f>
        <v>0.0110219743300376</v>
      </c>
      <c r="E864" s="12" t="n">
        <f aca="false">D864^(-1/B864)-1</f>
        <v>0.0649208024999999</v>
      </c>
      <c r="F864" s="12" t="n">
        <f aca="false">(1+E864)^(1/12)-1</f>
        <v>0.00525546447037772</v>
      </c>
      <c r="G864" s="16" t="n">
        <f aca="false">IF(C864=0,(1+Dic2025!$J$6)^(-B864),EXP(LN(INDEX(Dic2025!$K$6:$K$205,C864))+(LN(INDEX(Dic2025!$K$6:$K$205,MIN(C864+1,200)))-LN(INDEX(Dic2025!$K$6:$K$205,C864)))*(A864-6*C864)/6))</f>
        <v>0.0110219743300376</v>
      </c>
      <c r="H864" s="12" t="n">
        <f aca="false">G864^(-1/B864)-1</f>
        <v>0.0649208024999999</v>
      </c>
      <c r="I864" s="12" t="n">
        <f aca="false">(1+H864)^(1/12)-1</f>
        <v>0.00525546447037772</v>
      </c>
      <c r="J864" s="16" t="n">
        <f aca="false">IF(C864=0,(1+Dic2025!$M$6)^(-B864),EXP(LN(INDEX(Dic2025!$N$6:$N$205,C864))+(LN(INDEX(Dic2025!$N$6:$N$205,MIN(C864+1,200)))-LN(INDEX(Dic2025!$N$6:$N$205,C864)))*(A864-6*C864)/6))</f>
        <v>0.0110219743300376</v>
      </c>
      <c r="K864" s="12" t="n">
        <f aca="false">J864^(-1/B864)-1</f>
        <v>0.0649208024999999</v>
      </c>
      <c r="L864" s="12" t="n">
        <f aca="false">(1+K864)^(1/12)-1</f>
        <v>0.00525546447037772</v>
      </c>
    </row>
    <row r="865" customFormat="false" ht="15" hidden="false" customHeight="false" outlineLevel="0" collapsed="false">
      <c r="A865" s="4" t="n">
        <v>861</v>
      </c>
      <c r="B865" s="14" t="n">
        <f aca="false">A865/12</f>
        <v>71.75</v>
      </c>
      <c r="C865" s="15" t="n">
        <f aca="false">INT(A865/6)</f>
        <v>143</v>
      </c>
      <c r="D865" s="16" t="n">
        <f aca="false">IF(C865=0,(1+Dic2025!$G$6)^(-B865),EXP(LN(INDEX(Dic2025!$H$6:$H$205,C865))+(LN(INDEX(Dic2025!$H$6:$H$205,MIN(C865+1,200)))-LN(INDEX(Dic2025!$H$6:$H$205,C865)))*(A865-6*C865)/6))</f>
        <v>0.0109643515699211</v>
      </c>
      <c r="E865" s="12" t="n">
        <f aca="false">D865^(-1/B865)-1</f>
        <v>0.0649208024999999</v>
      </c>
      <c r="F865" s="12" t="n">
        <f aca="false">(1+E865)^(1/12)-1</f>
        <v>0.00525546447037772</v>
      </c>
      <c r="G865" s="16" t="n">
        <f aca="false">IF(C865=0,(1+Dic2025!$J$6)^(-B865),EXP(LN(INDEX(Dic2025!$K$6:$K$205,C865))+(LN(INDEX(Dic2025!$K$6:$K$205,MIN(C865+1,200)))-LN(INDEX(Dic2025!$K$6:$K$205,C865)))*(A865-6*C865)/6))</f>
        <v>0.0109643515699211</v>
      </c>
      <c r="H865" s="12" t="n">
        <f aca="false">G865^(-1/B865)-1</f>
        <v>0.0649208024999999</v>
      </c>
      <c r="I865" s="12" t="n">
        <f aca="false">(1+H865)^(1/12)-1</f>
        <v>0.00525546447037772</v>
      </c>
      <c r="J865" s="16" t="n">
        <f aca="false">IF(C865=0,(1+Dic2025!$M$6)^(-B865),EXP(LN(INDEX(Dic2025!$N$6:$N$205,C865))+(LN(INDEX(Dic2025!$N$6:$N$205,MIN(C865+1,200)))-LN(INDEX(Dic2025!$N$6:$N$205,C865)))*(A865-6*C865)/6))</f>
        <v>0.0109643515699211</v>
      </c>
      <c r="K865" s="12" t="n">
        <f aca="false">J865^(-1/B865)-1</f>
        <v>0.0649208024999999</v>
      </c>
      <c r="L865" s="12" t="n">
        <f aca="false">(1+K865)^(1/12)-1</f>
        <v>0.00525546447037772</v>
      </c>
    </row>
    <row r="866" customFormat="false" ht="15" hidden="false" customHeight="false" outlineLevel="0" collapsed="false">
      <c r="A866" s="4" t="n">
        <v>862</v>
      </c>
      <c r="B866" s="14" t="n">
        <f aca="false">A866/12</f>
        <v>71.8333333333333</v>
      </c>
      <c r="C866" s="15" t="n">
        <f aca="false">INT(A866/6)</f>
        <v>143</v>
      </c>
      <c r="D866" s="16" t="n">
        <f aca="false">IF(C866=0,(1+Dic2025!$G$6)^(-B866),EXP(LN(INDEX(Dic2025!$H$6:$H$205,C866))+(LN(INDEX(Dic2025!$H$6:$H$205,MIN(C866+1,200)))-LN(INDEX(Dic2025!$H$6:$H$205,C866)))*(A866-6*C866)/6))</f>
        <v>0.0109070300609584</v>
      </c>
      <c r="E866" s="12" t="n">
        <f aca="false">D866^(-1/B866)-1</f>
        <v>0.0649208024999999</v>
      </c>
      <c r="F866" s="12" t="n">
        <f aca="false">(1+E866)^(1/12)-1</f>
        <v>0.00525546447037772</v>
      </c>
      <c r="G866" s="16" t="n">
        <f aca="false">IF(C866=0,(1+Dic2025!$J$6)^(-B866),EXP(LN(INDEX(Dic2025!$K$6:$K$205,C866))+(LN(INDEX(Dic2025!$K$6:$K$205,MIN(C866+1,200)))-LN(INDEX(Dic2025!$K$6:$K$205,C866)))*(A866-6*C866)/6))</f>
        <v>0.0109070300609584</v>
      </c>
      <c r="H866" s="12" t="n">
        <f aca="false">G866^(-1/B866)-1</f>
        <v>0.0649208024999999</v>
      </c>
      <c r="I866" s="12" t="n">
        <f aca="false">(1+H866)^(1/12)-1</f>
        <v>0.00525546447037772</v>
      </c>
      <c r="J866" s="16" t="n">
        <f aca="false">IF(C866=0,(1+Dic2025!$M$6)^(-B866),EXP(LN(INDEX(Dic2025!$N$6:$N$205,C866))+(LN(INDEX(Dic2025!$N$6:$N$205,MIN(C866+1,200)))-LN(INDEX(Dic2025!$N$6:$N$205,C866)))*(A866-6*C866)/6))</f>
        <v>0.0109070300609584</v>
      </c>
      <c r="K866" s="12" t="n">
        <f aca="false">J866^(-1/B866)-1</f>
        <v>0.0649208024999999</v>
      </c>
      <c r="L866" s="12" t="n">
        <f aca="false">(1+K866)^(1/12)-1</f>
        <v>0.00525546447037772</v>
      </c>
    </row>
    <row r="867" customFormat="false" ht="15" hidden="false" customHeight="false" outlineLevel="0" collapsed="false">
      <c r="A867" s="4" t="n">
        <v>863</v>
      </c>
      <c r="B867" s="14" t="n">
        <f aca="false">A867/12</f>
        <v>71.9166666666667</v>
      </c>
      <c r="C867" s="15" t="n">
        <f aca="false">INT(A867/6)</f>
        <v>143</v>
      </c>
      <c r="D867" s="16" t="n">
        <f aca="false">IF(C867=0,(1+Dic2025!$G$6)^(-B867),EXP(LN(INDEX(Dic2025!$H$6:$H$205,C867))+(LN(INDEX(Dic2025!$H$6:$H$205,MIN(C867+1,200)))-LN(INDEX(Dic2025!$H$6:$H$205,C867)))*(A867-6*C867)/6))</f>
        <v>0.0108500082282118</v>
      </c>
      <c r="E867" s="12" t="n">
        <f aca="false">D867^(-1/B867)-1</f>
        <v>0.0649208024999999</v>
      </c>
      <c r="F867" s="12" t="n">
        <f aca="false">(1+E867)^(1/12)-1</f>
        <v>0.00525546447037772</v>
      </c>
      <c r="G867" s="16" t="n">
        <f aca="false">IF(C867=0,(1+Dic2025!$J$6)^(-B867),EXP(LN(INDEX(Dic2025!$K$6:$K$205,C867))+(LN(INDEX(Dic2025!$K$6:$K$205,MIN(C867+1,200)))-LN(INDEX(Dic2025!$K$6:$K$205,C867)))*(A867-6*C867)/6))</f>
        <v>0.0108500082282118</v>
      </c>
      <c r="H867" s="12" t="n">
        <f aca="false">G867^(-1/B867)-1</f>
        <v>0.0649208024999999</v>
      </c>
      <c r="I867" s="12" t="n">
        <f aca="false">(1+H867)^(1/12)-1</f>
        <v>0.00525546447037772</v>
      </c>
      <c r="J867" s="16" t="n">
        <f aca="false">IF(C867=0,(1+Dic2025!$M$6)^(-B867),EXP(LN(INDEX(Dic2025!$N$6:$N$205,C867))+(LN(INDEX(Dic2025!$N$6:$N$205,MIN(C867+1,200)))-LN(INDEX(Dic2025!$N$6:$N$205,C867)))*(A867-6*C867)/6))</f>
        <v>0.0108500082282118</v>
      </c>
      <c r="K867" s="12" t="n">
        <f aca="false">J867^(-1/B867)-1</f>
        <v>0.0649208024999999</v>
      </c>
      <c r="L867" s="12" t="n">
        <f aca="false">(1+K867)^(1/12)-1</f>
        <v>0.00525546447037772</v>
      </c>
    </row>
    <row r="868" customFormat="false" ht="15" hidden="false" customHeight="false" outlineLevel="0" collapsed="false">
      <c r="A868" s="4" t="n">
        <v>864</v>
      </c>
      <c r="B868" s="14" t="n">
        <f aca="false">A868/12</f>
        <v>72</v>
      </c>
      <c r="C868" s="15" t="n">
        <f aca="false">INT(A868/6)</f>
        <v>144</v>
      </c>
      <c r="D868" s="16" t="n">
        <f aca="false">IF(C868=0,(1+Dic2025!$G$6)^(-B868),EXP(LN(INDEX(Dic2025!$H$6:$H$205,C868))+(LN(INDEX(Dic2025!$H$6:$H$205,MIN(C868+1,200)))-LN(INDEX(Dic2025!$H$6:$H$205,C868)))*(A868-6*C868)/6))</f>
        <v>0.0107932845049772</v>
      </c>
      <c r="E868" s="12" t="n">
        <f aca="false">D868^(-1/B868)-1</f>
        <v>0.0649208024999999</v>
      </c>
      <c r="F868" s="12" t="n">
        <f aca="false">(1+E868)^(1/12)-1</f>
        <v>0.00525546447037772</v>
      </c>
      <c r="G868" s="16" t="n">
        <f aca="false">IF(C868=0,(1+Dic2025!$J$6)^(-B868),EXP(LN(INDEX(Dic2025!$K$6:$K$205,C868))+(LN(INDEX(Dic2025!$K$6:$K$205,MIN(C868+1,200)))-LN(INDEX(Dic2025!$K$6:$K$205,C868)))*(A868-6*C868)/6))</f>
        <v>0.0107932845049772</v>
      </c>
      <c r="H868" s="12" t="n">
        <f aca="false">G868^(-1/B868)-1</f>
        <v>0.0649208024999999</v>
      </c>
      <c r="I868" s="12" t="n">
        <f aca="false">(1+H868)^(1/12)-1</f>
        <v>0.00525546447037772</v>
      </c>
      <c r="J868" s="16" t="n">
        <f aca="false">IF(C868=0,(1+Dic2025!$M$6)^(-B868),EXP(LN(INDEX(Dic2025!$N$6:$N$205,C868))+(LN(INDEX(Dic2025!$N$6:$N$205,MIN(C868+1,200)))-LN(INDEX(Dic2025!$N$6:$N$205,C868)))*(A868-6*C868)/6))</f>
        <v>0.0107932845049772</v>
      </c>
      <c r="K868" s="12" t="n">
        <f aca="false">J868^(-1/B868)-1</f>
        <v>0.0649208024999999</v>
      </c>
      <c r="L868" s="12" t="n">
        <f aca="false">(1+K868)^(1/12)-1</f>
        <v>0.00525546447037772</v>
      </c>
    </row>
    <row r="869" customFormat="false" ht="15" hidden="false" customHeight="false" outlineLevel="0" collapsed="false">
      <c r="A869" s="4" t="n">
        <v>865</v>
      </c>
      <c r="B869" s="14" t="n">
        <f aca="false">A869/12</f>
        <v>72.0833333333333</v>
      </c>
      <c r="C869" s="15" t="n">
        <f aca="false">INT(A869/6)</f>
        <v>144</v>
      </c>
      <c r="D869" s="16" t="n">
        <f aca="false">IF(C869=0,(1+Dic2025!$G$6)^(-B869),EXP(LN(INDEX(Dic2025!$H$6:$H$205,C869))+(LN(INDEX(Dic2025!$H$6:$H$205,MIN(C869+1,200)))-LN(INDEX(Dic2025!$H$6:$H$205,C869)))*(A869-6*C869)/6))</f>
        <v>0.0107368573327414</v>
      </c>
      <c r="E869" s="12" t="n">
        <f aca="false">D869^(-1/B869)-1</f>
        <v>0.0649208024999999</v>
      </c>
      <c r="F869" s="12" t="n">
        <f aca="false">(1+E869)^(1/12)-1</f>
        <v>0.00525546447037772</v>
      </c>
      <c r="G869" s="16" t="n">
        <f aca="false">IF(C869=0,(1+Dic2025!$J$6)^(-B869),EXP(LN(INDEX(Dic2025!$K$6:$K$205,C869))+(LN(INDEX(Dic2025!$K$6:$K$205,MIN(C869+1,200)))-LN(INDEX(Dic2025!$K$6:$K$205,C869)))*(A869-6*C869)/6))</f>
        <v>0.0107368573327414</v>
      </c>
      <c r="H869" s="12" t="n">
        <f aca="false">G869^(-1/B869)-1</f>
        <v>0.0649208024999999</v>
      </c>
      <c r="I869" s="12" t="n">
        <f aca="false">(1+H869)^(1/12)-1</f>
        <v>0.00525546447037772</v>
      </c>
      <c r="J869" s="16" t="n">
        <f aca="false">IF(C869=0,(1+Dic2025!$M$6)^(-B869),EXP(LN(INDEX(Dic2025!$N$6:$N$205,C869))+(LN(INDEX(Dic2025!$N$6:$N$205,MIN(C869+1,200)))-LN(INDEX(Dic2025!$N$6:$N$205,C869)))*(A869-6*C869)/6))</f>
        <v>0.0107368573327414</v>
      </c>
      <c r="K869" s="12" t="n">
        <f aca="false">J869^(-1/B869)-1</f>
        <v>0.0649208024999999</v>
      </c>
      <c r="L869" s="12" t="n">
        <f aca="false">(1+K869)^(1/12)-1</f>
        <v>0.00525546447037772</v>
      </c>
    </row>
    <row r="870" customFormat="false" ht="15" hidden="false" customHeight="false" outlineLevel="0" collapsed="false">
      <c r="A870" s="4" t="n">
        <v>866</v>
      </c>
      <c r="B870" s="14" t="n">
        <f aca="false">A870/12</f>
        <v>72.1666666666667</v>
      </c>
      <c r="C870" s="15" t="n">
        <f aca="false">INT(A870/6)</f>
        <v>144</v>
      </c>
      <c r="D870" s="16" t="n">
        <f aca="false">IF(C870=0,(1+Dic2025!$G$6)^(-B870),EXP(LN(INDEX(Dic2025!$H$6:$H$205,C870))+(LN(INDEX(Dic2025!$H$6:$H$205,MIN(C870+1,200)))-LN(INDEX(Dic2025!$H$6:$H$205,C870)))*(A870-6*C870)/6))</f>
        <v>0.0106807251611392</v>
      </c>
      <c r="E870" s="12" t="n">
        <f aca="false">D870^(-1/B870)-1</f>
        <v>0.0649208024999999</v>
      </c>
      <c r="F870" s="12" t="n">
        <f aca="false">(1+E870)^(1/12)-1</f>
        <v>0.00525546447037772</v>
      </c>
      <c r="G870" s="16" t="n">
        <f aca="false">IF(C870=0,(1+Dic2025!$J$6)^(-B870),EXP(LN(INDEX(Dic2025!$K$6:$K$205,C870))+(LN(INDEX(Dic2025!$K$6:$K$205,MIN(C870+1,200)))-LN(INDEX(Dic2025!$K$6:$K$205,C870)))*(A870-6*C870)/6))</f>
        <v>0.0106807251611392</v>
      </c>
      <c r="H870" s="12" t="n">
        <f aca="false">G870^(-1/B870)-1</f>
        <v>0.0649208024999999</v>
      </c>
      <c r="I870" s="12" t="n">
        <f aca="false">(1+H870)^(1/12)-1</f>
        <v>0.00525546447037772</v>
      </c>
      <c r="J870" s="16" t="n">
        <f aca="false">IF(C870=0,(1+Dic2025!$M$6)^(-B870),EXP(LN(INDEX(Dic2025!$N$6:$N$205,C870))+(LN(INDEX(Dic2025!$N$6:$N$205,MIN(C870+1,200)))-LN(INDEX(Dic2025!$N$6:$N$205,C870)))*(A870-6*C870)/6))</f>
        <v>0.0106807251611392</v>
      </c>
      <c r="K870" s="12" t="n">
        <f aca="false">J870^(-1/B870)-1</f>
        <v>0.0649208024999999</v>
      </c>
      <c r="L870" s="12" t="n">
        <f aca="false">(1+K870)^(1/12)-1</f>
        <v>0.00525546447037772</v>
      </c>
    </row>
    <row r="871" customFormat="false" ht="15" hidden="false" customHeight="false" outlineLevel="0" collapsed="false">
      <c r="A871" s="4" t="n">
        <v>867</v>
      </c>
      <c r="B871" s="14" t="n">
        <f aca="false">A871/12</f>
        <v>72.25</v>
      </c>
      <c r="C871" s="15" t="n">
        <f aca="false">INT(A871/6)</f>
        <v>144</v>
      </c>
      <c r="D871" s="16" t="n">
        <f aca="false">IF(C871=0,(1+Dic2025!$G$6)^(-B871),EXP(LN(INDEX(Dic2025!$H$6:$H$205,C871))+(LN(INDEX(Dic2025!$H$6:$H$205,MIN(C871+1,200)))-LN(INDEX(Dic2025!$H$6:$H$205,C871)))*(A871-6*C871)/6))</f>
        <v>0.0106248864479104</v>
      </c>
      <c r="E871" s="12" t="n">
        <f aca="false">D871^(-1/B871)-1</f>
        <v>0.0649208024999999</v>
      </c>
      <c r="F871" s="12" t="n">
        <f aca="false">(1+E871)^(1/12)-1</f>
        <v>0.00525546447037772</v>
      </c>
      <c r="G871" s="16" t="n">
        <f aca="false">IF(C871=0,(1+Dic2025!$J$6)^(-B871),EXP(LN(INDEX(Dic2025!$K$6:$K$205,C871))+(LN(INDEX(Dic2025!$K$6:$K$205,MIN(C871+1,200)))-LN(INDEX(Dic2025!$K$6:$K$205,C871)))*(A871-6*C871)/6))</f>
        <v>0.0106248864479104</v>
      </c>
      <c r="H871" s="12" t="n">
        <f aca="false">G871^(-1/B871)-1</f>
        <v>0.0649208024999999</v>
      </c>
      <c r="I871" s="12" t="n">
        <f aca="false">(1+H871)^(1/12)-1</f>
        <v>0.00525546447037772</v>
      </c>
      <c r="J871" s="16" t="n">
        <f aca="false">IF(C871=0,(1+Dic2025!$M$6)^(-B871),EXP(LN(INDEX(Dic2025!$N$6:$N$205,C871))+(LN(INDEX(Dic2025!$N$6:$N$205,MIN(C871+1,200)))-LN(INDEX(Dic2025!$N$6:$N$205,C871)))*(A871-6*C871)/6))</f>
        <v>0.0106248864479104</v>
      </c>
      <c r="K871" s="12" t="n">
        <f aca="false">J871^(-1/B871)-1</f>
        <v>0.0649208024999999</v>
      </c>
      <c r="L871" s="12" t="n">
        <f aca="false">(1+K871)^(1/12)-1</f>
        <v>0.00525546447037772</v>
      </c>
    </row>
    <row r="872" customFormat="false" ht="15" hidden="false" customHeight="false" outlineLevel="0" collapsed="false">
      <c r="A872" s="4" t="n">
        <v>868</v>
      </c>
      <c r="B872" s="14" t="n">
        <f aca="false">A872/12</f>
        <v>72.3333333333333</v>
      </c>
      <c r="C872" s="15" t="n">
        <f aca="false">INT(A872/6)</f>
        <v>144</v>
      </c>
      <c r="D872" s="16" t="n">
        <f aca="false">IF(C872=0,(1+Dic2025!$G$6)^(-B872),EXP(LN(INDEX(Dic2025!$H$6:$H$205,C872))+(LN(INDEX(Dic2025!$H$6:$H$205,MIN(C872+1,200)))-LN(INDEX(Dic2025!$H$6:$H$205,C872)))*(A872-6*C872)/6))</f>
        <v>0.0105693396588579</v>
      </c>
      <c r="E872" s="12" t="n">
        <f aca="false">D872^(-1/B872)-1</f>
        <v>0.0649208024999999</v>
      </c>
      <c r="F872" s="12" t="n">
        <f aca="false">(1+E872)^(1/12)-1</f>
        <v>0.00525546447037772</v>
      </c>
      <c r="G872" s="16" t="n">
        <f aca="false">IF(C872=0,(1+Dic2025!$J$6)^(-B872),EXP(LN(INDEX(Dic2025!$K$6:$K$205,C872))+(LN(INDEX(Dic2025!$K$6:$K$205,MIN(C872+1,200)))-LN(INDEX(Dic2025!$K$6:$K$205,C872)))*(A872-6*C872)/6))</f>
        <v>0.0105693396588579</v>
      </c>
      <c r="H872" s="12" t="n">
        <f aca="false">G872^(-1/B872)-1</f>
        <v>0.0649208024999999</v>
      </c>
      <c r="I872" s="12" t="n">
        <f aca="false">(1+H872)^(1/12)-1</f>
        <v>0.00525546447037772</v>
      </c>
      <c r="J872" s="16" t="n">
        <f aca="false">IF(C872=0,(1+Dic2025!$M$6)^(-B872),EXP(LN(INDEX(Dic2025!$N$6:$N$205,C872))+(LN(INDEX(Dic2025!$N$6:$N$205,MIN(C872+1,200)))-LN(INDEX(Dic2025!$N$6:$N$205,C872)))*(A872-6*C872)/6))</f>
        <v>0.0105693396588579</v>
      </c>
      <c r="K872" s="12" t="n">
        <f aca="false">J872^(-1/B872)-1</f>
        <v>0.0649208024999999</v>
      </c>
      <c r="L872" s="12" t="n">
        <f aca="false">(1+K872)^(1/12)-1</f>
        <v>0.00525546447037772</v>
      </c>
    </row>
    <row r="873" customFormat="false" ht="15" hidden="false" customHeight="false" outlineLevel="0" collapsed="false">
      <c r="A873" s="4" t="n">
        <v>869</v>
      </c>
      <c r="B873" s="14" t="n">
        <f aca="false">A873/12</f>
        <v>72.4166666666667</v>
      </c>
      <c r="C873" s="15" t="n">
        <f aca="false">INT(A873/6)</f>
        <v>144</v>
      </c>
      <c r="D873" s="16" t="n">
        <f aca="false">IF(C873=0,(1+Dic2025!$G$6)^(-B873),EXP(LN(INDEX(Dic2025!$H$6:$H$205,C873))+(LN(INDEX(Dic2025!$H$6:$H$205,MIN(C873+1,200)))-LN(INDEX(Dic2025!$H$6:$H$205,C873)))*(A873-6*C873)/6))</f>
        <v>0.0105140832678054</v>
      </c>
      <c r="E873" s="12" t="n">
        <f aca="false">D873^(-1/B873)-1</f>
        <v>0.0649208024999999</v>
      </c>
      <c r="F873" s="12" t="n">
        <f aca="false">(1+E873)^(1/12)-1</f>
        <v>0.00525546447037772</v>
      </c>
      <c r="G873" s="16" t="n">
        <f aca="false">IF(C873=0,(1+Dic2025!$J$6)^(-B873),EXP(LN(INDEX(Dic2025!$K$6:$K$205,C873))+(LN(INDEX(Dic2025!$K$6:$K$205,MIN(C873+1,200)))-LN(INDEX(Dic2025!$K$6:$K$205,C873)))*(A873-6*C873)/6))</f>
        <v>0.0105140832678054</v>
      </c>
      <c r="H873" s="12" t="n">
        <f aca="false">G873^(-1/B873)-1</f>
        <v>0.0649208024999999</v>
      </c>
      <c r="I873" s="12" t="n">
        <f aca="false">(1+H873)^(1/12)-1</f>
        <v>0.00525546447037772</v>
      </c>
      <c r="J873" s="16" t="n">
        <f aca="false">IF(C873=0,(1+Dic2025!$M$6)^(-B873),EXP(LN(INDEX(Dic2025!$N$6:$N$205,C873))+(LN(INDEX(Dic2025!$N$6:$N$205,MIN(C873+1,200)))-LN(INDEX(Dic2025!$N$6:$N$205,C873)))*(A873-6*C873)/6))</f>
        <v>0.0105140832678054</v>
      </c>
      <c r="K873" s="12" t="n">
        <f aca="false">J873^(-1/B873)-1</f>
        <v>0.0649208024999999</v>
      </c>
      <c r="L873" s="12" t="n">
        <f aca="false">(1+K873)^(1/12)-1</f>
        <v>0.00525546447037772</v>
      </c>
    </row>
    <row r="874" customFormat="false" ht="15" hidden="false" customHeight="false" outlineLevel="0" collapsed="false">
      <c r="A874" s="4" t="n">
        <v>870</v>
      </c>
      <c r="B874" s="14" t="n">
        <f aca="false">A874/12</f>
        <v>72.5</v>
      </c>
      <c r="C874" s="15" t="n">
        <f aca="false">INT(A874/6)</f>
        <v>145</v>
      </c>
      <c r="D874" s="16" t="n">
        <f aca="false">IF(C874=0,(1+Dic2025!$G$6)^(-B874),EXP(LN(INDEX(Dic2025!$H$6:$H$205,C874))+(LN(INDEX(Dic2025!$H$6:$H$205,MIN(C874+1,200)))-LN(INDEX(Dic2025!$H$6:$H$205,C874)))*(A874-6*C874)/6))</f>
        <v>0.0104591157565552</v>
      </c>
      <c r="E874" s="12" t="n">
        <f aca="false">D874^(-1/B874)-1</f>
        <v>0.0649208024999999</v>
      </c>
      <c r="F874" s="12" t="n">
        <f aca="false">(1+E874)^(1/12)-1</f>
        <v>0.00525546447037772</v>
      </c>
      <c r="G874" s="16" t="n">
        <f aca="false">IF(C874=0,(1+Dic2025!$J$6)^(-B874),EXP(LN(INDEX(Dic2025!$K$6:$K$205,C874))+(LN(INDEX(Dic2025!$K$6:$K$205,MIN(C874+1,200)))-LN(INDEX(Dic2025!$K$6:$K$205,C874)))*(A874-6*C874)/6))</f>
        <v>0.0104591157565552</v>
      </c>
      <c r="H874" s="12" t="n">
        <f aca="false">G874^(-1/B874)-1</f>
        <v>0.0649208024999999</v>
      </c>
      <c r="I874" s="12" t="n">
        <f aca="false">(1+H874)^(1/12)-1</f>
        <v>0.00525546447037772</v>
      </c>
      <c r="J874" s="16" t="n">
        <f aca="false">IF(C874=0,(1+Dic2025!$M$6)^(-B874),EXP(LN(INDEX(Dic2025!$N$6:$N$205,C874))+(LN(INDEX(Dic2025!$N$6:$N$205,MIN(C874+1,200)))-LN(INDEX(Dic2025!$N$6:$N$205,C874)))*(A874-6*C874)/6))</f>
        <v>0.0104591157565552</v>
      </c>
      <c r="K874" s="12" t="n">
        <f aca="false">J874^(-1/B874)-1</f>
        <v>0.0649208024999999</v>
      </c>
      <c r="L874" s="12" t="n">
        <f aca="false">(1+K874)^(1/12)-1</f>
        <v>0.00525546447037772</v>
      </c>
    </row>
    <row r="875" customFormat="false" ht="15" hidden="false" customHeight="false" outlineLevel="0" collapsed="false">
      <c r="A875" s="4" t="n">
        <v>871</v>
      </c>
      <c r="B875" s="14" t="n">
        <f aca="false">A875/12</f>
        <v>72.5833333333333</v>
      </c>
      <c r="C875" s="15" t="n">
        <f aca="false">INT(A875/6)</f>
        <v>145</v>
      </c>
      <c r="D875" s="16" t="n">
        <f aca="false">IF(C875=0,(1+Dic2025!$G$6)^(-B875),EXP(LN(INDEX(Dic2025!$H$6:$H$205,C875))+(LN(INDEX(Dic2025!$H$6:$H$205,MIN(C875+1,200)))-LN(INDEX(Dic2025!$H$6:$H$205,C875)))*(A875-6*C875)/6))</f>
        <v>0.010392176334529</v>
      </c>
      <c r="E875" s="12" t="n">
        <f aca="false">D875^(-1/B875)-1</f>
        <v>0.0649381001204037</v>
      </c>
      <c r="F875" s="12" t="n">
        <f aca="false">(1+E875)^(1/12)-1</f>
        <v>0.00525682516608561</v>
      </c>
      <c r="G875" s="16" t="n">
        <f aca="false">IF(C875=0,(1+Dic2025!$J$6)^(-B875),EXP(LN(INDEX(Dic2025!$K$6:$K$205,C875))+(LN(INDEX(Dic2025!$K$6:$K$205,MIN(C875+1,200)))-LN(INDEX(Dic2025!$K$6:$K$205,C875)))*(A875-6*C875)/6))</f>
        <v>0.010392176334529</v>
      </c>
      <c r="H875" s="12" t="n">
        <f aca="false">G875^(-1/B875)-1</f>
        <v>0.0649381001204037</v>
      </c>
      <c r="I875" s="12" t="n">
        <f aca="false">(1+H875)^(1/12)-1</f>
        <v>0.00525682516608561</v>
      </c>
      <c r="J875" s="16" t="n">
        <f aca="false">IF(C875=0,(1+Dic2025!$M$6)^(-B875),EXP(LN(INDEX(Dic2025!$N$6:$N$205,C875))+(LN(INDEX(Dic2025!$N$6:$N$205,MIN(C875+1,200)))-LN(INDEX(Dic2025!$N$6:$N$205,C875)))*(A875-6*C875)/6))</f>
        <v>0.010392176334529</v>
      </c>
      <c r="K875" s="12" t="n">
        <f aca="false">J875^(-1/B875)-1</f>
        <v>0.0649381001204037</v>
      </c>
      <c r="L875" s="12" t="n">
        <f aca="false">(1+K875)^(1/12)-1</f>
        <v>0.00525682516608561</v>
      </c>
    </row>
    <row r="876" customFormat="false" ht="15" hidden="false" customHeight="false" outlineLevel="0" collapsed="false">
      <c r="A876" s="4" t="n">
        <v>872</v>
      </c>
      <c r="B876" s="14" t="n">
        <f aca="false">A876/12</f>
        <v>72.6666666666667</v>
      </c>
      <c r="C876" s="15" t="n">
        <f aca="false">INT(A876/6)</f>
        <v>145</v>
      </c>
      <c r="D876" s="16" t="n">
        <f aca="false">IF(C876=0,(1+Dic2025!$G$6)^(-B876),EXP(LN(INDEX(Dic2025!$H$6:$H$205,C876))+(LN(INDEX(Dic2025!$H$6:$H$205,MIN(C876+1,200)))-LN(INDEX(Dic2025!$H$6:$H$205,C876)))*(A876-6*C876)/6))</f>
        <v>0.0103256653317233</v>
      </c>
      <c r="E876" s="12" t="n">
        <f aca="false">D876^(-1/B876)-1</f>
        <v>0.0649553583473672</v>
      </c>
      <c r="F876" s="12" t="n">
        <f aca="false">(1+E876)^(1/12)-1</f>
        <v>0.00525818274276713</v>
      </c>
      <c r="G876" s="16" t="n">
        <f aca="false">IF(C876=0,(1+Dic2025!$J$6)^(-B876),EXP(LN(INDEX(Dic2025!$K$6:$K$205,C876))+(LN(INDEX(Dic2025!$K$6:$K$205,MIN(C876+1,200)))-LN(INDEX(Dic2025!$K$6:$K$205,C876)))*(A876-6*C876)/6))</f>
        <v>0.0103256653317233</v>
      </c>
      <c r="H876" s="12" t="n">
        <f aca="false">G876^(-1/B876)-1</f>
        <v>0.0649553583473672</v>
      </c>
      <c r="I876" s="12" t="n">
        <f aca="false">(1+H876)^(1/12)-1</f>
        <v>0.00525818274276713</v>
      </c>
      <c r="J876" s="16" t="n">
        <f aca="false">IF(C876=0,(1+Dic2025!$M$6)^(-B876),EXP(LN(INDEX(Dic2025!$N$6:$N$205,C876))+(LN(INDEX(Dic2025!$N$6:$N$205,MIN(C876+1,200)))-LN(INDEX(Dic2025!$N$6:$N$205,C876)))*(A876-6*C876)/6))</f>
        <v>0.0103256653317233</v>
      </c>
      <c r="K876" s="12" t="n">
        <f aca="false">J876^(-1/B876)-1</f>
        <v>0.0649553583473672</v>
      </c>
      <c r="L876" s="12" t="n">
        <f aca="false">(1+K876)^(1/12)-1</f>
        <v>0.00525818274276713</v>
      </c>
    </row>
    <row r="877" customFormat="false" ht="15" hidden="false" customHeight="false" outlineLevel="0" collapsed="false">
      <c r="A877" s="4" t="n">
        <v>873</v>
      </c>
      <c r="B877" s="14" t="n">
        <f aca="false">A877/12</f>
        <v>72.75</v>
      </c>
      <c r="C877" s="15" t="n">
        <f aca="false">INT(A877/6)</f>
        <v>145</v>
      </c>
      <c r="D877" s="16" t="n">
        <f aca="false">IF(C877=0,(1+Dic2025!$G$6)^(-B877),EXP(LN(INDEX(Dic2025!$H$6:$H$205,C877))+(LN(INDEX(Dic2025!$H$6:$H$205,MIN(C877+1,200)))-LN(INDEX(Dic2025!$H$6:$H$205,C877)))*(A877-6*C877)/6))</f>
        <v>0.0102595800062111</v>
      </c>
      <c r="E877" s="12" t="n">
        <f aca="false">D877^(-1/B877)-1</f>
        <v>0.0649725773153067</v>
      </c>
      <c r="F877" s="12" t="n">
        <f aca="false">(1+E877)^(1/12)-1</f>
        <v>0.00525953721113437</v>
      </c>
      <c r="G877" s="16" t="n">
        <f aca="false">IF(C877=0,(1+Dic2025!$J$6)^(-B877),EXP(LN(INDEX(Dic2025!$K$6:$K$205,C877))+(LN(INDEX(Dic2025!$K$6:$K$205,MIN(C877+1,200)))-LN(INDEX(Dic2025!$K$6:$K$205,C877)))*(A877-6*C877)/6))</f>
        <v>0.0102595800062111</v>
      </c>
      <c r="H877" s="12" t="n">
        <f aca="false">G877^(-1/B877)-1</f>
        <v>0.0649725773153067</v>
      </c>
      <c r="I877" s="12" t="n">
        <f aca="false">(1+H877)^(1/12)-1</f>
        <v>0.00525953721113437</v>
      </c>
      <c r="J877" s="16" t="n">
        <f aca="false">IF(C877=0,(1+Dic2025!$M$6)^(-B877),EXP(LN(INDEX(Dic2025!$N$6:$N$205,C877))+(LN(INDEX(Dic2025!$N$6:$N$205,MIN(C877+1,200)))-LN(INDEX(Dic2025!$N$6:$N$205,C877)))*(A877-6*C877)/6))</f>
        <v>0.0102595800062111</v>
      </c>
      <c r="K877" s="12" t="n">
        <f aca="false">J877^(-1/B877)-1</f>
        <v>0.0649725773153067</v>
      </c>
      <c r="L877" s="12" t="n">
        <f aca="false">(1+K877)^(1/12)-1</f>
        <v>0.00525953721113437</v>
      </c>
    </row>
    <row r="878" customFormat="false" ht="15" hidden="false" customHeight="false" outlineLevel="0" collapsed="false">
      <c r="A878" s="4" t="n">
        <v>874</v>
      </c>
      <c r="B878" s="14" t="n">
        <f aca="false">A878/12</f>
        <v>72.8333333333333</v>
      </c>
      <c r="C878" s="15" t="n">
        <f aca="false">INT(A878/6)</f>
        <v>145</v>
      </c>
      <c r="D878" s="16" t="n">
        <f aca="false">IF(C878=0,(1+Dic2025!$G$6)^(-B878),EXP(LN(INDEX(Dic2025!$H$6:$H$205,C878))+(LN(INDEX(Dic2025!$H$6:$H$205,MIN(C878+1,200)))-LN(INDEX(Dic2025!$H$6:$H$205,C878)))*(A878-6*C878)/6))</f>
        <v>0.0101939176336135</v>
      </c>
      <c r="E878" s="12" t="n">
        <f aca="false">D878^(-1/B878)-1</f>
        <v>0.0649897571580274</v>
      </c>
      <c r="F878" s="12" t="n">
        <f aca="false">(1+E878)^(1/12)-1</f>
        <v>0.00526088858185059</v>
      </c>
      <c r="G878" s="16" t="n">
        <f aca="false">IF(C878=0,(1+Dic2025!$J$6)^(-B878),EXP(LN(INDEX(Dic2025!$K$6:$K$205,C878))+(LN(INDEX(Dic2025!$K$6:$K$205,MIN(C878+1,200)))-LN(INDEX(Dic2025!$K$6:$K$205,C878)))*(A878-6*C878)/6))</f>
        <v>0.0101939176336135</v>
      </c>
      <c r="H878" s="12" t="n">
        <f aca="false">G878^(-1/B878)-1</f>
        <v>0.0649897571580274</v>
      </c>
      <c r="I878" s="12" t="n">
        <f aca="false">(1+H878)^(1/12)-1</f>
        <v>0.00526088858185059</v>
      </c>
      <c r="J878" s="16" t="n">
        <f aca="false">IF(C878=0,(1+Dic2025!$M$6)^(-B878),EXP(LN(INDEX(Dic2025!$N$6:$N$205,C878))+(LN(INDEX(Dic2025!$N$6:$N$205,MIN(C878+1,200)))-LN(INDEX(Dic2025!$N$6:$N$205,C878)))*(A878-6*C878)/6))</f>
        <v>0.0101939176336135</v>
      </c>
      <c r="K878" s="12" t="n">
        <f aca="false">J878^(-1/B878)-1</f>
        <v>0.0649897571580274</v>
      </c>
      <c r="L878" s="12" t="n">
        <f aca="false">(1+K878)^(1/12)-1</f>
        <v>0.00526088858185059</v>
      </c>
    </row>
    <row r="879" customFormat="false" ht="15" hidden="false" customHeight="false" outlineLevel="0" collapsed="false">
      <c r="A879" s="4" t="n">
        <v>875</v>
      </c>
      <c r="B879" s="14" t="n">
        <f aca="false">A879/12</f>
        <v>72.9166666666667</v>
      </c>
      <c r="C879" s="15" t="n">
        <f aca="false">INT(A879/6)</f>
        <v>145</v>
      </c>
      <c r="D879" s="16" t="n">
        <f aca="false">IF(C879=0,(1+Dic2025!$G$6)^(-B879),EXP(LN(INDEX(Dic2025!$H$6:$H$205,C879))+(LN(INDEX(Dic2025!$H$6:$H$205,MIN(C879+1,200)))-LN(INDEX(Dic2025!$H$6:$H$205,C879)))*(A879-6*C879)/6))</f>
        <v>0.0101286755069882</v>
      </c>
      <c r="E879" s="12" t="n">
        <f aca="false">D879^(-1/B879)-1</f>
        <v>0.0650068980087273</v>
      </c>
      <c r="F879" s="12" t="n">
        <f aca="false">(1+E879)^(1/12)-1</f>
        <v>0.00526223686552974</v>
      </c>
      <c r="G879" s="16" t="n">
        <f aca="false">IF(C879=0,(1+Dic2025!$J$6)^(-B879),EXP(LN(INDEX(Dic2025!$K$6:$K$205,C879))+(LN(INDEX(Dic2025!$K$6:$K$205,MIN(C879+1,200)))-LN(INDEX(Dic2025!$K$6:$K$205,C879)))*(A879-6*C879)/6))</f>
        <v>0.0101286755069882</v>
      </c>
      <c r="H879" s="12" t="n">
        <f aca="false">G879^(-1/B879)-1</f>
        <v>0.0650068980087273</v>
      </c>
      <c r="I879" s="12" t="n">
        <f aca="false">(1+H879)^(1/12)-1</f>
        <v>0.00526223686552974</v>
      </c>
      <c r="J879" s="16" t="n">
        <f aca="false">IF(C879=0,(1+Dic2025!$M$6)^(-B879),EXP(LN(INDEX(Dic2025!$N$6:$N$205,C879))+(LN(INDEX(Dic2025!$N$6:$N$205,MIN(C879+1,200)))-LN(INDEX(Dic2025!$N$6:$N$205,C879)))*(A879-6*C879)/6))</f>
        <v>0.0101286755069882</v>
      </c>
      <c r="K879" s="12" t="n">
        <f aca="false">J879^(-1/B879)-1</f>
        <v>0.0650068980087273</v>
      </c>
      <c r="L879" s="12" t="n">
        <f aca="false">(1+K879)^(1/12)-1</f>
        <v>0.00526223686552974</v>
      </c>
    </row>
    <row r="880" customFormat="false" ht="15" hidden="false" customHeight="false" outlineLevel="0" collapsed="false">
      <c r="A880" s="4" t="n">
        <v>876</v>
      </c>
      <c r="B880" s="14" t="n">
        <f aca="false">A880/12</f>
        <v>73</v>
      </c>
      <c r="C880" s="15" t="n">
        <f aca="false">INT(A880/6)</f>
        <v>146</v>
      </c>
      <c r="D880" s="16" t="n">
        <f aca="false">IF(C880=0,(1+Dic2025!$G$6)^(-B880),EXP(LN(INDEX(Dic2025!$H$6:$H$205,C880))+(LN(INDEX(Dic2025!$H$6:$H$205,MIN(C880+1,200)))-LN(INDEX(Dic2025!$H$6:$H$205,C880)))*(A880-6*C880)/6))</f>
        <v>0.0100638509367176</v>
      </c>
      <c r="E880" s="12" t="n">
        <f aca="false">D880^(-1/B880)-1</f>
        <v>0.065024</v>
      </c>
      <c r="F880" s="12" t="n">
        <f aca="false">(1+E880)^(1/12)-1</f>
        <v>0.00526358207273781</v>
      </c>
      <c r="G880" s="16" t="n">
        <f aca="false">IF(C880=0,(1+Dic2025!$J$6)^(-B880),EXP(LN(INDEX(Dic2025!$K$6:$K$205,C880))+(LN(INDEX(Dic2025!$K$6:$K$205,MIN(C880+1,200)))-LN(INDEX(Dic2025!$K$6:$K$205,C880)))*(A880-6*C880)/6))</f>
        <v>0.0100638509367176</v>
      </c>
      <c r="H880" s="12" t="n">
        <f aca="false">G880^(-1/B880)-1</f>
        <v>0.065024</v>
      </c>
      <c r="I880" s="12" t="n">
        <f aca="false">(1+H880)^(1/12)-1</f>
        <v>0.00526358207273781</v>
      </c>
      <c r="J880" s="16" t="n">
        <f aca="false">IF(C880=0,(1+Dic2025!$M$6)^(-B880),EXP(LN(INDEX(Dic2025!$N$6:$N$205,C880))+(LN(INDEX(Dic2025!$N$6:$N$205,MIN(C880+1,200)))-LN(INDEX(Dic2025!$N$6:$N$205,C880)))*(A880-6*C880)/6))</f>
        <v>0.0100638509367176</v>
      </c>
      <c r="K880" s="12" t="n">
        <f aca="false">J880^(-1/B880)-1</f>
        <v>0.065024</v>
      </c>
      <c r="L880" s="12" t="n">
        <f aca="false">(1+K880)^(1/12)-1</f>
        <v>0.00526358207273781</v>
      </c>
    </row>
    <row r="881" customFormat="false" ht="15" hidden="false" customHeight="false" outlineLevel="0" collapsed="false">
      <c r="A881" s="4" t="n">
        <v>877</v>
      </c>
      <c r="B881" s="14" t="n">
        <f aca="false">A881/12</f>
        <v>73.0833333333333</v>
      </c>
      <c r="C881" s="15" t="n">
        <f aca="false">INT(A881/6)</f>
        <v>146</v>
      </c>
      <c r="D881" s="16" t="n">
        <f aca="false">IF(C881=0,(1+Dic2025!$G$6)^(-B881),EXP(LN(INDEX(Dic2025!$H$6:$H$205,C881))+(LN(INDEX(Dic2025!$H$6:$H$205,MIN(C881+1,200)))-LN(INDEX(Dic2025!$H$6:$H$205,C881)))*(A881-6*C881)/6))</f>
        <v>0.010011156393398</v>
      </c>
      <c r="E881" s="12" t="n">
        <f aca="false">D881^(-1/B881)-1</f>
        <v>0.065024</v>
      </c>
      <c r="F881" s="12" t="n">
        <f aca="false">(1+E881)^(1/12)-1</f>
        <v>0.00526358207273781</v>
      </c>
      <c r="G881" s="16" t="n">
        <f aca="false">IF(C881=0,(1+Dic2025!$J$6)^(-B881),EXP(LN(INDEX(Dic2025!$K$6:$K$205,C881))+(LN(INDEX(Dic2025!$K$6:$K$205,MIN(C881+1,200)))-LN(INDEX(Dic2025!$K$6:$K$205,C881)))*(A881-6*C881)/6))</f>
        <v>0.010011156393398</v>
      </c>
      <c r="H881" s="12" t="n">
        <f aca="false">G881^(-1/B881)-1</f>
        <v>0.065024</v>
      </c>
      <c r="I881" s="12" t="n">
        <f aca="false">(1+H881)^(1/12)-1</f>
        <v>0.00526358207273781</v>
      </c>
      <c r="J881" s="16" t="n">
        <f aca="false">IF(C881=0,(1+Dic2025!$M$6)^(-B881),EXP(LN(INDEX(Dic2025!$N$6:$N$205,C881))+(LN(INDEX(Dic2025!$N$6:$N$205,MIN(C881+1,200)))-LN(INDEX(Dic2025!$N$6:$N$205,C881)))*(A881-6*C881)/6))</f>
        <v>0.010011156393398</v>
      </c>
      <c r="K881" s="12" t="n">
        <f aca="false">J881^(-1/B881)-1</f>
        <v>0.065024</v>
      </c>
      <c r="L881" s="12" t="n">
        <f aca="false">(1+K881)^(1/12)-1</f>
        <v>0.00526358207273781</v>
      </c>
    </row>
    <row r="882" customFormat="false" ht="15" hidden="false" customHeight="false" outlineLevel="0" collapsed="false">
      <c r="A882" s="4" t="n">
        <v>878</v>
      </c>
      <c r="B882" s="14" t="n">
        <f aca="false">A882/12</f>
        <v>73.1666666666667</v>
      </c>
      <c r="C882" s="15" t="n">
        <f aca="false">INT(A882/6)</f>
        <v>146</v>
      </c>
      <c r="D882" s="16" t="n">
        <f aca="false">IF(C882=0,(1+Dic2025!$G$6)^(-B882),EXP(LN(INDEX(Dic2025!$H$6:$H$205,C882))+(LN(INDEX(Dic2025!$H$6:$H$205,MIN(C882+1,200)))-LN(INDEX(Dic2025!$H$6:$H$205,C882)))*(A882-6*C882)/6))</f>
        <v>0.00995873775985806</v>
      </c>
      <c r="E882" s="12" t="n">
        <f aca="false">D882^(-1/B882)-1</f>
        <v>0.065024</v>
      </c>
      <c r="F882" s="12" t="n">
        <f aca="false">(1+E882)^(1/12)-1</f>
        <v>0.00526358207273781</v>
      </c>
      <c r="G882" s="16" t="n">
        <f aca="false">IF(C882=0,(1+Dic2025!$J$6)^(-B882),EXP(LN(INDEX(Dic2025!$K$6:$K$205,C882))+(LN(INDEX(Dic2025!$K$6:$K$205,MIN(C882+1,200)))-LN(INDEX(Dic2025!$K$6:$K$205,C882)))*(A882-6*C882)/6))</f>
        <v>0.00995873775985806</v>
      </c>
      <c r="H882" s="12" t="n">
        <f aca="false">G882^(-1/B882)-1</f>
        <v>0.065024</v>
      </c>
      <c r="I882" s="12" t="n">
        <f aca="false">(1+H882)^(1/12)-1</f>
        <v>0.00526358207273781</v>
      </c>
      <c r="J882" s="16" t="n">
        <f aca="false">IF(C882=0,(1+Dic2025!$M$6)^(-B882),EXP(LN(INDEX(Dic2025!$N$6:$N$205,C882))+(LN(INDEX(Dic2025!$N$6:$N$205,MIN(C882+1,200)))-LN(INDEX(Dic2025!$N$6:$N$205,C882)))*(A882-6*C882)/6))</f>
        <v>0.00995873775985806</v>
      </c>
      <c r="K882" s="12" t="n">
        <f aca="false">J882^(-1/B882)-1</f>
        <v>0.065024</v>
      </c>
      <c r="L882" s="12" t="n">
        <f aca="false">(1+K882)^(1/12)-1</f>
        <v>0.00526358207273781</v>
      </c>
    </row>
    <row r="883" customFormat="false" ht="15" hidden="false" customHeight="false" outlineLevel="0" collapsed="false">
      <c r="A883" s="4" t="n">
        <v>879</v>
      </c>
      <c r="B883" s="14" t="n">
        <f aca="false">A883/12</f>
        <v>73.25</v>
      </c>
      <c r="C883" s="15" t="n">
        <f aca="false">INT(A883/6)</f>
        <v>146</v>
      </c>
      <c r="D883" s="16" t="n">
        <f aca="false">IF(C883=0,(1+Dic2025!$G$6)^(-B883),EXP(LN(INDEX(Dic2025!$H$6:$H$205,C883))+(LN(INDEX(Dic2025!$H$6:$H$205,MIN(C883+1,200)))-LN(INDEX(Dic2025!$H$6:$H$205,C883)))*(A883-6*C883)/6))</f>
        <v>0.00990659359142832</v>
      </c>
      <c r="E883" s="12" t="n">
        <f aca="false">D883^(-1/B883)-1</f>
        <v>0.065024</v>
      </c>
      <c r="F883" s="12" t="n">
        <f aca="false">(1+E883)^(1/12)-1</f>
        <v>0.00526358207273781</v>
      </c>
      <c r="G883" s="16" t="n">
        <f aca="false">IF(C883=0,(1+Dic2025!$J$6)^(-B883),EXP(LN(INDEX(Dic2025!$K$6:$K$205,C883))+(LN(INDEX(Dic2025!$K$6:$K$205,MIN(C883+1,200)))-LN(INDEX(Dic2025!$K$6:$K$205,C883)))*(A883-6*C883)/6))</f>
        <v>0.00990659359142832</v>
      </c>
      <c r="H883" s="12" t="n">
        <f aca="false">G883^(-1/B883)-1</f>
        <v>0.065024</v>
      </c>
      <c r="I883" s="12" t="n">
        <f aca="false">(1+H883)^(1/12)-1</f>
        <v>0.00526358207273781</v>
      </c>
      <c r="J883" s="16" t="n">
        <f aca="false">IF(C883=0,(1+Dic2025!$M$6)^(-B883),EXP(LN(INDEX(Dic2025!$N$6:$N$205,C883))+(LN(INDEX(Dic2025!$N$6:$N$205,MIN(C883+1,200)))-LN(INDEX(Dic2025!$N$6:$N$205,C883)))*(A883-6*C883)/6))</f>
        <v>0.00990659359142832</v>
      </c>
      <c r="K883" s="12" t="n">
        <f aca="false">J883^(-1/B883)-1</f>
        <v>0.065024</v>
      </c>
      <c r="L883" s="12" t="n">
        <f aca="false">(1+K883)^(1/12)-1</f>
        <v>0.00526358207273781</v>
      </c>
    </row>
    <row r="884" customFormat="false" ht="15" hidden="false" customHeight="false" outlineLevel="0" collapsed="false">
      <c r="A884" s="4" t="n">
        <v>880</v>
      </c>
      <c r="B884" s="14" t="n">
        <f aca="false">A884/12</f>
        <v>73.3333333333333</v>
      </c>
      <c r="C884" s="15" t="n">
        <f aca="false">INT(A884/6)</f>
        <v>146</v>
      </c>
      <c r="D884" s="16" t="n">
        <f aca="false">IF(C884=0,(1+Dic2025!$G$6)^(-B884),EXP(LN(INDEX(Dic2025!$H$6:$H$205,C884))+(LN(INDEX(Dic2025!$H$6:$H$205,MIN(C884+1,200)))-LN(INDEX(Dic2025!$H$6:$H$205,C884)))*(A884-6*C884)/6))</f>
        <v>0.00985472245100341</v>
      </c>
      <c r="E884" s="12" t="n">
        <f aca="false">D884^(-1/B884)-1</f>
        <v>0.065024</v>
      </c>
      <c r="F884" s="12" t="n">
        <f aca="false">(1+E884)^(1/12)-1</f>
        <v>0.00526358207273781</v>
      </c>
      <c r="G884" s="16" t="n">
        <f aca="false">IF(C884=0,(1+Dic2025!$J$6)^(-B884),EXP(LN(INDEX(Dic2025!$K$6:$K$205,C884))+(LN(INDEX(Dic2025!$K$6:$K$205,MIN(C884+1,200)))-LN(INDEX(Dic2025!$K$6:$K$205,C884)))*(A884-6*C884)/6))</f>
        <v>0.00985472245100341</v>
      </c>
      <c r="H884" s="12" t="n">
        <f aca="false">G884^(-1/B884)-1</f>
        <v>0.065024</v>
      </c>
      <c r="I884" s="12" t="n">
        <f aca="false">(1+H884)^(1/12)-1</f>
        <v>0.00526358207273781</v>
      </c>
      <c r="J884" s="16" t="n">
        <f aca="false">IF(C884=0,(1+Dic2025!$M$6)^(-B884),EXP(LN(INDEX(Dic2025!$N$6:$N$205,C884))+(LN(INDEX(Dic2025!$N$6:$N$205,MIN(C884+1,200)))-LN(INDEX(Dic2025!$N$6:$N$205,C884)))*(A884-6*C884)/6))</f>
        <v>0.00985472245100341</v>
      </c>
      <c r="K884" s="12" t="n">
        <f aca="false">J884^(-1/B884)-1</f>
        <v>0.065024</v>
      </c>
      <c r="L884" s="12" t="n">
        <f aca="false">(1+K884)^(1/12)-1</f>
        <v>0.00526358207273781</v>
      </c>
    </row>
    <row r="885" customFormat="false" ht="15" hidden="false" customHeight="false" outlineLevel="0" collapsed="false">
      <c r="A885" s="4" t="n">
        <v>881</v>
      </c>
      <c r="B885" s="14" t="n">
        <f aca="false">A885/12</f>
        <v>73.4166666666667</v>
      </c>
      <c r="C885" s="15" t="n">
        <f aca="false">INT(A885/6)</f>
        <v>146</v>
      </c>
      <c r="D885" s="16" t="n">
        <f aca="false">IF(C885=0,(1+Dic2025!$G$6)^(-B885),EXP(LN(INDEX(Dic2025!$H$6:$H$205,C885))+(LN(INDEX(Dic2025!$H$6:$H$205,MIN(C885+1,200)))-LN(INDEX(Dic2025!$H$6:$H$205,C885)))*(A885-6*C885)/6))</f>
        <v>0.00980312290900274</v>
      </c>
      <c r="E885" s="12" t="n">
        <f aca="false">D885^(-1/B885)-1</f>
        <v>0.065024</v>
      </c>
      <c r="F885" s="12" t="n">
        <f aca="false">(1+E885)^(1/12)-1</f>
        <v>0.00526358207273781</v>
      </c>
      <c r="G885" s="16" t="n">
        <f aca="false">IF(C885=0,(1+Dic2025!$J$6)^(-B885),EXP(LN(INDEX(Dic2025!$K$6:$K$205,C885))+(LN(INDEX(Dic2025!$K$6:$K$205,MIN(C885+1,200)))-LN(INDEX(Dic2025!$K$6:$K$205,C885)))*(A885-6*C885)/6))</f>
        <v>0.00980312290900274</v>
      </c>
      <c r="H885" s="12" t="n">
        <f aca="false">G885^(-1/B885)-1</f>
        <v>0.065024</v>
      </c>
      <c r="I885" s="12" t="n">
        <f aca="false">(1+H885)^(1/12)-1</f>
        <v>0.00526358207273781</v>
      </c>
      <c r="J885" s="16" t="n">
        <f aca="false">IF(C885=0,(1+Dic2025!$M$6)^(-B885),EXP(LN(INDEX(Dic2025!$N$6:$N$205,C885))+(LN(INDEX(Dic2025!$N$6:$N$205,MIN(C885+1,200)))-LN(INDEX(Dic2025!$N$6:$N$205,C885)))*(A885-6*C885)/6))</f>
        <v>0.00980312290900274</v>
      </c>
      <c r="K885" s="12" t="n">
        <f aca="false">J885^(-1/B885)-1</f>
        <v>0.065024</v>
      </c>
      <c r="L885" s="12" t="n">
        <f aca="false">(1+K885)^(1/12)-1</f>
        <v>0.00526358207273781</v>
      </c>
    </row>
    <row r="886" customFormat="false" ht="15" hidden="false" customHeight="false" outlineLevel="0" collapsed="false">
      <c r="A886" s="4" t="n">
        <v>882</v>
      </c>
      <c r="B886" s="14" t="n">
        <f aca="false">A886/12</f>
        <v>73.5</v>
      </c>
      <c r="C886" s="15" t="n">
        <f aca="false">INT(A886/6)</f>
        <v>147</v>
      </c>
      <c r="D886" s="16" t="n">
        <f aca="false">IF(C886=0,(1+Dic2025!$G$6)^(-B886),EXP(LN(INDEX(Dic2025!$H$6:$H$205,C886))+(LN(INDEX(Dic2025!$H$6:$H$205,MIN(C886+1,200)))-LN(INDEX(Dic2025!$H$6:$H$205,C886)))*(A886-6*C886)/6))</f>
        <v>0.00975179354333102</v>
      </c>
      <c r="E886" s="12" t="n">
        <f aca="false">D886^(-1/B886)-1</f>
        <v>0.065024</v>
      </c>
      <c r="F886" s="12" t="n">
        <f aca="false">(1+E886)^(1/12)-1</f>
        <v>0.00526358207273781</v>
      </c>
      <c r="G886" s="16" t="n">
        <f aca="false">IF(C886=0,(1+Dic2025!$J$6)^(-B886),EXP(LN(INDEX(Dic2025!$K$6:$K$205,C886))+(LN(INDEX(Dic2025!$K$6:$K$205,MIN(C886+1,200)))-LN(INDEX(Dic2025!$K$6:$K$205,C886)))*(A886-6*C886)/6))</f>
        <v>0.00975179354333102</v>
      </c>
      <c r="H886" s="12" t="n">
        <f aca="false">G886^(-1/B886)-1</f>
        <v>0.065024</v>
      </c>
      <c r="I886" s="12" t="n">
        <f aca="false">(1+H886)^(1/12)-1</f>
        <v>0.00526358207273781</v>
      </c>
      <c r="J886" s="16" t="n">
        <f aca="false">IF(C886=0,(1+Dic2025!$M$6)^(-B886),EXP(LN(INDEX(Dic2025!$N$6:$N$205,C886))+(LN(INDEX(Dic2025!$N$6:$N$205,MIN(C886+1,200)))-LN(INDEX(Dic2025!$N$6:$N$205,C886)))*(A886-6*C886)/6))</f>
        <v>0.00975179354333102</v>
      </c>
      <c r="K886" s="12" t="n">
        <f aca="false">J886^(-1/B886)-1</f>
        <v>0.065024</v>
      </c>
      <c r="L886" s="12" t="n">
        <f aca="false">(1+K886)^(1/12)-1</f>
        <v>0.00526358207273781</v>
      </c>
    </row>
    <row r="887" customFormat="false" ht="15" hidden="false" customHeight="false" outlineLevel="0" collapsed="false">
      <c r="A887" s="4" t="n">
        <v>883</v>
      </c>
      <c r="B887" s="14" t="n">
        <f aca="false">A887/12</f>
        <v>73.5833333333333</v>
      </c>
      <c r="C887" s="15" t="n">
        <f aca="false">INT(A887/6)</f>
        <v>147</v>
      </c>
      <c r="D887" s="16" t="n">
        <f aca="false">IF(C887=0,(1+Dic2025!$G$6)^(-B887),EXP(LN(INDEX(Dic2025!$H$6:$H$205,C887))+(LN(INDEX(Dic2025!$H$6:$H$205,MIN(C887+1,200)))-LN(INDEX(Dic2025!$H$6:$H$205,C887)))*(A887-6*C887)/6))</f>
        <v>0.00970073293933909</v>
      </c>
      <c r="E887" s="12" t="n">
        <f aca="false">D887^(-1/B887)-1</f>
        <v>0.065024</v>
      </c>
      <c r="F887" s="12" t="n">
        <f aca="false">(1+E887)^(1/12)-1</f>
        <v>0.00526358207273781</v>
      </c>
      <c r="G887" s="16" t="n">
        <f aca="false">IF(C887=0,(1+Dic2025!$J$6)^(-B887),EXP(LN(INDEX(Dic2025!$K$6:$K$205,C887))+(LN(INDEX(Dic2025!$K$6:$K$205,MIN(C887+1,200)))-LN(INDEX(Dic2025!$K$6:$K$205,C887)))*(A887-6*C887)/6))</f>
        <v>0.00970073293933909</v>
      </c>
      <c r="H887" s="12" t="n">
        <f aca="false">G887^(-1/B887)-1</f>
        <v>0.065024</v>
      </c>
      <c r="I887" s="12" t="n">
        <f aca="false">(1+H887)^(1/12)-1</f>
        <v>0.00526358207273781</v>
      </c>
      <c r="J887" s="16" t="n">
        <f aca="false">IF(C887=0,(1+Dic2025!$M$6)^(-B887),EXP(LN(INDEX(Dic2025!$N$6:$N$205,C887))+(LN(INDEX(Dic2025!$N$6:$N$205,MIN(C887+1,200)))-LN(INDEX(Dic2025!$N$6:$N$205,C887)))*(A887-6*C887)/6))</f>
        <v>0.00970073293933909</v>
      </c>
      <c r="K887" s="12" t="n">
        <f aca="false">J887^(-1/B887)-1</f>
        <v>0.065024</v>
      </c>
      <c r="L887" s="12" t="n">
        <f aca="false">(1+K887)^(1/12)-1</f>
        <v>0.00526358207273781</v>
      </c>
    </row>
    <row r="888" customFormat="false" ht="15" hidden="false" customHeight="false" outlineLevel="0" collapsed="false">
      <c r="A888" s="4" t="n">
        <v>884</v>
      </c>
      <c r="B888" s="14" t="n">
        <f aca="false">A888/12</f>
        <v>73.6666666666667</v>
      </c>
      <c r="C888" s="15" t="n">
        <f aca="false">INT(A888/6)</f>
        <v>147</v>
      </c>
      <c r="D888" s="16" t="n">
        <f aca="false">IF(C888=0,(1+Dic2025!$G$6)^(-B888),EXP(LN(INDEX(Dic2025!$H$6:$H$205,C888))+(LN(INDEX(Dic2025!$H$6:$H$205,MIN(C888+1,200)))-LN(INDEX(Dic2025!$H$6:$H$205,C888)))*(A888-6*C888)/6))</f>
        <v>0.00964993968978494</v>
      </c>
      <c r="E888" s="12" t="n">
        <f aca="false">D888^(-1/B888)-1</f>
        <v>0.065024</v>
      </c>
      <c r="F888" s="12" t="n">
        <f aca="false">(1+E888)^(1/12)-1</f>
        <v>0.00526358207273781</v>
      </c>
      <c r="G888" s="16" t="n">
        <f aca="false">IF(C888=0,(1+Dic2025!$J$6)^(-B888),EXP(LN(INDEX(Dic2025!$K$6:$K$205,C888))+(LN(INDEX(Dic2025!$K$6:$K$205,MIN(C888+1,200)))-LN(INDEX(Dic2025!$K$6:$K$205,C888)))*(A888-6*C888)/6))</f>
        <v>0.00964993968978494</v>
      </c>
      <c r="H888" s="12" t="n">
        <f aca="false">G888^(-1/B888)-1</f>
        <v>0.065024</v>
      </c>
      <c r="I888" s="12" t="n">
        <f aca="false">(1+H888)^(1/12)-1</f>
        <v>0.00526358207273781</v>
      </c>
      <c r="J888" s="16" t="n">
        <f aca="false">IF(C888=0,(1+Dic2025!$M$6)^(-B888),EXP(LN(INDEX(Dic2025!$N$6:$N$205,C888))+(LN(INDEX(Dic2025!$N$6:$N$205,MIN(C888+1,200)))-LN(INDEX(Dic2025!$N$6:$N$205,C888)))*(A888-6*C888)/6))</f>
        <v>0.00964993968978494</v>
      </c>
      <c r="K888" s="12" t="n">
        <f aca="false">J888^(-1/B888)-1</f>
        <v>0.065024</v>
      </c>
      <c r="L888" s="12" t="n">
        <f aca="false">(1+K888)^(1/12)-1</f>
        <v>0.00526358207273781</v>
      </c>
    </row>
    <row r="889" customFormat="false" ht="15" hidden="false" customHeight="false" outlineLevel="0" collapsed="false">
      <c r="A889" s="4" t="n">
        <v>885</v>
      </c>
      <c r="B889" s="14" t="n">
        <f aca="false">A889/12</f>
        <v>73.75</v>
      </c>
      <c r="C889" s="15" t="n">
        <f aca="false">INT(A889/6)</f>
        <v>147</v>
      </c>
      <c r="D889" s="16" t="n">
        <f aca="false">IF(C889=0,(1+Dic2025!$G$6)^(-B889),EXP(LN(INDEX(Dic2025!$H$6:$H$205,C889))+(LN(INDEX(Dic2025!$H$6:$H$205,MIN(C889+1,200)))-LN(INDEX(Dic2025!$H$6:$H$205,C889)))*(A889-6*C889)/6))</f>
        <v>0.00959941239479489</v>
      </c>
      <c r="E889" s="12" t="n">
        <f aca="false">D889^(-1/B889)-1</f>
        <v>0.065024</v>
      </c>
      <c r="F889" s="12" t="n">
        <f aca="false">(1+E889)^(1/12)-1</f>
        <v>0.00526358207273781</v>
      </c>
      <c r="G889" s="16" t="n">
        <f aca="false">IF(C889=0,(1+Dic2025!$J$6)^(-B889),EXP(LN(INDEX(Dic2025!$K$6:$K$205,C889))+(LN(INDEX(Dic2025!$K$6:$K$205,MIN(C889+1,200)))-LN(INDEX(Dic2025!$K$6:$K$205,C889)))*(A889-6*C889)/6))</f>
        <v>0.00959941239479489</v>
      </c>
      <c r="H889" s="12" t="n">
        <f aca="false">G889^(-1/B889)-1</f>
        <v>0.065024</v>
      </c>
      <c r="I889" s="12" t="n">
        <f aca="false">(1+H889)^(1/12)-1</f>
        <v>0.00526358207273781</v>
      </c>
      <c r="J889" s="16" t="n">
        <f aca="false">IF(C889=0,(1+Dic2025!$M$6)^(-B889),EXP(LN(INDEX(Dic2025!$N$6:$N$205,C889))+(LN(INDEX(Dic2025!$N$6:$N$205,MIN(C889+1,200)))-LN(INDEX(Dic2025!$N$6:$N$205,C889)))*(A889-6*C889)/6))</f>
        <v>0.00959941239479489</v>
      </c>
      <c r="K889" s="12" t="n">
        <f aca="false">J889^(-1/B889)-1</f>
        <v>0.065024</v>
      </c>
      <c r="L889" s="12" t="n">
        <f aca="false">(1+K889)^(1/12)-1</f>
        <v>0.00526358207273781</v>
      </c>
    </row>
    <row r="890" customFormat="false" ht="15" hidden="false" customHeight="false" outlineLevel="0" collapsed="false">
      <c r="A890" s="4" t="n">
        <v>886</v>
      </c>
      <c r="B890" s="14" t="n">
        <f aca="false">A890/12</f>
        <v>73.8333333333333</v>
      </c>
      <c r="C890" s="15" t="n">
        <f aca="false">INT(A890/6)</f>
        <v>147</v>
      </c>
      <c r="D890" s="16" t="n">
        <f aca="false">IF(C890=0,(1+Dic2025!$G$6)^(-B890),EXP(LN(INDEX(Dic2025!$H$6:$H$205,C890))+(LN(INDEX(Dic2025!$H$6:$H$205,MIN(C890+1,200)))-LN(INDEX(Dic2025!$H$6:$H$205,C890)))*(A890-6*C890)/6))</f>
        <v>0.00954914966182501</v>
      </c>
      <c r="E890" s="12" t="n">
        <f aca="false">D890^(-1/B890)-1</f>
        <v>0.065024</v>
      </c>
      <c r="F890" s="12" t="n">
        <f aca="false">(1+E890)^(1/12)-1</f>
        <v>0.00526358207273781</v>
      </c>
      <c r="G890" s="16" t="n">
        <f aca="false">IF(C890=0,(1+Dic2025!$J$6)^(-B890),EXP(LN(INDEX(Dic2025!$K$6:$K$205,C890))+(LN(INDEX(Dic2025!$K$6:$K$205,MIN(C890+1,200)))-LN(INDEX(Dic2025!$K$6:$K$205,C890)))*(A890-6*C890)/6))</f>
        <v>0.00954914966182501</v>
      </c>
      <c r="H890" s="12" t="n">
        <f aca="false">G890^(-1/B890)-1</f>
        <v>0.065024</v>
      </c>
      <c r="I890" s="12" t="n">
        <f aca="false">(1+H890)^(1/12)-1</f>
        <v>0.00526358207273781</v>
      </c>
      <c r="J890" s="16" t="n">
        <f aca="false">IF(C890=0,(1+Dic2025!$M$6)^(-B890),EXP(LN(INDEX(Dic2025!$N$6:$N$205,C890))+(LN(INDEX(Dic2025!$N$6:$N$205,MIN(C890+1,200)))-LN(INDEX(Dic2025!$N$6:$N$205,C890)))*(A890-6*C890)/6))</f>
        <v>0.00954914966182501</v>
      </c>
      <c r="K890" s="12" t="n">
        <f aca="false">J890^(-1/B890)-1</f>
        <v>0.065024</v>
      </c>
      <c r="L890" s="12" t="n">
        <f aca="false">(1+K890)^(1/12)-1</f>
        <v>0.00526358207273781</v>
      </c>
    </row>
    <row r="891" customFormat="false" ht="15" hidden="false" customHeight="false" outlineLevel="0" collapsed="false">
      <c r="A891" s="4" t="n">
        <v>887</v>
      </c>
      <c r="B891" s="14" t="n">
        <f aca="false">A891/12</f>
        <v>73.9166666666667</v>
      </c>
      <c r="C891" s="15" t="n">
        <f aca="false">INT(A891/6)</f>
        <v>147</v>
      </c>
      <c r="D891" s="16" t="n">
        <f aca="false">IF(C891=0,(1+Dic2025!$G$6)^(-B891),EXP(LN(INDEX(Dic2025!$H$6:$H$205,C891))+(LN(INDEX(Dic2025!$H$6:$H$205,MIN(C891+1,200)))-LN(INDEX(Dic2025!$H$6:$H$205,C891)))*(A891-6*C891)/6))</f>
        <v>0.0094991501056228</v>
      </c>
      <c r="E891" s="12" t="n">
        <f aca="false">D891^(-1/B891)-1</f>
        <v>0.065024</v>
      </c>
      <c r="F891" s="12" t="n">
        <f aca="false">(1+E891)^(1/12)-1</f>
        <v>0.00526358207273781</v>
      </c>
      <c r="G891" s="16" t="n">
        <f aca="false">IF(C891=0,(1+Dic2025!$J$6)^(-B891),EXP(LN(INDEX(Dic2025!$K$6:$K$205,C891))+(LN(INDEX(Dic2025!$K$6:$K$205,MIN(C891+1,200)))-LN(INDEX(Dic2025!$K$6:$K$205,C891)))*(A891-6*C891)/6))</f>
        <v>0.0094991501056228</v>
      </c>
      <c r="H891" s="12" t="n">
        <f aca="false">G891^(-1/B891)-1</f>
        <v>0.065024</v>
      </c>
      <c r="I891" s="12" t="n">
        <f aca="false">(1+H891)^(1/12)-1</f>
        <v>0.00526358207273781</v>
      </c>
      <c r="J891" s="16" t="n">
        <f aca="false">IF(C891=0,(1+Dic2025!$M$6)^(-B891),EXP(LN(INDEX(Dic2025!$N$6:$N$205,C891))+(LN(INDEX(Dic2025!$N$6:$N$205,MIN(C891+1,200)))-LN(INDEX(Dic2025!$N$6:$N$205,C891)))*(A891-6*C891)/6))</f>
        <v>0.0094991501056228</v>
      </c>
      <c r="K891" s="12" t="n">
        <f aca="false">J891^(-1/B891)-1</f>
        <v>0.065024</v>
      </c>
      <c r="L891" s="12" t="n">
        <f aca="false">(1+K891)^(1/12)-1</f>
        <v>0.00526358207273781</v>
      </c>
    </row>
    <row r="892" customFormat="false" ht="15" hidden="false" customHeight="false" outlineLevel="0" collapsed="false">
      <c r="A892" s="4" t="n">
        <v>888</v>
      </c>
      <c r="B892" s="14" t="n">
        <f aca="false">A892/12</f>
        <v>74</v>
      </c>
      <c r="C892" s="15" t="n">
        <f aca="false">INT(A892/6)</f>
        <v>148</v>
      </c>
      <c r="D892" s="16" t="n">
        <f aca="false">IF(C892=0,(1+Dic2025!$G$6)^(-B892),EXP(LN(INDEX(Dic2025!$H$6:$H$205,C892))+(LN(INDEX(Dic2025!$H$6:$H$205,MIN(C892+1,200)))-LN(INDEX(Dic2025!$H$6:$H$205,C892)))*(A892-6*C892)/6))</f>
        <v>0.00944941234818897</v>
      </c>
      <c r="E892" s="12" t="n">
        <f aca="false">D892^(-1/B892)-1</f>
        <v>0.065024</v>
      </c>
      <c r="F892" s="12" t="n">
        <f aca="false">(1+E892)^(1/12)-1</f>
        <v>0.00526358207273781</v>
      </c>
      <c r="G892" s="16" t="n">
        <f aca="false">IF(C892=0,(1+Dic2025!$J$6)^(-B892),EXP(LN(INDEX(Dic2025!$K$6:$K$205,C892))+(LN(INDEX(Dic2025!$K$6:$K$205,MIN(C892+1,200)))-LN(INDEX(Dic2025!$K$6:$K$205,C892)))*(A892-6*C892)/6))</f>
        <v>0.00944941234818897</v>
      </c>
      <c r="H892" s="12" t="n">
        <f aca="false">G892^(-1/B892)-1</f>
        <v>0.065024</v>
      </c>
      <c r="I892" s="12" t="n">
        <f aca="false">(1+H892)^(1/12)-1</f>
        <v>0.00526358207273781</v>
      </c>
      <c r="J892" s="16" t="n">
        <f aca="false">IF(C892=0,(1+Dic2025!$M$6)^(-B892),EXP(LN(INDEX(Dic2025!$N$6:$N$205,C892))+(LN(INDEX(Dic2025!$N$6:$N$205,MIN(C892+1,200)))-LN(INDEX(Dic2025!$N$6:$N$205,C892)))*(A892-6*C892)/6))</f>
        <v>0.00944941234818897</v>
      </c>
      <c r="K892" s="12" t="n">
        <f aca="false">J892^(-1/B892)-1</f>
        <v>0.065024</v>
      </c>
      <c r="L892" s="12" t="n">
        <f aca="false">(1+K892)^(1/12)-1</f>
        <v>0.00526358207273781</v>
      </c>
    </row>
    <row r="893" customFormat="false" ht="15" hidden="false" customHeight="false" outlineLevel="0" collapsed="false">
      <c r="A893" s="4" t="n">
        <v>889</v>
      </c>
      <c r="B893" s="14" t="n">
        <f aca="false">A893/12</f>
        <v>74.0833333333333</v>
      </c>
      <c r="C893" s="15" t="n">
        <f aca="false">INT(A893/6)</f>
        <v>148</v>
      </c>
      <c r="D893" s="16" t="n">
        <f aca="false">IF(C893=0,(1+Dic2025!$G$6)^(-B893),EXP(LN(INDEX(Dic2025!$H$6:$H$205,C893))+(LN(INDEX(Dic2025!$H$6:$H$205,MIN(C893+1,200)))-LN(INDEX(Dic2025!$H$6:$H$205,C893)))*(A893-6*C893)/6))</f>
        <v>0.00939993501873944</v>
      </c>
      <c r="E893" s="12" t="n">
        <f aca="false">D893^(-1/B893)-1</f>
        <v>0.065024</v>
      </c>
      <c r="F893" s="12" t="n">
        <f aca="false">(1+E893)^(1/12)-1</f>
        <v>0.00526358207273781</v>
      </c>
      <c r="G893" s="16" t="n">
        <f aca="false">IF(C893=0,(1+Dic2025!$J$6)^(-B893),EXP(LN(INDEX(Dic2025!$K$6:$K$205,C893))+(LN(INDEX(Dic2025!$K$6:$K$205,MIN(C893+1,200)))-LN(INDEX(Dic2025!$K$6:$K$205,C893)))*(A893-6*C893)/6))</f>
        <v>0.00939993501873944</v>
      </c>
      <c r="H893" s="12" t="n">
        <f aca="false">G893^(-1/B893)-1</f>
        <v>0.065024</v>
      </c>
      <c r="I893" s="12" t="n">
        <f aca="false">(1+H893)^(1/12)-1</f>
        <v>0.00526358207273781</v>
      </c>
      <c r="J893" s="16" t="n">
        <f aca="false">IF(C893=0,(1+Dic2025!$M$6)^(-B893),EXP(LN(INDEX(Dic2025!$N$6:$N$205,C893))+(LN(INDEX(Dic2025!$N$6:$N$205,MIN(C893+1,200)))-LN(INDEX(Dic2025!$N$6:$N$205,C893)))*(A893-6*C893)/6))</f>
        <v>0.00939993501873944</v>
      </c>
      <c r="K893" s="12" t="n">
        <f aca="false">J893^(-1/B893)-1</f>
        <v>0.065024</v>
      </c>
      <c r="L893" s="12" t="n">
        <f aca="false">(1+K893)^(1/12)-1</f>
        <v>0.00526358207273781</v>
      </c>
    </row>
    <row r="894" customFormat="false" ht="15" hidden="false" customHeight="false" outlineLevel="0" collapsed="false">
      <c r="A894" s="4" t="n">
        <v>890</v>
      </c>
      <c r="B894" s="14" t="n">
        <f aca="false">A894/12</f>
        <v>74.1666666666667</v>
      </c>
      <c r="C894" s="15" t="n">
        <f aca="false">INT(A894/6)</f>
        <v>148</v>
      </c>
      <c r="D894" s="16" t="n">
        <f aca="false">IF(C894=0,(1+Dic2025!$G$6)^(-B894),EXP(LN(INDEX(Dic2025!$H$6:$H$205,C894))+(LN(INDEX(Dic2025!$H$6:$H$205,MIN(C894+1,200)))-LN(INDEX(Dic2025!$H$6:$H$205,C894)))*(A894-6*C894)/6))</f>
        <v>0.00935071675366758</v>
      </c>
      <c r="E894" s="12" t="n">
        <f aca="false">D894^(-1/B894)-1</f>
        <v>0.065024</v>
      </c>
      <c r="F894" s="12" t="n">
        <f aca="false">(1+E894)^(1/12)-1</f>
        <v>0.00526358207273781</v>
      </c>
      <c r="G894" s="16" t="n">
        <f aca="false">IF(C894=0,(1+Dic2025!$J$6)^(-B894),EXP(LN(INDEX(Dic2025!$K$6:$K$205,C894))+(LN(INDEX(Dic2025!$K$6:$K$205,MIN(C894+1,200)))-LN(INDEX(Dic2025!$K$6:$K$205,C894)))*(A894-6*C894)/6))</f>
        <v>0.00935071675366758</v>
      </c>
      <c r="H894" s="12" t="n">
        <f aca="false">G894^(-1/B894)-1</f>
        <v>0.065024</v>
      </c>
      <c r="I894" s="12" t="n">
        <f aca="false">(1+H894)^(1/12)-1</f>
        <v>0.00526358207273781</v>
      </c>
      <c r="J894" s="16" t="n">
        <f aca="false">IF(C894=0,(1+Dic2025!$M$6)^(-B894),EXP(LN(INDEX(Dic2025!$N$6:$N$205,C894))+(LN(INDEX(Dic2025!$N$6:$N$205,MIN(C894+1,200)))-LN(INDEX(Dic2025!$N$6:$N$205,C894)))*(A894-6*C894)/6))</f>
        <v>0.00935071675366758</v>
      </c>
      <c r="K894" s="12" t="n">
        <f aca="false">J894^(-1/B894)-1</f>
        <v>0.065024</v>
      </c>
      <c r="L894" s="12" t="n">
        <f aca="false">(1+K894)^(1/12)-1</f>
        <v>0.00526358207273781</v>
      </c>
    </row>
    <row r="895" customFormat="false" ht="15" hidden="false" customHeight="false" outlineLevel="0" collapsed="false">
      <c r="A895" s="4" t="n">
        <v>891</v>
      </c>
      <c r="B895" s="14" t="n">
        <f aca="false">A895/12</f>
        <v>74.25</v>
      </c>
      <c r="C895" s="15" t="n">
        <f aca="false">INT(A895/6)</f>
        <v>148</v>
      </c>
      <c r="D895" s="16" t="n">
        <f aca="false">IF(C895=0,(1+Dic2025!$G$6)^(-B895),EXP(LN(INDEX(Dic2025!$H$6:$H$205,C895))+(LN(INDEX(Dic2025!$H$6:$H$205,MIN(C895+1,200)))-LN(INDEX(Dic2025!$H$6:$H$205,C895)))*(A895-6*C895)/6))</f>
        <v>0.00930175619650667</v>
      </c>
      <c r="E895" s="12" t="n">
        <f aca="false">D895^(-1/B895)-1</f>
        <v>0.065024</v>
      </c>
      <c r="F895" s="12" t="n">
        <f aca="false">(1+E895)^(1/12)-1</f>
        <v>0.00526358207273781</v>
      </c>
      <c r="G895" s="16" t="n">
        <f aca="false">IF(C895=0,(1+Dic2025!$J$6)^(-B895),EXP(LN(INDEX(Dic2025!$K$6:$K$205,C895))+(LN(INDEX(Dic2025!$K$6:$K$205,MIN(C895+1,200)))-LN(INDEX(Dic2025!$K$6:$K$205,C895)))*(A895-6*C895)/6))</f>
        <v>0.00930175619650667</v>
      </c>
      <c r="H895" s="12" t="n">
        <f aca="false">G895^(-1/B895)-1</f>
        <v>0.065024</v>
      </c>
      <c r="I895" s="12" t="n">
        <f aca="false">(1+H895)^(1/12)-1</f>
        <v>0.00526358207273781</v>
      </c>
      <c r="J895" s="16" t="n">
        <f aca="false">IF(C895=0,(1+Dic2025!$M$6)^(-B895),EXP(LN(INDEX(Dic2025!$N$6:$N$205,C895))+(LN(INDEX(Dic2025!$N$6:$N$205,MIN(C895+1,200)))-LN(INDEX(Dic2025!$N$6:$N$205,C895)))*(A895-6*C895)/6))</f>
        <v>0.00930175619650667</v>
      </c>
      <c r="K895" s="12" t="n">
        <f aca="false">J895^(-1/B895)-1</f>
        <v>0.065024</v>
      </c>
      <c r="L895" s="12" t="n">
        <f aca="false">(1+K895)^(1/12)-1</f>
        <v>0.00526358207273781</v>
      </c>
    </row>
    <row r="896" customFormat="false" ht="15" hidden="false" customHeight="false" outlineLevel="0" collapsed="false">
      <c r="A896" s="4" t="n">
        <v>892</v>
      </c>
      <c r="B896" s="14" t="n">
        <f aca="false">A896/12</f>
        <v>74.3333333333333</v>
      </c>
      <c r="C896" s="15" t="n">
        <f aca="false">INT(A896/6)</f>
        <v>148</v>
      </c>
      <c r="D896" s="16" t="n">
        <f aca="false">IF(C896=0,(1+Dic2025!$G$6)^(-B896),EXP(LN(INDEX(Dic2025!$H$6:$H$205,C896))+(LN(INDEX(Dic2025!$H$6:$H$205,MIN(C896+1,200)))-LN(INDEX(Dic2025!$H$6:$H$205,C896)))*(A896-6*C896)/6))</f>
        <v>0.00925305199789246</v>
      </c>
      <c r="E896" s="12" t="n">
        <f aca="false">D896^(-1/B896)-1</f>
        <v>0.065024</v>
      </c>
      <c r="F896" s="12" t="n">
        <f aca="false">(1+E896)^(1/12)-1</f>
        <v>0.00526358207273781</v>
      </c>
      <c r="G896" s="16" t="n">
        <f aca="false">IF(C896=0,(1+Dic2025!$J$6)^(-B896),EXP(LN(INDEX(Dic2025!$K$6:$K$205,C896))+(LN(INDEX(Dic2025!$K$6:$K$205,MIN(C896+1,200)))-LN(INDEX(Dic2025!$K$6:$K$205,C896)))*(A896-6*C896)/6))</f>
        <v>0.00925305199789246</v>
      </c>
      <c r="H896" s="12" t="n">
        <f aca="false">G896^(-1/B896)-1</f>
        <v>0.065024</v>
      </c>
      <c r="I896" s="12" t="n">
        <f aca="false">(1+H896)^(1/12)-1</f>
        <v>0.00526358207273781</v>
      </c>
      <c r="J896" s="16" t="n">
        <f aca="false">IF(C896=0,(1+Dic2025!$M$6)^(-B896),EXP(LN(INDEX(Dic2025!$N$6:$N$205,C896))+(LN(INDEX(Dic2025!$N$6:$N$205,MIN(C896+1,200)))-LN(INDEX(Dic2025!$N$6:$N$205,C896)))*(A896-6*C896)/6))</f>
        <v>0.00925305199789246</v>
      </c>
      <c r="K896" s="12" t="n">
        <f aca="false">J896^(-1/B896)-1</f>
        <v>0.065024</v>
      </c>
      <c r="L896" s="12" t="n">
        <f aca="false">(1+K896)^(1/12)-1</f>
        <v>0.00526358207273781</v>
      </c>
    </row>
    <row r="897" customFormat="false" ht="15" hidden="false" customHeight="false" outlineLevel="0" collapsed="false">
      <c r="A897" s="4" t="n">
        <v>893</v>
      </c>
      <c r="B897" s="14" t="n">
        <f aca="false">A897/12</f>
        <v>74.4166666666667</v>
      </c>
      <c r="C897" s="15" t="n">
        <f aca="false">INT(A897/6)</f>
        <v>148</v>
      </c>
      <c r="D897" s="16" t="n">
        <f aca="false">IF(C897=0,(1+Dic2025!$G$6)^(-B897),EXP(LN(INDEX(Dic2025!$H$6:$H$205,C897))+(LN(INDEX(Dic2025!$H$6:$H$205,MIN(C897+1,200)))-LN(INDEX(Dic2025!$H$6:$H$205,C897)))*(A897-6*C897)/6))</f>
        <v>0.00920460281552598</v>
      </c>
      <c r="E897" s="12" t="n">
        <f aca="false">D897^(-1/B897)-1</f>
        <v>0.065024</v>
      </c>
      <c r="F897" s="12" t="n">
        <f aca="false">(1+E897)^(1/12)-1</f>
        <v>0.00526358207273781</v>
      </c>
      <c r="G897" s="16" t="n">
        <f aca="false">IF(C897=0,(1+Dic2025!$J$6)^(-B897),EXP(LN(INDEX(Dic2025!$K$6:$K$205,C897))+(LN(INDEX(Dic2025!$K$6:$K$205,MIN(C897+1,200)))-LN(INDEX(Dic2025!$K$6:$K$205,C897)))*(A897-6*C897)/6))</f>
        <v>0.00920460281552598</v>
      </c>
      <c r="H897" s="12" t="n">
        <f aca="false">G897^(-1/B897)-1</f>
        <v>0.065024</v>
      </c>
      <c r="I897" s="12" t="n">
        <f aca="false">(1+H897)^(1/12)-1</f>
        <v>0.00526358207273781</v>
      </c>
      <c r="J897" s="16" t="n">
        <f aca="false">IF(C897=0,(1+Dic2025!$M$6)^(-B897),EXP(LN(INDEX(Dic2025!$N$6:$N$205,C897))+(LN(INDEX(Dic2025!$N$6:$N$205,MIN(C897+1,200)))-LN(INDEX(Dic2025!$N$6:$N$205,C897)))*(A897-6*C897)/6))</f>
        <v>0.00920460281552598</v>
      </c>
      <c r="K897" s="12" t="n">
        <f aca="false">J897^(-1/B897)-1</f>
        <v>0.065024</v>
      </c>
      <c r="L897" s="12" t="n">
        <f aca="false">(1+K897)^(1/12)-1</f>
        <v>0.00526358207273781</v>
      </c>
    </row>
    <row r="898" customFormat="false" ht="15" hidden="false" customHeight="false" outlineLevel="0" collapsed="false">
      <c r="A898" s="4" t="n">
        <v>894</v>
      </c>
      <c r="B898" s="14" t="n">
        <f aca="false">A898/12</f>
        <v>74.5</v>
      </c>
      <c r="C898" s="15" t="n">
        <f aca="false">INT(A898/6)</f>
        <v>149</v>
      </c>
      <c r="D898" s="16" t="n">
        <f aca="false">IF(C898=0,(1+Dic2025!$G$6)^(-B898),EXP(LN(INDEX(Dic2025!$H$6:$H$205,C898))+(LN(INDEX(Dic2025!$H$6:$H$205,MIN(C898+1,200)))-LN(INDEX(Dic2025!$H$6:$H$205,C898)))*(A898-6*C898)/6))</f>
        <v>0.0091564073141366</v>
      </c>
      <c r="E898" s="12" t="n">
        <f aca="false">D898^(-1/B898)-1</f>
        <v>0.065024</v>
      </c>
      <c r="F898" s="12" t="n">
        <f aca="false">(1+E898)^(1/12)-1</f>
        <v>0.00526358207273781</v>
      </c>
      <c r="G898" s="16" t="n">
        <f aca="false">IF(C898=0,(1+Dic2025!$J$6)^(-B898),EXP(LN(INDEX(Dic2025!$K$6:$K$205,C898))+(LN(INDEX(Dic2025!$K$6:$K$205,MIN(C898+1,200)))-LN(INDEX(Dic2025!$K$6:$K$205,C898)))*(A898-6*C898)/6))</f>
        <v>0.0091564073141366</v>
      </c>
      <c r="H898" s="12" t="n">
        <f aca="false">G898^(-1/B898)-1</f>
        <v>0.065024</v>
      </c>
      <c r="I898" s="12" t="n">
        <f aca="false">(1+H898)^(1/12)-1</f>
        <v>0.00526358207273781</v>
      </c>
      <c r="J898" s="16" t="n">
        <f aca="false">IF(C898=0,(1+Dic2025!$M$6)^(-B898),EXP(LN(INDEX(Dic2025!$N$6:$N$205,C898))+(LN(INDEX(Dic2025!$N$6:$N$205,MIN(C898+1,200)))-LN(INDEX(Dic2025!$N$6:$N$205,C898)))*(A898-6*C898)/6))</f>
        <v>0.0091564073141366</v>
      </c>
      <c r="K898" s="12" t="n">
        <f aca="false">J898^(-1/B898)-1</f>
        <v>0.065024</v>
      </c>
      <c r="L898" s="12" t="n">
        <f aca="false">(1+K898)^(1/12)-1</f>
        <v>0.00526358207273781</v>
      </c>
    </row>
    <row r="899" customFormat="false" ht="15" hidden="false" customHeight="false" outlineLevel="0" collapsed="false">
      <c r="A899" s="4" t="n">
        <v>895</v>
      </c>
      <c r="B899" s="14" t="n">
        <f aca="false">A899/12</f>
        <v>74.5833333333333</v>
      </c>
      <c r="C899" s="15" t="n">
        <f aca="false">INT(A899/6)</f>
        <v>149</v>
      </c>
      <c r="D899" s="16" t="n">
        <f aca="false">IF(C899=0,(1+Dic2025!$G$6)^(-B899),EXP(LN(INDEX(Dic2025!$H$6:$H$205,C899))+(LN(INDEX(Dic2025!$H$6:$H$205,MIN(C899+1,200)))-LN(INDEX(Dic2025!$H$6:$H$205,C899)))*(A899-6*C899)/6))</f>
        <v>0.00910846416544519</v>
      </c>
      <c r="E899" s="12" t="n">
        <f aca="false">D899^(-1/B899)-1</f>
        <v>0.065024</v>
      </c>
      <c r="F899" s="12" t="n">
        <f aca="false">(1+E899)^(1/12)-1</f>
        <v>0.00526358207273781</v>
      </c>
      <c r="G899" s="16" t="n">
        <f aca="false">IF(C899=0,(1+Dic2025!$J$6)^(-B899),EXP(LN(INDEX(Dic2025!$K$6:$K$205,C899))+(LN(INDEX(Dic2025!$K$6:$K$205,MIN(C899+1,200)))-LN(INDEX(Dic2025!$K$6:$K$205,C899)))*(A899-6*C899)/6))</f>
        <v>0.00910846416544519</v>
      </c>
      <c r="H899" s="12" t="n">
        <f aca="false">G899^(-1/B899)-1</f>
        <v>0.065024</v>
      </c>
      <c r="I899" s="12" t="n">
        <f aca="false">(1+H899)^(1/12)-1</f>
        <v>0.00526358207273781</v>
      </c>
      <c r="J899" s="16" t="n">
        <f aca="false">IF(C899=0,(1+Dic2025!$M$6)^(-B899),EXP(LN(INDEX(Dic2025!$N$6:$N$205,C899))+(LN(INDEX(Dic2025!$N$6:$N$205,MIN(C899+1,200)))-LN(INDEX(Dic2025!$N$6:$N$205,C899)))*(A899-6*C899)/6))</f>
        <v>0.00910846416544519</v>
      </c>
      <c r="K899" s="12" t="n">
        <f aca="false">J899^(-1/B899)-1</f>
        <v>0.065024</v>
      </c>
      <c r="L899" s="12" t="n">
        <f aca="false">(1+K899)^(1/12)-1</f>
        <v>0.00526358207273781</v>
      </c>
    </row>
    <row r="900" customFormat="false" ht="15" hidden="false" customHeight="false" outlineLevel="0" collapsed="false">
      <c r="A900" s="4" t="n">
        <v>896</v>
      </c>
      <c r="B900" s="14" t="n">
        <f aca="false">A900/12</f>
        <v>74.6666666666667</v>
      </c>
      <c r="C900" s="15" t="n">
        <f aca="false">INT(A900/6)</f>
        <v>149</v>
      </c>
      <c r="D900" s="16" t="n">
        <f aca="false">IF(C900=0,(1+Dic2025!$G$6)^(-B900),EXP(LN(INDEX(Dic2025!$H$6:$H$205,C900))+(LN(INDEX(Dic2025!$H$6:$H$205,MIN(C900+1,200)))-LN(INDEX(Dic2025!$H$6:$H$205,C900)))*(A900-6*C900)/6))</f>
        <v>0.0090607720481275</v>
      </c>
      <c r="E900" s="12" t="n">
        <f aca="false">D900^(-1/B900)-1</f>
        <v>0.065024</v>
      </c>
      <c r="F900" s="12" t="n">
        <f aca="false">(1+E900)^(1/12)-1</f>
        <v>0.00526358207273781</v>
      </c>
      <c r="G900" s="16" t="n">
        <f aca="false">IF(C900=0,(1+Dic2025!$J$6)^(-B900),EXP(LN(INDEX(Dic2025!$K$6:$K$205,C900))+(LN(INDEX(Dic2025!$K$6:$K$205,MIN(C900+1,200)))-LN(INDEX(Dic2025!$K$6:$K$205,C900)))*(A900-6*C900)/6))</f>
        <v>0.0090607720481275</v>
      </c>
      <c r="H900" s="12" t="n">
        <f aca="false">G900^(-1/B900)-1</f>
        <v>0.065024</v>
      </c>
      <c r="I900" s="12" t="n">
        <f aca="false">(1+H900)^(1/12)-1</f>
        <v>0.00526358207273781</v>
      </c>
      <c r="J900" s="16" t="n">
        <f aca="false">IF(C900=0,(1+Dic2025!$M$6)^(-B900),EXP(LN(INDEX(Dic2025!$N$6:$N$205,C900))+(LN(INDEX(Dic2025!$N$6:$N$205,MIN(C900+1,200)))-LN(INDEX(Dic2025!$N$6:$N$205,C900)))*(A900-6*C900)/6))</f>
        <v>0.0090607720481275</v>
      </c>
      <c r="K900" s="12" t="n">
        <f aca="false">J900^(-1/B900)-1</f>
        <v>0.065024</v>
      </c>
      <c r="L900" s="12" t="n">
        <f aca="false">(1+K900)^(1/12)-1</f>
        <v>0.00526358207273781</v>
      </c>
    </row>
    <row r="901" customFormat="false" ht="15" hidden="false" customHeight="false" outlineLevel="0" collapsed="false">
      <c r="A901" s="4" t="n">
        <v>897</v>
      </c>
      <c r="B901" s="14" t="n">
        <f aca="false">A901/12</f>
        <v>74.75</v>
      </c>
      <c r="C901" s="15" t="n">
        <f aca="false">INT(A901/6)</f>
        <v>149</v>
      </c>
      <c r="D901" s="16" t="n">
        <f aca="false">IF(C901=0,(1+Dic2025!$G$6)^(-B901),EXP(LN(INDEX(Dic2025!$H$6:$H$205,C901))+(LN(INDEX(Dic2025!$H$6:$H$205,MIN(C901+1,200)))-LN(INDEX(Dic2025!$H$6:$H$205,C901)))*(A901-6*C901)/6))</f>
        <v>0.00901332964777778</v>
      </c>
      <c r="E901" s="12" t="n">
        <f aca="false">D901^(-1/B901)-1</f>
        <v>0.065024</v>
      </c>
      <c r="F901" s="12" t="n">
        <f aca="false">(1+E901)^(1/12)-1</f>
        <v>0.00526358207273781</v>
      </c>
      <c r="G901" s="16" t="n">
        <f aca="false">IF(C901=0,(1+Dic2025!$J$6)^(-B901),EXP(LN(INDEX(Dic2025!$K$6:$K$205,C901))+(LN(INDEX(Dic2025!$K$6:$K$205,MIN(C901+1,200)))-LN(INDEX(Dic2025!$K$6:$K$205,C901)))*(A901-6*C901)/6))</f>
        <v>0.00901332964777778</v>
      </c>
      <c r="H901" s="12" t="n">
        <f aca="false">G901^(-1/B901)-1</f>
        <v>0.065024</v>
      </c>
      <c r="I901" s="12" t="n">
        <f aca="false">(1+H901)^(1/12)-1</f>
        <v>0.00526358207273781</v>
      </c>
      <c r="J901" s="16" t="n">
        <f aca="false">IF(C901=0,(1+Dic2025!$M$6)^(-B901),EXP(LN(INDEX(Dic2025!$N$6:$N$205,C901))+(LN(INDEX(Dic2025!$N$6:$N$205,MIN(C901+1,200)))-LN(INDEX(Dic2025!$N$6:$N$205,C901)))*(A901-6*C901)/6))</f>
        <v>0.00901332964777778</v>
      </c>
      <c r="K901" s="12" t="n">
        <f aca="false">J901^(-1/B901)-1</f>
        <v>0.065024</v>
      </c>
      <c r="L901" s="12" t="n">
        <f aca="false">(1+K901)^(1/12)-1</f>
        <v>0.00526358207273781</v>
      </c>
    </row>
    <row r="902" customFormat="false" ht="15" hidden="false" customHeight="false" outlineLevel="0" collapsed="false">
      <c r="A902" s="4" t="n">
        <v>898</v>
      </c>
      <c r="B902" s="14" t="n">
        <f aca="false">A902/12</f>
        <v>74.8333333333333</v>
      </c>
      <c r="C902" s="15" t="n">
        <f aca="false">INT(A902/6)</f>
        <v>149</v>
      </c>
      <c r="D902" s="16" t="n">
        <f aca="false">IF(C902=0,(1+Dic2025!$G$6)^(-B902),EXP(LN(INDEX(Dic2025!$H$6:$H$205,C902))+(LN(INDEX(Dic2025!$H$6:$H$205,MIN(C902+1,200)))-LN(INDEX(Dic2025!$H$6:$H$205,C902)))*(A902-6*C902)/6))</f>
        <v>0.00896613565687253</v>
      </c>
      <c r="E902" s="12" t="n">
        <f aca="false">D902^(-1/B902)-1</f>
        <v>0.065024</v>
      </c>
      <c r="F902" s="12" t="n">
        <f aca="false">(1+E902)^(1/12)-1</f>
        <v>0.00526358207273781</v>
      </c>
      <c r="G902" s="16" t="n">
        <f aca="false">IF(C902=0,(1+Dic2025!$J$6)^(-B902),EXP(LN(INDEX(Dic2025!$K$6:$K$205,C902))+(LN(INDEX(Dic2025!$K$6:$K$205,MIN(C902+1,200)))-LN(INDEX(Dic2025!$K$6:$K$205,C902)))*(A902-6*C902)/6))</f>
        <v>0.00896613565687253</v>
      </c>
      <c r="H902" s="12" t="n">
        <f aca="false">G902^(-1/B902)-1</f>
        <v>0.065024</v>
      </c>
      <c r="I902" s="12" t="n">
        <f aca="false">(1+H902)^(1/12)-1</f>
        <v>0.00526358207273781</v>
      </c>
      <c r="J902" s="16" t="n">
        <f aca="false">IF(C902=0,(1+Dic2025!$M$6)^(-B902),EXP(LN(INDEX(Dic2025!$N$6:$N$205,C902))+(LN(INDEX(Dic2025!$N$6:$N$205,MIN(C902+1,200)))-LN(INDEX(Dic2025!$N$6:$N$205,C902)))*(A902-6*C902)/6))</f>
        <v>0.00896613565687253</v>
      </c>
      <c r="K902" s="12" t="n">
        <f aca="false">J902^(-1/B902)-1</f>
        <v>0.065024</v>
      </c>
      <c r="L902" s="12" t="n">
        <f aca="false">(1+K902)^(1/12)-1</f>
        <v>0.00526358207273781</v>
      </c>
    </row>
    <row r="903" customFormat="false" ht="15" hidden="false" customHeight="false" outlineLevel="0" collapsed="false">
      <c r="A903" s="4" t="n">
        <v>899</v>
      </c>
      <c r="B903" s="14" t="n">
        <f aca="false">A903/12</f>
        <v>74.9166666666667</v>
      </c>
      <c r="C903" s="15" t="n">
        <f aca="false">INT(A903/6)</f>
        <v>149</v>
      </c>
      <c r="D903" s="16" t="n">
        <f aca="false">IF(C903=0,(1+Dic2025!$G$6)^(-B903),EXP(LN(INDEX(Dic2025!$H$6:$H$205,C903))+(LN(INDEX(Dic2025!$H$6:$H$205,MIN(C903+1,200)))-LN(INDEX(Dic2025!$H$6:$H$205,C903)))*(A903-6*C903)/6))</f>
        <v>0.00891918877473448</v>
      </c>
      <c r="E903" s="12" t="n">
        <f aca="false">D903^(-1/B903)-1</f>
        <v>0.065024</v>
      </c>
      <c r="F903" s="12" t="n">
        <f aca="false">(1+E903)^(1/12)-1</f>
        <v>0.00526358207273781</v>
      </c>
      <c r="G903" s="16" t="n">
        <f aca="false">IF(C903=0,(1+Dic2025!$J$6)^(-B903),EXP(LN(INDEX(Dic2025!$K$6:$K$205,C903))+(LN(INDEX(Dic2025!$K$6:$K$205,MIN(C903+1,200)))-LN(INDEX(Dic2025!$K$6:$K$205,C903)))*(A903-6*C903)/6))</f>
        <v>0.00891918877473448</v>
      </c>
      <c r="H903" s="12" t="n">
        <f aca="false">G903^(-1/B903)-1</f>
        <v>0.065024</v>
      </c>
      <c r="I903" s="12" t="n">
        <f aca="false">(1+H903)^(1/12)-1</f>
        <v>0.00526358207273781</v>
      </c>
      <c r="J903" s="16" t="n">
        <f aca="false">IF(C903=0,(1+Dic2025!$M$6)^(-B903),EXP(LN(INDEX(Dic2025!$N$6:$N$205,C903))+(LN(INDEX(Dic2025!$N$6:$N$205,MIN(C903+1,200)))-LN(INDEX(Dic2025!$N$6:$N$205,C903)))*(A903-6*C903)/6))</f>
        <v>0.00891918877473448</v>
      </c>
      <c r="K903" s="12" t="n">
        <f aca="false">J903^(-1/B903)-1</f>
        <v>0.065024</v>
      </c>
      <c r="L903" s="12" t="n">
        <f aca="false">(1+K903)^(1/12)-1</f>
        <v>0.00526358207273781</v>
      </c>
    </row>
    <row r="904" customFormat="false" ht="15" hidden="false" customHeight="false" outlineLevel="0" collapsed="false">
      <c r="A904" s="4" t="n">
        <v>900</v>
      </c>
      <c r="B904" s="14" t="n">
        <f aca="false">A904/12</f>
        <v>75</v>
      </c>
      <c r="C904" s="15" t="n">
        <f aca="false">INT(A904/6)</f>
        <v>150</v>
      </c>
      <c r="D904" s="16" t="n">
        <f aca="false">IF(C904=0,(1+Dic2025!$G$6)^(-B904),EXP(LN(INDEX(Dic2025!$H$6:$H$205,C904))+(LN(INDEX(Dic2025!$H$6:$H$205,MIN(C904+1,200)))-LN(INDEX(Dic2025!$H$6:$H$205,C904)))*(A904-6*C904)/6))</f>
        <v>0.00887248770749671</v>
      </c>
      <c r="E904" s="12" t="n">
        <f aca="false">D904^(-1/B904)-1</f>
        <v>0.065024</v>
      </c>
      <c r="F904" s="12" t="n">
        <f aca="false">(1+E904)^(1/12)-1</f>
        <v>0.00526358207273781</v>
      </c>
      <c r="G904" s="16" t="n">
        <f aca="false">IF(C904=0,(1+Dic2025!$J$6)^(-B904),EXP(LN(INDEX(Dic2025!$K$6:$K$205,C904))+(LN(INDEX(Dic2025!$K$6:$K$205,MIN(C904+1,200)))-LN(INDEX(Dic2025!$K$6:$K$205,C904)))*(A904-6*C904)/6))</f>
        <v>0.00887248770749671</v>
      </c>
      <c r="H904" s="12" t="n">
        <f aca="false">G904^(-1/B904)-1</f>
        <v>0.065024</v>
      </c>
      <c r="I904" s="12" t="n">
        <f aca="false">(1+H904)^(1/12)-1</f>
        <v>0.00526358207273781</v>
      </c>
      <c r="J904" s="16" t="n">
        <f aca="false">IF(C904=0,(1+Dic2025!$M$6)^(-B904),EXP(LN(INDEX(Dic2025!$N$6:$N$205,C904))+(LN(INDEX(Dic2025!$N$6:$N$205,MIN(C904+1,200)))-LN(INDEX(Dic2025!$N$6:$N$205,C904)))*(A904-6*C904)/6))</f>
        <v>0.00887248770749671</v>
      </c>
      <c r="K904" s="12" t="n">
        <f aca="false">J904^(-1/B904)-1</f>
        <v>0.065024</v>
      </c>
      <c r="L904" s="12" t="n">
        <f aca="false">(1+K904)^(1/12)-1</f>
        <v>0.00526358207273781</v>
      </c>
    </row>
    <row r="905" customFormat="false" ht="15" hidden="false" customHeight="false" outlineLevel="0" collapsed="false">
      <c r="A905" s="4" t="n">
        <v>901</v>
      </c>
      <c r="B905" s="14" t="n">
        <f aca="false">A905/12</f>
        <v>75.0833333333333</v>
      </c>
      <c r="C905" s="15" t="n">
        <f aca="false">INT(A905/6)</f>
        <v>150</v>
      </c>
      <c r="D905" s="16" t="n">
        <f aca="false">IF(C905=0,(1+Dic2025!$G$6)^(-B905),EXP(LN(INDEX(Dic2025!$H$6:$H$205,C905))+(LN(INDEX(Dic2025!$H$6:$H$205,MIN(C905+1,200)))-LN(INDEX(Dic2025!$H$6:$H$205,C905)))*(A905-6*C905)/6))</f>
        <v>0.00882603116806704</v>
      </c>
      <c r="E905" s="12" t="n">
        <f aca="false">D905^(-1/B905)-1</f>
        <v>0.065024</v>
      </c>
      <c r="F905" s="12" t="n">
        <f aca="false">(1+E905)^(1/12)-1</f>
        <v>0.00526358207273781</v>
      </c>
      <c r="G905" s="16" t="n">
        <f aca="false">IF(C905=0,(1+Dic2025!$J$6)^(-B905),EXP(LN(INDEX(Dic2025!$K$6:$K$205,C905))+(LN(INDEX(Dic2025!$K$6:$K$205,MIN(C905+1,200)))-LN(INDEX(Dic2025!$K$6:$K$205,C905)))*(A905-6*C905)/6))</f>
        <v>0.00882603116806704</v>
      </c>
      <c r="H905" s="12" t="n">
        <f aca="false">G905^(-1/B905)-1</f>
        <v>0.065024</v>
      </c>
      <c r="I905" s="12" t="n">
        <f aca="false">(1+H905)^(1/12)-1</f>
        <v>0.00526358207273781</v>
      </c>
      <c r="J905" s="16" t="n">
        <f aca="false">IF(C905=0,(1+Dic2025!$M$6)^(-B905),EXP(LN(INDEX(Dic2025!$N$6:$N$205,C905))+(LN(INDEX(Dic2025!$N$6:$N$205,MIN(C905+1,200)))-LN(INDEX(Dic2025!$N$6:$N$205,C905)))*(A905-6*C905)/6))</f>
        <v>0.00882603116806704</v>
      </c>
      <c r="K905" s="12" t="n">
        <f aca="false">J905^(-1/B905)-1</f>
        <v>0.065024</v>
      </c>
      <c r="L905" s="12" t="n">
        <f aca="false">(1+K905)^(1/12)-1</f>
        <v>0.00526358207273781</v>
      </c>
    </row>
    <row r="906" customFormat="false" ht="15" hidden="false" customHeight="false" outlineLevel="0" collapsed="false">
      <c r="A906" s="4" t="n">
        <v>902</v>
      </c>
      <c r="B906" s="14" t="n">
        <f aca="false">A906/12</f>
        <v>75.1666666666667</v>
      </c>
      <c r="C906" s="15" t="n">
        <f aca="false">INT(A906/6)</f>
        <v>150</v>
      </c>
      <c r="D906" s="16" t="n">
        <f aca="false">IF(C906=0,(1+Dic2025!$G$6)^(-B906),EXP(LN(INDEX(Dic2025!$H$6:$H$205,C906))+(LN(INDEX(Dic2025!$H$6:$H$205,MIN(C906+1,200)))-LN(INDEX(Dic2025!$H$6:$H$205,C906)))*(A906-6*C906)/6))</f>
        <v>0.00877981787609254</v>
      </c>
      <c r="E906" s="12" t="n">
        <f aca="false">D906^(-1/B906)-1</f>
        <v>0.065024</v>
      </c>
      <c r="F906" s="12" t="n">
        <f aca="false">(1+E906)^(1/12)-1</f>
        <v>0.00526358207273781</v>
      </c>
      <c r="G906" s="16" t="n">
        <f aca="false">IF(C906=0,(1+Dic2025!$J$6)^(-B906),EXP(LN(INDEX(Dic2025!$K$6:$K$205,C906))+(LN(INDEX(Dic2025!$K$6:$K$205,MIN(C906+1,200)))-LN(INDEX(Dic2025!$K$6:$K$205,C906)))*(A906-6*C906)/6))</f>
        <v>0.00877981787609254</v>
      </c>
      <c r="H906" s="12" t="n">
        <f aca="false">G906^(-1/B906)-1</f>
        <v>0.065024</v>
      </c>
      <c r="I906" s="12" t="n">
        <f aca="false">(1+H906)^(1/12)-1</f>
        <v>0.00526358207273781</v>
      </c>
      <c r="J906" s="16" t="n">
        <f aca="false">IF(C906=0,(1+Dic2025!$M$6)^(-B906),EXP(LN(INDEX(Dic2025!$N$6:$N$205,C906))+(LN(INDEX(Dic2025!$N$6:$N$205,MIN(C906+1,200)))-LN(INDEX(Dic2025!$N$6:$N$205,C906)))*(A906-6*C906)/6))</f>
        <v>0.00877981787609254</v>
      </c>
      <c r="K906" s="12" t="n">
        <f aca="false">J906^(-1/B906)-1</f>
        <v>0.065024</v>
      </c>
      <c r="L906" s="12" t="n">
        <f aca="false">(1+K906)^(1/12)-1</f>
        <v>0.00526358207273781</v>
      </c>
    </row>
    <row r="907" customFormat="false" ht="15" hidden="false" customHeight="false" outlineLevel="0" collapsed="false">
      <c r="A907" s="4" t="n">
        <v>903</v>
      </c>
      <c r="B907" s="14" t="n">
        <f aca="false">A907/12</f>
        <v>75.25</v>
      </c>
      <c r="C907" s="15" t="n">
        <f aca="false">INT(A907/6)</f>
        <v>150</v>
      </c>
      <c r="D907" s="16" t="n">
        <f aca="false">IF(C907=0,(1+Dic2025!$G$6)^(-B907),EXP(LN(INDEX(Dic2025!$H$6:$H$205,C907))+(LN(INDEX(Dic2025!$H$6:$H$205,MIN(C907+1,200)))-LN(INDEX(Dic2025!$H$6:$H$205,C907)))*(A907-6*C907)/6))</f>
        <v>0.00873384655792421</v>
      </c>
      <c r="E907" s="12" t="n">
        <f aca="false">D907^(-1/B907)-1</f>
        <v>0.065024</v>
      </c>
      <c r="F907" s="12" t="n">
        <f aca="false">(1+E907)^(1/12)-1</f>
        <v>0.00526358207273781</v>
      </c>
      <c r="G907" s="16" t="n">
        <f aca="false">IF(C907=0,(1+Dic2025!$J$6)^(-B907),EXP(LN(INDEX(Dic2025!$K$6:$K$205,C907))+(LN(INDEX(Dic2025!$K$6:$K$205,MIN(C907+1,200)))-LN(INDEX(Dic2025!$K$6:$K$205,C907)))*(A907-6*C907)/6))</f>
        <v>0.00873384655792421</v>
      </c>
      <c r="H907" s="12" t="n">
        <f aca="false">G907^(-1/B907)-1</f>
        <v>0.065024</v>
      </c>
      <c r="I907" s="12" t="n">
        <f aca="false">(1+H907)^(1/12)-1</f>
        <v>0.00526358207273781</v>
      </c>
      <c r="J907" s="16" t="n">
        <f aca="false">IF(C907=0,(1+Dic2025!$M$6)^(-B907),EXP(LN(INDEX(Dic2025!$N$6:$N$205,C907))+(LN(INDEX(Dic2025!$N$6:$N$205,MIN(C907+1,200)))-LN(INDEX(Dic2025!$N$6:$N$205,C907)))*(A907-6*C907)/6))</f>
        <v>0.00873384655792421</v>
      </c>
      <c r="K907" s="12" t="n">
        <f aca="false">J907^(-1/B907)-1</f>
        <v>0.065024</v>
      </c>
      <c r="L907" s="12" t="n">
        <f aca="false">(1+K907)^(1/12)-1</f>
        <v>0.00526358207273781</v>
      </c>
    </row>
    <row r="908" customFormat="false" ht="15" hidden="false" customHeight="false" outlineLevel="0" collapsed="false">
      <c r="A908" s="4" t="n">
        <v>904</v>
      </c>
      <c r="B908" s="14" t="n">
        <f aca="false">A908/12</f>
        <v>75.3333333333333</v>
      </c>
      <c r="C908" s="15" t="n">
        <f aca="false">INT(A908/6)</f>
        <v>150</v>
      </c>
      <c r="D908" s="16" t="n">
        <f aca="false">IF(C908=0,(1+Dic2025!$G$6)^(-B908),EXP(LN(INDEX(Dic2025!$H$6:$H$205,C908))+(LN(INDEX(Dic2025!$H$6:$H$205,MIN(C908+1,200)))-LN(INDEX(Dic2025!$H$6:$H$205,C908)))*(A908-6*C908)/6))</f>
        <v>0.00868811594658191</v>
      </c>
      <c r="E908" s="12" t="n">
        <f aca="false">D908^(-1/B908)-1</f>
        <v>0.065024</v>
      </c>
      <c r="F908" s="12" t="n">
        <f aca="false">(1+E908)^(1/12)-1</f>
        <v>0.00526358207273781</v>
      </c>
      <c r="G908" s="16" t="n">
        <f aca="false">IF(C908=0,(1+Dic2025!$J$6)^(-B908),EXP(LN(INDEX(Dic2025!$K$6:$K$205,C908))+(LN(INDEX(Dic2025!$K$6:$K$205,MIN(C908+1,200)))-LN(INDEX(Dic2025!$K$6:$K$205,C908)))*(A908-6*C908)/6))</f>
        <v>0.00868811594658191</v>
      </c>
      <c r="H908" s="12" t="n">
        <f aca="false">G908^(-1/B908)-1</f>
        <v>0.065024</v>
      </c>
      <c r="I908" s="12" t="n">
        <f aca="false">(1+H908)^(1/12)-1</f>
        <v>0.00526358207273781</v>
      </c>
      <c r="J908" s="16" t="n">
        <f aca="false">IF(C908=0,(1+Dic2025!$M$6)^(-B908),EXP(LN(INDEX(Dic2025!$N$6:$N$205,C908))+(LN(INDEX(Dic2025!$N$6:$N$205,MIN(C908+1,200)))-LN(INDEX(Dic2025!$N$6:$N$205,C908)))*(A908-6*C908)/6))</f>
        <v>0.00868811594658191</v>
      </c>
      <c r="K908" s="12" t="n">
        <f aca="false">J908^(-1/B908)-1</f>
        <v>0.065024</v>
      </c>
      <c r="L908" s="12" t="n">
        <f aca="false">(1+K908)^(1/12)-1</f>
        <v>0.00526358207273781</v>
      </c>
    </row>
    <row r="909" customFormat="false" ht="15" hidden="false" customHeight="false" outlineLevel="0" collapsed="false">
      <c r="A909" s="4" t="n">
        <v>905</v>
      </c>
      <c r="B909" s="14" t="n">
        <f aca="false">A909/12</f>
        <v>75.4166666666667</v>
      </c>
      <c r="C909" s="15" t="n">
        <f aca="false">INT(A909/6)</f>
        <v>150</v>
      </c>
      <c r="D909" s="16" t="n">
        <f aca="false">IF(C909=0,(1+Dic2025!$G$6)^(-B909),EXP(LN(INDEX(Dic2025!$H$6:$H$205,C909))+(LN(INDEX(Dic2025!$H$6:$H$205,MIN(C909+1,200)))-LN(INDEX(Dic2025!$H$6:$H$205,C909)))*(A909-6*C909)/6))</f>
        <v>0.00864262478171944</v>
      </c>
      <c r="E909" s="12" t="n">
        <f aca="false">D909^(-1/B909)-1</f>
        <v>0.065024</v>
      </c>
      <c r="F909" s="12" t="n">
        <f aca="false">(1+E909)^(1/12)-1</f>
        <v>0.00526358207273781</v>
      </c>
      <c r="G909" s="16" t="n">
        <f aca="false">IF(C909=0,(1+Dic2025!$J$6)^(-B909),EXP(LN(INDEX(Dic2025!$K$6:$K$205,C909))+(LN(INDEX(Dic2025!$K$6:$K$205,MIN(C909+1,200)))-LN(INDEX(Dic2025!$K$6:$K$205,C909)))*(A909-6*C909)/6))</f>
        <v>0.00864262478171944</v>
      </c>
      <c r="H909" s="12" t="n">
        <f aca="false">G909^(-1/B909)-1</f>
        <v>0.065024</v>
      </c>
      <c r="I909" s="12" t="n">
        <f aca="false">(1+H909)^(1/12)-1</f>
        <v>0.00526358207273781</v>
      </c>
      <c r="J909" s="16" t="n">
        <f aca="false">IF(C909=0,(1+Dic2025!$M$6)^(-B909),EXP(LN(INDEX(Dic2025!$N$6:$N$205,C909))+(LN(INDEX(Dic2025!$N$6:$N$205,MIN(C909+1,200)))-LN(INDEX(Dic2025!$N$6:$N$205,C909)))*(A909-6*C909)/6))</f>
        <v>0.00864262478171944</v>
      </c>
      <c r="K909" s="12" t="n">
        <f aca="false">J909^(-1/B909)-1</f>
        <v>0.065024</v>
      </c>
      <c r="L909" s="12" t="n">
        <f aca="false">(1+K909)^(1/12)-1</f>
        <v>0.00526358207273781</v>
      </c>
    </row>
    <row r="910" customFormat="false" ht="15" hidden="false" customHeight="false" outlineLevel="0" collapsed="false">
      <c r="A910" s="4" t="n">
        <v>906</v>
      </c>
      <c r="B910" s="14" t="n">
        <f aca="false">A910/12</f>
        <v>75.5</v>
      </c>
      <c r="C910" s="15" t="n">
        <f aca="false">INT(A910/6)</f>
        <v>151</v>
      </c>
      <c r="D910" s="16" t="n">
        <f aca="false">IF(C910=0,(1+Dic2025!$G$6)^(-B910),EXP(LN(INDEX(Dic2025!$H$6:$H$205,C910))+(LN(INDEX(Dic2025!$H$6:$H$205,MIN(C910+1,200)))-LN(INDEX(Dic2025!$H$6:$H$205,C910)))*(A910-6*C910)/6))</f>
        <v>0.00859737180958983</v>
      </c>
      <c r="E910" s="12" t="n">
        <f aca="false">D910^(-1/B910)-1</f>
        <v>0.065024</v>
      </c>
      <c r="F910" s="12" t="n">
        <f aca="false">(1+E910)^(1/12)-1</f>
        <v>0.00526358207273781</v>
      </c>
      <c r="G910" s="16" t="n">
        <f aca="false">IF(C910=0,(1+Dic2025!$J$6)^(-B910),EXP(LN(INDEX(Dic2025!$K$6:$K$205,C910))+(LN(INDEX(Dic2025!$K$6:$K$205,MIN(C910+1,200)))-LN(INDEX(Dic2025!$K$6:$K$205,C910)))*(A910-6*C910)/6))</f>
        <v>0.00859737180958983</v>
      </c>
      <c r="H910" s="12" t="n">
        <f aca="false">G910^(-1/B910)-1</f>
        <v>0.065024</v>
      </c>
      <c r="I910" s="12" t="n">
        <f aca="false">(1+H910)^(1/12)-1</f>
        <v>0.00526358207273781</v>
      </c>
      <c r="J910" s="16" t="n">
        <f aca="false">IF(C910=0,(1+Dic2025!$M$6)^(-B910),EXP(LN(INDEX(Dic2025!$N$6:$N$205,C910))+(LN(INDEX(Dic2025!$N$6:$N$205,MIN(C910+1,200)))-LN(INDEX(Dic2025!$N$6:$N$205,C910)))*(A910-6*C910)/6))</f>
        <v>0.00859737180958983</v>
      </c>
      <c r="K910" s="12" t="n">
        <f aca="false">J910^(-1/B910)-1</f>
        <v>0.065024</v>
      </c>
      <c r="L910" s="12" t="n">
        <f aca="false">(1+K910)^(1/12)-1</f>
        <v>0.00526358207273781</v>
      </c>
    </row>
    <row r="911" customFormat="false" ht="15" hidden="false" customHeight="false" outlineLevel="0" collapsed="false">
      <c r="A911" s="4" t="n">
        <v>907</v>
      </c>
      <c r="B911" s="14" t="n">
        <f aca="false">A911/12</f>
        <v>75.5833333333333</v>
      </c>
      <c r="C911" s="15" t="n">
        <f aca="false">INT(A911/6)</f>
        <v>151</v>
      </c>
      <c r="D911" s="16" t="n">
        <f aca="false">IF(C911=0,(1+Dic2025!$G$6)^(-B911),EXP(LN(INDEX(Dic2025!$H$6:$H$205,C911))+(LN(INDEX(Dic2025!$H$6:$H$205,MIN(C911+1,200)))-LN(INDEX(Dic2025!$H$6:$H$205,C911)))*(A911-6*C911)/6))</f>
        <v>0.00854186539883894</v>
      </c>
      <c r="E911" s="12" t="n">
        <f aca="false">D911^(-1/B911)-1</f>
        <v>0.0650412945395498</v>
      </c>
      <c r="F911" s="12" t="n">
        <f aca="false">(1+E911)^(1/12)-1</f>
        <v>0.00526494240525799</v>
      </c>
      <c r="G911" s="16" t="n">
        <f aca="false">IF(C911=0,(1+Dic2025!$J$6)^(-B911),EXP(LN(INDEX(Dic2025!$K$6:$K$205,C911))+(LN(INDEX(Dic2025!$K$6:$K$205,MIN(C911+1,200)))-LN(INDEX(Dic2025!$K$6:$K$205,C911)))*(A911-6*C911)/6))</f>
        <v>0.00854186539883894</v>
      </c>
      <c r="H911" s="12" t="n">
        <f aca="false">G911^(-1/B911)-1</f>
        <v>0.0650412945395498</v>
      </c>
      <c r="I911" s="12" t="n">
        <f aca="false">(1+H911)^(1/12)-1</f>
        <v>0.00526494240525799</v>
      </c>
      <c r="J911" s="16" t="n">
        <f aca="false">IF(C911=0,(1+Dic2025!$M$6)^(-B911),EXP(LN(INDEX(Dic2025!$N$6:$N$205,C911))+(LN(INDEX(Dic2025!$N$6:$N$205,MIN(C911+1,200)))-LN(INDEX(Dic2025!$N$6:$N$205,C911)))*(A911-6*C911)/6))</f>
        <v>0.00854186539883894</v>
      </c>
      <c r="K911" s="12" t="n">
        <f aca="false">J911^(-1/B911)-1</f>
        <v>0.0650412945395498</v>
      </c>
      <c r="L911" s="12" t="n">
        <f aca="false">(1+K911)^(1/12)-1</f>
        <v>0.00526494240525799</v>
      </c>
    </row>
    <row r="912" customFormat="false" ht="15" hidden="false" customHeight="false" outlineLevel="0" collapsed="false">
      <c r="A912" s="4" t="n">
        <v>908</v>
      </c>
      <c r="B912" s="14" t="n">
        <f aca="false">A912/12</f>
        <v>75.6666666666667</v>
      </c>
      <c r="C912" s="15" t="n">
        <f aca="false">INT(A912/6)</f>
        <v>151</v>
      </c>
      <c r="D912" s="16" t="n">
        <f aca="false">IF(C912=0,(1+Dic2025!$G$6)^(-B912),EXP(LN(INDEX(Dic2025!$H$6:$H$205,C912))+(LN(INDEX(Dic2025!$H$6:$H$205,MIN(C912+1,200)))-LN(INDEX(Dic2025!$H$6:$H$205,C912)))*(A912-6*C912)/6))</f>
        <v>0.00848671734895724</v>
      </c>
      <c r="E912" s="12" t="n">
        <f aca="false">D912^(-1/B912)-1</f>
        <v>0.0650585512653128</v>
      </c>
      <c r="F912" s="12" t="n">
        <f aca="false">(1+E912)^(1/12)-1</f>
        <v>0.00526629974328574</v>
      </c>
      <c r="G912" s="16" t="n">
        <f aca="false">IF(C912=0,(1+Dic2025!$J$6)^(-B912),EXP(LN(INDEX(Dic2025!$K$6:$K$205,C912))+(LN(INDEX(Dic2025!$K$6:$K$205,MIN(C912+1,200)))-LN(INDEX(Dic2025!$K$6:$K$205,C912)))*(A912-6*C912)/6))</f>
        <v>0.00848671734895724</v>
      </c>
      <c r="H912" s="12" t="n">
        <f aca="false">G912^(-1/B912)-1</f>
        <v>0.0650585512653128</v>
      </c>
      <c r="I912" s="12" t="n">
        <f aca="false">(1+H912)^(1/12)-1</f>
        <v>0.00526629974328574</v>
      </c>
      <c r="J912" s="16" t="n">
        <f aca="false">IF(C912=0,(1+Dic2025!$M$6)^(-B912),EXP(LN(INDEX(Dic2025!$N$6:$N$205,C912))+(LN(INDEX(Dic2025!$N$6:$N$205,MIN(C912+1,200)))-LN(INDEX(Dic2025!$N$6:$N$205,C912)))*(A912-6*C912)/6))</f>
        <v>0.00848671734895724</v>
      </c>
      <c r="K912" s="12" t="n">
        <f aca="false">J912^(-1/B912)-1</f>
        <v>0.0650585512653128</v>
      </c>
      <c r="L912" s="12" t="n">
        <f aca="false">(1+K912)^(1/12)-1</f>
        <v>0.00526629974328574</v>
      </c>
    </row>
    <row r="913" customFormat="false" ht="15" hidden="false" customHeight="false" outlineLevel="0" collapsed="false">
      <c r="A913" s="4" t="n">
        <v>909</v>
      </c>
      <c r="B913" s="14" t="n">
        <f aca="false">A913/12</f>
        <v>75.75</v>
      </c>
      <c r="C913" s="15" t="n">
        <f aca="false">INT(A913/6)</f>
        <v>151</v>
      </c>
      <c r="D913" s="16" t="n">
        <f aca="false">IF(C913=0,(1+Dic2025!$G$6)^(-B913),EXP(LN(INDEX(Dic2025!$H$6:$H$205,C913))+(LN(INDEX(Dic2025!$H$6:$H$205,MIN(C913+1,200)))-LN(INDEX(Dic2025!$H$6:$H$205,C913)))*(A913-6*C913)/6))</f>
        <v>0.00843192534629283</v>
      </c>
      <c r="E913" s="12" t="n">
        <f aca="false">D913^(-1/B913)-1</f>
        <v>0.0650757703011686</v>
      </c>
      <c r="F913" s="12" t="n">
        <f aca="false">(1+E913)^(1/12)-1</f>
        <v>0.00526765409669805</v>
      </c>
      <c r="G913" s="16" t="n">
        <f aca="false">IF(C913=0,(1+Dic2025!$J$6)^(-B913),EXP(LN(INDEX(Dic2025!$K$6:$K$205,C913))+(LN(INDEX(Dic2025!$K$6:$K$205,MIN(C913+1,200)))-LN(INDEX(Dic2025!$K$6:$K$205,C913)))*(A913-6*C913)/6))</f>
        <v>0.00843192534629283</v>
      </c>
      <c r="H913" s="12" t="n">
        <f aca="false">G913^(-1/B913)-1</f>
        <v>0.0650757703011686</v>
      </c>
      <c r="I913" s="12" t="n">
        <f aca="false">(1+H913)^(1/12)-1</f>
        <v>0.00526765409669805</v>
      </c>
      <c r="J913" s="16" t="n">
        <f aca="false">IF(C913=0,(1+Dic2025!$M$6)^(-B913),EXP(LN(INDEX(Dic2025!$N$6:$N$205,C913))+(LN(INDEX(Dic2025!$N$6:$N$205,MIN(C913+1,200)))-LN(INDEX(Dic2025!$N$6:$N$205,C913)))*(A913-6*C913)/6))</f>
        <v>0.00843192534629283</v>
      </c>
      <c r="K913" s="12" t="n">
        <f aca="false">J913^(-1/B913)-1</f>
        <v>0.0650757703011686</v>
      </c>
      <c r="L913" s="12" t="n">
        <f aca="false">(1+K913)^(1/12)-1</f>
        <v>0.00526765409669805</v>
      </c>
    </row>
    <row r="914" customFormat="false" ht="15" hidden="false" customHeight="false" outlineLevel="0" collapsed="false">
      <c r="A914" s="4" t="n">
        <v>910</v>
      </c>
      <c r="B914" s="14" t="n">
        <f aca="false">A914/12</f>
        <v>75.8333333333333</v>
      </c>
      <c r="C914" s="15" t="n">
        <f aca="false">INT(A914/6)</f>
        <v>151</v>
      </c>
      <c r="D914" s="16" t="n">
        <f aca="false">IF(C914=0,(1+Dic2025!$G$6)^(-B914),EXP(LN(INDEX(Dic2025!$H$6:$H$205,C914))+(LN(INDEX(Dic2025!$H$6:$H$205,MIN(C914+1,200)))-LN(INDEX(Dic2025!$H$6:$H$205,C914)))*(A914-6*C914)/6))</f>
        <v>0.00837748709213124</v>
      </c>
      <c r="E914" s="12" t="n">
        <f aca="false">D914^(-1/B914)-1</f>
        <v>0.0650929517704564</v>
      </c>
      <c r="F914" s="12" t="n">
        <f aca="false">(1+E914)^(1/12)-1</f>
        <v>0.00526900547532794</v>
      </c>
      <c r="G914" s="16" t="n">
        <f aca="false">IF(C914=0,(1+Dic2025!$J$6)^(-B914),EXP(LN(INDEX(Dic2025!$K$6:$K$205,C914))+(LN(INDEX(Dic2025!$K$6:$K$205,MIN(C914+1,200)))-LN(INDEX(Dic2025!$K$6:$K$205,C914)))*(A914-6*C914)/6))</f>
        <v>0.00837748709213124</v>
      </c>
      <c r="H914" s="12" t="n">
        <f aca="false">G914^(-1/B914)-1</f>
        <v>0.0650929517704564</v>
      </c>
      <c r="I914" s="12" t="n">
        <f aca="false">(1+H914)^(1/12)-1</f>
        <v>0.00526900547532794</v>
      </c>
      <c r="J914" s="16" t="n">
        <f aca="false">IF(C914=0,(1+Dic2025!$M$6)^(-B914),EXP(LN(INDEX(Dic2025!$N$6:$N$205,C914))+(LN(INDEX(Dic2025!$N$6:$N$205,MIN(C914+1,200)))-LN(INDEX(Dic2025!$N$6:$N$205,C914)))*(A914-6*C914)/6))</f>
        <v>0.00837748709213124</v>
      </c>
      <c r="K914" s="12" t="n">
        <f aca="false">J914^(-1/B914)-1</f>
        <v>0.0650929517704564</v>
      </c>
      <c r="L914" s="12" t="n">
        <f aca="false">(1+K914)^(1/12)-1</f>
        <v>0.00526900547532794</v>
      </c>
    </row>
    <row r="915" customFormat="false" ht="15" hidden="false" customHeight="false" outlineLevel="0" collapsed="false">
      <c r="A915" s="4" t="n">
        <v>911</v>
      </c>
      <c r="B915" s="14" t="n">
        <f aca="false">A915/12</f>
        <v>75.9166666666667</v>
      </c>
      <c r="C915" s="15" t="n">
        <f aca="false">INT(A915/6)</f>
        <v>151</v>
      </c>
      <c r="D915" s="16" t="n">
        <f aca="false">IF(C915=0,(1+Dic2025!$G$6)^(-B915),EXP(LN(INDEX(Dic2025!$H$6:$H$205,C915))+(LN(INDEX(Dic2025!$H$6:$H$205,MIN(C915+1,200)))-LN(INDEX(Dic2025!$H$6:$H$205,C915)))*(A915-6*C915)/6))</f>
        <v>0.00832340030259895</v>
      </c>
      <c r="E915" s="12" t="n">
        <f aca="false">D915^(-1/B915)-1</f>
        <v>0.0651100957959778</v>
      </c>
      <c r="F915" s="12" t="n">
        <f aca="false">(1+E915)^(1/12)-1</f>
        <v>0.0052703538889658</v>
      </c>
      <c r="G915" s="16" t="n">
        <f aca="false">IF(C915=0,(1+Dic2025!$J$6)^(-B915),EXP(LN(INDEX(Dic2025!$K$6:$K$205,C915))+(LN(INDEX(Dic2025!$K$6:$K$205,MIN(C915+1,200)))-LN(INDEX(Dic2025!$K$6:$K$205,C915)))*(A915-6*C915)/6))</f>
        <v>0.00832340030259895</v>
      </c>
      <c r="H915" s="12" t="n">
        <f aca="false">G915^(-1/B915)-1</f>
        <v>0.0651100957959778</v>
      </c>
      <c r="I915" s="12" t="n">
        <f aca="false">(1+H915)^(1/12)-1</f>
        <v>0.0052703538889658</v>
      </c>
      <c r="J915" s="16" t="n">
        <f aca="false">IF(C915=0,(1+Dic2025!$M$6)^(-B915),EXP(LN(INDEX(Dic2025!$N$6:$N$205,C915))+(LN(INDEX(Dic2025!$N$6:$N$205,MIN(C915+1,200)))-LN(INDEX(Dic2025!$N$6:$N$205,C915)))*(A915-6*C915)/6))</f>
        <v>0.00832340030259895</v>
      </c>
      <c r="K915" s="12" t="n">
        <f aca="false">J915^(-1/B915)-1</f>
        <v>0.0651100957959778</v>
      </c>
      <c r="L915" s="12" t="n">
        <f aca="false">(1+K915)^(1/12)-1</f>
        <v>0.0052703538889658</v>
      </c>
    </row>
    <row r="916" customFormat="false" ht="15" hidden="false" customHeight="false" outlineLevel="0" collapsed="false">
      <c r="A916" s="4" t="n">
        <v>912</v>
      </c>
      <c r="B916" s="14" t="n">
        <f aca="false">A916/12</f>
        <v>76</v>
      </c>
      <c r="C916" s="15" t="n">
        <f aca="false">INT(A916/6)</f>
        <v>152</v>
      </c>
      <c r="D916" s="16" t="n">
        <f aca="false">IF(C916=0,(1+Dic2025!$G$6)^(-B916),EXP(LN(INDEX(Dic2025!$H$6:$H$205,C916))+(LN(INDEX(Dic2025!$H$6:$H$205,MIN(C916+1,200)))-LN(INDEX(Dic2025!$H$6:$H$205,C916)))*(A916-6*C916)/6))</f>
        <v>0.00826966270856762</v>
      </c>
      <c r="E916" s="12" t="n">
        <f aca="false">D916^(-1/B916)-1</f>
        <v>0.0651272024999998</v>
      </c>
      <c r="F916" s="12" t="n">
        <f aca="false">(1+E916)^(1/12)-1</f>
        <v>0.00527169934735894</v>
      </c>
      <c r="G916" s="16" t="n">
        <f aca="false">IF(C916=0,(1+Dic2025!$J$6)^(-B916),EXP(LN(INDEX(Dic2025!$K$6:$K$205,C916))+(LN(INDEX(Dic2025!$K$6:$K$205,MIN(C916+1,200)))-LN(INDEX(Dic2025!$K$6:$K$205,C916)))*(A916-6*C916)/6))</f>
        <v>0.00826966270856762</v>
      </c>
      <c r="H916" s="12" t="n">
        <f aca="false">G916^(-1/B916)-1</f>
        <v>0.0651272024999998</v>
      </c>
      <c r="I916" s="12" t="n">
        <f aca="false">(1+H916)^(1/12)-1</f>
        <v>0.00527169934735894</v>
      </c>
      <c r="J916" s="16" t="n">
        <f aca="false">IF(C916=0,(1+Dic2025!$M$6)^(-B916),EXP(LN(INDEX(Dic2025!$N$6:$N$205,C916))+(LN(INDEX(Dic2025!$N$6:$N$205,MIN(C916+1,200)))-LN(INDEX(Dic2025!$N$6:$N$205,C916)))*(A916-6*C916)/6))</f>
        <v>0.00826966270856762</v>
      </c>
      <c r="K916" s="12" t="n">
        <f aca="false">J916^(-1/B916)-1</f>
        <v>0.0651272024999998</v>
      </c>
      <c r="L916" s="12" t="n">
        <f aca="false">(1+K916)^(1/12)-1</f>
        <v>0.00527169934735894</v>
      </c>
    </row>
    <row r="917" customFormat="false" ht="15" hidden="false" customHeight="false" outlineLevel="0" collapsed="false">
      <c r="A917" s="4" t="n">
        <v>913</v>
      </c>
      <c r="B917" s="14" t="n">
        <f aca="false">A917/12</f>
        <v>76.0833333333333</v>
      </c>
      <c r="C917" s="15" t="n">
        <f aca="false">INT(A917/6)</f>
        <v>152</v>
      </c>
      <c r="D917" s="16" t="n">
        <f aca="false">IF(C917=0,(1+Dic2025!$G$6)^(-B917),EXP(LN(INDEX(Dic2025!$H$6:$H$205,C917))+(LN(INDEX(Dic2025!$H$6:$H$205,MIN(C917+1,200)))-LN(INDEX(Dic2025!$H$6:$H$205,C917)))*(A917-6*C917)/6))</f>
        <v>0.00822629614853023</v>
      </c>
      <c r="E917" s="12" t="n">
        <f aca="false">D917^(-1/B917)-1</f>
        <v>0.0651272024999998</v>
      </c>
      <c r="F917" s="12" t="n">
        <f aca="false">(1+E917)^(1/12)-1</f>
        <v>0.00527169934735894</v>
      </c>
      <c r="G917" s="16" t="n">
        <f aca="false">IF(C917=0,(1+Dic2025!$J$6)^(-B917),EXP(LN(INDEX(Dic2025!$K$6:$K$205,C917))+(LN(INDEX(Dic2025!$K$6:$K$205,MIN(C917+1,200)))-LN(INDEX(Dic2025!$K$6:$K$205,C917)))*(A917-6*C917)/6))</f>
        <v>0.00822629614853023</v>
      </c>
      <c r="H917" s="12" t="n">
        <f aca="false">G917^(-1/B917)-1</f>
        <v>0.0651272024999998</v>
      </c>
      <c r="I917" s="12" t="n">
        <f aca="false">(1+H917)^(1/12)-1</f>
        <v>0.00527169934735894</v>
      </c>
      <c r="J917" s="16" t="n">
        <f aca="false">IF(C917=0,(1+Dic2025!$M$6)^(-B917),EXP(LN(INDEX(Dic2025!$N$6:$N$205,C917))+(LN(INDEX(Dic2025!$N$6:$N$205,MIN(C917+1,200)))-LN(INDEX(Dic2025!$N$6:$N$205,C917)))*(A917-6*C917)/6))</f>
        <v>0.00822629614853023</v>
      </c>
      <c r="K917" s="12" t="n">
        <f aca="false">J917^(-1/B917)-1</f>
        <v>0.0651272024999998</v>
      </c>
      <c r="L917" s="12" t="n">
        <f aca="false">(1+K917)^(1/12)-1</f>
        <v>0.00527169934735894</v>
      </c>
    </row>
    <row r="918" customFormat="false" ht="15" hidden="false" customHeight="false" outlineLevel="0" collapsed="false">
      <c r="A918" s="4" t="n">
        <v>914</v>
      </c>
      <c r="B918" s="14" t="n">
        <f aca="false">A918/12</f>
        <v>76.1666666666667</v>
      </c>
      <c r="C918" s="15" t="n">
        <f aca="false">INT(A918/6)</f>
        <v>152</v>
      </c>
      <c r="D918" s="16" t="n">
        <f aca="false">IF(C918=0,(1+Dic2025!$G$6)^(-B918),EXP(LN(INDEX(Dic2025!$H$6:$H$205,C918))+(LN(INDEX(Dic2025!$H$6:$H$205,MIN(C918+1,200)))-LN(INDEX(Dic2025!$H$6:$H$205,C918)))*(A918-6*C918)/6))</f>
        <v>0.00818315700508718</v>
      </c>
      <c r="E918" s="12" t="n">
        <f aca="false">D918^(-1/B918)-1</f>
        <v>0.0651272024999998</v>
      </c>
      <c r="F918" s="12" t="n">
        <f aca="false">(1+E918)^(1/12)-1</f>
        <v>0.00527169934735894</v>
      </c>
      <c r="G918" s="16" t="n">
        <f aca="false">IF(C918=0,(1+Dic2025!$J$6)^(-B918),EXP(LN(INDEX(Dic2025!$K$6:$K$205,C918))+(LN(INDEX(Dic2025!$K$6:$K$205,MIN(C918+1,200)))-LN(INDEX(Dic2025!$K$6:$K$205,C918)))*(A918-6*C918)/6))</f>
        <v>0.00818315700508718</v>
      </c>
      <c r="H918" s="12" t="n">
        <f aca="false">G918^(-1/B918)-1</f>
        <v>0.0651272024999998</v>
      </c>
      <c r="I918" s="12" t="n">
        <f aca="false">(1+H918)^(1/12)-1</f>
        <v>0.00527169934735894</v>
      </c>
      <c r="J918" s="16" t="n">
        <f aca="false">IF(C918=0,(1+Dic2025!$M$6)^(-B918),EXP(LN(INDEX(Dic2025!$N$6:$N$205,C918))+(LN(INDEX(Dic2025!$N$6:$N$205,MIN(C918+1,200)))-LN(INDEX(Dic2025!$N$6:$N$205,C918)))*(A918-6*C918)/6))</f>
        <v>0.00818315700508718</v>
      </c>
      <c r="K918" s="12" t="n">
        <f aca="false">J918^(-1/B918)-1</f>
        <v>0.0651272024999998</v>
      </c>
      <c r="L918" s="12" t="n">
        <f aca="false">(1+K918)^(1/12)-1</f>
        <v>0.00527169934735894</v>
      </c>
    </row>
    <row r="919" customFormat="false" ht="15" hidden="false" customHeight="false" outlineLevel="0" collapsed="false">
      <c r="A919" s="4" t="n">
        <v>915</v>
      </c>
      <c r="B919" s="14" t="n">
        <f aca="false">A919/12</f>
        <v>76.25</v>
      </c>
      <c r="C919" s="15" t="n">
        <f aca="false">INT(A919/6)</f>
        <v>152</v>
      </c>
      <c r="D919" s="16" t="n">
        <f aca="false">IF(C919=0,(1+Dic2025!$G$6)^(-B919),EXP(LN(INDEX(Dic2025!$H$6:$H$205,C919))+(LN(INDEX(Dic2025!$H$6:$H$205,MIN(C919+1,200)))-LN(INDEX(Dic2025!$H$6:$H$205,C919)))*(A919-6*C919)/6))</f>
        <v>0.00814024408565349</v>
      </c>
      <c r="E919" s="12" t="n">
        <f aca="false">D919^(-1/B919)-1</f>
        <v>0.0651272024999998</v>
      </c>
      <c r="F919" s="12" t="n">
        <f aca="false">(1+E919)^(1/12)-1</f>
        <v>0.00527169934735894</v>
      </c>
      <c r="G919" s="16" t="n">
        <f aca="false">IF(C919=0,(1+Dic2025!$J$6)^(-B919),EXP(LN(INDEX(Dic2025!$K$6:$K$205,C919))+(LN(INDEX(Dic2025!$K$6:$K$205,MIN(C919+1,200)))-LN(INDEX(Dic2025!$K$6:$K$205,C919)))*(A919-6*C919)/6))</f>
        <v>0.00814024408565349</v>
      </c>
      <c r="H919" s="12" t="n">
        <f aca="false">G919^(-1/B919)-1</f>
        <v>0.0651272024999998</v>
      </c>
      <c r="I919" s="12" t="n">
        <f aca="false">(1+H919)^(1/12)-1</f>
        <v>0.00527169934735894</v>
      </c>
      <c r="J919" s="16" t="n">
        <f aca="false">IF(C919=0,(1+Dic2025!$M$6)^(-B919),EXP(LN(INDEX(Dic2025!$N$6:$N$205,C919))+(LN(INDEX(Dic2025!$N$6:$N$205,MIN(C919+1,200)))-LN(INDEX(Dic2025!$N$6:$N$205,C919)))*(A919-6*C919)/6))</f>
        <v>0.00814024408565349</v>
      </c>
      <c r="K919" s="12" t="n">
        <f aca="false">J919^(-1/B919)-1</f>
        <v>0.0651272024999998</v>
      </c>
      <c r="L919" s="12" t="n">
        <f aca="false">(1+K919)^(1/12)-1</f>
        <v>0.00527169934735894</v>
      </c>
    </row>
    <row r="920" customFormat="false" ht="15" hidden="false" customHeight="false" outlineLevel="0" collapsed="false">
      <c r="A920" s="4" t="n">
        <v>916</v>
      </c>
      <c r="B920" s="14" t="n">
        <f aca="false">A920/12</f>
        <v>76.3333333333333</v>
      </c>
      <c r="C920" s="15" t="n">
        <f aca="false">INT(A920/6)</f>
        <v>152</v>
      </c>
      <c r="D920" s="16" t="n">
        <f aca="false">IF(C920=0,(1+Dic2025!$G$6)^(-B920),EXP(LN(INDEX(Dic2025!$H$6:$H$205,C920))+(LN(INDEX(Dic2025!$H$6:$H$205,MIN(C920+1,200)))-LN(INDEX(Dic2025!$H$6:$H$205,C920)))*(A920-6*C920)/6))</f>
        <v>0.0080975562038982</v>
      </c>
      <c r="E920" s="12" t="n">
        <f aca="false">D920^(-1/B920)-1</f>
        <v>0.0651272024999998</v>
      </c>
      <c r="F920" s="12" t="n">
        <f aca="false">(1+E920)^(1/12)-1</f>
        <v>0.00527169934735894</v>
      </c>
      <c r="G920" s="16" t="n">
        <f aca="false">IF(C920=0,(1+Dic2025!$J$6)^(-B920),EXP(LN(INDEX(Dic2025!$K$6:$K$205,C920))+(LN(INDEX(Dic2025!$K$6:$K$205,MIN(C920+1,200)))-LN(INDEX(Dic2025!$K$6:$K$205,C920)))*(A920-6*C920)/6))</f>
        <v>0.0080975562038982</v>
      </c>
      <c r="H920" s="12" t="n">
        <f aca="false">G920^(-1/B920)-1</f>
        <v>0.0651272024999998</v>
      </c>
      <c r="I920" s="12" t="n">
        <f aca="false">(1+H920)^(1/12)-1</f>
        <v>0.00527169934735894</v>
      </c>
      <c r="J920" s="16" t="n">
        <f aca="false">IF(C920=0,(1+Dic2025!$M$6)^(-B920),EXP(LN(INDEX(Dic2025!$N$6:$N$205,C920))+(LN(INDEX(Dic2025!$N$6:$N$205,MIN(C920+1,200)))-LN(INDEX(Dic2025!$N$6:$N$205,C920)))*(A920-6*C920)/6))</f>
        <v>0.0080975562038982</v>
      </c>
      <c r="K920" s="12" t="n">
        <f aca="false">J920^(-1/B920)-1</f>
        <v>0.0651272024999998</v>
      </c>
      <c r="L920" s="12" t="n">
        <f aca="false">(1+K920)^(1/12)-1</f>
        <v>0.00527169934735894</v>
      </c>
    </row>
    <row r="921" customFormat="false" ht="15" hidden="false" customHeight="false" outlineLevel="0" collapsed="false">
      <c r="A921" s="4" t="n">
        <v>917</v>
      </c>
      <c r="B921" s="14" t="n">
        <f aca="false">A921/12</f>
        <v>76.4166666666667</v>
      </c>
      <c r="C921" s="15" t="n">
        <f aca="false">INT(A921/6)</f>
        <v>152</v>
      </c>
      <c r="D921" s="16" t="n">
        <f aca="false">IF(C921=0,(1+Dic2025!$G$6)^(-B921),EXP(LN(INDEX(Dic2025!$H$6:$H$205,C921))+(LN(INDEX(Dic2025!$H$6:$H$205,MIN(C921+1,200)))-LN(INDEX(Dic2025!$H$6:$H$205,C921)))*(A921-6*C921)/6))</f>
        <v>0.0080550921797115</v>
      </c>
      <c r="E921" s="12" t="n">
        <f aca="false">D921^(-1/B921)-1</f>
        <v>0.0651272024999998</v>
      </c>
      <c r="F921" s="12" t="n">
        <f aca="false">(1+E921)^(1/12)-1</f>
        <v>0.00527169934735894</v>
      </c>
      <c r="G921" s="16" t="n">
        <f aca="false">IF(C921=0,(1+Dic2025!$J$6)^(-B921),EXP(LN(INDEX(Dic2025!$K$6:$K$205,C921))+(LN(INDEX(Dic2025!$K$6:$K$205,MIN(C921+1,200)))-LN(INDEX(Dic2025!$K$6:$K$205,C921)))*(A921-6*C921)/6))</f>
        <v>0.0080550921797115</v>
      </c>
      <c r="H921" s="12" t="n">
        <f aca="false">G921^(-1/B921)-1</f>
        <v>0.0651272024999998</v>
      </c>
      <c r="I921" s="12" t="n">
        <f aca="false">(1+H921)^(1/12)-1</f>
        <v>0.00527169934735894</v>
      </c>
      <c r="J921" s="16" t="n">
        <f aca="false">IF(C921=0,(1+Dic2025!$M$6)^(-B921),EXP(LN(INDEX(Dic2025!$N$6:$N$205,C921))+(LN(INDEX(Dic2025!$N$6:$N$205,MIN(C921+1,200)))-LN(INDEX(Dic2025!$N$6:$N$205,C921)))*(A921-6*C921)/6))</f>
        <v>0.0080550921797115</v>
      </c>
      <c r="K921" s="12" t="n">
        <f aca="false">J921^(-1/B921)-1</f>
        <v>0.0651272024999998</v>
      </c>
      <c r="L921" s="12" t="n">
        <f aca="false">(1+K921)^(1/12)-1</f>
        <v>0.00527169934735894</v>
      </c>
    </row>
    <row r="922" customFormat="false" ht="15" hidden="false" customHeight="false" outlineLevel="0" collapsed="false">
      <c r="A922" s="4" t="n">
        <v>918</v>
      </c>
      <c r="B922" s="14" t="n">
        <f aca="false">A922/12</f>
        <v>76.5</v>
      </c>
      <c r="C922" s="15" t="n">
        <f aca="false">INT(A922/6)</f>
        <v>153</v>
      </c>
      <c r="D922" s="16" t="n">
        <f aca="false">IF(C922=0,(1+Dic2025!$G$6)^(-B922),EXP(LN(INDEX(Dic2025!$H$6:$H$205,C922))+(LN(INDEX(Dic2025!$H$6:$H$205,MIN(C922+1,200)))-LN(INDEX(Dic2025!$H$6:$H$205,C922)))*(A922-6*C922)/6))</f>
        <v>0.00801285083917215</v>
      </c>
      <c r="E922" s="12" t="n">
        <f aca="false">D922^(-1/B922)-1</f>
        <v>0.0651272024999998</v>
      </c>
      <c r="F922" s="12" t="n">
        <f aca="false">(1+E922)^(1/12)-1</f>
        <v>0.00527169934735894</v>
      </c>
      <c r="G922" s="16" t="n">
        <f aca="false">IF(C922=0,(1+Dic2025!$J$6)^(-B922),EXP(LN(INDEX(Dic2025!$K$6:$K$205,C922))+(LN(INDEX(Dic2025!$K$6:$K$205,MIN(C922+1,200)))-LN(INDEX(Dic2025!$K$6:$K$205,C922)))*(A922-6*C922)/6))</f>
        <v>0.00801285083917215</v>
      </c>
      <c r="H922" s="12" t="n">
        <f aca="false">G922^(-1/B922)-1</f>
        <v>0.0651272024999998</v>
      </c>
      <c r="I922" s="12" t="n">
        <f aca="false">(1+H922)^(1/12)-1</f>
        <v>0.00527169934735894</v>
      </c>
      <c r="J922" s="16" t="n">
        <f aca="false">IF(C922=0,(1+Dic2025!$M$6)^(-B922),EXP(LN(INDEX(Dic2025!$N$6:$N$205,C922))+(LN(INDEX(Dic2025!$N$6:$N$205,MIN(C922+1,200)))-LN(INDEX(Dic2025!$N$6:$N$205,C922)))*(A922-6*C922)/6))</f>
        <v>0.00801285083917215</v>
      </c>
      <c r="K922" s="12" t="n">
        <f aca="false">J922^(-1/B922)-1</f>
        <v>0.0651272024999998</v>
      </c>
      <c r="L922" s="12" t="n">
        <f aca="false">(1+K922)^(1/12)-1</f>
        <v>0.00527169934735894</v>
      </c>
    </row>
    <row r="923" customFormat="false" ht="15" hidden="false" customHeight="false" outlineLevel="0" collapsed="false">
      <c r="A923" s="4" t="n">
        <v>919</v>
      </c>
      <c r="B923" s="14" t="n">
        <f aca="false">A923/12</f>
        <v>76.5833333333333</v>
      </c>
      <c r="C923" s="15" t="n">
        <f aca="false">INT(A923/6)</f>
        <v>153</v>
      </c>
      <c r="D923" s="16" t="n">
        <f aca="false">IF(C923=0,(1+Dic2025!$G$6)^(-B923),EXP(LN(INDEX(Dic2025!$H$6:$H$205,C923))+(LN(INDEX(Dic2025!$H$6:$H$205,MIN(C923+1,200)))-LN(INDEX(Dic2025!$H$6:$H$205,C923)))*(A923-6*C923)/6))</f>
        <v>0.00797083101451503</v>
      </c>
      <c r="E923" s="12" t="n">
        <f aca="false">D923^(-1/B923)-1</f>
        <v>0.0651272024999998</v>
      </c>
      <c r="F923" s="12" t="n">
        <f aca="false">(1+E923)^(1/12)-1</f>
        <v>0.00527169934735894</v>
      </c>
      <c r="G923" s="16" t="n">
        <f aca="false">IF(C923=0,(1+Dic2025!$J$6)^(-B923),EXP(LN(INDEX(Dic2025!$K$6:$K$205,C923))+(LN(INDEX(Dic2025!$K$6:$K$205,MIN(C923+1,200)))-LN(INDEX(Dic2025!$K$6:$K$205,C923)))*(A923-6*C923)/6))</f>
        <v>0.00797083101451503</v>
      </c>
      <c r="H923" s="12" t="n">
        <f aca="false">G923^(-1/B923)-1</f>
        <v>0.0651272024999998</v>
      </c>
      <c r="I923" s="12" t="n">
        <f aca="false">(1+H923)^(1/12)-1</f>
        <v>0.00527169934735894</v>
      </c>
      <c r="J923" s="16" t="n">
        <f aca="false">IF(C923=0,(1+Dic2025!$M$6)^(-B923),EXP(LN(INDEX(Dic2025!$N$6:$N$205,C923))+(LN(INDEX(Dic2025!$N$6:$N$205,MIN(C923+1,200)))-LN(INDEX(Dic2025!$N$6:$N$205,C923)))*(A923-6*C923)/6))</f>
        <v>0.00797083101451503</v>
      </c>
      <c r="K923" s="12" t="n">
        <f aca="false">J923^(-1/B923)-1</f>
        <v>0.0651272024999998</v>
      </c>
      <c r="L923" s="12" t="n">
        <f aca="false">(1+K923)^(1/12)-1</f>
        <v>0.00527169934735894</v>
      </c>
    </row>
    <row r="924" customFormat="false" ht="15" hidden="false" customHeight="false" outlineLevel="0" collapsed="false">
      <c r="A924" s="4" t="n">
        <v>920</v>
      </c>
      <c r="B924" s="14" t="n">
        <f aca="false">A924/12</f>
        <v>76.6666666666667</v>
      </c>
      <c r="C924" s="15" t="n">
        <f aca="false">INT(A924/6)</f>
        <v>153</v>
      </c>
      <c r="D924" s="16" t="n">
        <f aca="false">IF(C924=0,(1+Dic2025!$G$6)^(-B924),EXP(LN(INDEX(Dic2025!$H$6:$H$205,C924))+(LN(INDEX(Dic2025!$H$6:$H$205,MIN(C924+1,200)))-LN(INDEX(Dic2025!$H$6:$H$205,C924)))*(A924-6*C924)/6))</f>
        <v>0.00792903154409882</v>
      </c>
      <c r="E924" s="12" t="n">
        <f aca="false">D924^(-1/B924)-1</f>
        <v>0.0651272024999998</v>
      </c>
      <c r="F924" s="12" t="n">
        <f aca="false">(1+E924)^(1/12)-1</f>
        <v>0.00527169934735894</v>
      </c>
      <c r="G924" s="16" t="n">
        <f aca="false">IF(C924=0,(1+Dic2025!$J$6)^(-B924),EXP(LN(INDEX(Dic2025!$K$6:$K$205,C924))+(LN(INDEX(Dic2025!$K$6:$K$205,MIN(C924+1,200)))-LN(INDEX(Dic2025!$K$6:$K$205,C924)))*(A924-6*C924)/6))</f>
        <v>0.00792903154409882</v>
      </c>
      <c r="H924" s="12" t="n">
        <f aca="false">G924^(-1/B924)-1</f>
        <v>0.0651272024999998</v>
      </c>
      <c r="I924" s="12" t="n">
        <f aca="false">(1+H924)^(1/12)-1</f>
        <v>0.00527169934735894</v>
      </c>
      <c r="J924" s="16" t="n">
        <f aca="false">IF(C924=0,(1+Dic2025!$M$6)^(-B924),EXP(LN(INDEX(Dic2025!$N$6:$N$205,C924))+(LN(INDEX(Dic2025!$N$6:$N$205,MIN(C924+1,200)))-LN(INDEX(Dic2025!$N$6:$N$205,C924)))*(A924-6*C924)/6))</f>
        <v>0.00792903154409882</v>
      </c>
      <c r="K924" s="12" t="n">
        <f aca="false">J924^(-1/B924)-1</f>
        <v>0.0651272024999998</v>
      </c>
      <c r="L924" s="12" t="n">
        <f aca="false">(1+K924)^(1/12)-1</f>
        <v>0.00527169934735894</v>
      </c>
    </row>
    <row r="925" customFormat="false" ht="15" hidden="false" customHeight="false" outlineLevel="0" collapsed="false">
      <c r="A925" s="4" t="n">
        <v>921</v>
      </c>
      <c r="B925" s="14" t="n">
        <f aca="false">A925/12</f>
        <v>76.75</v>
      </c>
      <c r="C925" s="15" t="n">
        <f aca="false">INT(A925/6)</f>
        <v>153</v>
      </c>
      <c r="D925" s="16" t="n">
        <f aca="false">IF(C925=0,(1+Dic2025!$G$6)^(-B925),EXP(LN(INDEX(Dic2025!$H$6:$H$205,C925))+(LN(INDEX(Dic2025!$H$6:$H$205,MIN(C925+1,200)))-LN(INDEX(Dic2025!$H$6:$H$205,C925)))*(A925-6*C925)/6))</f>
        <v>0.00788745127237392</v>
      </c>
      <c r="E925" s="12" t="n">
        <f aca="false">D925^(-1/B925)-1</f>
        <v>0.0651272024999998</v>
      </c>
      <c r="F925" s="12" t="n">
        <f aca="false">(1+E925)^(1/12)-1</f>
        <v>0.00527169934735894</v>
      </c>
      <c r="G925" s="16" t="n">
        <f aca="false">IF(C925=0,(1+Dic2025!$J$6)^(-B925),EXP(LN(INDEX(Dic2025!$K$6:$K$205,C925))+(LN(INDEX(Dic2025!$K$6:$K$205,MIN(C925+1,200)))-LN(INDEX(Dic2025!$K$6:$K$205,C925)))*(A925-6*C925)/6))</f>
        <v>0.00788745127237392</v>
      </c>
      <c r="H925" s="12" t="n">
        <f aca="false">G925^(-1/B925)-1</f>
        <v>0.0651272024999998</v>
      </c>
      <c r="I925" s="12" t="n">
        <f aca="false">(1+H925)^(1/12)-1</f>
        <v>0.00527169934735894</v>
      </c>
      <c r="J925" s="16" t="n">
        <f aca="false">IF(C925=0,(1+Dic2025!$M$6)^(-B925),EXP(LN(INDEX(Dic2025!$N$6:$N$205,C925))+(LN(INDEX(Dic2025!$N$6:$N$205,MIN(C925+1,200)))-LN(INDEX(Dic2025!$N$6:$N$205,C925)))*(A925-6*C925)/6))</f>
        <v>0.00788745127237392</v>
      </c>
      <c r="K925" s="12" t="n">
        <f aca="false">J925^(-1/B925)-1</f>
        <v>0.0651272024999998</v>
      </c>
      <c r="L925" s="12" t="n">
        <f aca="false">(1+K925)^(1/12)-1</f>
        <v>0.00527169934735894</v>
      </c>
    </row>
    <row r="926" customFormat="false" ht="15" hidden="false" customHeight="false" outlineLevel="0" collapsed="false">
      <c r="A926" s="4" t="n">
        <v>922</v>
      </c>
      <c r="B926" s="14" t="n">
        <f aca="false">A926/12</f>
        <v>76.8333333333333</v>
      </c>
      <c r="C926" s="15" t="n">
        <f aca="false">INT(A926/6)</f>
        <v>153</v>
      </c>
      <c r="D926" s="16" t="n">
        <f aca="false">IF(C926=0,(1+Dic2025!$G$6)^(-B926),EXP(LN(INDEX(Dic2025!$H$6:$H$205,C926))+(LN(INDEX(Dic2025!$H$6:$H$205,MIN(C926+1,200)))-LN(INDEX(Dic2025!$H$6:$H$205,C926)))*(A926-6*C926)/6))</f>
        <v>0.0078460890498505</v>
      </c>
      <c r="E926" s="12" t="n">
        <f aca="false">D926^(-1/B926)-1</f>
        <v>0.0651272024999998</v>
      </c>
      <c r="F926" s="12" t="n">
        <f aca="false">(1+E926)^(1/12)-1</f>
        <v>0.00527169934735894</v>
      </c>
      <c r="G926" s="16" t="n">
        <f aca="false">IF(C926=0,(1+Dic2025!$J$6)^(-B926),EXP(LN(INDEX(Dic2025!$K$6:$K$205,C926))+(LN(INDEX(Dic2025!$K$6:$K$205,MIN(C926+1,200)))-LN(INDEX(Dic2025!$K$6:$K$205,C926)))*(A926-6*C926)/6))</f>
        <v>0.0078460890498505</v>
      </c>
      <c r="H926" s="12" t="n">
        <f aca="false">G926^(-1/B926)-1</f>
        <v>0.0651272024999998</v>
      </c>
      <c r="I926" s="12" t="n">
        <f aca="false">(1+H926)^(1/12)-1</f>
        <v>0.00527169934735894</v>
      </c>
      <c r="J926" s="16" t="n">
        <f aca="false">IF(C926=0,(1+Dic2025!$M$6)^(-B926),EXP(LN(INDEX(Dic2025!$N$6:$N$205,C926))+(LN(INDEX(Dic2025!$N$6:$N$205,MIN(C926+1,200)))-LN(INDEX(Dic2025!$N$6:$N$205,C926)))*(A926-6*C926)/6))</f>
        <v>0.0078460890498505</v>
      </c>
      <c r="K926" s="12" t="n">
        <f aca="false">J926^(-1/B926)-1</f>
        <v>0.0651272024999998</v>
      </c>
      <c r="L926" s="12" t="n">
        <f aca="false">(1+K926)^(1/12)-1</f>
        <v>0.00527169934735894</v>
      </c>
    </row>
    <row r="927" customFormat="false" ht="15" hidden="false" customHeight="false" outlineLevel="0" collapsed="false">
      <c r="A927" s="4" t="n">
        <v>923</v>
      </c>
      <c r="B927" s="14" t="n">
        <f aca="false">A927/12</f>
        <v>76.9166666666667</v>
      </c>
      <c r="C927" s="15" t="n">
        <f aca="false">INT(A927/6)</f>
        <v>153</v>
      </c>
      <c r="D927" s="16" t="n">
        <f aca="false">IF(C927=0,(1+Dic2025!$G$6)^(-B927),EXP(LN(INDEX(Dic2025!$H$6:$H$205,C927))+(LN(INDEX(Dic2025!$H$6:$H$205,MIN(C927+1,200)))-LN(INDEX(Dic2025!$H$6:$H$205,C927)))*(A927-6*C927)/6))</f>
        <v>0.00780494373306672</v>
      </c>
      <c r="E927" s="12" t="n">
        <f aca="false">D927^(-1/B927)-1</f>
        <v>0.0651272024999998</v>
      </c>
      <c r="F927" s="12" t="n">
        <f aca="false">(1+E927)^(1/12)-1</f>
        <v>0.00527169934735894</v>
      </c>
      <c r="G927" s="16" t="n">
        <f aca="false">IF(C927=0,(1+Dic2025!$J$6)^(-B927),EXP(LN(INDEX(Dic2025!$K$6:$K$205,C927))+(LN(INDEX(Dic2025!$K$6:$K$205,MIN(C927+1,200)))-LN(INDEX(Dic2025!$K$6:$K$205,C927)))*(A927-6*C927)/6))</f>
        <v>0.00780494373306672</v>
      </c>
      <c r="H927" s="12" t="n">
        <f aca="false">G927^(-1/B927)-1</f>
        <v>0.0651272024999998</v>
      </c>
      <c r="I927" s="12" t="n">
        <f aca="false">(1+H927)^(1/12)-1</f>
        <v>0.00527169934735894</v>
      </c>
      <c r="J927" s="16" t="n">
        <f aca="false">IF(C927=0,(1+Dic2025!$M$6)^(-B927),EXP(LN(INDEX(Dic2025!$N$6:$N$205,C927))+(LN(INDEX(Dic2025!$N$6:$N$205,MIN(C927+1,200)))-LN(INDEX(Dic2025!$N$6:$N$205,C927)))*(A927-6*C927)/6))</f>
        <v>0.00780494373306672</v>
      </c>
      <c r="K927" s="12" t="n">
        <f aca="false">J927^(-1/B927)-1</f>
        <v>0.0651272024999998</v>
      </c>
      <c r="L927" s="12" t="n">
        <f aca="false">(1+K927)^(1/12)-1</f>
        <v>0.00527169934735894</v>
      </c>
    </row>
    <row r="928" customFormat="false" ht="15" hidden="false" customHeight="false" outlineLevel="0" collapsed="false">
      <c r="A928" s="4" t="n">
        <v>924</v>
      </c>
      <c r="B928" s="14" t="n">
        <f aca="false">A928/12</f>
        <v>77</v>
      </c>
      <c r="C928" s="15" t="n">
        <f aca="false">INT(A928/6)</f>
        <v>154</v>
      </c>
      <c r="D928" s="16" t="n">
        <f aca="false">IF(C928=0,(1+Dic2025!$G$6)^(-B928),EXP(LN(INDEX(Dic2025!$H$6:$H$205,C928))+(LN(INDEX(Dic2025!$H$6:$H$205,MIN(C928+1,200)))-LN(INDEX(Dic2025!$H$6:$H$205,C928)))*(A928-6*C928)/6))</f>
        <v>0.0077640141845571</v>
      </c>
      <c r="E928" s="12" t="n">
        <f aca="false">D928^(-1/B928)-1</f>
        <v>0.0651272024999998</v>
      </c>
      <c r="F928" s="12" t="n">
        <f aca="false">(1+E928)^(1/12)-1</f>
        <v>0.00527169934735894</v>
      </c>
      <c r="G928" s="16" t="n">
        <f aca="false">IF(C928=0,(1+Dic2025!$J$6)^(-B928),EXP(LN(INDEX(Dic2025!$K$6:$K$205,C928))+(LN(INDEX(Dic2025!$K$6:$K$205,MIN(C928+1,200)))-LN(INDEX(Dic2025!$K$6:$K$205,C928)))*(A928-6*C928)/6))</f>
        <v>0.0077640141845571</v>
      </c>
      <c r="H928" s="12" t="n">
        <f aca="false">G928^(-1/B928)-1</f>
        <v>0.0651272024999998</v>
      </c>
      <c r="I928" s="12" t="n">
        <f aca="false">(1+H928)^(1/12)-1</f>
        <v>0.00527169934735894</v>
      </c>
      <c r="J928" s="16" t="n">
        <f aca="false">IF(C928=0,(1+Dic2025!$M$6)^(-B928),EXP(LN(INDEX(Dic2025!$N$6:$N$205,C928))+(LN(INDEX(Dic2025!$N$6:$N$205,MIN(C928+1,200)))-LN(INDEX(Dic2025!$N$6:$N$205,C928)))*(A928-6*C928)/6))</f>
        <v>0.0077640141845571</v>
      </c>
      <c r="K928" s="12" t="n">
        <f aca="false">J928^(-1/B928)-1</f>
        <v>0.0651272024999998</v>
      </c>
      <c r="L928" s="12" t="n">
        <f aca="false">(1+K928)^(1/12)-1</f>
        <v>0.00527169934735894</v>
      </c>
    </row>
    <row r="929" customFormat="false" ht="15" hidden="false" customHeight="false" outlineLevel="0" collapsed="false">
      <c r="A929" s="4" t="n">
        <v>925</v>
      </c>
      <c r="B929" s="14" t="n">
        <f aca="false">A929/12</f>
        <v>77.0833333333333</v>
      </c>
      <c r="C929" s="15" t="n">
        <f aca="false">INT(A929/6)</f>
        <v>154</v>
      </c>
      <c r="D929" s="16" t="n">
        <f aca="false">IF(C929=0,(1+Dic2025!$G$6)^(-B929),EXP(LN(INDEX(Dic2025!$H$6:$H$205,C929))+(LN(INDEX(Dic2025!$H$6:$H$205,MIN(C929+1,200)))-LN(INDEX(Dic2025!$H$6:$H$205,C929)))*(A929-6*C929)/6))</f>
        <v>0.00772329927282112</v>
      </c>
      <c r="E929" s="12" t="n">
        <f aca="false">D929^(-1/B929)-1</f>
        <v>0.0651272024999998</v>
      </c>
      <c r="F929" s="12" t="n">
        <f aca="false">(1+E929)^(1/12)-1</f>
        <v>0.00527169934735894</v>
      </c>
      <c r="G929" s="16" t="n">
        <f aca="false">IF(C929=0,(1+Dic2025!$J$6)^(-B929),EXP(LN(INDEX(Dic2025!$K$6:$K$205,C929))+(LN(INDEX(Dic2025!$K$6:$K$205,MIN(C929+1,200)))-LN(INDEX(Dic2025!$K$6:$K$205,C929)))*(A929-6*C929)/6))</f>
        <v>0.00772329927282112</v>
      </c>
      <c r="H929" s="12" t="n">
        <f aca="false">G929^(-1/B929)-1</f>
        <v>0.0651272024999998</v>
      </c>
      <c r="I929" s="12" t="n">
        <f aca="false">(1+H929)^(1/12)-1</f>
        <v>0.00527169934735894</v>
      </c>
      <c r="J929" s="16" t="n">
        <f aca="false">IF(C929=0,(1+Dic2025!$M$6)^(-B929),EXP(LN(INDEX(Dic2025!$N$6:$N$205,C929))+(LN(INDEX(Dic2025!$N$6:$N$205,MIN(C929+1,200)))-LN(INDEX(Dic2025!$N$6:$N$205,C929)))*(A929-6*C929)/6))</f>
        <v>0.00772329927282112</v>
      </c>
      <c r="K929" s="12" t="n">
        <f aca="false">J929^(-1/B929)-1</f>
        <v>0.0651272024999998</v>
      </c>
      <c r="L929" s="12" t="n">
        <f aca="false">(1+K929)^(1/12)-1</f>
        <v>0.00527169934735894</v>
      </c>
    </row>
    <row r="930" customFormat="false" ht="15" hidden="false" customHeight="false" outlineLevel="0" collapsed="false">
      <c r="A930" s="4" t="n">
        <v>926</v>
      </c>
      <c r="B930" s="14" t="n">
        <f aca="false">A930/12</f>
        <v>77.1666666666667</v>
      </c>
      <c r="C930" s="15" t="n">
        <f aca="false">INT(A930/6)</f>
        <v>154</v>
      </c>
      <c r="D930" s="16" t="n">
        <f aca="false">IF(C930=0,(1+Dic2025!$G$6)^(-B930),EXP(LN(INDEX(Dic2025!$H$6:$H$205,C930))+(LN(INDEX(Dic2025!$H$6:$H$205,MIN(C930+1,200)))-LN(INDEX(Dic2025!$H$6:$H$205,C930)))*(A930-6*C930)/6))</f>
        <v>0.00768279787229186</v>
      </c>
      <c r="E930" s="12" t="n">
        <f aca="false">D930^(-1/B930)-1</f>
        <v>0.0651272024999998</v>
      </c>
      <c r="F930" s="12" t="n">
        <f aca="false">(1+E930)^(1/12)-1</f>
        <v>0.00527169934735894</v>
      </c>
      <c r="G930" s="16" t="n">
        <f aca="false">IF(C930=0,(1+Dic2025!$J$6)^(-B930),EXP(LN(INDEX(Dic2025!$K$6:$K$205,C930))+(LN(INDEX(Dic2025!$K$6:$K$205,MIN(C930+1,200)))-LN(INDEX(Dic2025!$K$6:$K$205,C930)))*(A930-6*C930)/6))</f>
        <v>0.00768279787229186</v>
      </c>
      <c r="H930" s="12" t="n">
        <f aca="false">G930^(-1/B930)-1</f>
        <v>0.0651272024999998</v>
      </c>
      <c r="I930" s="12" t="n">
        <f aca="false">(1+H930)^(1/12)-1</f>
        <v>0.00527169934735894</v>
      </c>
      <c r="J930" s="16" t="n">
        <f aca="false">IF(C930=0,(1+Dic2025!$M$6)^(-B930),EXP(LN(INDEX(Dic2025!$N$6:$N$205,C930))+(LN(INDEX(Dic2025!$N$6:$N$205,MIN(C930+1,200)))-LN(INDEX(Dic2025!$N$6:$N$205,C930)))*(A930-6*C930)/6))</f>
        <v>0.00768279787229186</v>
      </c>
      <c r="K930" s="12" t="n">
        <f aca="false">J930^(-1/B930)-1</f>
        <v>0.0651272024999998</v>
      </c>
      <c r="L930" s="12" t="n">
        <f aca="false">(1+K930)^(1/12)-1</f>
        <v>0.00527169934735894</v>
      </c>
    </row>
    <row r="931" customFormat="false" ht="15" hidden="false" customHeight="false" outlineLevel="0" collapsed="false">
      <c r="A931" s="4" t="n">
        <v>927</v>
      </c>
      <c r="B931" s="14" t="n">
        <f aca="false">A931/12</f>
        <v>77.25</v>
      </c>
      <c r="C931" s="15" t="n">
        <f aca="false">INT(A931/6)</f>
        <v>154</v>
      </c>
      <c r="D931" s="16" t="n">
        <f aca="false">IF(C931=0,(1+Dic2025!$G$6)^(-B931),EXP(LN(INDEX(Dic2025!$H$6:$H$205,C931))+(LN(INDEX(Dic2025!$H$6:$H$205,MIN(C931+1,200)))-LN(INDEX(Dic2025!$H$6:$H$205,C931)))*(A931-6*C931)/6))</f>
        <v>0.00764250886330499</v>
      </c>
      <c r="E931" s="12" t="n">
        <f aca="false">D931^(-1/B931)-1</f>
        <v>0.0651272024999998</v>
      </c>
      <c r="F931" s="12" t="n">
        <f aca="false">(1+E931)^(1/12)-1</f>
        <v>0.00527169934735894</v>
      </c>
      <c r="G931" s="16" t="n">
        <f aca="false">IF(C931=0,(1+Dic2025!$J$6)^(-B931),EXP(LN(INDEX(Dic2025!$K$6:$K$205,C931))+(LN(INDEX(Dic2025!$K$6:$K$205,MIN(C931+1,200)))-LN(INDEX(Dic2025!$K$6:$K$205,C931)))*(A931-6*C931)/6))</f>
        <v>0.00764250886330499</v>
      </c>
      <c r="H931" s="12" t="n">
        <f aca="false">G931^(-1/B931)-1</f>
        <v>0.0651272024999998</v>
      </c>
      <c r="I931" s="12" t="n">
        <f aca="false">(1+H931)^(1/12)-1</f>
        <v>0.00527169934735894</v>
      </c>
      <c r="J931" s="16" t="n">
        <f aca="false">IF(C931=0,(1+Dic2025!$M$6)^(-B931),EXP(LN(INDEX(Dic2025!$N$6:$N$205,C931))+(LN(INDEX(Dic2025!$N$6:$N$205,MIN(C931+1,200)))-LN(INDEX(Dic2025!$N$6:$N$205,C931)))*(A931-6*C931)/6))</f>
        <v>0.00764250886330499</v>
      </c>
      <c r="K931" s="12" t="n">
        <f aca="false">J931^(-1/B931)-1</f>
        <v>0.0651272024999998</v>
      </c>
      <c r="L931" s="12" t="n">
        <f aca="false">(1+K931)^(1/12)-1</f>
        <v>0.00527169934735894</v>
      </c>
    </row>
    <row r="932" customFormat="false" ht="15" hidden="false" customHeight="false" outlineLevel="0" collapsed="false">
      <c r="A932" s="4" t="n">
        <v>928</v>
      </c>
      <c r="B932" s="14" t="n">
        <f aca="false">A932/12</f>
        <v>77.3333333333333</v>
      </c>
      <c r="C932" s="15" t="n">
        <f aca="false">INT(A932/6)</f>
        <v>154</v>
      </c>
      <c r="D932" s="16" t="n">
        <f aca="false">IF(C932=0,(1+Dic2025!$G$6)^(-B932),EXP(LN(INDEX(Dic2025!$H$6:$H$205,C932))+(LN(INDEX(Dic2025!$H$6:$H$205,MIN(C932+1,200)))-LN(INDEX(Dic2025!$H$6:$H$205,C932)))*(A932-6*C932)/6))</f>
        <v>0.00760243113206773</v>
      </c>
      <c r="E932" s="12" t="n">
        <f aca="false">D932^(-1/B932)-1</f>
        <v>0.0651272024999998</v>
      </c>
      <c r="F932" s="12" t="n">
        <f aca="false">(1+E932)^(1/12)-1</f>
        <v>0.00527169934735894</v>
      </c>
      <c r="G932" s="16" t="n">
        <f aca="false">IF(C932=0,(1+Dic2025!$J$6)^(-B932),EXP(LN(INDEX(Dic2025!$K$6:$K$205,C932))+(LN(INDEX(Dic2025!$K$6:$K$205,MIN(C932+1,200)))-LN(INDEX(Dic2025!$K$6:$K$205,C932)))*(A932-6*C932)/6))</f>
        <v>0.00760243113206773</v>
      </c>
      <c r="H932" s="12" t="n">
        <f aca="false">G932^(-1/B932)-1</f>
        <v>0.0651272024999998</v>
      </c>
      <c r="I932" s="12" t="n">
        <f aca="false">(1+H932)^(1/12)-1</f>
        <v>0.00527169934735894</v>
      </c>
      <c r="J932" s="16" t="n">
        <f aca="false">IF(C932=0,(1+Dic2025!$M$6)^(-B932),EXP(LN(INDEX(Dic2025!$N$6:$N$205,C932))+(LN(INDEX(Dic2025!$N$6:$N$205,MIN(C932+1,200)))-LN(INDEX(Dic2025!$N$6:$N$205,C932)))*(A932-6*C932)/6))</f>
        <v>0.00760243113206773</v>
      </c>
      <c r="K932" s="12" t="n">
        <f aca="false">J932^(-1/B932)-1</f>
        <v>0.0651272024999998</v>
      </c>
      <c r="L932" s="12" t="n">
        <f aca="false">(1+K932)^(1/12)-1</f>
        <v>0.00527169934735894</v>
      </c>
    </row>
    <row r="933" customFormat="false" ht="15" hidden="false" customHeight="false" outlineLevel="0" collapsed="false">
      <c r="A933" s="4" t="n">
        <v>929</v>
      </c>
      <c r="B933" s="14" t="n">
        <f aca="false">A933/12</f>
        <v>77.4166666666667</v>
      </c>
      <c r="C933" s="15" t="n">
        <f aca="false">INT(A933/6)</f>
        <v>154</v>
      </c>
      <c r="D933" s="16" t="n">
        <f aca="false">IF(C933=0,(1+Dic2025!$G$6)^(-B933),EXP(LN(INDEX(Dic2025!$H$6:$H$205,C933))+(LN(INDEX(Dic2025!$H$6:$H$205,MIN(C933+1,200)))-LN(INDEX(Dic2025!$H$6:$H$205,C933)))*(A933-6*C933)/6))</f>
        <v>0.00756256357062808</v>
      </c>
      <c r="E933" s="12" t="n">
        <f aca="false">D933^(-1/B933)-1</f>
        <v>0.0651272024999998</v>
      </c>
      <c r="F933" s="12" t="n">
        <f aca="false">(1+E933)^(1/12)-1</f>
        <v>0.00527169934735894</v>
      </c>
      <c r="G933" s="16" t="n">
        <f aca="false">IF(C933=0,(1+Dic2025!$J$6)^(-B933),EXP(LN(INDEX(Dic2025!$K$6:$K$205,C933))+(LN(INDEX(Dic2025!$K$6:$K$205,MIN(C933+1,200)))-LN(INDEX(Dic2025!$K$6:$K$205,C933)))*(A933-6*C933)/6))</f>
        <v>0.00756256357062808</v>
      </c>
      <c r="H933" s="12" t="n">
        <f aca="false">G933^(-1/B933)-1</f>
        <v>0.0651272024999998</v>
      </c>
      <c r="I933" s="12" t="n">
        <f aca="false">(1+H933)^(1/12)-1</f>
        <v>0.00527169934735894</v>
      </c>
      <c r="J933" s="16" t="n">
        <f aca="false">IF(C933=0,(1+Dic2025!$M$6)^(-B933),EXP(LN(INDEX(Dic2025!$N$6:$N$205,C933))+(LN(INDEX(Dic2025!$N$6:$N$205,MIN(C933+1,200)))-LN(INDEX(Dic2025!$N$6:$N$205,C933)))*(A933-6*C933)/6))</f>
        <v>0.00756256357062808</v>
      </c>
      <c r="K933" s="12" t="n">
        <f aca="false">J933^(-1/B933)-1</f>
        <v>0.0651272024999998</v>
      </c>
      <c r="L933" s="12" t="n">
        <f aca="false">(1+K933)^(1/12)-1</f>
        <v>0.00527169934735894</v>
      </c>
    </row>
    <row r="934" customFormat="false" ht="15" hidden="false" customHeight="false" outlineLevel="0" collapsed="false">
      <c r="A934" s="4" t="n">
        <v>930</v>
      </c>
      <c r="B934" s="14" t="n">
        <f aca="false">A934/12</f>
        <v>77.5</v>
      </c>
      <c r="C934" s="15" t="n">
        <f aca="false">INT(A934/6)</f>
        <v>155</v>
      </c>
      <c r="D934" s="16" t="n">
        <f aca="false">IF(C934=0,(1+Dic2025!$G$6)^(-B934),EXP(LN(INDEX(Dic2025!$H$6:$H$205,C934))+(LN(INDEX(Dic2025!$H$6:$H$205,MIN(C934+1,200)))-LN(INDEX(Dic2025!$H$6:$H$205,C934)))*(A934-6*C934)/6))</f>
        <v>0.00752290507684424</v>
      </c>
      <c r="E934" s="12" t="n">
        <f aca="false">D934^(-1/B934)-1</f>
        <v>0.0651272024999998</v>
      </c>
      <c r="F934" s="12" t="n">
        <f aca="false">(1+E934)^(1/12)-1</f>
        <v>0.00527169934735894</v>
      </c>
      <c r="G934" s="16" t="n">
        <f aca="false">IF(C934=0,(1+Dic2025!$J$6)^(-B934),EXP(LN(INDEX(Dic2025!$K$6:$K$205,C934))+(LN(INDEX(Dic2025!$K$6:$K$205,MIN(C934+1,200)))-LN(INDEX(Dic2025!$K$6:$K$205,C934)))*(A934-6*C934)/6))</f>
        <v>0.00752290507684424</v>
      </c>
      <c r="H934" s="12" t="n">
        <f aca="false">G934^(-1/B934)-1</f>
        <v>0.0651272024999998</v>
      </c>
      <c r="I934" s="12" t="n">
        <f aca="false">(1+H934)^(1/12)-1</f>
        <v>0.00527169934735894</v>
      </c>
      <c r="J934" s="16" t="n">
        <f aca="false">IF(C934=0,(1+Dic2025!$M$6)^(-B934),EXP(LN(INDEX(Dic2025!$N$6:$N$205,C934))+(LN(INDEX(Dic2025!$N$6:$N$205,MIN(C934+1,200)))-LN(INDEX(Dic2025!$N$6:$N$205,C934)))*(A934-6*C934)/6))</f>
        <v>0.00752290507684424</v>
      </c>
      <c r="K934" s="12" t="n">
        <f aca="false">J934^(-1/B934)-1</f>
        <v>0.0651272024999998</v>
      </c>
      <c r="L934" s="12" t="n">
        <f aca="false">(1+K934)^(1/12)-1</f>
        <v>0.00527169934735894</v>
      </c>
    </row>
    <row r="935" customFormat="false" ht="15" hidden="false" customHeight="false" outlineLevel="0" collapsed="false">
      <c r="A935" s="4" t="n">
        <v>931</v>
      </c>
      <c r="B935" s="14" t="n">
        <f aca="false">A935/12</f>
        <v>77.5833333333333</v>
      </c>
      <c r="C935" s="15" t="n">
        <f aca="false">INT(A935/6)</f>
        <v>155</v>
      </c>
      <c r="D935" s="16" t="n">
        <f aca="false">IF(C935=0,(1+Dic2025!$G$6)^(-B935),EXP(LN(INDEX(Dic2025!$H$6:$H$205,C935))+(LN(INDEX(Dic2025!$H$6:$H$205,MIN(C935+1,200)))-LN(INDEX(Dic2025!$H$6:$H$205,C935)))*(A935-6*C935)/6))</f>
        <v>0.00748345455435407</v>
      </c>
      <c r="E935" s="12" t="n">
        <f aca="false">D935^(-1/B935)-1</f>
        <v>0.0651272024999998</v>
      </c>
      <c r="F935" s="12" t="n">
        <f aca="false">(1+E935)^(1/12)-1</f>
        <v>0.00527169934735894</v>
      </c>
      <c r="G935" s="16" t="n">
        <f aca="false">IF(C935=0,(1+Dic2025!$J$6)^(-B935),EXP(LN(INDEX(Dic2025!$K$6:$K$205,C935))+(LN(INDEX(Dic2025!$K$6:$K$205,MIN(C935+1,200)))-LN(INDEX(Dic2025!$K$6:$K$205,C935)))*(A935-6*C935)/6))</f>
        <v>0.00748345455435407</v>
      </c>
      <c r="H935" s="12" t="n">
        <f aca="false">G935^(-1/B935)-1</f>
        <v>0.0651272024999998</v>
      </c>
      <c r="I935" s="12" t="n">
        <f aca="false">(1+H935)^(1/12)-1</f>
        <v>0.00527169934735894</v>
      </c>
      <c r="J935" s="16" t="n">
        <f aca="false">IF(C935=0,(1+Dic2025!$M$6)^(-B935),EXP(LN(INDEX(Dic2025!$N$6:$N$205,C935))+(LN(INDEX(Dic2025!$N$6:$N$205,MIN(C935+1,200)))-LN(INDEX(Dic2025!$N$6:$N$205,C935)))*(A935-6*C935)/6))</f>
        <v>0.00748345455435407</v>
      </c>
      <c r="K935" s="12" t="n">
        <f aca="false">J935^(-1/B935)-1</f>
        <v>0.0651272024999998</v>
      </c>
      <c r="L935" s="12" t="n">
        <f aca="false">(1+K935)^(1/12)-1</f>
        <v>0.00527169934735894</v>
      </c>
    </row>
    <row r="936" customFormat="false" ht="15" hidden="false" customHeight="false" outlineLevel="0" collapsed="false">
      <c r="A936" s="4" t="n">
        <v>932</v>
      </c>
      <c r="B936" s="14" t="n">
        <f aca="false">A936/12</f>
        <v>77.6666666666667</v>
      </c>
      <c r="C936" s="15" t="n">
        <f aca="false">INT(A936/6)</f>
        <v>155</v>
      </c>
      <c r="D936" s="16" t="n">
        <f aca="false">IF(C936=0,(1+Dic2025!$G$6)^(-B936),EXP(LN(INDEX(Dic2025!$H$6:$H$205,C936))+(LN(INDEX(Dic2025!$H$6:$H$205,MIN(C936+1,200)))-LN(INDEX(Dic2025!$H$6:$H$205,C936)))*(A936-6*C936)/6))</f>
        <v>0.0074442109125448</v>
      </c>
      <c r="E936" s="12" t="n">
        <f aca="false">D936^(-1/B936)-1</f>
        <v>0.0651272024999998</v>
      </c>
      <c r="F936" s="12" t="n">
        <f aca="false">(1+E936)^(1/12)-1</f>
        <v>0.00527169934735894</v>
      </c>
      <c r="G936" s="16" t="n">
        <f aca="false">IF(C936=0,(1+Dic2025!$J$6)^(-B936),EXP(LN(INDEX(Dic2025!$K$6:$K$205,C936))+(LN(INDEX(Dic2025!$K$6:$K$205,MIN(C936+1,200)))-LN(INDEX(Dic2025!$K$6:$K$205,C936)))*(A936-6*C936)/6))</f>
        <v>0.0074442109125448</v>
      </c>
      <c r="H936" s="12" t="n">
        <f aca="false">G936^(-1/B936)-1</f>
        <v>0.0651272024999998</v>
      </c>
      <c r="I936" s="12" t="n">
        <f aca="false">(1+H936)^(1/12)-1</f>
        <v>0.00527169934735894</v>
      </c>
      <c r="J936" s="16" t="n">
        <f aca="false">IF(C936=0,(1+Dic2025!$M$6)^(-B936),EXP(LN(INDEX(Dic2025!$N$6:$N$205,C936))+(LN(INDEX(Dic2025!$N$6:$N$205,MIN(C936+1,200)))-LN(INDEX(Dic2025!$N$6:$N$205,C936)))*(A936-6*C936)/6))</f>
        <v>0.0074442109125448</v>
      </c>
      <c r="K936" s="12" t="n">
        <f aca="false">J936^(-1/B936)-1</f>
        <v>0.0651272024999998</v>
      </c>
      <c r="L936" s="12" t="n">
        <f aca="false">(1+K936)^(1/12)-1</f>
        <v>0.00527169934735894</v>
      </c>
    </row>
    <row r="937" customFormat="false" ht="15" hidden="false" customHeight="false" outlineLevel="0" collapsed="false">
      <c r="A937" s="4" t="n">
        <v>933</v>
      </c>
      <c r="B937" s="14" t="n">
        <f aca="false">A937/12</f>
        <v>77.75</v>
      </c>
      <c r="C937" s="15" t="n">
        <f aca="false">INT(A937/6)</f>
        <v>155</v>
      </c>
      <c r="D937" s="16" t="n">
        <f aca="false">IF(C937=0,(1+Dic2025!$G$6)^(-B937),EXP(LN(INDEX(Dic2025!$H$6:$H$205,C937))+(LN(INDEX(Dic2025!$H$6:$H$205,MIN(C937+1,200)))-LN(INDEX(Dic2025!$H$6:$H$205,C937)))*(A937-6*C937)/6))</f>
        <v>0.00740517306652293</v>
      </c>
      <c r="E937" s="12" t="n">
        <f aca="false">D937^(-1/B937)-1</f>
        <v>0.0651272024999998</v>
      </c>
      <c r="F937" s="12" t="n">
        <f aca="false">(1+E937)^(1/12)-1</f>
        <v>0.00527169934735894</v>
      </c>
      <c r="G937" s="16" t="n">
        <f aca="false">IF(C937=0,(1+Dic2025!$J$6)^(-B937),EXP(LN(INDEX(Dic2025!$K$6:$K$205,C937))+(LN(INDEX(Dic2025!$K$6:$K$205,MIN(C937+1,200)))-LN(INDEX(Dic2025!$K$6:$K$205,C937)))*(A937-6*C937)/6))</f>
        <v>0.00740517306652293</v>
      </c>
      <c r="H937" s="12" t="n">
        <f aca="false">G937^(-1/B937)-1</f>
        <v>0.0651272024999998</v>
      </c>
      <c r="I937" s="12" t="n">
        <f aca="false">(1+H937)^(1/12)-1</f>
        <v>0.00527169934735894</v>
      </c>
      <c r="J937" s="16" t="n">
        <f aca="false">IF(C937=0,(1+Dic2025!$M$6)^(-B937),EXP(LN(INDEX(Dic2025!$N$6:$N$205,C937))+(LN(INDEX(Dic2025!$N$6:$N$205,MIN(C937+1,200)))-LN(INDEX(Dic2025!$N$6:$N$205,C937)))*(A937-6*C937)/6))</f>
        <v>0.00740517306652293</v>
      </c>
      <c r="K937" s="12" t="n">
        <f aca="false">J937^(-1/B937)-1</f>
        <v>0.0651272024999998</v>
      </c>
      <c r="L937" s="12" t="n">
        <f aca="false">(1+K937)^(1/12)-1</f>
        <v>0.00527169934735894</v>
      </c>
    </row>
    <row r="938" customFormat="false" ht="15" hidden="false" customHeight="false" outlineLevel="0" collapsed="false">
      <c r="A938" s="4" t="n">
        <v>934</v>
      </c>
      <c r="B938" s="14" t="n">
        <f aca="false">A938/12</f>
        <v>77.8333333333333</v>
      </c>
      <c r="C938" s="15" t="n">
        <f aca="false">INT(A938/6)</f>
        <v>155</v>
      </c>
      <c r="D938" s="16" t="n">
        <f aca="false">IF(C938=0,(1+Dic2025!$G$6)^(-B938),EXP(LN(INDEX(Dic2025!$H$6:$H$205,C938))+(LN(INDEX(Dic2025!$H$6:$H$205,MIN(C938+1,200)))-LN(INDEX(Dic2025!$H$6:$H$205,C938)))*(A938-6*C938)/6))</f>
        <v>0.00736633993708418</v>
      </c>
      <c r="E938" s="12" t="n">
        <f aca="false">D938^(-1/B938)-1</f>
        <v>0.0651272024999998</v>
      </c>
      <c r="F938" s="12" t="n">
        <f aca="false">(1+E938)^(1/12)-1</f>
        <v>0.00527169934735894</v>
      </c>
      <c r="G938" s="16" t="n">
        <f aca="false">IF(C938=0,(1+Dic2025!$J$6)^(-B938),EXP(LN(INDEX(Dic2025!$K$6:$K$205,C938))+(LN(INDEX(Dic2025!$K$6:$K$205,MIN(C938+1,200)))-LN(INDEX(Dic2025!$K$6:$K$205,C938)))*(A938-6*C938)/6))</f>
        <v>0.00736633993708418</v>
      </c>
      <c r="H938" s="12" t="n">
        <f aca="false">G938^(-1/B938)-1</f>
        <v>0.0651272024999998</v>
      </c>
      <c r="I938" s="12" t="n">
        <f aca="false">(1+H938)^(1/12)-1</f>
        <v>0.00527169934735894</v>
      </c>
      <c r="J938" s="16" t="n">
        <f aca="false">IF(C938=0,(1+Dic2025!$M$6)^(-B938),EXP(LN(INDEX(Dic2025!$N$6:$N$205,C938))+(LN(INDEX(Dic2025!$N$6:$N$205,MIN(C938+1,200)))-LN(INDEX(Dic2025!$N$6:$N$205,C938)))*(A938-6*C938)/6))</f>
        <v>0.00736633993708418</v>
      </c>
      <c r="K938" s="12" t="n">
        <f aca="false">J938^(-1/B938)-1</f>
        <v>0.0651272024999998</v>
      </c>
      <c r="L938" s="12" t="n">
        <f aca="false">(1+K938)^(1/12)-1</f>
        <v>0.00527169934735894</v>
      </c>
    </row>
    <row r="939" customFormat="false" ht="15" hidden="false" customHeight="false" outlineLevel="0" collapsed="false">
      <c r="A939" s="4" t="n">
        <v>935</v>
      </c>
      <c r="B939" s="14" t="n">
        <f aca="false">A939/12</f>
        <v>77.9166666666667</v>
      </c>
      <c r="C939" s="15" t="n">
        <f aca="false">INT(A939/6)</f>
        <v>155</v>
      </c>
      <c r="D939" s="16" t="n">
        <f aca="false">IF(C939=0,(1+Dic2025!$G$6)^(-B939),EXP(LN(INDEX(Dic2025!$H$6:$H$205,C939))+(LN(INDEX(Dic2025!$H$6:$H$205,MIN(C939+1,200)))-LN(INDEX(Dic2025!$H$6:$H$205,C939)))*(A939-6*C939)/6))</f>
        <v>0.00732771045068368</v>
      </c>
      <c r="E939" s="12" t="n">
        <f aca="false">D939^(-1/B939)-1</f>
        <v>0.0651272024999998</v>
      </c>
      <c r="F939" s="12" t="n">
        <f aca="false">(1+E939)^(1/12)-1</f>
        <v>0.00527169934735894</v>
      </c>
      <c r="G939" s="16" t="n">
        <f aca="false">IF(C939=0,(1+Dic2025!$J$6)^(-B939),EXP(LN(INDEX(Dic2025!$K$6:$K$205,C939))+(LN(INDEX(Dic2025!$K$6:$K$205,MIN(C939+1,200)))-LN(INDEX(Dic2025!$K$6:$K$205,C939)))*(A939-6*C939)/6))</f>
        <v>0.00732771045068368</v>
      </c>
      <c r="H939" s="12" t="n">
        <f aca="false">G939^(-1/B939)-1</f>
        <v>0.0651272024999998</v>
      </c>
      <c r="I939" s="12" t="n">
        <f aca="false">(1+H939)^(1/12)-1</f>
        <v>0.00527169934735894</v>
      </c>
      <c r="J939" s="16" t="n">
        <f aca="false">IF(C939=0,(1+Dic2025!$M$6)^(-B939),EXP(LN(INDEX(Dic2025!$N$6:$N$205,C939))+(LN(INDEX(Dic2025!$N$6:$N$205,MIN(C939+1,200)))-LN(INDEX(Dic2025!$N$6:$N$205,C939)))*(A939-6*C939)/6))</f>
        <v>0.00732771045068368</v>
      </c>
      <c r="K939" s="12" t="n">
        <f aca="false">J939^(-1/B939)-1</f>
        <v>0.0651272024999998</v>
      </c>
      <c r="L939" s="12" t="n">
        <f aca="false">(1+K939)^(1/12)-1</f>
        <v>0.00527169934735894</v>
      </c>
    </row>
    <row r="940" customFormat="false" ht="15" hidden="false" customHeight="false" outlineLevel="0" collapsed="false">
      <c r="A940" s="4" t="n">
        <v>936</v>
      </c>
      <c r="B940" s="14" t="n">
        <f aca="false">A940/12</f>
        <v>78</v>
      </c>
      <c r="C940" s="15" t="n">
        <f aca="false">INT(A940/6)</f>
        <v>156</v>
      </c>
      <c r="D940" s="16" t="n">
        <f aca="false">IF(C940=0,(1+Dic2025!$G$6)^(-B940),EXP(LN(INDEX(Dic2025!$H$6:$H$205,C940))+(LN(INDEX(Dic2025!$H$6:$H$205,MIN(C940+1,200)))-LN(INDEX(Dic2025!$H$6:$H$205,C940)))*(A940-6*C940)/6))</f>
        <v>0.00728928353940627</v>
      </c>
      <c r="E940" s="12" t="n">
        <f aca="false">D940^(-1/B940)-1</f>
        <v>0.0651272024999998</v>
      </c>
      <c r="F940" s="12" t="n">
        <f aca="false">(1+E940)^(1/12)-1</f>
        <v>0.00527169934735894</v>
      </c>
      <c r="G940" s="16" t="n">
        <f aca="false">IF(C940=0,(1+Dic2025!$J$6)^(-B940),EXP(LN(INDEX(Dic2025!$K$6:$K$205,C940))+(LN(INDEX(Dic2025!$K$6:$K$205,MIN(C940+1,200)))-LN(INDEX(Dic2025!$K$6:$K$205,C940)))*(A940-6*C940)/6))</f>
        <v>0.00728928353940627</v>
      </c>
      <c r="H940" s="12" t="n">
        <f aca="false">G940^(-1/B940)-1</f>
        <v>0.0651272024999998</v>
      </c>
      <c r="I940" s="12" t="n">
        <f aca="false">(1+H940)^(1/12)-1</f>
        <v>0.00527169934735894</v>
      </c>
      <c r="J940" s="16" t="n">
        <f aca="false">IF(C940=0,(1+Dic2025!$M$6)^(-B940),EXP(LN(INDEX(Dic2025!$N$6:$N$205,C940))+(LN(INDEX(Dic2025!$N$6:$N$205,MIN(C940+1,200)))-LN(INDEX(Dic2025!$N$6:$N$205,C940)))*(A940-6*C940)/6))</f>
        <v>0.00728928353940627</v>
      </c>
      <c r="K940" s="12" t="n">
        <f aca="false">J940^(-1/B940)-1</f>
        <v>0.0651272024999998</v>
      </c>
      <c r="L940" s="12" t="n">
        <f aca="false">(1+K940)^(1/12)-1</f>
        <v>0.00527169934735894</v>
      </c>
    </row>
    <row r="941" customFormat="false" ht="15" hidden="false" customHeight="false" outlineLevel="0" collapsed="false">
      <c r="A941" s="4" t="n">
        <v>937</v>
      </c>
      <c r="B941" s="14" t="n">
        <f aca="false">A941/12</f>
        <v>78.0833333333333</v>
      </c>
      <c r="C941" s="15" t="n">
        <f aca="false">INT(A941/6)</f>
        <v>156</v>
      </c>
      <c r="D941" s="16" t="n">
        <f aca="false">IF(C941=0,(1+Dic2025!$G$6)^(-B941),EXP(LN(INDEX(Dic2025!$H$6:$H$205,C941))+(LN(INDEX(Dic2025!$H$6:$H$205,MIN(C941+1,200)))-LN(INDEX(Dic2025!$H$6:$H$205,C941)))*(A941-6*C941)/6))</f>
        <v>0.00725105814093704</v>
      </c>
      <c r="E941" s="12" t="n">
        <f aca="false">D941^(-1/B941)-1</f>
        <v>0.0651272024999998</v>
      </c>
      <c r="F941" s="12" t="n">
        <f aca="false">(1+E941)^(1/12)-1</f>
        <v>0.00527169934735894</v>
      </c>
      <c r="G941" s="16" t="n">
        <f aca="false">IF(C941=0,(1+Dic2025!$J$6)^(-B941),EXP(LN(INDEX(Dic2025!$K$6:$K$205,C941))+(LN(INDEX(Dic2025!$K$6:$K$205,MIN(C941+1,200)))-LN(INDEX(Dic2025!$K$6:$K$205,C941)))*(A941-6*C941)/6))</f>
        <v>0.00725105814093704</v>
      </c>
      <c r="H941" s="12" t="n">
        <f aca="false">G941^(-1/B941)-1</f>
        <v>0.0651272024999998</v>
      </c>
      <c r="I941" s="12" t="n">
        <f aca="false">(1+H941)^(1/12)-1</f>
        <v>0.00527169934735894</v>
      </c>
      <c r="J941" s="16" t="n">
        <f aca="false">IF(C941=0,(1+Dic2025!$M$6)^(-B941),EXP(LN(INDEX(Dic2025!$N$6:$N$205,C941))+(LN(INDEX(Dic2025!$N$6:$N$205,MIN(C941+1,200)))-LN(INDEX(Dic2025!$N$6:$N$205,C941)))*(A941-6*C941)/6))</f>
        <v>0.00725105814093704</v>
      </c>
      <c r="K941" s="12" t="n">
        <f aca="false">J941^(-1/B941)-1</f>
        <v>0.0651272024999998</v>
      </c>
      <c r="L941" s="12" t="n">
        <f aca="false">(1+K941)^(1/12)-1</f>
        <v>0.00527169934735894</v>
      </c>
    </row>
    <row r="942" customFormat="false" ht="15" hidden="false" customHeight="false" outlineLevel="0" collapsed="false">
      <c r="A942" s="4" t="n">
        <v>938</v>
      </c>
      <c r="B942" s="14" t="n">
        <f aca="false">A942/12</f>
        <v>78.1666666666667</v>
      </c>
      <c r="C942" s="15" t="n">
        <f aca="false">INT(A942/6)</f>
        <v>156</v>
      </c>
      <c r="D942" s="16" t="n">
        <f aca="false">IF(C942=0,(1+Dic2025!$G$6)^(-B942),EXP(LN(INDEX(Dic2025!$H$6:$H$205,C942))+(LN(INDEX(Dic2025!$H$6:$H$205,MIN(C942+1,200)))-LN(INDEX(Dic2025!$H$6:$H$205,C942)))*(A942-6*C942)/6))</f>
        <v>0.00721303319853185</v>
      </c>
      <c r="E942" s="12" t="n">
        <f aca="false">D942^(-1/B942)-1</f>
        <v>0.0651272024999998</v>
      </c>
      <c r="F942" s="12" t="n">
        <f aca="false">(1+E942)^(1/12)-1</f>
        <v>0.00527169934735894</v>
      </c>
      <c r="G942" s="16" t="n">
        <f aca="false">IF(C942=0,(1+Dic2025!$J$6)^(-B942),EXP(LN(INDEX(Dic2025!$K$6:$K$205,C942))+(LN(INDEX(Dic2025!$K$6:$K$205,MIN(C942+1,200)))-LN(INDEX(Dic2025!$K$6:$K$205,C942)))*(A942-6*C942)/6))</f>
        <v>0.00721303319853185</v>
      </c>
      <c r="H942" s="12" t="n">
        <f aca="false">G942^(-1/B942)-1</f>
        <v>0.0651272024999998</v>
      </c>
      <c r="I942" s="12" t="n">
        <f aca="false">(1+H942)^(1/12)-1</f>
        <v>0.00527169934735894</v>
      </c>
      <c r="J942" s="16" t="n">
        <f aca="false">IF(C942=0,(1+Dic2025!$M$6)^(-B942),EXP(LN(INDEX(Dic2025!$N$6:$N$205,C942))+(LN(INDEX(Dic2025!$N$6:$N$205,MIN(C942+1,200)))-LN(INDEX(Dic2025!$N$6:$N$205,C942)))*(A942-6*C942)/6))</f>
        <v>0.00721303319853185</v>
      </c>
      <c r="K942" s="12" t="n">
        <f aca="false">J942^(-1/B942)-1</f>
        <v>0.0651272024999998</v>
      </c>
      <c r="L942" s="12" t="n">
        <f aca="false">(1+K942)^(1/12)-1</f>
        <v>0.00527169934735894</v>
      </c>
    </row>
    <row r="943" customFormat="false" ht="15" hidden="false" customHeight="false" outlineLevel="0" collapsed="false">
      <c r="A943" s="4" t="n">
        <v>939</v>
      </c>
      <c r="B943" s="14" t="n">
        <f aca="false">A943/12</f>
        <v>78.25</v>
      </c>
      <c r="C943" s="15" t="n">
        <f aca="false">INT(A943/6)</f>
        <v>156</v>
      </c>
      <c r="D943" s="16" t="n">
        <f aca="false">IF(C943=0,(1+Dic2025!$G$6)^(-B943),EXP(LN(INDEX(Dic2025!$H$6:$H$205,C943))+(LN(INDEX(Dic2025!$H$6:$H$205,MIN(C943+1,200)))-LN(INDEX(Dic2025!$H$6:$H$205,C943)))*(A943-6*C943)/6))</f>
        <v>0.00717520766098826</v>
      </c>
      <c r="E943" s="12" t="n">
        <f aca="false">D943^(-1/B943)-1</f>
        <v>0.0651272024999998</v>
      </c>
      <c r="F943" s="12" t="n">
        <f aca="false">(1+E943)^(1/12)-1</f>
        <v>0.00527169934735894</v>
      </c>
      <c r="G943" s="16" t="n">
        <f aca="false">IF(C943=0,(1+Dic2025!$J$6)^(-B943),EXP(LN(INDEX(Dic2025!$K$6:$K$205,C943))+(LN(INDEX(Dic2025!$K$6:$K$205,MIN(C943+1,200)))-LN(INDEX(Dic2025!$K$6:$K$205,C943)))*(A943-6*C943)/6))</f>
        <v>0.00717520766098826</v>
      </c>
      <c r="H943" s="12" t="n">
        <f aca="false">G943^(-1/B943)-1</f>
        <v>0.0651272024999998</v>
      </c>
      <c r="I943" s="12" t="n">
        <f aca="false">(1+H943)^(1/12)-1</f>
        <v>0.00527169934735894</v>
      </c>
      <c r="J943" s="16" t="n">
        <f aca="false">IF(C943=0,(1+Dic2025!$M$6)^(-B943),EXP(LN(INDEX(Dic2025!$N$6:$N$205,C943))+(LN(INDEX(Dic2025!$N$6:$N$205,MIN(C943+1,200)))-LN(INDEX(Dic2025!$N$6:$N$205,C943)))*(A943-6*C943)/6))</f>
        <v>0.00717520766098826</v>
      </c>
      <c r="K943" s="12" t="n">
        <f aca="false">J943^(-1/B943)-1</f>
        <v>0.0651272024999998</v>
      </c>
      <c r="L943" s="12" t="n">
        <f aca="false">(1+K943)^(1/12)-1</f>
        <v>0.00527169934735894</v>
      </c>
    </row>
    <row r="944" customFormat="false" ht="15" hidden="false" customHeight="false" outlineLevel="0" collapsed="false">
      <c r="A944" s="4" t="n">
        <v>940</v>
      </c>
      <c r="B944" s="14" t="n">
        <f aca="false">A944/12</f>
        <v>78.3333333333333</v>
      </c>
      <c r="C944" s="15" t="n">
        <f aca="false">INT(A944/6)</f>
        <v>156</v>
      </c>
      <c r="D944" s="16" t="n">
        <f aca="false">IF(C944=0,(1+Dic2025!$G$6)^(-B944),EXP(LN(INDEX(Dic2025!$H$6:$H$205,C944))+(LN(INDEX(Dic2025!$H$6:$H$205,MIN(C944+1,200)))-LN(INDEX(Dic2025!$H$6:$H$205,C944)))*(A944-6*C944)/6))</f>
        <v>0.00713758048261633</v>
      </c>
      <c r="E944" s="12" t="n">
        <f aca="false">D944^(-1/B944)-1</f>
        <v>0.0651272024999998</v>
      </c>
      <c r="F944" s="12" t="n">
        <f aca="false">(1+E944)^(1/12)-1</f>
        <v>0.00527169934735894</v>
      </c>
      <c r="G944" s="16" t="n">
        <f aca="false">IF(C944=0,(1+Dic2025!$J$6)^(-B944),EXP(LN(INDEX(Dic2025!$K$6:$K$205,C944))+(LN(INDEX(Dic2025!$K$6:$K$205,MIN(C944+1,200)))-LN(INDEX(Dic2025!$K$6:$K$205,C944)))*(A944-6*C944)/6))</f>
        <v>0.00713758048261633</v>
      </c>
      <c r="H944" s="12" t="n">
        <f aca="false">G944^(-1/B944)-1</f>
        <v>0.0651272024999998</v>
      </c>
      <c r="I944" s="12" t="n">
        <f aca="false">(1+H944)^(1/12)-1</f>
        <v>0.00527169934735894</v>
      </c>
      <c r="J944" s="16" t="n">
        <f aca="false">IF(C944=0,(1+Dic2025!$M$6)^(-B944),EXP(LN(INDEX(Dic2025!$N$6:$N$205,C944))+(LN(INDEX(Dic2025!$N$6:$N$205,MIN(C944+1,200)))-LN(INDEX(Dic2025!$N$6:$N$205,C944)))*(A944-6*C944)/6))</f>
        <v>0.00713758048261633</v>
      </c>
      <c r="K944" s="12" t="n">
        <f aca="false">J944^(-1/B944)-1</f>
        <v>0.0651272024999998</v>
      </c>
      <c r="L944" s="12" t="n">
        <f aca="false">(1+K944)^(1/12)-1</f>
        <v>0.00527169934735894</v>
      </c>
    </row>
    <row r="945" customFormat="false" ht="15" hidden="false" customHeight="false" outlineLevel="0" collapsed="false">
      <c r="A945" s="4" t="n">
        <v>941</v>
      </c>
      <c r="B945" s="14" t="n">
        <f aca="false">A945/12</f>
        <v>78.4166666666667</v>
      </c>
      <c r="C945" s="15" t="n">
        <f aca="false">INT(A945/6)</f>
        <v>156</v>
      </c>
      <c r="D945" s="16" t="n">
        <f aca="false">IF(C945=0,(1+Dic2025!$G$6)^(-B945),EXP(LN(INDEX(Dic2025!$H$6:$H$205,C945))+(LN(INDEX(Dic2025!$H$6:$H$205,MIN(C945+1,200)))-LN(INDEX(Dic2025!$H$6:$H$205,C945)))*(A945-6*C945)/6))</f>
        <v>0.0071001506232098</v>
      </c>
      <c r="E945" s="12" t="n">
        <f aca="false">D945^(-1/B945)-1</f>
        <v>0.0651272024999998</v>
      </c>
      <c r="F945" s="12" t="n">
        <f aca="false">(1+E945)^(1/12)-1</f>
        <v>0.00527169934735894</v>
      </c>
      <c r="G945" s="16" t="n">
        <f aca="false">IF(C945=0,(1+Dic2025!$J$6)^(-B945),EXP(LN(INDEX(Dic2025!$K$6:$K$205,C945))+(LN(INDEX(Dic2025!$K$6:$K$205,MIN(C945+1,200)))-LN(INDEX(Dic2025!$K$6:$K$205,C945)))*(A945-6*C945)/6))</f>
        <v>0.0071001506232098</v>
      </c>
      <c r="H945" s="12" t="n">
        <f aca="false">G945^(-1/B945)-1</f>
        <v>0.0651272024999998</v>
      </c>
      <c r="I945" s="12" t="n">
        <f aca="false">(1+H945)^(1/12)-1</f>
        <v>0.00527169934735894</v>
      </c>
      <c r="J945" s="16" t="n">
        <f aca="false">IF(C945=0,(1+Dic2025!$M$6)^(-B945),EXP(LN(INDEX(Dic2025!$N$6:$N$205,C945))+(LN(INDEX(Dic2025!$N$6:$N$205,MIN(C945+1,200)))-LN(INDEX(Dic2025!$N$6:$N$205,C945)))*(A945-6*C945)/6))</f>
        <v>0.0071001506232098</v>
      </c>
      <c r="K945" s="12" t="n">
        <f aca="false">J945^(-1/B945)-1</f>
        <v>0.0651272024999998</v>
      </c>
      <c r="L945" s="12" t="n">
        <f aca="false">(1+K945)^(1/12)-1</f>
        <v>0.00527169934735894</v>
      </c>
    </row>
    <row r="946" customFormat="false" ht="15" hidden="false" customHeight="false" outlineLevel="0" collapsed="false">
      <c r="A946" s="4" t="n">
        <v>942</v>
      </c>
      <c r="B946" s="14" t="n">
        <f aca="false">A946/12</f>
        <v>78.5</v>
      </c>
      <c r="C946" s="15" t="n">
        <f aca="false">INT(A946/6)</f>
        <v>157</v>
      </c>
      <c r="D946" s="16" t="n">
        <f aca="false">IF(C946=0,(1+Dic2025!$G$6)^(-B946),EXP(LN(INDEX(Dic2025!$H$6:$H$205,C946))+(LN(INDEX(Dic2025!$H$6:$H$205,MIN(C946+1,200)))-LN(INDEX(Dic2025!$H$6:$H$205,C946)))*(A946-6*C946)/6))</f>
        <v>0.00706291704801732</v>
      </c>
      <c r="E946" s="12" t="n">
        <f aca="false">D946^(-1/B946)-1</f>
        <v>0.0651272024999998</v>
      </c>
      <c r="F946" s="12" t="n">
        <f aca="false">(1+E946)^(1/12)-1</f>
        <v>0.00527169934735894</v>
      </c>
      <c r="G946" s="16" t="n">
        <f aca="false">IF(C946=0,(1+Dic2025!$J$6)^(-B946),EXP(LN(INDEX(Dic2025!$K$6:$K$205,C946))+(LN(INDEX(Dic2025!$K$6:$K$205,MIN(C946+1,200)))-LN(INDEX(Dic2025!$K$6:$K$205,C946)))*(A946-6*C946)/6))</f>
        <v>0.00706291704801732</v>
      </c>
      <c r="H946" s="12" t="n">
        <f aca="false">G946^(-1/B946)-1</f>
        <v>0.0651272024999998</v>
      </c>
      <c r="I946" s="12" t="n">
        <f aca="false">(1+H946)^(1/12)-1</f>
        <v>0.00527169934735894</v>
      </c>
      <c r="J946" s="16" t="n">
        <f aca="false">IF(C946=0,(1+Dic2025!$M$6)^(-B946),EXP(LN(INDEX(Dic2025!$N$6:$N$205,C946))+(LN(INDEX(Dic2025!$N$6:$N$205,MIN(C946+1,200)))-LN(INDEX(Dic2025!$N$6:$N$205,C946)))*(A946-6*C946)/6))</f>
        <v>0.00706291704801732</v>
      </c>
      <c r="K946" s="12" t="n">
        <f aca="false">J946^(-1/B946)-1</f>
        <v>0.0651272024999998</v>
      </c>
      <c r="L946" s="12" t="n">
        <f aca="false">(1+K946)^(1/12)-1</f>
        <v>0.00527169934735894</v>
      </c>
    </row>
    <row r="947" customFormat="false" ht="15" hidden="false" customHeight="false" outlineLevel="0" collapsed="false">
      <c r="A947" s="4" t="n">
        <v>943</v>
      </c>
      <c r="B947" s="14" t="n">
        <f aca="false">A947/12</f>
        <v>78.5833333333333</v>
      </c>
      <c r="C947" s="15" t="n">
        <f aca="false">INT(A947/6)</f>
        <v>157</v>
      </c>
      <c r="D947" s="16" t="n">
        <f aca="false">IF(C947=0,(1+Dic2025!$G$6)^(-B947),EXP(LN(INDEX(Dic2025!$H$6:$H$205,C947))+(LN(INDEX(Dic2025!$H$6:$H$205,MIN(C947+1,200)))-LN(INDEX(Dic2025!$H$6:$H$205,C947)))*(A947-6*C947)/6))</f>
        <v>0.00702587872771381</v>
      </c>
      <c r="E947" s="12" t="n">
        <f aca="false">D947^(-1/B947)-1</f>
        <v>0.0651272024999998</v>
      </c>
      <c r="F947" s="12" t="n">
        <f aca="false">(1+E947)^(1/12)-1</f>
        <v>0.00527169934735894</v>
      </c>
      <c r="G947" s="16" t="n">
        <f aca="false">IF(C947=0,(1+Dic2025!$J$6)^(-B947),EXP(LN(INDEX(Dic2025!$K$6:$K$205,C947))+(LN(INDEX(Dic2025!$K$6:$K$205,MIN(C947+1,200)))-LN(INDEX(Dic2025!$K$6:$K$205,C947)))*(A947-6*C947)/6))</f>
        <v>0.00702587872771381</v>
      </c>
      <c r="H947" s="12" t="n">
        <f aca="false">G947^(-1/B947)-1</f>
        <v>0.0651272024999998</v>
      </c>
      <c r="I947" s="12" t="n">
        <f aca="false">(1+H947)^(1/12)-1</f>
        <v>0.00527169934735894</v>
      </c>
      <c r="J947" s="16" t="n">
        <f aca="false">IF(C947=0,(1+Dic2025!$M$6)^(-B947),EXP(LN(INDEX(Dic2025!$N$6:$N$205,C947))+(LN(INDEX(Dic2025!$N$6:$N$205,MIN(C947+1,200)))-LN(INDEX(Dic2025!$N$6:$N$205,C947)))*(A947-6*C947)/6))</f>
        <v>0.00702587872771381</v>
      </c>
      <c r="K947" s="12" t="n">
        <f aca="false">J947^(-1/B947)-1</f>
        <v>0.0651272024999998</v>
      </c>
      <c r="L947" s="12" t="n">
        <f aca="false">(1+K947)^(1/12)-1</f>
        <v>0.00527169934735894</v>
      </c>
    </row>
    <row r="948" customFormat="false" ht="15" hidden="false" customHeight="false" outlineLevel="0" collapsed="false">
      <c r="A948" s="4" t="n">
        <v>944</v>
      </c>
      <c r="B948" s="14" t="n">
        <f aca="false">A948/12</f>
        <v>78.6666666666667</v>
      </c>
      <c r="C948" s="15" t="n">
        <f aca="false">INT(A948/6)</f>
        <v>157</v>
      </c>
      <c r="D948" s="16" t="n">
        <f aca="false">IF(C948=0,(1+Dic2025!$G$6)^(-B948),EXP(LN(INDEX(Dic2025!$H$6:$H$205,C948))+(LN(INDEX(Dic2025!$H$6:$H$205,MIN(C948+1,200)))-LN(INDEX(Dic2025!$H$6:$H$205,C948)))*(A948-6*C948)/6))</f>
        <v>0.00698903463837203</v>
      </c>
      <c r="E948" s="12" t="n">
        <f aca="false">D948^(-1/B948)-1</f>
        <v>0.0651272024999998</v>
      </c>
      <c r="F948" s="12" t="n">
        <f aca="false">(1+E948)^(1/12)-1</f>
        <v>0.00527169934735894</v>
      </c>
      <c r="G948" s="16" t="n">
        <f aca="false">IF(C948=0,(1+Dic2025!$J$6)^(-B948),EXP(LN(INDEX(Dic2025!$K$6:$K$205,C948))+(LN(INDEX(Dic2025!$K$6:$K$205,MIN(C948+1,200)))-LN(INDEX(Dic2025!$K$6:$K$205,C948)))*(A948-6*C948)/6))</f>
        <v>0.00698903463837203</v>
      </c>
      <c r="H948" s="12" t="n">
        <f aca="false">G948^(-1/B948)-1</f>
        <v>0.0651272024999998</v>
      </c>
      <c r="I948" s="12" t="n">
        <f aca="false">(1+H948)^(1/12)-1</f>
        <v>0.00527169934735894</v>
      </c>
      <c r="J948" s="16" t="n">
        <f aca="false">IF(C948=0,(1+Dic2025!$M$6)^(-B948),EXP(LN(INDEX(Dic2025!$N$6:$N$205,C948))+(LN(INDEX(Dic2025!$N$6:$N$205,MIN(C948+1,200)))-LN(INDEX(Dic2025!$N$6:$N$205,C948)))*(A948-6*C948)/6))</f>
        <v>0.00698903463837203</v>
      </c>
      <c r="K948" s="12" t="n">
        <f aca="false">J948^(-1/B948)-1</f>
        <v>0.0651272024999998</v>
      </c>
      <c r="L948" s="12" t="n">
        <f aca="false">(1+K948)^(1/12)-1</f>
        <v>0.00527169934735894</v>
      </c>
    </row>
    <row r="949" customFormat="false" ht="15" hidden="false" customHeight="false" outlineLevel="0" collapsed="false">
      <c r="A949" s="4" t="n">
        <v>945</v>
      </c>
      <c r="B949" s="14" t="n">
        <f aca="false">A949/12</f>
        <v>78.75</v>
      </c>
      <c r="C949" s="15" t="n">
        <f aca="false">INT(A949/6)</f>
        <v>157</v>
      </c>
      <c r="D949" s="16" t="n">
        <f aca="false">IF(C949=0,(1+Dic2025!$G$6)^(-B949),EXP(LN(INDEX(Dic2025!$H$6:$H$205,C949))+(LN(INDEX(Dic2025!$H$6:$H$205,MIN(C949+1,200)))-LN(INDEX(Dic2025!$H$6:$H$205,C949)))*(A949-6*C949)/6))</f>
        <v>0.00695238376143429</v>
      </c>
      <c r="E949" s="12" t="n">
        <f aca="false">D949^(-1/B949)-1</f>
        <v>0.0651272024999998</v>
      </c>
      <c r="F949" s="12" t="n">
        <f aca="false">(1+E949)^(1/12)-1</f>
        <v>0.00527169934735894</v>
      </c>
      <c r="G949" s="16" t="n">
        <f aca="false">IF(C949=0,(1+Dic2025!$J$6)^(-B949),EXP(LN(INDEX(Dic2025!$K$6:$K$205,C949))+(LN(INDEX(Dic2025!$K$6:$K$205,MIN(C949+1,200)))-LN(INDEX(Dic2025!$K$6:$K$205,C949)))*(A949-6*C949)/6))</f>
        <v>0.00695238376143429</v>
      </c>
      <c r="H949" s="12" t="n">
        <f aca="false">G949^(-1/B949)-1</f>
        <v>0.0651272024999998</v>
      </c>
      <c r="I949" s="12" t="n">
        <f aca="false">(1+H949)^(1/12)-1</f>
        <v>0.00527169934735894</v>
      </c>
      <c r="J949" s="16" t="n">
        <f aca="false">IF(C949=0,(1+Dic2025!$M$6)^(-B949),EXP(LN(INDEX(Dic2025!$N$6:$N$205,C949))+(LN(INDEX(Dic2025!$N$6:$N$205,MIN(C949+1,200)))-LN(INDEX(Dic2025!$N$6:$N$205,C949)))*(A949-6*C949)/6))</f>
        <v>0.00695238376143429</v>
      </c>
      <c r="K949" s="12" t="n">
        <f aca="false">J949^(-1/B949)-1</f>
        <v>0.0651272024999998</v>
      </c>
      <c r="L949" s="12" t="n">
        <f aca="false">(1+K949)^(1/12)-1</f>
        <v>0.00527169934735894</v>
      </c>
    </row>
    <row r="950" customFormat="false" ht="15" hidden="false" customHeight="false" outlineLevel="0" collapsed="false">
      <c r="A950" s="4" t="n">
        <v>946</v>
      </c>
      <c r="B950" s="14" t="n">
        <f aca="false">A950/12</f>
        <v>78.8333333333333</v>
      </c>
      <c r="C950" s="15" t="n">
        <f aca="false">INT(A950/6)</f>
        <v>157</v>
      </c>
      <c r="D950" s="16" t="n">
        <f aca="false">IF(C950=0,(1+Dic2025!$G$6)^(-B950),EXP(LN(INDEX(Dic2025!$H$6:$H$205,C950))+(LN(INDEX(Dic2025!$H$6:$H$205,MIN(C950+1,200)))-LN(INDEX(Dic2025!$H$6:$H$205,C950)))*(A950-6*C950)/6))</f>
        <v>0.00691592508368425</v>
      </c>
      <c r="E950" s="12" t="n">
        <f aca="false">D950^(-1/B950)-1</f>
        <v>0.0651272024999998</v>
      </c>
      <c r="F950" s="12" t="n">
        <f aca="false">(1+E950)^(1/12)-1</f>
        <v>0.00527169934735894</v>
      </c>
      <c r="G950" s="16" t="n">
        <f aca="false">IF(C950=0,(1+Dic2025!$J$6)^(-B950),EXP(LN(INDEX(Dic2025!$K$6:$K$205,C950))+(LN(INDEX(Dic2025!$K$6:$K$205,MIN(C950+1,200)))-LN(INDEX(Dic2025!$K$6:$K$205,C950)))*(A950-6*C950)/6))</f>
        <v>0.00691592508368425</v>
      </c>
      <c r="H950" s="12" t="n">
        <f aca="false">G950^(-1/B950)-1</f>
        <v>0.0651272024999998</v>
      </c>
      <c r="I950" s="12" t="n">
        <f aca="false">(1+H950)^(1/12)-1</f>
        <v>0.00527169934735894</v>
      </c>
      <c r="J950" s="16" t="n">
        <f aca="false">IF(C950=0,(1+Dic2025!$M$6)^(-B950),EXP(LN(INDEX(Dic2025!$N$6:$N$205,C950))+(LN(INDEX(Dic2025!$N$6:$N$205,MIN(C950+1,200)))-LN(INDEX(Dic2025!$N$6:$N$205,C950)))*(A950-6*C950)/6))</f>
        <v>0.00691592508368425</v>
      </c>
      <c r="K950" s="12" t="n">
        <f aca="false">J950^(-1/B950)-1</f>
        <v>0.0651272024999998</v>
      </c>
      <c r="L950" s="12" t="n">
        <f aca="false">(1+K950)^(1/12)-1</f>
        <v>0.00527169934735894</v>
      </c>
    </row>
    <row r="951" customFormat="false" ht="15" hidden="false" customHeight="false" outlineLevel="0" collapsed="false">
      <c r="A951" s="4" t="n">
        <v>947</v>
      </c>
      <c r="B951" s="14" t="n">
        <f aca="false">A951/12</f>
        <v>78.9166666666667</v>
      </c>
      <c r="C951" s="15" t="n">
        <f aca="false">INT(A951/6)</f>
        <v>157</v>
      </c>
      <c r="D951" s="16" t="n">
        <f aca="false">IF(C951=0,(1+Dic2025!$G$6)^(-B951),EXP(LN(INDEX(Dic2025!$H$6:$H$205,C951))+(LN(INDEX(Dic2025!$H$6:$H$205,MIN(C951+1,200)))-LN(INDEX(Dic2025!$H$6:$H$205,C951)))*(A951-6*C951)/6))</f>
        <v>0.00687965759721894</v>
      </c>
      <c r="E951" s="12" t="n">
        <f aca="false">D951^(-1/B951)-1</f>
        <v>0.0651272024999998</v>
      </c>
      <c r="F951" s="12" t="n">
        <f aca="false">(1+E951)^(1/12)-1</f>
        <v>0.00527169934735894</v>
      </c>
      <c r="G951" s="16" t="n">
        <f aca="false">IF(C951=0,(1+Dic2025!$J$6)^(-B951),EXP(LN(INDEX(Dic2025!$K$6:$K$205,C951))+(LN(INDEX(Dic2025!$K$6:$K$205,MIN(C951+1,200)))-LN(INDEX(Dic2025!$K$6:$K$205,C951)))*(A951-6*C951)/6))</f>
        <v>0.00687965759721894</v>
      </c>
      <c r="H951" s="12" t="n">
        <f aca="false">G951^(-1/B951)-1</f>
        <v>0.0651272024999998</v>
      </c>
      <c r="I951" s="12" t="n">
        <f aca="false">(1+H951)^(1/12)-1</f>
        <v>0.00527169934735894</v>
      </c>
      <c r="J951" s="16" t="n">
        <f aca="false">IF(C951=0,(1+Dic2025!$M$6)^(-B951),EXP(LN(INDEX(Dic2025!$N$6:$N$205,C951))+(LN(INDEX(Dic2025!$N$6:$N$205,MIN(C951+1,200)))-LN(INDEX(Dic2025!$N$6:$N$205,C951)))*(A951-6*C951)/6))</f>
        <v>0.00687965759721894</v>
      </c>
      <c r="K951" s="12" t="n">
        <f aca="false">J951^(-1/B951)-1</f>
        <v>0.0651272024999998</v>
      </c>
      <c r="L951" s="12" t="n">
        <f aca="false">(1+K951)^(1/12)-1</f>
        <v>0.00527169934735894</v>
      </c>
    </row>
    <row r="952" customFormat="false" ht="15" hidden="false" customHeight="false" outlineLevel="0" collapsed="false">
      <c r="A952" s="4" t="n">
        <v>948</v>
      </c>
      <c r="B952" s="14" t="n">
        <f aca="false">A952/12</f>
        <v>79</v>
      </c>
      <c r="C952" s="15" t="n">
        <f aca="false">INT(A952/6)</f>
        <v>158</v>
      </c>
      <c r="D952" s="16" t="n">
        <f aca="false">IF(C952=0,(1+Dic2025!$G$6)^(-B952),EXP(LN(INDEX(Dic2025!$H$6:$H$205,C952))+(LN(INDEX(Dic2025!$H$6:$H$205,MIN(C952+1,200)))-LN(INDEX(Dic2025!$H$6:$H$205,C952)))*(A952-6*C952)/6))</f>
        <v>0.00684358029942088</v>
      </c>
      <c r="E952" s="12" t="n">
        <f aca="false">D952^(-1/B952)-1</f>
        <v>0.0651272024999998</v>
      </c>
      <c r="F952" s="12" t="n">
        <f aca="false">(1+E952)^(1/12)-1</f>
        <v>0.00527169934735894</v>
      </c>
      <c r="G952" s="16" t="n">
        <f aca="false">IF(C952=0,(1+Dic2025!$J$6)^(-B952),EXP(LN(INDEX(Dic2025!$K$6:$K$205,C952))+(LN(INDEX(Dic2025!$K$6:$K$205,MIN(C952+1,200)))-LN(INDEX(Dic2025!$K$6:$K$205,C952)))*(A952-6*C952)/6))</f>
        <v>0.00684358029942088</v>
      </c>
      <c r="H952" s="12" t="n">
        <f aca="false">G952^(-1/B952)-1</f>
        <v>0.0651272024999998</v>
      </c>
      <c r="I952" s="12" t="n">
        <f aca="false">(1+H952)^(1/12)-1</f>
        <v>0.00527169934735894</v>
      </c>
      <c r="J952" s="16" t="n">
        <f aca="false">IF(C952=0,(1+Dic2025!$M$6)^(-B952),EXP(LN(INDEX(Dic2025!$N$6:$N$205,C952))+(LN(INDEX(Dic2025!$N$6:$N$205,MIN(C952+1,200)))-LN(INDEX(Dic2025!$N$6:$N$205,C952)))*(A952-6*C952)/6))</f>
        <v>0.00684358029942088</v>
      </c>
      <c r="K952" s="12" t="n">
        <f aca="false">J952^(-1/B952)-1</f>
        <v>0.0651272024999998</v>
      </c>
      <c r="L952" s="12" t="n">
        <f aca="false">(1+K952)^(1/12)-1</f>
        <v>0.00527169934735894</v>
      </c>
    </row>
    <row r="953" customFormat="false" ht="15" hidden="false" customHeight="false" outlineLevel="0" collapsed="false">
      <c r="A953" s="4" t="n">
        <v>949</v>
      </c>
      <c r="B953" s="14" t="n">
        <f aca="false">A953/12</f>
        <v>79.0833333333333</v>
      </c>
      <c r="C953" s="15" t="n">
        <f aca="false">INT(A953/6)</f>
        <v>158</v>
      </c>
      <c r="D953" s="16" t="n">
        <f aca="false">IF(C953=0,(1+Dic2025!$G$6)^(-B953),EXP(LN(INDEX(Dic2025!$H$6:$H$205,C953))+(LN(INDEX(Dic2025!$H$6:$H$205,MIN(C953+1,200)))-LN(INDEX(Dic2025!$H$6:$H$205,C953)))*(A953-6*C953)/6))</f>
        <v>0.00679895793962856</v>
      </c>
      <c r="E953" s="12" t="n">
        <f aca="false">D953^(-1/B953)-1</f>
        <v>0.0651444936809327</v>
      </c>
      <c r="F953" s="12" t="n">
        <f aca="false">(1+E953)^(1/12)-1</f>
        <v>0.00527305929490529</v>
      </c>
      <c r="G953" s="16" t="n">
        <f aca="false">IF(C953=0,(1+Dic2025!$J$6)^(-B953),EXP(LN(INDEX(Dic2025!$K$6:$K$205,C953))+(LN(INDEX(Dic2025!$K$6:$K$205,MIN(C953+1,200)))-LN(INDEX(Dic2025!$K$6:$K$205,C953)))*(A953-6*C953)/6))</f>
        <v>0.00679895793962856</v>
      </c>
      <c r="H953" s="12" t="n">
        <f aca="false">G953^(-1/B953)-1</f>
        <v>0.0651444936809327</v>
      </c>
      <c r="I953" s="12" t="n">
        <f aca="false">(1+H953)^(1/12)-1</f>
        <v>0.00527305929490529</v>
      </c>
      <c r="J953" s="16" t="n">
        <f aca="false">IF(C953=0,(1+Dic2025!$M$6)^(-B953),EXP(LN(INDEX(Dic2025!$N$6:$N$205,C953))+(LN(INDEX(Dic2025!$N$6:$N$205,MIN(C953+1,200)))-LN(INDEX(Dic2025!$N$6:$N$205,C953)))*(A953-6*C953)/6))</f>
        <v>0.00679895793962856</v>
      </c>
      <c r="K953" s="12" t="n">
        <f aca="false">J953^(-1/B953)-1</f>
        <v>0.0651444936809327</v>
      </c>
      <c r="L953" s="12" t="n">
        <f aca="false">(1+K953)^(1/12)-1</f>
        <v>0.00527305929490529</v>
      </c>
    </row>
    <row r="954" customFormat="false" ht="15" hidden="false" customHeight="false" outlineLevel="0" collapsed="false">
      <c r="A954" s="4" t="n">
        <v>950</v>
      </c>
      <c r="B954" s="14" t="n">
        <f aca="false">A954/12</f>
        <v>79.1666666666667</v>
      </c>
      <c r="C954" s="15" t="n">
        <f aca="false">INT(A954/6)</f>
        <v>158</v>
      </c>
      <c r="D954" s="16" t="n">
        <f aca="false">IF(C954=0,(1+Dic2025!$G$6)^(-B954),EXP(LN(INDEX(Dic2025!$H$6:$H$205,C954))+(LN(INDEX(Dic2025!$H$6:$H$205,MIN(C954+1,200)))-LN(INDEX(Dic2025!$H$6:$H$205,C954)))*(A954-6*C954)/6))</f>
        <v>0.0067546265320727</v>
      </c>
      <c r="E954" s="12" t="n">
        <f aca="false">D954^(-1/B954)-1</f>
        <v>0.0651617487391969</v>
      </c>
      <c r="F954" s="12" t="n">
        <f aca="false">(1+E954)^(1/12)-1</f>
        <v>0.00527441638123816</v>
      </c>
      <c r="G954" s="16" t="n">
        <f aca="false">IF(C954=0,(1+Dic2025!$J$6)^(-B954),EXP(LN(INDEX(Dic2025!$K$6:$K$205,C954))+(LN(INDEX(Dic2025!$K$6:$K$205,MIN(C954+1,200)))-LN(INDEX(Dic2025!$K$6:$K$205,C954)))*(A954-6*C954)/6))</f>
        <v>0.0067546265320727</v>
      </c>
      <c r="H954" s="12" t="n">
        <f aca="false">G954^(-1/B954)-1</f>
        <v>0.0651617487391969</v>
      </c>
      <c r="I954" s="12" t="n">
        <f aca="false">(1+H954)^(1/12)-1</f>
        <v>0.00527441638123816</v>
      </c>
      <c r="J954" s="16" t="n">
        <f aca="false">IF(C954=0,(1+Dic2025!$M$6)^(-B954),EXP(LN(INDEX(Dic2025!$N$6:$N$205,C954))+(LN(INDEX(Dic2025!$N$6:$N$205,MIN(C954+1,200)))-LN(INDEX(Dic2025!$N$6:$N$205,C954)))*(A954-6*C954)/6))</f>
        <v>0.0067546265320727</v>
      </c>
      <c r="K954" s="12" t="n">
        <f aca="false">J954^(-1/B954)-1</f>
        <v>0.0651617487391969</v>
      </c>
      <c r="L954" s="12" t="n">
        <f aca="false">(1+K954)^(1/12)-1</f>
        <v>0.00527441638123816</v>
      </c>
    </row>
    <row r="955" customFormat="false" ht="15" hidden="false" customHeight="false" outlineLevel="0" collapsed="false">
      <c r="A955" s="4" t="n">
        <v>951</v>
      </c>
      <c r="B955" s="14" t="n">
        <f aca="false">A955/12</f>
        <v>79.25</v>
      </c>
      <c r="C955" s="15" t="n">
        <f aca="false">INT(A955/6)</f>
        <v>158</v>
      </c>
      <c r="D955" s="16" t="n">
        <f aca="false">IF(C955=0,(1+Dic2025!$G$6)^(-B955),EXP(LN(INDEX(Dic2025!$H$6:$H$205,C955))+(LN(INDEX(Dic2025!$H$6:$H$205,MIN(C955+1,200)))-LN(INDEX(Dic2025!$H$6:$H$205,C955)))*(A955-6*C955)/6))</f>
        <v>0.00671058417965048</v>
      </c>
      <c r="E955" s="12" t="n">
        <f aca="false">D955^(-1/B955)-1</f>
        <v>0.0651789677878671</v>
      </c>
      <c r="F955" s="12" t="n">
        <f aca="false">(1+E955)^(1/12)-1</f>
        <v>0.00527577061537765</v>
      </c>
      <c r="G955" s="16" t="n">
        <f aca="false">IF(C955=0,(1+Dic2025!$J$6)^(-B955),EXP(LN(INDEX(Dic2025!$K$6:$K$205,C955))+(LN(INDEX(Dic2025!$K$6:$K$205,MIN(C955+1,200)))-LN(INDEX(Dic2025!$K$6:$K$205,C955)))*(A955-6*C955)/6))</f>
        <v>0.00671058417965048</v>
      </c>
      <c r="H955" s="12" t="n">
        <f aca="false">G955^(-1/B955)-1</f>
        <v>0.0651789677878671</v>
      </c>
      <c r="I955" s="12" t="n">
        <f aca="false">(1+H955)^(1/12)-1</f>
        <v>0.00527577061537765</v>
      </c>
      <c r="J955" s="16" t="n">
        <f aca="false">IF(C955=0,(1+Dic2025!$M$6)^(-B955),EXP(LN(INDEX(Dic2025!$N$6:$N$205,C955))+(LN(INDEX(Dic2025!$N$6:$N$205,MIN(C955+1,200)))-LN(INDEX(Dic2025!$N$6:$N$205,C955)))*(A955-6*C955)/6))</f>
        <v>0.00671058417965048</v>
      </c>
      <c r="K955" s="12" t="n">
        <f aca="false">J955^(-1/B955)-1</f>
        <v>0.0651789677878671</v>
      </c>
      <c r="L955" s="12" t="n">
        <f aca="false">(1+K955)^(1/12)-1</f>
        <v>0.00527577061537765</v>
      </c>
    </row>
    <row r="956" customFormat="false" ht="15" hidden="false" customHeight="false" outlineLevel="0" collapsed="false">
      <c r="A956" s="4" t="n">
        <v>952</v>
      </c>
      <c r="B956" s="14" t="n">
        <f aca="false">A956/12</f>
        <v>79.3333333333333</v>
      </c>
      <c r="C956" s="15" t="n">
        <f aca="false">INT(A956/6)</f>
        <v>158</v>
      </c>
      <c r="D956" s="16" t="n">
        <f aca="false">IF(C956=0,(1+Dic2025!$G$6)^(-B956),EXP(LN(INDEX(Dic2025!$H$6:$H$205,C956))+(LN(INDEX(Dic2025!$H$6:$H$205,MIN(C956+1,200)))-LN(INDEX(Dic2025!$H$6:$H$205,C956)))*(A956-6*C956)/6))</f>
        <v>0.00666682899762882</v>
      </c>
      <c r="E956" s="12" t="n">
        <f aca="false">D956^(-1/B956)-1</f>
        <v>0.0651961509395462</v>
      </c>
      <c r="F956" s="12" t="n">
        <f aca="false">(1+E956)^(1/12)-1</f>
        <v>0.00527712200630592</v>
      </c>
      <c r="G956" s="16" t="n">
        <f aca="false">IF(C956=0,(1+Dic2025!$J$6)^(-B956),EXP(LN(INDEX(Dic2025!$K$6:$K$205,C956))+(LN(INDEX(Dic2025!$K$6:$K$205,MIN(C956+1,200)))-LN(INDEX(Dic2025!$K$6:$K$205,C956)))*(A956-6*C956)/6))</f>
        <v>0.00666682899762882</v>
      </c>
      <c r="H956" s="12" t="n">
        <f aca="false">G956^(-1/B956)-1</f>
        <v>0.0651961509395462</v>
      </c>
      <c r="I956" s="12" t="n">
        <f aca="false">(1+H956)^(1/12)-1</f>
        <v>0.00527712200630592</v>
      </c>
      <c r="J956" s="16" t="n">
        <f aca="false">IF(C956=0,(1+Dic2025!$M$6)^(-B956),EXP(LN(INDEX(Dic2025!$N$6:$N$205,C956))+(LN(INDEX(Dic2025!$N$6:$N$205,MIN(C956+1,200)))-LN(INDEX(Dic2025!$N$6:$N$205,C956)))*(A956-6*C956)/6))</f>
        <v>0.00666682899762882</v>
      </c>
      <c r="K956" s="12" t="n">
        <f aca="false">J956^(-1/B956)-1</f>
        <v>0.0651961509395462</v>
      </c>
      <c r="L956" s="12" t="n">
        <f aca="false">(1+K956)^(1/12)-1</f>
        <v>0.00527712200630592</v>
      </c>
    </row>
    <row r="957" customFormat="false" ht="15" hidden="false" customHeight="false" outlineLevel="0" collapsed="false">
      <c r="A957" s="4" t="n">
        <v>953</v>
      </c>
      <c r="B957" s="14" t="n">
        <f aca="false">A957/12</f>
        <v>79.4166666666667</v>
      </c>
      <c r="C957" s="15" t="n">
        <f aca="false">INT(A957/6)</f>
        <v>158</v>
      </c>
      <c r="D957" s="16" t="n">
        <f aca="false">IF(C957=0,(1+Dic2025!$G$6)^(-B957),EXP(LN(INDEX(Dic2025!$H$6:$H$205,C957))+(LN(INDEX(Dic2025!$H$6:$H$205,MIN(C957+1,200)))-LN(INDEX(Dic2025!$H$6:$H$205,C957)))*(A957-6*C957)/6))</f>
        <v>0.00662335911356372</v>
      </c>
      <c r="E957" s="12" t="n">
        <f aca="false">D957^(-1/B957)-1</f>
        <v>0.065213298306368</v>
      </c>
      <c r="F957" s="12" t="n">
        <f aca="false">(1+E957)^(1/12)-1</f>
        <v>0.00527847056296782</v>
      </c>
      <c r="G957" s="16" t="n">
        <f aca="false">IF(C957=0,(1+Dic2025!$J$6)^(-B957),EXP(LN(INDEX(Dic2025!$K$6:$K$205,C957))+(LN(INDEX(Dic2025!$K$6:$K$205,MIN(C957+1,200)))-LN(INDEX(Dic2025!$K$6:$K$205,C957)))*(A957-6*C957)/6))</f>
        <v>0.00662335911356372</v>
      </c>
      <c r="H957" s="12" t="n">
        <f aca="false">G957^(-1/B957)-1</f>
        <v>0.065213298306368</v>
      </c>
      <c r="I957" s="12" t="n">
        <f aca="false">(1+H957)^(1/12)-1</f>
        <v>0.00527847056296782</v>
      </c>
      <c r="J957" s="16" t="n">
        <f aca="false">IF(C957=0,(1+Dic2025!$M$6)^(-B957),EXP(LN(INDEX(Dic2025!$N$6:$N$205,C957))+(LN(INDEX(Dic2025!$N$6:$N$205,MIN(C957+1,200)))-LN(INDEX(Dic2025!$N$6:$N$205,C957)))*(A957-6*C957)/6))</f>
        <v>0.00662335911356372</v>
      </c>
      <c r="K957" s="12" t="n">
        <f aca="false">J957^(-1/B957)-1</f>
        <v>0.065213298306368</v>
      </c>
      <c r="L957" s="12" t="n">
        <f aca="false">(1+K957)^(1/12)-1</f>
        <v>0.00527847056296782</v>
      </c>
    </row>
    <row r="958" customFormat="false" ht="15" hidden="false" customHeight="false" outlineLevel="0" collapsed="false">
      <c r="A958" s="4" t="n">
        <v>954</v>
      </c>
      <c r="B958" s="14" t="n">
        <f aca="false">A958/12</f>
        <v>79.5</v>
      </c>
      <c r="C958" s="15" t="n">
        <f aca="false">INT(A958/6)</f>
        <v>159</v>
      </c>
      <c r="D958" s="16" t="n">
        <f aca="false">IF(C958=0,(1+Dic2025!$G$6)^(-B958),EXP(LN(INDEX(Dic2025!$H$6:$H$205,C958))+(LN(INDEX(Dic2025!$H$6:$H$205,MIN(C958+1,200)))-LN(INDEX(Dic2025!$H$6:$H$205,C958)))*(A958-6*C958)/6))</f>
        <v>0.00658017266722011</v>
      </c>
      <c r="E958" s="12" t="n">
        <f aca="false">D958^(-1/B958)-1</f>
        <v>0.0652304100000001</v>
      </c>
      <c r="F958" s="12" t="n">
        <f aca="false">(1+E958)^(1/12)-1</f>
        <v>0.00527981629427021</v>
      </c>
      <c r="G958" s="16" t="n">
        <f aca="false">IF(C958=0,(1+Dic2025!$J$6)^(-B958),EXP(LN(INDEX(Dic2025!$K$6:$K$205,C958))+(LN(INDEX(Dic2025!$K$6:$K$205,MIN(C958+1,200)))-LN(INDEX(Dic2025!$K$6:$K$205,C958)))*(A958-6*C958)/6))</f>
        <v>0.00658017266722011</v>
      </c>
      <c r="H958" s="12" t="n">
        <f aca="false">G958^(-1/B958)-1</f>
        <v>0.0652304100000001</v>
      </c>
      <c r="I958" s="12" t="n">
        <f aca="false">(1+H958)^(1/12)-1</f>
        <v>0.00527981629427021</v>
      </c>
      <c r="J958" s="16" t="n">
        <f aca="false">IF(C958=0,(1+Dic2025!$M$6)^(-B958),EXP(LN(INDEX(Dic2025!$N$6:$N$205,C958))+(LN(INDEX(Dic2025!$N$6:$N$205,MIN(C958+1,200)))-LN(INDEX(Dic2025!$N$6:$N$205,C958)))*(A958-6*C958)/6))</f>
        <v>0.00658017266722011</v>
      </c>
      <c r="K958" s="12" t="n">
        <f aca="false">J958^(-1/B958)-1</f>
        <v>0.0652304100000001</v>
      </c>
      <c r="L958" s="12" t="n">
        <f aca="false">(1+K958)^(1/12)-1</f>
        <v>0.00527981629427021</v>
      </c>
    </row>
    <row r="959" customFormat="false" ht="15" hidden="false" customHeight="false" outlineLevel="0" collapsed="false">
      <c r="A959" s="4" t="n">
        <v>955</v>
      </c>
      <c r="B959" s="14" t="n">
        <f aca="false">A959/12</f>
        <v>79.5833333333333</v>
      </c>
      <c r="C959" s="15" t="n">
        <f aca="false">INT(A959/6)</f>
        <v>159</v>
      </c>
      <c r="D959" s="16" t="n">
        <f aca="false">IF(C959=0,(1+Dic2025!$G$6)^(-B959),EXP(LN(INDEX(Dic2025!$H$6:$H$205,C959))+(LN(INDEX(Dic2025!$H$6:$H$205,MIN(C959+1,200)))-LN(INDEX(Dic2025!$H$6:$H$205,C959)))*(A959-6*C959)/6))</f>
        <v>0.00654561303287315</v>
      </c>
      <c r="E959" s="12" t="n">
        <f aca="false">D959^(-1/B959)-1</f>
        <v>0.0652304100000001</v>
      </c>
      <c r="F959" s="12" t="n">
        <f aca="false">(1+E959)^(1/12)-1</f>
        <v>0.00527981629427021</v>
      </c>
      <c r="G959" s="16" t="n">
        <f aca="false">IF(C959=0,(1+Dic2025!$J$6)^(-B959),EXP(LN(INDEX(Dic2025!$K$6:$K$205,C959))+(LN(INDEX(Dic2025!$K$6:$K$205,MIN(C959+1,200)))-LN(INDEX(Dic2025!$K$6:$K$205,C959)))*(A959-6*C959)/6))</f>
        <v>0.00654561303287315</v>
      </c>
      <c r="H959" s="12" t="n">
        <f aca="false">G959^(-1/B959)-1</f>
        <v>0.0652304100000001</v>
      </c>
      <c r="I959" s="12" t="n">
        <f aca="false">(1+H959)^(1/12)-1</f>
        <v>0.00527981629427021</v>
      </c>
      <c r="J959" s="16" t="n">
        <f aca="false">IF(C959=0,(1+Dic2025!$M$6)^(-B959),EXP(LN(INDEX(Dic2025!$N$6:$N$205,C959))+(LN(INDEX(Dic2025!$N$6:$N$205,MIN(C959+1,200)))-LN(INDEX(Dic2025!$N$6:$N$205,C959)))*(A959-6*C959)/6))</f>
        <v>0.00654561303287315</v>
      </c>
      <c r="K959" s="12" t="n">
        <f aca="false">J959^(-1/B959)-1</f>
        <v>0.0652304100000001</v>
      </c>
      <c r="L959" s="12" t="n">
        <f aca="false">(1+K959)^(1/12)-1</f>
        <v>0.00527981629427021</v>
      </c>
    </row>
    <row r="960" customFormat="false" ht="15" hidden="false" customHeight="false" outlineLevel="0" collapsed="false">
      <c r="A960" s="4" t="n">
        <v>956</v>
      </c>
      <c r="B960" s="14" t="n">
        <f aca="false">A960/12</f>
        <v>79.6666666666667</v>
      </c>
      <c r="C960" s="15" t="n">
        <f aca="false">INT(A960/6)</f>
        <v>159</v>
      </c>
      <c r="D960" s="16" t="n">
        <f aca="false">IF(C960=0,(1+Dic2025!$G$6)^(-B960),EXP(LN(INDEX(Dic2025!$H$6:$H$205,C960))+(LN(INDEX(Dic2025!$H$6:$H$205,MIN(C960+1,200)))-LN(INDEX(Dic2025!$H$6:$H$205,C960)))*(A960-6*C960)/6))</f>
        <v>0.00651123490870634</v>
      </c>
      <c r="E960" s="12" t="n">
        <f aca="false">D960^(-1/B960)-1</f>
        <v>0.0652304100000001</v>
      </c>
      <c r="F960" s="12" t="n">
        <f aca="false">(1+E960)^(1/12)-1</f>
        <v>0.00527981629427021</v>
      </c>
      <c r="G960" s="16" t="n">
        <f aca="false">IF(C960=0,(1+Dic2025!$J$6)^(-B960),EXP(LN(INDEX(Dic2025!$K$6:$K$205,C960))+(LN(INDEX(Dic2025!$K$6:$K$205,MIN(C960+1,200)))-LN(INDEX(Dic2025!$K$6:$K$205,C960)))*(A960-6*C960)/6))</f>
        <v>0.00651123490870634</v>
      </c>
      <c r="H960" s="12" t="n">
        <f aca="false">G960^(-1/B960)-1</f>
        <v>0.0652304100000001</v>
      </c>
      <c r="I960" s="12" t="n">
        <f aca="false">(1+H960)^(1/12)-1</f>
        <v>0.00527981629427021</v>
      </c>
      <c r="J960" s="16" t="n">
        <f aca="false">IF(C960=0,(1+Dic2025!$M$6)^(-B960),EXP(LN(INDEX(Dic2025!$N$6:$N$205,C960))+(LN(INDEX(Dic2025!$N$6:$N$205,MIN(C960+1,200)))-LN(INDEX(Dic2025!$N$6:$N$205,C960)))*(A960-6*C960)/6))</f>
        <v>0.00651123490870634</v>
      </c>
      <c r="K960" s="12" t="n">
        <f aca="false">J960^(-1/B960)-1</f>
        <v>0.0652304100000001</v>
      </c>
      <c r="L960" s="12" t="n">
        <f aca="false">(1+K960)^(1/12)-1</f>
        <v>0.00527981629427021</v>
      </c>
    </row>
    <row r="961" customFormat="false" ht="15" hidden="false" customHeight="false" outlineLevel="0" collapsed="false">
      <c r="A961" s="4" t="n">
        <v>957</v>
      </c>
      <c r="B961" s="14" t="n">
        <f aca="false">A961/12</f>
        <v>79.75</v>
      </c>
      <c r="C961" s="15" t="n">
        <f aca="false">INT(A961/6)</f>
        <v>159</v>
      </c>
      <c r="D961" s="16" t="n">
        <f aca="false">IF(C961=0,(1+Dic2025!$G$6)^(-B961),EXP(LN(INDEX(Dic2025!$H$6:$H$205,C961))+(LN(INDEX(Dic2025!$H$6:$H$205,MIN(C961+1,200)))-LN(INDEX(Dic2025!$H$6:$H$205,C961)))*(A961-6*C961)/6))</f>
        <v>0.00647703734141256</v>
      </c>
      <c r="E961" s="12" t="n">
        <f aca="false">D961^(-1/B961)-1</f>
        <v>0.0652304100000001</v>
      </c>
      <c r="F961" s="12" t="n">
        <f aca="false">(1+E961)^(1/12)-1</f>
        <v>0.00527981629427021</v>
      </c>
      <c r="G961" s="16" t="n">
        <f aca="false">IF(C961=0,(1+Dic2025!$J$6)^(-B961),EXP(LN(INDEX(Dic2025!$K$6:$K$205,C961))+(LN(INDEX(Dic2025!$K$6:$K$205,MIN(C961+1,200)))-LN(INDEX(Dic2025!$K$6:$K$205,C961)))*(A961-6*C961)/6))</f>
        <v>0.00647703734141256</v>
      </c>
      <c r="H961" s="12" t="n">
        <f aca="false">G961^(-1/B961)-1</f>
        <v>0.0652304100000001</v>
      </c>
      <c r="I961" s="12" t="n">
        <f aca="false">(1+H961)^(1/12)-1</f>
        <v>0.00527981629427021</v>
      </c>
      <c r="J961" s="16" t="n">
        <f aca="false">IF(C961=0,(1+Dic2025!$M$6)^(-B961),EXP(LN(INDEX(Dic2025!$N$6:$N$205,C961))+(LN(INDEX(Dic2025!$N$6:$N$205,MIN(C961+1,200)))-LN(INDEX(Dic2025!$N$6:$N$205,C961)))*(A961-6*C961)/6))</f>
        <v>0.00647703734141256</v>
      </c>
      <c r="K961" s="12" t="n">
        <f aca="false">J961^(-1/B961)-1</f>
        <v>0.0652304100000001</v>
      </c>
      <c r="L961" s="12" t="n">
        <f aca="false">(1+K961)^(1/12)-1</f>
        <v>0.00527981629427021</v>
      </c>
    </row>
    <row r="962" customFormat="false" ht="15" hidden="false" customHeight="false" outlineLevel="0" collapsed="false">
      <c r="A962" s="4" t="n">
        <v>958</v>
      </c>
      <c r="B962" s="14" t="n">
        <f aca="false">A962/12</f>
        <v>79.8333333333333</v>
      </c>
      <c r="C962" s="15" t="n">
        <f aca="false">INT(A962/6)</f>
        <v>159</v>
      </c>
      <c r="D962" s="16" t="n">
        <f aca="false">IF(C962=0,(1+Dic2025!$G$6)^(-B962),EXP(LN(INDEX(Dic2025!$H$6:$H$205,C962))+(LN(INDEX(Dic2025!$H$6:$H$205,MIN(C962+1,200)))-LN(INDEX(Dic2025!$H$6:$H$205,C962)))*(A962-6*C962)/6))</f>
        <v>0.00644301938269153</v>
      </c>
      <c r="E962" s="12" t="n">
        <f aca="false">D962^(-1/B962)-1</f>
        <v>0.0652304100000001</v>
      </c>
      <c r="F962" s="12" t="n">
        <f aca="false">(1+E962)^(1/12)-1</f>
        <v>0.00527981629427021</v>
      </c>
      <c r="G962" s="16" t="n">
        <f aca="false">IF(C962=0,(1+Dic2025!$J$6)^(-B962),EXP(LN(INDEX(Dic2025!$K$6:$K$205,C962))+(LN(INDEX(Dic2025!$K$6:$K$205,MIN(C962+1,200)))-LN(INDEX(Dic2025!$K$6:$K$205,C962)))*(A962-6*C962)/6))</f>
        <v>0.00644301938269153</v>
      </c>
      <c r="H962" s="12" t="n">
        <f aca="false">G962^(-1/B962)-1</f>
        <v>0.0652304100000001</v>
      </c>
      <c r="I962" s="12" t="n">
        <f aca="false">(1+H962)^(1/12)-1</f>
        <v>0.00527981629427021</v>
      </c>
      <c r="J962" s="16" t="n">
        <f aca="false">IF(C962=0,(1+Dic2025!$M$6)^(-B962),EXP(LN(INDEX(Dic2025!$N$6:$N$205,C962))+(LN(INDEX(Dic2025!$N$6:$N$205,MIN(C962+1,200)))-LN(INDEX(Dic2025!$N$6:$N$205,C962)))*(A962-6*C962)/6))</f>
        <v>0.00644301938269153</v>
      </c>
      <c r="K962" s="12" t="n">
        <f aca="false">J962^(-1/B962)-1</f>
        <v>0.0652304100000001</v>
      </c>
      <c r="L962" s="12" t="n">
        <f aca="false">(1+K962)^(1/12)-1</f>
        <v>0.00527981629427021</v>
      </c>
    </row>
    <row r="963" customFormat="false" ht="15" hidden="false" customHeight="false" outlineLevel="0" collapsed="false">
      <c r="A963" s="4" t="n">
        <v>959</v>
      </c>
      <c r="B963" s="14" t="n">
        <f aca="false">A963/12</f>
        <v>79.9166666666667</v>
      </c>
      <c r="C963" s="15" t="n">
        <f aca="false">INT(A963/6)</f>
        <v>159</v>
      </c>
      <c r="D963" s="16" t="n">
        <f aca="false">IF(C963=0,(1+Dic2025!$G$6)^(-B963),EXP(LN(INDEX(Dic2025!$H$6:$H$205,C963))+(LN(INDEX(Dic2025!$H$6:$H$205,MIN(C963+1,200)))-LN(INDEX(Dic2025!$H$6:$H$205,C963)))*(A963-6*C963)/6))</f>
        <v>0.00640918008922353</v>
      </c>
      <c r="E963" s="12" t="n">
        <f aca="false">D963^(-1/B963)-1</f>
        <v>0.0652304100000001</v>
      </c>
      <c r="F963" s="12" t="n">
        <f aca="false">(1+E963)^(1/12)-1</f>
        <v>0.00527981629427021</v>
      </c>
      <c r="G963" s="16" t="n">
        <f aca="false">IF(C963=0,(1+Dic2025!$J$6)^(-B963),EXP(LN(INDEX(Dic2025!$K$6:$K$205,C963))+(LN(INDEX(Dic2025!$K$6:$K$205,MIN(C963+1,200)))-LN(INDEX(Dic2025!$K$6:$K$205,C963)))*(A963-6*C963)/6))</f>
        <v>0.00640918008922353</v>
      </c>
      <c r="H963" s="12" t="n">
        <f aca="false">G963^(-1/B963)-1</f>
        <v>0.0652304100000001</v>
      </c>
      <c r="I963" s="12" t="n">
        <f aca="false">(1+H963)^(1/12)-1</f>
        <v>0.00527981629427021</v>
      </c>
      <c r="J963" s="16" t="n">
        <f aca="false">IF(C963=0,(1+Dic2025!$M$6)^(-B963),EXP(LN(INDEX(Dic2025!$N$6:$N$205,C963))+(LN(INDEX(Dic2025!$N$6:$N$205,MIN(C963+1,200)))-LN(INDEX(Dic2025!$N$6:$N$205,C963)))*(A963-6*C963)/6))</f>
        <v>0.00640918008922353</v>
      </c>
      <c r="K963" s="12" t="n">
        <f aca="false">J963^(-1/B963)-1</f>
        <v>0.0652304100000001</v>
      </c>
      <c r="L963" s="12" t="n">
        <f aca="false">(1+K963)^(1/12)-1</f>
        <v>0.00527981629427021</v>
      </c>
    </row>
    <row r="964" customFormat="false" ht="15" hidden="false" customHeight="false" outlineLevel="0" collapsed="false">
      <c r="A964" s="4" t="n">
        <v>960</v>
      </c>
      <c r="B964" s="14" t="n">
        <f aca="false">A964/12</f>
        <v>80</v>
      </c>
      <c r="C964" s="15" t="n">
        <f aca="false">INT(A964/6)</f>
        <v>160</v>
      </c>
      <c r="D964" s="16" t="n">
        <f aca="false">IF(C964=0,(1+Dic2025!$G$6)^(-B964),EXP(LN(INDEX(Dic2025!$H$6:$H$205,C964))+(LN(INDEX(Dic2025!$H$6:$H$205,MIN(C964+1,200)))-LN(INDEX(Dic2025!$H$6:$H$205,C964)))*(A964-6*C964)/6))</f>
        <v>0.00637551852264326</v>
      </c>
      <c r="E964" s="12" t="n">
        <f aca="false">D964^(-1/B964)-1</f>
        <v>0.0652304100000001</v>
      </c>
      <c r="F964" s="12" t="n">
        <f aca="false">(1+E964)^(1/12)-1</f>
        <v>0.00527981629427021</v>
      </c>
      <c r="G964" s="16" t="n">
        <f aca="false">IF(C964=0,(1+Dic2025!$J$6)^(-B964),EXP(LN(INDEX(Dic2025!$K$6:$K$205,C964))+(LN(INDEX(Dic2025!$K$6:$K$205,MIN(C964+1,200)))-LN(INDEX(Dic2025!$K$6:$K$205,C964)))*(A964-6*C964)/6))</f>
        <v>0.00637551852264326</v>
      </c>
      <c r="H964" s="12" t="n">
        <f aca="false">G964^(-1/B964)-1</f>
        <v>0.0652304100000001</v>
      </c>
      <c r="I964" s="12" t="n">
        <f aca="false">(1+H964)^(1/12)-1</f>
        <v>0.00527981629427021</v>
      </c>
      <c r="J964" s="16" t="n">
        <f aca="false">IF(C964=0,(1+Dic2025!$M$6)^(-B964),EXP(LN(INDEX(Dic2025!$N$6:$N$205,C964))+(LN(INDEX(Dic2025!$N$6:$N$205,MIN(C964+1,200)))-LN(INDEX(Dic2025!$N$6:$N$205,C964)))*(A964-6*C964)/6))</f>
        <v>0.00637551852264326</v>
      </c>
      <c r="K964" s="12" t="n">
        <f aca="false">J964^(-1/B964)-1</f>
        <v>0.0652304100000001</v>
      </c>
      <c r="L964" s="12" t="n">
        <f aca="false">(1+K964)^(1/12)-1</f>
        <v>0.00527981629427021</v>
      </c>
    </row>
    <row r="965" customFormat="false" ht="15" hidden="false" customHeight="false" outlineLevel="0" collapsed="false">
      <c r="A965" s="4" t="n">
        <v>961</v>
      </c>
      <c r="B965" s="14" t="n">
        <f aca="false">A965/12</f>
        <v>80.0833333333333</v>
      </c>
      <c r="C965" s="15" t="n">
        <f aca="false">INT(A965/6)</f>
        <v>160</v>
      </c>
      <c r="D965" s="16" t="n">
        <f aca="false">IF(C965=0,(1+Dic2025!$G$6)^(-B965),EXP(LN(INDEX(Dic2025!$H$6:$H$205,C965))+(LN(INDEX(Dic2025!$H$6:$H$205,MIN(C965+1,200)))-LN(INDEX(Dic2025!$H$6:$H$205,C965)))*(A965-6*C965)/6))</f>
        <v>0.00634203374951376</v>
      </c>
      <c r="E965" s="12" t="n">
        <f aca="false">D965^(-1/B965)-1</f>
        <v>0.0652304100000001</v>
      </c>
      <c r="F965" s="12" t="n">
        <f aca="false">(1+E965)^(1/12)-1</f>
        <v>0.00527981629427021</v>
      </c>
      <c r="G965" s="16" t="n">
        <f aca="false">IF(C965=0,(1+Dic2025!$J$6)^(-B965),EXP(LN(INDEX(Dic2025!$K$6:$K$205,C965))+(LN(INDEX(Dic2025!$K$6:$K$205,MIN(C965+1,200)))-LN(INDEX(Dic2025!$K$6:$K$205,C965)))*(A965-6*C965)/6))</f>
        <v>0.00634203374951376</v>
      </c>
      <c r="H965" s="12" t="n">
        <f aca="false">G965^(-1/B965)-1</f>
        <v>0.0652304100000001</v>
      </c>
      <c r="I965" s="12" t="n">
        <f aca="false">(1+H965)^(1/12)-1</f>
        <v>0.00527981629427021</v>
      </c>
      <c r="J965" s="16" t="n">
        <f aca="false">IF(C965=0,(1+Dic2025!$M$6)^(-B965),EXP(LN(INDEX(Dic2025!$N$6:$N$205,C965))+(LN(INDEX(Dic2025!$N$6:$N$205,MIN(C965+1,200)))-LN(INDEX(Dic2025!$N$6:$N$205,C965)))*(A965-6*C965)/6))</f>
        <v>0.00634203374951376</v>
      </c>
      <c r="K965" s="12" t="n">
        <f aca="false">J965^(-1/B965)-1</f>
        <v>0.0652304100000001</v>
      </c>
      <c r="L965" s="12" t="n">
        <f aca="false">(1+K965)^(1/12)-1</f>
        <v>0.00527981629427021</v>
      </c>
    </row>
    <row r="966" customFormat="false" ht="15" hidden="false" customHeight="false" outlineLevel="0" collapsed="false">
      <c r="A966" s="4" t="n">
        <v>962</v>
      </c>
      <c r="B966" s="14" t="n">
        <f aca="false">A966/12</f>
        <v>80.1666666666667</v>
      </c>
      <c r="C966" s="15" t="n">
        <f aca="false">INT(A966/6)</f>
        <v>160</v>
      </c>
      <c r="D966" s="16" t="n">
        <f aca="false">IF(C966=0,(1+Dic2025!$G$6)^(-B966),EXP(LN(INDEX(Dic2025!$H$6:$H$205,C966))+(LN(INDEX(Dic2025!$H$6:$H$205,MIN(C966+1,200)))-LN(INDEX(Dic2025!$H$6:$H$205,C966)))*(A966-6*C966)/6))</f>
        <v>0.00630872484130059</v>
      </c>
      <c r="E966" s="12" t="n">
        <f aca="false">D966^(-1/B966)-1</f>
        <v>0.0652304100000001</v>
      </c>
      <c r="F966" s="12" t="n">
        <f aca="false">(1+E966)^(1/12)-1</f>
        <v>0.00527981629427021</v>
      </c>
      <c r="G966" s="16" t="n">
        <f aca="false">IF(C966=0,(1+Dic2025!$J$6)^(-B966),EXP(LN(INDEX(Dic2025!$K$6:$K$205,C966))+(LN(INDEX(Dic2025!$K$6:$K$205,MIN(C966+1,200)))-LN(INDEX(Dic2025!$K$6:$K$205,C966)))*(A966-6*C966)/6))</f>
        <v>0.00630872484130059</v>
      </c>
      <c r="H966" s="12" t="n">
        <f aca="false">G966^(-1/B966)-1</f>
        <v>0.0652304100000001</v>
      </c>
      <c r="I966" s="12" t="n">
        <f aca="false">(1+H966)^(1/12)-1</f>
        <v>0.00527981629427021</v>
      </c>
      <c r="J966" s="16" t="n">
        <f aca="false">IF(C966=0,(1+Dic2025!$M$6)^(-B966),EXP(LN(INDEX(Dic2025!$N$6:$N$205,C966))+(LN(INDEX(Dic2025!$N$6:$N$205,MIN(C966+1,200)))-LN(INDEX(Dic2025!$N$6:$N$205,C966)))*(A966-6*C966)/6))</f>
        <v>0.00630872484130059</v>
      </c>
      <c r="K966" s="12" t="n">
        <f aca="false">J966^(-1/B966)-1</f>
        <v>0.0652304100000001</v>
      </c>
      <c r="L966" s="12" t="n">
        <f aca="false">(1+K966)^(1/12)-1</f>
        <v>0.00527981629427021</v>
      </c>
    </row>
    <row r="967" customFormat="false" ht="15" hidden="false" customHeight="false" outlineLevel="0" collapsed="false">
      <c r="A967" s="4" t="n">
        <v>963</v>
      </c>
      <c r="B967" s="14" t="n">
        <f aca="false">A967/12</f>
        <v>80.25</v>
      </c>
      <c r="C967" s="15" t="n">
        <f aca="false">INT(A967/6)</f>
        <v>160</v>
      </c>
      <c r="D967" s="16" t="n">
        <f aca="false">IF(C967=0,(1+Dic2025!$G$6)^(-B967),EXP(LN(INDEX(Dic2025!$H$6:$H$205,C967))+(LN(INDEX(Dic2025!$H$6:$H$205,MIN(C967+1,200)))-LN(INDEX(Dic2025!$H$6:$H$205,C967)))*(A967-6*C967)/6))</f>
        <v>0.00627559087434605</v>
      </c>
      <c r="E967" s="12" t="n">
        <f aca="false">D967^(-1/B967)-1</f>
        <v>0.0652304100000001</v>
      </c>
      <c r="F967" s="12" t="n">
        <f aca="false">(1+E967)^(1/12)-1</f>
        <v>0.00527981629427021</v>
      </c>
      <c r="G967" s="16" t="n">
        <f aca="false">IF(C967=0,(1+Dic2025!$J$6)^(-B967),EXP(LN(INDEX(Dic2025!$K$6:$K$205,C967))+(LN(INDEX(Dic2025!$K$6:$K$205,MIN(C967+1,200)))-LN(INDEX(Dic2025!$K$6:$K$205,C967)))*(A967-6*C967)/6))</f>
        <v>0.00627559087434605</v>
      </c>
      <c r="H967" s="12" t="n">
        <f aca="false">G967^(-1/B967)-1</f>
        <v>0.0652304100000001</v>
      </c>
      <c r="I967" s="12" t="n">
        <f aca="false">(1+H967)^(1/12)-1</f>
        <v>0.00527981629427021</v>
      </c>
      <c r="J967" s="16" t="n">
        <f aca="false">IF(C967=0,(1+Dic2025!$M$6)^(-B967),EXP(LN(INDEX(Dic2025!$N$6:$N$205,C967))+(LN(INDEX(Dic2025!$N$6:$N$205,MIN(C967+1,200)))-LN(INDEX(Dic2025!$N$6:$N$205,C967)))*(A967-6*C967)/6))</f>
        <v>0.00627559087434605</v>
      </c>
      <c r="K967" s="12" t="n">
        <f aca="false">J967^(-1/B967)-1</f>
        <v>0.0652304100000001</v>
      </c>
      <c r="L967" s="12" t="n">
        <f aca="false">(1+K967)^(1/12)-1</f>
        <v>0.00527981629427021</v>
      </c>
    </row>
    <row r="968" customFormat="false" ht="15" hidden="false" customHeight="false" outlineLevel="0" collapsed="false">
      <c r="A968" s="4" t="n">
        <v>964</v>
      </c>
      <c r="B968" s="14" t="n">
        <f aca="false">A968/12</f>
        <v>80.3333333333333</v>
      </c>
      <c r="C968" s="15" t="n">
        <f aca="false">INT(A968/6)</f>
        <v>160</v>
      </c>
      <c r="D968" s="16" t="n">
        <f aca="false">IF(C968=0,(1+Dic2025!$G$6)^(-B968),EXP(LN(INDEX(Dic2025!$H$6:$H$205,C968))+(LN(INDEX(Dic2025!$H$6:$H$205,MIN(C968+1,200)))-LN(INDEX(Dic2025!$H$6:$H$205,C968)))*(A968-6*C968)/6))</f>
        <v>0.00624263092984355</v>
      </c>
      <c r="E968" s="12" t="n">
        <f aca="false">D968^(-1/B968)-1</f>
        <v>0.0652304100000001</v>
      </c>
      <c r="F968" s="12" t="n">
        <f aca="false">(1+E968)^(1/12)-1</f>
        <v>0.00527981629427021</v>
      </c>
      <c r="G968" s="16" t="n">
        <f aca="false">IF(C968=0,(1+Dic2025!$J$6)^(-B968),EXP(LN(INDEX(Dic2025!$K$6:$K$205,C968))+(LN(INDEX(Dic2025!$K$6:$K$205,MIN(C968+1,200)))-LN(INDEX(Dic2025!$K$6:$K$205,C968)))*(A968-6*C968)/6))</f>
        <v>0.00624263092984355</v>
      </c>
      <c r="H968" s="12" t="n">
        <f aca="false">G968^(-1/B968)-1</f>
        <v>0.0652304100000001</v>
      </c>
      <c r="I968" s="12" t="n">
        <f aca="false">(1+H968)^(1/12)-1</f>
        <v>0.00527981629427021</v>
      </c>
      <c r="J968" s="16" t="n">
        <f aca="false">IF(C968=0,(1+Dic2025!$M$6)^(-B968),EXP(LN(INDEX(Dic2025!$N$6:$N$205,C968))+(LN(INDEX(Dic2025!$N$6:$N$205,MIN(C968+1,200)))-LN(INDEX(Dic2025!$N$6:$N$205,C968)))*(A968-6*C968)/6))</f>
        <v>0.00624263092984355</v>
      </c>
      <c r="K968" s="12" t="n">
        <f aca="false">J968^(-1/B968)-1</f>
        <v>0.0652304100000001</v>
      </c>
      <c r="L968" s="12" t="n">
        <f aca="false">(1+K968)^(1/12)-1</f>
        <v>0.00527981629427021</v>
      </c>
    </row>
    <row r="969" customFormat="false" ht="15" hidden="false" customHeight="false" outlineLevel="0" collapsed="false">
      <c r="A969" s="4" t="n">
        <v>965</v>
      </c>
      <c r="B969" s="14" t="n">
        <f aca="false">A969/12</f>
        <v>80.4166666666667</v>
      </c>
      <c r="C969" s="15" t="n">
        <f aca="false">INT(A969/6)</f>
        <v>160</v>
      </c>
      <c r="D969" s="16" t="n">
        <f aca="false">IF(C969=0,(1+Dic2025!$G$6)^(-B969),EXP(LN(INDEX(Dic2025!$H$6:$H$205,C969))+(LN(INDEX(Dic2025!$H$6:$H$205,MIN(C969+1,200)))-LN(INDEX(Dic2025!$H$6:$H$205,C969)))*(A969-6*C969)/6))</f>
        <v>0.00620984409381216</v>
      </c>
      <c r="E969" s="12" t="n">
        <f aca="false">D969^(-1/B969)-1</f>
        <v>0.0652304100000001</v>
      </c>
      <c r="F969" s="12" t="n">
        <f aca="false">(1+E969)^(1/12)-1</f>
        <v>0.00527981629427021</v>
      </c>
      <c r="G969" s="16" t="n">
        <f aca="false">IF(C969=0,(1+Dic2025!$J$6)^(-B969),EXP(LN(INDEX(Dic2025!$K$6:$K$205,C969))+(LN(INDEX(Dic2025!$K$6:$K$205,MIN(C969+1,200)))-LN(INDEX(Dic2025!$K$6:$K$205,C969)))*(A969-6*C969)/6))</f>
        <v>0.00620984409381216</v>
      </c>
      <c r="H969" s="12" t="n">
        <f aca="false">G969^(-1/B969)-1</f>
        <v>0.0652304100000001</v>
      </c>
      <c r="I969" s="12" t="n">
        <f aca="false">(1+H969)^(1/12)-1</f>
        <v>0.00527981629427021</v>
      </c>
      <c r="J969" s="16" t="n">
        <f aca="false">IF(C969=0,(1+Dic2025!$M$6)^(-B969),EXP(LN(INDEX(Dic2025!$N$6:$N$205,C969))+(LN(INDEX(Dic2025!$N$6:$N$205,MIN(C969+1,200)))-LN(INDEX(Dic2025!$N$6:$N$205,C969)))*(A969-6*C969)/6))</f>
        <v>0.00620984409381216</v>
      </c>
      <c r="K969" s="12" t="n">
        <f aca="false">J969^(-1/B969)-1</f>
        <v>0.0652304100000001</v>
      </c>
      <c r="L969" s="12" t="n">
        <f aca="false">(1+K969)^(1/12)-1</f>
        <v>0.00527981629427021</v>
      </c>
    </row>
    <row r="970" customFormat="false" ht="15" hidden="false" customHeight="false" outlineLevel="0" collapsed="false">
      <c r="A970" s="4" t="n">
        <v>966</v>
      </c>
      <c r="B970" s="14" t="n">
        <f aca="false">A970/12</f>
        <v>80.5</v>
      </c>
      <c r="C970" s="15" t="n">
        <f aca="false">INT(A970/6)</f>
        <v>161</v>
      </c>
      <c r="D970" s="16" t="n">
        <f aca="false">IF(C970=0,(1+Dic2025!$G$6)^(-B970),EXP(LN(INDEX(Dic2025!$H$6:$H$205,C970))+(LN(INDEX(Dic2025!$H$6:$H$205,MIN(C970+1,200)))-LN(INDEX(Dic2025!$H$6:$H$205,C970)))*(A970-6*C970)/6))</f>
        <v>0.00617722945707127</v>
      </c>
      <c r="E970" s="12" t="n">
        <f aca="false">D970^(-1/B970)-1</f>
        <v>0.0652304100000001</v>
      </c>
      <c r="F970" s="12" t="n">
        <f aca="false">(1+E970)^(1/12)-1</f>
        <v>0.00527981629427021</v>
      </c>
      <c r="G970" s="16" t="n">
        <f aca="false">IF(C970=0,(1+Dic2025!$J$6)^(-B970),EXP(LN(INDEX(Dic2025!$K$6:$K$205,C970))+(LN(INDEX(Dic2025!$K$6:$K$205,MIN(C970+1,200)))-LN(INDEX(Dic2025!$K$6:$K$205,C970)))*(A970-6*C970)/6))</f>
        <v>0.00617722945707127</v>
      </c>
      <c r="H970" s="12" t="n">
        <f aca="false">G970^(-1/B970)-1</f>
        <v>0.0652304100000001</v>
      </c>
      <c r="I970" s="12" t="n">
        <f aca="false">(1+H970)^(1/12)-1</f>
        <v>0.00527981629427021</v>
      </c>
      <c r="J970" s="16" t="n">
        <f aca="false">IF(C970=0,(1+Dic2025!$M$6)^(-B970),EXP(LN(INDEX(Dic2025!$N$6:$N$205,C970))+(LN(INDEX(Dic2025!$N$6:$N$205,MIN(C970+1,200)))-LN(INDEX(Dic2025!$N$6:$N$205,C970)))*(A970-6*C970)/6))</f>
        <v>0.00617722945707127</v>
      </c>
      <c r="K970" s="12" t="n">
        <f aca="false">J970^(-1/B970)-1</f>
        <v>0.0652304100000001</v>
      </c>
      <c r="L970" s="12" t="n">
        <f aca="false">(1+K970)^(1/12)-1</f>
        <v>0.00527981629427021</v>
      </c>
    </row>
    <row r="971" customFormat="false" ht="15" hidden="false" customHeight="false" outlineLevel="0" collapsed="false">
      <c r="A971" s="4" t="n">
        <v>967</v>
      </c>
      <c r="B971" s="14" t="n">
        <f aca="false">A971/12</f>
        <v>80.5833333333333</v>
      </c>
      <c r="C971" s="15" t="n">
        <f aca="false">INT(A971/6)</f>
        <v>161</v>
      </c>
      <c r="D971" s="16" t="n">
        <f aca="false">IF(C971=0,(1+Dic2025!$G$6)^(-B971),EXP(LN(INDEX(Dic2025!$H$6:$H$205,C971))+(LN(INDEX(Dic2025!$H$6:$H$205,MIN(C971+1,200)))-LN(INDEX(Dic2025!$H$6:$H$205,C971)))*(A971-6*C971)/6))</f>
        <v>0.00614478611521535</v>
      </c>
      <c r="E971" s="12" t="n">
        <f aca="false">D971^(-1/B971)-1</f>
        <v>0.0652304100000001</v>
      </c>
      <c r="F971" s="12" t="n">
        <f aca="false">(1+E971)^(1/12)-1</f>
        <v>0.00527981629427021</v>
      </c>
      <c r="G971" s="16" t="n">
        <f aca="false">IF(C971=0,(1+Dic2025!$J$6)^(-B971),EXP(LN(INDEX(Dic2025!$K$6:$K$205,C971))+(LN(INDEX(Dic2025!$K$6:$K$205,MIN(C971+1,200)))-LN(INDEX(Dic2025!$K$6:$K$205,C971)))*(A971-6*C971)/6))</f>
        <v>0.00614478611521535</v>
      </c>
      <c r="H971" s="12" t="n">
        <f aca="false">G971^(-1/B971)-1</f>
        <v>0.0652304100000001</v>
      </c>
      <c r="I971" s="12" t="n">
        <f aca="false">(1+H971)^(1/12)-1</f>
        <v>0.00527981629427021</v>
      </c>
      <c r="J971" s="16" t="n">
        <f aca="false">IF(C971=0,(1+Dic2025!$M$6)^(-B971),EXP(LN(INDEX(Dic2025!$N$6:$N$205,C971))+(LN(INDEX(Dic2025!$N$6:$N$205,MIN(C971+1,200)))-LN(INDEX(Dic2025!$N$6:$N$205,C971)))*(A971-6*C971)/6))</f>
        <v>0.00614478611521535</v>
      </c>
      <c r="K971" s="12" t="n">
        <f aca="false">J971^(-1/B971)-1</f>
        <v>0.0652304100000001</v>
      </c>
      <c r="L971" s="12" t="n">
        <f aca="false">(1+K971)^(1/12)-1</f>
        <v>0.00527981629427021</v>
      </c>
    </row>
    <row r="972" customFormat="false" ht="15" hidden="false" customHeight="false" outlineLevel="0" collapsed="false">
      <c r="A972" s="4" t="n">
        <v>968</v>
      </c>
      <c r="B972" s="14" t="n">
        <f aca="false">A972/12</f>
        <v>80.6666666666667</v>
      </c>
      <c r="C972" s="15" t="n">
        <f aca="false">INT(A972/6)</f>
        <v>161</v>
      </c>
      <c r="D972" s="16" t="n">
        <f aca="false">IF(C972=0,(1+Dic2025!$G$6)^(-B972),EXP(LN(INDEX(Dic2025!$H$6:$H$205,C972))+(LN(INDEX(Dic2025!$H$6:$H$205,MIN(C972+1,200)))-LN(INDEX(Dic2025!$H$6:$H$205,C972)))*(A972-6*C972)/6))</f>
        <v>0.00611251316858889</v>
      </c>
      <c r="E972" s="12" t="n">
        <f aca="false">D972^(-1/B972)-1</f>
        <v>0.0652304100000001</v>
      </c>
      <c r="F972" s="12" t="n">
        <f aca="false">(1+E972)^(1/12)-1</f>
        <v>0.00527981629427021</v>
      </c>
      <c r="G972" s="16" t="n">
        <f aca="false">IF(C972=0,(1+Dic2025!$J$6)^(-B972),EXP(LN(INDEX(Dic2025!$K$6:$K$205,C972))+(LN(INDEX(Dic2025!$K$6:$K$205,MIN(C972+1,200)))-LN(INDEX(Dic2025!$K$6:$K$205,C972)))*(A972-6*C972)/6))</f>
        <v>0.00611251316858889</v>
      </c>
      <c r="H972" s="12" t="n">
        <f aca="false">G972^(-1/B972)-1</f>
        <v>0.0652304100000001</v>
      </c>
      <c r="I972" s="12" t="n">
        <f aca="false">(1+H972)^(1/12)-1</f>
        <v>0.00527981629427021</v>
      </c>
      <c r="J972" s="16" t="n">
        <f aca="false">IF(C972=0,(1+Dic2025!$M$6)^(-B972),EXP(LN(INDEX(Dic2025!$N$6:$N$205,C972))+(LN(INDEX(Dic2025!$N$6:$N$205,MIN(C972+1,200)))-LN(INDEX(Dic2025!$N$6:$N$205,C972)))*(A972-6*C972)/6))</f>
        <v>0.00611251316858889</v>
      </c>
      <c r="K972" s="12" t="n">
        <f aca="false">J972^(-1/B972)-1</f>
        <v>0.0652304100000001</v>
      </c>
      <c r="L972" s="12" t="n">
        <f aca="false">(1+K972)^(1/12)-1</f>
        <v>0.00527981629427021</v>
      </c>
    </row>
    <row r="973" customFormat="false" ht="15" hidden="false" customHeight="false" outlineLevel="0" collapsed="false">
      <c r="A973" s="4" t="n">
        <v>969</v>
      </c>
      <c r="B973" s="14" t="n">
        <f aca="false">A973/12</f>
        <v>80.75</v>
      </c>
      <c r="C973" s="15" t="n">
        <f aca="false">INT(A973/6)</f>
        <v>161</v>
      </c>
      <c r="D973" s="16" t="n">
        <f aca="false">IF(C973=0,(1+Dic2025!$G$6)^(-B973),EXP(LN(INDEX(Dic2025!$H$6:$H$205,C973))+(LN(INDEX(Dic2025!$H$6:$H$205,MIN(C973+1,200)))-LN(INDEX(Dic2025!$H$6:$H$205,C973)))*(A973-6*C973)/6))</f>
        <v>0.00608040972226146</v>
      </c>
      <c r="E973" s="12" t="n">
        <f aca="false">D973^(-1/B973)-1</f>
        <v>0.0652304100000001</v>
      </c>
      <c r="F973" s="12" t="n">
        <f aca="false">(1+E973)^(1/12)-1</f>
        <v>0.00527981629427021</v>
      </c>
      <c r="G973" s="16" t="n">
        <f aca="false">IF(C973=0,(1+Dic2025!$J$6)^(-B973),EXP(LN(INDEX(Dic2025!$K$6:$K$205,C973))+(LN(INDEX(Dic2025!$K$6:$K$205,MIN(C973+1,200)))-LN(INDEX(Dic2025!$K$6:$K$205,C973)))*(A973-6*C973)/6))</f>
        <v>0.00608040972226146</v>
      </c>
      <c r="H973" s="12" t="n">
        <f aca="false">G973^(-1/B973)-1</f>
        <v>0.0652304100000001</v>
      </c>
      <c r="I973" s="12" t="n">
        <f aca="false">(1+H973)^(1/12)-1</f>
        <v>0.00527981629427021</v>
      </c>
      <c r="J973" s="16" t="n">
        <f aca="false">IF(C973=0,(1+Dic2025!$M$6)^(-B973),EXP(LN(INDEX(Dic2025!$N$6:$N$205,C973))+(LN(INDEX(Dic2025!$N$6:$N$205,MIN(C973+1,200)))-LN(INDEX(Dic2025!$N$6:$N$205,C973)))*(A973-6*C973)/6))</f>
        <v>0.00608040972226146</v>
      </c>
      <c r="K973" s="12" t="n">
        <f aca="false">J973^(-1/B973)-1</f>
        <v>0.0652304100000001</v>
      </c>
      <c r="L973" s="12" t="n">
        <f aca="false">(1+K973)^(1/12)-1</f>
        <v>0.00527981629427021</v>
      </c>
    </row>
    <row r="974" customFormat="false" ht="15" hidden="false" customHeight="false" outlineLevel="0" collapsed="false">
      <c r="A974" s="4" t="n">
        <v>970</v>
      </c>
      <c r="B974" s="14" t="n">
        <f aca="false">A974/12</f>
        <v>80.8333333333333</v>
      </c>
      <c r="C974" s="15" t="n">
        <f aca="false">INT(A974/6)</f>
        <v>161</v>
      </c>
      <c r="D974" s="16" t="n">
        <f aca="false">IF(C974=0,(1+Dic2025!$G$6)^(-B974),EXP(LN(INDEX(Dic2025!$H$6:$H$205,C974))+(LN(INDEX(Dic2025!$H$6:$H$205,MIN(C974+1,200)))-LN(INDEX(Dic2025!$H$6:$H$205,C974)))*(A974-6*C974)/6))</f>
        <v>0.00604847488600285</v>
      </c>
      <c r="E974" s="12" t="n">
        <f aca="false">D974^(-1/B974)-1</f>
        <v>0.0652304100000001</v>
      </c>
      <c r="F974" s="12" t="n">
        <f aca="false">(1+E974)^(1/12)-1</f>
        <v>0.00527981629427021</v>
      </c>
      <c r="G974" s="16" t="n">
        <f aca="false">IF(C974=0,(1+Dic2025!$J$6)^(-B974),EXP(LN(INDEX(Dic2025!$K$6:$K$205,C974))+(LN(INDEX(Dic2025!$K$6:$K$205,MIN(C974+1,200)))-LN(INDEX(Dic2025!$K$6:$K$205,C974)))*(A974-6*C974)/6))</f>
        <v>0.00604847488600285</v>
      </c>
      <c r="H974" s="12" t="n">
        <f aca="false">G974^(-1/B974)-1</f>
        <v>0.0652304100000001</v>
      </c>
      <c r="I974" s="12" t="n">
        <f aca="false">(1+H974)^(1/12)-1</f>
        <v>0.00527981629427021</v>
      </c>
      <c r="J974" s="16" t="n">
        <f aca="false">IF(C974=0,(1+Dic2025!$M$6)^(-B974),EXP(LN(INDEX(Dic2025!$N$6:$N$205,C974))+(LN(INDEX(Dic2025!$N$6:$N$205,MIN(C974+1,200)))-LN(INDEX(Dic2025!$N$6:$N$205,C974)))*(A974-6*C974)/6))</f>
        <v>0.00604847488600285</v>
      </c>
      <c r="K974" s="12" t="n">
        <f aca="false">J974^(-1/B974)-1</f>
        <v>0.0652304100000001</v>
      </c>
      <c r="L974" s="12" t="n">
        <f aca="false">(1+K974)^(1/12)-1</f>
        <v>0.00527981629427021</v>
      </c>
    </row>
    <row r="975" customFormat="false" ht="15" hidden="false" customHeight="false" outlineLevel="0" collapsed="false">
      <c r="A975" s="4" t="n">
        <v>971</v>
      </c>
      <c r="B975" s="14" t="n">
        <f aca="false">A975/12</f>
        <v>80.9166666666667</v>
      </c>
      <c r="C975" s="15" t="n">
        <f aca="false">INT(A975/6)</f>
        <v>161</v>
      </c>
      <c r="D975" s="16" t="n">
        <f aca="false">IF(C975=0,(1+Dic2025!$G$6)^(-B975),EXP(LN(INDEX(Dic2025!$H$6:$H$205,C975))+(LN(INDEX(Dic2025!$H$6:$H$205,MIN(C975+1,200)))-LN(INDEX(Dic2025!$H$6:$H$205,C975)))*(A975-6*C975)/6))</f>
        <v>0.00601670777425846</v>
      </c>
      <c r="E975" s="12" t="n">
        <f aca="false">D975^(-1/B975)-1</f>
        <v>0.0652304100000001</v>
      </c>
      <c r="F975" s="12" t="n">
        <f aca="false">(1+E975)^(1/12)-1</f>
        <v>0.00527981629427021</v>
      </c>
      <c r="G975" s="16" t="n">
        <f aca="false">IF(C975=0,(1+Dic2025!$J$6)^(-B975),EXP(LN(INDEX(Dic2025!$K$6:$K$205,C975))+(LN(INDEX(Dic2025!$K$6:$K$205,MIN(C975+1,200)))-LN(INDEX(Dic2025!$K$6:$K$205,C975)))*(A975-6*C975)/6))</f>
        <v>0.00601670777425846</v>
      </c>
      <c r="H975" s="12" t="n">
        <f aca="false">G975^(-1/B975)-1</f>
        <v>0.0652304100000001</v>
      </c>
      <c r="I975" s="12" t="n">
        <f aca="false">(1+H975)^(1/12)-1</f>
        <v>0.00527981629427021</v>
      </c>
      <c r="J975" s="16" t="n">
        <f aca="false">IF(C975=0,(1+Dic2025!$M$6)^(-B975),EXP(LN(INDEX(Dic2025!$N$6:$N$205,C975))+(LN(INDEX(Dic2025!$N$6:$N$205,MIN(C975+1,200)))-LN(INDEX(Dic2025!$N$6:$N$205,C975)))*(A975-6*C975)/6))</f>
        <v>0.00601670777425846</v>
      </c>
      <c r="K975" s="12" t="n">
        <f aca="false">J975^(-1/B975)-1</f>
        <v>0.0652304100000001</v>
      </c>
      <c r="L975" s="12" t="n">
        <f aca="false">(1+K975)^(1/12)-1</f>
        <v>0.00527981629427021</v>
      </c>
    </row>
    <row r="976" customFormat="false" ht="15" hidden="false" customHeight="false" outlineLevel="0" collapsed="false">
      <c r="A976" s="4" t="n">
        <v>972</v>
      </c>
      <c r="B976" s="14" t="n">
        <f aca="false">A976/12</f>
        <v>81</v>
      </c>
      <c r="C976" s="15" t="n">
        <f aca="false">INT(A976/6)</f>
        <v>162</v>
      </c>
      <c r="D976" s="16" t="n">
        <f aca="false">IF(C976=0,(1+Dic2025!$G$6)^(-B976),EXP(LN(INDEX(Dic2025!$H$6:$H$205,C976))+(LN(INDEX(Dic2025!$H$6:$H$205,MIN(C976+1,200)))-LN(INDEX(Dic2025!$H$6:$H$205,C976)))*(A976-6*C976)/6))</f>
        <v>0.00598510750612467</v>
      </c>
      <c r="E976" s="12" t="n">
        <f aca="false">D976^(-1/B976)-1</f>
        <v>0.0652304100000001</v>
      </c>
      <c r="F976" s="12" t="n">
        <f aca="false">(1+E976)^(1/12)-1</f>
        <v>0.00527981629427021</v>
      </c>
      <c r="G976" s="16" t="n">
        <f aca="false">IF(C976=0,(1+Dic2025!$J$6)^(-B976),EXP(LN(INDEX(Dic2025!$K$6:$K$205,C976))+(LN(INDEX(Dic2025!$K$6:$K$205,MIN(C976+1,200)))-LN(INDEX(Dic2025!$K$6:$K$205,C976)))*(A976-6*C976)/6))</f>
        <v>0.00598510750612467</v>
      </c>
      <c r="H976" s="12" t="n">
        <f aca="false">G976^(-1/B976)-1</f>
        <v>0.0652304100000001</v>
      </c>
      <c r="I976" s="12" t="n">
        <f aca="false">(1+H976)^(1/12)-1</f>
        <v>0.00527981629427021</v>
      </c>
      <c r="J976" s="16" t="n">
        <f aca="false">IF(C976=0,(1+Dic2025!$M$6)^(-B976),EXP(LN(INDEX(Dic2025!$N$6:$N$205,C976))+(LN(INDEX(Dic2025!$N$6:$N$205,MIN(C976+1,200)))-LN(INDEX(Dic2025!$N$6:$N$205,C976)))*(A976-6*C976)/6))</f>
        <v>0.00598510750612467</v>
      </c>
      <c r="K976" s="12" t="n">
        <f aca="false">J976^(-1/B976)-1</f>
        <v>0.0652304100000001</v>
      </c>
      <c r="L976" s="12" t="n">
        <f aca="false">(1+K976)^(1/12)-1</f>
        <v>0.00527981629427021</v>
      </c>
    </row>
    <row r="977" customFormat="false" ht="15" hidden="false" customHeight="false" outlineLevel="0" collapsed="false">
      <c r="A977" s="4" t="n">
        <v>973</v>
      </c>
      <c r="B977" s="14" t="n">
        <f aca="false">A977/12</f>
        <v>81.0833333333333</v>
      </c>
      <c r="C977" s="15" t="n">
        <f aca="false">INT(A977/6)</f>
        <v>162</v>
      </c>
      <c r="D977" s="16" t="n">
        <f aca="false">IF(C977=0,(1+Dic2025!$G$6)^(-B977),EXP(LN(INDEX(Dic2025!$H$6:$H$205,C977))+(LN(INDEX(Dic2025!$H$6:$H$205,MIN(C977+1,200)))-LN(INDEX(Dic2025!$H$6:$H$205,C977)))*(A977-6*C977)/6))</f>
        <v>0.00595367320532443</v>
      </c>
      <c r="E977" s="12" t="n">
        <f aca="false">D977^(-1/B977)-1</f>
        <v>0.0652304100000001</v>
      </c>
      <c r="F977" s="12" t="n">
        <f aca="false">(1+E977)^(1/12)-1</f>
        <v>0.00527981629427021</v>
      </c>
      <c r="G977" s="16" t="n">
        <f aca="false">IF(C977=0,(1+Dic2025!$J$6)^(-B977),EXP(LN(INDEX(Dic2025!$K$6:$K$205,C977))+(LN(INDEX(Dic2025!$K$6:$K$205,MIN(C977+1,200)))-LN(INDEX(Dic2025!$K$6:$K$205,C977)))*(A977-6*C977)/6))</f>
        <v>0.00595367320532443</v>
      </c>
      <c r="H977" s="12" t="n">
        <f aca="false">G977^(-1/B977)-1</f>
        <v>0.0652304100000001</v>
      </c>
      <c r="I977" s="12" t="n">
        <f aca="false">(1+H977)^(1/12)-1</f>
        <v>0.00527981629427021</v>
      </c>
      <c r="J977" s="16" t="n">
        <f aca="false">IF(C977=0,(1+Dic2025!$M$6)^(-B977),EXP(LN(INDEX(Dic2025!$N$6:$N$205,C977))+(LN(INDEX(Dic2025!$N$6:$N$205,MIN(C977+1,200)))-LN(INDEX(Dic2025!$N$6:$N$205,C977)))*(A977-6*C977)/6))</f>
        <v>0.00595367320532443</v>
      </c>
      <c r="K977" s="12" t="n">
        <f aca="false">J977^(-1/B977)-1</f>
        <v>0.0652304100000001</v>
      </c>
      <c r="L977" s="12" t="n">
        <f aca="false">(1+K977)^(1/12)-1</f>
        <v>0.00527981629427021</v>
      </c>
    </row>
    <row r="978" customFormat="false" ht="15" hidden="false" customHeight="false" outlineLevel="0" collapsed="false">
      <c r="A978" s="4" t="n">
        <v>974</v>
      </c>
      <c r="B978" s="14" t="n">
        <f aca="false">A978/12</f>
        <v>81.1666666666667</v>
      </c>
      <c r="C978" s="15" t="n">
        <f aca="false">INT(A978/6)</f>
        <v>162</v>
      </c>
      <c r="D978" s="16" t="n">
        <f aca="false">IF(C978=0,(1+Dic2025!$G$6)^(-B978),EXP(LN(INDEX(Dic2025!$H$6:$H$205,C978))+(LN(INDEX(Dic2025!$H$6:$H$205,MIN(C978+1,200)))-LN(INDEX(Dic2025!$H$6:$H$205,C978)))*(A978-6*C978)/6))</f>
        <v>0.00592240400018302</v>
      </c>
      <c r="E978" s="12" t="n">
        <f aca="false">D978^(-1/B978)-1</f>
        <v>0.0652304100000001</v>
      </c>
      <c r="F978" s="12" t="n">
        <f aca="false">(1+E978)^(1/12)-1</f>
        <v>0.00527981629427021</v>
      </c>
      <c r="G978" s="16" t="n">
        <f aca="false">IF(C978=0,(1+Dic2025!$J$6)^(-B978),EXP(LN(INDEX(Dic2025!$K$6:$K$205,C978))+(LN(INDEX(Dic2025!$K$6:$K$205,MIN(C978+1,200)))-LN(INDEX(Dic2025!$K$6:$K$205,C978)))*(A978-6*C978)/6))</f>
        <v>0.00592240400018302</v>
      </c>
      <c r="H978" s="12" t="n">
        <f aca="false">G978^(-1/B978)-1</f>
        <v>0.0652304100000001</v>
      </c>
      <c r="I978" s="12" t="n">
        <f aca="false">(1+H978)^(1/12)-1</f>
        <v>0.00527981629427021</v>
      </c>
      <c r="J978" s="16" t="n">
        <f aca="false">IF(C978=0,(1+Dic2025!$M$6)^(-B978),EXP(LN(INDEX(Dic2025!$N$6:$N$205,C978))+(LN(INDEX(Dic2025!$N$6:$N$205,MIN(C978+1,200)))-LN(INDEX(Dic2025!$N$6:$N$205,C978)))*(A978-6*C978)/6))</f>
        <v>0.00592240400018302</v>
      </c>
      <c r="K978" s="12" t="n">
        <f aca="false">J978^(-1/B978)-1</f>
        <v>0.0652304100000001</v>
      </c>
      <c r="L978" s="12" t="n">
        <f aca="false">(1+K978)^(1/12)-1</f>
        <v>0.00527981629427021</v>
      </c>
    </row>
    <row r="979" customFormat="false" ht="15" hidden="false" customHeight="false" outlineLevel="0" collapsed="false">
      <c r="A979" s="4" t="n">
        <v>975</v>
      </c>
      <c r="B979" s="14" t="n">
        <f aca="false">A979/12</f>
        <v>81.25</v>
      </c>
      <c r="C979" s="15" t="n">
        <f aca="false">INT(A979/6)</f>
        <v>162</v>
      </c>
      <c r="D979" s="16" t="n">
        <f aca="false">IF(C979=0,(1+Dic2025!$G$6)^(-B979),EXP(LN(INDEX(Dic2025!$H$6:$H$205,C979))+(LN(INDEX(Dic2025!$H$6:$H$205,MIN(C979+1,200)))-LN(INDEX(Dic2025!$H$6:$H$205,C979)))*(A979-6*C979)/6))</f>
        <v>0.00589129902360377</v>
      </c>
      <c r="E979" s="12" t="n">
        <f aca="false">D979^(-1/B979)-1</f>
        <v>0.0652304100000001</v>
      </c>
      <c r="F979" s="12" t="n">
        <f aca="false">(1+E979)^(1/12)-1</f>
        <v>0.00527981629427021</v>
      </c>
      <c r="G979" s="16" t="n">
        <f aca="false">IF(C979=0,(1+Dic2025!$J$6)^(-B979),EXP(LN(INDEX(Dic2025!$K$6:$K$205,C979))+(LN(INDEX(Dic2025!$K$6:$K$205,MIN(C979+1,200)))-LN(INDEX(Dic2025!$K$6:$K$205,C979)))*(A979-6*C979)/6))</f>
        <v>0.00589129902360377</v>
      </c>
      <c r="H979" s="12" t="n">
        <f aca="false">G979^(-1/B979)-1</f>
        <v>0.0652304100000001</v>
      </c>
      <c r="I979" s="12" t="n">
        <f aca="false">(1+H979)^(1/12)-1</f>
        <v>0.00527981629427021</v>
      </c>
      <c r="J979" s="16" t="n">
        <f aca="false">IF(C979=0,(1+Dic2025!$M$6)^(-B979),EXP(LN(INDEX(Dic2025!$N$6:$N$205,C979))+(LN(INDEX(Dic2025!$N$6:$N$205,MIN(C979+1,200)))-LN(INDEX(Dic2025!$N$6:$N$205,C979)))*(A979-6*C979)/6))</f>
        <v>0.00589129902360377</v>
      </c>
      <c r="K979" s="12" t="n">
        <f aca="false">J979^(-1/B979)-1</f>
        <v>0.0652304100000001</v>
      </c>
      <c r="L979" s="12" t="n">
        <f aca="false">(1+K979)^(1/12)-1</f>
        <v>0.00527981629427021</v>
      </c>
    </row>
    <row r="980" customFormat="false" ht="15" hidden="false" customHeight="false" outlineLevel="0" collapsed="false">
      <c r="A980" s="4" t="n">
        <v>976</v>
      </c>
      <c r="B980" s="14" t="n">
        <f aca="false">A980/12</f>
        <v>81.3333333333333</v>
      </c>
      <c r="C980" s="15" t="n">
        <f aca="false">INT(A980/6)</f>
        <v>162</v>
      </c>
      <c r="D980" s="16" t="n">
        <f aca="false">IF(C980=0,(1+Dic2025!$G$6)^(-B980),EXP(LN(INDEX(Dic2025!$H$6:$H$205,C980))+(LN(INDEX(Dic2025!$H$6:$H$205,MIN(C980+1,200)))-LN(INDEX(Dic2025!$H$6:$H$205,C980)))*(A980-6*C980)/6))</f>
        <v>0.00586035741304414</v>
      </c>
      <c r="E980" s="12" t="n">
        <f aca="false">D980^(-1/B980)-1</f>
        <v>0.0652304100000001</v>
      </c>
      <c r="F980" s="12" t="n">
        <f aca="false">(1+E980)^(1/12)-1</f>
        <v>0.00527981629427021</v>
      </c>
      <c r="G980" s="16" t="n">
        <f aca="false">IF(C980=0,(1+Dic2025!$J$6)^(-B980),EXP(LN(INDEX(Dic2025!$K$6:$K$205,C980))+(LN(INDEX(Dic2025!$K$6:$K$205,MIN(C980+1,200)))-LN(INDEX(Dic2025!$K$6:$K$205,C980)))*(A980-6*C980)/6))</f>
        <v>0.00586035741304414</v>
      </c>
      <c r="H980" s="12" t="n">
        <f aca="false">G980^(-1/B980)-1</f>
        <v>0.0652304100000001</v>
      </c>
      <c r="I980" s="12" t="n">
        <f aca="false">(1+H980)^(1/12)-1</f>
        <v>0.00527981629427021</v>
      </c>
      <c r="J980" s="16" t="n">
        <f aca="false">IF(C980=0,(1+Dic2025!$M$6)^(-B980),EXP(LN(INDEX(Dic2025!$N$6:$N$205,C980))+(LN(INDEX(Dic2025!$N$6:$N$205,MIN(C980+1,200)))-LN(INDEX(Dic2025!$N$6:$N$205,C980)))*(A980-6*C980)/6))</f>
        <v>0.00586035741304414</v>
      </c>
      <c r="K980" s="12" t="n">
        <f aca="false">J980^(-1/B980)-1</f>
        <v>0.0652304100000001</v>
      </c>
      <c r="L980" s="12" t="n">
        <f aca="false">(1+K980)^(1/12)-1</f>
        <v>0.00527981629427021</v>
      </c>
    </row>
    <row r="981" customFormat="false" ht="15" hidden="false" customHeight="false" outlineLevel="0" collapsed="false">
      <c r="A981" s="4" t="n">
        <v>977</v>
      </c>
      <c r="B981" s="14" t="n">
        <f aca="false">A981/12</f>
        <v>81.4166666666667</v>
      </c>
      <c r="C981" s="15" t="n">
        <f aca="false">INT(A981/6)</f>
        <v>162</v>
      </c>
      <c r="D981" s="16" t="n">
        <f aca="false">IF(C981=0,(1+Dic2025!$G$6)^(-B981),EXP(LN(INDEX(Dic2025!$H$6:$H$205,C981))+(LN(INDEX(Dic2025!$H$6:$H$205,MIN(C981+1,200)))-LN(INDEX(Dic2025!$H$6:$H$205,C981)))*(A981-6*C981)/6))</f>
        <v>0.00582957831049168</v>
      </c>
      <c r="E981" s="12" t="n">
        <f aca="false">D981^(-1/B981)-1</f>
        <v>0.0652304100000001</v>
      </c>
      <c r="F981" s="12" t="n">
        <f aca="false">(1+E981)^(1/12)-1</f>
        <v>0.00527981629427021</v>
      </c>
      <c r="G981" s="16" t="n">
        <f aca="false">IF(C981=0,(1+Dic2025!$J$6)^(-B981),EXP(LN(INDEX(Dic2025!$K$6:$K$205,C981))+(LN(INDEX(Dic2025!$K$6:$K$205,MIN(C981+1,200)))-LN(INDEX(Dic2025!$K$6:$K$205,C981)))*(A981-6*C981)/6))</f>
        <v>0.00582957831049168</v>
      </c>
      <c r="H981" s="12" t="n">
        <f aca="false">G981^(-1/B981)-1</f>
        <v>0.0652304100000001</v>
      </c>
      <c r="I981" s="12" t="n">
        <f aca="false">(1+H981)^(1/12)-1</f>
        <v>0.00527981629427021</v>
      </c>
      <c r="J981" s="16" t="n">
        <f aca="false">IF(C981=0,(1+Dic2025!$M$6)^(-B981),EXP(LN(INDEX(Dic2025!$N$6:$N$205,C981))+(LN(INDEX(Dic2025!$N$6:$N$205,MIN(C981+1,200)))-LN(INDEX(Dic2025!$N$6:$N$205,C981)))*(A981-6*C981)/6))</f>
        <v>0.00582957831049168</v>
      </c>
      <c r="K981" s="12" t="n">
        <f aca="false">J981^(-1/B981)-1</f>
        <v>0.0652304100000001</v>
      </c>
      <c r="L981" s="12" t="n">
        <f aca="false">(1+K981)^(1/12)-1</f>
        <v>0.00527981629427021</v>
      </c>
    </row>
    <row r="982" customFormat="false" ht="15" hidden="false" customHeight="false" outlineLevel="0" collapsed="false">
      <c r="A982" s="4" t="n">
        <v>978</v>
      </c>
      <c r="B982" s="14" t="n">
        <f aca="false">A982/12</f>
        <v>81.5</v>
      </c>
      <c r="C982" s="15" t="n">
        <f aca="false">INT(A982/6)</f>
        <v>163</v>
      </c>
      <c r="D982" s="16" t="n">
        <f aca="false">IF(C982=0,(1+Dic2025!$G$6)^(-B982),EXP(LN(INDEX(Dic2025!$H$6:$H$205,C982))+(LN(INDEX(Dic2025!$H$6:$H$205,MIN(C982+1,200)))-LN(INDEX(Dic2025!$H$6:$H$205,C982)))*(A982-6*C982)/6))</f>
        <v>0.00579896086244033</v>
      </c>
      <c r="E982" s="12" t="n">
        <f aca="false">D982^(-1/B982)-1</f>
        <v>0.0652304100000001</v>
      </c>
      <c r="F982" s="12" t="n">
        <f aca="false">(1+E982)^(1/12)-1</f>
        <v>0.00527981629427021</v>
      </c>
      <c r="G982" s="16" t="n">
        <f aca="false">IF(C982=0,(1+Dic2025!$J$6)^(-B982),EXP(LN(INDEX(Dic2025!$K$6:$K$205,C982))+(LN(INDEX(Dic2025!$K$6:$K$205,MIN(C982+1,200)))-LN(INDEX(Dic2025!$K$6:$K$205,C982)))*(A982-6*C982)/6))</f>
        <v>0.00579896086244033</v>
      </c>
      <c r="H982" s="12" t="n">
        <f aca="false">G982^(-1/B982)-1</f>
        <v>0.0652304100000001</v>
      </c>
      <c r="I982" s="12" t="n">
        <f aca="false">(1+H982)^(1/12)-1</f>
        <v>0.00527981629427021</v>
      </c>
      <c r="J982" s="16" t="n">
        <f aca="false">IF(C982=0,(1+Dic2025!$M$6)^(-B982),EXP(LN(INDEX(Dic2025!$N$6:$N$205,C982))+(LN(INDEX(Dic2025!$N$6:$N$205,MIN(C982+1,200)))-LN(INDEX(Dic2025!$N$6:$N$205,C982)))*(A982-6*C982)/6))</f>
        <v>0.00579896086244033</v>
      </c>
      <c r="K982" s="12" t="n">
        <f aca="false">J982^(-1/B982)-1</f>
        <v>0.0652304100000001</v>
      </c>
      <c r="L982" s="12" t="n">
        <f aca="false">(1+K982)^(1/12)-1</f>
        <v>0.00527981629427021</v>
      </c>
    </row>
    <row r="983" customFormat="false" ht="15" hidden="false" customHeight="false" outlineLevel="0" collapsed="false">
      <c r="A983" s="4" t="n">
        <v>979</v>
      </c>
      <c r="B983" s="14" t="n">
        <f aca="false">A983/12</f>
        <v>81.5833333333333</v>
      </c>
      <c r="C983" s="15" t="n">
        <f aca="false">INT(A983/6)</f>
        <v>163</v>
      </c>
      <c r="D983" s="16" t="n">
        <f aca="false">IF(C983=0,(1+Dic2025!$G$6)^(-B983),EXP(LN(INDEX(Dic2025!$H$6:$H$205,C983))+(LN(INDEX(Dic2025!$H$6:$H$205,MIN(C983+1,200)))-LN(INDEX(Dic2025!$H$6:$H$205,C983)))*(A983-6*C983)/6))</f>
        <v>0.00576850421986671</v>
      </c>
      <c r="E983" s="12" t="n">
        <f aca="false">D983^(-1/B983)-1</f>
        <v>0.0652304100000001</v>
      </c>
      <c r="F983" s="12" t="n">
        <f aca="false">(1+E983)^(1/12)-1</f>
        <v>0.00527981629427021</v>
      </c>
      <c r="G983" s="16" t="n">
        <f aca="false">IF(C983=0,(1+Dic2025!$J$6)^(-B983),EXP(LN(INDEX(Dic2025!$K$6:$K$205,C983))+(LN(INDEX(Dic2025!$K$6:$K$205,MIN(C983+1,200)))-LN(INDEX(Dic2025!$K$6:$K$205,C983)))*(A983-6*C983)/6))</f>
        <v>0.00576850421986671</v>
      </c>
      <c r="H983" s="12" t="n">
        <f aca="false">G983^(-1/B983)-1</f>
        <v>0.0652304100000001</v>
      </c>
      <c r="I983" s="12" t="n">
        <f aca="false">(1+H983)^(1/12)-1</f>
        <v>0.00527981629427021</v>
      </c>
      <c r="J983" s="16" t="n">
        <f aca="false">IF(C983=0,(1+Dic2025!$M$6)^(-B983),EXP(LN(INDEX(Dic2025!$N$6:$N$205,C983))+(LN(INDEX(Dic2025!$N$6:$N$205,MIN(C983+1,200)))-LN(INDEX(Dic2025!$N$6:$N$205,C983)))*(A983-6*C983)/6))</f>
        <v>0.00576850421986671</v>
      </c>
      <c r="K983" s="12" t="n">
        <f aca="false">J983^(-1/B983)-1</f>
        <v>0.0652304100000001</v>
      </c>
      <c r="L983" s="12" t="n">
        <f aca="false">(1+K983)^(1/12)-1</f>
        <v>0.00527981629427021</v>
      </c>
    </row>
    <row r="984" customFormat="false" ht="15" hidden="false" customHeight="false" outlineLevel="0" collapsed="false">
      <c r="A984" s="4" t="n">
        <v>980</v>
      </c>
      <c r="B984" s="14" t="n">
        <f aca="false">A984/12</f>
        <v>81.6666666666667</v>
      </c>
      <c r="C984" s="15" t="n">
        <f aca="false">INT(A984/6)</f>
        <v>163</v>
      </c>
      <c r="D984" s="16" t="n">
        <f aca="false">IF(C984=0,(1+Dic2025!$G$6)^(-B984),EXP(LN(INDEX(Dic2025!$H$6:$H$205,C984))+(LN(INDEX(Dic2025!$H$6:$H$205,MIN(C984+1,200)))-LN(INDEX(Dic2025!$H$6:$H$205,C984)))*(A984-6*C984)/6))</f>
        <v>0.00573820753820659</v>
      </c>
      <c r="E984" s="12" t="n">
        <f aca="false">D984^(-1/B984)-1</f>
        <v>0.0652304100000001</v>
      </c>
      <c r="F984" s="12" t="n">
        <f aca="false">(1+E984)^(1/12)-1</f>
        <v>0.00527981629427021</v>
      </c>
      <c r="G984" s="16" t="n">
        <f aca="false">IF(C984=0,(1+Dic2025!$J$6)^(-B984),EXP(LN(INDEX(Dic2025!$K$6:$K$205,C984))+(LN(INDEX(Dic2025!$K$6:$K$205,MIN(C984+1,200)))-LN(INDEX(Dic2025!$K$6:$K$205,C984)))*(A984-6*C984)/6))</f>
        <v>0.00573820753820659</v>
      </c>
      <c r="H984" s="12" t="n">
        <f aca="false">G984^(-1/B984)-1</f>
        <v>0.0652304100000001</v>
      </c>
      <c r="I984" s="12" t="n">
        <f aca="false">(1+H984)^(1/12)-1</f>
        <v>0.00527981629427021</v>
      </c>
      <c r="J984" s="16" t="n">
        <f aca="false">IF(C984=0,(1+Dic2025!$M$6)^(-B984),EXP(LN(INDEX(Dic2025!$N$6:$N$205,C984))+(LN(INDEX(Dic2025!$N$6:$N$205,MIN(C984+1,200)))-LN(INDEX(Dic2025!$N$6:$N$205,C984)))*(A984-6*C984)/6))</f>
        <v>0.00573820753820659</v>
      </c>
      <c r="K984" s="12" t="n">
        <f aca="false">J984^(-1/B984)-1</f>
        <v>0.0652304100000001</v>
      </c>
      <c r="L984" s="12" t="n">
        <f aca="false">(1+K984)^(1/12)-1</f>
        <v>0.00527981629427021</v>
      </c>
    </row>
    <row r="985" customFormat="false" ht="15" hidden="false" customHeight="false" outlineLevel="0" collapsed="false">
      <c r="A985" s="4" t="n">
        <v>981</v>
      </c>
      <c r="B985" s="14" t="n">
        <f aca="false">A985/12</f>
        <v>81.75</v>
      </c>
      <c r="C985" s="15" t="n">
        <f aca="false">INT(A985/6)</f>
        <v>163</v>
      </c>
      <c r="D985" s="16" t="n">
        <f aca="false">IF(C985=0,(1+Dic2025!$G$6)^(-B985),EXP(LN(INDEX(Dic2025!$H$6:$H$205,C985))+(LN(INDEX(Dic2025!$H$6:$H$205,MIN(C985+1,200)))-LN(INDEX(Dic2025!$H$6:$H$205,C985)))*(A985-6*C985)/6))</f>
        <v>0.00570806997733144</v>
      </c>
      <c r="E985" s="12" t="n">
        <f aca="false">D985^(-1/B985)-1</f>
        <v>0.0652304100000001</v>
      </c>
      <c r="F985" s="12" t="n">
        <f aca="false">(1+E985)^(1/12)-1</f>
        <v>0.00527981629427021</v>
      </c>
      <c r="G985" s="16" t="n">
        <f aca="false">IF(C985=0,(1+Dic2025!$J$6)^(-B985),EXP(LN(INDEX(Dic2025!$K$6:$K$205,C985))+(LN(INDEX(Dic2025!$K$6:$K$205,MIN(C985+1,200)))-LN(INDEX(Dic2025!$K$6:$K$205,C985)))*(A985-6*C985)/6))</f>
        <v>0.00570806997733144</v>
      </c>
      <c r="H985" s="12" t="n">
        <f aca="false">G985^(-1/B985)-1</f>
        <v>0.0652304100000001</v>
      </c>
      <c r="I985" s="12" t="n">
        <f aca="false">(1+H985)^(1/12)-1</f>
        <v>0.00527981629427021</v>
      </c>
      <c r="J985" s="16" t="n">
        <f aca="false">IF(C985=0,(1+Dic2025!$M$6)^(-B985),EXP(LN(INDEX(Dic2025!$N$6:$N$205,C985))+(LN(INDEX(Dic2025!$N$6:$N$205,MIN(C985+1,200)))-LN(INDEX(Dic2025!$N$6:$N$205,C985)))*(A985-6*C985)/6))</f>
        <v>0.00570806997733144</v>
      </c>
      <c r="K985" s="12" t="n">
        <f aca="false">J985^(-1/B985)-1</f>
        <v>0.0652304100000001</v>
      </c>
      <c r="L985" s="12" t="n">
        <f aca="false">(1+K985)^(1/12)-1</f>
        <v>0.00527981629427021</v>
      </c>
    </row>
    <row r="986" customFormat="false" ht="15" hidden="false" customHeight="false" outlineLevel="0" collapsed="false">
      <c r="A986" s="4" t="n">
        <v>982</v>
      </c>
      <c r="B986" s="14" t="n">
        <f aca="false">A986/12</f>
        <v>81.8333333333333</v>
      </c>
      <c r="C986" s="15" t="n">
        <f aca="false">INT(A986/6)</f>
        <v>163</v>
      </c>
      <c r="D986" s="16" t="n">
        <f aca="false">IF(C986=0,(1+Dic2025!$G$6)^(-B986),EXP(LN(INDEX(Dic2025!$H$6:$H$205,C986))+(LN(INDEX(Dic2025!$H$6:$H$205,MIN(C986+1,200)))-LN(INDEX(Dic2025!$H$6:$H$205,C986)))*(A986-6*C986)/6))</f>
        <v>0.00567809070152518</v>
      </c>
      <c r="E986" s="12" t="n">
        <f aca="false">D986^(-1/B986)-1</f>
        <v>0.0652304100000001</v>
      </c>
      <c r="F986" s="12" t="n">
        <f aca="false">(1+E986)^(1/12)-1</f>
        <v>0.00527981629427021</v>
      </c>
      <c r="G986" s="16" t="n">
        <f aca="false">IF(C986=0,(1+Dic2025!$J$6)^(-B986),EXP(LN(INDEX(Dic2025!$K$6:$K$205,C986))+(LN(INDEX(Dic2025!$K$6:$K$205,MIN(C986+1,200)))-LN(INDEX(Dic2025!$K$6:$K$205,C986)))*(A986-6*C986)/6))</f>
        <v>0.00567809070152518</v>
      </c>
      <c r="H986" s="12" t="n">
        <f aca="false">G986^(-1/B986)-1</f>
        <v>0.0652304100000001</v>
      </c>
      <c r="I986" s="12" t="n">
        <f aca="false">(1+H986)^(1/12)-1</f>
        <v>0.00527981629427021</v>
      </c>
      <c r="J986" s="16" t="n">
        <f aca="false">IF(C986=0,(1+Dic2025!$M$6)^(-B986),EXP(LN(INDEX(Dic2025!$N$6:$N$205,C986))+(LN(INDEX(Dic2025!$N$6:$N$205,MIN(C986+1,200)))-LN(INDEX(Dic2025!$N$6:$N$205,C986)))*(A986-6*C986)/6))</f>
        <v>0.00567809070152518</v>
      </c>
      <c r="K986" s="12" t="n">
        <f aca="false">J986^(-1/B986)-1</f>
        <v>0.0652304100000001</v>
      </c>
      <c r="L986" s="12" t="n">
        <f aca="false">(1+K986)^(1/12)-1</f>
        <v>0.00527981629427021</v>
      </c>
    </row>
    <row r="987" customFormat="false" ht="15" hidden="false" customHeight="false" outlineLevel="0" collapsed="false">
      <c r="A987" s="4" t="n">
        <v>983</v>
      </c>
      <c r="B987" s="14" t="n">
        <f aca="false">A987/12</f>
        <v>81.9166666666667</v>
      </c>
      <c r="C987" s="15" t="n">
        <f aca="false">INT(A987/6)</f>
        <v>163</v>
      </c>
      <c r="D987" s="16" t="n">
        <f aca="false">IF(C987=0,(1+Dic2025!$G$6)^(-B987),EXP(LN(INDEX(Dic2025!$H$6:$H$205,C987))+(LN(INDEX(Dic2025!$H$6:$H$205,MIN(C987+1,200)))-LN(INDEX(Dic2025!$H$6:$H$205,C987)))*(A987-6*C987)/6))</f>
        <v>0.00564826887946098</v>
      </c>
      <c r="E987" s="12" t="n">
        <f aca="false">D987^(-1/B987)-1</f>
        <v>0.0652304100000001</v>
      </c>
      <c r="F987" s="12" t="n">
        <f aca="false">(1+E987)^(1/12)-1</f>
        <v>0.00527981629427021</v>
      </c>
      <c r="G987" s="16" t="n">
        <f aca="false">IF(C987=0,(1+Dic2025!$J$6)^(-B987),EXP(LN(INDEX(Dic2025!$K$6:$K$205,C987))+(LN(INDEX(Dic2025!$K$6:$K$205,MIN(C987+1,200)))-LN(INDEX(Dic2025!$K$6:$K$205,C987)))*(A987-6*C987)/6))</f>
        <v>0.00564826887946098</v>
      </c>
      <c r="H987" s="12" t="n">
        <f aca="false">G987^(-1/B987)-1</f>
        <v>0.0652304100000001</v>
      </c>
      <c r="I987" s="12" t="n">
        <f aca="false">(1+H987)^(1/12)-1</f>
        <v>0.00527981629427021</v>
      </c>
      <c r="J987" s="16" t="n">
        <f aca="false">IF(C987=0,(1+Dic2025!$M$6)^(-B987),EXP(LN(INDEX(Dic2025!$N$6:$N$205,C987))+(LN(INDEX(Dic2025!$N$6:$N$205,MIN(C987+1,200)))-LN(INDEX(Dic2025!$N$6:$N$205,C987)))*(A987-6*C987)/6))</f>
        <v>0.00564826887946098</v>
      </c>
      <c r="K987" s="12" t="n">
        <f aca="false">J987^(-1/B987)-1</f>
        <v>0.0652304100000001</v>
      </c>
      <c r="L987" s="12" t="n">
        <f aca="false">(1+K987)^(1/12)-1</f>
        <v>0.00527981629427021</v>
      </c>
    </row>
    <row r="988" customFormat="false" ht="15" hidden="false" customHeight="false" outlineLevel="0" collapsed="false">
      <c r="A988" s="4" t="n">
        <v>984</v>
      </c>
      <c r="B988" s="14" t="n">
        <f aca="false">A988/12</f>
        <v>82</v>
      </c>
      <c r="C988" s="15" t="n">
        <f aca="false">INT(A988/6)</f>
        <v>164</v>
      </c>
      <c r="D988" s="16" t="n">
        <f aca="false">IF(C988=0,(1+Dic2025!$G$6)^(-B988),EXP(LN(INDEX(Dic2025!$H$6:$H$205,C988))+(LN(INDEX(Dic2025!$H$6:$H$205,MIN(C988+1,200)))-LN(INDEX(Dic2025!$H$6:$H$205,C988)))*(A988-6*C988)/6))</f>
        <v>0.00561860368417821</v>
      </c>
      <c r="E988" s="12" t="n">
        <f aca="false">D988^(-1/B988)-1</f>
        <v>0.0652304100000001</v>
      </c>
      <c r="F988" s="12" t="n">
        <f aca="false">(1+E988)^(1/12)-1</f>
        <v>0.00527981629427021</v>
      </c>
      <c r="G988" s="16" t="n">
        <f aca="false">IF(C988=0,(1+Dic2025!$J$6)^(-B988),EXP(LN(INDEX(Dic2025!$K$6:$K$205,C988))+(LN(INDEX(Dic2025!$K$6:$K$205,MIN(C988+1,200)))-LN(INDEX(Dic2025!$K$6:$K$205,C988)))*(A988-6*C988)/6))</f>
        <v>0.00561860368417821</v>
      </c>
      <c r="H988" s="12" t="n">
        <f aca="false">G988^(-1/B988)-1</f>
        <v>0.0652304100000001</v>
      </c>
      <c r="I988" s="12" t="n">
        <f aca="false">(1+H988)^(1/12)-1</f>
        <v>0.00527981629427021</v>
      </c>
      <c r="J988" s="16" t="n">
        <f aca="false">IF(C988=0,(1+Dic2025!$M$6)^(-B988),EXP(LN(INDEX(Dic2025!$N$6:$N$205,C988))+(LN(INDEX(Dic2025!$N$6:$N$205,MIN(C988+1,200)))-LN(INDEX(Dic2025!$N$6:$N$205,C988)))*(A988-6*C988)/6))</f>
        <v>0.00561860368417821</v>
      </c>
      <c r="K988" s="12" t="n">
        <f aca="false">J988^(-1/B988)-1</f>
        <v>0.0652304100000001</v>
      </c>
      <c r="L988" s="12" t="n">
        <f aca="false">(1+K988)^(1/12)-1</f>
        <v>0.00527981629427021</v>
      </c>
    </row>
    <row r="989" customFormat="false" ht="15" hidden="false" customHeight="false" outlineLevel="0" collapsed="false">
      <c r="A989" s="4" t="n">
        <v>985</v>
      </c>
      <c r="B989" s="14" t="n">
        <f aca="false">A989/12</f>
        <v>82.0833333333333</v>
      </c>
      <c r="C989" s="15" t="n">
        <f aca="false">INT(A989/6)</f>
        <v>164</v>
      </c>
      <c r="D989" s="16" t="n">
        <f aca="false">IF(C989=0,(1+Dic2025!$G$6)^(-B989),EXP(LN(INDEX(Dic2025!$H$6:$H$205,C989))+(LN(INDEX(Dic2025!$H$6:$H$205,MIN(C989+1,200)))-LN(INDEX(Dic2025!$H$6:$H$205,C989)))*(A989-6*C989)/6))</f>
        <v>0.0055890942930595</v>
      </c>
      <c r="E989" s="12" t="n">
        <f aca="false">D989^(-1/B989)-1</f>
        <v>0.0652304100000001</v>
      </c>
      <c r="F989" s="12" t="n">
        <f aca="false">(1+E989)^(1/12)-1</f>
        <v>0.00527981629427021</v>
      </c>
      <c r="G989" s="16" t="n">
        <f aca="false">IF(C989=0,(1+Dic2025!$J$6)^(-B989),EXP(LN(INDEX(Dic2025!$K$6:$K$205,C989))+(LN(INDEX(Dic2025!$K$6:$K$205,MIN(C989+1,200)))-LN(INDEX(Dic2025!$K$6:$K$205,C989)))*(A989-6*C989)/6))</f>
        <v>0.0055890942930595</v>
      </c>
      <c r="H989" s="12" t="n">
        <f aca="false">G989^(-1/B989)-1</f>
        <v>0.0652304100000001</v>
      </c>
      <c r="I989" s="12" t="n">
        <f aca="false">(1+H989)^(1/12)-1</f>
        <v>0.00527981629427021</v>
      </c>
      <c r="J989" s="16" t="n">
        <f aca="false">IF(C989=0,(1+Dic2025!$M$6)^(-B989),EXP(LN(INDEX(Dic2025!$N$6:$N$205,C989))+(LN(INDEX(Dic2025!$N$6:$N$205,MIN(C989+1,200)))-LN(INDEX(Dic2025!$N$6:$N$205,C989)))*(A989-6*C989)/6))</f>
        <v>0.0055890942930595</v>
      </c>
      <c r="K989" s="12" t="n">
        <f aca="false">J989^(-1/B989)-1</f>
        <v>0.0652304100000001</v>
      </c>
      <c r="L989" s="12" t="n">
        <f aca="false">(1+K989)^(1/12)-1</f>
        <v>0.00527981629427021</v>
      </c>
    </row>
    <row r="990" customFormat="false" ht="15" hidden="false" customHeight="false" outlineLevel="0" collapsed="false">
      <c r="A990" s="4" t="n">
        <v>986</v>
      </c>
      <c r="B990" s="14" t="n">
        <f aca="false">A990/12</f>
        <v>82.1666666666667</v>
      </c>
      <c r="C990" s="15" t="n">
        <f aca="false">INT(A990/6)</f>
        <v>164</v>
      </c>
      <c r="D990" s="16" t="n">
        <f aca="false">IF(C990=0,(1+Dic2025!$G$6)^(-B990),EXP(LN(INDEX(Dic2025!$H$6:$H$205,C990))+(LN(INDEX(Dic2025!$H$6:$H$205,MIN(C990+1,200)))-LN(INDEX(Dic2025!$H$6:$H$205,C990)))*(A990-6*C990)/6))</f>
        <v>0.00555973988780795</v>
      </c>
      <c r="E990" s="12" t="n">
        <f aca="false">D990^(-1/B990)-1</f>
        <v>0.0652304100000001</v>
      </c>
      <c r="F990" s="12" t="n">
        <f aca="false">(1+E990)^(1/12)-1</f>
        <v>0.00527981629427021</v>
      </c>
      <c r="G990" s="16" t="n">
        <f aca="false">IF(C990=0,(1+Dic2025!$J$6)^(-B990),EXP(LN(INDEX(Dic2025!$K$6:$K$205,C990))+(LN(INDEX(Dic2025!$K$6:$K$205,MIN(C990+1,200)))-LN(INDEX(Dic2025!$K$6:$K$205,C990)))*(A990-6*C990)/6))</f>
        <v>0.00555973988780795</v>
      </c>
      <c r="H990" s="12" t="n">
        <f aca="false">G990^(-1/B990)-1</f>
        <v>0.0652304100000001</v>
      </c>
      <c r="I990" s="12" t="n">
        <f aca="false">(1+H990)^(1/12)-1</f>
        <v>0.00527981629427021</v>
      </c>
      <c r="J990" s="16" t="n">
        <f aca="false">IF(C990=0,(1+Dic2025!$M$6)^(-B990),EXP(LN(INDEX(Dic2025!$N$6:$N$205,C990))+(LN(INDEX(Dic2025!$N$6:$N$205,MIN(C990+1,200)))-LN(INDEX(Dic2025!$N$6:$N$205,C990)))*(A990-6*C990)/6))</f>
        <v>0.00555973988780795</v>
      </c>
      <c r="K990" s="12" t="n">
        <f aca="false">J990^(-1/B990)-1</f>
        <v>0.0652304100000001</v>
      </c>
      <c r="L990" s="12" t="n">
        <f aca="false">(1+K990)^(1/12)-1</f>
        <v>0.00527981629427021</v>
      </c>
    </row>
    <row r="991" customFormat="false" ht="15" hidden="false" customHeight="false" outlineLevel="0" collapsed="false">
      <c r="A991" s="4" t="n">
        <v>987</v>
      </c>
      <c r="B991" s="14" t="n">
        <f aca="false">A991/12</f>
        <v>82.25</v>
      </c>
      <c r="C991" s="15" t="n">
        <f aca="false">INT(A991/6)</f>
        <v>164</v>
      </c>
      <c r="D991" s="16" t="n">
        <f aca="false">IF(C991=0,(1+Dic2025!$G$6)^(-B991),EXP(LN(INDEX(Dic2025!$H$6:$H$205,C991))+(LN(INDEX(Dic2025!$H$6:$H$205,MIN(C991+1,200)))-LN(INDEX(Dic2025!$H$6:$H$205,C991)))*(A991-6*C991)/6))</f>
        <v>0.00553053965442442</v>
      </c>
      <c r="E991" s="12" t="n">
        <f aca="false">D991^(-1/B991)-1</f>
        <v>0.0652304100000001</v>
      </c>
      <c r="F991" s="12" t="n">
        <f aca="false">(1+E991)^(1/12)-1</f>
        <v>0.00527981629427021</v>
      </c>
      <c r="G991" s="16" t="n">
        <f aca="false">IF(C991=0,(1+Dic2025!$J$6)^(-B991),EXP(LN(INDEX(Dic2025!$K$6:$K$205,C991))+(LN(INDEX(Dic2025!$K$6:$K$205,MIN(C991+1,200)))-LN(INDEX(Dic2025!$K$6:$K$205,C991)))*(A991-6*C991)/6))</f>
        <v>0.00553053965442442</v>
      </c>
      <c r="H991" s="12" t="n">
        <f aca="false">G991^(-1/B991)-1</f>
        <v>0.0652304100000001</v>
      </c>
      <c r="I991" s="12" t="n">
        <f aca="false">(1+H991)^(1/12)-1</f>
        <v>0.00527981629427021</v>
      </c>
      <c r="J991" s="16" t="n">
        <f aca="false">IF(C991=0,(1+Dic2025!$M$6)^(-B991),EXP(LN(INDEX(Dic2025!$N$6:$N$205,C991))+(LN(INDEX(Dic2025!$N$6:$N$205,MIN(C991+1,200)))-LN(INDEX(Dic2025!$N$6:$N$205,C991)))*(A991-6*C991)/6))</f>
        <v>0.00553053965442442</v>
      </c>
      <c r="K991" s="12" t="n">
        <f aca="false">J991^(-1/B991)-1</f>
        <v>0.0652304100000001</v>
      </c>
      <c r="L991" s="12" t="n">
        <f aca="false">(1+K991)^(1/12)-1</f>
        <v>0.00527981629427021</v>
      </c>
    </row>
    <row r="992" customFormat="false" ht="15" hidden="false" customHeight="false" outlineLevel="0" collapsed="false">
      <c r="A992" s="4" t="n">
        <v>988</v>
      </c>
      <c r="B992" s="14" t="n">
        <f aca="false">A992/12</f>
        <v>82.3333333333333</v>
      </c>
      <c r="C992" s="15" t="n">
        <f aca="false">INT(A992/6)</f>
        <v>164</v>
      </c>
      <c r="D992" s="16" t="n">
        <f aca="false">IF(C992=0,(1+Dic2025!$G$6)^(-B992),EXP(LN(INDEX(Dic2025!$H$6:$H$205,C992))+(LN(INDEX(Dic2025!$H$6:$H$205,MIN(C992+1,200)))-LN(INDEX(Dic2025!$H$6:$H$205,C992)))*(A992-6*C992)/6))</f>
        <v>0.00550149278318494</v>
      </c>
      <c r="E992" s="12" t="n">
        <f aca="false">D992^(-1/B992)-1</f>
        <v>0.0652304100000001</v>
      </c>
      <c r="F992" s="12" t="n">
        <f aca="false">(1+E992)^(1/12)-1</f>
        <v>0.00527981629427021</v>
      </c>
      <c r="G992" s="16" t="n">
        <f aca="false">IF(C992=0,(1+Dic2025!$J$6)^(-B992),EXP(LN(INDEX(Dic2025!$K$6:$K$205,C992))+(LN(INDEX(Dic2025!$K$6:$K$205,MIN(C992+1,200)))-LN(INDEX(Dic2025!$K$6:$K$205,C992)))*(A992-6*C992)/6))</f>
        <v>0.00550149278318494</v>
      </c>
      <c r="H992" s="12" t="n">
        <f aca="false">G992^(-1/B992)-1</f>
        <v>0.0652304100000001</v>
      </c>
      <c r="I992" s="12" t="n">
        <f aca="false">(1+H992)^(1/12)-1</f>
        <v>0.00527981629427021</v>
      </c>
      <c r="J992" s="16" t="n">
        <f aca="false">IF(C992=0,(1+Dic2025!$M$6)^(-B992),EXP(LN(INDEX(Dic2025!$N$6:$N$205,C992))+(LN(INDEX(Dic2025!$N$6:$N$205,MIN(C992+1,200)))-LN(INDEX(Dic2025!$N$6:$N$205,C992)))*(A992-6*C992)/6))</f>
        <v>0.00550149278318494</v>
      </c>
      <c r="K992" s="12" t="n">
        <f aca="false">J992^(-1/B992)-1</f>
        <v>0.0652304100000001</v>
      </c>
      <c r="L992" s="12" t="n">
        <f aca="false">(1+K992)^(1/12)-1</f>
        <v>0.00527981629427021</v>
      </c>
    </row>
    <row r="993" customFormat="false" ht="15" hidden="false" customHeight="false" outlineLevel="0" collapsed="false">
      <c r="A993" s="4" t="n">
        <v>989</v>
      </c>
      <c r="B993" s="14" t="n">
        <f aca="false">A993/12</f>
        <v>82.4166666666667</v>
      </c>
      <c r="C993" s="15" t="n">
        <f aca="false">INT(A993/6)</f>
        <v>164</v>
      </c>
      <c r="D993" s="16" t="n">
        <f aca="false">IF(C993=0,(1+Dic2025!$G$6)^(-B993),EXP(LN(INDEX(Dic2025!$H$6:$H$205,C993))+(LN(INDEX(Dic2025!$H$6:$H$205,MIN(C993+1,200)))-LN(INDEX(Dic2025!$H$6:$H$205,C993)))*(A993-6*C993)/6))</f>
        <v>0.00547259846861833</v>
      </c>
      <c r="E993" s="12" t="n">
        <f aca="false">D993^(-1/B993)-1</f>
        <v>0.0652304100000001</v>
      </c>
      <c r="F993" s="12" t="n">
        <f aca="false">(1+E993)^(1/12)-1</f>
        <v>0.00527981629427021</v>
      </c>
      <c r="G993" s="16" t="n">
        <f aca="false">IF(C993=0,(1+Dic2025!$J$6)^(-B993),EXP(LN(INDEX(Dic2025!$K$6:$K$205,C993))+(LN(INDEX(Dic2025!$K$6:$K$205,MIN(C993+1,200)))-LN(INDEX(Dic2025!$K$6:$K$205,C993)))*(A993-6*C993)/6))</f>
        <v>0.00547259846861833</v>
      </c>
      <c r="H993" s="12" t="n">
        <f aca="false">G993^(-1/B993)-1</f>
        <v>0.0652304100000001</v>
      </c>
      <c r="I993" s="12" t="n">
        <f aca="false">(1+H993)^(1/12)-1</f>
        <v>0.00527981629427021</v>
      </c>
      <c r="J993" s="16" t="n">
        <f aca="false">IF(C993=0,(1+Dic2025!$M$6)^(-B993),EXP(LN(INDEX(Dic2025!$N$6:$N$205,C993))+(LN(INDEX(Dic2025!$N$6:$N$205,MIN(C993+1,200)))-LN(INDEX(Dic2025!$N$6:$N$205,C993)))*(A993-6*C993)/6))</f>
        <v>0.00547259846861833</v>
      </c>
      <c r="K993" s="12" t="n">
        <f aca="false">J993^(-1/B993)-1</f>
        <v>0.0652304100000001</v>
      </c>
      <c r="L993" s="12" t="n">
        <f aca="false">(1+K993)^(1/12)-1</f>
        <v>0.00527981629427021</v>
      </c>
    </row>
    <row r="994" customFormat="false" ht="15" hidden="false" customHeight="false" outlineLevel="0" collapsed="false">
      <c r="A994" s="4" t="n">
        <v>990</v>
      </c>
      <c r="B994" s="14" t="n">
        <f aca="false">A994/12</f>
        <v>82.5</v>
      </c>
      <c r="C994" s="15" t="n">
        <f aca="false">INT(A994/6)</f>
        <v>165</v>
      </c>
      <c r="D994" s="16" t="n">
        <f aca="false">IF(C994=0,(1+Dic2025!$G$6)^(-B994),EXP(LN(INDEX(Dic2025!$H$6:$H$205,C994))+(LN(INDEX(Dic2025!$H$6:$H$205,MIN(C994+1,200)))-LN(INDEX(Dic2025!$H$6:$H$205,C994)))*(A994-6*C994)/6))</f>
        <v>0.00544385590948378</v>
      </c>
      <c r="E994" s="12" t="n">
        <f aca="false">D994^(-1/B994)-1</f>
        <v>0.0652304100000001</v>
      </c>
      <c r="F994" s="12" t="n">
        <f aca="false">(1+E994)^(1/12)-1</f>
        <v>0.00527981629427021</v>
      </c>
      <c r="G994" s="16" t="n">
        <f aca="false">IF(C994=0,(1+Dic2025!$J$6)^(-B994),EXP(LN(INDEX(Dic2025!$K$6:$K$205,C994))+(LN(INDEX(Dic2025!$K$6:$K$205,MIN(C994+1,200)))-LN(INDEX(Dic2025!$K$6:$K$205,C994)))*(A994-6*C994)/6))</f>
        <v>0.00544385590948378</v>
      </c>
      <c r="H994" s="12" t="n">
        <f aca="false">G994^(-1/B994)-1</f>
        <v>0.0652304100000001</v>
      </c>
      <c r="I994" s="12" t="n">
        <f aca="false">(1+H994)^(1/12)-1</f>
        <v>0.00527981629427021</v>
      </c>
      <c r="J994" s="16" t="n">
        <f aca="false">IF(C994=0,(1+Dic2025!$M$6)^(-B994),EXP(LN(INDEX(Dic2025!$N$6:$N$205,C994))+(LN(INDEX(Dic2025!$N$6:$N$205,MIN(C994+1,200)))-LN(INDEX(Dic2025!$N$6:$N$205,C994)))*(A994-6*C994)/6))</f>
        <v>0.00544385590948378</v>
      </c>
      <c r="K994" s="12" t="n">
        <f aca="false">J994^(-1/B994)-1</f>
        <v>0.0652304100000001</v>
      </c>
      <c r="L994" s="12" t="n">
        <f aca="false">(1+K994)^(1/12)-1</f>
        <v>0.00527981629427021</v>
      </c>
    </row>
    <row r="995" customFormat="false" ht="15" hidden="false" customHeight="false" outlineLevel="0" collapsed="false">
      <c r="A995" s="4" t="n">
        <v>991</v>
      </c>
      <c r="B995" s="14" t="n">
        <f aca="false">A995/12</f>
        <v>82.5833333333333</v>
      </c>
      <c r="C995" s="15" t="n">
        <f aca="false">INT(A995/6)</f>
        <v>165</v>
      </c>
      <c r="D995" s="16" t="n">
        <f aca="false">IF(C995=0,(1+Dic2025!$G$6)^(-B995),EXP(LN(INDEX(Dic2025!$H$6:$H$205,C995))+(LN(INDEX(Dic2025!$H$6:$H$205,MIN(C995+1,200)))-LN(INDEX(Dic2025!$H$6:$H$205,C995)))*(A995-6*C995)/6))</f>
        <v>0.00540801121654975</v>
      </c>
      <c r="E995" s="12" t="n">
        <f aca="false">D995^(-1/B995)-1</f>
        <v>0.0652476981776375</v>
      </c>
      <c r="F995" s="12" t="n">
        <f aca="false">(1+E995)^(1/12)-1</f>
        <v>0.00528117588484967</v>
      </c>
      <c r="G995" s="16" t="n">
        <f aca="false">IF(C995=0,(1+Dic2025!$J$6)^(-B995),EXP(LN(INDEX(Dic2025!$K$6:$K$205,C995))+(LN(INDEX(Dic2025!$K$6:$K$205,MIN(C995+1,200)))-LN(INDEX(Dic2025!$K$6:$K$205,C995)))*(A995-6*C995)/6))</f>
        <v>0.00540801121654975</v>
      </c>
      <c r="H995" s="12" t="n">
        <f aca="false">G995^(-1/B995)-1</f>
        <v>0.0652476981776375</v>
      </c>
      <c r="I995" s="12" t="n">
        <f aca="false">(1+H995)^(1/12)-1</f>
        <v>0.00528117588484967</v>
      </c>
      <c r="J995" s="16" t="n">
        <f aca="false">IF(C995=0,(1+Dic2025!$M$6)^(-B995),EXP(LN(INDEX(Dic2025!$N$6:$N$205,C995))+(LN(INDEX(Dic2025!$N$6:$N$205,MIN(C995+1,200)))-LN(INDEX(Dic2025!$N$6:$N$205,C995)))*(A995-6*C995)/6))</f>
        <v>0.00540801121654975</v>
      </c>
      <c r="K995" s="12" t="n">
        <f aca="false">J995^(-1/B995)-1</f>
        <v>0.0652476981776375</v>
      </c>
      <c r="L995" s="12" t="n">
        <f aca="false">(1+K995)^(1/12)-1</f>
        <v>0.00528117588484967</v>
      </c>
    </row>
    <row r="996" customFormat="false" ht="15" hidden="false" customHeight="false" outlineLevel="0" collapsed="false">
      <c r="A996" s="4" t="n">
        <v>992</v>
      </c>
      <c r="B996" s="14" t="n">
        <f aca="false">A996/12</f>
        <v>82.6666666666667</v>
      </c>
      <c r="C996" s="15" t="n">
        <f aca="false">INT(A996/6)</f>
        <v>165</v>
      </c>
      <c r="D996" s="16" t="n">
        <f aca="false">IF(C996=0,(1+Dic2025!$G$6)^(-B996),EXP(LN(INDEX(Dic2025!$H$6:$H$205,C996))+(LN(INDEX(Dic2025!$H$6:$H$205,MIN(C996+1,200)))-LN(INDEX(Dic2025!$H$6:$H$205,C996)))*(A996-6*C996)/6))</f>
        <v>0.0053724025405186</v>
      </c>
      <c r="E996" s="12" t="n">
        <f aca="false">D996^(-1/B996)-1</f>
        <v>0.065264951779809</v>
      </c>
      <c r="F996" s="12" t="n">
        <f aca="false">(1+E996)^(1/12)-1</f>
        <v>0.00528253273615209</v>
      </c>
      <c r="G996" s="16" t="n">
        <f aca="false">IF(C996=0,(1+Dic2025!$J$6)^(-B996),EXP(LN(INDEX(Dic2025!$K$6:$K$205,C996))+(LN(INDEX(Dic2025!$K$6:$K$205,MIN(C996+1,200)))-LN(INDEX(Dic2025!$K$6:$K$205,C996)))*(A996-6*C996)/6))</f>
        <v>0.0053724025405186</v>
      </c>
      <c r="H996" s="12" t="n">
        <f aca="false">G996^(-1/B996)-1</f>
        <v>0.065264951779809</v>
      </c>
      <c r="I996" s="12" t="n">
        <f aca="false">(1+H996)^(1/12)-1</f>
        <v>0.00528253273615209</v>
      </c>
      <c r="J996" s="16" t="n">
        <f aca="false">IF(C996=0,(1+Dic2025!$M$6)^(-B996),EXP(LN(INDEX(Dic2025!$N$6:$N$205,C996))+(LN(INDEX(Dic2025!$N$6:$N$205,MIN(C996+1,200)))-LN(INDEX(Dic2025!$N$6:$N$205,C996)))*(A996-6*C996)/6))</f>
        <v>0.0053724025405186</v>
      </c>
      <c r="K996" s="12" t="n">
        <f aca="false">J996^(-1/B996)-1</f>
        <v>0.065264951779809</v>
      </c>
      <c r="L996" s="12" t="n">
        <f aca="false">(1+K996)^(1/12)-1</f>
        <v>0.00528253273615209</v>
      </c>
    </row>
    <row r="997" customFormat="false" ht="15" hidden="false" customHeight="false" outlineLevel="0" collapsed="false">
      <c r="A997" s="4" t="n">
        <v>993</v>
      </c>
      <c r="B997" s="14" t="n">
        <f aca="false">A997/12</f>
        <v>82.75</v>
      </c>
      <c r="C997" s="15" t="n">
        <f aca="false">INT(A997/6)</f>
        <v>165</v>
      </c>
      <c r="D997" s="16" t="n">
        <f aca="false">IF(C997=0,(1+Dic2025!$G$6)^(-B997),EXP(LN(INDEX(Dic2025!$H$6:$H$205,C997))+(LN(INDEX(Dic2025!$H$6:$H$205,MIN(C997+1,200)))-LN(INDEX(Dic2025!$H$6:$H$205,C997)))*(A997-6*C997)/6))</f>
        <v>0.00533702832735336</v>
      </c>
      <c r="E997" s="12" t="n">
        <f aca="false">D997^(-1/B997)-1</f>
        <v>0.0652821709101321</v>
      </c>
      <c r="F997" s="12" t="n">
        <f aca="false">(1+E997)^(1/12)-1</f>
        <v>0.00528388685644798</v>
      </c>
      <c r="G997" s="16" t="n">
        <f aca="false">IF(C997=0,(1+Dic2025!$J$6)^(-B997),EXP(LN(INDEX(Dic2025!$K$6:$K$205,C997))+(LN(INDEX(Dic2025!$K$6:$K$205,MIN(C997+1,200)))-LN(INDEX(Dic2025!$K$6:$K$205,C997)))*(A997-6*C997)/6))</f>
        <v>0.00533702832735336</v>
      </c>
      <c r="H997" s="12" t="n">
        <f aca="false">G997^(-1/B997)-1</f>
        <v>0.0652821709101321</v>
      </c>
      <c r="I997" s="12" t="n">
        <f aca="false">(1+H997)^(1/12)-1</f>
        <v>0.00528388685644798</v>
      </c>
      <c r="J997" s="16" t="n">
        <f aca="false">IF(C997=0,(1+Dic2025!$M$6)^(-B997),EXP(LN(INDEX(Dic2025!$N$6:$N$205,C997))+(LN(INDEX(Dic2025!$N$6:$N$205,MIN(C997+1,200)))-LN(INDEX(Dic2025!$N$6:$N$205,C997)))*(A997-6*C997)/6))</f>
        <v>0.00533702832735336</v>
      </c>
      <c r="K997" s="12" t="n">
        <f aca="false">J997^(-1/B997)-1</f>
        <v>0.0652821709101321</v>
      </c>
      <c r="L997" s="12" t="n">
        <f aca="false">(1+K997)^(1/12)-1</f>
        <v>0.00528388685644798</v>
      </c>
    </row>
    <row r="998" customFormat="false" ht="15" hidden="false" customHeight="false" outlineLevel="0" collapsed="false">
      <c r="A998" s="4" t="n">
        <v>994</v>
      </c>
      <c r="B998" s="14" t="n">
        <f aca="false">A998/12</f>
        <v>82.8333333333333</v>
      </c>
      <c r="C998" s="15" t="n">
        <f aca="false">INT(A998/6)</f>
        <v>165</v>
      </c>
      <c r="D998" s="16" t="n">
        <f aca="false">IF(C998=0,(1+Dic2025!$G$6)^(-B998),EXP(LN(INDEX(Dic2025!$H$6:$H$205,C998))+(LN(INDEX(Dic2025!$H$6:$H$205,MIN(C998+1,200)))-LN(INDEX(Dic2025!$H$6:$H$205,C998)))*(A998-6*C998)/6))</f>
        <v>0.0053018870332495</v>
      </c>
      <c r="E998" s="12" t="n">
        <f aca="false">D998^(-1/B998)-1</f>
        <v>0.0652993556718116</v>
      </c>
      <c r="F998" s="12" t="n">
        <f aca="false">(1+E998)^(1/12)-1</f>
        <v>0.00528523825397431</v>
      </c>
      <c r="G998" s="16" t="n">
        <f aca="false">IF(C998=0,(1+Dic2025!$J$6)^(-B998),EXP(LN(INDEX(Dic2025!$K$6:$K$205,C998))+(LN(INDEX(Dic2025!$K$6:$K$205,MIN(C998+1,200)))-LN(INDEX(Dic2025!$K$6:$K$205,C998)))*(A998-6*C998)/6))</f>
        <v>0.0053018870332495</v>
      </c>
      <c r="H998" s="12" t="n">
        <f aca="false">G998^(-1/B998)-1</f>
        <v>0.0652993556718116</v>
      </c>
      <c r="I998" s="12" t="n">
        <f aca="false">(1+H998)^(1/12)-1</f>
        <v>0.00528523825397431</v>
      </c>
      <c r="J998" s="16" t="n">
        <f aca="false">IF(C998=0,(1+Dic2025!$M$6)^(-B998),EXP(LN(INDEX(Dic2025!$N$6:$N$205,C998))+(LN(INDEX(Dic2025!$N$6:$N$205,MIN(C998+1,200)))-LN(INDEX(Dic2025!$N$6:$N$205,C998)))*(A998-6*C998)/6))</f>
        <v>0.0053018870332495</v>
      </c>
      <c r="K998" s="12" t="n">
        <f aca="false">J998^(-1/B998)-1</f>
        <v>0.0652993556718116</v>
      </c>
      <c r="L998" s="12" t="n">
        <f aca="false">(1+K998)^(1/12)-1</f>
        <v>0.00528523825397431</v>
      </c>
    </row>
    <row r="999" customFormat="false" ht="15" hidden="false" customHeight="false" outlineLevel="0" collapsed="false">
      <c r="A999" s="4" t="n">
        <v>995</v>
      </c>
      <c r="B999" s="14" t="n">
        <f aca="false">A999/12</f>
        <v>82.9166666666667</v>
      </c>
      <c r="C999" s="15" t="n">
        <f aca="false">INT(A999/6)</f>
        <v>165</v>
      </c>
      <c r="D999" s="16" t="n">
        <f aca="false">IF(C999=0,(1+Dic2025!$G$6)^(-B999),EXP(LN(INDEX(Dic2025!$H$6:$H$205,C999))+(LN(INDEX(Dic2025!$H$6:$H$205,MIN(C999+1,200)))-LN(INDEX(Dic2025!$H$6:$H$205,C999)))*(A999-6*C999)/6))</f>
        <v>0.00526697712456755</v>
      </c>
      <c r="E999" s="12" t="n">
        <f aca="false">D999^(-1/B999)-1</f>
        <v>0.0653165061676397</v>
      </c>
      <c r="F999" s="12" t="n">
        <f aca="false">(1+E999)^(1/12)-1</f>
        <v>0.00528658693693496</v>
      </c>
      <c r="G999" s="16" t="n">
        <f aca="false">IF(C999=0,(1+Dic2025!$J$6)^(-B999),EXP(LN(INDEX(Dic2025!$K$6:$K$205,C999))+(LN(INDEX(Dic2025!$K$6:$K$205,MIN(C999+1,200)))-LN(INDEX(Dic2025!$K$6:$K$205,C999)))*(A999-6*C999)/6))</f>
        <v>0.00526697712456755</v>
      </c>
      <c r="H999" s="12" t="n">
        <f aca="false">G999^(-1/B999)-1</f>
        <v>0.0653165061676397</v>
      </c>
      <c r="I999" s="12" t="n">
        <f aca="false">(1+H999)^(1/12)-1</f>
        <v>0.00528658693693496</v>
      </c>
      <c r="J999" s="16" t="n">
        <f aca="false">IF(C999=0,(1+Dic2025!$M$6)^(-B999),EXP(LN(INDEX(Dic2025!$N$6:$N$205,C999))+(LN(INDEX(Dic2025!$N$6:$N$205,MIN(C999+1,200)))-LN(INDEX(Dic2025!$N$6:$N$205,C999)))*(A999-6*C999)/6))</f>
        <v>0.00526697712456755</v>
      </c>
      <c r="K999" s="12" t="n">
        <f aca="false">J999^(-1/B999)-1</f>
        <v>0.0653165061676397</v>
      </c>
      <c r="L999" s="12" t="n">
        <f aca="false">(1+K999)^(1/12)-1</f>
        <v>0.00528658693693496</v>
      </c>
    </row>
    <row r="1000" customFormat="false" ht="15" hidden="false" customHeight="false" outlineLevel="0" collapsed="false">
      <c r="A1000" s="4" t="n">
        <v>996</v>
      </c>
      <c r="B1000" s="14" t="n">
        <f aca="false">A1000/12</f>
        <v>83</v>
      </c>
      <c r="C1000" s="15" t="n">
        <f aca="false">INT(A1000/6)</f>
        <v>166</v>
      </c>
      <c r="D1000" s="16" t="n">
        <f aca="false">IF(C1000=0,(1+Dic2025!$G$6)^(-B1000),EXP(LN(INDEX(Dic2025!$H$6:$H$205,C1000))+(LN(INDEX(Dic2025!$H$6:$H$205,MIN(C1000+1,200)))-LN(INDEX(Dic2025!$H$6:$H$205,C1000)))*(A1000-6*C1000)/6))</f>
        <v>0.0052322970777662</v>
      </c>
      <c r="E1000" s="12" t="n">
        <f aca="false">D1000^(-1/B1000)-1</f>
        <v>0.0653336224999999</v>
      </c>
      <c r="F1000" s="12" t="n">
        <f aca="false">(1+E1000)^(1/12)-1</f>
        <v>0.00528793291350072</v>
      </c>
      <c r="G1000" s="16" t="n">
        <f aca="false">IF(C1000=0,(1+Dic2025!$J$6)^(-B1000),EXP(LN(INDEX(Dic2025!$K$6:$K$205,C1000))+(LN(INDEX(Dic2025!$K$6:$K$205,MIN(C1000+1,200)))-LN(INDEX(Dic2025!$K$6:$K$205,C1000)))*(A1000-6*C1000)/6))</f>
        <v>0.0052322970777662</v>
      </c>
      <c r="H1000" s="12" t="n">
        <f aca="false">G1000^(-1/B1000)-1</f>
        <v>0.0653336224999999</v>
      </c>
      <c r="I1000" s="12" t="n">
        <f aca="false">(1+H1000)^(1/12)-1</f>
        <v>0.00528793291350072</v>
      </c>
      <c r="J1000" s="16" t="n">
        <f aca="false">IF(C1000=0,(1+Dic2025!$M$6)^(-B1000),EXP(LN(INDEX(Dic2025!$N$6:$N$205,C1000))+(LN(INDEX(Dic2025!$N$6:$N$205,MIN(C1000+1,200)))-LN(INDEX(Dic2025!$N$6:$N$205,C1000)))*(A1000-6*C1000)/6))</f>
        <v>0.0052322970777662</v>
      </c>
      <c r="K1000" s="12" t="n">
        <f aca="false">J1000^(-1/B1000)-1</f>
        <v>0.0653336224999999</v>
      </c>
      <c r="L1000" s="12" t="n">
        <f aca="false">(1+K1000)^(1/12)-1</f>
        <v>0.00528793291350072</v>
      </c>
    </row>
    <row r="1001" customFormat="false" ht="15" hidden="false" customHeight="false" outlineLevel="0" collapsed="false">
      <c r="A1001" s="4" t="n">
        <v>997</v>
      </c>
      <c r="B1001" s="14" t="n">
        <f aca="false">A1001/12</f>
        <v>83.0833333333333</v>
      </c>
      <c r="C1001" s="15" t="n">
        <f aca="false">INT(A1001/6)</f>
        <v>166</v>
      </c>
      <c r="D1001" s="16" t="n">
        <f aca="false">IF(C1001=0,(1+Dic2025!$G$6)^(-B1001),EXP(LN(INDEX(Dic2025!$H$6:$H$205,C1001))+(LN(INDEX(Dic2025!$H$6:$H$205,MIN(C1001+1,200)))-LN(INDEX(Dic2025!$H$6:$H$205,C1001)))*(A1001-6*C1001)/6))</f>
        <v>0.00520477457896275</v>
      </c>
      <c r="E1001" s="12" t="n">
        <f aca="false">D1001^(-1/B1001)-1</f>
        <v>0.0653336224999999</v>
      </c>
      <c r="F1001" s="12" t="n">
        <f aca="false">(1+E1001)^(1/12)-1</f>
        <v>0.00528793291350072</v>
      </c>
      <c r="G1001" s="16" t="n">
        <f aca="false">IF(C1001=0,(1+Dic2025!$J$6)^(-B1001),EXP(LN(INDEX(Dic2025!$K$6:$K$205,C1001))+(LN(INDEX(Dic2025!$K$6:$K$205,MIN(C1001+1,200)))-LN(INDEX(Dic2025!$K$6:$K$205,C1001)))*(A1001-6*C1001)/6))</f>
        <v>0.00520477457896275</v>
      </c>
      <c r="H1001" s="12" t="n">
        <f aca="false">G1001^(-1/B1001)-1</f>
        <v>0.0653336224999999</v>
      </c>
      <c r="I1001" s="12" t="n">
        <f aca="false">(1+H1001)^(1/12)-1</f>
        <v>0.00528793291350072</v>
      </c>
      <c r="J1001" s="16" t="n">
        <f aca="false">IF(C1001=0,(1+Dic2025!$M$6)^(-B1001),EXP(LN(INDEX(Dic2025!$N$6:$N$205,C1001))+(LN(INDEX(Dic2025!$N$6:$N$205,MIN(C1001+1,200)))-LN(INDEX(Dic2025!$N$6:$N$205,C1001)))*(A1001-6*C1001)/6))</f>
        <v>0.00520477457896275</v>
      </c>
      <c r="K1001" s="12" t="n">
        <f aca="false">J1001^(-1/B1001)-1</f>
        <v>0.0653336224999999</v>
      </c>
      <c r="L1001" s="12" t="n">
        <f aca="false">(1+K1001)^(1/12)-1</f>
        <v>0.00528793291350072</v>
      </c>
    </row>
    <row r="1002" customFormat="false" ht="15" hidden="false" customHeight="false" outlineLevel="0" collapsed="false">
      <c r="A1002" s="4" t="n">
        <v>998</v>
      </c>
      <c r="B1002" s="14" t="n">
        <f aca="false">A1002/12</f>
        <v>83.1666666666667</v>
      </c>
      <c r="C1002" s="15" t="n">
        <f aca="false">INT(A1002/6)</f>
        <v>166</v>
      </c>
      <c r="D1002" s="16" t="n">
        <f aca="false">IF(C1002=0,(1+Dic2025!$G$6)^(-B1002),EXP(LN(INDEX(Dic2025!$H$6:$H$205,C1002))+(LN(INDEX(Dic2025!$H$6:$H$205,MIN(C1002+1,200)))-LN(INDEX(Dic2025!$H$6:$H$205,C1002)))*(A1002-6*C1002)/6))</f>
        <v>0.00517739685174416</v>
      </c>
      <c r="E1002" s="12" t="n">
        <f aca="false">D1002^(-1/B1002)-1</f>
        <v>0.0653336224999999</v>
      </c>
      <c r="F1002" s="12" t="n">
        <f aca="false">(1+E1002)^(1/12)-1</f>
        <v>0.00528793291350072</v>
      </c>
      <c r="G1002" s="16" t="n">
        <f aca="false">IF(C1002=0,(1+Dic2025!$J$6)^(-B1002),EXP(LN(INDEX(Dic2025!$K$6:$K$205,C1002))+(LN(INDEX(Dic2025!$K$6:$K$205,MIN(C1002+1,200)))-LN(INDEX(Dic2025!$K$6:$K$205,C1002)))*(A1002-6*C1002)/6))</f>
        <v>0.00517739685174416</v>
      </c>
      <c r="H1002" s="12" t="n">
        <f aca="false">G1002^(-1/B1002)-1</f>
        <v>0.0653336224999999</v>
      </c>
      <c r="I1002" s="12" t="n">
        <f aca="false">(1+H1002)^(1/12)-1</f>
        <v>0.00528793291350072</v>
      </c>
      <c r="J1002" s="16" t="n">
        <f aca="false">IF(C1002=0,(1+Dic2025!$M$6)^(-B1002),EXP(LN(INDEX(Dic2025!$N$6:$N$205,C1002))+(LN(INDEX(Dic2025!$N$6:$N$205,MIN(C1002+1,200)))-LN(INDEX(Dic2025!$N$6:$N$205,C1002)))*(A1002-6*C1002)/6))</f>
        <v>0.00517739685174416</v>
      </c>
      <c r="K1002" s="12" t="n">
        <f aca="false">J1002^(-1/B1002)-1</f>
        <v>0.0653336224999999</v>
      </c>
      <c r="L1002" s="12" t="n">
        <f aca="false">(1+K1002)^(1/12)-1</f>
        <v>0.00528793291350072</v>
      </c>
    </row>
    <row r="1003" customFormat="false" ht="15" hidden="false" customHeight="false" outlineLevel="0" collapsed="false">
      <c r="A1003" s="4" t="n">
        <v>999</v>
      </c>
      <c r="B1003" s="14" t="n">
        <f aca="false">A1003/12</f>
        <v>83.25</v>
      </c>
      <c r="C1003" s="15" t="n">
        <f aca="false">INT(A1003/6)</f>
        <v>166</v>
      </c>
      <c r="D1003" s="16" t="n">
        <f aca="false">IF(C1003=0,(1+Dic2025!$G$6)^(-B1003),EXP(LN(INDEX(Dic2025!$H$6:$H$205,C1003))+(LN(INDEX(Dic2025!$H$6:$H$205,MIN(C1003+1,200)))-LN(INDEX(Dic2025!$H$6:$H$205,C1003)))*(A1003-6*C1003)/6))</f>
        <v>0.00515016313459484</v>
      </c>
      <c r="E1003" s="12" t="n">
        <f aca="false">D1003^(-1/B1003)-1</f>
        <v>0.0653336224999999</v>
      </c>
      <c r="F1003" s="12" t="n">
        <f aca="false">(1+E1003)^(1/12)-1</f>
        <v>0.00528793291350072</v>
      </c>
      <c r="G1003" s="16" t="n">
        <f aca="false">IF(C1003=0,(1+Dic2025!$J$6)^(-B1003),EXP(LN(INDEX(Dic2025!$K$6:$K$205,C1003))+(LN(INDEX(Dic2025!$K$6:$K$205,MIN(C1003+1,200)))-LN(INDEX(Dic2025!$K$6:$K$205,C1003)))*(A1003-6*C1003)/6))</f>
        <v>0.00515016313459484</v>
      </c>
      <c r="H1003" s="12" t="n">
        <f aca="false">G1003^(-1/B1003)-1</f>
        <v>0.0653336224999999</v>
      </c>
      <c r="I1003" s="12" t="n">
        <f aca="false">(1+H1003)^(1/12)-1</f>
        <v>0.00528793291350072</v>
      </c>
      <c r="J1003" s="16" t="n">
        <f aca="false">IF(C1003=0,(1+Dic2025!$M$6)^(-B1003),EXP(LN(INDEX(Dic2025!$N$6:$N$205,C1003))+(LN(INDEX(Dic2025!$N$6:$N$205,MIN(C1003+1,200)))-LN(INDEX(Dic2025!$N$6:$N$205,C1003)))*(A1003-6*C1003)/6))</f>
        <v>0.00515016313459484</v>
      </c>
      <c r="K1003" s="12" t="n">
        <f aca="false">J1003^(-1/B1003)-1</f>
        <v>0.0653336224999999</v>
      </c>
      <c r="L1003" s="12" t="n">
        <f aca="false">(1+K1003)^(1/12)-1</f>
        <v>0.00528793291350072</v>
      </c>
    </row>
    <row r="1004" customFormat="false" ht="15" hidden="false" customHeight="false" outlineLevel="0" collapsed="false">
      <c r="A1004" s="4" t="n">
        <v>1000</v>
      </c>
      <c r="B1004" s="14" t="n">
        <f aca="false">A1004/12</f>
        <v>83.3333333333333</v>
      </c>
      <c r="C1004" s="15" t="n">
        <f aca="false">INT(A1004/6)</f>
        <v>166</v>
      </c>
      <c r="D1004" s="16" t="n">
        <f aca="false">IF(C1004=0,(1+Dic2025!$G$6)^(-B1004),EXP(LN(INDEX(Dic2025!$H$6:$H$205,C1004))+(LN(INDEX(Dic2025!$H$6:$H$205,MIN(C1004+1,200)))-LN(INDEX(Dic2025!$H$6:$H$205,C1004)))*(A1004-6*C1004)/6))</f>
        <v>0.00512307267000486</v>
      </c>
      <c r="E1004" s="12" t="n">
        <f aca="false">D1004^(-1/B1004)-1</f>
        <v>0.0653336224999999</v>
      </c>
      <c r="F1004" s="12" t="n">
        <f aca="false">(1+E1004)^(1/12)-1</f>
        <v>0.00528793291350072</v>
      </c>
      <c r="G1004" s="16" t="n">
        <f aca="false">IF(C1004=0,(1+Dic2025!$J$6)^(-B1004),EXP(LN(INDEX(Dic2025!$K$6:$K$205,C1004))+(LN(INDEX(Dic2025!$K$6:$K$205,MIN(C1004+1,200)))-LN(INDEX(Dic2025!$K$6:$K$205,C1004)))*(A1004-6*C1004)/6))</f>
        <v>0.00512307267000486</v>
      </c>
      <c r="H1004" s="12" t="n">
        <f aca="false">G1004^(-1/B1004)-1</f>
        <v>0.0653336224999999</v>
      </c>
      <c r="I1004" s="12" t="n">
        <f aca="false">(1+H1004)^(1/12)-1</f>
        <v>0.00528793291350072</v>
      </c>
      <c r="J1004" s="16" t="n">
        <f aca="false">IF(C1004=0,(1+Dic2025!$M$6)^(-B1004),EXP(LN(INDEX(Dic2025!$N$6:$N$205,C1004))+(LN(INDEX(Dic2025!$N$6:$N$205,MIN(C1004+1,200)))-LN(INDEX(Dic2025!$N$6:$N$205,C1004)))*(A1004-6*C1004)/6))</f>
        <v>0.00512307267000486</v>
      </c>
      <c r="K1004" s="12" t="n">
        <f aca="false">J1004^(-1/B1004)-1</f>
        <v>0.0653336224999999</v>
      </c>
      <c r="L1004" s="12" t="n">
        <f aca="false">(1+K1004)^(1/12)-1</f>
        <v>0.00528793291350072</v>
      </c>
    </row>
    <row r="1005" customFormat="false" ht="15" hidden="false" customHeight="false" outlineLevel="0" collapsed="false">
      <c r="A1005" s="4" t="n">
        <v>1001</v>
      </c>
      <c r="B1005" s="14" t="n">
        <f aca="false">A1005/12</f>
        <v>83.4166666666667</v>
      </c>
      <c r="C1005" s="15" t="n">
        <f aca="false">INT(A1005/6)</f>
        <v>166</v>
      </c>
      <c r="D1005" s="16" t="n">
        <f aca="false">IF(C1005=0,(1+Dic2025!$G$6)^(-B1005),EXP(LN(INDEX(Dic2025!$H$6:$H$205,C1005))+(LN(INDEX(Dic2025!$H$6:$H$205,MIN(C1005+1,200)))-LN(INDEX(Dic2025!$H$6:$H$205,C1005)))*(A1005-6*C1005)/6))</f>
        <v>0.0050961247044489</v>
      </c>
      <c r="E1005" s="12" t="n">
        <f aca="false">D1005^(-1/B1005)-1</f>
        <v>0.0653336224999999</v>
      </c>
      <c r="F1005" s="12" t="n">
        <f aca="false">(1+E1005)^(1/12)-1</f>
        <v>0.00528793291350072</v>
      </c>
      <c r="G1005" s="16" t="n">
        <f aca="false">IF(C1005=0,(1+Dic2025!$J$6)^(-B1005),EXP(LN(INDEX(Dic2025!$K$6:$K$205,C1005))+(LN(INDEX(Dic2025!$K$6:$K$205,MIN(C1005+1,200)))-LN(INDEX(Dic2025!$K$6:$K$205,C1005)))*(A1005-6*C1005)/6))</f>
        <v>0.0050961247044489</v>
      </c>
      <c r="H1005" s="12" t="n">
        <f aca="false">G1005^(-1/B1005)-1</f>
        <v>0.0653336224999999</v>
      </c>
      <c r="I1005" s="12" t="n">
        <f aca="false">(1+H1005)^(1/12)-1</f>
        <v>0.00528793291350072</v>
      </c>
      <c r="J1005" s="16" t="n">
        <f aca="false">IF(C1005=0,(1+Dic2025!$M$6)^(-B1005),EXP(LN(INDEX(Dic2025!$N$6:$N$205,C1005))+(LN(INDEX(Dic2025!$N$6:$N$205,MIN(C1005+1,200)))-LN(INDEX(Dic2025!$N$6:$N$205,C1005)))*(A1005-6*C1005)/6))</f>
        <v>0.0050961247044489</v>
      </c>
      <c r="K1005" s="12" t="n">
        <f aca="false">J1005^(-1/B1005)-1</f>
        <v>0.0653336224999999</v>
      </c>
      <c r="L1005" s="12" t="n">
        <f aca="false">(1+K1005)^(1/12)-1</f>
        <v>0.00528793291350072</v>
      </c>
    </row>
    <row r="1006" customFormat="false" ht="15" hidden="false" customHeight="false" outlineLevel="0" collapsed="false">
      <c r="A1006" s="4" t="n">
        <v>1002</v>
      </c>
      <c r="B1006" s="14" t="n">
        <f aca="false">A1006/12</f>
        <v>83.5</v>
      </c>
      <c r="C1006" s="15" t="n">
        <f aca="false">INT(A1006/6)</f>
        <v>167</v>
      </c>
      <c r="D1006" s="16" t="n">
        <f aca="false">IF(C1006=0,(1+Dic2025!$G$6)^(-B1006),EXP(LN(INDEX(Dic2025!$H$6:$H$205,C1006))+(LN(INDEX(Dic2025!$H$6:$H$205,MIN(C1006+1,200)))-LN(INDEX(Dic2025!$H$6:$H$205,C1006)))*(A1006-6*C1006)/6))</f>
        <v>0.00506931848836526</v>
      </c>
      <c r="E1006" s="12" t="n">
        <f aca="false">D1006^(-1/B1006)-1</f>
        <v>0.0653336224999999</v>
      </c>
      <c r="F1006" s="12" t="n">
        <f aca="false">(1+E1006)^(1/12)-1</f>
        <v>0.00528793291350072</v>
      </c>
      <c r="G1006" s="16" t="n">
        <f aca="false">IF(C1006=0,(1+Dic2025!$J$6)^(-B1006),EXP(LN(INDEX(Dic2025!$K$6:$K$205,C1006))+(LN(INDEX(Dic2025!$K$6:$K$205,MIN(C1006+1,200)))-LN(INDEX(Dic2025!$K$6:$K$205,C1006)))*(A1006-6*C1006)/6))</f>
        <v>0.00506931848836526</v>
      </c>
      <c r="H1006" s="12" t="n">
        <f aca="false">G1006^(-1/B1006)-1</f>
        <v>0.0653336224999999</v>
      </c>
      <c r="I1006" s="12" t="n">
        <f aca="false">(1+H1006)^(1/12)-1</f>
        <v>0.00528793291350072</v>
      </c>
      <c r="J1006" s="16" t="n">
        <f aca="false">IF(C1006=0,(1+Dic2025!$M$6)^(-B1006),EXP(LN(INDEX(Dic2025!$N$6:$N$205,C1006))+(LN(INDEX(Dic2025!$N$6:$N$205,MIN(C1006+1,200)))-LN(INDEX(Dic2025!$N$6:$N$205,C1006)))*(A1006-6*C1006)/6))</f>
        <v>0.00506931848836526</v>
      </c>
      <c r="K1006" s="12" t="n">
        <f aca="false">J1006^(-1/B1006)-1</f>
        <v>0.0653336224999999</v>
      </c>
      <c r="L1006" s="12" t="n">
        <f aca="false">(1+K1006)^(1/12)-1</f>
        <v>0.00528793291350072</v>
      </c>
    </row>
    <row r="1007" customFormat="false" ht="15" hidden="false" customHeight="false" outlineLevel="0" collapsed="false">
      <c r="A1007" s="4" t="n">
        <v>1003</v>
      </c>
      <c r="B1007" s="14" t="n">
        <f aca="false">A1007/12</f>
        <v>83.5833333333333</v>
      </c>
      <c r="C1007" s="15" t="n">
        <f aca="false">INT(A1007/6)</f>
        <v>167</v>
      </c>
      <c r="D1007" s="16" t="n">
        <f aca="false">IF(C1007=0,(1+Dic2025!$G$6)^(-B1007),EXP(LN(INDEX(Dic2025!$H$6:$H$205,C1007))+(LN(INDEX(Dic2025!$H$6:$H$205,MIN(C1007+1,200)))-LN(INDEX(Dic2025!$H$6:$H$205,C1007)))*(A1007-6*C1007)/6))</f>
        <v>0.00504265327613501</v>
      </c>
      <c r="E1007" s="12" t="n">
        <f aca="false">D1007^(-1/B1007)-1</f>
        <v>0.0653336224999999</v>
      </c>
      <c r="F1007" s="12" t="n">
        <f aca="false">(1+E1007)^(1/12)-1</f>
        <v>0.00528793291350072</v>
      </c>
      <c r="G1007" s="16" t="n">
        <f aca="false">IF(C1007=0,(1+Dic2025!$J$6)^(-B1007),EXP(LN(INDEX(Dic2025!$K$6:$K$205,C1007))+(LN(INDEX(Dic2025!$K$6:$K$205,MIN(C1007+1,200)))-LN(INDEX(Dic2025!$K$6:$K$205,C1007)))*(A1007-6*C1007)/6))</f>
        <v>0.00504265327613501</v>
      </c>
      <c r="H1007" s="12" t="n">
        <f aca="false">G1007^(-1/B1007)-1</f>
        <v>0.0653336224999999</v>
      </c>
      <c r="I1007" s="12" t="n">
        <f aca="false">(1+H1007)^(1/12)-1</f>
        <v>0.00528793291350072</v>
      </c>
      <c r="J1007" s="16" t="n">
        <f aca="false">IF(C1007=0,(1+Dic2025!$M$6)^(-B1007),EXP(LN(INDEX(Dic2025!$N$6:$N$205,C1007))+(LN(INDEX(Dic2025!$N$6:$N$205,MIN(C1007+1,200)))-LN(INDEX(Dic2025!$N$6:$N$205,C1007)))*(A1007-6*C1007)/6))</f>
        <v>0.00504265327613501</v>
      </c>
      <c r="K1007" s="12" t="n">
        <f aca="false">J1007^(-1/B1007)-1</f>
        <v>0.0653336224999999</v>
      </c>
      <c r="L1007" s="12" t="n">
        <f aca="false">(1+K1007)^(1/12)-1</f>
        <v>0.00528793291350072</v>
      </c>
    </row>
    <row r="1008" customFormat="false" ht="15" hidden="false" customHeight="false" outlineLevel="0" collapsed="false">
      <c r="A1008" s="4" t="n">
        <v>1004</v>
      </c>
      <c r="B1008" s="14" t="n">
        <f aca="false">A1008/12</f>
        <v>83.6666666666667</v>
      </c>
      <c r="C1008" s="15" t="n">
        <f aca="false">INT(A1008/6)</f>
        <v>167</v>
      </c>
      <c r="D1008" s="16" t="n">
        <f aca="false">IF(C1008=0,(1+Dic2025!$G$6)^(-B1008),EXP(LN(INDEX(Dic2025!$H$6:$H$205,C1008))+(LN(INDEX(Dic2025!$H$6:$H$205,MIN(C1008+1,200)))-LN(INDEX(Dic2025!$H$6:$H$205,C1008)))*(A1008-6*C1008)/6))</f>
        <v>0.00501612832606129</v>
      </c>
      <c r="E1008" s="12" t="n">
        <f aca="false">D1008^(-1/B1008)-1</f>
        <v>0.0653336224999999</v>
      </c>
      <c r="F1008" s="12" t="n">
        <f aca="false">(1+E1008)^(1/12)-1</f>
        <v>0.00528793291350072</v>
      </c>
      <c r="G1008" s="16" t="n">
        <f aca="false">IF(C1008=0,(1+Dic2025!$J$6)^(-B1008),EXP(LN(INDEX(Dic2025!$K$6:$K$205,C1008))+(LN(INDEX(Dic2025!$K$6:$K$205,MIN(C1008+1,200)))-LN(INDEX(Dic2025!$K$6:$K$205,C1008)))*(A1008-6*C1008)/6))</f>
        <v>0.00501612832606129</v>
      </c>
      <c r="H1008" s="12" t="n">
        <f aca="false">G1008^(-1/B1008)-1</f>
        <v>0.0653336224999999</v>
      </c>
      <c r="I1008" s="12" t="n">
        <f aca="false">(1+H1008)^(1/12)-1</f>
        <v>0.00528793291350072</v>
      </c>
      <c r="J1008" s="16" t="n">
        <f aca="false">IF(C1008=0,(1+Dic2025!$M$6)^(-B1008),EXP(LN(INDEX(Dic2025!$N$6:$N$205,C1008))+(LN(INDEX(Dic2025!$N$6:$N$205,MIN(C1008+1,200)))-LN(INDEX(Dic2025!$N$6:$N$205,C1008)))*(A1008-6*C1008)/6))</f>
        <v>0.00501612832606129</v>
      </c>
      <c r="K1008" s="12" t="n">
        <f aca="false">J1008^(-1/B1008)-1</f>
        <v>0.0653336224999999</v>
      </c>
      <c r="L1008" s="12" t="n">
        <f aca="false">(1+K1008)^(1/12)-1</f>
        <v>0.00528793291350072</v>
      </c>
    </row>
    <row r="1009" customFormat="false" ht="15" hidden="false" customHeight="false" outlineLevel="0" collapsed="false">
      <c r="A1009" s="4" t="n">
        <v>1005</v>
      </c>
      <c r="B1009" s="14" t="n">
        <f aca="false">A1009/12</f>
        <v>83.75</v>
      </c>
      <c r="C1009" s="15" t="n">
        <f aca="false">INT(A1009/6)</f>
        <v>167</v>
      </c>
      <c r="D1009" s="16" t="n">
        <f aca="false">IF(C1009=0,(1+Dic2025!$G$6)^(-B1009),EXP(LN(INDEX(Dic2025!$H$6:$H$205,C1009))+(LN(INDEX(Dic2025!$H$6:$H$205,MIN(C1009+1,200)))-LN(INDEX(Dic2025!$H$6:$H$205,C1009)))*(A1009-6*C1009)/6))</f>
        <v>0.00498974290034863</v>
      </c>
      <c r="E1009" s="12" t="n">
        <f aca="false">D1009^(-1/B1009)-1</f>
        <v>0.0653336224999999</v>
      </c>
      <c r="F1009" s="12" t="n">
        <f aca="false">(1+E1009)^(1/12)-1</f>
        <v>0.00528793291350072</v>
      </c>
      <c r="G1009" s="16" t="n">
        <f aca="false">IF(C1009=0,(1+Dic2025!$J$6)^(-B1009),EXP(LN(INDEX(Dic2025!$K$6:$K$205,C1009))+(LN(INDEX(Dic2025!$K$6:$K$205,MIN(C1009+1,200)))-LN(INDEX(Dic2025!$K$6:$K$205,C1009)))*(A1009-6*C1009)/6))</f>
        <v>0.00498974290034863</v>
      </c>
      <c r="H1009" s="12" t="n">
        <f aca="false">G1009^(-1/B1009)-1</f>
        <v>0.0653336224999999</v>
      </c>
      <c r="I1009" s="12" t="n">
        <f aca="false">(1+H1009)^(1/12)-1</f>
        <v>0.00528793291350072</v>
      </c>
      <c r="J1009" s="16" t="n">
        <f aca="false">IF(C1009=0,(1+Dic2025!$M$6)^(-B1009),EXP(LN(INDEX(Dic2025!$N$6:$N$205,C1009))+(LN(INDEX(Dic2025!$N$6:$N$205,MIN(C1009+1,200)))-LN(INDEX(Dic2025!$N$6:$N$205,C1009)))*(A1009-6*C1009)/6))</f>
        <v>0.00498974290034863</v>
      </c>
      <c r="K1009" s="12" t="n">
        <f aca="false">J1009^(-1/B1009)-1</f>
        <v>0.0653336224999999</v>
      </c>
      <c r="L1009" s="12" t="n">
        <f aca="false">(1+K1009)^(1/12)-1</f>
        <v>0.00528793291350072</v>
      </c>
    </row>
    <row r="1010" customFormat="false" ht="15" hidden="false" customHeight="false" outlineLevel="0" collapsed="false">
      <c r="A1010" s="4" t="n">
        <v>1006</v>
      </c>
      <c r="B1010" s="14" t="n">
        <f aca="false">A1010/12</f>
        <v>83.8333333333333</v>
      </c>
      <c r="C1010" s="15" t="n">
        <f aca="false">INT(A1010/6)</f>
        <v>167</v>
      </c>
      <c r="D1010" s="16" t="n">
        <f aca="false">IF(C1010=0,(1+Dic2025!$G$6)^(-B1010),EXP(LN(INDEX(Dic2025!$H$6:$H$205,C1010))+(LN(INDEX(Dic2025!$H$6:$H$205,MIN(C1010+1,200)))-LN(INDEX(Dic2025!$H$6:$H$205,C1010)))*(A1010-6*C1010)/6))</f>
        <v>0.00496349626508246</v>
      </c>
      <c r="E1010" s="12" t="n">
        <f aca="false">D1010^(-1/B1010)-1</f>
        <v>0.0653336224999999</v>
      </c>
      <c r="F1010" s="12" t="n">
        <f aca="false">(1+E1010)^(1/12)-1</f>
        <v>0.00528793291350072</v>
      </c>
      <c r="G1010" s="16" t="n">
        <f aca="false">IF(C1010=0,(1+Dic2025!$J$6)^(-B1010),EXP(LN(INDEX(Dic2025!$K$6:$K$205,C1010))+(LN(INDEX(Dic2025!$K$6:$K$205,MIN(C1010+1,200)))-LN(INDEX(Dic2025!$K$6:$K$205,C1010)))*(A1010-6*C1010)/6))</f>
        <v>0.00496349626508246</v>
      </c>
      <c r="H1010" s="12" t="n">
        <f aca="false">G1010^(-1/B1010)-1</f>
        <v>0.0653336224999999</v>
      </c>
      <c r="I1010" s="12" t="n">
        <f aca="false">(1+H1010)^(1/12)-1</f>
        <v>0.00528793291350072</v>
      </c>
      <c r="J1010" s="16" t="n">
        <f aca="false">IF(C1010=0,(1+Dic2025!$M$6)^(-B1010),EXP(LN(INDEX(Dic2025!$N$6:$N$205,C1010))+(LN(INDEX(Dic2025!$N$6:$N$205,MIN(C1010+1,200)))-LN(INDEX(Dic2025!$N$6:$N$205,C1010)))*(A1010-6*C1010)/6))</f>
        <v>0.00496349626508246</v>
      </c>
      <c r="K1010" s="12" t="n">
        <f aca="false">J1010^(-1/B1010)-1</f>
        <v>0.0653336224999999</v>
      </c>
      <c r="L1010" s="12" t="n">
        <f aca="false">(1+K1010)^(1/12)-1</f>
        <v>0.00528793291350072</v>
      </c>
    </row>
    <row r="1011" customFormat="false" ht="15" hidden="false" customHeight="false" outlineLevel="0" collapsed="false">
      <c r="A1011" s="4" t="n">
        <v>1007</v>
      </c>
      <c r="B1011" s="14" t="n">
        <f aca="false">A1011/12</f>
        <v>83.9166666666667</v>
      </c>
      <c r="C1011" s="15" t="n">
        <f aca="false">INT(A1011/6)</f>
        <v>167</v>
      </c>
      <c r="D1011" s="16" t="n">
        <f aca="false">IF(C1011=0,(1+Dic2025!$G$6)^(-B1011),EXP(LN(INDEX(Dic2025!$H$6:$H$205,C1011))+(LN(INDEX(Dic2025!$H$6:$H$205,MIN(C1011+1,200)))-LN(INDEX(Dic2025!$H$6:$H$205,C1011)))*(A1011-6*C1011)/6))</f>
        <v>0.00493738769020869</v>
      </c>
      <c r="E1011" s="12" t="n">
        <f aca="false">D1011^(-1/B1011)-1</f>
        <v>0.0653336224999999</v>
      </c>
      <c r="F1011" s="12" t="n">
        <f aca="false">(1+E1011)^(1/12)-1</f>
        <v>0.00528793291350072</v>
      </c>
      <c r="G1011" s="16" t="n">
        <f aca="false">IF(C1011=0,(1+Dic2025!$J$6)^(-B1011),EXP(LN(INDEX(Dic2025!$K$6:$K$205,C1011))+(LN(INDEX(Dic2025!$K$6:$K$205,MIN(C1011+1,200)))-LN(INDEX(Dic2025!$K$6:$K$205,C1011)))*(A1011-6*C1011)/6))</f>
        <v>0.00493738769020869</v>
      </c>
      <c r="H1011" s="12" t="n">
        <f aca="false">G1011^(-1/B1011)-1</f>
        <v>0.0653336224999999</v>
      </c>
      <c r="I1011" s="12" t="n">
        <f aca="false">(1+H1011)^(1/12)-1</f>
        <v>0.00528793291350072</v>
      </c>
      <c r="J1011" s="16" t="n">
        <f aca="false">IF(C1011=0,(1+Dic2025!$M$6)^(-B1011),EXP(LN(INDEX(Dic2025!$N$6:$N$205,C1011))+(LN(INDEX(Dic2025!$N$6:$N$205,MIN(C1011+1,200)))-LN(INDEX(Dic2025!$N$6:$N$205,C1011)))*(A1011-6*C1011)/6))</f>
        <v>0.00493738769020869</v>
      </c>
      <c r="K1011" s="12" t="n">
        <f aca="false">J1011^(-1/B1011)-1</f>
        <v>0.0653336224999999</v>
      </c>
      <c r="L1011" s="12" t="n">
        <f aca="false">(1+K1011)^(1/12)-1</f>
        <v>0.00528793291350072</v>
      </c>
    </row>
    <row r="1012" customFormat="false" ht="15" hidden="false" customHeight="false" outlineLevel="0" collapsed="false">
      <c r="A1012" s="4" t="n">
        <v>1008</v>
      </c>
      <c r="B1012" s="14" t="n">
        <f aca="false">A1012/12</f>
        <v>84</v>
      </c>
      <c r="C1012" s="15" t="n">
        <f aca="false">INT(A1012/6)</f>
        <v>168</v>
      </c>
      <c r="D1012" s="16" t="n">
        <f aca="false">IF(C1012=0,(1+Dic2025!$G$6)^(-B1012),EXP(LN(INDEX(Dic2025!$H$6:$H$205,C1012))+(LN(INDEX(Dic2025!$H$6:$H$205,MIN(C1012+1,200)))-LN(INDEX(Dic2025!$H$6:$H$205,C1012)))*(A1012-6*C1012)/6))</f>
        <v>0.00491141644951341</v>
      </c>
      <c r="E1012" s="12" t="n">
        <f aca="false">D1012^(-1/B1012)-1</f>
        <v>0.0653336224999999</v>
      </c>
      <c r="F1012" s="12" t="n">
        <f aca="false">(1+E1012)^(1/12)-1</f>
        <v>0.00528793291350072</v>
      </c>
      <c r="G1012" s="16" t="n">
        <f aca="false">IF(C1012=0,(1+Dic2025!$J$6)^(-B1012),EXP(LN(INDEX(Dic2025!$K$6:$K$205,C1012))+(LN(INDEX(Dic2025!$K$6:$K$205,MIN(C1012+1,200)))-LN(INDEX(Dic2025!$K$6:$K$205,C1012)))*(A1012-6*C1012)/6))</f>
        <v>0.00491141644951341</v>
      </c>
      <c r="H1012" s="12" t="n">
        <f aca="false">G1012^(-1/B1012)-1</f>
        <v>0.0653336224999999</v>
      </c>
      <c r="I1012" s="12" t="n">
        <f aca="false">(1+H1012)^(1/12)-1</f>
        <v>0.00528793291350072</v>
      </c>
      <c r="J1012" s="16" t="n">
        <f aca="false">IF(C1012=0,(1+Dic2025!$M$6)^(-B1012),EXP(LN(INDEX(Dic2025!$N$6:$N$205,C1012))+(LN(INDEX(Dic2025!$N$6:$N$205,MIN(C1012+1,200)))-LN(INDEX(Dic2025!$N$6:$N$205,C1012)))*(A1012-6*C1012)/6))</f>
        <v>0.00491141644951341</v>
      </c>
      <c r="K1012" s="12" t="n">
        <f aca="false">J1012^(-1/B1012)-1</f>
        <v>0.0653336224999999</v>
      </c>
      <c r="L1012" s="12" t="n">
        <f aca="false">(1+K1012)^(1/12)-1</f>
        <v>0.00528793291350072</v>
      </c>
    </row>
    <row r="1013" customFormat="false" ht="15" hidden="false" customHeight="false" outlineLevel="0" collapsed="false">
      <c r="A1013" s="4" t="n">
        <v>1009</v>
      </c>
      <c r="B1013" s="14" t="n">
        <f aca="false">A1013/12</f>
        <v>84.0833333333333</v>
      </c>
      <c r="C1013" s="15" t="n">
        <f aca="false">INT(A1013/6)</f>
        <v>168</v>
      </c>
      <c r="D1013" s="16" t="n">
        <f aca="false">IF(C1013=0,(1+Dic2025!$G$6)^(-B1013),EXP(LN(INDEX(Dic2025!$H$6:$H$205,C1013))+(LN(INDEX(Dic2025!$H$6:$H$205,MIN(C1013+1,200)))-LN(INDEX(Dic2025!$H$6:$H$205,C1013)))*(A1013-6*C1013)/6))</f>
        <v>0.00488558182060264</v>
      </c>
      <c r="E1013" s="12" t="n">
        <f aca="false">D1013^(-1/B1013)-1</f>
        <v>0.0653336224999999</v>
      </c>
      <c r="F1013" s="12" t="n">
        <f aca="false">(1+E1013)^(1/12)-1</f>
        <v>0.00528793291350072</v>
      </c>
      <c r="G1013" s="16" t="n">
        <f aca="false">IF(C1013=0,(1+Dic2025!$J$6)^(-B1013),EXP(LN(INDEX(Dic2025!$K$6:$K$205,C1013))+(LN(INDEX(Dic2025!$K$6:$K$205,MIN(C1013+1,200)))-LN(INDEX(Dic2025!$K$6:$K$205,C1013)))*(A1013-6*C1013)/6))</f>
        <v>0.00488558182060264</v>
      </c>
      <c r="H1013" s="12" t="n">
        <f aca="false">G1013^(-1/B1013)-1</f>
        <v>0.0653336224999999</v>
      </c>
      <c r="I1013" s="12" t="n">
        <f aca="false">(1+H1013)^(1/12)-1</f>
        <v>0.00528793291350072</v>
      </c>
      <c r="J1013" s="16" t="n">
        <f aca="false">IF(C1013=0,(1+Dic2025!$M$6)^(-B1013),EXP(LN(INDEX(Dic2025!$N$6:$N$205,C1013))+(LN(INDEX(Dic2025!$N$6:$N$205,MIN(C1013+1,200)))-LN(INDEX(Dic2025!$N$6:$N$205,C1013)))*(A1013-6*C1013)/6))</f>
        <v>0.00488558182060264</v>
      </c>
      <c r="K1013" s="12" t="n">
        <f aca="false">J1013^(-1/B1013)-1</f>
        <v>0.0653336224999999</v>
      </c>
      <c r="L1013" s="12" t="n">
        <f aca="false">(1+K1013)^(1/12)-1</f>
        <v>0.00528793291350072</v>
      </c>
    </row>
    <row r="1014" customFormat="false" ht="15" hidden="false" customHeight="false" outlineLevel="0" collapsed="false">
      <c r="A1014" s="4" t="n">
        <v>1010</v>
      </c>
      <c r="B1014" s="14" t="n">
        <f aca="false">A1014/12</f>
        <v>84.1666666666667</v>
      </c>
      <c r="C1014" s="15" t="n">
        <f aca="false">INT(A1014/6)</f>
        <v>168</v>
      </c>
      <c r="D1014" s="16" t="n">
        <f aca="false">IF(C1014=0,(1+Dic2025!$G$6)^(-B1014),EXP(LN(INDEX(Dic2025!$H$6:$H$205,C1014))+(LN(INDEX(Dic2025!$H$6:$H$205,MIN(C1014+1,200)))-LN(INDEX(Dic2025!$H$6:$H$205,C1014)))*(A1014-6*C1014)/6))</f>
        <v>0.00485988308488233</v>
      </c>
      <c r="E1014" s="12" t="n">
        <f aca="false">D1014^(-1/B1014)-1</f>
        <v>0.0653336224999999</v>
      </c>
      <c r="F1014" s="12" t="n">
        <f aca="false">(1+E1014)^(1/12)-1</f>
        <v>0.00528793291350072</v>
      </c>
      <c r="G1014" s="16" t="n">
        <f aca="false">IF(C1014=0,(1+Dic2025!$J$6)^(-B1014),EXP(LN(INDEX(Dic2025!$K$6:$K$205,C1014))+(LN(INDEX(Dic2025!$K$6:$K$205,MIN(C1014+1,200)))-LN(INDEX(Dic2025!$K$6:$K$205,C1014)))*(A1014-6*C1014)/6))</f>
        <v>0.00485988308488233</v>
      </c>
      <c r="H1014" s="12" t="n">
        <f aca="false">G1014^(-1/B1014)-1</f>
        <v>0.0653336224999999</v>
      </c>
      <c r="I1014" s="12" t="n">
        <f aca="false">(1+H1014)^(1/12)-1</f>
        <v>0.00528793291350072</v>
      </c>
      <c r="J1014" s="16" t="n">
        <f aca="false">IF(C1014=0,(1+Dic2025!$M$6)^(-B1014),EXP(LN(INDEX(Dic2025!$N$6:$N$205,C1014))+(LN(INDEX(Dic2025!$N$6:$N$205,MIN(C1014+1,200)))-LN(INDEX(Dic2025!$N$6:$N$205,C1014)))*(A1014-6*C1014)/6))</f>
        <v>0.00485988308488233</v>
      </c>
      <c r="K1014" s="12" t="n">
        <f aca="false">J1014^(-1/B1014)-1</f>
        <v>0.0653336224999999</v>
      </c>
      <c r="L1014" s="12" t="n">
        <f aca="false">(1+K1014)^(1/12)-1</f>
        <v>0.00528793291350072</v>
      </c>
    </row>
    <row r="1015" customFormat="false" ht="15" hidden="false" customHeight="false" outlineLevel="0" collapsed="false">
      <c r="A1015" s="4" t="n">
        <v>1011</v>
      </c>
      <c r="B1015" s="14" t="n">
        <f aca="false">A1015/12</f>
        <v>84.25</v>
      </c>
      <c r="C1015" s="15" t="n">
        <f aca="false">INT(A1015/6)</f>
        <v>168</v>
      </c>
      <c r="D1015" s="16" t="n">
        <f aca="false">IF(C1015=0,(1+Dic2025!$G$6)^(-B1015),EXP(LN(INDEX(Dic2025!$H$6:$H$205,C1015))+(LN(INDEX(Dic2025!$H$6:$H$205,MIN(C1015+1,200)))-LN(INDEX(Dic2025!$H$6:$H$205,C1015)))*(A1015-6*C1015)/6))</f>
        <v>0.00483431952753828</v>
      </c>
      <c r="E1015" s="12" t="n">
        <f aca="false">D1015^(-1/B1015)-1</f>
        <v>0.0653336224999999</v>
      </c>
      <c r="F1015" s="12" t="n">
        <f aca="false">(1+E1015)^(1/12)-1</f>
        <v>0.00528793291350072</v>
      </c>
      <c r="G1015" s="16" t="n">
        <f aca="false">IF(C1015=0,(1+Dic2025!$J$6)^(-B1015),EXP(LN(INDEX(Dic2025!$K$6:$K$205,C1015))+(LN(INDEX(Dic2025!$K$6:$K$205,MIN(C1015+1,200)))-LN(INDEX(Dic2025!$K$6:$K$205,C1015)))*(A1015-6*C1015)/6))</f>
        <v>0.00483431952753828</v>
      </c>
      <c r="H1015" s="12" t="n">
        <f aca="false">G1015^(-1/B1015)-1</f>
        <v>0.0653336224999999</v>
      </c>
      <c r="I1015" s="12" t="n">
        <f aca="false">(1+H1015)^(1/12)-1</f>
        <v>0.00528793291350072</v>
      </c>
      <c r="J1015" s="16" t="n">
        <f aca="false">IF(C1015=0,(1+Dic2025!$M$6)^(-B1015),EXP(LN(INDEX(Dic2025!$N$6:$N$205,C1015))+(LN(INDEX(Dic2025!$N$6:$N$205,MIN(C1015+1,200)))-LN(INDEX(Dic2025!$N$6:$N$205,C1015)))*(A1015-6*C1015)/6))</f>
        <v>0.00483431952753828</v>
      </c>
      <c r="K1015" s="12" t="n">
        <f aca="false">J1015^(-1/B1015)-1</f>
        <v>0.0653336224999999</v>
      </c>
      <c r="L1015" s="12" t="n">
        <f aca="false">(1+K1015)^(1/12)-1</f>
        <v>0.00528793291350072</v>
      </c>
    </row>
    <row r="1016" customFormat="false" ht="15" hidden="false" customHeight="false" outlineLevel="0" collapsed="false">
      <c r="A1016" s="4" t="n">
        <v>1012</v>
      </c>
      <c r="B1016" s="14" t="n">
        <f aca="false">A1016/12</f>
        <v>84.3333333333333</v>
      </c>
      <c r="C1016" s="15" t="n">
        <f aca="false">INT(A1016/6)</f>
        <v>168</v>
      </c>
      <c r="D1016" s="16" t="n">
        <f aca="false">IF(C1016=0,(1+Dic2025!$G$6)^(-B1016),EXP(LN(INDEX(Dic2025!$H$6:$H$205,C1016))+(LN(INDEX(Dic2025!$H$6:$H$205,MIN(C1016+1,200)))-LN(INDEX(Dic2025!$H$6:$H$205,C1016)))*(A1016-6*C1016)/6))</f>
        <v>0.00480889043751631</v>
      </c>
      <c r="E1016" s="12" t="n">
        <f aca="false">D1016^(-1/B1016)-1</f>
        <v>0.0653336224999999</v>
      </c>
      <c r="F1016" s="12" t="n">
        <f aca="false">(1+E1016)^(1/12)-1</f>
        <v>0.00528793291350072</v>
      </c>
      <c r="G1016" s="16" t="n">
        <f aca="false">IF(C1016=0,(1+Dic2025!$J$6)^(-B1016),EXP(LN(INDEX(Dic2025!$K$6:$K$205,C1016))+(LN(INDEX(Dic2025!$K$6:$K$205,MIN(C1016+1,200)))-LN(INDEX(Dic2025!$K$6:$K$205,C1016)))*(A1016-6*C1016)/6))</f>
        <v>0.00480889043751631</v>
      </c>
      <c r="H1016" s="12" t="n">
        <f aca="false">G1016^(-1/B1016)-1</f>
        <v>0.0653336224999999</v>
      </c>
      <c r="I1016" s="12" t="n">
        <f aca="false">(1+H1016)^(1/12)-1</f>
        <v>0.00528793291350072</v>
      </c>
      <c r="J1016" s="16" t="n">
        <f aca="false">IF(C1016=0,(1+Dic2025!$M$6)^(-B1016),EXP(LN(INDEX(Dic2025!$N$6:$N$205,C1016))+(LN(INDEX(Dic2025!$N$6:$N$205,MIN(C1016+1,200)))-LN(INDEX(Dic2025!$N$6:$N$205,C1016)))*(A1016-6*C1016)/6))</f>
        <v>0.00480889043751631</v>
      </c>
      <c r="K1016" s="12" t="n">
        <f aca="false">J1016^(-1/B1016)-1</f>
        <v>0.0653336224999999</v>
      </c>
      <c r="L1016" s="12" t="n">
        <f aca="false">(1+K1016)^(1/12)-1</f>
        <v>0.00528793291350072</v>
      </c>
    </row>
    <row r="1017" customFormat="false" ht="15" hidden="false" customHeight="false" outlineLevel="0" collapsed="false">
      <c r="A1017" s="4" t="n">
        <v>1013</v>
      </c>
      <c r="B1017" s="14" t="n">
        <f aca="false">A1017/12</f>
        <v>84.4166666666667</v>
      </c>
      <c r="C1017" s="15" t="n">
        <f aca="false">INT(A1017/6)</f>
        <v>168</v>
      </c>
      <c r="D1017" s="16" t="n">
        <f aca="false">IF(C1017=0,(1+Dic2025!$G$6)^(-B1017),EXP(LN(INDEX(Dic2025!$H$6:$H$205,C1017))+(LN(INDEX(Dic2025!$H$6:$H$205,MIN(C1017+1,200)))-LN(INDEX(Dic2025!$H$6:$H$205,C1017)))*(A1017-6*C1017)/6))</f>
        <v>0.00478359510750249</v>
      </c>
      <c r="E1017" s="12" t="n">
        <f aca="false">D1017^(-1/B1017)-1</f>
        <v>0.0653336224999999</v>
      </c>
      <c r="F1017" s="12" t="n">
        <f aca="false">(1+E1017)^(1/12)-1</f>
        <v>0.00528793291350072</v>
      </c>
      <c r="G1017" s="16" t="n">
        <f aca="false">IF(C1017=0,(1+Dic2025!$J$6)^(-B1017),EXP(LN(INDEX(Dic2025!$K$6:$K$205,C1017))+(LN(INDEX(Dic2025!$K$6:$K$205,MIN(C1017+1,200)))-LN(INDEX(Dic2025!$K$6:$K$205,C1017)))*(A1017-6*C1017)/6))</f>
        <v>0.00478359510750249</v>
      </c>
      <c r="H1017" s="12" t="n">
        <f aca="false">G1017^(-1/B1017)-1</f>
        <v>0.0653336224999999</v>
      </c>
      <c r="I1017" s="12" t="n">
        <f aca="false">(1+H1017)^(1/12)-1</f>
        <v>0.00528793291350072</v>
      </c>
      <c r="J1017" s="16" t="n">
        <f aca="false">IF(C1017=0,(1+Dic2025!$M$6)^(-B1017),EXP(LN(INDEX(Dic2025!$N$6:$N$205,C1017))+(LN(INDEX(Dic2025!$N$6:$N$205,MIN(C1017+1,200)))-LN(INDEX(Dic2025!$N$6:$N$205,C1017)))*(A1017-6*C1017)/6))</f>
        <v>0.00478359510750249</v>
      </c>
      <c r="K1017" s="12" t="n">
        <f aca="false">J1017^(-1/B1017)-1</f>
        <v>0.0653336224999999</v>
      </c>
      <c r="L1017" s="12" t="n">
        <f aca="false">(1+K1017)^(1/12)-1</f>
        <v>0.00528793291350072</v>
      </c>
    </row>
    <row r="1018" customFormat="false" ht="15" hidden="false" customHeight="false" outlineLevel="0" collapsed="false">
      <c r="A1018" s="4" t="n">
        <v>1014</v>
      </c>
      <c r="B1018" s="14" t="n">
        <f aca="false">A1018/12</f>
        <v>84.5</v>
      </c>
      <c r="C1018" s="15" t="n">
        <f aca="false">INT(A1018/6)</f>
        <v>169</v>
      </c>
      <c r="D1018" s="16" t="n">
        <f aca="false">IF(C1018=0,(1+Dic2025!$G$6)^(-B1018),EXP(LN(INDEX(Dic2025!$H$6:$H$205,C1018))+(LN(INDEX(Dic2025!$H$6:$H$205,MIN(C1018+1,200)))-LN(INDEX(Dic2025!$H$6:$H$205,C1018)))*(A1018-6*C1018)/6))</f>
        <v>0.00475843283390341</v>
      </c>
      <c r="E1018" s="12" t="n">
        <f aca="false">D1018^(-1/B1018)-1</f>
        <v>0.0653336224999999</v>
      </c>
      <c r="F1018" s="12" t="n">
        <f aca="false">(1+E1018)^(1/12)-1</f>
        <v>0.00528793291350072</v>
      </c>
      <c r="G1018" s="16" t="n">
        <f aca="false">IF(C1018=0,(1+Dic2025!$J$6)^(-B1018),EXP(LN(INDEX(Dic2025!$K$6:$K$205,C1018))+(LN(INDEX(Dic2025!$K$6:$K$205,MIN(C1018+1,200)))-LN(INDEX(Dic2025!$K$6:$K$205,C1018)))*(A1018-6*C1018)/6))</f>
        <v>0.00475843283390341</v>
      </c>
      <c r="H1018" s="12" t="n">
        <f aca="false">G1018^(-1/B1018)-1</f>
        <v>0.0653336224999999</v>
      </c>
      <c r="I1018" s="12" t="n">
        <f aca="false">(1+H1018)^(1/12)-1</f>
        <v>0.00528793291350072</v>
      </c>
      <c r="J1018" s="16" t="n">
        <f aca="false">IF(C1018=0,(1+Dic2025!$M$6)^(-B1018),EXP(LN(INDEX(Dic2025!$N$6:$N$205,C1018))+(LN(INDEX(Dic2025!$N$6:$N$205,MIN(C1018+1,200)))-LN(INDEX(Dic2025!$N$6:$N$205,C1018)))*(A1018-6*C1018)/6))</f>
        <v>0.00475843283390341</v>
      </c>
      <c r="K1018" s="12" t="n">
        <f aca="false">J1018^(-1/B1018)-1</f>
        <v>0.0653336224999999</v>
      </c>
      <c r="L1018" s="12" t="n">
        <f aca="false">(1+K1018)^(1/12)-1</f>
        <v>0.00528793291350072</v>
      </c>
    </row>
    <row r="1019" customFormat="false" ht="15" hidden="false" customHeight="false" outlineLevel="0" collapsed="false">
      <c r="A1019" s="4" t="n">
        <v>1015</v>
      </c>
      <c r="B1019" s="14" t="n">
        <f aca="false">A1019/12</f>
        <v>84.5833333333333</v>
      </c>
      <c r="C1019" s="15" t="n">
        <f aca="false">INT(A1019/6)</f>
        <v>169</v>
      </c>
      <c r="D1019" s="16" t="n">
        <f aca="false">IF(C1019=0,(1+Dic2025!$G$6)^(-B1019),EXP(LN(INDEX(Dic2025!$H$6:$H$205,C1019))+(LN(INDEX(Dic2025!$H$6:$H$205,MIN(C1019+1,200)))-LN(INDEX(Dic2025!$H$6:$H$205,C1019)))*(A1019-6*C1019)/6))</f>
        <v>0.00473340291682666</v>
      </c>
      <c r="E1019" s="12" t="n">
        <f aca="false">D1019^(-1/B1019)-1</f>
        <v>0.0653336224999999</v>
      </c>
      <c r="F1019" s="12" t="n">
        <f aca="false">(1+E1019)^(1/12)-1</f>
        <v>0.00528793291350072</v>
      </c>
      <c r="G1019" s="16" t="n">
        <f aca="false">IF(C1019=0,(1+Dic2025!$J$6)^(-B1019),EXP(LN(INDEX(Dic2025!$K$6:$K$205,C1019))+(LN(INDEX(Dic2025!$K$6:$K$205,MIN(C1019+1,200)))-LN(INDEX(Dic2025!$K$6:$K$205,C1019)))*(A1019-6*C1019)/6))</f>
        <v>0.00473340291682666</v>
      </c>
      <c r="H1019" s="12" t="n">
        <f aca="false">G1019^(-1/B1019)-1</f>
        <v>0.0653336224999999</v>
      </c>
      <c r="I1019" s="12" t="n">
        <f aca="false">(1+H1019)^(1/12)-1</f>
        <v>0.00528793291350072</v>
      </c>
      <c r="J1019" s="16" t="n">
        <f aca="false">IF(C1019=0,(1+Dic2025!$M$6)^(-B1019),EXP(LN(INDEX(Dic2025!$N$6:$N$205,C1019))+(LN(INDEX(Dic2025!$N$6:$N$205,MIN(C1019+1,200)))-LN(INDEX(Dic2025!$N$6:$N$205,C1019)))*(A1019-6*C1019)/6))</f>
        <v>0.00473340291682666</v>
      </c>
      <c r="K1019" s="12" t="n">
        <f aca="false">J1019^(-1/B1019)-1</f>
        <v>0.0653336224999999</v>
      </c>
      <c r="L1019" s="12" t="n">
        <f aca="false">(1+K1019)^(1/12)-1</f>
        <v>0.00528793291350072</v>
      </c>
    </row>
    <row r="1020" customFormat="false" ht="15" hidden="false" customHeight="false" outlineLevel="0" collapsed="false">
      <c r="A1020" s="4" t="n">
        <v>1016</v>
      </c>
      <c r="B1020" s="14" t="n">
        <f aca="false">A1020/12</f>
        <v>84.6666666666667</v>
      </c>
      <c r="C1020" s="15" t="n">
        <f aca="false">INT(A1020/6)</f>
        <v>169</v>
      </c>
      <c r="D1020" s="16" t="n">
        <f aca="false">IF(C1020=0,(1+Dic2025!$G$6)^(-B1020),EXP(LN(INDEX(Dic2025!$H$6:$H$205,C1020))+(LN(INDEX(Dic2025!$H$6:$H$205,MIN(C1020+1,200)))-LN(INDEX(Dic2025!$H$6:$H$205,C1020)))*(A1020-6*C1020)/6))</f>
        <v>0.00470850466006135</v>
      </c>
      <c r="E1020" s="12" t="n">
        <f aca="false">D1020^(-1/B1020)-1</f>
        <v>0.0653336224999999</v>
      </c>
      <c r="F1020" s="12" t="n">
        <f aca="false">(1+E1020)^(1/12)-1</f>
        <v>0.00528793291350072</v>
      </c>
      <c r="G1020" s="16" t="n">
        <f aca="false">IF(C1020=0,(1+Dic2025!$J$6)^(-B1020),EXP(LN(INDEX(Dic2025!$K$6:$K$205,C1020))+(LN(INDEX(Dic2025!$K$6:$K$205,MIN(C1020+1,200)))-LN(INDEX(Dic2025!$K$6:$K$205,C1020)))*(A1020-6*C1020)/6))</f>
        <v>0.00470850466006135</v>
      </c>
      <c r="H1020" s="12" t="n">
        <f aca="false">G1020^(-1/B1020)-1</f>
        <v>0.0653336224999999</v>
      </c>
      <c r="I1020" s="12" t="n">
        <f aca="false">(1+H1020)^(1/12)-1</f>
        <v>0.00528793291350072</v>
      </c>
      <c r="J1020" s="16" t="n">
        <f aca="false">IF(C1020=0,(1+Dic2025!$M$6)^(-B1020),EXP(LN(INDEX(Dic2025!$N$6:$N$205,C1020))+(LN(INDEX(Dic2025!$N$6:$N$205,MIN(C1020+1,200)))-LN(INDEX(Dic2025!$N$6:$N$205,C1020)))*(A1020-6*C1020)/6))</f>
        <v>0.00470850466006135</v>
      </c>
      <c r="K1020" s="12" t="n">
        <f aca="false">J1020^(-1/B1020)-1</f>
        <v>0.0653336224999999</v>
      </c>
      <c r="L1020" s="12" t="n">
        <f aca="false">(1+K1020)^(1/12)-1</f>
        <v>0.00528793291350072</v>
      </c>
    </row>
    <row r="1021" customFormat="false" ht="15" hidden="false" customHeight="false" outlineLevel="0" collapsed="false">
      <c r="A1021" s="4" t="n">
        <v>1017</v>
      </c>
      <c r="B1021" s="14" t="n">
        <f aca="false">A1021/12</f>
        <v>84.75</v>
      </c>
      <c r="C1021" s="15" t="n">
        <f aca="false">INT(A1021/6)</f>
        <v>169</v>
      </c>
      <c r="D1021" s="16" t="n">
        <f aca="false">IF(C1021=0,(1+Dic2025!$G$6)^(-B1021),EXP(LN(INDEX(Dic2025!$H$6:$H$205,C1021))+(LN(INDEX(Dic2025!$H$6:$H$205,MIN(C1021+1,200)))-LN(INDEX(Dic2025!$H$6:$H$205,C1021)))*(A1021-6*C1021)/6))</f>
        <v>0.00468373737105874</v>
      </c>
      <c r="E1021" s="12" t="n">
        <f aca="false">D1021^(-1/B1021)-1</f>
        <v>0.0653336224999999</v>
      </c>
      <c r="F1021" s="12" t="n">
        <f aca="false">(1+E1021)^(1/12)-1</f>
        <v>0.00528793291350072</v>
      </c>
      <c r="G1021" s="16" t="n">
        <f aca="false">IF(C1021=0,(1+Dic2025!$J$6)^(-B1021),EXP(LN(INDEX(Dic2025!$K$6:$K$205,C1021))+(LN(INDEX(Dic2025!$K$6:$K$205,MIN(C1021+1,200)))-LN(INDEX(Dic2025!$K$6:$K$205,C1021)))*(A1021-6*C1021)/6))</f>
        <v>0.00468373737105874</v>
      </c>
      <c r="H1021" s="12" t="n">
        <f aca="false">G1021^(-1/B1021)-1</f>
        <v>0.0653336224999999</v>
      </c>
      <c r="I1021" s="12" t="n">
        <f aca="false">(1+H1021)^(1/12)-1</f>
        <v>0.00528793291350072</v>
      </c>
      <c r="J1021" s="16" t="n">
        <f aca="false">IF(C1021=0,(1+Dic2025!$M$6)^(-B1021),EXP(LN(INDEX(Dic2025!$N$6:$N$205,C1021))+(LN(INDEX(Dic2025!$N$6:$N$205,MIN(C1021+1,200)))-LN(INDEX(Dic2025!$N$6:$N$205,C1021)))*(A1021-6*C1021)/6))</f>
        <v>0.00468373737105874</v>
      </c>
      <c r="K1021" s="12" t="n">
        <f aca="false">J1021^(-1/B1021)-1</f>
        <v>0.0653336224999999</v>
      </c>
      <c r="L1021" s="12" t="n">
        <f aca="false">(1+K1021)^(1/12)-1</f>
        <v>0.00528793291350072</v>
      </c>
    </row>
    <row r="1022" customFormat="false" ht="15" hidden="false" customHeight="false" outlineLevel="0" collapsed="false">
      <c r="A1022" s="4" t="n">
        <v>1018</v>
      </c>
      <c r="B1022" s="14" t="n">
        <f aca="false">A1022/12</f>
        <v>84.8333333333333</v>
      </c>
      <c r="C1022" s="15" t="n">
        <f aca="false">INT(A1022/6)</f>
        <v>169</v>
      </c>
      <c r="D1022" s="16" t="n">
        <f aca="false">IF(C1022=0,(1+Dic2025!$G$6)^(-B1022),EXP(LN(INDEX(Dic2025!$H$6:$H$205,C1022))+(LN(INDEX(Dic2025!$H$6:$H$205,MIN(C1022+1,200)))-LN(INDEX(Dic2025!$H$6:$H$205,C1022)))*(A1022-6*C1022)/6))</f>
        <v>0.00465910036091296</v>
      </c>
      <c r="E1022" s="12" t="n">
        <f aca="false">D1022^(-1/B1022)-1</f>
        <v>0.0653336224999999</v>
      </c>
      <c r="F1022" s="12" t="n">
        <f aca="false">(1+E1022)^(1/12)-1</f>
        <v>0.00528793291350072</v>
      </c>
      <c r="G1022" s="16" t="n">
        <f aca="false">IF(C1022=0,(1+Dic2025!$J$6)^(-B1022),EXP(LN(INDEX(Dic2025!$K$6:$K$205,C1022))+(LN(INDEX(Dic2025!$K$6:$K$205,MIN(C1022+1,200)))-LN(INDEX(Dic2025!$K$6:$K$205,C1022)))*(A1022-6*C1022)/6))</f>
        <v>0.00465910036091296</v>
      </c>
      <c r="H1022" s="12" t="n">
        <f aca="false">G1022^(-1/B1022)-1</f>
        <v>0.0653336224999999</v>
      </c>
      <c r="I1022" s="12" t="n">
        <f aca="false">(1+H1022)^(1/12)-1</f>
        <v>0.00528793291350072</v>
      </c>
      <c r="J1022" s="16" t="n">
        <f aca="false">IF(C1022=0,(1+Dic2025!$M$6)^(-B1022),EXP(LN(INDEX(Dic2025!$N$6:$N$205,C1022))+(LN(INDEX(Dic2025!$N$6:$N$205,MIN(C1022+1,200)))-LN(INDEX(Dic2025!$N$6:$N$205,C1022)))*(A1022-6*C1022)/6))</f>
        <v>0.00465910036091296</v>
      </c>
      <c r="K1022" s="12" t="n">
        <f aca="false">J1022^(-1/B1022)-1</f>
        <v>0.0653336224999999</v>
      </c>
      <c r="L1022" s="12" t="n">
        <f aca="false">(1+K1022)^(1/12)-1</f>
        <v>0.00528793291350072</v>
      </c>
    </row>
    <row r="1023" customFormat="false" ht="15" hidden="false" customHeight="false" outlineLevel="0" collapsed="false">
      <c r="A1023" s="4" t="n">
        <v>1019</v>
      </c>
      <c r="B1023" s="14" t="n">
        <f aca="false">A1023/12</f>
        <v>84.9166666666667</v>
      </c>
      <c r="C1023" s="15" t="n">
        <f aca="false">INT(A1023/6)</f>
        <v>169</v>
      </c>
      <c r="D1023" s="16" t="n">
        <f aca="false">IF(C1023=0,(1+Dic2025!$G$6)^(-B1023),EXP(LN(INDEX(Dic2025!$H$6:$H$205,C1023))+(LN(INDEX(Dic2025!$H$6:$H$205,MIN(C1023+1,200)))-LN(INDEX(Dic2025!$H$6:$H$205,C1023)))*(A1023-6*C1023)/6))</f>
        <v>0.0046345929443419</v>
      </c>
      <c r="E1023" s="12" t="n">
        <f aca="false">D1023^(-1/B1023)-1</f>
        <v>0.0653336224999999</v>
      </c>
      <c r="F1023" s="12" t="n">
        <f aca="false">(1+E1023)^(1/12)-1</f>
        <v>0.00528793291350072</v>
      </c>
      <c r="G1023" s="16" t="n">
        <f aca="false">IF(C1023=0,(1+Dic2025!$J$6)^(-B1023),EXP(LN(INDEX(Dic2025!$K$6:$K$205,C1023))+(LN(INDEX(Dic2025!$K$6:$K$205,MIN(C1023+1,200)))-LN(INDEX(Dic2025!$K$6:$K$205,C1023)))*(A1023-6*C1023)/6))</f>
        <v>0.0046345929443419</v>
      </c>
      <c r="H1023" s="12" t="n">
        <f aca="false">G1023^(-1/B1023)-1</f>
        <v>0.0653336224999999</v>
      </c>
      <c r="I1023" s="12" t="n">
        <f aca="false">(1+H1023)^(1/12)-1</f>
        <v>0.00528793291350072</v>
      </c>
      <c r="J1023" s="16" t="n">
        <f aca="false">IF(C1023=0,(1+Dic2025!$M$6)^(-B1023),EXP(LN(INDEX(Dic2025!$N$6:$N$205,C1023))+(LN(INDEX(Dic2025!$N$6:$N$205,MIN(C1023+1,200)))-LN(INDEX(Dic2025!$N$6:$N$205,C1023)))*(A1023-6*C1023)/6))</f>
        <v>0.0046345929443419</v>
      </c>
      <c r="K1023" s="12" t="n">
        <f aca="false">J1023^(-1/B1023)-1</f>
        <v>0.0653336224999999</v>
      </c>
      <c r="L1023" s="12" t="n">
        <f aca="false">(1+K1023)^(1/12)-1</f>
        <v>0.00528793291350072</v>
      </c>
    </row>
    <row r="1024" customFormat="false" ht="15" hidden="false" customHeight="false" outlineLevel="0" collapsed="false">
      <c r="A1024" s="4" t="n">
        <v>1020</v>
      </c>
      <c r="B1024" s="14" t="n">
        <f aca="false">A1024/12</f>
        <v>85</v>
      </c>
      <c r="C1024" s="15" t="n">
        <f aca="false">INT(A1024/6)</f>
        <v>170</v>
      </c>
      <c r="D1024" s="16" t="n">
        <f aca="false">IF(C1024=0,(1+Dic2025!$G$6)^(-B1024),EXP(LN(INDEX(Dic2025!$H$6:$H$205,C1024))+(LN(INDEX(Dic2025!$H$6:$H$205,MIN(C1024+1,200)))-LN(INDEX(Dic2025!$H$6:$H$205,C1024)))*(A1024-6*C1024)/6))</f>
        <v>0.00461021443966808</v>
      </c>
      <c r="E1024" s="12" t="n">
        <f aca="false">D1024^(-1/B1024)-1</f>
        <v>0.0653336224999999</v>
      </c>
      <c r="F1024" s="12" t="n">
        <f aca="false">(1+E1024)^(1/12)-1</f>
        <v>0.00528793291350072</v>
      </c>
      <c r="G1024" s="16" t="n">
        <f aca="false">IF(C1024=0,(1+Dic2025!$J$6)^(-B1024),EXP(LN(INDEX(Dic2025!$K$6:$K$205,C1024))+(LN(INDEX(Dic2025!$K$6:$K$205,MIN(C1024+1,200)))-LN(INDEX(Dic2025!$K$6:$K$205,C1024)))*(A1024-6*C1024)/6))</f>
        <v>0.00461021443966808</v>
      </c>
      <c r="H1024" s="12" t="n">
        <f aca="false">G1024^(-1/B1024)-1</f>
        <v>0.0653336224999999</v>
      </c>
      <c r="I1024" s="12" t="n">
        <f aca="false">(1+H1024)^(1/12)-1</f>
        <v>0.00528793291350072</v>
      </c>
      <c r="J1024" s="16" t="n">
        <f aca="false">IF(C1024=0,(1+Dic2025!$M$6)^(-B1024),EXP(LN(INDEX(Dic2025!$N$6:$N$205,C1024))+(LN(INDEX(Dic2025!$N$6:$N$205,MIN(C1024+1,200)))-LN(INDEX(Dic2025!$N$6:$N$205,C1024)))*(A1024-6*C1024)/6))</f>
        <v>0.00461021443966808</v>
      </c>
      <c r="K1024" s="12" t="n">
        <f aca="false">J1024^(-1/B1024)-1</f>
        <v>0.0653336224999999</v>
      </c>
      <c r="L1024" s="12" t="n">
        <f aca="false">(1+K1024)^(1/12)-1</f>
        <v>0.00528793291350072</v>
      </c>
    </row>
    <row r="1025" customFormat="false" ht="15" hidden="false" customHeight="false" outlineLevel="0" collapsed="false">
      <c r="A1025" s="4" t="n">
        <v>1021</v>
      </c>
      <c r="B1025" s="14" t="n">
        <f aca="false">A1025/12</f>
        <v>85.0833333333333</v>
      </c>
      <c r="C1025" s="15" t="n">
        <f aca="false">INT(A1025/6)</f>
        <v>170</v>
      </c>
      <c r="D1025" s="16" t="n">
        <f aca="false">IF(C1025=0,(1+Dic2025!$G$6)^(-B1025),EXP(LN(INDEX(Dic2025!$H$6:$H$205,C1025))+(LN(INDEX(Dic2025!$H$6:$H$205,MIN(C1025+1,200)))-LN(INDEX(Dic2025!$H$6:$H$205,C1025)))*(A1025-6*C1025)/6))</f>
        <v>0.00458596416879975</v>
      </c>
      <c r="E1025" s="12" t="n">
        <f aca="false">D1025^(-1/B1025)-1</f>
        <v>0.0653336224999999</v>
      </c>
      <c r="F1025" s="12" t="n">
        <f aca="false">(1+E1025)^(1/12)-1</f>
        <v>0.00528793291350072</v>
      </c>
      <c r="G1025" s="16" t="n">
        <f aca="false">IF(C1025=0,(1+Dic2025!$J$6)^(-B1025),EXP(LN(INDEX(Dic2025!$K$6:$K$205,C1025))+(LN(INDEX(Dic2025!$K$6:$K$205,MIN(C1025+1,200)))-LN(INDEX(Dic2025!$K$6:$K$205,C1025)))*(A1025-6*C1025)/6))</f>
        <v>0.00458596416879975</v>
      </c>
      <c r="H1025" s="12" t="n">
        <f aca="false">G1025^(-1/B1025)-1</f>
        <v>0.0653336224999999</v>
      </c>
      <c r="I1025" s="12" t="n">
        <f aca="false">(1+H1025)^(1/12)-1</f>
        <v>0.00528793291350072</v>
      </c>
      <c r="J1025" s="16" t="n">
        <f aca="false">IF(C1025=0,(1+Dic2025!$M$6)^(-B1025),EXP(LN(INDEX(Dic2025!$N$6:$N$205,C1025))+(LN(INDEX(Dic2025!$N$6:$N$205,MIN(C1025+1,200)))-LN(INDEX(Dic2025!$N$6:$N$205,C1025)))*(A1025-6*C1025)/6))</f>
        <v>0.00458596416879975</v>
      </c>
      <c r="K1025" s="12" t="n">
        <f aca="false">J1025^(-1/B1025)-1</f>
        <v>0.0653336224999999</v>
      </c>
      <c r="L1025" s="12" t="n">
        <f aca="false">(1+K1025)^(1/12)-1</f>
        <v>0.00528793291350072</v>
      </c>
    </row>
    <row r="1026" customFormat="false" ht="15" hidden="false" customHeight="false" outlineLevel="0" collapsed="false">
      <c r="A1026" s="4" t="n">
        <v>1022</v>
      </c>
      <c r="B1026" s="14" t="n">
        <f aca="false">A1026/12</f>
        <v>85.1666666666667</v>
      </c>
      <c r="C1026" s="15" t="n">
        <f aca="false">INT(A1026/6)</f>
        <v>170</v>
      </c>
      <c r="D1026" s="16" t="n">
        <f aca="false">IF(C1026=0,(1+Dic2025!$G$6)^(-B1026),EXP(LN(INDEX(Dic2025!$H$6:$H$205,C1026))+(LN(INDEX(Dic2025!$H$6:$H$205,MIN(C1026+1,200)))-LN(INDEX(Dic2025!$H$6:$H$205,C1026)))*(A1026-6*C1026)/6))</f>
        <v>0.00456184145721199</v>
      </c>
      <c r="E1026" s="12" t="n">
        <f aca="false">D1026^(-1/B1026)-1</f>
        <v>0.0653336224999999</v>
      </c>
      <c r="F1026" s="12" t="n">
        <f aca="false">(1+E1026)^(1/12)-1</f>
        <v>0.00528793291350072</v>
      </c>
      <c r="G1026" s="16" t="n">
        <f aca="false">IF(C1026=0,(1+Dic2025!$J$6)^(-B1026),EXP(LN(INDEX(Dic2025!$K$6:$K$205,C1026))+(LN(INDEX(Dic2025!$K$6:$K$205,MIN(C1026+1,200)))-LN(INDEX(Dic2025!$K$6:$K$205,C1026)))*(A1026-6*C1026)/6))</f>
        <v>0.00456184145721199</v>
      </c>
      <c r="H1026" s="12" t="n">
        <f aca="false">G1026^(-1/B1026)-1</f>
        <v>0.0653336224999999</v>
      </c>
      <c r="I1026" s="12" t="n">
        <f aca="false">(1+H1026)^(1/12)-1</f>
        <v>0.00528793291350072</v>
      </c>
      <c r="J1026" s="16" t="n">
        <f aca="false">IF(C1026=0,(1+Dic2025!$M$6)^(-B1026),EXP(LN(INDEX(Dic2025!$N$6:$N$205,C1026))+(LN(INDEX(Dic2025!$N$6:$N$205,MIN(C1026+1,200)))-LN(INDEX(Dic2025!$N$6:$N$205,C1026)))*(A1026-6*C1026)/6))</f>
        <v>0.00456184145721199</v>
      </c>
      <c r="K1026" s="12" t="n">
        <f aca="false">J1026^(-1/B1026)-1</f>
        <v>0.0653336224999999</v>
      </c>
      <c r="L1026" s="12" t="n">
        <f aca="false">(1+K1026)^(1/12)-1</f>
        <v>0.00528793291350072</v>
      </c>
    </row>
    <row r="1027" customFormat="false" ht="15" hidden="false" customHeight="false" outlineLevel="0" collapsed="false">
      <c r="A1027" s="4" t="n">
        <v>1023</v>
      </c>
      <c r="B1027" s="14" t="n">
        <f aca="false">A1027/12</f>
        <v>85.25</v>
      </c>
      <c r="C1027" s="15" t="n">
        <f aca="false">INT(A1027/6)</f>
        <v>170</v>
      </c>
      <c r="D1027" s="16" t="n">
        <f aca="false">IF(C1027=0,(1+Dic2025!$G$6)^(-B1027),EXP(LN(INDEX(Dic2025!$H$6:$H$205,C1027))+(LN(INDEX(Dic2025!$H$6:$H$205,MIN(C1027+1,200)))-LN(INDEX(Dic2025!$H$6:$H$205,C1027)))*(A1027-6*C1027)/6))</f>
        <v>0.00453784563392796</v>
      </c>
      <c r="E1027" s="12" t="n">
        <f aca="false">D1027^(-1/B1027)-1</f>
        <v>0.0653336224999999</v>
      </c>
      <c r="F1027" s="12" t="n">
        <f aca="false">(1+E1027)^(1/12)-1</f>
        <v>0.00528793291350072</v>
      </c>
      <c r="G1027" s="16" t="n">
        <f aca="false">IF(C1027=0,(1+Dic2025!$J$6)^(-B1027),EXP(LN(INDEX(Dic2025!$K$6:$K$205,C1027))+(LN(INDEX(Dic2025!$K$6:$K$205,MIN(C1027+1,200)))-LN(INDEX(Dic2025!$K$6:$K$205,C1027)))*(A1027-6*C1027)/6))</f>
        <v>0.00453784563392796</v>
      </c>
      <c r="H1027" s="12" t="n">
        <f aca="false">G1027^(-1/B1027)-1</f>
        <v>0.0653336224999999</v>
      </c>
      <c r="I1027" s="12" t="n">
        <f aca="false">(1+H1027)^(1/12)-1</f>
        <v>0.00528793291350072</v>
      </c>
      <c r="J1027" s="16" t="n">
        <f aca="false">IF(C1027=0,(1+Dic2025!$M$6)^(-B1027),EXP(LN(INDEX(Dic2025!$N$6:$N$205,C1027))+(LN(INDEX(Dic2025!$N$6:$N$205,MIN(C1027+1,200)))-LN(INDEX(Dic2025!$N$6:$N$205,C1027)))*(A1027-6*C1027)/6))</f>
        <v>0.00453784563392796</v>
      </c>
      <c r="K1027" s="12" t="n">
        <f aca="false">J1027^(-1/B1027)-1</f>
        <v>0.0653336224999999</v>
      </c>
      <c r="L1027" s="12" t="n">
        <f aca="false">(1+K1027)^(1/12)-1</f>
        <v>0.00528793291350072</v>
      </c>
    </row>
    <row r="1028" customFormat="false" ht="15" hidden="false" customHeight="false" outlineLevel="0" collapsed="false">
      <c r="A1028" s="4" t="n">
        <v>1024</v>
      </c>
      <c r="B1028" s="14" t="n">
        <f aca="false">A1028/12</f>
        <v>85.3333333333333</v>
      </c>
      <c r="C1028" s="15" t="n">
        <f aca="false">INT(A1028/6)</f>
        <v>170</v>
      </c>
      <c r="D1028" s="16" t="n">
        <f aca="false">IF(C1028=0,(1+Dic2025!$G$6)^(-B1028),EXP(LN(INDEX(Dic2025!$H$6:$H$205,C1028))+(LN(INDEX(Dic2025!$H$6:$H$205,MIN(C1028+1,200)))-LN(INDEX(Dic2025!$H$6:$H$205,C1028)))*(A1028-6*C1028)/6))</f>
        <v>0.00451397603150023</v>
      </c>
      <c r="E1028" s="12" t="n">
        <f aca="false">D1028^(-1/B1028)-1</f>
        <v>0.0653336224999999</v>
      </c>
      <c r="F1028" s="12" t="n">
        <f aca="false">(1+E1028)^(1/12)-1</f>
        <v>0.00528793291350072</v>
      </c>
      <c r="G1028" s="16" t="n">
        <f aca="false">IF(C1028=0,(1+Dic2025!$J$6)^(-B1028),EXP(LN(INDEX(Dic2025!$K$6:$K$205,C1028))+(LN(INDEX(Dic2025!$K$6:$K$205,MIN(C1028+1,200)))-LN(INDEX(Dic2025!$K$6:$K$205,C1028)))*(A1028-6*C1028)/6))</f>
        <v>0.00451397603150023</v>
      </c>
      <c r="H1028" s="12" t="n">
        <f aca="false">G1028^(-1/B1028)-1</f>
        <v>0.0653336224999999</v>
      </c>
      <c r="I1028" s="12" t="n">
        <f aca="false">(1+H1028)^(1/12)-1</f>
        <v>0.00528793291350072</v>
      </c>
      <c r="J1028" s="16" t="n">
        <f aca="false">IF(C1028=0,(1+Dic2025!$M$6)^(-B1028),EXP(LN(INDEX(Dic2025!$N$6:$N$205,C1028))+(LN(INDEX(Dic2025!$N$6:$N$205,MIN(C1028+1,200)))-LN(INDEX(Dic2025!$N$6:$N$205,C1028)))*(A1028-6*C1028)/6))</f>
        <v>0.00451397603150023</v>
      </c>
      <c r="K1028" s="12" t="n">
        <f aca="false">J1028^(-1/B1028)-1</f>
        <v>0.0653336224999999</v>
      </c>
      <c r="L1028" s="12" t="n">
        <f aca="false">(1+K1028)^(1/12)-1</f>
        <v>0.00528793291350072</v>
      </c>
    </row>
    <row r="1029" customFormat="false" ht="15" hidden="false" customHeight="false" outlineLevel="0" collapsed="false">
      <c r="A1029" s="4" t="n">
        <v>1025</v>
      </c>
      <c r="B1029" s="14" t="n">
        <f aca="false">A1029/12</f>
        <v>85.4166666666667</v>
      </c>
      <c r="C1029" s="15" t="n">
        <f aca="false">INT(A1029/6)</f>
        <v>170</v>
      </c>
      <c r="D1029" s="16" t="n">
        <f aca="false">IF(C1029=0,(1+Dic2025!$G$6)^(-B1029),EXP(LN(INDEX(Dic2025!$H$6:$H$205,C1029))+(LN(INDEX(Dic2025!$H$6:$H$205,MIN(C1029+1,200)))-LN(INDEX(Dic2025!$H$6:$H$205,C1029)))*(A1029-6*C1029)/6))</f>
        <v>0.00449023198599225</v>
      </c>
      <c r="E1029" s="12" t="n">
        <f aca="false">D1029^(-1/B1029)-1</f>
        <v>0.0653336224999999</v>
      </c>
      <c r="F1029" s="12" t="n">
        <f aca="false">(1+E1029)^(1/12)-1</f>
        <v>0.00528793291350072</v>
      </c>
      <c r="G1029" s="16" t="n">
        <f aca="false">IF(C1029=0,(1+Dic2025!$J$6)^(-B1029),EXP(LN(INDEX(Dic2025!$K$6:$K$205,C1029))+(LN(INDEX(Dic2025!$K$6:$K$205,MIN(C1029+1,200)))-LN(INDEX(Dic2025!$K$6:$K$205,C1029)))*(A1029-6*C1029)/6))</f>
        <v>0.00449023198599225</v>
      </c>
      <c r="H1029" s="12" t="n">
        <f aca="false">G1029^(-1/B1029)-1</f>
        <v>0.0653336224999999</v>
      </c>
      <c r="I1029" s="12" t="n">
        <f aca="false">(1+H1029)^(1/12)-1</f>
        <v>0.00528793291350072</v>
      </c>
      <c r="J1029" s="16" t="n">
        <f aca="false">IF(C1029=0,(1+Dic2025!$M$6)^(-B1029),EXP(LN(INDEX(Dic2025!$N$6:$N$205,C1029))+(LN(INDEX(Dic2025!$N$6:$N$205,MIN(C1029+1,200)))-LN(INDEX(Dic2025!$N$6:$N$205,C1029)))*(A1029-6*C1029)/6))</f>
        <v>0.00449023198599225</v>
      </c>
      <c r="K1029" s="12" t="n">
        <f aca="false">J1029^(-1/B1029)-1</f>
        <v>0.0653336224999999</v>
      </c>
      <c r="L1029" s="12" t="n">
        <f aca="false">(1+K1029)^(1/12)-1</f>
        <v>0.00528793291350072</v>
      </c>
    </row>
    <row r="1030" customFormat="false" ht="15" hidden="false" customHeight="false" outlineLevel="0" collapsed="false">
      <c r="A1030" s="4" t="n">
        <v>1026</v>
      </c>
      <c r="B1030" s="14" t="n">
        <f aca="false">A1030/12</f>
        <v>85.5</v>
      </c>
      <c r="C1030" s="15" t="n">
        <f aca="false">INT(A1030/6)</f>
        <v>171</v>
      </c>
      <c r="D1030" s="16" t="n">
        <f aca="false">IF(C1030=0,(1+Dic2025!$G$6)^(-B1030),EXP(LN(INDEX(Dic2025!$H$6:$H$205,C1030))+(LN(INDEX(Dic2025!$H$6:$H$205,MIN(C1030+1,200)))-LN(INDEX(Dic2025!$H$6:$H$205,C1030)))*(A1030-6*C1030)/6))</f>
        <v>0.00446661283695982</v>
      </c>
      <c r="E1030" s="12" t="n">
        <f aca="false">D1030^(-1/B1030)-1</f>
        <v>0.0653336224999999</v>
      </c>
      <c r="F1030" s="12" t="n">
        <f aca="false">(1+E1030)^(1/12)-1</f>
        <v>0.00528793291350072</v>
      </c>
      <c r="G1030" s="16" t="n">
        <f aca="false">IF(C1030=0,(1+Dic2025!$J$6)^(-B1030),EXP(LN(INDEX(Dic2025!$K$6:$K$205,C1030))+(LN(INDEX(Dic2025!$K$6:$K$205,MIN(C1030+1,200)))-LN(INDEX(Dic2025!$K$6:$K$205,C1030)))*(A1030-6*C1030)/6))</f>
        <v>0.00446661283695982</v>
      </c>
      <c r="H1030" s="12" t="n">
        <f aca="false">G1030^(-1/B1030)-1</f>
        <v>0.0653336224999999</v>
      </c>
      <c r="I1030" s="12" t="n">
        <f aca="false">(1+H1030)^(1/12)-1</f>
        <v>0.00528793291350072</v>
      </c>
      <c r="J1030" s="16" t="n">
        <f aca="false">IF(C1030=0,(1+Dic2025!$M$6)^(-B1030),EXP(LN(INDEX(Dic2025!$N$6:$N$205,C1030))+(LN(INDEX(Dic2025!$N$6:$N$205,MIN(C1030+1,200)))-LN(INDEX(Dic2025!$N$6:$N$205,C1030)))*(A1030-6*C1030)/6))</f>
        <v>0.00446661283695982</v>
      </c>
      <c r="K1030" s="12" t="n">
        <f aca="false">J1030^(-1/B1030)-1</f>
        <v>0.0653336224999999</v>
      </c>
      <c r="L1030" s="12" t="n">
        <f aca="false">(1+K1030)^(1/12)-1</f>
        <v>0.00528793291350072</v>
      </c>
    </row>
    <row r="1031" customFormat="false" ht="15" hidden="false" customHeight="false" outlineLevel="0" collapsed="false">
      <c r="A1031" s="4" t="n">
        <v>1027</v>
      </c>
      <c r="B1031" s="14" t="n">
        <f aca="false">A1031/12</f>
        <v>85.5833333333333</v>
      </c>
      <c r="C1031" s="15" t="n">
        <f aca="false">INT(A1031/6)</f>
        <v>171</v>
      </c>
      <c r="D1031" s="16" t="n">
        <f aca="false">IF(C1031=0,(1+Dic2025!$G$6)^(-B1031),EXP(LN(INDEX(Dic2025!$H$6:$H$205,C1031))+(LN(INDEX(Dic2025!$H$6:$H$205,MIN(C1031+1,200)))-LN(INDEX(Dic2025!$H$6:$H$205,C1031)))*(A1031-6*C1031)/6))</f>
        <v>0.00444311792743279</v>
      </c>
      <c r="E1031" s="12" t="n">
        <f aca="false">D1031^(-1/B1031)-1</f>
        <v>0.0653336224999999</v>
      </c>
      <c r="F1031" s="12" t="n">
        <f aca="false">(1+E1031)^(1/12)-1</f>
        <v>0.00528793291350072</v>
      </c>
      <c r="G1031" s="16" t="n">
        <f aca="false">IF(C1031=0,(1+Dic2025!$J$6)^(-B1031),EXP(LN(INDEX(Dic2025!$K$6:$K$205,C1031))+(LN(INDEX(Dic2025!$K$6:$K$205,MIN(C1031+1,200)))-LN(INDEX(Dic2025!$K$6:$K$205,C1031)))*(A1031-6*C1031)/6))</f>
        <v>0.00444311792743279</v>
      </c>
      <c r="H1031" s="12" t="n">
        <f aca="false">G1031^(-1/B1031)-1</f>
        <v>0.0653336224999999</v>
      </c>
      <c r="I1031" s="12" t="n">
        <f aca="false">(1+H1031)^(1/12)-1</f>
        <v>0.00528793291350072</v>
      </c>
      <c r="J1031" s="16" t="n">
        <f aca="false">IF(C1031=0,(1+Dic2025!$M$6)^(-B1031),EXP(LN(INDEX(Dic2025!$N$6:$N$205,C1031))+(LN(INDEX(Dic2025!$N$6:$N$205,MIN(C1031+1,200)))-LN(INDEX(Dic2025!$N$6:$N$205,C1031)))*(A1031-6*C1031)/6))</f>
        <v>0.00444311792743279</v>
      </c>
      <c r="K1031" s="12" t="n">
        <f aca="false">J1031^(-1/B1031)-1</f>
        <v>0.0653336224999999</v>
      </c>
      <c r="L1031" s="12" t="n">
        <f aca="false">(1+K1031)^(1/12)-1</f>
        <v>0.00528793291350072</v>
      </c>
    </row>
    <row r="1032" customFormat="false" ht="15" hidden="false" customHeight="false" outlineLevel="0" collapsed="false">
      <c r="A1032" s="4" t="n">
        <v>1028</v>
      </c>
      <c r="B1032" s="14" t="n">
        <f aca="false">A1032/12</f>
        <v>85.6666666666667</v>
      </c>
      <c r="C1032" s="15" t="n">
        <f aca="false">INT(A1032/6)</f>
        <v>171</v>
      </c>
      <c r="D1032" s="16" t="n">
        <f aca="false">IF(C1032=0,(1+Dic2025!$G$6)^(-B1032),EXP(LN(INDEX(Dic2025!$H$6:$H$205,C1032))+(LN(INDEX(Dic2025!$H$6:$H$205,MIN(C1032+1,200)))-LN(INDEX(Dic2025!$H$6:$H$205,C1032)))*(A1032-6*C1032)/6))</f>
        <v>0.00441974660389671</v>
      </c>
      <c r="E1032" s="12" t="n">
        <f aca="false">D1032^(-1/B1032)-1</f>
        <v>0.0653336224999999</v>
      </c>
      <c r="F1032" s="12" t="n">
        <f aca="false">(1+E1032)^(1/12)-1</f>
        <v>0.00528793291350072</v>
      </c>
      <c r="G1032" s="16" t="n">
        <f aca="false">IF(C1032=0,(1+Dic2025!$J$6)^(-B1032),EXP(LN(INDEX(Dic2025!$K$6:$K$205,C1032))+(LN(INDEX(Dic2025!$K$6:$K$205,MIN(C1032+1,200)))-LN(INDEX(Dic2025!$K$6:$K$205,C1032)))*(A1032-6*C1032)/6))</f>
        <v>0.00441974660389671</v>
      </c>
      <c r="H1032" s="12" t="n">
        <f aca="false">G1032^(-1/B1032)-1</f>
        <v>0.0653336224999999</v>
      </c>
      <c r="I1032" s="12" t="n">
        <f aca="false">(1+H1032)^(1/12)-1</f>
        <v>0.00528793291350072</v>
      </c>
      <c r="J1032" s="16" t="n">
        <f aca="false">IF(C1032=0,(1+Dic2025!$M$6)^(-B1032),EXP(LN(INDEX(Dic2025!$N$6:$N$205,C1032))+(LN(INDEX(Dic2025!$N$6:$N$205,MIN(C1032+1,200)))-LN(INDEX(Dic2025!$N$6:$N$205,C1032)))*(A1032-6*C1032)/6))</f>
        <v>0.00441974660389671</v>
      </c>
      <c r="K1032" s="12" t="n">
        <f aca="false">J1032^(-1/B1032)-1</f>
        <v>0.0653336224999999</v>
      </c>
      <c r="L1032" s="12" t="n">
        <f aca="false">(1+K1032)^(1/12)-1</f>
        <v>0.00528793291350072</v>
      </c>
    </row>
    <row r="1033" customFormat="false" ht="15" hidden="false" customHeight="false" outlineLevel="0" collapsed="false">
      <c r="A1033" s="4" t="n">
        <v>1029</v>
      </c>
      <c r="B1033" s="14" t="n">
        <f aca="false">A1033/12</f>
        <v>85.75</v>
      </c>
      <c r="C1033" s="15" t="n">
        <f aca="false">INT(A1033/6)</f>
        <v>171</v>
      </c>
      <c r="D1033" s="16" t="n">
        <f aca="false">IF(C1033=0,(1+Dic2025!$G$6)^(-B1033),EXP(LN(INDEX(Dic2025!$H$6:$H$205,C1033))+(LN(INDEX(Dic2025!$H$6:$H$205,MIN(C1033+1,200)))-LN(INDEX(Dic2025!$H$6:$H$205,C1033)))*(A1033-6*C1033)/6))</f>
        <v>0.00439649821627472</v>
      </c>
      <c r="E1033" s="12" t="n">
        <f aca="false">D1033^(-1/B1033)-1</f>
        <v>0.0653336224999999</v>
      </c>
      <c r="F1033" s="12" t="n">
        <f aca="false">(1+E1033)^(1/12)-1</f>
        <v>0.00528793291350072</v>
      </c>
      <c r="G1033" s="16" t="n">
        <f aca="false">IF(C1033=0,(1+Dic2025!$J$6)^(-B1033),EXP(LN(INDEX(Dic2025!$K$6:$K$205,C1033))+(LN(INDEX(Dic2025!$K$6:$K$205,MIN(C1033+1,200)))-LN(INDEX(Dic2025!$K$6:$K$205,C1033)))*(A1033-6*C1033)/6))</f>
        <v>0.00439649821627472</v>
      </c>
      <c r="H1033" s="12" t="n">
        <f aca="false">G1033^(-1/B1033)-1</f>
        <v>0.0653336224999999</v>
      </c>
      <c r="I1033" s="12" t="n">
        <f aca="false">(1+H1033)^(1/12)-1</f>
        <v>0.00528793291350072</v>
      </c>
      <c r="J1033" s="16" t="n">
        <f aca="false">IF(C1033=0,(1+Dic2025!$M$6)^(-B1033),EXP(LN(INDEX(Dic2025!$N$6:$N$205,C1033))+(LN(INDEX(Dic2025!$N$6:$N$205,MIN(C1033+1,200)))-LN(INDEX(Dic2025!$N$6:$N$205,C1033)))*(A1033-6*C1033)/6))</f>
        <v>0.00439649821627472</v>
      </c>
      <c r="K1033" s="12" t="n">
        <f aca="false">J1033^(-1/B1033)-1</f>
        <v>0.0653336224999999</v>
      </c>
      <c r="L1033" s="12" t="n">
        <f aca="false">(1+K1033)^(1/12)-1</f>
        <v>0.00528793291350072</v>
      </c>
    </row>
    <row r="1034" customFormat="false" ht="15" hidden="false" customHeight="false" outlineLevel="0" collapsed="false">
      <c r="A1034" s="4" t="n">
        <v>1030</v>
      </c>
      <c r="B1034" s="14" t="n">
        <f aca="false">A1034/12</f>
        <v>85.8333333333333</v>
      </c>
      <c r="C1034" s="15" t="n">
        <f aca="false">INT(A1034/6)</f>
        <v>171</v>
      </c>
      <c r="D1034" s="16" t="n">
        <f aca="false">IF(C1034=0,(1+Dic2025!$G$6)^(-B1034),EXP(LN(INDEX(Dic2025!$H$6:$H$205,C1034))+(LN(INDEX(Dic2025!$H$6:$H$205,MIN(C1034+1,200)))-LN(INDEX(Dic2025!$H$6:$H$205,C1034)))*(A1034-6*C1034)/6))</f>
        <v>0.00437337211790944</v>
      </c>
      <c r="E1034" s="12" t="n">
        <f aca="false">D1034^(-1/B1034)-1</f>
        <v>0.0653336224999999</v>
      </c>
      <c r="F1034" s="12" t="n">
        <f aca="false">(1+E1034)^(1/12)-1</f>
        <v>0.00528793291350072</v>
      </c>
      <c r="G1034" s="16" t="n">
        <f aca="false">IF(C1034=0,(1+Dic2025!$J$6)^(-B1034),EXP(LN(INDEX(Dic2025!$K$6:$K$205,C1034))+(LN(INDEX(Dic2025!$K$6:$K$205,MIN(C1034+1,200)))-LN(INDEX(Dic2025!$K$6:$K$205,C1034)))*(A1034-6*C1034)/6))</f>
        <v>0.00437337211790944</v>
      </c>
      <c r="H1034" s="12" t="n">
        <f aca="false">G1034^(-1/B1034)-1</f>
        <v>0.0653336224999999</v>
      </c>
      <c r="I1034" s="12" t="n">
        <f aca="false">(1+H1034)^(1/12)-1</f>
        <v>0.00528793291350072</v>
      </c>
      <c r="J1034" s="16" t="n">
        <f aca="false">IF(C1034=0,(1+Dic2025!$M$6)^(-B1034),EXP(LN(INDEX(Dic2025!$N$6:$N$205,C1034))+(LN(INDEX(Dic2025!$N$6:$N$205,MIN(C1034+1,200)))-LN(INDEX(Dic2025!$N$6:$N$205,C1034)))*(A1034-6*C1034)/6))</f>
        <v>0.00437337211790944</v>
      </c>
      <c r="K1034" s="12" t="n">
        <f aca="false">J1034^(-1/B1034)-1</f>
        <v>0.0653336224999999</v>
      </c>
      <c r="L1034" s="12" t="n">
        <f aca="false">(1+K1034)^(1/12)-1</f>
        <v>0.00528793291350072</v>
      </c>
    </row>
    <row r="1035" customFormat="false" ht="15" hidden="false" customHeight="false" outlineLevel="0" collapsed="false">
      <c r="A1035" s="4" t="n">
        <v>1031</v>
      </c>
      <c r="B1035" s="14" t="n">
        <f aca="false">A1035/12</f>
        <v>85.9166666666667</v>
      </c>
      <c r="C1035" s="15" t="n">
        <f aca="false">INT(A1035/6)</f>
        <v>171</v>
      </c>
      <c r="D1035" s="16" t="n">
        <f aca="false">IF(C1035=0,(1+Dic2025!$G$6)^(-B1035),EXP(LN(INDEX(Dic2025!$H$6:$H$205,C1035))+(LN(INDEX(Dic2025!$H$6:$H$205,MIN(C1035+1,200)))-LN(INDEX(Dic2025!$H$6:$H$205,C1035)))*(A1035-6*C1035)/6))</f>
        <v>0.00435036766554498</v>
      </c>
      <c r="E1035" s="12" t="n">
        <f aca="false">D1035^(-1/B1035)-1</f>
        <v>0.0653336224999999</v>
      </c>
      <c r="F1035" s="12" t="n">
        <f aca="false">(1+E1035)^(1/12)-1</f>
        <v>0.00528793291350072</v>
      </c>
      <c r="G1035" s="16" t="n">
        <f aca="false">IF(C1035=0,(1+Dic2025!$J$6)^(-B1035),EXP(LN(INDEX(Dic2025!$K$6:$K$205,C1035))+(LN(INDEX(Dic2025!$K$6:$K$205,MIN(C1035+1,200)))-LN(INDEX(Dic2025!$K$6:$K$205,C1035)))*(A1035-6*C1035)/6))</f>
        <v>0.00435036766554498</v>
      </c>
      <c r="H1035" s="12" t="n">
        <f aca="false">G1035^(-1/B1035)-1</f>
        <v>0.0653336224999999</v>
      </c>
      <c r="I1035" s="12" t="n">
        <f aca="false">(1+H1035)^(1/12)-1</f>
        <v>0.00528793291350072</v>
      </c>
      <c r="J1035" s="16" t="n">
        <f aca="false">IF(C1035=0,(1+Dic2025!$M$6)^(-B1035),EXP(LN(INDEX(Dic2025!$N$6:$N$205,C1035))+(LN(INDEX(Dic2025!$N$6:$N$205,MIN(C1035+1,200)))-LN(INDEX(Dic2025!$N$6:$N$205,C1035)))*(A1035-6*C1035)/6))</f>
        <v>0.00435036766554498</v>
      </c>
      <c r="K1035" s="12" t="n">
        <f aca="false">J1035^(-1/B1035)-1</f>
        <v>0.0653336224999999</v>
      </c>
      <c r="L1035" s="12" t="n">
        <f aca="false">(1+K1035)^(1/12)-1</f>
        <v>0.00528793291350072</v>
      </c>
    </row>
    <row r="1036" customFormat="false" ht="15" hidden="false" customHeight="false" outlineLevel="0" collapsed="false">
      <c r="A1036" s="4" t="n">
        <v>1032</v>
      </c>
      <c r="B1036" s="14" t="n">
        <f aca="false">A1036/12</f>
        <v>86</v>
      </c>
      <c r="C1036" s="15" t="n">
        <f aca="false">INT(A1036/6)</f>
        <v>172</v>
      </c>
      <c r="D1036" s="16" t="n">
        <f aca="false">IF(C1036=0,(1+Dic2025!$G$6)^(-B1036),EXP(LN(INDEX(Dic2025!$H$6:$H$205,C1036))+(LN(INDEX(Dic2025!$H$6:$H$205,MIN(C1036+1,200)))-LN(INDEX(Dic2025!$H$6:$H$205,C1036)))*(A1036-6*C1036)/6))</f>
        <v>0.00432748421930904</v>
      </c>
      <c r="E1036" s="12" t="n">
        <f aca="false">D1036^(-1/B1036)-1</f>
        <v>0.0653336224999999</v>
      </c>
      <c r="F1036" s="12" t="n">
        <f aca="false">(1+E1036)^(1/12)-1</f>
        <v>0.00528793291350072</v>
      </c>
      <c r="G1036" s="16" t="n">
        <f aca="false">IF(C1036=0,(1+Dic2025!$J$6)^(-B1036),EXP(LN(INDEX(Dic2025!$K$6:$K$205,C1036))+(LN(INDEX(Dic2025!$K$6:$K$205,MIN(C1036+1,200)))-LN(INDEX(Dic2025!$K$6:$K$205,C1036)))*(A1036-6*C1036)/6))</f>
        <v>0.00432748421930904</v>
      </c>
      <c r="H1036" s="12" t="n">
        <f aca="false">G1036^(-1/B1036)-1</f>
        <v>0.0653336224999999</v>
      </c>
      <c r="I1036" s="12" t="n">
        <f aca="false">(1+H1036)^(1/12)-1</f>
        <v>0.00528793291350072</v>
      </c>
      <c r="J1036" s="16" t="n">
        <f aca="false">IF(C1036=0,(1+Dic2025!$M$6)^(-B1036),EXP(LN(INDEX(Dic2025!$N$6:$N$205,C1036))+(LN(INDEX(Dic2025!$N$6:$N$205,MIN(C1036+1,200)))-LN(INDEX(Dic2025!$N$6:$N$205,C1036)))*(A1036-6*C1036)/6))</f>
        <v>0.00432748421930904</v>
      </c>
      <c r="K1036" s="12" t="n">
        <f aca="false">J1036^(-1/B1036)-1</f>
        <v>0.0653336224999999</v>
      </c>
      <c r="L1036" s="12" t="n">
        <f aca="false">(1+K1036)^(1/12)-1</f>
        <v>0.00528793291350072</v>
      </c>
    </row>
    <row r="1037" customFormat="false" ht="15" hidden="false" customHeight="false" outlineLevel="0" collapsed="false">
      <c r="A1037" s="4" t="n">
        <v>1033</v>
      </c>
      <c r="B1037" s="14" t="n">
        <f aca="false">A1037/12</f>
        <v>86.0833333333333</v>
      </c>
      <c r="C1037" s="15" t="n">
        <f aca="false">INT(A1037/6)</f>
        <v>172</v>
      </c>
      <c r="D1037" s="16" t="n">
        <f aca="false">IF(C1037=0,(1+Dic2025!$G$6)^(-B1037),EXP(LN(INDEX(Dic2025!$H$6:$H$205,C1037))+(LN(INDEX(Dic2025!$H$6:$H$205,MIN(C1037+1,200)))-LN(INDEX(Dic2025!$H$6:$H$205,C1037)))*(A1037-6*C1037)/6))</f>
        <v>0.00430472114269514</v>
      </c>
      <c r="E1037" s="12" t="n">
        <f aca="false">D1037^(-1/B1037)-1</f>
        <v>0.0653336224999999</v>
      </c>
      <c r="F1037" s="12" t="n">
        <f aca="false">(1+E1037)^(1/12)-1</f>
        <v>0.00528793291350072</v>
      </c>
      <c r="G1037" s="16" t="n">
        <f aca="false">IF(C1037=0,(1+Dic2025!$J$6)^(-B1037),EXP(LN(INDEX(Dic2025!$K$6:$K$205,C1037))+(LN(INDEX(Dic2025!$K$6:$K$205,MIN(C1037+1,200)))-LN(INDEX(Dic2025!$K$6:$K$205,C1037)))*(A1037-6*C1037)/6))</f>
        <v>0.00430472114269514</v>
      </c>
      <c r="H1037" s="12" t="n">
        <f aca="false">G1037^(-1/B1037)-1</f>
        <v>0.0653336224999999</v>
      </c>
      <c r="I1037" s="12" t="n">
        <f aca="false">(1+H1037)^(1/12)-1</f>
        <v>0.00528793291350072</v>
      </c>
      <c r="J1037" s="16" t="n">
        <f aca="false">IF(C1037=0,(1+Dic2025!$M$6)^(-B1037),EXP(LN(INDEX(Dic2025!$N$6:$N$205,C1037))+(LN(INDEX(Dic2025!$N$6:$N$205,MIN(C1037+1,200)))-LN(INDEX(Dic2025!$N$6:$N$205,C1037)))*(A1037-6*C1037)/6))</f>
        <v>0.00430472114269514</v>
      </c>
      <c r="K1037" s="12" t="n">
        <f aca="false">J1037^(-1/B1037)-1</f>
        <v>0.0653336224999999</v>
      </c>
      <c r="L1037" s="12" t="n">
        <f aca="false">(1+K1037)^(1/12)-1</f>
        <v>0.00528793291350072</v>
      </c>
    </row>
    <row r="1038" customFormat="false" ht="15" hidden="false" customHeight="false" outlineLevel="0" collapsed="false">
      <c r="A1038" s="4" t="n">
        <v>1034</v>
      </c>
      <c r="B1038" s="14" t="n">
        <f aca="false">A1038/12</f>
        <v>86.1666666666667</v>
      </c>
      <c r="C1038" s="15" t="n">
        <f aca="false">INT(A1038/6)</f>
        <v>172</v>
      </c>
      <c r="D1038" s="16" t="n">
        <f aca="false">IF(C1038=0,(1+Dic2025!$G$6)^(-B1038),EXP(LN(INDEX(Dic2025!$H$6:$H$205,C1038))+(LN(INDEX(Dic2025!$H$6:$H$205,MIN(C1038+1,200)))-LN(INDEX(Dic2025!$H$6:$H$205,C1038)))*(A1038-6*C1038)/6))</f>
        <v>0.00428207780254489</v>
      </c>
      <c r="E1038" s="12" t="n">
        <f aca="false">D1038^(-1/B1038)-1</f>
        <v>0.0653336224999999</v>
      </c>
      <c r="F1038" s="12" t="n">
        <f aca="false">(1+E1038)^(1/12)-1</f>
        <v>0.00528793291350072</v>
      </c>
      <c r="G1038" s="16" t="n">
        <f aca="false">IF(C1038=0,(1+Dic2025!$J$6)^(-B1038),EXP(LN(INDEX(Dic2025!$K$6:$K$205,C1038))+(LN(INDEX(Dic2025!$K$6:$K$205,MIN(C1038+1,200)))-LN(INDEX(Dic2025!$K$6:$K$205,C1038)))*(A1038-6*C1038)/6))</f>
        <v>0.00428207780254489</v>
      </c>
      <c r="H1038" s="12" t="n">
        <f aca="false">G1038^(-1/B1038)-1</f>
        <v>0.0653336224999999</v>
      </c>
      <c r="I1038" s="12" t="n">
        <f aca="false">(1+H1038)^(1/12)-1</f>
        <v>0.00528793291350072</v>
      </c>
      <c r="J1038" s="16" t="n">
        <f aca="false">IF(C1038=0,(1+Dic2025!$M$6)^(-B1038),EXP(LN(INDEX(Dic2025!$N$6:$N$205,C1038))+(LN(INDEX(Dic2025!$N$6:$N$205,MIN(C1038+1,200)))-LN(INDEX(Dic2025!$N$6:$N$205,C1038)))*(A1038-6*C1038)/6))</f>
        <v>0.00428207780254489</v>
      </c>
      <c r="K1038" s="12" t="n">
        <f aca="false">J1038^(-1/B1038)-1</f>
        <v>0.0653336224999999</v>
      </c>
      <c r="L1038" s="12" t="n">
        <f aca="false">(1+K1038)^(1/12)-1</f>
        <v>0.00528793291350072</v>
      </c>
    </row>
    <row r="1039" customFormat="false" ht="15" hidden="false" customHeight="false" outlineLevel="0" collapsed="false">
      <c r="A1039" s="4" t="n">
        <v>1035</v>
      </c>
      <c r="B1039" s="14" t="n">
        <f aca="false">A1039/12</f>
        <v>86.25</v>
      </c>
      <c r="C1039" s="15" t="n">
        <f aca="false">INT(A1039/6)</f>
        <v>172</v>
      </c>
      <c r="D1039" s="16" t="n">
        <f aca="false">IF(C1039=0,(1+Dic2025!$G$6)^(-B1039),EXP(LN(INDEX(Dic2025!$H$6:$H$205,C1039))+(LN(INDEX(Dic2025!$H$6:$H$205,MIN(C1039+1,200)))-LN(INDEX(Dic2025!$H$6:$H$205,C1039)))*(A1039-6*C1039)/6))</f>
        <v>0.00425955356903039</v>
      </c>
      <c r="E1039" s="12" t="n">
        <f aca="false">D1039^(-1/B1039)-1</f>
        <v>0.0653336224999999</v>
      </c>
      <c r="F1039" s="12" t="n">
        <f aca="false">(1+E1039)^(1/12)-1</f>
        <v>0.00528793291350072</v>
      </c>
      <c r="G1039" s="16" t="n">
        <f aca="false">IF(C1039=0,(1+Dic2025!$J$6)^(-B1039),EXP(LN(INDEX(Dic2025!$K$6:$K$205,C1039))+(LN(INDEX(Dic2025!$K$6:$K$205,MIN(C1039+1,200)))-LN(INDEX(Dic2025!$K$6:$K$205,C1039)))*(A1039-6*C1039)/6))</f>
        <v>0.00425955356903039</v>
      </c>
      <c r="H1039" s="12" t="n">
        <f aca="false">G1039^(-1/B1039)-1</f>
        <v>0.0653336224999999</v>
      </c>
      <c r="I1039" s="12" t="n">
        <f aca="false">(1+H1039)^(1/12)-1</f>
        <v>0.00528793291350072</v>
      </c>
      <c r="J1039" s="16" t="n">
        <f aca="false">IF(C1039=0,(1+Dic2025!$M$6)^(-B1039),EXP(LN(INDEX(Dic2025!$N$6:$N$205,C1039))+(LN(INDEX(Dic2025!$N$6:$N$205,MIN(C1039+1,200)))-LN(INDEX(Dic2025!$N$6:$N$205,C1039)))*(A1039-6*C1039)/6))</f>
        <v>0.00425955356903039</v>
      </c>
      <c r="K1039" s="12" t="n">
        <f aca="false">J1039^(-1/B1039)-1</f>
        <v>0.0653336224999999</v>
      </c>
      <c r="L1039" s="12" t="n">
        <f aca="false">(1+K1039)^(1/12)-1</f>
        <v>0.00528793291350072</v>
      </c>
    </row>
    <row r="1040" customFormat="false" ht="15" hidden="false" customHeight="false" outlineLevel="0" collapsed="false">
      <c r="A1040" s="4" t="n">
        <v>1036</v>
      </c>
      <c r="B1040" s="14" t="n">
        <f aca="false">A1040/12</f>
        <v>86.3333333333333</v>
      </c>
      <c r="C1040" s="15" t="n">
        <f aca="false">INT(A1040/6)</f>
        <v>172</v>
      </c>
      <c r="D1040" s="16" t="n">
        <f aca="false">IF(C1040=0,(1+Dic2025!$G$6)^(-B1040),EXP(LN(INDEX(Dic2025!$H$6:$H$205,C1040))+(LN(INDEX(Dic2025!$H$6:$H$205,MIN(C1040+1,200)))-LN(INDEX(Dic2025!$H$6:$H$205,C1040)))*(A1040-6*C1040)/6))</f>
        <v>0.00423714781563672</v>
      </c>
      <c r="E1040" s="12" t="n">
        <f aca="false">D1040^(-1/B1040)-1</f>
        <v>0.0653336224999999</v>
      </c>
      <c r="F1040" s="12" t="n">
        <f aca="false">(1+E1040)^(1/12)-1</f>
        <v>0.00528793291350072</v>
      </c>
      <c r="G1040" s="16" t="n">
        <f aca="false">IF(C1040=0,(1+Dic2025!$J$6)^(-B1040),EXP(LN(INDEX(Dic2025!$K$6:$K$205,C1040))+(LN(INDEX(Dic2025!$K$6:$K$205,MIN(C1040+1,200)))-LN(INDEX(Dic2025!$K$6:$K$205,C1040)))*(A1040-6*C1040)/6))</f>
        <v>0.00423714781563672</v>
      </c>
      <c r="H1040" s="12" t="n">
        <f aca="false">G1040^(-1/B1040)-1</f>
        <v>0.0653336224999999</v>
      </c>
      <c r="I1040" s="12" t="n">
        <f aca="false">(1+H1040)^(1/12)-1</f>
        <v>0.00528793291350072</v>
      </c>
      <c r="J1040" s="16" t="n">
        <f aca="false">IF(C1040=0,(1+Dic2025!$M$6)^(-B1040),EXP(LN(INDEX(Dic2025!$N$6:$N$205,C1040))+(LN(INDEX(Dic2025!$N$6:$N$205,MIN(C1040+1,200)))-LN(INDEX(Dic2025!$N$6:$N$205,C1040)))*(A1040-6*C1040)/6))</f>
        <v>0.00423714781563672</v>
      </c>
      <c r="K1040" s="12" t="n">
        <f aca="false">J1040^(-1/B1040)-1</f>
        <v>0.0653336224999999</v>
      </c>
      <c r="L1040" s="12" t="n">
        <f aca="false">(1+K1040)^(1/12)-1</f>
        <v>0.00528793291350072</v>
      </c>
    </row>
    <row r="1041" customFormat="false" ht="15" hidden="false" customHeight="false" outlineLevel="0" collapsed="false">
      <c r="A1041" s="4" t="n">
        <v>1037</v>
      </c>
      <c r="B1041" s="14" t="n">
        <f aca="false">A1041/12</f>
        <v>86.4166666666667</v>
      </c>
      <c r="C1041" s="15" t="n">
        <f aca="false">INT(A1041/6)</f>
        <v>172</v>
      </c>
      <c r="D1041" s="16" t="n">
        <f aca="false">IF(C1041=0,(1+Dic2025!$G$6)^(-B1041),EXP(LN(INDEX(Dic2025!$H$6:$H$205,C1041))+(LN(INDEX(Dic2025!$H$6:$H$205,MIN(C1041+1,200)))-LN(INDEX(Dic2025!$H$6:$H$205,C1041)))*(A1041-6*C1041)/6))</f>
        <v>0.00421485991914448</v>
      </c>
      <c r="E1041" s="12" t="n">
        <f aca="false">D1041^(-1/B1041)-1</f>
        <v>0.0653336224999999</v>
      </c>
      <c r="F1041" s="12" t="n">
        <f aca="false">(1+E1041)^(1/12)-1</f>
        <v>0.00528793291350072</v>
      </c>
      <c r="G1041" s="16" t="n">
        <f aca="false">IF(C1041=0,(1+Dic2025!$J$6)^(-B1041),EXP(LN(INDEX(Dic2025!$K$6:$K$205,C1041))+(LN(INDEX(Dic2025!$K$6:$K$205,MIN(C1041+1,200)))-LN(INDEX(Dic2025!$K$6:$K$205,C1041)))*(A1041-6*C1041)/6))</f>
        <v>0.00421485991914448</v>
      </c>
      <c r="H1041" s="12" t="n">
        <f aca="false">G1041^(-1/B1041)-1</f>
        <v>0.0653336224999999</v>
      </c>
      <c r="I1041" s="12" t="n">
        <f aca="false">(1+H1041)^(1/12)-1</f>
        <v>0.00528793291350072</v>
      </c>
      <c r="J1041" s="16" t="n">
        <f aca="false">IF(C1041=0,(1+Dic2025!$M$6)^(-B1041),EXP(LN(INDEX(Dic2025!$N$6:$N$205,C1041))+(LN(INDEX(Dic2025!$N$6:$N$205,MIN(C1041+1,200)))-LN(INDEX(Dic2025!$N$6:$N$205,C1041)))*(A1041-6*C1041)/6))</f>
        <v>0.00421485991914448</v>
      </c>
      <c r="K1041" s="12" t="n">
        <f aca="false">J1041^(-1/B1041)-1</f>
        <v>0.0653336224999999</v>
      </c>
      <c r="L1041" s="12" t="n">
        <f aca="false">(1+K1041)^(1/12)-1</f>
        <v>0.00528793291350072</v>
      </c>
    </row>
    <row r="1042" customFormat="false" ht="15" hidden="false" customHeight="false" outlineLevel="0" collapsed="false">
      <c r="A1042" s="4" t="n">
        <v>1038</v>
      </c>
      <c r="B1042" s="14" t="n">
        <f aca="false">A1042/12</f>
        <v>86.5</v>
      </c>
      <c r="C1042" s="15" t="n">
        <f aca="false">INT(A1042/6)</f>
        <v>173</v>
      </c>
      <c r="D1042" s="16" t="n">
        <f aca="false">IF(C1042=0,(1+Dic2025!$G$6)^(-B1042),EXP(LN(INDEX(Dic2025!$H$6:$H$205,C1042))+(LN(INDEX(Dic2025!$H$6:$H$205,MIN(C1042+1,200)))-LN(INDEX(Dic2025!$H$6:$H$205,C1042)))*(A1042-6*C1042)/6))</f>
        <v>0.00419268925961249</v>
      </c>
      <c r="E1042" s="12" t="n">
        <f aca="false">D1042^(-1/B1042)-1</f>
        <v>0.0653336224999999</v>
      </c>
      <c r="F1042" s="12" t="n">
        <f aca="false">(1+E1042)^(1/12)-1</f>
        <v>0.00528793291350072</v>
      </c>
      <c r="G1042" s="16" t="n">
        <f aca="false">IF(C1042=0,(1+Dic2025!$J$6)^(-B1042),EXP(LN(INDEX(Dic2025!$K$6:$K$205,C1042))+(LN(INDEX(Dic2025!$K$6:$K$205,MIN(C1042+1,200)))-LN(INDEX(Dic2025!$K$6:$K$205,C1042)))*(A1042-6*C1042)/6))</f>
        <v>0.00419268925961249</v>
      </c>
      <c r="H1042" s="12" t="n">
        <f aca="false">G1042^(-1/B1042)-1</f>
        <v>0.0653336224999999</v>
      </c>
      <c r="I1042" s="12" t="n">
        <f aca="false">(1+H1042)^(1/12)-1</f>
        <v>0.00528793291350072</v>
      </c>
      <c r="J1042" s="16" t="n">
        <f aca="false">IF(C1042=0,(1+Dic2025!$M$6)^(-B1042),EXP(LN(INDEX(Dic2025!$N$6:$N$205,C1042))+(LN(INDEX(Dic2025!$N$6:$N$205,MIN(C1042+1,200)))-LN(INDEX(Dic2025!$N$6:$N$205,C1042)))*(A1042-6*C1042)/6))</f>
        <v>0.00419268925961249</v>
      </c>
      <c r="K1042" s="12" t="n">
        <f aca="false">J1042^(-1/B1042)-1</f>
        <v>0.0653336224999999</v>
      </c>
      <c r="L1042" s="12" t="n">
        <f aca="false">(1+K1042)^(1/12)-1</f>
        <v>0.00528793291350072</v>
      </c>
    </row>
    <row r="1043" customFormat="false" ht="15" hidden="false" customHeight="false" outlineLevel="0" collapsed="false">
      <c r="A1043" s="4" t="n">
        <v>1039</v>
      </c>
      <c r="B1043" s="14" t="n">
        <f aca="false">A1043/12</f>
        <v>86.5833333333333</v>
      </c>
      <c r="C1043" s="15" t="n">
        <f aca="false">INT(A1043/6)</f>
        <v>173</v>
      </c>
      <c r="D1043" s="16" t="n">
        <f aca="false">IF(C1043=0,(1+Dic2025!$G$6)^(-B1043),EXP(LN(INDEX(Dic2025!$H$6:$H$205,C1043))+(LN(INDEX(Dic2025!$H$6:$H$205,MIN(C1043+1,200)))-LN(INDEX(Dic2025!$H$6:$H$205,C1043)))*(A1043-6*C1043)/6))</f>
        <v>0.0041647804231131</v>
      </c>
      <c r="E1043" s="12" t="n">
        <f aca="false">D1043^(-1/B1043)-1</f>
        <v>0.0653509075054912</v>
      </c>
      <c r="F1043" s="12" t="n">
        <f aca="false">(1+E1043)^(1/12)-1</f>
        <v>0.00528929213389384</v>
      </c>
      <c r="G1043" s="16" t="n">
        <f aca="false">IF(C1043=0,(1+Dic2025!$J$6)^(-B1043),EXP(LN(INDEX(Dic2025!$K$6:$K$205,C1043))+(LN(INDEX(Dic2025!$K$6:$K$205,MIN(C1043+1,200)))-LN(INDEX(Dic2025!$K$6:$K$205,C1043)))*(A1043-6*C1043)/6))</f>
        <v>0.0041647804231131</v>
      </c>
      <c r="H1043" s="12" t="n">
        <f aca="false">G1043^(-1/B1043)-1</f>
        <v>0.0653509075054912</v>
      </c>
      <c r="I1043" s="12" t="n">
        <f aca="false">(1+H1043)^(1/12)-1</f>
        <v>0.00528929213389384</v>
      </c>
      <c r="J1043" s="16" t="n">
        <f aca="false">IF(C1043=0,(1+Dic2025!$M$6)^(-B1043),EXP(LN(INDEX(Dic2025!$N$6:$N$205,C1043))+(LN(INDEX(Dic2025!$N$6:$N$205,MIN(C1043+1,200)))-LN(INDEX(Dic2025!$N$6:$N$205,C1043)))*(A1043-6*C1043)/6))</f>
        <v>0.0041647804231131</v>
      </c>
      <c r="K1043" s="12" t="n">
        <f aca="false">J1043^(-1/B1043)-1</f>
        <v>0.0653509075054912</v>
      </c>
      <c r="L1043" s="12" t="n">
        <f aca="false">(1+K1043)^(1/12)-1</f>
        <v>0.00528929213389384</v>
      </c>
    </row>
    <row r="1044" customFormat="false" ht="15" hidden="false" customHeight="false" outlineLevel="0" collapsed="false">
      <c r="A1044" s="4" t="n">
        <v>1040</v>
      </c>
      <c r="B1044" s="14" t="n">
        <f aca="false">A1044/12</f>
        <v>86.6666666666667</v>
      </c>
      <c r="C1044" s="15" t="n">
        <f aca="false">INT(A1044/6)</f>
        <v>173</v>
      </c>
      <c r="D1044" s="16" t="n">
        <f aca="false">IF(C1044=0,(1+Dic2025!$G$6)^(-B1044),EXP(LN(INDEX(Dic2025!$H$6:$H$205,C1044))+(LN(INDEX(Dic2025!$H$6:$H$205,MIN(C1044+1,200)))-LN(INDEX(Dic2025!$H$6:$H$205,C1044)))*(A1044-6*C1044)/6))</f>
        <v>0.00413705736311813</v>
      </c>
      <c r="E1044" s="12" t="n">
        <f aca="false">D1044^(-1/B1044)-1</f>
        <v>0.0653681595502278</v>
      </c>
      <c r="F1044" s="12" t="n">
        <f aca="false">(1+E1044)^(1/12)-1</f>
        <v>0.00529064874223417</v>
      </c>
      <c r="G1044" s="16" t="n">
        <f aca="false">IF(C1044=0,(1+Dic2025!$J$6)^(-B1044),EXP(LN(INDEX(Dic2025!$K$6:$K$205,C1044))+(LN(INDEX(Dic2025!$K$6:$K$205,MIN(C1044+1,200)))-LN(INDEX(Dic2025!$K$6:$K$205,C1044)))*(A1044-6*C1044)/6))</f>
        <v>0.00413705736311813</v>
      </c>
      <c r="H1044" s="12" t="n">
        <f aca="false">G1044^(-1/B1044)-1</f>
        <v>0.0653681595502278</v>
      </c>
      <c r="I1044" s="12" t="n">
        <f aca="false">(1+H1044)^(1/12)-1</f>
        <v>0.00529064874223417</v>
      </c>
      <c r="J1044" s="16" t="n">
        <f aca="false">IF(C1044=0,(1+Dic2025!$M$6)^(-B1044),EXP(LN(INDEX(Dic2025!$N$6:$N$205,C1044))+(LN(INDEX(Dic2025!$N$6:$N$205,MIN(C1044+1,200)))-LN(INDEX(Dic2025!$N$6:$N$205,C1044)))*(A1044-6*C1044)/6))</f>
        <v>0.00413705736311813</v>
      </c>
      <c r="K1044" s="12" t="n">
        <f aca="false">J1044^(-1/B1044)-1</f>
        <v>0.0653681595502278</v>
      </c>
      <c r="L1044" s="12" t="n">
        <f aca="false">(1+K1044)^(1/12)-1</f>
        <v>0.00529064874223417</v>
      </c>
    </row>
    <row r="1045" customFormat="false" ht="15" hidden="false" customHeight="false" outlineLevel="0" collapsed="false">
      <c r="A1045" s="4" t="n">
        <v>1041</v>
      </c>
      <c r="B1045" s="14" t="n">
        <f aca="false">A1045/12</f>
        <v>86.75</v>
      </c>
      <c r="C1045" s="15" t="n">
        <f aca="false">INT(A1045/6)</f>
        <v>173</v>
      </c>
      <c r="D1045" s="16" t="n">
        <f aca="false">IF(C1045=0,(1+Dic2025!$G$6)^(-B1045),EXP(LN(INDEX(Dic2025!$H$6:$H$205,C1045))+(LN(INDEX(Dic2025!$H$6:$H$205,MIN(C1045+1,200)))-LN(INDEX(Dic2025!$H$6:$H$205,C1045)))*(A1045-6*C1045)/6))</f>
        <v>0.00410951884299738</v>
      </c>
      <c r="E1045" s="12" t="n">
        <f aca="false">D1045^(-1/B1045)-1</f>
        <v>0.0653853787283965</v>
      </c>
      <c r="F1045" s="12" t="n">
        <f aca="false">(1+E1045)^(1/12)-1</f>
        <v>0.00529200274604391</v>
      </c>
      <c r="G1045" s="16" t="n">
        <f aca="false">IF(C1045=0,(1+Dic2025!$J$6)^(-B1045),EXP(LN(INDEX(Dic2025!$K$6:$K$205,C1045))+(LN(INDEX(Dic2025!$K$6:$K$205,MIN(C1045+1,200)))-LN(INDEX(Dic2025!$K$6:$K$205,C1045)))*(A1045-6*C1045)/6))</f>
        <v>0.00410951884299738</v>
      </c>
      <c r="H1045" s="12" t="n">
        <f aca="false">G1045^(-1/B1045)-1</f>
        <v>0.0653853787283965</v>
      </c>
      <c r="I1045" s="12" t="n">
        <f aca="false">(1+H1045)^(1/12)-1</f>
        <v>0.00529200274604391</v>
      </c>
      <c r="J1045" s="16" t="n">
        <f aca="false">IF(C1045=0,(1+Dic2025!$M$6)^(-B1045),EXP(LN(INDEX(Dic2025!$N$6:$N$205,C1045))+(LN(INDEX(Dic2025!$N$6:$N$205,MIN(C1045+1,200)))-LN(INDEX(Dic2025!$N$6:$N$205,C1045)))*(A1045-6*C1045)/6))</f>
        <v>0.00410951884299738</v>
      </c>
      <c r="K1045" s="12" t="n">
        <f aca="false">J1045^(-1/B1045)-1</f>
        <v>0.0653853787283965</v>
      </c>
      <c r="L1045" s="12" t="n">
        <f aca="false">(1+K1045)^(1/12)-1</f>
        <v>0.00529200274604391</v>
      </c>
    </row>
    <row r="1046" customFormat="false" ht="15" hidden="false" customHeight="false" outlineLevel="0" collapsed="false">
      <c r="A1046" s="4" t="n">
        <v>1042</v>
      </c>
      <c r="B1046" s="14" t="n">
        <f aca="false">A1046/12</f>
        <v>86.8333333333333</v>
      </c>
      <c r="C1046" s="15" t="n">
        <f aca="false">INT(A1046/6)</f>
        <v>173</v>
      </c>
      <c r="D1046" s="16" t="n">
        <f aca="false">IF(C1046=0,(1+Dic2025!$G$6)^(-B1046),EXP(LN(INDEX(Dic2025!$H$6:$H$205,C1046))+(LN(INDEX(Dic2025!$H$6:$H$205,MIN(C1046+1,200)))-LN(INDEX(Dic2025!$H$6:$H$205,C1046)))*(A1046-6*C1046)/6))</f>
        <v>0.00408216363435237</v>
      </c>
      <c r="E1046" s="12" t="n">
        <f aca="false">D1046^(-1/B1046)-1</f>
        <v>0.0654025651338259</v>
      </c>
      <c r="F1046" s="12" t="n">
        <f aca="false">(1+E1046)^(1/12)-1</f>
        <v>0.0052933541528164</v>
      </c>
      <c r="G1046" s="16" t="n">
        <f aca="false">IF(C1046=0,(1+Dic2025!$J$6)^(-B1046),EXP(LN(INDEX(Dic2025!$K$6:$K$205,C1046))+(LN(INDEX(Dic2025!$K$6:$K$205,MIN(C1046+1,200)))-LN(INDEX(Dic2025!$K$6:$K$205,C1046)))*(A1046-6*C1046)/6))</f>
        <v>0.00408216363435237</v>
      </c>
      <c r="H1046" s="12" t="n">
        <f aca="false">G1046^(-1/B1046)-1</f>
        <v>0.0654025651338259</v>
      </c>
      <c r="I1046" s="12" t="n">
        <f aca="false">(1+H1046)^(1/12)-1</f>
        <v>0.0052933541528164</v>
      </c>
      <c r="J1046" s="16" t="n">
        <f aca="false">IF(C1046=0,(1+Dic2025!$M$6)^(-B1046),EXP(LN(INDEX(Dic2025!$N$6:$N$205,C1046))+(LN(INDEX(Dic2025!$N$6:$N$205,MIN(C1046+1,200)))-LN(INDEX(Dic2025!$N$6:$N$205,C1046)))*(A1046-6*C1046)/6))</f>
        <v>0.00408216363435237</v>
      </c>
      <c r="K1046" s="12" t="n">
        <f aca="false">J1046^(-1/B1046)-1</f>
        <v>0.0654025651338259</v>
      </c>
      <c r="L1046" s="12" t="n">
        <f aca="false">(1+K1046)^(1/12)-1</f>
        <v>0.0052933541528164</v>
      </c>
    </row>
    <row r="1047" customFormat="false" ht="15" hidden="false" customHeight="false" outlineLevel="0" collapsed="false">
      <c r="A1047" s="4" t="n">
        <v>1043</v>
      </c>
      <c r="B1047" s="14" t="n">
        <f aca="false">A1047/12</f>
        <v>86.9166666666667</v>
      </c>
      <c r="C1047" s="15" t="n">
        <f aca="false">INT(A1047/6)</f>
        <v>173</v>
      </c>
      <c r="D1047" s="16" t="n">
        <f aca="false">IF(C1047=0,(1+Dic2025!$G$6)^(-B1047),EXP(LN(INDEX(Dic2025!$H$6:$H$205,C1047))+(LN(INDEX(Dic2025!$H$6:$H$205,MIN(C1047+1,200)))-LN(INDEX(Dic2025!$H$6:$H$205,C1047)))*(A1047-6*C1047)/6))</f>
        <v>0.0040549905169615</v>
      </c>
      <c r="E1047" s="12" t="n">
        <f aca="false">D1047^(-1/B1047)-1</f>
        <v>0.0654197188599883</v>
      </c>
      <c r="F1047" s="12" t="n">
        <f aca="false">(1+E1047)^(1/12)-1</f>
        <v>0.00529470297001633</v>
      </c>
      <c r="G1047" s="16" t="n">
        <f aca="false">IF(C1047=0,(1+Dic2025!$J$6)^(-B1047),EXP(LN(INDEX(Dic2025!$K$6:$K$205,C1047))+(LN(INDEX(Dic2025!$K$6:$K$205,MIN(C1047+1,200)))-LN(INDEX(Dic2025!$K$6:$K$205,C1047)))*(A1047-6*C1047)/6))</f>
        <v>0.0040549905169615</v>
      </c>
      <c r="H1047" s="12" t="n">
        <f aca="false">G1047^(-1/B1047)-1</f>
        <v>0.0654197188599883</v>
      </c>
      <c r="I1047" s="12" t="n">
        <f aca="false">(1+H1047)^(1/12)-1</f>
        <v>0.00529470297001633</v>
      </c>
      <c r="J1047" s="16" t="n">
        <f aca="false">IF(C1047=0,(1+Dic2025!$M$6)^(-B1047),EXP(LN(INDEX(Dic2025!$N$6:$N$205,C1047))+(LN(INDEX(Dic2025!$N$6:$N$205,MIN(C1047+1,200)))-LN(INDEX(Dic2025!$N$6:$N$205,C1047)))*(A1047-6*C1047)/6))</f>
        <v>0.0040549905169615</v>
      </c>
      <c r="K1047" s="12" t="n">
        <f aca="false">J1047^(-1/B1047)-1</f>
        <v>0.0654197188599883</v>
      </c>
      <c r="L1047" s="12" t="n">
        <f aca="false">(1+K1047)^(1/12)-1</f>
        <v>0.00529470297001633</v>
      </c>
    </row>
    <row r="1048" customFormat="false" ht="15" hidden="false" customHeight="false" outlineLevel="0" collapsed="false">
      <c r="A1048" s="4" t="n">
        <v>1044</v>
      </c>
      <c r="B1048" s="14" t="n">
        <f aca="false">A1048/12</f>
        <v>87</v>
      </c>
      <c r="C1048" s="15" t="n">
        <f aca="false">INT(A1048/6)</f>
        <v>174</v>
      </c>
      <c r="D1048" s="16" t="n">
        <f aca="false">IF(C1048=0,(1+Dic2025!$G$6)^(-B1048),EXP(LN(INDEX(Dic2025!$H$6:$H$205,C1048))+(LN(INDEX(Dic2025!$H$6:$H$205,MIN(C1048+1,200)))-LN(INDEX(Dic2025!$H$6:$H$205,C1048)))*(A1048-6*C1048)/6))</f>
        <v>0.00402799827872562</v>
      </c>
      <c r="E1048" s="12" t="n">
        <f aca="false">D1048^(-1/B1048)-1</f>
        <v>0.0654368400000001</v>
      </c>
      <c r="F1048" s="12" t="n">
        <f aca="false">(1+E1048)^(1/12)-1</f>
        <v>0.00529604920507953</v>
      </c>
      <c r="G1048" s="16" t="n">
        <f aca="false">IF(C1048=0,(1+Dic2025!$J$6)^(-B1048),EXP(LN(INDEX(Dic2025!$K$6:$K$205,C1048))+(LN(INDEX(Dic2025!$K$6:$K$205,MIN(C1048+1,200)))-LN(INDEX(Dic2025!$K$6:$K$205,C1048)))*(A1048-6*C1048)/6))</f>
        <v>0.00402799827872562</v>
      </c>
      <c r="H1048" s="12" t="n">
        <f aca="false">G1048^(-1/B1048)-1</f>
        <v>0.0654368400000001</v>
      </c>
      <c r="I1048" s="12" t="n">
        <f aca="false">(1+H1048)^(1/12)-1</f>
        <v>0.00529604920507953</v>
      </c>
      <c r="J1048" s="16" t="n">
        <f aca="false">IF(C1048=0,(1+Dic2025!$M$6)^(-B1048),EXP(LN(INDEX(Dic2025!$N$6:$N$205,C1048))+(LN(INDEX(Dic2025!$N$6:$N$205,MIN(C1048+1,200)))-LN(INDEX(Dic2025!$N$6:$N$205,C1048)))*(A1048-6*C1048)/6))</f>
        <v>0.00402799827872562</v>
      </c>
      <c r="K1048" s="12" t="n">
        <f aca="false">J1048^(-1/B1048)-1</f>
        <v>0.0654368400000001</v>
      </c>
      <c r="L1048" s="12" t="n">
        <f aca="false">(1+K1048)^(1/12)-1</f>
        <v>0.00529604920507953</v>
      </c>
    </row>
    <row r="1049" customFormat="false" ht="15" hidden="false" customHeight="false" outlineLevel="0" collapsed="false">
      <c r="A1049" s="4" t="n">
        <v>1045</v>
      </c>
      <c r="B1049" s="14" t="n">
        <f aca="false">A1049/12</f>
        <v>87.0833333333333</v>
      </c>
      <c r="C1049" s="15" t="n">
        <f aca="false">INT(A1049/6)</f>
        <v>174</v>
      </c>
      <c r="D1049" s="16" t="n">
        <f aca="false">IF(C1049=0,(1+Dic2025!$G$6)^(-B1049),EXP(LN(INDEX(Dic2025!$H$6:$H$205,C1049))+(LN(INDEX(Dic2025!$H$6:$H$205,MIN(C1049+1,200)))-LN(INDEX(Dic2025!$H$6:$H$205,C1049)))*(A1049-6*C1049)/6))</f>
        <v>0.00400677818430769</v>
      </c>
      <c r="E1049" s="12" t="n">
        <f aca="false">D1049^(-1/B1049)-1</f>
        <v>0.0654368400000001</v>
      </c>
      <c r="F1049" s="12" t="n">
        <f aca="false">(1+E1049)^(1/12)-1</f>
        <v>0.00529604920507953</v>
      </c>
      <c r="G1049" s="16" t="n">
        <f aca="false">IF(C1049=0,(1+Dic2025!$J$6)^(-B1049),EXP(LN(INDEX(Dic2025!$K$6:$K$205,C1049))+(LN(INDEX(Dic2025!$K$6:$K$205,MIN(C1049+1,200)))-LN(INDEX(Dic2025!$K$6:$K$205,C1049)))*(A1049-6*C1049)/6))</f>
        <v>0.00400677818430769</v>
      </c>
      <c r="H1049" s="12" t="n">
        <f aca="false">G1049^(-1/B1049)-1</f>
        <v>0.0654368400000001</v>
      </c>
      <c r="I1049" s="12" t="n">
        <f aca="false">(1+H1049)^(1/12)-1</f>
        <v>0.00529604920507953</v>
      </c>
      <c r="J1049" s="16" t="n">
        <f aca="false">IF(C1049=0,(1+Dic2025!$M$6)^(-B1049),EXP(LN(INDEX(Dic2025!$N$6:$N$205,C1049))+(LN(INDEX(Dic2025!$N$6:$N$205,MIN(C1049+1,200)))-LN(INDEX(Dic2025!$N$6:$N$205,C1049)))*(A1049-6*C1049)/6))</f>
        <v>0.00400677818430769</v>
      </c>
      <c r="K1049" s="12" t="n">
        <f aca="false">J1049^(-1/B1049)-1</f>
        <v>0.0654368400000001</v>
      </c>
      <c r="L1049" s="12" t="n">
        <f aca="false">(1+K1049)^(1/12)-1</f>
        <v>0.00529604920507953</v>
      </c>
    </row>
    <row r="1050" customFormat="false" ht="15" hidden="false" customHeight="false" outlineLevel="0" collapsed="false">
      <c r="A1050" s="4" t="n">
        <v>1046</v>
      </c>
      <c r="B1050" s="14" t="n">
        <f aca="false">A1050/12</f>
        <v>87.1666666666667</v>
      </c>
      <c r="C1050" s="15" t="n">
        <f aca="false">INT(A1050/6)</f>
        <v>174</v>
      </c>
      <c r="D1050" s="16" t="n">
        <f aca="false">IF(C1050=0,(1+Dic2025!$G$6)^(-B1050),EXP(LN(INDEX(Dic2025!$H$6:$H$205,C1050))+(LN(INDEX(Dic2025!$H$6:$H$205,MIN(C1050+1,200)))-LN(INDEX(Dic2025!$H$6:$H$205,C1050)))*(A1050-6*C1050)/6))</f>
        <v>0.00398566988050533</v>
      </c>
      <c r="E1050" s="12" t="n">
        <f aca="false">D1050^(-1/B1050)-1</f>
        <v>0.0654368400000001</v>
      </c>
      <c r="F1050" s="12" t="n">
        <f aca="false">(1+E1050)^(1/12)-1</f>
        <v>0.00529604920507953</v>
      </c>
      <c r="G1050" s="16" t="n">
        <f aca="false">IF(C1050=0,(1+Dic2025!$J$6)^(-B1050),EXP(LN(INDEX(Dic2025!$K$6:$K$205,C1050))+(LN(INDEX(Dic2025!$K$6:$K$205,MIN(C1050+1,200)))-LN(INDEX(Dic2025!$K$6:$K$205,C1050)))*(A1050-6*C1050)/6))</f>
        <v>0.00398566988050533</v>
      </c>
      <c r="H1050" s="12" t="n">
        <f aca="false">G1050^(-1/B1050)-1</f>
        <v>0.0654368400000001</v>
      </c>
      <c r="I1050" s="12" t="n">
        <f aca="false">(1+H1050)^(1/12)-1</f>
        <v>0.00529604920507953</v>
      </c>
      <c r="J1050" s="16" t="n">
        <f aca="false">IF(C1050=0,(1+Dic2025!$M$6)^(-B1050),EXP(LN(INDEX(Dic2025!$N$6:$N$205,C1050))+(LN(INDEX(Dic2025!$N$6:$N$205,MIN(C1050+1,200)))-LN(INDEX(Dic2025!$N$6:$N$205,C1050)))*(A1050-6*C1050)/6))</f>
        <v>0.00398566988050533</v>
      </c>
      <c r="K1050" s="12" t="n">
        <f aca="false">J1050^(-1/B1050)-1</f>
        <v>0.0654368400000001</v>
      </c>
      <c r="L1050" s="12" t="n">
        <f aca="false">(1+K1050)^(1/12)-1</f>
        <v>0.00529604920507953</v>
      </c>
    </row>
    <row r="1051" customFormat="false" ht="15" hidden="false" customHeight="false" outlineLevel="0" collapsed="false">
      <c r="A1051" s="4" t="n">
        <v>1047</v>
      </c>
      <c r="B1051" s="14" t="n">
        <f aca="false">A1051/12</f>
        <v>87.25</v>
      </c>
      <c r="C1051" s="15" t="n">
        <f aca="false">INT(A1051/6)</f>
        <v>174</v>
      </c>
      <c r="D1051" s="16" t="n">
        <f aca="false">IF(C1051=0,(1+Dic2025!$G$6)^(-B1051),EXP(LN(INDEX(Dic2025!$H$6:$H$205,C1051))+(LN(INDEX(Dic2025!$H$6:$H$205,MIN(C1051+1,200)))-LN(INDEX(Dic2025!$H$6:$H$205,C1051)))*(A1051-6*C1051)/6))</f>
        <v>0.00396467277838894</v>
      </c>
      <c r="E1051" s="12" t="n">
        <f aca="false">D1051^(-1/B1051)-1</f>
        <v>0.0654368400000001</v>
      </c>
      <c r="F1051" s="12" t="n">
        <f aca="false">(1+E1051)^(1/12)-1</f>
        <v>0.00529604920507953</v>
      </c>
      <c r="G1051" s="16" t="n">
        <f aca="false">IF(C1051=0,(1+Dic2025!$J$6)^(-B1051),EXP(LN(INDEX(Dic2025!$K$6:$K$205,C1051))+(LN(INDEX(Dic2025!$K$6:$K$205,MIN(C1051+1,200)))-LN(INDEX(Dic2025!$K$6:$K$205,C1051)))*(A1051-6*C1051)/6))</f>
        <v>0.00396467277838894</v>
      </c>
      <c r="H1051" s="12" t="n">
        <f aca="false">G1051^(-1/B1051)-1</f>
        <v>0.0654368400000001</v>
      </c>
      <c r="I1051" s="12" t="n">
        <f aca="false">(1+H1051)^(1/12)-1</f>
        <v>0.00529604920507953</v>
      </c>
      <c r="J1051" s="16" t="n">
        <f aca="false">IF(C1051=0,(1+Dic2025!$M$6)^(-B1051),EXP(LN(INDEX(Dic2025!$N$6:$N$205,C1051))+(LN(INDEX(Dic2025!$N$6:$N$205,MIN(C1051+1,200)))-LN(INDEX(Dic2025!$N$6:$N$205,C1051)))*(A1051-6*C1051)/6))</f>
        <v>0.00396467277838894</v>
      </c>
      <c r="K1051" s="12" t="n">
        <f aca="false">J1051^(-1/B1051)-1</f>
        <v>0.0654368400000001</v>
      </c>
      <c r="L1051" s="12" t="n">
        <f aca="false">(1+K1051)^(1/12)-1</f>
        <v>0.00529604920507953</v>
      </c>
    </row>
    <row r="1052" customFormat="false" ht="15" hidden="false" customHeight="false" outlineLevel="0" collapsed="false">
      <c r="A1052" s="4" t="n">
        <v>1048</v>
      </c>
      <c r="B1052" s="14" t="n">
        <f aca="false">A1052/12</f>
        <v>87.3333333333333</v>
      </c>
      <c r="C1052" s="15" t="n">
        <f aca="false">INT(A1052/6)</f>
        <v>174</v>
      </c>
      <c r="D1052" s="16" t="n">
        <f aca="false">IF(C1052=0,(1+Dic2025!$G$6)^(-B1052),EXP(LN(INDEX(Dic2025!$H$6:$H$205,C1052))+(LN(INDEX(Dic2025!$H$6:$H$205,MIN(C1052+1,200)))-LN(INDEX(Dic2025!$H$6:$H$205,C1052)))*(A1052-6*C1052)/6))</f>
        <v>0.0039437862921315</v>
      </c>
      <c r="E1052" s="12" t="n">
        <f aca="false">D1052^(-1/B1052)-1</f>
        <v>0.0654368400000001</v>
      </c>
      <c r="F1052" s="12" t="n">
        <f aca="false">(1+E1052)^(1/12)-1</f>
        <v>0.00529604920507953</v>
      </c>
      <c r="G1052" s="16" t="n">
        <f aca="false">IF(C1052=0,(1+Dic2025!$J$6)^(-B1052),EXP(LN(INDEX(Dic2025!$K$6:$K$205,C1052))+(LN(INDEX(Dic2025!$K$6:$K$205,MIN(C1052+1,200)))-LN(INDEX(Dic2025!$K$6:$K$205,C1052)))*(A1052-6*C1052)/6))</f>
        <v>0.0039437862921315</v>
      </c>
      <c r="H1052" s="12" t="n">
        <f aca="false">G1052^(-1/B1052)-1</f>
        <v>0.0654368400000001</v>
      </c>
      <c r="I1052" s="12" t="n">
        <f aca="false">(1+H1052)^(1/12)-1</f>
        <v>0.00529604920507953</v>
      </c>
      <c r="J1052" s="16" t="n">
        <f aca="false">IF(C1052=0,(1+Dic2025!$M$6)^(-B1052),EXP(LN(INDEX(Dic2025!$N$6:$N$205,C1052))+(LN(INDEX(Dic2025!$N$6:$N$205,MIN(C1052+1,200)))-LN(INDEX(Dic2025!$N$6:$N$205,C1052)))*(A1052-6*C1052)/6))</f>
        <v>0.0039437862921315</v>
      </c>
      <c r="K1052" s="12" t="n">
        <f aca="false">J1052^(-1/B1052)-1</f>
        <v>0.0654368400000001</v>
      </c>
      <c r="L1052" s="12" t="n">
        <f aca="false">(1+K1052)^(1/12)-1</f>
        <v>0.00529604920507953</v>
      </c>
    </row>
    <row r="1053" customFormat="false" ht="15" hidden="false" customHeight="false" outlineLevel="0" collapsed="false">
      <c r="A1053" s="4" t="n">
        <v>1049</v>
      </c>
      <c r="B1053" s="14" t="n">
        <f aca="false">A1053/12</f>
        <v>87.4166666666667</v>
      </c>
      <c r="C1053" s="15" t="n">
        <f aca="false">INT(A1053/6)</f>
        <v>174</v>
      </c>
      <c r="D1053" s="16" t="n">
        <f aca="false">IF(C1053=0,(1+Dic2025!$G$6)^(-B1053),EXP(LN(INDEX(Dic2025!$H$6:$H$205,C1053))+(LN(INDEX(Dic2025!$H$6:$H$205,MIN(C1053+1,200)))-LN(INDEX(Dic2025!$H$6:$H$205,C1053)))*(A1053-6*C1053)/6))</f>
        <v>0.00392300983899218</v>
      </c>
      <c r="E1053" s="12" t="n">
        <f aca="false">D1053^(-1/B1053)-1</f>
        <v>0.0654368400000001</v>
      </c>
      <c r="F1053" s="12" t="n">
        <f aca="false">(1+E1053)^(1/12)-1</f>
        <v>0.00529604920507953</v>
      </c>
      <c r="G1053" s="16" t="n">
        <f aca="false">IF(C1053=0,(1+Dic2025!$J$6)^(-B1053),EXP(LN(INDEX(Dic2025!$K$6:$K$205,C1053))+(LN(INDEX(Dic2025!$K$6:$K$205,MIN(C1053+1,200)))-LN(INDEX(Dic2025!$K$6:$K$205,C1053)))*(A1053-6*C1053)/6))</f>
        <v>0.00392300983899218</v>
      </c>
      <c r="H1053" s="12" t="n">
        <f aca="false">G1053^(-1/B1053)-1</f>
        <v>0.0654368400000001</v>
      </c>
      <c r="I1053" s="12" t="n">
        <f aca="false">(1+H1053)^(1/12)-1</f>
        <v>0.00529604920507953</v>
      </c>
      <c r="J1053" s="16" t="n">
        <f aca="false">IF(C1053=0,(1+Dic2025!$M$6)^(-B1053),EXP(LN(INDEX(Dic2025!$N$6:$N$205,C1053))+(LN(INDEX(Dic2025!$N$6:$N$205,MIN(C1053+1,200)))-LN(INDEX(Dic2025!$N$6:$N$205,C1053)))*(A1053-6*C1053)/6))</f>
        <v>0.00392300983899218</v>
      </c>
      <c r="K1053" s="12" t="n">
        <f aca="false">J1053^(-1/B1053)-1</f>
        <v>0.0654368400000001</v>
      </c>
      <c r="L1053" s="12" t="n">
        <f aca="false">(1+K1053)^(1/12)-1</f>
        <v>0.00529604920507953</v>
      </c>
    </row>
    <row r="1054" customFormat="false" ht="15" hidden="false" customHeight="false" outlineLevel="0" collapsed="false">
      <c r="A1054" s="4" t="n">
        <v>1050</v>
      </c>
      <c r="B1054" s="14" t="n">
        <f aca="false">A1054/12</f>
        <v>87.5</v>
      </c>
      <c r="C1054" s="15" t="n">
        <f aca="false">INT(A1054/6)</f>
        <v>175</v>
      </c>
      <c r="D1054" s="16" t="n">
        <f aca="false">IF(C1054=0,(1+Dic2025!$G$6)^(-B1054),EXP(LN(INDEX(Dic2025!$H$6:$H$205,C1054))+(LN(INDEX(Dic2025!$H$6:$H$205,MIN(C1054+1,200)))-LN(INDEX(Dic2025!$H$6:$H$205,C1054)))*(A1054-6*C1054)/6))</f>
        <v>0.00390234283930016</v>
      </c>
      <c r="E1054" s="12" t="n">
        <f aca="false">D1054^(-1/B1054)-1</f>
        <v>0.0654368400000001</v>
      </c>
      <c r="F1054" s="12" t="n">
        <f aca="false">(1+E1054)^(1/12)-1</f>
        <v>0.00529604920507953</v>
      </c>
      <c r="G1054" s="16" t="n">
        <f aca="false">IF(C1054=0,(1+Dic2025!$J$6)^(-B1054),EXP(LN(INDEX(Dic2025!$K$6:$K$205,C1054))+(LN(INDEX(Dic2025!$K$6:$K$205,MIN(C1054+1,200)))-LN(INDEX(Dic2025!$K$6:$K$205,C1054)))*(A1054-6*C1054)/6))</f>
        <v>0.00390234283930016</v>
      </c>
      <c r="H1054" s="12" t="n">
        <f aca="false">G1054^(-1/B1054)-1</f>
        <v>0.0654368400000001</v>
      </c>
      <c r="I1054" s="12" t="n">
        <f aca="false">(1+H1054)^(1/12)-1</f>
        <v>0.00529604920507953</v>
      </c>
      <c r="J1054" s="16" t="n">
        <f aca="false">IF(C1054=0,(1+Dic2025!$M$6)^(-B1054),EXP(LN(INDEX(Dic2025!$N$6:$N$205,C1054))+(LN(INDEX(Dic2025!$N$6:$N$205,MIN(C1054+1,200)))-LN(INDEX(Dic2025!$N$6:$N$205,C1054)))*(A1054-6*C1054)/6))</f>
        <v>0.00390234283930016</v>
      </c>
      <c r="K1054" s="12" t="n">
        <f aca="false">J1054^(-1/B1054)-1</f>
        <v>0.0654368400000001</v>
      </c>
      <c r="L1054" s="12" t="n">
        <f aca="false">(1+K1054)^(1/12)-1</f>
        <v>0.00529604920507953</v>
      </c>
    </row>
    <row r="1055" customFormat="false" ht="15" hidden="false" customHeight="false" outlineLevel="0" collapsed="false">
      <c r="A1055" s="4" t="n">
        <v>1051</v>
      </c>
      <c r="B1055" s="14" t="n">
        <f aca="false">A1055/12</f>
        <v>87.5833333333333</v>
      </c>
      <c r="C1055" s="15" t="n">
        <f aca="false">INT(A1055/6)</f>
        <v>175</v>
      </c>
      <c r="D1055" s="16" t="n">
        <f aca="false">IF(C1055=0,(1+Dic2025!$G$6)^(-B1055),EXP(LN(INDEX(Dic2025!$H$6:$H$205,C1055))+(LN(INDEX(Dic2025!$H$6:$H$205,MIN(C1055+1,200)))-LN(INDEX(Dic2025!$H$6:$H$205,C1055)))*(A1055-6*C1055)/6))</f>
        <v>0.00388178471643837</v>
      </c>
      <c r="E1055" s="12" t="n">
        <f aca="false">D1055^(-1/B1055)-1</f>
        <v>0.0654368400000001</v>
      </c>
      <c r="F1055" s="12" t="n">
        <f aca="false">(1+E1055)^(1/12)-1</f>
        <v>0.00529604920507953</v>
      </c>
      <c r="G1055" s="16" t="n">
        <f aca="false">IF(C1055=0,(1+Dic2025!$J$6)^(-B1055),EXP(LN(INDEX(Dic2025!$K$6:$K$205,C1055))+(LN(INDEX(Dic2025!$K$6:$K$205,MIN(C1055+1,200)))-LN(INDEX(Dic2025!$K$6:$K$205,C1055)))*(A1055-6*C1055)/6))</f>
        <v>0.00388178471643837</v>
      </c>
      <c r="H1055" s="12" t="n">
        <f aca="false">G1055^(-1/B1055)-1</f>
        <v>0.0654368400000001</v>
      </c>
      <c r="I1055" s="12" t="n">
        <f aca="false">(1+H1055)^(1/12)-1</f>
        <v>0.00529604920507953</v>
      </c>
      <c r="J1055" s="16" t="n">
        <f aca="false">IF(C1055=0,(1+Dic2025!$M$6)^(-B1055),EXP(LN(INDEX(Dic2025!$N$6:$N$205,C1055))+(LN(INDEX(Dic2025!$N$6:$N$205,MIN(C1055+1,200)))-LN(INDEX(Dic2025!$N$6:$N$205,C1055)))*(A1055-6*C1055)/6))</f>
        <v>0.00388178471643837</v>
      </c>
      <c r="K1055" s="12" t="n">
        <f aca="false">J1055^(-1/B1055)-1</f>
        <v>0.0654368400000001</v>
      </c>
      <c r="L1055" s="12" t="n">
        <f aca="false">(1+K1055)^(1/12)-1</f>
        <v>0.00529604920507953</v>
      </c>
    </row>
    <row r="1056" customFormat="false" ht="15" hidden="false" customHeight="false" outlineLevel="0" collapsed="false">
      <c r="A1056" s="4" t="n">
        <v>1052</v>
      </c>
      <c r="B1056" s="14" t="n">
        <f aca="false">A1056/12</f>
        <v>87.6666666666667</v>
      </c>
      <c r="C1056" s="15" t="n">
        <f aca="false">INT(A1056/6)</f>
        <v>175</v>
      </c>
      <c r="D1056" s="16" t="n">
        <f aca="false">IF(C1056=0,(1+Dic2025!$G$6)^(-B1056),EXP(LN(INDEX(Dic2025!$H$6:$H$205,C1056))+(LN(INDEX(Dic2025!$H$6:$H$205,MIN(C1056+1,200)))-LN(INDEX(Dic2025!$H$6:$H$205,C1056)))*(A1056-6*C1056)/6))</f>
        <v>0.00386133489682748</v>
      </c>
      <c r="E1056" s="12" t="n">
        <f aca="false">D1056^(-1/B1056)-1</f>
        <v>0.0654368400000001</v>
      </c>
      <c r="F1056" s="12" t="n">
        <f aca="false">(1+E1056)^(1/12)-1</f>
        <v>0.00529604920507953</v>
      </c>
      <c r="G1056" s="16" t="n">
        <f aca="false">IF(C1056=0,(1+Dic2025!$J$6)^(-B1056),EXP(LN(INDEX(Dic2025!$K$6:$K$205,C1056))+(LN(INDEX(Dic2025!$K$6:$K$205,MIN(C1056+1,200)))-LN(INDEX(Dic2025!$K$6:$K$205,C1056)))*(A1056-6*C1056)/6))</f>
        <v>0.00386133489682748</v>
      </c>
      <c r="H1056" s="12" t="n">
        <f aca="false">G1056^(-1/B1056)-1</f>
        <v>0.0654368400000001</v>
      </c>
      <c r="I1056" s="12" t="n">
        <f aca="false">(1+H1056)^(1/12)-1</f>
        <v>0.00529604920507953</v>
      </c>
      <c r="J1056" s="16" t="n">
        <f aca="false">IF(C1056=0,(1+Dic2025!$M$6)^(-B1056),EXP(LN(INDEX(Dic2025!$N$6:$N$205,C1056))+(LN(INDEX(Dic2025!$N$6:$N$205,MIN(C1056+1,200)))-LN(INDEX(Dic2025!$N$6:$N$205,C1056)))*(A1056-6*C1056)/6))</f>
        <v>0.00386133489682748</v>
      </c>
      <c r="K1056" s="12" t="n">
        <f aca="false">J1056^(-1/B1056)-1</f>
        <v>0.0654368400000001</v>
      </c>
      <c r="L1056" s="12" t="n">
        <f aca="false">(1+K1056)^(1/12)-1</f>
        <v>0.00529604920507953</v>
      </c>
    </row>
    <row r="1057" customFormat="false" ht="15" hidden="false" customHeight="false" outlineLevel="0" collapsed="false">
      <c r="A1057" s="4" t="n">
        <v>1053</v>
      </c>
      <c r="B1057" s="14" t="n">
        <f aca="false">A1057/12</f>
        <v>87.75</v>
      </c>
      <c r="C1057" s="15" t="n">
        <f aca="false">INT(A1057/6)</f>
        <v>175</v>
      </c>
      <c r="D1057" s="16" t="n">
        <f aca="false">IF(C1057=0,(1+Dic2025!$G$6)^(-B1057),EXP(LN(INDEX(Dic2025!$H$6:$H$205,C1057))+(LN(INDEX(Dic2025!$H$6:$H$205,MIN(C1057+1,200)))-LN(INDEX(Dic2025!$H$6:$H$205,C1057)))*(A1057-6*C1057)/6))</f>
        <v>0.00384099280990985</v>
      </c>
      <c r="E1057" s="12" t="n">
        <f aca="false">D1057^(-1/B1057)-1</f>
        <v>0.0654368400000001</v>
      </c>
      <c r="F1057" s="12" t="n">
        <f aca="false">(1+E1057)^(1/12)-1</f>
        <v>0.00529604920507953</v>
      </c>
      <c r="G1057" s="16" t="n">
        <f aca="false">IF(C1057=0,(1+Dic2025!$J$6)^(-B1057),EXP(LN(INDEX(Dic2025!$K$6:$K$205,C1057))+(LN(INDEX(Dic2025!$K$6:$K$205,MIN(C1057+1,200)))-LN(INDEX(Dic2025!$K$6:$K$205,C1057)))*(A1057-6*C1057)/6))</f>
        <v>0.00384099280990985</v>
      </c>
      <c r="H1057" s="12" t="n">
        <f aca="false">G1057^(-1/B1057)-1</f>
        <v>0.0654368400000001</v>
      </c>
      <c r="I1057" s="12" t="n">
        <f aca="false">(1+H1057)^(1/12)-1</f>
        <v>0.00529604920507953</v>
      </c>
      <c r="J1057" s="16" t="n">
        <f aca="false">IF(C1057=0,(1+Dic2025!$M$6)^(-B1057),EXP(LN(INDEX(Dic2025!$N$6:$N$205,C1057))+(LN(INDEX(Dic2025!$N$6:$N$205,MIN(C1057+1,200)))-LN(INDEX(Dic2025!$N$6:$N$205,C1057)))*(A1057-6*C1057)/6))</f>
        <v>0.00384099280990985</v>
      </c>
      <c r="K1057" s="12" t="n">
        <f aca="false">J1057^(-1/B1057)-1</f>
        <v>0.0654368400000001</v>
      </c>
      <c r="L1057" s="12" t="n">
        <f aca="false">(1+K1057)^(1/12)-1</f>
        <v>0.00529604920507953</v>
      </c>
    </row>
    <row r="1058" customFormat="false" ht="15" hidden="false" customHeight="false" outlineLevel="0" collapsed="false">
      <c r="A1058" s="4" t="n">
        <v>1054</v>
      </c>
      <c r="B1058" s="14" t="n">
        <f aca="false">A1058/12</f>
        <v>87.8333333333333</v>
      </c>
      <c r="C1058" s="15" t="n">
        <f aca="false">INT(A1058/6)</f>
        <v>175</v>
      </c>
      <c r="D1058" s="16" t="n">
        <f aca="false">IF(C1058=0,(1+Dic2025!$G$6)^(-B1058),EXP(LN(INDEX(Dic2025!$H$6:$H$205,C1058))+(LN(INDEX(Dic2025!$H$6:$H$205,MIN(C1058+1,200)))-LN(INDEX(Dic2025!$H$6:$H$205,C1058)))*(A1058-6*C1058)/6))</f>
        <v>0.00382075788813359</v>
      </c>
      <c r="E1058" s="12" t="n">
        <f aca="false">D1058^(-1/B1058)-1</f>
        <v>0.0654368400000001</v>
      </c>
      <c r="F1058" s="12" t="n">
        <f aca="false">(1+E1058)^(1/12)-1</f>
        <v>0.00529604920507953</v>
      </c>
      <c r="G1058" s="16" t="n">
        <f aca="false">IF(C1058=0,(1+Dic2025!$J$6)^(-B1058),EXP(LN(INDEX(Dic2025!$K$6:$K$205,C1058))+(LN(INDEX(Dic2025!$K$6:$K$205,MIN(C1058+1,200)))-LN(INDEX(Dic2025!$K$6:$K$205,C1058)))*(A1058-6*C1058)/6))</f>
        <v>0.00382075788813359</v>
      </c>
      <c r="H1058" s="12" t="n">
        <f aca="false">G1058^(-1/B1058)-1</f>
        <v>0.0654368400000001</v>
      </c>
      <c r="I1058" s="12" t="n">
        <f aca="false">(1+H1058)^(1/12)-1</f>
        <v>0.00529604920507953</v>
      </c>
      <c r="J1058" s="16" t="n">
        <f aca="false">IF(C1058=0,(1+Dic2025!$M$6)^(-B1058),EXP(LN(INDEX(Dic2025!$N$6:$N$205,C1058))+(LN(INDEX(Dic2025!$N$6:$N$205,MIN(C1058+1,200)))-LN(INDEX(Dic2025!$N$6:$N$205,C1058)))*(A1058-6*C1058)/6))</f>
        <v>0.00382075788813359</v>
      </c>
      <c r="K1058" s="12" t="n">
        <f aca="false">J1058^(-1/B1058)-1</f>
        <v>0.0654368400000001</v>
      </c>
      <c r="L1058" s="12" t="n">
        <f aca="false">(1+K1058)^(1/12)-1</f>
        <v>0.00529604920507953</v>
      </c>
    </row>
    <row r="1059" customFormat="false" ht="15" hidden="false" customHeight="false" outlineLevel="0" collapsed="false">
      <c r="A1059" s="4" t="n">
        <v>1055</v>
      </c>
      <c r="B1059" s="14" t="n">
        <f aca="false">A1059/12</f>
        <v>87.9166666666667</v>
      </c>
      <c r="C1059" s="15" t="n">
        <f aca="false">INT(A1059/6)</f>
        <v>175</v>
      </c>
      <c r="D1059" s="16" t="n">
        <f aca="false">IF(C1059=0,(1+Dic2025!$G$6)^(-B1059),EXP(LN(INDEX(Dic2025!$H$6:$H$205,C1059))+(LN(INDEX(Dic2025!$H$6:$H$205,MIN(C1059+1,200)))-LN(INDEX(Dic2025!$H$6:$H$205,C1059)))*(A1059-6*C1059)/6))</f>
        <v>0.00380062956693681</v>
      </c>
      <c r="E1059" s="12" t="n">
        <f aca="false">D1059^(-1/B1059)-1</f>
        <v>0.0654368400000001</v>
      </c>
      <c r="F1059" s="12" t="n">
        <f aca="false">(1+E1059)^(1/12)-1</f>
        <v>0.00529604920507953</v>
      </c>
      <c r="G1059" s="16" t="n">
        <f aca="false">IF(C1059=0,(1+Dic2025!$J$6)^(-B1059),EXP(LN(INDEX(Dic2025!$K$6:$K$205,C1059))+(LN(INDEX(Dic2025!$K$6:$K$205,MIN(C1059+1,200)))-LN(INDEX(Dic2025!$K$6:$K$205,C1059)))*(A1059-6*C1059)/6))</f>
        <v>0.00380062956693681</v>
      </c>
      <c r="H1059" s="12" t="n">
        <f aca="false">G1059^(-1/B1059)-1</f>
        <v>0.0654368400000001</v>
      </c>
      <c r="I1059" s="12" t="n">
        <f aca="false">(1+H1059)^(1/12)-1</f>
        <v>0.00529604920507953</v>
      </c>
      <c r="J1059" s="16" t="n">
        <f aca="false">IF(C1059=0,(1+Dic2025!$M$6)^(-B1059),EXP(LN(INDEX(Dic2025!$N$6:$N$205,C1059))+(LN(INDEX(Dic2025!$N$6:$N$205,MIN(C1059+1,200)))-LN(INDEX(Dic2025!$N$6:$N$205,C1059)))*(A1059-6*C1059)/6))</f>
        <v>0.00380062956693681</v>
      </c>
      <c r="K1059" s="12" t="n">
        <f aca="false">J1059^(-1/B1059)-1</f>
        <v>0.0654368400000001</v>
      </c>
      <c r="L1059" s="12" t="n">
        <f aca="false">(1+K1059)^(1/12)-1</f>
        <v>0.00529604920507953</v>
      </c>
    </row>
    <row r="1060" customFormat="false" ht="15" hidden="false" customHeight="false" outlineLevel="0" collapsed="false">
      <c r="A1060" s="4" t="n">
        <v>1056</v>
      </c>
      <c r="B1060" s="14" t="n">
        <f aca="false">A1060/12</f>
        <v>88</v>
      </c>
      <c r="C1060" s="15" t="n">
        <f aca="false">INT(A1060/6)</f>
        <v>176</v>
      </c>
      <c r="D1060" s="16" t="n">
        <f aca="false">IF(C1060=0,(1+Dic2025!$G$6)^(-B1060),EXP(LN(INDEX(Dic2025!$H$6:$H$205,C1060))+(LN(INDEX(Dic2025!$H$6:$H$205,MIN(C1060+1,200)))-LN(INDEX(Dic2025!$H$6:$H$205,C1060)))*(A1060-6*C1060)/6))</f>
        <v>0.00378060728473179</v>
      </c>
      <c r="E1060" s="12" t="n">
        <f aca="false">D1060^(-1/B1060)-1</f>
        <v>0.0654368400000001</v>
      </c>
      <c r="F1060" s="12" t="n">
        <f aca="false">(1+E1060)^(1/12)-1</f>
        <v>0.00529604920507953</v>
      </c>
      <c r="G1060" s="16" t="n">
        <f aca="false">IF(C1060=0,(1+Dic2025!$J$6)^(-B1060),EXP(LN(INDEX(Dic2025!$K$6:$K$205,C1060))+(LN(INDEX(Dic2025!$K$6:$K$205,MIN(C1060+1,200)))-LN(INDEX(Dic2025!$K$6:$K$205,C1060)))*(A1060-6*C1060)/6))</f>
        <v>0.00378060728473179</v>
      </c>
      <c r="H1060" s="12" t="n">
        <f aca="false">G1060^(-1/B1060)-1</f>
        <v>0.0654368400000001</v>
      </c>
      <c r="I1060" s="12" t="n">
        <f aca="false">(1+H1060)^(1/12)-1</f>
        <v>0.00529604920507953</v>
      </c>
      <c r="J1060" s="16" t="n">
        <f aca="false">IF(C1060=0,(1+Dic2025!$M$6)^(-B1060),EXP(LN(INDEX(Dic2025!$N$6:$N$205,C1060))+(LN(INDEX(Dic2025!$N$6:$N$205,MIN(C1060+1,200)))-LN(INDEX(Dic2025!$N$6:$N$205,C1060)))*(A1060-6*C1060)/6))</f>
        <v>0.00378060728473179</v>
      </c>
      <c r="K1060" s="12" t="n">
        <f aca="false">J1060^(-1/B1060)-1</f>
        <v>0.0654368400000001</v>
      </c>
      <c r="L1060" s="12" t="n">
        <f aca="false">(1+K1060)^(1/12)-1</f>
        <v>0.00529604920507953</v>
      </c>
    </row>
    <row r="1061" customFormat="false" ht="15" hidden="false" customHeight="false" outlineLevel="0" collapsed="false">
      <c r="A1061" s="4" t="n">
        <v>1057</v>
      </c>
      <c r="B1061" s="14" t="n">
        <f aca="false">A1061/12</f>
        <v>88.0833333333333</v>
      </c>
      <c r="C1061" s="15" t="n">
        <f aca="false">INT(A1061/6)</f>
        <v>176</v>
      </c>
      <c r="D1061" s="16" t="n">
        <f aca="false">IF(C1061=0,(1+Dic2025!$G$6)^(-B1061),EXP(LN(INDEX(Dic2025!$H$6:$H$205,C1061))+(LN(INDEX(Dic2025!$H$6:$H$205,MIN(C1061+1,200)))-LN(INDEX(Dic2025!$H$6:$H$205,C1061)))*(A1061-6*C1061)/6))</f>
        <v>0.00376069048288934</v>
      </c>
      <c r="E1061" s="12" t="n">
        <f aca="false">D1061^(-1/B1061)-1</f>
        <v>0.0654368400000001</v>
      </c>
      <c r="F1061" s="12" t="n">
        <f aca="false">(1+E1061)^(1/12)-1</f>
        <v>0.00529604920507953</v>
      </c>
      <c r="G1061" s="16" t="n">
        <f aca="false">IF(C1061=0,(1+Dic2025!$J$6)^(-B1061),EXP(LN(INDEX(Dic2025!$K$6:$K$205,C1061))+(LN(INDEX(Dic2025!$K$6:$K$205,MIN(C1061+1,200)))-LN(INDEX(Dic2025!$K$6:$K$205,C1061)))*(A1061-6*C1061)/6))</f>
        <v>0.00376069048288934</v>
      </c>
      <c r="H1061" s="12" t="n">
        <f aca="false">G1061^(-1/B1061)-1</f>
        <v>0.0654368400000001</v>
      </c>
      <c r="I1061" s="12" t="n">
        <f aca="false">(1+H1061)^(1/12)-1</f>
        <v>0.00529604920507953</v>
      </c>
      <c r="J1061" s="16" t="n">
        <f aca="false">IF(C1061=0,(1+Dic2025!$M$6)^(-B1061),EXP(LN(INDEX(Dic2025!$N$6:$N$205,C1061))+(LN(INDEX(Dic2025!$N$6:$N$205,MIN(C1061+1,200)))-LN(INDEX(Dic2025!$N$6:$N$205,C1061)))*(A1061-6*C1061)/6))</f>
        <v>0.00376069048288934</v>
      </c>
      <c r="K1061" s="12" t="n">
        <f aca="false">J1061^(-1/B1061)-1</f>
        <v>0.0654368400000001</v>
      </c>
      <c r="L1061" s="12" t="n">
        <f aca="false">(1+K1061)^(1/12)-1</f>
        <v>0.00529604920507953</v>
      </c>
    </row>
    <row r="1062" customFormat="false" ht="15" hidden="false" customHeight="false" outlineLevel="0" collapsed="false">
      <c r="A1062" s="4" t="n">
        <v>1058</v>
      </c>
      <c r="B1062" s="14" t="n">
        <f aca="false">A1062/12</f>
        <v>88.1666666666667</v>
      </c>
      <c r="C1062" s="15" t="n">
        <f aca="false">INT(A1062/6)</f>
        <v>176</v>
      </c>
      <c r="D1062" s="16" t="n">
        <f aca="false">IF(C1062=0,(1+Dic2025!$G$6)^(-B1062),EXP(LN(INDEX(Dic2025!$H$6:$H$205,C1062))+(LN(INDEX(Dic2025!$H$6:$H$205,MIN(C1062+1,200)))-LN(INDEX(Dic2025!$H$6:$H$205,C1062)))*(A1062-6*C1062)/6))</f>
        <v>0.0037408786057232</v>
      </c>
      <c r="E1062" s="12" t="n">
        <f aca="false">D1062^(-1/B1062)-1</f>
        <v>0.0654368400000001</v>
      </c>
      <c r="F1062" s="12" t="n">
        <f aca="false">(1+E1062)^(1/12)-1</f>
        <v>0.00529604920507953</v>
      </c>
      <c r="G1062" s="16" t="n">
        <f aca="false">IF(C1062=0,(1+Dic2025!$J$6)^(-B1062),EXP(LN(INDEX(Dic2025!$K$6:$K$205,C1062))+(LN(INDEX(Dic2025!$K$6:$K$205,MIN(C1062+1,200)))-LN(INDEX(Dic2025!$K$6:$K$205,C1062)))*(A1062-6*C1062)/6))</f>
        <v>0.0037408786057232</v>
      </c>
      <c r="H1062" s="12" t="n">
        <f aca="false">G1062^(-1/B1062)-1</f>
        <v>0.0654368400000001</v>
      </c>
      <c r="I1062" s="12" t="n">
        <f aca="false">(1+H1062)^(1/12)-1</f>
        <v>0.00529604920507953</v>
      </c>
      <c r="J1062" s="16" t="n">
        <f aca="false">IF(C1062=0,(1+Dic2025!$M$6)^(-B1062),EXP(LN(INDEX(Dic2025!$N$6:$N$205,C1062))+(LN(INDEX(Dic2025!$N$6:$N$205,MIN(C1062+1,200)))-LN(INDEX(Dic2025!$N$6:$N$205,C1062)))*(A1062-6*C1062)/6))</f>
        <v>0.0037408786057232</v>
      </c>
      <c r="K1062" s="12" t="n">
        <f aca="false">J1062^(-1/B1062)-1</f>
        <v>0.0654368400000001</v>
      </c>
      <c r="L1062" s="12" t="n">
        <f aca="false">(1+K1062)^(1/12)-1</f>
        <v>0.00529604920507953</v>
      </c>
    </row>
    <row r="1063" customFormat="false" ht="15" hidden="false" customHeight="false" outlineLevel="0" collapsed="false">
      <c r="A1063" s="4" t="n">
        <v>1059</v>
      </c>
      <c r="B1063" s="14" t="n">
        <f aca="false">A1063/12</f>
        <v>88.25</v>
      </c>
      <c r="C1063" s="15" t="n">
        <f aca="false">INT(A1063/6)</f>
        <v>176</v>
      </c>
      <c r="D1063" s="16" t="n">
        <f aca="false">IF(C1063=0,(1+Dic2025!$G$6)^(-B1063),EXP(LN(INDEX(Dic2025!$H$6:$H$205,C1063))+(LN(INDEX(Dic2025!$H$6:$H$205,MIN(C1063+1,200)))-LN(INDEX(Dic2025!$H$6:$H$205,C1063)))*(A1063-6*C1063)/6))</f>
        <v>0.00372117110047456</v>
      </c>
      <c r="E1063" s="12" t="n">
        <f aca="false">D1063^(-1/B1063)-1</f>
        <v>0.0654368400000001</v>
      </c>
      <c r="F1063" s="12" t="n">
        <f aca="false">(1+E1063)^(1/12)-1</f>
        <v>0.00529604920507953</v>
      </c>
      <c r="G1063" s="16" t="n">
        <f aca="false">IF(C1063=0,(1+Dic2025!$J$6)^(-B1063),EXP(LN(INDEX(Dic2025!$K$6:$K$205,C1063))+(LN(INDEX(Dic2025!$K$6:$K$205,MIN(C1063+1,200)))-LN(INDEX(Dic2025!$K$6:$K$205,C1063)))*(A1063-6*C1063)/6))</f>
        <v>0.00372117110047456</v>
      </c>
      <c r="H1063" s="12" t="n">
        <f aca="false">G1063^(-1/B1063)-1</f>
        <v>0.0654368400000001</v>
      </c>
      <c r="I1063" s="12" t="n">
        <f aca="false">(1+H1063)^(1/12)-1</f>
        <v>0.00529604920507953</v>
      </c>
      <c r="J1063" s="16" t="n">
        <f aca="false">IF(C1063=0,(1+Dic2025!$M$6)^(-B1063),EXP(LN(INDEX(Dic2025!$N$6:$N$205,C1063))+(LN(INDEX(Dic2025!$N$6:$N$205,MIN(C1063+1,200)))-LN(INDEX(Dic2025!$N$6:$N$205,C1063)))*(A1063-6*C1063)/6))</f>
        <v>0.00372117110047456</v>
      </c>
      <c r="K1063" s="12" t="n">
        <f aca="false">J1063^(-1/B1063)-1</f>
        <v>0.0654368400000001</v>
      </c>
      <c r="L1063" s="12" t="n">
        <f aca="false">(1+K1063)^(1/12)-1</f>
        <v>0.00529604920507953</v>
      </c>
    </row>
    <row r="1064" customFormat="false" ht="15" hidden="false" customHeight="false" outlineLevel="0" collapsed="false">
      <c r="A1064" s="4" t="n">
        <v>1060</v>
      </c>
      <c r="B1064" s="14" t="n">
        <f aca="false">A1064/12</f>
        <v>88.3333333333333</v>
      </c>
      <c r="C1064" s="15" t="n">
        <f aca="false">INT(A1064/6)</f>
        <v>176</v>
      </c>
      <c r="D1064" s="16" t="n">
        <f aca="false">IF(C1064=0,(1+Dic2025!$G$6)^(-B1064),EXP(LN(INDEX(Dic2025!$H$6:$H$205,C1064))+(LN(INDEX(Dic2025!$H$6:$H$205,MIN(C1064+1,200)))-LN(INDEX(Dic2025!$H$6:$H$205,C1064)))*(A1064-6*C1064)/6))</f>
        <v>0.00370156741729664</v>
      </c>
      <c r="E1064" s="12" t="n">
        <f aca="false">D1064^(-1/B1064)-1</f>
        <v>0.0654368400000001</v>
      </c>
      <c r="F1064" s="12" t="n">
        <f aca="false">(1+E1064)^(1/12)-1</f>
        <v>0.00529604920507953</v>
      </c>
      <c r="G1064" s="16" t="n">
        <f aca="false">IF(C1064=0,(1+Dic2025!$J$6)^(-B1064),EXP(LN(INDEX(Dic2025!$K$6:$K$205,C1064))+(LN(INDEX(Dic2025!$K$6:$K$205,MIN(C1064+1,200)))-LN(INDEX(Dic2025!$K$6:$K$205,C1064)))*(A1064-6*C1064)/6))</f>
        <v>0.00370156741729664</v>
      </c>
      <c r="H1064" s="12" t="n">
        <f aca="false">G1064^(-1/B1064)-1</f>
        <v>0.0654368400000001</v>
      </c>
      <c r="I1064" s="12" t="n">
        <f aca="false">(1+H1064)^(1/12)-1</f>
        <v>0.00529604920507953</v>
      </c>
      <c r="J1064" s="16" t="n">
        <f aca="false">IF(C1064=0,(1+Dic2025!$M$6)^(-B1064),EXP(LN(INDEX(Dic2025!$N$6:$N$205,C1064))+(LN(INDEX(Dic2025!$N$6:$N$205,MIN(C1064+1,200)))-LN(INDEX(Dic2025!$N$6:$N$205,C1064)))*(A1064-6*C1064)/6))</f>
        <v>0.00370156741729664</v>
      </c>
      <c r="K1064" s="12" t="n">
        <f aca="false">J1064^(-1/B1064)-1</f>
        <v>0.0654368400000001</v>
      </c>
      <c r="L1064" s="12" t="n">
        <f aca="false">(1+K1064)^(1/12)-1</f>
        <v>0.00529604920507953</v>
      </c>
    </row>
    <row r="1065" customFormat="false" ht="15" hidden="false" customHeight="false" outlineLevel="0" collapsed="false">
      <c r="A1065" s="4" t="n">
        <v>1061</v>
      </c>
      <c r="B1065" s="14" t="n">
        <f aca="false">A1065/12</f>
        <v>88.4166666666667</v>
      </c>
      <c r="C1065" s="15" t="n">
        <f aca="false">INT(A1065/6)</f>
        <v>176</v>
      </c>
      <c r="D1065" s="16" t="n">
        <f aca="false">IF(C1065=0,(1+Dic2025!$G$6)^(-B1065),EXP(LN(INDEX(Dic2025!$H$6:$H$205,C1065))+(LN(INDEX(Dic2025!$H$6:$H$205,MIN(C1065+1,200)))-LN(INDEX(Dic2025!$H$6:$H$205,C1065)))*(A1065-6*C1065)/6))</f>
        <v>0.00368206700923931</v>
      </c>
      <c r="E1065" s="12" t="n">
        <f aca="false">D1065^(-1/B1065)-1</f>
        <v>0.0654368400000001</v>
      </c>
      <c r="F1065" s="12" t="n">
        <f aca="false">(1+E1065)^(1/12)-1</f>
        <v>0.00529604920507953</v>
      </c>
      <c r="G1065" s="16" t="n">
        <f aca="false">IF(C1065=0,(1+Dic2025!$J$6)^(-B1065),EXP(LN(INDEX(Dic2025!$K$6:$K$205,C1065))+(LN(INDEX(Dic2025!$K$6:$K$205,MIN(C1065+1,200)))-LN(INDEX(Dic2025!$K$6:$K$205,C1065)))*(A1065-6*C1065)/6))</f>
        <v>0.00368206700923931</v>
      </c>
      <c r="H1065" s="12" t="n">
        <f aca="false">G1065^(-1/B1065)-1</f>
        <v>0.0654368400000001</v>
      </c>
      <c r="I1065" s="12" t="n">
        <f aca="false">(1+H1065)^(1/12)-1</f>
        <v>0.00529604920507953</v>
      </c>
      <c r="J1065" s="16" t="n">
        <f aca="false">IF(C1065=0,(1+Dic2025!$M$6)^(-B1065),EXP(LN(INDEX(Dic2025!$N$6:$N$205,C1065))+(LN(INDEX(Dic2025!$N$6:$N$205,MIN(C1065+1,200)))-LN(INDEX(Dic2025!$N$6:$N$205,C1065)))*(A1065-6*C1065)/6))</f>
        <v>0.00368206700923931</v>
      </c>
      <c r="K1065" s="12" t="n">
        <f aca="false">J1065^(-1/B1065)-1</f>
        <v>0.0654368400000001</v>
      </c>
      <c r="L1065" s="12" t="n">
        <f aca="false">(1+K1065)^(1/12)-1</f>
        <v>0.00529604920507953</v>
      </c>
    </row>
    <row r="1066" customFormat="false" ht="15" hidden="false" customHeight="false" outlineLevel="0" collapsed="false">
      <c r="A1066" s="4" t="n">
        <v>1062</v>
      </c>
      <c r="B1066" s="14" t="n">
        <f aca="false">A1066/12</f>
        <v>88.5</v>
      </c>
      <c r="C1066" s="15" t="n">
        <f aca="false">INT(A1066/6)</f>
        <v>177</v>
      </c>
      <c r="D1066" s="16" t="n">
        <f aca="false">IF(C1066=0,(1+Dic2025!$G$6)^(-B1066),EXP(LN(INDEX(Dic2025!$H$6:$H$205,C1066))+(LN(INDEX(Dic2025!$H$6:$H$205,MIN(C1066+1,200)))-LN(INDEX(Dic2025!$H$6:$H$205,C1066)))*(A1066-6*C1066)/6))</f>
        <v>0.00366266933223386</v>
      </c>
      <c r="E1066" s="12" t="n">
        <f aca="false">D1066^(-1/B1066)-1</f>
        <v>0.0654368400000001</v>
      </c>
      <c r="F1066" s="12" t="n">
        <f aca="false">(1+E1066)^(1/12)-1</f>
        <v>0.00529604920507953</v>
      </c>
      <c r="G1066" s="16" t="n">
        <f aca="false">IF(C1066=0,(1+Dic2025!$J$6)^(-B1066),EXP(LN(INDEX(Dic2025!$K$6:$K$205,C1066))+(LN(INDEX(Dic2025!$K$6:$K$205,MIN(C1066+1,200)))-LN(INDEX(Dic2025!$K$6:$K$205,C1066)))*(A1066-6*C1066)/6))</f>
        <v>0.00366266933223386</v>
      </c>
      <c r="H1066" s="12" t="n">
        <f aca="false">G1066^(-1/B1066)-1</f>
        <v>0.0654368400000001</v>
      </c>
      <c r="I1066" s="12" t="n">
        <f aca="false">(1+H1066)^(1/12)-1</f>
        <v>0.00529604920507953</v>
      </c>
      <c r="J1066" s="16" t="n">
        <f aca="false">IF(C1066=0,(1+Dic2025!$M$6)^(-B1066),EXP(LN(INDEX(Dic2025!$N$6:$N$205,C1066))+(LN(INDEX(Dic2025!$N$6:$N$205,MIN(C1066+1,200)))-LN(INDEX(Dic2025!$N$6:$N$205,C1066)))*(A1066-6*C1066)/6))</f>
        <v>0.00366266933223386</v>
      </c>
      <c r="K1066" s="12" t="n">
        <f aca="false">J1066^(-1/B1066)-1</f>
        <v>0.0654368400000001</v>
      </c>
      <c r="L1066" s="12" t="n">
        <f aca="false">(1+K1066)^(1/12)-1</f>
        <v>0.00529604920507953</v>
      </c>
    </row>
    <row r="1067" customFormat="false" ht="15" hidden="false" customHeight="false" outlineLevel="0" collapsed="false">
      <c r="A1067" s="4" t="n">
        <v>1063</v>
      </c>
      <c r="B1067" s="14" t="n">
        <f aca="false">A1067/12</f>
        <v>88.5833333333333</v>
      </c>
      <c r="C1067" s="15" t="n">
        <f aca="false">INT(A1067/6)</f>
        <v>177</v>
      </c>
      <c r="D1067" s="16" t="n">
        <f aca="false">IF(C1067=0,(1+Dic2025!$G$6)^(-B1067),EXP(LN(INDEX(Dic2025!$H$6:$H$205,C1067))+(LN(INDEX(Dic2025!$H$6:$H$205,MIN(C1067+1,200)))-LN(INDEX(Dic2025!$H$6:$H$205,C1067)))*(A1067-6*C1067)/6))</f>
        <v>0.00364337384507783</v>
      </c>
      <c r="E1067" s="12" t="n">
        <f aca="false">D1067^(-1/B1067)-1</f>
        <v>0.0654368400000001</v>
      </c>
      <c r="F1067" s="12" t="n">
        <f aca="false">(1+E1067)^(1/12)-1</f>
        <v>0.00529604920507953</v>
      </c>
      <c r="G1067" s="16" t="n">
        <f aca="false">IF(C1067=0,(1+Dic2025!$J$6)^(-B1067),EXP(LN(INDEX(Dic2025!$K$6:$K$205,C1067))+(LN(INDEX(Dic2025!$K$6:$K$205,MIN(C1067+1,200)))-LN(INDEX(Dic2025!$K$6:$K$205,C1067)))*(A1067-6*C1067)/6))</f>
        <v>0.00364337384507783</v>
      </c>
      <c r="H1067" s="12" t="n">
        <f aca="false">G1067^(-1/B1067)-1</f>
        <v>0.0654368400000001</v>
      </c>
      <c r="I1067" s="12" t="n">
        <f aca="false">(1+H1067)^(1/12)-1</f>
        <v>0.00529604920507953</v>
      </c>
      <c r="J1067" s="16" t="n">
        <f aca="false">IF(C1067=0,(1+Dic2025!$M$6)^(-B1067),EXP(LN(INDEX(Dic2025!$N$6:$N$205,C1067))+(LN(INDEX(Dic2025!$N$6:$N$205,MIN(C1067+1,200)))-LN(INDEX(Dic2025!$N$6:$N$205,C1067)))*(A1067-6*C1067)/6))</f>
        <v>0.00364337384507783</v>
      </c>
      <c r="K1067" s="12" t="n">
        <f aca="false">J1067^(-1/B1067)-1</f>
        <v>0.0654368400000001</v>
      </c>
      <c r="L1067" s="12" t="n">
        <f aca="false">(1+K1067)^(1/12)-1</f>
        <v>0.00529604920507953</v>
      </c>
    </row>
    <row r="1068" customFormat="false" ht="15" hidden="false" customHeight="false" outlineLevel="0" collapsed="false">
      <c r="A1068" s="4" t="n">
        <v>1064</v>
      </c>
      <c r="B1068" s="14" t="n">
        <f aca="false">A1068/12</f>
        <v>88.6666666666667</v>
      </c>
      <c r="C1068" s="15" t="n">
        <f aca="false">INT(A1068/6)</f>
        <v>177</v>
      </c>
      <c r="D1068" s="16" t="n">
        <f aca="false">IF(C1068=0,(1+Dic2025!$G$6)^(-B1068),EXP(LN(INDEX(Dic2025!$H$6:$H$205,C1068))+(LN(INDEX(Dic2025!$H$6:$H$205,MIN(C1068+1,200)))-LN(INDEX(Dic2025!$H$6:$H$205,C1068)))*(A1068-6*C1068)/6))</f>
        <v>0.00362418000941988</v>
      </c>
      <c r="E1068" s="12" t="n">
        <f aca="false">D1068^(-1/B1068)-1</f>
        <v>0.0654368400000001</v>
      </c>
      <c r="F1068" s="12" t="n">
        <f aca="false">(1+E1068)^(1/12)-1</f>
        <v>0.00529604920507953</v>
      </c>
      <c r="G1068" s="16" t="n">
        <f aca="false">IF(C1068=0,(1+Dic2025!$J$6)^(-B1068),EXP(LN(INDEX(Dic2025!$K$6:$K$205,C1068))+(LN(INDEX(Dic2025!$K$6:$K$205,MIN(C1068+1,200)))-LN(INDEX(Dic2025!$K$6:$K$205,C1068)))*(A1068-6*C1068)/6))</f>
        <v>0.00362418000941988</v>
      </c>
      <c r="H1068" s="12" t="n">
        <f aca="false">G1068^(-1/B1068)-1</f>
        <v>0.0654368400000001</v>
      </c>
      <c r="I1068" s="12" t="n">
        <f aca="false">(1+H1068)^(1/12)-1</f>
        <v>0.00529604920507953</v>
      </c>
      <c r="J1068" s="16" t="n">
        <f aca="false">IF(C1068=0,(1+Dic2025!$M$6)^(-B1068),EXP(LN(INDEX(Dic2025!$N$6:$N$205,C1068))+(LN(INDEX(Dic2025!$N$6:$N$205,MIN(C1068+1,200)))-LN(INDEX(Dic2025!$N$6:$N$205,C1068)))*(A1068-6*C1068)/6))</f>
        <v>0.00362418000941988</v>
      </c>
      <c r="K1068" s="12" t="n">
        <f aca="false">J1068^(-1/B1068)-1</f>
        <v>0.0654368400000001</v>
      </c>
      <c r="L1068" s="12" t="n">
        <f aca="false">(1+K1068)^(1/12)-1</f>
        <v>0.00529604920507953</v>
      </c>
    </row>
    <row r="1069" customFormat="false" ht="15" hidden="false" customHeight="false" outlineLevel="0" collapsed="false">
      <c r="A1069" s="4" t="n">
        <v>1065</v>
      </c>
      <c r="B1069" s="14" t="n">
        <f aca="false">A1069/12</f>
        <v>88.75</v>
      </c>
      <c r="C1069" s="15" t="n">
        <f aca="false">INT(A1069/6)</f>
        <v>177</v>
      </c>
      <c r="D1069" s="16" t="n">
        <f aca="false">IF(C1069=0,(1+Dic2025!$G$6)^(-B1069),EXP(LN(INDEX(Dic2025!$H$6:$H$205,C1069))+(LN(INDEX(Dic2025!$H$6:$H$205,MIN(C1069+1,200)))-LN(INDEX(Dic2025!$H$6:$H$205,C1069)))*(A1069-6*C1069)/6))</f>
        <v>0.00360508728974478</v>
      </c>
      <c r="E1069" s="12" t="n">
        <f aca="false">D1069^(-1/B1069)-1</f>
        <v>0.0654368400000001</v>
      </c>
      <c r="F1069" s="12" t="n">
        <f aca="false">(1+E1069)^(1/12)-1</f>
        <v>0.00529604920507953</v>
      </c>
      <c r="G1069" s="16" t="n">
        <f aca="false">IF(C1069=0,(1+Dic2025!$J$6)^(-B1069),EXP(LN(INDEX(Dic2025!$K$6:$K$205,C1069))+(LN(INDEX(Dic2025!$K$6:$K$205,MIN(C1069+1,200)))-LN(INDEX(Dic2025!$K$6:$K$205,C1069)))*(A1069-6*C1069)/6))</f>
        <v>0.00360508728974478</v>
      </c>
      <c r="H1069" s="12" t="n">
        <f aca="false">G1069^(-1/B1069)-1</f>
        <v>0.0654368400000001</v>
      </c>
      <c r="I1069" s="12" t="n">
        <f aca="false">(1+H1069)^(1/12)-1</f>
        <v>0.00529604920507953</v>
      </c>
      <c r="J1069" s="16" t="n">
        <f aca="false">IF(C1069=0,(1+Dic2025!$M$6)^(-B1069),EXP(LN(INDEX(Dic2025!$N$6:$N$205,C1069))+(LN(INDEX(Dic2025!$N$6:$N$205,MIN(C1069+1,200)))-LN(INDEX(Dic2025!$N$6:$N$205,C1069)))*(A1069-6*C1069)/6))</f>
        <v>0.00360508728974478</v>
      </c>
      <c r="K1069" s="12" t="n">
        <f aca="false">J1069^(-1/B1069)-1</f>
        <v>0.0654368400000001</v>
      </c>
      <c r="L1069" s="12" t="n">
        <f aca="false">(1+K1069)^(1/12)-1</f>
        <v>0.00529604920507953</v>
      </c>
    </row>
    <row r="1070" customFormat="false" ht="15" hidden="false" customHeight="false" outlineLevel="0" collapsed="false">
      <c r="A1070" s="4" t="n">
        <v>1066</v>
      </c>
      <c r="B1070" s="14" t="n">
        <f aca="false">A1070/12</f>
        <v>88.8333333333333</v>
      </c>
      <c r="C1070" s="15" t="n">
        <f aca="false">INT(A1070/6)</f>
        <v>177</v>
      </c>
      <c r="D1070" s="16" t="n">
        <f aca="false">IF(C1070=0,(1+Dic2025!$G$6)^(-B1070),EXP(LN(INDEX(Dic2025!$H$6:$H$205,C1070))+(LN(INDEX(Dic2025!$H$6:$H$205,MIN(C1070+1,200)))-LN(INDEX(Dic2025!$H$6:$H$205,C1070)))*(A1070-6*C1070)/6))</f>
        <v>0.0035860951533585</v>
      </c>
      <c r="E1070" s="12" t="n">
        <f aca="false">D1070^(-1/B1070)-1</f>
        <v>0.0654368400000001</v>
      </c>
      <c r="F1070" s="12" t="n">
        <f aca="false">(1+E1070)^(1/12)-1</f>
        <v>0.00529604920507953</v>
      </c>
      <c r="G1070" s="16" t="n">
        <f aca="false">IF(C1070=0,(1+Dic2025!$J$6)^(-B1070),EXP(LN(INDEX(Dic2025!$K$6:$K$205,C1070))+(LN(INDEX(Dic2025!$K$6:$K$205,MIN(C1070+1,200)))-LN(INDEX(Dic2025!$K$6:$K$205,C1070)))*(A1070-6*C1070)/6))</f>
        <v>0.0035860951533585</v>
      </c>
      <c r="H1070" s="12" t="n">
        <f aca="false">G1070^(-1/B1070)-1</f>
        <v>0.0654368400000001</v>
      </c>
      <c r="I1070" s="12" t="n">
        <f aca="false">(1+H1070)^(1/12)-1</f>
        <v>0.00529604920507953</v>
      </c>
      <c r="J1070" s="16" t="n">
        <f aca="false">IF(C1070=0,(1+Dic2025!$M$6)^(-B1070),EXP(LN(INDEX(Dic2025!$N$6:$N$205,C1070))+(LN(INDEX(Dic2025!$N$6:$N$205,MIN(C1070+1,200)))-LN(INDEX(Dic2025!$N$6:$N$205,C1070)))*(A1070-6*C1070)/6))</f>
        <v>0.0035860951533585</v>
      </c>
      <c r="K1070" s="12" t="n">
        <f aca="false">J1070^(-1/B1070)-1</f>
        <v>0.0654368400000001</v>
      </c>
      <c r="L1070" s="12" t="n">
        <f aca="false">(1+K1070)^(1/12)-1</f>
        <v>0.00529604920507953</v>
      </c>
    </row>
    <row r="1071" customFormat="false" ht="15" hidden="false" customHeight="false" outlineLevel="0" collapsed="false">
      <c r="A1071" s="4" t="n">
        <v>1067</v>
      </c>
      <c r="B1071" s="14" t="n">
        <f aca="false">A1071/12</f>
        <v>88.9166666666667</v>
      </c>
      <c r="C1071" s="15" t="n">
        <f aca="false">INT(A1071/6)</f>
        <v>177</v>
      </c>
      <c r="D1071" s="16" t="n">
        <f aca="false">IF(C1071=0,(1+Dic2025!$G$6)^(-B1071),EXP(LN(INDEX(Dic2025!$H$6:$H$205,C1071))+(LN(INDEX(Dic2025!$H$6:$H$205,MIN(C1071+1,200)))-LN(INDEX(Dic2025!$H$6:$H$205,C1071)))*(A1071-6*C1071)/6))</f>
        <v>0.00356720307037329</v>
      </c>
      <c r="E1071" s="12" t="n">
        <f aca="false">D1071^(-1/B1071)-1</f>
        <v>0.0654368400000001</v>
      </c>
      <c r="F1071" s="12" t="n">
        <f aca="false">(1+E1071)^(1/12)-1</f>
        <v>0.00529604920507953</v>
      </c>
      <c r="G1071" s="16" t="n">
        <f aca="false">IF(C1071=0,(1+Dic2025!$J$6)^(-B1071),EXP(LN(INDEX(Dic2025!$K$6:$K$205,C1071))+(LN(INDEX(Dic2025!$K$6:$K$205,MIN(C1071+1,200)))-LN(INDEX(Dic2025!$K$6:$K$205,C1071)))*(A1071-6*C1071)/6))</f>
        <v>0.00356720307037329</v>
      </c>
      <c r="H1071" s="12" t="n">
        <f aca="false">G1071^(-1/B1071)-1</f>
        <v>0.0654368400000001</v>
      </c>
      <c r="I1071" s="12" t="n">
        <f aca="false">(1+H1071)^(1/12)-1</f>
        <v>0.00529604920507953</v>
      </c>
      <c r="J1071" s="16" t="n">
        <f aca="false">IF(C1071=0,(1+Dic2025!$M$6)^(-B1071),EXP(LN(INDEX(Dic2025!$N$6:$N$205,C1071))+(LN(INDEX(Dic2025!$N$6:$N$205,MIN(C1071+1,200)))-LN(INDEX(Dic2025!$N$6:$N$205,C1071)))*(A1071-6*C1071)/6))</f>
        <v>0.00356720307037329</v>
      </c>
      <c r="K1071" s="12" t="n">
        <f aca="false">J1071^(-1/B1071)-1</f>
        <v>0.0654368400000001</v>
      </c>
      <c r="L1071" s="12" t="n">
        <f aca="false">(1+K1071)^(1/12)-1</f>
        <v>0.00529604920507953</v>
      </c>
    </row>
    <row r="1072" customFormat="false" ht="15" hidden="false" customHeight="false" outlineLevel="0" collapsed="false">
      <c r="A1072" s="4" t="n">
        <v>1068</v>
      </c>
      <c r="B1072" s="14" t="n">
        <f aca="false">A1072/12</f>
        <v>89</v>
      </c>
      <c r="C1072" s="15" t="n">
        <f aca="false">INT(A1072/6)</f>
        <v>178</v>
      </c>
      <c r="D1072" s="16" t="n">
        <f aca="false">IF(C1072=0,(1+Dic2025!$G$6)^(-B1072),EXP(LN(INDEX(Dic2025!$H$6:$H$205,C1072))+(LN(INDEX(Dic2025!$H$6:$H$205,MIN(C1072+1,200)))-LN(INDEX(Dic2025!$H$6:$H$205,C1072)))*(A1072-6*C1072)/6))</f>
        <v>0.00354841051369295</v>
      </c>
      <c r="E1072" s="12" t="n">
        <f aca="false">D1072^(-1/B1072)-1</f>
        <v>0.0654368400000001</v>
      </c>
      <c r="F1072" s="12" t="n">
        <f aca="false">(1+E1072)^(1/12)-1</f>
        <v>0.00529604920507953</v>
      </c>
      <c r="G1072" s="16" t="n">
        <f aca="false">IF(C1072=0,(1+Dic2025!$J$6)^(-B1072),EXP(LN(INDEX(Dic2025!$K$6:$K$205,C1072))+(LN(INDEX(Dic2025!$K$6:$K$205,MIN(C1072+1,200)))-LN(INDEX(Dic2025!$K$6:$K$205,C1072)))*(A1072-6*C1072)/6))</f>
        <v>0.00354841051369295</v>
      </c>
      <c r="H1072" s="12" t="n">
        <f aca="false">G1072^(-1/B1072)-1</f>
        <v>0.0654368400000001</v>
      </c>
      <c r="I1072" s="12" t="n">
        <f aca="false">(1+H1072)^(1/12)-1</f>
        <v>0.00529604920507953</v>
      </c>
      <c r="J1072" s="16" t="n">
        <f aca="false">IF(C1072=0,(1+Dic2025!$M$6)^(-B1072),EXP(LN(INDEX(Dic2025!$N$6:$N$205,C1072))+(LN(INDEX(Dic2025!$N$6:$N$205,MIN(C1072+1,200)))-LN(INDEX(Dic2025!$N$6:$N$205,C1072)))*(A1072-6*C1072)/6))</f>
        <v>0.00354841051369295</v>
      </c>
      <c r="K1072" s="12" t="n">
        <f aca="false">J1072^(-1/B1072)-1</f>
        <v>0.0654368400000001</v>
      </c>
      <c r="L1072" s="12" t="n">
        <f aca="false">(1+K1072)^(1/12)-1</f>
        <v>0.00529604920507953</v>
      </c>
    </row>
    <row r="1073" customFormat="false" ht="15" hidden="false" customHeight="false" outlineLevel="0" collapsed="false">
      <c r="A1073" s="4" t="n">
        <v>1069</v>
      </c>
      <c r="B1073" s="14" t="n">
        <f aca="false">A1073/12</f>
        <v>89.0833333333333</v>
      </c>
      <c r="C1073" s="15" t="n">
        <f aca="false">INT(A1073/6)</f>
        <v>178</v>
      </c>
      <c r="D1073" s="16" t="n">
        <f aca="false">IF(C1073=0,(1+Dic2025!$G$6)^(-B1073),EXP(LN(INDEX(Dic2025!$H$6:$H$205,C1073))+(LN(INDEX(Dic2025!$H$6:$H$205,MIN(C1073+1,200)))-LN(INDEX(Dic2025!$H$6:$H$205,C1073)))*(A1073-6*C1073)/6))</f>
        <v>0.00352971695899809</v>
      </c>
      <c r="E1073" s="12" t="n">
        <f aca="false">D1073^(-1/B1073)-1</f>
        <v>0.0654368400000001</v>
      </c>
      <c r="F1073" s="12" t="n">
        <f aca="false">(1+E1073)^(1/12)-1</f>
        <v>0.00529604920507953</v>
      </c>
      <c r="G1073" s="16" t="n">
        <f aca="false">IF(C1073=0,(1+Dic2025!$J$6)^(-B1073),EXP(LN(INDEX(Dic2025!$K$6:$K$205,C1073))+(LN(INDEX(Dic2025!$K$6:$K$205,MIN(C1073+1,200)))-LN(INDEX(Dic2025!$K$6:$K$205,C1073)))*(A1073-6*C1073)/6))</f>
        <v>0.00352971695899809</v>
      </c>
      <c r="H1073" s="12" t="n">
        <f aca="false">G1073^(-1/B1073)-1</f>
        <v>0.0654368400000001</v>
      </c>
      <c r="I1073" s="12" t="n">
        <f aca="false">(1+H1073)^(1/12)-1</f>
        <v>0.00529604920507953</v>
      </c>
      <c r="J1073" s="16" t="n">
        <f aca="false">IF(C1073=0,(1+Dic2025!$M$6)^(-B1073),EXP(LN(INDEX(Dic2025!$N$6:$N$205,C1073))+(LN(INDEX(Dic2025!$N$6:$N$205,MIN(C1073+1,200)))-LN(INDEX(Dic2025!$N$6:$N$205,C1073)))*(A1073-6*C1073)/6))</f>
        <v>0.00352971695899809</v>
      </c>
      <c r="K1073" s="12" t="n">
        <f aca="false">J1073^(-1/B1073)-1</f>
        <v>0.0654368400000001</v>
      </c>
      <c r="L1073" s="12" t="n">
        <f aca="false">(1+K1073)^(1/12)-1</f>
        <v>0.00529604920507953</v>
      </c>
    </row>
    <row r="1074" customFormat="false" ht="15" hidden="false" customHeight="false" outlineLevel="0" collapsed="false">
      <c r="A1074" s="4" t="n">
        <v>1070</v>
      </c>
      <c r="B1074" s="14" t="n">
        <f aca="false">A1074/12</f>
        <v>89.1666666666667</v>
      </c>
      <c r="C1074" s="15" t="n">
        <f aca="false">INT(A1074/6)</f>
        <v>178</v>
      </c>
      <c r="D1074" s="16" t="n">
        <f aca="false">IF(C1074=0,(1+Dic2025!$G$6)^(-B1074),EXP(LN(INDEX(Dic2025!$H$6:$H$205,C1074))+(LN(INDEX(Dic2025!$H$6:$H$205,MIN(C1074+1,200)))-LN(INDEX(Dic2025!$H$6:$H$205,C1074)))*(A1074-6*C1074)/6))</f>
        <v>0.00351112188473152</v>
      </c>
      <c r="E1074" s="12" t="n">
        <f aca="false">D1074^(-1/B1074)-1</f>
        <v>0.0654368400000001</v>
      </c>
      <c r="F1074" s="12" t="n">
        <f aca="false">(1+E1074)^(1/12)-1</f>
        <v>0.00529604920507953</v>
      </c>
      <c r="G1074" s="16" t="n">
        <f aca="false">IF(C1074=0,(1+Dic2025!$J$6)^(-B1074),EXP(LN(INDEX(Dic2025!$K$6:$K$205,C1074))+(LN(INDEX(Dic2025!$K$6:$K$205,MIN(C1074+1,200)))-LN(INDEX(Dic2025!$K$6:$K$205,C1074)))*(A1074-6*C1074)/6))</f>
        <v>0.00351112188473152</v>
      </c>
      <c r="H1074" s="12" t="n">
        <f aca="false">G1074^(-1/B1074)-1</f>
        <v>0.0654368400000001</v>
      </c>
      <c r="I1074" s="12" t="n">
        <f aca="false">(1+H1074)^(1/12)-1</f>
        <v>0.00529604920507953</v>
      </c>
      <c r="J1074" s="16" t="n">
        <f aca="false">IF(C1074=0,(1+Dic2025!$M$6)^(-B1074),EXP(LN(INDEX(Dic2025!$N$6:$N$205,C1074))+(LN(INDEX(Dic2025!$N$6:$N$205,MIN(C1074+1,200)))-LN(INDEX(Dic2025!$N$6:$N$205,C1074)))*(A1074-6*C1074)/6))</f>
        <v>0.00351112188473152</v>
      </c>
      <c r="K1074" s="12" t="n">
        <f aca="false">J1074^(-1/B1074)-1</f>
        <v>0.0654368400000001</v>
      </c>
      <c r="L1074" s="12" t="n">
        <f aca="false">(1+K1074)^(1/12)-1</f>
        <v>0.00529604920507953</v>
      </c>
    </row>
    <row r="1075" customFormat="false" ht="15" hidden="false" customHeight="false" outlineLevel="0" collapsed="false">
      <c r="A1075" s="4" t="n">
        <v>1071</v>
      </c>
      <c r="B1075" s="14" t="n">
        <f aca="false">A1075/12</f>
        <v>89.25</v>
      </c>
      <c r="C1075" s="15" t="n">
        <f aca="false">INT(A1075/6)</f>
        <v>178</v>
      </c>
      <c r="D1075" s="16" t="n">
        <f aca="false">IF(C1075=0,(1+Dic2025!$G$6)^(-B1075),EXP(LN(INDEX(Dic2025!$H$6:$H$205,C1075))+(LN(INDEX(Dic2025!$H$6:$H$205,MIN(C1075+1,200)))-LN(INDEX(Dic2025!$H$6:$H$205,C1075)))*(A1075-6*C1075)/6))</f>
        <v>0.00349262477208369</v>
      </c>
      <c r="E1075" s="12" t="n">
        <f aca="false">D1075^(-1/B1075)-1</f>
        <v>0.0654368400000001</v>
      </c>
      <c r="F1075" s="12" t="n">
        <f aca="false">(1+E1075)^(1/12)-1</f>
        <v>0.00529604920507953</v>
      </c>
      <c r="G1075" s="16" t="n">
        <f aca="false">IF(C1075=0,(1+Dic2025!$J$6)^(-B1075),EXP(LN(INDEX(Dic2025!$K$6:$K$205,C1075))+(LN(INDEX(Dic2025!$K$6:$K$205,MIN(C1075+1,200)))-LN(INDEX(Dic2025!$K$6:$K$205,C1075)))*(A1075-6*C1075)/6))</f>
        <v>0.00349262477208369</v>
      </c>
      <c r="H1075" s="12" t="n">
        <f aca="false">G1075^(-1/B1075)-1</f>
        <v>0.0654368400000001</v>
      </c>
      <c r="I1075" s="12" t="n">
        <f aca="false">(1+H1075)^(1/12)-1</f>
        <v>0.00529604920507953</v>
      </c>
      <c r="J1075" s="16" t="n">
        <f aca="false">IF(C1075=0,(1+Dic2025!$M$6)^(-B1075),EXP(LN(INDEX(Dic2025!$N$6:$N$205,C1075))+(LN(INDEX(Dic2025!$N$6:$N$205,MIN(C1075+1,200)))-LN(INDEX(Dic2025!$N$6:$N$205,C1075)))*(A1075-6*C1075)/6))</f>
        <v>0.00349262477208369</v>
      </c>
      <c r="K1075" s="12" t="n">
        <f aca="false">J1075^(-1/B1075)-1</f>
        <v>0.0654368400000001</v>
      </c>
      <c r="L1075" s="12" t="n">
        <f aca="false">(1+K1075)^(1/12)-1</f>
        <v>0.00529604920507953</v>
      </c>
    </row>
    <row r="1076" customFormat="false" ht="15" hidden="false" customHeight="false" outlineLevel="0" collapsed="false">
      <c r="A1076" s="4" t="n">
        <v>1072</v>
      </c>
      <c r="B1076" s="14" t="n">
        <f aca="false">A1076/12</f>
        <v>89.3333333333333</v>
      </c>
      <c r="C1076" s="15" t="n">
        <f aca="false">INT(A1076/6)</f>
        <v>178</v>
      </c>
      <c r="D1076" s="16" t="n">
        <f aca="false">IF(C1076=0,(1+Dic2025!$G$6)^(-B1076),EXP(LN(INDEX(Dic2025!$H$6:$H$205,C1076))+(LN(INDEX(Dic2025!$H$6:$H$205,MIN(C1076+1,200)))-LN(INDEX(Dic2025!$H$6:$H$205,C1076)))*(A1076-6*C1076)/6))</f>
        <v>0.0034742251049782</v>
      </c>
      <c r="E1076" s="12" t="n">
        <f aca="false">D1076^(-1/B1076)-1</f>
        <v>0.0654368400000001</v>
      </c>
      <c r="F1076" s="12" t="n">
        <f aca="false">(1+E1076)^(1/12)-1</f>
        <v>0.00529604920507953</v>
      </c>
      <c r="G1076" s="16" t="n">
        <f aca="false">IF(C1076=0,(1+Dic2025!$J$6)^(-B1076),EXP(LN(INDEX(Dic2025!$K$6:$K$205,C1076))+(LN(INDEX(Dic2025!$K$6:$K$205,MIN(C1076+1,200)))-LN(INDEX(Dic2025!$K$6:$K$205,C1076)))*(A1076-6*C1076)/6))</f>
        <v>0.0034742251049782</v>
      </c>
      <c r="H1076" s="12" t="n">
        <f aca="false">G1076^(-1/B1076)-1</f>
        <v>0.0654368400000001</v>
      </c>
      <c r="I1076" s="12" t="n">
        <f aca="false">(1+H1076)^(1/12)-1</f>
        <v>0.00529604920507953</v>
      </c>
      <c r="J1076" s="16" t="n">
        <f aca="false">IF(C1076=0,(1+Dic2025!$M$6)^(-B1076),EXP(LN(INDEX(Dic2025!$N$6:$N$205,C1076))+(LN(INDEX(Dic2025!$N$6:$N$205,MIN(C1076+1,200)))-LN(INDEX(Dic2025!$N$6:$N$205,C1076)))*(A1076-6*C1076)/6))</f>
        <v>0.0034742251049782</v>
      </c>
      <c r="K1076" s="12" t="n">
        <f aca="false">J1076^(-1/B1076)-1</f>
        <v>0.0654368400000001</v>
      </c>
      <c r="L1076" s="12" t="n">
        <f aca="false">(1+K1076)^(1/12)-1</f>
        <v>0.00529604920507953</v>
      </c>
    </row>
    <row r="1077" customFormat="false" ht="15" hidden="false" customHeight="false" outlineLevel="0" collapsed="false">
      <c r="A1077" s="4" t="n">
        <v>1073</v>
      </c>
      <c r="B1077" s="14" t="n">
        <f aca="false">A1077/12</f>
        <v>89.4166666666667</v>
      </c>
      <c r="C1077" s="15" t="n">
        <f aca="false">INT(A1077/6)</f>
        <v>178</v>
      </c>
      <c r="D1077" s="16" t="n">
        <f aca="false">IF(C1077=0,(1+Dic2025!$G$6)^(-B1077),EXP(LN(INDEX(Dic2025!$H$6:$H$205,C1077))+(LN(INDEX(Dic2025!$H$6:$H$205,MIN(C1077+1,200)))-LN(INDEX(Dic2025!$H$6:$H$205,C1077)))*(A1077-6*C1077)/6))</f>
        <v>0.00345592237005744</v>
      </c>
      <c r="E1077" s="12" t="n">
        <f aca="false">D1077^(-1/B1077)-1</f>
        <v>0.0654368400000001</v>
      </c>
      <c r="F1077" s="12" t="n">
        <f aca="false">(1+E1077)^(1/12)-1</f>
        <v>0.00529604920507953</v>
      </c>
      <c r="G1077" s="16" t="n">
        <f aca="false">IF(C1077=0,(1+Dic2025!$J$6)^(-B1077),EXP(LN(INDEX(Dic2025!$K$6:$K$205,C1077))+(LN(INDEX(Dic2025!$K$6:$K$205,MIN(C1077+1,200)))-LN(INDEX(Dic2025!$K$6:$K$205,C1077)))*(A1077-6*C1077)/6))</f>
        <v>0.00345592237005744</v>
      </c>
      <c r="H1077" s="12" t="n">
        <f aca="false">G1077^(-1/B1077)-1</f>
        <v>0.0654368400000001</v>
      </c>
      <c r="I1077" s="12" t="n">
        <f aca="false">(1+H1077)^(1/12)-1</f>
        <v>0.00529604920507953</v>
      </c>
      <c r="J1077" s="16" t="n">
        <f aca="false">IF(C1077=0,(1+Dic2025!$M$6)^(-B1077),EXP(LN(INDEX(Dic2025!$N$6:$N$205,C1077))+(LN(INDEX(Dic2025!$N$6:$N$205,MIN(C1077+1,200)))-LN(INDEX(Dic2025!$N$6:$N$205,C1077)))*(A1077-6*C1077)/6))</f>
        <v>0.00345592237005744</v>
      </c>
      <c r="K1077" s="12" t="n">
        <f aca="false">J1077^(-1/B1077)-1</f>
        <v>0.0654368400000001</v>
      </c>
      <c r="L1077" s="12" t="n">
        <f aca="false">(1+K1077)^(1/12)-1</f>
        <v>0.00529604920507953</v>
      </c>
    </row>
    <row r="1078" customFormat="false" ht="15" hidden="false" customHeight="false" outlineLevel="0" collapsed="false">
      <c r="A1078" s="4" t="n">
        <v>1074</v>
      </c>
      <c r="B1078" s="14" t="n">
        <f aca="false">A1078/12</f>
        <v>89.5</v>
      </c>
      <c r="C1078" s="15" t="n">
        <f aca="false">INT(A1078/6)</f>
        <v>179</v>
      </c>
      <c r="D1078" s="16" t="n">
        <f aca="false">IF(C1078=0,(1+Dic2025!$G$6)^(-B1078),EXP(LN(INDEX(Dic2025!$H$6:$H$205,C1078))+(LN(INDEX(Dic2025!$H$6:$H$205,MIN(C1078+1,200)))-LN(INDEX(Dic2025!$H$6:$H$205,C1078)))*(A1078-6*C1078)/6))</f>
        <v>0.00343771605666823</v>
      </c>
      <c r="E1078" s="12" t="n">
        <f aca="false">D1078^(-1/B1078)-1</f>
        <v>0.0654368400000001</v>
      </c>
      <c r="F1078" s="12" t="n">
        <f aca="false">(1+E1078)^(1/12)-1</f>
        <v>0.00529604920507953</v>
      </c>
      <c r="G1078" s="16" t="n">
        <f aca="false">IF(C1078=0,(1+Dic2025!$J$6)^(-B1078),EXP(LN(INDEX(Dic2025!$K$6:$K$205,C1078))+(LN(INDEX(Dic2025!$K$6:$K$205,MIN(C1078+1,200)))-LN(INDEX(Dic2025!$K$6:$K$205,C1078)))*(A1078-6*C1078)/6))</f>
        <v>0.00343771605666823</v>
      </c>
      <c r="H1078" s="12" t="n">
        <f aca="false">G1078^(-1/B1078)-1</f>
        <v>0.0654368400000001</v>
      </c>
      <c r="I1078" s="12" t="n">
        <f aca="false">(1+H1078)^(1/12)-1</f>
        <v>0.00529604920507953</v>
      </c>
      <c r="J1078" s="16" t="n">
        <f aca="false">IF(C1078=0,(1+Dic2025!$M$6)^(-B1078),EXP(LN(INDEX(Dic2025!$N$6:$N$205,C1078))+(LN(INDEX(Dic2025!$N$6:$N$205,MIN(C1078+1,200)))-LN(INDEX(Dic2025!$N$6:$N$205,C1078)))*(A1078-6*C1078)/6))</f>
        <v>0.00343771605666823</v>
      </c>
      <c r="K1078" s="12" t="n">
        <f aca="false">J1078^(-1/B1078)-1</f>
        <v>0.0654368400000001</v>
      </c>
      <c r="L1078" s="12" t="n">
        <f aca="false">(1+K1078)^(1/12)-1</f>
        <v>0.00529604920507953</v>
      </c>
    </row>
    <row r="1079" customFormat="false" ht="15" hidden="false" customHeight="false" outlineLevel="0" collapsed="false">
      <c r="A1079" s="4" t="n">
        <v>1075</v>
      </c>
      <c r="B1079" s="14" t="n">
        <f aca="false">A1079/12</f>
        <v>89.5833333333333</v>
      </c>
      <c r="C1079" s="15" t="n">
        <f aca="false">INT(A1079/6)</f>
        <v>179</v>
      </c>
      <c r="D1079" s="16" t="n">
        <f aca="false">IF(C1079=0,(1+Dic2025!$G$6)^(-B1079),EXP(LN(INDEX(Dic2025!$H$6:$H$205,C1079))+(LN(INDEX(Dic2025!$H$6:$H$205,MIN(C1079+1,200)))-LN(INDEX(Dic2025!$H$6:$H$205,C1079)))*(A1079-6*C1079)/6))</f>
        <v>0.0034196056568476</v>
      </c>
      <c r="E1079" s="12" t="n">
        <f aca="false">D1079^(-1/B1079)-1</f>
        <v>0.0654368400000001</v>
      </c>
      <c r="F1079" s="12" t="n">
        <f aca="false">(1+E1079)^(1/12)-1</f>
        <v>0.00529604920507953</v>
      </c>
      <c r="G1079" s="16" t="n">
        <f aca="false">IF(C1079=0,(1+Dic2025!$J$6)^(-B1079),EXP(LN(INDEX(Dic2025!$K$6:$K$205,C1079))+(LN(INDEX(Dic2025!$K$6:$K$205,MIN(C1079+1,200)))-LN(INDEX(Dic2025!$K$6:$K$205,C1079)))*(A1079-6*C1079)/6))</f>
        <v>0.0034196056568476</v>
      </c>
      <c r="H1079" s="12" t="n">
        <f aca="false">G1079^(-1/B1079)-1</f>
        <v>0.0654368400000001</v>
      </c>
      <c r="I1079" s="12" t="n">
        <f aca="false">(1+H1079)^(1/12)-1</f>
        <v>0.00529604920507953</v>
      </c>
      <c r="J1079" s="16" t="n">
        <f aca="false">IF(C1079=0,(1+Dic2025!$M$6)^(-B1079),EXP(LN(INDEX(Dic2025!$N$6:$N$205,C1079))+(LN(INDEX(Dic2025!$N$6:$N$205,MIN(C1079+1,200)))-LN(INDEX(Dic2025!$N$6:$N$205,C1079)))*(A1079-6*C1079)/6))</f>
        <v>0.0034196056568476</v>
      </c>
      <c r="K1079" s="12" t="n">
        <f aca="false">J1079^(-1/B1079)-1</f>
        <v>0.0654368400000001</v>
      </c>
      <c r="L1079" s="12" t="n">
        <f aca="false">(1+K1079)^(1/12)-1</f>
        <v>0.00529604920507953</v>
      </c>
    </row>
    <row r="1080" customFormat="false" ht="15" hidden="false" customHeight="false" outlineLevel="0" collapsed="false">
      <c r="A1080" s="4" t="n">
        <v>1076</v>
      </c>
      <c r="B1080" s="14" t="n">
        <f aca="false">A1080/12</f>
        <v>89.6666666666667</v>
      </c>
      <c r="C1080" s="15" t="n">
        <f aca="false">INT(A1080/6)</f>
        <v>179</v>
      </c>
      <c r="D1080" s="16" t="n">
        <f aca="false">IF(C1080=0,(1+Dic2025!$G$6)^(-B1080),EXP(LN(INDEX(Dic2025!$H$6:$H$205,C1080))+(LN(INDEX(Dic2025!$H$6:$H$205,MIN(C1080+1,200)))-LN(INDEX(Dic2025!$H$6:$H$205,C1080)))*(A1080-6*C1080)/6))</f>
        <v>0.00340159066530859</v>
      </c>
      <c r="E1080" s="12" t="n">
        <f aca="false">D1080^(-1/B1080)-1</f>
        <v>0.0654368400000001</v>
      </c>
      <c r="F1080" s="12" t="n">
        <f aca="false">(1+E1080)^(1/12)-1</f>
        <v>0.00529604920507953</v>
      </c>
      <c r="G1080" s="16" t="n">
        <f aca="false">IF(C1080=0,(1+Dic2025!$J$6)^(-B1080),EXP(LN(INDEX(Dic2025!$K$6:$K$205,C1080))+(LN(INDEX(Dic2025!$K$6:$K$205,MIN(C1080+1,200)))-LN(INDEX(Dic2025!$K$6:$K$205,C1080)))*(A1080-6*C1080)/6))</f>
        <v>0.00340159066530859</v>
      </c>
      <c r="H1080" s="12" t="n">
        <f aca="false">G1080^(-1/B1080)-1</f>
        <v>0.0654368400000001</v>
      </c>
      <c r="I1080" s="12" t="n">
        <f aca="false">(1+H1080)^(1/12)-1</f>
        <v>0.00529604920507953</v>
      </c>
      <c r="J1080" s="16" t="n">
        <f aca="false">IF(C1080=0,(1+Dic2025!$M$6)^(-B1080),EXP(LN(INDEX(Dic2025!$N$6:$N$205,C1080))+(LN(INDEX(Dic2025!$N$6:$N$205,MIN(C1080+1,200)))-LN(INDEX(Dic2025!$N$6:$N$205,C1080)))*(A1080-6*C1080)/6))</f>
        <v>0.00340159066530859</v>
      </c>
      <c r="K1080" s="12" t="n">
        <f aca="false">J1080^(-1/B1080)-1</f>
        <v>0.0654368400000001</v>
      </c>
      <c r="L1080" s="12" t="n">
        <f aca="false">(1+K1080)^(1/12)-1</f>
        <v>0.00529604920507953</v>
      </c>
    </row>
    <row r="1081" customFormat="false" ht="15" hidden="false" customHeight="false" outlineLevel="0" collapsed="false">
      <c r="A1081" s="4" t="n">
        <v>1077</v>
      </c>
      <c r="B1081" s="14" t="n">
        <f aca="false">A1081/12</f>
        <v>89.75</v>
      </c>
      <c r="C1081" s="15" t="n">
        <f aca="false">INT(A1081/6)</f>
        <v>179</v>
      </c>
      <c r="D1081" s="16" t="n">
        <f aca="false">IF(C1081=0,(1+Dic2025!$G$6)^(-B1081),EXP(LN(INDEX(Dic2025!$H$6:$H$205,C1081))+(LN(INDEX(Dic2025!$H$6:$H$205,MIN(C1081+1,200)))-LN(INDEX(Dic2025!$H$6:$H$205,C1081)))*(A1081-6*C1081)/6))</f>
        <v>0.00338367057942617</v>
      </c>
      <c r="E1081" s="12" t="n">
        <f aca="false">D1081^(-1/B1081)-1</f>
        <v>0.0654368400000001</v>
      </c>
      <c r="F1081" s="12" t="n">
        <f aca="false">(1+E1081)^(1/12)-1</f>
        <v>0.00529604920507953</v>
      </c>
      <c r="G1081" s="16" t="n">
        <f aca="false">IF(C1081=0,(1+Dic2025!$J$6)^(-B1081),EXP(LN(INDEX(Dic2025!$K$6:$K$205,C1081))+(LN(INDEX(Dic2025!$K$6:$K$205,MIN(C1081+1,200)))-LN(INDEX(Dic2025!$K$6:$K$205,C1081)))*(A1081-6*C1081)/6))</f>
        <v>0.00338367057942617</v>
      </c>
      <c r="H1081" s="12" t="n">
        <f aca="false">G1081^(-1/B1081)-1</f>
        <v>0.0654368400000001</v>
      </c>
      <c r="I1081" s="12" t="n">
        <f aca="false">(1+H1081)^(1/12)-1</f>
        <v>0.00529604920507953</v>
      </c>
      <c r="J1081" s="16" t="n">
        <f aca="false">IF(C1081=0,(1+Dic2025!$M$6)^(-B1081),EXP(LN(INDEX(Dic2025!$N$6:$N$205,C1081))+(LN(INDEX(Dic2025!$N$6:$N$205,MIN(C1081+1,200)))-LN(INDEX(Dic2025!$N$6:$N$205,C1081)))*(A1081-6*C1081)/6))</f>
        <v>0.00338367057942617</v>
      </c>
      <c r="K1081" s="12" t="n">
        <f aca="false">J1081^(-1/B1081)-1</f>
        <v>0.0654368400000001</v>
      </c>
      <c r="L1081" s="12" t="n">
        <f aca="false">(1+K1081)^(1/12)-1</f>
        <v>0.00529604920507953</v>
      </c>
    </row>
    <row r="1082" customFormat="false" ht="15" hidden="false" customHeight="false" outlineLevel="0" collapsed="false">
      <c r="A1082" s="4" t="n">
        <v>1078</v>
      </c>
      <c r="B1082" s="14" t="n">
        <f aca="false">A1082/12</f>
        <v>89.8333333333333</v>
      </c>
      <c r="C1082" s="15" t="n">
        <f aca="false">INT(A1082/6)</f>
        <v>179</v>
      </c>
      <c r="D1082" s="16" t="n">
        <f aca="false">IF(C1082=0,(1+Dic2025!$G$6)^(-B1082),EXP(LN(INDEX(Dic2025!$H$6:$H$205,C1082))+(LN(INDEX(Dic2025!$H$6:$H$205,MIN(C1082+1,200)))-LN(INDEX(Dic2025!$H$6:$H$205,C1082)))*(A1082-6*C1082)/6))</f>
        <v>0.00336584489922321</v>
      </c>
      <c r="E1082" s="12" t="n">
        <f aca="false">D1082^(-1/B1082)-1</f>
        <v>0.0654368400000001</v>
      </c>
      <c r="F1082" s="12" t="n">
        <f aca="false">(1+E1082)^(1/12)-1</f>
        <v>0.00529604920507953</v>
      </c>
      <c r="G1082" s="16" t="n">
        <f aca="false">IF(C1082=0,(1+Dic2025!$J$6)^(-B1082),EXP(LN(INDEX(Dic2025!$K$6:$K$205,C1082))+(LN(INDEX(Dic2025!$K$6:$K$205,MIN(C1082+1,200)))-LN(INDEX(Dic2025!$K$6:$K$205,C1082)))*(A1082-6*C1082)/6))</f>
        <v>0.00336584489922321</v>
      </c>
      <c r="H1082" s="12" t="n">
        <f aca="false">G1082^(-1/B1082)-1</f>
        <v>0.0654368400000001</v>
      </c>
      <c r="I1082" s="12" t="n">
        <f aca="false">(1+H1082)^(1/12)-1</f>
        <v>0.00529604920507953</v>
      </c>
      <c r="J1082" s="16" t="n">
        <f aca="false">IF(C1082=0,(1+Dic2025!$M$6)^(-B1082),EXP(LN(INDEX(Dic2025!$N$6:$N$205,C1082))+(LN(INDEX(Dic2025!$N$6:$N$205,MIN(C1082+1,200)))-LN(INDEX(Dic2025!$N$6:$N$205,C1082)))*(A1082-6*C1082)/6))</f>
        <v>0.00336584489922321</v>
      </c>
      <c r="K1082" s="12" t="n">
        <f aca="false">J1082^(-1/B1082)-1</f>
        <v>0.0654368400000001</v>
      </c>
      <c r="L1082" s="12" t="n">
        <f aca="false">(1+K1082)^(1/12)-1</f>
        <v>0.00529604920507953</v>
      </c>
    </row>
    <row r="1083" customFormat="false" ht="15" hidden="false" customHeight="false" outlineLevel="0" collapsed="false">
      <c r="A1083" s="4" t="n">
        <v>1079</v>
      </c>
      <c r="B1083" s="14" t="n">
        <f aca="false">A1083/12</f>
        <v>89.9166666666667</v>
      </c>
      <c r="C1083" s="15" t="n">
        <f aca="false">INT(A1083/6)</f>
        <v>179</v>
      </c>
      <c r="D1083" s="16" t="n">
        <f aca="false">IF(C1083=0,(1+Dic2025!$G$6)^(-B1083),EXP(LN(INDEX(Dic2025!$H$6:$H$205,C1083))+(LN(INDEX(Dic2025!$H$6:$H$205,MIN(C1083+1,200)))-LN(INDEX(Dic2025!$H$6:$H$205,C1083)))*(A1083-6*C1083)/6))</f>
        <v>0.00334811312735656</v>
      </c>
      <c r="E1083" s="12" t="n">
        <f aca="false">D1083^(-1/B1083)-1</f>
        <v>0.0654368400000001</v>
      </c>
      <c r="F1083" s="12" t="n">
        <f aca="false">(1+E1083)^(1/12)-1</f>
        <v>0.00529604920507953</v>
      </c>
      <c r="G1083" s="16" t="n">
        <f aca="false">IF(C1083=0,(1+Dic2025!$J$6)^(-B1083),EXP(LN(INDEX(Dic2025!$K$6:$K$205,C1083))+(LN(INDEX(Dic2025!$K$6:$K$205,MIN(C1083+1,200)))-LN(INDEX(Dic2025!$K$6:$K$205,C1083)))*(A1083-6*C1083)/6))</f>
        <v>0.00334811312735656</v>
      </c>
      <c r="H1083" s="12" t="n">
        <f aca="false">G1083^(-1/B1083)-1</f>
        <v>0.0654368400000001</v>
      </c>
      <c r="I1083" s="12" t="n">
        <f aca="false">(1+H1083)^(1/12)-1</f>
        <v>0.00529604920507953</v>
      </c>
      <c r="J1083" s="16" t="n">
        <f aca="false">IF(C1083=0,(1+Dic2025!$M$6)^(-B1083),EXP(LN(INDEX(Dic2025!$N$6:$N$205,C1083))+(LN(INDEX(Dic2025!$N$6:$N$205,MIN(C1083+1,200)))-LN(INDEX(Dic2025!$N$6:$N$205,C1083)))*(A1083-6*C1083)/6))</f>
        <v>0.00334811312735656</v>
      </c>
      <c r="K1083" s="12" t="n">
        <f aca="false">J1083^(-1/B1083)-1</f>
        <v>0.0654368400000001</v>
      </c>
      <c r="L1083" s="12" t="n">
        <f aca="false">(1+K1083)^(1/12)-1</f>
        <v>0.00529604920507953</v>
      </c>
    </row>
    <row r="1084" customFormat="false" ht="15" hidden="false" customHeight="false" outlineLevel="0" collapsed="false">
      <c r="A1084" s="4" t="n">
        <v>1080</v>
      </c>
      <c r="B1084" s="14" t="n">
        <f aca="false">A1084/12</f>
        <v>90</v>
      </c>
      <c r="C1084" s="15" t="n">
        <f aca="false">INT(A1084/6)</f>
        <v>180</v>
      </c>
      <c r="D1084" s="16" t="n">
        <f aca="false">IF(C1084=0,(1+Dic2025!$G$6)^(-B1084),EXP(LN(INDEX(Dic2025!$H$6:$H$205,C1084))+(LN(INDEX(Dic2025!$H$6:$H$205,MIN(C1084+1,200)))-LN(INDEX(Dic2025!$H$6:$H$205,C1084)))*(A1084-6*C1084)/6))</f>
        <v>0.00333047476910311</v>
      </c>
      <c r="E1084" s="12" t="n">
        <f aca="false">D1084^(-1/B1084)-1</f>
        <v>0.0654368400000001</v>
      </c>
      <c r="F1084" s="12" t="n">
        <f aca="false">(1+E1084)^(1/12)-1</f>
        <v>0.00529604920507953</v>
      </c>
      <c r="G1084" s="16" t="n">
        <f aca="false">IF(C1084=0,(1+Dic2025!$J$6)^(-B1084),EXP(LN(INDEX(Dic2025!$K$6:$K$205,C1084))+(LN(INDEX(Dic2025!$K$6:$K$205,MIN(C1084+1,200)))-LN(INDEX(Dic2025!$K$6:$K$205,C1084)))*(A1084-6*C1084)/6))</f>
        <v>0.00333047476910311</v>
      </c>
      <c r="H1084" s="12" t="n">
        <f aca="false">G1084^(-1/B1084)-1</f>
        <v>0.0654368400000001</v>
      </c>
      <c r="I1084" s="12" t="n">
        <f aca="false">(1+H1084)^(1/12)-1</f>
        <v>0.00529604920507953</v>
      </c>
      <c r="J1084" s="16" t="n">
        <f aca="false">IF(C1084=0,(1+Dic2025!$M$6)^(-B1084),EXP(LN(INDEX(Dic2025!$N$6:$N$205,C1084))+(LN(INDEX(Dic2025!$N$6:$N$205,MIN(C1084+1,200)))-LN(INDEX(Dic2025!$N$6:$N$205,C1084)))*(A1084-6*C1084)/6))</f>
        <v>0.00333047476910311</v>
      </c>
      <c r="K1084" s="12" t="n">
        <f aca="false">J1084^(-1/B1084)-1</f>
        <v>0.0654368400000001</v>
      </c>
      <c r="L1084" s="12" t="n">
        <f aca="false">(1+K1084)^(1/12)-1</f>
        <v>0.00529604920507953</v>
      </c>
    </row>
    <row r="1085" customFormat="false" ht="15" hidden="false" customHeight="false" outlineLevel="0" collapsed="false">
      <c r="A1085" s="4" t="n">
        <v>1081</v>
      </c>
      <c r="B1085" s="14" t="n">
        <f aca="false">A1085/12</f>
        <v>90.0833333333333</v>
      </c>
      <c r="C1085" s="15" t="n">
        <f aca="false">INT(A1085/6)</f>
        <v>180</v>
      </c>
      <c r="D1085" s="16" t="n">
        <f aca="false">IF(C1085=0,(1+Dic2025!$G$6)^(-B1085),EXP(LN(INDEX(Dic2025!$H$6:$H$205,C1085))+(LN(INDEX(Dic2025!$H$6:$H$205,MIN(C1085+1,200)))-LN(INDEX(Dic2025!$H$6:$H$205,C1085)))*(A1085-6*C1085)/6))</f>
        <v>0.00331292933234606</v>
      </c>
      <c r="E1085" s="12" t="n">
        <f aca="false">D1085^(-1/B1085)-1</f>
        <v>0.0654368400000001</v>
      </c>
      <c r="F1085" s="12" t="n">
        <f aca="false">(1+E1085)^(1/12)-1</f>
        <v>0.00529604920507953</v>
      </c>
      <c r="G1085" s="16" t="n">
        <f aca="false">IF(C1085=0,(1+Dic2025!$J$6)^(-B1085),EXP(LN(INDEX(Dic2025!$K$6:$K$205,C1085))+(LN(INDEX(Dic2025!$K$6:$K$205,MIN(C1085+1,200)))-LN(INDEX(Dic2025!$K$6:$K$205,C1085)))*(A1085-6*C1085)/6))</f>
        <v>0.00331292933234606</v>
      </c>
      <c r="H1085" s="12" t="n">
        <f aca="false">G1085^(-1/B1085)-1</f>
        <v>0.0654368400000001</v>
      </c>
      <c r="I1085" s="12" t="n">
        <f aca="false">(1+H1085)^(1/12)-1</f>
        <v>0.00529604920507953</v>
      </c>
      <c r="J1085" s="16" t="n">
        <f aca="false">IF(C1085=0,(1+Dic2025!$M$6)^(-B1085),EXP(LN(INDEX(Dic2025!$N$6:$N$205,C1085))+(LN(INDEX(Dic2025!$N$6:$N$205,MIN(C1085+1,200)))-LN(INDEX(Dic2025!$N$6:$N$205,C1085)))*(A1085-6*C1085)/6))</f>
        <v>0.00331292933234606</v>
      </c>
      <c r="K1085" s="12" t="n">
        <f aca="false">J1085^(-1/B1085)-1</f>
        <v>0.0654368400000001</v>
      </c>
      <c r="L1085" s="12" t="n">
        <f aca="false">(1+K1085)^(1/12)-1</f>
        <v>0.00529604920507953</v>
      </c>
    </row>
    <row r="1086" customFormat="false" ht="15" hidden="false" customHeight="false" outlineLevel="0" collapsed="false">
      <c r="A1086" s="4" t="n">
        <v>1082</v>
      </c>
      <c r="B1086" s="14" t="n">
        <f aca="false">A1086/12</f>
        <v>90.1666666666667</v>
      </c>
      <c r="C1086" s="15" t="n">
        <f aca="false">INT(A1086/6)</f>
        <v>180</v>
      </c>
      <c r="D1086" s="16" t="n">
        <f aca="false">IF(C1086=0,(1+Dic2025!$G$6)^(-B1086),EXP(LN(INDEX(Dic2025!$H$6:$H$205,C1086))+(LN(INDEX(Dic2025!$H$6:$H$205,MIN(C1086+1,200)))-LN(INDEX(Dic2025!$H$6:$H$205,C1086)))*(A1086-6*C1086)/6))</f>
        <v>0.00329547632756112</v>
      </c>
      <c r="E1086" s="12" t="n">
        <f aca="false">D1086^(-1/B1086)-1</f>
        <v>0.0654368400000001</v>
      </c>
      <c r="F1086" s="12" t="n">
        <f aca="false">(1+E1086)^(1/12)-1</f>
        <v>0.00529604920507953</v>
      </c>
      <c r="G1086" s="16" t="n">
        <f aca="false">IF(C1086=0,(1+Dic2025!$J$6)^(-B1086),EXP(LN(INDEX(Dic2025!$K$6:$K$205,C1086))+(LN(INDEX(Dic2025!$K$6:$K$205,MIN(C1086+1,200)))-LN(INDEX(Dic2025!$K$6:$K$205,C1086)))*(A1086-6*C1086)/6))</f>
        <v>0.00329547632756112</v>
      </c>
      <c r="H1086" s="12" t="n">
        <f aca="false">G1086^(-1/B1086)-1</f>
        <v>0.0654368400000001</v>
      </c>
      <c r="I1086" s="12" t="n">
        <f aca="false">(1+H1086)^(1/12)-1</f>
        <v>0.00529604920507953</v>
      </c>
      <c r="J1086" s="16" t="n">
        <f aca="false">IF(C1086=0,(1+Dic2025!$M$6)^(-B1086),EXP(LN(INDEX(Dic2025!$N$6:$N$205,C1086))+(LN(INDEX(Dic2025!$N$6:$N$205,MIN(C1086+1,200)))-LN(INDEX(Dic2025!$N$6:$N$205,C1086)))*(A1086-6*C1086)/6))</f>
        <v>0.00329547632756112</v>
      </c>
      <c r="K1086" s="12" t="n">
        <f aca="false">J1086^(-1/B1086)-1</f>
        <v>0.0654368400000001</v>
      </c>
      <c r="L1086" s="12" t="n">
        <f aca="false">(1+K1086)^(1/12)-1</f>
        <v>0.00529604920507953</v>
      </c>
    </row>
    <row r="1087" customFormat="false" ht="15" hidden="false" customHeight="false" outlineLevel="0" collapsed="false">
      <c r="A1087" s="4" t="n">
        <v>1083</v>
      </c>
      <c r="B1087" s="14" t="n">
        <f aca="false">A1087/12</f>
        <v>90.25</v>
      </c>
      <c r="C1087" s="15" t="n">
        <f aca="false">INT(A1087/6)</f>
        <v>180</v>
      </c>
      <c r="D1087" s="16" t="n">
        <f aca="false">IF(C1087=0,(1+Dic2025!$G$6)^(-B1087),EXP(LN(INDEX(Dic2025!$H$6:$H$205,C1087))+(LN(INDEX(Dic2025!$H$6:$H$205,MIN(C1087+1,200)))-LN(INDEX(Dic2025!$H$6:$H$205,C1087)))*(A1087-6*C1087)/6))</f>
        <v>0.00327811526780291</v>
      </c>
      <c r="E1087" s="12" t="n">
        <f aca="false">D1087^(-1/B1087)-1</f>
        <v>0.0654368400000001</v>
      </c>
      <c r="F1087" s="12" t="n">
        <f aca="false">(1+E1087)^(1/12)-1</f>
        <v>0.00529604920507953</v>
      </c>
      <c r="G1087" s="16" t="n">
        <f aca="false">IF(C1087=0,(1+Dic2025!$J$6)^(-B1087),EXP(LN(INDEX(Dic2025!$K$6:$K$205,C1087))+(LN(INDEX(Dic2025!$K$6:$K$205,MIN(C1087+1,200)))-LN(INDEX(Dic2025!$K$6:$K$205,C1087)))*(A1087-6*C1087)/6))</f>
        <v>0.00327811526780291</v>
      </c>
      <c r="H1087" s="12" t="n">
        <f aca="false">G1087^(-1/B1087)-1</f>
        <v>0.0654368400000001</v>
      </c>
      <c r="I1087" s="12" t="n">
        <f aca="false">(1+H1087)^(1/12)-1</f>
        <v>0.00529604920507953</v>
      </c>
      <c r="J1087" s="16" t="n">
        <f aca="false">IF(C1087=0,(1+Dic2025!$M$6)^(-B1087),EXP(LN(INDEX(Dic2025!$N$6:$N$205,C1087))+(LN(INDEX(Dic2025!$N$6:$N$205,MIN(C1087+1,200)))-LN(INDEX(Dic2025!$N$6:$N$205,C1087)))*(A1087-6*C1087)/6))</f>
        <v>0.00327811526780291</v>
      </c>
      <c r="K1087" s="12" t="n">
        <f aca="false">J1087^(-1/B1087)-1</f>
        <v>0.0654368400000001</v>
      </c>
      <c r="L1087" s="12" t="n">
        <f aca="false">(1+K1087)^(1/12)-1</f>
        <v>0.00529604920507953</v>
      </c>
    </row>
    <row r="1088" customFormat="false" ht="15" hidden="false" customHeight="false" outlineLevel="0" collapsed="false">
      <c r="A1088" s="4" t="n">
        <v>1084</v>
      </c>
      <c r="B1088" s="14" t="n">
        <f aca="false">A1088/12</f>
        <v>90.3333333333333</v>
      </c>
      <c r="C1088" s="15" t="n">
        <f aca="false">INT(A1088/6)</f>
        <v>180</v>
      </c>
      <c r="D1088" s="16" t="n">
        <f aca="false">IF(C1088=0,(1+Dic2025!$G$6)^(-B1088),EXP(LN(INDEX(Dic2025!$H$6:$H$205,C1088))+(LN(INDEX(Dic2025!$H$6:$H$205,MIN(C1088+1,200)))-LN(INDEX(Dic2025!$H$6:$H$205,C1088)))*(A1088-6*C1088)/6))</f>
        <v>0.00326084566869135</v>
      </c>
      <c r="E1088" s="12" t="n">
        <f aca="false">D1088^(-1/B1088)-1</f>
        <v>0.0654368400000001</v>
      </c>
      <c r="F1088" s="12" t="n">
        <f aca="false">(1+E1088)^(1/12)-1</f>
        <v>0.00529604920507953</v>
      </c>
      <c r="G1088" s="16" t="n">
        <f aca="false">IF(C1088=0,(1+Dic2025!$J$6)^(-B1088),EXP(LN(INDEX(Dic2025!$K$6:$K$205,C1088))+(LN(INDEX(Dic2025!$K$6:$K$205,MIN(C1088+1,200)))-LN(INDEX(Dic2025!$K$6:$K$205,C1088)))*(A1088-6*C1088)/6))</f>
        <v>0.00326084566869135</v>
      </c>
      <c r="H1088" s="12" t="n">
        <f aca="false">G1088^(-1/B1088)-1</f>
        <v>0.0654368400000001</v>
      </c>
      <c r="I1088" s="12" t="n">
        <f aca="false">(1+H1088)^(1/12)-1</f>
        <v>0.00529604920507953</v>
      </c>
      <c r="J1088" s="16" t="n">
        <f aca="false">IF(C1088=0,(1+Dic2025!$M$6)^(-B1088),EXP(LN(INDEX(Dic2025!$N$6:$N$205,C1088))+(LN(INDEX(Dic2025!$N$6:$N$205,MIN(C1088+1,200)))-LN(INDEX(Dic2025!$N$6:$N$205,C1088)))*(A1088-6*C1088)/6))</f>
        <v>0.00326084566869135</v>
      </c>
      <c r="K1088" s="12" t="n">
        <f aca="false">J1088^(-1/B1088)-1</f>
        <v>0.0654368400000001</v>
      </c>
      <c r="L1088" s="12" t="n">
        <f aca="false">(1+K1088)^(1/12)-1</f>
        <v>0.00529604920507953</v>
      </c>
    </row>
    <row r="1089" customFormat="false" ht="15" hidden="false" customHeight="false" outlineLevel="0" collapsed="false">
      <c r="A1089" s="4" t="n">
        <v>1085</v>
      </c>
      <c r="B1089" s="14" t="n">
        <f aca="false">A1089/12</f>
        <v>90.4166666666667</v>
      </c>
      <c r="C1089" s="15" t="n">
        <f aca="false">INT(A1089/6)</f>
        <v>180</v>
      </c>
      <c r="D1089" s="16" t="n">
        <f aca="false">IF(C1089=0,(1+Dic2025!$G$6)^(-B1089),EXP(LN(INDEX(Dic2025!$H$6:$H$205,C1089))+(LN(INDEX(Dic2025!$H$6:$H$205,MIN(C1089+1,200)))-LN(INDEX(Dic2025!$H$6:$H$205,C1089)))*(A1089-6*C1089)/6))</f>
        <v>0.00324366704839814</v>
      </c>
      <c r="E1089" s="12" t="n">
        <f aca="false">D1089^(-1/B1089)-1</f>
        <v>0.0654368400000001</v>
      </c>
      <c r="F1089" s="12" t="n">
        <f aca="false">(1+E1089)^(1/12)-1</f>
        <v>0.00529604920507953</v>
      </c>
      <c r="G1089" s="16" t="n">
        <f aca="false">IF(C1089=0,(1+Dic2025!$J$6)^(-B1089),EXP(LN(INDEX(Dic2025!$K$6:$K$205,C1089))+(LN(INDEX(Dic2025!$K$6:$K$205,MIN(C1089+1,200)))-LN(INDEX(Dic2025!$K$6:$K$205,C1089)))*(A1089-6*C1089)/6))</f>
        <v>0.00324366704839814</v>
      </c>
      <c r="H1089" s="12" t="n">
        <f aca="false">G1089^(-1/B1089)-1</f>
        <v>0.0654368400000001</v>
      </c>
      <c r="I1089" s="12" t="n">
        <f aca="false">(1+H1089)^(1/12)-1</f>
        <v>0.00529604920507953</v>
      </c>
      <c r="J1089" s="16" t="n">
        <f aca="false">IF(C1089=0,(1+Dic2025!$M$6)^(-B1089),EXP(LN(INDEX(Dic2025!$N$6:$N$205,C1089))+(LN(INDEX(Dic2025!$N$6:$N$205,MIN(C1089+1,200)))-LN(INDEX(Dic2025!$N$6:$N$205,C1089)))*(A1089-6*C1089)/6))</f>
        <v>0.00324366704839814</v>
      </c>
      <c r="K1089" s="12" t="n">
        <f aca="false">J1089^(-1/B1089)-1</f>
        <v>0.0654368400000001</v>
      </c>
      <c r="L1089" s="12" t="n">
        <f aca="false">(1+K1089)^(1/12)-1</f>
        <v>0.00529604920507953</v>
      </c>
    </row>
    <row r="1090" customFormat="false" ht="15" hidden="false" customHeight="false" outlineLevel="0" collapsed="false">
      <c r="A1090" s="4" t="n">
        <v>1086</v>
      </c>
      <c r="B1090" s="14" t="n">
        <f aca="false">A1090/12</f>
        <v>90.5</v>
      </c>
      <c r="C1090" s="15" t="n">
        <f aca="false">INT(A1090/6)</f>
        <v>181</v>
      </c>
      <c r="D1090" s="16" t="n">
        <f aca="false">IF(C1090=0,(1+Dic2025!$G$6)^(-B1090),EXP(LN(INDEX(Dic2025!$H$6:$H$205,C1090))+(LN(INDEX(Dic2025!$H$6:$H$205,MIN(C1090+1,200)))-LN(INDEX(Dic2025!$H$6:$H$205,C1090)))*(A1090-6*C1090)/6))</f>
        <v>0.00322657892763332</v>
      </c>
      <c r="E1090" s="12" t="n">
        <f aca="false">D1090^(-1/B1090)-1</f>
        <v>0.0654368400000001</v>
      </c>
      <c r="F1090" s="12" t="n">
        <f aca="false">(1+E1090)^(1/12)-1</f>
        <v>0.00529604920507953</v>
      </c>
      <c r="G1090" s="16" t="n">
        <f aca="false">IF(C1090=0,(1+Dic2025!$J$6)^(-B1090),EXP(LN(INDEX(Dic2025!$K$6:$K$205,C1090))+(LN(INDEX(Dic2025!$K$6:$K$205,MIN(C1090+1,200)))-LN(INDEX(Dic2025!$K$6:$K$205,C1090)))*(A1090-6*C1090)/6))</f>
        <v>0.00322657892763332</v>
      </c>
      <c r="H1090" s="12" t="n">
        <f aca="false">G1090^(-1/B1090)-1</f>
        <v>0.0654368400000001</v>
      </c>
      <c r="I1090" s="12" t="n">
        <f aca="false">(1+H1090)^(1/12)-1</f>
        <v>0.00529604920507953</v>
      </c>
      <c r="J1090" s="16" t="n">
        <f aca="false">IF(C1090=0,(1+Dic2025!$M$6)^(-B1090),EXP(LN(INDEX(Dic2025!$N$6:$N$205,C1090))+(LN(INDEX(Dic2025!$N$6:$N$205,MIN(C1090+1,200)))-LN(INDEX(Dic2025!$N$6:$N$205,C1090)))*(A1090-6*C1090)/6))</f>
        <v>0.00322657892763332</v>
      </c>
      <c r="K1090" s="12" t="n">
        <f aca="false">J1090^(-1/B1090)-1</f>
        <v>0.0654368400000001</v>
      </c>
      <c r="L1090" s="12" t="n">
        <f aca="false">(1+K1090)^(1/12)-1</f>
        <v>0.00529604920507953</v>
      </c>
    </row>
    <row r="1091" customFormat="false" ht="15" hidden="false" customHeight="false" outlineLevel="0" collapsed="false">
      <c r="A1091" s="4" t="n">
        <v>1087</v>
      </c>
      <c r="B1091" s="14" t="n">
        <f aca="false">A1091/12</f>
        <v>90.5833333333333</v>
      </c>
      <c r="C1091" s="15" t="n">
        <f aca="false">INT(A1091/6)</f>
        <v>181</v>
      </c>
      <c r="D1091" s="16" t="n">
        <f aca="false">IF(C1091=0,(1+Dic2025!$G$6)^(-B1091),EXP(LN(INDEX(Dic2025!$H$6:$H$205,C1091))+(LN(INDEX(Dic2025!$H$6:$H$205,MIN(C1091+1,200)))-LN(INDEX(Dic2025!$H$6:$H$205,C1091)))*(A1091-6*C1091)/6))</f>
        <v>0.00320958082963191</v>
      </c>
      <c r="E1091" s="12" t="n">
        <f aca="false">D1091^(-1/B1091)-1</f>
        <v>0.0654368400000001</v>
      </c>
      <c r="F1091" s="12" t="n">
        <f aca="false">(1+E1091)^(1/12)-1</f>
        <v>0.00529604920507953</v>
      </c>
      <c r="G1091" s="16" t="n">
        <f aca="false">IF(C1091=0,(1+Dic2025!$J$6)^(-B1091),EXP(LN(INDEX(Dic2025!$K$6:$K$205,C1091))+(LN(INDEX(Dic2025!$K$6:$K$205,MIN(C1091+1,200)))-LN(INDEX(Dic2025!$K$6:$K$205,C1091)))*(A1091-6*C1091)/6))</f>
        <v>0.00320958082963191</v>
      </c>
      <c r="H1091" s="12" t="n">
        <f aca="false">G1091^(-1/B1091)-1</f>
        <v>0.0654368400000001</v>
      </c>
      <c r="I1091" s="12" t="n">
        <f aca="false">(1+H1091)^(1/12)-1</f>
        <v>0.00529604920507953</v>
      </c>
      <c r="J1091" s="16" t="n">
        <f aca="false">IF(C1091=0,(1+Dic2025!$M$6)^(-B1091),EXP(LN(INDEX(Dic2025!$N$6:$N$205,C1091))+(LN(INDEX(Dic2025!$N$6:$N$205,MIN(C1091+1,200)))-LN(INDEX(Dic2025!$N$6:$N$205,C1091)))*(A1091-6*C1091)/6))</f>
        <v>0.00320958082963191</v>
      </c>
      <c r="K1091" s="12" t="n">
        <f aca="false">J1091^(-1/B1091)-1</f>
        <v>0.0654368400000001</v>
      </c>
      <c r="L1091" s="12" t="n">
        <f aca="false">(1+K1091)^(1/12)-1</f>
        <v>0.00529604920507953</v>
      </c>
    </row>
    <row r="1092" customFormat="false" ht="15" hidden="false" customHeight="false" outlineLevel="0" collapsed="false">
      <c r="A1092" s="4" t="n">
        <v>1088</v>
      </c>
      <c r="B1092" s="14" t="n">
        <f aca="false">A1092/12</f>
        <v>90.6666666666667</v>
      </c>
      <c r="C1092" s="15" t="n">
        <f aca="false">INT(A1092/6)</f>
        <v>181</v>
      </c>
      <c r="D1092" s="16" t="n">
        <f aca="false">IF(C1092=0,(1+Dic2025!$G$6)^(-B1092),EXP(LN(INDEX(Dic2025!$H$6:$H$205,C1092))+(LN(INDEX(Dic2025!$H$6:$H$205,MIN(C1092+1,200)))-LN(INDEX(Dic2025!$H$6:$H$205,C1092)))*(A1092-6*C1092)/6))</f>
        <v>0.00319267228014059</v>
      </c>
      <c r="E1092" s="12" t="n">
        <f aca="false">D1092^(-1/B1092)-1</f>
        <v>0.0654368400000001</v>
      </c>
      <c r="F1092" s="12" t="n">
        <f aca="false">(1+E1092)^(1/12)-1</f>
        <v>0.00529604920507953</v>
      </c>
      <c r="G1092" s="16" t="n">
        <f aca="false">IF(C1092=0,(1+Dic2025!$J$6)^(-B1092),EXP(LN(INDEX(Dic2025!$K$6:$K$205,C1092))+(LN(INDEX(Dic2025!$K$6:$K$205,MIN(C1092+1,200)))-LN(INDEX(Dic2025!$K$6:$K$205,C1092)))*(A1092-6*C1092)/6))</f>
        <v>0.00319267228014059</v>
      </c>
      <c r="H1092" s="12" t="n">
        <f aca="false">G1092^(-1/B1092)-1</f>
        <v>0.0654368400000001</v>
      </c>
      <c r="I1092" s="12" t="n">
        <f aca="false">(1+H1092)^(1/12)-1</f>
        <v>0.00529604920507953</v>
      </c>
      <c r="J1092" s="16" t="n">
        <f aca="false">IF(C1092=0,(1+Dic2025!$M$6)^(-B1092),EXP(LN(INDEX(Dic2025!$N$6:$N$205,C1092))+(LN(INDEX(Dic2025!$N$6:$N$205,MIN(C1092+1,200)))-LN(INDEX(Dic2025!$N$6:$N$205,C1092)))*(A1092-6*C1092)/6))</f>
        <v>0.00319267228014059</v>
      </c>
      <c r="K1092" s="12" t="n">
        <f aca="false">J1092^(-1/B1092)-1</f>
        <v>0.0654368400000001</v>
      </c>
      <c r="L1092" s="12" t="n">
        <f aca="false">(1+K1092)^(1/12)-1</f>
        <v>0.00529604920507953</v>
      </c>
    </row>
    <row r="1093" customFormat="false" ht="15" hidden="false" customHeight="false" outlineLevel="0" collapsed="false">
      <c r="A1093" s="4" t="n">
        <v>1089</v>
      </c>
      <c r="B1093" s="14" t="n">
        <f aca="false">A1093/12</f>
        <v>90.75</v>
      </c>
      <c r="C1093" s="15" t="n">
        <f aca="false">INT(A1093/6)</f>
        <v>181</v>
      </c>
      <c r="D1093" s="16" t="n">
        <f aca="false">IF(C1093=0,(1+Dic2025!$G$6)^(-B1093),EXP(LN(INDEX(Dic2025!$H$6:$H$205,C1093))+(LN(INDEX(Dic2025!$H$6:$H$205,MIN(C1093+1,200)))-LN(INDEX(Dic2025!$H$6:$H$205,C1093)))*(A1093-6*C1093)/6))</f>
        <v>0.00317585280740449</v>
      </c>
      <c r="E1093" s="12" t="n">
        <f aca="false">D1093^(-1/B1093)-1</f>
        <v>0.0654368400000001</v>
      </c>
      <c r="F1093" s="12" t="n">
        <f aca="false">(1+E1093)^(1/12)-1</f>
        <v>0.00529604920507953</v>
      </c>
      <c r="G1093" s="16" t="n">
        <f aca="false">IF(C1093=0,(1+Dic2025!$J$6)^(-B1093),EXP(LN(INDEX(Dic2025!$K$6:$K$205,C1093))+(LN(INDEX(Dic2025!$K$6:$K$205,MIN(C1093+1,200)))-LN(INDEX(Dic2025!$K$6:$K$205,C1093)))*(A1093-6*C1093)/6))</f>
        <v>0.00317585280740449</v>
      </c>
      <c r="H1093" s="12" t="n">
        <f aca="false">G1093^(-1/B1093)-1</f>
        <v>0.0654368400000001</v>
      </c>
      <c r="I1093" s="12" t="n">
        <f aca="false">(1+H1093)^(1/12)-1</f>
        <v>0.00529604920507953</v>
      </c>
      <c r="J1093" s="16" t="n">
        <f aca="false">IF(C1093=0,(1+Dic2025!$M$6)^(-B1093),EXP(LN(INDEX(Dic2025!$N$6:$N$205,C1093))+(LN(INDEX(Dic2025!$N$6:$N$205,MIN(C1093+1,200)))-LN(INDEX(Dic2025!$N$6:$N$205,C1093)))*(A1093-6*C1093)/6))</f>
        <v>0.00317585280740449</v>
      </c>
      <c r="K1093" s="12" t="n">
        <f aca="false">J1093^(-1/B1093)-1</f>
        <v>0.0654368400000001</v>
      </c>
      <c r="L1093" s="12" t="n">
        <f aca="false">(1+K1093)^(1/12)-1</f>
        <v>0.00529604920507953</v>
      </c>
    </row>
    <row r="1094" customFormat="false" ht="15" hidden="false" customHeight="false" outlineLevel="0" collapsed="false">
      <c r="A1094" s="4" t="n">
        <v>1090</v>
      </c>
      <c r="B1094" s="14" t="n">
        <f aca="false">A1094/12</f>
        <v>90.8333333333333</v>
      </c>
      <c r="C1094" s="15" t="n">
        <f aca="false">INT(A1094/6)</f>
        <v>181</v>
      </c>
      <c r="D1094" s="16" t="n">
        <f aca="false">IF(C1094=0,(1+Dic2025!$G$6)^(-B1094),EXP(LN(INDEX(Dic2025!$H$6:$H$205,C1094))+(LN(INDEX(Dic2025!$H$6:$H$205,MIN(C1094+1,200)))-LN(INDEX(Dic2025!$H$6:$H$205,C1094)))*(A1094-6*C1094)/6))</f>
        <v>0.00315912194215399</v>
      </c>
      <c r="E1094" s="12" t="n">
        <f aca="false">D1094^(-1/B1094)-1</f>
        <v>0.0654368400000001</v>
      </c>
      <c r="F1094" s="12" t="n">
        <f aca="false">(1+E1094)^(1/12)-1</f>
        <v>0.00529604920507953</v>
      </c>
      <c r="G1094" s="16" t="n">
        <f aca="false">IF(C1094=0,(1+Dic2025!$J$6)^(-B1094),EXP(LN(INDEX(Dic2025!$K$6:$K$205,C1094))+(LN(INDEX(Dic2025!$K$6:$K$205,MIN(C1094+1,200)))-LN(INDEX(Dic2025!$K$6:$K$205,C1094)))*(A1094-6*C1094)/6))</f>
        <v>0.00315912194215399</v>
      </c>
      <c r="H1094" s="12" t="n">
        <f aca="false">G1094^(-1/B1094)-1</f>
        <v>0.0654368400000001</v>
      </c>
      <c r="I1094" s="12" t="n">
        <f aca="false">(1+H1094)^(1/12)-1</f>
        <v>0.00529604920507953</v>
      </c>
      <c r="J1094" s="16" t="n">
        <f aca="false">IF(C1094=0,(1+Dic2025!$M$6)^(-B1094),EXP(LN(INDEX(Dic2025!$N$6:$N$205,C1094))+(LN(INDEX(Dic2025!$N$6:$N$205,MIN(C1094+1,200)))-LN(INDEX(Dic2025!$N$6:$N$205,C1094)))*(A1094-6*C1094)/6))</f>
        <v>0.00315912194215399</v>
      </c>
      <c r="K1094" s="12" t="n">
        <f aca="false">J1094^(-1/B1094)-1</f>
        <v>0.0654368400000001</v>
      </c>
      <c r="L1094" s="12" t="n">
        <f aca="false">(1+K1094)^(1/12)-1</f>
        <v>0.00529604920507953</v>
      </c>
    </row>
    <row r="1095" customFormat="false" ht="15" hidden="false" customHeight="false" outlineLevel="0" collapsed="false">
      <c r="A1095" s="4" t="n">
        <v>1091</v>
      </c>
      <c r="B1095" s="14" t="n">
        <f aca="false">A1095/12</f>
        <v>90.9166666666667</v>
      </c>
      <c r="C1095" s="15" t="n">
        <f aca="false">INT(A1095/6)</f>
        <v>181</v>
      </c>
      <c r="D1095" s="16" t="n">
        <f aca="false">IF(C1095=0,(1+Dic2025!$G$6)^(-B1095),EXP(LN(INDEX(Dic2025!$H$6:$H$205,C1095))+(LN(INDEX(Dic2025!$H$6:$H$205,MIN(C1095+1,200)))-LN(INDEX(Dic2025!$H$6:$H$205,C1095)))*(A1095-6*C1095)/6))</f>
        <v>0.00314247921759169</v>
      </c>
      <c r="E1095" s="12" t="n">
        <f aca="false">D1095^(-1/B1095)-1</f>
        <v>0.0654368400000001</v>
      </c>
      <c r="F1095" s="12" t="n">
        <f aca="false">(1+E1095)^(1/12)-1</f>
        <v>0.00529604920507953</v>
      </c>
      <c r="G1095" s="16" t="n">
        <f aca="false">IF(C1095=0,(1+Dic2025!$J$6)^(-B1095),EXP(LN(INDEX(Dic2025!$K$6:$K$205,C1095))+(LN(INDEX(Dic2025!$K$6:$K$205,MIN(C1095+1,200)))-LN(INDEX(Dic2025!$K$6:$K$205,C1095)))*(A1095-6*C1095)/6))</f>
        <v>0.00314247921759169</v>
      </c>
      <c r="H1095" s="12" t="n">
        <f aca="false">G1095^(-1/B1095)-1</f>
        <v>0.0654368400000001</v>
      </c>
      <c r="I1095" s="12" t="n">
        <f aca="false">(1+H1095)^(1/12)-1</f>
        <v>0.00529604920507953</v>
      </c>
      <c r="J1095" s="16" t="n">
        <f aca="false">IF(C1095=0,(1+Dic2025!$M$6)^(-B1095),EXP(LN(INDEX(Dic2025!$N$6:$N$205,C1095))+(LN(INDEX(Dic2025!$N$6:$N$205,MIN(C1095+1,200)))-LN(INDEX(Dic2025!$N$6:$N$205,C1095)))*(A1095-6*C1095)/6))</f>
        <v>0.00314247921759169</v>
      </c>
      <c r="K1095" s="12" t="n">
        <f aca="false">J1095^(-1/B1095)-1</f>
        <v>0.0654368400000001</v>
      </c>
      <c r="L1095" s="12" t="n">
        <f aca="false">(1+K1095)^(1/12)-1</f>
        <v>0.00529604920507953</v>
      </c>
    </row>
    <row r="1096" customFormat="false" ht="15" hidden="false" customHeight="false" outlineLevel="0" collapsed="false">
      <c r="A1096" s="4" t="n">
        <v>1092</v>
      </c>
      <c r="B1096" s="14" t="n">
        <f aca="false">A1096/12</f>
        <v>91</v>
      </c>
      <c r="C1096" s="15" t="n">
        <f aca="false">INT(A1096/6)</f>
        <v>182</v>
      </c>
      <c r="D1096" s="16" t="n">
        <f aca="false">IF(C1096=0,(1+Dic2025!$G$6)^(-B1096),EXP(LN(INDEX(Dic2025!$H$6:$H$205,C1096))+(LN(INDEX(Dic2025!$H$6:$H$205,MIN(C1096+1,200)))-LN(INDEX(Dic2025!$H$6:$H$205,C1096)))*(A1096-6*C1096)/6))</f>
        <v>0.00312592416937931</v>
      </c>
      <c r="E1096" s="12" t="n">
        <f aca="false">D1096^(-1/B1096)-1</f>
        <v>0.0654368400000001</v>
      </c>
      <c r="F1096" s="12" t="n">
        <f aca="false">(1+E1096)^(1/12)-1</f>
        <v>0.00529604920507953</v>
      </c>
      <c r="G1096" s="16" t="n">
        <f aca="false">IF(C1096=0,(1+Dic2025!$J$6)^(-B1096),EXP(LN(INDEX(Dic2025!$K$6:$K$205,C1096))+(LN(INDEX(Dic2025!$K$6:$K$205,MIN(C1096+1,200)))-LN(INDEX(Dic2025!$K$6:$K$205,C1096)))*(A1096-6*C1096)/6))</f>
        <v>0.00312592416937931</v>
      </c>
      <c r="H1096" s="12" t="n">
        <f aca="false">G1096^(-1/B1096)-1</f>
        <v>0.0654368400000001</v>
      </c>
      <c r="I1096" s="12" t="n">
        <f aca="false">(1+H1096)^(1/12)-1</f>
        <v>0.00529604920507953</v>
      </c>
      <c r="J1096" s="16" t="n">
        <f aca="false">IF(C1096=0,(1+Dic2025!$M$6)^(-B1096),EXP(LN(INDEX(Dic2025!$N$6:$N$205,C1096))+(LN(INDEX(Dic2025!$N$6:$N$205,MIN(C1096+1,200)))-LN(INDEX(Dic2025!$N$6:$N$205,C1096)))*(A1096-6*C1096)/6))</f>
        <v>0.00312592416937931</v>
      </c>
      <c r="K1096" s="12" t="n">
        <f aca="false">J1096^(-1/B1096)-1</f>
        <v>0.0654368400000001</v>
      </c>
      <c r="L1096" s="12" t="n">
        <f aca="false">(1+K1096)^(1/12)-1</f>
        <v>0.00529604920507953</v>
      </c>
    </row>
    <row r="1097" customFormat="false" ht="15" hidden="false" customHeight="false" outlineLevel="0" collapsed="false">
      <c r="A1097" s="4" t="n">
        <v>1093</v>
      </c>
      <c r="B1097" s="14" t="n">
        <f aca="false">A1097/12</f>
        <v>91.0833333333333</v>
      </c>
      <c r="C1097" s="15" t="n">
        <f aca="false">INT(A1097/6)</f>
        <v>182</v>
      </c>
      <c r="D1097" s="16" t="n">
        <f aca="false">IF(C1097=0,(1+Dic2025!$G$6)^(-B1097),EXP(LN(INDEX(Dic2025!$H$6:$H$205,C1097))+(LN(INDEX(Dic2025!$H$6:$H$205,MIN(C1097+1,200)))-LN(INDEX(Dic2025!$H$6:$H$205,C1097)))*(A1097-6*C1097)/6))</f>
        <v>0.0031048658444031</v>
      </c>
      <c r="E1097" s="12" t="n">
        <f aca="false">D1097^(-1/B1097)-1</f>
        <v>0.0654541217527043</v>
      </c>
      <c r="F1097" s="12" t="n">
        <f aca="false">(1+E1097)^(1/12)-1</f>
        <v>0.00529740804900691</v>
      </c>
      <c r="G1097" s="16" t="n">
        <f aca="false">IF(C1097=0,(1+Dic2025!$J$6)^(-B1097),EXP(LN(INDEX(Dic2025!$K$6:$K$205,C1097))+(LN(INDEX(Dic2025!$K$6:$K$205,MIN(C1097+1,200)))-LN(INDEX(Dic2025!$K$6:$K$205,C1097)))*(A1097-6*C1097)/6))</f>
        <v>0.0031048658444031</v>
      </c>
      <c r="H1097" s="12" t="n">
        <f aca="false">G1097^(-1/B1097)-1</f>
        <v>0.0654541217527043</v>
      </c>
      <c r="I1097" s="12" t="n">
        <f aca="false">(1+H1097)^(1/12)-1</f>
        <v>0.00529740804900691</v>
      </c>
      <c r="J1097" s="16" t="n">
        <f aca="false">IF(C1097=0,(1+Dic2025!$M$6)^(-B1097),EXP(LN(INDEX(Dic2025!$N$6:$N$205,C1097))+(LN(INDEX(Dic2025!$N$6:$N$205,MIN(C1097+1,200)))-LN(INDEX(Dic2025!$N$6:$N$205,C1097)))*(A1097-6*C1097)/6))</f>
        <v>0.0031048658444031</v>
      </c>
      <c r="K1097" s="12" t="n">
        <f aca="false">J1097^(-1/B1097)-1</f>
        <v>0.0654541217527043</v>
      </c>
      <c r="L1097" s="12" t="n">
        <f aca="false">(1+K1097)^(1/12)-1</f>
        <v>0.00529740804900691</v>
      </c>
    </row>
    <row r="1098" customFormat="false" ht="15" hidden="false" customHeight="false" outlineLevel="0" collapsed="false">
      <c r="A1098" s="4" t="n">
        <v>1094</v>
      </c>
      <c r="B1098" s="14" t="n">
        <f aca="false">A1098/12</f>
        <v>91.1666666666667</v>
      </c>
      <c r="C1098" s="15" t="n">
        <f aca="false">INT(A1098/6)</f>
        <v>182</v>
      </c>
      <c r="D1098" s="16" t="n">
        <f aca="false">IF(C1098=0,(1+Dic2025!$G$6)^(-B1098),EXP(LN(INDEX(Dic2025!$H$6:$H$205,C1098))+(LN(INDEX(Dic2025!$H$6:$H$205,MIN(C1098+1,200)))-LN(INDEX(Dic2025!$H$6:$H$205,C1098)))*(A1098-6*C1098)/6))</f>
        <v>0.0030839493824494</v>
      </c>
      <c r="E1098" s="12" t="n">
        <f aca="false">D1098^(-1/B1098)-1</f>
        <v>0.0654713721912585</v>
      </c>
      <c r="F1098" s="12" t="n">
        <f aca="false">(1+E1098)^(1/12)-1</f>
        <v>0.00529876441059063</v>
      </c>
      <c r="G1098" s="16" t="n">
        <f aca="false">IF(C1098=0,(1+Dic2025!$J$6)^(-B1098),EXP(LN(INDEX(Dic2025!$K$6:$K$205,C1098))+(LN(INDEX(Dic2025!$K$6:$K$205,MIN(C1098+1,200)))-LN(INDEX(Dic2025!$K$6:$K$205,C1098)))*(A1098-6*C1098)/6))</f>
        <v>0.0030839493824494</v>
      </c>
      <c r="H1098" s="12" t="n">
        <f aca="false">G1098^(-1/B1098)-1</f>
        <v>0.0654713721912585</v>
      </c>
      <c r="I1098" s="12" t="n">
        <f aca="false">(1+H1098)^(1/12)-1</f>
        <v>0.00529876441059063</v>
      </c>
      <c r="J1098" s="16" t="n">
        <f aca="false">IF(C1098=0,(1+Dic2025!$M$6)^(-B1098),EXP(LN(INDEX(Dic2025!$N$6:$N$205,C1098))+(LN(INDEX(Dic2025!$N$6:$N$205,MIN(C1098+1,200)))-LN(INDEX(Dic2025!$N$6:$N$205,C1098)))*(A1098-6*C1098)/6))</f>
        <v>0.0030839493824494</v>
      </c>
      <c r="K1098" s="12" t="n">
        <f aca="false">J1098^(-1/B1098)-1</f>
        <v>0.0654713721912585</v>
      </c>
      <c r="L1098" s="12" t="n">
        <f aca="false">(1+K1098)^(1/12)-1</f>
        <v>0.00529876441059063</v>
      </c>
    </row>
    <row r="1099" customFormat="false" ht="15" hidden="false" customHeight="false" outlineLevel="0" collapsed="false">
      <c r="A1099" s="4" t="n">
        <v>1095</v>
      </c>
      <c r="B1099" s="14" t="n">
        <f aca="false">A1099/12</f>
        <v>91.25</v>
      </c>
      <c r="C1099" s="15" t="n">
        <f aca="false">INT(A1099/6)</f>
        <v>182</v>
      </c>
      <c r="D1099" s="16" t="n">
        <f aca="false">IF(C1099=0,(1+Dic2025!$G$6)^(-B1099),EXP(LN(INDEX(Dic2025!$H$6:$H$205,C1099))+(LN(INDEX(Dic2025!$H$6:$H$205,MIN(C1099+1,200)))-LN(INDEX(Dic2025!$H$6:$H$205,C1099)))*(A1099-6*C1099)/6))</f>
        <v>0.0030631738278336</v>
      </c>
      <c r="E1099" s="12" t="n">
        <f aca="false">D1099^(-1/B1099)-1</f>
        <v>0.0654885914006942</v>
      </c>
      <c r="F1099" s="12" t="n">
        <f aca="false">(1+E1099)^(1/12)-1</f>
        <v>0.00530011829662658</v>
      </c>
      <c r="G1099" s="16" t="n">
        <f aca="false">IF(C1099=0,(1+Dic2025!$J$6)^(-B1099),EXP(LN(INDEX(Dic2025!$K$6:$K$205,C1099))+(LN(INDEX(Dic2025!$K$6:$K$205,MIN(C1099+1,200)))-LN(INDEX(Dic2025!$K$6:$K$205,C1099)))*(A1099-6*C1099)/6))</f>
        <v>0.0030631738278336</v>
      </c>
      <c r="H1099" s="12" t="n">
        <f aca="false">G1099^(-1/B1099)-1</f>
        <v>0.0654885914006942</v>
      </c>
      <c r="I1099" s="12" t="n">
        <f aca="false">(1+H1099)^(1/12)-1</f>
        <v>0.00530011829662658</v>
      </c>
      <c r="J1099" s="16" t="n">
        <f aca="false">IF(C1099=0,(1+Dic2025!$M$6)^(-B1099),EXP(LN(INDEX(Dic2025!$N$6:$N$205,C1099))+(LN(INDEX(Dic2025!$N$6:$N$205,MIN(C1099+1,200)))-LN(INDEX(Dic2025!$N$6:$N$205,C1099)))*(A1099-6*C1099)/6))</f>
        <v>0.0030631738278336</v>
      </c>
      <c r="K1099" s="12" t="n">
        <f aca="false">J1099^(-1/B1099)-1</f>
        <v>0.0654885914006942</v>
      </c>
      <c r="L1099" s="12" t="n">
        <f aca="false">(1+K1099)^(1/12)-1</f>
        <v>0.00530011829662658</v>
      </c>
    </row>
    <row r="1100" customFormat="false" ht="15" hidden="false" customHeight="false" outlineLevel="0" collapsed="false">
      <c r="A1100" s="4" t="n">
        <v>1096</v>
      </c>
      <c r="B1100" s="14" t="n">
        <f aca="false">A1100/12</f>
        <v>91.3333333333333</v>
      </c>
      <c r="C1100" s="15" t="n">
        <f aca="false">INT(A1100/6)</f>
        <v>182</v>
      </c>
      <c r="D1100" s="16" t="n">
        <f aca="false">IF(C1100=0,(1+Dic2025!$G$6)^(-B1100),EXP(LN(INDEX(Dic2025!$H$6:$H$205,C1100))+(LN(INDEX(Dic2025!$H$6:$H$205,MIN(C1100+1,200)))-LN(INDEX(Dic2025!$H$6:$H$205,C1100)))*(A1100-6*C1100)/6))</f>
        <v>0.00304253823130921</v>
      </c>
      <c r="E1100" s="12" t="n">
        <f aca="false">D1100^(-1/B1100)-1</f>
        <v>0.0655057794657352</v>
      </c>
      <c r="F1100" s="12" t="n">
        <f aca="false">(1+E1100)^(1/12)-1</f>
        <v>0.00530146971388579</v>
      </c>
      <c r="G1100" s="16" t="n">
        <f aca="false">IF(C1100=0,(1+Dic2025!$J$6)^(-B1100),EXP(LN(INDEX(Dic2025!$K$6:$K$205,C1100))+(LN(INDEX(Dic2025!$K$6:$K$205,MIN(C1100+1,200)))-LN(INDEX(Dic2025!$K$6:$K$205,C1100)))*(A1100-6*C1100)/6))</f>
        <v>0.00304253823130921</v>
      </c>
      <c r="H1100" s="12" t="n">
        <f aca="false">G1100^(-1/B1100)-1</f>
        <v>0.0655057794657352</v>
      </c>
      <c r="I1100" s="12" t="n">
        <f aca="false">(1+H1100)^(1/12)-1</f>
        <v>0.00530146971388579</v>
      </c>
      <c r="J1100" s="16" t="n">
        <f aca="false">IF(C1100=0,(1+Dic2025!$M$6)^(-B1100),EXP(LN(INDEX(Dic2025!$N$6:$N$205,C1100))+(LN(INDEX(Dic2025!$N$6:$N$205,MIN(C1100+1,200)))-LN(INDEX(Dic2025!$N$6:$N$205,C1100)))*(A1100-6*C1100)/6))</f>
        <v>0.00304253823130921</v>
      </c>
      <c r="K1100" s="12" t="n">
        <f aca="false">J1100^(-1/B1100)-1</f>
        <v>0.0655057794657352</v>
      </c>
      <c r="L1100" s="12" t="n">
        <f aca="false">(1+K1100)^(1/12)-1</f>
        <v>0.00530146971388579</v>
      </c>
    </row>
    <row r="1101" customFormat="false" ht="15" hidden="false" customHeight="false" outlineLevel="0" collapsed="false">
      <c r="A1101" s="4" t="n">
        <v>1097</v>
      </c>
      <c r="B1101" s="14" t="n">
        <f aca="false">A1101/12</f>
        <v>91.4166666666667</v>
      </c>
      <c r="C1101" s="15" t="n">
        <f aca="false">INT(A1101/6)</f>
        <v>182</v>
      </c>
      <c r="D1101" s="16" t="n">
        <f aca="false">IF(C1101=0,(1+Dic2025!$G$6)^(-B1101),EXP(LN(INDEX(Dic2025!$H$6:$H$205,C1101))+(LN(INDEX(Dic2025!$H$6:$H$205,MIN(C1101+1,200)))-LN(INDEX(Dic2025!$H$6:$H$205,C1101)))*(A1101-6*C1101)/6))</f>
        <v>0.00302204165002452</v>
      </c>
      <c r="E1101" s="12" t="n">
        <f aca="false">D1101^(-1/B1101)-1</f>
        <v>0.0655229364707994</v>
      </c>
      <c r="F1101" s="12" t="n">
        <f aca="false">(1+E1101)^(1/12)-1</f>
        <v>0.00530281866911486</v>
      </c>
      <c r="G1101" s="16" t="n">
        <f aca="false">IF(C1101=0,(1+Dic2025!$J$6)^(-B1101),EXP(LN(INDEX(Dic2025!$K$6:$K$205,C1101))+(LN(INDEX(Dic2025!$K$6:$K$205,MIN(C1101+1,200)))-LN(INDEX(Dic2025!$K$6:$K$205,C1101)))*(A1101-6*C1101)/6))</f>
        <v>0.00302204165002452</v>
      </c>
      <c r="H1101" s="12" t="n">
        <f aca="false">G1101^(-1/B1101)-1</f>
        <v>0.0655229364707994</v>
      </c>
      <c r="I1101" s="12" t="n">
        <f aca="false">(1+H1101)^(1/12)-1</f>
        <v>0.00530281866911486</v>
      </c>
      <c r="J1101" s="16" t="n">
        <f aca="false">IF(C1101=0,(1+Dic2025!$M$6)^(-B1101),EXP(LN(INDEX(Dic2025!$N$6:$N$205,C1101))+(LN(INDEX(Dic2025!$N$6:$N$205,MIN(C1101+1,200)))-LN(INDEX(Dic2025!$N$6:$N$205,C1101)))*(A1101-6*C1101)/6))</f>
        <v>0.00302204165002452</v>
      </c>
      <c r="K1101" s="12" t="n">
        <f aca="false">J1101^(-1/B1101)-1</f>
        <v>0.0655229364707994</v>
      </c>
      <c r="L1101" s="12" t="n">
        <f aca="false">(1+K1101)^(1/12)-1</f>
        <v>0.00530281866911486</v>
      </c>
    </row>
    <row r="1102" customFormat="false" ht="15" hidden="false" customHeight="false" outlineLevel="0" collapsed="false">
      <c r="A1102" s="4" t="n">
        <v>1098</v>
      </c>
      <c r="B1102" s="14" t="n">
        <f aca="false">A1102/12</f>
        <v>91.5</v>
      </c>
      <c r="C1102" s="15" t="n">
        <f aca="false">INT(A1102/6)</f>
        <v>183</v>
      </c>
      <c r="D1102" s="16" t="n">
        <f aca="false">IF(C1102=0,(1+Dic2025!$G$6)^(-B1102),EXP(LN(INDEX(Dic2025!$H$6:$H$205,C1102))+(LN(INDEX(Dic2025!$H$6:$H$205,MIN(C1102+1,200)))-LN(INDEX(Dic2025!$H$6:$H$205,C1102)))*(A1102-6*C1102)/6))</f>
        <v>0.0030016831474795</v>
      </c>
      <c r="E1102" s="12" t="n">
        <f aca="false">D1102^(-1/B1102)-1</f>
        <v>0.0655400624999998</v>
      </c>
      <c r="F1102" s="12" t="n">
        <f aca="false">(1+E1102)^(1/12)-1</f>
        <v>0.00530416516903598</v>
      </c>
      <c r="G1102" s="16" t="n">
        <f aca="false">IF(C1102=0,(1+Dic2025!$J$6)^(-B1102),EXP(LN(INDEX(Dic2025!$K$6:$K$205,C1102))+(LN(INDEX(Dic2025!$K$6:$K$205,MIN(C1102+1,200)))-LN(INDEX(Dic2025!$K$6:$K$205,C1102)))*(A1102-6*C1102)/6))</f>
        <v>0.0030016831474795</v>
      </c>
      <c r="H1102" s="12" t="n">
        <f aca="false">G1102^(-1/B1102)-1</f>
        <v>0.0655400624999998</v>
      </c>
      <c r="I1102" s="12" t="n">
        <f aca="false">(1+H1102)^(1/12)-1</f>
        <v>0.00530416516903598</v>
      </c>
      <c r="J1102" s="16" t="n">
        <f aca="false">IF(C1102=0,(1+Dic2025!$M$6)^(-B1102),EXP(LN(INDEX(Dic2025!$N$6:$N$205,C1102))+(LN(INDEX(Dic2025!$N$6:$N$205,MIN(C1102+1,200)))-LN(INDEX(Dic2025!$N$6:$N$205,C1102)))*(A1102-6*C1102)/6))</f>
        <v>0.0030016831474795</v>
      </c>
      <c r="K1102" s="12" t="n">
        <f aca="false">J1102^(-1/B1102)-1</f>
        <v>0.0655400624999998</v>
      </c>
      <c r="L1102" s="12" t="n">
        <f aca="false">(1+K1102)^(1/12)-1</f>
        <v>0.00530416516903598</v>
      </c>
    </row>
    <row r="1103" customFormat="false" ht="15" hidden="false" customHeight="false" outlineLevel="0" collapsed="false">
      <c r="A1103" s="4" t="n">
        <v>1099</v>
      </c>
      <c r="B1103" s="14" t="n">
        <f aca="false">A1103/12</f>
        <v>91.5833333333333</v>
      </c>
      <c r="C1103" s="15" t="n">
        <f aca="false">INT(A1103/6)</f>
        <v>183</v>
      </c>
      <c r="D1103" s="16" t="n">
        <f aca="false">IF(C1103=0,(1+Dic2025!$G$6)^(-B1103),EXP(LN(INDEX(Dic2025!$H$6:$H$205,C1103))+(LN(INDEX(Dic2025!$H$6:$H$205,MIN(C1103+1,200)))-LN(INDEX(Dic2025!$H$6:$H$205,C1103)))*(A1103-6*C1103)/6))</f>
        <v>0.00298584572856593</v>
      </c>
      <c r="E1103" s="12" t="n">
        <f aca="false">D1103^(-1/B1103)-1</f>
        <v>0.0655400624999998</v>
      </c>
      <c r="F1103" s="12" t="n">
        <f aca="false">(1+E1103)^(1/12)-1</f>
        <v>0.00530416516903598</v>
      </c>
      <c r="G1103" s="16" t="n">
        <f aca="false">IF(C1103=0,(1+Dic2025!$J$6)^(-B1103),EXP(LN(INDEX(Dic2025!$K$6:$K$205,C1103))+(LN(INDEX(Dic2025!$K$6:$K$205,MIN(C1103+1,200)))-LN(INDEX(Dic2025!$K$6:$K$205,C1103)))*(A1103-6*C1103)/6))</f>
        <v>0.00298584572856593</v>
      </c>
      <c r="H1103" s="12" t="n">
        <f aca="false">G1103^(-1/B1103)-1</f>
        <v>0.0655400624999998</v>
      </c>
      <c r="I1103" s="12" t="n">
        <f aca="false">(1+H1103)^(1/12)-1</f>
        <v>0.00530416516903598</v>
      </c>
      <c r="J1103" s="16" t="n">
        <f aca="false">IF(C1103=0,(1+Dic2025!$M$6)^(-B1103),EXP(LN(INDEX(Dic2025!$N$6:$N$205,C1103))+(LN(INDEX(Dic2025!$N$6:$N$205,MIN(C1103+1,200)))-LN(INDEX(Dic2025!$N$6:$N$205,C1103)))*(A1103-6*C1103)/6))</f>
        <v>0.00298584572856593</v>
      </c>
      <c r="K1103" s="12" t="n">
        <f aca="false">J1103^(-1/B1103)-1</f>
        <v>0.0655400624999998</v>
      </c>
      <c r="L1103" s="12" t="n">
        <f aca="false">(1+K1103)^(1/12)-1</f>
        <v>0.00530416516903598</v>
      </c>
    </row>
    <row r="1104" customFormat="false" ht="15" hidden="false" customHeight="false" outlineLevel="0" collapsed="false">
      <c r="A1104" s="4" t="n">
        <v>1100</v>
      </c>
      <c r="B1104" s="14" t="n">
        <f aca="false">A1104/12</f>
        <v>91.6666666666667</v>
      </c>
      <c r="C1104" s="15" t="n">
        <f aca="false">INT(A1104/6)</f>
        <v>183</v>
      </c>
      <c r="D1104" s="16" t="n">
        <f aca="false">IF(C1104=0,(1+Dic2025!$G$6)^(-B1104),EXP(LN(INDEX(Dic2025!$H$6:$H$205,C1104))+(LN(INDEX(Dic2025!$H$6:$H$205,MIN(C1104+1,200)))-LN(INDEX(Dic2025!$H$6:$H$205,C1104)))*(A1104-6*C1104)/6))</f>
        <v>0.00297009187071644</v>
      </c>
      <c r="E1104" s="12" t="n">
        <f aca="false">D1104^(-1/B1104)-1</f>
        <v>0.0655400624999998</v>
      </c>
      <c r="F1104" s="12" t="n">
        <f aca="false">(1+E1104)^(1/12)-1</f>
        <v>0.00530416516903598</v>
      </c>
      <c r="G1104" s="16" t="n">
        <f aca="false">IF(C1104=0,(1+Dic2025!$J$6)^(-B1104),EXP(LN(INDEX(Dic2025!$K$6:$K$205,C1104))+(LN(INDEX(Dic2025!$K$6:$K$205,MIN(C1104+1,200)))-LN(INDEX(Dic2025!$K$6:$K$205,C1104)))*(A1104-6*C1104)/6))</f>
        <v>0.00297009187071644</v>
      </c>
      <c r="H1104" s="12" t="n">
        <f aca="false">G1104^(-1/B1104)-1</f>
        <v>0.0655400624999998</v>
      </c>
      <c r="I1104" s="12" t="n">
        <f aca="false">(1+H1104)^(1/12)-1</f>
        <v>0.00530416516903598</v>
      </c>
      <c r="J1104" s="16" t="n">
        <f aca="false">IF(C1104=0,(1+Dic2025!$M$6)^(-B1104),EXP(LN(INDEX(Dic2025!$N$6:$N$205,C1104))+(LN(INDEX(Dic2025!$N$6:$N$205,MIN(C1104+1,200)))-LN(INDEX(Dic2025!$N$6:$N$205,C1104)))*(A1104-6*C1104)/6))</f>
        <v>0.00297009187071644</v>
      </c>
      <c r="K1104" s="12" t="n">
        <f aca="false">J1104^(-1/B1104)-1</f>
        <v>0.0655400624999998</v>
      </c>
      <c r="L1104" s="12" t="n">
        <f aca="false">(1+K1104)^(1/12)-1</f>
        <v>0.00530416516903598</v>
      </c>
    </row>
    <row r="1105" customFormat="false" ht="15" hidden="false" customHeight="false" outlineLevel="0" collapsed="false">
      <c r="A1105" s="4" t="n">
        <v>1101</v>
      </c>
      <c r="B1105" s="14" t="n">
        <f aca="false">A1105/12</f>
        <v>91.75</v>
      </c>
      <c r="C1105" s="15" t="n">
        <f aca="false">INT(A1105/6)</f>
        <v>183</v>
      </c>
      <c r="D1105" s="16" t="n">
        <f aca="false">IF(C1105=0,(1+Dic2025!$G$6)^(-B1105),EXP(LN(INDEX(Dic2025!$H$6:$H$205,C1105))+(LN(INDEX(Dic2025!$H$6:$H$205,MIN(C1105+1,200)))-LN(INDEX(Dic2025!$H$6:$H$205,C1105)))*(A1105-6*C1105)/6))</f>
        <v>0.00295442113304786</v>
      </c>
      <c r="E1105" s="12" t="n">
        <f aca="false">D1105^(-1/B1105)-1</f>
        <v>0.0655400624999998</v>
      </c>
      <c r="F1105" s="12" t="n">
        <f aca="false">(1+E1105)^(1/12)-1</f>
        <v>0.00530416516903598</v>
      </c>
      <c r="G1105" s="16" t="n">
        <f aca="false">IF(C1105=0,(1+Dic2025!$J$6)^(-B1105),EXP(LN(INDEX(Dic2025!$K$6:$K$205,C1105))+(LN(INDEX(Dic2025!$K$6:$K$205,MIN(C1105+1,200)))-LN(INDEX(Dic2025!$K$6:$K$205,C1105)))*(A1105-6*C1105)/6))</f>
        <v>0.00295442113304786</v>
      </c>
      <c r="H1105" s="12" t="n">
        <f aca="false">G1105^(-1/B1105)-1</f>
        <v>0.0655400624999998</v>
      </c>
      <c r="I1105" s="12" t="n">
        <f aca="false">(1+H1105)^(1/12)-1</f>
        <v>0.00530416516903598</v>
      </c>
      <c r="J1105" s="16" t="n">
        <f aca="false">IF(C1105=0,(1+Dic2025!$M$6)^(-B1105),EXP(LN(INDEX(Dic2025!$N$6:$N$205,C1105))+(LN(INDEX(Dic2025!$N$6:$N$205,MIN(C1105+1,200)))-LN(INDEX(Dic2025!$N$6:$N$205,C1105)))*(A1105-6*C1105)/6))</f>
        <v>0.00295442113304786</v>
      </c>
      <c r="K1105" s="12" t="n">
        <f aca="false">J1105^(-1/B1105)-1</f>
        <v>0.0655400624999998</v>
      </c>
      <c r="L1105" s="12" t="n">
        <f aca="false">(1+K1105)^(1/12)-1</f>
        <v>0.00530416516903598</v>
      </c>
    </row>
    <row r="1106" customFormat="false" ht="15" hidden="false" customHeight="false" outlineLevel="0" collapsed="false">
      <c r="A1106" s="4" t="n">
        <v>1102</v>
      </c>
      <c r="B1106" s="14" t="n">
        <f aca="false">A1106/12</f>
        <v>91.8333333333333</v>
      </c>
      <c r="C1106" s="15" t="n">
        <f aca="false">INT(A1106/6)</f>
        <v>183</v>
      </c>
      <c r="D1106" s="16" t="n">
        <f aca="false">IF(C1106=0,(1+Dic2025!$G$6)^(-B1106),EXP(LN(INDEX(Dic2025!$H$6:$H$205,C1106))+(LN(INDEX(Dic2025!$H$6:$H$205,MIN(C1106+1,200)))-LN(INDEX(Dic2025!$H$6:$H$205,C1106)))*(A1106-6*C1106)/6))</f>
        <v>0.00293883307700321</v>
      </c>
      <c r="E1106" s="12" t="n">
        <f aca="false">D1106^(-1/B1106)-1</f>
        <v>0.0655400624999998</v>
      </c>
      <c r="F1106" s="12" t="n">
        <f aca="false">(1+E1106)^(1/12)-1</f>
        <v>0.00530416516903598</v>
      </c>
      <c r="G1106" s="16" t="n">
        <f aca="false">IF(C1106=0,(1+Dic2025!$J$6)^(-B1106),EXP(LN(INDEX(Dic2025!$K$6:$K$205,C1106))+(LN(INDEX(Dic2025!$K$6:$K$205,MIN(C1106+1,200)))-LN(INDEX(Dic2025!$K$6:$K$205,C1106)))*(A1106-6*C1106)/6))</f>
        <v>0.00293883307700321</v>
      </c>
      <c r="H1106" s="12" t="n">
        <f aca="false">G1106^(-1/B1106)-1</f>
        <v>0.0655400624999998</v>
      </c>
      <c r="I1106" s="12" t="n">
        <f aca="false">(1+H1106)^(1/12)-1</f>
        <v>0.00530416516903598</v>
      </c>
      <c r="J1106" s="16" t="n">
        <f aca="false">IF(C1106=0,(1+Dic2025!$M$6)^(-B1106),EXP(LN(INDEX(Dic2025!$N$6:$N$205,C1106))+(LN(INDEX(Dic2025!$N$6:$N$205,MIN(C1106+1,200)))-LN(INDEX(Dic2025!$N$6:$N$205,C1106)))*(A1106-6*C1106)/6))</f>
        <v>0.00293883307700321</v>
      </c>
      <c r="K1106" s="12" t="n">
        <f aca="false">J1106^(-1/B1106)-1</f>
        <v>0.0655400624999998</v>
      </c>
      <c r="L1106" s="12" t="n">
        <f aca="false">(1+K1106)^(1/12)-1</f>
        <v>0.00530416516903598</v>
      </c>
    </row>
    <row r="1107" customFormat="false" ht="15" hidden="false" customHeight="false" outlineLevel="0" collapsed="false">
      <c r="A1107" s="4" t="n">
        <v>1103</v>
      </c>
      <c r="B1107" s="14" t="n">
        <f aca="false">A1107/12</f>
        <v>91.9166666666667</v>
      </c>
      <c r="C1107" s="15" t="n">
        <f aca="false">INT(A1107/6)</f>
        <v>183</v>
      </c>
      <c r="D1107" s="16" t="n">
        <f aca="false">IF(C1107=0,(1+Dic2025!$G$6)^(-B1107),EXP(LN(INDEX(Dic2025!$H$6:$H$205,C1107))+(LN(INDEX(Dic2025!$H$6:$H$205,MIN(C1107+1,200)))-LN(INDEX(Dic2025!$H$6:$H$205,C1107)))*(A1107-6*C1107)/6))</f>
        <v>0.0029233272663394</v>
      </c>
      <c r="E1107" s="12" t="n">
        <f aca="false">D1107^(-1/B1107)-1</f>
        <v>0.0655400624999998</v>
      </c>
      <c r="F1107" s="12" t="n">
        <f aca="false">(1+E1107)^(1/12)-1</f>
        <v>0.00530416516903598</v>
      </c>
      <c r="G1107" s="16" t="n">
        <f aca="false">IF(C1107=0,(1+Dic2025!$J$6)^(-B1107),EXP(LN(INDEX(Dic2025!$K$6:$K$205,C1107))+(LN(INDEX(Dic2025!$K$6:$K$205,MIN(C1107+1,200)))-LN(INDEX(Dic2025!$K$6:$K$205,C1107)))*(A1107-6*C1107)/6))</f>
        <v>0.0029233272663394</v>
      </c>
      <c r="H1107" s="12" t="n">
        <f aca="false">G1107^(-1/B1107)-1</f>
        <v>0.0655400624999998</v>
      </c>
      <c r="I1107" s="12" t="n">
        <f aca="false">(1+H1107)^(1/12)-1</f>
        <v>0.00530416516903598</v>
      </c>
      <c r="J1107" s="16" t="n">
        <f aca="false">IF(C1107=0,(1+Dic2025!$M$6)^(-B1107),EXP(LN(INDEX(Dic2025!$N$6:$N$205,C1107))+(LN(INDEX(Dic2025!$N$6:$N$205,MIN(C1107+1,200)))-LN(INDEX(Dic2025!$N$6:$N$205,C1107)))*(A1107-6*C1107)/6))</f>
        <v>0.0029233272663394</v>
      </c>
      <c r="K1107" s="12" t="n">
        <f aca="false">J1107^(-1/B1107)-1</f>
        <v>0.0655400624999998</v>
      </c>
      <c r="L1107" s="12" t="n">
        <f aca="false">(1+K1107)^(1/12)-1</f>
        <v>0.00530416516903598</v>
      </c>
    </row>
    <row r="1108" customFormat="false" ht="15" hidden="false" customHeight="false" outlineLevel="0" collapsed="false">
      <c r="A1108" s="4" t="n">
        <v>1104</v>
      </c>
      <c r="B1108" s="14" t="n">
        <f aca="false">A1108/12</f>
        <v>92</v>
      </c>
      <c r="C1108" s="15" t="n">
        <f aca="false">INT(A1108/6)</f>
        <v>184</v>
      </c>
      <c r="D1108" s="16" t="n">
        <f aca="false">IF(C1108=0,(1+Dic2025!$G$6)^(-B1108),EXP(LN(INDEX(Dic2025!$H$6:$H$205,C1108))+(LN(INDEX(Dic2025!$H$6:$H$205,MIN(C1108+1,200)))-LN(INDEX(Dic2025!$H$6:$H$205,C1108)))*(A1108-6*C1108)/6))</f>
        <v>0.00290790326711504</v>
      </c>
      <c r="E1108" s="12" t="n">
        <f aca="false">D1108^(-1/B1108)-1</f>
        <v>0.0655400624999998</v>
      </c>
      <c r="F1108" s="12" t="n">
        <f aca="false">(1+E1108)^(1/12)-1</f>
        <v>0.00530416516903598</v>
      </c>
      <c r="G1108" s="16" t="n">
        <f aca="false">IF(C1108=0,(1+Dic2025!$J$6)^(-B1108),EXP(LN(INDEX(Dic2025!$K$6:$K$205,C1108))+(LN(INDEX(Dic2025!$K$6:$K$205,MIN(C1108+1,200)))-LN(INDEX(Dic2025!$K$6:$K$205,C1108)))*(A1108-6*C1108)/6))</f>
        <v>0.00290790326711504</v>
      </c>
      <c r="H1108" s="12" t="n">
        <f aca="false">G1108^(-1/B1108)-1</f>
        <v>0.0655400624999998</v>
      </c>
      <c r="I1108" s="12" t="n">
        <f aca="false">(1+H1108)^(1/12)-1</f>
        <v>0.00530416516903598</v>
      </c>
      <c r="J1108" s="16" t="n">
        <f aca="false">IF(C1108=0,(1+Dic2025!$M$6)^(-B1108),EXP(LN(INDEX(Dic2025!$N$6:$N$205,C1108))+(LN(INDEX(Dic2025!$N$6:$N$205,MIN(C1108+1,200)))-LN(INDEX(Dic2025!$N$6:$N$205,C1108)))*(A1108-6*C1108)/6))</f>
        <v>0.00290790326711504</v>
      </c>
      <c r="K1108" s="12" t="n">
        <f aca="false">J1108^(-1/B1108)-1</f>
        <v>0.0655400624999998</v>
      </c>
      <c r="L1108" s="12" t="n">
        <f aca="false">(1+K1108)^(1/12)-1</f>
        <v>0.00530416516903598</v>
      </c>
    </row>
    <row r="1109" customFormat="false" ht="15" hidden="false" customHeight="false" outlineLevel="0" collapsed="false">
      <c r="A1109" s="4" t="n">
        <v>1105</v>
      </c>
      <c r="B1109" s="14" t="n">
        <f aca="false">A1109/12</f>
        <v>92.0833333333333</v>
      </c>
      <c r="C1109" s="15" t="n">
        <f aca="false">INT(A1109/6)</f>
        <v>184</v>
      </c>
      <c r="D1109" s="16" t="n">
        <f aca="false">IF(C1109=0,(1+Dic2025!$G$6)^(-B1109),EXP(LN(INDEX(Dic2025!$H$6:$H$205,C1109))+(LN(INDEX(Dic2025!$H$6:$H$205,MIN(C1109+1,200)))-LN(INDEX(Dic2025!$H$6:$H$205,C1109)))*(A1109-6*C1109)/6))</f>
        <v>0.0028925606476783</v>
      </c>
      <c r="E1109" s="12" t="n">
        <f aca="false">D1109^(-1/B1109)-1</f>
        <v>0.0655400624999998</v>
      </c>
      <c r="F1109" s="12" t="n">
        <f aca="false">(1+E1109)^(1/12)-1</f>
        <v>0.00530416516903598</v>
      </c>
      <c r="G1109" s="16" t="n">
        <f aca="false">IF(C1109=0,(1+Dic2025!$J$6)^(-B1109),EXP(LN(INDEX(Dic2025!$K$6:$K$205,C1109))+(LN(INDEX(Dic2025!$K$6:$K$205,MIN(C1109+1,200)))-LN(INDEX(Dic2025!$K$6:$K$205,C1109)))*(A1109-6*C1109)/6))</f>
        <v>0.0028925606476783</v>
      </c>
      <c r="H1109" s="12" t="n">
        <f aca="false">G1109^(-1/B1109)-1</f>
        <v>0.0655400624999998</v>
      </c>
      <c r="I1109" s="12" t="n">
        <f aca="false">(1+H1109)^(1/12)-1</f>
        <v>0.00530416516903598</v>
      </c>
      <c r="J1109" s="16" t="n">
        <f aca="false">IF(C1109=0,(1+Dic2025!$M$6)^(-B1109),EXP(LN(INDEX(Dic2025!$N$6:$N$205,C1109))+(LN(INDEX(Dic2025!$N$6:$N$205,MIN(C1109+1,200)))-LN(INDEX(Dic2025!$N$6:$N$205,C1109)))*(A1109-6*C1109)/6))</f>
        <v>0.0028925606476783</v>
      </c>
      <c r="K1109" s="12" t="n">
        <f aca="false">J1109^(-1/B1109)-1</f>
        <v>0.0655400624999998</v>
      </c>
      <c r="L1109" s="12" t="n">
        <f aca="false">(1+K1109)^(1/12)-1</f>
        <v>0.00530416516903598</v>
      </c>
    </row>
    <row r="1110" customFormat="false" ht="15" hidden="false" customHeight="false" outlineLevel="0" collapsed="false">
      <c r="A1110" s="4" t="n">
        <v>1106</v>
      </c>
      <c r="B1110" s="14" t="n">
        <f aca="false">A1110/12</f>
        <v>92.1666666666667</v>
      </c>
      <c r="C1110" s="15" t="n">
        <f aca="false">INT(A1110/6)</f>
        <v>184</v>
      </c>
      <c r="D1110" s="16" t="n">
        <f aca="false">IF(C1110=0,(1+Dic2025!$G$6)^(-B1110),EXP(LN(INDEX(Dic2025!$H$6:$H$205,C1110))+(LN(INDEX(Dic2025!$H$6:$H$205,MIN(C1110+1,200)))-LN(INDEX(Dic2025!$H$6:$H$205,C1110)))*(A1110-6*C1110)/6))</f>
        <v>0.00287729897865482</v>
      </c>
      <c r="E1110" s="12" t="n">
        <f aca="false">D1110^(-1/B1110)-1</f>
        <v>0.0655400624999998</v>
      </c>
      <c r="F1110" s="12" t="n">
        <f aca="false">(1+E1110)^(1/12)-1</f>
        <v>0.00530416516903598</v>
      </c>
      <c r="G1110" s="16" t="n">
        <f aca="false">IF(C1110=0,(1+Dic2025!$J$6)^(-B1110),EXP(LN(INDEX(Dic2025!$K$6:$K$205,C1110))+(LN(INDEX(Dic2025!$K$6:$K$205,MIN(C1110+1,200)))-LN(INDEX(Dic2025!$K$6:$K$205,C1110)))*(A1110-6*C1110)/6))</f>
        <v>0.00287729897865482</v>
      </c>
      <c r="H1110" s="12" t="n">
        <f aca="false">G1110^(-1/B1110)-1</f>
        <v>0.0655400624999998</v>
      </c>
      <c r="I1110" s="12" t="n">
        <f aca="false">(1+H1110)^(1/12)-1</f>
        <v>0.00530416516903598</v>
      </c>
      <c r="J1110" s="16" t="n">
        <f aca="false">IF(C1110=0,(1+Dic2025!$M$6)^(-B1110),EXP(LN(INDEX(Dic2025!$N$6:$N$205,C1110))+(LN(INDEX(Dic2025!$N$6:$N$205,MIN(C1110+1,200)))-LN(INDEX(Dic2025!$N$6:$N$205,C1110)))*(A1110-6*C1110)/6))</f>
        <v>0.00287729897865482</v>
      </c>
      <c r="K1110" s="12" t="n">
        <f aca="false">J1110^(-1/B1110)-1</f>
        <v>0.0655400624999998</v>
      </c>
      <c r="L1110" s="12" t="n">
        <f aca="false">(1+K1110)^(1/12)-1</f>
        <v>0.00530416516903598</v>
      </c>
    </row>
    <row r="1111" customFormat="false" ht="15" hidden="false" customHeight="false" outlineLevel="0" collapsed="false">
      <c r="A1111" s="4" t="n">
        <v>1107</v>
      </c>
      <c r="B1111" s="14" t="n">
        <f aca="false">A1111/12</f>
        <v>92.25</v>
      </c>
      <c r="C1111" s="15" t="n">
        <f aca="false">INT(A1111/6)</f>
        <v>184</v>
      </c>
      <c r="D1111" s="16" t="n">
        <f aca="false">IF(C1111=0,(1+Dic2025!$G$6)^(-B1111),EXP(LN(INDEX(Dic2025!$H$6:$H$205,C1111))+(LN(INDEX(Dic2025!$H$6:$H$205,MIN(C1111+1,200)))-LN(INDEX(Dic2025!$H$6:$H$205,C1111)))*(A1111-6*C1111)/6))</f>
        <v>0.00286211783293569</v>
      </c>
      <c r="E1111" s="12" t="n">
        <f aca="false">D1111^(-1/B1111)-1</f>
        <v>0.0655400624999998</v>
      </c>
      <c r="F1111" s="12" t="n">
        <f aca="false">(1+E1111)^(1/12)-1</f>
        <v>0.00530416516903598</v>
      </c>
      <c r="G1111" s="16" t="n">
        <f aca="false">IF(C1111=0,(1+Dic2025!$J$6)^(-B1111),EXP(LN(INDEX(Dic2025!$K$6:$K$205,C1111))+(LN(INDEX(Dic2025!$K$6:$K$205,MIN(C1111+1,200)))-LN(INDEX(Dic2025!$K$6:$K$205,C1111)))*(A1111-6*C1111)/6))</f>
        <v>0.00286211783293569</v>
      </c>
      <c r="H1111" s="12" t="n">
        <f aca="false">G1111^(-1/B1111)-1</f>
        <v>0.0655400624999998</v>
      </c>
      <c r="I1111" s="12" t="n">
        <f aca="false">(1+H1111)^(1/12)-1</f>
        <v>0.00530416516903598</v>
      </c>
      <c r="J1111" s="16" t="n">
        <f aca="false">IF(C1111=0,(1+Dic2025!$M$6)^(-B1111),EXP(LN(INDEX(Dic2025!$N$6:$N$205,C1111))+(LN(INDEX(Dic2025!$N$6:$N$205,MIN(C1111+1,200)))-LN(INDEX(Dic2025!$N$6:$N$205,C1111)))*(A1111-6*C1111)/6))</f>
        <v>0.00286211783293569</v>
      </c>
      <c r="K1111" s="12" t="n">
        <f aca="false">J1111^(-1/B1111)-1</f>
        <v>0.0655400624999998</v>
      </c>
      <c r="L1111" s="12" t="n">
        <f aca="false">(1+K1111)^(1/12)-1</f>
        <v>0.00530416516903598</v>
      </c>
    </row>
    <row r="1112" customFormat="false" ht="15" hidden="false" customHeight="false" outlineLevel="0" collapsed="false">
      <c r="A1112" s="4" t="n">
        <v>1108</v>
      </c>
      <c r="B1112" s="14" t="n">
        <f aca="false">A1112/12</f>
        <v>92.3333333333333</v>
      </c>
      <c r="C1112" s="15" t="n">
        <f aca="false">INT(A1112/6)</f>
        <v>184</v>
      </c>
      <c r="D1112" s="16" t="n">
        <f aca="false">IF(C1112=0,(1+Dic2025!$G$6)^(-B1112),EXP(LN(INDEX(Dic2025!$H$6:$H$205,C1112))+(LN(INDEX(Dic2025!$H$6:$H$205,MIN(C1112+1,200)))-LN(INDEX(Dic2025!$H$6:$H$205,C1112)))*(A1112-6*C1112)/6))</f>
        <v>0.0028470167856655</v>
      </c>
      <c r="E1112" s="12" t="n">
        <f aca="false">D1112^(-1/B1112)-1</f>
        <v>0.0655400624999998</v>
      </c>
      <c r="F1112" s="12" t="n">
        <f aca="false">(1+E1112)^(1/12)-1</f>
        <v>0.00530416516903598</v>
      </c>
      <c r="G1112" s="16" t="n">
        <f aca="false">IF(C1112=0,(1+Dic2025!$J$6)^(-B1112),EXP(LN(INDEX(Dic2025!$K$6:$K$205,C1112))+(LN(INDEX(Dic2025!$K$6:$K$205,MIN(C1112+1,200)))-LN(INDEX(Dic2025!$K$6:$K$205,C1112)))*(A1112-6*C1112)/6))</f>
        <v>0.0028470167856655</v>
      </c>
      <c r="H1112" s="12" t="n">
        <f aca="false">G1112^(-1/B1112)-1</f>
        <v>0.0655400624999998</v>
      </c>
      <c r="I1112" s="12" t="n">
        <f aca="false">(1+H1112)^(1/12)-1</f>
        <v>0.00530416516903598</v>
      </c>
      <c r="J1112" s="16" t="n">
        <f aca="false">IF(C1112=0,(1+Dic2025!$M$6)^(-B1112),EXP(LN(INDEX(Dic2025!$N$6:$N$205,C1112))+(LN(INDEX(Dic2025!$N$6:$N$205,MIN(C1112+1,200)))-LN(INDEX(Dic2025!$N$6:$N$205,C1112)))*(A1112-6*C1112)/6))</f>
        <v>0.0028470167856655</v>
      </c>
      <c r="K1112" s="12" t="n">
        <f aca="false">J1112^(-1/B1112)-1</f>
        <v>0.0655400624999998</v>
      </c>
      <c r="L1112" s="12" t="n">
        <f aca="false">(1+K1112)^(1/12)-1</f>
        <v>0.00530416516903598</v>
      </c>
    </row>
    <row r="1113" customFormat="false" ht="15" hidden="false" customHeight="false" outlineLevel="0" collapsed="false">
      <c r="A1113" s="4" t="n">
        <v>1109</v>
      </c>
      <c r="B1113" s="14" t="n">
        <f aca="false">A1113/12</f>
        <v>92.4166666666667</v>
      </c>
      <c r="C1113" s="15" t="n">
        <f aca="false">INT(A1113/6)</f>
        <v>184</v>
      </c>
      <c r="D1113" s="16" t="n">
        <f aca="false">IF(C1113=0,(1+Dic2025!$G$6)^(-B1113),EXP(LN(INDEX(Dic2025!$H$6:$H$205,C1113))+(LN(INDEX(Dic2025!$H$6:$H$205,MIN(C1113+1,200)))-LN(INDEX(Dic2025!$H$6:$H$205,C1113)))*(A1113-6*C1113)/6))</f>
        <v>0.00283199541423047</v>
      </c>
      <c r="E1113" s="12" t="n">
        <f aca="false">D1113^(-1/B1113)-1</f>
        <v>0.0655400624999998</v>
      </c>
      <c r="F1113" s="12" t="n">
        <f aca="false">(1+E1113)^(1/12)-1</f>
        <v>0.00530416516903598</v>
      </c>
      <c r="G1113" s="16" t="n">
        <f aca="false">IF(C1113=0,(1+Dic2025!$J$6)^(-B1113),EXP(LN(INDEX(Dic2025!$K$6:$K$205,C1113))+(LN(INDEX(Dic2025!$K$6:$K$205,MIN(C1113+1,200)))-LN(INDEX(Dic2025!$K$6:$K$205,C1113)))*(A1113-6*C1113)/6))</f>
        <v>0.00283199541423047</v>
      </c>
      <c r="H1113" s="12" t="n">
        <f aca="false">G1113^(-1/B1113)-1</f>
        <v>0.0655400624999998</v>
      </c>
      <c r="I1113" s="12" t="n">
        <f aca="false">(1+H1113)^(1/12)-1</f>
        <v>0.00530416516903598</v>
      </c>
      <c r="J1113" s="16" t="n">
        <f aca="false">IF(C1113=0,(1+Dic2025!$M$6)^(-B1113),EXP(LN(INDEX(Dic2025!$N$6:$N$205,C1113))+(LN(INDEX(Dic2025!$N$6:$N$205,MIN(C1113+1,200)))-LN(INDEX(Dic2025!$N$6:$N$205,C1113)))*(A1113-6*C1113)/6))</f>
        <v>0.00283199541423047</v>
      </c>
      <c r="K1113" s="12" t="n">
        <f aca="false">J1113^(-1/B1113)-1</f>
        <v>0.0655400624999998</v>
      </c>
      <c r="L1113" s="12" t="n">
        <f aca="false">(1+K1113)^(1/12)-1</f>
        <v>0.00530416516903598</v>
      </c>
    </row>
    <row r="1114" customFormat="false" ht="15" hidden="false" customHeight="false" outlineLevel="0" collapsed="false">
      <c r="A1114" s="4" t="n">
        <v>1110</v>
      </c>
      <c r="B1114" s="14" t="n">
        <f aca="false">A1114/12</f>
        <v>92.5</v>
      </c>
      <c r="C1114" s="15" t="n">
        <f aca="false">INT(A1114/6)</f>
        <v>185</v>
      </c>
      <c r="D1114" s="16" t="n">
        <f aca="false">IF(C1114=0,(1+Dic2025!$G$6)^(-B1114),EXP(LN(INDEX(Dic2025!$H$6:$H$205,C1114))+(LN(INDEX(Dic2025!$H$6:$H$205,MIN(C1114+1,200)))-LN(INDEX(Dic2025!$H$6:$H$205,C1114)))*(A1114-6*C1114)/6))</f>
        <v>0.00281705329824659</v>
      </c>
      <c r="E1114" s="12" t="n">
        <f aca="false">D1114^(-1/B1114)-1</f>
        <v>0.0655400624999998</v>
      </c>
      <c r="F1114" s="12" t="n">
        <f aca="false">(1+E1114)^(1/12)-1</f>
        <v>0.00530416516903598</v>
      </c>
      <c r="G1114" s="16" t="n">
        <f aca="false">IF(C1114=0,(1+Dic2025!$J$6)^(-B1114),EXP(LN(INDEX(Dic2025!$K$6:$K$205,C1114))+(LN(INDEX(Dic2025!$K$6:$K$205,MIN(C1114+1,200)))-LN(INDEX(Dic2025!$K$6:$K$205,C1114)))*(A1114-6*C1114)/6))</f>
        <v>0.00281705329824659</v>
      </c>
      <c r="H1114" s="12" t="n">
        <f aca="false">G1114^(-1/B1114)-1</f>
        <v>0.0655400624999998</v>
      </c>
      <c r="I1114" s="12" t="n">
        <f aca="false">(1+H1114)^(1/12)-1</f>
        <v>0.00530416516903598</v>
      </c>
      <c r="J1114" s="16" t="n">
        <f aca="false">IF(C1114=0,(1+Dic2025!$M$6)^(-B1114),EXP(LN(INDEX(Dic2025!$N$6:$N$205,C1114))+(LN(INDEX(Dic2025!$N$6:$N$205,MIN(C1114+1,200)))-LN(INDEX(Dic2025!$N$6:$N$205,C1114)))*(A1114-6*C1114)/6))</f>
        <v>0.00281705329824659</v>
      </c>
      <c r="K1114" s="12" t="n">
        <f aca="false">J1114^(-1/B1114)-1</f>
        <v>0.0655400624999998</v>
      </c>
      <c r="L1114" s="12" t="n">
        <f aca="false">(1+K1114)^(1/12)-1</f>
        <v>0.00530416516903598</v>
      </c>
    </row>
    <row r="1115" customFormat="false" ht="15" hidden="false" customHeight="false" outlineLevel="0" collapsed="false">
      <c r="A1115" s="4" t="n">
        <v>1111</v>
      </c>
      <c r="B1115" s="14" t="n">
        <f aca="false">A1115/12</f>
        <v>92.5833333333333</v>
      </c>
      <c r="C1115" s="15" t="n">
        <f aca="false">INT(A1115/6)</f>
        <v>185</v>
      </c>
      <c r="D1115" s="16" t="n">
        <f aca="false">IF(C1115=0,(1+Dic2025!$G$6)^(-B1115),EXP(LN(INDEX(Dic2025!$H$6:$H$205,C1115))+(LN(INDEX(Dic2025!$H$6:$H$205,MIN(C1115+1,200)))-LN(INDEX(Dic2025!$H$6:$H$205,C1115)))*(A1115-6*C1115)/6))</f>
        <v>0.00280219001954788</v>
      </c>
      <c r="E1115" s="12" t="n">
        <f aca="false">D1115^(-1/B1115)-1</f>
        <v>0.0655400624999998</v>
      </c>
      <c r="F1115" s="12" t="n">
        <f aca="false">(1+E1115)^(1/12)-1</f>
        <v>0.00530416516903598</v>
      </c>
      <c r="G1115" s="16" t="n">
        <f aca="false">IF(C1115=0,(1+Dic2025!$J$6)^(-B1115),EXP(LN(INDEX(Dic2025!$K$6:$K$205,C1115))+(LN(INDEX(Dic2025!$K$6:$K$205,MIN(C1115+1,200)))-LN(INDEX(Dic2025!$K$6:$K$205,C1115)))*(A1115-6*C1115)/6))</f>
        <v>0.00280219001954788</v>
      </c>
      <c r="H1115" s="12" t="n">
        <f aca="false">G1115^(-1/B1115)-1</f>
        <v>0.0655400624999998</v>
      </c>
      <c r="I1115" s="12" t="n">
        <f aca="false">(1+H1115)^(1/12)-1</f>
        <v>0.00530416516903598</v>
      </c>
      <c r="J1115" s="16" t="n">
        <f aca="false">IF(C1115=0,(1+Dic2025!$M$6)^(-B1115),EXP(LN(INDEX(Dic2025!$N$6:$N$205,C1115))+(LN(INDEX(Dic2025!$N$6:$N$205,MIN(C1115+1,200)))-LN(INDEX(Dic2025!$N$6:$N$205,C1115)))*(A1115-6*C1115)/6))</f>
        <v>0.00280219001954788</v>
      </c>
      <c r="K1115" s="12" t="n">
        <f aca="false">J1115^(-1/B1115)-1</f>
        <v>0.0655400624999998</v>
      </c>
      <c r="L1115" s="12" t="n">
        <f aca="false">(1+K1115)^(1/12)-1</f>
        <v>0.00530416516903598</v>
      </c>
    </row>
    <row r="1116" customFormat="false" ht="15" hidden="false" customHeight="false" outlineLevel="0" collapsed="false">
      <c r="A1116" s="4" t="n">
        <v>1112</v>
      </c>
      <c r="B1116" s="14" t="n">
        <f aca="false">A1116/12</f>
        <v>92.6666666666667</v>
      </c>
      <c r="C1116" s="15" t="n">
        <f aca="false">INT(A1116/6)</f>
        <v>185</v>
      </c>
      <c r="D1116" s="16" t="n">
        <f aca="false">IF(C1116=0,(1+Dic2025!$G$6)^(-B1116),EXP(LN(INDEX(Dic2025!$H$6:$H$205,C1116))+(LN(INDEX(Dic2025!$H$6:$H$205,MIN(C1116+1,200)))-LN(INDEX(Dic2025!$H$6:$H$205,C1116)))*(A1116-6*C1116)/6))</f>
        <v>0.00278740516217469</v>
      </c>
      <c r="E1116" s="12" t="n">
        <f aca="false">D1116^(-1/B1116)-1</f>
        <v>0.0655400624999998</v>
      </c>
      <c r="F1116" s="12" t="n">
        <f aca="false">(1+E1116)^(1/12)-1</f>
        <v>0.00530416516903598</v>
      </c>
      <c r="G1116" s="16" t="n">
        <f aca="false">IF(C1116=0,(1+Dic2025!$J$6)^(-B1116),EXP(LN(INDEX(Dic2025!$K$6:$K$205,C1116))+(LN(INDEX(Dic2025!$K$6:$K$205,MIN(C1116+1,200)))-LN(INDEX(Dic2025!$K$6:$K$205,C1116)))*(A1116-6*C1116)/6))</f>
        <v>0.00278740516217469</v>
      </c>
      <c r="H1116" s="12" t="n">
        <f aca="false">G1116^(-1/B1116)-1</f>
        <v>0.0655400624999998</v>
      </c>
      <c r="I1116" s="12" t="n">
        <f aca="false">(1+H1116)^(1/12)-1</f>
        <v>0.00530416516903598</v>
      </c>
      <c r="J1116" s="16" t="n">
        <f aca="false">IF(C1116=0,(1+Dic2025!$M$6)^(-B1116),EXP(LN(INDEX(Dic2025!$N$6:$N$205,C1116))+(LN(INDEX(Dic2025!$N$6:$N$205,MIN(C1116+1,200)))-LN(INDEX(Dic2025!$N$6:$N$205,C1116)))*(A1116-6*C1116)/6))</f>
        <v>0.00278740516217469</v>
      </c>
      <c r="K1116" s="12" t="n">
        <f aca="false">J1116^(-1/B1116)-1</f>
        <v>0.0655400624999998</v>
      </c>
      <c r="L1116" s="12" t="n">
        <f aca="false">(1+K1116)^(1/12)-1</f>
        <v>0.00530416516903598</v>
      </c>
    </row>
    <row r="1117" customFormat="false" ht="15" hidden="false" customHeight="false" outlineLevel="0" collapsed="false">
      <c r="A1117" s="4" t="n">
        <v>1113</v>
      </c>
      <c r="B1117" s="14" t="n">
        <f aca="false">A1117/12</f>
        <v>92.75</v>
      </c>
      <c r="C1117" s="15" t="n">
        <f aca="false">INT(A1117/6)</f>
        <v>185</v>
      </c>
      <c r="D1117" s="16" t="n">
        <f aca="false">IF(C1117=0,(1+Dic2025!$G$6)^(-B1117),EXP(LN(INDEX(Dic2025!$H$6:$H$205,C1117))+(LN(INDEX(Dic2025!$H$6:$H$205,MIN(C1117+1,200)))-LN(INDEX(Dic2025!$H$6:$H$205,C1117)))*(A1117-6*C1117)/6))</f>
        <v>0.00277269831236201</v>
      </c>
      <c r="E1117" s="12" t="n">
        <f aca="false">D1117^(-1/B1117)-1</f>
        <v>0.0655400624999998</v>
      </c>
      <c r="F1117" s="12" t="n">
        <f aca="false">(1+E1117)^(1/12)-1</f>
        <v>0.00530416516903598</v>
      </c>
      <c r="G1117" s="16" t="n">
        <f aca="false">IF(C1117=0,(1+Dic2025!$J$6)^(-B1117),EXP(LN(INDEX(Dic2025!$K$6:$K$205,C1117))+(LN(INDEX(Dic2025!$K$6:$K$205,MIN(C1117+1,200)))-LN(INDEX(Dic2025!$K$6:$K$205,C1117)))*(A1117-6*C1117)/6))</f>
        <v>0.00277269831236201</v>
      </c>
      <c r="H1117" s="12" t="n">
        <f aca="false">G1117^(-1/B1117)-1</f>
        <v>0.0655400624999998</v>
      </c>
      <c r="I1117" s="12" t="n">
        <f aca="false">(1+H1117)^(1/12)-1</f>
        <v>0.00530416516903598</v>
      </c>
      <c r="J1117" s="16" t="n">
        <f aca="false">IF(C1117=0,(1+Dic2025!$M$6)^(-B1117),EXP(LN(INDEX(Dic2025!$N$6:$N$205,C1117))+(LN(INDEX(Dic2025!$N$6:$N$205,MIN(C1117+1,200)))-LN(INDEX(Dic2025!$N$6:$N$205,C1117)))*(A1117-6*C1117)/6))</f>
        <v>0.00277269831236201</v>
      </c>
      <c r="K1117" s="12" t="n">
        <f aca="false">J1117^(-1/B1117)-1</f>
        <v>0.0655400624999998</v>
      </c>
      <c r="L1117" s="12" t="n">
        <f aca="false">(1+K1117)^(1/12)-1</f>
        <v>0.00530416516903598</v>
      </c>
    </row>
    <row r="1118" customFormat="false" ht="15" hidden="false" customHeight="false" outlineLevel="0" collapsed="false">
      <c r="A1118" s="4" t="n">
        <v>1114</v>
      </c>
      <c r="B1118" s="14" t="n">
        <f aca="false">A1118/12</f>
        <v>92.8333333333333</v>
      </c>
      <c r="C1118" s="15" t="n">
        <f aca="false">INT(A1118/6)</f>
        <v>185</v>
      </c>
      <c r="D1118" s="16" t="n">
        <f aca="false">IF(C1118=0,(1+Dic2025!$G$6)^(-B1118),EXP(LN(INDEX(Dic2025!$H$6:$H$205,C1118))+(LN(INDEX(Dic2025!$H$6:$H$205,MIN(C1118+1,200)))-LN(INDEX(Dic2025!$H$6:$H$205,C1118)))*(A1118-6*C1118)/6))</f>
        <v>0.00275806905852797</v>
      </c>
      <c r="E1118" s="12" t="n">
        <f aca="false">D1118^(-1/B1118)-1</f>
        <v>0.0655400624999998</v>
      </c>
      <c r="F1118" s="12" t="n">
        <f aca="false">(1+E1118)^(1/12)-1</f>
        <v>0.00530416516903598</v>
      </c>
      <c r="G1118" s="16" t="n">
        <f aca="false">IF(C1118=0,(1+Dic2025!$J$6)^(-B1118),EXP(LN(INDEX(Dic2025!$K$6:$K$205,C1118))+(LN(INDEX(Dic2025!$K$6:$K$205,MIN(C1118+1,200)))-LN(INDEX(Dic2025!$K$6:$K$205,C1118)))*(A1118-6*C1118)/6))</f>
        <v>0.00275806905852797</v>
      </c>
      <c r="H1118" s="12" t="n">
        <f aca="false">G1118^(-1/B1118)-1</f>
        <v>0.0655400624999998</v>
      </c>
      <c r="I1118" s="12" t="n">
        <f aca="false">(1+H1118)^(1/12)-1</f>
        <v>0.00530416516903598</v>
      </c>
      <c r="J1118" s="16" t="n">
        <f aca="false">IF(C1118=0,(1+Dic2025!$M$6)^(-B1118),EXP(LN(INDEX(Dic2025!$N$6:$N$205,C1118))+(LN(INDEX(Dic2025!$N$6:$N$205,MIN(C1118+1,200)))-LN(INDEX(Dic2025!$N$6:$N$205,C1118)))*(A1118-6*C1118)/6))</f>
        <v>0.00275806905852797</v>
      </c>
      <c r="K1118" s="12" t="n">
        <f aca="false">J1118^(-1/B1118)-1</f>
        <v>0.0655400624999998</v>
      </c>
      <c r="L1118" s="12" t="n">
        <f aca="false">(1+K1118)^(1/12)-1</f>
        <v>0.00530416516903598</v>
      </c>
    </row>
    <row r="1119" customFormat="false" ht="15" hidden="false" customHeight="false" outlineLevel="0" collapsed="false">
      <c r="A1119" s="4" t="n">
        <v>1115</v>
      </c>
      <c r="B1119" s="14" t="n">
        <f aca="false">A1119/12</f>
        <v>92.9166666666667</v>
      </c>
      <c r="C1119" s="15" t="n">
        <f aca="false">INT(A1119/6)</f>
        <v>185</v>
      </c>
      <c r="D1119" s="16" t="n">
        <f aca="false">IF(C1119=0,(1+Dic2025!$G$6)^(-B1119),EXP(LN(INDEX(Dic2025!$H$6:$H$205,C1119))+(LN(INDEX(Dic2025!$H$6:$H$205,MIN(C1119+1,200)))-LN(INDEX(Dic2025!$H$6:$H$205,C1119)))*(A1119-6*C1119)/6))</f>
        <v>0.00274351699126226</v>
      </c>
      <c r="E1119" s="12" t="n">
        <f aca="false">D1119^(-1/B1119)-1</f>
        <v>0.0655400624999998</v>
      </c>
      <c r="F1119" s="12" t="n">
        <f aca="false">(1+E1119)^(1/12)-1</f>
        <v>0.00530416516903598</v>
      </c>
      <c r="G1119" s="16" t="n">
        <f aca="false">IF(C1119=0,(1+Dic2025!$J$6)^(-B1119),EXP(LN(INDEX(Dic2025!$K$6:$K$205,C1119))+(LN(INDEX(Dic2025!$K$6:$K$205,MIN(C1119+1,200)))-LN(INDEX(Dic2025!$K$6:$K$205,C1119)))*(A1119-6*C1119)/6))</f>
        <v>0.00274351699126226</v>
      </c>
      <c r="H1119" s="12" t="n">
        <f aca="false">G1119^(-1/B1119)-1</f>
        <v>0.0655400624999998</v>
      </c>
      <c r="I1119" s="12" t="n">
        <f aca="false">(1+H1119)^(1/12)-1</f>
        <v>0.00530416516903598</v>
      </c>
      <c r="J1119" s="16" t="n">
        <f aca="false">IF(C1119=0,(1+Dic2025!$M$6)^(-B1119),EXP(LN(INDEX(Dic2025!$N$6:$N$205,C1119))+(LN(INDEX(Dic2025!$N$6:$N$205,MIN(C1119+1,200)))-LN(INDEX(Dic2025!$N$6:$N$205,C1119)))*(A1119-6*C1119)/6))</f>
        <v>0.00274351699126226</v>
      </c>
      <c r="K1119" s="12" t="n">
        <f aca="false">J1119^(-1/B1119)-1</f>
        <v>0.0655400624999998</v>
      </c>
      <c r="L1119" s="12" t="n">
        <f aca="false">(1+K1119)^(1/12)-1</f>
        <v>0.00530416516903598</v>
      </c>
    </row>
    <row r="1120" customFormat="false" ht="15" hidden="false" customHeight="false" outlineLevel="0" collapsed="false">
      <c r="A1120" s="4" t="n">
        <v>1116</v>
      </c>
      <c r="B1120" s="14" t="n">
        <f aca="false">A1120/12</f>
        <v>93</v>
      </c>
      <c r="C1120" s="15" t="n">
        <f aca="false">INT(A1120/6)</f>
        <v>186</v>
      </c>
      <c r="D1120" s="16" t="n">
        <f aca="false">IF(C1120=0,(1+Dic2025!$G$6)^(-B1120),EXP(LN(INDEX(Dic2025!$H$6:$H$205,C1120))+(LN(INDEX(Dic2025!$H$6:$H$205,MIN(C1120+1,200)))-LN(INDEX(Dic2025!$H$6:$H$205,C1120)))*(A1120-6*C1120)/6))</f>
        <v>0.00272904170331469</v>
      </c>
      <c r="E1120" s="12" t="n">
        <f aca="false">D1120^(-1/B1120)-1</f>
        <v>0.0655400624999998</v>
      </c>
      <c r="F1120" s="12" t="n">
        <f aca="false">(1+E1120)^(1/12)-1</f>
        <v>0.00530416516903598</v>
      </c>
      <c r="G1120" s="16" t="n">
        <f aca="false">IF(C1120=0,(1+Dic2025!$J$6)^(-B1120),EXP(LN(INDEX(Dic2025!$K$6:$K$205,C1120))+(LN(INDEX(Dic2025!$K$6:$K$205,MIN(C1120+1,200)))-LN(INDEX(Dic2025!$K$6:$K$205,C1120)))*(A1120-6*C1120)/6))</f>
        <v>0.00272904170331469</v>
      </c>
      <c r="H1120" s="12" t="n">
        <f aca="false">G1120^(-1/B1120)-1</f>
        <v>0.0655400624999998</v>
      </c>
      <c r="I1120" s="12" t="n">
        <f aca="false">(1+H1120)^(1/12)-1</f>
        <v>0.00530416516903598</v>
      </c>
      <c r="J1120" s="16" t="n">
        <f aca="false">IF(C1120=0,(1+Dic2025!$M$6)^(-B1120),EXP(LN(INDEX(Dic2025!$N$6:$N$205,C1120))+(LN(INDEX(Dic2025!$N$6:$N$205,MIN(C1120+1,200)))-LN(INDEX(Dic2025!$N$6:$N$205,C1120)))*(A1120-6*C1120)/6))</f>
        <v>0.00272904170331469</v>
      </c>
      <c r="K1120" s="12" t="n">
        <f aca="false">J1120^(-1/B1120)-1</f>
        <v>0.0655400624999998</v>
      </c>
      <c r="L1120" s="12" t="n">
        <f aca="false">(1+K1120)^(1/12)-1</f>
        <v>0.00530416516903598</v>
      </c>
    </row>
    <row r="1121" customFormat="false" ht="15" hidden="false" customHeight="false" outlineLevel="0" collapsed="false">
      <c r="A1121" s="4" t="n">
        <v>1117</v>
      </c>
      <c r="B1121" s="14" t="n">
        <f aca="false">A1121/12</f>
        <v>93.0833333333333</v>
      </c>
      <c r="C1121" s="15" t="n">
        <f aca="false">INT(A1121/6)</f>
        <v>186</v>
      </c>
      <c r="D1121" s="16" t="n">
        <f aca="false">IF(C1121=0,(1+Dic2025!$G$6)^(-B1121),EXP(LN(INDEX(Dic2025!$H$6:$H$205,C1121))+(LN(INDEX(Dic2025!$H$6:$H$205,MIN(C1121+1,200)))-LN(INDEX(Dic2025!$H$6:$H$205,C1121)))*(A1121-6*C1121)/6))</f>
        <v>0.00271464278958381</v>
      </c>
      <c r="E1121" s="12" t="n">
        <f aca="false">D1121^(-1/B1121)-1</f>
        <v>0.0655400624999998</v>
      </c>
      <c r="F1121" s="12" t="n">
        <f aca="false">(1+E1121)^(1/12)-1</f>
        <v>0.00530416516903598</v>
      </c>
      <c r="G1121" s="16" t="n">
        <f aca="false">IF(C1121=0,(1+Dic2025!$J$6)^(-B1121),EXP(LN(INDEX(Dic2025!$K$6:$K$205,C1121))+(LN(INDEX(Dic2025!$K$6:$K$205,MIN(C1121+1,200)))-LN(INDEX(Dic2025!$K$6:$K$205,C1121)))*(A1121-6*C1121)/6))</f>
        <v>0.00271464278958381</v>
      </c>
      <c r="H1121" s="12" t="n">
        <f aca="false">G1121^(-1/B1121)-1</f>
        <v>0.0655400624999998</v>
      </c>
      <c r="I1121" s="12" t="n">
        <f aca="false">(1+H1121)^(1/12)-1</f>
        <v>0.00530416516903598</v>
      </c>
      <c r="J1121" s="16" t="n">
        <f aca="false">IF(C1121=0,(1+Dic2025!$M$6)^(-B1121),EXP(LN(INDEX(Dic2025!$N$6:$N$205,C1121))+(LN(INDEX(Dic2025!$N$6:$N$205,MIN(C1121+1,200)))-LN(INDEX(Dic2025!$N$6:$N$205,C1121)))*(A1121-6*C1121)/6))</f>
        <v>0.00271464278958381</v>
      </c>
      <c r="K1121" s="12" t="n">
        <f aca="false">J1121^(-1/B1121)-1</f>
        <v>0.0655400624999998</v>
      </c>
      <c r="L1121" s="12" t="n">
        <f aca="false">(1+K1121)^(1/12)-1</f>
        <v>0.00530416516903598</v>
      </c>
    </row>
    <row r="1122" customFormat="false" ht="15" hidden="false" customHeight="false" outlineLevel="0" collapsed="false">
      <c r="A1122" s="4" t="n">
        <v>1118</v>
      </c>
      <c r="B1122" s="14" t="n">
        <f aca="false">A1122/12</f>
        <v>93.1666666666667</v>
      </c>
      <c r="C1122" s="15" t="n">
        <f aca="false">INT(A1122/6)</f>
        <v>186</v>
      </c>
      <c r="D1122" s="16" t="n">
        <f aca="false">IF(C1122=0,(1+Dic2025!$G$6)^(-B1122),EXP(LN(INDEX(Dic2025!$H$6:$H$205,C1122))+(LN(INDEX(Dic2025!$H$6:$H$205,MIN(C1122+1,200)))-LN(INDEX(Dic2025!$H$6:$H$205,C1122)))*(A1122-6*C1122)/6))</f>
        <v>0.00270031984710553</v>
      </c>
      <c r="E1122" s="12" t="n">
        <f aca="false">D1122^(-1/B1122)-1</f>
        <v>0.0655400624999998</v>
      </c>
      <c r="F1122" s="12" t="n">
        <f aca="false">(1+E1122)^(1/12)-1</f>
        <v>0.00530416516903598</v>
      </c>
      <c r="G1122" s="16" t="n">
        <f aca="false">IF(C1122=0,(1+Dic2025!$J$6)^(-B1122),EXP(LN(INDEX(Dic2025!$K$6:$K$205,C1122))+(LN(INDEX(Dic2025!$K$6:$K$205,MIN(C1122+1,200)))-LN(INDEX(Dic2025!$K$6:$K$205,C1122)))*(A1122-6*C1122)/6))</f>
        <v>0.00270031984710553</v>
      </c>
      <c r="H1122" s="12" t="n">
        <f aca="false">G1122^(-1/B1122)-1</f>
        <v>0.0655400624999998</v>
      </c>
      <c r="I1122" s="12" t="n">
        <f aca="false">(1+H1122)^(1/12)-1</f>
        <v>0.00530416516903598</v>
      </c>
      <c r="J1122" s="16" t="n">
        <f aca="false">IF(C1122=0,(1+Dic2025!$M$6)^(-B1122),EXP(LN(INDEX(Dic2025!$N$6:$N$205,C1122))+(LN(INDEX(Dic2025!$N$6:$N$205,MIN(C1122+1,200)))-LN(INDEX(Dic2025!$N$6:$N$205,C1122)))*(A1122-6*C1122)/6))</f>
        <v>0.00270031984710553</v>
      </c>
      <c r="K1122" s="12" t="n">
        <f aca="false">J1122^(-1/B1122)-1</f>
        <v>0.0655400624999998</v>
      </c>
      <c r="L1122" s="12" t="n">
        <f aca="false">(1+K1122)^(1/12)-1</f>
        <v>0.00530416516903598</v>
      </c>
    </row>
    <row r="1123" customFormat="false" ht="15" hidden="false" customHeight="false" outlineLevel="0" collapsed="false">
      <c r="A1123" s="4" t="n">
        <v>1119</v>
      </c>
      <c r="B1123" s="14" t="n">
        <f aca="false">A1123/12</f>
        <v>93.25</v>
      </c>
      <c r="C1123" s="15" t="n">
        <f aca="false">INT(A1123/6)</f>
        <v>186</v>
      </c>
      <c r="D1123" s="16" t="n">
        <f aca="false">IF(C1123=0,(1+Dic2025!$G$6)^(-B1123),EXP(LN(INDEX(Dic2025!$H$6:$H$205,C1123))+(LN(INDEX(Dic2025!$H$6:$H$205,MIN(C1123+1,200)))-LN(INDEX(Dic2025!$H$6:$H$205,C1123)))*(A1123-6*C1123)/6))</f>
        <v>0.00268607247504191</v>
      </c>
      <c r="E1123" s="12" t="n">
        <f aca="false">D1123^(-1/B1123)-1</f>
        <v>0.0655400624999998</v>
      </c>
      <c r="F1123" s="12" t="n">
        <f aca="false">(1+E1123)^(1/12)-1</f>
        <v>0.00530416516903598</v>
      </c>
      <c r="G1123" s="16" t="n">
        <f aca="false">IF(C1123=0,(1+Dic2025!$J$6)^(-B1123),EXP(LN(INDEX(Dic2025!$K$6:$K$205,C1123))+(LN(INDEX(Dic2025!$K$6:$K$205,MIN(C1123+1,200)))-LN(INDEX(Dic2025!$K$6:$K$205,C1123)))*(A1123-6*C1123)/6))</f>
        <v>0.00268607247504191</v>
      </c>
      <c r="H1123" s="12" t="n">
        <f aca="false">G1123^(-1/B1123)-1</f>
        <v>0.0655400624999998</v>
      </c>
      <c r="I1123" s="12" t="n">
        <f aca="false">(1+H1123)^(1/12)-1</f>
        <v>0.00530416516903598</v>
      </c>
      <c r="J1123" s="16" t="n">
        <f aca="false">IF(C1123=0,(1+Dic2025!$M$6)^(-B1123),EXP(LN(INDEX(Dic2025!$N$6:$N$205,C1123))+(LN(INDEX(Dic2025!$N$6:$N$205,MIN(C1123+1,200)))-LN(INDEX(Dic2025!$N$6:$N$205,C1123)))*(A1123-6*C1123)/6))</f>
        <v>0.00268607247504191</v>
      </c>
      <c r="K1123" s="12" t="n">
        <f aca="false">J1123^(-1/B1123)-1</f>
        <v>0.0655400624999998</v>
      </c>
      <c r="L1123" s="12" t="n">
        <f aca="false">(1+K1123)^(1/12)-1</f>
        <v>0.00530416516903598</v>
      </c>
    </row>
    <row r="1124" customFormat="false" ht="15" hidden="false" customHeight="false" outlineLevel="0" collapsed="false">
      <c r="A1124" s="4" t="n">
        <v>1120</v>
      </c>
      <c r="B1124" s="14" t="n">
        <f aca="false">A1124/12</f>
        <v>93.3333333333333</v>
      </c>
      <c r="C1124" s="15" t="n">
        <f aca="false">INT(A1124/6)</f>
        <v>186</v>
      </c>
      <c r="D1124" s="16" t="n">
        <f aca="false">IF(C1124=0,(1+Dic2025!$G$6)^(-B1124),EXP(LN(INDEX(Dic2025!$H$6:$H$205,C1124))+(LN(INDEX(Dic2025!$H$6:$H$205,MIN(C1124+1,200)))-LN(INDEX(Dic2025!$H$6:$H$205,C1124)))*(A1124-6*C1124)/6))</f>
        <v>0.00267190027466987</v>
      </c>
      <c r="E1124" s="12" t="n">
        <f aca="false">D1124^(-1/B1124)-1</f>
        <v>0.0655400624999998</v>
      </c>
      <c r="F1124" s="12" t="n">
        <f aca="false">(1+E1124)^(1/12)-1</f>
        <v>0.00530416516903598</v>
      </c>
      <c r="G1124" s="16" t="n">
        <f aca="false">IF(C1124=0,(1+Dic2025!$J$6)^(-B1124),EXP(LN(INDEX(Dic2025!$K$6:$K$205,C1124))+(LN(INDEX(Dic2025!$K$6:$K$205,MIN(C1124+1,200)))-LN(INDEX(Dic2025!$K$6:$K$205,C1124)))*(A1124-6*C1124)/6))</f>
        <v>0.00267190027466987</v>
      </c>
      <c r="H1124" s="12" t="n">
        <f aca="false">G1124^(-1/B1124)-1</f>
        <v>0.0655400624999998</v>
      </c>
      <c r="I1124" s="12" t="n">
        <f aca="false">(1+H1124)^(1/12)-1</f>
        <v>0.00530416516903598</v>
      </c>
      <c r="J1124" s="16" t="n">
        <f aca="false">IF(C1124=0,(1+Dic2025!$M$6)^(-B1124),EXP(LN(INDEX(Dic2025!$N$6:$N$205,C1124))+(LN(INDEX(Dic2025!$N$6:$N$205,MIN(C1124+1,200)))-LN(INDEX(Dic2025!$N$6:$N$205,C1124)))*(A1124-6*C1124)/6))</f>
        <v>0.00267190027466987</v>
      </c>
      <c r="K1124" s="12" t="n">
        <f aca="false">J1124^(-1/B1124)-1</f>
        <v>0.0655400624999998</v>
      </c>
      <c r="L1124" s="12" t="n">
        <f aca="false">(1+K1124)^(1/12)-1</f>
        <v>0.00530416516903598</v>
      </c>
    </row>
    <row r="1125" customFormat="false" ht="15" hidden="false" customHeight="false" outlineLevel="0" collapsed="false">
      <c r="A1125" s="4" t="n">
        <v>1121</v>
      </c>
      <c r="B1125" s="14" t="n">
        <f aca="false">A1125/12</f>
        <v>93.4166666666667</v>
      </c>
      <c r="C1125" s="15" t="n">
        <f aca="false">INT(A1125/6)</f>
        <v>186</v>
      </c>
      <c r="D1125" s="16" t="n">
        <f aca="false">IF(C1125=0,(1+Dic2025!$G$6)^(-B1125),EXP(LN(INDEX(Dic2025!$H$6:$H$205,C1125))+(LN(INDEX(Dic2025!$H$6:$H$205,MIN(C1125+1,200)))-LN(INDEX(Dic2025!$H$6:$H$205,C1125)))*(A1125-6*C1125)/6))</f>
        <v>0.00265780284937008</v>
      </c>
      <c r="E1125" s="12" t="n">
        <f aca="false">D1125^(-1/B1125)-1</f>
        <v>0.0655400624999998</v>
      </c>
      <c r="F1125" s="12" t="n">
        <f aca="false">(1+E1125)^(1/12)-1</f>
        <v>0.00530416516903598</v>
      </c>
      <c r="G1125" s="16" t="n">
        <f aca="false">IF(C1125=0,(1+Dic2025!$J$6)^(-B1125),EXP(LN(INDEX(Dic2025!$K$6:$K$205,C1125))+(LN(INDEX(Dic2025!$K$6:$K$205,MIN(C1125+1,200)))-LN(INDEX(Dic2025!$K$6:$K$205,C1125)))*(A1125-6*C1125)/6))</f>
        <v>0.00265780284937008</v>
      </c>
      <c r="H1125" s="12" t="n">
        <f aca="false">G1125^(-1/B1125)-1</f>
        <v>0.0655400624999998</v>
      </c>
      <c r="I1125" s="12" t="n">
        <f aca="false">(1+H1125)^(1/12)-1</f>
        <v>0.00530416516903598</v>
      </c>
      <c r="J1125" s="16" t="n">
        <f aca="false">IF(C1125=0,(1+Dic2025!$M$6)^(-B1125),EXP(LN(INDEX(Dic2025!$N$6:$N$205,C1125))+(LN(INDEX(Dic2025!$N$6:$N$205,MIN(C1125+1,200)))-LN(INDEX(Dic2025!$N$6:$N$205,C1125)))*(A1125-6*C1125)/6))</f>
        <v>0.00265780284937008</v>
      </c>
      <c r="K1125" s="12" t="n">
        <f aca="false">J1125^(-1/B1125)-1</f>
        <v>0.0655400624999998</v>
      </c>
      <c r="L1125" s="12" t="n">
        <f aca="false">(1+K1125)^(1/12)-1</f>
        <v>0.00530416516903598</v>
      </c>
    </row>
    <row r="1126" customFormat="false" ht="15" hidden="false" customHeight="false" outlineLevel="0" collapsed="false">
      <c r="A1126" s="4" t="n">
        <v>1122</v>
      </c>
      <c r="B1126" s="14" t="n">
        <f aca="false">A1126/12</f>
        <v>93.5</v>
      </c>
      <c r="C1126" s="15" t="n">
        <f aca="false">INT(A1126/6)</f>
        <v>187</v>
      </c>
      <c r="D1126" s="16" t="n">
        <f aca="false">IF(C1126=0,(1+Dic2025!$G$6)^(-B1126),EXP(LN(INDEX(Dic2025!$H$6:$H$205,C1126))+(LN(INDEX(Dic2025!$H$6:$H$205,MIN(C1126+1,200)))-LN(INDEX(Dic2025!$H$6:$H$205,C1126)))*(A1126-6*C1126)/6))</f>
        <v>0.00264377980461583</v>
      </c>
      <c r="E1126" s="12" t="n">
        <f aca="false">D1126^(-1/B1126)-1</f>
        <v>0.0655400624999998</v>
      </c>
      <c r="F1126" s="12" t="n">
        <f aca="false">(1+E1126)^(1/12)-1</f>
        <v>0.00530416516903598</v>
      </c>
      <c r="G1126" s="16" t="n">
        <f aca="false">IF(C1126=0,(1+Dic2025!$J$6)^(-B1126),EXP(LN(INDEX(Dic2025!$K$6:$K$205,C1126))+(LN(INDEX(Dic2025!$K$6:$K$205,MIN(C1126+1,200)))-LN(INDEX(Dic2025!$K$6:$K$205,C1126)))*(A1126-6*C1126)/6))</f>
        <v>0.00264377980461583</v>
      </c>
      <c r="H1126" s="12" t="n">
        <f aca="false">G1126^(-1/B1126)-1</f>
        <v>0.0655400624999998</v>
      </c>
      <c r="I1126" s="12" t="n">
        <f aca="false">(1+H1126)^(1/12)-1</f>
        <v>0.00530416516903598</v>
      </c>
      <c r="J1126" s="16" t="n">
        <f aca="false">IF(C1126=0,(1+Dic2025!$M$6)^(-B1126),EXP(LN(INDEX(Dic2025!$N$6:$N$205,C1126))+(LN(INDEX(Dic2025!$N$6:$N$205,MIN(C1126+1,200)))-LN(INDEX(Dic2025!$N$6:$N$205,C1126)))*(A1126-6*C1126)/6))</f>
        <v>0.00264377980461583</v>
      </c>
      <c r="K1126" s="12" t="n">
        <f aca="false">J1126^(-1/B1126)-1</f>
        <v>0.0655400624999998</v>
      </c>
      <c r="L1126" s="12" t="n">
        <f aca="false">(1+K1126)^(1/12)-1</f>
        <v>0.00530416516903598</v>
      </c>
    </row>
    <row r="1127" customFormat="false" ht="15" hidden="false" customHeight="false" outlineLevel="0" collapsed="false">
      <c r="A1127" s="4" t="n">
        <v>1123</v>
      </c>
      <c r="B1127" s="14" t="n">
        <f aca="false">A1127/12</f>
        <v>93.5833333333333</v>
      </c>
      <c r="C1127" s="15" t="n">
        <f aca="false">INT(A1127/6)</f>
        <v>187</v>
      </c>
      <c r="D1127" s="16" t="n">
        <f aca="false">IF(C1127=0,(1+Dic2025!$G$6)^(-B1127),EXP(LN(INDEX(Dic2025!$H$6:$H$205,C1127))+(LN(INDEX(Dic2025!$H$6:$H$205,MIN(C1127+1,200)))-LN(INDEX(Dic2025!$H$6:$H$205,C1127)))*(A1127-6*C1127)/6))</f>
        <v>0.00262983074796203</v>
      </c>
      <c r="E1127" s="12" t="n">
        <f aca="false">D1127^(-1/B1127)-1</f>
        <v>0.0655400624999998</v>
      </c>
      <c r="F1127" s="12" t="n">
        <f aca="false">(1+E1127)^(1/12)-1</f>
        <v>0.00530416516903598</v>
      </c>
      <c r="G1127" s="16" t="n">
        <f aca="false">IF(C1127=0,(1+Dic2025!$J$6)^(-B1127),EXP(LN(INDEX(Dic2025!$K$6:$K$205,C1127))+(LN(INDEX(Dic2025!$K$6:$K$205,MIN(C1127+1,200)))-LN(INDEX(Dic2025!$K$6:$K$205,C1127)))*(A1127-6*C1127)/6))</f>
        <v>0.00262983074796203</v>
      </c>
      <c r="H1127" s="12" t="n">
        <f aca="false">G1127^(-1/B1127)-1</f>
        <v>0.0655400624999998</v>
      </c>
      <c r="I1127" s="12" t="n">
        <f aca="false">(1+H1127)^(1/12)-1</f>
        <v>0.00530416516903598</v>
      </c>
      <c r="J1127" s="16" t="n">
        <f aca="false">IF(C1127=0,(1+Dic2025!$M$6)^(-B1127),EXP(LN(INDEX(Dic2025!$N$6:$N$205,C1127))+(LN(INDEX(Dic2025!$N$6:$N$205,MIN(C1127+1,200)))-LN(INDEX(Dic2025!$N$6:$N$205,C1127)))*(A1127-6*C1127)/6))</f>
        <v>0.00262983074796203</v>
      </c>
      <c r="K1127" s="12" t="n">
        <f aca="false">J1127^(-1/B1127)-1</f>
        <v>0.0655400624999998</v>
      </c>
      <c r="L1127" s="12" t="n">
        <f aca="false">(1+K1127)^(1/12)-1</f>
        <v>0.00530416516903598</v>
      </c>
    </row>
    <row r="1128" customFormat="false" ht="15" hidden="false" customHeight="false" outlineLevel="0" collapsed="false">
      <c r="A1128" s="4" t="n">
        <v>1124</v>
      </c>
      <c r="B1128" s="14" t="n">
        <f aca="false">A1128/12</f>
        <v>93.6666666666667</v>
      </c>
      <c r="C1128" s="15" t="n">
        <f aca="false">INT(A1128/6)</f>
        <v>187</v>
      </c>
      <c r="D1128" s="16" t="n">
        <f aca="false">IF(C1128=0,(1+Dic2025!$G$6)^(-B1128),EXP(LN(INDEX(Dic2025!$H$6:$H$205,C1128))+(LN(INDEX(Dic2025!$H$6:$H$205,MIN(C1128+1,200)))-LN(INDEX(Dic2025!$H$6:$H$205,C1128)))*(A1128-6*C1128)/6))</f>
        <v>0.00261595528903418</v>
      </c>
      <c r="E1128" s="12" t="n">
        <f aca="false">D1128^(-1/B1128)-1</f>
        <v>0.0655400624999998</v>
      </c>
      <c r="F1128" s="12" t="n">
        <f aca="false">(1+E1128)^(1/12)-1</f>
        <v>0.00530416516903598</v>
      </c>
      <c r="G1128" s="16" t="n">
        <f aca="false">IF(C1128=0,(1+Dic2025!$J$6)^(-B1128),EXP(LN(INDEX(Dic2025!$K$6:$K$205,C1128))+(LN(INDEX(Dic2025!$K$6:$K$205,MIN(C1128+1,200)))-LN(INDEX(Dic2025!$K$6:$K$205,C1128)))*(A1128-6*C1128)/6))</f>
        <v>0.00261595528903418</v>
      </c>
      <c r="H1128" s="12" t="n">
        <f aca="false">G1128^(-1/B1128)-1</f>
        <v>0.0655400624999998</v>
      </c>
      <c r="I1128" s="12" t="n">
        <f aca="false">(1+H1128)^(1/12)-1</f>
        <v>0.00530416516903598</v>
      </c>
      <c r="J1128" s="16" t="n">
        <f aca="false">IF(C1128=0,(1+Dic2025!$M$6)^(-B1128),EXP(LN(INDEX(Dic2025!$N$6:$N$205,C1128))+(LN(INDEX(Dic2025!$N$6:$N$205,MIN(C1128+1,200)))-LN(INDEX(Dic2025!$N$6:$N$205,C1128)))*(A1128-6*C1128)/6))</f>
        <v>0.00261595528903418</v>
      </c>
      <c r="K1128" s="12" t="n">
        <f aca="false">J1128^(-1/B1128)-1</f>
        <v>0.0655400624999998</v>
      </c>
      <c r="L1128" s="12" t="n">
        <f aca="false">(1+K1128)^(1/12)-1</f>
        <v>0.00530416516903598</v>
      </c>
    </row>
    <row r="1129" customFormat="false" ht="15" hidden="false" customHeight="false" outlineLevel="0" collapsed="false">
      <c r="A1129" s="4" t="n">
        <v>1125</v>
      </c>
      <c r="B1129" s="14" t="n">
        <f aca="false">A1129/12</f>
        <v>93.75</v>
      </c>
      <c r="C1129" s="15" t="n">
        <f aca="false">INT(A1129/6)</f>
        <v>187</v>
      </c>
      <c r="D1129" s="16" t="n">
        <f aca="false">IF(C1129=0,(1+Dic2025!$G$6)^(-B1129),EXP(LN(INDEX(Dic2025!$H$6:$H$205,C1129))+(LN(INDEX(Dic2025!$H$6:$H$205,MIN(C1129+1,200)))-LN(INDEX(Dic2025!$H$6:$H$205,C1129)))*(A1129-6*C1129)/6))</f>
        <v>0.00260215303951747</v>
      </c>
      <c r="E1129" s="12" t="n">
        <f aca="false">D1129^(-1/B1129)-1</f>
        <v>0.0655400624999998</v>
      </c>
      <c r="F1129" s="12" t="n">
        <f aca="false">(1+E1129)^(1/12)-1</f>
        <v>0.00530416516903598</v>
      </c>
      <c r="G1129" s="16" t="n">
        <f aca="false">IF(C1129=0,(1+Dic2025!$J$6)^(-B1129),EXP(LN(INDEX(Dic2025!$K$6:$K$205,C1129))+(LN(INDEX(Dic2025!$K$6:$K$205,MIN(C1129+1,200)))-LN(INDEX(Dic2025!$K$6:$K$205,C1129)))*(A1129-6*C1129)/6))</f>
        <v>0.00260215303951747</v>
      </c>
      <c r="H1129" s="12" t="n">
        <f aca="false">G1129^(-1/B1129)-1</f>
        <v>0.0655400624999998</v>
      </c>
      <c r="I1129" s="12" t="n">
        <f aca="false">(1+H1129)^(1/12)-1</f>
        <v>0.00530416516903598</v>
      </c>
      <c r="J1129" s="16" t="n">
        <f aca="false">IF(C1129=0,(1+Dic2025!$M$6)^(-B1129),EXP(LN(INDEX(Dic2025!$N$6:$N$205,C1129))+(LN(INDEX(Dic2025!$N$6:$N$205,MIN(C1129+1,200)))-LN(INDEX(Dic2025!$N$6:$N$205,C1129)))*(A1129-6*C1129)/6))</f>
        <v>0.00260215303951747</v>
      </c>
      <c r="K1129" s="12" t="n">
        <f aca="false">J1129^(-1/B1129)-1</f>
        <v>0.0655400624999998</v>
      </c>
      <c r="L1129" s="12" t="n">
        <f aca="false">(1+K1129)^(1/12)-1</f>
        <v>0.00530416516903598</v>
      </c>
    </row>
    <row r="1130" customFormat="false" ht="15" hidden="false" customHeight="false" outlineLevel="0" collapsed="false">
      <c r="A1130" s="4" t="n">
        <v>1126</v>
      </c>
      <c r="B1130" s="14" t="n">
        <f aca="false">A1130/12</f>
        <v>93.8333333333333</v>
      </c>
      <c r="C1130" s="15" t="n">
        <f aca="false">INT(A1130/6)</f>
        <v>187</v>
      </c>
      <c r="D1130" s="16" t="n">
        <f aca="false">IF(C1130=0,(1+Dic2025!$G$6)^(-B1130),EXP(LN(INDEX(Dic2025!$H$6:$H$205,C1130))+(LN(INDEX(Dic2025!$H$6:$H$205,MIN(C1130+1,200)))-LN(INDEX(Dic2025!$H$6:$H$205,C1130)))*(A1130-6*C1130)/6))</f>
        <v>0.00258842361314591</v>
      </c>
      <c r="E1130" s="12" t="n">
        <f aca="false">D1130^(-1/B1130)-1</f>
        <v>0.0655400624999998</v>
      </c>
      <c r="F1130" s="12" t="n">
        <f aca="false">(1+E1130)^(1/12)-1</f>
        <v>0.00530416516903598</v>
      </c>
      <c r="G1130" s="16" t="n">
        <f aca="false">IF(C1130=0,(1+Dic2025!$J$6)^(-B1130),EXP(LN(INDEX(Dic2025!$K$6:$K$205,C1130))+(LN(INDEX(Dic2025!$K$6:$K$205,MIN(C1130+1,200)))-LN(INDEX(Dic2025!$K$6:$K$205,C1130)))*(A1130-6*C1130)/6))</f>
        <v>0.00258842361314591</v>
      </c>
      <c r="H1130" s="12" t="n">
        <f aca="false">G1130^(-1/B1130)-1</f>
        <v>0.0655400624999998</v>
      </c>
      <c r="I1130" s="12" t="n">
        <f aca="false">(1+H1130)^(1/12)-1</f>
        <v>0.00530416516903598</v>
      </c>
      <c r="J1130" s="16" t="n">
        <f aca="false">IF(C1130=0,(1+Dic2025!$M$6)^(-B1130),EXP(LN(INDEX(Dic2025!$N$6:$N$205,C1130))+(LN(INDEX(Dic2025!$N$6:$N$205,MIN(C1130+1,200)))-LN(INDEX(Dic2025!$N$6:$N$205,C1130)))*(A1130-6*C1130)/6))</f>
        <v>0.00258842361314591</v>
      </c>
      <c r="K1130" s="12" t="n">
        <f aca="false">J1130^(-1/B1130)-1</f>
        <v>0.0655400624999998</v>
      </c>
      <c r="L1130" s="12" t="n">
        <f aca="false">(1+K1130)^(1/12)-1</f>
        <v>0.00530416516903598</v>
      </c>
    </row>
    <row r="1131" customFormat="false" ht="15" hidden="false" customHeight="false" outlineLevel="0" collapsed="false">
      <c r="A1131" s="4" t="n">
        <v>1127</v>
      </c>
      <c r="B1131" s="14" t="n">
        <f aca="false">A1131/12</f>
        <v>93.9166666666667</v>
      </c>
      <c r="C1131" s="15" t="n">
        <f aca="false">INT(A1131/6)</f>
        <v>187</v>
      </c>
      <c r="D1131" s="16" t="n">
        <f aca="false">IF(C1131=0,(1+Dic2025!$G$6)^(-B1131),EXP(LN(INDEX(Dic2025!$H$6:$H$205,C1131))+(LN(INDEX(Dic2025!$H$6:$H$205,MIN(C1131+1,200)))-LN(INDEX(Dic2025!$H$6:$H$205,C1131)))*(A1131-6*C1131)/6))</f>
        <v>0.00257476662569152</v>
      </c>
      <c r="E1131" s="12" t="n">
        <f aca="false">D1131^(-1/B1131)-1</f>
        <v>0.0655400624999998</v>
      </c>
      <c r="F1131" s="12" t="n">
        <f aca="false">(1+E1131)^(1/12)-1</f>
        <v>0.00530416516903598</v>
      </c>
      <c r="G1131" s="16" t="n">
        <f aca="false">IF(C1131=0,(1+Dic2025!$J$6)^(-B1131),EXP(LN(INDEX(Dic2025!$K$6:$K$205,C1131))+(LN(INDEX(Dic2025!$K$6:$K$205,MIN(C1131+1,200)))-LN(INDEX(Dic2025!$K$6:$K$205,C1131)))*(A1131-6*C1131)/6))</f>
        <v>0.00257476662569152</v>
      </c>
      <c r="H1131" s="12" t="n">
        <f aca="false">G1131^(-1/B1131)-1</f>
        <v>0.0655400624999998</v>
      </c>
      <c r="I1131" s="12" t="n">
        <f aca="false">(1+H1131)^(1/12)-1</f>
        <v>0.00530416516903598</v>
      </c>
      <c r="J1131" s="16" t="n">
        <f aca="false">IF(C1131=0,(1+Dic2025!$M$6)^(-B1131),EXP(LN(INDEX(Dic2025!$N$6:$N$205,C1131))+(LN(INDEX(Dic2025!$N$6:$N$205,MIN(C1131+1,200)))-LN(INDEX(Dic2025!$N$6:$N$205,C1131)))*(A1131-6*C1131)/6))</f>
        <v>0.00257476662569152</v>
      </c>
      <c r="K1131" s="12" t="n">
        <f aca="false">J1131^(-1/B1131)-1</f>
        <v>0.0655400624999998</v>
      </c>
      <c r="L1131" s="12" t="n">
        <f aca="false">(1+K1131)^(1/12)-1</f>
        <v>0.00530416516903598</v>
      </c>
    </row>
    <row r="1132" customFormat="false" ht="15" hidden="false" customHeight="false" outlineLevel="0" collapsed="false">
      <c r="A1132" s="4" t="n">
        <v>1128</v>
      </c>
      <c r="B1132" s="14" t="n">
        <f aca="false">A1132/12</f>
        <v>94</v>
      </c>
      <c r="C1132" s="15" t="n">
        <f aca="false">INT(A1132/6)</f>
        <v>188</v>
      </c>
      <c r="D1132" s="16" t="n">
        <f aca="false">IF(C1132=0,(1+Dic2025!$G$6)^(-B1132),EXP(LN(INDEX(Dic2025!$H$6:$H$205,C1132))+(LN(INDEX(Dic2025!$H$6:$H$205,MIN(C1132+1,200)))-LN(INDEX(Dic2025!$H$6:$H$205,C1132)))*(A1132-6*C1132)/6))</f>
        <v>0.00256118169495358</v>
      </c>
      <c r="E1132" s="12" t="n">
        <f aca="false">D1132^(-1/B1132)-1</f>
        <v>0.0655400624999998</v>
      </c>
      <c r="F1132" s="12" t="n">
        <f aca="false">(1+E1132)^(1/12)-1</f>
        <v>0.00530416516903598</v>
      </c>
      <c r="G1132" s="16" t="n">
        <f aca="false">IF(C1132=0,(1+Dic2025!$J$6)^(-B1132),EXP(LN(INDEX(Dic2025!$K$6:$K$205,C1132))+(LN(INDEX(Dic2025!$K$6:$K$205,MIN(C1132+1,200)))-LN(INDEX(Dic2025!$K$6:$K$205,C1132)))*(A1132-6*C1132)/6))</f>
        <v>0.00256118169495358</v>
      </c>
      <c r="H1132" s="12" t="n">
        <f aca="false">G1132^(-1/B1132)-1</f>
        <v>0.0655400624999998</v>
      </c>
      <c r="I1132" s="12" t="n">
        <f aca="false">(1+H1132)^(1/12)-1</f>
        <v>0.00530416516903598</v>
      </c>
      <c r="J1132" s="16" t="n">
        <f aca="false">IF(C1132=0,(1+Dic2025!$M$6)^(-B1132),EXP(LN(INDEX(Dic2025!$N$6:$N$205,C1132))+(LN(INDEX(Dic2025!$N$6:$N$205,MIN(C1132+1,200)))-LN(INDEX(Dic2025!$N$6:$N$205,C1132)))*(A1132-6*C1132)/6))</f>
        <v>0.00256118169495358</v>
      </c>
      <c r="K1132" s="12" t="n">
        <f aca="false">J1132^(-1/B1132)-1</f>
        <v>0.0655400624999998</v>
      </c>
      <c r="L1132" s="12" t="n">
        <f aca="false">(1+K1132)^(1/12)-1</f>
        <v>0.00530416516903598</v>
      </c>
    </row>
    <row r="1133" customFormat="false" ht="15" hidden="false" customHeight="false" outlineLevel="0" collapsed="false">
      <c r="A1133" s="4" t="n">
        <v>1129</v>
      </c>
      <c r="B1133" s="14" t="n">
        <f aca="false">A1133/12</f>
        <v>94.0833333333333</v>
      </c>
      <c r="C1133" s="15" t="n">
        <f aca="false">INT(A1133/6)</f>
        <v>188</v>
      </c>
      <c r="D1133" s="16" t="n">
        <f aca="false">IF(C1133=0,(1+Dic2025!$G$6)^(-B1133),EXP(LN(INDEX(Dic2025!$H$6:$H$205,C1133))+(LN(INDEX(Dic2025!$H$6:$H$205,MIN(C1133+1,200)))-LN(INDEX(Dic2025!$H$6:$H$205,C1133)))*(A1133-6*C1133)/6))</f>
        <v>0.00254766844074791</v>
      </c>
      <c r="E1133" s="12" t="n">
        <f aca="false">D1133^(-1/B1133)-1</f>
        <v>0.0655400624999998</v>
      </c>
      <c r="F1133" s="12" t="n">
        <f aca="false">(1+E1133)^(1/12)-1</f>
        <v>0.00530416516903598</v>
      </c>
      <c r="G1133" s="16" t="n">
        <f aca="false">IF(C1133=0,(1+Dic2025!$J$6)^(-B1133),EXP(LN(INDEX(Dic2025!$K$6:$K$205,C1133))+(LN(INDEX(Dic2025!$K$6:$K$205,MIN(C1133+1,200)))-LN(INDEX(Dic2025!$K$6:$K$205,C1133)))*(A1133-6*C1133)/6))</f>
        <v>0.00254766844074791</v>
      </c>
      <c r="H1133" s="12" t="n">
        <f aca="false">G1133^(-1/B1133)-1</f>
        <v>0.0655400624999998</v>
      </c>
      <c r="I1133" s="12" t="n">
        <f aca="false">(1+H1133)^(1/12)-1</f>
        <v>0.00530416516903598</v>
      </c>
      <c r="J1133" s="16" t="n">
        <f aca="false">IF(C1133=0,(1+Dic2025!$M$6)^(-B1133),EXP(LN(INDEX(Dic2025!$N$6:$N$205,C1133))+(LN(INDEX(Dic2025!$N$6:$N$205,MIN(C1133+1,200)))-LN(INDEX(Dic2025!$N$6:$N$205,C1133)))*(A1133-6*C1133)/6))</f>
        <v>0.00254766844074791</v>
      </c>
      <c r="K1133" s="12" t="n">
        <f aca="false">J1133^(-1/B1133)-1</f>
        <v>0.0655400624999998</v>
      </c>
      <c r="L1133" s="12" t="n">
        <f aca="false">(1+K1133)^(1/12)-1</f>
        <v>0.00530416516903598</v>
      </c>
    </row>
    <row r="1134" customFormat="false" ht="15" hidden="false" customHeight="false" outlineLevel="0" collapsed="false">
      <c r="A1134" s="4" t="n">
        <v>1130</v>
      </c>
      <c r="B1134" s="14" t="n">
        <f aca="false">A1134/12</f>
        <v>94.1666666666667</v>
      </c>
      <c r="C1134" s="15" t="n">
        <f aca="false">INT(A1134/6)</f>
        <v>188</v>
      </c>
      <c r="D1134" s="16" t="n">
        <f aca="false">IF(C1134=0,(1+Dic2025!$G$6)^(-B1134),EXP(LN(INDEX(Dic2025!$H$6:$H$205,C1134))+(LN(INDEX(Dic2025!$H$6:$H$205,MIN(C1134+1,200)))-LN(INDEX(Dic2025!$H$6:$H$205,C1134)))*(A1134-6*C1134)/6))</f>
        <v>0.00253422648489628</v>
      </c>
      <c r="E1134" s="12" t="n">
        <f aca="false">D1134^(-1/B1134)-1</f>
        <v>0.0655400624999998</v>
      </c>
      <c r="F1134" s="12" t="n">
        <f aca="false">(1+E1134)^(1/12)-1</f>
        <v>0.00530416516903598</v>
      </c>
      <c r="G1134" s="16" t="n">
        <f aca="false">IF(C1134=0,(1+Dic2025!$J$6)^(-B1134),EXP(LN(INDEX(Dic2025!$K$6:$K$205,C1134))+(LN(INDEX(Dic2025!$K$6:$K$205,MIN(C1134+1,200)))-LN(INDEX(Dic2025!$K$6:$K$205,C1134)))*(A1134-6*C1134)/6))</f>
        <v>0.00253422648489628</v>
      </c>
      <c r="H1134" s="12" t="n">
        <f aca="false">G1134^(-1/B1134)-1</f>
        <v>0.0655400624999998</v>
      </c>
      <c r="I1134" s="12" t="n">
        <f aca="false">(1+H1134)^(1/12)-1</f>
        <v>0.00530416516903598</v>
      </c>
      <c r="J1134" s="16" t="n">
        <f aca="false">IF(C1134=0,(1+Dic2025!$M$6)^(-B1134),EXP(LN(INDEX(Dic2025!$N$6:$N$205,C1134))+(LN(INDEX(Dic2025!$N$6:$N$205,MIN(C1134+1,200)))-LN(INDEX(Dic2025!$N$6:$N$205,C1134)))*(A1134-6*C1134)/6))</f>
        <v>0.00253422648489628</v>
      </c>
      <c r="K1134" s="12" t="n">
        <f aca="false">J1134^(-1/B1134)-1</f>
        <v>0.0655400624999998</v>
      </c>
      <c r="L1134" s="12" t="n">
        <f aca="false">(1+K1134)^(1/12)-1</f>
        <v>0.00530416516903598</v>
      </c>
    </row>
    <row r="1135" customFormat="false" ht="15" hidden="false" customHeight="false" outlineLevel="0" collapsed="false">
      <c r="A1135" s="4" t="n">
        <v>1131</v>
      </c>
      <c r="B1135" s="14" t="n">
        <f aca="false">A1135/12</f>
        <v>94.25</v>
      </c>
      <c r="C1135" s="15" t="n">
        <f aca="false">INT(A1135/6)</f>
        <v>188</v>
      </c>
      <c r="D1135" s="16" t="n">
        <f aca="false">IF(C1135=0,(1+Dic2025!$G$6)^(-B1135),EXP(LN(INDEX(Dic2025!$H$6:$H$205,C1135))+(LN(INDEX(Dic2025!$H$6:$H$205,MIN(C1135+1,200)))-LN(INDEX(Dic2025!$H$6:$H$205,C1135)))*(A1135-6*C1135)/6))</f>
        <v>0.00252085545121576</v>
      </c>
      <c r="E1135" s="12" t="n">
        <f aca="false">D1135^(-1/B1135)-1</f>
        <v>0.0655400624999998</v>
      </c>
      <c r="F1135" s="12" t="n">
        <f aca="false">(1+E1135)^(1/12)-1</f>
        <v>0.00530416516903598</v>
      </c>
      <c r="G1135" s="16" t="n">
        <f aca="false">IF(C1135=0,(1+Dic2025!$J$6)^(-B1135),EXP(LN(INDEX(Dic2025!$K$6:$K$205,C1135))+(LN(INDEX(Dic2025!$K$6:$K$205,MIN(C1135+1,200)))-LN(INDEX(Dic2025!$K$6:$K$205,C1135)))*(A1135-6*C1135)/6))</f>
        <v>0.00252085545121576</v>
      </c>
      <c r="H1135" s="12" t="n">
        <f aca="false">G1135^(-1/B1135)-1</f>
        <v>0.0655400624999998</v>
      </c>
      <c r="I1135" s="12" t="n">
        <f aca="false">(1+H1135)^(1/12)-1</f>
        <v>0.00530416516903598</v>
      </c>
      <c r="J1135" s="16" t="n">
        <f aca="false">IF(C1135=0,(1+Dic2025!$M$6)^(-B1135),EXP(LN(INDEX(Dic2025!$N$6:$N$205,C1135))+(LN(INDEX(Dic2025!$N$6:$N$205,MIN(C1135+1,200)))-LN(INDEX(Dic2025!$N$6:$N$205,C1135)))*(A1135-6*C1135)/6))</f>
        <v>0.00252085545121576</v>
      </c>
      <c r="K1135" s="12" t="n">
        <f aca="false">J1135^(-1/B1135)-1</f>
        <v>0.0655400624999998</v>
      </c>
      <c r="L1135" s="12" t="n">
        <f aca="false">(1+K1135)^(1/12)-1</f>
        <v>0.00530416516903598</v>
      </c>
    </row>
    <row r="1136" customFormat="false" ht="15" hidden="false" customHeight="false" outlineLevel="0" collapsed="false">
      <c r="A1136" s="4" t="n">
        <v>1132</v>
      </c>
      <c r="B1136" s="14" t="n">
        <f aca="false">A1136/12</f>
        <v>94.3333333333333</v>
      </c>
      <c r="C1136" s="15" t="n">
        <f aca="false">INT(A1136/6)</f>
        <v>188</v>
      </c>
      <c r="D1136" s="16" t="n">
        <f aca="false">IF(C1136=0,(1+Dic2025!$G$6)^(-B1136),EXP(LN(INDEX(Dic2025!$H$6:$H$205,C1136))+(LN(INDEX(Dic2025!$H$6:$H$205,MIN(C1136+1,200)))-LN(INDEX(Dic2025!$H$6:$H$205,C1136)))*(A1136-6*C1136)/6))</f>
        <v>0.00250755496550827</v>
      </c>
      <c r="E1136" s="12" t="n">
        <f aca="false">D1136^(-1/B1136)-1</f>
        <v>0.0655400624999998</v>
      </c>
      <c r="F1136" s="12" t="n">
        <f aca="false">(1+E1136)^(1/12)-1</f>
        <v>0.00530416516903598</v>
      </c>
      <c r="G1136" s="16" t="n">
        <f aca="false">IF(C1136=0,(1+Dic2025!$J$6)^(-B1136),EXP(LN(INDEX(Dic2025!$K$6:$K$205,C1136))+(LN(INDEX(Dic2025!$K$6:$K$205,MIN(C1136+1,200)))-LN(INDEX(Dic2025!$K$6:$K$205,C1136)))*(A1136-6*C1136)/6))</f>
        <v>0.00250755496550827</v>
      </c>
      <c r="H1136" s="12" t="n">
        <f aca="false">G1136^(-1/B1136)-1</f>
        <v>0.0655400624999998</v>
      </c>
      <c r="I1136" s="12" t="n">
        <f aca="false">(1+H1136)^(1/12)-1</f>
        <v>0.00530416516903598</v>
      </c>
      <c r="J1136" s="16" t="n">
        <f aca="false">IF(C1136=0,(1+Dic2025!$M$6)^(-B1136),EXP(LN(INDEX(Dic2025!$N$6:$N$205,C1136))+(LN(INDEX(Dic2025!$N$6:$N$205,MIN(C1136+1,200)))-LN(INDEX(Dic2025!$N$6:$N$205,C1136)))*(A1136-6*C1136)/6))</f>
        <v>0.00250755496550827</v>
      </c>
      <c r="K1136" s="12" t="n">
        <f aca="false">J1136^(-1/B1136)-1</f>
        <v>0.0655400624999998</v>
      </c>
      <c r="L1136" s="12" t="n">
        <f aca="false">(1+K1136)^(1/12)-1</f>
        <v>0.00530416516903598</v>
      </c>
    </row>
    <row r="1137" customFormat="false" ht="15" hidden="false" customHeight="false" outlineLevel="0" collapsed="false">
      <c r="A1137" s="4" t="n">
        <v>1133</v>
      </c>
      <c r="B1137" s="14" t="n">
        <f aca="false">A1137/12</f>
        <v>94.4166666666667</v>
      </c>
      <c r="C1137" s="15" t="n">
        <f aca="false">INT(A1137/6)</f>
        <v>188</v>
      </c>
      <c r="D1137" s="16" t="n">
        <f aca="false">IF(C1137=0,(1+Dic2025!$G$6)^(-B1137),EXP(LN(INDEX(Dic2025!$H$6:$H$205,C1137))+(LN(INDEX(Dic2025!$H$6:$H$205,MIN(C1137+1,200)))-LN(INDEX(Dic2025!$H$6:$H$205,C1137)))*(A1137-6*C1137)/6))</f>
        <v>0.00249432465555003</v>
      </c>
      <c r="E1137" s="12" t="n">
        <f aca="false">D1137^(-1/B1137)-1</f>
        <v>0.0655400624999998</v>
      </c>
      <c r="F1137" s="12" t="n">
        <f aca="false">(1+E1137)^(1/12)-1</f>
        <v>0.00530416516903598</v>
      </c>
      <c r="G1137" s="16" t="n">
        <f aca="false">IF(C1137=0,(1+Dic2025!$J$6)^(-B1137),EXP(LN(INDEX(Dic2025!$K$6:$K$205,C1137))+(LN(INDEX(Dic2025!$K$6:$K$205,MIN(C1137+1,200)))-LN(INDEX(Dic2025!$K$6:$K$205,C1137)))*(A1137-6*C1137)/6))</f>
        <v>0.00249432465555003</v>
      </c>
      <c r="H1137" s="12" t="n">
        <f aca="false">G1137^(-1/B1137)-1</f>
        <v>0.0655400624999998</v>
      </c>
      <c r="I1137" s="12" t="n">
        <f aca="false">(1+H1137)^(1/12)-1</f>
        <v>0.00530416516903598</v>
      </c>
      <c r="J1137" s="16" t="n">
        <f aca="false">IF(C1137=0,(1+Dic2025!$M$6)^(-B1137),EXP(LN(INDEX(Dic2025!$N$6:$N$205,C1137))+(LN(INDEX(Dic2025!$N$6:$N$205,MIN(C1137+1,200)))-LN(INDEX(Dic2025!$N$6:$N$205,C1137)))*(A1137-6*C1137)/6))</f>
        <v>0.00249432465555003</v>
      </c>
      <c r="K1137" s="12" t="n">
        <f aca="false">J1137^(-1/B1137)-1</f>
        <v>0.0655400624999998</v>
      </c>
      <c r="L1137" s="12" t="n">
        <f aca="false">(1+K1137)^(1/12)-1</f>
        <v>0.00530416516903598</v>
      </c>
    </row>
    <row r="1138" customFormat="false" ht="15" hidden="false" customHeight="false" outlineLevel="0" collapsed="false">
      <c r="A1138" s="4" t="n">
        <v>1134</v>
      </c>
      <c r="B1138" s="14" t="n">
        <f aca="false">A1138/12</f>
        <v>94.5</v>
      </c>
      <c r="C1138" s="15" t="n">
        <f aca="false">INT(A1138/6)</f>
        <v>189</v>
      </c>
      <c r="D1138" s="16" t="n">
        <f aca="false">IF(C1138=0,(1+Dic2025!$G$6)^(-B1138),EXP(LN(INDEX(Dic2025!$H$6:$H$205,C1138))+(LN(INDEX(Dic2025!$H$6:$H$205,MIN(C1138+1,200)))-LN(INDEX(Dic2025!$H$6:$H$205,C1138)))*(A1138-6*C1138)/6))</f>
        <v>0.00248116415108121</v>
      </c>
      <c r="E1138" s="12" t="n">
        <f aca="false">D1138^(-1/B1138)-1</f>
        <v>0.0655400624999998</v>
      </c>
      <c r="F1138" s="12" t="n">
        <f aca="false">(1+E1138)^(1/12)-1</f>
        <v>0.00530416516903598</v>
      </c>
      <c r="G1138" s="16" t="n">
        <f aca="false">IF(C1138=0,(1+Dic2025!$J$6)^(-B1138),EXP(LN(INDEX(Dic2025!$K$6:$K$205,C1138))+(LN(INDEX(Dic2025!$K$6:$K$205,MIN(C1138+1,200)))-LN(INDEX(Dic2025!$K$6:$K$205,C1138)))*(A1138-6*C1138)/6))</f>
        <v>0.00248116415108121</v>
      </c>
      <c r="H1138" s="12" t="n">
        <f aca="false">G1138^(-1/B1138)-1</f>
        <v>0.0655400624999998</v>
      </c>
      <c r="I1138" s="12" t="n">
        <f aca="false">(1+H1138)^(1/12)-1</f>
        <v>0.00530416516903598</v>
      </c>
      <c r="J1138" s="16" t="n">
        <f aca="false">IF(C1138=0,(1+Dic2025!$M$6)^(-B1138),EXP(LN(INDEX(Dic2025!$N$6:$N$205,C1138))+(LN(INDEX(Dic2025!$N$6:$N$205,MIN(C1138+1,200)))-LN(INDEX(Dic2025!$N$6:$N$205,C1138)))*(A1138-6*C1138)/6))</f>
        <v>0.00248116415108121</v>
      </c>
      <c r="K1138" s="12" t="n">
        <f aca="false">J1138^(-1/B1138)-1</f>
        <v>0.0655400624999998</v>
      </c>
      <c r="L1138" s="12" t="n">
        <f aca="false">(1+K1138)^(1/12)-1</f>
        <v>0.00530416516903598</v>
      </c>
    </row>
    <row r="1139" customFormat="false" ht="15" hidden="false" customHeight="false" outlineLevel="0" collapsed="false">
      <c r="A1139" s="4" t="n">
        <v>1135</v>
      </c>
      <c r="B1139" s="14" t="n">
        <f aca="false">A1139/12</f>
        <v>94.5833333333333</v>
      </c>
      <c r="C1139" s="15" t="n">
        <f aca="false">INT(A1139/6)</f>
        <v>189</v>
      </c>
      <c r="D1139" s="16" t="n">
        <f aca="false">IF(C1139=0,(1+Dic2025!$G$6)^(-B1139),EXP(LN(INDEX(Dic2025!$H$6:$H$205,C1139))+(LN(INDEX(Dic2025!$H$6:$H$205,MIN(C1139+1,200)))-LN(INDEX(Dic2025!$H$6:$H$205,C1139)))*(A1139-6*C1139)/6))</f>
        <v>0.00246807308379551</v>
      </c>
      <c r="E1139" s="12" t="n">
        <f aca="false">D1139^(-1/B1139)-1</f>
        <v>0.0655400624999998</v>
      </c>
      <c r="F1139" s="12" t="n">
        <f aca="false">(1+E1139)^(1/12)-1</f>
        <v>0.00530416516903598</v>
      </c>
      <c r="G1139" s="16" t="n">
        <f aca="false">IF(C1139=0,(1+Dic2025!$J$6)^(-B1139),EXP(LN(INDEX(Dic2025!$K$6:$K$205,C1139))+(LN(INDEX(Dic2025!$K$6:$K$205,MIN(C1139+1,200)))-LN(INDEX(Dic2025!$K$6:$K$205,C1139)))*(A1139-6*C1139)/6))</f>
        <v>0.00246807308379551</v>
      </c>
      <c r="H1139" s="12" t="n">
        <f aca="false">G1139^(-1/B1139)-1</f>
        <v>0.0655400624999998</v>
      </c>
      <c r="I1139" s="12" t="n">
        <f aca="false">(1+H1139)^(1/12)-1</f>
        <v>0.00530416516903598</v>
      </c>
      <c r="J1139" s="16" t="n">
        <f aca="false">IF(C1139=0,(1+Dic2025!$M$6)^(-B1139),EXP(LN(INDEX(Dic2025!$N$6:$N$205,C1139))+(LN(INDEX(Dic2025!$N$6:$N$205,MIN(C1139+1,200)))-LN(INDEX(Dic2025!$N$6:$N$205,C1139)))*(A1139-6*C1139)/6))</f>
        <v>0.00246807308379551</v>
      </c>
      <c r="K1139" s="12" t="n">
        <f aca="false">J1139^(-1/B1139)-1</f>
        <v>0.0655400624999998</v>
      </c>
      <c r="L1139" s="12" t="n">
        <f aca="false">(1+K1139)^(1/12)-1</f>
        <v>0.00530416516903598</v>
      </c>
    </row>
    <row r="1140" customFormat="false" ht="15" hidden="false" customHeight="false" outlineLevel="0" collapsed="false">
      <c r="A1140" s="4" t="n">
        <v>1136</v>
      </c>
      <c r="B1140" s="14" t="n">
        <f aca="false">A1140/12</f>
        <v>94.6666666666667</v>
      </c>
      <c r="C1140" s="15" t="n">
        <f aca="false">INT(A1140/6)</f>
        <v>189</v>
      </c>
      <c r="D1140" s="16" t="n">
        <f aca="false">IF(C1140=0,(1+Dic2025!$G$6)^(-B1140),EXP(LN(INDEX(Dic2025!$H$6:$H$205,C1140))+(LN(INDEX(Dic2025!$H$6:$H$205,MIN(C1140+1,200)))-LN(INDEX(Dic2025!$H$6:$H$205,C1140)))*(A1140-6*C1140)/6))</f>
        <v>0.00245505108732989</v>
      </c>
      <c r="E1140" s="12" t="n">
        <f aca="false">D1140^(-1/B1140)-1</f>
        <v>0.0655400624999998</v>
      </c>
      <c r="F1140" s="12" t="n">
        <f aca="false">(1+E1140)^(1/12)-1</f>
        <v>0.00530416516903598</v>
      </c>
      <c r="G1140" s="16" t="n">
        <f aca="false">IF(C1140=0,(1+Dic2025!$J$6)^(-B1140),EXP(LN(INDEX(Dic2025!$K$6:$K$205,C1140))+(LN(INDEX(Dic2025!$K$6:$K$205,MIN(C1140+1,200)))-LN(INDEX(Dic2025!$K$6:$K$205,C1140)))*(A1140-6*C1140)/6))</f>
        <v>0.00245505108732989</v>
      </c>
      <c r="H1140" s="12" t="n">
        <f aca="false">G1140^(-1/B1140)-1</f>
        <v>0.0655400624999998</v>
      </c>
      <c r="I1140" s="12" t="n">
        <f aca="false">(1+H1140)^(1/12)-1</f>
        <v>0.00530416516903598</v>
      </c>
      <c r="J1140" s="16" t="n">
        <f aca="false">IF(C1140=0,(1+Dic2025!$M$6)^(-B1140),EXP(LN(INDEX(Dic2025!$N$6:$N$205,C1140))+(LN(INDEX(Dic2025!$N$6:$N$205,MIN(C1140+1,200)))-LN(INDEX(Dic2025!$N$6:$N$205,C1140)))*(A1140-6*C1140)/6))</f>
        <v>0.00245505108732989</v>
      </c>
      <c r="K1140" s="12" t="n">
        <f aca="false">J1140^(-1/B1140)-1</f>
        <v>0.0655400624999998</v>
      </c>
      <c r="L1140" s="12" t="n">
        <f aca="false">(1+K1140)^(1/12)-1</f>
        <v>0.00530416516903598</v>
      </c>
    </row>
    <row r="1141" customFormat="false" ht="15" hidden="false" customHeight="false" outlineLevel="0" collapsed="false">
      <c r="A1141" s="4" t="n">
        <v>1137</v>
      </c>
      <c r="B1141" s="14" t="n">
        <f aca="false">A1141/12</f>
        <v>94.75</v>
      </c>
      <c r="C1141" s="15" t="n">
        <f aca="false">INT(A1141/6)</f>
        <v>189</v>
      </c>
      <c r="D1141" s="16" t="n">
        <f aca="false">IF(C1141=0,(1+Dic2025!$G$6)^(-B1141),EXP(LN(INDEX(Dic2025!$H$6:$H$205,C1141))+(LN(INDEX(Dic2025!$H$6:$H$205,MIN(C1141+1,200)))-LN(INDEX(Dic2025!$H$6:$H$205,C1141)))*(A1141-6*C1141)/6))</f>
        <v>0.00244209779725431</v>
      </c>
      <c r="E1141" s="12" t="n">
        <f aca="false">D1141^(-1/B1141)-1</f>
        <v>0.0655400624999998</v>
      </c>
      <c r="F1141" s="12" t="n">
        <f aca="false">(1+E1141)^(1/12)-1</f>
        <v>0.00530416516903598</v>
      </c>
      <c r="G1141" s="16" t="n">
        <f aca="false">IF(C1141=0,(1+Dic2025!$J$6)^(-B1141),EXP(LN(INDEX(Dic2025!$K$6:$K$205,C1141))+(LN(INDEX(Dic2025!$K$6:$K$205,MIN(C1141+1,200)))-LN(INDEX(Dic2025!$K$6:$K$205,C1141)))*(A1141-6*C1141)/6))</f>
        <v>0.00244209779725431</v>
      </c>
      <c r="H1141" s="12" t="n">
        <f aca="false">G1141^(-1/B1141)-1</f>
        <v>0.0655400624999998</v>
      </c>
      <c r="I1141" s="12" t="n">
        <f aca="false">(1+H1141)^(1/12)-1</f>
        <v>0.00530416516903598</v>
      </c>
      <c r="J1141" s="16" t="n">
        <f aca="false">IF(C1141=0,(1+Dic2025!$M$6)^(-B1141),EXP(LN(INDEX(Dic2025!$N$6:$N$205,C1141))+(LN(INDEX(Dic2025!$N$6:$N$205,MIN(C1141+1,200)))-LN(INDEX(Dic2025!$N$6:$N$205,C1141)))*(A1141-6*C1141)/6))</f>
        <v>0.00244209779725431</v>
      </c>
      <c r="K1141" s="12" t="n">
        <f aca="false">J1141^(-1/B1141)-1</f>
        <v>0.0655400624999998</v>
      </c>
      <c r="L1141" s="12" t="n">
        <f aca="false">(1+K1141)^(1/12)-1</f>
        <v>0.00530416516903598</v>
      </c>
    </row>
    <row r="1142" customFormat="false" ht="15" hidden="false" customHeight="false" outlineLevel="0" collapsed="false">
      <c r="A1142" s="4" t="n">
        <v>1138</v>
      </c>
      <c r="B1142" s="14" t="n">
        <f aca="false">A1142/12</f>
        <v>94.8333333333333</v>
      </c>
      <c r="C1142" s="15" t="n">
        <f aca="false">INT(A1142/6)</f>
        <v>189</v>
      </c>
      <c r="D1142" s="16" t="n">
        <f aca="false">IF(C1142=0,(1+Dic2025!$G$6)^(-B1142),EXP(LN(INDEX(Dic2025!$H$6:$H$205,C1142))+(LN(INDEX(Dic2025!$H$6:$H$205,MIN(C1142+1,200)))-LN(INDEX(Dic2025!$H$6:$H$205,C1142)))*(A1142-6*C1142)/6))</f>
        <v>0.00242921285106154</v>
      </c>
      <c r="E1142" s="12" t="n">
        <f aca="false">D1142^(-1/B1142)-1</f>
        <v>0.0655400624999998</v>
      </c>
      <c r="F1142" s="12" t="n">
        <f aca="false">(1+E1142)^(1/12)-1</f>
        <v>0.00530416516903598</v>
      </c>
      <c r="G1142" s="16" t="n">
        <f aca="false">IF(C1142=0,(1+Dic2025!$J$6)^(-B1142),EXP(LN(INDEX(Dic2025!$K$6:$K$205,C1142))+(LN(INDEX(Dic2025!$K$6:$K$205,MIN(C1142+1,200)))-LN(INDEX(Dic2025!$K$6:$K$205,C1142)))*(A1142-6*C1142)/6))</f>
        <v>0.00242921285106154</v>
      </c>
      <c r="H1142" s="12" t="n">
        <f aca="false">G1142^(-1/B1142)-1</f>
        <v>0.0655400624999998</v>
      </c>
      <c r="I1142" s="12" t="n">
        <f aca="false">(1+H1142)^(1/12)-1</f>
        <v>0.00530416516903598</v>
      </c>
      <c r="J1142" s="16" t="n">
        <f aca="false">IF(C1142=0,(1+Dic2025!$M$6)^(-B1142),EXP(LN(INDEX(Dic2025!$N$6:$N$205,C1142))+(LN(INDEX(Dic2025!$N$6:$N$205,MIN(C1142+1,200)))-LN(INDEX(Dic2025!$N$6:$N$205,C1142)))*(A1142-6*C1142)/6))</f>
        <v>0.00242921285106154</v>
      </c>
      <c r="K1142" s="12" t="n">
        <f aca="false">J1142^(-1/B1142)-1</f>
        <v>0.0655400624999998</v>
      </c>
      <c r="L1142" s="12" t="n">
        <f aca="false">(1+K1142)^(1/12)-1</f>
        <v>0.00530416516903598</v>
      </c>
    </row>
    <row r="1143" customFormat="false" ht="15" hidden="false" customHeight="false" outlineLevel="0" collapsed="false">
      <c r="A1143" s="4" t="n">
        <v>1139</v>
      </c>
      <c r="B1143" s="14" t="n">
        <f aca="false">A1143/12</f>
        <v>94.9166666666667</v>
      </c>
      <c r="C1143" s="15" t="n">
        <f aca="false">INT(A1143/6)</f>
        <v>189</v>
      </c>
      <c r="D1143" s="16" t="n">
        <f aca="false">IF(C1143=0,(1+Dic2025!$G$6)^(-B1143),EXP(LN(INDEX(Dic2025!$H$6:$H$205,C1143))+(LN(INDEX(Dic2025!$H$6:$H$205,MIN(C1143+1,200)))-LN(INDEX(Dic2025!$H$6:$H$205,C1143)))*(A1143-6*C1143)/6))</f>
        <v>0.00241639588815697</v>
      </c>
      <c r="E1143" s="12" t="n">
        <f aca="false">D1143^(-1/B1143)-1</f>
        <v>0.0655400624999998</v>
      </c>
      <c r="F1143" s="12" t="n">
        <f aca="false">(1+E1143)^(1/12)-1</f>
        <v>0.00530416516903598</v>
      </c>
      <c r="G1143" s="16" t="n">
        <f aca="false">IF(C1143=0,(1+Dic2025!$J$6)^(-B1143),EXP(LN(INDEX(Dic2025!$K$6:$K$205,C1143))+(LN(INDEX(Dic2025!$K$6:$K$205,MIN(C1143+1,200)))-LN(INDEX(Dic2025!$K$6:$K$205,C1143)))*(A1143-6*C1143)/6))</f>
        <v>0.00241639588815697</v>
      </c>
      <c r="H1143" s="12" t="n">
        <f aca="false">G1143^(-1/B1143)-1</f>
        <v>0.0655400624999998</v>
      </c>
      <c r="I1143" s="12" t="n">
        <f aca="false">(1+H1143)^(1/12)-1</f>
        <v>0.00530416516903598</v>
      </c>
      <c r="J1143" s="16" t="n">
        <f aca="false">IF(C1143=0,(1+Dic2025!$M$6)^(-B1143),EXP(LN(INDEX(Dic2025!$N$6:$N$205,C1143))+(LN(INDEX(Dic2025!$N$6:$N$205,MIN(C1143+1,200)))-LN(INDEX(Dic2025!$N$6:$N$205,C1143)))*(A1143-6*C1143)/6))</f>
        <v>0.00241639588815697</v>
      </c>
      <c r="K1143" s="12" t="n">
        <f aca="false">J1143^(-1/B1143)-1</f>
        <v>0.0655400624999998</v>
      </c>
      <c r="L1143" s="12" t="n">
        <f aca="false">(1+K1143)^(1/12)-1</f>
        <v>0.00530416516903598</v>
      </c>
    </row>
    <row r="1144" customFormat="false" ht="15" hidden="false" customHeight="false" outlineLevel="0" collapsed="false">
      <c r="A1144" s="4" t="n">
        <v>1140</v>
      </c>
      <c r="B1144" s="14" t="n">
        <f aca="false">A1144/12</f>
        <v>95</v>
      </c>
      <c r="C1144" s="15" t="n">
        <f aca="false">INT(A1144/6)</f>
        <v>190</v>
      </c>
      <c r="D1144" s="16" t="n">
        <f aca="false">IF(C1144=0,(1+Dic2025!$G$6)^(-B1144),EXP(LN(INDEX(Dic2025!$H$6:$H$205,C1144))+(LN(INDEX(Dic2025!$H$6:$H$205,MIN(C1144+1,200)))-LN(INDEX(Dic2025!$H$6:$H$205,C1144)))*(A1144-6*C1144)/6))</f>
        <v>0.00240364654984859</v>
      </c>
      <c r="E1144" s="12" t="n">
        <f aca="false">D1144^(-1/B1144)-1</f>
        <v>0.0655400624999998</v>
      </c>
      <c r="F1144" s="12" t="n">
        <f aca="false">(1+E1144)^(1/12)-1</f>
        <v>0.00530416516903598</v>
      </c>
      <c r="G1144" s="16" t="n">
        <f aca="false">IF(C1144=0,(1+Dic2025!$J$6)^(-B1144),EXP(LN(INDEX(Dic2025!$K$6:$K$205,C1144))+(LN(INDEX(Dic2025!$K$6:$K$205,MIN(C1144+1,200)))-LN(INDEX(Dic2025!$K$6:$K$205,C1144)))*(A1144-6*C1144)/6))</f>
        <v>0.00240364654984859</v>
      </c>
      <c r="H1144" s="12" t="n">
        <f aca="false">G1144^(-1/B1144)-1</f>
        <v>0.0655400624999998</v>
      </c>
      <c r="I1144" s="12" t="n">
        <f aca="false">(1+H1144)^(1/12)-1</f>
        <v>0.00530416516903598</v>
      </c>
      <c r="J1144" s="16" t="n">
        <f aca="false">IF(C1144=0,(1+Dic2025!$M$6)^(-B1144),EXP(LN(INDEX(Dic2025!$N$6:$N$205,C1144))+(LN(INDEX(Dic2025!$N$6:$N$205,MIN(C1144+1,200)))-LN(INDEX(Dic2025!$N$6:$N$205,C1144)))*(A1144-6*C1144)/6))</f>
        <v>0.00240364654984859</v>
      </c>
      <c r="K1144" s="12" t="n">
        <f aca="false">J1144^(-1/B1144)-1</f>
        <v>0.0655400624999998</v>
      </c>
      <c r="L1144" s="12" t="n">
        <f aca="false">(1+K1144)^(1/12)-1</f>
        <v>0.00530416516903598</v>
      </c>
    </row>
    <row r="1145" customFormat="false" ht="15" hidden="false" customHeight="false" outlineLevel="0" collapsed="false">
      <c r="A1145" s="4" t="n">
        <v>1141</v>
      </c>
      <c r="B1145" s="14" t="n">
        <f aca="false">A1145/12</f>
        <v>95.0833333333333</v>
      </c>
      <c r="C1145" s="15" t="n">
        <f aca="false">INT(A1145/6)</f>
        <v>190</v>
      </c>
      <c r="D1145" s="16" t="n">
        <f aca="false">IF(C1145=0,(1+Dic2025!$G$6)^(-B1145),EXP(LN(INDEX(Dic2025!$H$6:$H$205,C1145))+(LN(INDEX(Dic2025!$H$6:$H$205,MIN(C1145+1,200)))-LN(INDEX(Dic2025!$H$6:$H$205,C1145)))*(A1145-6*C1145)/6))</f>
        <v>0.00239096447933689</v>
      </c>
      <c r="E1145" s="12" t="n">
        <f aca="false">D1145^(-1/B1145)-1</f>
        <v>0.0655400624999998</v>
      </c>
      <c r="F1145" s="12" t="n">
        <f aca="false">(1+E1145)^(1/12)-1</f>
        <v>0.00530416516903598</v>
      </c>
      <c r="G1145" s="16" t="n">
        <f aca="false">IF(C1145=0,(1+Dic2025!$J$6)^(-B1145),EXP(LN(INDEX(Dic2025!$K$6:$K$205,C1145))+(LN(INDEX(Dic2025!$K$6:$K$205,MIN(C1145+1,200)))-LN(INDEX(Dic2025!$K$6:$K$205,C1145)))*(A1145-6*C1145)/6))</f>
        <v>0.00239096447933689</v>
      </c>
      <c r="H1145" s="12" t="n">
        <f aca="false">G1145^(-1/B1145)-1</f>
        <v>0.0655400624999998</v>
      </c>
      <c r="I1145" s="12" t="n">
        <f aca="false">(1+H1145)^(1/12)-1</f>
        <v>0.00530416516903598</v>
      </c>
      <c r="J1145" s="16" t="n">
        <f aca="false">IF(C1145=0,(1+Dic2025!$M$6)^(-B1145),EXP(LN(INDEX(Dic2025!$N$6:$N$205,C1145))+(LN(INDEX(Dic2025!$N$6:$N$205,MIN(C1145+1,200)))-LN(INDEX(Dic2025!$N$6:$N$205,C1145)))*(A1145-6*C1145)/6))</f>
        <v>0.00239096447933689</v>
      </c>
      <c r="K1145" s="12" t="n">
        <f aca="false">J1145^(-1/B1145)-1</f>
        <v>0.0655400624999998</v>
      </c>
      <c r="L1145" s="12" t="n">
        <f aca="false">(1+K1145)^(1/12)-1</f>
        <v>0.00530416516903598</v>
      </c>
    </row>
    <row r="1146" customFormat="false" ht="15" hidden="false" customHeight="false" outlineLevel="0" collapsed="false">
      <c r="A1146" s="4" t="n">
        <v>1142</v>
      </c>
      <c r="B1146" s="14" t="n">
        <f aca="false">A1146/12</f>
        <v>95.1666666666667</v>
      </c>
      <c r="C1146" s="15" t="n">
        <f aca="false">INT(A1146/6)</f>
        <v>190</v>
      </c>
      <c r="D1146" s="16" t="n">
        <f aca="false">IF(C1146=0,(1+Dic2025!$G$6)^(-B1146),EXP(LN(INDEX(Dic2025!$H$6:$H$205,C1146))+(LN(INDEX(Dic2025!$H$6:$H$205,MIN(C1146+1,200)))-LN(INDEX(Dic2025!$H$6:$H$205,C1146)))*(A1146-6*C1146)/6))</f>
        <v>0.00237834932170491</v>
      </c>
      <c r="E1146" s="12" t="n">
        <f aca="false">D1146^(-1/B1146)-1</f>
        <v>0.0655400624999998</v>
      </c>
      <c r="F1146" s="12" t="n">
        <f aca="false">(1+E1146)^(1/12)-1</f>
        <v>0.00530416516903598</v>
      </c>
      <c r="G1146" s="16" t="n">
        <f aca="false">IF(C1146=0,(1+Dic2025!$J$6)^(-B1146),EXP(LN(INDEX(Dic2025!$K$6:$K$205,C1146))+(LN(INDEX(Dic2025!$K$6:$K$205,MIN(C1146+1,200)))-LN(INDEX(Dic2025!$K$6:$K$205,C1146)))*(A1146-6*C1146)/6))</f>
        <v>0.00237834932170491</v>
      </c>
      <c r="H1146" s="12" t="n">
        <f aca="false">G1146^(-1/B1146)-1</f>
        <v>0.0655400624999998</v>
      </c>
      <c r="I1146" s="12" t="n">
        <f aca="false">(1+H1146)^(1/12)-1</f>
        <v>0.00530416516903598</v>
      </c>
      <c r="J1146" s="16" t="n">
        <f aca="false">IF(C1146=0,(1+Dic2025!$M$6)^(-B1146),EXP(LN(INDEX(Dic2025!$N$6:$N$205,C1146))+(LN(INDEX(Dic2025!$N$6:$N$205,MIN(C1146+1,200)))-LN(INDEX(Dic2025!$N$6:$N$205,C1146)))*(A1146-6*C1146)/6))</f>
        <v>0.00237834932170491</v>
      </c>
      <c r="K1146" s="12" t="n">
        <f aca="false">J1146^(-1/B1146)-1</f>
        <v>0.0655400624999998</v>
      </c>
      <c r="L1146" s="12" t="n">
        <f aca="false">(1+K1146)^(1/12)-1</f>
        <v>0.00530416516903598</v>
      </c>
    </row>
    <row r="1147" customFormat="false" ht="15" hidden="false" customHeight="false" outlineLevel="0" collapsed="false">
      <c r="A1147" s="4" t="n">
        <v>1143</v>
      </c>
      <c r="B1147" s="14" t="n">
        <f aca="false">A1147/12</f>
        <v>95.25</v>
      </c>
      <c r="C1147" s="15" t="n">
        <f aca="false">INT(A1147/6)</f>
        <v>190</v>
      </c>
      <c r="D1147" s="16" t="n">
        <f aca="false">IF(C1147=0,(1+Dic2025!$G$6)^(-B1147),EXP(LN(INDEX(Dic2025!$H$6:$H$205,C1147))+(LN(INDEX(Dic2025!$H$6:$H$205,MIN(C1147+1,200)))-LN(INDEX(Dic2025!$H$6:$H$205,C1147)))*(A1147-6*C1147)/6))</f>
        <v>0.00236580072390827</v>
      </c>
      <c r="E1147" s="12" t="n">
        <f aca="false">D1147^(-1/B1147)-1</f>
        <v>0.0655400624999998</v>
      </c>
      <c r="F1147" s="12" t="n">
        <f aca="false">(1+E1147)^(1/12)-1</f>
        <v>0.00530416516903598</v>
      </c>
      <c r="G1147" s="16" t="n">
        <f aca="false">IF(C1147=0,(1+Dic2025!$J$6)^(-B1147),EXP(LN(INDEX(Dic2025!$K$6:$K$205,C1147))+(LN(INDEX(Dic2025!$K$6:$K$205,MIN(C1147+1,200)))-LN(INDEX(Dic2025!$K$6:$K$205,C1147)))*(A1147-6*C1147)/6))</f>
        <v>0.00236580072390827</v>
      </c>
      <c r="H1147" s="12" t="n">
        <f aca="false">G1147^(-1/B1147)-1</f>
        <v>0.0655400624999998</v>
      </c>
      <c r="I1147" s="12" t="n">
        <f aca="false">(1+H1147)^(1/12)-1</f>
        <v>0.00530416516903598</v>
      </c>
      <c r="J1147" s="16" t="n">
        <f aca="false">IF(C1147=0,(1+Dic2025!$M$6)^(-B1147),EXP(LN(INDEX(Dic2025!$N$6:$N$205,C1147))+(LN(INDEX(Dic2025!$N$6:$N$205,MIN(C1147+1,200)))-LN(INDEX(Dic2025!$N$6:$N$205,C1147)))*(A1147-6*C1147)/6))</f>
        <v>0.00236580072390827</v>
      </c>
      <c r="K1147" s="12" t="n">
        <f aca="false">J1147^(-1/B1147)-1</f>
        <v>0.0655400624999998</v>
      </c>
      <c r="L1147" s="12" t="n">
        <f aca="false">(1+K1147)^(1/12)-1</f>
        <v>0.00530416516903598</v>
      </c>
    </row>
    <row r="1148" customFormat="false" ht="15" hidden="false" customHeight="false" outlineLevel="0" collapsed="false">
      <c r="A1148" s="4" t="n">
        <v>1144</v>
      </c>
      <c r="B1148" s="14" t="n">
        <f aca="false">A1148/12</f>
        <v>95.3333333333333</v>
      </c>
      <c r="C1148" s="15" t="n">
        <f aca="false">INT(A1148/6)</f>
        <v>190</v>
      </c>
      <c r="D1148" s="16" t="n">
        <f aca="false">IF(C1148=0,(1+Dic2025!$G$6)^(-B1148),EXP(LN(INDEX(Dic2025!$H$6:$H$205,C1148))+(LN(INDEX(Dic2025!$H$6:$H$205,MIN(C1148+1,200)))-LN(INDEX(Dic2025!$H$6:$H$205,C1148)))*(A1148-6*C1148)/6))</f>
        <v>0.00235331833476536</v>
      </c>
      <c r="E1148" s="12" t="n">
        <f aca="false">D1148^(-1/B1148)-1</f>
        <v>0.0655400624999998</v>
      </c>
      <c r="F1148" s="12" t="n">
        <f aca="false">(1+E1148)^(1/12)-1</f>
        <v>0.00530416516903598</v>
      </c>
      <c r="G1148" s="16" t="n">
        <f aca="false">IF(C1148=0,(1+Dic2025!$J$6)^(-B1148),EXP(LN(INDEX(Dic2025!$K$6:$K$205,C1148))+(LN(INDEX(Dic2025!$K$6:$K$205,MIN(C1148+1,200)))-LN(INDEX(Dic2025!$K$6:$K$205,C1148)))*(A1148-6*C1148)/6))</f>
        <v>0.00235331833476536</v>
      </c>
      <c r="H1148" s="12" t="n">
        <f aca="false">G1148^(-1/B1148)-1</f>
        <v>0.0655400624999998</v>
      </c>
      <c r="I1148" s="12" t="n">
        <f aca="false">(1+H1148)^(1/12)-1</f>
        <v>0.00530416516903598</v>
      </c>
      <c r="J1148" s="16" t="n">
        <f aca="false">IF(C1148=0,(1+Dic2025!$M$6)^(-B1148),EXP(LN(INDEX(Dic2025!$N$6:$N$205,C1148))+(LN(INDEX(Dic2025!$N$6:$N$205,MIN(C1148+1,200)))-LN(INDEX(Dic2025!$N$6:$N$205,C1148)))*(A1148-6*C1148)/6))</f>
        <v>0.00235331833476536</v>
      </c>
      <c r="K1148" s="12" t="n">
        <f aca="false">J1148^(-1/B1148)-1</f>
        <v>0.0655400624999998</v>
      </c>
      <c r="L1148" s="12" t="n">
        <f aca="false">(1+K1148)^(1/12)-1</f>
        <v>0.00530416516903598</v>
      </c>
    </row>
    <row r="1149" customFormat="false" ht="15" hidden="false" customHeight="false" outlineLevel="0" collapsed="false">
      <c r="A1149" s="4" t="n">
        <v>1145</v>
      </c>
      <c r="B1149" s="14" t="n">
        <f aca="false">A1149/12</f>
        <v>95.4166666666667</v>
      </c>
      <c r="C1149" s="15" t="n">
        <f aca="false">INT(A1149/6)</f>
        <v>190</v>
      </c>
      <c r="D1149" s="16" t="n">
        <f aca="false">IF(C1149=0,(1+Dic2025!$G$6)^(-B1149),EXP(LN(INDEX(Dic2025!$H$6:$H$205,C1149))+(LN(INDEX(Dic2025!$H$6:$H$205,MIN(C1149+1,200)))-LN(INDEX(Dic2025!$H$6:$H$205,C1149)))*(A1149-6*C1149)/6))</f>
        <v>0.00234090180494742</v>
      </c>
      <c r="E1149" s="12" t="n">
        <f aca="false">D1149^(-1/B1149)-1</f>
        <v>0.0655400624999998</v>
      </c>
      <c r="F1149" s="12" t="n">
        <f aca="false">(1+E1149)^(1/12)-1</f>
        <v>0.00530416516903598</v>
      </c>
      <c r="G1149" s="16" t="n">
        <f aca="false">IF(C1149=0,(1+Dic2025!$J$6)^(-B1149),EXP(LN(INDEX(Dic2025!$K$6:$K$205,C1149))+(LN(INDEX(Dic2025!$K$6:$K$205,MIN(C1149+1,200)))-LN(INDEX(Dic2025!$K$6:$K$205,C1149)))*(A1149-6*C1149)/6))</f>
        <v>0.00234090180494742</v>
      </c>
      <c r="H1149" s="12" t="n">
        <f aca="false">G1149^(-1/B1149)-1</f>
        <v>0.0655400624999998</v>
      </c>
      <c r="I1149" s="12" t="n">
        <f aca="false">(1+H1149)^(1/12)-1</f>
        <v>0.00530416516903598</v>
      </c>
      <c r="J1149" s="16" t="n">
        <f aca="false">IF(C1149=0,(1+Dic2025!$M$6)^(-B1149),EXP(LN(INDEX(Dic2025!$N$6:$N$205,C1149))+(LN(INDEX(Dic2025!$N$6:$N$205,MIN(C1149+1,200)))-LN(INDEX(Dic2025!$N$6:$N$205,C1149)))*(A1149-6*C1149)/6))</f>
        <v>0.00234090180494742</v>
      </c>
      <c r="K1149" s="12" t="n">
        <f aca="false">J1149^(-1/B1149)-1</f>
        <v>0.0655400624999998</v>
      </c>
      <c r="L1149" s="12" t="n">
        <f aca="false">(1+K1149)^(1/12)-1</f>
        <v>0.00530416516903598</v>
      </c>
    </row>
    <row r="1150" customFormat="false" ht="15" hidden="false" customHeight="false" outlineLevel="0" collapsed="false">
      <c r="A1150" s="4" t="n">
        <v>1146</v>
      </c>
      <c r="B1150" s="14" t="n">
        <f aca="false">A1150/12</f>
        <v>95.5</v>
      </c>
      <c r="C1150" s="15" t="n">
        <f aca="false">INT(A1150/6)</f>
        <v>191</v>
      </c>
      <c r="D1150" s="16" t="n">
        <f aca="false">IF(C1150=0,(1+Dic2025!$G$6)^(-B1150),EXP(LN(INDEX(Dic2025!$H$6:$H$205,C1150))+(LN(INDEX(Dic2025!$H$6:$H$205,MIN(C1150+1,200)))-LN(INDEX(Dic2025!$H$6:$H$205,C1150)))*(A1150-6*C1150)/6))</f>
        <v>0.00232855078696885</v>
      </c>
      <c r="E1150" s="12" t="n">
        <f aca="false">D1150^(-1/B1150)-1</f>
        <v>0.0655400624999998</v>
      </c>
      <c r="F1150" s="12" t="n">
        <f aca="false">(1+E1150)^(1/12)-1</f>
        <v>0.00530416516903598</v>
      </c>
      <c r="G1150" s="16" t="n">
        <f aca="false">IF(C1150=0,(1+Dic2025!$J$6)^(-B1150),EXP(LN(INDEX(Dic2025!$K$6:$K$205,C1150))+(LN(INDEX(Dic2025!$K$6:$K$205,MIN(C1150+1,200)))-LN(INDEX(Dic2025!$K$6:$K$205,C1150)))*(A1150-6*C1150)/6))</f>
        <v>0.00232855078696885</v>
      </c>
      <c r="H1150" s="12" t="n">
        <f aca="false">G1150^(-1/B1150)-1</f>
        <v>0.0655400624999998</v>
      </c>
      <c r="I1150" s="12" t="n">
        <f aca="false">(1+H1150)^(1/12)-1</f>
        <v>0.00530416516903598</v>
      </c>
      <c r="J1150" s="16" t="n">
        <f aca="false">IF(C1150=0,(1+Dic2025!$M$6)^(-B1150),EXP(LN(INDEX(Dic2025!$N$6:$N$205,C1150))+(LN(INDEX(Dic2025!$N$6:$N$205,MIN(C1150+1,200)))-LN(INDEX(Dic2025!$N$6:$N$205,C1150)))*(A1150-6*C1150)/6))</f>
        <v>0.00232855078696885</v>
      </c>
      <c r="K1150" s="12" t="n">
        <f aca="false">J1150^(-1/B1150)-1</f>
        <v>0.0655400624999998</v>
      </c>
      <c r="L1150" s="12" t="n">
        <f aca="false">(1+K1150)^(1/12)-1</f>
        <v>0.00530416516903598</v>
      </c>
    </row>
    <row r="1151" customFormat="false" ht="15" hidden="false" customHeight="false" outlineLevel="0" collapsed="false">
      <c r="A1151" s="4" t="n">
        <v>1147</v>
      </c>
      <c r="B1151" s="14" t="n">
        <f aca="false">A1151/12</f>
        <v>95.5833333333333</v>
      </c>
      <c r="C1151" s="15" t="n">
        <f aca="false">INT(A1151/6)</f>
        <v>191</v>
      </c>
      <c r="D1151" s="16" t="n">
        <f aca="false">IF(C1151=0,(1+Dic2025!$G$6)^(-B1151),EXP(LN(INDEX(Dic2025!$H$6:$H$205,C1151))+(LN(INDEX(Dic2025!$H$6:$H$205,MIN(C1151+1,200)))-LN(INDEX(Dic2025!$H$6:$H$205,C1151)))*(A1151-6*C1151)/6))</f>
        <v>0.00231267756431312</v>
      </c>
      <c r="E1151" s="12" t="n">
        <f aca="false">D1151^(-1/B1151)-1</f>
        <v>0.0655573413846606</v>
      </c>
      <c r="F1151" s="12" t="n">
        <f aca="false">(1+E1151)^(1/12)-1</f>
        <v>0.00530552366680825</v>
      </c>
      <c r="G1151" s="16" t="n">
        <f aca="false">IF(C1151=0,(1+Dic2025!$J$6)^(-B1151),EXP(LN(INDEX(Dic2025!$K$6:$K$205,C1151))+(LN(INDEX(Dic2025!$K$6:$K$205,MIN(C1151+1,200)))-LN(INDEX(Dic2025!$K$6:$K$205,C1151)))*(A1151-6*C1151)/6))</f>
        <v>0.00231267756431312</v>
      </c>
      <c r="H1151" s="12" t="n">
        <f aca="false">G1151^(-1/B1151)-1</f>
        <v>0.0655573413846606</v>
      </c>
      <c r="I1151" s="12" t="n">
        <f aca="false">(1+H1151)^(1/12)-1</f>
        <v>0.00530552366680825</v>
      </c>
      <c r="J1151" s="16" t="n">
        <f aca="false">IF(C1151=0,(1+Dic2025!$M$6)^(-B1151),EXP(LN(INDEX(Dic2025!$N$6:$N$205,C1151))+(LN(INDEX(Dic2025!$N$6:$N$205,MIN(C1151+1,200)))-LN(INDEX(Dic2025!$N$6:$N$205,C1151)))*(A1151-6*C1151)/6))</f>
        <v>0.00231267756431312</v>
      </c>
      <c r="K1151" s="12" t="n">
        <f aca="false">J1151^(-1/B1151)-1</f>
        <v>0.0655573413846606</v>
      </c>
      <c r="L1151" s="12" t="n">
        <f aca="false">(1+K1151)^(1/12)-1</f>
        <v>0.00530552366680825</v>
      </c>
    </row>
    <row r="1152" customFormat="false" ht="15" hidden="false" customHeight="false" outlineLevel="0" collapsed="false">
      <c r="A1152" s="4" t="n">
        <v>1148</v>
      </c>
      <c r="B1152" s="14" t="n">
        <f aca="false">A1152/12</f>
        <v>95.6666666666667</v>
      </c>
      <c r="C1152" s="15" t="n">
        <f aca="false">INT(A1152/6)</f>
        <v>191</v>
      </c>
      <c r="D1152" s="16" t="n">
        <f aca="false">IF(C1152=0,(1+Dic2025!$G$6)^(-B1152),EXP(LN(INDEX(Dic2025!$H$6:$H$205,C1152))+(LN(INDEX(Dic2025!$H$6:$H$205,MIN(C1152+1,200)))-LN(INDEX(Dic2025!$H$6:$H$205,C1152)))*(A1152-6*C1152)/6))</f>
        <v>0.00229691254595291</v>
      </c>
      <c r="E1152" s="12" t="n">
        <f aca="false">D1152^(-1/B1152)-1</f>
        <v>0.0655745904461991</v>
      </c>
      <c r="F1152" s="12" t="n">
        <f aca="false">(1+E1152)^(1/12)-1</f>
        <v>0.00530687979969091</v>
      </c>
      <c r="G1152" s="16" t="n">
        <f aca="false">IF(C1152=0,(1+Dic2025!$J$6)^(-B1152),EXP(LN(INDEX(Dic2025!$K$6:$K$205,C1152))+(LN(INDEX(Dic2025!$K$6:$K$205,MIN(C1152+1,200)))-LN(INDEX(Dic2025!$K$6:$K$205,C1152)))*(A1152-6*C1152)/6))</f>
        <v>0.00229691254595291</v>
      </c>
      <c r="H1152" s="12" t="n">
        <f aca="false">G1152^(-1/B1152)-1</f>
        <v>0.0655745904461991</v>
      </c>
      <c r="I1152" s="12" t="n">
        <f aca="false">(1+H1152)^(1/12)-1</f>
        <v>0.00530687979969091</v>
      </c>
      <c r="J1152" s="16" t="n">
        <f aca="false">IF(C1152=0,(1+Dic2025!$M$6)^(-B1152),EXP(LN(INDEX(Dic2025!$N$6:$N$205,C1152))+(LN(INDEX(Dic2025!$N$6:$N$205,MIN(C1152+1,200)))-LN(INDEX(Dic2025!$N$6:$N$205,C1152)))*(A1152-6*C1152)/6))</f>
        <v>0.00229691254595291</v>
      </c>
      <c r="K1152" s="12" t="n">
        <f aca="false">J1152^(-1/B1152)-1</f>
        <v>0.0655745904461991</v>
      </c>
      <c r="L1152" s="12" t="n">
        <f aca="false">(1+K1152)^(1/12)-1</f>
        <v>0.00530687979969091</v>
      </c>
    </row>
    <row r="1153" customFormat="false" ht="15" hidden="false" customHeight="false" outlineLevel="0" collapsed="false">
      <c r="A1153" s="4" t="n">
        <v>1149</v>
      </c>
      <c r="B1153" s="14" t="n">
        <f aca="false">A1153/12</f>
        <v>95.75</v>
      </c>
      <c r="C1153" s="15" t="n">
        <f aca="false">INT(A1153/6)</f>
        <v>191</v>
      </c>
      <c r="D1153" s="16" t="n">
        <f aca="false">IF(C1153=0,(1+Dic2025!$G$6)^(-B1153),EXP(LN(INDEX(Dic2025!$H$6:$H$205,C1153))+(LN(INDEX(Dic2025!$H$6:$H$205,MIN(C1153+1,200)))-LN(INDEX(Dic2025!$H$6:$H$205,C1153)))*(A1153-6*C1153)/6))</f>
        <v>0.00228125499428315</v>
      </c>
      <c r="E1153" s="12" t="n">
        <f aca="false">D1153^(-1/B1153)-1</f>
        <v>0.0655918097617576</v>
      </c>
      <c r="F1153" s="12" t="n">
        <f aca="false">(1+E1153)^(1/12)-1</f>
        <v>0.00530823357385346</v>
      </c>
      <c r="G1153" s="16" t="n">
        <f aca="false">IF(C1153=0,(1+Dic2025!$J$6)^(-B1153),EXP(LN(INDEX(Dic2025!$K$6:$K$205,C1153))+(LN(INDEX(Dic2025!$K$6:$K$205,MIN(C1153+1,200)))-LN(INDEX(Dic2025!$K$6:$K$205,C1153)))*(A1153-6*C1153)/6))</f>
        <v>0.00228125499428315</v>
      </c>
      <c r="H1153" s="12" t="n">
        <f aca="false">G1153^(-1/B1153)-1</f>
        <v>0.0655918097617576</v>
      </c>
      <c r="I1153" s="12" t="n">
        <f aca="false">(1+H1153)^(1/12)-1</f>
        <v>0.00530823357385346</v>
      </c>
      <c r="J1153" s="16" t="n">
        <f aca="false">IF(C1153=0,(1+Dic2025!$M$6)^(-B1153),EXP(LN(INDEX(Dic2025!$N$6:$N$205,C1153))+(LN(INDEX(Dic2025!$N$6:$N$205,MIN(C1153+1,200)))-LN(INDEX(Dic2025!$N$6:$N$205,C1153)))*(A1153-6*C1153)/6))</f>
        <v>0.00228125499428315</v>
      </c>
      <c r="K1153" s="12" t="n">
        <f aca="false">J1153^(-1/B1153)-1</f>
        <v>0.0655918097617576</v>
      </c>
      <c r="L1153" s="12" t="n">
        <f aca="false">(1+K1153)^(1/12)-1</f>
        <v>0.00530823357385346</v>
      </c>
    </row>
    <row r="1154" customFormat="false" ht="15" hidden="false" customHeight="false" outlineLevel="0" collapsed="false">
      <c r="A1154" s="4" t="n">
        <v>1150</v>
      </c>
      <c r="B1154" s="14" t="n">
        <f aca="false">A1154/12</f>
        <v>95.8333333333333</v>
      </c>
      <c r="C1154" s="15" t="n">
        <f aca="false">INT(A1154/6)</f>
        <v>191</v>
      </c>
      <c r="D1154" s="16" t="n">
        <f aca="false">IF(C1154=0,(1+Dic2025!$G$6)^(-B1154),EXP(LN(INDEX(Dic2025!$H$6:$H$205,C1154))+(LN(INDEX(Dic2025!$H$6:$H$205,MIN(C1154+1,200)))-LN(INDEX(Dic2025!$H$6:$H$205,C1154)))*(A1154-6*C1154)/6))</f>
        <v>0.00226570417672684</v>
      </c>
      <c r="E1154" s="12" t="n">
        <f aca="false">D1154^(-1/B1154)-1</f>
        <v>0.0656089994082132</v>
      </c>
      <c r="F1154" s="12" t="n">
        <f aca="false">(1+E1154)^(1/12)-1</f>
        <v>0.00530958499544454</v>
      </c>
      <c r="G1154" s="16" t="n">
        <f aca="false">IF(C1154=0,(1+Dic2025!$J$6)^(-B1154),EXP(LN(INDEX(Dic2025!$K$6:$K$205,C1154))+(LN(INDEX(Dic2025!$K$6:$K$205,MIN(C1154+1,200)))-LN(INDEX(Dic2025!$K$6:$K$205,C1154)))*(A1154-6*C1154)/6))</f>
        <v>0.00226570417672684</v>
      </c>
      <c r="H1154" s="12" t="n">
        <f aca="false">G1154^(-1/B1154)-1</f>
        <v>0.0656089994082132</v>
      </c>
      <c r="I1154" s="12" t="n">
        <f aca="false">(1+H1154)^(1/12)-1</f>
        <v>0.00530958499544454</v>
      </c>
      <c r="J1154" s="16" t="n">
        <f aca="false">IF(C1154=0,(1+Dic2025!$M$6)^(-B1154),EXP(LN(INDEX(Dic2025!$N$6:$N$205,C1154))+(LN(INDEX(Dic2025!$N$6:$N$205,MIN(C1154+1,200)))-LN(INDEX(Dic2025!$N$6:$N$205,C1154)))*(A1154-6*C1154)/6))</f>
        <v>0.00226570417672684</v>
      </c>
      <c r="K1154" s="12" t="n">
        <f aca="false">J1154^(-1/B1154)-1</f>
        <v>0.0656089994082132</v>
      </c>
      <c r="L1154" s="12" t="n">
        <f aca="false">(1+K1154)^(1/12)-1</f>
        <v>0.00530958499544454</v>
      </c>
    </row>
    <row r="1155" customFormat="false" ht="15" hidden="false" customHeight="false" outlineLevel="0" collapsed="false">
      <c r="A1155" s="4" t="n">
        <v>1151</v>
      </c>
      <c r="B1155" s="14" t="n">
        <f aca="false">A1155/12</f>
        <v>95.9166666666667</v>
      </c>
      <c r="C1155" s="15" t="n">
        <f aca="false">INT(A1155/6)</f>
        <v>191</v>
      </c>
      <c r="D1155" s="16" t="n">
        <f aca="false">IF(C1155=0,(1+Dic2025!$G$6)^(-B1155),EXP(LN(INDEX(Dic2025!$H$6:$H$205,C1155))+(LN(INDEX(Dic2025!$H$6:$H$205,MIN(C1155+1,200)))-LN(INDEX(Dic2025!$H$6:$H$205,C1155)))*(A1155-6*C1155)/6))</f>
        <v>0.00225025936570084</v>
      </c>
      <c r="E1155" s="12" t="n">
        <f aca="false">D1155^(-1/B1155)-1</f>
        <v>0.0656261594621777</v>
      </c>
      <c r="F1155" s="12" t="n">
        <f aca="false">(1+E1155)^(1/12)-1</f>
        <v>0.00531093407059102</v>
      </c>
      <c r="G1155" s="16" t="n">
        <f aca="false">IF(C1155=0,(1+Dic2025!$J$6)^(-B1155),EXP(LN(INDEX(Dic2025!$K$6:$K$205,C1155))+(LN(INDEX(Dic2025!$K$6:$K$205,MIN(C1155+1,200)))-LN(INDEX(Dic2025!$K$6:$K$205,C1155)))*(A1155-6*C1155)/6))</f>
        <v>0.00225025936570084</v>
      </c>
      <c r="H1155" s="12" t="n">
        <f aca="false">G1155^(-1/B1155)-1</f>
        <v>0.0656261594621777</v>
      </c>
      <c r="I1155" s="12" t="n">
        <f aca="false">(1+H1155)^(1/12)-1</f>
        <v>0.00531093407059102</v>
      </c>
      <c r="J1155" s="16" t="n">
        <f aca="false">IF(C1155=0,(1+Dic2025!$M$6)^(-B1155),EXP(LN(INDEX(Dic2025!$N$6:$N$205,C1155))+(LN(INDEX(Dic2025!$N$6:$N$205,MIN(C1155+1,200)))-LN(INDEX(Dic2025!$N$6:$N$205,C1155)))*(A1155-6*C1155)/6))</f>
        <v>0.00225025936570084</v>
      </c>
      <c r="K1155" s="12" t="n">
        <f aca="false">J1155^(-1/B1155)-1</f>
        <v>0.0656261594621777</v>
      </c>
      <c r="L1155" s="12" t="n">
        <f aca="false">(1+K1155)^(1/12)-1</f>
        <v>0.00531093407059102</v>
      </c>
    </row>
    <row r="1156" customFormat="false" ht="15" hidden="false" customHeight="false" outlineLevel="0" collapsed="false">
      <c r="A1156" s="4" t="n">
        <v>1152</v>
      </c>
      <c r="B1156" s="14" t="n">
        <f aca="false">A1156/12</f>
        <v>96</v>
      </c>
      <c r="C1156" s="15" t="n">
        <f aca="false">INT(A1156/6)</f>
        <v>192</v>
      </c>
      <c r="D1156" s="16" t="n">
        <f aca="false">IF(C1156=0,(1+Dic2025!$G$6)^(-B1156),EXP(LN(INDEX(Dic2025!$H$6:$H$205,C1156))+(LN(INDEX(Dic2025!$H$6:$H$205,MIN(C1156+1,200)))-LN(INDEX(Dic2025!$H$6:$H$205,C1156)))*(A1156-6*C1156)/6))</f>
        <v>0.00223491983858174</v>
      </c>
      <c r="E1156" s="12" t="n">
        <f aca="false">D1156^(-1/B1156)-1</f>
        <v>0.0656432899999999</v>
      </c>
      <c r="F1156" s="12" t="n">
        <f aca="false">(1+E1156)^(1/12)-1</f>
        <v>0.0053122808053987</v>
      </c>
      <c r="G1156" s="16" t="n">
        <f aca="false">IF(C1156=0,(1+Dic2025!$J$6)^(-B1156),EXP(LN(INDEX(Dic2025!$K$6:$K$205,C1156))+(LN(INDEX(Dic2025!$K$6:$K$205,MIN(C1156+1,200)))-LN(INDEX(Dic2025!$K$6:$K$205,C1156)))*(A1156-6*C1156)/6))</f>
        <v>0.00223491983858174</v>
      </c>
      <c r="H1156" s="12" t="n">
        <f aca="false">G1156^(-1/B1156)-1</f>
        <v>0.0656432899999999</v>
      </c>
      <c r="I1156" s="12" t="n">
        <f aca="false">(1+H1156)^(1/12)-1</f>
        <v>0.0053122808053987</v>
      </c>
      <c r="J1156" s="16" t="n">
        <f aca="false">IF(C1156=0,(1+Dic2025!$M$6)^(-B1156),EXP(LN(INDEX(Dic2025!$N$6:$N$205,C1156))+(LN(INDEX(Dic2025!$N$6:$N$205,MIN(C1156+1,200)))-LN(INDEX(Dic2025!$N$6:$N$205,C1156)))*(A1156-6*C1156)/6))</f>
        <v>0.00223491983858174</v>
      </c>
      <c r="K1156" s="12" t="n">
        <f aca="false">J1156^(-1/B1156)-1</f>
        <v>0.0656432899999999</v>
      </c>
      <c r="L1156" s="12" t="n">
        <f aca="false">(1+K1156)^(1/12)-1</f>
        <v>0.0053122808053987</v>
      </c>
    </row>
    <row r="1157" customFormat="false" ht="15" hidden="false" customHeight="false" outlineLevel="0" collapsed="false">
      <c r="A1157" s="4" t="n">
        <v>1153</v>
      </c>
      <c r="B1157" s="14" t="n">
        <f aca="false">A1157/12</f>
        <v>96.0833333333333</v>
      </c>
      <c r="C1157" s="15" t="n">
        <f aca="false">INT(A1157/6)</f>
        <v>192</v>
      </c>
      <c r="D1157" s="16" t="n">
        <f aca="false">IF(C1157=0,(1+Dic2025!$G$6)^(-B1157),EXP(LN(INDEX(Dic2025!$H$6:$H$205,C1157))+(LN(INDEX(Dic2025!$H$6:$H$205,MIN(C1157+1,200)))-LN(INDEX(Dic2025!$H$6:$H$205,C1157)))*(A1157-6*C1157)/6))</f>
        <v>0.0022231100537151</v>
      </c>
      <c r="E1157" s="12" t="n">
        <f aca="false">D1157^(-1/B1157)-1</f>
        <v>0.0656432899999999</v>
      </c>
      <c r="F1157" s="12" t="n">
        <f aca="false">(1+E1157)^(1/12)-1</f>
        <v>0.0053122808053987</v>
      </c>
      <c r="G1157" s="16" t="n">
        <f aca="false">IF(C1157=0,(1+Dic2025!$J$6)^(-B1157),EXP(LN(INDEX(Dic2025!$K$6:$K$205,C1157))+(LN(INDEX(Dic2025!$K$6:$K$205,MIN(C1157+1,200)))-LN(INDEX(Dic2025!$K$6:$K$205,C1157)))*(A1157-6*C1157)/6))</f>
        <v>0.0022231100537151</v>
      </c>
      <c r="H1157" s="12" t="n">
        <f aca="false">G1157^(-1/B1157)-1</f>
        <v>0.0656432899999999</v>
      </c>
      <c r="I1157" s="12" t="n">
        <f aca="false">(1+H1157)^(1/12)-1</f>
        <v>0.0053122808053987</v>
      </c>
      <c r="J1157" s="16" t="n">
        <f aca="false">IF(C1157=0,(1+Dic2025!$M$6)^(-B1157),EXP(LN(INDEX(Dic2025!$N$6:$N$205,C1157))+(LN(INDEX(Dic2025!$N$6:$N$205,MIN(C1157+1,200)))-LN(INDEX(Dic2025!$N$6:$N$205,C1157)))*(A1157-6*C1157)/6))</f>
        <v>0.0022231100537151</v>
      </c>
      <c r="K1157" s="12" t="n">
        <f aca="false">J1157^(-1/B1157)-1</f>
        <v>0.0656432899999999</v>
      </c>
      <c r="L1157" s="12" t="n">
        <f aca="false">(1+K1157)^(1/12)-1</f>
        <v>0.0053122808053987</v>
      </c>
    </row>
    <row r="1158" customFormat="false" ht="15" hidden="false" customHeight="false" outlineLevel="0" collapsed="false">
      <c r="A1158" s="4" t="n">
        <v>1154</v>
      </c>
      <c r="B1158" s="14" t="n">
        <f aca="false">A1158/12</f>
        <v>96.1666666666667</v>
      </c>
      <c r="C1158" s="15" t="n">
        <f aca="false">INT(A1158/6)</f>
        <v>192</v>
      </c>
      <c r="D1158" s="16" t="n">
        <f aca="false">IF(C1158=0,(1+Dic2025!$G$6)^(-B1158),EXP(LN(INDEX(Dic2025!$H$6:$H$205,C1158))+(LN(INDEX(Dic2025!$H$6:$H$205,MIN(C1158+1,200)))-LN(INDEX(Dic2025!$H$6:$H$205,C1158)))*(A1158-6*C1158)/6))</f>
        <v>0.00221136267422703</v>
      </c>
      <c r="E1158" s="12" t="n">
        <f aca="false">D1158^(-1/B1158)-1</f>
        <v>0.0656432899999999</v>
      </c>
      <c r="F1158" s="12" t="n">
        <f aca="false">(1+E1158)^(1/12)-1</f>
        <v>0.0053122808053987</v>
      </c>
      <c r="G1158" s="16" t="n">
        <f aca="false">IF(C1158=0,(1+Dic2025!$J$6)^(-B1158),EXP(LN(INDEX(Dic2025!$K$6:$K$205,C1158))+(LN(INDEX(Dic2025!$K$6:$K$205,MIN(C1158+1,200)))-LN(INDEX(Dic2025!$K$6:$K$205,C1158)))*(A1158-6*C1158)/6))</f>
        <v>0.00221136267422703</v>
      </c>
      <c r="H1158" s="12" t="n">
        <f aca="false">G1158^(-1/B1158)-1</f>
        <v>0.0656432899999999</v>
      </c>
      <c r="I1158" s="12" t="n">
        <f aca="false">(1+H1158)^(1/12)-1</f>
        <v>0.0053122808053987</v>
      </c>
      <c r="J1158" s="16" t="n">
        <f aca="false">IF(C1158=0,(1+Dic2025!$M$6)^(-B1158),EXP(LN(INDEX(Dic2025!$N$6:$N$205,C1158))+(LN(INDEX(Dic2025!$N$6:$N$205,MIN(C1158+1,200)))-LN(INDEX(Dic2025!$N$6:$N$205,C1158)))*(A1158-6*C1158)/6))</f>
        <v>0.00221136267422703</v>
      </c>
      <c r="K1158" s="12" t="n">
        <f aca="false">J1158^(-1/B1158)-1</f>
        <v>0.0656432899999999</v>
      </c>
      <c r="L1158" s="12" t="n">
        <f aca="false">(1+K1158)^(1/12)-1</f>
        <v>0.0053122808053987</v>
      </c>
    </row>
    <row r="1159" customFormat="false" ht="15" hidden="false" customHeight="false" outlineLevel="0" collapsed="false">
      <c r="A1159" s="4" t="n">
        <v>1155</v>
      </c>
      <c r="B1159" s="14" t="n">
        <f aca="false">A1159/12</f>
        <v>96.25</v>
      </c>
      <c r="C1159" s="15" t="n">
        <f aca="false">INT(A1159/6)</f>
        <v>192</v>
      </c>
      <c r="D1159" s="16" t="n">
        <f aca="false">IF(C1159=0,(1+Dic2025!$G$6)^(-B1159),EXP(LN(INDEX(Dic2025!$H$6:$H$205,C1159))+(LN(INDEX(Dic2025!$H$6:$H$205,MIN(C1159+1,200)))-LN(INDEX(Dic2025!$H$6:$H$205,C1159)))*(A1159-6*C1159)/6))</f>
        <v>0.00219967737035442</v>
      </c>
      <c r="E1159" s="12" t="n">
        <f aca="false">D1159^(-1/B1159)-1</f>
        <v>0.0656432899999999</v>
      </c>
      <c r="F1159" s="12" t="n">
        <f aca="false">(1+E1159)^(1/12)-1</f>
        <v>0.0053122808053987</v>
      </c>
      <c r="G1159" s="16" t="n">
        <f aca="false">IF(C1159=0,(1+Dic2025!$J$6)^(-B1159),EXP(LN(INDEX(Dic2025!$K$6:$K$205,C1159))+(LN(INDEX(Dic2025!$K$6:$K$205,MIN(C1159+1,200)))-LN(INDEX(Dic2025!$K$6:$K$205,C1159)))*(A1159-6*C1159)/6))</f>
        <v>0.00219967737035442</v>
      </c>
      <c r="H1159" s="12" t="n">
        <f aca="false">G1159^(-1/B1159)-1</f>
        <v>0.0656432899999999</v>
      </c>
      <c r="I1159" s="12" t="n">
        <f aca="false">(1+H1159)^(1/12)-1</f>
        <v>0.0053122808053987</v>
      </c>
      <c r="J1159" s="16" t="n">
        <f aca="false">IF(C1159=0,(1+Dic2025!$M$6)^(-B1159),EXP(LN(INDEX(Dic2025!$N$6:$N$205,C1159))+(LN(INDEX(Dic2025!$N$6:$N$205,MIN(C1159+1,200)))-LN(INDEX(Dic2025!$N$6:$N$205,C1159)))*(A1159-6*C1159)/6))</f>
        <v>0.00219967737035442</v>
      </c>
      <c r="K1159" s="12" t="n">
        <f aca="false">J1159^(-1/B1159)-1</f>
        <v>0.0656432899999999</v>
      </c>
      <c r="L1159" s="12" t="n">
        <f aca="false">(1+K1159)^(1/12)-1</f>
        <v>0.0053122808053987</v>
      </c>
    </row>
    <row r="1160" customFormat="false" ht="15" hidden="false" customHeight="false" outlineLevel="0" collapsed="false">
      <c r="A1160" s="4" t="n">
        <v>1156</v>
      </c>
      <c r="B1160" s="14" t="n">
        <f aca="false">A1160/12</f>
        <v>96.3333333333333</v>
      </c>
      <c r="C1160" s="15" t="n">
        <f aca="false">INT(A1160/6)</f>
        <v>192</v>
      </c>
      <c r="D1160" s="16" t="n">
        <f aca="false">IF(C1160=0,(1+Dic2025!$G$6)^(-B1160),EXP(LN(INDEX(Dic2025!$H$6:$H$205,C1160))+(LN(INDEX(Dic2025!$H$6:$H$205,MIN(C1160+1,200)))-LN(INDEX(Dic2025!$H$6:$H$205,C1160)))*(A1160-6*C1160)/6))</f>
        <v>0.00218805381407673</v>
      </c>
      <c r="E1160" s="12" t="n">
        <f aca="false">D1160^(-1/B1160)-1</f>
        <v>0.0656432899999999</v>
      </c>
      <c r="F1160" s="12" t="n">
        <f aca="false">(1+E1160)^(1/12)-1</f>
        <v>0.0053122808053987</v>
      </c>
      <c r="G1160" s="16" t="n">
        <f aca="false">IF(C1160=0,(1+Dic2025!$J$6)^(-B1160),EXP(LN(INDEX(Dic2025!$K$6:$K$205,C1160))+(LN(INDEX(Dic2025!$K$6:$K$205,MIN(C1160+1,200)))-LN(INDEX(Dic2025!$K$6:$K$205,C1160)))*(A1160-6*C1160)/6))</f>
        <v>0.00218805381407673</v>
      </c>
      <c r="H1160" s="12" t="n">
        <f aca="false">G1160^(-1/B1160)-1</f>
        <v>0.0656432899999999</v>
      </c>
      <c r="I1160" s="12" t="n">
        <f aca="false">(1+H1160)^(1/12)-1</f>
        <v>0.0053122808053987</v>
      </c>
      <c r="J1160" s="16" t="n">
        <f aca="false">IF(C1160=0,(1+Dic2025!$M$6)^(-B1160),EXP(LN(INDEX(Dic2025!$N$6:$N$205,C1160))+(LN(INDEX(Dic2025!$N$6:$N$205,MIN(C1160+1,200)))-LN(INDEX(Dic2025!$N$6:$N$205,C1160)))*(A1160-6*C1160)/6))</f>
        <v>0.00218805381407673</v>
      </c>
      <c r="K1160" s="12" t="n">
        <f aca="false">J1160^(-1/B1160)-1</f>
        <v>0.0656432899999999</v>
      </c>
      <c r="L1160" s="12" t="n">
        <f aca="false">(1+K1160)^(1/12)-1</f>
        <v>0.0053122808053987</v>
      </c>
    </row>
    <row r="1161" customFormat="false" ht="15" hidden="false" customHeight="false" outlineLevel="0" collapsed="false">
      <c r="A1161" s="4" t="n">
        <v>1157</v>
      </c>
      <c r="B1161" s="14" t="n">
        <f aca="false">A1161/12</f>
        <v>96.4166666666667</v>
      </c>
      <c r="C1161" s="15" t="n">
        <f aca="false">INT(A1161/6)</f>
        <v>192</v>
      </c>
      <c r="D1161" s="16" t="n">
        <f aca="false">IF(C1161=0,(1+Dic2025!$G$6)^(-B1161),EXP(LN(INDEX(Dic2025!$H$6:$H$205,C1161))+(LN(INDEX(Dic2025!$H$6:$H$205,MIN(C1161+1,200)))-LN(INDEX(Dic2025!$H$6:$H$205,C1161)))*(A1161-6*C1161)/6))</f>
        <v>0.0021764916791067</v>
      </c>
      <c r="E1161" s="12" t="n">
        <f aca="false">D1161^(-1/B1161)-1</f>
        <v>0.0656432899999999</v>
      </c>
      <c r="F1161" s="12" t="n">
        <f aca="false">(1+E1161)^(1/12)-1</f>
        <v>0.0053122808053987</v>
      </c>
      <c r="G1161" s="16" t="n">
        <f aca="false">IF(C1161=0,(1+Dic2025!$J$6)^(-B1161),EXP(LN(INDEX(Dic2025!$K$6:$K$205,C1161))+(LN(INDEX(Dic2025!$K$6:$K$205,MIN(C1161+1,200)))-LN(INDEX(Dic2025!$K$6:$K$205,C1161)))*(A1161-6*C1161)/6))</f>
        <v>0.0021764916791067</v>
      </c>
      <c r="H1161" s="12" t="n">
        <f aca="false">G1161^(-1/B1161)-1</f>
        <v>0.0656432899999999</v>
      </c>
      <c r="I1161" s="12" t="n">
        <f aca="false">(1+H1161)^(1/12)-1</f>
        <v>0.0053122808053987</v>
      </c>
      <c r="J1161" s="16" t="n">
        <f aca="false">IF(C1161=0,(1+Dic2025!$M$6)^(-B1161),EXP(LN(INDEX(Dic2025!$N$6:$N$205,C1161))+(LN(INDEX(Dic2025!$N$6:$N$205,MIN(C1161+1,200)))-LN(INDEX(Dic2025!$N$6:$N$205,C1161)))*(A1161-6*C1161)/6))</f>
        <v>0.0021764916791067</v>
      </c>
      <c r="K1161" s="12" t="n">
        <f aca="false">J1161^(-1/B1161)-1</f>
        <v>0.0656432899999999</v>
      </c>
      <c r="L1161" s="12" t="n">
        <f aca="false">(1+K1161)^(1/12)-1</f>
        <v>0.0053122808053987</v>
      </c>
    </row>
    <row r="1162" customFormat="false" ht="15" hidden="false" customHeight="false" outlineLevel="0" collapsed="false">
      <c r="A1162" s="4" t="n">
        <v>1158</v>
      </c>
      <c r="B1162" s="14" t="n">
        <f aca="false">A1162/12</f>
        <v>96.5</v>
      </c>
      <c r="C1162" s="15" t="n">
        <f aca="false">INT(A1162/6)</f>
        <v>193</v>
      </c>
      <c r="D1162" s="16" t="n">
        <f aca="false">IF(C1162=0,(1+Dic2025!$G$6)^(-B1162),EXP(LN(INDEX(Dic2025!$H$6:$H$205,C1162))+(LN(INDEX(Dic2025!$H$6:$H$205,MIN(C1162+1,200)))-LN(INDEX(Dic2025!$H$6:$H$205,C1162)))*(A1162-6*C1162)/6))</f>
        <v>0.00216499064088127</v>
      </c>
      <c r="E1162" s="12" t="n">
        <f aca="false">D1162^(-1/B1162)-1</f>
        <v>0.0656432899999999</v>
      </c>
      <c r="F1162" s="12" t="n">
        <f aca="false">(1+E1162)^(1/12)-1</f>
        <v>0.0053122808053987</v>
      </c>
      <c r="G1162" s="16" t="n">
        <f aca="false">IF(C1162=0,(1+Dic2025!$J$6)^(-B1162),EXP(LN(INDEX(Dic2025!$K$6:$K$205,C1162))+(LN(INDEX(Dic2025!$K$6:$K$205,MIN(C1162+1,200)))-LN(INDEX(Dic2025!$K$6:$K$205,C1162)))*(A1162-6*C1162)/6))</f>
        <v>0.00216499064088127</v>
      </c>
      <c r="H1162" s="12" t="n">
        <f aca="false">G1162^(-1/B1162)-1</f>
        <v>0.0656432899999999</v>
      </c>
      <c r="I1162" s="12" t="n">
        <f aca="false">(1+H1162)^(1/12)-1</f>
        <v>0.0053122808053987</v>
      </c>
      <c r="J1162" s="16" t="n">
        <f aca="false">IF(C1162=0,(1+Dic2025!$M$6)^(-B1162),EXP(LN(INDEX(Dic2025!$N$6:$N$205,C1162))+(LN(INDEX(Dic2025!$N$6:$N$205,MIN(C1162+1,200)))-LN(INDEX(Dic2025!$N$6:$N$205,C1162)))*(A1162-6*C1162)/6))</f>
        <v>0.00216499064088127</v>
      </c>
      <c r="K1162" s="12" t="n">
        <f aca="false">J1162^(-1/B1162)-1</f>
        <v>0.0656432899999999</v>
      </c>
      <c r="L1162" s="12" t="n">
        <f aca="false">(1+K1162)^(1/12)-1</f>
        <v>0.0053122808053987</v>
      </c>
    </row>
    <row r="1163" customFormat="false" ht="15" hidden="false" customHeight="false" outlineLevel="0" collapsed="false">
      <c r="A1163" s="4" t="n">
        <v>1159</v>
      </c>
      <c r="B1163" s="14" t="n">
        <f aca="false">A1163/12</f>
        <v>96.5833333333333</v>
      </c>
      <c r="C1163" s="15" t="n">
        <f aca="false">INT(A1163/6)</f>
        <v>193</v>
      </c>
      <c r="D1163" s="16" t="n">
        <f aca="false">IF(C1163=0,(1+Dic2025!$G$6)^(-B1163),EXP(LN(INDEX(Dic2025!$H$6:$H$205,C1163))+(LN(INDEX(Dic2025!$H$6:$H$205,MIN(C1163+1,200)))-LN(INDEX(Dic2025!$H$6:$H$205,C1163)))*(A1163-6*C1163)/6))</f>
        <v>0.00215355037655246</v>
      </c>
      <c r="E1163" s="12" t="n">
        <f aca="false">D1163^(-1/B1163)-1</f>
        <v>0.0656432899999999</v>
      </c>
      <c r="F1163" s="12" t="n">
        <f aca="false">(1+E1163)^(1/12)-1</f>
        <v>0.0053122808053987</v>
      </c>
      <c r="G1163" s="16" t="n">
        <f aca="false">IF(C1163=0,(1+Dic2025!$J$6)^(-B1163),EXP(LN(INDEX(Dic2025!$K$6:$K$205,C1163))+(LN(INDEX(Dic2025!$K$6:$K$205,MIN(C1163+1,200)))-LN(INDEX(Dic2025!$K$6:$K$205,C1163)))*(A1163-6*C1163)/6))</f>
        <v>0.00215355037655246</v>
      </c>
      <c r="H1163" s="12" t="n">
        <f aca="false">G1163^(-1/B1163)-1</f>
        <v>0.0656432899999999</v>
      </c>
      <c r="I1163" s="12" t="n">
        <f aca="false">(1+H1163)^(1/12)-1</f>
        <v>0.0053122808053987</v>
      </c>
      <c r="J1163" s="16" t="n">
        <f aca="false">IF(C1163=0,(1+Dic2025!$M$6)^(-B1163),EXP(LN(INDEX(Dic2025!$N$6:$N$205,C1163))+(LN(INDEX(Dic2025!$N$6:$N$205,MIN(C1163+1,200)))-LN(INDEX(Dic2025!$N$6:$N$205,C1163)))*(A1163-6*C1163)/6))</f>
        <v>0.00215355037655246</v>
      </c>
      <c r="K1163" s="12" t="n">
        <f aca="false">J1163^(-1/B1163)-1</f>
        <v>0.0656432899999999</v>
      </c>
      <c r="L1163" s="12" t="n">
        <f aca="false">(1+K1163)^(1/12)-1</f>
        <v>0.0053122808053987</v>
      </c>
    </row>
    <row r="1164" customFormat="false" ht="15" hidden="false" customHeight="false" outlineLevel="0" collapsed="false">
      <c r="A1164" s="4" t="n">
        <v>1160</v>
      </c>
      <c r="B1164" s="14" t="n">
        <f aca="false">A1164/12</f>
        <v>96.6666666666667</v>
      </c>
      <c r="C1164" s="15" t="n">
        <f aca="false">INT(A1164/6)</f>
        <v>193</v>
      </c>
      <c r="D1164" s="16" t="n">
        <f aca="false">IF(C1164=0,(1+Dic2025!$G$6)^(-B1164),EXP(LN(INDEX(Dic2025!$H$6:$H$205,C1164))+(LN(INDEX(Dic2025!$H$6:$H$205,MIN(C1164+1,200)))-LN(INDEX(Dic2025!$H$6:$H$205,C1164)))*(A1164-6*C1164)/6))</f>
        <v>0.00214217056497823</v>
      </c>
      <c r="E1164" s="12" t="n">
        <f aca="false">D1164^(-1/B1164)-1</f>
        <v>0.0656432899999999</v>
      </c>
      <c r="F1164" s="12" t="n">
        <f aca="false">(1+E1164)^(1/12)-1</f>
        <v>0.0053122808053987</v>
      </c>
      <c r="G1164" s="16" t="n">
        <f aca="false">IF(C1164=0,(1+Dic2025!$J$6)^(-B1164),EXP(LN(INDEX(Dic2025!$K$6:$K$205,C1164))+(LN(INDEX(Dic2025!$K$6:$K$205,MIN(C1164+1,200)))-LN(INDEX(Dic2025!$K$6:$K$205,C1164)))*(A1164-6*C1164)/6))</f>
        <v>0.00214217056497823</v>
      </c>
      <c r="H1164" s="12" t="n">
        <f aca="false">G1164^(-1/B1164)-1</f>
        <v>0.0656432899999999</v>
      </c>
      <c r="I1164" s="12" t="n">
        <f aca="false">(1+H1164)^(1/12)-1</f>
        <v>0.0053122808053987</v>
      </c>
      <c r="J1164" s="16" t="n">
        <f aca="false">IF(C1164=0,(1+Dic2025!$M$6)^(-B1164),EXP(LN(INDEX(Dic2025!$N$6:$N$205,C1164))+(LN(INDEX(Dic2025!$N$6:$N$205,MIN(C1164+1,200)))-LN(INDEX(Dic2025!$N$6:$N$205,C1164)))*(A1164-6*C1164)/6))</f>
        <v>0.00214217056497823</v>
      </c>
      <c r="K1164" s="12" t="n">
        <f aca="false">J1164^(-1/B1164)-1</f>
        <v>0.0656432899999999</v>
      </c>
      <c r="L1164" s="12" t="n">
        <f aca="false">(1+K1164)^(1/12)-1</f>
        <v>0.0053122808053987</v>
      </c>
    </row>
    <row r="1165" customFormat="false" ht="15" hidden="false" customHeight="false" outlineLevel="0" collapsed="false">
      <c r="A1165" s="4" t="n">
        <v>1161</v>
      </c>
      <c r="B1165" s="14" t="n">
        <f aca="false">A1165/12</f>
        <v>96.75</v>
      </c>
      <c r="C1165" s="15" t="n">
        <f aca="false">INT(A1165/6)</f>
        <v>193</v>
      </c>
      <c r="D1165" s="16" t="n">
        <f aca="false">IF(C1165=0,(1+Dic2025!$G$6)^(-B1165),EXP(LN(INDEX(Dic2025!$H$6:$H$205,C1165))+(LN(INDEX(Dic2025!$H$6:$H$205,MIN(C1165+1,200)))-LN(INDEX(Dic2025!$H$6:$H$205,C1165)))*(A1165-6*C1165)/6))</f>
        <v>0.00213085088671358</v>
      </c>
      <c r="E1165" s="12" t="n">
        <f aca="false">D1165^(-1/B1165)-1</f>
        <v>0.0656432899999999</v>
      </c>
      <c r="F1165" s="12" t="n">
        <f aca="false">(1+E1165)^(1/12)-1</f>
        <v>0.0053122808053987</v>
      </c>
      <c r="G1165" s="16" t="n">
        <f aca="false">IF(C1165=0,(1+Dic2025!$J$6)^(-B1165),EXP(LN(INDEX(Dic2025!$K$6:$K$205,C1165))+(LN(INDEX(Dic2025!$K$6:$K$205,MIN(C1165+1,200)))-LN(INDEX(Dic2025!$K$6:$K$205,C1165)))*(A1165-6*C1165)/6))</f>
        <v>0.00213085088671358</v>
      </c>
      <c r="H1165" s="12" t="n">
        <f aca="false">G1165^(-1/B1165)-1</f>
        <v>0.0656432899999999</v>
      </c>
      <c r="I1165" s="12" t="n">
        <f aca="false">(1+H1165)^(1/12)-1</f>
        <v>0.0053122808053987</v>
      </c>
      <c r="J1165" s="16" t="n">
        <f aca="false">IF(C1165=0,(1+Dic2025!$M$6)^(-B1165),EXP(LN(INDEX(Dic2025!$N$6:$N$205,C1165))+(LN(INDEX(Dic2025!$N$6:$N$205,MIN(C1165+1,200)))-LN(INDEX(Dic2025!$N$6:$N$205,C1165)))*(A1165-6*C1165)/6))</f>
        <v>0.00213085088671358</v>
      </c>
      <c r="K1165" s="12" t="n">
        <f aca="false">J1165^(-1/B1165)-1</f>
        <v>0.0656432899999999</v>
      </c>
      <c r="L1165" s="12" t="n">
        <f aca="false">(1+K1165)^(1/12)-1</f>
        <v>0.0053122808053987</v>
      </c>
    </row>
    <row r="1166" customFormat="false" ht="15" hidden="false" customHeight="false" outlineLevel="0" collapsed="false">
      <c r="A1166" s="4" t="n">
        <v>1162</v>
      </c>
      <c r="B1166" s="14" t="n">
        <f aca="false">A1166/12</f>
        <v>96.8333333333333</v>
      </c>
      <c r="C1166" s="15" t="n">
        <f aca="false">INT(A1166/6)</f>
        <v>193</v>
      </c>
      <c r="D1166" s="16" t="n">
        <f aca="false">IF(C1166=0,(1+Dic2025!$G$6)^(-B1166),EXP(LN(INDEX(Dic2025!$H$6:$H$205,C1166))+(LN(INDEX(Dic2025!$H$6:$H$205,MIN(C1166+1,200)))-LN(INDEX(Dic2025!$H$6:$H$205,C1166)))*(A1166-6*C1166)/6))</f>
        <v>0.00211959102400148</v>
      </c>
      <c r="E1166" s="12" t="n">
        <f aca="false">D1166^(-1/B1166)-1</f>
        <v>0.0656432899999999</v>
      </c>
      <c r="F1166" s="12" t="n">
        <f aca="false">(1+E1166)^(1/12)-1</f>
        <v>0.0053122808053987</v>
      </c>
      <c r="G1166" s="16" t="n">
        <f aca="false">IF(C1166=0,(1+Dic2025!$J$6)^(-B1166),EXP(LN(INDEX(Dic2025!$K$6:$K$205,C1166))+(LN(INDEX(Dic2025!$K$6:$K$205,MIN(C1166+1,200)))-LN(INDEX(Dic2025!$K$6:$K$205,C1166)))*(A1166-6*C1166)/6))</f>
        <v>0.00211959102400148</v>
      </c>
      <c r="H1166" s="12" t="n">
        <f aca="false">G1166^(-1/B1166)-1</f>
        <v>0.0656432899999999</v>
      </c>
      <c r="I1166" s="12" t="n">
        <f aca="false">(1+H1166)^(1/12)-1</f>
        <v>0.0053122808053987</v>
      </c>
      <c r="J1166" s="16" t="n">
        <f aca="false">IF(C1166=0,(1+Dic2025!$M$6)^(-B1166),EXP(LN(INDEX(Dic2025!$N$6:$N$205,C1166))+(LN(INDEX(Dic2025!$N$6:$N$205,MIN(C1166+1,200)))-LN(INDEX(Dic2025!$N$6:$N$205,C1166)))*(A1166-6*C1166)/6))</f>
        <v>0.00211959102400148</v>
      </c>
      <c r="K1166" s="12" t="n">
        <f aca="false">J1166^(-1/B1166)-1</f>
        <v>0.0656432899999999</v>
      </c>
      <c r="L1166" s="12" t="n">
        <f aca="false">(1+K1166)^(1/12)-1</f>
        <v>0.0053122808053987</v>
      </c>
    </row>
    <row r="1167" customFormat="false" ht="15" hidden="false" customHeight="false" outlineLevel="0" collapsed="false">
      <c r="A1167" s="4" t="n">
        <v>1163</v>
      </c>
      <c r="B1167" s="14" t="n">
        <f aca="false">A1167/12</f>
        <v>96.9166666666667</v>
      </c>
      <c r="C1167" s="15" t="n">
        <f aca="false">INT(A1167/6)</f>
        <v>193</v>
      </c>
      <c r="D1167" s="16" t="n">
        <f aca="false">IF(C1167=0,(1+Dic2025!$G$6)^(-B1167),EXP(LN(INDEX(Dic2025!$H$6:$H$205,C1167))+(LN(INDEX(Dic2025!$H$6:$H$205,MIN(C1167+1,200)))-LN(INDEX(Dic2025!$H$6:$H$205,C1167)))*(A1167-6*C1167)/6))</f>
        <v>0.00210839066076402</v>
      </c>
      <c r="E1167" s="12" t="n">
        <f aca="false">D1167^(-1/B1167)-1</f>
        <v>0.0656432899999999</v>
      </c>
      <c r="F1167" s="12" t="n">
        <f aca="false">(1+E1167)^(1/12)-1</f>
        <v>0.0053122808053987</v>
      </c>
      <c r="G1167" s="16" t="n">
        <f aca="false">IF(C1167=0,(1+Dic2025!$J$6)^(-B1167),EXP(LN(INDEX(Dic2025!$K$6:$K$205,C1167))+(LN(INDEX(Dic2025!$K$6:$K$205,MIN(C1167+1,200)))-LN(INDEX(Dic2025!$K$6:$K$205,C1167)))*(A1167-6*C1167)/6))</f>
        <v>0.00210839066076402</v>
      </c>
      <c r="H1167" s="12" t="n">
        <f aca="false">G1167^(-1/B1167)-1</f>
        <v>0.0656432899999999</v>
      </c>
      <c r="I1167" s="12" t="n">
        <f aca="false">(1+H1167)^(1/12)-1</f>
        <v>0.0053122808053987</v>
      </c>
      <c r="J1167" s="16" t="n">
        <f aca="false">IF(C1167=0,(1+Dic2025!$M$6)^(-B1167),EXP(LN(INDEX(Dic2025!$N$6:$N$205,C1167))+(LN(INDEX(Dic2025!$N$6:$N$205,MIN(C1167+1,200)))-LN(INDEX(Dic2025!$N$6:$N$205,C1167)))*(A1167-6*C1167)/6))</f>
        <v>0.00210839066076402</v>
      </c>
      <c r="K1167" s="12" t="n">
        <f aca="false">J1167^(-1/B1167)-1</f>
        <v>0.0656432899999999</v>
      </c>
      <c r="L1167" s="12" t="n">
        <f aca="false">(1+K1167)^(1/12)-1</f>
        <v>0.0053122808053987</v>
      </c>
    </row>
    <row r="1168" customFormat="false" ht="15" hidden="false" customHeight="false" outlineLevel="0" collapsed="false">
      <c r="A1168" s="4" t="n">
        <v>1164</v>
      </c>
      <c r="B1168" s="14" t="n">
        <f aca="false">A1168/12</f>
        <v>97</v>
      </c>
      <c r="C1168" s="15" t="n">
        <f aca="false">INT(A1168/6)</f>
        <v>194</v>
      </c>
      <c r="D1168" s="16" t="n">
        <f aca="false">IF(C1168=0,(1+Dic2025!$G$6)^(-B1168),EXP(LN(INDEX(Dic2025!$H$6:$H$205,C1168))+(LN(INDEX(Dic2025!$H$6:$H$205,MIN(C1168+1,200)))-LN(INDEX(Dic2025!$H$6:$H$205,C1168)))*(A1168-6*C1168)/6))</f>
        <v>0.0020972494825935</v>
      </c>
      <c r="E1168" s="12" t="n">
        <f aca="false">D1168^(-1/B1168)-1</f>
        <v>0.0656432899999999</v>
      </c>
      <c r="F1168" s="12" t="n">
        <f aca="false">(1+E1168)^(1/12)-1</f>
        <v>0.0053122808053987</v>
      </c>
      <c r="G1168" s="16" t="n">
        <f aca="false">IF(C1168=0,(1+Dic2025!$J$6)^(-B1168),EXP(LN(INDEX(Dic2025!$K$6:$K$205,C1168))+(LN(INDEX(Dic2025!$K$6:$K$205,MIN(C1168+1,200)))-LN(INDEX(Dic2025!$K$6:$K$205,C1168)))*(A1168-6*C1168)/6))</f>
        <v>0.0020972494825935</v>
      </c>
      <c r="H1168" s="12" t="n">
        <f aca="false">G1168^(-1/B1168)-1</f>
        <v>0.0656432899999999</v>
      </c>
      <c r="I1168" s="12" t="n">
        <f aca="false">(1+H1168)^(1/12)-1</f>
        <v>0.0053122808053987</v>
      </c>
      <c r="J1168" s="16" t="n">
        <f aca="false">IF(C1168=0,(1+Dic2025!$M$6)^(-B1168),EXP(LN(INDEX(Dic2025!$N$6:$N$205,C1168))+(LN(INDEX(Dic2025!$N$6:$N$205,MIN(C1168+1,200)))-LN(INDEX(Dic2025!$N$6:$N$205,C1168)))*(A1168-6*C1168)/6))</f>
        <v>0.0020972494825935</v>
      </c>
      <c r="K1168" s="12" t="n">
        <f aca="false">J1168^(-1/B1168)-1</f>
        <v>0.0656432899999999</v>
      </c>
      <c r="L1168" s="12" t="n">
        <f aca="false">(1+K1168)^(1/12)-1</f>
        <v>0.0053122808053987</v>
      </c>
    </row>
    <row r="1169" customFormat="false" ht="15" hidden="false" customHeight="false" outlineLevel="0" collapsed="false">
      <c r="A1169" s="4" t="n">
        <v>1165</v>
      </c>
      <c r="B1169" s="14" t="n">
        <f aca="false">A1169/12</f>
        <v>97.0833333333333</v>
      </c>
      <c r="C1169" s="15" t="n">
        <f aca="false">INT(A1169/6)</f>
        <v>194</v>
      </c>
      <c r="D1169" s="16" t="n">
        <f aca="false">IF(C1169=0,(1+Dic2025!$G$6)^(-B1169),EXP(LN(INDEX(Dic2025!$H$6:$H$205,C1169))+(LN(INDEX(Dic2025!$H$6:$H$205,MIN(C1169+1,200)))-LN(INDEX(Dic2025!$H$6:$H$205,C1169)))*(A1169-6*C1169)/6))</f>
        <v>0.00208616717674364</v>
      </c>
      <c r="E1169" s="12" t="n">
        <f aca="false">D1169^(-1/B1169)-1</f>
        <v>0.0656432899999999</v>
      </c>
      <c r="F1169" s="12" t="n">
        <f aca="false">(1+E1169)^(1/12)-1</f>
        <v>0.0053122808053987</v>
      </c>
      <c r="G1169" s="16" t="n">
        <f aca="false">IF(C1169=0,(1+Dic2025!$J$6)^(-B1169),EXP(LN(INDEX(Dic2025!$K$6:$K$205,C1169))+(LN(INDEX(Dic2025!$K$6:$K$205,MIN(C1169+1,200)))-LN(INDEX(Dic2025!$K$6:$K$205,C1169)))*(A1169-6*C1169)/6))</f>
        <v>0.00208616717674364</v>
      </c>
      <c r="H1169" s="12" t="n">
        <f aca="false">G1169^(-1/B1169)-1</f>
        <v>0.0656432899999999</v>
      </c>
      <c r="I1169" s="12" t="n">
        <f aca="false">(1+H1169)^(1/12)-1</f>
        <v>0.0053122808053987</v>
      </c>
      <c r="J1169" s="16" t="n">
        <f aca="false">IF(C1169=0,(1+Dic2025!$M$6)^(-B1169),EXP(LN(INDEX(Dic2025!$N$6:$N$205,C1169))+(LN(INDEX(Dic2025!$N$6:$N$205,MIN(C1169+1,200)))-LN(INDEX(Dic2025!$N$6:$N$205,C1169)))*(A1169-6*C1169)/6))</f>
        <v>0.00208616717674364</v>
      </c>
      <c r="K1169" s="12" t="n">
        <f aca="false">J1169^(-1/B1169)-1</f>
        <v>0.0656432899999999</v>
      </c>
      <c r="L1169" s="12" t="n">
        <f aca="false">(1+K1169)^(1/12)-1</f>
        <v>0.0053122808053987</v>
      </c>
    </row>
    <row r="1170" customFormat="false" ht="15" hidden="false" customHeight="false" outlineLevel="0" collapsed="false">
      <c r="A1170" s="4" t="n">
        <v>1166</v>
      </c>
      <c r="B1170" s="14" t="n">
        <f aca="false">A1170/12</f>
        <v>97.1666666666667</v>
      </c>
      <c r="C1170" s="15" t="n">
        <f aca="false">INT(A1170/6)</f>
        <v>194</v>
      </c>
      <c r="D1170" s="16" t="n">
        <f aca="false">IF(C1170=0,(1+Dic2025!$G$6)^(-B1170),EXP(LN(INDEX(Dic2025!$H$6:$H$205,C1170))+(LN(INDEX(Dic2025!$H$6:$H$205,MIN(C1170+1,200)))-LN(INDEX(Dic2025!$H$6:$H$205,C1170)))*(A1170-6*C1170)/6))</f>
        <v>0.00207514343212073</v>
      </c>
      <c r="E1170" s="12" t="n">
        <f aca="false">D1170^(-1/B1170)-1</f>
        <v>0.0656432899999999</v>
      </c>
      <c r="F1170" s="12" t="n">
        <f aca="false">(1+E1170)^(1/12)-1</f>
        <v>0.0053122808053987</v>
      </c>
      <c r="G1170" s="16" t="n">
        <f aca="false">IF(C1170=0,(1+Dic2025!$J$6)^(-B1170),EXP(LN(INDEX(Dic2025!$K$6:$K$205,C1170))+(LN(INDEX(Dic2025!$K$6:$K$205,MIN(C1170+1,200)))-LN(INDEX(Dic2025!$K$6:$K$205,C1170)))*(A1170-6*C1170)/6))</f>
        <v>0.00207514343212073</v>
      </c>
      <c r="H1170" s="12" t="n">
        <f aca="false">G1170^(-1/B1170)-1</f>
        <v>0.0656432899999999</v>
      </c>
      <c r="I1170" s="12" t="n">
        <f aca="false">(1+H1170)^(1/12)-1</f>
        <v>0.0053122808053987</v>
      </c>
      <c r="J1170" s="16" t="n">
        <f aca="false">IF(C1170=0,(1+Dic2025!$M$6)^(-B1170),EXP(LN(INDEX(Dic2025!$N$6:$N$205,C1170))+(LN(INDEX(Dic2025!$N$6:$N$205,MIN(C1170+1,200)))-LN(INDEX(Dic2025!$N$6:$N$205,C1170)))*(A1170-6*C1170)/6))</f>
        <v>0.00207514343212073</v>
      </c>
      <c r="K1170" s="12" t="n">
        <f aca="false">J1170^(-1/B1170)-1</f>
        <v>0.0656432899999999</v>
      </c>
      <c r="L1170" s="12" t="n">
        <f aca="false">(1+K1170)^(1/12)-1</f>
        <v>0.0053122808053987</v>
      </c>
    </row>
    <row r="1171" customFormat="false" ht="15" hidden="false" customHeight="false" outlineLevel="0" collapsed="false">
      <c r="A1171" s="4" t="n">
        <v>1167</v>
      </c>
      <c r="B1171" s="14" t="n">
        <f aca="false">A1171/12</f>
        <v>97.25</v>
      </c>
      <c r="C1171" s="15" t="n">
        <f aca="false">INT(A1171/6)</f>
        <v>194</v>
      </c>
      <c r="D1171" s="16" t="n">
        <f aca="false">IF(C1171=0,(1+Dic2025!$G$6)^(-B1171),EXP(LN(INDEX(Dic2025!$H$6:$H$205,C1171))+(LN(INDEX(Dic2025!$H$6:$H$205,MIN(C1171+1,200)))-LN(INDEX(Dic2025!$H$6:$H$205,C1171)))*(A1171-6*C1171)/6))</f>
        <v>0.00206417793927499</v>
      </c>
      <c r="E1171" s="12" t="n">
        <f aca="false">D1171^(-1/B1171)-1</f>
        <v>0.0656432899999999</v>
      </c>
      <c r="F1171" s="12" t="n">
        <f aca="false">(1+E1171)^(1/12)-1</f>
        <v>0.0053122808053987</v>
      </c>
      <c r="G1171" s="16" t="n">
        <f aca="false">IF(C1171=0,(1+Dic2025!$J$6)^(-B1171),EXP(LN(INDEX(Dic2025!$K$6:$K$205,C1171))+(LN(INDEX(Dic2025!$K$6:$K$205,MIN(C1171+1,200)))-LN(INDEX(Dic2025!$K$6:$K$205,C1171)))*(A1171-6*C1171)/6))</f>
        <v>0.00206417793927499</v>
      </c>
      <c r="H1171" s="12" t="n">
        <f aca="false">G1171^(-1/B1171)-1</f>
        <v>0.0656432899999999</v>
      </c>
      <c r="I1171" s="12" t="n">
        <f aca="false">(1+H1171)^(1/12)-1</f>
        <v>0.0053122808053987</v>
      </c>
      <c r="J1171" s="16" t="n">
        <f aca="false">IF(C1171=0,(1+Dic2025!$M$6)^(-B1171),EXP(LN(INDEX(Dic2025!$N$6:$N$205,C1171))+(LN(INDEX(Dic2025!$N$6:$N$205,MIN(C1171+1,200)))-LN(INDEX(Dic2025!$N$6:$N$205,C1171)))*(A1171-6*C1171)/6))</f>
        <v>0.00206417793927499</v>
      </c>
      <c r="K1171" s="12" t="n">
        <f aca="false">J1171^(-1/B1171)-1</f>
        <v>0.0656432899999999</v>
      </c>
      <c r="L1171" s="12" t="n">
        <f aca="false">(1+K1171)^(1/12)-1</f>
        <v>0.0053122808053987</v>
      </c>
    </row>
    <row r="1172" customFormat="false" ht="15" hidden="false" customHeight="false" outlineLevel="0" collapsed="false">
      <c r="A1172" s="4" t="n">
        <v>1168</v>
      </c>
      <c r="B1172" s="14" t="n">
        <f aca="false">A1172/12</f>
        <v>97.3333333333333</v>
      </c>
      <c r="C1172" s="15" t="n">
        <f aca="false">INT(A1172/6)</f>
        <v>194</v>
      </c>
      <c r="D1172" s="16" t="n">
        <f aca="false">IF(C1172=0,(1+Dic2025!$G$6)^(-B1172),EXP(LN(INDEX(Dic2025!$H$6:$H$205,C1172))+(LN(INDEX(Dic2025!$H$6:$H$205,MIN(C1172+1,200)))-LN(INDEX(Dic2025!$H$6:$H$205,C1172)))*(A1172-6*C1172)/6))</f>
        <v>0.00205327039039182</v>
      </c>
      <c r="E1172" s="12" t="n">
        <f aca="false">D1172^(-1/B1172)-1</f>
        <v>0.0656432899999999</v>
      </c>
      <c r="F1172" s="12" t="n">
        <f aca="false">(1+E1172)^(1/12)-1</f>
        <v>0.0053122808053987</v>
      </c>
      <c r="G1172" s="16" t="n">
        <f aca="false">IF(C1172=0,(1+Dic2025!$J$6)^(-B1172),EXP(LN(INDEX(Dic2025!$K$6:$K$205,C1172))+(LN(INDEX(Dic2025!$K$6:$K$205,MIN(C1172+1,200)))-LN(INDEX(Dic2025!$K$6:$K$205,C1172)))*(A1172-6*C1172)/6))</f>
        <v>0.00205327039039182</v>
      </c>
      <c r="H1172" s="12" t="n">
        <f aca="false">G1172^(-1/B1172)-1</f>
        <v>0.0656432899999999</v>
      </c>
      <c r="I1172" s="12" t="n">
        <f aca="false">(1+H1172)^(1/12)-1</f>
        <v>0.0053122808053987</v>
      </c>
      <c r="J1172" s="16" t="n">
        <f aca="false">IF(C1172=0,(1+Dic2025!$M$6)^(-B1172),EXP(LN(INDEX(Dic2025!$N$6:$N$205,C1172))+(LN(INDEX(Dic2025!$N$6:$N$205,MIN(C1172+1,200)))-LN(INDEX(Dic2025!$N$6:$N$205,C1172)))*(A1172-6*C1172)/6))</f>
        <v>0.00205327039039182</v>
      </c>
      <c r="K1172" s="12" t="n">
        <f aca="false">J1172^(-1/B1172)-1</f>
        <v>0.0656432899999999</v>
      </c>
      <c r="L1172" s="12" t="n">
        <f aca="false">(1+K1172)^(1/12)-1</f>
        <v>0.0053122808053987</v>
      </c>
    </row>
    <row r="1173" customFormat="false" ht="15" hidden="false" customHeight="false" outlineLevel="0" collapsed="false">
      <c r="A1173" s="4" t="n">
        <v>1169</v>
      </c>
      <c r="B1173" s="14" t="n">
        <f aca="false">A1173/12</f>
        <v>97.4166666666667</v>
      </c>
      <c r="C1173" s="15" t="n">
        <f aca="false">INT(A1173/6)</f>
        <v>194</v>
      </c>
      <c r="D1173" s="16" t="n">
        <f aca="false">IF(C1173=0,(1+Dic2025!$G$6)^(-B1173),EXP(LN(INDEX(Dic2025!$H$6:$H$205,C1173))+(LN(INDEX(Dic2025!$H$6:$H$205,MIN(C1173+1,200)))-LN(INDEX(Dic2025!$H$6:$H$205,C1173)))*(A1173-6*C1173)/6))</f>
        <v>0.00204242047928317</v>
      </c>
      <c r="E1173" s="12" t="n">
        <f aca="false">D1173^(-1/B1173)-1</f>
        <v>0.0656432899999999</v>
      </c>
      <c r="F1173" s="12" t="n">
        <f aca="false">(1+E1173)^(1/12)-1</f>
        <v>0.0053122808053987</v>
      </c>
      <c r="G1173" s="16" t="n">
        <f aca="false">IF(C1173=0,(1+Dic2025!$J$6)^(-B1173),EXP(LN(INDEX(Dic2025!$K$6:$K$205,C1173))+(LN(INDEX(Dic2025!$K$6:$K$205,MIN(C1173+1,200)))-LN(INDEX(Dic2025!$K$6:$K$205,C1173)))*(A1173-6*C1173)/6))</f>
        <v>0.00204242047928317</v>
      </c>
      <c r="H1173" s="12" t="n">
        <f aca="false">G1173^(-1/B1173)-1</f>
        <v>0.0656432899999999</v>
      </c>
      <c r="I1173" s="12" t="n">
        <f aca="false">(1+H1173)^(1/12)-1</f>
        <v>0.0053122808053987</v>
      </c>
      <c r="J1173" s="16" t="n">
        <f aca="false">IF(C1173=0,(1+Dic2025!$M$6)^(-B1173),EXP(LN(INDEX(Dic2025!$N$6:$N$205,C1173))+(LN(INDEX(Dic2025!$N$6:$N$205,MIN(C1173+1,200)))-LN(INDEX(Dic2025!$N$6:$N$205,C1173)))*(A1173-6*C1173)/6))</f>
        <v>0.00204242047928317</v>
      </c>
      <c r="K1173" s="12" t="n">
        <f aca="false">J1173^(-1/B1173)-1</f>
        <v>0.0656432899999999</v>
      </c>
      <c r="L1173" s="12" t="n">
        <f aca="false">(1+K1173)^(1/12)-1</f>
        <v>0.0053122808053987</v>
      </c>
    </row>
    <row r="1174" customFormat="false" ht="15" hidden="false" customHeight="false" outlineLevel="0" collapsed="false">
      <c r="A1174" s="4" t="n">
        <v>1170</v>
      </c>
      <c r="B1174" s="14" t="n">
        <f aca="false">A1174/12</f>
        <v>97.5</v>
      </c>
      <c r="C1174" s="15" t="n">
        <f aca="false">INT(A1174/6)</f>
        <v>195</v>
      </c>
      <c r="D1174" s="16" t="n">
        <f aca="false">IF(C1174=0,(1+Dic2025!$G$6)^(-B1174),EXP(LN(INDEX(Dic2025!$H$6:$H$205,C1174))+(LN(INDEX(Dic2025!$H$6:$H$205,MIN(C1174+1,200)))-LN(INDEX(Dic2025!$H$6:$H$205,C1174)))*(A1174-6*C1174)/6))</f>
        <v>0.00203162790137896</v>
      </c>
      <c r="E1174" s="12" t="n">
        <f aca="false">D1174^(-1/B1174)-1</f>
        <v>0.0656432899999999</v>
      </c>
      <c r="F1174" s="12" t="n">
        <f aca="false">(1+E1174)^(1/12)-1</f>
        <v>0.0053122808053987</v>
      </c>
      <c r="G1174" s="16" t="n">
        <f aca="false">IF(C1174=0,(1+Dic2025!$J$6)^(-B1174),EXP(LN(INDEX(Dic2025!$K$6:$K$205,C1174))+(LN(INDEX(Dic2025!$K$6:$K$205,MIN(C1174+1,200)))-LN(INDEX(Dic2025!$K$6:$K$205,C1174)))*(A1174-6*C1174)/6))</f>
        <v>0.00203162790137896</v>
      </c>
      <c r="H1174" s="12" t="n">
        <f aca="false">G1174^(-1/B1174)-1</f>
        <v>0.0656432899999999</v>
      </c>
      <c r="I1174" s="12" t="n">
        <f aca="false">(1+H1174)^(1/12)-1</f>
        <v>0.0053122808053987</v>
      </c>
      <c r="J1174" s="16" t="n">
        <f aca="false">IF(C1174=0,(1+Dic2025!$M$6)^(-B1174),EXP(LN(INDEX(Dic2025!$N$6:$N$205,C1174))+(LN(INDEX(Dic2025!$N$6:$N$205,MIN(C1174+1,200)))-LN(INDEX(Dic2025!$N$6:$N$205,C1174)))*(A1174-6*C1174)/6))</f>
        <v>0.00203162790137896</v>
      </c>
      <c r="K1174" s="12" t="n">
        <f aca="false">J1174^(-1/B1174)-1</f>
        <v>0.0656432899999999</v>
      </c>
      <c r="L1174" s="12" t="n">
        <f aca="false">(1+K1174)^(1/12)-1</f>
        <v>0.0053122808053987</v>
      </c>
    </row>
    <row r="1175" customFormat="false" ht="15" hidden="false" customHeight="false" outlineLevel="0" collapsed="false">
      <c r="A1175" s="4" t="n">
        <v>1171</v>
      </c>
      <c r="B1175" s="14" t="n">
        <f aca="false">A1175/12</f>
        <v>97.5833333333333</v>
      </c>
      <c r="C1175" s="15" t="n">
        <f aca="false">INT(A1175/6)</f>
        <v>195</v>
      </c>
      <c r="D1175" s="16" t="n">
        <f aca="false">IF(C1175=0,(1+Dic2025!$G$6)^(-B1175),EXP(LN(INDEX(Dic2025!$H$6:$H$205,C1175))+(LN(INDEX(Dic2025!$H$6:$H$205,MIN(C1175+1,200)))-LN(INDEX(Dic2025!$H$6:$H$205,C1175)))*(A1175-6*C1175)/6))</f>
        <v>0.00202089235371853</v>
      </c>
      <c r="E1175" s="12" t="n">
        <f aca="false">D1175^(-1/B1175)-1</f>
        <v>0.0656432899999999</v>
      </c>
      <c r="F1175" s="12" t="n">
        <f aca="false">(1+E1175)^(1/12)-1</f>
        <v>0.0053122808053987</v>
      </c>
      <c r="G1175" s="16" t="n">
        <f aca="false">IF(C1175=0,(1+Dic2025!$J$6)^(-B1175),EXP(LN(INDEX(Dic2025!$K$6:$K$205,C1175))+(LN(INDEX(Dic2025!$K$6:$K$205,MIN(C1175+1,200)))-LN(INDEX(Dic2025!$K$6:$K$205,C1175)))*(A1175-6*C1175)/6))</f>
        <v>0.00202089235371853</v>
      </c>
      <c r="H1175" s="12" t="n">
        <f aca="false">G1175^(-1/B1175)-1</f>
        <v>0.0656432899999999</v>
      </c>
      <c r="I1175" s="12" t="n">
        <f aca="false">(1+H1175)^(1/12)-1</f>
        <v>0.0053122808053987</v>
      </c>
      <c r="J1175" s="16" t="n">
        <f aca="false">IF(C1175=0,(1+Dic2025!$M$6)^(-B1175),EXP(LN(INDEX(Dic2025!$N$6:$N$205,C1175))+(LN(INDEX(Dic2025!$N$6:$N$205,MIN(C1175+1,200)))-LN(INDEX(Dic2025!$N$6:$N$205,C1175)))*(A1175-6*C1175)/6))</f>
        <v>0.00202089235371853</v>
      </c>
      <c r="K1175" s="12" t="n">
        <f aca="false">J1175^(-1/B1175)-1</f>
        <v>0.0656432899999999</v>
      </c>
      <c r="L1175" s="12" t="n">
        <f aca="false">(1+K1175)^(1/12)-1</f>
        <v>0.0053122808053987</v>
      </c>
    </row>
    <row r="1176" customFormat="false" ht="15" hidden="false" customHeight="false" outlineLevel="0" collapsed="false">
      <c r="A1176" s="4" t="n">
        <v>1172</v>
      </c>
      <c r="B1176" s="14" t="n">
        <f aca="false">A1176/12</f>
        <v>97.6666666666667</v>
      </c>
      <c r="C1176" s="15" t="n">
        <f aca="false">INT(A1176/6)</f>
        <v>195</v>
      </c>
      <c r="D1176" s="16" t="n">
        <f aca="false">IF(C1176=0,(1+Dic2025!$G$6)^(-B1176),EXP(LN(INDEX(Dic2025!$H$6:$H$205,C1176))+(LN(INDEX(Dic2025!$H$6:$H$205,MIN(C1176+1,200)))-LN(INDEX(Dic2025!$H$6:$H$205,C1176)))*(A1176-6*C1176)/6))</f>
        <v>0.0020102135349421</v>
      </c>
      <c r="E1176" s="12" t="n">
        <f aca="false">D1176^(-1/B1176)-1</f>
        <v>0.0656432899999999</v>
      </c>
      <c r="F1176" s="12" t="n">
        <f aca="false">(1+E1176)^(1/12)-1</f>
        <v>0.0053122808053987</v>
      </c>
      <c r="G1176" s="16" t="n">
        <f aca="false">IF(C1176=0,(1+Dic2025!$J$6)^(-B1176),EXP(LN(INDEX(Dic2025!$K$6:$K$205,C1176))+(LN(INDEX(Dic2025!$K$6:$K$205,MIN(C1176+1,200)))-LN(INDEX(Dic2025!$K$6:$K$205,C1176)))*(A1176-6*C1176)/6))</f>
        <v>0.0020102135349421</v>
      </c>
      <c r="H1176" s="12" t="n">
        <f aca="false">G1176^(-1/B1176)-1</f>
        <v>0.0656432899999999</v>
      </c>
      <c r="I1176" s="12" t="n">
        <f aca="false">(1+H1176)^(1/12)-1</f>
        <v>0.0053122808053987</v>
      </c>
      <c r="J1176" s="16" t="n">
        <f aca="false">IF(C1176=0,(1+Dic2025!$M$6)^(-B1176),EXP(LN(INDEX(Dic2025!$N$6:$N$205,C1176))+(LN(INDEX(Dic2025!$N$6:$N$205,MIN(C1176+1,200)))-LN(INDEX(Dic2025!$N$6:$N$205,C1176)))*(A1176-6*C1176)/6))</f>
        <v>0.0020102135349421</v>
      </c>
      <c r="K1176" s="12" t="n">
        <f aca="false">J1176^(-1/B1176)-1</f>
        <v>0.0656432899999999</v>
      </c>
      <c r="L1176" s="12" t="n">
        <f aca="false">(1+K1176)^(1/12)-1</f>
        <v>0.0053122808053987</v>
      </c>
    </row>
    <row r="1177" customFormat="false" ht="15" hidden="false" customHeight="false" outlineLevel="0" collapsed="false">
      <c r="A1177" s="4" t="n">
        <v>1173</v>
      </c>
      <c r="B1177" s="14" t="n">
        <f aca="false">A1177/12</f>
        <v>97.75</v>
      </c>
      <c r="C1177" s="15" t="n">
        <f aca="false">INT(A1177/6)</f>
        <v>195</v>
      </c>
      <c r="D1177" s="16" t="n">
        <f aca="false">IF(C1177=0,(1+Dic2025!$G$6)^(-B1177),EXP(LN(INDEX(Dic2025!$H$6:$H$205,C1177))+(LN(INDEX(Dic2025!$H$6:$H$205,MIN(C1177+1,200)))-LN(INDEX(Dic2025!$H$6:$H$205,C1177)))*(A1177-6*C1177)/6))</f>
        <v>0.00199959114528237</v>
      </c>
      <c r="E1177" s="12" t="n">
        <f aca="false">D1177^(-1/B1177)-1</f>
        <v>0.0656432899999999</v>
      </c>
      <c r="F1177" s="12" t="n">
        <f aca="false">(1+E1177)^(1/12)-1</f>
        <v>0.0053122808053987</v>
      </c>
      <c r="G1177" s="16" t="n">
        <f aca="false">IF(C1177=0,(1+Dic2025!$J$6)^(-B1177),EXP(LN(INDEX(Dic2025!$K$6:$K$205,C1177))+(LN(INDEX(Dic2025!$K$6:$K$205,MIN(C1177+1,200)))-LN(INDEX(Dic2025!$K$6:$K$205,C1177)))*(A1177-6*C1177)/6))</f>
        <v>0.00199959114528237</v>
      </c>
      <c r="H1177" s="12" t="n">
        <f aca="false">G1177^(-1/B1177)-1</f>
        <v>0.0656432899999999</v>
      </c>
      <c r="I1177" s="12" t="n">
        <f aca="false">(1+H1177)^(1/12)-1</f>
        <v>0.0053122808053987</v>
      </c>
      <c r="J1177" s="16" t="n">
        <f aca="false">IF(C1177=0,(1+Dic2025!$M$6)^(-B1177),EXP(LN(INDEX(Dic2025!$N$6:$N$205,C1177))+(LN(INDEX(Dic2025!$N$6:$N$205,MIN(C1177+1,200)))-LN(INDEX(Dic2025!$N$6:$N$205,C1177)))*(A1177-6*C1177)/6))</f>
        <v>0.00199959114528237</v>
      </c>
      <c r="K1177" s="12" t="n">
        <f aca="false">J1177^(-1/B1177)-1</f>
        <v>0.0656432899999999</v>
      </c>
      <c r="L1177" s="12" t="n">
        <f aca="false">(1+K1177)^(1/12)-1</f>
        <v>0.0053122808053987</v>
      </c>
    </row>
    <row r="1178" customFormat="false" ht="15" hidden="false" customHeight="false" outlineLevel="0" collapsed="false">
      <c r="A1178" s="4" t="n">
        <v>1174</v>
      </c>
      <c r="B1178" s="14" t="n">
        <f aca="false">A1178/12</f>
        <v>97.8333333333333</v>
      </c>
      <c r="C1178" s="15" t="n">
        <f aca="false">INT(A1178/6)</f>
        <v>195</v>
      </c>
      <c r="D1178" s="16" t="n">
        <f aca="false">IF(C1178=0,(1+Dic2025!$G$6)^(-B1178),EXP(LN(INDEX(Dic2025!$H$6:$H$205,C1178))+(LN(INDEX(Dic2025!$H$6:$H$205,MIN(C1178+1,200)))-LN(INDEX(Dic2025!$H$6:$H$205,C1178)))*(A1178-6*C1178)/6))</f>
        <v>0.00198902488655606</v>
      </c>
      <c r="E1178" s="12" t="n">
        <f aca="false">D1178^(-1/B1178)-1</f>
        <v>0.0656432899999999</v>
      </c>
      <c r="F1178" s="12" t="n">
        <f aca="false">(1+E1178)^(1/12)-1</f>
        <v>0.0053122808053987</v>
      </c>
      <c r="G1178" s="16" t="n">
        <f aca="false">IF(C1178=0,(1+Dic2025!$J$6)^(-B1178),EXP(LN(INDEX(Dic2025!$K$6:$K$205,C1178))+(LN(INDEX(Dic2025!$K$6:$K$205,MIN(C1178+1,200)))-LN(INDEX(Dic2025!$K$6:$K$205,C1178)))*(A1178-6*C1178)/6))</f>
        <v>0.00198902488655606</v>
      </c>
      <c r="H1178" s="12" t="n">
        <f aca="false">G1178^(-1/B1178)-1</f>
        <v>0.0656432899999999</v>
      </c>
      <c r="I1178" s="12" t="n">
        <f aca="false">(1+H1178)^(1/12)-1</f>
        <v>0.0053122808053987</v>
      </c>
      <c r="J1178" s="16" t="n">
        <f aca="false">IF(C1178=0,(1+Dic2025!$M$6)^(-B1178),EXP(LN(INDEX(Dic2025!$N$6:$N$205,C1178))+(LN(INDEX(Dic2025!$N$6:$N$205,MIN(C1178+1,200)))-LN(INDEX(Dic2025!$N$6:$N$205,C1178)))*(A1178-6*C1178)/6))</f>
        <v>0.00198902488655606</v>
      </c>
      <c r="K1178" s="12" t="n">
        <f aca="false">J1178^(-1/B1178)-1</f>
        <v>0.0656432899999999</v>
      </c>
      <c r="L1178" s="12" t="n">
        <f aca="false">(1+K1178)^(1/12)-1</f>
        <v>0.0053122808053987</v>
      </c>
    </row>
    <row r="1179" customFormat="false" ht="15" hidden="false" customHeight="false" outlineLevel="0" collapsed="false">
      <c r="A1179" s="4" t="n">
        <v>1175</v>
      </c>
      <c r="B1179" s="14" t="n">
        <f aca="false">A1179/12</f>
        <v>97.9166666666667</v>
      </c>
      <c r="C1179" s="15" t="n">
        <f aca="false">INT(A1179/6)</f>
        <v>195</v>
      </c>
      <c r="D1179" s="16" t="n">
        <f aca="false">IF(C1179=0,(1+Dic2025!$G$6)^(-B1179),EXP(LN(INDEX(Dic2025!$H$6:$H$205,C1179))+(LN(INDEX(Dic2025!$H$6:$H$205,MIN(C1179+1,200)))-LN(INDEX(Dic2025!$H$6:$H$205,C1179)))*(A1179-6*C1179)/6))</f>
        <v>0.00197851446215555</v>
      </c>
      <c r="E1179" s="12" t="n">
        <f aca="false">D1179^(-1/B1179)-1</f>
        <v>0.0656432899999999</v>
      </c>
      <c r="F1179" s="12" t="n">
        <f aca="false">(1+E1179)^(1/12)-1</f>
        <v>0.0053122808053987</v>
      </c>
      <c r="G1179" s="16" t="n">
        <f aca="false">IF(C1179=0,(1+Dic2025!$J$6)^(-B1179),EXP(LN(INDEX(Dic2025!$K$6:$K$205,C1179))+(LN(INDEX(Dic2025!$K$6:$K$205,MIN(C1179+1,200)))-LN(INDEX(Dic2025!$K$6:$K$205,C1179)))*(A1179-6*C1179)/6))</f>
        <v>0.00197851446215555</v>
      </c>
      <c r="H1179" s="12" t="n">
        <f aca="false">G1179^(-1/B1179)-1</f>
        <v>0.0656432899999999</v>
      </c>
      <c r="I1179" s="12" t="n">
        <f aca="false">(1+H1179)^(1/12)-1</f>
        <v>0.0053122808053987</v>
      </c>
      <c r="J1179" s="16" t="n">
        <f aca="false">IF(C1179=0,(1+Dic2025!$M$6)^(-B1179),EXP(LN(INDEX(Dic2025!$N$6:$N$205,C1179))+(LN(INDEX(Dic2025!$N$6:$N$205,MIN(C1179+1,200)))-LN(INDEX(Dic2025!$N$6:$N$205,C1179)))*(A1179-6*C1179)/6))</f>
        <v>0.00197851446215555</v>
      </c>
      <c r="K1179" s="12" t="n">
        <f aca="false">J1179^(-1/B1179)-1</f>
        <v>0.0656432899999999</v>
      </c>
      <c r="L1179" s="12" t="n">
        <f aca="false">(1+K1179)^(1/12)-1</f>
        <v>0.0053122808053987</v>
      </c>
    </row>
    <row r="1180" customFormat="false" ht="15" hidden="false" customHeight="false" outlineLevel="0" collapsed="false">
      <c r="A1180" s="4" t="n">
        <v>1176</v>
      </c>
      <c r="B1180" s="14" t="n">
        <f aca="false">A1180/12</f>
        <v>98</v>
      </c>
      <c r="C1180" s="15" t="n">
        <f aca="false">INT(A1180/6)</f>
        <v>196</v>
      </c>
      <c r="D1180" s="16" t="n">
        <f aca="false">IF(C1180=0,(1+Dic2025!$G$6)^(-B1180),EXP(LN(INDEX(Dic2025!$H$6:$H$205,C1180))+(LN(INDEX(Dic2025!$H$6:$H$205,MIN(C1180+1,200)))-LN(INDEX(Dic2025!$H$6:$H$205,C1180)))*(A1180-6*C1180)/6))</f>
        <v>0.00196805957704055</v>
      </c>
      <c r="E1180" s="12" t="n">
        <f aca="false">D1180^(-1/B1180)-1</f>
        <v>0.0656432899999999</v>
      </c>
      <c r="F1180" s="12" t="n">
        <f aca="false">(1+E1180)^(1/12)-1</f>
        <v>0.0053122808053987</v>
      </c>
      <c r="G1180" s="16" t="n">
        <f aca="false">IF(C1180=0,(1+Dic2025!$J$6)^(-B1180),EXP(LN(INDEX(Dic2025!$K$6:$K$205,C1180))+(LN(INDEX(Dic2025!$K$6:$K$205,MIN(C1180+1,200)))-LN(INDEX(Dic2025!$K$6:$K$205,C1180)))*(A1180-6*C1180)/6))</f>
        <v>0.00196805957704055</v>
      </c>
      <c r="H1180" s="12" t="n">
        <f aca="false">G1180^(-1/B1180)-1</f>
        <v>0.0656432899999999</v>
      </c>
      <c r="I1180" s="12" t="n">
        <f aca="false">(1+H1180)^(1/12)-1</f>
        <v>0.0053122808053987</v>
      </c>
      <c r="J1180" s="16" t="n">
        <f aca="false">IF(C1180=0,(1+Dic2025!$M$6)^(-B1180),EXP(LN(INDEX(Dic2025!$N$6:$N$205,C1180))+(LN(INDEX(Dic2025!$N$6:$N$205,MIN(C1180+1,200)))-LN(INDEX(Dic2025!$N$6:$N$205,C1180)))*(A1180-6*C1180)/6))</f>
        <v>0.00196805957704055</v>
      </c>
      <c r="K1180" s="12" t="n">
        <f aca="false">J1180^(-1/B1180)-1</f>
        <v>0.0656432899999999</v>
      </c>
      <c r="L1180" s="12" t="n">
        <f aca="false">(1+K1180)^(1/12)-1</f>
        <v>0.0053122808053987</v>
      </c>
    </row>
    <row r="1181" customFormat="false" ht="15" hidden="false" customHeight="false" outlineLevel="0" collapsed="false">
      <c r="A1181" s="4" t="n">
        <v>1177</v>
      </c>
      <c r="B1181" s="14" t="n">
        <f aca="false">A1181/12</f>
        <v>98.0833333333333</v>
      </c>
      <c r="C1181" s="15" t="n">
        <f aca="false">INT(A1181/6)</f>
        <v>196</v>
      </c>
      <c r="D1181" s="16" t="n">
        <f aca="false">IF(C1181=0,(1+Dic2025!$G$6)^(-B1181),EXP(LN(INDEX(Dic2025!$H$6:$H$205,C1181))+(LN(INDEX(Dic2025!$H$6:$H$205,MIN(C1181+1,200)))-LN(INDEX(Dic2025!$H$6:$H$205,C1181)))*(A1181-6*C1181)/6))</f>
        <v>0.00195765993772985</v>
      </c>
      <c r="E1181" s="12" t="n">
        <f aca="false">D1181^(-1/B1181)-1</f>
        <v>0.0656432899999999</v>
      </c>
      <c r="F1181" s="12" t="n">
        <f aca="false">(1+E1181)^(1/12)-1</f>
        <v>0.0053122808053987</v>
      </c>
      <c r="G1181" s="16" t="n">
        <f aca="false">IF(C1181=0,(1+Dic2025!$J$6)^(-B1181),EXP(LN(INDEX(Dic2025!$K$6:$K$205,C1181))+(LN(INDEX(Dic2025!$K$6:$K$205,MIN(C1181+1,200)))-LN(INDEX(Dic2025!$K$6:$K$205,C1181)))*(A1181-6*C1181)/6))</f>
        <v>0.00195765993772985</v>
      </c>
      <c r="H1181" s="12" t="n">
        <f aca="false">G1181^(-1/B1181)-1</f>
        <v>0.0656432899999999</v>
      </c>
      <c r="I1181" s="12" t="n">
        <f aca="false">(1+H1181)^(1/12)-1</f>
        <v>0.0053122808053987</v>
      </c>
      <c r="J1181" s="16" t="n">
        <f aca="false">IF(C1181=0,(1+Dic2025!$M$6)^(-B1181),EXP(LN(INDEX(Dic2025!$N$6:$N$205,C1181))+(LN(INDEX(Dic2025!$N$6:$N$205,MIN(C1181+1,200)))-LN(INDEX(Dic2025!$N$6:$N$205,C1181)))*(A1181-6*C1181)/6))</f>
        <v>0.00195765993772985</v>
      </c>
      <c r="K1181" s="12" t="n">
        <f aca="false">J1181^(-1/B1181)-1</f>
        <v>0.0656432899999999</v>
      </c>
      <c r="L1181" s="12" t="n">
        <f aca="false">(1+K1181)^(1/12)-1</f>
        <v>0.0053122808053987</v>
      </c>
    </row>
    <row r="1182" customFormat="false" ht="15" hidden="false" customHeight="false" outlineLevel="0" collapsed="false">
      <c r="A1182" s="4" t="n">
        <v>1178</v>
      </c>
      <c r="B1182" s="14" t="n">
        <f aca="false">A1182/12</f>
        <v>98.1666666666667</v>
      </c>
      <c r="C1182" s="15" t="n">
        <f aca="false">INT(A1182/6)</f>
        <v>196</v>
      </c>
      <c r="D1182" s="16" t="n">
        <f aca="false">IF(C1182=0,(1+Dic2025!$G$6)^(-B1182),EXP(LN(INDEX(Dic2025!$H$6:$H$205,C1182))+(LN(INDEX(Dic2025!$H$6:$H$205,MIN(C1182+1,200)))-LN(INDEX(Dic2025!$H$6:$H$205,C1182)))*(A1182-6*C1182)/6))</f>
        <v>0.00194731525229304</v>
      </c>
      <c r="E1182" s="12" t="n">
        <f aca="false">D1182^(-1/B1182)-1</f>
        <v>0.0656432899999999</v>
      </c>
      <c r="F1182" s="12" t="n">
        <f aca="false">(1+E1182)^(1/12)-1</f>
        <v>0.0053122808053987</v>
      </c>
      <c r="G1182" s="16" t="n">
        <f aca="false">IF(C1182=0,(1+Dic2025!$J$6)^(-B1182),EXP(LN(INDEX(Dic2025!$K$6:$K$205,C1182))+(LN(INDEX(Dic2025!$K$6:$K$205,MIN(C1182+1,200)))-LN(INDEX(Dic2025!$K$6:$K$205,C1182)))*(A1182-6*C1182)/6))</f>
        <v>0.00194731525229304</v>
      </c>
      <c r="H1182" s="12" t="n">
        <f aca="false">G1182^(-1/B1182)-1</f>
        <v>0.0656432899999999</v>
      </c>
      <c r="I1182" s="12" t="n">
        <f aca="false">(1+H1182)^(1/12)-1</f>
        <v>0.0053122808053987</v>
      </c>
      <c r="J1182" s="16" t="n">
        <f aca="false">IF(C1182=0,(1+Dic2025!$M$6)^(-B1182),EXP(LN(INDEX(Dic2025!$N$6:$N$205,C1182))+(LN(INDEX(Dic2025!$N$6:$N$205,MIN(C1182+1,200)))-LN(INDEX(Dic2025!$N$6:$N$205,C1182)))*(A1182-6*C1182)/6))</f>
        <v>0.00194731525229304</v>
      </c>
      <c r="K1182" s="12" t="n">
        <f aca="false">J1182^(-1/B1182)-1</f>
        <v>0.0656432899999999</v>
      </c>
      <c r="L1182" s="12" t="n">
        <f aca="false">(1+K1182)^(1/12)-1</f>
        <v>0.0053122808053987</v>
      </c>
    </row>
    <row r="1183" customFormat="false" ht="15" hidden="false" customHeight="false" outlineLevel="0" collapsed="false">
      <c r="A1183" s="4" t="n">
        <v>1179</v>
      </c>
      <c r="B1183" s="14" t="n">
        <f aca="false">A1183/12</f>
        <v>98.25</v>
      </c>
      <c r="C1183" s="15" t="n">
        <f aca="false">INT(A1183/6)</f>
        <v>196</v>
      </c>
      <c r="D1183" s="16" t="n">
        <f aca="false">IF(C1183=0,(1+Dic2025!$G$6)^(-B1183),EXP(LN(INDEX(Dic2025!$H$6:$H$205,C1183))+(LN(INDEX(Dic2025!$H$6:$H$205,MIN(C1183+1,200)))-LN(INDEX(Dic2025!$H$6:$H$205,C1183)))*(A1183-6*C1183)/6))</f>
        <v>0.00193702523034232</v>
      </c>
      <c r="E1183" s="12" t="n">
        <f aca="false">D1183^(-1/B1183)-1</f>
        <v>0.0656432899999999</v>
      </c>
      <c r="F1183" s="12" t="n">
        <f aca="false">(1+E1183)^(1/12)-1</f>
        <v>0.0053122808053987</v>
      </c>
      <c r="G1183" s="16" t="n">
        <f aca="false">IF(C1183=0,(1+Dic2025!$J$6)^(-B1183),EXP(LN(INDEX(Dic2025!$K$6:$K$205,C1183))+(LN(INDEX(Dic2025!$K$6:$K$205,MIN(C1183+1,200)))-LN(INDEX(Dic2025!$K$6:$K$205,C1183)))*(A1183-6*C1183)/6))</f>
        <v>0.00193702523034232</v>
      </c>
      <c r="H1183" s="12" t="n">
        <f aca="false">G1183^(-1/B1183)-1</f>
        <v>0.0656432899999999</v>
      </c>
      <c r="I1183" s="12" t="n">
        <f aca="false">(1+H1183)^(1/12)-1</f>
        <v>0.0053122808053987</v>
      </c>
      <c r="J1183" s="16" t="n">
        <f aca="false">IF(C1183=0,(1+Dic2025!$M$6)^(-B1183),EXP(LN(INDEX(Dic2025!$N$6:$N$205,C1183))+(LN(INDEX(Dic2025!$N$6:$N$205,MIN(C1183+1,200)))-LN(INDEX(Dic2025!$N$6:$N$205,C1183)))*(A1183-6*C1183)/6))</f>
        <v>0.00193702523034232</v>
      </c>
      <c r="K1183" s="12" t="n">
        <f aca="false">J1183^(-1/B1183)-1</f>
        <v>0.0656432899999999</v>
      </c>
      <c r="L1183" s="12" t="n">
        <f aca="false">(1+K1183)^(1/12)-1</f>
        <v>0.0053122808053987</v>
      </c>
    </row>
    <row r="1184" customFormat="false" ht="15" hidden="false" customHeight="false" outlineLevel="0" collapsed="false">
      <c r="A1184" s="4" t="n">
        <v>1180</v>
      </c>
      <c r="B1184" s="14" t="n">
        <f aca="false">A1184/12</f>
        <v>98.3333333333333</v>
      </c>
      <c r="C1184" s="15" t="n">
        <f aca="false">INT(A1184/6)</f>
        <v>196</v>
      </c>
      <c r="D1184" s="16" t="n">
        <f aca="false">IF(C1184=0,(1+Dic2025!$G$6)^(-B1184),EXP(LN(INDEX(Dic2025!$H$6:$H$205,C1184))+(LN(INDEX(Dic2025!$H$6:$H$205,MIN(C1184+1,200)))-LN(INDEX(Dic2025!$H$6:$H$205,C1184)))*(A1184-6*C1184)/6))</f>
        <v>0.00192678958302437</v>
      </c>
      <c r="E1184" s="12" t="n">
        <f aca="false">D1184^(-1/B1184)-1</f>
        <v>0.0656432899999999</v>
      </c>
      <c r="F1184" s="12" t="n">
        <f aca="false">(1+E1184)^(1/12)-1</f>
        <v>0.0053122808053987</v>
      </c>
      <c r="G1184" s="16" t="n">
        <f aca="false">IF(C1184=0,(1+Dic2025!$J$6)^(-B1184),EXP(LN(INDEX(Dic2025!$K$6:$K$205,C1184))+(LN(INDEX(Dic2025!$K$6:$K$205,MIN(C1184+1,200)))-LN(INDEX(Dic2025!$K$6:$K$205,C1184)))*(A1184-6*C1184)/6))</f>
        <v>0.00192678958302437</v>
      </c>
      <c r="H1184" s="12" t="n">
        <f aca="false">G1184^(-1/B1184)-1</f>
        <v>0.0656432899999999</v>
      </c>
      <c r="I1184" s="12" t="n">
        <f aca="false">(1+H1184)^(1/12)-1</f>
        <v>0.0053122808053987</v>
      </c>
      <c r="J1184" s="16" t="n">
        <f aca="false">IF(C1184=0,(1+Dic2025!$M$6)^(-B1184),EXP(LN(INDEX(Dic2025!$N$6:$N$205,C1184))+(LN(INDEX(Dic2025!$N$6:$N$205,MIN(C1184+1,200)))-LN(INDEX(Dic2025!$N$6:$N$205,C1184)))*(A1184-6*C1184)/6))</f>
        <v>0.00192678958302437</v>
      </c>
      <c r="K1184" s="12" t="n">
        <f aca="false">J1184^(-1/B1184)-1</f>
        <v>0.0656432899999999</v>
      </c>
      <c r="L1184" s="12" t="n">
        <f aca="false">(1+K1184)^(1/12)-1</f>
        <v>0.0053122808053987</v>
      </c>
    </row>
    <row r="1185" customFormat="false" ht="15" hidden="false" customHeight="false" outlineLevel="0" collapsed="false">
      <c r="A1185" s="4" t="n">
        <v>1181</v>
      </c>
      <c r="B1185" s="14" t="n">
        <f aca="false">A1185/12</f>
        <v>98.4166666666667</v>
      </c>
      <c r="C1185" s="15" t="n">
        <f aca="false">INT(A1185/6)</f>
        <v>196</v>
      </c>
      <c r="D1185" s="16" t="n">
        <f aca="false">IF(C1185=0,(1+Dic2025!$G$6)^(-B1185),EXP(LN(INDEX(Dic2025!$H$6:$H$205,C1185))+(LN(INDEX(Dic2025!$H$6:$H$205,MIN(C1185+1,200)))-LN(INDEX(Dic2025!$H$6:$H$205,C1185)))*(A1185-6*C1185)/6))</f>
        <v>0.00191660802301225</v>
      </c>
      <c r="E1185" s="12" t="n">
        <f aca="false">D1185^(-1/B1185)-1</f>
        <v>0.0656432899999999</v>
      </c>
      <c r="F1185" s="12" t="n">
        <f aca="false">(1+E1185)^(1/12)-1</f>
        <v>0.0053122808053987</v>
      </c>
      <c r="G1185" s="16" t="n">
        <f aca="false">IF(C1185=0,(1+Dic2025!$J$6)^(-B1185),EXP(LN(INDEX(Dic2025!$K$6:$K$205,C1185))+(LN(INDEX(Dic2025!$K$6:$K$205,MIN(C1185+1,200)))-LN(INDEX(Dic2025!$K$6:$K$205,C1185)))*(A1185-6*C1185)/6))</f>
        <v>0.00191660802301225</v>
      </c>
      <c r="H1185" s="12" t="n">
        <f aca="false">G1185^(-1/B1185)-1</f>
        <v>0.0656432899999999</v>
      </c>
      <c r="I1185" s="12" t="n">
        <f aca="false">(1+H1185)^(1/12)-1</f>
        <v>0.0053122808053987</v>
      </c>
      <c r="J1185" s="16" t="n">
        <f aca="false">IF(C1185=0,(1+Dic2025!$M$6)^(-B1185),EXP(LN(INDEX(Dic2025!$N$6:$N$205,C1185))+(LN(INDEX(Dic2025!$N$6:$N$205,MIN(C1185+1,200)))-LN(INDEX(Dic2025!$N$6:$N$205,C1185)))*(A1185-6*C1185)/6))</f>
        <v>0.00191660802301225</v>
      </c>
      <c r="K1185" s="12" t="n">
        <f aca="false">J1185^(-1/B1185)-1</f>
        <v>0.0656432899999999</v>
      </c>
      <c r="L1185" s="12" t="n">
        <f aca="false">(1+K1185)^(1/12)-1</f>
        <v>0.0053122808053987</v>
      </c>
    </row>
    <row r="1186" customFormat="false" ht="15" hidden="false" customHeight="false" outlineLevel="0" collapsed="false">
      <c r="A1186" s="4" t="n">
        <v>1182</v>
      </c>
      <c r="B1186" s="14" t="n">
        <f aca="false">A1186/12</f>
        <v>98.5</v>
      </c>
      <c r="C1186" s="15" t="n">
        <f aca="false">INT(A1186/6)</f>
        <v>197</v>
      </c>
      <c r="D1186" s="16" t="n">
        <f aca="false">IF(C1186=0,(1+Dic2025!$G$6)^(-B1186),EXP(LN(INDEX(Dic2025!$H$6:$H$205,C1186))+(LN(INDEX(Dic2025!$H$6:$H$205,MIN(C1186+1,200)))-LN(INDEX(Dic2025!$H$6:$H$205,C1186)))*(A1186-6*C1186)/6))</f>
        <v>0.00190648026449729</v>
      </c>
      <c r="E1186" s="12" t="n">
        <f aca="false">D1186^(-1/B1186)-1</f>
        <v>0.0656432899999999</v>
      </c>
      <c r="F1186" s="12" t="n">
        <f aca="false">(1+E1186)^(1/12)-1</f>
        <v>0.0053122808053987</v>
      </c>
      <c r="G1186" s="16" t="n">
        <f aca="false">IF(C1186=0,(1+Dic2025!$J$6)^(-B1186),EXP(LN(INDEX(Dic2025!$K$6:$K$205,C1186))+(LN(INDEX(Dic2025!$K$6:$K$205,MIN(C1186+1,200)))-LN(INDEX(Dic2025!$K$6:$K$205,C1186)))*(A1186-6*C1186)/6))</f>
        <v>0.00190648026449729</v>
      </c>
      <c r="H1186" s="12" t="n">
        <f aca="false">G1186^(-1/B1186)-1</f>
        <v>0.0656432899999999</v>
      </c>
      <c r="I1186" s="12" t="n">
        <f aca="false">(1+H1186)^(1/12)-1</f>
        <v>0.0053122808053987</v>
      </c>
      <c r="J1186" s="16" t="n">
        <f aca="false">IF(C1186=0,(1+Dic2025!$M$6)^(-B1186),EXP(LN(INDEX(Dic2025!$N$6:$N$205,C1186))+(LN(INDEX(Dic2025!$N$6:$N$205,MIN(C1186+1,200)))-LN(INDEX(Dic2025!$N$6:$N$205,C1186)))*(A1186-6*C1186)/6))</f>
        <v>0.00190648026449729</v>
      </c>
      <c r="K1186" s="12" t="n">
        <f aca="false">J1186^(-1/B1186)-1</f>
        <v>0.0656432899999999</v>
      </c>
      <c r="L1186" s="12" t="n">
        <f aca="false">(1+K1186)^(1/12)-1</f>
        <v>0.0053122808053987</v>
      </c>
    </row>
    <row r="1187" customFormat="false" ht="15" hidden="false" customHeight="false" outlineLevel="0" collapsed="false">
      <c r="A1187" s="4" t="n">
        <v>1183</v>
      </c>
      <c r="B1187" s="14" t="n">
        <f aca="false">A1187/12</f>
        <v>98.5833333333333</v>
      </c>
      <c r="C1187" s="15" t="n">
        <f aca="false">INT(A1187/6)</f>
        <v>197</v>
      </c>
      <c r="D1187" s="16" t="n">
        <f aca="false">IF(C1187=0,(1+Dic2025!$G$6)^(-B1187),EXP(LN(INDEX(Dic2025!$H$6:$H$205,C1187))+(LN(INDEX(Dic2025!$H$6:$H$205,MIN(C1187+1,200)))-LN(INDEX(Dic2025!$H$6:$H$205,C1187)))*(A1187-6*C1187)/6))</f>
        <v>0.0018964060231811</v>
      </c>
      <c r="E1187" s="12" t="n">
        <f aca="false">D1187^(-1/B1187)-1</f>
        <v>0.0656432899999999</v>
      </c>
      <c r="F1187" s="12" t="n">
        <f aca="false">(1+E1187)^(1/12)-1</f>
        <v>0.0053122808053987</v>
      </c>
      <c r="G1187" s="16" t="n">
        <f aca="false">IF(C1187=0,(1+Dic2025!$J$6)^(-B1187),EXP(LN(INDEX(Dic2025!$K$6:$K$205,C1187))+(LN(INDEX(Dic2025!$K$6:$K$205,MIN(C1187+1,200)))-LN(INDEX(Dic2025!$K$6:$K$205,C1187)))*(A1187-6*C1187)/6))</f>
        <v>0.0018964060231811</v>
      </c>
      <c r="H1187" s="12" t="n">
        <f aca="false">G1187^(-1/B1187)-1</f>
        <v>0.0656432899999999</v>
      </c>
      <c r="I1187" s="12" t="n">
        <f aca="false">(1+H1187)^(1/12)-1</f>
        <v>0.0053122808053987</v>
      </c>
      <c r="J1187" s="16" t="n">
        <f aca="false">IF(C1187=0,(1+Dic2025!$M$6)^(-B1187),EXP(LN(INDEX(Dic2025!$N$6:$N$205,C1187))+(LN(INDEX(Dic2025!$N$6:$N$205,MIN(C1187+1,200)))-LN(INDEX(Dic2025!$N$6:$N$205,C1187)))*(A1187-6*C1187)/6))</f>
        <v>0.0018964060231811</v>
      </c>
      <c r="K1187" s="12" t="n">
        <f aca="false">J1187^(-1/B1187)-1</f>
        <v>0.0656432899999999</v>
      </c>
      <c r="L1187" s="12" t="n">
        <f aca="false">(1+K1187)^(1/12)-1</f>
        <v>0.0053122808053987</v>
      </c>
    </row>
    <row r="1188" customFormat="false" ht="15" hidden="false" customHeight="false" outlineLevel="0" collapsed="false">
      <c r="A1188" s="4" t="n">
        <v>1184</v>
      </c>
      <c r="B1188" s="14" t="n">
        <f aca="false">A1188/12</f>
        <v>98.6666666666667</v>
      </c>
      <c r="C1188" s="15" t="n">
        <f aca="false">INT(A1188/6)</f>
        <v>197</v>
      </c>
      <c r="D1188" s="16" t="n">
        <f aca="false">IF(C1188=0,(1+Dic2025!$G$6)^(-B1188),EXP(LN(INDEX(Dic2025!$H$6:$H$205,C1188))+(LN(INDEX(Dic2025!$H$6:$H$205,MIN(C1188+1,200)))-LN(INDEX(Dic2025!$H$6:$H$205,C1188)))*(A1188-6*C1188)/6))</f>
        <v>0.00188638501626759</v>
      </c>
      <c r="E1188" s="12" t="n">
        <f aca="false">D1188^(-1/B1188)-1</f>
        <v>0.0656432899999999</v>
      </c>
      <c r="F1188" s="12" t="n">
        <f aca="false">(1+E1188)^(1/12)-1</f>
        <v>0.0053122808053987</v>
      </c>
      <c r="G1188" s="16" t="n">
        <f aca="false">IF(C1188=0,(1+Dic2025!$J$6)^(-B1188),EXP(LN(INDEX(Dic2025!$K$6:$K$205,C1188))+(LN(INDEX(Dic2025!$K$6:$K$205,MIN(C1188+1,200)))-LN(INDEX(Dic2025!$K$6:$K$205,C1188)))*(A1188-6*C1188)/6))</f>
        <v>0.00188638501626759</v>
      </c>
      <c r="H1188" s="12" t="n">
        <f aca="false">G1188^(-1/B1188)-1</f>
        <v>0.0656432899999999</v>
      </c>
      <c r="I1188" s="12" t="n">
        <f aca="false">(1+H1188)^(1/12)-1</f>
        <v>0.0053122808053987</v>
      </c>
      <c r="J1188" s="16" t="n">
        <f aca="false">IF(C1188=0,(1+Dic2025!$M$6)^(-B1188),EXP(LN(INDEX(Dic2025!$N$6:$N$205,C1188))+(LN(INDEX(Dic2025!$N$6:$N$205,MIN(C1188+1,200)))-LN(INDEX(Dic2025!$N$6:$N$205,C1188)))*(A1188-6*C1188)/6))</f>
        <v>0.00188638501626759</v>
      </c>
      <c r="K1188" s="12" t="n">
        <f aca="false">J1188^(-1/B1188)-1</f>
        <v>0.0656432899999999</v>
      </c>
      <c r="L1188" s="12" t="n">
        <f aca="false">(1+K1188)^(1/12)-1</f>
        <v>0.0053122808053987</v>
      </c>
    </row>
    <row r="1189" customFormat="false" ht="15" hidden="false" customHeight="false" outlineLevel="0" collapsed="false">
      <c r="A1189" s="4" t="n">
        <v>1185</v>
      </c>
      <c r="B1189" s="14" t="n">
        <f aca="false">A1189/12</f>
        <v>98.75</v>
      </c>
      <c r="C1189" s="15" t="n">
        <f aca="false">INT(A1189/6)</f>
        <v>197</v>
      </c>
      <c r="D1189" s="16" t="n">
        <f aca="false">IF(C1189=0,(1+Dic2025!$G$6)^(-B1189),EXP(LN(INDEX(Dic2025!$H$6:$H$205,C1189))+(LN(INDEX(Dic2025!$H$6:$H$205,MIN(C1189+1,200)))-LN(INDEX(Dic2025!$H$6:$H$205,C1189)))*(A1189-6*C1189)/6))</f>
        <v>0.00187641696245502</v>
      </c>
      <c r="E1189" s="12" t="n">
        <f aca="false">D1189^(-1/B1189)-1</f>
        <v>0.0656432899999999</v>
      </c>
      <c r="F1189" s="12" t="n">
        <f aca="false">(1+E1189)^(1/12)-1</f>
        <v>0.0053122808053987</v>
      </c>
      <c r="G1189" s="16" t="n">
        <f aca="false">IF(C1189=0,(1+Dic2025!$J$6)^(-B1189),EXP(LN(INDEX(Dic2025!$K$6:$K$205,C1189))+(LN(INDEX(Dic2025!$K$6:$K$205,MIN(C1189+1,200)))-LN(INDEX(Dic2025!$K$6:$K$205,C1189)))*(A1189-6*C1189)/6))</f>
        <v>0.00187641696245502</v>
      </c>
      <c r="H1189" s="12" t="n">
        <f aca="false">G1189^(-1/B1189)-1</f>
        <v>0.0656432899999999</v>
      </c>
      <c r="I1189" s="12" t="n">
        <f aca="false">(1+H1189)^(1/12)-1</f>
        <v>0.0053122808053987</v>
      </c>
      <c r="J1189" s="16" t="n">
        <f aca="false">IF(C1189=0,(1+Dic2025!$M$6)^(-B1189),EXP(LN(INDEX(Dic2025!$N$6:$N$205,C1189))+(LN(INDEX(Dic2025!$N$6:$N$205,MIN(C1189+1,200)))-LN(INDEX(Dic2025!$N$6:$N$205,C1189)))*(A1189-6*C1189)/6))</f>
        <v>0.00187641696245502</v>
      </c>
      <c r="K1189" s="12" t="n">
        <f aca="false">J1189^(-1/B1189)-1</f>
        <v>0.0656432899999999</v>
      </c>
      <c r="L1189" s="12" t="n">
        <f aca="false">(1+K1189)^(1/12)-1</f>
        <v>0.0053122808053987</v>
      </c>
    </row>
    <row r="1190" customFormat="false" ht="15" hidden="false" customHeight="false" outlineLevel="0" collapsed="false">
      <c r="A1190" s="4" t="n">
        <v>1186</v>
      </c>
      <c r="B1190" s="14" t="n">
        <f aca="false">A1190/12</f>
        <v>98.8333333333333</v>
      </c>
      <c r="C1190" s="15" t="n">
        <f aca="false">INT(A1190/6)</f>
        <v>197</v>
      </c>
      <c r="D1190" s="16" t="n">
        <f aca="false">IF(C1190=0,(1+Dic2025!$G$6)^(-B1190),EXP(LN(INDEX(Dic2025!$H$6:$H$205,C1190))+(LN(INDEX(Dic2025!$H$6:$H$205,MIN(C1190+1,200)))-LN(INDEX(Dic2025!$H$6:$H$205,C1190)))*(A1190-6*C1190)/6))</f>
        <v>0.0018665015819281</v>
      </c>
      <c r="E1190" s="12" t="n">
        <f aca="false">D1190^(-1/B1190)-1</f>
        <v>0.0656432899999999</v>
      </c>
      <c r="F1190" s="12" t="n">
        <f aca="false">(1+E1190)^(1/12)-1</f>
        <v>0.0053122808053987</v>
      </c>
      <c r="G1190" s="16" t="n">
        <f aca="false">IF(C1190=0,(1+Dic2025!$J$6)^(-B1190),EXP(LN(INDEX(Dic2025!$K$6:$K$205,C1190))+(LN(INDEX(Dic2025!$K$6:$K$205,MIN(C1190+1,200)))-LN(INDEX(Dic2025!$K$6:$K$205,C1190)))*(A1190-6*C1190)/6))</f>
        <v>0.0018665015819281</v>
      </c>
      <c r="H1190" s="12" t="n">
        <f aca="false">G1190^(-1/B1190)-1</f>
        <v>0.0656432899999999</v>
      </c>
      <c r="I1190" s="12" t="n">
        <f aca="false">(1+H1190)^(1/12)-1</f>
        <v>0.0053122808053987</v>
      </c>
      <c r="J1190" s="16" t="n">
        <f aca="false">IF(C1190=0,(1+Dic2025!$M$6)^(-B1190),EXP(LN(INDEX(Dic2025!$N$6:$N$205,C1190))+(LN(INDEX(Dic2025!$N$6:$N$205,MIN(C1190+1,200)))-LN(INDEX(Dic2025!$N$6:$N$205,C1190)))*(A1190-6*C1190)/6))</f>
        <v>0.0018665015819281</v>
      </c>
      <c r="K1190" s="12" t="n">
        <f aca="false">J1190^(-1/B1190)-1</f>
        <v>0.0656432899999999</v>
      </c>
      <c r="L1190" s="12" t="n">
        <f aca="false">(1+K1190)^(1/12)-1</f>
        <v>0.0053122808053987</v>
      </c>
    </row>
    <row r="1191" customFormat="false" ht="15" hidden="false" customHeight="false" outlineLevel="0" collapsed="false">
      <c r="A1191" s="4" t="n">
        <v>1187</v>
      </c>
      <c r="B1191" s="14" t="n">
        <f aca="false">A1191/12</f>
        <v>98.9166666666667</v>
      </c>
      <c r="C1191" s="15" t="n">
        <f aca="false">INT(A1191/6)</f>
        <v>197</v>
      </c>
      <c r="D1191" s="16" t="n">
        <f aca="false">IF(C1191=0,(1+Dic2025!$G$6)^(-B1191),EXP(LN(INDEX(Dic2025!$H$6:$H$205,C1191))+(LN(INDEX(Dic2025!$H$6:$H$205,MIN(C1191+1,200)))-LN(INDEX(Dic2025!$H$6:$H$205,C1191)))*(A1191-6*C1191)/6))</f>
        <v>0.00185663859635014</v>
      </c>
      <c r="E1191" s="12" t="n">
        <f aca="false">D1191^(-1/B1191)-1</f>
        <v>0.0656432899999999</v>
      </c>
      <c r="F1191" s="12" t="n">
        <f aca="false">(1+E1191)^(1/12)-1</f>
        <v>0.0053122808053987</v>
      </c>
      <c r="G1191" s="16" t="n">
        <f aca="false">IF(C1191=0,(1+Dic2025!$J$6)^(-B1191),EXP(LN(INDEX(Dic2025!$K$6:$K$205,C1191))+(LN(INDEX(Dic2025!$K$6:$K$205,MIN(C1191+1,200)))-LN(INDEX(Dic2025!$K$6:$K$205,C1191)))*(A1191-6*C1191)/6))</f>
        <v>0.00185663859635014</v>
      </c>
      <c r="H1191" s="12" t="n">
        <f aca="false">G1191^(-1/B1191)-1</f>
        <v>0.0656432899999999</v>
      </c>
      <c r="I1191" s="12" t="n">
        <f aca="false">(1+H1191)^(1/12)-1</f>
        <v>0.0053122808053987</v>
      </c>
      <c r="J1191" s="16" t="n">
        <f aca="false">IF(C1191=0,(1+Dic2025!$M$6)^(-B1191),EXP(LN(INDEX(Dic2025!$N$6:$N$205,C1191))+(LN(INDEX(Dic2025!$N$6:$N$205,MIN(C1191+1,200)))-LN(INDEX(Dic2025!$N$6:$N$205,C1191)))*(A1191-6*C1191)/6))</f>
        <v>0.00185663859635014</v>
      </c>
      <c r="K1191" s="12" t="n">
        <f aca="false">J1191^(-1/B1191)-1</f>
        <v>0.0656432899999999</v>
      </c>
      <c r="L1191" s="12" t="n">
        <f aca="false">(1+K1191)^(1/12)-1</f>
        <v>0.0053122808053987</v>
      </c>
    </row>
    <row r="1192" customFormat="false" ht="15" hidden="false" customHeight="false" outlineLevel="0" collapsed="false">
      <c r="A1192" s="4" t="n">
        <v>1188</v>
      </c>
      <c r="B1192" s="14" t="n">
        <f aca="false">A1192/12</f>
        <v>99</v>
      </c>
      <c r="C1192" s="15" t="n">
        <f aca="false">INT(A1192/6)</f>
        <v>198</v>
      </c>
      <c r="D1192" s="16" t="n">
        <f aca="false">IF(C1192=0,(1+Dic2025!$G$6)^(-B1192),EXP(LN(INDEX(Dic2025!$H$6:$H$205,C1192))+(LN(INDEX(Dic2025!$H$6:$H$205,MIN(C1192+1,200)))-LN(INDEX(Dic2025!$H$6:$H$205,C1192)))*(A1192-6*C1192)/6))</f>
        <v>0.00184682772885527</v>
      </c>
      <c r="E1192" s="12" t="n">
        <f aca="false">D1192^(-1/B1192)-1</f>
        <v>0.0656432899999999</v>
      </c>
      <c r="F1192" s="12" t="n">
        <f aca="false">(1+E1192)^(1/12)-1</f>
        <v>0.0053122808053987</v>
      </c>
      <c r="G1192" s="16" t="n">
        <f aca="false">IF(C1192=0,(1+Dic2025!$J$6)^(-B1192),EXP(LN(INDEX(Dic2025!$K$6:$K$205,C1192))+(LN(INDEX(Dic2025!$K$6:$K$205,MIN(C1192+1,200)))-LN(INDEX(Dic2025!$K$6:$K$205,C1192)))*(A1192-6*C1192)/6))</f>
        <v>0.00184682772885527</v>
      </c>
      <c r="H1192" s="12" t="n">
        <f aca="false">G1192^(-1/B1192)-1</f>
        <v>0.0656432899999999</v>
      </c>
      <c r="I1192" s="12" t="n">
        <f aca="false">(1+H1192)^(1/12)-1</f>
        <v>0.0053122808053987</v>
      </c>
      <c r="J1192" s="16" t="n">
        <f aca="false">IF(C1192=0,(1+Dic2025!$M$6)^(-B1192),EXP(LN(INDEX(Dic2025!$N$6:$N$205,C1192))+(LN(INDEX(Dic2025!$N$6:$N$205,MIN(C1192+1,200)))-LN(INDEX(Dic2025!$N$6:$N$205,C1192)))*(A1192-6*C1192)/6))</f>
        <v>0.00184682772885527</v>
      </c>
      <c r="K1192" s="12" t="n">
        <f aca="false">J1192^(-1/B1192)-1</f>
        <v>0.0656432899999999</v>
      </c>
      <c r="L1192" s="12" t="n">
        <f aca="false">(1+K1192)^(1/12)-1</f>
        <v>0.0053122808053987</v>
      </c>
    </row>
    <row r="1193" customFormat="false" ht="15" hidden="false" customHeight="false" outlineLevel="0" collapsed="false">
      <c r="A1193" s="4" t="n">
        <v>1189</v>
      </c>
      <c r="B1193" s="14" t="n">
        <f aca="false">A1193/12</f>
        <v>99.0833333333333</v>
      </c>
      <c r="C1193" s="15" t="n">
        <f aca="false">INT(A1193/6)</f>
        <v>198</v>
      </c>
      <c r="D1193" s="16" t="n">
        <f aca="false">IF(C1193=0,(1+Dic2025!$G$6)^(-B1193),EXP(LN(INDEX(Dic2025!$H$6:$H$205,C1193))+(LN(INDEX(Dic2025!$H$6:$H$205,MIN(C1193+1,200)))-LN(INDEX(Dic2025!$H$6:$H$205,C1193)))*(A1193-6*C1193)/6))</f>
        <v>0.00183706870404059</v>
      </c>
      <c r="E1193" s="12" t="n">
        <f aca="false">D1193^(-1/B1193)-1</f>
        <v>0.0656432899999999</v>
      </c>
      <c r="F1193" s="12" t="n">
        <f aca="false">(1+E1193)^(1/12)-1</f>
        <v>0.0053122808053987</v>
      </c>
      <c r="G1193" s="16" t="n">
        <f aca="false">IF(C1193=0,(1+Dic2025!$J$6)^(-B1193),EXP(LN(INDEX(Dic2025!$K$6:$K$205,C1193))+(LN(INDEX(Dic2025!$K$6:$K$205,MIN(C1193+1,200)))-LN(INDEX(Dic2025!$K$6:$K$205,C1193)))*(A1193-6*C1193)/6))</f>
        <v>0.00183706870404059</v>
      </c>
      <c r="H1193" s="12" t="n">
        <f aca="false">G1193^(-1/B1193)-1</f>
        <v>0.0656432899999999</v>
      </c>
      <c r="I1193" s="12" t="n">
        <f aca="false">(1+H1193)^(1/12)-1</f>
        <v>0.0053122808053987</v>
      </c>
      <c r="J1193" s="16" t="n">
        <f aca="false">IF(C1193=0,(1+Dic2025!$M$6)^(-B1193),EXP(LN(INDEX(Dic2025!$N$6:$N$205,C1193))+(LN(INDEX(Dic2025!$N$6:$N$205,MIN(C1193+1,200)))-LN(INDEX(Dic2025!$N$6:$N$205,C1193)))*(A1193-6*C1193)/6))</f>
        <v>0.00183706870404059</v>
      </c>
      <c r="K1193" s="12" t="n">
        <f aca="false">J1193^(-1/B1193)-1</f>
        <v>0.0656432899999999</v>
      </c>
      <c r="L1193" s="12" t="n">
        <f aca="false">(1+K1193)^(1/12)-1</f>
        <v>0.0053122808053987</v>
      </c>
    </row>
    <row r="1194" customFormat="false" ht="15" hidden="false" customHeight="false" outlineLevel="0" collapsed="false">
      <c r="A1194" s="4" t="n">
        <v>1190</v>
      </c>
      <c r="B1194" s="14" t="n">
        <f aca="false">A1194/12</f>
        <v>99.1666666666667</v>
      </c>
      <c r="C1194" s="15" t="n">
        <f aca="false">INT(A1194/6)</f>
        <v>198</v>
      </c>
      <c r="D1194" s="16" t="n">
        <f aca="false">IF(C1194=0,(1+Dic2025!$G$6)^(-B1194),EXP(LN(INDEX(Dic2025!$H$6:$H$205,C1194))+(LN(INDEX(Dic2025!$H$6:$H$205,MIN(C1194+1,200)))-LN(INDEX(Dic2025!$H$6:$H$205,C1194)))*(A1194-6*C1194)/6))</f>
        <v>0.00182736124795853</v>
      </c>
      <c r="E1194" s="12" t="n">
        <f aca="false">D1194^(-1/B1194)-1</f>
        <v>0.0656432899999999</v>
      </c>
      <c r="F1194" s="12" t="n">
        <f aca="false">(1+E1194)^(1/12)-1</f>
        <v>0.0053122808053987</v>
      </c>
      <c r="G1194" s="16" t="n">
        <f aca="false">IF(C1194=0,(1+Dic2025!$J$6)^(-B1194),EXP(LN(INDEX(Dic2025!$K$6:$K$205,C1194))+(LN(INDEX(Dic2025!$K$6:$K$205,MIN(C1194+1,200)))-LN(INDEX(Dic2025!$K$6:$K$205,C1194)))*(A1194-6*C1194)/6))</f>
        <v>0.00182736124795853</v>
      </c>
      <c r="H1194" s="12" t="n">
        <f aca="false">G1194^(-1/B1194)-1</f>
        <v>0.0656432899999999</v>
      </c>
      <c r="I1194" s="12" t="n">
        <f aca="false">(1+H1194)^(1/12)-1</f>
        <v>0.0053122808053987</v>
      </c>
      <c r="J1194" s="16" t="n">
        <f aca="false">IF(C1194=0,(1+Dic2025!$M$6)^(-B1194),EXP(LN(INDEX(Dic2025!$N$6:$N$205,C1194))+(LN(INDEX(Dic2025!$N$6:$N$205,MIN(C1194+1,200)))-LN(INDEX(Dic2025!$N$6:$N$205,C1194)))*(A1194-6*C1194)/6))</f>
        <v>0.00182736124795853</v>
      </c>
      <c r="K1194" s="12" t="n">
        <f aca="false">J1194^(-1/B1194)-1</f>
        <v>0.0656432899999999</v>
      </c>
      <c r="L1194" s="12" t="n">
        <f aca="false">(1+K1194)^(1/12)-1</f>
        <v>0.0053122808053987</v>
      </c>
    </row>
    <row r="1195" customFormat="false" ht="15" hidden="false" customHeight="false" outlineLevel="0" collapsed="false">
      <c r="A1195" s="4" t="n">
        <v>1191</v>
      </c>
      <c r="B1195" s="14" t="n">
        <f aca="false">A1195/12</f>
        <v>99.25</v>
      </c>
      <c r="C1195" s="15" t="n">
        <f aca="false">INT(A1195/6)</f>
        <v>198</v>
      </c>
      <c r="D1195" s="16" t="n">
        <f aca="false">IF(C1195=0,(1+Dic2025!$G$6)^(-B1195),EXP(LN(INDEX(Dic2025!$H$6:$H$205,C1195))+(LN(INDEX(Dic2025!$H$6:$H$205,MIN(C1195+1,200)))-LN(INDEX(Dic2025!$H$6:$H$205,C1195)))*(A1195-6*C1195)/6))</f>
        <v>0.0018177050881091</v>
      </c>
      <c r="E1195" s="12" t="n">
        <f aca="false">D1195^(-1/B1195)-1</f>
        <v>0.0656432899999999</v>
      </c>
      <c r="F1195" s="12" t="n">
        <f aca="false">(1+E1195)^(1/12)-1</f>
        <v>0.0053122808053987</v>
      </c>
      <c r="G1195" s="16" t="n">
        <f aca="false">IF(C1195=0,(1+Dic2025!$J$6)^(-B1195),EXP(LN(INDEX(Dic2025!$K$6:$K$205,C1195))+(LN(INDEX(Dic2025!$K$6:$K$205,MIN(C1195+1,200)))-LN(INDEX(Dic2025!$K$6:$K$205,C1195)))*(A1195-6*C1195)/6))</f>
        <v>0.0018177050881091</v>
      </c>
      <c r="H1195" s="12" t="n">
        <f aca="false">G1195^(-1/B1195)-1</f>
        <v>0.0656432899999999</v>
      </c>
      <c r="I1195" s="12" t="n">
        <f aca="false">(1+H1195)^(1/12)-1</f>
        <v>0.0053122808053987</v>
      </c>
      <c r="J1195" s="16" t="n">
        <f aca="false">IF(C1195=0,(1+Dic2025!$M$6)^(-B1195),EXP(LN(INDEX(Dic2025!$N$6:$N$205,C1195))+(LN(INDEX(Dic2025!$N$6:$N$205,MIN(C1195+1,200)))-LN(INDEX(Dic2025!$N$6:$N$205,C1195)))*(A1195-6*C1195)/6))</f>
        <v>0.0018177050881091</v>
      </c>
      <c r="K1195" s="12" t="n">
        <f aca="false">J1195^(-1/B1195)-1</f>
        <v>0.0656432899999999</v>
      </c>
      <c r="L1195" s="12" t="n">
        <f aca="false">(1+K1195)^(1/12)-1</f>
        <v>0.0053122808053987</v>
      </c>
    </row>
    <row r="1196" customFormat="false" ht="15" hidden="false" customHeight="false" outlineLevel="0" collapsed="false">
      <c r="A1196" s="4" t="n">
        <v>1192</v>
      </c>
      <c r="B1196" s="14" t="n">
        <f aca="false">A1196/12</f>
        <v>99.3333333333333</v>
      </c>
      <c r="C1196" s="15" t="n">
        <f aca="false">INT(A1196/6)</f>
        <v>198</v>
      </c>
      <c r="D1196" s="16" t="n">
        <f aca="false">IF(C1196=0,(1+Dic2025!$G$6)^(-B1196),EXP(LN(INDEX(Dic2025!$H$6:$H$205,C1196))+(LN(INDEX(Dic2025!$H$6:$H$205,MIN(C1196+1,200)))-LN(INDEX(Dic2025!$H$6:$H$205,C1196)))*(A1196-6*C1196)/6))</f>
        <v>0.00180809995343224</v>
      </c>
      <c r="E1196" s="12" t="n">
        <f aca="false">D1196^(-1/B1196)-1</f>
        <v>0.0656432899999999</v>
      </c>
      <c r="F1196" s="12" t="n">
        <f aca="false">(1+E1196)^(1/12)-1</f>
        <v>0.0053122808053987</v>
      </c>
      <c r="G1196" s="16" t="n">
        <f aca="false">IF(C1196=0,(1+Dic2025!$J$6)^(-B1196),EXP(LN(INDEX(Dic2025!$K$6:$K$205,C1196))+(LN(INDEX(Dic2025!$K$6:$K$205,MIN(C1196+1,200)))-LN(INDEX(Dic2025!$K$6:$K$205,C1196)))*(A1196-6*C1196)/6))</f>
        <v>0.00180809995343224</v>
      </c>
      <c r="H1196" s="12" t="n">
        <f aca="false">G1196^(-1/B1196)-1</f>
        <v>0.0656432899999999</v>
      </c>
      <c r="I1196" s="12" t="n">
        <f aca="false">(1+H1196)^(1/12)-1</f>
        <v>0.0053122808053987</v>
      </c>
      <c r="J1196" s="16" t="n">
        <f aca="false">IF(C1196=0,(1+Dic2025!$M$6)^(-B1196),EXP(LN(INDEX(Dic2025!$N$6:$N$205,C1196))+(LN(INDEX(Dic2025!$N$6:$N$205,MIN(C1196+1,200)))-LN(INDEX(Dic2025!$N$6:$N$205,C1196)))*(A1196-6*C1196)/6))</f>
        <v>0.00180809995343224</v>
      </c>
      <c r="K1196" s="12" t="n">
        <f aca="false">J1196^(-1/B1196)-1</f>
        <v>0.0656432899999999</v>
      </c>
      <c r="L1196" s="12" t="n">
        <f aca="false">(1+K1196)^(1/12)-1</f>
        <v>0.0053122808053987</v>
      </c>
    </row>
    <row r="1197" customFormat="false" ht="15" hidden="false" customHeight="false" outlineLevel="0" collapsed="false">
      <c r="A1197" s="4" t="n">
        <v>1193</v>
      </c>
      <c r="B1197" s="14" t="n">
        <f aca="false">A1197/12</f>
        <v>99.4166666666667</v>
      </c>
      <c r="C1197" s="15" t="n">
        <f aca="false">INT(A1197/6)</f>
        <v>198</v>
      </c>
      <c r="D1197" s="16" t="n">
        <f aca="false">IF(C1197=0,(1+Dic2025!$G$6)^(-B1197),EXP(LN(INDEX(Dic2025!$H$6:$H$205,C1197))+(LN(INDEX(Dic2025!$H$6:$H$205,MIN(C1197+1,200)))-LN(INDEX(Dic2025!$H$6:$H$205,C1197)))*(A1197-6*C1197)/6))</f>
        <v>0.00179854557430024</v>
      </c>
      <c r="E1197" s="12" t="n">
        <f aca="false">D1197^(-1/B1197)-1</f>
        <v>0.0656432899999999</v>
      </c>
      <c r="F1197" s="12" t="n">
        <f aca="false">(1+E1197)^(1/12)-1</f>
        <v>0.0053122808053987</v>
      </c>
      <c r="G1197" s="16" t="n">
        <f aca="false">IF(C1197=0,(1+Dic2025!$J$6)^(-B1197),EXP(LN(INDEX(Dic2025!$K$6:$K$205,C1197))+(LN(INDEX(Dic2025!$K$6:$K$205,MIN(C1197+1,200)))-LN(INDEX(Dic2025!$K$6:$K$205,C1197)))*(A1197-6*C1197)/6))</f>
        <v>0.00179854557430024</v>
      </c>
      <c r="H1197" s="12" t="n">
        <f aca="false">G1197^(-1/B1197)-1</f>
        <v>0.0656432899999999</v>
      </c>
      <c r="I1197" s="12" t="n">
        <f aca="false">(1+H1197)^(1/12)-1</f>
        <v>0.0053122808053987</v>
      </c>
      <c r="J1197" s="16" t="n">
        <f aca="false">IF(C1197=0,(1+Dic2025!$M$6)^(-B1197),EXP(LN(INDEX(Dic2025!$N$6:$N$205,C1197))+(LN(INDEX(Dic2025!$N$6:$N$205,MIN(C1197+1,200)))-LN(INDEX(Dic2025!$N$6:$N$205,C1197)))*(A1197-6*C1197)/6))</f>
        <v>0.00179854557430024</v>
      </c>
      <c r="K1197" s="12" t="n">
        <f aca="false">J1197^(-1/B1197)-1</f>
        <v>0.0656432899999999</v>
      </c>
      <c r="L1197" s="12" t="n">
        <f aca="false">(1+K1197)^(1/12)-1</f>
        <v>0.0053122808053987</v>
      </c>
    </row>
    <row r="1198" customFormat="false" ht="15" hidden="false" customHeight="false" outlineLevel="0" collapsed="false">
      <c r="A1198" s="4" t="n">
        <v>1194</v>
      </c>
      <c r="B1198" s="14" t="n">
        <f aca="false">A1198/12</f>
        <v>99.5</v>
      </c>
      <c r="C1198" s="15" t="n">
        <f aca="false">INT(A1198/6)</f>
        <v>199</v>
      </c>
      <c r="D1198" s="16" t="n">
        <f aca="false">IF(C1198=0,(1+Dic2025!$G$6)^(-B1198),EXP(LN(INDEX(Dic2025!$H$6:$H$205,C1198))+(LN(INDEX(Dic2025!$H$6:$H$205,MIN(C1198+1,200)))-LN(INDEX(Dic2025!$H$6:$H$205,C1198)))*(A1198-6*C1198)/6))</f>
        <v>0.00178904168251019</v>
      </c>
      <c r="E1198" s="12" t="n">
        <f aca="false">D1198^(-1/B1198)-1</f>
        <v>0.0656432899999999</v>
      </c>
      <c r="F1198" s="12" t="n">
        <f aca="false">(1+E1198)^(1/12)-1</f>
        <v>0.0053122808053987</v>
      </c>
      <c r="G1198" s="16" t="n">
        <f aca="false">IF(C1198=0,(1+Dic2025!$J$6)^(-B1198),EXP(LN(INDEX(Dic2025!$K$6:$K$205,C1198))+(LN(INDEX(Dic2025!$K$6:$K$205,MIN(C1198+1,200)))-LN(INDEX(Dic2025!$K$6:$K$205,C1198)))*(A1198-6*C1198)/6))</f>
        <v>0.00178904168251019</v>
      </c>
      <c r="H1198" s="12" t="n">
        <f aca="false">G1198^(-1/B1198)-1</f>
        <v>0.0656432899999999</v>
      </c>
      <c r="I1198" s="12" t="n">
        <f aca="false">(1+H1198)^(1/12)-1</f>
        <v>0.0053122808053987</v>
      </c>
      <c r="J1198" s="16" t="n">
        <f aca="false">IF(C1198=0,(1+Dic2025!$M$6)^(-B1198),EXP(LN(INDEX(Dic2025!$N$6:$N$205,C1198))+(LN(INDEX(Dic2025!$N$6:$N$205,MIN(C1198+1,200)))-LN(INDEX(Dic2025!$N$6:$N$205,C1198)))*(A1198-6*C1198)/6))</f>
        <v>0.00178904168251019</v>
      </c>
      <c r="K1198" s="12" t="n">
        <f aca="false">J1198^(-1/B1198)-1</f>
        <v>0.0656432899999999</v>
      </c>
      <c r="L1198" s="12" t="n">
        <f aca="false">(1+K1198)^(1/12)-1</f>
        <v>0.0053122808053987</v>
      </c>
    </row>
    <row r="1199" customFormat="false" ht="15" hidden="false" customHeight="false" outlineLevel="0" collapsed="false">
      <c r="A1199" s="4" t="n">
        <v>1195</v>
      </c>
      <c r="B1199" s="14" t="n">
        <f aca="false">A1199/12</f>
        <v>99.5833333333333</v>
      </c>
      <c r="C1199" s="15" t="n">
        <f aca="false">INT(A1199/6)</f>
        <v>199</v>
      </c>
      <c r="D1199" s="16" t="n">
        <f aca="false">IF(C1199=0,(1+Dic2025!$G$6)^(-B1199),EXP(LN(INDEX(Dic2025!$H$6:$H$205,C1199))+(LN(INDEX(Dic2025!$H$6:$H$205,MIN(C1199+1,200)))-LN(INDEX(Dic2025!$H$6:$H$205,C1199)))*(A1199-6*C1199)/6))</f>
        <v>0.00177958801127637</v>
      </c>
      <c r="E1199" s="12" t="n">
        <f aca="false">D1199^(-1/B1199)-1</f>
        <v>0.0656432899999999</v>
      </c>
      <c r="F1199" s="12" t="n">
        <f aca="false">(1+E1199)^(1/12)-1</f>
        <v>0.0053122808053987</v>
      </c>
      <c r="G1199" s="16" t="n">
        <f aca="false">IF(C1199=0,(1+Dic2025!$J$6)^(-B1199),EXP(LN(INDEX(Dic2025!$K$6:$K$205,C1199))+(LN(INDEX(Dic2025!$K$6:$K$205,MIN(C1199+1,200)))-LN(INDEX(Dic2025!$K$6:$K$205,C1199)))*(A1199-6*C1199)/6))</f>
        <v>0.00177958801127637</v>
      </c>
      <c r="H1199" s="12" t="n">
        <f aca="false">G1199^(-1/B1199)-1</f>
        <v>0.0656432899999999</v>
      </c>
      <c r="I1199" s="12" t="n">
        <f aca="false">(1+H1199)^(1/12)-1</f>
        <v>0.0053122808053987</v>
      </c>
      <c r="J1199" s="16" t="n">
        <f aca="false">IF(C1199=0,(1+Dic2025!$M$6)^(-B1199),EXP(LN(INDEX(Dic2025!$N$6:$N$205,C1199))+(LN(INDEX(Dic2025!$N$6:$N$205,MIN(C1199+1,200)))-LN(INDEX(Dic2025!$N$6:$N$205,C1199)))*(A1199-6*C1199)/6))</f>
        <v>0.00177958801127637</v>
      </c>
      <c r="K1199" s="12" t="n">
        <f aca="false">J1199^(-1/B1199)-1</f>
        <v>0.0656432899999999</v>
      </c>
      <c r="L1199" s="12" t="n">
        <f aca="false">(1+K1199)^(1/12)-1</f>
        <v>0.0053122808053987</v>
      </c>
    </row>
    <row r="1200" customFormat="false" ht="15" hidden="false" customHeight="false" outlineLevel="0" collapsed="false">
      <c r="A1200" s="4" t="n">
        <v>1196</v>
      </c>
      <c r="B1200" s="14" t="n">
        <f aca="false">A1200/12</f>
        <v>99.6666666666667</v>
      </c>
      <c r="C1200" s="15" t="n">
        <f aca="false">INT(A1200/6)</f>
        <v>199</v>
      </c>
      <c r="D1200" s="16" t="n">
        <f aca="false">IF(C1200=0,(1+Dic2025!$G$6)^(-B1200),EXP(LN(INDEX(Dic2025!$H$6:$H$205,C1200))+(LN(INDEX(Dic2025!$H$6:$H$205,MIN(C1200+1,200)))-LN(INDEX(Dic2025!$H$6:$H$205,C1200)))*(A1200-6*C1200)/6))</f>
        <v>0.00177018429522284</v>
      </c>
      <c r="E1200" s="12" t="n">
        <f aca="false">D1200^(-1/B1200)-1</f>
        <v>0.0656432899999999</v>
      </c>
      <c r="F1200" s="12" t="n">
        <f aca="false">(1+E1200)^(1/12)-1</f>
        <v>0.0053122808053987</v>
      </c>
      <c r="G1200" s="16" t="n">
        <f aca="false">IF(C1200=0,(1+Dic2025!$J$6)^(-B1200),EXP(LN(INDEX(Dic2025!$K$6:$K$205,C1200))+(LN(INDEX(Dic2025!$K$6:$K$205,MIN(C1200+1,200)))-LN(INDEX(Dic2025!$K$6:$K$205,C1200)))*(A1200-6*C1200)/6))</f>
        <v>0.00177018429522284</v>
      </c>
      <c r="H1200" s="12" t="n">
        <f aca="false">G1200^(-1/B1200)-1</f>
        <v>0.0656432899999999</v>
      </c>
      <c r="I1200" s="12" t="n">
        <f aca="false">(1+H1200)^(1/12)-1</f>
        <v>0.0053122808053987</v>
      </c>
      <c r="J1200" s="16" t="n">
        <f aca="false">IF(C1200=0,(1+Dic2025!$M$6)^(-B1200),EXP(LN(INDEX(Dic2025!$N$6:$N$205,C1200))+(LN(INDEX(Dic2025!$N$6:$N$205,MIN(C1200+1,200)))-LN(INDEX(Dic2025!$N$6:$N$205,C1200)))*(A1200-6*C1200)/6))</f>
        <v>0.00177018429522284</v>
      </c>
      <c r="K1200" s="12" t="n">
        <f aca="false">J1200^(-1/B1200)-1</f>
        <v>0.0656432899999999</v>
      </c>
      <c r="L1200" s="12" t="n">
        <f aca="false">(1+K1200)^(1/12)-1</f>
        <v>0.0053122808053987</v>
      </c>
    </row>
    <row r="1201" customFormat="false" ht="15" hidden="false" customHeight="false" outlineLevel="0" collapsed="false">
      <c r="A1201" s="4" t="n">
        <v>1197</v>
      </c>
      <c r="B1201" s="14" t="n">
        <f aca="false">A1201/12</f>
        <v>99.75</v>
      </c>
      <c r="C1201" s="15" t="n">
        <f aca="false">INT(A1201/6)</f>
        <v>199</v>
      </c>
      <c r="D1201" s="16" t="n">
        <f aca="false">IF(C1201=0,(1+Dic2025!$G$6)^(-B1201),EXP(LN(INDEX(Dic2025!$H$6:$H$205,C1201))+(LN(INDEX(Dic2025!$H$6:$H$205,MIN(C1201+1,200)))-LN(INDEX(Dic2025!$H$6:$H$205,C1201)))*(A1201-6*C1201)/6))</f>
        <v>0.00176083027037595</v>
      </c>
      <c r="E1201" s="12" t="n">
        <f aca="false">D1201^(-1/B1201)-1</f>
        <v>0.0656432899999999</v>
      </c>
      <c r="F1201" s="12" t="n">
        <f aca="false">(1+E1201)^(1/12)-1</f>
        <v>0.0053122808053987</v>
      </c>
      <c r="G1201" s="16" t="n">
        <f aca="false">IF(C1201=0,(1+Dic2025!$J$6)^(-B1201),EXP(LN(INDEX(Dic2025!$K$6:$K$205,C1201))+(LN(INDEX(Dic2025!$K$6:$K$205,MIN(C1201+1,200)))-LN(INDEX(Dic2025!$K$6:$K$205,C1201)))*(A1201-6*C1201)/6))</f>
        <v>0.00176083027037595</v>
      </c>
      <c r="H1201" s="12" t="n">
        <f aca="false">G1201^(-1/B1201)-1</f>
        <v>0.0656432899999999</v>
      </c>
      <c r="I1201" s="12" t="n">
        <f aca="false">(1+H1201)^(1/12)-1</f>
        <v>0.0053122808053987</v>
      </c>
      <c r="J1201" s="16" t="n">
        <f aca="false">IF(C1201=0,(1+Dic2025!$M$6)^(-B1201),EXP(LN(INDEX(Dic2025!$N$6:$N$205,C1201))+(LN(INDEX(Dic2025!$N$6:$N$205,MIN(C1201+1,200)))-LN(INDEX(Dic2025!$N$6:$N$205,C1201)))*(A1201-6*C1201)/6))</f>
        <v>0.00176083027037595</v>
      </c>
      <c r="K1201" s="12" t="n">
        <f aca="false">J1201^(-1/B1201)-1</f>
        <v>0.0656432899999999</v>
      </c>
      <c r="L1201" s="12" t="n">
        <f aca="false">(1+K1201)^(1/12)-1</f>
        <v>0.0053122808053987</v>
      </c>
    </row>
    <row r="1202" customFormat="false" ht="15" hidden="false" customHeight="false" outlineLevel="0" collapsed="false">
      <c r="A1202" s="4" t="n">
        <v>1198</v>
      </c>
      <c r="B1202" s="14" t="n">
        <f aca="false">A1202/12</f>
        <v>99.8333333333333</v>
      </c>
      <c r="C1202" s="15" t="n">
        <f aca="false">INT(A1202/6)</f>
        <v>199</v>
      </c>
      <c r="D1202" s="16" t="n">
        <f aca="false">IF(C1202=0,(1+Dic2025!$G$6)^(-B1202),EXP(LN(INDEX(Dic2025!$H$6:$H$205,C1202))+(LN(INDEX(Dic2025!$H$6:$H$205,MIN(C1202+1,200)))-LN(INDEX(Dic2025!$H$6:$H$205,C1202)))*(A1202-6*C1202)/6))</f>
        <v>0.00175152567415697</v>
      </c>
      <c r="E1202" s="12" t="n">
        <f aca="false">D1202^(-1/B1202)-1</f>
        <v>0.0656432899999999</v>
      </c>
      <c r="F1202" s="12" t="n">
        <f aca="false">(1+E1202)^(1/12)-1</f>
        <v>0.0053122808053987</v>
      </c>
      <c r="G1202" s="16" t="n">
        <f aca="false">IF(C1202=0,(1+Dic2025!$J$6)^(-B1202),EXP(LN(INDEX(Dic2025!$K$6:$K$205,C1202))+(LN(INDEX(Dic2025!$K$6:$K$205,MIN(C1202+1,200)))-LN(INDEX(Dic2025!$K$6:$K$205,C1202)))*(A1202-6*C1202)/6))</f>
        <v>0.00175152567415697</v>
      </c>
      <c r="H1202" s="12" t="n">
        <f aca="false">G1202^(-1/B1202)-1</f>
        <v>0.0656432899999999</v>
      </c>
      <c r="I1202" s="12" t="n">
        <f aca="false">(1+H1202)^(1/12)-1</f>
        <v>0.0053122808053987</v>
      </c>
      <c r="J1202" s="16" t="n">
        <f aca="false">IF(C1202=0,(1+Dic2025!$M$6)^(-B1202),EXP(LN(INDEX(Dic2025!$N$6:$N$205,C1202))+(LN(INDEX(Dic2025!$N$6:$N$205,MIN(C1202+1,200)))-LN(INDEX(Dic2025!$N$6:$N$205,C1202)))*(A1202-6*C1202)/6))</f>
        <v>0.00175152567415697</v>
      </c>
      <c r="K1202" s="12" t="n">
        <f aca="false">J1202^(-1/B1202)-1</f>
        <v>0.0656432899999999</v>
      </c>
      <c r="L1202" s="12" t="n">
        <f aca="false">(1+K1202)^(1/12)-1</f>
        <v>0.0053122808053987</v>
      </c>
    </row>
    <row r="1203" customFormat="false" ht="15" hidden="false" customHeight="false" outlineLevel="0" collapsed="false">
      <c r="A1203" s="4" t="n">
        <v>1199</v>
      </c>
      <c r="B1203" s="14" t="n">
        <f aca="false">A1203/12</f>
        <v>99.9166666666667</v>
      </c>
      <c r="C1203" s="15" t="n">
        <f aca="false">INT(A1203/6)</f>
        <v>199</v>
      </c>
      <c r="D1203" s="16" t="n">
        <f aca="false">IF(C1203=0,(1+Dic2025!$G$6)^(-B1203),EXP(LN(INDEX(Dic2025!$H$6:$H$205,C1203))+(LN(INDEX(Dic2025!$H$6:$H$205,MIN(C1203+1,200)))-LN(INDEX(Dic2025!$H$6:$H$205,C1203)))*(A1203-6*C1203)/6))</f>
        <v>0.00174227024537464</v>
      </c>
      <c r="E1203" s="12" t="n">
        <f aca="false">D1203^(-1/B1203)-1</f>
        <v>0.0656432899999999</v>
      </c>
      <c r="F1203" s="12" t="n">
        <f aca="false">(1+E1203)^(1/12)-1</f>
        <v>0.0053122808053987</v>
      </c>
      <c r="G1203" s="16" t="n">
        <f aca="false">IF(C1203=0,(1+Dic2025!$J$6)^(-B1203),EXP(LN(INDEX(Dic2025!$K$6:$K$205,C1203))+(LN(INDEX(Dic2025!$K$6:$K$205,MIN(C1203+1,200)))-LN(INDEX(Dic2025!$K$6:$K$205,C1203)))*(A1203-6*C1203)/6))</f>
        <v>0.00174227024537464</v>
      </c>
      <c r="H1203" s="12" t="n">
        <f aca="false">G1203^(-1/B1203)-1</f>
        <v>0.0656432899999999</v>
      </c>
      <c r="I1203" s="12" t="n">
        <f aca="false">(1+H1203)^(1/12)-1</f>
        <v>0.0053122808053987</v>
      </c>
      <c r="J1203" s="16" t="n">
        <f aca="false">IF(C1203=0,(1+Dic2025!$M$6)^(-B1203),EXP(LN(INDEX(Dic2025!$N$6:$N$205,C1203))+(LN(INDEX(Dic2025!$N$6:$N$205,MIN(C1203+1,200)))-LN(INDEX(Dic2025!$N$6:$N$205,C1203)))*(A1203-6*C1203)/6))</f>
        <v>0.00174227024537464</v>
      </c>
      <c r="K1203" s="12" t="n">
        <f aca="false">J1203^(-1/B1203)-1</f>
        <v>0.0656432899999999</v>
      </c>
      <c r="L1203" s="12" t="n">
        <f aca="false">(1+K1203)^(1/12)-1</f>
        <v>0.0053122808053987</v>
      </c>
    </row>
    <row r="1204" customFormat="false" ht="15" hidden="false" customHeight="false" outlineLevel="0" collapsed="false">
      <c r="A1204" s="4" t="n">
        <v>1200</v>
      </c>
      <c r="B1204" s="14" t="n">
        <f aca="false">A1204/12</f>
        <v>100</v>
      </c>
      <c r="C1204" s="15" t="n">
        <f aca="false">INT(A1204/6)</f>
        <v>200</v>
      </c>
      <c r="D1204" s="16" t="n">
        <f aca="false">IF(C1204=0,(1+Dic2025!$G$6)^(-B1204),EXP(LN(INDEX(Dic2025!$H$6:$H$205,C1204))+(LN(INDEX(Dic2025!$H$6:$H$205,MIN(C1204+1,200)))-LN(INDEX(Dic2025!$H$6:$H$205,C1204)))*(A1204-6*C1204)/6))</f>
        <v>0.00173306372421795</v>
      </c>
      <c r="E1204" s="12" t="n">
        <f aca="false">D1204^(-1/B1204)-1</f>
        <v>0.0656432899999999</v>
      </c>
      <c r="F1204" s="12" t="n">
        <f aca="false">(1+E1204)^(1/12)-1</f>
        <v>0.0053122808053987</v>
      </c>
      <c r="G1204" s="16" t="n">
        <f aca="false">IF(C1204=0,(1+Dic2025!$J$6)^(-B1204),EXP(LN(INDEX(Dic2025!$K$6:$K$205,C1204))+(LN(INDEX(Dic2025!$K$6:$K$205,MIN(C1204+1,200)))-LN(INDEX(Dic2025!$K$6:$K$205,C1204)))*(A1204-6*C1204)/6))</f>
        <v>0.00173306372421795</v>
      </c>
      <c r="H1204" s="12" t="n">
        <f aca="false">G1204^(-1/B1204)-1</f>
        <v>0.0656432899999999</v>
      </c>
      <c r="I1204" s="12" t="n">
        <f aca="false">(1+H1204)^(1/12)-1</f>
        <v>0.0053122808053987</v>
      </c>
      <c r="J1204" s="16" t="n">
        <f aca="false">IF(C1204=0,(1+Dic2025!$M$6)^(-B1204),EXP(LN(INDEX(Dic2025!$N$6:$N$205,C1204))+(LN(INDEX(Dic2025!$N$6:$N$205,MIN(C1204+1,200)))-LN(INDEX(Dic2025!$N$6:$N$205,C1204)))*(A1204-6*C1204)/6))</f>
        <v>0.00173306372421795</v>
      </c>
      <c r="K1204" s="12" t="n">
        <f aca="false">J1204^(-1/B1204)-1</f>
        <v>0.0656432899999999</v>
      </c>
      <c r="L1204" s="12" t="n">
        <f aca="false">(1+K1204)^(1/12)-1</f>
        <v>0.0053122808053987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6"/>
  </cols>
  <sheetData>
    <row r="1" customFormat="false" ht="15" hidden="false" customHeight="false" outlineLevel="0" collapsed="false">
      <c r="A1" s="1" t="s">
        <v>69</v>
      </c>
    </row>
    <row r="3" customFormat="false" ht="15" hidden="false" customHeight="false" outlineLevel="0" collapsed="false">
      <c r="A3" s="4" t="s">
        <v>70</v>
      </c>
    </row>
    <row r="4" customFormat="false" ht="15" hidden="false" customHeight="false" outlineLevel="0" collapsed="false">
      <c r="A4" s="4" t="s">
        <v>71</v>
      </c>
    </row>
    <row r="5" customFormat="false" ht="15" hidden="false" customHeight="false" outlineLevel="0" collapsed="false">
      <c r="A5" s="4" t="s">
        <v>72</v>
      </c>
    </row>
    <row r="6" customFormat="false" ht="15" hidden="false" customHeight="false" outlineLevel="0" collapsed="false">
      <c r="A6" s="4" t="s">
        <v>73</v>
      </c>
    </row>
    <row r="7" customFormat="false" ht="15" hidden="false" customHeight="false" outlineLevel="0" collapsed="false">
      <c r="A7" s="4" t="s">
        <v>74</v>
      </c>
    </row>
    <row r="8" customFormat="false" ht="15" hidden="false" customHeight="false" outlineLevel="0" collapsed="false">
      <c r="A8" s="4" t="s">
        <v>75</v>
      </c>
    </row>
    <row r="10" customFormat="false" ht="42" hidden="false" customHeight="true" outlineLevel="0" collapsed="false">
      <c r="A10" s="3" t="s">
        <v>76</v>
      </c>
      <c r="B10" s="3" t="s">
        <v>77</v>
      </c>
      <c r="C10" s="3" t="s">
        <v>78</v>
      </c>
      <c r="D10" s="3" t="s">
        <v>79</v>
      </c>
    </row>
    <row r="11" customFormat="false" ht="15" hidden="false" customHeight="false" outlineLevel="0" collapsed="false">
      <c r="A11" s="4" t="s">
        <v>80</v>
      </c>
      <c r="B11" s="5" t="n">
        <v>0.2</v>
      </c>
      <c r="C11" s="5" t="n">
        <v>0.51</v>
      </c>
      <c r="D11" s="17" t="n">
        <f aca="false">B11*C11</f>
        <v>0.102</v>
      </c>
    </row>
    <row r="12" customFormat="false" ht="15" hidden="false" customHeight="false" outlineLevel="0" collapsed="false">
      <c r="A12" s="4" t="s">
        <v>81</v>
      </c>
      <c r="B12" s="5" t="n">
        <v>0.8</v>
      </c>
      <c r="C12" s="5" t="n">
        <v>0.56</v>
      </c>
      <c r="D12" s="17" t="n">
        <f aca="false">B12*C12</f>
        <v>0.448</v>
      </c>
    </row>
    <row r="13" customFormat="false" ht="15" hidden="false" customHeight="false" outlineLevel="0" collapsed="false">
      <c r="A13" s="7" t="s">
        <v>82</v>
      </c>
      <c r="D13" s="18" t="n">
        <f aca="false">SUMPRODUCT(B11:B12,C11:C12)/SUM(B11:B12)</f>
        <v>0.55</v>
      </c>
    </row>
    <row r="15" customFormat="false" ht="15" hidden="false" customHeight="false" outlineLevel="0" collapsed="false">
      <c r="A15" s="4" t="s">
        <v>83</v>
      </c>
      <c r="D15" s="19" t="n">
        <v>0.0008</v>
      </c>
    </row>
    <row r="16" customFormat="false" ht="15" hidden="false" customHeight="false" outlineLevel="0" collapsed="false">
      <c r="A16" s="4" t="s">
        <v>84</v>
      </c>
      <c r="D16" s="5" t="n">
        <v>0.6</v>
      </c>
    </row>
    <row r="17" customFormat="false" ht="15" hidden="false" customHeight="false" outlineLevel="0" collapsed="false">
      <c r="A17" s="4" t="s">
        <v>85</v>
      </c>
      <c r="D17" s="8" t="n">
        <f aca="false">Dic2025!D25/10000</f>
        <v>0.0074</v>
      </c>
    </row>
    <row r="18" customFormat="false" ht="15" hidden="false" customHeight="false" outlineLevel="0" collapsed="false">
      <c r="A18" s="0" t="s">
        <v>86</v>
      </c>
      <c r="D18" s="17" t="n">
        <f aca="false">D15*D16/D17</f>
        <v>0.0648648648648649</v>
      </c>
    </row>
    <row r="19" customFormat="false" ht="15" hidden="false" customHeight="false" outlineLevel="0" collapsed="false">
      <c r="A19" s="7" t="s">
        <v>87</v>
      </c>
      <c r="D19" s="18" t="n">
        <f aca="false">MAX(D13,D18)</f>
        <v>0.55</v>
      </c>
    </row>
    <row r="20" customFormat="false" ht="15" hidden="false" customHeight="false" outlineLevel="0" collapsed="false">
      <c r="A20" s="2" t="s">
        <v>88</v>
      </c>
    </row>
    <row r="21" customFormat="false" ht="15" hidden="false" customHeight="false" outlineLevel="0" collapsed="false">
      <c r="A21" s="2" t="s">
        <v>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2026-10-02T15:43:02Z</dcterms:created>
  <dc:creator>openpyxl</dc:creator>
  <dc:description/>
  <dc:language>en-US</dc:language>
  <cp:lastModifiedBy/>
  <dcterms:modified xsi:type="dcterms:W3CDTF">2026-10-02T15:43:03Z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
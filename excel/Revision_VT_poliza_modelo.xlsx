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Supuestos" sheetId="2" state="visible" r:id="rId4"/>
    <sheet name="Tablas" sheetId="3" state="visible" r:id="rId5"/>
    <sheet name="Proy_Base" sheetId="4" state="visible" r:id="rId6"/>
    <sheet name="Proy_Mort" sheetId="5" state="visible" r:id="rId7"/>
    <sheet name="Proy_CadAlza" sheetId="6" state="visible" r:id="rId8"/>
    <sheet name="Proy_CadBaja" sheetId="7" state="visible" r:id="rId9"/>
    <sheet name="Proy_Gastos" sheetId="8" state="visible" r:id="rId10"/>
    <sheet name="RA_CSM" sheetId="9" state="visible" r:id="rId11"/>
    <sheet name="Conciliacion" sheetId="10" state="visible" r:id="rId12"/>
  </sheets>
  <definedNames>
    <definedName function="false" hidden="false" name="Cad_Anio1" vbProcedure="false">Supuestos!$B$19</definedName>
    <definedName function="false" hidden="false" name="Cad_Anio2" vbProcedure="false">Supuestos!$B$20</definedName>
    <definedName function="false" hidden="false" name="Cad_Anio3" vbProcedure="false">Supuestos!$B$21</definedName>
    <definedName function="false" hidden="false" name="ChoqueCad" vbProcedure="false">Supuestos!$B$29</definedName>
    <definedName function="false" hidden="false" name="ChoqueGastos" vbProcedure="false">Supuestos!$B$30</definedName>
    <definedName function="false" hidden="false" name="ChoqueInfl" vbProcedure="false">Supuestos!$B$31</definedName>
    <definedName function="false" hidden="false" name="ChoqueMort" vbProcedure="false">Supuestos!$B$28</definedName>
    <definedName function="false" hidden="false" name="ComisionAnio1" vbProcedure="false">Supuestos!$B$12</definedName>
    <definedName function="false" hidden="false" name="ComisionRenov" vbProcedure="false">Supuestos!$B$13</definedName>
    <definedName function="false" hidden="false" name="CostoMant" vbProcedure="false">Supuestos!$B$23</definedName>
    <definedName function="false" hidden="false" name="CostoSiniestro" vbProcedure="false">Supuestos!$B$24</definedName>
    <definedName function="false" hidden="false" name="CostoSuscripcion" vbProcedure="false">Supuestos!$B$22</definedName>
    <definedName function="false" hidden="false" name="CSO_H" vbProcedure="false">Tablas!$B$4:$B$103</definedName>
    <definedName function="false" hidden="false" name="CSO_M" vbProcedure="false">Tablas!$C$4:$C$103</definedName>
    <definedName function="false" hidden="false" name="EdadEmision" vbProcedure="false">Supuestos!$B$7</definedName>
    <definedName function="false" hidden="false" name="Fact_25_39" vbProcedure="false">Supuestos!$B$15</definedName>
    <definedName function="false" hidden="false" name="Fact_40_49" vbProcedure="false">Supuestos!$B$16</definedName>
    <definedName function="false" hidden="false" name="Fact_50mas" vbProcedure="false">Supuestos!$B$17</definedName>
    <definedName function="false" hidden="false" name="FD_Bloqueado" vbProcedure="false">Tablas!$F$4:$F$25</definedName>
    <definedName function="false" hidden="false" name="Inflacion" vbProcedure="false">Supuestos!$B$25</definedName>
    <definedName function="false" hidden="false" name="Mejora" vbProcedure="false">Supuestos!$B$18</definedName>
    <definedName function="false" hidden="false" name="PercentilCapital" vbProcedure="false">Supuestos!$B$35</definedName>
    <definedName function="false" hidden="false" name="Plazo" vbProcedure="false">Supuestos!$B$8</definedName>
    <definedName function="false" hidden="false" name="PrimaAnual" vbProcedure="false">Supuestos!$B$10</definedName>
    <definedName function="false" hidden="false" name="Rho_CG" vbProcedure="false">Supuestos!$B$34</definedName>
    <definedName function="false" hidden="false" name="Rho_MC" vbProcedure="false">Supuestos!$B$32</definedName>
    <definedName function="false" hidden="false" name="Rho_MG" vbProcedure="false">Supuestos!$B$33</definedName>
    <definedName function="false" hidden="false" name="Sexo" vbProcedure="false">Supuestos!$B$6</definedName>
    <definedName function="false" hidden="false" name="SumaAsegurada" vbProcedure="false">Supuestos!$B$9</definedName>
    <definedName function="false" hidden="false" name="TasaCoC" vbProcedure="false">Supuestos!$B$27</definedName>
    <definedName function="false" hidden="false" name="Z_Capital" vbProcedure="false">Supuestos!$B$36</definedName>
  </definedName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Valores exportados de las funciones del notebook 08 con los supuestos de la entidad. Si cambias un supuesto en la hoja Supuestos, la conciliación deja de cuadrar a propósito.</t>
        </r>
      </text>
    </comment>
  </commentList>
</comments>
</file>

<file path=xl/sharedStrings.xml><?xml version="1.0" encoding="utf-8"?>
<sst xmlns="http://schemas.openxmlformats.org/spreadsheetml/2006/main" count="344" uniqueCount="200">
  <si>
    <t xml:space="preserve">Revisión independiente de vida temporal: modelo de una póliza</t>
  </si>
  <si>
    <t xml:space="preserve">Seguros Barú, S.A. (ficticia) · reconocimiento inicial al 1-ene-2025 · gemelo en Excel del notebook 08</t>
  </si>
  <si>
    <t xml:space="preserve">Qué es</t>
  </si>
  <si>
    <t xml:space="preserve">La póliza de la sección 3.1 del notebook 08, calculada con fórmulas vivas: proyección de flujos, valor presente de los flujos de cumplimiento, ajuste por riesgo por costo de capital, CSM y su amortización.</t>
  </si>
  <si>
    <t xml:space="preserve">Para qué</t>
  </si>
  <si>
    <t xml:space="preserve">Mostrar que el mismo cálculo se puede revisar celda por celda en Excel y automatizar en Python, y que ambos dan el mismo resultado (hoja Conciliacion).</t>
  </si>
  <si>
    <t xml:space="preserve">Hojas</t>
  </si>
  <si>
    <t xml:space="preserve">Supuestos: datos de la póliza y supuestos de la entidad · Tablas: CSO 1980 y curva bloqueada · Proy_Base y cuatro escenarios de choque con la misma estructura · RA_CSM: capital, ajuste por riesgo, sensibilidad a la tasa, CSM y amortización · Conciliacion: Excel contra el notebook.</t>
  </si>
  <si>
    <t xml:space="preserve">Cómo usarlo</t>
  </si>
  <si>
    <t xml:space="preserve">Cambia solo las celdas en azul de Supuestos (por ejemplo, la tasa de costo de capital, resaltada en amarillo). Todo lo demás se recalcula. La conciliación deja de cuadrar si cambias un supuesto, porque los valores de Python corresponden a los supuestos de la entidad.</t>
  </si>
  <si>
    <t xml:space="preserve">Colores</t>
  </si>
  <si>
    <t xml:space="preserve">Azul = dato o supuesto escrito a mano · Negro = fórmula · Verde = vínculo a otra hoja · Amarillo = palanca clave para pruebas de sensibilidad.</t>
  </si>
  <si>
    <t xml:space="preserve">Ajuste por riesgo</t>
  </si>
  <si>
    <t xml:space="preserve">Aquí es el de una póliza sola, sin diversificación. En el notebook el capital se diversifica en toda la cohorte y se asigna a cada celda (B88(a)), así que las cifras no son comparables una a una.</t>
  </si>
  <si>
    <t xml:space="preserve">Convenciones</t>
  </si>
  <si>
    <t xml:space="preserve">Pasos anuales. Primas, comisiones y gastos al inicio del año; muertes y gastos de siniestros al final. Flujos de cumplimiento = salidas − entradas (negativo = entrada neta).</t>
  </si>
  <si>
    <t xml:space="preserve">Fuentes</t>
  </si>
  <si>
    <t xml:space="preserve">IFRS 17 (párrafos citados en cada bloque) · SOA, 1980 CSO, tablas 42 y 36 · U.S. Treasury, curva HQM (datos del repositorio) · Reglamento Delegado (UE) 2015/35, art. 39, 137, 140 y 142 (choques de referencia).</t>
  </si>
  <si>
    <t xml:space="preserve">Aviso</t>
  </si>
  <si>
    <t xml:space="preserve">Proyecto personal con fines demostrativos. Datos sintéticos de una aseguradora ficticia. No es una opinión de auditoría ni representa la metodología, las herramientas o la opinión de ningún empleador o cliente.</t>
  </si>
  <si>
    <t xml:space="preserve">Supuestos</t>
  </si>
  <si>
    <t xml:space="preserve">Datos de la póliza (censo de la entidad) y documento de supuestos de la entidad</t>
  </si>
  <si>
    <t xml:space="preserve">Concepto</t>
  </si>
  <si>
    <t xml:space="preserve">Valor</t>
  </si>
  <si>
    <t xml:space="preserve">Fuente o nota</t>
  </si>
  <si>
    <t xml:space="preserve">Póliza</t>
  </si>
  <si>
    <t xml:space="preserve">Identificador</t>
  </si>
  <si>
    <t xml:space="preserve">VT2025-05533</t>
  </si>
  <si>
    <t xml:space="preserve">census.csv</t>
  </si>
  <si>
    <t xml:space="preserve">Sexo</t>
  </si>
  <si>
    <t xml:space="preserve">M</t>
  </si>
  <si>
    <t xml:space="preserve">census.csv (M/F)</t>
  </si>
  <si>
    <t xml:space="preserve">Edad de emisión</t>
  </si>
  <si>
    <t xml:space="preserve">Plazo (años)</t>
  </si>
  <si>
    <t xml:space="preserve">census.csv; límite del contrato = plazo completo (par. 34)</t>
  </si>
  <si>
    <t xml:space="preserve">Suma asegurada (USD)</t>
  </si>
  <si>
    <t xml:space="preserve">Prima anual nivelada (USD)</t>
  </si>
  <si>
    <t xml:space="preserve">Canal</t>
  </si>
  <si>
    <t xml:space="preserve">agentes</t>
  </si>
  <si>
    <t xml:space="preserve">Comisión del primer año</t>
  </si>
  <si>
    <t xml:space="preserve">assumptions.json</t>
  </si>
  <si>
    <t xml:space="preserve">Comisión de renovación</t>
  </si>
  <si>
    <t xml:space="preserve">Mejor estimación (par. 33, B37–B41)</t>
  </si>
  <si>
    <t xml:space="preserve">Factor sobre CSO 1980, edades 25–39</t>
  </si>
  <si>
    <t xml:space="preserve">assumptions.json; edad alcanzada</t>
  </si>
  <si>
    <t xml:space="preserve">Factor sobre CSO 1980, edades 40–49</t>
  </si>
  <si>
    <t xml:space="preserve">Factor sobre CSO 1980, edades 50+</t>
  </si>
  <si>
    <t xml:space="preserve">Mejora anual de mortalidad</t>
  </si>
  <si>
    <t xml:space="preserve">assumptions.json; desde 2025 (B58)</t>
  </si>
  <si>
    <t xml:space="preserve">Caducidad, año póliza 1</t>
  </si>
  <si>
    <t xml:space="preserve">Caducidad, año póliza 2</t>
  </si>
  <si>
    <t xml:space="preserve">Caducidad, año póliza 3 en adelante</t>
  </si>
  <si>
    <t xml:space="preserve">Costo de suscripción por póliza nueva (USD)</t>
  </si>
  <si>
    <t xml:space="preserve">assumptions.json; flujo de adquisición</t>
  </si>
  <si>
    <t xml:space="preserve">Mantenimiento por póliza y año (USD)</t>
  </si>
  <si>
    <t xml:space="preserve">assumptions.json (B65(h))</t>
  </si>
  <si>
    <t xml:space="preserve">Costo por siniestro (USD)</t>
  </si>
  <si>
    <t xml:space="preserve">assumptions.json (B65(f))</t>
  </si>
  <si>
    <t xml:space="preserve">Inflación de gastos</t>
  </si>
  <si>
    <t xml:space="preserve">Ajuste por riesgo: costo de capital (par. 37, B86–B92)</t>
  </si>
  <si>
    <t xml:space="preserve">Tasa de costo de capital</t>
  </si>
  <si>
    <t xml:space="preserve">Política de la entidad, tomada de Solvencia II (Reg. Delegado 2015/35, art. 39). Ver sensibilidad en RA_CSM.</t>
  </si>
  <si>
    <t xml:space="preserve">Choque de mortalidad</t>
  </si>
  <si>
    <t xml:space="preserve">Referencia: Reg. Delegado 2015/35, art. 137</t>
  </si>
  <si>
    <t xml:space="preserve">Choque de caducidad (+/−)</t>
  </si>
  <si>
    <t xml:space="preserve">Referencia: art. 142; se toma el peor sentido</t>
  </si>
  <si>
    <t xml:space="preserve">Choque de gastos</t>
  </si>
  <si>
    <t xml:space="preserve">Referencia: art. 140</t>
  </si>
  <si>
    <t xml:space="preserve">Choque de inflación de gastos (puntos)</t>
  </si>
  <si>
    <t xml:space="preserve">Correlación mortalidad–caducidad</t>
  </si>
  <si>
    <t xml:space="preserve">Referencia: art. 136 (matriz de vida)</t>
  </si>
  <si>
    <t xml:space="preserve">Correlación mortalidad–gastos</t>
  </si>
  <si>
    <t xml:space="preserve">Referencia: art. 136</t>
  </si>
  <si>
    <t xml:space="preserve">Correlación caducidad–gastos</t>
  </si>
  <si>
    <t xml:space="preserve">Percentil del capital (a un año)</t>
  </si>
  <si>
    <t xml:space="preserve">VaR al 99,5%</t>
  </si>
  <si>
    <t xml:space="preserve">z del percentil</t>
  </si>
  <si>
    <t xml:space="preserve">Fórmula</t>
  </si>
  <si>
    <t xml:space="preserve">Tablas públicas</t>
  </si>
  <si>
    <t xml:space="preserve">CSO 1980, edad al cumpleaños más cercano (SOA, tablas 42 y 36) · curva HQM de diciembre de 2024 (bloqueada)</t>
  </si>
  <si>
    <t xml:space="preserve">Edad</t>
  </si>
  <si>
    <t xml:space="preserve">qx hombres</t>
  </si>
  <si>
    <t xml:space="preserve">qx mujeres</t>
  </si>
  <si>
    <t xml:space="preserve">t (años)</t>
  </si>
  <si>
    <t xml:space="preserve">Factor de descuento bloqueado</t>
  </si>
  <si>
    <t xml:space="preserve">Tasa spot anual</t>
  </si>
  <si>
    <t xml:space="preserve">Fuente: data/processed/discount_curves_monthly_2024-12.csv, columna 'high' (curva de la política), meses 12, 24, …</t>
  </si>
  <si>
    <t xml:space="preserve">Fuente: data/raw/mortality/cso1980_anb.csv (mort.soa.org, tablas 42 y 36).</t>
  </si>
  <si>
    <t xml:space="preserve">Proyección de flujos de cumplimiento: escenario base (mejor estimación)</t>
  </si>
  <si>
    <t xml:space="preserve">Misma estructura en las cinco hojas de proyección; solo cambian los multiplicadores de las celdas E3 a E6.</t>
  </si>
  <si>
    <t xml:space="preserve">Multiplicador de mortalidad</t>
  </si>
  <si>
    <t xml:space="preserve">VP de primas</t>
  </si>
  <si>
    <t xml:space="preserve">Multiplicador de caducidad</t>
  </si>
  <si>
    <t xml:space="preserve">VP de salidas</t>
  </si>
  <si>
    <t xml:space="preserve">Multiplicador de gastos</t>
  </si>
  <si>
    <t xml:space="preserve">Flujos de cumplimiento (salidas − entradas)</t>
  </si>
  <si>
    <t xml:space="preserve">Inflación adicional</t>
  </si>
  <si>
    <t xml:space="preserve">Control: suma de la columna S − L5</t>
  </si>
  <si>
    <t xml:space="preserve">Año póliza</t>
  </si>
  <si>
    <t xml:space="preserve">t</t>
  </si>
  <si>
    <t xml:space="preserve">Vigente (par. 34)</t>
  </si>
  <si>
    <t xml:space="preserve">q CSO 1980</t>
  </si>
  <si>
    <t xml:space="preserve">Factor BE</t>
  </si>
  <si>
    <t xml:space="preserve">Mejora</t>
  </si>
  <si>
    <t xml:space="preserve">q mejor estimación</t>
  </si>
  <si>
    <t xml:space="preserve">Caducidad</t>
  </si>
  <si>
    <t xml:space="preserve">En vigor al inicio</t>
  </si>
  <si>
    <t xml:space="preserve">Primas</t>
  </si>
  <si>
    <t xml:space="preserve">Comisiones</t>
  </si>
  <si>
    <t xml:space="preserve">Suscripción</t>
  </si>
  <si>
    <t xml:space="preserve">Mantenimiento</t>
  </si>
  <si>
    <t xml:space="preserve">Siniestros</t>
  </si>
  <si>
    <t xml:space="preserve">Gasto de siniestros</t>
  </si>
  <si>
    <t xml:space="preserve">FD inicio</t>
  </si>
  <si>
    <t xml:space="preserve">FD fin</t>
  </si>
  <si>
    <t xml:space="preserve">VP neto (salidas − entradas)</t>
  </si>
  <si>
    <t xml:space="preserve">Unidades de cobertura (B119)</t>
  </si>
  <si>
    <t xml:space="preserve">Total</t>
  </si>
  <si>
    <t xml:space="preserve">Proyección de flujos de cumplimiento: choque de mortalidad</t>
  </si>
  <si>
    <t xml:space="preserve">Proyección de flujos de cumplimiento: choque de caducidad al alza</t>
  </si>
  <si>
    <t xml:space="preserve">Proyección de flujos de cumplimiento: choque de caducidad a la baja</t>
  </si>
  <si>
    <t xml:space="preserve">Proyección de flujos de cumplimiento: choque de gastos e inflación</t>
  </si>
  <si>
    <t xml:space="preserve">Ajuste por riesgo, CSM y amortización</t>
  </si>
  <si>
    <t xml:space="preserve">Póliza sola, sin diversificación (ver Leeme)</t>
  </si>
  <si>
    <t xml:space="preserve">1. Capital por choque (par. 37, B86)</t>
  </si>
  <si>
    <t xml:space="preserve">Escenario</t>
  </si>
  <si>
    <t xml:space="preserve">Flujos de cumplimiento</t>
  </si>
  <si>
    <t xml:space="preserve">Diferencia con la base</t>
  </si>
  <si>
    <t xml:space="preserve">Base</t>
  </si>
  <si>
    <t xml:space="preserve">Mortalidad</t>
  </si>
  <si>
    <t xml:space="preserve">Caducidad al alza</t>
  </si>
  <si>
    <t xml:space="preserve">Caducidad a la baja</t>
  </si>
  <si>
    <t xml:space="preserve">Gastos e inflación</t>
  </si>
  <si>
    <t xml:space="preserve">2. Capital y ajuste por riesgo (costo de capital)</t>
  </si>
  <si>
    <t xml:space="preserve">Capital de mortalidad</t>
  </si>
  <si>
    <t xml:space="preserve">Capital de caducidad (peor sentido)</t>
  </si>
  <si>
    <t xml:space="preserve">Capital de gastos</t>
  </si>
  <si>
    <t xml:space="preserve">Capital diversificado al inicio</t>
  </si>
  <si>
    <t xml:space="preserve">Duración del capital: Σ UC(t)·FD(t+1) / UC(0)</t>
  </si>
  <si>
    <t xml:space="preserve">La suma asegurada en vigor esperada proyecta el capital (política de la entidad).</t>
  </si>
  <si>
    <t xml:space="preserve">Ajuste por riesgo = tasa × capital × duración</t>
  </si>
  <si>
    <t xml:space="preserve">Desviación implícita = capital / z</t>
  </si>
  <si>
    <t xml:space="preserve">Nivel de confianza equivalente (par. 119, aprox. normal)</t>
  </si>
  <si>
    <t xml:space="preserve">Aproximación: σ se deduce del capital al 99,5% (Reback, SOA Financial Reporter, 2017).</t>
  </si>
  <si>
    <t xml:space="preserve">3. Reconocimiento inicial (par. 38 y 47)</t>
  </si>
  <si>
    <t xml:space="preserve">CSM</t>
  </si>
  <si>
    <t xml:space="preserve">Componente de pérdida</t>
  </si>
  <si>
    <t xml:space="preserve">4. Sensibilidad a la tasa de costo de capital</t>
  </si>
  <si>
    <t xml:space="preserve">Tasa</t>
  </si>
  <si>
    <t xml:space="preserve">Nivel de confianza</t>
  </si>
  <si>
    <t xml:space="preserve">4% = Solvencia UK · 4,75% = Solvencia II tras la Directiva (UE) 2025/2 · 6% = Solvencia II original.</t>
  </si>
  <si>
    <t xml:space="preserve">Con esta aproximación, nivel de confianza = NORMSDIST(tasa × duración × z): no depende del tamaño del capital.</t>
  </si>
  <si>
    <t xml:space="preserve">Referencia de mercado (EY, cierres 2023, 45 aseguradoras): nivel más común 70%–79%; tasas de costo de capital reveladas 4%–6%.</t>
  </si>
  <si>
    <t xml:space="preserve">5. Amortización esperada del CSM (par. 44, B72(b), B119)</t>
  </si>
  <si>
    <t xml:space="preserve">Saldo inicial</t>
  </si>
  <si>
    <t xml:space="preserve">Tasa forward bloqueada</t>
  </si>
  <si>
    <t xml:space="preserve">Intereses</t>
  </si>
  <si>
    <t xml:space="preserve">Unidades de cobertura</t>
  </si>
  <si>
    <t xml:space="preserve">Unidades restantes</t>
  </si>
  <si>
    <t xml:space="preserve">% liberado</t>
  </si>
  <si>
    <t xml:space="preserve">Liberación</t>
  </si>
  <si>
    <t xml:space="preserve">Saldo final</t>
  </si>
  <si>
    <t xml:space="preserve">Control: CSM inicial + intereses − liberación − saldo final</t>
  </si>
  <si>
    <t xml:space="preserve">Conciliación: Excel contra el notebook 08 (Python)</t>
  </si>
  <si>
    <t xml:space="preserve">Los valores de Python vienen de las funciones del notebook (sección 3) aplicadas a esta póliza.</t>
  </si>
  <si>
    <t xml:space="preserve">Resultado</t>
  </si>
  <si>
    <t xml:space="preserve">Python (notebook 08)</t>
  </si>
  <si>
    <t xml:space="preserve">Excel</t>
  </si>
  <si>
    <t xml:space="preserve">Diferencia</t>
  </si>
  <si>
    <t xml:space="preserve">¿Cuadra?</t>
  </si>
  <si>
    <t xml:space="preserve">Flujos de cumplimiento, base</t>
  </si>
  <si>
    <t xml:space="preserve">Flujos de cumplimiento, choque de mortalidad</t>
  </si>
  <si>
    <t xml:space="preserve">Flujos de cumplimiento, caducidad al alza</t>
  </si>
  <si>
    <t xml:space="preserve">Flujos de cumplimiento, caducidad a la baja</t>
  </si>
  <si>
    <t xml:space="preserve">Flujos de cumplimiento, gastos e inflación</t>
  </si>
  <si>
    <t xml:space="preserve">Duración del capital</t>
  </si>
  <si>
    <t xml:space="preserve">Ajuste por riesgo (6%)</t>
  </si>
  <si>
    <t xml:space="preserve">CSM al reconocimiento inicial</t>
  </si>
  <si>
    <t xml:space="preserve">Liberación del CSM, año 1</t>
  </si>
  <si>
    <t xml:space="preserve">CSM al final del año 1</t>
  </si>
  <si>
    <t xml:space="preserve">VP neto, año póliza 1</t>
  </si>
  <si>
    <t xml:space="preserve">VP neto, año póliza 2</t>
  </si>
  <si>
    <t xml:space="preserve">VP neto, año póliza 3</t>
  </si>
  <si>
    <t xml:space="preserve">VP neto, año póliza 4</t>
  </si>
  <si>
    <t xml:space="preserve">VP neto, año póliza 5</t>
  </si>
  <si>
    <t xml:space="preserve">VP neto, año póliza 6</t>
  </si>
  <si>
    <t xml:space="preserve">VP neto, año póliza 7</t>
  </si>
  <si>
    <t xml:space="preserve">VP neto, año póliza 8</t>
  </si>
  <si>
    <t xml:space="preserve">VP neto, año póliza 9</t>
  </si>
  <si>
    <t xml:space="preserve">VP neto, año póliza 10</t>
  </si>
  <si>
    <t xml:space="preserve">VP neto, año póliza 11</t>
  </si>
  <si>
    <t xml:space="preserve">VP neto, año póliza 12</t>
  </si>
  <si>
    <t xml:space="preserve">VP neto, año póliza 13</t>
  </si>
  <si>
    <t xml:space="preserve">VP neto, año póliza 14</t>
  </si>
  <si>
    <t xml:space="preserve">VP neto, año póliza 15</t>
  </si>
  <si>
    <t xml:space="preserve">VP neto, año póliza 16</t>
  </si>
  <si>
    <t xml:space="preserve">VP neto, año póliza 17</t>
  </si>
  <si>
    <t xml:space="preserve">VP neto, año póliza 18</t>
  </si>
  <si>
    <t xml:space="preserve">VP neto, año póliza 19</t>
  </si>
  <si>
    <t xml:space="preserve">VP neto, año póliza 20</t>
  </si>
</sst>
</file>

<file path=xl/styles.xml><?xml version="1.0" encoding="utf-8"?>
<styleSheet xmlns="http://schemas.openxmlformats.org/spreadsheetml/2006/main">
  <numFmts count="12">
    <numFmt numFmtId="164" formatCode="General"/>
    <numFmt numFmtId="165" formatCode="0"/>
    <numFmt numFmtId="166" formatCode="#,##0;\(#,##0\);\-"/>
    <numFmt numFmtId="167" formatCode="#,##0.00;\(#,##0.00\);\-"/>
    <numFmt numFmtId="168" formatCode="0.0%"/>
    <numFmt numFmtId="169" formatCode="0.00%"/>
    <numFmt numFmtId="170" formatCode="0.00"/>
    <numFmt numFmtId="171" formatCode="0.0000"/>
    <numFmt numFmtId="172" formatCode="0.00000"/>
    <numFmt numFmtId="173" formatCode="0.000000"/>
    <numFmt numFmtId="174" formatCode="#,##0.0000"/>
    <numFmt numFmtId="175" formatCode="#,##0.000000"/>
  </numFmts>
  <fonts count="16">
    <font>
      <sz val="11"/>
      <color theme="1"/>
      <name val="Calibri"/>
      <family val="2"/>
      <charset val="1"/>
    </font>
    <font>
      <sz val="10"/>
      <name val="Arial"/>
      <family val="0"/>
    </font>
    <font>
      <sz val="10"/>
      <name val="Arial"/>
      <family val="0"/>
    </font>
    <font>
      <sz val="10"/>
      <name val="Arial"/>
      <family val="0"/>
    </font>
    <font>
      <b val="true"/>
      <sz val="13"/>
      <color rgb="FF1F4E79"/>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0"/>
      <color rgb="FF1F4E79"/>
      <name val="Arial"/>
      <family val="0"/>
      <charset val="1"/>
    </font>
    <font>
      <sz val="10"/>
      <color rgb="FF0000FF"/>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2"/>
    </font>
  </fonts>
  <fills count="5">
    <fill>
      <patternFill patternType="none"/>
    </fill>
    <fill>
      <patternFill patternType="gray125"/>
    </fill>
    <fill>
      <patternFill patternType="solid">
        <fgColor rgb="FF1F4E79"/>
        <bgColor rgb="FF003366"/>
      </patternFill>
    </fill>
    <fill>
      <patternFill patternType="solid">
        <fgColor rgb="FFDDEBF7"/>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9" fontId="10" fillId="4" borderId="0" xfId="0" applyFont="true" applyBorder="false" applyAlignment="true" applyProtection="false">
      <alignment horizontal="right" vertical="bottom" textRotation="0" wrapText="false" indent="0" shrinkToFit="false"/>
      <protection locked="true" hidden="false"/>
    </xf>
    <xf numFmtId="170" fontId="10" fillId="0" borderId="0" xfId="0" applyFont="true" applyBorder="false" applyAlignment="true" applyProtection="false">
      <alignment horizontal="right" vertical="bottom" textRotation="0" wrapText="false" indent="0" shrinkToFit="false"/>
      <protection locked="true" hidden="false"/>
    </xf>
    <xf numFmtId="171" fontId="7"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Saldo del CSM al final de cada año póliza</a:t>
            </a:r>
          </a:p>
        </c:rich>
      </c:tx>
      <c:overlay val="0"/>
      <c:spPr>
        <a:noFill/>
        <a:ln w="0">
          <a:noFill/>
        </a:ln>
      </c:spPr>
    </c:title>
    <c:autoTitleDeleted val="0"/>
    <c:plotArea>
      <c:lineChart>
        <c:grouping val="standard"/>
        <c:varyColors val="0"/>
        <c:ser>
          <c:idx val="0"/>
          <c:order val="0"/>
          <c:tx>
            <c:strRef>
              <c:f>RA_CSM!I40</c:f>
              <c:strCache>
                <c:ptCount val="1"/>
                <c:pt idx="0">
                  <c:v>Saldo final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RA_CSM!$A$41:$A$60</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RA_CSM!$I$41:$I$60</c:f>
              <c:numCache>
                <c:formatCode>#,##0.00;\(#,##0.00\);\-</c:formatCode>
                <c:ptCount val="20"/>
                <c:pt idx="0">
                  <c:v>3934.36909289427</c:v>
                </c:pt>
                <c:pt idx="1">
                  <c:v>3793.95594442156</c:v>
                </c:pt>
                <c:pt idx="2">
                  <c:v>3659.44640963298</c:v>
                </c:pt>
                <c:pt idx="3">
                  <c:v>3522.62380696245</c:v>
                </c:pt>
                <c:pt idx="4">
                  <c:v>3384.15151156576</c:v>
                </c:pt>
                <c:pt idx="5">
                  <c:v>3243.71591044648</c:v>
                </c:pt>
                <c:pt idx="6">
                  <c:v>3099.04917548219</c:v>
                </c:pt>
                <c:pt idx="7">
                  <c:v>2946.5045446413</c:v>
                </c:pt>
                <c:pt idx="8">
                  <c:v>2786.62917156769</c:v>
                </c:pt>
                <c:pt idx="9">
                  <c:v>2615.41303062799</c:v>
                </c:pt>
                <c:pt idx="10">
                  <c:v>2431.09180714634</c:v>
                </c:pt>
                <c:pt idx="11">
                  <c:v>2232.04966568462</c:v>
                </c:pt>
                <c:pt idx="12">
                  <c:v>2019.41408234319</c:v>
                </c:pt>
                <c:pt idx="13">
                  <c:v>1786.75440392355</c:v>
                </c:pt>
                <c:pt idx="14">
                  <c:v>1540.23413846987</c:v>
                </c:pt>
                <c:pt idx="15">
                  <c:v>1271.71416194932</c:v>
                </c:pt>
                <c:pt idx="16">
                  <c:v>984.801676199183</c:v>
                </c:pt>
                <c:pt idx="17">
                  <c:v>678.159327927318</c:v>
                </c:pt>
                <c:pt idx="18">
                  <c:v>349.735984771008</c:v>
                </c:pt>
                <c:pt idx="19">
                  <c:v>0</c:v>
                </c:pt>
              </c:numCache>
            </c:numRef>
          </c:val>
          <c:smooth val="1"/>
        </c:ser>
        <c:hiLowLines>
          <c:spPr>
            <a:ln w="0">
              <a:noFill/>
            </a:ln>
          </c:spPr>
        </c:hiLowLines>
        <c:marker val="0"/>
        <c:axId val="28456676"/>
        <c:axId val="52341627"/>
      </c:lineChart>
      <c:catAx>
        <c:axId val="2845667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Año póliza</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341627"/>
        <c:crosses val="autoZero"/>
        <c:auto val="1"/>
        <c:lblAlgn val="ctr"/>
        <c:lblOffset val="100"/>
        <c:noMultiLvlLbl val="0"/>
      </c:catAx>
      <c:valAx>
        <c:axId val="523416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4566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37</xdr:row>
      <xdr:rowOff>141840</xdr:rowOff>
    </xdr:from>
    <xdr:to>
      <xdr:col>19</xdr:col>
      <xdr:colOff>255960</xdr:colOff>
      <xdr:row>51</xdr:row>
      <xdr:rowOff>61920</xdr:rowOff>
    </xdr:to>
    <xdr:graphicFrame>
      <xdr:nvGraphicFramePr>
        <xdr:cNvPr id="0" name="Chart 1"/>
        <xdr:cNvGraphicFramePr/>
      </xdr:nvGraphicFramePr>
      <xdr:xfrm>
        <a:off x="11959560" y="7429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6.15"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4" t="s">
        <v>3</v>
      </c>
    </row>
    <row r="5" customFormat="false" ht="42" hidden="false" customHeight="true" outlineLevel="0" collapsed="false">
      <c r="A5" s="3" t="s">
        <v>4</v>
      </c>
      <c r="B5" s="4" t="s">
        <v>5</v>
      </c>
    </row>
    <row r="6" customFormat="false" ht="42" hidden="false" customHeight="true" outlineLevel="0" collapsed="false">
      <c r="A6" s="3" t="s">
        <v>6</v>
      </c>
      <c r="B6" s="4" t="s">
        <v>7</v>
      </c>
    </row>
    <row r="7" customFormat="false" ht="42" hidden="false" customHeight="true" outlineLevel="0" collapsed="false">
      <c r="A7" s="3" t="s">
        <v>8</v>
      </c>
      <c r="B7" s="4" t="s">
        <v>9</v>
      </c>
    </row>
    <row r="8" customFormat="false" ht="42" hidden="false" customHeight="true" outlineLevel="0" collapsed="false">
      <c r="A8" s="3" t="s">
        <v>10</v>
      </c>
      <c r="B8" s="4" t="s">
        <v>11</v>
      </c>
    </row>
    <row r="9" customFormat="false" ht="42" hidden="false" customHeight="true" outlineLevel="0" collapsed="false">
      <c r="A9" s="3" t="s">
        <v>12</v>
      </c>
      <c r="B9" s="4" t="s">
        <v>13</v>
      </c>
    </row>
    <row r="10" customFormat="false" ht="42" hidden="false" customHeight="true" outlineLevel="0" collapsed="false">
      <c r="A10" s="3" t="s">
        <v>14</v>
      </c>
      <c r="B10" s="4" t="s">
        <v>15</v>
      </c>
    </row>
    <row r="11" customFormat="false" ht="42" hidden="false" customHeight="true" outlineLevel="0" collapsed="false">
      <c r="A11" s="3" t="s">
        <v>16</v>
      </c>
      <c r="B11" s="4" t="s">
        <v>17</v>
      </c>
    </row>
    <row r="12" customFormat="false" ht="42" hidden="false" customHeight="true" outlineLevel="0" collapsed="false">
      <c r="A12" s="3" t="s">
        <v>18</v>
      </c>
      <c r="B1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95"/>
  </cols>
  <sheetData>
    <row r="1" customFormat="false" ht="16.15" hidden="false" customHeight="false" outlineLevel="0" collapsed="false">
      <c r="A1" s="1" t="s">
        <v>20</v>
      </c>
    </row>
    <row r="2" customFormat="false" ht="15" hidden="false" customHeight="false" outlineLevel="0" collapsed="false">
      <c r="A2" s="2" t="s">
        <v>21</v>
      </c>
    </row>
    <row r="3" customFormat="false" ht="15" hidden="false" customHeight="false" outlineLevel="0" collapsed="false">
      <c r="A3" s="5" t="s">
        <v>22</v>
      </c>
      <c r="B3" s="5" t="s">
        <v>23</v>
      </c>
      <c r="C3" s="5" t="s">
        <v>24</v>
      </c>
    </row>
    <row r="4" customFormat="false" ht="15" hidden="false" customHeight="false" outlineLevel="0" collapsed="false">
      <c r="A4" s="6" t="s">
        <v>25</v>
      </c>
      <c r="B4" s="6"/>
      <c r="C4" s="6"/>
    </row>
    <row r="5" customFormat="false" ht="15" hidden="false" customHeight="false" outlineLevel="0" collapsed="false">
      <c r="A5" s="7" t="s">
        <v>26</v>
      </c>
      <c r="B5" s="8" t="s">
        <v>27</v>
      </c>
      <c r="C5" s="2" t="s">
        <v>28</v>
      </c>
    </row>
    <row r="6" customFormat="false" ht="15" hidden="false" customHeight="false" outlineLevel="0" collapsed="false">
      <c r="A6" s="7" t="s">
        <v>29</v>
      </c>
      <c r="B6" s="8" t="s">
        <v>30</v>
      </c>
      <c r="C6" s="2" t="s">
        <v>31</v>
      </c>
    </row>
    <row r="7" customFormat="false" ht="15" hidden="false" customHeight="false" outlineLevel="0" collapsed="false">
      <c r="A7" s="7" t="s">
        <v>32</v>
      </c>
      <c r="B7" s="9" t="n">
        <v>45</v>
      </c>
      <c r="C7" s="2" t="s">
        <v>28</v>
      </c>
    </row>
    <row r="8" customFormat="false" ht="15" hidden="false" customHeight="false" outlineLevel="0" collapsed="false">
      <c r="A8" s="7" t="s">
        <v>33</v>
      </c>
      <c r="B8" s="9" t="n">
        <v>20</v>
      </c>
      <c r="C8" s="2" t="s">
        <v>34</v>
      </c>
    </row>
    <row r="9" customFormat="false" ht="15" hidden="false" customHeight="false" outlineLevel="0" collapsed="false">
      <c r="A9" s="7" t="s">
        <v>35</v>
      </c>
      <c r="B9" s="10" t="n">
        <v>150000</v>
      </c>
      <c r="C9" s="2" t="s">
        <v>28</v>
      </c>
    </row>
    <row r="10" customFormat="false" ht="15" hidden="false" customHeight="false" outlineLevel="0" collapsed="false">
      <c r="A10" s="7" t="s">
        <v>36</v>
      </c>
      <c r="B10" s="11" t="n">
        <v>1793.78</v>
      </c>
      <c r="C10" s="2" t="s">
        <v>28</v>
      </c>
    </row>
    <row r="11" customFormat="false" ht="15" hidden="false" customHeight="false" outlineLevel="0" collapsed="false">
      <c r="A11" s="7" t="s">
        <v>37</v>
      </c>
      <c r="B11" s="8" t="s">
        <v>38</v>
      </c>
      <c r="C11" s="2" t="s">
        <v>28</v>
      </c>
    </row>
    <row r="12" customFormat="false" ht="15" hidden="false" customHeight="false" outlineLevel="0" collapsed="false">
      <c r="A12" s="7" t="s">
        <v>39</v>
      </c>
      <c r="B12" s="12" t="n">
        <v>0.5</v>
      </c>
      <c r="C12" s="2" t="s">
        <v>40</v>
      </c>
    </row>
    <row r="13" customFormat="false" ht="15" hidden="false" customHeight="false" outlineLevel="0" collapsed="false">
      <c r="A13" s="7" t="s">
        <v>41</v>
      </c>
      <c r="B13" s="12" t="n">
        <v>0.05</v>
      </c>
      <c r="C13" s="2" t="s">
        <v>40</v>
      </c>
    </row>
    <row r="14" customFormat="false" ht="15" hidden="false" customHeight="false" outlineLevel="0" collapsed="false">
      <c r="A14" s="6" t="s">
        <v>42</v>
      </c>
      <c r="B14" s="6"/>
      <c r="C14" s="6"/>
    </row>
    <row r="15" customFormat="false" ht="15" hidden="false" customHeight="false" outlineLevel="0" collapsed="false">
      <c r="A15" s="7" t="s">
        <v>43</v>
      </c>
      <c r="B15" s="12" t="n">
        <v>0.7</v>
      </c>
      <c r="C15" s="2" t="s">
        <v>44</v>
      </c>
    </row>
    <row r="16" customFormat="false" ht="15" hidden="false" customHeight="false" outlineLevel="0" collapsed="false">
      <c r="A16" s="7" t="s">
        <v>45</v>
      </c>
      <c r="B16" s="12" t="n">
        <v>0.75</v>
      </c>
      <c r="C16" s="2" t="s">
        <v>40</v>
      </c>
    </row>
    <row r="17" customFormat="false" ht="15" hidden="false" customHeight="false" outlineLevel="0" collapsed="false">
      <c r="A17" s="7" t="s">
        <v>46</v>
      </c>
      <c r="B17" s="12" t="n">
        <v>0.95</v>
      </c>
      <c r="C17" s="2" t="s">
        <v>40</v>
      </c>
    </row>
    <row r="18" customFormat="false" ht="15" hidden="false" customHeight="false" outlineLevel="0" collapsed="false">
      <c r="A18" s="7" t="s">
        <v>47</v>
      </c>
      <c r="B18" s="12" t="n">
        <v>0.01</v>
      </c>
      <c r="C18" s="2" t="s">
        <v>48</v>
      </c>
    </row>
    <row r="19" customFormat="false" ht="15" hidden="false" customHeight="false" outlineLevel="0" collapsed="false">
      <c r="A19" s="7" t="s">
        <v>49</v>
      </c>
      <c r="B19" s="12" t="n">
        <v>0.08</v>
      </c>
      <c r="C19" s="2" t="s">
        <v>40</v>
      </c>
    </row>
    <row r="20" customFormat="false" ht="15" hidden="false" customHeight="false" outlineLevel="0" collapsed="false">
      <c r="A20" s="7" t="s">
        <v>50</v>
      </c>
      <c r="B20" s="12" t="n">
        <v>0.06</v>
      </c>
      <c r="C20" s="2" t="s">
        <v>40</v>
      </c>
    </row>
    <row r="21" customFormat="false" ht="15" hidden="false" customHeight="false" outlineLevel="0" collapsed="false">
      <c r="A21" s="7" t="s">
        <v>51</v>
      </c>
      <c r="B21" s="12" t="n">
        <v>0.04</v>
      </c>
      <c r="C21" s="2" t="s">
        <v>40</v>
      </c>
    </row>
    <row r="22" customFormat="false" ht="15" hidden="false" customHeight="false" outlineLevel="0" collapsed="false">
      <c r="A22" s="7" t="s">
        <v>52</v>
      </c>
      <c r="B22" s="11" t="n">
        <v>150</v>
      </c>
      <c r="C22" s="2" t="s">
        <v>53</v>
      </c>
    </row>
    <row r="23" customFormat="false" ht="15" hidden="false" customHeight="false" outlineLevel="0" collapsed="false">
      <c r="A23" s="7" t="s">
        <v>54</v>
      </c>
      <c r="B23" s="11" t="n">
        <v>60</v>
      </c>
      <c r="C23" s="2" t="s">
        <v>55</v>
      </c>
    </row>
    <row r="24" customFormat="false" ht="15" hidden="false" customHeight="false" outlineLevel="0" collapsed="false">
      <c r="A24" s="7" t="s">
        <v>56</v>
      </c>
      <c r="B24" s="11" t="n">
        <v>200</v>
      </c>
      <c r="C24" s="2" t="s">
        <v>57</v>
      </c>
    </row>
    <row r="25" customFormat="false" ht="15" hidden="false" customHeight="false" outlineLevel="0" collapsed="false">
      <c r="A25" s="7" t="s">
        <v>58</v>
      </c>
      <c r="B25" s="12" t="n">
        <v>0.025</v>
      </c>
      <c r="C25" s="2" t="s">
        <v>40</v>
      </c>
    </row>
    <row r="26" customFormat="false" ht="15" hidden="false" customHeight="false" outlineLevel="0" collapsed="false">
      <c r="A26" s="6" t="s">
        <v>59</v>
      </c>
      <c r="B26" s="6"/>
      <c r="C26" s="6"/>
    </row>
    <row r="27" customFormat="false" ht="15" hidden="false" customHeight="false" outlineLevel="0" collapsed="false">
      <c r="A27" s="7" t="s">
        <v>60</v>
      </c>
      <c r="B27" s="13" t="n">
        <v>0.06</v>
      </c>
      <c r="C27" s="2" t="s">
        <v>61</v>
      </c>
    </row>
    <row r="28" customFormat="false" ht="15" hidden="false" customHeight="false" outlineLevel="0" collapsed="false">
      <c r="A28" s="7" t="s">
        <v>62</v>
      </c>
      <c r="B28" s="12" t="n">
        <v>0.15</v>
      </c>
      <c r="C28" s="2" t="s">
        <v>63</v>
      </c>
    </row>
    <row r="29" customFormat="false" ht="15" hidden="false" customHeight="false" outlineLevel="0" collapsed="false">
      <c r="A29" s="7" t="s">
        <v>64</v>
      </c>
      <c r="B29" s="12" t="n">
        <v>0.5</v>
      </c>
      <c r="C29" s="2" t="s">
        <v>65</v>
      </c>
    </row>
    <row r="30" customFormat="false" ht="15" hidden="false" customHeight="false" outlineLevel="0" collapsed="false">
      <c r="A30" s="7" t="s">
        <v>66</v>
      </c>
      <c r="B30" s="12" t="n">
        <v>0.1</v>
      </c>
      <c r="C30" s="2" t="s">
        <v>67</v>
      </c>
    </row>
    <row r="31" customFormat="false" ht="15" hidden="false" customHeight="false" outlineLevel="0" collapsed="false">
      <c r="A31" s="7" t="s">
        <v>68</v>
      </c>
      <c r="B31" s="12" t="n">
        <v>0.01</v>
      </c>
      <c r="C31" s="2" t="s">
        <v>67</v>
      </c>
    </row>
    <row r="32" customFormat="false" ht="15" hidden="false" customHeight="false" outlineLevel="0" collapsed="false">
      <c r="A32" s="7" t="s">
        <v>69</v>
      </c>
      <c r="B32" s="14" t="n">
        <v>0</v>
      </c>
      <c r="C32" s="2" t="s">
        <v>70</v>
      </c>
    </row>
    <row r="33" customFormat="false" ht="15" hidden="false" customHeight="false" outlineLevel="0" collapsed="false">
      <c r="A33" s="7" t="s">
        <v>71</v>
      </c>
      <c r="B33" s="14" t="n">
        <v>0.25</v>
      </c>
      <c r="C33" s="2" t="s">
        <v>72</v>
      </c>
    </row>
    <row r="34" customFormat="false" ht="15" hidden="false" customHeight="false" outlineLevel="0" collapsed="false">
      <c r="A34" s="7" t="s">
        <v>73</v>
      </c>
      <c r="B34" s="14" t="n">
        <v>0.5</v>
      </c>
      <c r="C34" s="2" t="s">
        <v>72</v>
      </c>
    </row>
    <row r="35" customFormat="false" ht="15" hidden="false" customHeight="false" outlineLevel="0" collapsed="false">
      <c r="A35" s="7" t="s">
        <v>74</v>
      </c>
      <c r="B35" s="12" t="n">
        <v>0.995</v>
      </c>
      <c r="C35" s="2" t="s">
        <v>75</v>
      </c>
    </row>
    <row r="36" customFormat="false" ht="15" hidden="false" customHeight="false" outlineLevel="0" collapsed="false">
      <c r="A36" s="7" t="s">
        <v>76</v>
      </c>
      <c r="B36" s="15" t="n">
        <f aca="false">NORMSINV(PercentilCapital)</f>
        <v>2.5758293035489</v>
      </c>
      <c r="C36" s="2" t="s">
        <v>77</v>
      </c>
    </row>
  </sheetData>
  <mergeCells count="3">
    <mergeCell ref="A4:C4"/>
    <mergeCell ref="A14:C14"/>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3"/>
    <col collapsed="false" customWidth="true" hidden="false" outlineLevel="0" max="4" min="4" style="0" width="3"/>
    <col collapsed="false" customWidth="true" hidden="false" outlineLevel="0" max="5" min="5" style="0" width="10"/>
    <col collapsed="false" customWidth="true" hidden="false" outlineLevel="0" max="6" min="6" style="0" width="18"/>
    <col collapsed="false" customWidth="true" hidden="false" outlineLevel="0" max="7" min="7" style="0" width="14"/>
  </cols>
  <sheetData>
    <row r="1" customFormat="false" ht="16.15" hidden="false" customHeight="false" outlineLevel="0" collapsed="false">
      <c r="A1" s="1" t="s">
        <v>78</v>
      </c>
    </row>
    <row r="2" customFormat="false" ht="15" hidden="false" customHeight="false" outlineLevel="0" collapsed="false">
      <c r="A2" s="2" t="s">
        <v>79</v>
      </c>
    </row>
    <row r="3" customFormat="false" ht="35.05" hidden="false" customHeight="false" outlineLevel="0" collapsed="false">
      <c r="A3" s="5" t="s">
        <v>80</v>
      </c>
      <c r="B3" s="5" t="s">
        <v>81</v>
      </c>
      <c r="C3" s="5" t="s">
        <v>82</v>
      </c>
      <c r="E3" s="5" t="s">
        <v>83</v>
      </c>
      <c r="F3" s="5" t="s">
        <v>84</v>
      </c>
      <c r="G3" s="5" t="s">
        <v>85</v>
      </c>
    </row>
    <row r="4" customFormat="false" ht="15" hidden="false" customHeight="false" outlineLevel="0" collapsed="false">
      <c r="A4" s="16" t="n">
        <v>0</v>
      </c>
      <c r="B4" s="17" t="n">
        <v>0.00418</v>
      </c>
      <c r="C4" s="17" t="n">
        <v>0.00289</v>
      </c>
      <c r="E4" s="16" t="n">
        <v>0</v>
      </c>
      <c r="F4" s="18" t="n">
        <v>1</v>
      </c>
      <c r="G4" s="19" t="str">
        <f aca="false">IF(E4=0,"",F4^(-1/E4)-1)</f>
        <v/>
      </c>
    </row>
    <row r="5" customFormat="false" ht="15" hidden="false" customHeight="false" outlineLevel="0" collapsed="false">
      <c r="A5" s="16" t="n">
        <v>1</v>
      </c>
      <c r="B5" s="17" t="n">
        <v>0.00107</v>
      </c>
      <c r="C5" s="17" t="n">
        <v>0.00087</v>
      </c>
      <c r="E5" s="16" t="n">
        <v>1</v>
      </c>
      <c r="F5" s="18" t="n">
        <v>0.955633106084657</v>
      </c>
      <c r="G5" s="19" t="n">
        <f aca="false">IF(E5=0,"",F5^(-1/E5)-1)</f>
        <v>0.0464267024999998</v>
      </c>
    </row>
    <row r="6" customFormat="false" ht="15" hidden="false" customHeight="false" outlineLevel="0" collapsed="false">
      <c r="A6" s="16" t="n">
        <v>2</v>
      </c>
      <c r="B6" s="17" t="n">
        <v>0.00099</v>
      </c>
      <c r="C6" s="17" t="n">
        <v>0.00081</v>
      </c>
      <c r="E6" s="16" t="n">
        <v>2</v>
      </c>
      <c r="F6" s="18" t="n">
        <v>0.912164123097817</v>
      </c>
      <c r="G6" s="19" t="n">
        <f aca="false">IF(E6=0,"",F6^(-1/E6)-1)</f>
        <v>0.0470405624999999</v>
      </c>
    </row>
    <row r="7" customFormat="false" ht="15" hidden="false" customHeight="false" outlineLevel="0" collapsed="false">
      <c r="A7" s="16" t="n">
        <v>3</v>
      </c>
      <c r="B7" s="17" t="n">
        <v>0.00098</v>
      </c>
      <c r="C7" s="17" t="n">
        <v>0.00079</v>
      </c>
      <c r="E7" s="16" t="n">
        <v>3</v>
      </c>
      <c r="F7" s="18" t="n">
        <v>0.869142637040769</v>
      </c>
      <c r="G7" s="19" t="n">
        <f aca="false">IF(E7=0,"",F7^(-1/E7)-1)</f>
        <v>0.0478593224999999</v>
      </c>
    </row>
    <row r="8" customFormat="false" ht="15" hidden="false" customHeight="false" outlineLevel="0" collapsed="false">
      <c r="A8" s="16" t="n">
        <v>4</v>
      </c>
      <c r="B8" s="17" t="n">
        <v>0.00095</v>
      </c>
      <c r="C8" s="17" t="n">
        <v>0.00077</v>
      </c>
      <c r="E8" s="16" t="n">
        <v>4</v>
      </c>
      <c r="F8" s="18" t="n">
        <v>0.826857566112177</v>
      </c>
      <c r="G8" s="19" t="n">
        <f aca="false">IF(E8=0,"",F8^(-1/E8)-1)</f>
        <v>0.0486784024999998</v>
      </c>
    </row>
    <row r="9" customFormat="false" ht="15" hidden="false" customHeight="false" outlineLevel="0" collapsed="false">
      <c r="A9" s="16" t="n">
        <v>5</v>
      </c>
      <c r="B9" s="17" t="n">
        <v>0.0009</v>
      </c>
      <c r="C9" s="17" t="n">
        <v>0.00076</v>
      </c>
      <c r="E9" s="16" t="n">
        <v>5</v>
      </c>
      <c r="F9" s="18" t="n">
        <v>0.785019369510734</v>
      </c>
      <c r="G9" s="19" t="n">
        <f aca="false">IF(E9=0,"",F9^(-1/E9)-1)</f>
        <v>0.0496002499999999</v>
      </c>
    </row>
    <row r="10" customFormat="false" ht="15" hidden="false" customHeight="false" outlineLevel="0" collapsed="false">
      <c r="A10" s="16" t="n">
        <v>6</v>
      </c>
      <c r="B10" s="17" t="n">
        <v>0.00086</v>
      </c>
      <c r="C10" s="17" t="n">
        <v>0.00073</v>
      </c>
      <c r="E10" s="16" t="n">
        <v>6</v>
      </c>
      <c r="F10" s="18" t="n">
        <v>0.743555885045308</v>
      </c>
      <c r="G10" s="19" t="n">
        <f aca="false">IF(E10=0,"",F10^(-1/E10)-1)</f>
        <v>0.0506249999999999</v>
      </c>
    </row>
    <row r="11" customFormat="false" ht="15" hidden="false" customHeight="false" outlineLevel="0" collapsed="false">
      <c r="A11" s="16" t="n">
        <v>7</v>
      </c>
      <c r="B11" s="17" t="n">
        <v>0.0008</v>
      </c>
      <c r="C11" s="17" t="n">
        <v>0.00072</v>
      </c>
      <c r="E11" s="16" t="n">
        <v>7</v>
      </c>
      <c r="F11" s="18" t="n">
        <v>0.702911573608143</v>
      </c>
      <c r="G11" s="19" t="n">
        <f aca="false">IF(E11=0,"",F11^(-1/E11)-1)</f>
        <v>0.0516502500000002</v>
      </c>
    </row>
    <row r="12" customFormat="false" ht="15" hidden="false" customHeight="false" outlineLevel="0" collapsed="false">
      <c r="A12" s="16" t="n">
        <v>8</v>
      </c>
      <c r="B12" s="17" t="n">
        <v>0.00076</v>
      </c>
      <c r="C12" s="17" t="n">
        <v>0.0007</v>
      </c>
      <c r="E12" s="16" t="n">
        <v>8</v>
      </c>
      <c r="F12" s="18" t="n">
        <v>0.663713829626701</v>
      </c>
      <c r="G12" s="19" t="n">
        <f aca="false">IF(E12=0,"",F12^(-1/E12)-1)</f>
        <v>0.0525734024999998</v>
      </c>
    </row>
    <row r="13" customFormat="false" ht="15" hidden="false" customHeight="false" outlineLevel="0" collapsed="false">
      <c r="A13" s="16" t="n">
        <v>9</v>
      </c>
      <c r="B13" s="17" t="n">
        <v>0.00074</v>
      </c>
      <c r="C13" s="17" t="n">
        <v>0.00069</v>
      </c>
      <c r="E13" s="16" t="n">
        <v>9</v>
      </c>
      <c r="F13" s="18" t="n">
        <v>0.625605300108043</v>
      </c>
      <c r="G13" s="19" t="n">
        <f aca="false">IF(E13=0,"",F13^(-1/E13)-1)</f>
        <v>0.0534969599999999</v>
      </c>
    </row>
    <row r="14" customFormat="false" ht="15" hidden="false" customHeight="false" outlineLevel="0" collapsed="false">
      <c r="A14" s="16" t="n">
        <v>10</v>
      </c>
      <c r="B14" s="17" t="n">
        <v>0.00073</v>
      </c>
      <c r="C14" s="17" t="n">
        <v>0.00068</v>
      </c>
      <c r="E14" s="16" t="n">
        <v>10</v>
      </c>
      <c r="F14" s="18" t="n">
        <v>0.589227218190428</v>
      </c>
      <c r="G14" s="19" t="n">
        <f aca="false">IF(E14=0,"",F14^(-1/E14)-1)</f>
        <v>0.05431824</v>
      </c>
    </row>
    <row r="15" customFormat="false" ht="15" hidden="false" customHeight="false" outlineLevel="0" collapsed="false">
      <c r="A15" s="16" t="n">
        <v>11</v>
      </c>
      <c r="B15" s="17" t="n">
        <v>0.00077</v>
      </c>
      <c r="C15" s="17" t="n">
        <v>0.00069</v>
      </c>
      <c r="E15" s="16" t="n">
        <v>11</v>
      </c>
      <c r="F15" s="18" t="n">
        <v>0.55469576392788</v>
      </c>
      <c r="G15" s="19" t="n">
        <f aca="false">IF(E15=0,"",F15^(-1/E15)-1)</f>
        <v>0.0550371224999999</v>
      </c>
    </row>
    <row r="16" customFormat="false" ht="15" hidden="false" customHeight="false" outlineLevel="0" collapsed="false">
      <c r="A16" s="16" t="n">
        <v>12</v>
      </c>
      <c r="B16" s="17" t="n">
        <v>0.00085</v>
      </c>
      <c r="C16" s="17" t="n">
        <v>0.00072</v>
      </c>
      <c r="E16" s="16" t="n">
        <v>12</v>
      </c>
      <c r="F16" s="18" t="n">
        <v>0.522087486914417</v>
      </c>
      <c r="G16" s="19" t="n">
        <f aca="false">IF(E16=0,"",F16^(-1/E16)-1)</f>
        <v>0.0556535025</v>
      </c>
    </row>
    <row r="17" customFormat="false" ht="15" hidden="false" customHeight="false" outlineLevel="0" collapsed="false">
      <c r="A17" s="16" t="n">
        <v>13</v>
      </c>
      <c r="B17" s="17" t="n">
        <v>0.00099</v>
      </c>
      <c r="C17" s="17" t="n">
        <v>0.00075</v>
      </c>
      <c r="E17" s="16" t="n">
        <v>13</v>
      </c>
      <c r="F17" s="18" t="n">
        <v>0.490823534155882</v>
      </c>
      <c r="G17" s="19" t="n">
        <f aca="false">IF(E17=0,"",F17^(-1/E17)-1)</f>
        <v>0.0562700624999999</v>
      </c>
    </row>
    <row r="18" customFormat="false" ht="15" hidden="false" customHeight="false" outlineLevel="0" collapsed="false">
      <c r="A18" s="16" t="n">
        <v>14</v>
      </c>
      <c r="B18" s="17" t="n">
        <v>0.00115</v>
      </c>
      <c r="C18" s="17" t="n">
        <v>0.0008</v>
      </c>
      <c r="E18" s="16" t="n">
        <v>14</v>
      </c>
      <c r="F18" s="18" t="n">
        <v>0.462151381448276</v>
      </c>
      <c r="G18" s="19" t="n">
        <f aca="false">IF(E18=0,"",F18^(-1/E18)-1)</f>
        <v>0.0566812024999999</v>
      </c>
    </row>
    <row r="19" customFormat="false" ht="15" hidden="false" customHeight="false" outlineLevel="0" collapsed="false">
      <c r="A19" s="16" t="n">
        <v>15</v>
      </c>
      <c r="B19" s="17" t="n">
        <v>0.00133</v>
      </c>
      <c r="C19" s="17" t="n">
        <v>0.00085</v>
      </c>
      <c r="E19" s="16" t="n">
        <v>15</v>
      </c>
      <c r="F19" s="18" t="n">
        <v>0.434182199189579</v>
      </c>
      <c r="G19" s="19" t="n">
        <f aca="false">IF(E19=0,"",F19^(-1/E19)-1)</f>
        <v>0.05719524</v>
      </c>
    </row>
    <row r="20" customFormat="false" ht="15" hidden="false" customHeight="false" outlineLevel="0" collapsed="false">
      <c r="A20" s="16" t="n">
        <v>16</v>
      </c>
      <c r="B20" s="17" t="n">
        <v>0.00151</v>
      </c>
      <c r="C20" s="17" t="n">
        <v>0.0009</v>
      </c>
      <c r="E20" s="16" t="n">
        <v>16</v>
      </c>
      <c r="F20" s="18" t="n">
        <v>0.40877989066849</v>
      </c>
      <c r="G20" s="19" t="n">
        <f aca="false">IF(E20=0,"",F20^(-1/E20)-1)</f>
        <v>0.0575037225000001</v>
      </c>
    </row>
    <row r="21" customFormat="false" ht="15" hidden="false" customHeight="false" outlineLevel="0" collapsed="false">
      <c r="A21" s="16" t="n">
        <v>17</v>
      </c>
      <c r="B21" s="17" t="n">
        <v>0.00167</v>
      </c>
      <c r="C21" s="17" t="n">
        <v>0.00095</v>
      </c>
      <c r="E21" s="16" t="n">
        <v>17</v>
      </c>
      <c r="F21" s="18" t="n">
        <v>0.384639547396534</v>
      </c>
      <c r="G21" s="19" t="n">
        <f aca="false">IF(E21=0,"",F21^(-1/E21)-1)</f>
        <v>0.05781225</v>
      </c>
    </row>
    <row r="22" customFormat="false" ht="15" hidden="false" customHeight="false" outlineLevel="0" collapsed="false">
      <c r="A22" s="16" t="n">
        <v>18</v>
      </c>
      <c r="B22" s="17" t="n">
        <v>0.00178</v>
      </c>
      <c r="C22" s="17" t="n">
        <v>0.00098</v>
      </c>
      <c r="E22" s="16" t="n">
        <v>18</v>
      </c>
      <c r="F22" s="18" t="n">
        <v>0.36171398874759</v>
      </c>
      <c r="G22" s="19" t="n">
        <f aca="false">IF(E22=0,"",F22^(-1/E22)-1)</f>
        <v>0.0581208225000001</v>
      </c>
    </row>
    <row r="23" customFormat="false" ht="15" hidden="false" customHeight="false" outlineLevel="0" collapsed="false">
      <c r="A23" s="16" t="n">
        <v>19</v>
      </c>
      <c r="B23" s="17" t="n">
        <v>0.00186</v>
      </c>
      <c r="C23" s="17" t="n">
        <v>0.00102</v>
      </c>
      <c r="E23" s="16" t="n">
        <v>19</v>
      </c>
      <c r="F23" s="18" t="n">
        <v>0.340585196621635</v>
      </c>
      <c r="G23" s="19" t="n">
        <f aca="false">IF(E23=0,"",F23^(-1/E23)-1)</f>
        <v>0.0583265625</v>
      </c>
    </row>
    <row r="24" customFormat="false" ht="15" hidden="false" customHeight="false" outlineLevel="0" collapsed="false">
      <c r="A24" s="16" t="n">
        <v>20</v>
      </c>
      <c r="B24" s="17" t="n">
        <v>0.0019</v>
      </c>
      <c r="C24" s="17" t="n">
        <v>0.00105</v>
      </c>
      <c r="E24" s="16" t="n">
        <v>20</v>
      </c>
      <c r="F24" s="18" t="n">
        <v>0.321189823536907</v>
      </c>
      <c r="G24" s="19" t="n">
        <f aca="false">IF(E24=0,"",F24^(-1/E24)-1)</f>
        <v>0.0584294399999998</v>
      </c>
    </row>
    <row r="25" customFormat="false" ht="15" hidden="false" customHeight="false" outlineLevel="0" collapsed="false">
      <c r="A25" s="16" t="n">
        <v>21</v>
      </c>
      <c r="B25" s="17" t="n">
        <v>0.00191</v>
      </c>
      <c r="C25" s="17" t="n">
        <v>0.00107</v>
      </c>
      <c r="E25" s="16" t="n">
        <v>21</v>
      </c>
      <c r="F25" s="18" t="n">
        <v>0.302840113029692</v>
      </c>
      <c r="G25" s="19" t="n">
        <f aca="false">IF(E25=0,"",F25^(-1/E25)-1)</f>
        <v>0.0585323225000001</v>
      </c>
    </row>
    <row r="26" customFormat="false" ht="15" hidden="false" customHeight="false" outlineLevel="0" collapsed="false">
      <c r="A26" s="16" t="n">
        <v>22</v>
      </c>
      <c r="B26" s="17" t="n">
        <v>0.00189</v>
      </c>
      <c r="C26" s="17" t="n">
        <v>0.00109</v>
      </c>
    </row>
    <row r="27" customFormat="false" ht="15" hidden="false" customHeight="false" outlineLevel="0" collapsed="false">
      <c r="A27" s="16" t="n">
        <v>23</v>
      </c>
      <c r="B27" s="17" t="n">
        <v>0.00186</v>
      </c>
      <c r="C27" s="17" t="n">
        <v>0.00111</v>
      </c>
      <c r="E27" s="2" t="s">
        <v>86</v>
      </c>
    </row>
    <row r="28" customFormat="false" ht="15" hidden="false" customHeight="false" outlineLevel="0" collapsed="false">
      <c r="A28" s="16" t="n">
        <v>24</v>
      </c>
      <c r="B28" s="17" t="n">
        <v>0.00182</v>
      </c>
      <c r="C28" s="17" t="n">
        <v>0.00114</v>
      </c>
    </row>
    <row r="29" customFormat="false" ht="15" hidden="false" customHeight="false" outlineLevel="0" collapsed="false">
      <c r="A29" s="16" t="n">
        <v>25</v>
      </c>
      <c r="B29" s="17" t="n">
        <v>0.00177</v>
      </c>
      <c r="C29" s="17" t="n">
        <v>0.00116</v>
      </c>
    </row>
    <row r="30" customFormat="false" ht="15" hidden="false" customHeight="false" outlineLevel="0" collapsed="false">
      <c r="A30" s="16" t="n">
        <v>26</v>
      </c>
      <c r="B30" s="17" t="n">
        <v>0.00173</v>
      </c>
      <c r="C30" s="17" t="n">
        <v>0.00119</v>
      </c>
    </row>
    <row r="31" customFormat="false" ht="15" hidden="false" customHeight="false" outlineLevel="0" collapsed="false">
      <c r="A31" s="16" t="n">
        <v>27</v>
      </c>
      <c r="B31" s="17" t="n">
        <v>0.00171</v>
      </c>
      <c r="C31" s="17" t="n">
        <v>0.00122</v>
      </c>
    </row>
    <row r="32" customFormat="false" ht="15" hidden="false" customHeight="false" outlineLevel="0" collapsed="false">
      <c r="A32" s="16" t="n">
        <v>28</v>
      </c>
      <c r="B32" s="17" t="n">
        <v>0.0017</v>
      </c>
      <c r="C32" s="17" t="n">
        <v>0.00126</v>
      </c>
    </row>
    <row r="33" customFormat="false" ht="15" hidden="false" customHeight="false" outlineLevel="0" collapsed="false">
      <c r="A33" s="16" t="n">
        <v>29</v>
      </c>
      <c r="B33" s="17" t="n">
        <v>0.00171</v>
      </c>
      <c r="C33" s="17" t="n">
        <v>0.0013</v>
      </c>
    </row>
    <row r="34" customFormat="false" ht="15" hidden="false" customHeight="false" outlineLevel="0" collapsed="false">
      <c r="A34" s="16" t="n">
        <v>30</v>
      </c>
      <c r="B34" s="17" t="n">
        <v>0.00173</v>
      </c>
      <c r="C34" s="17" t="n">
        <v>0.00135</v>
      </c>
    </row>
    <row r="35" customFormat="false" ht="15" hidden="false" customHeight="false" outlineLevel="0" collapsed="false">
      <c r="A35" s="16" t="n">
        <v>31</v>
      </c>
      <c r="B35" s="17" t="n">
        <v>0.00178</v>
      </c>
      <c r="C35" s="17" t="n">
        <v>0.0014</v>
      </c>
    </row>
    <row r="36" customFormat="false" ht="15" hidden="false" customHeight="false" outlineLevel="0" collapsed="false">
      <c r="A36" s="16" t="n">
        <v>32</v>
      </c>
      <c r="B36" s="17" t="n">
        <v>0.00183</v>
      </c>
      <c r="C36" s="17" t="n">
        <v>0.00145</v>
      </c>
    </row>
    <row r="37" customFormat="false" ht="15" hidden="false" customHeight="false" outlineLevel="0" collapsed="false">
      <c r="A37" s="16" t="n">
        <v>33</v>
      </c>
      <c r="B37" s="17" t="n">
        <v>0.00191</v>
      </c>
      <c r="C37" s="17" t="n">
        <v>0.0015</v>
      </c>
    </row>
    <row r="38" customFormat="false" ht="15" hidden="false" customHeight="false" outlineLevel="0" collapsed="false">
      <c r="A38" s="16" t="n">
        <v>34</v>
      </c>
      <c r="B38" s="17" t="n">
        <v>0.002</v>
      </c>
      <c r="C38" s="17" t="n">
        <v>0.00158</v>
      </c>
    </row>
    <row r="39" customFormat="false" ht="15" hidden="false" customHeight="false" outlineLevel="0" collapsed="false">
      <c r="A39" s="16" t="n">
        <v>35</v>
      </c>
      <c r="B39" s="17" t="n">
        <v>0.00211</v>
      </c>
      <c r="C39" s="17" t="n">
        <v>0.00165</v>
      </c>
    </row>
    <row r="40" customFormat="false" ht="15" hidden="false" customHeight="false" outlineLevel="0" collapsed="false">
      <c r="A40" s="16" t="n">
        <v>36</v>
      </c>
      <c r="B40" s="17" t="n">
        <v>0.00224</v>
      </c>
      <c r="C40" s="17" t="n">
        <v>0.00176</v>
      </c>
    </row>
    <row r="41" customFormat="false" ht="15" hidden="false" customHeight="false" outlineLevel="0" collapsed="false">
      <c r="A41" s="16" t="n">
        <v>37</v>
      </c>
      <c r="B41" s="17" t="n">
        <v>0.0024</v>
      </c>
      <c r="C41" s="17" t="n">
        <v>0.00189</v>
      </c>
    </row>
    <row r="42" customFormat="false" ht="15" hidden="false" customHeight="false" outlineLevel="0" collapsed="false">
      <c r="A42" s="16" t="n">
        <v>38</v>
      </c>
      <c r="B42" s="17" t="n">
        <v>0.00258</v>
      </c>
      <c r="C42" s="17" t="n">
        <v>0.00204</v>
      </c>
    </row>
    <row r="43" customFormat="false" ht="15" hidden="false" customHeight="false" outlineLevel="0" collapsed="false">
      <c r="A43" s="16" t="n">
        <v>39</v>
      </c>
      <c r="B43" s="17" t="n">
        <v>0.00279</v>
      </c>
      <c r="C43" s="17" t="n">
        <v>0.00222</v>
      </c>
    </row>
    <row r="44" customFormat="false" ht="15" hidden="false" customHeight="false" outlineLevel="0" collapsed="false">
      <c r="A44" s="16" t="n">
        <v>40</v>
      </c>
      <c r="B44" s="17" t="n">
        <v>0.00302</v>
      </c>
      <c r="C44" s="17" t="n">
        <v>0.00242</v>
      </c>
    </row>
    <row r="45" customFormat="false" ht="15" hidden="false" customHeight="false" outlineLevel="0" collapsed="false">
      <c r="A45" s="16" t="n">
        <v>41</v>
      </c>
      <c r="B45" s="17" t="n">
        <v>0.00329</v>
      </c>
      <c r="C45" s="17" t="n">
        <v>0.00264</v>
      </c>
    </row>
    <row r="46" customFormat="false" ht="15" hidden="false" customHeight="false" outlineLevel="0" collapsed="false">
      <c r="A46" s="16" t="n">
        <v>42</v>
      </c>
      <c r="B46" s="17" t="n">
        <v>0.00356</v>
      </c>
      <c r="C46" s="17" t="n">
        <v>0.00287</v>
      </c>
    </row>
    <row r="47" customFormat="false" ht="15" hidden="false" customHeight="false" outlineLevel="0" collapsed="false">
      <c r="A47" s="16" t="n">
        <v>43</v>
      </c>
      <c r="B47" s="17" t="n">
        <v>0.00387</v>
      </c>
      <c r="C47" s="17" t="n">
        <v>0.00309</v>
      </c>
    </row>
    <row r="48" customFormat="false" ht="15" hidden="false" customHeight="false" outlineLevel="0" collapsed="false">
      <c r="A48" s="16" t="n">
        <v>44</v>
      </c>
      <c r="B48" s="17" t="n">
        <v>0.00419</v>
      </c>
      <c r="C48" s="17" t="n">
        <v>0.00332</v>
      </c>
    </row>
    <row r="49" customFormat="false" ht="15" hidden="false" customHeight="false" outlineLevel="0" collapsed="false">
      <c r="A49" s="16" t="n">
        <v>45</v>
      </c>
      <c r="B49" s="17" t="n">
        <v>0.00455</v>
      </c>
      <c r="C49" s="17" t="n">
        <v>0.00356</v>
      </c>
    </row>
    <row r="50" customFormat="false" ht="15" hidden="false" customHeight="false" outlineLevel="0" collapsed="false">
      <c r="A50" s="16" t="n">
        <v>46</v>
      </c>
      <c r="B50" s="17" t="n">
        <v>0.00492</v>
      </c>
      <c r="C50" s="17" t="n">
        <v>0.0038</v>
      </c>
    </row>
    <row r="51" customFormat="false" ht="15" hidden="false" customHeight="false" outlineLevel="0" collapsed="false">
      <c r="A51" s="16" t="n">
        <v>47</v>
      </c>
      <c r="B51" s="17" t="n">
        <v>0.00532</v>
      </c>
      <c r="C51" s="17" t="n">
        <v>0.00405</v>
      </c>
    </row>
    <row r="52" customFormat="false" ht="15" hidden="false" customHeight="false" outlineLevel="0" collapsed="false">
      <c r="A52" s="16" t="n">
        <v>48</v>
      </c>
      <c r="B52" s="17" t="n">
        <v>0.00574</v>
      </c>
      <c r="C52" s="17" t="n">
        <v>0.00433</v>
      </c>
    </row>
    <row r="53" customFormat="false" ht="15" hidden="false" customHeight="false" outlineLevel="0" collapsed="false">
      <c r="A53" s="16" t="n">
        <v>49</v>
      </c>
      <c r="B53" s="17" t="n">
        <v>0.00621</v>
      </c>
      <c r="C53" s="17" t="n">
        <v>0.00463</v>
      </c>
    </row>
    <row r="54" customFormat="false" ht="15" hidden="false" customHeight="false" outlineLevel="0" collapsed="false">
      <c r="A54" s="16" t="n">
        <v>50</v>
      </c>
      <c r="B54" s="17" t="n">
        <v>0.00671</v>
      </c>
      <c r="C54" s="17" t="n">
        <v>0.00496</v>
      </c>
    </row>
    <row r="55" customFormat="false" ht="15" hidden="false" customHeight="false" outlineLevel="0" collapsed="false">
      <c r="A55" s="16" t="n">
        <v>51</v>
      </c>
      <c r="B55" s="17" t="n">
        <v>0.0073</v>
      </c>
      <c r="C55" s="17" t="n">
        <v>0.00531</v>
      </c>
    </row>
    <row r="56" customFormat="false" ht="15" hidden="false" customHeight="false" outlineLevel="0" collapsed="false">
      <c r="A56" s="16" t="n">
        <v>52</v>
      </c>
      <c r="B56" s="17" t="n">
        <v>0.00796</v>
      </c>
      <c r="C56" s="17" t="n">
        <v>0.0057</v>
      </c>
    </row>
    <row r="57" customFormat="false" ht="15" hidden="false" customHeight="false" outlineLevel="0" collapsed="false">
      <c r="A57" s="16" t="n">
        <v>53</v>
      </c>
      <c r="B57" s="17" t="n">
        <v>0.00871</v>
      </c>
      <c r="C57" s="17" t="n">
        <v>0.00615</v>
      </c>
    </row>
    <row r="58" customFormat="false" ht="15" hidden="false" customHeight="false" outlineLevel="0" collapsed="false">
      <c r="A58" s="16" t="n">
        <v>54</v>
      </c>
      <c r="B58" s="17" t="n">
        <v>0.00956</v>
      </c>
      <c r="C58" s="17" t="n">
        <v>0.00661</v>
      </c>
    </row>
    <row r="59" customFormat="false" ht="15" hidden="false" customHeight="false" outlineLevel="0" collapsed="false">
      <c r="A59" s="16" t="n">
        <v>55</v>
      </c>
      <c r="B59" s="17" t="n">
        <v>0.01047</v>
      </c>
      <c r="C59" s="17" t="n">
        <v>0.00709</v>
      </c>
    </row>
    <row r="60" customFormat="false" ht="15" hidden="false" customHeight="false" outlineLevel="0" collapsed="false">
      <c r="A60" s="16" t="n">
        <v>56</v>
      </c>
      <c r="B60" s="17" t="n">
        <v>0.01146</v>
      </c>
      <c r="C60" s="17" t="n">
        <v>0.00757</v>
      </c>
    </row>
    <row r="61" customFormat="false" ht="15" hidden="false" customHeight="false" outlineLevel="0" collapsed="false">
      <c r="A61" s="16" t="n">
        <v>57</v>
      </c>
      <c r="B61" s="17" t="n">
        <v>0.01249</v>
      </c>
      <c r="C61" s="17" t="n">
        <v>0.00803</v>
      </c>
    </row>
    <row r="62" customFormat="false" ht="15" hidden="false" customHeight="false" outlineLevel="0" collapsed="false">
      <c r="A62" s="16" t="n">
        <v>58</v>
      </c>
      <c r="B62" s="17" t="n">
        <v>0.01359</v>
      </c>
      <c r="C62" s="17" t="n">
        <v>0.00847</v>
      </c>
    </row>
    <row r="63" customFormat="false" ht="15" hidden="false" customHeight="false" outlineLevel="0" collapsed="false">
      <c r="A63" s="16" t="n">
        <v>59</v>
      </c>
      <c r="B63" s="17" t="n">
        <v>0.01477</v>
      </c>
      <c r="C63" s="17" t="n">
        <v>0.00894</v>
      </c>
    </row>
    <row r="64" customFormat="false" ht="15" hidden="false" customHeight="false" outlineLevel="0" collapsed="false">
      <c r="A64" s="16" t="n">
        <v>60</v>
      </c>
      <c r="B64" s="17" t="n">
        <v>0.01608</v>
      </c>
      <c r="C64" s="17" t="n">
        <v>0.00947</v>
      </c>
    </row>
    <row r="65" customFormat="false" ht="15" hidden="false" customHeight="false" outlineLevel="0" collapsed="false">
      <c r="A65" s="16" t="n">
        <v>61</v>
      </c>
      <c r="B65" s="17" t="n">
        <v>0.01754</v>
      </c>
      <c r="C65" s="17" t="n">
        <v>0.01013</v>
      </c>
    </row>
    <row r="66" customFormat="false" ht="15" hidden="false" customHeight="false" outlineLevel="0" collapsed="false">
      <c r="A66" s="16" t="n">
        <v>62</v>
      </c>
      <c r="B66" s="17" t="n">
        <v>0.01919</v>
      </c>
      <c r="C66" s="17" t="n">
        <v>0.01096</v>
      </c>
    </row>
    <row r="67" customFormat="false" ht="15" hidden="false" customHeight="false" outlineLevel="0" collapsed="false">
      <c r="A67" s="16" t="n">
        <v>63</v>
      </c>
      <c r="B67" s="17" t="n">
        <v>0.02106</v>
      </c>
      <c r="C67" s="17" t="n">
        <v>0.01202</v>
      </c>
    </row>
    <row r="68" customFormat="false" ht="15" hidden="false" customHeight="false" outlineLevel="0" collapsed="false">
      <c r="A68" s="16" t="n">
        <v>64</v>
      </c>
      <c r="B68" s="17" t="n">
        <v>0.02314</v>
      </c>
      <c r="C68" s="17" t="n">
        <v>0.01325</v>
      </c>
    </row>
    <row r="69" customFormat="false" ht="15" hidden="false" customHeight="false" outlineLevel="0" collapsed="false">
      <c r="A69" s="16" t="n">
        <v>65</v>
      </c>
      <c r="B69" s="17" t="n">
        <v>0.02542</v>
      </c>
      <c r="C69" s="17" t="n">
        <v>0.01459</v>
      </c>
    </row>
    <row r="70" customFormat="false" ht="15" hidden="false" customHeight="false" outlineLevel="0" collapsed="false">
      <c r="A70" s="16" t="n">
        <v>66</v>
      </c>
      <c r="B70" s="17" t="n">
        <v>0.02785</v>
      </c>
      <c r="C70" s="17" t="n">
        <v>0.016</v>
      </c>
    </row>
    <row r="71" customFormat="false" ht="15" hidden="false" customHeight="false" outlineLevel="0" collapsed="false">
      <c r="A71" s="16" t="n">
        <v>67</v>
      </c>
      <c r="B71" s="17" t="n">
        <v>0.03044</v>
      </c>
      <c r="C71" s="17" t="n">
        <v>0.01743</v>
      </c>
    </row>
    <row r="72" customFormat="false" ht="15" hidden="false" customHeight="false" outlineLevel="0" collapsed="false">
      <c r="A72" s="16" t="n">
        <v>68</v>
      </c>
      <c r="B72" s="17" t="n">
        <v>0.03319</v>
      </c>
      <c r="C72" s="17" t="n">
        <v>0.01884</v>
      </c>
    </row>
    <row r="73" customFormat="false" ht="15" hidden="false" customHeight="false" outlineLevel="0" collapsed="false">
      <c r="A73" s="16" t="n">
        <v>69</v>
      </c>
      <c r="B73" s="17" t="n">
        <v>0.03617</v>
      </c>
      <c r="C73" s="17" t="n">
        <v>0.02036</v>
      </c>
    </row>
    <row r="74" customFormat="false" ht="15" hidden="false" customHeight="false" outlineLevel="0" collapsed="false">
      <c r="A74" s="16" t="n">
        <v>70</v>
      </c>
      <c r="B74" s="17" t="n">
        <v>0.03951</v>
      </c>
      <c r="C74" s="17" t="n">
        <v>0.02211</v>
      </c>
    </row>
    <row r="75" customFormat="false" ht="15" hidden="false" customHeight="false" outlineLevel="0" collapsed="false">
      <c r="A75" s="16" t="n">
        <v>71</v>
      </c>
      <c r="B75" s="17" t="n">
        <v>0.0433</v>
      </c>
      <c r="C75" s="17" t="n">
        <v>0.02423</v>
      </c>
    </row>
    <row r="76" customFormat="false" ht="15" hidden="false" customHeight="false" outlineLevel="0" collapsed="false">
      <c r="A76" s="16" t="n">
        <v>72</v>
      </c>
      <c r="B76" s="17" t="n">
        <v>0.04765</v>
      </c>
      <c r="C76" s="17" t="n">
        <v>0.02687</v>
      </c>
    </row>
    <row r="77" customFormat="false" ht="15" hidden="false" customHeight="false" outlineLevel="0" collapsed="false">
      <c r="A77" s="16" t="n">
        <v>73</v>
      </c>
      <c r="B77" s="17" t="n">
        <v>0.05264</v>
      </c>
      <c r="C77" s="17" t="n">
        <v>0.03011</v>
      </c>
    </row>
    <row r="78" customFormat="false" ht="15" hidden="false" customHeight="false" outlineLevel="0" collapsed="false">
      <c r="A78" s="16" t="n">
        <v>74</v>
      </c>
      <c r="B78" s="17" t="n">
        <v>0.05819</v>
      </c>
      <c r="C78" s="17" t="n">
        <v>0.03393</v>
      </c>
    </row>
    <row r="79" customFormat="false" ht="15" hidden="false" customHeight="false" outlineLevel="0" collapsed="false">
      <c r="A79" s="16" t="n">
        <v>75</v>
      </c>
      <c r="B79" s="17" t="n">
        <v>0.06419</v>
      </c>
      <c r="C79" s="17" t="n">
        <v>0.03824</v>
      </c>
    </row>
    <row r="80" customFormat="false" ht="15" hidden="false" customHeight="false" outlineLevel="0" collapsed="false">
      <c r="A80" s="16" t="n">
        <v>76</v>
      </c>
      <c r="B80" s="17" t="n">
        <v>0.07053</v>
      </c>
      <c r="C80" s="17" t="n">
        <v>0.04297</v>
      </c>
    </row>
    <row r="81" customFormat="false" ht="15" hidden="false" customHeight="false" outlineLevel="0" collapsed="false">
      <c r="A81" s="16" t="n">
        <v>77</v>
      </c>
      <c r="B81" s="17" t="n">
        <v>0.07712</v>
      </c>
      <c r="C81" s="17" t="n">
        <v>0.04804</v>
      </c>
    </row>
    <row r="82" customFormat="false" ht="15" hidden="false" customHeight="false" outlineLevel="0" collapsed="false">
      <c r="A82" s="16" t="n">
        <v>78</v>
      </c>
      <c r="B82" s="17" t="n">
        <v>0.0839</v>
      </c>
      <c r="C82" s="17" t="n">
        <v>0.05345</v>
      </c>
    </row>
    <row r="83" customFormat="false" ht="15" hidden="false" customHeight="false" outlineLevel="0" collapsed="false">
      <c r="A83" s="16" t="n">
        <v>79</v>
      </c>
      <c r="B83" s="17" t="n">
        <v>0.09105</v>
      </c>
      <c r="C83" s="17" t="n">
        <v>0.05935</v>
      </c>
    </row>
    <row r="84" customFormat="false" ht="15" hidden="false" customHeight="false" outlineLevel="0" collapsed="false">
      <c r="A84" s="16" t="n">
        <v>80</v>
      </c>
      <c r="B84" s="17" t="n">
        <v>0.09884</v>
      </c>
      <c r="C84" s="17" t="n">
        <v>0.06599</v>
      </c>
    </row>
    <row r="85" customFormat="false" ht="15" hidden="false" customHeight="false" outlineLevel="0" collapsed="false">
      <c r="A85" s="16" t="n">
        <v>81</v>
      </c>
      <c r="B85" s="17" t="n">
        <v>0.10748</v>
      </c>
      <c r="C85" s="17" t="n">
        <v>0.0736</v>
      </c>
    </row>
    <row r="86" customFormat="false" ht="15" hidden="false" customHeight="false" outlineLevel="0" collapsed="false">
      <c r="A86" s="16" t="n">
        <v>82</v>
      </c>
      <c r="B86" s="17" t="n">
        <v>0.11725</v>
      </c>
      <c r="C86" s="17" t="n">
        <v>0.0824</v>
      </c>
    </row>
    <row r="87" customFormat="false" ht="15" hidden="false" customHeight="false" outlineLevel="0" collapsed="false">
      <c r="A87" s="16" t="n">
        <v>83</v>
      </c>
      <c r="B87" s="17" t="n">
        <v>0.12826</v>
      </c>
      <c r="C87" s="17" t="n">
        <v>0.09253</v>
      </c>
    </row>
    <row r="88" customFormat="false" ht="15" hidden="false" customHeight="false" outlineLevel="0" collapsed="false">
      <c r="A88" s="16" t="n">
        <v>84</v>
      </c>
      <c r="B88" s="17" t="n">
        <v>0.14025</v>
      </c>
      <c r="C88" s="17" t="n">
        <v>0.10381</v>
      </c>
    </row>
    <row r="89" customFormat="false" ht="15" hidden="false" customHeight="false" outlineLevel="0" collapsed="false">
      <c r="A89" s="16" t="n">
        <v>85</v>
      </c>
      <c r="B89" s="17" t="n">
        <v>0.15295</v>
      </c>
      <c r="C89" s="17" t="n">
        <v>0.1161</v>
      </c>
    </row>
    <row r="90" customFormat="false" ht="15" hidden="false" customHeight="false" outlineLevel="0" collapsed="false">
      <c r="A90" s="16" t="n">
        <v>86</v>
      </c>
      <c r="B90" s="17" t="n">
        <v>0.16609</v>
      </c>
      <c r="C90" s="17" t="n">
        <v>0.12929</v>
      </c>
    </row>
    <row r="91" customFormat="false" ht="15" hidden="false" customHeight="false" outlineLevel="0" collapsed="false">
      <c r="A91" s="16" t="n">
        <v>87</v>
      </c>
      <c r="B91" s="17" t="n">
        <v>0.17955</v>
      </c>
      <c r="C91" s="17" t="n">
        <v>0.14332</v>
      </c>
    </row>
    <row r="92" customFormat="false" ht="15" hidden="false" customHeight="false" outlineLevel="0" collapsed="false">
      <c r="A92" s="16" t="n">
        <v>88</v>
      </c>
      <c r="B92" s="17" t="n">
        <v>0.19327</v>
      </c>
      <c r="C92" s="17" t="n">
        <v>0.15818</v>
      </c>
    </row>
    <row r="93" customFormat="false" ht="15" hidden="false" customHeight="false" outlineLevel="0" collapsed="false">
      <c r="A93" s="16" t="n">
        <v>89</v>
      </c>
      <c r="B93" s="17" t="n">
        <v>0.20729</v>
      </c>
      <c r="C93" s="17" t="n">
        <v>0.17394</v>
      </c>
    </row>
    <row r="94" customFormat="false" ht="15" hidden="false" customHeight="false" outlineLevel="0" collapsed="false">
      <c r="A94" s="16" t="n">
        <v>90</v>
      </c>
      <c r="B94" s="17" t="n">
        <v>0.22177</v>
      </c>
      <c r="C94" s="17" t="n">
        <v>0.19075</v>
      </c>
    </row>
    <row r="95" customFormat="false" ht="15" hidden="false" customHeight="false" outlineLevel="0" collapsed="false">
      <c r="A95" s="16" t="n">
        <v>91</v>
      </c>
      <c r="B95" s="17" t="n">
        <v>0.23698</v>
      </c>
      <c r="C95" s="17" t="n">
        <v>0.20887</v>
      </c>
    </row>
    <row r="96" customFormat="false" ht="15" hidden="false" customHeight="false" outlineLevel="0" collapsed="false">
      <c r="A96" s="16" t="n">
        <v>92</v>
      </c>
      <c r="B96" s="17" t="n">
        <v>0.25345</v>
      </c>
      <c r="C96" s="17" t="n">
        <v>0.22881</v>
      </c>
    </row>
    <row r="97" customFormat="false" ht="15" hidden="false" customHeight="false" outlineLevel="0" collapsed="false">
      <c r="A97" s="16" t="n">
        <v>93</v>
      </c>
      <c r="B97" s="17" t="n">
        <v>0.27211</v>
      </c>
      <c r="C97" s="17" t="n">
        <v>0.25151</v>
      </c>
    </row>
    <row r="98" customFormat="false" ht="15" hidden="false" customHeight="false" outlineLevel="0" collapsed="false">
      <c r="A98" s="16" t="n">
        <v>94</v>
      </c>
      <c r="B98" s="17" t="n">
        <v>0.2959</v>
      </c>
      <c r="C98" s="17" t="n">
        <v>0.27931</v>
      </c>
    </row>
    <row r="99" customFormat="false" ht="15" hidden="false" customHeight="false" outlineLevel="0" collapsed="false">
      <c r="A99" s="16" t="n">
        <v>95</v>
      </c>
      <c r="B99" s="17" t="n">
        <v>0.32996</v>
      </c>
      <c r="C99" s="17" t="n">
        <v>0.31732</v>
      </c>
    </row>
    <row r="100" customFormat="false" ht="15" hidden="false" customHeight="false" outlineLevel="0" collapsed="false">
      <c r="A100" s="16" t="n">
        <v>96</v>
      </c>
      <c r="B100" s="17" t="n">
        <v>0.38455</v>
      </c>
      <c r="C100" s="17" t="n">
        <v>0.37574</v>
      </c>
    </row>
    <row r="101" customFormat="false" ht="15" hidden="false" customHeight="false" outlineLevel="0" collapsed="false">
      <c r="A101" s="16" t="n">
        <v>97</v>
      </c>
      <c r="B101" s="17" t="n">
        <v>0.4802</v>
      </c>
      <c r="C101" s="17" t="n">
        <v>0.47497</v>
      </c>
    </row>
    <row r="102" customFormat="false" ht="15" hidden="false" customHeight="false" outlineLevel="0" collapsed="false">
      <c r="A102" s="16" t="n">
        <v>98</v>
      </c>
      <c r="B102" s="17" t="n">
        <v>0.65798</v>
      </c>
      <c r="C102" s="17" t="n">
        <v>0.65585</v>
      </c>
    </row>
    <row r="103" customFormat="false" ht="15" hidden="false" customHeight="false" outlineLevel="0" collapsed="false">
      <c r="A103" s="16" t="n">
        <v>99</v>
      </c>
      <c r="B103" s="17" t="n">
        <v>1</v>
      </c>
      <c r="C103" s="17" t="n">
        <v>1</v>
      </c>
    </row>
    <row r="105" customFormat="false" ht="15" hidden="false" customHeight="false" outlineLevel="0" collapsed="false">
      <c r="A105" s="2"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3" min="3" style="0" width="6"/>
    <col collapsed="false" customWidth="true" hidden="false" outlineLevel="0" max="5" min="4" style="0" width="10"/>
    <col collapsed="false" customWidth="true" hidden="false" outlineLevel="0" max="6" min="6" style="0" width="9"/>
    <col collapsed="false" customWidth="true" hidden="false" outlineLevel="0" max="7" min="7" style="0" width="8"/>
    <col collapsed="false" customWidth="true" hidden="false" outlineLevel="0" max="8" min="8" style="0" width="11"/>
    <col collapsed="false" customWidth="true" hidden="false" outlineLevel="0" max="9" min="9" style="0" width="10"/>
    <col collapsed="false" customWidth="true" hidden="false" outlineLevel="0" max="13" min="10" style="0" width="11"/>
    <col collapsed="false" customWidth="true" hidden="false" outlineLevel="0" max="14" min="14" style="0" width="13"/>
    <col collapsed="false" customWidth="true" hidden="false" outlineLevel="0" max="15" min="15" style="0" width="11"/>
    <col collapsed="false" customWidth="true" hidden="false" outlineLevel="0" max="16" min="16" style="0" width="12"/>
    <col collapsed="false" customWidth="true" hidden="false" outlineLevel="0" max="18" min="17" style="0" width="10"/>
    <col collapsed="false" customWidth="true" hidden="false" outlineLevel="0" max="19" min="19" style="0" width="14"/>
    <col collapsed="false" customWidth="true" hidden="false" outlineLevel="0" max="20" min="20" style="0" width="16"/>
  </cols>
  <sheetData>
    <row r="1" customFormat="false" ht="16.15" hidden="false" customHeight="false" outlineLevel="0" collapsed="false">
      <c r="A1" s="1" t="s">
        <v>88</v>
      </c>
    </row>
    <row r="2" customFormat="false" ht="15" hidden="false" customHeight="false" outlineLevel="0" collapsed="false">
      <c r="A2" s="2" t="s">
        <v>89</v>
      </c>
    </row>
    <row r="3" customFormat="false" ht="15" hidden="false" customHeight="false" outlineLevel="0" collapsed="false">
      <c r="A3" s="20" t="s">
        <v>90</v>
      </c>
      <c r="B3" s="20"/>
      <c r="C3" s="20"/>
      <c r="D3" s="20"/>
      <c r="E3" s="21" t="n">
        <v>1</v>
      </c>
      <c r="G3" s="20" t="s">
        <v>91</v>
      </c>
      <c r="H3" s="20"/>
      <c r="I3" s="20"/>
      <c r="J3" s="20"/>
      <c r="K3" s="20"/>
      <c r="L3" s="22" t="n">
        <f aca="false">SUMPRODUCT(K9:K28,Q9:Q28)</f>
        <v>15514.4423773416</v>
      </c>
    </row>
    <row r="4" customFormat="false" ht="15" hidden="false" customHeight="false" outlineLevel="0" collapsed="false">
      <c r="A4" s="20" t="s">
        <v>92</v>
      </c>
      <c r="B4" s="20"/>
      <c r="C4" s="20"/>
      <c r="D4" s="20"/>
      <c r="E4" s="21" t="n">
        <v>1</v>
      </c>
      <c r="G4" s="20" t="s">
        <v>93</v>
      </c>
      <c r="H4" s="20"/>
      <c r="I4" s="20"/>
      <c r="J4" s="20"/>
      <c r="K4" s="20"/>
      <c r="L4" s="22" t="n">
        <f aca="false">SUMPRODUCT(L9:L28+M9:M28+N9:N28,Q9:Q28)+SUMPRODUCT(O9:O28+P9:P28,R9:R28)</f>
        <v>10757.398010439</v>
      </c>
    </row>
    <row r="5" customFormat="false" ht="15" hidden="false" customHeight="false" outlineLevel="0" collapsed="false">
      <c r="A5" s="20" t="s">
        <v>94</v>
      </c>
      <c r="B5" s="20"/>
      <c r="C5" s="20"/>
      <c r="D5" s="20"/>
      <c r="E5" s="21" t="n">
        <v>1</v>
      </c>
      <c r="G5" s="23" t="s">
        <v>95</v>
      </c>
      <c r="H5" s="23"/>
      <c r="I5" s="23"/>
      <c r="J5" s="23"/>
      <c r="K5" s="23"/>
      <c r="L5" s="24" t="n">
        <f aca="false">L4-L3</f>
        <v>-4757.04436690267</v>
      </c>
    </row>
    <row r="6" customFormat="false" ht="15" hidden="false" customHeight="false" outlineLevel="0" collapsed="false">
      <c r="A6" s="20" t="s">
        <v>96</v>
      </c>
      <c r="B6" s="20"/>
      <c r="C6" s="20"/>
      <c r="D6" s="20"/>
      <c r="E6" s="25" t="n">
        <v>0</v>
      </c>
      <c r="G6" s="20" t="s">
        <v>97</v>
      </c>
      <c r="H6" s="20"/>
      <c r="I6" s="20"/>
      <c r="J6" s="20"/>
      <c r="K6" s="20"/>
      <c r="L6" s="22" t="n">
        <f aca="false">ROUND(SUM(S9:S28)-L5,6)</f>
        <v>0</v>
      </c>
    </row>
    <row r="8" customFormat="false" ht="42" hidden="false" customHeight="true" outlineLevel="0" collapsed="false">
      <c r="A8" s="5" t="s">
        <v>98</v>
      </c>
      <c r="B8" s="5" t="s">
        <v>99</v>
      </c>
      <c r="C8" s="5" t="s">
        <v>80</v>
      </c>
      <c r="D8" s="5" t="s">
        <v>100</v>
      </c>
      <c r="E8" s="5" t="s">
        <v>101</v>
      </c>
      <c r="F8" s="5" t="s">
        <v>102</v>
      </c>
      <c r="G8" s="5" t="s">
        <v>103</v>
      </c>
      <c r="H8" s="5" t="s">
        <v>104</v>
      </c>
      <c r="I8" s="5" t="s">
        <v>105</v>
      </c>
      <c r="J8" s="5" t="s">
        <v>106</v>
      </c>
      <c r="K8" s="5" t="s">
        <v>107</v>
      </c>
      <c r="L8" s="5" t="s">
        <v>108</v>
      </c>
      <c r="M8" s="5" t="s">
        <v>109</v>
      </c>
      <c r="N8" s="5" t="s">
        <v>110</v>
      </c>
      <c r="O8" s="5" t="s">
        <v>111</v>
      </c>
      <c r="P8" s="5" t="s">
        <v>112</v>
      </c>
      <c r="Q8" s="5" t="s">
        <v>113</v>
      </c>
      <c r="R8" s="5" t="s">
        <v>114</v>
      </c>
      <c r="S8" s="5" t="s">
        <v>115</v>
      </c>
      <c r="T8" s="5" t="s">
        <v>116</v>
      </c>
    </row>
    <row r="9" customFormat="false" ht="15" hidden="false" customHeight="false" outlineLevel="0" collapsed="false">
      <c r="A9" s="16" t="n">
        <f aca="false">B9+1</f>
        <v>1</v>
      </c>
      <c r="B9" s="16" t="n">
        <f aca="false">ROW()-9</f>
        <v>0</v>
      </c>
      <c r="C9" s="16" t="n">
        <f aca="false">EdadEmision+B9</f>
        <v>45</v>
      </c>
      <c r="D9" s="16" t="n">
        <f aca="false">IF(B9&lt;Plazo,1,0)</f>
        <v>1</v>
      </c>
      <c r="E9" s="26" t="n">
        <f aca="false">IF(Sexo="M",INDEX(CSO_H,C9+1),INDEX(CSO_M,C9+1))</f>
        <v>0.00455</v>
      </c>
      <c r="F9" s="27" t="n">
        <f aca="false">IF(C9&lt;40,Fact_25_39,IF(C9&lt;50,Fact_40_49,Fact_50mas))</f>
        <v>0.75</v>
      </c>
      <c r="G9" s="28" t="n">
        <f aca="false">(1-Mejora)^B9</f>
        <v>1</v>
      </c>
      <c r="H9" s="26" t="n">
        <f aca="false">D9*MIN(E9*F9*G9*$E$3,1)</f>
        <v>0.0034125</v>
      </c>
      <c r="I9" s="27" t="n">
        <f aca="false">D9*MIN(IF(B9=0,Cad_Anio1,IF(B9=1,Cad_Anio2,Cad_Anio3))*$E$4,1)</f>
        <v>0.08</v>
      </c>
      <c r="J9" s="26" t="n">
        <f aca="false">D9</f>
        <v>1</v>
      </c>
      <c r="K9" s="22" t="n">
        <f aca="false">J9*PrimaAnual</f>
        <v>1793.78</v>
      </c>
      <c r="L9" s="22" t="n">
        <f aca="false">K9*IF(B9=0,ComisionAnio1,ComisionRenov)</f>
        <v>896.89</v>
      </c>
      <c r="M9" s="22" t="n">
        <f aca="false">J9*IF(B9=0,CostoSuscripcion,0)</f>
        <v>150</v>
      </c>
      <c r="N9" s="22" t="n">
        <f aca="false">J9*CostoMant*(1+Inflacion+$E$6)^B9*$E$5</f>
        <v>60</v>
      </c>
      <c r="O9" s="22" t="n">
        <f aca="false">J9*H9*SumaAsegurada</f>
        <v>511.875</v>
      </c>
      <c r="P9" s="22" t="n">
        <f aca="false">J9*H9*CostoSiniestro*(1+Inflacion+$E$6)^B9*$E$5</f>
        <v>0.6825</v>
      </c>
      <c r="Q9" s="26" t="n">
        <f aca="false">INDEX(FD_Bloqueado,B9+1)</f>
        <v>1</v>
      </c>
      <c r="R9" s="26" t="n">
        <f aca="false">INDEX(FD_Bloqueado,B9+2)</f>
        <v>0.955633106084657</v>
      </c>
      <c r="S9" s="22" t="n">
        <f aca="false">(L9+M9+N9-K9)*Q9+(O9+P9)*R9</f>
        <v>-197.073084228014</v>
      </c>
      <c r="T9" s="29" t="n">
        <f aca="false">J9*SumaAsegurada</f>
        <v>150000</v>
      </c>
    </row>
    <row r="10" customFormat="false" ht="15" hidden="false" customHeight="false" outlineLevel="0" collapsed="false">
      <c r="A10" s="16" t="n">
        <f aca="false">B10+1</f>
        <v>2</v>
      </c>
      <c r="B10" s="16" t="n">
        <f aca="false">ROW()-9</f>
        <v>1</v>
      </c>
      <c r="C10" s="16" t="n">
        <f aca="false">EdadEmision+B10</f>
        <v>46</v>
      </c>
      <c r="D10" s="16" t="n">
        <f aca="false">IF(B10&lt;Plazo,1,0)</f>
        <v>1</v>
      </c>
      <c r="E10" s="26" t="n">
        <f aca="false">IF(Sexo="M",INDEX(CSO_H,C10+1),INDEX(CSO_M,C10+1))</f>
        <v>0.00492</v>
      </c>
      <c r="F10" s="27" t="n">
        <f aca="false">IF(C10&lt;40,Fact_25_39,IF(C10&lt;50,Fact_40_49,Fact_50mas))</f>
        <v>0.75</v>
      </c>
      <c r="G10" s="28" t="n">
        <f aca="false">(1-Mejora)^B10</f>
        <v>0.99</v>
      </c>
      <c r="H10" s="26" t="n">
        <f aca="false">D10*MIN(E10*F10*G10*$E$3,1)</f>
        <v>0.0036531</v>
      </c>
      <c r="I10" s="27" t="n">
        <f aca="false">D10*MIN(IF(B10=0,Cad_Anio1,IF(B10=1,Cad_Anio2,Cad_Anio3))*$E$4,1)</f>
        <v>0.06</v>
      </c>
      <c r="J10" s="26" t="n">
        <f aca="false">J9*(1-H9)*(1-I9)*D10</f>
        <v>0.9168605</v>
      </c>
      <c r="K10" s="22" t="n">
        <f aca="false">J10*PrimaAnual</f>
        <v>1644.64602769</v>
      </c>
      <c r="L10" s="22" t="n">
        <f aca="false">K10*IF(B10=0,ComisionAnio1,ComisionRenov)</f>
        <v>82.2323013845</v>
      </c>
      <c r="M10" s="22" t="n">
        <f aca="false">J10*IF(B10=0,CostoSuscripcion,0)</f>
        <v>0</v>
      </c>
      <c r="N10" s="22" t="n">
        <f aca="false">J10*CostoMant*(1+Inflacion+$E$6)^B10*$E$5</f>
        <v>56.38692075</v>
      </c>
      <c r="O10" s="22" t="n">
        <f aca="false">J10*H10*SumaAsegurada</f>
        <v>502.4074638825</v>
      </c>
      <c r="P10" s="22" t="n">
        <f aca="false">J10*H10*CostoSiniestro*(1+Inflacion+$E$6)^B10*$E$5</f>
        <v>0.68662353397275</v>
      </c>
      <c r="Q10" s="26" t="n">
        <f aca="false">INDEX(FD_Bloqueado,B10+1)</f>
        <v>0.955633106084657</v>
      </c>
      <c r="R10" s="26" t="n">
        <f aca="false">INDEX(FD_Bloqueado,B10+2)</f>
        <v>0.912164123097817</v>
      </c>
      <c r="S10" s="22" t="n">
        <f aca="false">(L10+M10+N10-K10)*Q10+(O10+P10)*R10</f>
        <v>-980.304696955813</v>
      </c>
      <c r="T10" s="29" t="n">
        <f aca="false">J10*SumaAsegurada</f>
        <v>137529.075</v>
      </c>
    </row>
    <row r="11" customFormat="false" ht="15" hidden="false" customHeight="false" outlineLevel="0" collapsed="false">
      <c r="A11" s="16" t="n">
        <f aca="false">B11+1</f>
        <v>3</v>
      </c>
      <c r="B11" s="16" t="n">
        <f aca="false">ROW()-9</f>
        <v>2</v>
      </c>
      <c r="C11" s="16" t="n">
        <f aca="false">EdadEmision+B11</f>
        <v>47</v>
      </c>
      <c r="D11" s="16" t="n">
        <f aca="false">IF(B11&lt;Plazo,1,0)</f>
        <v>1</v>
      </c>
      <c r="E11" s="26" t="n">
        <f aca="false">IF(Sexo="M",INDEX(CSO_H,C11+1),INDEX(CSO_M,C11+1))</f>
        <v>0.00532</v>
      </c>
      <c r="F11" s="27" t="n">
        <f aca="false">IF(C11&lt;40,Fact_25_39,IF(C11&lt;50,Fact_40_49,Fact_50mas))</f>
        <v>0.75</v>
      </c>
      <c r="G11" s="28" t="n">
        <f aca="false">(1-Mejora)^B11</f>
        <v>0.9801</v>
      </c>
      <c r="H11" s="26" t="n">
        <f aca="false">D11*MIN(E11*F11*G11*$E$3,1)</f>
        <v>0.003910599</v>
      </c>
      <c r="I11" s="27" t="n">
        <f aca="false">D11*MIN(IF(B11=0,Cad_Anio1,IF(B11=1,Cad_Anio2,Cad_Anio3))*$E$4,1)</f>
        <v>0.04</v>
      </c>
      <c r="J11" s="26" t="n">
        <f aca="false">J10*(1-H10)*(1-I10)*D11</f>
        <v>0.858700449893003</v>
      </c>
      <c r="K11" s="22" t="n">
        <f aca="false">J11*PrimaAnual</f>
        <v>1540.31969300907</v>
      </c>
      <c r="L11" s="22" t="n">
        <f aca="false">K11*IF(B11=0,ComisionAnio1,ComisionRenov)</f>
        <v>77.0159846504536</v>
      </c>
      <c r="M11" s="22" t="n">
        <f aca="false">J11*IF(B11=0,CostoSuscripcion,0)</f>
        <v>0</v>
      </c>
      <c r="N11" s="22" t="n">
        <f aca="false">J11*CostoMant*(1+Inflacion+$E$6)^B11*$E$5</f>
        <v>54.1303296101302</v>
      </c>
      <c r="O11" s="22" t="n">
        <f aca="false">J11*H11*SumaAsegurada</f>
        <v>503.704968097669</v>
      </c>
      <c r="P11" s="22" t="n">
        <f aca="false">J11*H11*CostoSiniestro*(1+Inflacion+$E$6)^B11*$E$5</f>
        <v>0.705606709476818</v>
      </c>
      <c r="Q11" s="26" t="n">
        <f aca="false">INDEX(FD_Bloqueado,B11+1)</f>
        <v>0.912164123097817</v>
      </c>
      <c r="R11" s="26" t="n">
        <f aca="false">INDEX(FD_Bloqueado,B11+2)</f>
        <v>0.869142637040769</v>
      </c>
      <c r="S11" s="22" t="n">
        <f aca="false">(L11+M11+N11-K11)*Q11+(O11+P11)*R11</f>
        <v>-846.992662179768</v>
      </c>
      <c r="T11" s="29" t="n">
        <f aca="false">J11*SumaAsegurada</f>
        <v>128805.06748395</v>
      </c>
    </row>
    <row r="12" customFormat="false" ht="15" hidden="false" customHeight="false" outlineLevel="0" collapsed="false">
      <c r="A12" s="16" t="n">
        <f aca="false">B12+1</f>
        <v>4</v>
      </c>
      <c r="B12" s="16" t="n">
        <f aca="false">ROW()-9</f>
        <v>3</v>
      </c>
      <c r="C12" s="16" t="n">
        <f aca="false">EdadEmision+B12</f>
        <v>48</v>
      </c>
      <c r="D12" s="16" t="n">
        <f aca="false">IF(B12&lt;Plazo,1,0)</f>
        <v>1</v>
      </c>
      <c r="E12" s="26" t="n">
        <f aca="false">IF(Sexo="M",INDEX(CSO_H,C12+1),INDEX(CSO_M,C12+1))</f>
        <v>0.00574</v>
      </c>
      <c r="F12" s="27" t="n">
        <f aca="false">IF(C12&lt;40,Fact_25_39,IF(C12&lt;50,Fact_40_49,Fact_50mas))</f>
        <v>0.75</v>
      </c>
      <c r="G12" s="28" t="n">
        <f aca="false">(1-Mejora)^B12</f>
        <v>0.970299</v>
      </c>
      <c r="H12" s="26" t="n">
        <f aca="false">D12*MIN(E12*F12*G12*$E$3,1)</f>
        <v>0.004177137195</v>
      </c>
      <c r="I12" s="27" t="n">
        <f aca="false">D12*MIN(IF(B12=0,Cad_Anio1,IF(B12=1,Cad_Anio2,Cad_Anio3))*$E$4,1)</f>
        <v>0.04</v>
      </c>
      <c r="J12" s="26" t="n">
        <f aca="false">J11*(1-H11)*(1-I11)*D12</f>
        <v>0.821128720101458</v>
      </c>
      <c r="K12" s="22" t="n">
        <f aca="false">J12*PrimaAnual</f>
        <v>1472.92427554359</v>
      </c>
      <c r="L12" s="22" t="n">
        <f aca="false">K12*IF(B12=0,ComisionAnio1,ComisionRenov)</f>
        <v>73.6462137771796</v>
      </c>
      <c r="M12" s="22" t="n">
        <f aca="false">J12*IF(B12=0,CostoSuscripcion,0)</f>
        <v>0</v>
      </c>
      <c r="N12" s="22" t="n">
        <f aca="false">J12*CostoMant*(1+Inflacion+$E$6)^B12*$E$5</f>
        <v>53.0559492357305</v>
      </c>
      <c r="O12" s="22" t="n">
        <f aca="false">J12*H12*SumaAsegurada</f>
        <v>514.495097792781</v>
      </c>
      <c r="P12" s="22" t="n">
        <f aca="false">J12*H12*CostoSiniestro*(1+Inflacion+$E$6)^B12*$E$5</f>
        <v>0.738739929895339</v>
      </c>
      <c r="Q12" s="26" t="n">
        <f aca="false">INDEX(FD_Bloqueado,B12+1)</f>
        <v>0.869142637040769</v>
      </c>
      <c r="R12" s="26" t="n">
        <f aca="false">INDEX(FD_Bloqueado,B12+2)</f>
        <v>0.826857566112177</v>
      </c>
      <c r="S12" s="22" t="n">
        <f aca="false">(L12+M12+N12-K12)*Q12+(O12+P12)*R12</f>
        <v>-744.034039889503</v>
      </c>
      <c r="T12" s="29" t="n">
        <f aca="false">J12*SumaAsegurada</f>
        <v>123169.308015219</v>
      </c>
    </row>
    <row r="13" customFormat="false" ht="15" hidden="false" customHeight="false" outlineLevel="0" collapsed="false">
      <c r="A13" s="16" t="n">
        <f aca="false">B13+1</f>
        <v>5</v>
      </c>
      <c r="B13" s="16" t="n">
        <f aca="false">ROW()-9</f>
        <v>4</v>
      </c>
      <c r="C13" s="16" t="n">
        <f aca="false">EdadEmision+B13</f>
        <v>49</v>
      </c>
      <c r="D13" s="16" t="n">
        <f aca="false">IF(B13&lt;Plazo,1,0)</f>
        <v>1</v>
      </c>
      <c r="E13" s="26" t="n">
        <f aca="false">IF(Sexo="M",INDEX(CSO_H,C13+1),INDEX(CSO_M,C13+1))</f>
        <v>0.00621</v>
      </c>
      <c r="F13" s="27" t="n">
        <f aca="false">IF(C13&lt;40,Fact_25_39,IF(C13&lt;50,Fact_40_49,Fact_50mas))</f>
        <v>0.75</v>
      </c>
      <c r="G13" s="28" t="n">
        <f aca="false">(1-Mejora)^B13</f>
        <v>0.96059601</v>
      </c>
      <c r="H13" s="26" t="n">
        <f aca="false">D13*MIN(E13*F13*G13*$E$3,1)</f>
        <v>0.004473975916575</v>
      </c>
      <c r="I13" s="27" t="n">
        <f aca="false">D13*MIN(IF(B13=0,Cad_Anio1,IF(B13=1,Cad_Anio2,Cad_Anio3))*$E$4,1)</f>
        <v>0.04</v>
      </c>
      <c r="J13" s="26" t="n">
        <f aca="false">J12*(1-H12)*(1-I12)*D13</f>
        <v>0.784990802671526</v>
      </c>
      <c r="K13" s="22" t="n">
        <f aca="false">J13*PrimaAnual</f>
        <v>1408.10080201613</v>
      </c>
      <c r="L13" s="22" t="n">
        <f aca="false">K13*IF(B13=0,ComisionAnio1,ComisionRenov)</f>
        <v>70.4050401008065</v>
      </c>
      <c r="M13" s="22" t="n">
        <f aca="false">J13*IF(B13=0,CostoSuscripcion,0)</f>
        <v>0</v>
      </c>
      <c r="N13" s="22" t="n">
        <f aca="false">J13*CostoMant*(1+Inflacion+$E$6)^B13*$E$5</f>
        <v>51.9889780206537</v>
      </c>
      <c r="O13" s="22" t="n">
        <f aca="false">J13*H13*SumaAsegurada</f>
        <v>526.804491882793</v>
      </c>
      <c r="P13" s="22" t="n">
        <f aca="false">J13*H13*CostoSiniestro*(1+Inflacion+$E$6)^B13*$E$5</f>
        <v>0.775324785305839</v>
      </c>
      <c r="Q13" s="26" t="n">
        <f aca="false">INDEX(FD_Bloqueado,B13+1)</f>
        <v>0.826857566112177</v>
      </c>
      <c r="R13" s="26" t="n">
        <f aca="false">INDEX(FD_Bloqueado,B13+2)</f>
        <v>0.785019369510734</v>
      </c>
      <c r="S13" s="22" t="n">
        <f aca="false">(L13+M13+N13-K13)*Q13+(O13+P13)*R13</f>
        <v>-648.936007017682</v>
      </c>
      <c r="T13" s="29" t="n">
        <f aca="false">J13*SumaAsegurada</f>
        <v>117748.620400729</v>
      </c>
    </row>
    <row r="14" customFormat="false" ht="15" hidden="false" customHeight="false" outlineLevel="0" collapsed="false">
      <c r="A14" s="16" t="n">
        <f aca="false">B14+1</f>
        <v>6</v>
      </c>
      <c r="B14" s="16" t="n">
        <f aca="false">ROW()-9</f>
        <v>5</v>
      </c>
      <c r="C14" s="16" t="n">
        <f aca="false">EdadEmision+B14</f>
        <v>50</v>
      </c>
      <c r="D14" s="16" t="n">
        <f aca="false">IF(B14&lt;Plazo,1,0)</f>
        <v>1</v>
      </c>
      <c r="E14" s="26" t="n">
        <f aca="false">IF(Sexo="M",INDEX(CSO_H,C14+1),INDEX(CSO_M,C14+1))</f>
        <v>0.00671</v>
      </c>
      <c r="F14" s="27" t="n">
        <f aca="false">IF(C14&lt;40,Fact_25_39,IF(C14&lt;50,Fact_40_49,Fact_50mas))</f>
        <v>0.95</v>
      </c>
      <c r="G14" s="28" t="n">
        <f aca="false">(1-Mejora)^B14</f>
        <v>0.9509900499</v>
      </c>
      <c r="H14" s="26" t="n">
        <f aca="false">D14*MIN(E14*F14*G14*$E$3,1)</f>
        <v>0.00606208607308755</v>
      </c>
      <c r="I14" s="27" t="n">
        <f aca="false">D14*MIN(IF(B14=0,Cad_Anio1,IF(B14=1,Cad_Anio2,Cad_Anio3))*$E$4,1)</f>
        <v>0.04</v>
      </c>
      <c r="J14" s="26" t="n">
        <f aca="false">J13*(1-H13)*(1-I13)*D14</f>
        <v>0.750219621816615</v>
      </c>
      <c r="K14" s="22" t="n">
        <f aca="false">J14*PrimaAnual</f>
        <v>1345.72895322221</v>
      </c>
      <c r="L14" s="22" t="n">
        <f aca="false">K14*IF(B14=0,ComisionAnio1,ComisionRenov)</f>
        <v>67.2864476611103</v>
      </c>
      <c r="M14" s="22" t="n">
        <f aca="false">J14*IF(B14=0,CostoSuscripcion,0)</f>
        <v>0</v>
      </c>
      <c r="N14" s="22" t="n">
        <f aca="false">J14*CostoMant*(1+Inflacion+$E$6)^B14*$E$5</f>
        <v>50.928278495701</v>
      </c>
      <c r="O14" s="22" t="n">
        <f aca="false">J14*H14*SumaAsegurada</f>
        <v>682.184388175726</v>
      </c>
      <c r="P14" s="22" t="n">
        <f aca="false">J14*H14*CostoSiniestro*(1+Inflacion+$E$6)^B14*$E$5</f>
        <v>1.02910535931704</v>
      </c>
      <c r="Q14" s="26" t="n">
        <f aca="false">INDEX(FD_Bloqueado,B14+1)</f>
        <v>0.785019369510734</v>
      </c>
      <c r="R14" s="26" t="n">
        <f aca="false">INDEX(FD_Bloqueado,B14+2)</f>
        <v>0.743555885045308</v>
      </c>
      <c r="S14" s="22" t="n">
        <f aca="false">(L14+M14+N14-K14)*Q14+(O14+P14)*R14</f>
        <v>-455.615030735986</v>
      </c>
      <c r="T14" s="29" t="n">
        <f aca="false">J14*SumaAsegurada</f>
        <v>112532.943272492</v>
      </c>
    </row>
    <row r="15" customFormat="false" ht="15" hidden="false" customHeight="false" outlineLevel="0" collapsed="false">
      <c r="A15" s="16" t="n">
        <f aca="false">B15+1</f>
        <v>7</v>
      </c>
      <c r="B15" s="16" t="n">
        <f aca="false">ROW()-9</f>
        <v>6</v>
      </c>
      <c r="C15" s="16" t="n">
        <f aca="false">EdadEmision+B15</f>
        <v>51</v>
      </c>
      <c r="D15" s="16" t="n">
        <f aca="false">IF(B15&lt;Plazo,1,0)</f>
        <v>1</v>
      </c>
      <c r="E15" s="26" t="n">
        <f aca="false">IF(Sexo="M",INDEX(CSO_H,C15+1),INDEX(CSO_M,C15+1))</f>
        <v>0.0073</v>
      </c>
      <c r="F15" s="27" t="n">
        <f aca="false">IF(C15&lt;40,Fact_25_39,IF(C15&lt;50,Fact_40_49,Fact_50mas))</f>
        <v>0.95</v>
      </c>
      <c r="G15" s="28" t="n">
        <f aca="false">(1-Mejora)^B15</f>
        <v>0.941480149401</v>
      </c>
      <c r="H15" s="26" t="n">
        <f aca="false">D15*MIN(E15*F15*G15*$E$3,1)</f>
        <v>0.00652916483609593</v>
      </c>
      <c r="I15" s="27" t="n">
        <f aca="false">D15*MIN(IF(B15=0,Cad_Anio1,IF(B15=1,Cad_Anio2,Cad_Anio3))*$E$4,1)</f>
        <v>0.04</v>
      </c>
      <c r="J15" s="26" t="n">
        <f aca="false">J14*(1-H14)*(1-I14)*D15</f>
        <v>0.715844856859625</v>
      </c>
      <c r="K15" s="22" t="n">
        <f aca="false">J15*PrimaAnual</f>
        <v>1284.06818733766</v>
      </c>
      <c r="L15" s="22" t="n">
        <f aca="false">K15*IF(B15=0,ComisionAnio1,ComisionRenov)</f>
        <v>64.2034093668829</v>
      </c>
      <c r="M15" s="22" t="n">
        <f aca="false">J15*IF(B15=0,CostoSuscripcion,0)</f>
        <v>0</v>
      </c>
      <c r="N15" s="22" t="n">
        <f aca="false">J15*CostoMant*(1+Inflacion+$E$6)^B15*$E$5</f>
        <v>49.8096341376994</v>
      </c>
      <c r="O15" s="22" t="n">
        <f aca="false">J15*H15*SumaAsegurada</f>
        <v>701.080360126199</v>
      </c>
      <c r="P15" s="22" t="n">
        <f aca="false">J15*H15*CostoSiniestro*(1+Inflacion+$E$6)^B15*$E$5</f>
        <v>1.08405103903557</v>
      </c>
      <c r="Q15" s="26" t="n">
        <f aca="false">INDEX(FD_Bloqueado,B15+1)</f>
        <v>0.743555885045308</v>
      </c>
      <c r="R15" s="26" t="n">
        <f aca="false">INDEX(FD_Bloqueado,B15+2)</f>
        <v>0.702911573608143</v>
      </c>
      <c r="S15" s="22" t="n">
        <f aca="false">(L15+M15+N15-K15)*Q15+(O15+P15)*R15</f>
        <v>-376.441896840829</v>
      </c>
      <c r="T15" s="29" t="n">
        <f aca="false">J15*SumaAsegurada</f>
        <v>107376.728528944</v>
      </c>
    </row>
    <row r="16" customFormat="false" ht="15" hidden="false" customHeight="false" outlineLevel="0" collapsed="false">
      <c r="A16" s="16" t="n">
        <f aca="false">B16+1</f>
        <v>8</v>
      </c>
      <c r="B16" s="16" t="n">
        <f aca="false">ROW()-9</f>
        <v>7</v>
      </c>
      <c r="C16" s="16" t="n">
        <f aca="false">EdadEmision+B16</f>
        <v>52</v>
      </c>
      <c r="D16" s="16" t="n">
        <f aca="false">IF(B16&lt;Plazo,1,0)</f>
        <v>1</v>
      </c>
      <c r="E16" s="26" t="n">
        <f aca="false">IF(Sexo="M",INDEX(CSO_H,C16+1),INDEX(CSO_M,C16+1))</f>
        <v>0.00796</v>
      </c>
      <c r="F16" s="27" t="n">
        <f aca="false">IF(C16&lt;40,Fact_25_39,IF(C16&lt;50,Fact_40_49,Fact_50mas))</f>
        <v>0.95</v>
      </c>
      <c r="G16" s="28" t="n">
        <f aca="false">(1-Mejora)^B16</f>
        <v>0.93206534790699</v>
      </c>
      <c r="H16" s="26" t="n">
        <f aca="false">D16*MIN(E16*F16*G16*$E$3,1)</f>
        <v>0.00704827816087266</v>
      </c>
      <c r="I16" s="27" t="n">
        <f aca="false">D16*MIN(IF(B16=0,Cad_Anio1,IF(B16=1,Cad_Anio2,Cad_Anio3))*$E$4,1)</f>
        <v>0.04</v>
      </c>
      <c r="J16" s="26" t="n">
        <f aca="false">J15*(1-H15)*(1-I15)*D16</f>
        <v>0.682724148280433</v>
      </c>
      <c r="K16" s="22" t="n">
        <f aca="false">J16*PrimaAnual</f>
        <v>1224.65692270247</v>
      </c>
      <c r="L16" s="22" t="n">
        <f aca="false">K16*IF(B16=0,ComisionAnio1,ComisionRenov)</f>
        <v>61.2328461351237</v>
      </c>
      <c r="M16" s="22" t="n">
        <f aca="false">J16*IF(B16=0,CostoSuscripcion,0)</f>
        <v>0</v>
      </c>
      <c r="N16" s="22" t="n">
        <f aca="false">J16*CostoMant*(1+Inflacion+$E$6)^B16*$E$5</f>
        <v>48.6926681247729</v>
      </c>
      <c r="O16" s="22" t="n">
        <f aca="false">J16*H16*SumaAsegurada</f>
        <v>721.804455633804</v>
      </c>
      <c r="P16" s="22" t="n">
        <f aca="false">J16*H16*CostoSiniestro*(1+Inflacion+$E$6)^B16*$E$5</f>
        <v>1.14399823112819</v>
      </c>
      <c r="Q16" s="26" t="n">
        <f aca="false">INDEX(FD_Bloqueado,B16+1)</f>
        <v>0.702911573608143</v>
      </c>
      <c r="R16" s="26" t="n">
        <f aca="false">INDEX(FD_Bloqueado,B16+2)</f>
        <v>0.663713829626701</v>
      </c>
      <c r="S16" s="22" t="n">
        <f aca="false">(L16+M16+N16-K16)*Q16+(O16+P16)*R16</f>
        <v>-303.726721521397</v>
      </c>
      <c r="T16" s="29" t="n">
        <f aca="false">J16*SumaAsegurada</f>
        <v>102408.622242065</v>
      </c>
    </row>
    <row r="17" customFormat="false" ht="15" hidden="false" customHeight="false" outlineLevel="0" collapsed="false">
      <c r="A17" s="16" t="n">
        <f aca="false">B17+1</f>
        <v>9</v>
      </c>
      <c r="B17" s="16" t="n">
        <f aca="false">ROW()-9</f>
        <v>8</v>
      </c>
      <c r="C17" s="16" t="n">
        <f aca="false">EdadEmision+B17</f>
        <v>53</v>
      </c>
      <c r="D17" s="16" t="n">
        <f aca="false">IF(B17&lt;Plazo,1,0)</f>
        <v>1</v>
      </c>
      <c r="E17" s="26" t="n">
        <f aca="false">IF(Sexo="M",INDEX(CSO_H,C17+1),INDEX(CSO_M,C17+1))</f>
        <v>0.00871</v>
      </c>
      <c r="F17" s="27" t="n">
        <f aca="false">IF(C17&lt;40,Fact_25_39,IF(C17&lt;50,Fact_40_49,Fact_50mas))</f>
        <v>0.95</v>
      </c>
      <c r="G17" s="28" t="n">
        <f aca="false">(1-Mejora)^B17</f>
        <v>0.92274469442792</v>
      </c>
      <c r="H17" s="26" t="n">
        <f aca="false">D17*MIN(E17*F17*G17*$E$3,1)</f>
        <v>0.00763525097404383</v>
      </c>
      <c r="I17" s="27" t="n">
        <f aca="false">D17*MIN(IF(B17=0,Cad_Anio1,IF(B17=1,Cad_Anio2,Cad_Anio3))*$E$4,1)</f>
        <v>0.04</v>
      </c>
      <c r="J17" s="26" t="n">
        <f aca="false">J16*(1-H16)*(1-I16)*D17</f>
        <v>0.650795633833159</v>
      </c>
      <c r="K17" s="22" t="n">
        <f aca="false">J17*PrimaAnual</f>
        <v>1167.38419205724</v>
      </c>
      <c r="L17" s="22" t="n">
        <f aca="false">K17*IF(B17=0,ComisionAnio1,ComisionRenov)</f>
        <v>58.3692096028622</v>
      </c>
      <c r="M17" s="22" t="n">
        <f aca="false">J17*IF(B17=0,CostoSuscripcion,0)</f>
        <v>0</v>
      </c>
      <c r="N17" s="22" t="n">
        <f aca="false">J17*CostoMant*(1+Inflacion+$E$6)^B17*$E$5</f>
        <v>47.5758771569474</v>
      </c>
      <c r="O17" s="22" t="n">
        <f aca="false">J17*H17*SumaAsegurada</f>
        <v>745.348199569214</v>
      </c>
      <c r="P17" s="22" t="n">
        <f aca="false">J17*H17*CostoSiniestro*(1+Inflacion+$E$6)^B17*$E$5</f>
        <v>1.21084587467857</v>
      </c>
      <c r="Q17" s="26" t="n">
        <f aca="false">INDEX(FD_Bloqueado,B17+1)</f>
        <v>0.663713829626701</v>
      </c>
      <c r="R17" s="26" t="n">
        <f aca="false">INDEX(FD_Bloqueado,B17+2)</f>
        <v>0.625605300108043</v>
      </c>
      <c r="S17" s="22" t="n">
        <f aca="false">(L17+M17+N17-K17)*Q17+(O17+P17)*R17</f>
        <v>-237.440517819198</v>
      </c>
      <c r="T17" s="29" t="n">
        <f aca="false">J17*SumaAsegurada</f>
        <v>97619.3450749738</v>
      </c>
    </row>
    <row r="18" customFormat="false" ht="15" hidden="false" customHeight="false" outlineLevel="0" collapsed="false">
      <c r="A18" s="16" t="n">
        <f aca="false">B18+1</f>
        <v>10</v>
      </c>
      <c r="B18" s="16" t="n">
        <f aca="false">ROW()-9</f>
        <v>9</v>
      </c>
      <c r="C18" s="16" t="n">
        <f aca="false">EdadEmision+B18</f>
        <v>54</v>
      </c>
      <c r="D18" s="16" t="n">
        <f aca="false">IF(B18&lt;Plazo,1,0)</f>
        <v>1</v>
      </c>
      <c r="E18" s="26" t="n">
        <f aca="false">IF(Sexo="M",INDEX(CSO_H,C18+1),INDEX(CSO_M,C18+1))</f>
        <v>0.00956</v>
      </c>
      <c r="F18" s="27" t="n">
        <f aca="false">IF(C18&lt;40,Fact_25_39,IF(C18&lt;50,Fact_40_49,Fact_50mas))</f>
        <v>0.95</v>
      </c>
      <c r="G18" s="28" t="n">
        <f aca="false">(1-Mejora)^B18</f>
        <v>0.913517247483641</v>
      </c>
      <c r="H18" s="26" t="n">
        <f aca="false">D18*MIN(E18*F18*G18*$E$3,1)</f>
        <v>0.00829656364164643</v>
      </c>
      <c r="I18" s="27" t="n">
        <f aca="false">D18*MIN(IF(B18=0,Cad_Anio1,IF(B18=1,Cad_Anio2,Cad_Anio3))*$E$4,1)</f>
        <v>0.04</v>
      </c>
      <c r="J18" s="26" t="n">
        <f aca="false">J17*(1-H17)*(1-I17)*D18</f>
        <v>0.61999358000259</v>
      </c>
      <c r="K18" s="22" t="n">
        <f aca="false">J18*PrimaAnual</f>
        <v>1112.13208393705</v>
      </c>
      <c r="L18" s="22" t="n">
        <f aca="false">K18*IF(B18=0,ComisionAnio1,ComisionRenov)</f>
        <v>55.6066041968523</v>
      </c>
      <c r="M18" s="22" t="n">
        <f aca="false">J18*IF(B18=0,CostoSuscripcion,0)</f>
        <v>0</v>
      </c>
      <c r="N18" s="22" t="n">
        <f aca="false">J18*CostoMant*(1+Inflacion+$E$6)^B18*$E$5</f>
        <v>46.4572214202312</v>
      </c>
      <c r="O18" s="22" t="n">
        <f aca="false">J18*H18*SumaAsegurada</f>
        <v>771.572429085553</v>
      </c>
      <c r="P18" s="22" t="n">
        <f aca="false">J18*H18*CostoSiniestro*(1+Inflacion+$E$6)^B18*$E$5</f>
        <v>1.28478431375669</v>
      </c>
      <c r="Q18" s="26" t="n">
        <f aca="false">INDEX(FD_Bloqueado,B18+1)</f>
        <v>0.625605300108043</v>
      </c>
      <c r="R18" s="26" t="n">
        <f aca="false">INDEX(FD_Bloqueado,B18+2)</f>
        <v>0.589227218190428</v>
      </c>
      <c r="S18" s="22" t="n">
        <f aca="false">(L18+M18+N18-K18)*Q18+(O18+P18)*R18</f>
        <v>-176.515549966186</v>
      </c>
      <c r="T18" s="29" t="n">
        <f aca="false">J18*SumaAsegurada</f>
        <v>92999.0370003885</v>
      </c>
    </row>
    <row r="19" customFormat="false" ht="15" hidden="false" customHeight="false" outlineLevel="0" collapsed="false">
      <c r="A19" s="16" t="n">
        <f aca="false">B19+1</f>
        <v>11</v>
      </c>
      <c r="B19" s="16" t="n">
        <f aca="false">ROW()-9</f>
        <v>10</v>
      </c>
      <c r="C19" s="16" t="n">
        <f aca="false">EdadEmision+B19</f>
        <v>55</v>
      </c>
      <c r="D19" s="16" t="n">
        <f aca="false">IF(B19&lt;Plazo,1,0)</f>
        <v>1</v>
      </c>
      <c r="E19" s="26" t="n">
        <f aca="false">IF(Sexo="M",INDEX(CSO_H,C19+1),INDEX(CSO_M,C19+1))</f>
        <v>0.01047</v>
      </c>
      <c r="F19" s="27" t="n">
        <f aca="false">IF(C19&lt;40,Fact_25_39,IF(C19&lt;50,Fact_40_49,Fact_50mas))</f>
        <v>0.95</v>
      </c>
      <c r="G19" s="28" t="n">
        <f aca="false">(1-Mejora)^B19</f>
        <v>0.904382075008804</v>
      </c>
      <c r="H19" s="26" t="n">
        <f aca="false">D19*MIN(E19*F19*G19*$E$3,1)</f>
        <v>0.00899543630907507</v>
      </c>
      <c r="I19" s="27" t="n">
        <f aca="false">D19*MIN(IF(B19=0,Cad_Anio1,IF(B19=1,Cad_Anio2,Cad_Anio3))*$E$4,1)</f>
        <v>0.04</v>
      </c>
      <c r="J19" s="26" t="n">
        <f aca="false">J18*(1-H18)*(1-I18)*D19</f>
        <v>0.590255773256339</v>
      </c>
      <c r="K19" s="22" t="n">
        <f aca="false">J19*PrimaAnual</f>
        <v>1058.78900095175</v>
      </c>
      <c r="L19" s="22" t="n">
        <f aca="false">K19*IF(B19=0,ComisionAnio1,ComisionRenov)</f>
        <v>52.9394500475877</v>
      </c>
      <c r="M19" s="22" t="n">
        <f aca="false">J19*IF(B19=0,CostoSuscripcion,0)</f>
        <v>0</v>
      </c>
      <c r="N19" s="22" t="n">
        <f aca="false">J19*CostoMant*(1+Inflacion+$E$6)^B19*$E$5</f>
        <v>45.3346375480865</v>
      </c>
      <c r="O19" s="22" t="n">
        <f aca="false">J19*H19*SumaAsegurada</f>
        <v>796.441232158688</v>
      </c>
      <c r="P19" s="22" t="n">
        <f aca="false">J19*H19*CostoSiniestro*(1+Inflacion+$E$6)^B19*$E$5</f>
        <v>1.35934948219605</v>
      </c>
      <c r="Q19" s="26" t="n">
        <f aca="false">INDEX(FD_Bloqueado,B19+1)</f>
        <v>0.589227218190428</v>
      </c>
      <c r="R19" s="26" t="n">
        <f aca="false">INDEX(FD_Bloqueado,B19+2)</f>
        <v>0.55469576392788</v>
      </c>
      <c r="S19" s="22" t="n">
        <f aca="false">(L19+M19+N19-K19)*Q19+(O19+P19)*R19</f>
        <v>-123.424927331827</v>
      </c>
      <c r="T19" s="29" t="n">
        <f aca="false">J19*SumaAsegurada</f>
        <v>88538.3659884508</v>
      </c>
    </row>
    <row r="20" customFormat="false" ht="15" hidden="false" customHeight="false" outlineLevel="0" collapsed="false">
      <c r="A20" s="16" t="n">
        <f aca="false">B20+1</f>
        <v>12</v>
      </c>
      <c r="B20" s="16" t="n">
        <f aca="false">ROW()-9</f>
        <v>11</v>
      </c>
      <c r="C20" s="16" t="n">
        <f aca="false">EdadEmision+B20</f>
        <v>56</v>
      </c>
      <c r="D20" s="16" t="n">
        <f aca="false">IF(B20&lt;Plazo,1,0)</f>
        <v>1</v>
      </c>
      <c r="E20" s="26" t="n">
        <f aca="false">IF(Sexo="M",INDEX(CSO_H,C20+1),INDEX(CSO_M,C20+1))</f>
        <v>0.01146</v>
      </c>
      <c r="F20" s="27" t="n">
        <f aca="false">IF(C20&lt;40,Fact_25_39,IF(C20&lt;50,Fact_40_49,Fact_50mas))</f>
        <v>0.95</v>
      </c>
      <c r="G20" s="28" t="n">
        <f aca="false">(1-Mejora)^B20</f>
        <v>0.895338254258716</v>
      </c>
      <c r="H20" s="26" t="n">
        <f aca="false">D20*MIN(E20*F20*G20*$E$3,1)</f>
        <v>0.00974754757411465</v>
      </c>
      <c r="I20" s="27" t="n">
        <f aca="false">D20*MIN(IF(B20=0,Cad_Anio1,IF(B20=1,Cad_Anio2,Cad_Anio3))*$E$4,1)</f>
        <v>0.04</v>
      </c>
      <c r="J20" s="26" t="n">
        <f aca="false">J19*(1-H19)*(1-I19)*D20</f>
        <v>0.561548318440269</v>
      </c>
      <c r="K20" s="22" t="n">
        <f aca="false">J20*PrimaAnual</f>
        <v>1007.29414265179</v>
      </c>
      <c r="L20" s="22" t="n">
        <f aca="false">K20*IF(B20=0,ComisionAnio1,ComisionRenov)</f>
        <v>50.3647071325893</v>
      </c>
      <c r="M20" s="22" t="n">
        <f aca="false">J20*IF(B20=0,CostoSuscripcion,0)</f>
        <v>0</v>
      </c>
      <c r="N20" s="22" t="n">
        <f aca="false">J20*CostoMant*(1+Inflacion+$E$6)^B20*$E$5</f>
        <v>44.2080033801728</v>
      </c>
      <c r="O20" s="22" t="n">
        <f aca="false">J20*H20*SumaAsegurada</f>
        <v>821.057842374091</v>
      </c>
      <c r="P20" s="22" t="n">
        <f aca="false">J20*H20*CostoSiniestro*(1+Inflacion+$E$6)^B20*$E$5</f>
        <v>1.43639872034952</v>
      </c>
      <c r="Q20" s="26" t="n">
        <f aca="false">INDEX(FD_Bloqueado,B20+1)</f>
        <v>0.55469576392788</v>
      </c>
      <c r="R20" s="26" t="n">
        <f aca="false">INDEX(FD_Bloqueado,B20+2)</f>
        <v>0.522087486914417</v>
      </c>
      <c r="S20" s="22" t="n">
        <f aca="false">(L20+M20+N20-K20)*Q20+(O20+P20)*R20</f>
        <v>-76.8687607191281</v>
      </c>
      <c r="T20" s="29" t="n">
        <f aca="false">J20*SumaAsegurada</f>
        <v>84232.2477660404</v>
      </c>
    </row>
    <row r="21" customFormat="false" ht="15" hidden="false" customHeight="false" outlineLevel="0" collapsed="false">
      <c r="A21" s="16" t="n">
        <f aca="false">B21+1</f>
        <v>13</v>
      </c>
      <c r="B21" s="16" t="n">
        <f aca="false">ROW()-9</f>
        <v>12</v>
      </c>
      <c r="C21" s="16" t="n">
        <f aca="false">EdadEmision+B21</f>
        <v>57</v>
      </c>
      <c r="D21" s="16" t="n">
        <f aca="false">IF(B21&lt;Plazo,1,0)</f>
        <v>1</v>
      </c>
      <c r="E21" s="26" t="n">
        <f aca="false">IF(Sexo="M",INDEX(CSO_H,C21+1),INDEX(CSO_M,C21+1))</f>
        <v>0.01249</v>
      </c>
      <c r="F21" s="27" t="n">
        <f aca="false">IF(C21&lt;40,Fact_25_39,IF(C21&lt;50,Fact_40_49,Fact_50mas))</f>
        <v>0.95</v>
      </c>
      <c r="G21" s="28" t="n">
        <f aca="false">(1-Mejora)^B21</f>
        <v>0.886384871716129</v>
      </c>
      <c r="H21" s="26" t="n">
        <f aca="false">D21*MIN(E21*F21*G21*$E$3,1)</f>
        <v>0.0105173996953477</v>
      </c>
      <c r="I21" s="27" t="n">
        <f aca="false">D21*MIN(IF(B21=0,Cad_Anio1,IF(B21=1,Cad_Anio2,Cad_Anio3))*$E$4,1)</f>
        <v>0.04</v>
      </c>
      <c r="J21" s="26" t="n">
        <f aca="false">J20*(1-H20)*(1-I20)*D21</f>
        <v>0.533831615511464</v>
      </c>
      <c r="K21" s="22" t="n">
        <f aca="false">J21*PrimaAnual</f>
        <v>957.576475272155</v>
      </c>
      <c r="L21" s="22" t="n">
        <f aca="false">K21*IF(B21=0,ComisionAnio1,ComisionRenov)</f>
        <v>47.8788237636077</v>
      </c>
      <c r="M21" s="22" t="n">
        <f aca="false">J21*IF(B21=0,CostoSuscripcion,0)</f>
        <v>0</v>
      </c>
      <c r="N21" s="22" t="n">
        <f aca="false">J21*CostoMant*(1+Inflacion+$E$6)^B21*$E$5</f>
        <v>43.0766504238429</v>
      </c>
      <c r="O21" s="22" t="n">
        <f aca="false">J21*H21*SumaAsegurada</f>
        <v>842.178070552089</v>
      </c>
      <c r="P21" s="22" t="n">
        <f aca="false">J21*H21*CostoSiniestro*(1+Inflacion+$E$6)^B21*$E$5</f>
        <v>1.51018116681442</v>
      </c>
      <c r="Q21" s="26" t="n">
        <f aca="false">INDEX(FD_Bloqueado,B21+1)</f>
        <v>0.522087486914417</v>
      </c>
      <c r="R21" s="26" t="n">
        <f aca="false">INDEX(FD_Bloqueado,B21+2)</f>
        <v>0.490823534155882</v>
      </c>
      <c r="S21" s="22" t="n">
        <f aca="false">(L21+M21+N21-K21)*Q21+(O21+P21)*R21</f>
        <v>-38.3499311290994</v>
      </c>
      <c r="T21" s="29" t="n">
        <f aca="false">J21*SumaAsegurada</f>
        <v>80074.7423267197</v>
      </c>
    </row>
    <row r="22" customFormat="false" ht="15" hidden="false" customHeight="false" outlineLevel="0" collapsed="false">
      <c r="A22" s="16" t="n">
        <f aca="false">B22+1</f>
        <v>14</v>
      </c>
      <c r="B22" s="16" t="n">
        <f aca="false">ROW()-9</f>
        <v>13</v>
      </c>
      <c r="C22" s="16" t="n">
        <f aca="false">EdadEmision+B22</f>
        <v>58</v>
      </c>
      <c r="D22" s="16" t="n">
        <f aca="false">IF(B22&lt;Plazo,1,0)</f>
        <v>1</v>
      </c>
      <c r="E22" s="26" t="n">
        <f aca="false">IF(Sexo="M",INDEX(CSO_H,C22+1),INDEX(CSO_M,C22+1))</f>
        <v>0.01359</v>
      </c>
      <c r="F22" s="27" t="n">
        <f aca="false">IF(C22&lt;40,Fact_25_39,IF(C22&lt;50,Fact_40_49,Fact_50mas))</f>
        <v>0.95</v>
      </c>
      <c r="G22" s="28" t="n">
        <f aca="false">(1-Mejora)^B22</f>
        <v>0.877521022998968</v>
      </c>
      <c r="H22" s="26" t="n">
        <f aca="false">D22*MIN(E22*F22*G22*$E$3,1)</f>
        <v>0.0113292351674282</v>
      </c>
      <c r="I22" s="27" t="n">
        <f aca="false">D22*MIN(IF(B22=0,Cad_Anio1,IF(B22=1,Cad_Anio2,Cad_Anio3))*$E$4,1)</f>
        <v>0.04</v>
      </c>
      <c r="J22" s="26" t="n">
        <f aca="false">J21*(1-H21)*(1-I21)*D22</f>
        <v>0.507088411239473</v>
      </c>
      <c r="K22" s="22" t="n">
        <f aca="false">J22*PrimaAnual</f>
        <v>909.605050313141</v>
      </c>
      <c r="L22" s="22" t="n">
        <f aca="false">K22*IF(B22=0,ComisionAnio1,ComisionRenov)</f>
        <v>45.480252515657</v>
      </c>
      <c r="M22" s="22" t="n">
        <f aca="false">J22*IF(B22=0,CostoSuscripcion,0)</f>
        <v>0</v>
      </c>
      <c r="N22" s="22" t="n">
        <f aca="false">J22*CostoMant*(1+Inflacion+$E$6)^B22*$E$5</f>
        <v>41.9416185366178</v>
      </c>
      <c r="O22" s="22" t="n">
        <f aca="false">J22*H22*SumaAsegurada</f>
        <v>861.738579241427</v>
      </c>
      <c r="P22" s="22" t="n">
        <f aca="false">J22*H22*CostoSiniestro*(1+Inflacion+$E$6)^B22*$E$5</f>
        <v>1.58388819901302</v>
      </c>
      <c r="Q22" s="26" t="n">
        <f aca="false">INDEX(FD_Bloqueado,B22+1)</f>
        <v>0.490823534155882</v>
      </c>
      <c r="R22" s="26" t="n">
        <f aca="false">INDEX(FD_Bloqueado,B22+2)</f>
        <v>0.462151381448276</v>
      </c>
      <c r="S22" s="22" t="n">
        <f aca="false">(L22+M22+N22-K22)*Q22+(O22+P22)*R22</f>
        <v>-4.5611828054042</v>
      </c>
      <c r="T22" s="29" t="n">
        <f aca="false">J22*SumaAsegurada</f>
        <v>76063.2616859209</v>
      </c>
    </row>
    <row r="23" customFormat="false" ht="15" hidden="false" customHeight="false" outlineLevel="0" collapsed="false">
      <c r="A23" s="16" t="n">
        <f aca="false">B23+1</f>
        <v>15</v>
      </c>
      <c r="B23" s="16" t="n">
        <f aca="false">ROW()-9</f>
        <v>14</v>
      </c>
      <c r="C23" s="16" t="n">
        <f aca="false">EdadEmision+B23</f>
        <v>59</v>
      </c>
      <c r="D23" s="16" t="n">
        <f aca="false">IF(B23&lt;Plazo,1,0)</f>
        <v>1</v>
      </c>
      <c r="E23" s="26" t="n">
        <f aca="false">IF(Sexo="M",INDEX(CSO_H,C23+1),INDEX(CSO_M,C23+1))</f>
        <v>0.01477</v>
      </c>
      <c r="F23" s="27" t="n">
        <f aca="false">IF(C23&lt;40,Fact_25_39,IF(C23&lt;50,Fact_40_49,Fact_50mas))</f>
        <v>0.95</v>
      </c>
      <c r="G23" s="28" t="n">
        <f aca="false">(1-Mejora)^B23</f>
        <v>0.868745812768978</v>
      </c>
      <c r="H23" s="26" t="n">
        <f aca="false">D23*MIN(E23*F23*G23*$E$3,1)</f>
        <v>0.0121898068718679</v>
      </c>
      <c r="I23" s="27" t="n">
        <f aca="false">D23*MIN(IF(B23=0,Cad_Anio1,IF(B23=1,Cad_Anio2,Cad_Anio3))*$E$4,1)</f>
        <v>0.04</v>
      </c>
      <c r="J23" s="26" t="n">
        <f aca="false">J22*(1-H22)*(1-I22)*D23</f>
        <v>0.481289747882748</v>
      </c>
      <c r="K23" s="22" t="n">
        <f aca="false">J23*PrimaAnual</f>
        <v>863.327923957117</v>
      </c>
      <c r="L23" s="22" t="n">
        <f aca="false">K23*IF(B23=0,ComisionAnio1,ComisionRenov)</f>
        <v>43.1663961978558</v>
      </c>
      <c r="M23" s="22" t="n">
        <f aca="false">J23*IF(B23=0,CostoSuscripcion,0)</f>
        <v>0</v>
      </c>
      <c r="N23" s="22" t="n">
        <f aca="false">J23*CostoMant*(1+Inflacion+$E$6)^B23*$E$5</f>
        <v>40.8029888436832</v>
      </c>
      <c r="O23" s="22" t="n">
        <f aca="false">J23*H23*SumaAsegurada</f>
        <v>880.024361415106</v>
      </c>
      <c r="P23" s="22" t="n">
        <f aca="false">J23*H23*CostoSiniestro*(1+Inflacion+$E$6)^B23*$E$5</f>
        <v>1.6579351793316</v>
      </c>
      <c r="Q23" s="26" t="n">
        <f aca="false">INDEX(FD_Bloqueado,B23+1)</f>
        <v>0.462151381448276</v>
      </c>
      <c r="R23" s="26" t="n">
        <f aca="false">INDEX(FD_Bloqueado,B23+2)</f>
        <v>0.434182199189579</v>
      </c>
      <c r="S23" s="22" t="n">
        <f aca="false">(L23+M23+N23-K23)*Q23+(O23+P23)*R23</f>
        <v>22.629133118548</v>
      </c>
      <c r="T23" s="29" t="n">
        <f aca="false">J23*SumaAsegurada</f>
        <v>72193.4621824123</v>
      </c>
    </row>
    <row r="24" customFormat="false" ht="15" hidden="false" customHeight="false" outlineLevel="0" collapsed="false">
      <c r="A24" s="16" t="n">
        <f aca="false">B24+1</f>
        <v>16</v>
      </c>
      <c r="B24" s="16" t="n">
        <f aca="false">ROW()-9</f>
        <v>15</v>
      </c>
      <c r="C24" s="16" t="n">
        <f aca="false">EdadEmision+B24</f>
        <v>60</v>
      </c>
      <c r="D24" s="16" t="n">
        <f aca="false">IF(B24&lt;Plazo,1,0)</f>
        <v>1</v>
      </c>
      <c r="E24" s="26" t="n">
        <f aca="false">IF(Sexo="M",INDEX(CSO_H,C24+1),INDEX(CSO_M,C24+1))</f>
        <v>0.01608</v>
      </c>
      <c r="F24" s="27" t="n">
        <f aca="false">IF(C24&lt;40,Fact_25_39,IF(C24&lt;50,Fact_40_49,Fact_50mas))</f>
        <v>0.95</v>
      </c>
      <c r="G24" s="28" t="n">
        <f aca="false">(1-Mejora)^B24</f>
        <v>0.860058354641288</v>
      </c>
      <c r="H24" s="26" t="n">
        <f aca="false">D24*MIN(E24*F24*G24*$E$3,1)</f>
        <v>0.0131382514255003</v>
      </c>
      <c r="I24" s="27" t="n">
        <f aca="false">D24*MIN(IF(B24=0,Cad_Anio1,IF(B24=1,Cad_Anio2,Cad_Anio3))*$E$4,1)</f>
        <v>0.04</v>
      </c>
      <c r="J24" s="26" t="n">
        <f aca="false">J23*(1-H23)*(1-I23)*D24</f>
        <v>0.456406002054382</v>
      </c>
      <c r="K24" s="22" t="n">
        <f aca="false">J24*PrimaAnual</f>
        <v>818.691958365109</v>
      </c>
      <c r="L24" s="22" t="n">
        <f aca="false">K24*IF(B24=0,ComisionAnio1,ComisionRenov)</f>
        <v>40.9345979182555</v>
      </c>
      <c r="M24" s="22" t="n">
        <f aca="false">J24*IF(B24=0,CostoSuscripcion,0)</f>
        <v>0</v>
      </c>
      <c r="N24" s="22" t="n">
        <f aca="false">J24*CostoMant*(1+Inflacion+$E$6)^B24*$E$5</f>
        <v>39.6607185572456</v>
      </c>
      <c r="O24" s="22" t="n">
        <f aca="false">J24*H24*SumaAsegurada</f>
        <v>899.456521064683</v>
      </c>
      <c r="P24" s="22" t="n">
        <f aca="false">J24*H24*CostoSiniestro*(1+Inflacion+$E$6)^B24*$E$5</f>
        <v>1.73690830707033</v>
      </c>
      <c r="Q24" s="26" t="n">
        <f aca="false">INDEX(FD_Bloqueado,B24+1)</f>
        <v>0.434182199189579</v>
      </c>
      <c r="R24" s="26" t="n">
        <f aca="false">INDEX(FD_Bloqueado,B24+2)</f>
        <v>0.40877989066849</v>
      </c>
      <c r="S24" s="22" t="n">
        <f aca="false">(L24+M24+N24-K24)*Q24+(O24+P24)*R24</f>
        <v>47.9213283396733</v>
      </c>
      <c r="T24" s="29" t="n">
        <f aca="false">J24*SumaAsegurada</f>
        <v>68460.9003081573</v>
      </c>
    </row>
    <row r="25" customFormat="false" ht="15" hidden="false" customHeight="false" outlineLevel="0" collapsed="false">
      <c r="A25" s="16" t="n">
        <f aca="false">B25+1</f>
        <v>17</v>
      </c>
      <c r="B25" s="16" t="n">
        <f aca="false">ROW()-9</f>
        <v>16</v>
      </c>
      <c r="C25" s="16" t="n">
        <f aca="false">EdadEmision+B25</f>
        <v>61</v>
      </c>
      <c r="D25" s="16" t="n">
        <f aca="false">IF(B25&lt;Plazo,1,0)</f>
        <v>1</v>
      </c>
      <c r="E25" s="26" t="n">
        <f aca="false">IF(Sexo="M",INDEX(CSO_H,C25+1),INDEX(CSO_M,C25+1))</f>
        <v>0.01754</v>
      </c>
      <c r="F25" s="27" t="n">
        <f aca="false">IF(C25&lt;40,Fact_25_39,IF(C25&lt;50,Fact_40_49,Fact_50mas))</f>
        <v>0.95</v>
      </c>
      <c r="G25" s="28" t="n">
        <f aca="false">(1-Mejora)^B25</f>
        <v>0.851457771094876</v>
      </c>
      <c r="H25" s="26" t="n">
        <f aca="false">D25*MIN(E25*F25*G25*$E$3,1)</f>
        <v>0.0141878408397539</v>
      </c>
      <c r="I25" s="27" t="n">
        <f aca="false">D25*MIN(IF(B25=0,Cad_Anio1,IF(B25=1,Cad_Anio2,Cad_Anio3))*$E$4,1)</f>
        <v>0.04</v>
      </c>
      <c r="J25" s="26" t="n">
        <f aca="false">J24*(1-H24)*(1-I24)*D25</f>
        <v>0.432393240237393</v>
      </c>
      <c r="K25" s="22" t="n">
        <f aca="false">J25*PrimaAnual</f>
        <v>775.61834647303</v>
      </c>
      <c r="L25" s="22" t="n">
        <f aca="false">K25*IF(B25=0,ComisionAnio1,ComisionRenov)</f>
        <v>38.7809173236515</v>
      </c>
      <c r="M25" s="22" t="n">
        <f aca="false">J25*IF(B25=0,CostoSuscripcion,0)</f>
        <v>0</v>
      </c>
      <c r="N25" s="22" t="n">
        <f aca="false">J25*CostoMant*(1+Inflacion+$E$6)^B25*$E$5</f>
        <v>38.5134117280825</v>
      </c>
      <c r="O25" s="22" t="n">
        <f aca="false">J25*H25*SumaAsegurada</f>
        <v>920.20897090104</v>
      </c>
      <c r="P25" s="22" t="n">
        <f aca="false">J25*H25*CostoSiniestro*(1+Inflacion+$E$6)^B25*$E$5</f>
        <v>1.82140718597982</v>
      </c>
      <c r="Q25" s="26" t="n">
        <f aca="false">INDEX(FD_Bloqueado,B25+1)</f>
        <v>0.40877989066849</v>
      </c>
      <c r="R25" s="26" t="n">
        <f aca="false">INDEX(FD_Bloqueado,B25+2)</f>
        <v>0.384639547396534</v>
      </c>
      <c r="S25" s="22" t="n">
        <f aca="false">(L25+M25+N25-K25)*Q25+(O25+P25)*R25</f>
        <v>69.1885318205889</v>
      </c>
      <c r="T25" s="29" t="n">
        <f aca="false">J25*SumaAsegurada</f>
        <v>64858.9860356089</v>
      </c>
    </row>
    <row r="26" customFormat="false" ht="15" hidden="false" customHeight="false" outlineLevel="0" collapsed="false">
      <c r="A26" s="16" t="n">
        <f aca="false">B26+1</f>
        <v>18</v>
      </c>
      <c r="B26" s="16" t="n">
        <f aca="false">ROW()-9</f>
        <v>17</v>
      </c>
      <c r="C26" s="16" t="n">
        <f aca="false">EdadEmision+B26</f>
        <v>62</v>
      </c>
      <c r="D26" s="16" t="n">
        <f aca="false">IF(B26&lt;Plazo,1,0)</f>
        <v>1</v>
      </c>
      <c r="E26" s="26" t="n">
        <f aca="false">IF(Sexo="M",INDEX(CSO_H,C26+1),INDEX(CSO_M,C26+1))</f>
        <v>0.01919</v>
      </c>
      <c r="F26" s="27" t="n">
        <f aca="false">IF(C26&lt;40,Fact_25_39,IF(C26&lt;50,Fact_40_49,Fact_50mas))</f>
        <v>0.95</v>
      </c>
      <c r="G26" s="28" t="n">
        <f aca="false">(1-Mejora)^B26</f>
        <v>0.842943193383927</v>
      </c>
      <c r="H26" s="26" t="n">
        <f aca="false">D26*MIN(E26*F26*G26*$E$3,1)</f>
        <v>0.0153672758869857</v>
      </c>
      <c r="I26" s="27" t="n">
        <f aca="false">D26*MIN(IF(B26=0,Cad_Anio1,IF(B26=1,Cad_Anio2,Cad_Anio3))*$E$4,1)</f>
        <v>0.04</v>
      </c>
      <c r="J26" s="26" t="n">
        <f aca="false">J25*(1-H25)*(1-I25)*D26</f>
        <v>0.40920817321413</v>
      </c>
      <c r="K26" s="22" t="n">
        <f aca="false">J26*PrimaAnual</f>
        <v>734.029436948042</v>
      </c>
      <c r="L26" s="22" t="n">
        <f aca="false">K26*IF(B26=0,ComisionAnio1,ComisionRenov)</f>
        <v>36.7014718474021</v>
      </c>
      <c r="M26" s="22" t="n">
        <f aca="false">J26*IF(B26=0,CostoSuscripcion,0)</f>
        <v>0</v>
      </c>
      <c r="N26" s="22" t="n">
        <f aca="false">J26*CostoMant*(1+Inflacion+$E$6)^B26*$E$5</f>
        <v>37.3595177391319</v>
      </c>
      <c r="O26" s="22" t="n">
        <f aca="false">J26*H26*SumaAsegurada</f>
        <v>943.262233948644</v>
      </c>
      <c r="P26" s="22" t="n">
        <f aca="false">J26*H26*CostoSiniestro*(1+Inflacion+$E$6)^B26*$E$5</f>
        <v>1.91371338700659</v>
      </c>
      <c r="Q26" s="26" t="n">
        <f aca="false">INDEX(FD_Bloqueado,B26+1)</f>
        <v>0.384639547396534</v>
      </c>
      <c r="R26" s="26" t="n">
        <f aca="false">INDEX(FD_Bloqueado,B26+2)</f>
        <v>0.36171398874759</v>
      </c>
      <c r="S26" s="22" t="n">
        <f aca="false">(L26+M26+N26-K26)*Q26+(O26+P26)*R26</f>
        <v>88.0333970899361</v>
      </c>
      <c r="T26" s="29" t="n">
        <f aca="false">J26*SumaAsegurada</f>
        <v>61381.2259821195</v>
      </c>
    </row>
    <row r="27" customFormat="false" ht="15" hidden="false" customHeight="false" outlineLevel="0" collapsed="false">
      <c r="A27" s="16" t="n">
        <f aca="false">B27+1</f>
        <v>19</v>
      </c>
      <c r="B27" s="16" t="n">
        <f aca="false">ROW()-9</f>
        <v>18</v>
      </c>
      <c r="C27" s="16" t="n">
        <f aca="false">EdadEmision+B27</f>
        <v>63</v>
      </c>
      <c r="D27" s="16" t="n">
        <f aca="false">IF(B27&lt;Plazo,1,0)</f>
        <v>1</v>
      </c>
      <c r="E27" s="26" t="n">
        <f aca="false">IF(Sexo="M",INDEX(CSO_H,C27+1),INDEX(CSO_M,C27+1))</f>
        <v>0.02106</v>
      </c>
      <c r="F27" s="27" t="n">
        <f aca="false">IF(C27&lt;40,Fact_25_39,IF(C27&lt;50,Fact_40_49,Fact_50mas))</f>
        <v>0.95</v>
      </c>
      <c r="G27" s="28" t="n">
        <f aca="false">(1-Mejora)^B27</f>
        <v>0.834513761450088</v>
      </c>
      <c r="H27" s="26" t="n">
        <f aca="false">D27*MIN(E27*F27*G27*$E$3,1)</f>
        <v>0.0166961168253319</v>
      </c>
      <c r="I27" s="27" t="n">
        <f aca="false">D27*MIN(IF(B27=0,Cad_Anio1,IF(B27=1,Cad_Anio2,Cad_Anio3))*$E$4,1)</f>
        <v>0.04</v>
      </c>
      <c r="J27" s="26" t="n">
        <f aca="false">J26*(1-H26)*(1-I26)*D27</f>
        <v>0.386802967988294</v>
      </c>
      <c r="K27" s="22" t="n">
        <f aca="false">J27*PrimaAnual</f>
        <v>693.839427918041</v>
      </c>
      <c r="L27" s="22" t="n">
        <f aca="false">K27*IF(B27=0,ComisionAnio1,ComisionRenov)</f>
        <v>34.6919713959021</v>
      </c>
      <c r="M27" s="22" t="n">
        <f aca="false">J27*IF(B27=0,CostoSuscripcion,0)</f>
        <v>0</v>
      </c>
      <c r="N27" s="22" t="n">
        <f aca="false">J27*CostoMant*(1+Inflacion+$E$6)^B27*$E$5</f>
        <v>36.1968372634615</v>
      </c>
      <c r="O27" s="22" t="n">
        <f aca="false">J27*H27*SumaAsegurada</f>
        <v>968.71613128765</v>
      </c>
      <c r="P27" s="22" t="n">
        <f aca="false">J27*H27*CostoSiniestro*(1+Inflacion+$E$6)^B27*$E$5</f>
        <v>2.0144887455276</v>
      </c>
      <c r="Q27" s="26" t="n">
        <f aca="false">INDEX(FD_Bloqueado,B27+1)</f>
        <v>0.36171398874759</v>
      </c>
      <c r="R27" s="26" t="n">
        <f aca="false">INDEX(FD_Bloqueado,B27+2)</f>
        <v>0.340585196621635</v>
      </c>
      <c r="S27" s="22" t="n">
        <f aca="false">(L27+M27+N27-K27)*Q27+(O27+P27)*R27</f>
        <v>105.286525805804</v>
      </c>
      <c r="T27" s="29" t="n">
        <f aca="false">J27*SumaAsegurada</f>
        <v>58020.445198244</v>
      </c>
    </row>
    <row r="28" customFormat="false" ht="15" hidden="false" customHeight="false" outlineLevel="0" collapsed="false">
      <c r="A28" s="16" t="n">
        <f aca="false">B28+1</f>
        <v>20</v>
      </c>
      <c r="B28" s="16" t="n">
        <f aca="false">ROW()-9</f>
        <v>19</v>
      </c>
      <c r="C28" s="16" t="n">
        <f aca="false">EdadEmision+B28</f>
        <v>64</v>
      </c>
      <c r="D28" s="16" t="n">
        <f aca="false">IF(B28&lt;Plazo,1,0)</f>
        <v>1</v>
      </c>
      <c r="E28" s="26" t="n">
        <f aca="false">IF(Sexo="M",INDEX(CSO_H,C28+1),INDEX(CSO_M,C28+1))</f>
        <v>0.02314</v>
      </c>
      <c r="F28" s="27" t="n">
        <f aca="false">IF(C28&lt;40,Fact_25_39,IF(C28&lt;50,Fact_40_49,Fact_50mas))</f>
        <v>0.95</v>
      </c>
      <c r="G28" s="28" t="n">
        <f aca="false">(1-Mejora)^B28</f>
        <v>0.826168623835587</v>
      </c>
      <c r="H28" s="26" t="n">
        <f aca="false">D28*MIN(E28*F28*G28*$E$3,1)</f>
        <v>0.0181616648577777</v>
      </c>
      <c r="I28" s="27" t="n">
        <f aca="false">D28*MIN(IF(B28=0,Cad_Anio1,IF(B28=1,Cad_Anio2,Cad_Anio3))*$E$4,1)</f>
        <v>0.04</v>
      </c>
      <c r="J28" s="26" t="n">
        <f aca="false">J27*(1-H27)*(1-I27)*D28</f>
        <v>0.365131066028521</v>
      </c>
      <c r="K28" s="22" t="n">
        <f aca="false">J28*PrimaAnual</f>
        <v>654.96480362064</v>
      </c>
      <c r="L28" s="22" t="n">
        <f aca="false">K28*IF(B28=0,ComisionAnio1,ComisionRenov)</f>
        <v>32.748240181032</v>
      </c>
      <c r="M28" s="22" t="n">
        <f aca="false">J28*IF(B28=0,CostoSuscripcion,0)</f>
        <v>0</v>
      </c>
      <c r="N28" s="22" t="n">
        <f aca="false">J28*CostoMant*(1+Inflacion+$E$6)^B28*$E$5</f>
        <v>35.0230107895664</v>
      </c>
      <c r="O28" s="22" t="n">
        <f aca="false">J28*H28*SumaAsegurada</f>
        <v>994.708207555965</v>
      </c>
      <c r="P28" s="22" t="n">
        <f aca="false">J28*H28*CostoSiniestro*(1+Inflacion+$E$6)^B28*$E$5</f>
        <v>2.12025394756812</v>
      </c>
      <c r="Q28" s="26" t="n">
        <f aca="false">INDEX(FD_Bloqueado,B28+1)</f>
        <v>0.340585196621635</v>
      </c>
      <c r="R28" s="26" t="n">
        <f aca="false">INDEX(FD_Bloqueado,B28+2)</f>
        <v>0.321189823536907</v>
      </c>
      <c r="S28" s="22" t="n">
        <f aca="false">(L28+M28+N28-K28)*Q28+(O28+P28)*R28</f>
        <v>120.181726062615</v>
      </c>
      <c r="T28" s="29" t="n">
        <f aca="false">J28*SumaAsegurada</f>
        <v>54769.6599042781</v>
      </c>
    </row>
    <row r="29" customFormat="false" ht="15" hidden="false" customHeight="false" outlineLevel="0" collapsed="false">
      <c r="A29" s="30" t="s">
        <v>117</v>
      </c>
      <c r="K29" s="24" t="n">
        <f aca="false">SUM(K9:K28)</f>
        <v>22467.4777039862</v>
      </c>
      <c r="L29" s="24" t="n">
        <f aca="false">SUM(L9:L28)</f>
        <v>1930.57488519931</v>
      </c>
      <c r="M29" s="24" t="n">
        <f aca="false">SUM(M9:M28)</f>
        <v>150</v>
      </c>
      <c r="N29" s="24" t="n">
        <f aca="false">SUM(N9:N28)</f>
        <v>921.143251761757</v>
      </c>
      <c r="O29" s="24" t="n">
        <f aca="false">SUM(O9:O28)</f>
        <v>15109.0690047456</v>
      </c>
      <c r="P29" s="24" t="n">
        <f aca="false">SUM(P9:P28)</f>
        <v>26.4961040974239</v>
      </c>
      <c r="S29" s="24" t="n">
        <f aca="false">SUM(S9:S28)</f>
        <v>-4757.04436690267</v>
      </c>
      <c r="T29" s="31" t="n">
        <f aca="false">SUM(T9:T28)</f>
        <v>1878782.04439671</v>
      </c>
    </row>
  </sheetData>
  <mergeCells count="8">
    <mergeCell ref="A3:D3"/>
    <mergeCell ref="G3:K3"/>
    <mergeCell ref="A4:D4"/>
    <mergeCell ref="G4:K4"/>
    <mergeCell ref="A5:D5"/>
    <mergeCell ref="G5:K5"/>
    <mergeCell ref="A6:D6"/>
    <mergeCell ref="G6:K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3" min="3" style="0" width="6"/>
    <col collapsed="false" customWidth="true" hidden="false" outlineLevel="0" max="5" min="4" style="0" width="10"/>
    <col collapsed="false" customWidth="true" hidden="false" outlineLevel="0" max="6" min="6" style="0" width="9"/>
    <col collapsed="false" customWidth="true" hidden="false" outlineLevel="0" max="7" min="7" style="0" width="8"/>
    <col collapsed="false" customWidth="true" hidden="false" outlineLevel="0" max="8" min="8" style="0" width="11"/>
    <col collapsed="false" customWidth="true" hidden="false" outlineLevel="0" max="9" min="9" style="0" width="10"/>
    <col collapsed="false" customWidth="true" hidden="false" outlineLevel="0" max="13" min="10" style="0" width="11"/>
    <col collapsed="false" customWidth="true" hidden="false" outlineLevel="0" max="14" min="14" style="0" width="13"/>
    <col collapsed="false" customWidth="true" hidden="false" outlineLevel="0" max="15" min="15" style="0" width="11"/>
    <col collapsed="false" customWidth="true" hidden="false" outlineLevel="0" max="16" min="16" style="0" width="12"/>
    <col collapsed="false" customWidth="true" hidden="false" outlineLevel="0" max="18" min="17" style="0" width="10"/>
    <col collapsed="false" customWidth="true" hidden="false" outlineLevel="0" max="19" min="19" style="0" width="14"/>
    <col collapsed="false" customWidth="true" hidden="false" outlineLevel="0" max="20" min="20" style="0" width="16"/>
  </cols>
  <sheetData>
    <row r="1" customFormat="false" ht="16.15" hidden="false" customHeight="false" outlineLevel="0" collapsed="false">
      <c r="A1" s="1" t="s">
        <v>118</v>
      </c>
    </row>
    <row r="2" customFormat="false" ht="15" hidden="false" customHeight="false" outlineLevel="0" collapsed="false">
      <c r="A2" s="2" t="s">
        <v>89</v>
      </c>
    </row>
    <row r="3" customFormat="false" ht="15" hidden="false" customHeight="false" outlineLevel="0" collapsed="false">
      <c r="A3" s="20" t="s">
        <v>90</v>
      </c>
      <c r="B3" s="20"/>
      <c r="C3" s="20"/>
      <c r="D3" s="20"/>
      <c r="E3" s="32" t="n">
        <f aca="false">1+ChoqueMort</f>
        <v>1.15</v>
      </c>
      <c r="G3" s="20" t="s">
        <v>91</v>
      </c>
      <c r="H3" s="20"/>
      <c r="I3" s="20"/>
      <c r="J3" s="20"/>
      <c r="K3" s="20"/>
      <c r="L3" s="22" t="n">
        <f aca="false">SUMPRODUCT(K9:K28,Q9:Q28)</f>
        <v>15430.8620033096</v>
      </c>
    </row>
    <row r="4" customFormat="false" ht="15" hidden="false" customHeight="false" outlineLevel="0" collapsed="false">
      <c r="A4" s="20" t="s">
        <v>92</v>
      </c>
      <c r="B4" s="20"/>
      <c r="C4" s="20"/>
      <c r="D4" s="20"/>
      <c r="E4" s="21" t="n">
        <v>1</v>
      </c>
      <c r="G4" s="20" t="s">
        <v>93</v>
      </c>
      <c r="H4" s="20"/>
      <c r="I4" s="20"/>
      <c r="J4" s="20"/>
      <c r="K4" s="20"/>
      <c r="L4" s="22" t="n">
        <f aca="false">SUMPRODUCT(L9:L28+M9:M28+N9:N28,Q9:Q28)+SUMPRODUCT(O9:O28+P9:P28,R9:R28)</f>
        <v>11928.9833100086</v>
      </c>
    </row>
    <row r="5" customFormat="false" ht="15" hidden="false" customHeight="false" outlineLevel="0" collapsed="false">
      <c r="A5" s="20" t="s">
        <v>94</v>
      </c>
      <c r="B5" s="20"/>
      <c r="C5" s="20"/>
      <c r="D5" s="20"/>
      <c r="E5" s="21" t="n">
        <v>1</v>
      </c>
      <c r="G5" s="23" t="s">
        <v>95</v>
      </c>
      <c r="H5" s="23"/>
      <c r="I5" s="23"/>
      <c r="J5" s="23"/>
      <c r="K5" s="23"/>
      <c r="L5" s="24" t="n">
        <f aca="false">L4-L3</f>
        <v>-3501.87869330096</v>
      </c>
    </row>
    <row r="6" customFormat="false" ht="15" hidden="false" customHeight="false" outlineLevel="0" collapsed="false">
      <c r="A6" s="20" t="s">
        <v>96</v>
      </c>
      <c r="B6" s="20"/>
      <c r="C6" s="20"/>
      <c r="D6" s="20"/>
      <c r="E6" s="25" t="n">
        <v>0</v>
      </c>
      <c r="G6" s="20" t="s">
        <v>97</v>
      </c>
      <c r="H6" s="20"/>
      <c r="I6" s="20"/>
      <c r="J6" s="20"/>
      <c r="K6" s="20"/>
      <c r="L6" s="22" t="n">
        <f aca="false">ROUND(SUM(S9:S28)-L5,6)</f>
        <v>0</v>
      </c>
    </row>
    <row r="8" customFormat="false" ht="42" hidden="false" customHeight="true" outlineLevel="0" collapsed="false">
      <c r="A8" s="5" t="s">
        <v>98</v>
      </c>
      <c r="B8" s="5" t="s">
        <v>99</v>
      </c>
      <c r="C8" s="5" t="s">
        <v>80</v>
      </c>
      <c r="D8" s="5" t="s">
        <v>100</v>
      </c>
      <c r="E8" s="5" t="s">
        <v>101</v>
      </c>
      <c r="F8" s="5" t="s">
        <v>102</v>
      </c>
      <c r="G8" s="5" t="s">
        <v>103</v>
      </c>
      <c r="H8" s="5" t="s">
        <v>104</v>
      </c>
      <c r="I8" s="5" t="s">
        <v>105</v>
      </c>
      <c r="J8" s="5" t="s">
        <v>106</v>
      </c>
      <c r="K8" s="5" t="s">
        <v>107</v>
      </c>
      <c r="L8" s="5" t="s">
        <v>108</v>
      </c>
      <c r="M8" s="5" t="s">
        <v>109</v>
      </c>
      <c r="N8" s="5" t="s">
        <v>110</v>
      </c>
      <c r="O8" s="5" t="s">
        <v>111</v>
      </c>
      <c r="P8" s="5" t="s">
        <v>112</v>
      </c>
      <c r="Q8" s="5" t="s">
        <v>113</v>
      </c>
      <c r="R8" s="5" t="s">
        <v>114</v>
      </c>
      <c r="S8" s="5" t="s">
        <v>115</v>
      </c>
      <c r="T8" s="5" t="s">
        <v>116</v>
      </c>
    </row>
    <row r="9" customFormat="false" ht="15" hidden="false" customHeight="false" outlineLevel="0" collapsed="false">
      <c r="A9" s="16" t="n">
        <f aca="false">B9+1</f>
        <v>1</v>
      </c>
      <c r="B9" s="16" t="n">
        <f aca="false">ROW()-9</f>
        <v>0</v>
      </c>
      <c r="C9" s="16" t="n">
        <f aca="false">EdadEmision+B9</f>
        <v>45</v>
      </c>
      <c r="D9" s="16" t="n">
        <f aca="false">IF(B9&lt;Plazo,1,0)</f>
        <v>1</v>
      </c>
      <c r="E9" s="26" t="n">
        <f aca="false">IF(Sexo="M",INDEX(CSO_H,C9+1),INDEX(CSO_M,C9+1))</f>
        <v>0.00455</v>
      </c>
      <c r="F9" s="27" t="n">
        <f aca="false">IF(C9&lt;40,Fact_25_39,IF(C9&lt;50,Fact_40_49,Fact_50mas))</f>
        <v>0.75</v>
      </c>
      <c r="G9" s="28" t="n">
        <f aca="false">(1-Mejora)^B9</f>
        <v>1</v>
      </c>
      <c r="H9" s="26" t="n">
        <f aca="false">D9*MIN(E9*F9*G9*$E$3,1)</f>
        <v>0.003924375</v>
      </c>
      <c r="I9" s="27" t="n">
        <f aca="false">D9*MIN(IF(B9=0,Cad_Anio1,IF(B9=1,Cad_Anio2,Cad_Anio3))*$E$4,1)</f>
        <v>0.08</v>
      </c>
      <c r="J9" s="26" t="n">
        <f aca="false">D9</f>
        <v>1</v>
      </c>
      <c r="K9" s="22" t="n">
        <f aca="false">J9*PrimaAnual</f>
        <v>1793.78</v>
      </c>
      <c r="L9" s="22" t="n">
        <f aca="false">K9*IF(B9=0,ComisionAnio1,ComisionRenov)</f>
        <v>896.89</v>
      </c>
      <c r="M9" s="22" t="n">
        <f aca="false">J9*IF(B9=0,CostoSuscripcion,0)</f>
        <v>150</v>
      </c>
      <c r="N9" s="22" t="n">
        <f aca="false">J9*CostoMant*(1+Inflacion+$E$6)^B9*$E$5</f>
        <v>60</v>
      </c>
      <c r="O9" s="22" t="n">
        <f aca="false">J9*H9*SumaAsegurada</f>
        <v>588.65625</v>
      </c>
      <c r="P9" s="22" t="n">
        <f aca="false">J9*H9*CostoSiniestro*(1+Inflacion+$E$6)^B9*$E$5</f>
        <v>0.784875</v>
      </c>
      <c r="Q9" s="26" t="n">
        <f aca="false">INDEX(FD_Bloqueado,B9+1)</f>
        <v>1</v>
      </c>
      <c r="R9" s="26" t="n">
        <f aca="false">INDEX(FD_Bloqueado,B9+2)</f>
        <v>0.955633106084657</v>
      </c>
      <c r="S9" s="22" t="n">
        <f aca="false">(L9+M9+N9-K9)*Q9+(O9+P9)*R9</f>
        <v>-123.600546862216</v>
      </c>
      <c r="T9" s="29" t="n">
        <f aca="false">J9*SumaAsegurada</f>
        <v>150000</v>
      </c>
    </row>
    <row r="10" customFormat="false" ht="15" hidden="false" customHeight="false" outlineLevel="0" collapsed="false">
      <c r="A10" s="16" t="n">
        <f aca="false">B10+1</f>
        <v>2</v>
      </c>
      <c r="B10" s="16" t="n">
        <f aca="false">ROW()-9</f>
        <v>1</v>
      </c>
      <c r="C10" s="16" t="n">
        <f aca="false">EdadEmision+B10</f>
        <v>46</v>
      </c>
      <c r="D10" s="16" t="n">
        <f aca="false">IF(B10&lt;Plazo,1,0)</f>
        <v>1</v>
      </c>
      <c r="E10" s="26" t="n">
        <f aca="false">IF(Sexo="M",INDEX(CSO_H,C10+1),INDEX(CSO_M,C10+1))</f>
        <v>0.00492</v>
      </c>
      <c r="F10" s="27" t="n">
        <f aca="false">IF(C10&lt;40,Fact_25_39,IF(C10&lt;50,Fact_40_49,Fact_50mas))</f>
        <v>0.75</v>
      </c>
      <c r="G10" s="28" t="n">
        <f aca="false">(1-Mejora)^B10</f>
        <v>0.99</v>
      </c>
      <c r="H10" s="26" t="n">
        <f aca="false">D10*MIN(E10*F10*G10*$E$3,1)</f>
        <v>0.004201065</v>
      </c>
      <c r="I10" s="27" t="n">
        <f aca="false">D10*MIN(IF(B10=0,Cad_Anio1,IF(B10=1,Cad_Anio2,Cad_Anio3))*$E$4,1)</f>
        <v>0.06</v>
      </c>
      <c r="J10" s="26" t="n">
        <f aca="false">J9*(1-H9)*(1-I9)*D10</f>
        <v>0.916389575</v>
      </c>
      <c r="K10" s="22" t="n">
        <f aca="false">J10*PrimaAnual</f>
        <v>1643.8012918435</v>
      </c>
      <c r="L10" s="22" t="n">
        <f aca="false">K10*IF(B10=0,ComisionAnio1,ComisionRenov)</f>
        <v>82.190064592175</v>
      </c>
      <c r="M10" s="22" t="n">
        <f aca="false">J10*IF(B10=0,CostoSuscripcion,0)</f>
        <v>0</v>
      </c>
      <c r="N10" s="22" t="n">
        <f aca="false">J10*CostoMant*(1+Inflacion+$E$6)^B10*$E$5</f>
        <v>56.3579588625</v>
      </c>
      <c r="O10" s="22" t="n">
        <f aca="false">J10*H10*SumaAsegurada</f>
        <v>577.471825484606</v>
      </c>
      <c r="P10" s="22" t="n">
        <f aca="false">J10*H10*CostoSiniestro*(1+Inflacion+$E$6)^B10*$E$5</f>
        <v>0.789211494828962</v>
      </c>
      <c r="Q10" s="26" t="n">
        <f aca="false">INDEX(FD_Bloqueado,B10+1)</f>
        <v>0.955633106084657</v>
      </c>
      <c r="R10" s="26" t="n">
        <f aca="false">INDEX(FD_Bloqueado,B10+2)</f>
        <v>0.912164123097817</v>
      </c>
      <c r="S10" s="22" t="n">
        <f aca="false">(L10+M10+N10-K10)*Q10+(O10+P10)*R10</f>
        <v>-911.000884596514</v>
      </c>
      <c r="T10" s="29" t="n">
        <f aca="false">J10*SumaAsegurada</f>
        <v>137458.43625</v>
      </c>
    </row>
    <row r="11" customFormat="false" ht="15" hidden="false" customHeight="false" outlineLevel="0" collapsed="false">
      <c r="A11" s="16" t="n">
        <f aca="false">B11+1</f>
        <v>3</v>
      </c>
      <c r="B11" s="16" t="n">
        <f aca="false">ROW()-9</f>
        <v>2</v>
      </c>
      <c r="C11" s="16" t="n">
        <f aca="false">EdadEmision+B11</f>
        <v>47</v>
      </c>
      <c r="D11" s="16" t="n">
        <f aca="false">IF(B11&lt;Plazo,1,0)</f>
        <v>1</v>
      </c>
      <c r="E11" s="26" t="n">
        <f aca="false">IF(Sexo="M",INDEX(CSO_H,C11+1),INDEX(CSO_M,C11+1))</f>
        <v>0.00532</v>
      </c>
      <c r="F11" s="27" t="n">
        <f aca="false">IF(C11&lt;40,Fact_25_39,IF(C11&lt;50,Fact_40_49,Fact_50mas))</f>
        <v>0.75</v>
      </c>
      <c r="G11" s="28" t="n">
        <f aca="false">(1-Mejora)^B11</f>
        <v>0.9801</v>
      </c>
      <c r="H11" s="26" t="n">
        <f aca="false">D11*MIN(E11*F11*G11*$E$3,1)</f>
        <v>0.00449718885</v>
      </c>
      <c r="I11" s="27" t="n">
        <f aca="false">D11*MIN(IF(B11=0,Cad_Anio1,IF(B11=1,Cad_Anio2,Cad_Anio3))*$E$4,1)</f>
        <v>0.04</v>
      </c>
      <c r="J11" s="26" t="n">
        <f aca="false">J10*(1-H10)*(1-I10)*D11</f>
        <v>0.857787377060297</v>
      </c>
      <c r="K11" s="22" t="n">
        <f aca="false">J11*PrimaAnual</f>
        <v>1538.68184122322</v>
      </c>
      <c r="L11" s="22" t="n">
        <f aca="false">K11*IF(B11=0,ComisionAnio1,ComisionRenov)</f>
        <v>76.9340920611609</v>
      </c>
      <c r="M11" s="22" t="n">
        <f aca="false">J11*IF(B11=0,CostoSuscripcion,0)</f>
        <v>0</v>
      </c>
      <c r="N11" s="22" t="n">
        <f aca="false">J11*CostoMant*(1+Inflacion+$E$6)^B11*$E$5</f>
        <v>54.0727717814384</v>
      </c>
      <c r="O11" s="22" t="n">
        <f aca="false">J11*H11*SumaAsegurada</f>
        <v>578.644774167947</v>
      </c>
      <c r="P11" s="22" t="n">
        <f aca="false">J11*H11*CostoSiniestro*(1+Inflacion+$E$6)^B11*$E$5</f>
        <v>0.810584887813599</v>
      </c>
      <c r="Q11" s="26" t="n">
        <f aca="false">INDEX(FD_Bloqueado,B11+1)</f>
        <v>0.912164123097817</v>
      </c>
      <c r="R11" s="26" t="n">
        <f aca="false">INDEX(FD_Bloqueado,B11+2)</f>
        <v>0.869142637040769</v>
      </c>
      <c r="S11" s="22" t="n">
        <f aca="false">(L11+M11+N11-K11)*Q11+(O11+P11)*R11</f>
        <v>-780.401252532003</v>
      </c>
      <c r="T11" s="29" t="n">
        <f aca="false">J11*SumaAsegurada</f>
        <v>128668.106559044</v>
      </c>
    </row>
    <row r="12" customFormat="false" ht="15" hidden="false" customHeight="false" outlineLevel="0" collapsed="false">
      <c r="A12" s="16" t="n">
        <f aca="false">B12+1</f>
        <v>4</v>
      </c>
      <c r="B12" s="16" t="n">
        <f aca="false">ROW()-9</f>
        <v>3</v>
      </c>
      <c r="C12" s="16" t="n">
        <f aca="false">EdadEmision+B12</f>
        <v>48</v>
      </c>
      <c r="D12" s="16" t="n">
        <f aca="false">IF(B12&lt;Plazo,1,0)</f>
        <v>1</v>
      </c>
      <c r="E12" s="26" t="n">
        <f aca="false">IF(Sexo="M",INDEX(CSO_H,C12+1),INDEX(CSO_M,C12+1))</f>
        <v>0.00574</v>
      </c>
      <c r="F12" s="27" t="n">
        <f aca="false">IF(C12&lt;40,Fact_25_39,IF(C12&lt;50,Fact_40_49,Fact_50mas))</f>
        <v>0.75</v>
      </c>
      <c r="G12" s="28" t="n">
        <f aca="false">(1-Mejora)^B12</f>
        <v>0.970299</v>
      </c>
      <c r="H12" s="26" t="n">
        <f aca="false">D12*MIN(E12*F12*G12*$E$3,1)</f>
        <v>0.00480370777425</v>
      </c>
      <c r="I12" s="27" t="n">
        <f aca="false">D12*MIN(IF(B12=0,Cad_Anio1,IF(B12=1,Cad_Anio2,Cad_Anio3))*$E$4,1)</f>
        <v>0.04</v>
      </c>
      <c r="J12" s="26" t="n">
        <f aca="false">J11*(1-H11)*(1-I11)*D12</f>
        <v>0.81977255542321</v>
      </c>
      <c r="K12" s="22" t="n">
        <f aca="false">J12*PrimaAnual</f>
        <v>1470.49161446705</v>
      </c>
      <c r="L12" s="22" t="n">
        <f aca="false">K12*IF(B12=0,ComisionAnio1,ComisionRenov)</f>
        <v>73.5245807233523</v>
      </c>
      <c r="M12" s="22" t="n">
        <f aca="false">J12*IF(B12=0,CostoSuscripcion,0)</f>
        <v>0</v>
      </c>
      <c r="N12" s="22" t="n">
        <f aca="false">J12*CostoMant*(1+Inflacion+$E$6)^B12*$E$5</f>
        <v>52.9683227740528</v>
      </c>
      <c r="O12" s="22" t="n">
        <f aca="false">J12*H12*SumaAsegurada</f>
        <v>590.692169640489</v>
      </c>
      <c r="P12" s="22" t="n">
        <f aca="false">J12*H12*CostoSiniestro*(1+Inflacion+$E$6)^B12*$E$5</f>
        <v>0.84814781299567</v>
      </c>
      <c r="Q12" s="26" t="n">
        <f aca="false">INDEX(FD_Bloqueado,B12+1)</f>
        <v>0.869142637040769</v>
      </c>
      <c r="R12" s="26" t="n">
        <f aca="false">INDEX(FD_Bloqueado,B12+2)</f>
        <v>0.826857566112177</v>
      </c>
      <c r="S12" s="22" t="n">
        <f aca="false">(L12+M12+N12-K12)*Q12+(O12+P12)*R12</f>
        <v>-679.006996684734</v>
      </c>
      <c r="T12" s="29" t="n">
        <f aca="false">J12*SumaAsegurada</f>
        <v>122965.883313481</v>
      </c>
    </row>
    <row r="13" customFormat="false" ht="15" hidden="false" customHeight="false" outlineLevel="0" collapsed="false">
      <c r="A13" s="16" t="n">
        <f aca="false">B13+1</f>
        <v>5</v>
      </c>
      <c r="B13" s="16" t="n">
        <f aca="false">ROW()-9</f>
        <v>4</v>
      </c>
      <c r="C13" s="16" t="n">
        <f aca="false">EdadEmision+B13</f>
        <v>49</v>
      </c>
      <c r="D13" s="16" t="n">
        <f aca="false">IF(B13&lt;Plazo,1,0)</f>
        <v>1</v>
      </c>
      <c r="E13" s="26" t="n">
        <f aca="false">IF(Sexo="M",INDEX(CSO_H,C13+1),INDEX(CSO_M,C13+1))</f>
        <v>0.00621</v>
      </c>
      <c r="F13" s="27" t="n">
        <f aca="false">IF(C13&lt;40,Fact_25_39,IF(C13&lt;50,Fact_40_49,Fact_50mas))</f>
        <v>0.75</v>
      </c>
      <c r="G13" s="28" t="n">
        <f aca="false">(1-Mejora)^B13</f>
        <v>0.96059601</v>
      </c>
      <c r="H13" s="26" t="n">
        <f aca="false">D13*MIN(E13*F13*G13*$E$3,1)</f>
        <v>0.00514507230406125</v>
      </c>
      <c r="I13" s="27" t="n">
        <f aca="false">D13*MIN(IF(B13=0,Cad_Anio1,IF(B13=1,Cad_Anio2,Cad_Anio3))*$E$4,1)</f>
        <v>0.04</v>
      </c>
      <c r="J13" s="26" t="n">
        <f aca="false">J12*(1-H12)*(1-I12)*D13</f>
        <v>0.783201223320582</v>
      </c>
      <c r="K13" s="22" t="n">
        <f aca="false">J13*PrimaAnual</f>
        <v>1404.89069036799</v>
      </c>
      <c r="L13" s="22" t="n">
        <f aca="false">K13*IF(B13=0,ComisionAnio1,ComisionRenov)</f>
        <v>70.2445345183997</v>
      </c>
      <c r="M13" s="22" t="n">
        <f aca="false">J13*IF(B13=0,CostoSuscripcion,0)</f>
        <v>0</v>
      </c>
      <c r="N13" s="22" t="n">
        <f aca="false">J13*CostoMant*(1+Inflacion+$E$6)^B13*$E$5</f>
        <v>51.8704563752717</v>
      </c>
      <c r="O13" s="22" t="n">
        <f aca="false">J13*H13*SumaAsegurada</f>
        <v>604.444038392042</v>
      </c>
      <c r="P13" s="22" t="n">
        <f aca="false">J13*H13*CostoSiniestro*(1+Inflacion+$E$6)^B13*$E$5</f>
        <v>0.889590828318091</v>
      </c>
      <c r="Q13" s="26" t="n">
        <f aca="false">INDEX(FD_Bloqueado,B13+1)</f>
        <v>0.826857566112177</v>
      </c>
      <c r="R13" s="26" t="n">
        <f aca="false">INDEX(FD_Bloqueado,B13+2)</f>
        <v>0.785019369510734</v>
      </c>
      <c r="S13" s="22" t="n">
        <f aca="false">(L13+M13+N13-K13)*Q13+(O13+P13)*R13</f>
        <v>-585.474168780972</v>
      </c>
      <c r="T13" s="29" t="n">
        <f aca="false">J13*SumaAsegurada</f>
        <v>117480.183498087</v>
      </c>
    </row>
    <row r="14" customFormat="false" ht="15" hidden="false" customHeight="false" outlineLevel="0" collapsed="false">
      <c r="A14" s="16" t="n">
        <f aca="false">B14+1</f>
        <v>6</v>
      </c>
      <c r="B14" s="16" t="n">
        <f aca="false">ROW()-9</f>
        <v>5</v>
      </c>
      <c r="C14" s="16" t="n">
        <f aca="false">EdadEmision+B14</f>
        <v>50</v>
      </c>
      <c r="D14" s="16" t="n">
        <f aca="false">IF(B14&lt;Plazo,1,0)</f>
        <v>1</v>
      </c>
      <c r="E14" s="26" t="n">
        <f aca="false">IF(Sexo="M",INDEX(CSO_H,C14+1),INDEX(CSO_M,C14+1))</f>
        <v>0.00671</v>
      </c>
      <c r="F14" s="27" t="n">
        <f aca="false">IF(C14&lt;40,Fact_25_39,IF(C14&lt;50,Fact_40_49,Fact_50mas))</f>
        <v>0.95</v>
      </c>
      <c r="G14" s="28" t="n">
        <f aca="false">(1-Mejora)^B14</f>
        <v>0.9509900499</v>
      </c>
      <c r="H14" s="26" t="n">
        <f aca="false">D14*MIN(E14*F14*G14*$E$3,1)</f>
        <v>0.00697139898405068</v>
      </c>
      <c r="I14" s="27" t="n">
        <f aca="false">D14*MIN(IF(B14=0,Cad_Anio1,IF(B14=1,Cad_Anio2,Cad_Anio3))*$E$4,1)</f>
        <v>0.04</v>
      </c>
      <c r="J14" s="26" t="n">
        <f aca="false">J13*(1-H13)*(1-I13)*D14</f>
        <v>0.74800473254205</v>
      </c>
      <c r="K14" s="22" t="n">
        <f aca="false">J14*PrimaAnual</f>
        <v>1341.75592913928</v>
      </c>
      <c r="L14" s="22" t="n">
        <f aca="false">K14*IF(B14=0,ComisionAnio1,ComisionRenov)</f>
        <v>67.0877964569639</v>
      </c>
      <c r="M14" s="22" t="n">
        <f aca="false">J14*IF(B14=0,CostoSuscripcion,0)</f>
        <v>0</v>
      </c>
      <c r="N14" s="22" t="n">
        <f aca="false">J14*CostoMant*(1+Inflacion+$E$6)^B14*$E$5</f>
        <v>50.7779218607478</v>
      </c>
      <c r="O14" s="22" t="n">
        <f aca="false">J14*H14*SumaAsegurada</f>
        <v>782.195914876312</v>
      </c>
      <c r="P14" s="22" t="n">
        <f aca="false">J14*H14*CostoSiniestro*(1+Inflacion+$E$6)^B14*$E$5</f>
        <v>1.17997717624074</v>
      </c>
      <c r="Q14" s="26" t="n">
        <f aca="false">INDEX(FD_Bloqueado,B14+1)</f>
        <v>0.785019369510734</v>
      </c>
      <c r="R14" s="26" t="n">
        <f aca="false">INDEX(FD_Bloqueado,B14+2)</f>
        <v>0.743555885045308</v>
      </c>
      <c r="S14" s="22" t="n">
        <f aca="false">(L14+M14+N14-K14)*Q14+(O14+P14)*R14</f>
        <v>-378.293766911211</v>
      </c>
      <c r="T14" s="29" t="n">
        <f aca="false">J14*SumaAsegurada</f>
        <v>112200.709881307</v>
      </c>
    </row>
    <row r="15" customFormat="false" ht="15" hidden="false" customHeight="false" outlineLevel="0" collapsed="false">
      <c r="A15" s="16" t="n">
        <f aca="false">B15+1</f>
        <v>7</v>
      </c>
      <c r="B15" s="16" t="n">
        <f aca="false">ROW()-9</f>
        <v>6</v>
      </c>
      <c r="C15" s="16" t="n">
        <f aca="false">EdadEmision+B15</f>
        <v>51</v>
      </c>
      <c r="D15" s="16" t="n">
        <f aca="false">IF(B15&lt;Plazo,1,0)</f>
        <v>1</v>
      </c>
      <c r="E15" s="26" t="n">
        <f aca="false">IF(Sexo="M",INDEX(CSO_H,C15+1),INDEX(CSO_M,C15+1))</f>
        <v>0.0073</v>
      </c>
      <c r="F15" s="27" t="n">
        <f aca="false">IF(C15&lt;40,Fact_25_39,IF(C15&lt;50,Fact_40_49,Fact_50mas))</f>
        <v>0.95</v>
      </c>
      <c r="G15" s="28" t="n">
        <f aca="false">(1-Mejora)^B15</f>
        <v>0.941480149401</v>
      </c>
      <c r="H15" s="26" t="n">
        <f aca="false">D15*MIN(E15*F15*G15*$E$3,1)</f>
        <v>0.00750853956151032</v>
      </c>
      <c r="I15" s="27" t="n">
        <f aca="false">D15*MIN(IF(B15=0,Cad_Anio1,IF(B15=1,Cad_Anio2,Cad_Anio3))*$E$4,1)</f>
        <v>0.04</v>
      </c>
      <c r="J15" s="26" t="n">
        <f aca="false">J14*(1-H14)*(1-I14)*D15</f>
        <v>0.71307848938516</v>
      </c>
      <c r="K15" s="22" t="n">
        <f aca="false">J15*PrimaAnual</f>
        <v>1279.10593268931</v>
      </c>
      <c r="L15" s="22" t="n">
        <f aca="false">K15*IF(B15=0,ComisionAnio1,ComisionRenov)</f>
        <v>63.9552966344656</v>
      </c>
      <c r="M15" s="22" t="n">
        <f aca="false">J15*IF(B15=0,CostoSuscripcion,0)</f>
        <v>0</v>
      </c>
      <c r="N15" s="22" t="n">
        <f aca="false">J15*CostoMant*(1+Inflacion+$E$6)^B15*$E$5</f>
        <v>49.6171458485496</v>
      </c>
      <c r="O15" s="22" t="n">
        <f aca="false">J15*H15*SumaAsegurada</f>
        <v>803.126707201574</v>
      </c>
      <c r="P15" s="22" t="n">
        <f aca="false">J15*H15*CostoSiniestro*(1+Inflacion+$E$6)^B15*$E$5</f>
        <v>1.24184100844354</v>
      </c>
      <c r="Q15" s="26" t="n">
        <f aca="false">INDEX(FD_Bloqueado,B15+1)</f>
        <v>0.743555885045308</v>
      </c>
      <c r="R15" s="26" t="n">
        <f aca="false">INDEX(FD_Bloqueado,B15+2)</f>
        <v>0.702911573608143</v>
      </c>
      <c r="S15" s="22" t="n">
        <f aca="false">(L15+M15+N15-K15)*Q15+(O15+P15)*R15</f>
        <v>-301.23932387709</v>
      </c>
      <c r="T15" s="29" t="n">
        <f aca="false">J15*SumaAsegurada</f>
        <v>106961.773407774</v>
      </c>
    </row>
    <row r="16" customFormat="false" ht="15" hidden="false" customHeight="false" outlineLevel="0" collapsed="false">
      <c r="A16" s="16" t="n">
        <f aca="false">B16+1</f>
        <v>8</v>
      </c>
      <c r="B16" s="16" t="n">
        <f aca="false">ROW()-9</f>
        <v>7</v>
      </c>
      <c r="C16" s="16" t="n">
        <f aca="false">EdadEmision+B16</f>
        <v>52</v>
      </c>
      <c r="D16" s="16" t="n">
        <f aca="false">IF(B16&lt;Plazo,1,0)</f>
        <v>1</v>
      </c>
      <c r="E16" s="26" t="n">
        <f aca="false">IF(Sexo="M",INDEX(CSO_H,C16+1),INDEX(CSO_M,C16+1))</f>
        <v>0.00796</v>
      </c>
      <c r="F16" s="27" t="n">
        <f aca="false">IF(C16&lt;40,Fact_25_39,IF(C16&lt;50,Fact_40_49,Fact_50mas))</f>
        <v>0.95</v>
      </c>
      <c r="G16" s="28" t="n">
        <f aca="false">(1-Mejora)^B16</f>
        <v>0.93206534790699</v>
      </c>
      <c r="H16" s="26" t="n">
        <f aca="false">D16*MIN(E16*F16*G16*$E$3,1)</f>
        <v>0.00810551988500356</v>
      </c>
      <c r="I16" s="27" t="n">
        <f aca="false">D16*MIN(IF(B16=0,Cad_Anio1,IF(B16=1,Cad_Anio2,Cad_Anio3))*$E$4,1)</f>
        <v>0.04</v>
      </c>
      <c r="J16" s="26" t="n">
        <f aca="false">J15*(1-H15)*(1-I15)*D16</f>
        <v>0.679415338883663</v>
      </c>
      <c r="K16" s="22" t="n">
        <f aca="false">J16*PrimaAnual</f>
        <v>1218.72164658274</v>
      </c>
      <c r="L16" s="22" t="n">
        <f aca="false">K16*IF(B16=0,ComisionAnio1,ComisionRenov)</f>
        <v>60.9360823291369</v>
      </c>
      <c r="M16" s="22" t="n">
        <f aca="false">J16*IF(B16=0,CostoSuscripcion,0)</f>
        <v>0</v>
      </c>
      <c r="N16" s="22" t="n">
        <f aca="false">J16*CostoMant*(1+Inflacion+$E$6)^B16*$E$5</f>
        <v>48.4566800492803</v>
      </c>
      <c r="O16" s="22" t="n">
        <f aca="false">J16*H16*SumaAsegurada</f>
        <v>826.052180924694</v>
      </c>
      <c r="P16" s="22" t="n">
        <f aca="false">J16*H16*CostoSiniestro*(1+Inflacion+$E$6)^B16*$E$5</f>
        <v>1.30922194566899</v>
      </c>
      <c r="Q16" s="26" t="n">
        <f aca="false">INDEX(FD_Bloqueado,B16+1)</f>
        <v>0.702911573608143</v>
      </c>
      <c r="R16" s="26" t="n">
        <f aca="false">INDEX(FD_Bloqueado,B16+2)</f>
        <v>0.663713829626701</v>
      </c>
      <c r="S16" s="22" t="n">
        <f aca="false">(L16+M16+N16-K16)*Q16+(O16+P16)*R16</f>
        <v>-230.628906460615</v>
      </c>
      <c r="T16" s="29" t="n">
        <f aca="false">J16*SumaAsegurada</f>
        <v>101912.300832549</v>
      </c>
    </row>
    <row r="17" customFormat="false" ht="15" hidden="false" customHeight="false" outlineLevel="0" collapsed="false">
      <c r="A17" s="16" t="n">
        <f aca="false">B17+1</f>
        <v>9</v>
      </c>
      <c r="B17" s="16" t="n">
        <f aca="false">ROW()-9</f>
        <v>8</v>
      </c>
      <c r="C17" s="16" t="n">
        <f aca="false">EdadEmision+B17</f>
        <v>53</v>
      </c>
      <c r="D17" s="16" t="n">
        <f aca="false">IF(B17&lt;Plazo,1,0)</f>
        <v>1</v>
      </c>
      <c r="E17" s="26" t="n">
        <f aca="false">IF(Sexo="M",INDEX(CSO_H,C17+1),INDEX(CSO_M,C17+1))</f>
        <v>0.00871</v>
      </c>
      <c r="F17" s="27" t="n">
        <f aca="false">IF(C17&lt;40,Fact_25_39,IF(C17&lt;50,Fact_40_49,Fact_50mas))</f>
        <v>0.95</v>
      </c>
      <c r="G17" s="28" t="n">
        <f aca="false">(1-Mejora)^B17</f>
        <v>0.92274469442792</v>
      </c>
      <c r="H17" s="26" t="n">
        <f aca="false">D17*MIN(E17*F17*G17*$E$3,1)</f>
        <v>0.0087805386201504</v>
      </c>
      <c r="I17" s="27" t="n">
        <f aca="false">D17*MIN(IF(B17=0,Cad_Anio1,IF(B17=1,Cad_Anio2,Cad_Anio3))*$E$4,1)</f>
        <v>0.04</v>
      </c>
      <c r="J17" s="26" t="n">
        <f aca="false">J16*(1-H16)*(1-I16)*D17</f>
        <v>0.646951991370398</v>
      </c>
      <c r="K17" s="22" t="n">
        <f aca="false">J17*PrimaAnual</f>
        <v>1160.48954308039</v>
      </c>
      <c r="L17" s="22" t="n">
        <f aca="false">K17*IF(B17=0,ComisionAnio1,ComisionRenov)</f>
        <v>58.0244771540197</v>
      </c>
      <c r="M17" s="22" t="n">
        <f aca="false">J17*IF(B17=0,CostoSuscripcion,0)</f>
        <v>0</v>
      </c>
      <c r="N17" s="22" t="n">
        <f aca="false">J17*CostoMant*(1+Inflacion+$E$6)^B17*$E$5</f>
        <v>47.2948908501303</v>
      </c>
      <c r="O17" s="22" t="n">
        <f aca="false">J17*H17*SumaAsegurada</f>
        <v>852.088041841649</v>
      </c>
      <c r="P17" s="22" t="n">
        <f aca="false">J17*H17*CostoSiniestro*(1+Inflacion+$E$6)^B17*$E$5</f>
        <v>1.38424871881789</v>
      </c>
      <c r="Q17" s="26" t="n">
        <f aca="false">INDEX(FD_Bloqueado,B17+1)</f>
        <v>0.663713829626701</v>
      </c>
      <c r="R17" s="26" t="n">
        <f aca="false">INDEX(FD_Bloqueado,B17+2)</f>
        <v>0.625605300108043</v>
      </c>
      <c r="S17" s="22" t="n">
        <f aca="false">(L17+M17+N17-K17)*Q17+(O17+P17)*R17</f>
        <v>-166.39424933775</v>
      </c>
      <c r="T17" s="29" t="n">
        <f aca="false">J17*SumaAsegurada</f>
        <v>97042.7987055598</v>
      </c>
    </row>
    <row r="18" customFormat="false" ht="15" hidden="false" customHeight="false" outlineLevel="0" collapsed="false">
      <c r="A18" s="16" t="n">
        <f aca="false">B18+1</f>
        <v>10</v>
      </c>
      <c r="B18" s="16" t="n">
        <f aca="false">ROW()-9</f>
        <v>9</v>
      </c>
      <c r="C18" s="16" t="n">
        <f aca="false">EdadEmision+B18</f>
        <v>54</v>
      </c>
      <c r="D18" s="16" t="n">
        <f aca="false">IF(B18&lt;Plazo,1,0)</f>
        <v>1</v>
      </c>
      <c r="E18" s="26" t="n">
        <f aca="false">IF(Sexo="M",INDEX(CSO_H,C18+1),INDEX(CSO_M,C18+1))</f>
        <v>0.00956</v>
      </c>
      <c r="F18" s="27" t="n">
        <f aca="false">IF(C18&lt;40,Fact_25_39,IF(C18&lt;50,Fact_40_49,Fact_50mas))</f>
        <v>0.95</v>
      </c>
      <c r="G18" s="28" t="n">
        <f aca="false">(1-Mejora)^B18</f>
        <v>0.913517247483641</v>
      </c>
      <c r="H18" s="26" t="n">
        <f aca="false">D18*MIN(E18*F18*G18*$E$3,1)</f>
        <v>0.00954104818789339</v>
      </c>
      <c r="I18" s="27" t="n">
        <f aca="false">D18*MIN(IF(B18=0,Cad_Anio1,IF(B18=1,Cad_Anio2,Cad_Anio3))*$E$4,1)</f>
        <v>0.04</v>
      </c>
      <c r="J18" s="26" t="n">
        <f aca="false">J17*(1-H17)*(1-I17)*D18</f>
        <v>0.615620548247796</v>
      </c>
      <c r="K18" s="22" t="n">
        <f aca="false">J18*PrimaAnual</f>
        <v>1104.28782703593</v>
      </c>
      <c r="L18" s="22" t="n">
        <f aca="false">K18*IF(B18=0,ComisionAnio1,ComisionRenov)</f>
        <v>55.2143913517966</v>
      </c>
      <c r="M18" s="22" t="n">
        <f aca="false">J18*IF(B18=0,CostoSuscripcion,0)</f>
        <v>0</v>
      </c>
      <c r="N18" s="22" t="n">
        <f aca="false">J18*CostoMant*(1+Inflacion+$E$6)^B18*$E$5</f>
        <v>46.1295423747331</v>
      </c>
      <c r="O18" s="22" t="n">
        <f aca="false">J18*H18*SumaAsegurada</f>
        <v>881.049797443435</v>
      </c>
      <c r="P18" s="22" t="n">
        <f aca="false">J18*H18*CostoSiniestro*(1+Inflacion+$E$6)^B18*$E$5</f>
        <v>1.467080622276</v>
      </c>
      <c r="Q18" s="26" t="n">
        <f aca="false">INDEX(FD_Bloqueado,B18+1)</f>
        <v>0.625605300108043</v>
      </c>
      <c r="R18" s="26" t="n">
        <f aca="false">INDEX(FD_Bloqueado,B18+2)</f>
        <v>0.589227218190428</v>
      </c>
      <c r="S18" s="22" t="n">
        <f aca="false">(L18+M18+N18-K18)*Q18+(O18+P18)*R18</f>
        <v>-107.444050296597</v>
      </c>
      <c r="T18" s="29" t="n">
        <f aca="false">J18*SumaAsegurada</f>
        <v>92343.0822371694</v>
      </c>
    </row>
    <row r="19" customFormat="false" ht="15" hidden="false" customHeight="false" outlineLevel="0" collapsed="false">
      <c r="A19" s="16" t="n">
        <f aca="false">B19+1</f>
        <v>11</v>
      </c>
      <c r="B19" s="16" t="n">
        <f aca="false">ROW()-9</f>
        <v>10</v>
      </c>
      <c r="C19" s="16" t="n">
        <f aca="false">EdadEmision+B19</f>
        <v>55</v>
      </c>
      <c r="D19" s="16" t="n">
        <f aca="false">IF(B19&lt;Plazo,1,0)</f>
        <v>1</v>
      </c>
      <c r="E19" s="26" t="n">
        <f aca="false">IF(Sexo="M",INDEX(CSO_H,C19+1),INDEX(CSO_M,C19+1))</f>
        <v>0.01047</v>
      </c>
      <c r="F19" s="27" t="n">
        <f aca="false">IF(C19&lt;40,Fact_25_39,IF(C19&lt;50,Fact_40_49,Fact_50mas))</f>
        <v>0.95</v>
      </c>
      <c r="G19" s="28" t="n">
        <f aca="false">(1-Mejora)^B19</f>
        <v>0.904382075008804</v>
      </c>
      <c r="H19" s="26" t="n">
        <f aca="false">D19*MIN(E19*F19*G19*$E$3,1)</f>
        <v>0.0103447517554363</v>
      </c>
      <c r="I19" s="27" t="n">
        <f aca="false">D19*MIN(IF(B19=0,Cad_Anio1,IF(B19=1,Cad_Anio2,Cad_Anio3))*$E$4,1)</f>
        <v>0.04</v>
      </c>
      <c r="J19" s="26" t="n">
        <f aca="false">J18*(1-H18)*(1-I18)*D19</f>
        <v>0.585357007614246</v>
      </c>
      <c r="K19" s="22" t="n">
        <f aca="false">J19*PrimaAnual</f>
        <v>1050.00169311828</v>
      </c>
      <c r="L19" s="22" t="n">
        <f aca="false">K19*IF(B19=0,ComisionAnio1,ComisionRenov)</f>
        <v>52.5000846559141</v>
      </c>
      <c r="M19" s="22" t="n">
        <f aca="false">J19*IF(B19=0,CostoSuscripcion,0)</f>
        <v>0</v>
      </c>
      <c r="N19" s="22" t="n">
        <f aca="false">J19*CostoMant*(1+Inflacion+$E$6)^B19*$E$5</f>
        <v>44.9583874970415</v>
      </c>
      <c r="O19" s="22" t="n">
        <f aca="false">J19*H19*SumaAsegurada</f>
        <v>908.305939811165</v>
      </c>
      <c r="P19" s="22" t="n">
        <f aca="false">J19*H19*CostoSiniestro*(1+Inflacion+$E$6)^B19*$E$5</f>
        <v>1.55027785993869</v>
      </c>
      <c r="Q19" s="26" t="n">
        <f aca="false">INDEX(FD_Bloqueado,B19+1)</f>
        <v>0.589227218190428</v>
      </c>
      <c r="R19" s="26" t="n">
        <f aca="false">INDEX(FD_Bloqueado,B19+2)</f>
        <v>0.55469576392788</v>
      </c>
      <c r="S19" s="22" t="n">
        <f aca="false">(L19+M19+N19-K19)*Q19+(O19+P19)*R19</f>
        <v>-56.5710025699459</v>
      </c>
      <c r="T19" s="29" t="n">
        <f aca="false">J19*SumaAsegurada</f>
        <v>87803.5511421369</v>
      </c>
    </row>
    <row r="20" customFormat="false" ht="15" hidden="false" customHeight="false" outlineLevel="0" collapsed="false">
      <c r="A20" s="16" t="n">
        <f aca="false">B20+1</f>
        <v>12</v>
      </c>
      <c r="B20" s="16" t="n">
        <f aca="false">ROW()-9</f>
        <v>11</v>
      </c>
      <c r="C20" s="16" t="n">
        <f aca="false">EdadEmision+B20</f>
        <v>56</v>
      </c>
      <c r="D20" s="16" t="n">
        <f aca="false">IF(B20&lt;Plazo,1,0)</f>
        <v>1</v>
      </c>
      <c r="E20" s="26" t="n">
        <f aca="false">IF(Sexo="M",INDEX(CSO_H,C20+1),INDEX(CSO_M,C20+1))</f>
        <v>0.01146</v>
      </c>
      <c r="F20" s="27" t="n">
        <f aca="false">IF(C20&lt;40,Fact_25_39,IF(C20&lt;50,Fact_40_49,Fact_50mas))</f>
        <v>0.95</v>
      </c>
      <c r="G20" s="28" t="n">
        <f aca="false">(1-Mejora)^B20</f>
        <v>0.895338254258716</v>
      </c>
      <c r="H20" s="26" t="n">
        <f aca="false">D20*MIN(E20*F20*G20*$E$3,1)</f>
        <v>0.0112096797102318</v>
      </c>
      <c r="I20" s="27" t="n">
        <f aca="false">D20*MIN(IF(B20=0,Cad_Anio1,IF(B20=1,Cad_Anio2,Cad_Anio3))*$E$4,1)</f>
        <v>0.04</v>
      </c>
      <c r="J20" s="26" t="n">
        <f aca="false">J19*(1-H19)*(1-I19)*D20</f>
        <v>0.556129569294885</v>
      </c>
      <c r="K20" s="22" t="n">
        <f aca="false">J20*PrimaAnual</f>
        <v>997.574098809778</v>
      </c>
      <c r="L20" s="22" t="n">
        <f aca="false">K20*IF(B20=0,ComisionAnio1,ComisionRenov)</f>
        <v>49.8787049404889</v>
      </c>
      <c r="M20" s="22" t="n">
        <f aca="false">J20*IF(B20=0,CostoSuscripcion,0)</f>
        <v>0</v>
      </c>
      <c r="N20" s="22" t="n">
        <f aca="false">J20*CostoMant*(1+Inflacion+$E$6)^B20*$E$5</f>
        <v>43.781411272835</v>
      </c>
      <c r="O20" s="22" t="n">
        <f aca="false">J20*H20*SumaAsegurada</f>
        <v>935.105152377726</v>
      </c>
      <c r="P20" s="22" t="n">
        <f aca="false">J20*H20*CostoSiniestro*(1+Inflacion+$E$6)^B20*$E$5</f>
        <v>1.63591865876805</v>
      </c>
      <c r="Q20" s="26" t="n">
        <f aca="false">INDEX(FD_Bloqueado,B20+1)</f>
        <v>0.55469576392788</v>
      </c>
      <c r="R20" s="26" t="n">
        <f aca="false">INDEX(FD_Bloqueado,B20+2)</f>
        <v>0.522087486914417</v>
      </c>
      <c r="S20" s="22" t="n">
        <f aca="false">(L20+M20+N20-K20)*Q20+(O20+P20)*R20</f>
        <v>-12.3364654344706</v>
      </c>
      <c r="T20" s="29" t="n">
        <f aca="false">J20*SumaAsegurada</f>
        <v>83419.4353942327</v>
      </c>
    </row>
    <row r="21" customFormat="false" ht="15" hidden="false" customHeight="false" outlineLevel="0" collapsed="false">
      <c r="A21" s="16" t="n">
        <f aca="false">B21+1</f>
        <v>13</v>
      </c>
      <c r="B21" s="16" t="n">
        <f aca="false">ROW()-9</f>
        <v>12</v>
      </c>
      <c r="C21" s="16" t="n">
        <f aca="false">EdadEmision+B21</f>
        <v>57</v>
      </c>
      <c r="D21" s="16" t="n">
        <f aca="false">IF(B21&lt;Plazo,1,0)</f>
        <v>1</v>
      </c>
      <c r="E21" s="26" t="n">
        <f aca="false">IF(Sexo="M",INDEX(CSO_H,C21+1),INDEX(CSO_M,C21+1))</f>
        <v>0.01249</v>
      </c>
      <c r="F21" s="27" t="n">
        <f aca="false">IF(C21&lt;40,Fact_25_39,IF(C21&lt;50,Fact_40_49,Fact_50mas))</f>
        <v>0.95</v>
      </c>
      <c r="G21" s="28" t="n">
        <f aca="false">(1-Mejora)^B21</f>
        <v>0.886384871716129</v>
      </c>
      <c r="H21" s="26" t="n">
        <f aca="false">D21*MIN(E21*F21*G21*$E$3,1)</f>
        <v>0.0120950096496499</v>
      </c>
      <c r="I21" s="27" t="n">
        <f aca="false">D21*MIN(IF(B21=0,Cad_Anio1,IF(B21=1,Cad_Anio2,Cad_Anio3))*$E$4,1)</f>
        <v>0.04</v>
      </c>
      <c r="J21" s="26" t="n">
        <f aca="false">J20*(1-H20)*(1-I20)*D21</f>
        <v>0.527899713547872</v>
      </c>
      <c r="K21" s="22" t="n">
        <f aca="false">J21*PrimaAnual</f>
        <v>946.935948167902</v>
      </c>
      <c r="L21" s="22" t="n">
        <f aca="false">K21*IF(B21=0,ComisionAnio1,ComisionRenov)</f>
        <v>47.3467974083951</v>
      </c>
      <c r="M21" s="22" t="n">
        <f aca="false">J21*IF(B21=0,CostoSuscripcion,0)</f>
        <v>0</v>
      </c>
      <c r="N21" s="22" t="n">
        <f aca="false">J21*CostoMant*(1+Inflacion+$E$6)^B21*$E$5</f>
        <v>42.5979855044013</v>
      </c>
      <c r="O21" s="22" t="n">
        <f aca="false">J21*H21*SumaAsegurada</f>
        <v>957.742819411339</v>
      </c>
      <c r="P21" s="22" t="n">
        <f aca="false">J21*H21*CostoSiniestro*(1+Inflacion+$E$6)^B21*$E$5</f>
        <v>1.71741015243793</v>
      </c>
      <c r="Q21" s="26" t="n">
        <f aca="false">INDEX(FD_Bloqueado,B21+1)</f>
        <v>0.522087486914417</v>
      </c>
      <c r="R21" s="26" t="n">
        <f aca="false">INDEX(FD_Bloqueado,B21+2)</f>
        <v>0.490823534155882</v>
      </c>
      <c r="S21" s="22" t="n">
        <f aca="false">(L21+M21+N21-K21)*Q21+(O21+P21)*R21</f>
        <v>23.5012969806111</v>
      </c>
      <c r="T21" s="29" t="n">
        <f aca="false">J21*SumaAsegurada</f>
        <v>79184.9570321808</v>
      </c>
    </row>
    <row r="22" customFormat="false" ht="15" hidden="false" customHeight="false" outlineLevel="0" collapsed="false">
      <c r="A22" s="16" t="n">
        <f aca="false">B22+1</f>
        <v>14</v>
      </c>
      <c r="B22" s="16" t="n">
        <f aca="false">ROW()-9</f>
        <v>13</v>
      </c>
      <c r="C22" s="16" t="n">
        <f aca="false">EdadEmision+B22</f>
        <v>58</v>
      </c>
      <c r="D22" s="16" t="n">
        <f aca="false">IF(B22&lt;Plazo,1,0)</f>
        <v>1</v>
      </c>
      <c r="E22" s="26" t="n">
        <f aca="false">IF(Sexo="M",INDEX(CSO_H,C22+1),INDEX(CSO_M,C22+1))</f>
        <v>0.01359</v>
      </c>
      <c r="F22" s="27" t="n">
        <f aca="false">IF(C22&lt;40,Fact_25_39,IF(C22&lt;50,Fact_40_49,Fact_50mas))</f>
        <v>0.95</v>
      </c>
      <c r="G22" s="28" t="n">
        <f aca="false">(1-Mejora)^B22</f>
        <v>0.877521022998968</v>
      </c>
      <c r="H22" s="26" t="n">
        <f aca="false">D22*MIN(E22*F22*G22*$E$3,1)</f>
        <v>0.0130286204425424</v>
      </c>
      <c r="I22" s="27" t="n">
        <f aca="false">D22*MIN(IF(B22=0,Cad_Anio1,IF(B22=1,Cad_Anio2,Cad_Anio3))*$E$4,1)</f>
        <v>0.04</v>
      </c>
      <c r="J22" s="26" t="n">
        <f aca="false">J21*(1-H21)*(1-I21)*D22</f>
        <v>0.500654170961725</v>
      </c>
      <c r="K22" s="22" t="n">
        <f aca="false">J22*PrimaAnual</f>
        <v>898.063438787722</v>
      </c>
      <c r="L22" s="22" t="n">
        <f aca="false">K22*IF(B22=0,ComisionAnio1,ComisionRenov)</f>
        <v>44.9031719393861</v>
      </c>
      <c r="M22" s="22" t="n">
        <f aca="false">J22*IF(B22=0,CostoSuscripcion,0)</f>
        <v>0</v>
      </c>
      <c r="N22" s="22" t="n">
        <f aca="false">J22*CostoMant*(1+Inflacion+$E$6)^B22*$E$5</f>
        <v>41.4094382593312</v>
      </c>
      <c r="O22" s="22" t="n">
        <f aca="false">J22*H22*SumaAsegurada</f>
        <v>978.424974965406</v>
      </c>
      <c r="P22" s="22" t="n">
        <f aca="false">J22*H22*CostoSiniestro*(1+Inflacion+$E$6)^B22*$E$5</f>
        <v>1.7983595127324</v>
      </c>
      <c r="Q22" s="26" t="n">
        <f aca="false">INDEX(FD_Bloqueado,B22+1)</f>
        <v>0.490823534155882</v>
      </c>
      <c r="R22" s="26" t="n">
        <f aca="false">INDEX(FD_Bloqueado,B22+2)</f>
        <v>0.462151381448276</v>
      </c>
      <c r="S22" s="22" t="n">
        <f aca="false">(L22+M22+N22-K22)*Q22+(O22+P22)*R22</f>
        <v>54.5851576148859</v>
      </c>
      <c r="T22" s="29" t="n">
        <f aca="false">J22*SumaAsegurada</f>
        <v>75098.1256442587</v>
      </c>
    </row>
    <row r="23" customFormat="false" ht="15" hidden="false" customHeight="false" outlineLevel="0" collapsed="false">
      <c r="A23" s="16" t="n">
        <f aca="false">B23+1</f>
        <v>15</v>
      </c>
      <c r="B23" s="16" t="n">
        <f aca="false">ROW()-9</f>
        <v>14</v>
      </c>
      <c r="C23" s="16" t="n">
        <f aca="false">EdadEmision+B23</f>
        <v>59</v>
      </c>
      <c r="D23" s="16" t="n">
        <f aca="false">IF(B23&lt;Plazo,1,0)</f>
        <v>1</v>
      </c>
      <c r="E23" s="26" t="n">
        <f aca="false">IF(Sexo="M",INDEX(CSO_H,C23+1),INDEX(CSO_M,C23+1))</f>
        <v>0.01477</v>
      </c>
      <c r="F23" s="27" t="n">
        <f aca="false">IF(C23&lt;40,Fact_25_39,IF(C23&lt;50,Fact_40_49,Fact_50mas))</f>
        <v>0.95</v>
      </c>
      <c r="G23" s="28" t="n">
        <f aca="false">(1-Mejora)^B23</f>
        <v>0.868745812768978</v>
      </c>
      <c r="H23" s="26" t="n">
        <f aca="false">D23*MIN(E23*F23*G23*$E$3,1)</f>
        <v>0.0140182779026481</v>
      </c>
      <c r="I23" s="27" t="n">
        <f aca="false">D23*MIN(IF(B23=0,Cad_Anio1,IF(B23=1,Cad_Anio2,Cad_Anio3))*$E$4,1)</f>
        <v>0.04</v>
      </c>
      <c r="J23" s="26" t="n">
        <f aca="false">J22*(1-H22)*(1-I22)*D23</f>
        <v>0.474366084283477</v>
      </c>
      <c r="K23" s="22" t="n">
        <f aca="false">J23*PrimaAnual</f>
        <v>850.908394666015</v>
      </c>
      <c r="L23" s="22" t="n">
        <f aca="false">K23*IF(B23=0,ComisionAnio1,ComisionRenov)</f>
        <v>42.5454197333008</v>
      </c>
      <c r="M23" s="22" t="n">
        <f aca="false">J23*IF(B23=0,CostoSuscripcion,0)</f>
        <v>0</v>
      </c>
      <c r="N23" s="22" t="n">
        <f aca="false">J23*CostoMant*(1+Inflacion+$E$6)^B23*$E$5</f>
        <v>40.2160115190233</v>
      </c>
      <c r="O23" s="22" t="n">
        <f aca="false">J23*H23*SumaAsegurada</f>
        <v>997.469339561516</v>
      </c>
      <c r="P23" s="22" t="n">
        <f aca="false">J23*H23*CostoSiniestro*(1+Inflacion+$E$6)^B23*$E$5</f>
        <v>1.87919741869922</v>
      </c>
      <c r="Q23" s="26" t="n">
        <f aca="false">INDEX(FD_Bloqueado,B23+1)</f>
        <v>0.462151381448276</v>
      </c>
      <c r="R23" s="26" t="n">
        <f aca="false">INDEX(FD_Bloqueado,B23+2)</f>
        <v>0.434182199189579</v>
      </c>
      <c r="S23" s="22" t="n">
        <f aca="false">(L23+M23+N23-K23)*Q23+(O23+P23)*R23</f>
        <v>78.8991652460231</v>
      </c>
      <c r="T23" s="29" t="n">
        <f aca="false">J23*SumaAsegurada</f>
        <v>71154.9126425216</v>
      </c>
    </row>
    <row r="24" customFormat="false" ht="15" hidden="false" customHeight="false" outlineLevel="0" collapsed="false">
      <c r="A24" s="16" t="n">
        <f aca="false">B24+1</f>
        <v>16</v>
      </c>
      <c r="B24" s="16" t="n">
        <f aca="false">ROW()-9</f>
        <v>15</v>
      </c>
      <c r="C24" s="16" t="n">
        <f aca="false">EdadEmision+B24</f>
        <v>60</v>
      </c>
      <c r="D24" s="16" t="n">
        <f aca="false">IF(B24&lt;Plazo,1,0)</f>
        <v>1</v>
      </c>
      <c r="E24" s="26" t="n">
        <f aca="false">IF(Sexo="M",INDEX(CSO_H,C24+1),INDEX(CSO_M,C24+1))</f>
        <v>0.01608</v>
      </c>
      <c r="F24" s="27" t="n">
        <f aca="false">IF(C24&lt;40,Fact_25_39,IF(C24&lt;50,Fact_40_49,Fact_50mas))</f>
        <v>0.95</v>
      </c>
      <c r="G24" s="28" t="n">
        <f aca="false">(1-Mejora)^B24</f>
        <v>0.860058354641288</v>
      </c>
      <c r="H24" s="26" t="n">
        <f aca="false">D24*MIN(E24*F24*G24*$E$3,1)</f>
        <v>0.0151089891393254</v>
      </c>
      <c r="I24" s="27" t="n">
        <f aca="false">D24*MIN(IF(B24=0,Cad_Anio1,IF(B24=1,Cad_Anio2,Cad_Anio3))*$E$4,1)</f>
        <v>0.04</v>
      </c>
      <c r="J24" s="26" t="n">
        <f aca="false">J23*(1-H23)*(1-I23)*D24</f>
        <v>0.449007637138944</v>
      </c>
      <c r="K24" s="22" t="n">
        <f aca="false">J24*PrimaAnual</f>
        <v>805.420919347095</v>
      </c>
      <c r="L24" s="22" t="n">
        <f aca="false">K24*IF(B24=0,ComisionAnio1,ComisionRenov)</f>
        <v>40.2710459673548</v>
      </c>
      <c r="M24" s="22" t="n">
        <f aca="false">J24*IF(B24=0,CostoSuscripcion,0)</f>
        <v>0</v>
      </c>
      <c r="N24" s="22" t="n">
        <f aca="false">J24*CostoMant*(1+Inflacion+$E$6)^B24*$E$5</f>
        <v>39.0178162567189</v>
      </c>
      <c r="O24" s="22" t="n">
        <f aca="false">J24*H24*SumaAsegurada</f>
        <v>1017.60772695097</v>
      </c>
      <c r="P24" s="22" t="n">
        <f aca="false">J24*H24*CostoSiniestro*(1+Inflacion+$E$6)^B24*$E$5</f>
        <v>1.96506587354319</v>
      </c>
      <c r="Q24" s="26" t="n">
        <f aca="false">INDEX(FD_Bloqueado,B24+1)</f>
        <v>0.434182199189579</v>
      </c>
      <c r="R24" s="26" t="n">
        <f aca="false">INDEX(FD_Bloqueado,B24+2)</f>
        <v>0.40877989066849</v>
      </c>
      <c r="S24" s="22" t="n">
        <f aca="false">(L24+M24+N24-K24)*Q24+(O24+P24)*R24</f>
        <v>101.507241315644</v>
      </c>
      <c r="T24" s="29" t="n">
        <f aca="false">J24*SumaAsegurada</f>
        <v>67351.1455708416</v>
      </c>
    </row>
    <row r="25" customFormat="false" ht="15" hidden="false" customHeight="false" outlineLevel="0" collapsed="false">
      <c r="A25" s="16" t="n">
        <f aca="false">B25+1</f>
        <v>17</v>
      </c>
      <c r="B25" s="16" t="n">
        <f aca="false">ROW()-9</f>
        <v>16</v>
      </c>
      <c r="C25" s="16" t="n">
        <f aca="false">EdadEmision+B25</f>
        <v>61</v>
      </c>
      <c r="D25" s="16" t="n">
        <f aca="false">IF(B25&lt;Plazo,1,0)</f>
        <v>1</v>
      </c>
      <c r="E25" s="26" t="n">
        <f aca="false">IF(Sexo="M",INDEX(CSO_H,C25+1),INDEX(CSO_M,C25+1))</f>
        <v>0.01754</v>
      </c>
      <c r="F25" s="27" t="n">
        <f aca="false">IF(C25&lt;40,Fact_25_39,IF(C25&lt;50,Fact_40_49,Fact_50mas))</f>
        <v>0.95</v>
      </c>
      <c r="G25" s="28" t="n">
        <f aca="false">(1-Mejora)^B25</f>
        <v>0.851457771094876</v>
      </c>
      <c r="H25" s="26" t="n">
        <f aca="false">D25*MIN(E25*F25*G25*$E$3,1)</f>
        <v>0.016316016965717</v>
      </c>
      <c r="I25" s="27" t="n">
        <f aca="false">D25*MIN(IF(B25=0,Cad_Anio1,IF(B25=1,Cad_Anio2,Cad_Anio3))*$E$4,1)</f>
        <v>0.04</v>
      </c>
      <c r="J25" s="26" t="n">
        <f aca="false">J24*(1-H24)*(1-I24)*D25</f>
        <v>0.4245346422009</v>
      </c>
      <c r="K25" s="22" t="n">
        <f aca="false">J25*PrimaAnual</f>
        <v>761.521750487131</v>
      </c>
      <c r="L25" s="22" t="n">
        <f aca="false">K25*IF(B25=0,ComisionAnio1,ComisionRenov)</f>
        <v>38.0760875243565</v>
      </c>
      <c r="M25" s="22" t="n">
        <f aca="false">J25*IF(B25=0,CostoSuscripcion,0)</f>
        <v>0</v>
      </c>
      <c r="N25" s="22" t="n">
        <f aca="false">J25*CostoMant*(1+Inflacion+$E$6)^B25*$E$5</f>
        <v>37.8134437507414</v>
      </c>
      <c r="O25" s="22" t="n">
        <f aca="false">J25*H25*SumaAsegurada</f>
        <v>1039.00716370267</v>
      </c>
      <c r="P25" s="22" t="n">
        <f aca="false">J25*H25*CostoSiniestro*(1+Inflacion+$E$6)^B25*$E$5</f>
        <v>2.05654929923094</v>
      </c>
      <c r="Q25" s="26" t="n">
        <f aca="false">INDEX(FD_Bloqueado,B25+1)</f>
        <v>0.40877989066849</v>
      </c>
      <c r="R25" s="26" t="n">
        <f aca="false">INDEX(FD_Bloqueado,B25+2)</f>
        <v>0.384639547396534</v>
      </c>
      <c r="S25" s="22" t="n">
        <f aca="false">(L25+M25+N25-K25)*Q25+(O25+P25)*R25</f>
        <v>120.161611771719</v>
      </c>
      <c r="T25" s="29" t="n">
        <f aca="false">J25*SumaAsegurada</f>
        <v>63680.196330135</v>
      </c>
    </row>
    <row r="26" customFormat="false" ht="15" hidden="false" customHeight="false" outlineLevel="0" collapsed="false">
      <c r="A26" s="16" t="n">
        <f aca="false">B26+1</f>
        <v>18</v>
      </c>
      <c r="B26" s="16" t="n">
        <f aca="false">ROW()-9</f>
        <v>17</v>
      </c>
      <c r="C26" s="16" t="n">
        <f aca="false">EdadEmision+B26</f>
        <v>62</v>
      </c>
      <c r="D26" s="16" t="n">
        <f aca="false">IF(B26&lt;Plazo,1,0)</f>
        <v>1</v>
      </c>
      <c r="E26" s="26" t="n">
        <f aca="false">IF(Sexo="M",INDEX(CSO_H,C26+1),INDEX(CSO_M,C26+1))</f>
        <v>0.01919</v>
      </c>
      <c r="F26" s="27" t="n">
        <f aca="false">IF(C26&lt;40,Fact_25_39,IF(C26&lt;50,Fact_40_49,Fact_50mas))</f>
        <v>0.95</v>
      </c>
      <c r="G26" s="28" t="n">
        <f aca="false">(1-Mejora)^B26</f>
        <v>0.842943193383927</v>
      </c>
      <c r="H26" s="26" t="n">
        <f aca="false">D26*MIN(E26*F26*G26*$E$3,1)</f>
        <v>0.0176723672700335</v>
      </c>
      <c r="I26" s="27" t="n">
        <f aca="false">D26*MIN(IF(B26=0,Cad_Anio1,IF(B26=1,Cad_Anio2,Cad_Anio3))*$E$4,1)</f>
        <v>0.04</v>
      </c>
      <c r="J26" s="26" t="n">
        <f aca="false">J25*(1-H25)*(1-I25)*D26</f>
        <v>0.400903610665167</v>
      </c>
      <c r="K26" s="22" t="n">
        <f aca="false">J26*PrimaAnual</f>
        <v>719.132878738963</v>
      </c>
      <c r="L26" s="22" t="n">
        <f aca="false">K26*IF(B26=0,ComisionAnio1,ComisionRenov)</f>
        <v>35.9566439369482</v>
      </c>
      <c r="M26" s="22" t="n">
        <f aca="false">J26*IF(B26=0,CostoSuscripcion,0)</f>
        <v>0</v>
      </c>
      <c r="N26" s="22" t="n">
        <f aca="false">J26*CostoMant*(1+Inflacion+$E$6)^B26*$E$5</f>
        <v>36.6013352975966</v>
      </c>
      <c r="O26" s="22" t="n">
        <f aca="false">J26*H26*SumaAsegurada</f>
        <v>1062.7373771336</v>
      </c>
      <c r="P26" s="22" t="n">
        <f aca="false">J26*H26*CostoSiniestro*(1+Inflacion+$E$6)^B26*$E$5</f>
        <v>2.15610746650923</v>
      </c>
      <c r="Q26" s="26" t="n">
        <f aca="false">INDEX(FD_Bloqueado,B26+1)</f>
        <v>0.384639547396534</v>
      </c>
      <c r="R26" s="26" t="n">
        <f aca="false">INDEX(FD_Bloqueado,B26+2)</f>
        <v>0.36171398874759</v>
      </c>
      <c r="S26" s="22" t="n">
        <f aca="false">(L26+M26+N26-K26)*Q26+(O26+P26)*R26</f>
        <v>136.488593202688</v>
      </c>
      <c r="T26" s="29" t="n">
        <f aca="false">J26*SumaAsegurada</f>
        <v>60135.5415997751</v>
      </c>
    </row>
    <row r="27" customFormat="false" ht="15" hidden="false" customHeight="false" outlineLevel="0" collapsed="false">
      <c r="A27" s="16" t="n">
        <f aca="false">B27+1</f>
        <v>19</v>
      </c>
      <c r="B27" s="16" t="n">
        <f aca="false">ROW()-9</f>
        <v>18</v>
      </c>
      <c r="C27" s="16" t="n">
        <f aca="false">EdadEmision+B27</f>
        <v>63</v>
      </c>
      <c r="D27" s="16" t="n">
        <f aca="false">IF(B27&lt;Plazo,1,0)</f>
        <v>1</v>
      </c>
      <c r="E27" s="26" t="n">
        <f aca="false">IF(Sexo="M",INDEX(CSO_H,C27+1),INDEX(CSO_M,C27+1))</f>
        <v>0.02106</v>
      </c>
      <c r="F27" s="27" t="n">
        <f aca="false">IF(C27&lt;40,Fact_25_39,IF(C27&lt;50,Fact_40_49,Fact_50mas))</f>
        <v>0.95</v>
      </c>
      <c r="G27" s="28" t="n">
        <f aca="false">(1-Mejora)^B27</f>
        <v>0.834513761450088</v>
      </c>
      <c r="H27" s="26" t="n">
        <f aca="false">D27*MIN(E27*F27*G27*$E$3,1)</f>
        <v>0.0192005343491317</v>
      </c>
      <c r="I27" s="27" t="n">
        <f aca="false">D27*MIN(IF(B27=0,Cad_Anio1,IF(B27=1,Cad_Anio2,Cad_Anio3))*$E$4,1)</f>
        <v>0.04</v>
      </c>
      <c r="J27" s="26" t="n">
        <f aca="false">J26*(1-H26)*(1-I26)*D27</f>
        <v>0.378065947024905</v>
      </c>
      <c r="K27" s="22" t="n">
        <f aca="false">J27*PrimaAnual</f>
        <v>678.167134454335</v>
      </c>
      <c r="L27" s="22" t="n">
        <f aca="false">K27*IF(B27=0,ComisionAnio1,ComisionRenov)</f>
        <v>33.9083567227167</v>
      </c>
      <c r="M27" s="22" t="n">
        <f aca="false">J27*IF(B27=0,CostoSuscripcion,0)</f>
        <v>0</v>
      </c>
      <c r="N27" s="22" t="n">
        <f aca="false">J27*CostoMant*(1+Inflacion+$E$6)^B27*$E$5</f>
        <v>35.3792310087215</v>
      </c>
      <c r="O27" s="22" t="n">
        <f aca="false">J27*H27*SumaAsegurada</f>
        <v>1088.8602303133</v>
      </c>
      <c r="P27" s="22" t="n">
        <f aca="false">J27*H27*CostoSiniestro*(1+Inflacion+$E$6)^B27*$E$5</f>
        <v>2.26433380076274</v>
      </c>
      <c r="Q27" s="26" t="n">
        <f aca="false">INDEX(FD_Bloqueado,B27+1)</f>
        <v>0.36171398874759</v>
      </c>
      <c r="R27" s="26" t="n">
        <f aca="false">INDEX(FD_Bloqueado,B27+2)</f>
        <v>0.340585196621635</v>
      </c>
      <c r="S27" s="22" t="n">
        <f aca="false">(L27+M27+N27-K27)*Q27+(O27+P27)*R27</f>
        <v>151.380624695522</v>
      </c>
      <c r="T27" s="29" t="n">
        <f aca="false">J27*SumaAsegurada</f>
        <v>56709.8920537358</v>
      </c>
    </row>
    <row r="28" customFormat="false" ht="15" hidden="false" customHeight="false" outlineLevel="0" collapsed="false">
      <c r="A28" s="16" t="n">
        <f aca="false">B28+1</f>
        <v>20</v>
      </c>
      <c r="B28" s="16" t="n">
        <f aca="false">ROW()-9</f>
        <v>19</v>
      </c>
      <c r="C28" s="16" t="n">
        <f aca="false">EdadEmision+B28</f>
        <v>64</v>
      </c>
      <c r="D28" s="16" t="n">
        <f aca="false">IF(B28&lt;Plazo,1,0)</f>
        <v>1</v>
      </c>
      <c r="E28" s="26" t="n">
        <f aca="false">IF(Sexo="M",INDEX(CSO_H,C28+1),INDEX(CSO_M,C28+1))</f>
        <v>0.02314</v>
      </c>
      <c r="F28" s="27" t="n">
        <f aca="false">IF(C28&lt;40,Fact_25_39,IF(C28&lt;50,Fact_40_49,Fact_50mas))</f>
        <v>0.95</v>
      </c>
      <c r="G28" s="28" t="n">
        <f aca="false">(1-Mejora)^B28</f>
        <v>0.826168623835587</v>
      </c>
      <c r="H28" s="26" t="n">
        <f aca="false">D28*MIN(E28*F28*G28*$E$3,1)</f>
        <v>0.0208859145864444</v>
      </c>
      <c r="I28" s="27" t="n">
        <f aca="false">D28*MIN(IF(B28=0,Cad_Anio1,IF(B28=1,Cad_Anio2,Cad_Anio3))*$E$4,1)</f>
        <v>0.04</v>
      </c>
      <c r="J28" s="26" t="n">
        <f aca="false">J27*(1-H27)*(1-I27)*D28</f>
        <v>0.355974603669904</v>
      </c>
      <c r="K28" s="22" t="n">
        <f aca="false">J28*PrimaAnual</f>
        <v>638.540124571</v>
      </c>
      <c r="L28" s="22" t="n">
        <f aca="false">K28*IF(B28=0,ComisionAnio1,ComisionRenov)</f>
        <v>31.92700622855</v>
      </c>
      <c r="M28" s="22" t="n">
        <f aca="false">J28*IF(B28=0,CostoSuscripcion,0)</f>
        <v>0</v>
      </c>
      <c r="N28" s="22" t="n">
        <f aca="false">J28*CostoMant*(1+Inflacion+$E$6)^B28*$E$5</f>
        <v>34.1447319745968</v>
      </c>
      <c r="O28" s="22" t="n">
        <f aca="false">J28*H28*SumaAsegurada</f>
        <v>1115.22827507895</v>
      </c>
      <c r="P28" s="22" t="n">
        <f aca="false">J28*H28*CostoSiniestro*(1+Inflacion+$E$6)^B28*$E$5</f>
        <v>2.37714651866155</v>
      </c>
      <c r="Q28" s="26" t="n">
        <f aca="false">INDEX(FD_Bloqueado,B28+1)</f>
        <v>0.340585196621635</v>
      </c>
      <c r="R28" s="26" t="n">
        <f aca="false">INDEX(FD_Bloqueado,B28+2)</f>
        <v>0.321189823536907</v>
      </c>
      <c r="S28" s="22" t="n">
        <f aca="false">(L28+M28+N28-K28)*Q28+(O28+P28)*R28</f>
        <v>163.989230216061</v>
      </c>
      <c r="T28" s="29" t="n">
        <f aca="false">J28*SumaAsegurada</f>
        <v>53396.1905504856</v>
      </c>
    </row>
    <row r="29" customFormat="false" ht="15" hidden="false" customHeight="false" outlineLevel="0" collapsed="false">
      <c r="A29" s="30" t="s">
        <v>117</v>
      </c>
      <c r="K29" s="24" t="n">
        <f aca="false">SUM(K9:K28)</f>
        <v>22302.2726975776</v>
      </c>
      <c r="L29" s="24" t="n">
        <f aca="false">SUM(L9:L28)</f>
        <v>1922.31463487888</v>
      </c>
      <c r="M29" s="24" t="n">
        <f aca="false">SUM(M9:M28)</f>
        <v>150</v>
      </c>
      <c r="N29" s="24" t="n">
        <f aca="false">SUM(N9:N28)</f>
        <v>913.465483117711</v>
      </c>
      <c r="O29" s="24" t="n">
        <f aca="false">SUM(O9:O28)</f>
        <v>17184.9106992794</v>
      </c>
      <c r="P29" s="24" t="n">
        <f aca="false">SUM(P9:P28)</f>
        <v>30.1051460566874</v>
      </c>
      <c r="S29" s="24" t="n">
        <f aca="false">SUM(S9:S28)</f>
        <v>-3501.87869330096</v>
      </c>
      <c r="T29" s="31" t="n">
        <f aca="false">SUM(T9:T28)</f>
        <v>1864967.22264528</v>
      </c>
    </row>
  </sheetData>
  <mergeCells count="8">
    <mergeCell ref="A3:D3"/>
    <mergeCell ref="G3:K3"/>
    <mergeCell ref="A4:D4"/>
    <mergeCell ref="G4:K4"/>
    <mergeCell ref="A5:D5"/>
    <mergeCell ref="G5:K5"/>
    <mergeCell ref="A6:D6"/>
    <mergeCell ref="G6:K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3" min="3" style="0" width="6"/>
    <col collapsed="false" customWidth="true" hidden="false" outlineLevel="0" max="5" min="4" style="0" width="10"/>
    <col collapsed="false" customWidth="true" hidden="false" outlineLevel="0" max="6" min="6" style="0" width="9"/>
    <col collapsed="false" customWidth="true" hidden="false" outlineLevel="0" max="7" min="7" style="0" width="8"/>
    <col collapsed="false" customWidth="true" hidden="false" outlineLevel="0" max="8" min="8" style="0" width="11"/>
    <col collapsed="false" customWidth="true" hidden="false" outlineLevel="0" max="9" min="9" style="0" width="10"/>
    <col collapsed="false" customWidth="true" hidden="false" outlineLevel="0" max="13" min="10" style="0" width="11"/>
    <col collapsed="false" customWidth="true" hidden="false" outlineLevel="0" max="14" min="14" style="0" width="13"/>
    <col collapsed="false" customWidth="true" hidden="false" outlineLevel="0" max="15" min="15" style="0" width="11"/>
    <col collapsed="false" customWidth="true" hidden="false" outlineLevel="0" max="16" min="16" style="0" width="12"/>
    <col collapsed="false" customWidth="true" hidden="false" outlineLevel="0" max="18" min="17" style="0" width="10"/>
    <col collapsed="false" customWidth="true" hidden="false" outlineLevel="0" max="19" min="19" style="0" width="14"/>
    <col collapsed="false" customWidth="true" hidden="false" outlineLevel="0" max="20" min="20" style="0" width="16"/>
  </cols>
  <sheetData>
    <row r="1" customFormat="false" ht="16.15" hidden="false" customHeight="false" outlineLevel="0" collapsed="false">
      <c r="A1" s="1" t="s">
        <v>119</v>
      </c>
    </row>
    <row r="2" customFormat="false" ht="15" hidden="false" customHeight="false" outlineLevel="0" collapsed="false">
      <c r="A2" s="2" t="s">
        <v>89</v>
      </c>
    </row>
    <row r="3" customFormat="false" ht="15" hidden="false" customHeight="false" outlineLevel="0" collapsed="false">
      <c r="A3" s="20" t="s">
        <v>90</v>
      </c>
      <c r="B3" s="20"/>
      <c r="C3" s="20"/>
      <c r="D3" s="20"/>
      <c r="E3" s="21" t="n">
        <v>1</v>
      </c>
      <c r="G3" s="20" t="s">
        <v>91</v>
      </c>
      <c r="H3" s="20"/>
      <c r="I3" s="20"/>
      <c r="J3" s="20"/>
      <c r="K3" s="20"/>
      <c r="L3" s="22" t="n">
        <f aca="false">SUMPRODUCT(K9:K28,Q9:Q28)</f>
        <v>13305.6576087346</v>
      </c>
    </row>
    <row r="4" customFormat="false" ht="15" hidden="false" customHeight="false" outlineLevel="0" collapsed="false">
      <c r="A4" s="20" t="s">
        <v>92</v>
      </c>
      <c r="B4" s="20"/>
      <c r="C4" s="20"/>
      <c r="D4" s="20"/>
      <c r="E4" s="32" t="n">
        <f aca="false">1+ChoqueCad</f>
        <v>1.5</v>
      </c>
      <c r="G4" s="20" t="s">
        <v>93</v>
      </c>
      <c r="H4" s="20"/>
      <c r="I4" s="20"/>
      <c r="J4" s="20"/>
      <c r="K4" s="20"/>
      <c r="L4" s="22" t="n">
        <f aca="false">SUMPRODUCT(L9:L28+M9:M28+N9:N28,Q9:Q28)+SUMPRODUCT(O9:O28+P9:P28,R9:R28)</f>
        <v>8948.36731763031</v>
      </c>
    </row>
    <row r="5" customFormat="false" ht="15" hidden="false" customHeight="false" outlineLevel="0" collapsed="false">
      <c r="A5" s="20" t="s">
        <v>94</v>
      </c>
      <c r="B5" s="20"/>
      <c r="C5" s="20"/>
      <c r="D5" s="20"/>
      <c r="E5" s="21" t="n">
        <v>1</v>
      </c>
      <c r="G5" s="23" t="s">
        <v>95</v>
      </c>
      <c r="H5" s="23"/>
      <c r="I5" s="23"/>
      <c r="J5" s="23"/>
      <c r="K5" s="23"/>
      <c r="L5" s="24" t="n">
        <f aca="false">L4-L3</f>
        <v>-4357.29029110429</v>
      </c>
    </row>
    <row r="6" customFormat="false" ht="15" hidden="false" customHeight="false" outlineLevel="0" collapsed="false">
      <c r="A6" s="20" t="s">
        <v>96</v>
      </c>
      <c r="B6" s="20"/>
      <c r="C6" s="20"/>
      <c r="D6" s="20"/>
      <c r="E6" s="25" t="n">
        <v>0</v>
      </c>
      <c r="G6" s="20" t="s">
        <v>97</v>
      </c>
      <c r="H6" s="20"/>
      <c r="I6" s="20"/>
      <c r="J6" s="20"/>
      <c r="K6" s="20"/>
      <c r="L6" s="22" t="n">
        <f aca="false">ROUND(SUM(S9:S28)-L5,6)</f>
        <v>0</v>
      </c>
    </row>
    <row r="8" customFormat="false" ht="42" hidden="false" customHeight="true" outlineLevel="0" collapsed="false">
      <c r="A8" s="5" t="s">
        <v>98</v>
      </c>
      <c r="B8" s="5" t="s">
        <v>99</v>
      </c>
      <c r="C8" s="5" t="s">
        <v>80</v>
      </c>
      <c r="D8" s="5" t="s">
        <v>100</v>
      </c>
      <c r="E8" s="5" t="s">
        <v>101</v>
      </c>
      <c r="F8" s="5" t="s">
        <v>102</v>
      </c>
      <c r="G8" s="5" t="s">
        <v>103</v>
      </c>
      <c r="H8" s="5" t="s">
        <v>104</v>
      </c>
      <c r="I8" s="5" t="s">
        <v>105</v>
      </c>
      <c r="J8" s="5" t="s">
        <v>106</v>
      </c>
      <c r="K8" s="5" t="s">
        <v>107</v>
      </c>
      <c r="L8" s="5" t="s">
        <v>108</v>
      </c>
      <c r="M8" s="5" t="s">
        <v>109</v>
      </c>
      <c r="N8" s="5" t="s">
        <v>110</v>
      </c>
      <c r="O8" s="5" t="s">
        <v>111</v>
      </c>
      <c r="P8" s="5" t="s">
        <v>112</v>
      </c>
      <c r="Q8" s="5" t="s">
        <v>113</v>
      </c>
      <c r="R8" s="5" t="s">
        <v>114</v>
      </c>
      <c r="S8" s="5" t="s">
        <v>115</v>
      </c>
      <c r="T8" s="5" t="s">
        <v>116</v>
      </c>
    </row>
    <row r="9" customFormat="false" ht="15" hidden="false" customHeight="false" outlineLevel="0" collapsed="false">
      <c r="A9" s="16" t="n">
        <f aca="false">B9+1</f>
        <v>1</v>
      </c>
      <c r="B9" s="16" t="n">
        <f aca="false">ROW()-9</f>
        <v>0</v>
      </c>
      <c r="C9" s="16" t="n">
        <f aca="false">EdadEmision+B9</f>
        <v>45</v>
      </c>
      <c r="D9" s="16" t="n">
        <f aca="false">IF(B9&lt;Plazo,1,0)</f>
        <v>1</v>
      </c>
      <c r="E9" s="26" t="n">
        <f aca="false">IF(Sexo="M",INDEX(CSO_H,C9+1),INDEX(CSO_M,C9+1))</f>
        <v>0.00455</v>
      </c>
      <c r="F9" s="27" t="n">
        <f aca="false">IF(C9&lt;40,Fact_25_39,IF(C9&lt;50,Fact_40_49,Fact_50mas))</f>
        <v>0.75</v>
      </c>
      <c r="G9" s="28" t="n">
        <f aca="false">(1-Mejora)^B9</f>
        <v>1</v>
      </c>
      <c r="H9" s="26" t="n">
        <f aca="false">D9*MIN(E9*F9*G9*$E$3,1)</f>
        <v>0.0034125</v>
      </c>
      <c r="I9" s="27" t="n">
        <f aca="false">D9*MIN(IF(B9=0,Cad_Anio1,IF(B9=1,Cad_Anio2,Cad_Anio3))*$E$4,1)</f>
        <v>0.12</v>
      </c>
      <c r="J9" s="26" t="n">
        <f aca="false">D9</f>
        <v>1</v>
      </c>
      <c r="K9" s="22" t="n">
        <f aca="false">J9*PrimaAnual</f>
        <v>1793.78</v>
      </c>
      <c r="L9" s="22" t="n">
        <f aca="false">K9*IF(B9=0,ComisionAnio1,ComisionRenov)</f>
        <v>896.89</v>
      </c>
      <c r="M9" s="22" t="n">
        <f aca="false">J9*IF(B9=0,CostoSuscripcion,0)</f>
        <v>150</v>
      </c>
      <c r="N9" s="22" t="n">
        <f aca="false">J9*CostoMant*(1+Inflacion+$E$6)^B9*$E$5</f>
        <v>60</v>
      </c>
      <c r="O9" s="22" t="n">
        <f aca="false">J9*H9*SumaAsegurada</f>
        <v>511.875</v>
      </c>
      <c r="P9" s="22" t="n">
        <f aca="false">J9*H9*CostoSiniestro*(1+Inflacion+$E$6)^B9*$E$5</f>
        <v>0.6825</v>
      </c>
      <c r="Q9" s="26" t="n">
        <f aca="false">INDEX(FD_Bloqueado,B9+1)</f>
        <v>1</v>
      </c>
      <c r="R9" s="26" t="n">
        <f aca="false">INDEX(FD_Bloqueado,B9+2)</f>
        <v>0.955633106084657</v>
      </c>
      <c r="S9" s="22" t="n">
        <f aca="false">(L9+M9+N9-K9)*Q9+(O9+P9)*R9</f>
        <v>-197.073084228014</v>
      </c>
      <c r="T9" s="29" t="n">
        <f aca="false">J9*SumaAsegurada</f>
        <v>150000</v>
      </c>
    </row>
    <row r="10" customFormat="false" ht="15" hidden="false" customHeight="false" outlineLevel="0" collapsed="false">
      <c r="A10" s="16" t="n">
        <f aca="false">B10+1</f>
        <v>2</v>
      </c>
      <c r="B10" s="16" t="n">
        <f aca="false">ROW()-9</f>
        <v>1</v>
      </c>
      <c r="C10" s="16" t="n">
        <f aca="false">EdadEmision+B10</f>
        <v>46</v>
      </c>
      <c r="D10" s="16" t="n">
        <f aca="false">IF(B10&lt;Plazo,1,0)</f>
        <v>1</v>
      </c>
      <c r="E10" s="26" t="n">
        <f aca="false">IF(Sexo="M",INDEX(CSO_H,C10+1),INDEX(CSO_M,C10+1))</f>
        <v>0.00492</v>
      </c>
      <c r="F10" s="27" t="n">
        <f aca="false">IF(C10&lt;40,Fact_25_39,IF(C10&lt;50,Fact_40_49,Fact_50mas))</f>
        <v>0.75</v>
      </c>
      <c r="G10" s="28" t="n">
        <f aca="false">(1-Mejora)^B10</f>
        <v>0.99</v>
      </c>
      <c r="H10" s="26" t="n">
        <f aca="false">D10*MIN(E10*F10*G10*$E$3,1)</f>
        <v>0.0036531</v>
      </c>
      <c r="I10" s="27" t="n">
        <f aca="false">D10*MIN(IF(B10=0,Cad_Anio1,IF(B10=1,Cad_Anio2,Cad_Anio3))*$E$4,1)</f>
        <v>0.09</v>
      </c>
      <c r="J10" s="26" t="n">
        <f aca="false">J9*(1-H9)*(1-I9)*D10</f>
        <v>0.876997</v>
      </c>
      <c r="K10" s="22" t="n">
        <f aca="false">J10*PrimaAnual</f>
        <v>1573.13967866</v>
      </c>
      <c r="L10" s="22" t="n">
        <f aca="false">K10*IF(B10=0,ComisionAnio1,ComisionRenov)</f>
        <v>78.656983933</v>
      </c>
      <c r="M10" s="22" t="n">
        <f aca="false">J10*IF(B10=0,CostoSuscripcion,0)</f>
        <v>0</v>
      </c>
      <c r="N10" s="22" t="n">
        <f aca="false">J10*CostoMant*(1+Inflacion+$E$6)^B10*$E$5</f>
        <v>53.9353155</v>
      </c>
      <c r="O10" s="22" t="n">
        <f aca="false">J10*H10*SumaAsegurada</f>
        <v>480.563661105</v>
      </c>
      <c r="P10" s="22" t="n">
        <f aca="false">J10*H10*CostoSiniestro*(1+Inflacion+$E$6)^B10*$E$5</f>
        <v>0.6567703368435</v>
      </c>
      <c r="Q10" s="26" t="n">
        <f aca="false">INDEX(FD_Bloqueado,B10+1)</f>
        <v>0.955633106084657</v>
      </c>
      <c r="R10" s="26" t="n">
        <f aca="false">INDEX(FD_Bloqueado,B10+2)</f>
        <v>0.912164123097817</v>
      </c>
      <c r="S10" s="22" t="n">
        <f aca="false">(L10+M10+N10-K10)*Q10+(O10+P10)*R10</f>
        <v>-937.682753609908</v>
      </c>
      <c r="T10" s="29" t="n">
        <f aca="false">J10*SumaAsegurada</f>
        <v>131549.55</v>
      </c>
    </row>
    <row r="11" customFormat="false" ht="15" hidden="false" customHeight="false" outlineLevel="0" collapsed="false">
      <c r="A11" s="16" t="n">
        <f aca="false">B11+1</f>
        <v>3</v>
      </c>
      <c r="B11" s="16" t="n">
        <f aca="false">ROW()-9</f>
        <v>2</v>
      </c>
      <c r="C11" s="16" t="n">
        <f aca="false">EdadEmision+B11</f>
        <v>47</v>
      </c>
      <c r="D11" s="16" t="n">
        <f aca="false">IF(B11&lt;Plazo,1,0)</f>
        <v>1</v>
      </c>
      <c r="E11" s="26" t="n">
        <f aca="false">IF(Sexo="M",INDEX(CSO_H,C11+1),INDEX(CSO_M,C11+1))</f>
        <v>0.00532</v>
      </c>
      <c r="F11" s="27" t="n">
        <f aca="false">IF(C11&lt;40,Fact_25_39,IF(C11&lt;50,Fact_40_49,Fact_50mas))</f>
        <v>0.75</v>
      </c>
      <c r="G11" s="28" t="n">
        <f aca="false">(1-Mejora)^B11</f>
        <v>0.9801</v>
      </c>
      <c r="H11" s="26" t="n">
        <f aca="false">D11*MIN(E11*F11*G11*$E$3,1)</f>
        <v>0.003910599</v>
      </c>
      <c r="I11" s="27" t="n">
        <f aca="false">D11*MIN(IF(B11=0,Cad_Anio1,IF(B11=1,Cad_Anio2,Cad_Anio3))*$E$4,1)</f>
        <v>0.06</v>
      </c>
      <c r="J11" s="26" t="n">
        <f aca="false">J10*(1-H10)*(1-I10)*D11</f>
        <v>0.795151850455963</v>
      </c>
      <c r="K11" s="22" t="n">
        <f aca="false">J11*PrimaAnual</f>
        <v>1426.3274863109</v>
      </c>
      <c r="L11" s="22" t="n">
        <f aca="false">K11*IF(B11=0,ComisionAnio1,ComisionRenov)</f>
        <v>71.3163743155449</v>
      </c>
      <c r="M11" s="22" t="n">
        <f aca="false">J11*IF(B11=0,CostoSuscripcion,0)</f>
        <v>0</v>
      </c>
      <c r="N11" s="22" t="n">
        <f aca="false">J11*CostoMant*(1+Inflacion+$E$6)^B11*$E$5</f>
        <v>50.1243847731178</v>
      </c>
      <c r="O11" s="22" t="n">
        <f aca="false">J11*H11*SumaAsegurada</f>
        <v>466.428004686186</v>
      </c>
      <c r="P11" s="22" t="n">
        <f aca="false">J11*H11*CostoSiniestro*(1+Inflacion+$E$6)^B11*$E$5</f>
        <v>0.653387896564565</v>
      </c>
      <c r="Q11" s="26" t="n">
        <f aca="false">INDEX(FD_Bloqueado,B11+1)</f>
        <v>0.912164123097817</v>
      </c>
      <c r="R11" s="26" t="n">
        <f aca="false">INDEX(FD_Bloqueado,B11+2)</f>
        <v>0.869142637040769</v>
      </c>
      <c r="S11" s="22" t="n">
        <f aca="false">(L11+M11+N11-K11)*Q11+(O11+P11)*R11</f>
        <v>-784.310504016603</v>
      </c>
      <c r="T11" s="29" t="n">
        <f aca="false">J11*SumaAsegurada</f>
        <v>119272.777568394</v>
      </c>
    </row>
    <row r="12" customFormat="false" ht="15" hidden="false" customHeight="false" outlineLevel="0" collapsed="false">
      <c r="A12" s="16" t="n">
        <f aca="false">B12+1</f>
        <v>4</v>
      </c>
      <c r="B12" s="16" t="n">
        <f aca="false">ROW()-9</f>
        <v>3</v>
      </c>
      <c r="C12" s="16" t="n">
        <f aca="false">EdadEmision+B12</f>
        <v>48</v>
      </c>
      <c r="D12" s="16" t="n">
        <f aca="false">IF(B12&lt;Plazo,1,0)</f>
        <v>1</v>
      </c>
      <c r="E12" s="26" t="n">
        <f aca="false">IF(Sexo="M",INDEX(CSO_H,C12+1),INDEX(CSO_M,C12+1))</f>
        <v>0.00574</v>
      </c>
      <c r="F12" s="27" t="n">
        <f aca="false">IF(C12&lt;40,Fact_25_39,IF(C12&lt;50,Fact_40_49,Fact_50mas))</f>
        <v>0.75</v>
      </c>
      <c r="G12" s="28" t="n">
        <f aca="false">(1-Mejora)^B12</f>
        <v>0.970299</v>
      </c>
      <c r="H12" s="26" t="n">
        <f aca="false">D12*MIN(E12*F12*G12*$E$3,1)</f>
        <v>0.004177137195</v>
      </c>
      <c r="I12" s="27" t="n">
        <f aca="false">D12*MIN(IF(B12=0,Cad_Anio1,IF(B12=1,Cad_Anio2,Cad_Anio3))*$E$4,1)</f>
        <v>0.06</v>
      </c>
      <c r="J12" s="26" t="n">
        <f aca="false">J11*(1-H11)*(1-I11)*D12</f>
        <v>0.744519790599239</v>
      </c>
      <c r="K12" s="22" t="n">
        <f aca="false">J12*PrimaAnual</f>
        <v>1335.5047099811</v>
      </c>
      <c r="L12" s="22" t="n">
        <f aca="false">K12*IF(B12=0,ComisionAnio1,ComisionRenov)</f>
        <v>66.7752354990551</v>
      </c>
      <c r="M12" s="22" t="n">
        <f aca="false">J12*IF(B12=0,CostoSuscripcion,0)</f>
        <v>0</v>
      </c>
      <c r="N12" s="22" t="n">
        <f aca="false">J12*CostoMant*(1+Inflacion+$E$6)^B12*$E$5</f>
        <v>48.105982957397</v>
      </c>
      <c r="O12" s="22" t="n">
        <f aca="false">J12*H12*SumaAsegurada</f>
        <v>466.494196458854</v>
      </c>
      <c r="P12" s="22" t="n">
        <f aca="false">J12*H12*CostoSiniestro*(1+Inflacion+$E$6)^B12*$E$5</f>
        <v>0.669817635711263</v>
      </c>
      <c r="Q12" s="26" t="n">
        <f aca="false">INDEX(FD_Bloqueado,B12+1)</f>
        <v>0.869142637040769</v>
      </c>
      <c r="R12" s="26" t="n">
        <f aca="false">INDEX(FD_Bloqueado,B12+2)</f>
        <v>0.826857566112177</v>
      </c>
      <c r="S12" s="22" t="n">
        <f aca="false">(L12+M12+N12-K12)*Q12+(O12+P12)*R12</f>
        <v>-674.617820588218</v>
      </c>
      <c r="T12" s="29" t="n">
        <f aca="false">J12*SumaAsegurada</f>
        <v>111677.968589886</v>
      </c>
    </row>
    <row r="13" customFormat="false" ht="15" hidden="false" customHeight="false" outlineLevel="0" collapsed="false">
      <c r="A13" s="16" t="n">
        <f aca="false">B13+1</f>
        <v>5</v>
      </c>
      <c r="B13" s="16" t="n">
        <f aca="false">ROW()-9</f>
        <v>4</v>
      </c>
      <c r="C13" s="16" t="n">
        <f aca="false">EdadEmision+B13</f>
        <v>49</v>
      </c>
      <c r="D13" s="16" t="n">
        <f aca="false">IF(B13&lt;Plazo,1,0)</f>
        <v>1</v>
      </c>
      <c r="E13" s="26" t="n">
        <f aca="false">IF(Sexo="M",INDEX(CSO_H,C13+1),INDEX(CSO_M,C13+1))</f>
        <v>0.00621</v>
      </c>
      <c r="F13" s="27" t="n">
        <f aca="false">IF(C13&lt;40,Fact_25_39,IF(C13&lt;50,Fact_40_49,Fact_50mas))</f>
        <v>0.75</v>
      </c>
      <c r="G13" s="28" t="n">
        <f aca="false">(1-Mejora)^B13</f>
        <v>0.96059601</v>
      </c>
      <c r="H13" s="26" t="n">
        <f aca="false">D13*MIN(E13*F13*G13*$E$3,1)</f>
        <v>0.004473975916575</v>
      </c>
      <c r="I13" s="27" t="n">
        <f aca="false">D13*MIN(IF(B13=0,Cad_Anio1,IF(B13=1,Cad_Anio2,Cad_Anio3))*$E$4,1)</f>
        <v>0.06</v>
      </c>
      <c r="J13" s="26" t="n">
        <f aca="false">J12*(1-H12)*(1-I12)*D13</f>
        <v>0.696925239532142</v>
      </c>
      <c r="K13" s="22" t="n">
        <f aca="false">J13*PrimaAnual</f>
        <v>1250.13055616797</v>
      </c>
      <c r="L13" s="22" t="n">
        <f aca="false">K13*IF(B13=0,ComisionAnio1,ComisionRenov)</f>
        <v>62.5065278083983</v>
      </c>
      <c r="M13" s="22" t="n">
        <f aca="false">J13*IF(B13=0,CostoSuscripcion,0)</f>
        <v>0</v>
      </c>
      <c r="N13" s="22" t="n">
        <f aca="false">J13*CostoMant*(1+Inflacion+$E$6)^B13*$E$5</f>
        <v>46.1565037918496</v>
      </c>
      <c r="O13" s="22" t="n">
        <f aca="false">J13*H13*SumaAsegurada</f>
        <v>467.70401059801</v>
      </c>
      <c r="P13" s="22" t="n">
        <f aca="false">J13*H13*CostoSiniestro*(1+Inflacion+$E$6)^B13*$E$5</f>
        <v>0.68834362119346</v>
      </c>
      <c r="Q13" s="26" t="n">
        <f aca="false">INDEX(FD_Bloqueado,B13+1)</f>
        <v>0.826857566112177</v>
      </c>
      <c r="R13" s="26" t="n">
        <f aca="false">INDEX(FD_Bloqueado,B13+2)</f>
        <v>0.785019369510734</v>
      </c>
      <c r="S13" s="22" t="n">
        <f aca="false">(L13+M13+N13-K13)*Q13+(O13+P13)*R13</f>
        <v>-576.133988567348</v>
      </c>
      <c r="T13" s="29" t="n">
        <f aca="false">J13*SumaAsegurada</f>
        <v>104538.785929821</v>
      </c>
    </row>
    <row r="14" customFormat="false" ht="15" hidden="false" customHeight="false" outlineLevel="0" collapsed="false">
      <c r="A14" s="16" t="n">
        <f aca="false">B14+1</f>
        <v>6</v>
      </c>
      <c r="B14" s="16" t="n">
        <f aca="false">ROW()-9</f>
        <v>5</v>
      </c>
      <c r="C14" s="16" t="n">
        <f aca="false">EdadEmision+B14</f>
        <v>50</v>
      </c>
      <c r="D14" s="16" t="n">
        <f aca="false">IF(B14&lt;Plazo,1,0)</f>
        <v>1</v>
      </c>
      <c r="E14" s="26" t="n">
        <f aca="false">IF(Sexo="M",INDEX(CSO_H,C14+1),INDEX(CSO_M,C14+1))</f>
        <v>0.00671</v>
      </c>
      <c r="F14" s="27" t="n">
        <f aca="false">IF(C14&lt;40,Fact_25_39,IF(C14&lt;50,Fact_40_49,Fact_50mas))</f>
        <v>0.95</v>
      </c>
      <c r="G14" s="28" t="n">
        <f aca="false">(1-Mejora)^B14</f>
        <v>0.9509900499</v>
      </c>
      <c r="H14" s="26" t="n">
        <f aca="false">D14*MIN(E14*F14*G14*$E$3,1)</f>
        <v>0.00606208607308755</v>
      </c>
      <c r="I14" s="27" t="n">
        <f aca="false">D14*MIN(IF(B14=0,Cad_Anio1,IF(B14=1,Cad_Anio2,Cad_Anio3))*$E$4,1)</f>
        <v>0.06</v>
      </c>
      <c r="J14" s="26" t="n">
        <f aca="false">J13*(1-H13)*(1-I13)*D14</f>
        <v>0.652178780027133</v>
      </c>
      <c r="K14" s="22" t="n">
        <f aca="false">J14*PrimaAnual</f>
        <v>1169.86525203707</v>
      </c>
      <c r="L14" s="22" t="n">
        <f aca="false">K14*IF(B14=0,ComisionAnio1,ComisionRenov)</f>
        <v>58.4932626018535</v>
      </c>
      <c r="M14" s="22" t="n">
        <f aca="false">J14*IF(B14=0,CostoSuscripcion,0)</f>
        <v>0</v>
      </c>
      <c r="N14" s="22" t="n">
        <f aca="false">J14*CostoMant*(1+Inflacion+$E$6)^B14*$E$5</f>
        <v>44.2728256797411</v>
      </c>
      <c r="O14" s="22" t="n">
        <f aca="false">J14*H14*SumaAsegurada</f>
        <v>593.034584934856</v>
      </c>
      <c r="P14" s="22" t="n">
        <f aca="false">J14*H14*CostoSiniestro*(1+Inflacion+$E$6)^B14*$E$5</f>
        <v>0.894618933231305</v>
      </c>
      <c r="Q14" s="26" t="n">
        <f aca="false">INDEX(FD_Bloqueado,B14+1)</f>
        <v>0.785019369510734</v>
      </c>
      <c r="R14" s="26" t="n">
        <f aca="false">INDEX(FD_Bloqueado,B14+2)</f>
        <v>0.743555885045308</v>
      </c>
      <c r="S14" s="22" t="n">
        <f aca="false">(L14+M14+N14-K14)*Q14+(O14+P14)*R14</f>
        <v>-396.073957900363</v>
      </c>
      <c r="T14" s="29" t="n">
        <f aca="false">J14*SumaAsegurada</f>
        <v>97826.8170040699</v>
      </c>
    </row>
    <row r="15" customFormat="false" ht="15" hidden="false" customHeight="false" outlineLevel="0" collapsed="false">
      <c r="A15" s="16" t="n">
        <f aca="false">B15+1</f>
        <v>7</v>
      </c>
      <c r="B15" s="16" t="n">
        <f aca="false">ROW()-9</f>
        <v>6</v>
      </c>
      <c r="C15" s="16" t="n">
        <f aca="false">EdadEmision+B15</f>
        <v>51</v>
      </c>
      <c r="D15" s="16" t="n">
        <f aca="false">IF(B15&lt;Plazo,1,0)</f>
        <v>1</v>
      </c>
      <c r="E15" s="26" t="n">
        <f aca="false">IF(Sexo="M",INDEX(CSO_H,C15+1),INDEX(CSO_M,C15+1))</f>
        <v>0.0073</v>
      </c>
      <c r="F15" s="27" t="n">
        <f aca="false">IF(C15&lt;40,Fact_25_39,IF(C15&lt;50,Fact_40_49,Fact_50mas))</f>
        <v>0.95</v>
      </c>
      <c r="G15" s="28" t="n">
        <f aca="false">(1-Mejora)^B15</f>
        <v>0.941480149401</v>
      </c>
      <c r="H15" s="26" t="n">
        <f aca="false">D15*MIN(E15*F15*G15*$E$3,1)</f>
        <v>0.00652916483609593</v>
      </c>
      <c r="I15" s="27" t="n">
        <f aca="false">D15*MIN(IF(B15=0,Cad_Anio1,IF(B15=1,Cad_Anio2,Cad_Anio3))*$E$4,1)</f>
        <v>0.06</v>
      </c>
      <c r="J15" s="26" t="n">
        <f aca="false">J14*(1-H14)*(1-I14)*D15</f>
        <v>0.609331703159913</v>
      </c>
      <c r="K15" s="22" t="n">
        <f aca="false">J15*PrimaAnual</f>
        <v>1093.00702249419</v>
      </c>
      <c r="L15" s="22" t="n">
        <f aca="false">K15*IF(B15=0,ComisionAnio1,ComisionRenov)</f>
        <v>54.6503511247094</v>
      </c>
      <c r="M15" s="22" t="n">
        <f aca="false">J15*IF(B15=0,CostoSuscripcion,0)</f>
        <v>0</v>
      </c>
      <c r="N15" s="22" t="n">
        <f aca="false">J15*CostoMant*(1+Inflacion+$E$6)^B15*$E$5</f>
        <v>42.3982779397801</v>
      </c>
      <c r="O15" s="22" t="n">
        <f aca="false">J15*H15*SumaAsegurada</f>
        <v>596.764069468522</v>
      </c>
      <c r="P15" s="22" t="n">
        <f aca="false">J15*H15*CostoSiniestro*(1+Inflacion+$E$6)^B15*$E$5</f>
        <v>0.922751151451447</v>
      </c>
      <c r="Q15" s="26" t="n">
        <f aca="false">INDEX(FD_Bloqueado,B15+1)</f>
        <v>0.743555885045308</v>
      </c>
      <c r="R15" s="26" t="n">
        <f aca="false">INDEX(FD_Bloqueado,B15+2)</f>
        <v>0.702911573608143</v>
      </c>
      <c r="S15" s="22" t="n">
        <f aca="false">(L15+M15+N15-K15)*Q15+(O15+P15)*R15</f>
        <v>-320.42974108809</v>
      </c>
      <c r="T15" s="29" t="n">
        <f aca="false">J15*SumaAsegurada</f>
        <v>91399.7554739869</v>
      </c>
    </row>
    <row r="16" customFormat="false" ht="15" hidden="false" customHeight="false" outlineLevel="0" collapsed="false">
      <c r="A16" s="16" t="n">
        <f aca="false">B16+1</f>
        <v>8</v>
      </c>
      <c r="B16" s="16" t="n">
        <f aca="false">ROW()-9</f>
        <v>7</v>
      </c>
      <c r="C16" s="16" t="n">
        <f aca="false">EdadEmision+B16</f>
        <v>52</v>
      </c>
      <c r="D16" s="16" t="n">
        <f aca="false">IF(B16&lt;Plazo,1,0)</f>
        <v>1</v>
      </c>
      <c r="E16" s="26" t="n">
        <f aca="false">IF(Sexo="M",INDEX(CSO_H,C16+1),INDEX(CSO_M,C16+1))</f>
        <v>0.00796</v>
      </c>
      <c r="F16" s="27" t="n">
        <f aca="false">IF(C16&lt;40,Fact_25_39,IF(C16&lt;50,Fact_40_49,Fact_50mas))</f>
        <v>0.95</v>
      </c>
      <c r="G16" s="28" t="n">
        <f aca="false">(1-Mejora)^B16</f>
        <v>0.93206534790699</v>
      </c>
      <c r="H16" s="26" t="n">
        <f aca="false">D16*MIN(E16*F16*G16*$E$3,1)</f>
        <v>0.00704827816087266</v>
      </c>
      <c r="I16" s="27" t="n">
        <f aca="false">D16*MIN(IF(B16=0,Cad_Anio1,IF(B16=1,Cad_Anio2,Cad_Anio3))*$E$4,1)</f>
        <v>0.06</v>
      </c>
      <c r="J16" s="26" t="n">
        <f aca="false">J15*(1-H15)*(1-I15)*D16</f>
        <v>0.569032079468315</v>
      </c>
      <c r="K16" s="22" t="n">
        <f aca="false">J16*PrimaAnual</f>
        <v>1020.71836350867</v>
      </c>
      <c r="L16" s="22" t="n">
        <f aca="false">K16*IF(B16=0,ComisionAnio1,ComisionRenov)</f>
        <v>51.0359181754337</v>
      </c>
      <c r="M16" s="22" t="n">
        <f aca="false">J16*IF(B16=0,CostoSuscripcion,0)</f>
        <v>0</v>
      </c>
      <c r="N16" s="22" t="n">
        <f aca="false">J16*CostoMant*(1+Inflacion+$E$6)^B16*$E$5</f>
        <v>40.5840195746511</v>
      </c>
      <c r="O16" s="22" t="n">
        <f aca="false">J16*H16*SumaAsegurada</f>
        <v>601.604456782872</v>
      </c>
      <c r="P16" s="22" t="n">
        <f aca="false">J16*H16*CostoSiniestro*(1+Inflacion+$E$6)^B16*$E$5</f>
        <v>0.953491529494805</v>
      </c>
      <c r="Q16" s="26" t="n">
        <f aca="false">INDEX(FD_Bloqueado,B16+1)</f>
        <v>0.702911573608143</v>
      </c>
      <c r="R16" s="26" t="n">
        <f aca="false">INDEX(FD_Bloqueado,B16+2)</f>
        <v>0.663713829626701</v>
      </c>
      <c r="S16" s="22" t="n">
        <f aca="false">(L16+M16+N16-K16)*Q16+(O16+P16)*R16</f>
        <v>-253.14799304041</v>
      </c>
      <c r="T16" s="29" t="n">
        <f aca="false">J16*SumaAsegurada</f>
        <v>85354.8119202473</v>
      </c>
    </row>
    <row r="17" customFormat="false" ht="15" hidden="false" customHeight="false" outlineLevel="0" collapsed="false">
      <c r="A17" s="16" t="n">
        <f aca="false">B17+1</f>
        <v>9</v>
      </c>
      <c r="B17" s="16" t="n">
        <f aca="false">ROW()-9</f>
        <v>8</v>
      </c>
      <c r="C17" s="16" t="n">
        <f aca="false">EdadEmision+B17</f>
        <v>53</v>
      </c>
      <c r="D17" s="16" t="n">
        <f aca="false">IF(B17&lt;Plazo,1,0)</f>
        <v>1</v>
      </c>
      <c r="E17" s="26" t="n">
        <f aca="false">IF(Sexo="M",INDEX(CSO_H,C17+1),INDEX(CSO_M,C17+1))</f>
        <v>0.00871</v>
      </c>
      <c r="F17" s="27" t="n">
        <f aca="false">IF(C17&lt;40,Fact_25_39,IF(C17&lt;50,Fact_40_49,Fact_50mas))</f>
        <v>0.95</v>
      </c>
      <c r="G17" s="28" t="n">
        <f aca="false">(1-Mejora)^B17</f>
        <v>0.92274469442792</v>
      </c>
      <c r="H17" s="26" t="n">
        <f aca="false">D17*MIN(E17*F17*G17*$E$3,1)</f>
        <v>0.00763525097404383</v>
      </c>
      <c r="I17" s="27" t="n">
        <f aca="false">D17*MIN(IF(B17=0,Cad_Anio1,IF(B17=1,Cad_Anio2,Cad_Anio3))*$E$4,1)</f>
        <v>0.06</v>
      </c>
      <c r="J17" s="26" t="n">
        <f aca="false">J16*(1-H16)*(1-I16)*D17</f>
        <v>0.531120100104377</v>
      </c>
      <c r="K17" s="22" t="n">
        <f aca="false">J17*PrimaAnual</f>
        <v>952.712613165229</v>
      </c>
      <c r="L17" s="22" t="n">
        <f aca="false">K17*IF(B17=0,ComisionAnio1,ComisionRenov)</f>
        <v>47.6356306582615</v>
      </c>
      <c r="M17" s="22" t="n">
        <f aca="false">J17*IF(B17=0,CostoSuscripcion,0)</f>
        <v>0</v>
      </c>
      <c r="N17" s="22" t="n">
        <f aca="false">J17*CostoMant*(1+Inflacion+$E$6)^B17*$E$5</f>
        <v>38.8270961335758</v>
      </c>
      <c r="O17" s="22" t="n">
        <f aca="false">J17*H17*SumaAsegurada</f>
        <v>608.28528924843</v>
      </c>
      <c r="P17" s="22" t="n">
        <f aca="false">J17*H17*CostoSiniestro*(1+Inflacion+$E$6)^B17*$E$5</f>
        <v>0.98818207857726</v>
      </c>
      <c r="Q17" s="26" t="n">
        <f aca="false">INDEX(FD_Bloqueado,B17+1)</f>
        <v>0.663713829626701</v>
      </c>
      <c r="R17" s="26" t="n">
        <f aca="false">INDEX(FD_Bloqueado,B17+2)</f>
        <v>0.625605300108043</v>
      </c>
      <c r="S17" s="22" t="n">
        <f aca="false">(L17+M17+N17-K17)*Q17+(O17+P17)*R17</f>
        <v>-193.777316621177</v>
      </c>
      <c r="T17" s="29" t="n">
        <f aca="false">J17*SumaAsegurada</f>
        <v>79668.0150156566</v>
      </c>
    </row>
    <row r="18" customFormat="false" ht="15" hidden="false" customHeight="false" outlineLevel="0" collapsed="false">
      <c r="A18" s="16" t="n">
        <f aca="false">B18+1</f>
        <v>10</v>
      </c>
      <c r="B18" s="16" t="n">
        <f aca="false">ROW()-9</f>
        <v>9</v>
      </c>
      <c r="C18" s="16" t="n">
        <f aca="false">EdadEmision+B18</f>
        <v>54</v>
      </c>
      <c r="D18" s="16" t="n">
        <f aca="false">IF(B18&lt;Plazo,1,0)</f>
        <v>1</v>
      </c>
      <c r="E18" s="26" t="n">
        <f aca="false">IF(Sexo="M",INDEX(CSO_H,C18+1),INDEX(CSO_M,C18+1))</f>
        <v>0.00956</v>
      </c>
      <c r="F18" s="27" t="n">
        <f aca="false">IF(C18&lt;40,Fact_25_39,IF(C18&lt;50,Fact_40_49,Fact_50mas))</f>
        <v>0.95</v>
      </c>
      <c r="G18" s="28" t="n">
        <f aca="false">(1-Mejora)^B18</f>
        <v>0.913517247483641</v>
      </c>
      <c r="H18" s="26" t="n">
        <f aca="false">D18*MIN(E18*F18*G18*$E$3,1)</f>
        <v>0.00829656364164643</v>
      </c>
      <c r="I18" s="27" t="n">
        <f aca="false">D18*MIN(IF(B18=0,Cad_Anio1,IF(B18=1,Cad_Anio2,Cad_Anio3))*$E$4,1)</f>
        <v>0.06</v>
      </c>
      <c r="J18" s="26" t="n">
        <f aca="false">J17*(1-H17)*(1-I17)*D18</f>
        <v>0.495440972952158</v>
      </c>
      <c r="K18" s="22" t="n">
        <f aca="false">J18*PrimaAnual</f>
        <v>888.712108462121</v>
      </c>
      <c r="L18" s="22" t="n">
        <f aca="false">K18*IF(B18=0,ComisionAnio1,ComisionRenov)</f>
        <v>44.4356054231061</v>
      </c>
      <c r="M18" s="22" t="n">
        <f aca="false">J18*IF(B18=0,CostoSuscripcion,0)</f>
        <v>0</v>
      </c>
      <c r="N18" s="22" t="n">
        <f aca="false">J18*CostoMant*(1+Inflacion+$E$6)^B18*$E$5</f>
        <v>37.1242730948875</v>
      </c>
      <c r="O18" s="22" t="n">
        <f aca="false">J18*H18*SumaAsegurada</f>
        <v>616.56863441652</v>
      </c>
      <c r="P18" s="22" t="n">
        <f aca="false">J18*H18*CostoSiniestro*(1+Inflacion+$E$6)^B18*$E$5</f>
        <v>1.02667964793866</v>
      </c>
      <c r="Q18" s="26" t="n">
        <f aca="false">INDEX(FD_Bloqueado,B18+1)</f>
        <v>0.625605300108043</v>
      </c>
      <c r="R18" s="26" t="n">
        <f aca="false">INDEX(FD_Bloqueado,B18+2)</f>
        <v>0.589227218190428</v>
      </c>
      <c r="S18" s="22" t="n">
        <f aca="false">(L18+M18+N18-K18)*Q18+(O18+P18)*R18</f>
        <v>-141.054744173427</v>
      </c>
      <c r="T18" s="29" t="n">
        <f aca="false">J18*SumaAsegurada</f>
        <v>74316.1459428236</v>
      </c>
    </row>
    <row r="19" customFormat="false" ht="15" hidden="false" customHeight="false" outlineLevel="0" collapsed="false">
      <c r="A19" s="16" t="n">
        <f aca="false">B19+1</f>
        <v>11</v>
      </c>
      <c r="B19" s="16" t="n">
        <f aca="false">ROW()-9</f>
        <v>10</v>
      </c>
      <c r="C19" s="16" t="n">
        <f aca="false">EdadEmision+B19</f>
        <v>55</v>
      </c>
      <c r="D19" s="16" t="n">
        <f aca="false">IF(B19&lt;Plazo,1,0)</f>
        <v>1</v>
      </c>
      <c r="E19" s="26" t="n">
        <f aca="false">IF(Sexo="M",INDEX(CSO_H,C19+1),INDEX(CSO_M,C19+1))</f>
        <v>0.01047</v>
      </c>
      <c r="F19" s="27" t="n">
        <f aca="false">IF(C19&lt;40,Fact_25_39,IF(C19&lt;50,Fact_40_49,Fact_50mas))</f>
        <v>0.95</v>
      </c>
      <c r="G19" s="28" t="n">
        <f aca="false">(1-Mejora)^B19</f>
        <v>0.904382075008804</v>
      </c>
      <c r="H19" s="26" t="n">
        <f aca="false">D19*MIN(E19*F19*G19*$E$3,1)</f>
        <v>0.00899543630907507</v>
      </c>
      <c r="I19" s="27" t="n">
        <f aca="false">D19*MIN(IF(B19=0,Cad_Anio1,IF(B19=1,Cad_Anio2,Cad_Anio3))*$E$4,1)</f>
        <v>0.06</v>
      </c>
      <c r="J19" s="26" t="n">
        <f aca="false">J18*(1-H18)*(1-I18)*D19</f>
        <v>0.461850684466018</v>
      </c>
      <c r="K19" s="22" t="n">
        <f aca="false">J19*PrimaAnual</f>
        <v>828.458520781454</v>
      </c>
      <c r="L19" s="22" t="n">
        <f aca="false">K19*IF(B19=0,ComisionAnio1,ComisionRenov)</f>
        <v>41.4229260390727</v>
      </c>
      <c r="M19" s="22" t="n">
        <f aca="false">J19*IF(B19=0,CostoSuscripcion,0)</f>
        <v>0</v>
      </c>
      <c r="N19" s="22" t="n">
        <f aca="false">J19*CostoMant*(1+Inflacion+$E$6)^B19*$E$5</f>
        <v>35.4724753746875</v>
      </c>
      <c r="O19" s="22" t="n">
        <f aca="false">J19*H19*SumaAsegurada</f>
        <v>623.182262462519</v>
      </c>
      <c r="P19" s="22" t="n">
        <f aca="false">J19*H19*CostoSiniestro*(1+Inflacion+$E$6)^B19*$E$5</f>
        <v>1.06363464319412</v>
      </c>
      <c r="Q19" s="26" t="n">
        <f aca="false">INDEX(FD_Bloqueado,B19+1)</f>
        <v>0.589227218190428</v>
      </c>
      <c r="R19" s="26" t="n">
        <f aca="false">INDEX(FD_Bloqueado,B19+2)</f>
        <v>0.55469576392788</v>
      </c>
      <c r="S19" s="22" t="n">
        <f aca="false">(L19+M19+N19-K19)*Q19+(O19+P19)*R19</f>
        <v>-96.5748913456487</v>
      </c>
      <c r="T19" s="29" t="n">
        <f aca="false">J19*SumaAsegurada</f>
        <v>69277.6026699027</v>
      </c>
    </row>
    <row r="20" customFormat="false" ht="15" hidden="false" customHeight="false" outlineLevel="0" collapsed="false">
      <c r="A20" s="16" t="n">
        <f aca="false">B20+1</f>
        <v>12</v>
      </c>
      <c r="B20" s="16" t="n">
        <f aca="false">ROW()-9</f>
        <v>11</v>
      </c>
      <c r="C20" s="16" t="n">
        <f aca="false">EdadEmision+B20</f>
        <v>56</v>
      </c>
      <c r="D20" s="16" t="n">
        <f aca="false">IF(B20&lt;Plazo,1,0)</f>
        <v>1</v>
      </c>
      <c r="E20" s="26" t="n">
        <f aca="false">IF(Sexo="M",INDEX(CSO_H,C20+1),INDEX(CSO_M,C20+1))</f>
        <v>0.01146</v>
      </c>
      <c r="F20" s="27" t="n">
        <f aca="false">IF(C20&lt;40,Fact_25_39,IF(C20&lt;50,Fact_40_49,Fact_50mas))</f>
        <v>0.95</v>
      </c>
      <c r="G20" s="28" t="n">
        <f aca="false">(1-Mejora)^B20</f>
        <v>0.895338254258716</v>
      </c>
      <c r="H20" s="26" t="n">
        <f aca="false">D20*MIN(E20*F20*G20*$E$3,1)</f>
        <v>0.00974754757411465</v>
      </c>
      <c r="I20" s="27" t="n">
        <f aca="false">D20*MIN(IF(B20=0,Cad_Anio1,IF(B20=1,Cad_Anio2,Cad_Anio3))*$E$4,1)</f>
        <v>0.06</v>
      </c>
      <c r="J20" s="26" t="n">
        <f aca="false">J19*(1-H19)*(1-I19)*D20</f>
        <v>0.430234367886625</v>
      </c>
      <c r="K20" s="22" t="n">
        <f aca="false">J20*PrimaAnual</f>
        <v>771.74580442767</v>
      </c>
      <c r="L20" s="22" t="n">
        <f aca="false">K20*IF(B20=0,ComisionAnio1,ComisionRenov)</f>
        <v>38.5872902213835</v>
      </c>
      <c r="M20" s="22" t="n">
        <f aca="false">J20*IF(B20=0,CostoSuscripcion,0)</f>
        <v>0</v>
      </c>
      <c r="N20" s="22" t="n">
        <f aca="false">J20*CostoMant*(1+Inflacion+$E$6)^B20*$E$5</f>
        <v>33.8702864298961</v>
      </c>
      <c r="O20" s="22" t="n">
        <f aca="false">J20*H20*SumaAsegurada</f>
        <v>629.059495349103</v>
      </c>
      <c r="P20" s="22" t="n">
        <f aca="false">J20*H20*CostoSiniestro*(1+Inflacion+$E$6)^B20*$E$5</f>
        <v>1.10050742774767</v>
      </c>
      <c r="Q20" s="26" t="n">
        <f aca="false">INDEX(FD_Bloqueado,B20+1)</f>
        <v>0.55469576392788</v>
      </c>
      <c r="R20" s="26" t="n">
        <f aca="false">INDEX(FD_Bloqueado,B20+2)</f>
        <v>0.522087486914417</v>
      </c>
      <c r="S20" s="22" t="n">
        <f aca="false">(L20+M20+N20-K20)*Q20+(O20+P20)*R20</f>
        <v>-58.8935655084507</v>
      </c>
      <c r="T20" s="29" t="n">
        <f aca="false">J20*SumaAsegurada</f>
        <v>64535.1551829938</v>
      </c>
    </row>
    <row r="21" customFormat="false" ht="15" hidden="false" customHeight="false" outlineLevel="0" collapsed="false">
      <c r="A21" s="16" t="n">
        <f aca="false">B21+1</f>
        <v>13</v>
      </c>
      <c r="B21" s="16" t="n">
        <f aca="false">ROW()-9</f>
        <v>12</v>
      </c>
      <c r="C21" s="16" t="n">
        <f aca="false">EdadEmision+B21</f>
        <v>57</v>
      </c>
      <c r="D21" s="16" t="n">
        <f aca="false">IF(B21&lt;Plazo,1,0)</f>
        <v>1</v>
      </c>
      <c r="E21" s="26" t="n">
        <f aca="false">IF(Sexo="M",INDEX(CSO_H,C21+1),INDEX(CSO_M,C21+1))</f>
        <v>0.01249</v>
      </c>
      <c r="F21" s="27" t="n">
        <f aca="false">IF(C21&lt;40,Fact_25_39,IF(C21&lt;50,Fact_40_49,Fact_50mas))</f>
        <v>0.95</v>
      </c>
      <c r="G21" s="28" t="n">
        <f aca="false">(1-Mejora)^B21</f>
        <v>0.886384871716129</v>
      </c>
      <c r="H21" s="26" t="n">
        <f aca="false">D21*MIN(E21*F21*G21*$E$3,1)</f>
        <v>0.0105173996953477</v>
      </c>
      <c r="I21" s="27" t="n">
        <f aca="false">D21*MIN(IF(B21=0,Cad_Anio1,IF(B21=1,Cad_Anio2,Cad_Anio3))*$E$4,1)</f>
        <v>0.06</v>
      </c>
      <c r="J21" s="26" t="n">
        <f aca="false">J20*(1-H20)*(1-I20)*D21</f>
        <v>0.400478199642573</v>
      </c>
      <c r="K21" s="22" t="n">
        <f aca="false">J21*PrimaAnual</f>
        <v>718.369784954855</v>
      </c>
      <c r="L21" s="22" t="n">
        <f aca="false">K21*IF(B21=0,ComisionAnio1,ComisionRenov)</f>
        <v>35.9184892477427</v>
      </c>
      <c r="M21" s="22" t="n">
        <f aca="false">J21*IF(B21=0,CostoSuscripcion,0)</f>
        <v>0</v>
      </c>
      <c r="N21" s="22" t="n">
        <f aca="false">J21*CostoMant*(1+Inflacion+$E$6)^B21*$E$5</f>
        <v>32.3159193032144</v>
      </c>
      <c r="O21" s="22" t="n">
        <f aca="false">J21*H21*SumaAsegurada</f>
        <v>631.798394237131</v>
      </c>
      <c r="P21" s="22" t="n">
        <f aca="false">J21*H21*CostoSiniestro*(1+Inflacion+$E$6)^B21*$E$5</f>
        <v>1.13293146611503</v>
      </c>
      <c r="Q21" s="26" t="n">
        <f aca="false">INDEX(FD_Bloqueado,B21+1)</f>
        <v>0.522087486914417</v>
      </c>
      <c r="R21" s="26" t="n">
        <f aca="false">INDEX(FD_Bloqueado,B21+2)</f>
        <v>0.490823534155882</v>
      </c>
      <c r="S21" s="22" t="n">
        <f aca="false">(L21+M21+N21-K21)*Q21+(O21+P21)*R21</f>
        <v>-28.7699546612345</v>
      </c>
      <c r="T21" s="29" t="n">
        <f aca="false">J21*SumaAsegurada</f>
        <v>60071.729946386</v>
      </c>
    </row>
    <row r="22" customFormat="false" ht="15" hidden="false" customHeight="false" outlineLevel="0" collapsed="false">
      <c r="A22" s="16" t="n">
        <f aca="false">B22+1</f>
        <v>14</v>
      </c>
      <c r="B22" s="16" t="n">
        <f aca="false">ROW()-9</f>
        <v>13</v>
      </c>
      <c r="C22" s="16" t="n">
        <f aca="false">EdadEmision+B22</f>
        <v>58</v>
      </c>
      <c r="D22" s="16" t="n">
        <f aca="false">IF(B22&lt;Plazo,1,0)</f>
        <v>1</v>
      </c>
      <c r="E22" s="26" t="n">
        <f aca="false">IF(Sexo="M",INDEX(CSO_H,C22+1),INDEX(CSO_M,C22+1))</f>
        <v>0.01359</v>
      </c>
      <c r="F22" s="27" t="n">
        <f aca="false">IF(C22&lt;40,Fact_25_39,IF(C22&lt;50,Fact_40_49,Fact_50mas))</f>
        <v>0.95</v>
      </c>
      <c r="G22" s="28" t="n">
        <f aca="false">(1-Mejora)^B22</f>
        <v>0.877521022998968</v>
      </c>
      <c r="H22" s="26" t="n">
        <f aca="false">D22*MIN(E22*F22*G22*$E$3,1)</f>
        <v>0.0113292351674282</v>
      </c>
      <c r="I22" s="27" t="n">
        <f aca="false">D22*MIN(IF(B22=0,Cad_Anio1,IF(B22=1,Cad_Anio2,Cad_Anio3))*$E$4,1)</f>
        <v>0.06</v>
      </c>
      <c r="J22" s="26" t="n">
        <f aca="false">J21*(1-H21)*(1-I21)*D22</f>
        <v>0.372490237726799</v>
      </c>
      <c r="K22" s="22" t="n">
        <f aca="false">J22*PrimaAnual</f>
        <v>668.165538629578</v>
      </c>
      <c r="L22" s="22" t="n">
        <f aca="false">K22*IF(B22=0,ComisionAnio1,ComisionRenov)</f>
        <v>33.4082769314789</v>
      </c>
      <c r="M22" s="22" t="n">
        <f aca="false">J22*IF(B22=0,CostoSuscripcion,0)</f>
        <v>0</v>
      </c>
      <c r="N22" s="22" t="n">
        <f aca="false">J22*CostoMant*(1+Inflacion+$E$6)^B22*$E$5</f>
        <v>30.8089144083666</v>
      </c>
      <c r="O22" s="22" t="n">
        <f aca="false">J22*H22*SumaAsegurada</f>
        <v>633.00442511672</v>
      </c>
      <c r="P22" s="22" t="n">
        <f aca="false">J22*H22*CostoSiniestro*(1+Inflacion+$E$6)^B22*$E$5</f>
        <v>1.16347145528517</v>
      </c>
      <c r="Q22" s="26" t="n">
        <f aca="false">INDEX(FD_Bloqueado,B22+1)</f>
        <v>0.490823534155882</v>
      </c>
      <c r="R22" s="26" t="n">
        <f aca="false">INDEX(FD_Bloqueado,B22+2)</f>
        <v>0.462151381448276</v>
      </c>
      <c r="S22" s="22" t="n">
        <f aca="false">(L22+M22+N22-K22)*Q22+(O22+P22)*R22</f>
        <v>-3.35049279345105</v>
      </c>
      <c r="T22" s="29" t="n">
        <f aca="false">J22*SumaAsegurada</f>
        <v>55873.5356590199</v>
      </c>
    </row>
    <row r="23" customFormat="false" ht="15" hidden="false" customHeight="false" outlineLevel="0" collapsed="false">
      <c r="A23" s="16" t="n">
        <f aca="false">B23+1</f>
        <v>15</v>
      </c>
      <c r="B23" s="16" t="n">
        <f aca="false">ROW()-9</f>
        <v>14</v>
      </c>
      <c r="C23" s="16" t="n">
        <f aca="false">EdadEmision+B23</f>
        <v>59</v>
      </c>
      <c r="D23" s="16" t="n">
        <f aca="false">IF(B23&lt;Plazo,1,0)</f>
        <v>1</v>
      </c>
      <c r="E23" s="26" t="n">
        <f aca="false">IF(Sexo="M",INDEX(CSO_H,C23+1),INDEX(CSO_M,C23+1))</f>
        <v>0.01477</v>
      </c>
      <c r="F23" s="27" t="n">
        <f aca="false">IF(C23&lt;40,Fact_25_39,IF(C23&lt;50,Fact_40_49,Fact_50mas))</f>
        <v>0.95</v>
      </c>
      <c r="G23" s="28" t="n">
        <f aca="false">(1-Mejora)^B23</f>
        <v>0.868745812768978</v>
      </c>
      <c r="H23" s="26" t="n">
        <f aca="false">D23*MIN(E23*F23*G23*$E$3,1)</f>
        <v>0.0121898068718679</v>
      </c>
      <c r="I23" s="27" t="n">
        <f aca="false">D23*MIN(IF(B23=0,Cad_Anio1,IF(B23=1,Cad_Anio2,Cad_Anio3))*$E$4,1)</f>
        <v>0.06</v>
      </c>
      <c r="J23" s="26" t="n">
        <f aca="false">J22*(1-H22)*(1-I22)*D23</f>
        <v>0.34617399573246</v>
      </c>
      <c r="K23" s="22" t="n">
        <f aca="false">J23*PrimaAnual</f>
        <v>620.959990064972</v>
      </c>
      <c r="L23" s="22" t="n">
        <f aca="false">K23*IF(B23=0,ComisionAnio1,ComisionRenov)</f>
        <v>31.0479995032486</v>
      </c>
      <c r="M23" s="22" t="n">
        <f aca="false">J23*IF(B23=0,CostoSuscripcion,0)</f>
        <v>0</v>
      </c>
      <c r="N23" s="22" t="n">
        <f aca="false">J23*CostoMant*(1+Inflacion+$E$6)^B23*$E$5</f>
        <v>29.348087608311</v>
      </c>
      <c r="O23" s="22" t="n">
        <f aca="false">J23*H23*SumaAsegurada</f>
        <v>632.969122806228</v>
      </c>
      <c r="P23" s="22" t="n">
        <f aca="false">J23*H23*CostoSiniestro*(1+Inflacion+$E$6)^B23*$E$5</f>
        <v>1.19249173334657</v>
      </c>
      <c r="Q23" s="26" t="n">
        <f aca="false">INDEX(FD_Bloqueado,B23+1)</f>
        <v>0.462151381448276</v>
      </c>
      <c r="R23" s="26" t="n">
        <f aca="false">INDEX(FD_Bloqueado,B23+2)</f>
        <v>0.434182199189579</v>
      </c>
      <c r="S23" s="22" t="n">
        <f aca="false">(L23+M23+N23-K23)*Q23+(O23+P23)*R23</f>
        <v>16.2763023024499</v>
      </c>
      <c r="T23" s="29" t="n">
        <f aca="false">J23*SumaAsegurada</f>
        <v>51926.099359869</v>
      </c>
    </row>
    <row r="24" customFormat="false" ht="15" hidden="false" customHeight="false" outlineLevel="0" collapsed="false">
      <c r="A24" s="16" t="n">
        <f aca="false">B24+1</f>
        <v>16</v>
      </c>
      <c r="B24" s="16" t="n">
        <f aca="false">ROW()-9</f>
        <v>15</v>
      </c>
      <c r="C24" s="16" t="n">
        <f aca="false">EdadEmision+B24</f>
        <v>60</v>
      </c>
      <c r="D24" s="16" t="n">
        <f aca="false">IF(B24&lt;Plazo,1,0)</f>
        <v>1</v>
      </c>
      <c r="E24" s="26" t="n">
        <f aca="false">IF(Sexo="M",INDEX(CSO_H,C24+1),INDEX(CSO_M,C24+1))</f>
        <v>0.01608</v>
      </c>
      <c r="F24" s="27" t="n">
        <f aca="false">IF(C24&lt;40,Fact_25_39,IF(C24&lt;50,Fact_40_49,Fact_50mas))</f>
        <v>0.95</v>
      </c>
      <c r="G24" s="28" t="n">
        <f aca="false">(1-Mejora)^B24</f>
        <v>0.860058354641288</v>
      </c>
      <c r="H24" s="26" t="n">
        <f aca="false">D24*MIN(E24*F24*G24*$E$3,1)</f>
        <v>0.0131382514255003</v>
      </c>
      <c r="I24" s="27" t="n">
        <f aca="false">D24*MIN(IF(B24=0,Cad_Anio1,IF(B24=1,Cad_Anio2,Cad_Anio3))*$E$4,1)</f>
        <v>0.06</v>
      </c>
      <c r="J24" s="26" t="n">
        <f aca="false">J23*(1-H23)*(1-I23)*D24</f>
        <v>0.321436949485593</v>
      </c>
      <c r="K24" s="22" t="n">
        <f aca="false">J24*PrimaAnual</f>
        <v>576.587171248268</v>
      </c>
      <c r="L24" s="22" t="n">
        <f aca="false">K24*IF(B24=0,ComisionAnio1,ComisionRenov)</f>
        <v>28.8293585624134</v>
      </c>
      <c r="M24" s="22" t="n">
        <f aca="false">J24*IF(B24=0,CostoSuscripcion,0)</f>
        <v>0</v>
      </c>
      <c r="N24" s="22" t="n">
        <f aca="false">J24*CostoMant*(1+Inflacion+$E$6)^B24*$E$5</f>
        <v>27.9321926750838</v>
      </c>
      <c r="O24" s="22" t="n">
        <f aca="false">J24*H24*SumaAsegurada</f>
        <v>633.467918968136</v>
      </c>
      <c r="P24" s="22" t="n">
        <f aca="false">J24*H24*CostoSiniestro*(1+Inflacion+$E$6)^B24*$E$5</f>
        <v>1.22326723410257</v>
      </c>
      <c r="Q24" s="26" t="n">
        <f aca="false">INDEX(FD_Bloqueado,B24+1)</f>
        <v>0.434182199189579</v>
      </c>
      <c r="R24" s="26" t="n">
        <f aca="false">INDEX(FD_Bloqueado,B24+2)</f>
        <v>0.40877989066849</v>
      </c>
      <c r="S24" s="22" t="n">
        <f aca="false">(L24+M24+N24-K24)*Q24+(O24+P24)*R24</f>
        <v>33.7499628126423</v>
      </c>
      <c r="T24" s="29" t="n">
        <f aca="false">J24*SumaAsegurada</f>
        <v>48215.542422839</v>
      </c>
    </row>
    <row r="25" customFormat="false" ht="15" hidden="false" customHeight="false" outlineLevel="0" collapsed="false">
      <c r="A25" s="16" t="n">
        <f aca="false">B25+1</f>
        <v>17</v>
      </c>
      <c r="B25" s="16" t="n">
        <f aca="false">ROW()-9</f>
        <v>16</v>
      </c>
      <c r="C25" s="16" t="n">
        <f aca="false">EdadEmision+B25</f>
        <v>61</v>
      </c>
      <c r="D25" s="16" t="n">
        <f aca="false">IF(B25&lt;Plazo,1,0)</f>
        <v>1</v>
      </c>
      <c r="E25" s="26" t="n">
        <f aca="false">IF(Sexo="M",INDEX(CSO_H,C25+1),INDEX(CSO_M,C25+1))</f>
        <v>0.01754</v>
      </c>
      <c r="F25" s="27" t="n">
        <f aca="false">IF(C25&lt;40,Fact_25_39,IF(C25&lt;50,Fact_40_49,Fact_50mas))</f>
        <v>0.95</v>
      </c>
      <c r="G25" s="28" t="n">
        <f aca="false">(1-Mejora)^B25</f>
        <v>0.851457771094876</v>
      </c>
      <c r="H25" s="26" t="n">
        <f aca="false">D25*MIN(E25*F25*G25*$E$3,1)</f>
        <v>0.0141878408397539</v>
      </c>
      <c r="I25" s="27" t="n">
        <f aca="false">D25*MIN(IF(B25=0,Cad_Anio1,IF(B25=1,Cad_Anio2,Cad_Anio3))*$E$4,1)</f>
        <v>0.06</v>
      </c>
      <c r="J25" s="26" t="n">
        <f aca="false">J24*(1-H24)*(1-I24)*D25</f>
        <v>0.298181000224258</v>
      </c>
      <c r="K25" s="22" t="n">
        <f aca="false">J25*PrimaAnual</f>
        <v>534.871114582269</v>
      </c>
      <c r="L25" s="22" t="n">
        <f aca="false">K25*IF(B25=0,ComisionAnio1,ComisionRenov)</f>
        <v>26.7435557291134</v>
      </c>
      <c r="M25" s="22" t="n">
        <f aca="false">J25*IF(B25=0,CostoSuscripcion,0)</f>
        <v>0</v>
      </c>
      <c r="N25" s="22" t="n">
        <f aca="false">J25*CostoMant*(1+Inflacion+$E$6)^B25*$E$5</f>
        <v>26.5590822484259</v>
      </c>
      <c r="O25" s="22" t="n">
        <f aca="false">J25*H25*SumaAsegurada</f>
        <v>634.581685893059</v>
      </c>
      <c r="P25" s="22" t="n">
        <f aca="false">J25*H25*CostoSiniestro*(1+Inflacion+$E$6)^B25*$E$5</f>
        <v>1.256053439302</v>
      </c>
      <c r="Q25" s="26" t="n">
        <f aca="false">INDEX(FD_Bloqueado,B25+1)</f>
        <v>0.40877989066849</v>
      </c>
      <c r="R25" s="26" t="n">
        <f aca="false">INDEX(FD_Bloqueado,B25+2)</f>
        <v>0.384639547396534</v>
      </c>
      <c r="S25" s="22" t="n">
        <f aca="false">(L25+M25+N25-K25)*Q25+(O25+P25)*R25</f>
        <v>47.7128310585623</v>
      </c>
      <c r="T25" s="29" t="n">
        <f aca="false">J25*SumaAsegurada</f>
        <v>44727.1500336386</v>
      </c>
    </row>
    <row r="26" customFormat="false" ht="15" hidden="false" customHeight="false" outlineLevel="0" collapsed="false">
      <c r="A26" s="16" t="n">
        <f aca="false">B26+1</f>
        <v>18</v>
      </c>
      <c r="B26" s="16" t="n">
        <f aca="false">ROW()-9</f>
        <v>17</v>
      </c>
      <c r="C26" s="16" t="n">
        <f aca="false">EdadEmision+B26</f>
        <v>62</v>
      </c>
      <c r="D26" s="16" t="n">
        <f aca="false">IF(B26&lt;Plazo,1,0)</f>
        <v>1</v>
      </c>
      <c r="E26" s="26" t="n">
        <f aca="false">IF(Sexo="M",INDEX(CSO_H,C26+1),INDEX(CSO_M,C26+1))</f>
        <v>0.01919</v>
      </c>
      <c r="F26" s="27" t="n">
        <f aca="false">IF(C26&lt;40,Fact_25_39,IF(C26&lt;50,Fact_40_49,Fact_50mas))</f>
        <v>0.95</v>
      </c>
      <c r="G26" s="28" t="n">
        <f aca="false">(1-Mejora)^B26</f>
        <v>0.842943193383927</v>
      </c>
      <c r="H26" s="26" t="n">
        <f aca="false">D26*MIN(E26*F26*G26*$E$3,1)</f>
        <v>0.0153672758869857</v>
      </c>
      <c r="I26" s="27" t="n">
        <f aca="false">D26*MIN(IF(B26=0,Cad_Anio1,IF(B26=1,Cad_Anio2,Cad_Anio3))*$E$4,1)</f>
        <v>0.06</v>
      </c>
      <c r="J26" s="26" t="n">
        <f aca="false">J25*(1-H25)*(1-I25)*D26</f>
        <v>0.276313428312539</v>
      </c>
      <c r="K26" s="22" t="n">
        <f aca="false">J26*PrimaAnual</f>
        <v>495.645501438466</v>
      </c>
      <c r="L26" s="22" t="n">
        <f aca="false">K26*IF(B26=0,ComisionAnio1,ComisionRenov)</f>
        <v>24.7822750719233</v>
      </c>
      <c r="M26" s="22" t="n">
        <f aca="false">J26*IF(B26=0,CostoSuscripcion,0)</f>
        <v>0</v>
      </c>
      <c r="N26" s="22" t="n">
        <f aca="false">J26*CostoMant*(1+Inflacion+$E$6)^B26*$E$5</f>
        <v>25.2266134997281</v>
      </c>
      <c r="O26" s="22" t="n">
        <f aca="false">J26*H26*SumaAsegurada</f>
        <v>636.927702623643</v>
      </c>
      <c r="P26" s="22" t="n">
        <f aca="false">J26*H26*CostoSiniestro*(1+Inflacion+$E$6)^B26*$E$5</f>
        <v>1.29221443114893</v>
      </c>
      <c r="Q26" s="26" t="n">
        <f aca="false">INDEX(FD_Bloqueado,B26+1)</f>
        <v>0.384639547396534</v>
      </c>
      <c r="R26" s="26" t="n">
        <f aca="false">INDEX(FD_Bloqueado,B26+2)</f>
        <v>0.36171398874759</v>
      </c>
      <c r="S26" s="22" t="n">
        <f aca="false">(L26+M26+N26-K26)*Q26+(O26+P26)*R26</f>
        <v>59.4436068196288</v>
      </c>
      <c r="T26" s="29" t="n">
        <f aca="false">J26*SumaAsegurada</f>
        <v>41447.0142468808</v>
      </c>
    </row>
    <row r="27" customFormat="false" ht="15" hidden="false" customHeight="false" outlineLevel="0" collapsed="false">
      <c r="A27" s="16" t="n">
        <f aca="false">B27+1</f>
        <v>19</v>
      </c>
      <c r="B27" s="16" t="n">
        <f aca="false">ROW()-9</f>
        <v>18</v>
      </c>
      <c r="C27" s="16" t="n">
        <f aca="false">EdadEmision+B27</f>
        <v>63</v>
      </c>
      <c r="D27" s="16" t="n">
        <f aca="false">IF(B27&lt;Plazo,1,0)</f>
        <v>1</v>
      </c>
      <c r="E27" s="26" t="n">
        <f aca="false">IF(Sexo="M",INDEX(CSO_H,C27+1),INDEX(CSO_M,C27+1))</f>
        <v>0.02106</v>
      </c>
      <c r="F27" s="27" t="n">
        <f aca="false">IF(C27&lt;40,Fact_25_39,IF(C27&lt;50,Fact_40_49,Fact_50mas))</f>
        <v>0.95</v>
      </c>
      <c r="G27" s="28" t="n">
        <f aca="false">(1-Mejora)^B27</f>
        <v>0.834513761450088</v>
      </c>
      <c r="H27" s="26" t="n">
        <f aca="false">D27*MIN(E27*F27*G27*$E$3,1)</f>
        <v>0.0166961168253319</v>
      </c>
      <c r="I27" s="27" t="n">
        <f aca="false">D27*MIN(IF(B27=0,Cad_Anio1,IF(B27=1,Cad_Anio2,Cad_Anio3))*$E$4,1)</f>
        <v>0.06</v>
      </c>
      <c r="J27" s="26" t="n">
        <f aca="false">J26*(1-H26)*(1-I26)*D27</f>
        <v>0.255743209010678</v>
      </c>
      <c r="K27" s="22" t="n">
        <f aca="false">J27*PrimaAnual</f>
        <v>458.747053459175</v>
      </c>
      <c r="L27" s="22" t="n">
        <f aca="false">K27*IF(B27=0,ComisionAnio1,ComisionRenov)</f>
        <v>22.9373526729587</v>
      </c>
      <c r="M27" s="22" t="n">
        <f aca="false">J27*IF(B27=0,CostoSuscripcion,0)</f>
        <v>0</v>
      </c>
      <c r="N27" s="22" t="n">
        <f aca="false">J27*CostoMant*(1+Inflacion+$E$6)^B27*$E$5</f>
        <v>23.9323275256644</v>
      </c>
      <c r="O27" s="22" t="n">
        <f aca="false">J27*H27*SumaAsegurada</f>
        <v>640.487774239134</v>
      </c>
      <c r="P27" s="22" t="n">
        <f aca="false">J27*H27*CostoSiniestro*(1+Inflacion+$E$6)^B27*$E$5</f>
        <v>1.331923120902</v>
      </c>
      <c r="Q27" s="26" t="n">
        <f aca="false">INDEX(FD_Bloqueado,B27+1)</f>
        <v>0.36171398874759</v>
      </c>
      <c r="R27" s="26" t="n">
        <f aca="false">INDEX(FD_Bloqueado,B27+2)</f>
        <v>0.340585196621635</v>
      </c>
      <c r="S27" s="22" t="n">
        <f aca="false">(L27+M27+N27-K27)*Q27+(O27+P27)*R27</f>
        <v>69.6124802640523</v>
      </c>
      <c r="T27" s="29" t="n">
        <f aca="false">J27*SumaAsegurada</f>
        <v>38361.4813516017</v>
      </c>
    </row>
    <row r="28" customFormat="false" ht="15" hidden="false" customHeight="false" outlineLevel="0" collapsed="false">
      <c r="A28" s="16" t="n">
        <f aca="false">B28+1</f>
        <v>20</v>
      </c>
      <c r="B28" s="16" t="n">
        <f aca="false">ROW()-9</f>
        <v>19</v>
      </c>
      <c r="C28" s="16" t="n">
        <f aca="false">EdadEmision+B28</f>
        <v>64</v>
      </c>
      <c r="D28" s="16" t="n">
        <f aca="false">IF(B28&lt;Plazo,1,0)</f>
        <v>1</v>
      </c>
      <c r="E28" s="26" t="n">
        <f aca="false">IF(Sexo="M",INDEX(CSO_H,C28+1),INDEX(CSO_M,C28+1))</f>
        <v>0.02314</v>
      </c>
      <c r="F28" s="27" t="n">
        <f aca="false">IF(C28&lt;40,Fact_25_39,IF(C28&lt;50,Fact_40_49,Fact_50mas))</f>
        <v>0.95</v>
      </c>
      <c r="G28" s="28" t="n">
        <f aca="false">(1-Mejora)^B28</f>
        <v>0.826168623835587</v>
      </c>
      <c r="H28" s="26" t="n">
        <f aca="false">D28*MIN(E28*F28*G28*$E$3,1)</f>
        <v>0.0181616648577777</v>
      </c>
      <c r="I28" s="27" t="n">
        <f aca="false">D28*MIN(IF(B28=0,Cad_Anio1,IF(B28=1,Cad_Anio2,Cad_Anio3))*$E$4,1)</f>
        <v>0.06</v>
      </c>
      <c r="J28" s="26" t="n">
        <f aca="false">J27*(1-H27)*(1-I27)*D28</f>
        <v>0.236384893084806</v>
      </c>
      <c r="K28" s="22" t="n">
        <f aca="false">J28*PrimaAnual</f>
        <v>424.022493517663</v>
      </c>
      <c r="L28" s="22" t="n">
        <f aca="false">K28*IF(B28=0,ComisionAnio1,ComisionRenov)</f>
        <v>21.2011246758831</v>
      </c>
      <c r="M28" s="22" t="n">
        <f aca="false">J28*IF(B28=0,CostoSuscripcion,0)</f>
        <v>0</v>
      </c>
      <c r="N28" s="22" t="n">
        <f aca="false">J28*CostoMant*(1+Inflacion+$E$6)^B28*$E$5</f>
        <v>22.673805192881</v>
      </c>
      <c r="O28" s="22" t="n">
        <f aca="false">J28*H28*SumaAsegurada</f>
        <v>643.971480847178</v>
      </c>
      <c r="P28" s="22" t="n">
        <f aca="false">J28*H28*CostoSiniestro*(1+Inflacion+$E$6)^B28*$E$5</f>
        <v>1.37264683654548</v>
      </c>
      <c r="Q28" s="26" t="n">
        <f aca="false">INDEX(FD_Bloqueado,B28+1)</f>
        <v>0.340585196621635</v>
      </c>
      <c r="R28" s="26" t="n">
        <f aca="false">INDEX(FD_Bloqueado,B28+2)</f>
        <v>0.321189823536907</v>
      </c>
      <c r="S28" s="22" t="n">
        <f aca="false">(L28+M28+N28-K28)*Q28+(O28+P28)*R28</f>
        <v>77.8053337807185</v>
      </c>
      <c r="T28" s="29" t="n">
        <f aca="false">J28*SumaAsegurada</f>
        <v>35457.7339627209</v>
      </c>
    </row>
    <row r="29" customFormat="false" ht="15" hidden="false" customHeight="false" outlineLevel="0" collapsed="false">
      <c r="A29" s="30" t="s">
        <v>117</v>
      </c>
      <c r="K29" s="24" t="n">
        <f aca="false">SUM(K9:K28)</f>
        <v>18601.4707638916</v>
      </c>
      <c r="L29" s="24" t="n">
        <f aca="false">SUM(L9:L28)</f>
        <v>1737.27453819458</v>
      </c>
      <c r="M29" s="24" t="n">
        <f aca="false">SUM(M9:M28)</f>
        <v>150</v>
      </c>
      <c r="N29" s="24" t="n">
        <f aca="false">SUM(N9:N28)</f>
        <v>749.668383711259</v>
      </c>
      <c r="O29" s="24" t="n">
        <f aca="false">SUM(O9:O28)</f>
        <v>11748.7721702421</v>
      </c>
      <c r="P29" s="24" t="n">
        <f aca="false">SUM(P9:P28)</f>
        <v>20.2656846186958</v>
      </c>
      <c r="S29" s="24" t="n">
        <f aca="false">SUM(S9:S28)</f>
        <v>-4357.29029110429</v>
      </c>
      <c r="T29" s="31" t="n">
        <f aca="false">SUM(T9:T28)</f>
        <v>1555497.67228074</v>
      </c>
    </row>
  </sheetData>
  <mergeCells count="8">
    <mergeCell ref="A3:D3"/>
    <mergeCell ref="G3:K3"/>
    <mergeCell ref="A4:D4"/>
    <mergeCell ref="G4:K4"/>
    <mergeCell ref="A5:D5"/>
    <mergeCell ref="G5:K5"/>
    <mergeCell ref="A6:D6"/>
    <mergeCell ref="G6:K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3" min="3" style="0" width="6"/>
    <col collapsed="false" customWidth="true" hidden="false" outlineLevel="0" max="5" min="4" style="0" width="10"/>
    <col collapsed="false" customWidth="true" hidden="false" outlineLevel="0" max="6" min="6" style="0" width="9"/>
    <col collapsed="false" customWidth="true" hidden="false" outlineLevel="0" max="7" min="7" style="0" width="8"/>
    <col collapsed="false" customWidth="true" hidden="false" outlineLevel="0" max="8" min="8" style="0" width="11"/>
    <col collapsed="false" customWidth="true" hidden="false" outlineLevel="0" max="9" min="9" style="0" width="10"/>
    <col collapsed="false" customWidth="true" hidden="false" outlineLevel="0" max="13" min="10" style="0" width="11"/>
    <col collapsed="false" customWidth="true" hidden="false" outlineLevel="0" max="14" min="14" style="0" width="13"/>
    <col collapsed="false" customWidth="true" hidden="false" outlineLevel="0" max="15" min="15" style="0" width="11"/>
    <col collapsed="false" customWidth="true" hidden="false" outlineLevel="0" max="16" min="16" style="0" width="12"/>
    <col collapsed="false" customWidth="true" hidden="false" outlineLevel="0" max="18" min="17" style="0" width="10"/>
    <col collapsed="false" customWidth="true" hidden="false" outlineLevel="0" max="19" min="19" style="0" width="14"/>
    <col collapsed="false" customWidth="true" hidden="false" outlineLevel="0" max="20" min="20" style="0" width="16"/>
  </cols>
  <sheetData>
    <row r="1" customFormat="false" ht="16.15" hidden="false" customHeight="false" outlineLevel="0" collapsed="false">
      <c r="A1" s="1" t="s">
        <v>120</v>
      </c>
    </row>
    <row r="2" customFormat="false" ht="15" hidden="false" customHeight="false" outlineLevel="0" collapsed="false">
      <c r="A2" s="2" t="s">
        <v>89</v>
      </c>
    </row>
    <row r="3" customFormat="false" ht="15" hidden="false" customHeight="false" outlineLevel="0" collapsed="false">
      <c r="A3" s="20" t="s">
        <v>90</v>
      </c>
      <c r="B3" s="20"/>
      <c r="C3" s="20"/>
      <c r="D3" s="20"/>
      <c r="E3" s="21" t="n">
        <v>1</v>
      </c>
      <c r="G3" s="20" t="s">
        <v>91</v>
      </c>
      <c r="H3" s="20"/>
      <c r="I3" s="20"/>
      <c r="J3" s="20"/>
      <c r="K3" s="20"/>
      <c r="L3" s="22" t="n">
        <f aca="false">SUMPRODUCT(K9:K28,Q9:Q28)</f>
        <v>18242.9133069569</v>
      </c>
    </row>
    <row r="4" customFormat="false" ht="15" hidden="false" customHeight="false" outlineLevel="0" collapsed="false">
      <c r="A4" s="20" t="s">
        <v>92</v>
      </c>
      <c r="B4" s="20"/>
      <c r="C4" s="20"/>
      <c r="D4" s="20"/>
      <c r="E4" s="32" t="n">
        <f aca="false">1-ChoqueCad</f>
        <v>0.5</v>
      </c>
      <c r="G4" s="20" t="s">
        <v>93</v>
      </c>
      <c r="H4" s="20"/>
      <c r="I4" s="20"/>
      <c r="J4" s="20"/>
      <c r="K4" s="20"/>
      <c r="L4" s="22" t="n">
        <f aca="false">SUMPRODUCT(L9:L28+M9:M28+N9:N28,Q9:Q28)+SUMPRODUCT(O9:O28+P9:P28,R9:R28)</f>
        <v>13086.6469981787</v>
      </c>
    </row>
    <row r="5" customFormat="false" ht="15" hidden="false" customHeight="false" outlineLevel="0" collapsed="false">
      <c r="A5" s="20" t="s">
        <v>94</v>
      </c>
      <c r="B5" s="20"/>
      <c r="C5" s="20"/>
      <c r="D5" s="20"/>
      <c r="E5" s="21" t="n">
        <v>1</v>
      </c>
      <c r="G5" s="23" t="s">
        <v>95</v>
      </c>
      <c r="H5" s="23"/>
      <c r="I5" s="23"/>
      <c r="J5" s="23"/>
      <c r="K5" s="23"/>
      <c r="L5" s="24" t="n">
        <f aca="false">L4-L3</f>
        <v>-5156.26630877816</v>
      </c>
    </row>
    <row r="6" customFormat="false" ht="15" hidden="false" customHeight="false" outlineLevel="0" collapsed="false">
      <c r="A6" s="20" t="s">
        <v>96</v>
      </c>
      <c r="B6" s="20"/>
      <c r="C6" s="20"/>
      <c r="D6" s="20"/>
      <c r="E6" s="25" t="n">
        <v>0</v>
      </c>
      <c r="G6" s="20" t="s">
        <v>97</v>
      </c>
      <c r="H6" s="20"/>
      <c r="I6" s="20"/>
      <c r="J6" s="20"/>
      <c r="K6" s="20"/>
      <c r="L6" s="22" t="n">
        <f aca="false">ROUND(SUM(S9:S28)-L5,6)</f>
        <v>0</v>
      </c>
    </row>
    <row r="8" customFormat="false" ht="42" hidden="false" customHeight="true" outlineLevel="0" collapsed="false">
      <c r="A8" s="5" t="s">
        <v>98</v>
      </c>
      <c r="B8" s="5" t="s">
        <v>99</v>
      </c>
      <c r="C8" s="5" t="s">
        <v>80</v>
      </c>
      <c r="D8" s="5" t="s">
        <v>100</v>
      </c>
      <c r="E8" s="5" t="s">
        <v>101</v>
      </c>
      <c r="F8" s="5" t="s">
        <v>102</v>
      </c>
      <c r="G8" s="5" t="s">
        <v>103</v>
      </c>
      <c r="H8" s="5" t="s">
        <v>104</v>
      </c>
      <c r="I8" s="5" t="s">
        <v>105</v>
      </c>
      <c r="J8" s="5" t="s">
        <v>106</v>
      </c>
      <c r="K8" s="5" t="s">
        <v>107</v>
      </c>
      <c r="L8" s="5" t="s">
        <v>108</v>
      </c>
      <c r="M8" s="5" t="s">
        <v>109</v>
      </c>
      <c r="N8" s="5" t="s">
        <v>110</v>
      </c>
      <c r="O8" s="5" t="s">
        <v>111</v>
      </c>
      <c r="P8" s="5" t="s">
        <v>112</v>
      </c>
      <c r="Q8" s="5" t="s">
        <v>113</v>
      </c>
      <c r="R8" s="5" t="s">
        <v>114</v>
      </c>
      <c r="S8" s="5" t="s">
        <v>115</v>
      </c>
      <c r="T8" s="5" t="s">
        <v>116</v>
      </c>
    </row>
    <row r="9" customFormat="false" ht="15" hidden="false" customHeight="false" outlineLevel="0" collapsed="false">
      <c r="A9" s="16" t="n">
        <f aca="false">B9+1</f>
        <v>1</v>
      </c>
      <c r="B9" s="16" t="n">
        <f aca="false">ROW()-9</f>
        <v>0</v>
      </c>
      <c r="C9" s="16" t="n">
        <f aca="false">EdadEmision+B9</f>
        <v>45</v>
      </c>
      <c r="D9" s="16" t="n">
        <f aca="false">IF(B9&lt;Plazo,1,0)</f>
        <v>1</v>
      </c>
      <c r="E9" s="26" t="n">
        <f aca="false">IF(Sexo="M",INDEX(CSO_H,C9+1),INDEX(CSO_M,C9+1))</f>
        <v>0.00455</v>
      </c>
      <c r="F9" s="27" t="n">
        <f aca="false">IF(C9&lt;40,Fact_25_39,IF(C9&lt;50,Fact_40_49,Fact_50mas))</f>
        <v>0.75</v>
      </c>
      <c r="G9" s="28" t="n">
        <f aca="false">(1-Mejora)^B9</f>
        <v>1</v>
      </c>
      <c r="H9" s="26" t="n">
        <f aca="false">D9*MIN(E9*F9*G9*$E$3,1)</f>
        <v>0.0034125</v>
      </c>
      <c r="I9" s="27" t="n">
        <f aca="false">D9*MIN(IF(B9=0,Cad_Anio1,IF(B9=1,Cad_Anio2,Cad_Anio3))*$E$4,1)</f>
        <v>0.04</v>
      </c>
      <c r="J9" s="26" t="n">
        <f aca="false">D9</f>
        <v>1</v>
      </c>
      <c r="K9" s="22" t="n">
        <f aca="false">J9*PrimaAnual</f>
        <v>1793.78</v>
      </c>
      <c r="L9" s="22" t="n">
        <f aca="false">K9*IF(B9=0,ComisionAnio1,ComisionRenov)</f>
        <v>896.89</v>
      </c>
      <c r="M9" s="22" t="n">
        <f aca="false">J9*IF(B9=0,CostoSuscripcion,0)</f>
        <v>150</v>
      </c>
      <c r="N9" s="22" t="n">
        <f aca="false">J9*CostoMant*(1+Inflacion+$E$6)^B9*$E$5</f>
        <v>60</v>
      </c>
      <c r="O9" s="22" t="n">
        <f aca="false">J9*H9*SumaAsegurada</f>
        <v>511.875</v>
      </c>
      <c r="P9" s="22" t="n">
        <f aca="false">J9*H9*CostoSiniestro*(1+Inflacion+$E$6)^B9*$E$5</f>
        <v>0.6825</v>
      </c>
      <c r="Q9" s="26" t="n">
        <f aca="false">INDEX(FD_Bloqueado,B9+1)</f>
        <v>1</v>
      </c>
      <c r="R9" s="26" t="n">
        <f aca="false">INDEX(FD_Bloqueado,B9+2)</f>
        <v>0.955633106084657</v>
      </c>
      <c r="S9" s="22" t="n">
        <f aca="false">(L9+M9+N9-K9)*Q9+(O9+P9)*R9</f>
        <v>-197.073084228014</v>
      </c>
      <c r="T9" s="29" t="n">
        <f aca="false">J9*SumaAsegurada</f>
        <v>150000</v>
      </c>
    </row>
    <row r="10" customFormat="false" ht="15" hidden="false" customHeight="false" outlineLevel="0" collapsed="false">
      <c r="A10" s="16" t="n">
        <f aca="false">B10+1</f>
        <v>2</v>
      </c>
      <c r="B10" s="16" t="n">
        <f aca="false">ROW()-9</f>
        <v>1</v>
      </c>
      <c r="C10" s="16" t="n">
        <f aca="false">EdadEmision+B10</f>
        <v>46</v>
      </c>
      <c r="D10" s="16" t="n">
        <f aca="false">IF(B10&lt;Plazo,1,0)</f>
        <v>1</v>
      </c>
      <c r="E10" s="26" t="n">
        <f aca="false">IF(Sexo="M",INDEX(CSO_H,C10+1),INDEX(CSO_M,C10+1))</f>
        <v>0.00492</v>
      </c>
      <c r="F10" s="27" t="n">
        <f aca="false">IF(C10&lt;40,Fact_25_39,IF(C10&lt;50,Fact_40_49,Fact_50mas))</f>
        <v>0.75</v>
      </c>
      <c r="G10" s="28" t="n">
        <f aca="false">(1-Mejora)^B10</f>
        <v>0.99</v>
      </c>
      <c r="H10" s="26" t="n">
        <f aca="false">D10*MIN(E10*F10*G10*$E$3,1)</f>
        <v>0.0036531</v>
      </c>
      <c r="I10" s="27" t="n">
        <f aca="false">D10*MIN(IF(B10=0,Cad_Anio1,IF(B10=1,Cad_Anio2,Cad_Anio3))*$E$4,1)</f>
        <v>0.03</v>
      </c>
      <c r="J10" s="26" t="n">
        <f aca="false">J9*(1-H9)*(1-I9)*D10</f>
        <v>0.956724</v>
      </c>
      <c r="K10" s="22" t="n">
        <f aca="false">J10*PrimaAnual</f>
        <v>1716.15237672</v>
      </c>
      <c r="L10" s="22" t="n">
        <f aca="false">K10*IF(B10=0,ComisionAnio1,ComisionRenov)</f>
        <v>85.807618836</v>
      </c>
      <c r="M10" s="22" t="n">
        <f aca="false">J10*IF(B10=0,CostoSuscripcion,0)</f>
        <v>0</v>
      </c>
      <c r="N10" s="22" t="n">
        <f aca="false">J10*CostoMant*(1+Inflacion+$E$6)^B10*$E$5</f>
        <v>58.838526</v>
      </c>
      <c r="O10" s="22" t="n">
        <f aca="false">J10*H10*SumaAsegurada</f>
        <v>524.25126666</v>
      </c>
      <c r="P10" s="22" t="n">
        <f aca="false">J10*H10*CostoSiniestro*(1+Inflacion+$E$6)^B10*$E$5</f>
        <v>0.716476731102</v>
      </c>
      <c r="Q10" s="26" t="n">
        <f aca="false">INDEX(FD_Bloqueado,B10+1)</f>
        <v>0.955633106084657</v>
      </c>
      <c r="R10" s="26" t="n">
        <f aca="false">INDEX(FD_Bloqueado,B10+2)</f>
        <v>0.912164123097817</v>
      </c>
      <c r="S10" s="22" t="n">
        <f aca="false">(L10+M10+N10-K10)*Q10+(O10+P10)*R10</f>
        <v>-1022.92664030172</v>
      </c>
      <c r="T10" s="29" t="n">
        <f aca="false">J10*SumaAsegurada</f>
        <v>143508.6</v>
      </c>
    </row>
    <row r="11" customFormat="false" ht="15" hidden="false" customHeight="false" outlineLevel="0" collapsed="false">
      <c r="A11" s="16" t="n">
        <f aca="false">B11+1</f>
        <v>3</v>
      </c>
      <c r="B11" s="16" t="n">
        <f aca="false">ROW()-9</f>
        <v>2</v>
      </c>
      <c r="C11" s="16" t="n">
        <f aca="false">EdadEmision+B11</f>
        <v>47</v>
      </c>
      <c r="D11" s="16" t="n">
        <f aca="false">IF(B11&lt;Plazo,1,0)</f>
        <v>1</v>
      </c>
      <c r="E11" s="26" t="n">
        <f aca="false">IF(Sexo="M",INDEX(CSO_H,C11+1),INDEX(CSO_M,C11+1))</f>
        <v>0.00532</v>
      </c>
      <c r="F11" s="27" t="n">
        <f aca="false">IF(C11&lt;40,Fact_25_39,IF(C11&lt;50,Fact_40_49,Fact_50mas))</f>
        <v>0.75</v>
      </c>
      <c r="G11" s="28" t="n">
        <f aca="false">(1-Mejora)^B11</f>
        <v>0.9801</v>
      </c>
      <c r="H11" s="26" t="n">
        <f aca="false">D11*MIN(E11*F11*G11*$E$3,1)</f>
        <v>0.003910599</v>
      </c>
      <c r="I11" s="27" t="n">
        <f aca="false">D11*MIN(IF(B11=0,Cad_Anio1,IF(B11=1,Cad_Anio2,Cad_Anio3))*$E$4,1)</f>
        <v>0.02</v>
      </c>
      <c r="J11" s="26" t="n">
        <f aca="false">J10*(1-H10)*(1-I10)*D11</f>
        <v>0.924632121808932</v>
      </c>
      <c r="K11" s="22" t="n">
        <f aca="false">J11*PrimaAnual</f>
        <v>1658.58660745843</v>
      </c>
      <c r="L11" s="22" t="n">
        <f aca="false">K11*IF(B11=0,ComisionAnio1,ComisionRenov)</f>
        <v>82.9293303729213</v>
      </c>
      <c r="M11" s="22" t="n">
        <f aca="false">J11*IF(B11=0,CostoSuscripcion,0)</f>
        <v>0</v>
      </c>
      <c r="N11" s="22" t="n">
        <f aca="false">J11*CostoMant*(1+Inflacion+$E$6)^B11*$E$5</f>
        <v>58.2864973785305</v>
      </c>
      <c r="O11" s="22" t="n">
        <f aca="false">J11*H11*SumaAsegurada</f>
        <v>542.379817637083</v>
      </c>
      <c r="P11" s="22" t="n">
        <f aca="false">J11*H11*CostoSiniestro*(1+Inflacion+$E$6)^B11*$E$5</f>
        <v>0.759783727873281</v>
      </c>
      <c r="Q11" s="26" t="n">
        <f aca="false">INDEX(FD_Bloqueado,B11+1)</f>
        <v>0.912164123097817</v>
      </c>
      <c r="R11" s="26" t="n">
        <f aca="false">INDEX(FD_Bloqueado,B11+2)</f>
        <v>0.869142637040769</v>
      </c>
      <c r="S11" s="22" t="n">
        <f aca="false">(L11+M11+N11-K11)*Q11+(O11+P11)*R11</f>
        <v>-912.025401274052</v>
      </c>
      <c r="T11" s="29" t="n">
        <f aca="false">J11*SumaAsegurada</f>
        <v>138694.81827134</v>
      </c>
    </row>
    <row r="12" customFormat="false" ht="15" hidden="false" customHeight="false" outlineLevel="0" collapsed="false">
      <c r="A12" s="16" t="n">
        <f aca="false">B12+1</f>
        <v>4</v>
      </c>
      <c r="B12" s="16" t="n">
        <f aca="false">ROW()-9</f>
        <v>3</v>
      </c>
      <c r="C12" s="16" t="n">
        <f aca="false">EdadEmision+B12</f>
        <v>48</v>
      </c>
      <c r="D12" s="16" t="n">
        <f aca="false">IF(B12&lt;Plazo,1,0)</f>
        <v>1</v>
      </c>
      <c r="E12" s="26" t="n">
        <f aca="false">IF(Sexo="M",INDEX(CSO_H,C12+1),INDEX(CSO_M,C12+1))</f>
        <v>0.00574</v>
      </c>
      <c r="F12" s="27" t="n">
        <f aca="false">IF(C12&lt;40,Fact_25_39,IF(C12&lt;50,Fact_40_49,Fact_50mas))</f>
        <v>0.75</v>
      </c>
      <c r="G12" s="28" t="n">
        <f aca="false">(1-Mejora)^B12</f>
        <v>0.970299</v>
      </c>
      <c r="H12" s="26" t="n">
        <f aca="false">D12*MIN(E12*F12*G12*$E$3,1)</f>
        <v>0.004177137195</v>
      </c>
      <c r="I12" s="27" t="n">
        <f aca="false">D12*MIN(IF(B12=0,Cad_Anio1,IF(B12=1,Cad_Anio2,Cad_Anio3))*$E$4,1)</f>
        <v>0.02</v>
      </c>
      <c r="J12" s="26" t="n">
        <f aca="false">J11*(1-H11)*(1-I11)*D12</f>
        <v>0.902595931230858</v>
      </c>
      <c r="K12" s="22" t="n">
        <f aca="false">J12*PrimaAnual</f>
        <v>1619.05852952329</v>
      </c>
      <c r="L12" s="22" t="n">
        <f aca="false">K12*IF(B12=0,ComisionAnio1,ComisionRenov)</f>
        <v>80.9529264761644</v>
      </c>
      <c r="M12" s="22" t="n">
        <f aca="false">J12*IF(B12=0,CostoSuscripcion,0)</f>
        <v>0</v>
      </c>
      <c r="N12" s="22" t="n">
        <f aca="false">J12*CostoMant*(1+Inflacion+$E$6)^B12*$E$5</f>
        <v>58.3198257903393</v>
      </c>
      <c r="O12" s="22" t="n">
        <f aca="false">J12*H12*SumaAsegurada</f>
        <v>565.540055460012</v>
      </c>
      <c r="P12" s="22" t="n">
        <f aca="false">J12*H12*CostoSiniestro*(1+Inflacion+$E$6)^B12*$E$5</f>
        <v>0.812033045049155</v>
      </c>
      <c r="Q12" s="26" t="n">
        <f aca="false">INDEX(FD_Bloqueado,B12+1)</f>
        <v>0.869142637040769</v>
      </c>
      <c r="R12" s="26" t="n">
        <f aca="false">INDEX(FD_Bloqueado,B12+2)</f>
        <v>0.826857566112177</v>
      </c>
      <c r="S12" s="22" t="n">
        <f aca="false">(L12+M12+N12-K12)*Q12+(O12+P12)*R12</f>
        <v>-817.852403236542</v>
      </c>
      <c r="T12" s="29" t="n">
        <f aca="false">J12*SumaAsegurada</f>
        <v>135389.389684629</v>
      </c>
    </row>
    <row r="13" customFormat="false" ht="15" hidden="false" customHeight="false" outlineLevel="0" collapsed="false">
      <c r="A13" s="16" t="n">
        <f aca="false">B13+1</f>
        <v>5</v>
      </c>
      <c r="B13" s="16" t="n">
        <f aca="false">ROW()-9</f>
        <v>4</v>
      </c>
      <c r="C13" s="16" t="n">
        <f aca="false">EdadEmision+B13</f>
        <v>49</v>
      </c>
      <c r="D13" s="16" t="n">
        <f aca="false">IF(B13&lt;Plazo,1,0)</f>
        <v>1</v>
      </c>
      <c r="E13" s="26" t="n">
        <f aca="false">IF(Sexo="M",INDEX(CSO_H,C13+1),INDEX(CSO_M,C13+1))</f>
        <v>0.00621</v>
      </c>
      <c r="F13" s="27" t="n">
        <f aca="false">IF(C13&lt;40,Fact_25_39,IF(C13&lt;50,Fact_40_49,Fact_50mas))</f>
        <v>0.75</v>
      </c>
      <c r="G13" s="28" t="n">
        <f aca="false">(1-Mejora)^B13</f>
        <v>0.96059601</v>
      </c>
      <c r="H13" s="26" t="n">
        <f aca="false">D13*MIN(E13*F13*G13*$E$3,1)</f>
        <v>0.004473975916575</v>
      </c>
      <c r="I13" s="27" t="n">
        <f aca="false">D13*MIN(IF(B13=0,Cad_Anio1,IF(B13=1,Cad_Anio2,Cad_Anio3))*$E$4,1)</f>
        <v>0.02</v>
      </c>
      <c r="J13" s="26" t="n">
        <f aca="false">J12*(1-H12)*(1-I12)*D13</f>
        <v>0.880849150910569</v>
      </c>
      <c r="K13" s="22" t="n">
        <f aca="false">J13*PrimaAnual</f>
        <v>1580.04958992036</v>
      </c>
      <c r="L13" s="22" t="n">
        <f aca="false">K13*IF(B13=0,ComisionAnio1,ComisionRenov)</f>
        <v>79.002479496018</v>
      </c>
      <c r="M13" s="22" t="n">
        <f aca="false">J13*IF(B13=0,CostoSuscripcion,0)</f>
        <v>0</v>
      </c>
      <c r="N13" s="22" t="n">
        <f aca="false">J13*CostoMant*(1+Inflacion+$E$6)^B13*$E$5</f>
        <v>58.3375588482703</v>
      </c>
      <c r="O13" s="22" t="n">
        <f aca="false">J13*H13*SumaAsegurada</f>
        <v>591.134683096413</v>
      </c>
      <c r="P13" s="22" t="n">
        <f aca="false">J13*H13*CostoSiniestro*(1+Inflacion+$E$6)^B13*$E$5</f>
        <v>0.870002777729793</v>
      </c>
      <c r="Q13" s="26" t="n">
        <f aca="false">INDEX(FD_Bloqueado,B13+1)</f>
        <v>0.826857566112177</v>
      </c>
      <c r="R13" s="26" t="n">
        <f aca="false">INDEX(FD_Bloqueado,B13+2)</f>
        <v>0.785019369510734</v>
      </c>
      <c r="S13" s="22" t="n">
        <f aca="false">(L13+M13+N13-K13)*Q13+(O13+P13)*R13</f>
        <v>-728.180163170661</v>
      </c>
      <c r="T13" s="29" t="n">
        <f aca="false">J13*SumaAsegurada</f>
        <v>132127.372636585</v>
      </c>
    </row>
    <row r="14" customFormat="false" ht="15" hidden="false" customHeight="false" outlineLevel="0" collapsed="false">
      <c r="A14" s="16" t="n">
        <f aca="false">B14+1</f>
        <v>6</v>
      </c>
      <c r="B14" s="16" t="n">
        <f aca="false">ROW()-9</f>
        <v>5</v>
      </c>
      <c r="C14" s="16" t="n">
        <f aca="false">EdadEmision+B14</f>
        <v>50</v>
      </c>
      <c r="D14" s="16" t="n">
        <f aca="false">IF(B14&lt;Plazo,1,0)</f>
        <v>1</v>
      </c>
      <c r="E14" s="26" t="n">
        <f aca="false">IF(Sexo="M",INDEX(CSO_H,C14+1),INDEX(CSO_M,C14+1))</f>
        <v>0.00671</v>
      </c>
      <c r="F14" s="27" t="n">
        <f aca="false">IF(C14&lt;40,Fact_25_39,IF(C14&lt;50,Fact_40_49,Fact_50mas))</f>
        <v>0.95</v>
      </c>
      <c r="G14" s="28" t="n">
        <f aca="false">(1-Mejora)^B14</f>
        <v>0.9509900499</v>
      </c>
      <c r="H14" s="26" t="n">
        <f aca="false">D14*MIN(E14*F14*G14*$E$3,1)</f>
        <v>0.00606208607308755</v>
      </c>
      <c r="I14" s="27" t="n">
        <f aca="false">D14*MIN(IF(B14=0,Cad_Anio1,IF(B14=1,Cad_Anio2,Cad_Anio3))*$E$4,1)</f>
        <v>0.02</v>
      </c>
      <c r="J14" s="26" t="n">
        <f aca="false">J13*(1-H13)*(1-I13)*D14</f>
        <v>0.859370087962794</v>
      </c>
      <c r="K14" s="22" t="n">
        <f aca="false">J14*PrimaAnual</f>
        <v>1541.5208763859</v>
      </c>
      <c r="L14" s="22" t="n">
        <f aca="false">K14*IF(B14=0,ComisionAnio1,ComisionRenov)</f>
        <v>77.076043819295</v>
      </c>
      <c r="M14" s="22" t="n">
        <f aca="false">J14*IF(B14=0,CostoSuscripcion,0)</f>
        <v>0</v>
      </c>
      <c r="N14" s="22" t="n">
        <f aca="false">J14*CostoMant*(1+Inflacion+$E$6)^B14*$E$5</f>
        <v>58.3379025260186</v>
      </c>
      <c r="O14" s="22" t="n">
        <f aca="false">J14*H14*SumaAsegurada</f>
        <v>781.436316280091</v>
      </c>
      <c r="P14" s="22" t="n">
        <f aca="false">J14*H14*CostoSiniestro*(1+Inflacion+$E$6)^B14*$E$5</f>
        <v>1.17883128812039</v>
      </c>
      <c r="Q14" s="26" t="n">
        <f aca="false">INDEX(FD_Bloqueado,B14+1)</f>
        <v>0.785019369510734</v>
      </c>
      <c r="R14" s="26" t="n">
        <f aca="false">INDEX(FD_Bloqueado,B14+2)</f>
        <v>0.743555885045308</v>
      </c>
      <c r="S14" s="22" t="n">
        <f aca="false">(L14+M14+N14-K14)*Q14+(O14+P14)*R14</f>
        <v>-521.903076985189</v>
      </c>
      <c r="T14" s="29" t="n">
        <f aca="false">J14*SumaAsegurada</f>
        <v>128905.513194419</v>
      </c>
    </row>
    <row r="15" customFormat="false" ht="15" hidden="false" customHeight="false" outlineLevel="0" collapsed="false">
      <c r="A15" s="16" t="n">
        <f aca="false">B15+1</f>
        <v>7</v>
      </c>
      <c r="B15" s="16" t="n">
        <f aca="false">ROW()-9</f>
        <v>6</v>
      </c>
      <c r="C15" s="16" t="n">
        <f aca="false">EdadEmision+B15</f>
        <v>51</v>
      </c>
      <c r="D15" s="16" t="n">
        <f aca="false">IF(B15&lt;Plazo,1,0)</f>
        <v>1</v>
      </c>
      <c r="E15" s="26" t="n">
        <f aca="false">IF(Sexo="M",INDEX(CSO_H,C15+1),INDEX(CSO_M,C15+1))</f>
        <v>0.0073</v>
      </c>
      <c r="F15" s="27" t="n">
        <f aca="false">IF(C15&lt;40,Fact_25_39,IF(C15&lt;50,Fact_40_49,Fact_50mas))</f>
        <v>0.95</v>
      </c>
      <c r="G15" s="28" t="n">
        <f aca="false">(1-Mejora)^B15</f>
        <v>0.941480149401</v>
      </c>
      <c r="H15" s="26" t="n">
        <f aca="false">D15*MIN(E15*F15*G15*$E$3,1)</f>
        <v>0.00652916483609593</v>
      </c>
      <c r="I15" s="27" t="n">
        <f aca="false">D15*MIN(IF(B15=0,Cad_Anio1,IF(B15=1,Cad_Anio2,Cad_Anio3))*$E$4,1)</f>
        <v>0.02</v>
      </c>
      <c r="J15" s="26" t="n">
        <f aca="false">J14*(1-H14)*(1-I14)*D15</f>
        <v>0.837077302270508</v>
      </c>
      <c r="K15" s="22" t="n">
        <f aca="false">J15*PrimaAnual</f>
        <v>1501.53252326679</v>
      </c>
      <c r="L15" s="22" t="n">
        <f aca="false">K15*IF(B15=0,ComisionAnio1,ComisionRenov)</f>
        <v>75.0766261633396</v>
      </c>
      <c r="M15" s="22" t="n">
        <f aca="false">J15*IF(B15=0,CostoSuscripcion,0)</f>
        <v>0</v>
      </c>
      <c r="N15" s="22" t="n">
        <f aca="false">J15*CostoMant*(1+Inflacion+$E$6)^B15*$E$5</f>
        <v>58.2451822787106</v>
      </c>
      <c r="O15" s="22" t="n">
        <f aca="false">J15*H15*SumaAsegurada</f>
        <v>819.812353061797</v>
      </c>
      <c r="P15" s="22" t="n">
        <f aca="false">J15*H15*CostoSiniestro*(1+Inflacion+$E$6)^B15*$E$5</f>
        <v>1.26764132002052</v>
      </c>
      <c r="Q15" s="26" t="n">
        <f aca="false">INDEX(FD_Bloqueado,B15+1)</f>
        <v>0.743555885045308</v>
      </c>
      <c r="R15" s="26" t="n">
        <f aca="false">INDEX(FD_Bloqueado,B15+2)</f>
        <v>0.702911573608143</v>
      </c>
      <c r="S15" s="22" t="n">
        <f aca="false">(L15+M15+N15-K15)*Q15+(O15+P15)*R15</f>
        <v>-440.194498080896</v>
      </c>
      <c r="T15" s="29" t="n">
        <f aca="false">J15*SumaAsegurada</f>
        <v>125561.595340576</v>
      </c>
    </row>
    <row r="16" customFormat="false" ht="15" hidden="false" customHeight="false" outlineLevel="0" collapsed="false">
      <c r="A16" s="16" t="n">
        <f aca="false">B16+1</f>
        <v>8</v>
      </c>
      <c r="B16" s="16" t="n">
        <f aca="false">ROW()-9</f>
        <v>7</v>
      </c>
      <c r="C16" s="16" t="n">
        <f aca="false">EdadEmision+B16</f>
        <v>52</v>
      </c>
      <c r="D16" s="16" t="n">
        <f aca="false">IF(B16&lt;Plazo,1,0)</f>
        <v>1</v>
      </c>
      <c r="E16" s="26" t="n">
        <f aca="false">IF(Sexo="M",INDEX(CSO_H,C16+1),INDEX(CSO_M,C16+1))</f>
        <v>0.00796</v>
      </c>
      <c r="F16" s="27" t="n">
        <f aca="false">IF(C16&lt;40,Fact_25_39,IF(C16&lt;50,Fact_40_49,Fact_50mas))</f>
        <v>0.95</v>
      </c>
      <c r="G16" s="28" t="n">
        <f aca="false">(1-Mejora)^B16</f>
        <v>0.93206534790699</v>
      </c>
      <c r="H16" s="26" t="n">
        <f aca="false">D16*MIN(E16*F16*G16*$E$3,1)</f>
        <v>0.00704827816087266</v>
      </c>
      <c r="I16" s="27" t="n">
        <f aca="false">D16*MIN(IF(B16=0,Cad_Anio1,IF(B16=1,Cad_Anio2,Cad_Anio3))*$E$4,1)</f>
        <v>0.02</v>
      </c>
      <c r="J16" s="26" t="n">
        <f aca="false">J15*(1-H15)*(1-I15)*D16</f>
        <v>0.814979648851761</v>
      </c>
      <c r="K16" s="22" t="n">
        <f aca="false">J16*PrimaAnual</f>
        <v>1461.89419451731</v>
      </c>
      <c r="L16" s="22" t="n">
        <f aca="false">K16*IF(B16=0,ComisionAnio1,ComisionRenov)</f>
        <v>73.0947097258656</v>
      </c>
      <c r="M16" s="22" t="n">
        <f aca="false">J16*IF(B16=0,CostoSuscripcion,0)</f>
        <v>0</v>
      </c>
      <c r="N16" s="22" t="n">
        <f aca="false">J16*CostoMant*(1+Inflacion+$E$6)^B16*$E$5</f>
        <v>58.1252818871766</v>
      </c>
      <c r="O16" s="22" t="n">
        <f aca="false">J16*H16*SumaAsegurada</f>
        <v>861.63048908363</v>
      </c>
      <c r="P16" s="22" t="n">
        <f aca="false">J16*H16*CostoSiniestro*(1+Inflacion+$E$6)^B16*$E$5</f>
        <v>1.36561051639985</v>
      </c>
      <c r="Q16" s="26" t="n">
        <f aca="false">INDEX(FD_Bloqueado,B16+1)</f>
        <v>0.702911573608143</v>
      </c>
      <c r="R16" s="26" t="n">
        <f aca="false">INDEX(FD_Bloqueado,B16+2)</f>
        <v>0.663713829626701</v>
      </c>
      <c r="S16" s="22" t="n">
        <f aca="false">(L16+M16+N16-K16)*Q16+(O16+P16)*R16</f>
        <v>-362.563851704759</v>
      </c>
      <c r="T16" s="29" t="n">
        <f aca="false">J16*SumaAsegurada</f>
        <v>122246.947327764</v>
      </c>
    </row>
    <row r="17" customFormat="false" ht="15" hidden="false" customHeight="false" outlineLevel="0" collapsed="false">
      <c r="A17" s="16" t="n">
        <f aca="false">B17+1</f>
        <v>9</v>
      </c>
      <c r="B17" s="16" t="n">
        <f aca="false">ROW()-9</f>
        <v>8</v>
      </c>
      <c r="C17" s="16" t="n">
        <f aca="false">EdadEmision+B17</f>
        <v>53</v>
      </c>
      <c r="D17" s="16" t="n">
        <f aca="false">IF(B17&lt;Plazo,1,0)</f>
        <v>1</v>
      </c>
      <c r="E17" s="26" t="n">
        <f aca="false">IF(Sexo="M",INDEX(CSO_H,C17+1),INDEX(CSO_M,C17+1))</f>
        <v>0.00871</v>
      </c>
      <c r="F17" s="27" t="n">
        <f aca="false">IF(C17&lt;40,Fact_25_39,IF(C17&lt;50,Fact_40_49,Fact_50mas))</f>
        <v>0.95</v>
      </c>
      <c r="G17" s="28" t="n">
        <f aca="false">(1-Mejora)^B17</f>
        <v>0.92274469442792</v>
      </c>
      <c r="H17" s="26" t="n">
        <f aca="false">D17*MIN(E17*F17*G17*$E$3,1)</f>
        <v>0.00763525097404383</v>
      </c>
      <c r="I17" s="27" t="n">
        <f aca="false">D17*MIN(IF(B17=0,Cad_Anio1,IF(B17=1,Cad_Anio2,Cad_Anio3))*$E$4,1)</f>
        <v>0.02</v>
      </c>
      <c r="J17" s="26" t="n">
        <f aca="false">J16*(1-H16)*(1-I16)*D17</f>
        <v>0.793050736679379</v>
      </c>
      <c r="K17" s="22" t="n">
        <f aca="false">J17*PrimaAnual</f>
        <v>1422.55855044074</v>
      </c>
      <c r="L17" s="22" t="n">
        <f aca="false">K17*IF(B17=0,ComisionAnio1,ComisionRenov)</f>
        <v>71.1279275220369</v>
      </c>
      <c r="M17" s="22" t="n">
        <f aca="false">J17*IF(B17=0,CostoSuscripcion,0)</f>
        <v>0</v>
      </c>
      <c r="N17" s="22" t="n">
        <f aca="false">J17*CostoMant*(1+Inflacion+$E$6)^B17*$E$5</f>
        <v>57.9753189265518</v>
      </c>
      <c r="O17" s="22" t="n">
        <f aca="false">J17*H17*SumaAsegurada</f>
        <v>908.271211454611</v>
      </c>
      <c r="P17" s="22" t="n">
        <f aca="false">J17*H17*CostoSiniestro*(1+Inflacion+$E$6)^B17*$E$5</f>
        <v>1.47552036768152</v>
      </c>
      <c r="Q17" s="26" t="n">
        <f aca="false">INDEX(FD_Bloqueado,B17+1)</f>
        <v>0.663713829626701</v>
      </c>
      <c r="R17" s="26" t="n">
        <f aca="false">INDEX(FD_Bloqueado,B17+2)</f>
        <v>0.625605300108043</v>
      </c>
      <c r="S17" s="22" t="n">
        <f aca="false">(L17+M17+N17-K17)*Q17+(O17+P17)*R17</f>
        <v>-289.341796079601</v>
      </c>
      <c r="T17" s="29" t="n">
        <f aca="false">J17*SumaAsegurada</f>
        <v>118957.610501907</v>
      </c>
    </row>
    <row r="18" customFormat="false" ht="15" hidden="false" customHeight="false" outlineLevel="0" collapsed="false">
      <c r="A18" s="16" t="n">
        <f aca="false">B18+1</f>
        <v>10</v>
      </c>
      <c r="B18" s="16" t="n">
        <f aca="false">ROW()-9</f>
        <v>9</v>
      </c>
      <c r="C18" s="16" t="n">
        <f aca="false">EdadEmision+B18</f>
        <v>54</v>
      </c>
      <c r="D18" s="16" t="n">
        <f aca="false">IF(B18&lt;Plazo,1,0)</f>
        <v>1</v>
      </c>
      <c r="E18" s="26" t="n">
        <f aca="false">IF(Sexo="M",INDEX(CSO_H,C18+1),INDEX(CSO_M,C18+1))</f>
        <v>0.00956</v>
      </c>
      <c r="F18" s="27" t="n">
        <f aca="false">IF(C18&lt;40,Fact_25_39,IF(C18&lt;50,Fact_40_49,Fact_50mas))</f>
        <v>0.95</v>
      </c>
      <c r="G18" s="28" t="n">
        <f aca="false">(1-Mejora)^B18</f>
        <v>0.913517247483641</v>
      </c>
      <c r="H18" s="26" t="n">
        <f aca="false">D18*MIN(E18*F18*G18*$E$3,1)</f>
        <v>0.00829656364164643</v>
      </c>
      <c r="I18" s="27" t="n">
        <f aca="false">D18*MIN(IF(B18=0,Cad_Anio1,IF(B18=1,Cad_Anio2,Cad_Anio3))*$E$4,1)</f>
        <v>0.02</v>
      </c>
      <c r="J18" s="26" t="n">
        <f aca="false">J17*(1-H17)*(1-I17)*D18</f>
        <v>0.771255683364288</v>
      </c>
      <c r="K18" s="22" t="n">
        <f aca="false">J18*PrimaAnual</f>
        <v>1383.46301970519</v>
      </c>
      <c r="L18" s="22" t="n">
        <f aca="false">K18*IF(B18=0,ComisionAnio1,ComisionRenov)</f>
        <v>69.1731509852597</v>
      </c>
      <c r="M18" s="22" t="n">
        <f aca="false">J18*IF(B18=0,CostoSuscripcion,0)</f>
        <v>0</v>
      </c>
      <c r="N18" s="22" t="n">
        <f aca="false">J18*CostoMant*(1+Inflacion+$E$6)^B18*$E$5</f>
        <v>57.7915597989205</v>
      </c>
      <c r="O18" s="22" t="n">
        <f aca="false">J18*H18*SumaAsegurada</f>
        <v>959.815779151998</v>
      </c>
      <c r="P18" s="22" t="n">
        <f aca="false">J18*H18*CostoSiniestro*(1+Inflacion+$E$6)^B18*$E$5</f>
        <v>1.59823784607253</v>
      </c>
      <c r="Q18" s="26" t="n">
        <f aca="false">INDEX(FD_Bloqueado,B18+1)</f>
        <v>0.625605300108043</v>
      </c>
      <c r="R18" s="26" t="n">
        <f aca="false">INDEX(FD_Bloqueado,B18+2)</f>
        <v>0.589227218190428</v>
      </c>
      <c r="S18" s="22" t="n">
        <f aca="false">(L18+M18+N18-K18)*Q18+(O18+P18)*R18</f>
        <v>-219.58069487272</v>
      </c>
      <c r="T18" s="29" t="n">
        <f aca="false">J18*SumaAsegurada</f>
        <v>115688.352504643</v>
      </c>
    </row>
    <row r="19" customFormat="false" ht="15" hidden="false" customHeight="false" outlineLevel="0" collapsed="false">
      <c r="A19" s="16" t="n">
        <f aca="false">B19+1</f>
        <v>11</v>
      </c>
      <c r="B19" s="16" t="n">
        <f aca="false">ROW()-9</f>
        <v>10</v>
      </c>
      <c r="C19" s="16" t="n">
        <f aca="false">EdadEmision+B19</f>
        <v>55</v>
      </c>
      <c r="D19" s="16" t="n">
        <f aca="false">IF(B19&lt;Plazo,1,0)</f>
        <v>1</v>
      </c>
      <c r="E19" s="26" t="n">
        <f aca="false">IF(Sexo="M",INDEX(CSO_H,C19+1),INDEX(CSO_M,C19+1))</f>
        <v>0.01047</v>
      </c>
      <c r="F19" s="27" t="n">
        <f aca="false">IF(C19&lt;40,Fact_25_39,IF(C19&lt;50,Fact_40_49,Fact_50mas))</f>
        <v>0.95</v>
      </c>
      <c r="G19" s="28" t="n">
        <f aca="false">(1-Mejora)^B19</f>
        <v>0.904382075008804</v>
      </c>
      <c r="H19" s="26" t="n">
        <f aca="false">D19*MIN(E19*F19*G19*$E$3,1)</f>
        <v>0.00899543630907507</v>
      </c>
      <c r="I19" s="27" t="n">
        <f aca="false">D19*MIN(IF(B19=0,Cad_Anio1,IF(B19=1,Cad_Anio2,Cad_Anio3))*$E$4,1)</f>
        <v>0.02</v>
      </c>
      <c r="J19" s="26" t="n">
        <f aca="false">J18*(1-H18)*(1-I18)*D19</f>
        <v>0.749559773273209</v>
      </c>
      <c r="K19" s="22" t="n">
        <f aca="false">J19*PrimaAnual</f>
        <v>1344.54533010202</v>
      </c>
      <c r="L19" s="22" t="n">
        <f aca="false">K19*IF(B19=0,ComisionAnio1,ComisionRenov)</f>
        <v>67.2272665051009</v>
      </c>
      <c r="M19" s="22" t="n">
        <f aca="false">J19*IF(B19=0,CostoSuscripcion,0)</f>
        <v>0</v>
      </c>
      <c r="N19" s="22" t="n">
        <f aca="false">J19*CostoMant*(1+Inflacion+$E$6)^B19*$E$5</f>
        <v>57.5699928431016</v>
      </c>
      <c r="O19" s="22" t="n">
        <f aca="false">J19*H19*SumaAsegurada</f>
        <v>1011.39258004859</v>
      </c>
      <c r="P19" s="22" t="n">
        <f aca="false">J19*H19*CostoSiniestro*(1+Inflacion+$E$6)^B19*$E$5</f>
        <v>1.72622401311343</v>
      </c>
      <c r="Q19" s="26" t="n">
        <f aca="false">INDEX(FD_Bloqueado,B19+1)</f>
        <v>0.589227218190428</v>
      </c>
      <c r="R19" s="26" t="n">
        <f aca="false">INDEX(FD_Bloqueado,B19+2)</f>
        <v>0.55469576392788</v>
      </c>
      <c r="S19" s="22" t="n">
        <f aca="false">(L19+M19+N19-K19)*Q19+(O19+P19)*R19</f>
        <v>-156.736053654708</v>
      </c>
      <c r="T19" s="29" t="n">
        <f aca="false">J19*SumaAsegurada</f>
        <v>112433.965990981</v>
      </c>
    </row>
    <row r="20" customFormat="false" ht="15" hidden="false" customHeight="false" outlineLevel="0" collapsed="false">
      <c r="A20" s="16" t="n">
        <f aca="false">B20+1</f>
        <v>12</v>
      </c>
      <c r="B20" s="16" t="n">
        <f aca="false">ROW()-9</f>
        <v>11</v>
      </c>
      <c r="C20" s="16" t="n">
        <f aca="false">EdadEmision+B20</f>
        <v>56</v>
      </c>
      <c r="D20" s="16" t="n">
        <f aca="false">IF(B20&lt;Plazo,1,0)</f>
        <v>1</v>
      </c>
      <c r="E20" s="26" t="n">
        <f aca="false">IF(Sexo="M",INDEX(CSO_H,C20+1),INDEX(CSO_M,C20+1))</f>
        <v>0.01146</v>
      </c>
      <c r="F20" s="27" t="n">
        <f aca="false">IF(C20&lt;40,Fact_25_39,IF(C20&lt;50,Fact_40_49,Fact_50mas))</f>
        <v>0.95</v>
      </c>
      <c r="G20" s="28" t="n">
        <f aca="false">(1-Mejora)^B20</f>
        <v>0.895338254258716</v>
      </c>
      <c r="H20" s="26" t="n">
        <f aca="false">D20*MIN(E20*F20*G20*$E$3,1)</f>
        <v>0.00974754757411465</v>
      </c>
      <c r="I20" s="27" t="n">
        <f aca="false">D20*MIN(IF(B20=0,Cad_Anio1,IF(B20=1,Cad_Anio2,Cad_Anio3))*$E$4,1)</f>
        <v>0.02</v>
      </c>
      <c r="J20" s="26" t="n">
        <f aca="false">J19*(1-H19)*(1-I19)*D20</f>
        <v>0.727960812951428</v>
      </c>
      <c r="K20" s="22" t="n">
        <f aca="false">J20*PrimaAnual</f>
        <v>1305.80154705601</v>
      </c>
      <c r="L20" s="22" t="n">
        <f aca="false">K20*IF(B20=0,ComisionAnio1,ComisionRenov)</f>
        <v>65.2900773528006</v>
      </c>
      <c r="M20" s="22" t="n">
        <f aca="false">J20*IF(B20=0,CostoSuscripcion,0)</f>
        <v>0</v>
      </c>
      <c r="N20" s="22" t="n">
        <f aca="false">J20*CostoMant*(1+Inflacion+$E$6)^B20*$E$5</f>
        <v>57.3088602045439</v>
      </c>
      <c r="O20" s="22" t="n">
        <f aca="false">J20*H20*SumaAsegurada</f>
        <v>1064.37489845028</v>
      </c>
      <c r="P20" s="22" t="n">
        <f aca="false">J20*H20*CostoSiniestro*(1+Inflacion+$E$6)^B20*$E$5</f>
        <v>1.86206947087359</v>
      </c>
      <c r="Q20" s="26" t="n">
        <f aca="false">INDEX(FD_Bloqueado,B20+1)</f>
        <v>0.55469576392788</v>
      </c>
      <c r="R20" s="26" t="n">
        <f aca="false">INDEX(FD_Bloqueado,B20+2)</f>
        <v>0.522087486914417</v>
      </c>
      <c r="S20" s="22" t="n">
        <f aca="false">(L20+M20+N20-K20)*Q20+(O20+P20)*R20</f>
        <v>-99.648496320121</v>
      </c>
      <c r="T20" s="29" t="n">
        <f aca="false">J20*SumaAsegurada</f>
        <v>109194.121942714</v>
      </c>
    </row>
    <row r="21" customFormat="false" ht="15" hidden="false" customHeight="false" outlineLevel="0" collapsed="false">
      <c r="A21" s="16" t="n">
        <f aca="false">B21+1</f>
        <v>13</v>
      </c>
      <c r="B21" s="16" t="n">
        <f aca="false">ROW()-9</f>
        <v>12</v>
      </c>
      <c r="C21" s="16" t="n">
        <f aca="false">EdadEmision+B21</f>
        <v>57</v>
      </c>
      <c r="D21" s="16" t="n">
        <f aca="false">IF(B21&lt;Plazo,1,0)</f>
        <v>1</v>
      </c>
      <c r="E21" s="26" t="n">
        <f aca="false">IF(Sexo="M",INDEX(CSO_H,C21+1),INDEX(CSO_M,C21+1))</f>
        <v>0.01249</v>
      </c>
      <c r="F21" s="27" t="n">
        <f aca="false">IF(C21&lt;40,Fact_25_39,IF(C21&lt;50,Fact_40_49,Fact_50mas))</f>
        <v>0.95</v>
      </c>
      <c r="G21" s="28" t="n">
        <f aca="false">(1-Mejora)^B21</f>
        <v>0.886384871716129</v>
      </c>
      <c r="H21" s="26" t="n">
        <f aca="false">D21*MIN(E21*F21*G21*$E$3,1)</f>
        <v>0.0105173996953477</v>
      </c>
      <c r="I21" s="27" t="n">
        <f aca="false">D21*MIN(IF(B21=0,Cad_Anio1,IF(B21=1,Cad_Anio2,Cad_Anio3))*$E$4,1)</f>
        <v>0.02</v>
      </c>
      <c r="J21" s="26" t="n">
        <f aca="false">J20*(1-H20)*(1-I20)*D21</f>
        <v>0.706447680689191</v>
      </c>
      <c r="K21" s="22" t="n">
        <f aca="false">J21*PrimaAnual</f>
        <v>1267.21172066666</v>
      </c>
      <c r="L21" s="22" t="n">
        <f aca="false">K21*IF(B21=0,ComisionAnio1,ComisionRenov)</f>
        <v>63.3605860333328</v>
      </c>
      <c r="M21" s="22" t="n">
        <f aca="false">J21*IF(B21=0,CostoSuscripcion,0)</f>
        <v>0</v>
      </c>
      <c r="N21" s="22" t="n">
        <f aca="false">J21*CostoMant*(1+Inflacion+$E$6)^B21*$E$5</f>
        <v>57.0056154404166</v>
      </c>
      <c r="O21" s="22" t="n">
        <f aca="false">J21*H21*SumaAsegurada</f>
        <v>1114.49889324894</v>
      </c>
      <c r="P21" s="22" t="n">
        <f aca="false">J21*H21*CostoSiniestro*(1+Inflacion+$E$6)^B21*$E$5</f>
        <v>1.99850280822049</v>
      </c>
      <c r="Q21" s="26" t="n">
        <f aca="false">INDEX(FD_Bloqueado,B21+1)</f>
        <v>0.522087486914417</v>
      </c>
      <c r="R21" s="26" t="n">
        <f aca="false">INDEX(FD_Bloqueado,B21+2)</f>
        <v>0.490823534155882</v>
      </c>
      <c r="S21" s="22" t="n">
        <f aca="false">(L21+M21+N21-K21)*Q21+(O21+P21)*R21</f>
        <v>-50.7504971858688</v>
      </c>
      <c r="T21" s="29" t="n">
        <f aca="false">J21*SumaAsegurada</f>
        <v>105967.152103379</v>
      </c>
    </row>
    <row r="22" customFormat="false" ht="15" hidden="false" customHeight="false" outlineLevel="0" collapsed="false">
      <c r="A22" s="16" t="n">
        <f aca="false">B22+1</f>
        <v>14</v>
      </c>
      <c r="B22" s="16" t="n">
        <f aca="false">ROW()-9</f>
        <v>13</v>
      </c>
      <c r="C22" s="16" t="n">
        <f aca="false">EdadEmision+B22</f>
        <v>58</v>
      </c>
      <c r="D22" s="16" t="n">
        <f aca="false">IF(B22&lt;Plazo,1,0)</f>
        <v>1</v>
      </c>
      <c r="E22" s="26" t="n">
        <f aca="false">IF(Sexo="M",INDEX(CSO_H,C22+1),INDEX(CSO_M,C22+1))</f>
        <v>0.01359</v>
      </c>
      <c r="F22" s="27" t="n">
        <f aca="false">IF(C22&lt;40,Fact_25_39,IF(C22&lt;50,Fact_40_49,Fact_50mas))</f>
        <v>0.95</v>
      </c>
      <c r="G22" s="28" t="n">
        <f aca="false">(1-Mejora)^B22</f>
        <v>0.877521022998968</v>
      </c>
      <c r="H22" s="26" t="n">
        <f aca="false">D22*MIN(E22*F22*G22*$E$3,1)</f>
        <v>0.0113292351674282</v>
      </c>
      <c r="I22" s="27" t="n">
        <f aca="false">D22*MIN(IF(B22=0,Cad_Anio1,IF(B22=1,Cad_Anio2,Cad_Anio3))*$E$4,1)</f>
        <v>0.02</v>
      </c>
      <c r="J22" s="26" t="n">
        <f aca="false">J21*(1-H21)*(1-I21)*D22</f>
        <v>0.685037334306181</v>
      </c>
      <c r="K22" s="22" t="n">
        <f aca="false">J22*PrimaAnual</f>
        <v>1228.80626953174</v>
      </c>
      <c r="L22" s="22" t="n">
        <f aca="false">K22*IF(B22=0,ComisionAnio1,ComisionRenov)</f>
        <v>61.440313476587</v>
      </c>
      <c r="M22" s="22" t="n">
        <f aca="false">J22*IF(B22=0,CostoSuscripcion,0)</f>
        <v>0</v>
      </c>
      <c r="N22" s="22" t="n">
        <f aca="false">J22*CostoMant*(1+Inflacion+$E$6)^B22*$E$5</f>
        <v>56.6598918886412</v>
      </c>
      <c r="O22" s="22" t="n">
        <f aca="false">J22*H22*SumaAsegurada</f>
        <v>1164.14235882342</v>
      </c>
      <c r="P22" s="22" t="n">
        <f aca="false">J22*H22*CostoSiniestro*(1+Inflacion+$E$6)^B22*$E$5</f>
        <v>2.13971079922491</v>
      </c>
      <c r="Q22" s="26" t="n">
        <f aca="false">INDEX(FD_Bloqueado,B22+1)</f>
        <v>0.490823534155882</v>
      </c>
      <c r="R22" s="26" t="n">
        <f aca="false">INDEX(FD_Bloqueado,B22+2)</f>
        <v>0.462151381448276</v>
      </c>
      <c r="S22" s="22" t="n">
        <f aca="false">(L22+M22+N22-K22)*Q22+(O22+P22)*R22</f>
        <v>-6.16180618811598</v>
      </c>
      <c r="T22" s="29" t="n">
        <f aca="false">J22*SumaAsegurada</f>
        <v>102755.600145927</v>
      </c>
    </row>
    <row r="23" customFormat="false" ht="15" hidden="false" customHeight="false" outlineLevel="0" collapsed="false">
      <c r="A23" s="16" t="n">
        <f aca="false">B23+1</f>
        <v>15</v>
      </c>
      <c r="B23" s="16" t="n">
        <f aca="false">ROW()-9</f>
        <v>14</v>
      </c>
      <c r="C23" s="16" t="n">
        <f aca="false">EdadEmision+B23</f>
        <v>59</v>
      </c>
      <c r="D23" s="16" t="n">
        <f aca="false">IF(B23&lt;Plazo,1,0)</f>
        <v>1</v>
      </c>
      <c r="E23" s="26" t="n">
        <f aca="false">IF(Sexo="M",INDEX(CSO_H,C23+1),INDEX(CSO_M,C23+1))</f>
        <v>0.01477</v>
      </c>
      <c r="F23" s="27" t="n">
        <f aca="false">IF(C23&lt;40,Fact_25_39,IF(C23&lt;50,Fact_40_49,Fact_50mas))</f>
        <v>0.95</v>
      </c>
      <c r="G23" s="28" t="n">
        <f aca="false">(1-Mejora)^B23</f>
        <v>0.868745812768978</v>
      </c>
      <c r="H23" s="26" t="n">
        <f aca="false">D23*MIN(E23*F23*G23*$E$3,1)</f>
        <v>0.0121898068718679</v>
      </c>
      <c r="I23" s="27" t="n">
        <f aca="false">D23*MIN(IF(B23=0,Cad_Anio1,IF(B23=1,Cad_Anio2,Cad_Anio3))*$E$4,1)</f>
        <v>0.02</v>
      </c>
      <c r="J23" s="26" t="n">
        <f aca="false">J22*(1-H22)*(1-I22)*D23</f>
        <v>0.663730857542411</v>
      </c>
      <c r="K23" s="22" t="n">
        <f aca="false">J23*PrimaAnual</f>
        <v>1190.58713764243</v>
      </c>
      <c r="L23" s="22" t="n">
        <f aca="false">K23*IF(B23=0,ComisionAnio1,ComisionRenov)</f>
        <v>59.5293568821213</v>
      </c>
      <c r="M23" s="22" t="n">
        <f aca="false">J23*IF(B23=0,CostoSuscripcion,0)</f>
        <v>0</v>
      </c>
      <c r="N23" s="22" t="n">
        <f aca="false">J23*CostoMant*(1+Inflacion+$E$6)^B23*$E$5</f>
        <v>56.2700595527936</v>
      </c>
      <c r="O23" s="22" t="n">
        <f aca="false">J23*H23*SumaAsegurada</f>
        <v>1213.61264525119</v>
      </c>
      <c r="P23" s="22" t="n">
        <f aca="false">J23*H23*CostoSiniestro*(1+Inflacion+$E$6)^B23*$E$5</f>
        <v>2.28640386205687</v>
      </c>
      <c r="Q23" s="26" t="n">
        <f aca="false">INDEX(FD_Bloqueado,B23+1)</f>
        <v>0.462151381448276</v>
      </c>
      <c r="R23" s="26" t="n">
        <f aca="false">INDEX(FD_Bloqueado,B23+2)</f>
        <v>0.434182199189579</v>
      </c>
      <c r="S23" s="22" t="n">
        <f aca="false">(L23+M23+N23-K23)*Q23+(O23+P23)*R23</f>
        <v>31.2070930168127</v>
      </c>
      <c r="T23" s="29" t="n">
        <f aca="false">J23*SumaAsegurada</f>
        <v>99559.6286313616</v>
      </c>
    </row>
    <row r="24" customFormat="false" ht="15" hidden="false" customHeight="false" outlineLevel="0" collapsed="false">
      <c r="A24" s="16" t="n">
        <f aca="false">B24+1</f>
        <v>16</v>
      </c>
      <c r="B24" s="16" t="n">
        <f aca="false">ROW()-9</f>
        <v>15</v>
      </c>
      <c r="C24" s="16" t="n">
        <f aca="false">EdadEmision+B24</f>
        <v>60</v>
      </c>
      <c r="D24" s="16" t="n">
        <f aca="false">IF(B24&lt;Plazo,1,0)</f>
        <v>1</v>
      </c>
      <c r="E24" s="26" t="n">
        <f aca="false">IF(Sexo="M",INDEX(CSO_H,C24+1),INDEX(CSO_M,C24+1))</f>
        <v>0.01608</v>
      </c>
      <c r="F24" s="27" t="n">
        <f aca="false">IF(C24&lt;40,Fact_25_39,IF(C24&lt;50,Fact_40_49,Fact_50mas))</f>
        <v>0.95</v>
      </c>
      <c r="G24" s="28" t="n">
        <f aca="false">(1-Mejora)^B24</f>
        <v>0.860058354641288</v>
      </c>
      <c r="H24" s="26" t="n">
        <f aca="false">D24*MIN(E24*F24*G24*$E$3,1)</f>
        <v>0.0131382514255003</v>
      </c>
      <c r="I24" s="27" t="n">
        <f aca="false">D24*MIN(IF(B24=0,Cad_Anio1,IF(B24=1,Cad_Anio2,Cad_Anio3))*$E$4,1)</f>
        <v>0.02</v>
      </c>
      <c r="J24" s="26" t="n">
        <f aca="false">J23*(1-H23)*(1-I23)*D24</f>
        <v>0.642527304442588</v>
      </c>
      <c r="K24" s="22" t="n">
        <f aca="false">J24*PrimaAnual</f>
        <v>1152.55262816303</v>
      </c>
      <c r="L24" s="22" t="n">
        <f aca="false">K24*IF(B24=0,ComisionAnio1,ComisionRenov)</f>
        <v>57.6276314081513</v>
      </c>
      <c r="M24" s="22" t="n">
        <f aca="false">J24*IF(B24=0,CostoSuscripcion,0)</f>
        <v>0</v>
      </c>
      <c r="N24" s="22" t="n">
        <f aca="false">J24*CostoMant*(1+Inflacion+$E$6)^B24*$E$5</f>
        <v>55.8342670169504</v>
      </c>
      <c r="O24" s="22" t="n">
        <f aca="false">J24*H24*SumaAsegurada</f>
        <v>1266.25279102736</v>
      </c>
      <c r="P24" s="22" t="n">
        <f aca="false">J24*H24*CostoSiniestro*(1+Inflacion+$E$6)^B24*$E$5</f>
        <v>2.44521546075738</v>
      </c>
      <c r="Q24" s="26" t="n">
        <f aca="false">INDEX(FD_Bloqueado,B24+1)</f>
        <v>0.434182199189579</v>
      </c>
      <c r="R24" s="26" t="n">
        <f aca="false">INDEX(FD_Bloqueado,B24+2)</f>
        <v>0.40877989066849</v>
      </c>
      <c r="S24" s="22" t="n">
        <f aca="false">(L24+M24+N24-K24)*Q24+(O24+P24)*R24</f>
        <v>67.4635341884257</v>
      </c>
      <c r="T24" s="29" t="n">
        <f aca="false">J24*SumaAsegurada</f>
        <v>96379.0956663882</v>
      </c>
    </row>
    <row r="25" customFormat="false" ht="15" hidden="false" customHeight="false" outlineLevel="0" collapsed="false">
      <c r="A25" s="16" t="n">
        <f aca="false">B25+1</f>
        <v>17</v>
      </c>
      <c r="B25" s="16" t="n">
        <f aca="false">ROW()-9</f>
        <v>16</v>
      </c>
      <c r="C25" s="16" t="n">
        <f aca="false">EdadEmision+B25</f>
        <v>61</v>
      </c>
      <c r="D25" s="16" t="n">
        <f aca="false">IF(B25&lt;Plazo,1,0)</f>
        <v>1</v>
      </c>
      <c r="E25" s="26" t="n">
        <f aca="false">IF(Sexo="M",INDEX(CSO_H,C25+1),INDEX(CSO_M,C25+1))</f>
        <v>0.01754</v>
      </c>
      <c r="F25" s="27" t="n">
        <f aca="false">IF(C25&lt;40,Fact_25_39,IF(C25&lt;50,Fact_40_49,Fact_50mas))</f>
        <v>0.95</v>
      </c>
      <c r="G25" s="28" t="n">
        <f aca="false">(1-Mejora)^B25</f>
        <v>0.851457771094876</v>
      </c>
      <c r="H25" s="26" t="n">
        <f aca="false">D25*MIN(E25*F25*G25*$E$3,1)</f>
        <v>0.0141878408397539</v>
      </c>
      <c r="I25" s="27" t="n">
        <f aca="false">D25*MIN(IF(B25=0,Cad_Anio1,IF(B25=1,Cad_Anio2,Cad_Anio3))*$E$4,1)</f>
        <v>0.02</v>
      </c>
      <c r="J25" s="26" t="n">
        <f aca="false">J24*(1-H24)*(1-I24)*D25</f>
        <v>0.621403906785691</v>
      </c>
      <c r="K25" s="22" t="n">
        <f aca="false">J25*PrimaAnual</f>
        <v>1114.66189991404</v>
      </c>
      <c r="L25" s="22" t="n">
        <f aca="false">K25*IF(B25=0,ComisionAnio1,ComisionRenov)</f>
        <v>55.7330949957018</v>
      </c>
      <c r="M25" s="22" t="n">
        <f aca="false">J25*IF(B25=0,CostoSuscripcion,0)</f>
        <v>0</v>
      </c>
      <c r="N25" s="22" t="n">
        <f aca="false">J25*CostoMant*(1+Inflacion+$E$6)^B25*$E$5</f>
        <v>55.3486555394274</v>
      </c>
      <c r="O25" s="22" t="n">
        <f aca="false">J25*H25*SumaAsegurada</f>
        <v>1322.4569590015</v>
      </c>
      <c r="P25" s="22" t="n">
        <f aca="false">J25*H25*CostoSiniestro*(1+Inflacion+$E$6)^B25*$E$5</f>
        <v>2.61759305162587</v>
      </c>
      <c r="Q25" s="26" t="n">
        <f aca="false">INDEX(FD_Bloqueado,B25+1)</f>
        <v>0.40877989066849</v>
      </c>
      <c r="R25" s="26" t="n">
        <f aca="false">INDEX(FD_Bloqueado,B25+2)</f>
        <v>0.384639547396534</v>
      </c>
      <c r="S25" s="22" t="n">
        <f aca="false">(L25+M25+N25-K25)*Q25+(O25+P25)*R25</f>
        <v>99.4326922282027</v>
      </c>
      <c r="T25" s="29" t="n">
        <f aca="false">J25*SumaAsegurada</f>
        <v>93210.5860178536</v>
      </c>
    </row>
    <row r="26" customFormat="false" ht="15" hidden="false" customHeight="false" outlineLevel="0" collapsed="false">
      <c r="A26" s="16" t="n">
        <f aca="false">B26+1</f>
        <v>18</v>
      </c>
      <c r="B26" s="16" t="n">
        <f aca="false">ROW()-9</f>
        <v>17</v>
      </c>
      <c r="C26" s="16" t="n">
        <f aca="false">EdadEmision+B26</f>
        <v>62</v>
      </c>
      <c r="D26" s="16" t="n">
        <f aca="false">IF(B26&lt;Plazo,1,0)</f>
        <v>1</v>
      </c>
      <c r="E26" s="26" t="n">
        <f aca="false">IF(Sexo="M",INDEX(CSO_H,C26+1),INDEX(CSO_M,C26+1))</f>
        <v>0.01919</v>
      </c>
      <c r="F26" s="27" t="n">
        <f aca="false">IF(C26&lt;40,Fact_25_39,IF(C26&lt;50,Fact_40_49,Fact_50mas))</f>
        <v>0.95</v>
      </c>
      <c r="G26" s="28" t="n">
        <f aca="false">(1-Mejora)^B26</f>
        <v>0.842943193383927</v>
      </c>
      <c r="H26" s="26" t="n">
        <f aca="false">D26*MIN(E26*F26*G26*$E$3,1)</f>
        <v>0.0153672758869857</v>
      </c>
      <c r="I26" s="27" t="n">
        <f aca="false">D26*MIN(IF(B26=0,Cad_Anio1,IF(B26=1,Cad_Anio2,Cad_Anio3))*$E$4,1)</f>
        <v>0.02</v>
      </c>
      <c r="J26" s="26" t="n">
        <f aca="false">J25*(1-H25)*(1-I25)*D26</f>
        <v>0.600335776517834</v>
      </c>
      <c r="K26" s="22" t="n">
        <f aca="false">J26*PrimaAnual</f>
        <v>1076.87030920216</v>
      </c>
      <c r="L26" s="22" t="n">
        <f aca="false">K26*IF(B26=0,ComisionAnio1,ComisionRenov)</f>
        <v>53.843515460108</v>
      </c>
      <c r="M26" s="22" t="n">
        <f aca="false">J26*IF(B26=0,CostoSuscripcion,0)</f>
        <v>0</v>
      </c>
      <c r="N26" s="22" t="n">
        <f aca="false">J26*CostoMant*(1+Inflacion+$E$6)^B26*$E$5</f>
        <v>54.8089128232474</v>
      </c>
      <c r="O26" s="22" t="n">
        <f aca="false">J26*H26*SumaAsegurada</f>
        <v>1383.8288253866</v>
      </c>
      <c r="P26" s="22" t="n">
        <f aca="false">J26*H26*CostoSiniestro*(1+Inflacion+$E$6)^B26*$E$5</f>
        <v>2.8075456147353</v>
      </c>
      <c r="Q26" s="26" t="n">
        <f aca="false">INDEX(FD_Bloqueado,B26+1)</f>
        <v>0.384639547396534</v>
      </c>
      <c r="R26" s="26" t="n">
        <f aca="false">INDEX(FD_Bloqueado,B26+2)</f>
        <v>0.36171398874759</v>
      </c>
      <c r="S26" s="22" t="n">
        <f aca="false">(L26+M26+N26-K26)*Q26+(O26+P26)*R26</f>
        <v>129.150885199535</v>
      </c>
      <c r="T26" s="29" t="n">
        <f aca="false">J26*SumaAsegurada</f>
        <v>90050.3664776751</v>
      </c>
    </row>
    <row r="27" customFormat="false" ht="15" hidden="false" customHeight="false" outlineLevel="0" collapsed="false">
      <c r="A27" s="16" t="n">
        <f aca="false">B27+1</f>
        <v>19</v>
      </c>
      <c r="B27" s="16" t="n">
        <f aca="false">ROW()-9</f>
        <v>18</v>
      </c>
      <c r="C27" s="16" t="n">
        <f aca="false">EdadEmision+B27</f>
        <v>63</v>
      </c>
      <c r="D27" s="16" t="n">
        <f aca="false">IF(B27&lt;Plazo,1,0)</f>
        <v>1</v>
      </c>
      <c r="E27" s="26" t="n">
        <f aca="false">IF(Sexo="M",INDEX(CSO_H,C27+1),INDEX(CSO_M,C27+1))</f>
        <v>0.02106</v>
      </c>
      <c r="F27" s="27" t="n">
        <f aca="false">IF(C27&lt;40,Fact_25_39,IF(C27&lt;50,Fact_40_49,Fact_50mas))</f>
        <v>0.95</v>
      </c>
      <c r="G27" s="28" t="n">
        <f aca="false">(1-Mejora)^B27</f>
        <v>0.834513761450088</v>
      </c>
      <c r="H27" s="26" t="n">
        <f aca="false">D27*MIN(E27*F27*G27*$E$3,1)</f>
        <v>0.0166961168253319</v>
      </c>
      <c r="I27" s="27" t="n">
        <f aca="false">D27*MIN(IF(B27=0,Cad_Anio1,IF(B27=1,Cad_Anio2,Cad_Anio3))*$E$4,1)</f>
        <v>0.02</v>
      </c>
      <c r="J27" s="26" t="n">
        <f aca="false">J26*(1-H26)*(1-I26)*D27</f>
        <v>0.579288045994951</v>
      </c>
      <c r="K27" s="22" t="n">
        <f aca="false">J27*PrimaAnual</f>
        <v>1039.11531114482</v>
      </c>
      <c r="L27" s="22" t="n">
        <f aca="false">K27*IF(B27=0,ComisionAnio1,ComisionRenov)</f>
        <v>51.9557655572412</v>
      </c>
      <c r="M27" s="22" t="n">
        <f aca="false">J27*IF(B27=0,CostoSuscripcion,0)</f>
        <v>0</v>
      </c>
      <c r="N27" s="22" t="n">
        <f aca="false">J27*CostoMant*(1+Inflacion+$E$6)^B27*$E$5</f>
        <v>54.2094990599515</v>
      </c>
      <c r="O27" s="22" t="n">
        <f aca="false">J27*H27*SumaAsegurada</f>
        <v>1450.77913371749</v>
      </c>
      <c r="P27" s="22" t="n">
        <f aca="false">J27*H27*CostoSiniestro*(1+Inflacion+$E$6)^B27*$E$5</f>
        <v>3.0169604311589</v>
      </c>
      <c r="Q27" s="26" t="n">
        <f aca="false">INDEX(FD_Bloqueado,B27+1)</f>
        <v>0.36171398874759</v>
      </c>
      <c r="R27" s="26" t="n">
        <f aca="false">INDEX(FD_Bloqueado,B27+2)</f>
        <v>0.340585196621635</v>
      </c>
      <c r="S27" s="22" t="n">
        <f aca="false">(L27+M27+N27-K27)*Q27+(O27+P27)*R27</f>
        <v>157.680345941625</v>
      </c>
      <c r="T27" s="29" t="n">
        <f aca="false">J27*SumaAsegurada</f>
        <v>86893.2068992427</v>
      </c>
    </row>
    <row r="28" customFormat="false" ht="15" hidden="false" customHeight="false" outlineLevel="0" collapsed="false">
      <c r="A28" s="16" t="n">
        <f aca="false">B28+1</f>
        <v>20</v>
      </c>
      <c r="B28" s="16" t="n">
        <f aca="false">ROW()-9</f>
        <v>19</v>
      </c>
      <c r="C28" s="16" t="n">
        <f aca="false">EdadEmision+B28</f>
        <v>64</v>
      </c>
      <c r="D28" s="16" t="n">
        <f aca="false">IF(B28&lt;Plazo,1,0)</f>
        <v>1</v>
      </c>
      <c r="E28" s="26" t="n">
        <f aca="false">IF(Sexo="M",INDEX(CSO_H,C28+1),INDEX(CSO_M,C28+1))</f>
        <v>0.02314</v>
      </c>
      <c r="F28" s="27" t="n">
        <f aca="false">IF(C28&lt;40,Fact_25_39,IF(C28&lt;50,Fact_40_49,Fact_50mas))</f>
        <v>0.95</v>
      </c>
      <c r="G28" s="28" t="n">
        <f aca="false">(1-Mejora)^B28</f>
        <v>0.826168623835587</v>
      </c>
      <c r="H28" s="26" t="n">
        <f aca="false">D28*MIN(E28*F28*G28*$E$3,1)</f>
        <v>0.0181616648577777</v>
      </c>
      <c r="I28" s="27" t="n">
        <f aca="false">D28*MIN(IF(B28=0,Cad_Anio1,IF(B28=1,Cad_Anio2,Cad_Anio3))*$E$4,1)</f>
        <v>0.02</v>
      </c>
      <c r="J28" s="26" t="n">
        <f aca="false">J27*(1-H27)*(1-I27)*D28</f>
        <v>0.558223861401431</v>
      </c>
      <c r="K28" s="22" t="n">
        <f aca="false">J28*PrimaAnual</f>
        <v>1001.33079810466</v>
      </c>
      <c r="L28" s="22" t="n">
        <f aca="false">K28*IF(B28=0,ComisionAnio1,ComisionRenov)</f>
        <v>50.066539905233</v>
      </c>
      <c r="M28" s="22" t="n">
        <f aca="false">J28*IF(B28=0,CostoSuscripcion,0)</f>
        <v>0</v>
      </c>
      <c r="N28" s="22" t="n">
        <f aca="false">J28*CostoMant*(1+Inflacion+$E$6)^B28*$E$5</f>
        <v>53.5442807797915</v>
      </c>
      <c r="O28" s="22" t="n">
        <f aca="false">J28*H28*SumaAsegurada</f>
        <v>1520.7412029581</v>
      </c>
      <c r="P28" s="22" t="n">
        <f aca="false">J28*H28*CostoSiniestro*(1+Inflacion+$E$6)^B28*$E$5</f>
        <v>3.24151094191107</v>
      </c>
      <c r="Q28" s="26" t="n">
        <f aca="false">INDEX(FD_Bloqueado,B28+1)</f>
        <v>0.340585196621635</v>
      </c>
      <c r="R28" s="26" t="n">
        <f aca="false">INDEX(FD_Bloqueado,B28+2)</f>
        <v>0.321189823536907</v>
      </c>
      <c r="S28" s="22" t="n">
        <f aca="false">(L28+M28+N28-K28)*Q28+(O28+P28)*R28</f>
        <v>183.737603930205</v>
      </c>
      <c r="T28" s="29" t="n">
        <f aca="false">J28*SumaAsegurada</f>
        <v>83733.5792102147</v>
      </c>
    </row>
    <row r="29" customFormat="false" ht="15" hidden="false" customHeight="false" outlineLevel="0" collapsed="false">
      <c r="A29" s="30" t="s">
        <v>117</v>
      </c>
      <c r="K29" s="24" t="n">
        <f aca="false">SUM(K9:K28)</f>
        <v>27400.0792194656</v>
      </c>
      <c r="L29" s="24" t="n">
        <f aca="false">SUM(L9:L28)</f>
        <v>2177.20496097328</v>
      </c>
      <c r="M29" s="24" t="n">
        <f aca="false">SUM(M9:M28)</f>
        <v>150</v>
      </c>
      <c r="N29" s="24" t="n">
        <f aca="false">SUM(N9:N28)</f>
        <v>1142.81768858338</v>
      </c>
      <c r="O29" s="24" t="n">
        <f aca="false">SUM(O9:O28)</f>
        <v>19578.2272597991</v>
      </c>
      <c r="P29" s="24" t="n">
        <f aca="false">SUM(P9:P28)</f>
        <v>34.8683740737268</v>
      </c>
      <c r="S29" s="24" t="n">
        <f aca="false">SUM(S9:S28)</f>
        <v>-5156.26630877816</v>
      </c>
      <c r="T29" s="31" t="n">
        <f aca="false">SUM(T9:T28)</f>
        <v>2291257.5025476</v>
      </c>
    </row>
  </sheetData>
  <mergeCells count="8">
    <mergeCell ref="A3:D3"/>
    <mergeCell ref="G3:K3"/>
    <mergeCell ref="A4:D4"/>
    <mergeCell ref="G4:K4"/>
    <mergeCell ref="A5:D5"/>
    <mergeCell ref="G5:K5"/>
    <mergeCell ref="A6:D6"/>
    <mergeCell ref="G6:K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3" min="3" style="0" width="6"/>
    <col collapsed="false" customWidth="true" hidden="false" outlineLevel="0" max="5" min="4" style="0" width="10"/>
    <col collapsed="false" customWidth="true" hidden="false" outlineLevel="0" max="6" min="6" style="0" width="9"/>
    <col collapsed="false" customWidth="true" hidden="false" outlineLevel="0" max="7" min="7" style="0" width="8"/>
    <col collapsed="false" customWidth="true" hidden="false" outlineLevel="0" max="8" min="8" style="0" width="11"/>
    <col collapsed="false" customWidth="true" hidden="false" outlineLevel="0" max="9" min="9" style="0" width="10"/>
    <col collapsed="false" customWidth="true" hidden="false" outlineLevel="0" max="13" min="10" style="0" width="11"/>
    <col collapsed="false" customWidth="true" hidden="false" outlineLevel="0" max="14" min="14" style="0" width="13"/>
    <col collapsed="false" customWidth="true" hidden="false" outlineLevel="0" max="15" min="15" style="0" width="11"/>
    <col collapsed="false" customWidth="true" hidden="false" outlineLevel="0" max="16" min="16" style="0" width="12"/>
    <col collapsed="false" customWidth="true" hidden="false" outlineLevel="0" max="18" min="17" style="0" width="10"/>
    <col collapsed="false" customWidth="true" hidden="false" outlineLevel="0" max="19" min="19" style="0" width="14"/>
    <col collapsed="false" customWidth="true" hidden="false" outlineLevel="0" max="20" min="20" style="0" width="16"/>
  </cols>
  <sheetData>
    <row r="1" customFormat="false" ht="16.15" hidden="false" customHeight="false" outlineLevel="0" collapsed="false">
      <c r="A1" s="1" t="s">
        <v>121</v>
      </c>
    </row>
    <row r="2" customFormat="false" ht="15" hidden="false" customHeight="false" outlineLevel="0" collapsed="false">
      <c r="A2" s="2" t="s">
        <v>89</v>
      </c>
    </row>
    <row r="3" customFormat="false" ht="15" hidden="false" customHeight="false" outlineLevel="0" collapsed="false">
      <c r="A3" s="20" t="s">
        <v>90</v>
      </c>
      <c r="B3" s="20"/>
      <c r="C3" s="20"/>
      <c r="D3" s="20"/>
      <c r="E3" s="21" t="n">
        <v>1</v>
      </c>
      <c r="G3" s="20" t="s">
        <v>91</v>
      </c>
      <c r="H3" s="20"/>
      <c r="I3" s="20"/>
      <c r="J3" s="20"/>
      <c r="K3" s="20"/>
      <c r="L3" s="22" t="n">
        <f aca="false">SUMPRODUCT(K9:K28,Q9:Q28)</f>
        <v>15514.4423773416</v>
      </c>
    </row>
    <row r="4" customFormat="false" ht="15" hidden="false" customHeight="false" outlineLevel="0" collapsed="false">
      <c r="A4" s="20" t="s">
        <v>92</v>
      </c>
      <c r="B4" s="20"/>
      <c r="C4" s="20"/>
      <c r="D4" s="20"/>
      <c r="E4" s="21" t="n">
        <v>1</v>
      </c>
      <c r="G4" s="20" t="s">
        <v>93</v>
      </c>
      <c r="H4" s="20"/>
      <c r="I4" s="20"/>
      <c r="J4" s="20"/>
      <c r="K4" s="20"/>
      <c r="L4" s="22" t="n">
        <f aca="false">SUMPRODUCT(L9:L28+M9:M28+N9:N28,Q9:Q28)+SUMPRODUCT(O9:O28+P9:P28,R9:R28)</f>
        <v>10868.6318773124</v>
      </c>
    </row>
    <row r="5" customFormat="false" ht="15" hidden="false" customHeight="false" outlineLevel="0" collapsed="false">
      <c r="A5" s="20" t="s">
        <v>94</v>
      </c>
      <c r="B5" s="20"/>
      <c r="C5" s="20"/>
      <c r="D5" s="20"/>
      <c r="E5" s="32" t="n">
        <f aca="false">1+ChoqueGastos</f>
        <v>1.1</v>
      </c>
      <c r="G5" s="23" t="s">
        <v>95</v>
      </c>
      <c r="H5" s="23"/>
      <c r="I5" s="23"/>
      <c r="J5" s="23"/>
      <c r="K5" s="23"/>
      <c r="L5" s="24" t="n">
        <f aca="false">L4-L3</f>
        <v>-4645.81050002925</v>
      </c>
    </row>
    <row r="6" customFormat="false" ht="15" hidden="false" customHeight="false" outlineLevel="0" collapsed="false">
      <c r="A6" s="20" t="s">
        <v>96</v>
      </c>
      <c r="B6" s="20"/>
      <c r="C6" s="20"/>
      <c r="D6" s="20"/>
      <c r="E6" s="33" t="n">
        <f aca="false">ChoqueInfl</f>
        <v>0.01</v>
      </c>
      <c r="G6" s="20" t="s">
        <v>97</v>
      </c>
      <c r="H6" s="20"/>
      <c r="I6" s="20"/>
      <c r="J6" s="20"/>
      <c r="K6" s="20"/>
      <c r="L6" s="22" t="n">
        <f aca="false">ROUND(SUM(S9:S28)-L5,6)</f>
        <v>0</v>
      </c>
    </row>
    <row r="8" customFormat="false" ht="42" hidden="false" customHeight="true" outlineLevel="0" collapsed="false">
      <c r="A8" s="5" t="s">
        <v>98</v>
      </c>
      <c r="B8" s="5" t="s">
        <v>99</v>
      </c>
      <c r="C8" s="5" t="s">
        <v>80</v>
      </c>
      <c r="D8" s="5" t="s">
        <v>100</v>
      </c>
      <c r="E8" s="5" t="s">
        <v>101</v>
      </c>
      <c r="F8" s="5" t="s">
        <v>102</v>
      </c>
      <c r="G8" s="5" t="s">
        <v>103</v>
      </c>
      <c r="H8" s="5" t="s">
        <v>104</v>
      </c>
      <c r="I8" s="5" t="s">
        <v>105</v>
      </c>
      <c r="J8" s="5" t="s">
        <v>106</v>
      </c>
      <c r="K8" s="5" t="s">
        <v>107</v>
      </c>
      <c r="L8" s="5" t="s">
        <v>108</v>
      </c>
      <c r="M8" s="5" t="s">
        <v>109</v>
      </c>
      <c r="N8" s="5" t="s">
        <v>110</v>
      </c>
      <c r="O8" s="5" t="s">
        <v>111</v>
      </c>
      <c r="P8" s="5" t="s">
        <v>112</v>
      </c>
      <c r="Q8" s="5" t="s">
        <v>113</v>
      </c>
      <c r="R8" s="5" t="s">
        <v>114</v>
      </c>
      <c r="S8" s="5" t="s">
        <v>115</v>
      </c>
      <c r="T8" s="5" t="s">
        <v>116</v>
      </c>
    </row>
    <row r="9" customFormat="false" ht="15" hidden="false" customHeight="false" outlineLevel="0" collapsed="false">
      <c r="A9" s="16" t="n">
        <f aca="false">B9+1</f>
        <v>1</v>
      </c>
      <c r="B9" s="16" t="n">
        <f aca="false">ROW()-9</f>
        <v>0</v>
      </c>
      <c r="C9" s="16" t="n">
        <f aca="false">EdadEmision+B9</f>
        <v>45</v>
      </c>
      <c r="D9" s="16" t="n">
        <f aca="false">IF(B9&lt;Plazo,1,0)</f>
        <v>1</v>
      </c>
      <c r="E9" s="26" t="n">
        <f aca="false">IF(Sexo="M",INDEX(CSO_H,C9+1),INDEX(CSO_M,C9+1))</f>
        <v>0.00455</v>
      </c>
      <c r="F9" s="27" t="n">
        <f aca="false">IF(C9&lt;40,Fact_25_39,IF(C9&lt;50,Fact_40_49,Fact_50mas))</f>
        <v>0.75</v>
      </c>
      <c r="G9" s="28" t="n">
        <f aca="false">(1-Mejora)^B9</f>
        <v>1</v>
      </c>
      <c r="H9" s="26" t="n">
        <f aca="false">D9*MIN(E9*F9*G9*$E$3,1)</f>
        <v>0.0034125</v>
      </c>
      <c r="I9" s="27" t="n">
        <f aca="false">D9*MIN(IF(B9=0,Cad_Anio1,IF(B9=1,Cad_Anio2,Cad_Anio3))*$E$4,1)</f>
        <v>0.08</v>
      </c>
      <c r="J9" s="26" t="n">
        <f aca="false">D9</f>
        <v>1</v>
      </c>
      <c r="K9" s="22" t="n">
        <f aca="false">J9*PrimaAnual</f>
        <v>1793.78</v>
      </c>
      <c r="L9" s="22" t="n">
        <f aca="false">K9*IF(B9=0,ComisionAnio1,ComisionRenov)</f>
        <v>896.89</v>
      </c>
      <c r="M9" s="22" t="n">
        <f aca="false">J9*IF(B9=0,CostoSuscripcion,0)</f>
        <v>150</v>
      </c>
      <c r="N9" s="22" t="n">
        <f aca="false">J9*CostoMant*(1+Inflacion+$E$6)^B9*$E$5</f>
        <v>66</v>
      </c>
      <c r="O9" s="22" t="n">
        <f aca="false">J9*H9*SumaAsegurada</f>
        <v>511.875</v>
      </c>
      <c r="P9" s="22" t="n">
        <f aca="false">J9*H9*CostoSiniestro*(1+Inflacion+$E$6)^B9*$E$5</f>
        <v>0.75075</v>
      </c>
      <c r="Q9" s="26" t="n">
        <f aca="false">INDEX(FD_Bloqueado,B9+1)</f>
        <v>1</v>
      </c>
      <c r="R9" s="26" t="n">
        <f aca="false">INDEX(FD_Bloqueado,B9+2)</f>
        <v>0.955633106084657</v>
      </c>
      <c r="S9" s="22" t="n">
        <f aca="false">(L9+M9+N9-K9)*Q9+(O9+P9)*R9</f>
        <v>-191.007862268523</v>
      </c>
      <c r="T9" s="29" t="n">
        <f aca="false">J9*SumaAsegurada</f>
        <v>150000</v>
      </c>
    </row>
    <row r="10" customFormat="false" ht="15" hidden="false" customHeight="false" outlineLevel="0" collapsed="false">
      <c r="A10" s="16" t="n">
        <f aca="false">B10+1</f>
        <v>2</v>
      </c>
      <c r="B10" s="16" t="n">
        <f aca="false">ROW()-9</f>
        <v>1</v>
      </c>
      <c r="C10" s="16" t="n">
        <f aca="false">EdadEmision+B10</f>
        <v>46</v>
      </c>
      <c r="D10" s="16" t="n">
        <f aca="false">IF(B10&lt;Plazo,1,0)</f>
        <v>1</v>
      </c>
      <c r="E10" s="26" t="n">
        <f aca="false">IF(Sexo="M",INDEX(CSO_H,C10+1),INDEX(CSO_M,C10+1))</f>
        <v>0.00492</v>
      </c>
      <c r="F10" s="27" t="n">
        <f aca="false">IF(C10&lt;40,Fact_25_39,IF(C10&lt;50,Fact_40_49,Fact_50mas))</f>
        <v>0.75</v>
      </c>
      <c r="G10" s="28" t="n">
        <f aca="false">(1-Mejora)^B10</f>
        <v>0.99</v>
      </c>
      <c r="H10" s="26" t="n">
        <f aca="false">D10*MIN(E10*F10*G10*$E$3,1)</f>
        <v>0.0036531</v>
      </c>
      <c r="I10" s="27" t="n">
        <f aca="false">D10*MIN(IF(B10=0,Cad_Anio1,IF(B10=1,Cad_Anio2,Cad_Anio3))*$E$4,1)</f>
        <v>0.06</v>
      </c>
      <c r="J10" s="26" t="n">
        <f aca="false">J9*(1-H9)*(1-I9)*D10</f>
        <v>0.9168605</v>
      </c>
      <c r="K10" s="22" t="n">
        <f aca="false">J10*PrimaAnual</f>
        <v>1644.64602769</v>
      </c>
      <c r="L10" s="22" t="n">
        <f aca="false">K10*IF(B10=0,ComisionAnio1,ComisionRenov)</f>
        <v>82.2323013845</v>
      </c>
      <c r="M10" s="22" t="n">
        <f aca="false">J10*IF(B10=0,CostoSuscripcion,0)</f>
        <v>0</v>
      </c>
      <c r="N10" s="22" t="n">
        <f aca="false">J10*CostoMant*(1+Inflacion+$E$6)^B10*$E$5</f>
        <v>62.630740755</v>
      </c>
      <c r="O10" s="22" t="n">
        <f aca="false">J10*H10*SumaAsegurada</f>
        <v>502.4074638825</v>
      </c>
      <c r="P10" s="22" t="n">
        <f aca="false">J10*H10*CostoSiniestro*(1+Inflacion+$E$6)^B10*$E$5</f>
        <v>0.762654530173635</v>
      </c>
      <c r="Q10" s="26" t="n">
        <f aca="false">INDEX(FD_Bloqueado,B10+1)</f>
        <v>0.955633106084657</v>
      </c>
      <c r="R10" s="26" t="n">
        <f aca="false">INDEX(FD_Bloqueado,B10+2)</f>
        <v>0.912164123097817</v>
      </c>
      <c r="S10" s="22" t="n">
        <f aca="false">(L10+M10+N10-K10)*Q10+(O10+P10)*R10</f>
        <v>-974.268543103623</v>
      </c>
      <c r="T10" s="29" t="n">
        <f aca="false">J10*SumaAsegurada</f>
        <v>137529.075</v>
      </c>
    </row>
    <row r="11" customFormat="false" ht="15" hidden="false" customHeight="false" outlineLevel="0" collapsed="false">
      <c r="A11" s="16" t="n">
        <f aca="false">B11+1</f>
        <v>3</v>
      </c>
      <c r="B11" s="16" t="n">
        <f aca="false">ROW()-9</f>
        <v>2</v>
      </c>
      <c r="C11" s="16" t="n">
        <f aca="false">EdadEmision+B11</f>
        <v>47</v>
      </c>
      <c r="D11" s="16" t="n">
        <f aca="false">IF(B11&lt;Plazo,1,0)</f>
        <v>1</v>
      </c>
      <c r="E11" s="26" t="n">
        <f aca="false">IF(Sexo="M",INDEX(CSO_H,C11+1),INDEX(CSO_M,C11+1))</f>
        <v>0.00532</v>
      </c>
      <c r="F11" s="27" t="n">
        <f aca="false">IF(C11&lt;40,Fact_25_39,IF(C11&lt;50,Fact_40_49,Fact_50mas))</f>
        <v>0.75</v>
      </c>
      <c r="G11" s="28" t="n">
        <f aca="false">(1-Mejora)^B11</f>
        <v>0.9801</v>
      </c>
      <c r="H11" s="26" t="n">
        <f aca="false">D11*MIN(E11*F11*G11*$E$3,1)</f>
        <v>0.003910599</v>
      </c>
      <c r="I11" s="27" t="n">
        <f aca="false">D11*MIN(IF(B11=0,Cad_Anio1,IF(B11=1,Cad_Anio2,Cad_Anio3))*$E$4,1)</f>
        <v>0.04</v>
      </c>
      <c r="J11" s="26" t="n">
        <f aca="false">J10*(1-H10)*(1-I10)*D11</f>
        <v>0.858700449893003</v>
      </c>
      <c r="K11" s="22" t="n">
        <f aca="false">J11*PrimaAnual</f>
        <v>1540.31969300907</v>
      </c>
      <c r="L11" s="22" t="n">
        <f aca="false">K11*IF(B11=0,ComisionAnio1,ComisionRenov)</f>
        <v>77.0159846504536</v>
      </c>
      <c r="M11" s="22" t="n">
        <f aca="false">J11*IF(B11=0,CostoSuscripcion,0)</f>
        <v>0</v>
      </c>
      <c r="N11" s="22" t="n">
        <f aca="false">J11*CostoMant*(1+Inflacion+$E$6)^B11*$E$5</f>
        <v>60.7108517028177</v>
      </c>
      <c r="O11" s="22" t="n">
        <f aca="false">J11*H11*SumaAsegurada</f>
        <v>503.704968097669</v>
      </c>
      <c r="P11" s="22" t="n">
        <f aca="false">J11*H11*CostoSiniestro*(1+Inflacion+$E$6)^B11*$E$5</f>
        <v>0.791385986527291</v>
      </c>
      <c r="Q11" s="26" t="n">
        <f aca="false">INDEX(FD_Bloqueado,B11+1)</f>
        <v>0.912164123097817</v>
      </c>
      <c r="R11" s="26" t="n">
        <f aca="false">INDEX(FD_Bloqueado,B11+2)</f>
        <v>0.869142637040769</v>
      </c>
      <c r="S11" s="22" t="n">
        <f aca="false">(L11+M11+N11-K11)*Q11+(O11+P11)*R11</f>
        <v>-840.915591588507</v>
      </c>
      <c r="T11" s="29" t="n">
        <f aca="false">J11*SumaAsegurada</f>
        <v>128805.06748395</v>
      </c>
    </row>
    <row r="12" customFormat="false" ht="15" hidden="false" customHeight="false" outlineLevel="0" collapsed="false">
      <c r="A12" s="16" t="n">
        <f aca="false">B12+1</f>
        <v>4</v>
      </c>
      <c r="B12" s="16" t="n">
        <f aca="false">ROW()-9</f>
        <v>3</v>
      </c>
      <c r="C12" s="16" t="n">
        <f aca="false">EdadEmision+B12</f>
        <v>48</v>
      </c>
      <c r="D12" s="16" t="n">
        <f aca="false">IF(B12&lt;Plazo,1,0)</f>
        <v>1</v>
      </c>
      <c r="E12" s="26" t="n">
        <f aca="false">IF(Sexo="M",INDEX(CSO_H,C12+1),INDEX(CSO_M,C12+1))</f>
        <v>0.00574</v>
      </c>
      <c r="F12" s="27" t="n">
        <f aca="false">IF(C12&lt;40,Fact_25_39,IF(C12&lt;50,Fact_40_49,Fact_50mas))</f>
        <v>0.75</v>
      </c>
      <c r="G12" s="28" t="n">
        <f aca="false">(1-Mejora)^B12</f>
        <v>0.970299</v>
      </c>
      <c r="H12" s="26" t="n">
        <f aca="false">D12*MIN(E12*F12*G12*$E$3,1)</f>
        <v>0.004177137195</v>
      </c>
      <c r="I12" s="27" t="n">
        <f aca="false">D12*MIN(IF(B12=0,Cad_Anio1,IF(B12=1,Cad_Anio2,Cad_Anio3))*$E$4,1)</f>
        <v>0.04</v>
      </c>
      <c r="J12" s="26" t="n">
        <f aca="false">J11*(1-H11)*(1-I11)*D12</f>
        <v>0.821128720101458</v>
      </c>
      <c r="K12" s="22" t="n">
        <f aca="false">J12*PrimaAnual</f>
        <v>1472.92427554359</v>
      </c>
      <c r="L12" s="22" t="n">
        <f aca="false">K12*IF(B12=0,ComisionAnio1,ComisionRenov)</f>
        <v>73.6462137771796</v>
      </c>
      <c r="M12" s="22" t="n">
        <f aca="false">J12*IF(B12=0,CostoSuscripcion,0)</f>
        <v>0</v>
      </c>
      <c r="N12" s="22" t="n">
        <f aca="false">J12*CostoMant*(1+Inflacion+$E$6)^B12*$E$5</f>
        <v>60.0864059170556</v>
      </c>
      <c r="O12" s="22" t="n">
        <f aca="false">J12*H12*SumaAsegurada</f>
        <v>514.495097792781</v>
      </c>
      <c r="P12" s="22" t="n">
        <f aca="false">J12*H12*CostoSiniestro*(1+Inflacion+$E$6)^B12*$E$5</f>
        <v>0.836630536900004</v>
      </c>
      <c r="Q12" s="26" t="n">
        <f aca="false">INDEX(FD_Bloqueado,B12+1)</f>
        <v>0.869142637040769</v>
      </c>
      <c r="R12" s="26" t="n">
        <f aca="false">INDEX(FD_Bloqueado,B12+2)</f>
        <v>0.826857566112177</v>
      </c>
      <c r="S12" s="22" t="n">
        <f aca="false">(L12+M12+N12-K12)*Q12+(O12+P12)*R12</f>
        <v>-737.842628640842</v>
      </c>
      <c r="T12" s="29" t="n">
        <f aca="false">J12*SumaAsegurada</f>
        <v>123169.308015219</v>
      </c>
    </row>
    <row r="13" customFormat="false" ht="15" hidden="false" customHeight="false" outlineLevel="0" collapsed="false">
      <c r="A13" s="16" t="n">
        <f aca="false">B13+1</f>
        <v>5</v>
      </c>
      <c r="B13" s="16" t="n">
        <f aca="false">ROW()-9</f>
        <v>4</v>
      </c>
      <c r="C13" s="16" t="n">
        <f aca="false">EdadEmision+B13</f>
        <v>49</v>
      </c>
      <c r="D13" s="16" t="n">
        <f aca="false">IF(B13&lt;Plazo,1,0)</f>
        <v>1</v>
      </c>
      <c r="E13" s="26" t="n">
        <f aca="false">IF(Sexo="M",INDEX(CSO_H,C13+1),INDEX(CSO_M,C13+1))</f>
        <v>0.00621</v>
      </c>
      <c r="F13" s="27" t="n">
        <f aca="false">IF(C13&lt;40,Fact_25_39,IF(C13&lt;50,Fact_40_49,Fact_50mas))</f>
        <v>0.75</v>
      </c>
      <c r="G13" s="28" t="n">
        <f aca="false">(1-Mejora)^B13</f>
        <v>0.96059601</v>
      </c>
      <c r="H13" s="26" t="n">
        <f aca="false">D13*MIN(E13*F13*G13*$E$3,1)</f>
        <v>0.004473975916575</v>
      </c>
      <c r="I13" s="27" t="n">
        <f aca="false">D13*MIN(IF(B13=0,Cad_Anio1,IF(B13=1,Cad_Anio2,Cad_Anio3))*$E$4,1)</f>
        <v>0.04</v>
      </c>
      <c r="J13" s="26" t="n">
        <f aca="false">J12*(1-H12)*(1-I12)*D13</f>
        <v>0.784990802671526</v>
      </c>
      <c r="K13" s="22" t="n">
        <f aca="false">J13*PrimaAnual</f>
        <v>1408.10080201613</v>
      </c>
      <c r="L13" s="22" t="n">
        <f aca="false">K13*IF(B13=0,ComisionAnio1,ComisionRenov)</f>
        <v>70.4050401008065</v>
      </c>
      <c r="M13" s="22" t="n">
        <f aca="false">J13*IF(B13=0,CostoSuscripcion,0)</f>
        <v>0</v>
      </c>
      <c r="N13" s="22" t="n">
        <f aca="false">J13*CostoMant*(1+Inflacion+$E$6)^B13*$E$5</f>
        <v>59.4524700887473</v>
      </c>
      <c r="O13" s="22" t="n">
        <f aca="false">J13*H13*SumaAsegurada</f>
        <v>526.804491882793</v>
      </c>
      <c r="P13" s="22" t="n">
        <f aca="false">J13*H13*CostoSiniestro*(1+Inflacion+$E$6)^B13*$E$5</f>
        <v>0.88662973119317</v>
      </c>
      <c r="Q13" s="26" t="n">
        <f aca="false">INDEX(FD_Bloqueado,B13+1)</f>
        <v>0.826857566112177</v>
      </c>
      <c r="R13" s="26" t="n">
        <f aca="false">INDEX(FD_Bloqueado,B13+2)</f>
        <v>0.785019369510734</v>
      </c>
      <c r="S13" s="22" t="n">
        <f aca="false">(L13+M13+N13-K13)*Q13+(O13+P13)*R13</f>
        <v>-642.677385593117</v>
      </c>
      <c r="T13" s="29" t="n">
        <f aca="false">J13*SumaAsegurada</f>
        <v>117748.620400729</v>
      </c>
    </row>
    <row r="14" customFormat="false" ht="15" hidden="false" customHeight="false" outlineLevel="0" collapsed="false">
      <c r="A14" s="16" t="n">
        <f aca="false">B14+1</f>
        <v>6</v>
      </c>
      <c r="B14" s="16" t="n">
        <f aca="false">ROW()-9</f>
        <v>5</v>
      </c>
      <c r="C14" s="16" t="n">
        <f aca="false">EdadEmision+B14</f>
        <v>50</v>
      </c>
      <c r="D14" s="16" t="n">
        <f aca="false">IF(B14&lt;Plazo,1,0)</f>
        <v>1</v>
      </c>
      <c r="E14" s="26" t="n">
        <f aca="false">IF(Sexo="M",INDEX(CSO_H,C14+1),INDEX(CSO_M,C14+1))</f>
        <v>0.00671</v>
      </c>
      <c r="F14" s="27" t="n">
        <f aca="false">IF(C14&lt;40,Fact_25_39,IF(C14&lt;50,Fact_40_49,Fact_50mas))</f>
        <v>0.95</v>
      </c>
      <c r="G14" s="28" t="n">
        <f aca="false">(1-Mejora)^B14</f>
        <v>0.9509900499</v>
      </c>
      <c r="H14" s="26" t="n">
        <f aca="false">D14*MIN(E14*F14*G14*$E$3,1)</f>
        <v>0.00606208607308755</v>
      </c>
      <c r="I14" s="27" t="n">
        <f aca="false">D14*MIN(IF(B14=0,Cad_Anio1,IF(B14=1,Cad_Anio2,Cad_Anio3))*$E$4,1)</f>
        <v>0.04</v>
      </c>
      <c r="J14" s="26" t="n">
        <f aca="false">J13*(1-H13)*(1-I13)*D14</f>
        <v>0.750219621816615</v>
      </c>
      <c r="K14" s="22" t="n">
        <f aca="false">J14*PrimaAnual</f>
        <v>1345.72895322221</v>
      </c>
      <c r="L14" s="22" t="n">
        <f aca="false">K14*IF(B14=0,ComisionAnio1,ComisionRenov)</f>
        <v>67.2864476611103</v>
      </c>
      <c r="M14" s="22" t="n">
        <f aca="false">J14*IF(B14=0,CostoSuscripcion,0)</f>
        <v>0</v>
      </c>
      <c r="N14" s="22" t="n">
        <f aca="false">J14*CostoMant*(1+Inflacion+$E$6)^B14*$E$5</f>
        <v>58.8076876899052</v>
      </c>
      <c r="O14" s="22" t="n">
        <f aca="false">J14*H14*SumaAsegurada</f>
        <v>682.184388175726</v>
      </c>
      <c r="P14" s="22" t="n">
        <f aca="false">J14*H14*CostoSiniestro*(1+Inflacion+$E$6)^B14*$E$5</f>
        <v>1.18832421511819</v>
      </c>
      <c r="Q14" s="26" t="n">
        <f aca="false">INDEX(FD_Bloqueado,B14+1)</f>
        <v>0.785019369510734</v>
      </c>
      <c r="R14" s="26" t="n">
        <f aca="false">INDEX(FD_Bloqueado,B14+2)</f>
        <v>0.743555885045308</v>
      </c>
      <c r="S14" s="22" t="n">
        <f aca="false">(L14+M14+N14-K14)*Q14+(O14+P14)*R14</f>
        <v>-449.311153780994</v>
      </c>
      <c r="T14" s="29" t="n">
        <f aca="false">J14*SumaAsegurada</f>
        <v>112532.943272492</v>
      </c>
    </row>
    <row r="15" customFormat="false" ht="15" hidden="false" customHeight="false" outlineLevel="0" collapsed="false">
      <c r="A15" s="16" t="n">
        <f aca="false">B15+1</f>
        <v>7</v>
      </c>
      <c r="B15" s="16" t="n">
        <f aca="false">ROW()-9</f>
        <v>6</v>
      </c>
      <c r="C15" s="16" t="n">
        <f aca="false">EdadEmision+B15</f>
        <v>51</v>
      </c>
      <c r="D15" s="16" t="n">
        <f aca="false">IF(B15&lt;Plazo,1,0)</f>
        <v>1</v>
      </c>
      <c r="E15" s="26" t="n">
        <f aca="false">IF(Sexo="M",INDEX(CSO_H,C15+1),INDEX(CSO_M,C15+1))</f>
        <v>0.0073</v>
      </c>
      <c r="F15" s="27" t="n">
        <f aca="false">IF(C15&lt;40,Fact_25_39,IF(C15&lt;50,Fact_40_49,Fact_50mas))</f>
        <v>0.95</v>
      </c>
      <c r="G15" s="28" t="n">
        <f aca="false">(1-Mejora)^B15</f>
        <v>0.941480149401</v>
      </c>
      <c r="H15" s="26" t="n">
        <f aca="false">D15*MIN(E15*F15*G15*$E$3,1)</f>
        <v>0.00652916483609593</v>
      </c>
      <c r="I15" s="27" t="n">
        <f aca="false">D15*MIN(IF(B15=0,Cad_Anio1,IF(B15=1,Cad_Anio2,Cad_Anio3))*$E$4,1)</f>
        <v>0.04</v>
      </c>
      <c r="J15" s="26" t="n">
        <f aca="false">J14*(1-H14)*(1-I14)*D15</f>
        <v>0.715844856859625</v>
      </c>
      <c r="K15" s="22" t="n">
        <f aca="false">J15*PrimaAnual</f>
        <v>1284.06818733766</v>
      </c>
      <c r="L15" s="22" t="n">
        <f aca="false">K15*IF(B15=0,ComisionAnio1,ComisionRenov)</f>
        <v>64.2034093668829</v>
      </c>
      <c r="M15" s="22" t="n">
        <f aca="false">J15*IF(B15=0,CostoSuscripcion,0)</f>
        <v>0</v>
      </c>
      <c r="N15" s="22" t="n">
        <f aca="false">J15*CostoMant*(1+Inflacion+$E$6)^B15*$E$5</f>
        <v>58.0771028066474</v>
      </c>
      <c r="O15" s="22" t="n">
        <f aca="false">J15*H15*SumaAsegurada</f>
        <v>701.080360126199</v>
      </c>
      <c r="P15" s="22" t="n">
        <f aca="false">J15*H15*CostoSiniestro*(1+Inflacion+$E$6)^B15*$E$5</f>
        <v>1.26398325809164</v>
      </c>
      <c r="Q15" s="26" t="n">
        <f aca="false">INDEX(FD_Bloqueado,B15+1)</f>
        <v>0.743555885045308</v>
      </c>
      <c r="R15" s="26" t="n">
        <f aca="false">INDEX(FD_Bloqueado,B15+2)</f>
        <v>0.702911573608143</v>
      </c>
      <c r="S15" s="22" t="n">
        <f aca="false">(L15+M15+N15-K15)*Q15+(O15+P15)*R15</f>
        <v>-370.168095418365</v>
      </c>
      <c r="T15" s="29" t="n">
        <f aca="false">J15*SumaAsegurada</f>
        <v>107376.728528944</v>
      </c>
    </row>
    <row r="16" customFormat="false" ht="15" hidden="false" customHeight="false" outlineLevel="0" collapsed="false">
      <c r="A16" s="16" t="n">
        <f aca="false">B16+1</f>
        <v>8</v>
      </c>
      <c r="B16" s="16" t="n">
        <f aca="false">ROW()-9</f>
        <v>7</v>
      </c>
      <c r="C16" s="16" t="n">
        <f aca="false">EdadEmision+B16</f>
        <v>52</v>
      </c>
      <c r="D16" s="16" t="n">
        <f aca="false">IF(B16&lt;Plazo,1,0)</f>
        <v>1</v>
      </c>
      <c r="E16" s="26" t="n">
        <f aca="false">IF(Sexo="M",INDEX(CSO_H,C16+1),INDEX(CSO_M,C16+1))</f>
        <v>0.00796</v>
      </c>
      <c r="F16" s="27" t="n">
        <f aca="false">IF(C16&lt;40,Fact_25_39,IF(C16&lt;50,Fact_40_49,Fact_50mas))</f>
        <v>0.95</v>
      </c>
      <c r="G16" s="28" t="n">
        <f aca="false">(1-Mejora)^B16</f>
        <v>0.93206534790699</v>
      </c>
      <c r="H16" s="26" t="n">
        <f aca="false">D16*MIN(E16*F16*G16*$E$3,1)</f>
        <v>0.00704827816087266</v>
      </c>
      <c r="I16" s="27" t="n">
        <f aca="false">D16*MIN(IF(B16=0,Cad_Anio1,IF(B16=1,Cad_Anio2,Cad_Anio3))*$E$4,1)</f>
        <v>0.04</v>
      </c>
      <c r="J16" s="26" t="n">
        <f aca="false">J15*(1-H15)*(1-I15)*D16</f>
        <v>0.682724148280433</v>
      </c>
      <c r="K16" s="22" t="n">
        <f aca="false">J16*PrimaAnual</f>
        <v>1224.65692270247</v>
      </c>
      <c r="L16" s="22" t="n">
        <f aca="false">K16*IF(B16=0,ComisionAnio1,ComisionRenov)</f>
        <v>61.2328461351237</v>
      </c>
      <c r="M16" s="22" t="n">
        <f aca="false">J16*IF(B16=0,CostoSuscripcion,0)</f>
        <v>0</v>
      </c>
      <c r="N16" s="22" t="n">
        <f aca="false">J16*CostoMant*(1+Inflacion+$E$6)^B16*$E$5</f>
        <v>57.3286412191129</v>
      </c>
      <c r="O16" s="22" t="n">
        <f aca="false">J16*H16*SumaAsegurada</f>
        <v>721.804455633804</v>
      </c>
      <c r="P16" s="22" t="n">
        <f aca="false">J16*H16*CostoSiniestro*(1+Inflacion+$E$6)^B16*$E$5</f>
        <v>1.34689403299059</v>
      </c>
      <c r="Q16" s="26" t="n">
        <f aca="false">INDEX(FD_Bloqueado,B16+1)</f>
        <v>0.702911573608143</v>
      </c>
      <c r="R16" s="26" t="n">
        <f aca="false">INDEX(FD_Bloqueado,B16+2)</f>
        <v>0.663713829626701</v>
      </c>
      <c r="S16" s="22" t="n">
        <f aca="false">(L16+M16+N16-K16)*Q16+(O16+P16)*R16</f>
        <v>-297.521731334348</v>
      </c>
      <c r="T16" s="29" t="n">
        <f aca="false">J16*SumaAsegurada</f>
        <v>102408.622242065</v>
      </c>
    </row>
    <row r="17" customFormat="false" ht="15" hidden="false" customHeight="false" outlineLevel="0" collapsed="false">
      <c r="A17" s="16" t="n">
        <f aca="false">B17+1</f>
        <v>9</v>
      </c>
      <c r="B17" s="16" t="n">
        <f aca="false">ROW()-9</f>
        <v>8</v>
      </c>
      <c r="C17" s="16" t="n">
        <f aca="false">EdadEmision+B17</f>
        <v>53</v>
      </c>
      <c r="D17" s="16" t="n">
        <f aca="false">IF(B17&lt;Plazo,1,0)</f>
        <v>1</v>
      </c>
      <c r="E17" s="26" t="n">
        <f aca="false">IF(Sexo="M",INDEX(CSO_H,C17+1),INDEX(CSO_M,C17+1))</f>
        <v>0.00871</v>
      </c>
      <c r="F17" s="27" t="n">
        <f aca="false">IF(C17&lt;40,Fact_25_39,IF(C17&lt;50,Fact_40_49,Fact_50mas))</f>
        <v>0.95</v>
      </c>
      <c r="G17" s="28" t="n">
        <f aca="false">(1-Mejora)^B17</f>
        <v>0.92274469442792</v>
      </c>
      <c r="H17" s="26" t="n">
        <f aca="false">D17*MIN(E17*F17*G17*$E$3,1)</f>
        <v>0.00763525097404383</v>
      </c>
      <c r="I17" s="27" t="n">
        <f aca="false">D17*MIN(IF(B17=0,Cad_Anio1,IF(B17=1,Cad_Anio2,Cad_Anio3))*$E$4,1)</f>
        <v>0.04</v>
      </c>
      <c r="J17" s="26" t="n">
        <f aca="false">J16*(1-H16)*(1-I16)*D17</f>
        <v>0.650795633833159</v>
      </c>
      <c r="K17" s="22" t="n">
        <f aca="false">J17*PrimaAnual</f>
        <v>1167.38419205724</v>
      </c>
      <c r="L17" s="22" t="n">
        <f aca="false">K17*IF(B17=0,ComisionAnio1,ComisionRenov)</f>
        <v>58.3692096028622</v>
      </c>
      <c r="M17" s="22" t="n">
        <f aca="false">J17*IF(B17=0,CostoSuscripcion,0)</f>
        <v>0</v>
      </c>
      <c r="N17" s="22" t="n">
        <f aca="false">J17*CostoMant*(1+Inflacion+$E$6)^B17*$E$5</f>
        <v>56.5602557419568</v>
      </c>
      <c r="O17" s="22" t="n">
        <f aca="false">J17*H17*SumaAsegurada</f>
        <v>745.348199569214</v>
      </c>
      <c r="P17" s="22" t="n">
        <f aca="false">J17*H17*CostoSiniestro*(1+Inflacion+$E$6)^B17*$E$5</f>
        <v>1.43950582581981</v>
      </c>
      <c r="Q17" s="26" t="n">
        <f aca="false">INDEX(FD_Bloqueado,B17+1)</f>
        <v>0.663713829626701</v>
      </c>
      <c r="R17" s="26" t="n">
        <f aca="false">INDEX(FD_Bloqueado,B17+2)</f>
        <v>0.625605300108043</v>
      </c>
      <c r="S17" s="22" t="n">
        <f aca="false">(L17+M17+N17-K17)*Q17+(O17+P17)*R17</f>
        <v>-231.334410624369</v>
      </c>
      <c r="T17" s="29" t="n">
        <f aca="false">J17*SumaAsegurada</f>
        <v>97619.3450749738</v>
      </c>
    </row>
    <row r="18" customFormat="false" ht="15" hidden="false" customHeight="false" outlineLevel="0" collapsed="false">
      <c r="A18" s="16" t="n">
        <f aca="false">B18+1</f>
        <v>10</v>
      </c>
      <c r="B18" s="16" t="n">
        <f aca="false">ROW()-9</f>
        <v>9</v>
      </c>
      <c r="C18" s="16" t="n">
        <f aca="false">EdadEmision+B18</f>
        <v>54</v>
      </c>
      <c r="D18" s="16" t="n">
        <f aca="false">IF(B18&lt;Plazo,1,0)</f>
        <v>1</v>
      </c>
      <c r="E18" s="26" t="n">
        <f aca="false">IF(Sexo="M",INDEX(CSO_H,C18+1),INDEX(CSO_M,C18+1))</f>
        <v>0.00956</v>
      </c>
      <c r="F18" s="27" t="n">
        <f aca="false">IF(C18&lt;40,Fact_25_39,IF(C18&lt;50,Fact_40_49,Fact_50mas))</f>
        <v>0.95</v>
      </c>
      <c r="G18" s="28" t="n">
        <f aca="false">(1-Mejora)^B18</f>
        <v>0.913517247483641</v>
      </c>
      <c r="H18" s="26" t="n">
        <f aca="false">D18*MIN(E18*F18*G18*$E$3,1)</f>
        <v>0.00829656364164643</v>
      </c>
      <c r="I18" s="27" t="n">
        <f aca="false">D18*MIN(IF(B18=0,Cad_Anio1,IF(B18=1,Cad_Anio2,Cad_Anio3))*$E$4,1)</f>
        <v>0.04</v>
      </c>
      <c r="J18" s="26" t="n">
        <f aca="false">J17*(1-H17)*(1-I17)*D18</f>
        <v>0.61999358000259</v>
      </c>
      <c r="K18" s="22" t="n">
        <f aca="false">J18*PrimaAnual</f>
        <v>1112.13208393705</v>
      </c>
      <c r="L18" s="22" t="n">
        <f aca="false">K18*IF(B18=0,ComisionAnio1,ComisionRenov)</f>
        <v>55.6066041968523</v>
      </c>
      <c r="M18" s="22" t="n">
        <f aca="false">J18*IF(B18=0,CostoSuscripcion,0)</f>
        <v>0</v>
      </c>
      <c r="N18" s="22" t="n">
        <f aca="false">J18*CostoMant*(1+Inflacion+$E$6)^B18*$E$5</f>
        <v>55.7691822086479</v>
      </c>
      <c r="O18" s="22" t="n">
        <f aca="false">J18*H18*SumaAsegurada</f>
        <v>771.572429085553</v>
      </c>
      <c r="P18" s="22" t="n">
        <f aca="false">J18*H18*CostoSiniestro*(1+Inflacion+$E$6)^B18*$E$5</f>
        <v>1.54230856478874</v>
      </c>
      <c r="Q18" s="26" t="n">
        <f aca="false">INDEX(FD_Bloqueado,B18+1)</f>
        <v>0.625605300108043</v>
      </c>
      <c r="R18" s="26" t="n">
        <f aca="false">INDEX(FD_Bloqueado,B18+2)</f>
        <v>0.589227218190428</v>
      </c>
      <c r="S18" s="22" t="n">
        <f aca="false">(L18+M18+N18-K18)*Q18+(O18+P18)*R18</f>
        <v>-170.538197644502</v>
      </c>
      <c r="T18" s="29" t="n">
        <f aca="false">J18*SumaAsegurada</f>
        <v>92999.0370003885</v>
      </c>
    </row>
    <row r="19" customFormat="false" ht="15" hidden="false" customHeight="false" outlineLevel="0" collapsed="false">
      <c r="A19" s="16" t="n">
        <f aca="false">B19+1</f>
        <v>11</v>
      </c>
      <c r="B19" s="16" t="n">
        <f aca="false">ROW()-9</f>
        <v>10</v>
      </c>
      <c r="C19" s="16" t="n">
        <f aca="false">EdadEmision+B19</f>
        <v>55</v>
      </c>
      <c r="D19" s="16" t="n">
        <f aca="false">IF(B19&lt;Plazo,1,0)</f>
        <v>1</v>
      </c>
      <c r="E19" s="26" t="n">
        <f aca="false">IF(Sexo="M",INDEX(CSO_H,C19+1),INDEX(CSO_M,C19+1))</f>
        <v>0.01047</v>
      </c>
      <c r="F19" s="27" t="n">
        <f aca="false">IF(C19&lt;40,Fact_25_39,IF(C19&lt;50,Fact_40_49,Fact_50mas))</f>
        <v>0.95</v>
      </c>
      <c r="G19" s="28" t="n">
        <f aca="false">(1-Mejora)^B19</f>
        <v>0.904382075008804</v>
      </c>
      <c r="H19" s="26" t="n">
        <f aca="false">D19*MIN(E19*F19*G19*$E$3,1)</f>
        <v>0.00899543630907507</v>
      </c>
      <c r="I19" s="27" t="n">
        <f aca="false">D19*MIN(IF(B19=0,Cad_Anio1,IF(B19=1,Cad_Anio2,Cad_Anio3))*$E$4,1)</f>
        <v>0.04</v>
      </c>
      <c r="J19" s="26" t="n">
        <f aca="false">J18*(1-H18)*(1-I18)*D19</f>
        <v>0.590255773256339</v>
      </c>
      <c r="K19" s="22" t="n">
        <f aca="false">J19*PrimaAnual</f>
        <v>1058.78900095175</v>
      </c>
      <c r="L19" s="22" t="n">
        <f aca="false">K19*IF(B19=0,ComisionAnio1,ComisionRenov)</f>
        <v>52.9394500475877</v>
      </c>
      <c r="M19" s="22" t="n">
        <f aca="false">J19*IF(B19=0,CostoSuscripcion,0)</f>
        <v>0</v>
      </c>
      <c r="N19" s="22" t="n">
        <f aca="false">J19*CostoMant*(1+Inflacion+$E$6)^B19*$E$5</f>
        <v>54.9525281055203</v>
      </c>
      <c r="O19" s="22" t="n">
        <f aca="false">J19*H19*SumaAsegurada</f>
        <v>796.441232158688</v>
      </c>
      <c r="P19" s="22" t="n">
        <f aca="false">J19*H19*CostoSiniestro*(1+Inflacion+$E$6)^B19*$E$5</f>
        <v>1.64773988865289</v>
      </c>
      <c r="Q19" s="26" t="n">
        <f aca="false">INDEX(FD_Bloqueado,B19+1)</f>
        <v>0.589227218190428</v>
      </c>
      <c r="R19" s="26" t="n">
        <f aca="false">INDEX(FD_Bloqueado,B19+2)</f>
        <v>0.55469576392788</v>
      </c>
      <c r="S19" s="22" t="n">
        <f aca="false">(L19+M19+N19-K19)*Q19+(O19+P19)*R19</f>
        <v>-117.597835496991</v>
      </c>
      <c r="T19" s="29" t="n">
        <f aca="false">J19*SumaAsegurada</f>
        <v>88538.3659884508</v>
      </c>
    </row>
    <row r="20" customFormat="false" ht="15" hidden="false" customHeight="false" outlineLevel="0" collapsed="false">
      <c r="A20" s="16" t="n">
        <f aca="false">B20+1</f>
        <v>12</v>
      </c>
      <c r="B20" s="16" t="n">
        <f aca="false">ROW()-9</f>
        <v>11</v>
      </c>
      <c r="C20" s="16" t="n">
        <f aca="false">EdadEmision+B20</f>
        <v>56</v>
      </c>
      <c r="D20" s="16" t="n">
        <f aca="false">IF(B20&lt;Plazo,1,0)</f>
        <v>1</v>
      </c>
      <c r="E20" s="26" t="n">
        <f aca="false">IF(Sexo="M",INDEX(CSO_H,C20+1),INDEX(CSO_M,C20+1))</f>
        <v>0.01146</v>
      </c>
      <c r="F20" s="27" t="n">
        <f aca="false">IF(C20&lt;40,Fact_25_39,IF(C20&lt;50,Fact_40_49,Fact_50mas))</f>
        <v>0.95</v>
      </c>
      <c r="G20" s="28" t="n">
        <f aca="false">(1-Mejora)^B20</f>
        <v>0.895338254258716</v>
      </c>
      <c r="H20" s="26" t="n">
        <f aca="false">D20*MIN(E20*F20*G20*$E$3,1)</f>
        <v>0.00974754757411465</v>
      </c>
      <c r="I20" s="27" t="n">
        <f aca="false">D20*MIN(IF(B20=0,Cad_Anio1,IF(B20=1,Cad_Anio2,Cad_Anio3))*$E$4,1)</f>
        <v>0.04</v>
      </c>
      <c r="J20" s="26" t="n">
        <f aca="false">J19*(1-H19)*(1-I19)*D20</f>
        <v>0.561548318440269</v>
      </c>
      <c r="K20" s="22" t="n">
        <f aca="false">J20*PrimaAnual</f>
        <v>1007.29414265179</v>
      </c>
      <c r="L20" s="22" t="n">
        <f aca="false">K20*IF(B20=0,ComisionAnio1,ComisionRenov)</f>
        <v>50.3647071325893</v>
      </c>
      <c r="M20" s="22" t="n">
        <f aca="false">J20*IF(B20=0,CostoSuscripcion,0)</f>
        <v>0</v>
      </c>
      <c r="N20" s="22" t="n">
        <f aca="false">J20*CostoMant*(1+Inflacion+$E$6)^B20*$E$5</f>
        <v>54.1096736196353</v>
      </c>
      <c r="O20" s="22" t="n">
        <f aca="false">J20*H20*SumaAsegurada</f>
        <v>821.057842374091</v>
      </c>
      <c r="P20" s="22" t="n">
        <f aca="false">J20*H20*CostoSiniestro*(1+Inflacion+$E$6)^B20*$E$5</f>
        <v>1.75812205942404</v>
      </c>
      <c r="Q20" s="26" t="n">
        <f aca="false">INDEX(FD_Bloqueado,B20+1)</f>
        <v>0.55469576392788</v>
      </c>
      <c r="R20" s="26" t="n">
        <f aca="false">INDEX(FD_Bloqueado,B20+2)</f>
        <v>0.522087486914417</v>
      </c>
      <c r="S20" s="22" t="n">
        <f aca="false">(L20+M20+N20-K20)*Q20+(O20+P20)*R20</f>
        <v>-71.2083784519084</v>
      </c>
      <c r="T20" s="29" t="n">
        <f aca="false">J20*SumaAsegurada</f>
        <v>84232.2477660404</v>
      </c>
    </row>
    <row r="21" customFormat="false" ht="15" hidden="false" customHeight="false" outlineLevel="0" collapsed="false">
      <c r="A21" s="16" t="n">
        <f aca="false">B21+1</f>
        <v>13</v>
      </c>
      <c r="B21" s="16" t="n">
        <f aca="false">ROW()-9</f>
        <v>12</v>
      </c>
      <c r="C21" s="16" t="n">
        <f aca="false">EdadEmision+B21</f>
        <v>57</v>
      </c>
      <c r="D21" s="16" t="n">
        <f aca="false">IF(B21&lt;Plazo,1,0)</f>
        <v>1</v>
      </c>
      <c r="E21" s="26" t="n">
        <f aca="false">IF(Sexo="M",INDEX(CSO_H,C21+1),INDEX(CSO_M,C21+1))</f>
        <v>0.01249</v>
      </c>
      <c r="F21" s="27" t="n">
        <f aca="false">IF(C21&lt;40,Fact_25_39,IF(C21&lt;50,Fact_40_49,Fact_50mas))</f>
        <v>0.95</v>
      </c>
      <c r="G21" s="28" t="n">
        <f aca="false">(1-Mejora)^B21</f>
        <v>0.886384871716129</v>
      </c>
      <c r="H21" s="26" t="n">
        <f aca="false">D21*MIN(E21*F21*G21*$E$3,1)</f>
        <v>0.0105173996953477</v>
      </c>
      <c r="I21" s="27" t="n">
        <f aca="false">D21*MIN(IF(B21=0,Cad_Anio1,IF(B21=1,Cad_Anio2,Cad_Anio3))*$E$4,1)</f>
        <v>0.04</v>
      </c>
      <c r="J21" s="26" t="n">
        <f aca="false">J20*(1-H20)*(1-I20)*D21</f>
        <v>0.533831615511464</v>
      </c>
      <c r="K21" s="22" t="n">
        <f aca="false">J21*PrimaAnual</f>
        <v>957.576475272155</v>
      </c>
      <c r="L21" s="22" t="n">
        <f aca="false">K21*IF(B21=0,ComisionAnio1,ComisionRenov)</f>
        <v>47.8788237636077</v>
      </c>
      <c r="M21" s="22" t="n">
        <f aca="false">J21*IF(B21=0,CostoSuscripcion,0)</f>
        <v>0</v>
      </c>
      <c r="N21" s="22" t="n">
        <f aca="false">J21*CostoMant*(1+Inflacion+$E$6)^B21*$E$5</f>
        <v>53.2393106849965</v>
      </c>
      <c r="O21" s="22" t="n">
        <f aca="false">J21*H21*SumaAsegurada</f>
        <v>842.178070552089</v>
      </c>
      <c r="P21" s="22" t="n">
        <f aca="false">J21*H21*CostoSiniestro*(1+Inflacion+$E$6)^B21*$E$5</f>
        <v>1.86646369992968</v>
      </c>
      <c r="Q21" s="26" t="n">
        <f aca="false">INDEX(FD_Bloqueado,B21+1)</f>
        <v>0.522087486914417</v>
      </c>
      <c r="R21" s="26" t="n">
        <f aca="false">INDEX(FD_Bloqueado,B21+2)</f>
        <v>0.490823534155882</v>
      </c>
      <c r="S21" s="22" t="n">
        <f aca="false">(L21+M21+N21-K21)*Q21+(O21+P21)*R21</f>
        <v>-32.8692615209271</v>
      </c>
      <c r="T21" s="29" t="n">
        <f aca="false">J21*SumaAsegurada</f>
        <v>80074.7423267197</v>
      </c>
    </row>
    <row r="22" customFormat="false" ht="15" hidden="false" customHeight="false" outlineLevel="0" collapsed="false">
      <c r="A22" s="16" t="n">
        <f aca="false">B22+1</f>
        <v>14</v>
      </c>
      <c r="B22" s="16" t="n">
        <f aca="false">ROW()-9</f>
        <v>13</v>
      </c>
      <c r="C22" s="16" t="n">
        <f aca="false">EdadEmision+B22</f>
        <v>58</v>
      </c>
      <c r="D22" s="16" t="n">
        <f aca="false">IF(B22&lt;Plazo,1,0)</f>
        <v>1</v>
      </c>
      <c r="E22" s="26" t="n">
        <f aca="false">IF(Sexo="M",INDEX(CSO_H,C22+1),INDEX(CSO_M,C22+1))</f>
        <v>0.01359</v>
      </c>
      <c r="F22" s="27" t="n">
        <f aca="false">IF(C22&lt;40,Fact_25_39,IF(C22&lt;50,Fact_40_49,Fact_50mas))</f>
        <v>0.95</v>
      </c>
      <c r="G22" s="28" t="n">
        <f aca="false">(1-Mejora)^B22</f>
        <v>0.877521022998968</v>
      </c>
      <c r="H22" s="26" t="n">
        <f aca="false">D22*MIN(E22*F22*G22*$E$3,1)</f>
        <v>0.0113292351674282</v>
      </c>
      <c r="I22" s="27" t="n">
        <f aca="false">D22*MIN(IF(B22=0,Cad_Anio1,IF(B22=1,Cad_Anio2,Cad_Anio3))*$E$4,1)</f>
        <v>0.04</v>
      </c>
      <c r="J22" s="26" t="n">
        <f aca="false">J21*(1-H21)*(1-I21)*D22</f>
        <v>0.507088411239473</v>
      </c>
      <c r="K22" s="22" t="n">
        <f aca="false">J22*PrimaAnual</f>
        <v>909.605050313141</v>
      </c>
      <c r="L22" s="22" t="n">
        <f aca="false">K22*IF(B22=0,ComisionAnio1,ComisionRenov)</f>
        <v>45.480252515657</v>
      </c>
      <c r="M22" s="22" t="n">
        <f aca="false">J22*IF(B22=0,CostoSuscripcion,0)</f>
        <v>0</v>
      </c>
      <c r="N22" s="22" t="n">
        <f aca="false">J22*CostoMant*(1+Inflacion+$E$6)^B22*$E$5</f>
        <v>52.3422235969375</v>
      </c>
      <c r="O22" s="22" t="n">
        <f aca="false">J22*H22*SumaAsegurada</f>
        <v>861.738579241427</v>
      </c>
      <c r="P22" s="22" t="n">
        <f aca="false">J22*H22*CostoSiniestro*(1+Inflacion+$E$6)^B22*$E$5</f>
        <v>1.97665786771938</v>
      </c>
      <c r="Q22" s="26" t="n">
        <f aca="false">INDEX(FD_Bloqueado,B22+1)</f>
        <v>0.490823534155882</v>
      </c>
      <c r="R22" s="26" t="n">
        <f aca="false">INDEX(FD_Bloqueado,B22+2)</f>
        <v>0.462151381448276</v>
      </c>
      <c r="S22" s="22" t="n">
        <f aca="false">(L22+M22+N22-K22)*Q22+(O22+P22)*R22</f>
        <v>0.725197972645105</v>
      </c>
      <c r="T22" s="29" t="n">
        <f aca="false">J22*SumaAsegurada</f>
        <v>76063.2616859209</v>
      </c>
    </row>
    <row r="23" customFormat="false" ht="15" hidden="false" customHeight="false" outlineLevel="0" collapsed="false">
      <c r="A23" s="16" t="n">
        <f aca="false">B23+1</f>
        <v>15</v>
      </c>
      <c r="B23" s="16" t="n">
        <f aca="false">ROW()-9</f>
        <v>14</v>
      </c>
      <c r="C23" s="16" t="n">
        <f aca="false">EdadEmision+B23</f>
        <v>59</v>
      </c>
      <c r="D23" s="16" t="n">
        <f aca="false">IF(B23&lt;Plazo,1,0)</f>
        <v>1</v>
      </c>
      <c r="E23" s="26" t="n">
        <f aca="false">IF(Sexo="M",INDEX(CSO_H,C23+1),INDEX(CSO_M,C23+1))</f>
        <v>0.01477</v>
      </c>
      <c r="F23" s="27" t="n">
        <f aca="false">IF(C23&lt;40,Fact_25_39,IF(C23&lt;50,Fact_40_49,Fact_50mas))</f>
        <v>0.95</v>
      </c>
      <c r="G23" s="28" t="n">
        <f aca="false">(1-Mejora)^B23</f>
        <v>0.868745812768978</v>
      </c>
      <c r="H23" s="26" t="n">
        <f aca="false">D23*MIN(E23*F23*G23*$E$3,1)</f>
        <v>0.0121898068718679</v>
      </c>
      <c r="I23" s="27" t="n">
        <f aca="false">D23*MIN(IF(B23=0,Cad_Anio1,IF(B23=1,Cad_Anio2,Cad_Anio3))*$E$4,1)</f>
        <v>0.04</v>
      </c>
      <c r="J23" s="26" t="n">
        <f aca="false">J22*(1-H22)*(1-I22)*D23</f>
        <v>0.481289747882748</v>
      </c>
      <c r="K23" s="22" t="n">
        <f aca="false">J23*PrimaAnual</f>
        <v>863.327923957117</v>
      </c>
      <c r="L23" s="22" t="n">
        <f aca="false">K23*IF(B23=0,ComisionAnio1,ComisionRenov)</f>
        <v>43.1663961978558</v>
      </c>
      <c r="M23" s="22" t="n">
        <f aca="false">J23*IF(B23=0,CostoSuscripcion,0)</f>
        <v>0</v>
      </c>
      <c r="N23" s="22" t="n">
        <f aca="false">J23*CostoMant*(1+Inflacion+$E$6)^B23*$E$5</f>
        <v>51.4180311887073</v>
      </c>
      <c r="O23" s="22" t="n">
        <f aca="false">J23*H23*SumaAsegurada</f>
        <v>880.024361415106</v>
      </c>
      <c r="P23" s="22" t="n">
        <f aca="false">J23*H23*CostoSiniestro*(1+Inflacion+$E$6)^B23*$E$5</f>
        <v>2.08925289974008</v>
      </c>
      <c r="Q23" s="26" t="n">
        <f aca="false">INDEX(FD_Bloqueado,B23+1)</f>
        <v>0.462151381448276</v>
      </c>
      <c r="R23" s="26" t="n">
        <f aca="false">INDEX(FD_Bloqueado,B23+2)</f>
        <v>0.434182199189579</v>
      </c>
      <c r="S23" s="22" t="n">
        <f aca="false">(L23+M23+N23-K23)*Q23+(O23+P23)*R23</f>
        <v>27.7221600788292</v>
      </c>
      <c r="T23" s="29" t="n">
        <f aca="false">J23*SumaAsegurada</f>
        <v>72193.4621824123</v>
      </c>
    </row>
    <row r="24" customFormat="false" ht="15" hidden="false" customHeight="false" outlineLevel="0" collapsed="false">
      <c r="A24" s="16" t="n">
        <f aca="false">B24+1</f>
        <v>16</v>
      </c>
      <c r="B24" s="16" t="n">
        <f aca="false">ROW()-9</f>
        <v>15</v>
      </c>
      <c r="C24" s="16" t="n">
        <f aca="false">EdadEmision+B24</f>
        <v>60</v>
      </c>
      <c r="D24" s="16" t="n">
        <f aca="false">IF(B24&lt;Plazo,1,0)</f>
        <v>1</v>
      </c>
      <c r="E24" s="26" t="n">
        <f aca="false">IF(Sexo="M",INDEX(CSO_H,C24+1),INDEX(CSO_M,C24+1))</f>
        <v>0.01608</v>
      </c>
      <c r="F24" s="27" t="n">
        <f aca="false">IF(C24&lt;40,Fact_25_39,IF(C24&lt;50,Fact_40_49,Fact_50mas))</f>
        <v>0.95</v>
      </c>
      <c r="G24" s="28" t="n">
        <f aca="false">(1-Mejora)^B24</f>
        <v>0.860058354641288</v>
      </c>
      <c r="H24" s="26" t="n">
        <f aca="false">D24*MIN(E24*F24*G24*$E$3,1)</f>
        <v>0.0131382514255003</v>
      </c>
      <c r="I24" s="27" t="n">
        <f aca="false">D24*MIN(IF(B24=0,Cad_Anio1,IF(B24=1,Cad_Anio2,Cad_Anio3))*$E$4,1)</f>
        <v>0.04</v>
      </c>
      <c r="J24" s="26" t="n">
        <f aca="false">J23*(1-H23)*(1-I23)*D24</f>
        <v>0.456406002054382</v>
      </c>
      <c r="K24" s="22" t="n">
        <f aca="false">J24*PrimaAnual</f>
        <v>818.691958365109</v>
      </c>
      <c r="L24" s="22" t="n">
        <f aca="false">K24*IF(B24=0,ComisionAnio1,ComisionRenov)</f>
        <v>40.9345979182555</v>
      </c>
      <c r="M24" s="22" t="n">
        <f aca="false">J24*IF(B24=0,CostoSuscripcion,0)</f>
        <v>0</v>
      </c>
      <c r="N24" s="22" t="n">
        <f aca="false">J24*CostoMant*(1+Inflacion+$E$6)^B24*$E$5</f>
        <v>50.466191284745</v>
      </c>
      <c r="O24" s="22" t="n">
        <f aca="false">J24*H24*SumaAsegurada</f>
        <v>899.456521064683</v>
      </c>
      <c r="P24" s="22" t="n">
        <f aca="false">J24*H24*CostoSiniestro*(1+Inflacion+$E$6)^B24*$E$5</f>
        <v>2.21012503195458</v>
      </c>
      <c r="Q24" s="26" t="n">
        <f aca="false">INDEX(FD_Bloqueado,B24+1)</f>
        <v>0.434182199189579</v>
      </c>
      <c r="R24" s="26" t="n">
        <f aca="false">INDEX(FD_Bloqueado,B24+2)</f>
        <v>0.40877989066849</v>
      </c>
      <c r="S24" s="22" t="n">
        <f aca="false">(L24+M24+N24-K24)*Q24+(O24+P24)*R24</f>
        <v>52.8063137328427</v>
      </c>
      <c r="T24" s="29" t="n">
        <f aca="false">J24*SumaAsegurada</f>
        <v>68460.9003081573</v>
      </c>
    </row>
    <row r="25" customFormat="false" ht="15" hidden="false" customHeight="false" outlineLevel="0" collapsed="false">
      <c r="A25" s="16" t="n">
        <f aca="false">B25+1</f>
        <v>17</v>
      </c>
      <c r="B25" s="16" t="n">
        <f aca="false">ROW()-9</f>
        <v>16</v>
      </c>
      <c r="C25" s="16" t="n">
        <f aca="false">EdadEmision+B25</f>
        <v>61</v>
      </c>
      <c r="D25" s="16" t="n">
        <f aca="false">IF(B25&lt;Plazo,1,0)</f>
        <v>1</v>
      </c>
      <c r="E25" s="26" t="n">
        <f aca="false">IF(Sexo="M",INDEX(CSO_H,C25+1),INDEX(CSO_M,C25+1))</f>
        <v>0.01754</v>
      </c>
      <c r="F25" s="27" t="n">
        <f aca="false">IF(C25&lt;40,Fact_25_39,IF(C25&lt;50,Fact_40_49,Fact_50mas))</f>
        <v>0.95</v>
      </c>
      <c r="G25" s="28" t="n">
        <f aca="false">(1-Mejora)^B25</f>
        <v>0.851457771094876</v>
      </c>
      <c r="H25" s="26" t="n">
        <f aca="false">D25*MIN(E25*F25*G25*$E$3,1)</f>
        <v>0.0141878408397539</v>
      </c>
      <c r="I25" s="27" t="n">
        <f aca="false">D25*MIN(IF(B25=0,Cad_Anio1,IF(B25=1,Cad_Anio2,Cad_Anio3))*$E$4,1)</f>
        <v>0.04</v>
      </c>
      <c r="J25" s="26" t="n">
        <f aca="false">J24*(1-H24)*(1-I24)*D25</f>
        <v>0.432393240237393</v>
      </c>
      <c r="K25" s="22" t="n">
        <f aca="false">J25*PrimaAnual</f>
        <v>775.61834647303</v>
      </c>
      <c r="L25" s="22" t="n">
        <f aca="false">K25*IF(B25=0,ComisionAnio1,ComisionRenov)</f>
        <v>38.7809173236515</v>
      </c>
      <c r="M25" s="22" t="n">
        <f aca="false">J25*IF(B25=0,CostoSuscripcion,0)</f>
        <v>0</v>
      </c>
      <c r="N25" s="22" t="n">
        <f aca="false">J25*CostoMant*(1+Inflacion+$E$6)^B25*$E$5</f>
        <v>49.4844135909976</v>
      </c>
      <c r="O25" s="22" t="n">
        <f aca="false">J25*H25*SumaAsegurada</f>
        <v>920.20897090104</v>
      </c>
      <c r="P25" s="22" t="n">
        <f aca="false">J25*H25*CostoSiniestro*(1+Inflacion+$E$6)^B25*$E$5</f>
        <v>2.3402566135921</v>
      </c>
      <c r="Q25" s="26" t="n">
        <f aca="false">INDEX(FD_Bloqueado,B25+1)</f>
        <v>0.40877989066849</v>
      </c>
      <c r="R25" s="26" t="n">
        <f aca="false">INDEX(FD_Bloqueado,B25+2)</f>
        <v>0.384639547396534</v>
      </c>
      <c r="S25" s="22" t="n">
        <f aca="false">(L25+M25+N25-K25)*Q25+(O25+P25)*R25</f>
        <v>73.8728267716388</v>
      </c>
      <c r="T25" s="29" t="n">
        <f aca="false">J25*SumaAsegurada</f>
        <v>64858.9860356089</v>
      </c>
    </row>
    <row r="26" customFormat="false" ht="15" hidden="false" customHeight="false" outlineLevel="0" collapsed="false">
      <c r="A26" s="16" t="n">
        <f aca="false">B26+1</f>
        <v>18</v>
      </c>
      <c r="B26" s="16" t="n">
        <f aca="false">ROW()-9</f>
        <v>17</v>
      </c>
      <c r="C26" s="16" t="n">
        <f aca="false">EdadEmision+B26</f>
        <v>62</v>
      </c>
      <c r="D26" s="16" t="n">
        <f aca="false">IF(B26&lt;Plazo,1,0)</f>
        <v>1</v>
      </c>
      <c r="E26" s="26" t="n">
        <f aca="false">IF(Sexo="M",INDEX(CSO_H,C26+1),INDEX(CSO_M,C26+1))</f>
        <v>0.01919</v>
      </c>
      <c r="F26" s="27" t="n">
        <f aca="false">IF(C26&lt;40,Fact_25_39,IF(C26&lt;50,Fact_40_49,Fact_50mas))</f>
        <v>0.95</v>
      </c>
      <c r="G26" s="28" t="n">
        <f aca="false">(1-Mejora)^B26</f>
        <v>0.842943193383927</v>
      </c>
      <c r="H26" s="26" t="n">
        <f aca="false">D26*MIN(E26*F26*G26*$E$3,1)</f>
        <v>0.0153672758869857</v>
      </c>
      <c r="I26" s="27" t="n">
        <f aca="false">D26*MIN(IF(B26=0,Cad_Anio1,IF(B26=1,Cad_Anio2,Cad_Anio3))*$E$4,1)</f>
        <v>0.04</v>
      </c>
      <c r="J26" s="26" t="n">
        <f aca="false">J25*(1-H25)*(1-I25)*D26</f>
        <v>0.40920817321413</v>
      </c>
      <c r="K26" s="22" t="n">
        <f aca="false">J26*PrimaAnual</f>
        <v>734.029436948042</v>
      </c>
      <c r="L26" s="22" t="n">
        <f aca="false">K26*IF(B26=0,ComisionAnio1,ComisionRenov)</f>
        <v>36.7014718474021</v>
      </c>
      <c r="M26" s="22" t="n">
        <f aca="false">J26*IF(B26=0,CostoSuscripcion,0)</f>
        <v>0</v>
      </c>
      <c r="N26" s="22" t="n">
        <f aca="false">J26*CostoMant*(1+Inflacion+$E$6)^B26*$E$5</f>
        <v>48.4701296526357</v>
      </c>
      <c r="O26" s="22" t="n">
        <f aca="false">J26*H26*SumaAsegurada</f>
        <v>943.262233948644</v>
      </c>
      <c r="P26" s="22" t="n">
        <f aca="false">J26*H26*CostoSiniestro*(1+Inflacion+$E$6)^B26*$E$5</f>
        <v>2.48284618216673</v>
      </c>
      <c r="Q26" s="26" t="n">
        <f aca="false">INDEX(FD_Bloqueado,B26+1)</f>
        <v>0.384639547396534</v>
      </c>
      <c r="R26" s="26" t="n">
        <f aca="false">INDEX(FD_Bloqueado,B26+2)</f>
        <v>0.36171398874759</v>
      </c>
      <c r="S26" s="22" t="n">
        <f aca="false">(L26+M26+N26-K26)*Q26+(O26+P26)*R26</f>
        <v>92.5128411211091</v>
      </c>
      <c r="T26" s="29" t="n">
        <f aca="false">J26*SumaAsegurada</f>
        <v>61381.2259821195</v>
      </c>
    </row>
    <row r="27" customFormat="false" ht="15" hidden="false" customHeight="false" outlineLevel="0" collapsed="false">
      <c r="A27" s="16" t="n">
        <f aca="false">B27+1</f>
        <v>19</v>
      </c>
      <c r="B27" s="16" t="n">
        <f aca="false">ROW()-9</f>
        <v>18</v>
      </c>
      <c r="C27" s="16" t="n">
        <f aca="false">EdadEmision+B27</f>
        <v>63</v>
      </c>
      <c r="D27" s="16" t="n">
        <f aca="false">IF(B27&lt;Plazo,1,0)</f>
        <v>1</v>
      </c>
      <c r="E27" s="26" t="n">
        <f aca="false">IF(Sexo="M",INDEX(CSO_H,C27+1),INDEX(CSO_M,C27+1))</f>
        <v>0.02106</v>
      </c>
      <c r="F27" s="27" t="n">
        <f aca="false">IF(C27&lt;40,Fact_25_39,IF(C27&lt;50,Fact_40_49,Fact_50mas))</f>
        <v>0.95</v>
      </c>
      <c r="G27" s="28" t="n">
        <f aca="false">(1-Mejora)^B27</f>
        <v>0.834513761450088</v>
      </c>
      <c r="H27" s="26" t="n">
        <f aca="false">D27*MIN(E27*F27*G27*$E$3,1)</f>
        <v>0.0166961168253319</v>
      </c>
      <c r="I27" s="27" t="n">
        <f aca="false">D27*MIN(IF(B27=0,Cad_Anio1,IF(B27=1,Cad_Anio2,Cad_Anio3))*$E$4,1)</f>
        <v>0.04</v>
      </c>
      <c r="J27" s="26" t="n">
        <f aca="false">J26*(1-H26)*(1-I26)*D27</f>
        <v>0.386802967988294</v>
      </c>
      <c r="K27" s="22" t="n">
        <f aca="false">J27*PrimaAnual</f>
        <v>693.839427918041</v>
      </c>
      <c r="L27" s="22" t="n">
        <f aca="false">K27*IF(B27=0,ComisionAnio1,ComisionRenov)</f>
        <v>34.6919713959021</v>
      </c>
      <c r="M27" s="22" t="n">
        <f aca="false">J27*IF(B27=0,CostoSuscripcion,0)</f>
        <v>0</v>
      </c>
      <c r="N27" s="22" t="n">
        <f aca="false">J27*CostoMant*(1+Inflacion+$E$6)^B27*$E$5</f>
        <v>47.4198340328786</v>
      </c>
      <c r="O27" s="22" t="n">
        <f aca="false">J27*H27*SumaAsegurada</f>
        <v>968.71613128765</v>
      </c>
      <c r="P27" s="22" t="n">
        <f aca="false">J27*H27*CostoSiniestro*(1+Inflacion+$E$6)^B27*$E$5</f>
        <v>2.6390902961693</v>
      </c>
      <c r="Q27" s="26" t="n">
        <f aca="false">INDEX(FD_Bloqueado,B27+1)</f>
        <v>0.36171398874759</v>
      </c>
      <c r="R27" s="26" t="n">
        <f aca="false">INDEX(FD_Bloqueado,B27+2)</f>
        <v>0.340585196621635</v>
      </c>
      <c r="S27" s="22" t="n">
        <f aca="false">(L27+M27+N27-K27)*Q27+(O27+P27)*R27</f>
        <v>109.558770774907</v>
      </c>
      <c r="T27" s="29" t="n">
        <f aca="false">J27*SumaAsegurada</f>
        <v>58020.445198244</v>
      </c>
    </row>
    <row r="28" customFormat="false" ht="15" hidden="false" customHeight="false" outlineLevel="0" collapsed="false">
      <c r="A28" s="16" t="n">
        <f aca="false">B28+1</f>
        <v>20</v>
      </c>
      <c r="B28" s="16" t="n">
        <f aca="false">ROW()-9</f>
        <v>19</v>
      </c>
      <c r="C28" s="16" t="n">
        <f aca="false">EdadEmision+B28</f>
        <v>64</v>
      </c>
      <c r="D28" s="16" t="n">
        <f aca="false">IF(B28&lt;Plazo,1,0)</f>
        <v>1</v>
      </c>
      <c r="E28" s="26" t="n">
        <f aca="false">IF(Sexo="M",INDEX(CSO_H,C28+1),INDEX(CSO_M,C28+1))</f>
        <v>0.02314</v>
      </c>
      <c r="F28" s="27" t="n">
        <f aca="false">IF(C28&lt;40,Fact_25_39,IF(C28&lt;50,Fact_40_49,Fact_50mas))</f>
        <v>0.95</v>
      </c>
      <c r="G28" s="28" t="n">
        <f aca="false">(1-Mejora)^B28</f>
        <v>0.826168623835587</v>
      </c>
      <c r="H28" s="26" t="n">
        <f aca="false">D28*MIN(E28*F28*G28*$E$3,1)</f>
        <v>0.0181616648577777</v>
      </c>
      <c r="I28" s="27" t="n">
        <f aca="false">D28*MIN(IF(B28=0,Cad_Anio1,IF(B28=1,Cad_Anio2,Cad_Anio3))*$E$4,1)</f>
        <v>0.04</v>
      </c>
      <c r="J28" s="26" t="n">
        <f aca="false">J27*(1-H27)*(1-I27)*D28</f>
        <v>0.365131066028521</v>
      </c>
      <c r="K28" s="22" t="n">
        <f aca="false">J28*PrimaAnual</f>
        <v>654.96480362064</v>
      </c>
      <c r="L28" s="22" t="n">
        <f aca="false">K28*IF(B28=0,ComisionAnio1,ComisionRenov)</f>
        <v>32.748240181032</v>
      </c>
      <c r="M28" s="22" t="n">
        <f aca="false">J28*IF(B28=0,CostoSuscripcion,0)</f>
        <v>0</v>
      </c>
      <c r="N28" s="22" t="n">
        <f aca="false">J28*CostoMant*(1+Inflacion+$E$6)^B28*$E$5</f>
        <v>46.329687059586</v>
      </c>
      <c r="O28" s="22" t="n">
        <f aca="false">J28*H28*SumaAsegurada</f>
        <v>994.708207555965</v>
      </c>
      <c r="P28" s="22" t="n">
        <f aca="false">J28*H28*CostoSiniestro*(1+Inflacion+$E$6)^B28*$E$5</f>
        <v>2.80474749780641</v>
      </c>
      <c r="Q28" s="26" t="n">
        <f aca="false">INDEX(FD_Bloqueado,B28+1)</f>
        <v>0.340585196621635</v>
      </c>
      <c r="R28" s="26" t="n">
        <f aca="false">INDEX(FD_Bloqueado,B28+2)</f>
        <v>0.321189823536907</v>
      </c>
      <c r="S28" s="22" t="n">
        <f aca="false">(L28+M28+N28-K28)*Q28+(O28+P28)*R28</f>
        <v>124.25246498579</v>
      </c>
      <c r="T28" s="29" t="n">
        <f aca="false">J28*SumaAsegurada</f>
        <v>54769.6599042781</v>
      </c>
    </row>
    <row r="29" customFormat="false" ht="15" hidden="false" customHeight="false" outlineLevel="0" collapsed="false">
      <c r="A29" s="30" t="s">
        <v>117</v>
      </c>
      <c r="K29" s="24" t="n">
        <f aca="false">SUM(K9:K28)</f>
        <v>22467.4777039862</v>
      </c>
      <c r="L29" s="24" t="n">
        <f aca="false">SUM(L9:L28)</f>
        <v>1930.57488519931</v>
      </c>
      <c r="M29" s="24" t="n">
        <f aca="false">SUM(M9:M28)</f>
        <v>150</v>
      </c>
      <c r="N29" s="24" t="n">
        <f aca="false">SUM(N9:N28)</f>
        <v>1103.65536094653</v>
      </c>
      <c r="O29" s="24" t="n">
        <f aca="false">SUM(O9:O28)</f>
        <v>15109.0690047456</v>
      </c>
      <c r="P29" s="24" t="n">
        <f aca="false">SUM(P9:P28)</f>
        <v>32.6243687187582</v>
      </c>
      <c r="S29" s="24" t="n">
        <f aca="false">SUM(S9:S28)</f>
        <v>-4645.81050002926</v>
      </c>
      <c r="T29" s="31" t="n">
        <f aca="false">SUM(T9:T28)</f>
        <v>1878782.04439671</v>
      </c>
    </row>
  </sheetData>
  <mergeCells count="8">
    <mergeCell ref="A3:D3"/>
    <mergeCell ref="G3:K3"/>
    <mergeCell ref="A4:D4"/>
    <mergeCell ref="G4:K4"/>
    <mergeCell ref="A5:D5"/>
    <mergeCell ref="G5:K5"/>
    <mergeCell ref="A6:D6"/>
    <mergeCell ref="G6:K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14"/>
    <col collapsed="false" customWidth="true" hidden="false" outlineLevel="0" max="4" min="4" style="0" width="13"/>
    <col collapsed="false" customWidth="true" hidden="false" outlineLevel="0" max="6" min="5" style="0" width="14"/>
    <col collapsed="false" customWidth="true" hidden="false" outlineLevel="0" max="7" min="7" style="0" width="11"/>
    <col collapsed="false" customWidth="true" hidden="false" outlineLevel="0" max="8" min="8" style="0" width="13"/>
    <col collapsed="false" customWidth="true" hidden="false" outlineLevel="0" max="9" min="9" style="0" width="14"/>
  </cols>
  <sheetData>
    <row r="1" customFormat="false" ht="16.15" hidden="false" customHeight="false" outlineLevel="0" collapsed="false">
      <c r="A1" s="1" t="s">
        <v>122</v>
      </c>
    </row>
    <row r="2" customFormat="false" ht="15" hidden="false" customHeight="false" outlineLevel="0" collapsed="false">
      <c r="A2" s="2" t="s">
        <v>123</v>
      </c>
    </row>
    <row r="3" customFormat="false" ht="15" hidden="false" customHeight="false" outlineLevel="0" collapsed="false">
      <c r="A3" s="34" t="s">
        <v>124</v>
      </c>
    </row>
    <row r="4" customFormat="false" ht="23.85" hidden="false" customHeight="false" outlineLevel="0" collapsed="false">
      <c r="A4" s="5" t="s">
        <v>125</v>
      </c>
      <c r="B4" s="5" t="s">
        <v>126</v>
      </c>
      <c r="C4" s="5" t="s">
        <v>127</v>
      </c>
    </row>
    <row r="5" customFormat="false" ht="15" hidden="false" customHeight="false" outlineLevel="0" collapsed="false">
      <c r="A5" s="7" t="s">
        <v>128</v>
      </c>
      <c r="B5" s="35" t="n">
        <f aca="false">Proy_Base!$L$5</f>
        <v>-4757.04436690267</v>
      </c>
    </row>
    <row r="6" customFormat="false" ht="15" hidden="false" customHeight="false" outlineLevel="0" collapsed="false">
      <c r="A6" s="7" t="s">
        <v>129</v>
      </c>
      <c r="B6" s="35" t="n">
        <f aca="false">Proy_Mort!$L$5</f>
        <v>-3501.87869330096</v>
      </c>
      <c r="C6" s="22" t="n">
        <f aca="false">B6-$B$5</f>
        <v>1255.1656736017</v>
      </c>
    </row>
    <row r="7" customFormat="false" ht="15" hidden="false" customHeight="false" outlineLevel="0" collapsed="false">
      <c r="A7" s="7" t="s">
        <v>130</v>
      </c>
      <c r="B7" s="35" t="n">
        <f aca="false">Proy_CadAlza!$L$5</f>
        <v>-4357.29029110429</v>
      </c>
      <c r="C7" s="22" t="n">
        <f aca="false">B7-$B$5</f>
        <v>399.754075798383</v>
      </c>
    </row>
    <row r="8" customFormat="false" ht="15" hidden="false" customHeight="false" outlineLevel="0" collapsed="false">
      <c r="A8" s="7" t="s">
        <v>131</v>
      </c>
      <c r="B8" s="35" t="n">
        <f aca="false">Proy_CadBaja!$L$5</f>
        <v>-5156.26630877816</v>
      </c>
      <c r="C8" s="22" t="n">
        <f aca="false">B8-$B$5</f>
        <v>-399.221941875492</v>
      </c>
    </row>
    <row r="9" customFormat="false" ht="15" hidden="false" customHeight="false" outlineLevel="0" collapsed="false">
      <c r="A9" s="7" t="s">
        <v>132</v>
      </c>
      <c r="B9" s="35" t="n">
        <f aca="false">Proy_Gastos!$L$5</f>
        <v>-4645.81050002925</v>
      </c>
      <c r="C9" s="22" t="n">
        <f aca="false">B9-$B$5</f>
        <v>111.233866873414</v>
      </c>
    </row>
    <row r="11" customFormat="false" ht="15" hidden="false" customHeight="false" outlineLevel="0" collapsed="false">
      <c r="A11" s="34" t="s">
        <v>133</v>
      </c>
    </row>
    <row r="12" customFormat="false" ht="15" hidden="false" customHeight="false" outlineLevel="0" collapsed="false">
      <c r="A12" s="7" t="s">
        <v>134</v>
      </c>
      <c r="B12" s="22" t="n">
        <f aca="false">MAX(C6,0)</f>
        <v>1255.1656736017</v>
      </c>
    </row>
    <row r="13" customFormat="false" ht="15" hidden="false" customHeight="false" outlineLevel="0" collapsed="false">
      <c r="A13" s="7" t="s">
        <v>135</v>
      </c>
      <c r="B13" s="22" t="n">
        <f aca="false">MAX(C7,C8,0)</f>
        <v>399.754075798383</v>
      </c>
    </row>
    <row r="14" customFormat="false" ht="15" hidden="false" customHeight="false" outlineLevel="0" collapsed="false">
      <c r="A14" s="7" t="s">
        <v>136</v>
      </c>
      <c r="B14" s="22" t="n">
        <f aca="false">MAX(C9,0)</f>
        <v>111.233866873414</v>
      </c>
    </row>
    <row r="15" customFormat="false" ht="15" hidden="false" customHeight="false" outlineLevel="0" collapsed="false">
      <c r="A15" s="7" t="s">
        <v>137</v>
      </c>
      <c r="B15" s="22" t="n">
        <f aca="false">SQRT(B12^2+B13^2+B14^2+2*Rho_MC*B12*B13+2*Rho_MG*B12*B14+2*Rho_CG*B13*B14)</f>
        <v>1364.51156822332</v>
      </c>
    </row>
    <row r="16" customFormat="false" ht="15" hidden="false" customHeight="false" outlineLevel="0" collapsed="false">
      <c r="A16" s="7" t="s">
        <v>138</v>
      </c>
      <c r="B16" s="36" t="n">
        <f aca="false">SUMPRODUCT(Proy_Base!T9:T28,Proy_Base!R9:R28)/Proy_Base!T9</f>
        <v>8.19592371494533</v>
      </c>
      <c r="C16" s="2" t="s">
        <v>139</v>
      </c>
    </row>
    <row r="17" customFormat="false" ht="15" hidden="false" customHeight="false" outlineLevel="0" collapsed="false">
      <c r="A17" s="30" t="s">
        <v>140</v>
      </c>
      <c r="B17" s="24" t="n">
        <f aca="false">TasaCoC*B15*B16</f>
        <v>671.005963279124</v>
      </c>
    </row>
    <row r="18" customFormat="false" ht="15" hidden="false" customHeight="false" outlineLevel="0" collapsed="false">
      <c r="A18" s="7" t="s">
        <v>141</v>
      </c>
      <c r="B18" s="22" t="n">
        <f aca="false">B15/Z_Capital</f>
        <v>529.736798297673</v>
      </c>
    </row>
    <row r="19" customFormat="false" ht="15" hidden="false" customHeight="false" outlineLevel="0" collapsed="false">
      <c r="A19" s="30" t="s">
        <v>142</v>
      </c>
      <c r="B19" s="37" t="n">
        <f aca="false">NORMSDIST(B17/B18)</f>
        <v>0.897364780308548</v>
      </c>
      <c r="C19" s="2" t="s">
        <v>143</v>
      </c>
    </row>
    <row r="21" customFormat="false" ht="15" hidden="false" customHeight="false" outlineLevel="0" collapsed="false">
      <c r="A21" s="34" t="s">
        <v>144</v>
      </c>
    </row>
    <row r="22" customFormat="false" ht="15" hidden="false" customHeight="false" outlineLevel="0" collapsed="false">
      <c r="A22" s="7" t="s">
        <v>126</v>
      </c>
      <c r="B22" s="22" t="n">
        <f aca="false">B5</f>
        <v>-4757.04436690267</v>
      </c>
    </row>
    <row r="23" customFormat="false" ht="15" hidden="false" customHeight="false" outlineLevel="0" collapsed="false">
      <c r="A23" s="7" t="s">
        <v>12</v>
      </c>
      <c r="B23" s="22" t="n">
        <f aca="false">B17</f>
        <v>671.005963279124</v>
      </c>
    </row>
    <row r="24" customFormat="false" ht="15" hidden="false" customHeight="false" outlineLevel="0" collapsed="false">
      <c r="A24" s="30" t="s">
        <v>145</v>
      </c>
      <c r="B24" s="24" t="n">
        <f aca="false">MAX(0,-(B22+B23))</f>
        <v>4086.03840362354</v>
      </c>
    </row>
    <row r="25" customFormat="false" ht="15" hidden="false" customHeight="false" outlineLevel="0" collapsed="false">
      <c r="A25" s="7" t="s">
        <v>146</v>
      </c>
      <c r="B25" s="22" t="n">
        <f aca="false">MAX(0,B22+B23)</f>
        <v>0</v>
      </c>
    </row>
    <row r="27" customFormat="false" ht="15" hidden="false" customHeight="false" outlineLevel="0" collapsed="false">
      <c r="A27" s="34" t="s">
        <v>147</v>
      </c>
    </row>
    <row r="28" customFormat="false" ht="23.85" hidden="false" customHeight="false" outlineLevel="0" collapsed="false">
      <c r="A28" s="5" t="s">
        <v>148</v>
      </c>
      <c r="B28" s="5" t="s">
        <v>12</v>
      </c>
      <c r="C28" s="5" t="s">
        <v>149</v>
      </c>
      <c r="D28" s="5" t="s">
        <v>145</v>
      </c>
    </row>
    <row r="29" customFormat="false" ht="15" hidden="false" customHeight="false" outlineLevel="0" collapsed="false">
      <c r="A29" s="38" t="n">
        <v>0.04</v>
      </c>
      <c r="B29" s="22" t="n">
        <f aca="false">A29*$B$15*$B$16</f>
        <v>447.337308852749</v>
      </c>
      <c r="C29" s="27" t="n">
        <f aca="false">NORMSDIST(B29/$B$18)</f>
        <v>0.800791567752861</v>
      </c>
      <c r="D29" s="22" t="n">
        <f aca="false">MAX(0,-($B$22+B29))</f>
        <v>4309.70705804992</v>
      </c>
    </row>
    <row r="30" customFormat="false" ht="15" hidden="false" customHeight="false" outlineLevel="0" collapsed="false">
      <c r="A30" s="38" t="n">
        <v>0.0475</v>
      </c>
      <c r="B30" s="22" t="n">
        <f aca="false">A30*$B$15*$B$16</f>
        <v>531.21305426264</v>
      </c>
      <c r="C30" s="27" t="n">
        <f aca="false">NORMSDIST(B30/$B$18)</f>
        <v>0.842018123856697</v>
      </c>
      <c r="D30" s="22" t="n">
        <f aca="false">MAX(0,-($B$22+B30))</f>
        <v>4225.83131264003</v>
      </c>
    </row>
    <row r="31" customFormat="false" ht="15" hidden="false" customHeight="false" outlineLevel="0" collapsed="false">
      <c r="A31" s="38" t="n">
        <v>0.05</v>
      </c>
      <c r="B31" s="22" t="n">
        <f aca="false">A31*$B$15*$B$16</f>
        <v>559.171636065937</v>
      </c>
      <c r="C31" s="27" t="n">
        <f aca="false">NORMSDIST(B31/$B$18)</f>
        <v>0.854416506237771</v>
      </c>
      <c r="D31" s="22" t="n">
        <f aca="false">MAX(0,-($B$22+B31))</f>
        <v>4197.87273083673</v>
      </c>
    </row>
    <row r="32" customFormat="false" ht="15" hidden="false" customHeight="false" outlineLevel="0" collapsed="false">
      <c r="A32" s="38" t="n">
        <v>0.06</v>
      </c>
      <c r="B32" s="22" t="n">
        <f aca="false">A32*$B$15*$B$16</f>
        <v>671.005963279124</v>
      </c>
      <c r="C32" s="27" t="n">
        <f aca="false">NORMSDIST(B32/$B$18)</f>
        <v>0.897364780308548</v>
      </c>
      <c r="D32" s="22" t="n">
        <f aca="false">MAX(0,-($B$22+B32))</f>
        <v>4086.03840362354</v>
      </c>
    </row>
    <row r="33" customFormat="false" ht="15" hidden="false" customHeight="false" outlineLevel="0" collapsed="false">
      <c r="A33" s="38" t="n">
        <v>0.08</v>
      </c>
      <c r="B33" s="22" t="n">
        <f aca="false">A33*$B$15*$B$16</f>
        <v>894.674617705499</v>
      </c>
      <c r="C33" s="27" t="n">
        <f aca="false">NORMSDIST(B33/$B$18)</f>
        <v>0.954381089335304</v>
      </c>
      <c r="D33" s="22" t="n">
        <f aca="false">MAX(0,-($B$22+B33))</f>
        <v>3862.36974919717</v>
      </c>
    </row>
    <row r="35" customFormat="false" ht="15" hidden="false" customHeight="false" outlineLevel="0" collapsed="false">
      <c r="A35" s="2" t="s">
        <v>150</v>
      </c>
    </row>
    <row r="36" customFormat="false" ht="15" hidden="false" customHeight="false" outlineLevel="0" collapsed="false">
      <c r="A36" s="2" t="s">
        <v>151</v>
      </c>
    </row>
    <row r="37" customFormat="false" ht="15" hidden="false" customHeight="false" outlineLevel="0" collapsed="false">
      <c r="A37" s="2" t="s">
        <v>152</v>
      </c>
    </row>
    <row r="39" customFormat="false" ht="15" hidden="false" customHeight="false" outlineLevel="0" collapsed="false">
      <c r="A39" s="34" t="s">
        <v>153</v>
      </c>
    </row>
    <row r="40" customFormat="false" ht="23.85" hidden="false" customHeight="false" outlineLevel="0" collapsed="false">
      <c r="A40" s="5" t="s">
        <v>98</v>
      </c>
      <c r="B40" s="5" t="s">
        <v>154</v>
      </c>
      <c r="C40" s="5" t="s">
        <v>155</v>
      </c>
      <c r="D40" s="5" t="s">
        <v>156</v>
      </c>
      <c r="E40" s="5" t="s">
        <v>157</v>
      </c>
      <c r="F40" s="5" t="s">
        <v>158</v>
      </c>
      <c r="G40" s="5" t="s">
        <v>159</v>
      </c>
      <c r="H40" s="5" t="s">
        <v>160</v>
      </c>
      <c r="I40" s="5" t="s">
        <v>161</v>
      </c>
    </row>
    <row r="41" customFormat="false" ht="15" hidden="false" customHeight="false" outlineLevel="0" collapsed="false">
      <c r="A41" s="16" t="n">
        <f aca="false">ROW()-40</f>
        <v>1</v>
      </c>
      <c r="B41" s="22" t="n">
        <f aca="false">B24</f>
        <v>4086.03840362354</v>
      </c>
      <c r="C41" s="19" t="n">
        <f aca="false">INDEX(FD_Bloqueado,A41)/INDEX(FD_Bloqueado,A41+1)-1</f>
        <v>0.0464267024999998</v>
      </c>
      <c r="D41" s="22" t="n">
        <f aca="false">B41*C41</f>
        <v>189.701289368604</v>
      </c>
      <c r="E41" s="39" t="n">
        <f aca="false">Proy_Base!T9</f>
        <v>150000</v>
      </c>
      <c r="F41" s="29" t="n">
        <f aca="false">SUM(E41:E$60)</f>
        <v>1878782.04439671</v>
      </c>
      <c r="G41" s="27" t="n">
        <f aca="false">IF(F41&gt;0,E41/F41,0)</f>
        <v>0.079838957609458</v>
      </c>
      <c r="H41" s="22" t="n">
        <f aca="false">(B41+D41)*G41</f>
        <v>341.370600097877</v>
      </c>
      <c r="I41" s="22" t="n">
        <f aca="false">B41+D41-H41</f>
        <v>3934.36909289427</v>
      </c>
    </row>
    <row r="42" customFormat="false" ht="15" hidden="false" customHeight="false" outlineLevel="0" collapsed="false">
      <c r="A42" s="16" t="n">
        <f aca="false">ROW()-40</f>
        <v>2</v>
      </c>
      <c r="B42" s="22" t="n">
        <f aca="false">I41</f>
        <v>3934.36909289427</v>
      </c>
      <c r="C42" s="19" t="n">
        <f aca="false">INDEX(FD_Bloqueado,A42)/INDEX(FD_Bloqueado,A42+1)-1</f>
        <v>0.0476547826055846</v>
      </c>
      <c r="D42" s="22" t="n">
        <f aca="false">B42*C42</f>
        <v>187.491503812008</v>
      </c>
      <c r="E42" s="39" t="n">
        <f aca="false">Proy_Base!T10</f>
        <v>137529.075</v>
      </c>
      <c r="F42" s="29" t="n">
        <f aca="false">SUM(E42:E$60)</f>
        <v>1728782.04439671</v>
      </c>
      <c r="G42" s="27" t="n">
        <f aca="false">IF(F42&gt;0,E42/F42,0)</f>
        <v>0.0795525817992823</v>
      </c>
      <c r="H42" s="22" t="n">
        <f aca="false">(B42+D42)*G42</f>
        <v>327.904652284715</v>
      </c>
      <c r="I42" s="22" t="n">
        <f aca="false">B42+D42-H42</f>
        <v>3793.95594442156</v>
      </c>
    </row>
    <row r="43" customFormat="false" ht="15" hidden="false" customHeight="false" outlineLevel="0" collapsed="false">
      <c r="A43" s="16" t="n">
        <f aca="false">ROW()-40</f>
        <v>3</v>
      </c>
      <c r="B43" s="22" t="n">
        <f aca="false">I42</f>
        <v>3793.95594442156</v>
      </c>
      <c r="C43" s="19" t="n">
        <f aca="false">INDEX(FD_Bloqueado,A43)/INDEX(FD_Bloqueado,A43+1)-1</f>
        <v>0.0494987637512829</v>
      </c>
      <c r="D43" s="22" t="n">
        <f aca="false">B43*C43</f>
        <v>187.796128975699</v>
      </c>
      <c r="E43" s="39" t="n">
        <f aca="false">Proy_Base!T11</f>
        <v>128805.06748395</v>
      </c>
      <c r="F43" s="29" t="n">
        <f aca="false">SUM(E43:E$60)</f>
        <v>1591252.96939671</v>
      </c>
      <c r="G43" s="27" t="n">
        <f aca="false">IF(F43&gt;0,E43/F43,0)</f>
        <v>0.0809456886875655</v>
      </c>
      <c r="H43" s="22" t="n">
        <f aca="false">(B43+D43)*G43</f>
        <v>322.305663764283</v>
      </c>
      <c r="I43" s="22" t="n">
        <f aca="false">B43+D43-H43</f>
        <v>3659.44640963298</v>
      </c>
    </row>
    <row r="44" customFormat="false" ht="15" hidden="false" customHeight="false" outlineLevel="0" collapsed="false">
      <c r="A44" s="16" t="n">
        <f aca="false">ROW()-40</f>
        <v>4</v>
      </c>
      <c r="B44" s="22" t="n">
        <f aca="false">I43</f>
        <v>3659.44640963298</v>
      </c>
      <c r="C44" s="19" t="n">
        <f aca="false">INDEX(FD_Bloqueado,A44)/INDEX(FD_Bloqueado,A44+1)-1</f>
        <v>0.0511394860029069</v>
      </c>
      <c r="D44" s="22" t="n">
        <f aca="false">B44*C44</f>
        <v>187.142208443814</v>
      </c>
      <c r="E44" s="39" t="n">
        <f aca="false">Proy_Base!T12</f>
        <v>123169.308015219</v>
      </c>
      <c r="F44" s="29" t="n">
        <f aca="false">SUM(E44:E$60)</f>
        <v>1462447.90191276</v>
      </c>
      <c r="G44" s="27" t="n">
        <f aca="false">IF(F44&gt;0,E44/F44,0)</f>
        <v>0.0842213304515827</v>
      </c>
      <c r="H44" s="22" t="n">
        <f aca="false">(B44+D44)*G44</f>
        <v>323.964811114343</v>
      </c>
      <c r="I44" s="22" t="n">
        <f aca="false">B44+D44-H44</f>
        <v>3522.62380696245</v>
      </c>
    </row>
    <row r="45" customFormat="false" ht="15" hidden="false" customHeight="false" outlineLevel="0" collapsed="false">
      <c r="A45" s="16" t="n">
        <f aca="false">ROW()-40</f>
        <v>5</v>
      </c>
      <c r="B45" s="22" t="n">
        <f aca="false">I44</f>
        <v>3522.62380696245</v>
      </c>
      <c r="C45" s="19" t="n">
        <f aca="false">INDEX(FD_Bloqueado,A45)/INDEX(FD_Bloqueado,A45+1)-1</f>
        <v>0.0532957506864058</v>
      </c>
      <c r="D45" s="22" t="n">
        <f aca="false">B45*C45</f>
        <v>187.740880177868</v>
      </c>
      <c r="E45" s="39" t="n">
        <f aca="false">Proy_Base!T13</f>
        <v>117748.620400729</v>
      </c>
      <c r="F45" s="29" t="n">
        <f aca="false">SUM(E45:E$60)</f>
        <v>1339278.59389754</v>
      </c>
      <c r="G45" s="27" t="n">
        <f aca="false">IF(F45&gt;0,E45/F45,0)</f>
        <v>0.0879194373278669</v>
      </c>
      <c r="H45" s="22" t="n">
        <f aca="false">(B45+D45)*G45</f>
        <v>326.213175574564</v>
      </c>
      <c r="I45" s="22" t="n">
        <f aca="false">B45+D45-H45</f>
        <v>3384.15151156576</v>
      </c>
    </row>
    <row r="46" customFormat="false" ht="15" hidden="false" customHeight="false" outlineLevel="0" collapsed="false">
      <c r="A46" s="16" t="n">
        <f aca="false">ROW()-40</f>
        <v>6</v>
      </c>
      <c r="B46" s="22" t="n">
        <f aca="false">I45</f>
        <v>3384.15151156576</v>
      </c>
      <c r="C46" s="19" t="n">
        <f aca="false">INDEX(FD_Bloqueado,A46)/INDEX(FD_Bloqueado,A46+1)-1</f>
        <v>0.0557637768718606</v>
      </c>
      <c r="D46" s="22" t="n">
        <f aca="false">B46*C46</f>
        <v>188.713069791523</v>
      </c>
      <c r="E46" s="39" t="n">
        <f aca="false">Proy_Base!T14</f>
        <v>112532.943272492</v>
      </c>
      <c r="F46" s="29" t="n">
        <f aca="false">SUM(E46:E$60)</f>
        <v>1221529.97349682</v>
      </c>
      <c r="G46" s="27" t="n">
        <f aca="false">IF(F46&gt;0,E46/F46,0)</f>
        <v>0.0921245861453154</v>
      </c>
      <c r="H46" s="22" t="n">
        <f aca="false">(B46+D46)*G46</f>
        <v>329.148670910795</v>
      </c>
      <c r="I46" s="22" t="n">
        <f aca="false">B46+D46-H46</f>
        <v>3243.71591044648</v>
      </c>
    </row>
    <row r="47" customFormat="false" ht="15" hidden="false" customHeight="false" outlineLevel="0" collapsed="false">
      <c r="A47" s="16" t="n">
        <f aca="false">ROW()-40</f>
        <v>7</v>
      </c>
      <c r="B47" s="22" t="n">
        <f aca="false">I46</f>
        <v>3243.71591044648</v>
      </c>
      <c r="C47" s="19" t="n">
        <f aca="false">INDEX(FD_Bloqueado,A47)/INDEX(FD_Bloqueado,A47+1)-1</f>
        <v>0.0578227944498519</v>
      </c>
      <c r="D47" s="22" t="n">
        <f aca="false">B47*C47</f>
        <v>187.560718343461</v>
      </c>
      <c r="E47" s="39" t="n">
        <f aca="false">Proy_Base!T15</f>
        <v>107376.728528944</v>
      </c>
      <c r="F47" s="29" t="n">
        <f aca="false">SUM(E47:E$60)</f>
        <v>1108997.03022432</v>
      </c>
      <c r="G47" s="27" t="n">
        <f aca="false">IF(F47&gt;0,E47/F47,0)</f>
        <v>0.0968232786946455</v>
      </c>
      <c r="H47" s="22" t="n">
        <f aca="false">(B47+D47)*G47</f>
        <v>332.227453307752</v>
      </c>
      <c r="I47" s="22" t="n">
        <f aca="false">B47+D47-H47</f>
        <v>3099.04917548219</v>
      </c>
    </row>
    <row r="48" customFormat="false" ht="15" hidden="false" customHeight="false" outlineLevel="0" collapsed="false">
      <c r="A48" s="16" t="n">
        <f aca="false">ROW()-40</f>
        <v>8</v>
      </c>
      <c r="B48" s="22" t="n">
        <f aca="false">I47</f>
        <v>3099.04917548219</v>
      </c>
      <c r="C48" s="19" t="n">
        <f aca="false">INDEX(FD_Bloqueado,A48)/INDEX(FD_Bloqueado,A48+1)-1</f>
        <v>0.0590581998321293</v>
      </c>
      <c r="D48" s="22" t="n">
        <f aca="false">B48*C48</f>
        <v>183.024265495223</v>
      </c>
      <c r="E48" s="39" t="n">
        <f aca="false">Proy_Base!T16</f>
        <v>102408.622242065</v>
      </c>
      <c r="F48" s="29" t="n">
        <f aca="false">SUM(E48:E$60)</f>
        <v>1001620.30169538</v>
      </c>
      <c r="G48" s="27" t="n">
        <f aca="false">IF(F48&gt;0,E48/F48,0)</f>
        <v>0.102242957804194</v>
      </c>
      <c r="H48" s="22" t="n">
        <f aca="false">(B48+D48)*G48</f>
        <v>335.56889633612</v>
      </c>
      <c r="I48" s="22" t="n">
        <f aca="false">B48+D48-H48</f>
        <v>2946.5045446413</v>
      </c>
    </row>
    <row r="49" customFormat="false" ht="15" hidden="false" customHeight="false" outlineLevel="0" collapsed="false">
      <c r="A49" s="16" t="n">
        <f aca="false">ROW()-40</f>
        <v>9</v>
      </c>
      <c r="B49" s="22" t="n">
        <f aca="false">I48</f>
        <v>2946.5045446413</v>
      </c>
      <c r="C49" s="19" t="n">
        <f aca="false">INDEX(FD_Bloqueado,A49)/INDEX(FD_Bloqueado,A49+1)-1</f>
        <v>0.0609146525965758</v>
      </c>
      <c r="D49" s="22" t="n">
        <f aca="false">B49*C49</f>
        <v>179.485300711056</v>
      </c>
      <c r="E49" s="39" t="n">
        <f aca="false">Proy_Base!T17</f>
        <v>97619.3450749738</v>
      </c>
      <c r="F49" s="29" t="n">
        <f aca="false">SUM(E49:E$60)</f>
        <v>899211.679453314</v>
      </c>
      <c r="G49" s="27" t="n">
        <f aca="false">IF(F49&gt;0,E49/F49,0)</f>
        <v>0.108561028849539</v>
      </c>
      <c r="H49" s="22" t="n">
        <f aca="false">(B49+D49)*G49</f>
        <v>339.360673784663</v>
      </c>
      <c r="I49" s="22" t="n">
        <f aca="false">B49+D49-H49</f>
        <v>2786.62917156769</v>
      </c>
    </row>
    <row r="50" customFormat="false" ht="15" hidden="false" customHeight="false" outlineLevel="0" collapsed="false">
      <c r="A50" s="16" t="n">
        <f aca="false">ROW()-40</f>
        <v>10</v>
      </c>
      <c r="B50" s="22" t="n">
        <f aca="false">I49</f>
        <v>2786.62917156769</v>
      </c>
      <c r="C50" s="19" t="n">
        <f aca="false">INDEX(FD_Bloqueado,A50)/INDEX(FD_Bloqueado,A50+1)-1</f>
        <v>0.0617386312012793</v>
      </c>
      <c r="D50" s="22" t="n">
        <f aca="false">B50*C50</f>
        <v>172.042670718144</v>
      </c>
      <c r="E50" s="39" t="n">
        <f aca="false">Proy_Base!T18</f>
        <v>92999.0370003885</v>
      </c>
      <c r="F50" s="29" t="n">
        <f aca="false">SUM(E50:E$60)</f>
        <v>801592.33437834</v>
      </c>
      <c r="G50" s="27" t="n">
        <f aca="false">IF(F50&gt;0,E50/F50,0)</f>
        <v>0.116017872192493</v>
      </c>
      <c r="H50" s="22" t="n">
        <f aca="false">(B50+D50)*G50</f>
        <v>343.258811657846</v>
      </c>
      <c r="I50" s="22" t="n">
        <f aca="false">B50+D50-H50</f>
        <v>2615.41303062799</v>
      </c>
    </row>
    <row r="51" customFormat="false" ht="15" hidden="false" customHeight="false" outlineLevel="0" collapsed="false">
      <c r="A51" s="16" t="n">
        <f aca="false">ROW()-40</f>
        <v>11</v>
      </c>
      <c r="B51" s="22" t="n">
        <f aca="false">I50</f>
        <v>2615.41303062799</v>
      </c>
      <c r="C51" s="19" t="n">
        <f aca="false">INDEX(FD_Bloqueado,A51)/INDEX(FD_Bloqueado,A51+1)-1</f>
        <v>0.0622529619083916</v>
      </c>
      <c r="D51" s="22" t="n">
        <f aca="false">B51*C51</f>
        <v>162.817207770395</v>
      </c>
      <c r="E51" s="39" t="n">
        <f aca="false">Proy_Base!T19</f>
        <v>88538.3659884508</v>
      </c>
      <c r="F51" s="29" t="n">
        <f aca="false">SUM(E51:E$60)</f>
        <v>708593.297377952</v>
      </c>
      <c r="G51" s="27" t="n">
        <f aca="false">IF(F51&gt;0,E51/F51,0)</f>
        <v>0.124949482751353</v>
      </c>
      <c r="H51" s="22" t="n">
        <f aca="false">(B51+D51)*G51</f>
        <v>347.138431252046</v>
      </c>
      <c r="I51" s="22" t="n">
        <f aca="false">B51+D51-H51</f>
        <v>2431.09180714634</v>
      </c>
    </row>
    <row r="52" customFormat="false" ht="15" hidden="false" customHeight="false" outlineLevel="0" collapsed="false">
      <c r="A52" s="16" t="n">
        <f aca="false">ROW()-40</f>
        <v>12</v>
      </c>
      <c r="B52" s="22" t="n">
        <f aca="false">I51</f>
        <v>2431.09180714634</v>
      </c>
      <c r="C52" s="19" t="n">
        <f aca="false">INDEX(FD_Bloqueado,A52)/INDEX(FD_Bloqueado,A52+1)-1</f>
        <v>0.0624574957852013</v>
      </c>
      <c r="D52" s="22" t="n">
        <f aca="false">B52*C52</f>
        <v>151.83990629828</v>
      </c>
      <c r="E52" s="39" t="n">
        <f aca="false">Proy_Base!T20</f>
        <v>84232.2477660404</v>
      </c>
      <c r="F52" s="29" t="n">
        <f aca="false">SUM(E52:E$60)</f>
        <v>620054.931389501</v>
      </c>
      <c r="G52" s="27" t="n">
        <f aca="false">IF(F52&gt;0,E52/F52,0)</f>
        <v>0.135846428278994</v>
      </c>
      <c r="H52" s="22" t="n">
        <f aca="false">(B52+D52)*G52</f>
        <v>350.882047759993</v>
      </c>
      <c r="I52" s="22" t="n">
        <f aca="false">B52+D52-H52</f>
        <v>2232.04966568462</v>
      </c>
    </row>
    <row r="53" customFormat="false" ht="15" hidden="false" customHeight="false" outlineLevel="0" collapsed="false">
      <c r="A53" s="16" t="n">
        <f aca="false">ROW()-40</f>
        <v>13</v>
      </c>
      <c r="B53" s="22" t="n">
        <f aca="false">I52</f>
        <v>2232.04966568462</v>
      </c>
      <c r="C53" s="19" t="n">
        <f aca="false">INDEX(FD_Bloqueado,A53)/INDEX(FD_Bloqueado,A53+1)-1</f>
        <v>0.0636969309393496</v>
      </c>
      <c r="D53" s="22" t="n">
        <f aca="false">B53*C53</f>
        <v>142.174713408312</v>
      </c>
      <c r="E53" s="39" t="n">
        <f aca="false">Proy_Base!T21</f>
        <v>80074.7423267197</v>
      </c>
      <c r="F53" s="29" t="n">
        <f aca="false">SUM(E53:E$60)</f>
        <v>535822.683623461</v>
      </c>
      <c r="G53" s="27" t="n">
        <f aca="false">IF(F53&gt;0,E53/F53,0)</f>
        <v>0.149442613711723</v>
      </c>
      <c r="H53" s="22" t="n">
        <f aca="false">(B53+D53)*G53</f>
        <v>354.810296749741</v>
      </c>
      <c r="I53" s="22" t="n">
        <f aca="false">B53+D53-H53</f>
        <v>2019.41408234319</v>
      </c>
    </row>
    <row r="54" customFormat="false" ht="15" hidden="false" customHeight="false" outlineLevel="0" collapsed="false">
      <c r="A54" s="16" t="n">
        <f aca="false">ROW()-40</f>
        <v>14</v>
      </c>
      <c r="B54" s="22" t="n">
        <f aca="false">I53</f>
        <v>2019.41408234319</v>
      </c>
      <c r="C54" s="19" t="n">
        <f aca="false">INDEX(FD_Bloqueado,A54)/INDEX(FD_Bloqueado,A54+1)-1</f>
        <v>0.0620406080314082</v>
      </c>
      <c r="D54" s="22" t="n">
        <f aca="false">B54*C54</f>
        <v>125.28567753576</v>
      </c>
      <c r="E54" s="39" t="n">
        <f aca="false">Proy_Base!T22</f>
        <v>76063.2616859209</v>
      </c>
      <c r="F54" s="29" t="n">
        <f aca="false">SUM(E54:E$60)</f>
        <v>455747.941296741</v>
      </c>
      <c r="G54" s="27" t="n">
        <f aca="false">IF(F54&gt;0,E54/F54,0)</f>
        <v>0.16689765283305</v>
      </c>
      <c r="H54" s="22" t="n">
        <f aca="false">(B54+D54)*G54</f>
        <v>357.945355955404</v>
      </c>
      <c r="I54" s="22" t="n">
        <f aca="false">B54+D54-H54</f>
        <v>1786.75440392355</v>
      </c>
    </row>
    <row r="55" customFormat="false" ht="15" hidden="false" customHeight="false" outlineLevel="0" collapsed="false">
      <c r="A55" s="16" t="n">
        <f aca="false">ROW()-40</f>
        <v>15</v>
      </c>
      <c r="B55" s="22" t="n">
        <f aca="false">I54</f>
        <v>1786.75440392355</v>
      </c>
      <c r="C55" s="19" t="n">
        <f aca="false">INDEX(FD_Bloqueado,A55)/INDEX(FD_Bloqueado,A55+1)-1</f>
        <v>0.0644180768140701</v>
      </c>
      <c r="D55" s="22" t="n">
        <f aca="false">B55*C55</f>
        <v>115.099282439825</v>
      </c>
      <c r="E55" s="39" t="n">
        <f aca="false">Proy_Base!T23</f>
        <v>72193.4621824123</v>
      </c>
      <c r="F55" s="29" t="n">
        <f aca="false">SUM(E55:E$60)</f>
        <v>379684.67961082</v>
      </c>
      <c r="G55" s="27" t="n">
        <f aca="false">IF(F55&gt;0,E55/F55,0)</f>
        <v>0.190140572056821</v>
      </c>
      <c r="H55" s="22" t="n">
        <f aca="false">(B55+D55)*G55</f>
        <v>361.619547893507</v>
      </c>
      <c r="I55" s="22" t="n">
        <f aca="false">B55+D55-H55</f>
        <v>1540.23413846987</v>
      </c>
    </row>
    <row r="56" customFormat="false" ht="15" hidden="false" customHeight="false" outlineLevel="0" collapsed="false">
      <c r="A56" s="16" t="n">
        <f aca="false">ROW()-40</f>
        <v>16</v>
      </c>
      <c r="B56" s="22" t="n">
        <f aca="false">I55</f>
        <v>1540.23413846987</v>
      </c>
      <c r="C56" s="19" t="n">
        <f aca="false">INDEX(FD_Bloqueado,A56)/INDEX(FD_Bloqueado,A56+1)-1</f>
        <v>0.0621417762981158</v>
      </c>
      <c r="D56" s="22" t="n">
        <f aca="false">B56*C56</f>
        <v>95.7128852795156</v>
      </c>
      <c r="E56" s="39" t="n">
        <f aca="false">Proy_Base!T24</f>
        <v>68460.9003081573</v>
      </c>
      <c r="F56" s="29" t="n">
        <f aca="false">SUM(E56:E$60)</f>
        <v>307491.217428408</v>
      </c>
      <c r="G56" s="27" t="n">
        <f aca="false">IF(F56&gt;0,E56/F56,0)</f>
        <v>0.222643433138369</v>
      </c>
      <c r="H56" s="22" t="n">
        <f aca="false">(B56+D56)*G56</f>
        <v>364.232861800059</v>
      </c>
      <c r="I56" s="22" t="n">
        <f aca="false">B56+D56-H56</f>
        <v>1271.71416194932</v>
      </c>
    </row>
    <row r="57" customFormat="false" ht="15" hidden="false" customHeight="false" outlineLevel="0" collapsed="false">
      <c r="A57" s="16" t="n">
        <f aca="false">ROW()-40</f>
        <v>17</v>
      </c>
      <c r="B57" s="22" t="n">
        <f aca="false">I56</f>
        <v>1271.71416194932</v>
      </c>
      <c r="C57" s="19" t="n">
        <f aca="false">INDEX(FD_Bloqueado,A57)/INDEX(FD_Bloqueado,A57+1)-1</f>
        <v>0.0627609496614467</v>
      </c>
      <c r="D57" s="22" t="n">
        <f aca="false">B57*C57</f>
        <v>79.8139885018505</v>
      </c>
      <c r="E57" s="39" t="n">
        <f aca="false">Proy_Base!T25</f>
        <v>64858.9860356089</v>
      </c>
      <c r="F57" s="29" t="n">
        <f aca="false">SUM(E57:E$60)</f>
        <v>239030.317120251</v>
      </c>
      <c r="G57" s="27" t="n">
        <f aca="false">IF(F57&gt;0,E57/F57,0)</f>
        <v>0.271342090898787</v>
      </c>
      <c r="H57" s="22" t="n">
        <f aca="false">(B57+D57)*G57</f>
        <v>366.726474251992</v>
      </c>
      <c r="I57" s="22" t="n">
        <f aca="false">B57+D57-H57</f>
        <v>984.801676199183</v>
      </c>
    </row>
    <row r="58" customFormat="false" ht="15" hidden="false" customHeight="false" outlineLevel="0" collapsed="false">
      <c r="A58" s="16" t="n">
        <f aca="false">ROW()-40</f>
        <v>18</v>
      </c>
      <c r="B58" s="22" t="n">
        <f aca="false">I57</f>
        <v>984.801676199183</v>
      </c>
      <c r="C58" s="19" t="n">
        <f aca="false">INDEX(FD_Bloqueado,A58)/INDEX(FD_Bloqueado,A58+1)-1</f>
        <v>0.06338034845797</v>
      </c>
      <c r="D58" s="22" t="n">
        <f aca="false">B58*C58</f>
        <v>62.4170733994972</v>
      </c>
      <c r="E58" s="39" t="n">
        <f aca="false">Proy_Base!T26</f>
        <v>61381.2259821195</v>
      </c>
      <c r="F58" s="29" t="n">
        <f aca="false">SUM(E58:E$60)</f>
        <v>174171.331084642</v>
      </c>
      <c r="G58" s="27" t="n">
        <f aca="false">IF(F58&gt;0,E58/F58,0)</f>
        <v>0.352418653517037</v>
      </c>
      <c r="H58" s="22" t="n">
        <f aca="false">(B58+D58)*G58</f>
        <v>369.059421671362</v>
      </c>
      <c r="I58" s="22" t="n">
        <f aca="false">B58+D58-H58</f>
        <v>678.159327927318</v>
      </c>
    </row>
    <row r="59" customFormat="false" ht="15" hidden="false" customHeight="false" outlineLevel="0" collapsed="false">
      <c r="A59" s="16" t="n">
        <f aca="false">ROW()-40</f>
        <v>19</v>
      </c>
      <c r="B59" s="22" t="n">
        <f aca="false">I58</f>
        <v>678.159327927318</v>
      </c>
      <c r="C59" s="19" t="n">
        <f aca="false">INDEX(FD_Bloqueado,A59)/INDEX(FD_Bloqueado,A59+1)-1</f>
        <v>0.0620367307080203</v>
      </c>
      <c r="D59" s="22" t="n">
        <f aca="false">B59*C59</f>
        <v>42.0707876037591</v>
      </c>
      <c r="E59" s="39" t="n">
        <f aca="false">Proy_Base!T27</f>
        <v>58020.445198244</v>
      </c>
      <c r="F59" s="29" t="n">
        <f aca="false">SUM(E59:E$60)</f>
        <v>112790.105102522</v>
      </c>
      <c r="G59" s="27" t="n">
        <f aca="false">IF(F59&gt;0,E59/F59,0)</f>
        <v>0.514410773405216</v>
      </c>
      <c r="H59" s="22" t="n">
        <f aca="false">(B59+D59)*G59</f>
        <v>370.49413076007</v>
      </c>
      <c r="I59" s="22" t="n">
        <f aca="false">B59+D59-H59</f>
        <v>349.735984771008</v>
      </c>
    </row>
    <row r="60" customFormat="false" ht="15" hidden="false" customHeight="false" outlineLevel="0" collapsed="false">
      <c r="A60" s="16" t="n">
        <f aca="false">ROW()-40</f>
        <v>20</v>
      </c>
      <c r="B60" s="22" t="n">
        <f aca="false">I59</f>
        <v>349.735984771008</v>
      </c>
      <c r="C60" s="19" t="n">
        <f aca="false">INDEX(FD_Bloqueado,A60)/INDEX(FD_Bloqueado,A60+1)-1</f>
        <v>0.0603860137010221</v>
      </c>
      <c r="D60" s="22" t="n">
        <f aca="false">B60*C60</f>
        <v>21.1191619681225</v>
      </c>
      <c r="E60" s="39" t="n">
        <f aca="false">Proy_Base!T28</f>
        <v>54769.6599042781</v>
      </c>
      <c r="F60" s="29" t="n">
        <f aca="false">SUM(E60:E$60)</f>
        <v>54769.6599042781</v>
      </c>
      <c r="G60" s="27" t="n">
        <f aca="false">IF(F60&gt;0,E60/F60,0)</f>
        <v>1</v>
      </c>
      <c r="H60" s="22" t="n">
        <f aca="false">(B60+D60)*G60</f>
        <v>370.85514673913</v>
      </c>
      <c r="I60" s="22" t="n">
        <f aca="false">B60+D60-H60</f>
        <v>0</v>
      </c>
    </row>
    <row r="61" customFormat="false" ht="15" hidden="false" customHeight="false" outlineLevel="0" collapsed="false">
      <c r="A61" s="30" t="s">
        <v>117</v>
      </c>
      <c r="D61" s="24" t="n">
        <f aca="false">SUM(D41:D60)</f>
        <v>2849.04872004272</v>
      </c>
      <c r="H61" s="24" t="n">
        <f aca="false">SUM(H41:H60)</f>
        <v>6935.08712366626</v>
      </c>
    </row>
    <row r="62" customFormat="false" ht="15" hidden="false" customHeight="false" outlineLevel="0" collapsed="false">
      <c r="A62" s="7" t="s">
        <v>162</v>
      </c>
      <c r="I62" s="22" t="n">
        <f aca="false">ROUND(B24+D61-H61-I60,6)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0"/>
    <col collapsed="false" customWidth="true" hidden="false" outlineLevel="0" max="4" min="4" style="0" width="16"/>
    <col collapsed="false" customWidth="true" hidden="false" outlineLevel="0" max="5" min="5" style="0" width="10"/>
  </cols>
  <sheetData>
    <row r="1" customFormat="false" ht="16.15" hidden="false" customHeight="false" outlineLevel="0" collapsed="false">
      <c r="A1" s="1" t="s">
        <v>163</v>
      </c>
    </row>
    <row r="2" customFormat="false" ht="15" hidden="false" customHeight="false" outlineLevel="0" collapsed="false">
      <c r="A2" s="2" t="s">
        <v>164</v>
      </c>
    </row>
    <row r="3" customFormat="false" ht="15" hidden="false" customHeight="false" outlineLevel="0" collapsed="false">
      <c r="A3" s="30" t="s">
        <v>165</v>
      </c>
      <c r="B3" s="30" t="str">
        <f aca="false">IF(COUNTIF(E6:E38,"✘")=0,"Todo cuadra (tolerancia USD 0,005)","Revisar diferencias")</f>
        <v>Todo cuadra (tolerancia USD 0,005)</v>
      </c>
    </row>
    <row r="5" customFormat="false" ht="15" hidden="false" customHeight="false" outlineLevel="0" collapsed="false">
      <c r="A5" s="5" t="s">
        <v>22</v>
      </c>
      <c r="B5" s="5" t="s">
        <v>166</v>
      </c>
      <c r="C5" s="5" t="s">
        <v>167</v>
      </c>
      <c r="D5" s="5" t="s">
        <v>168</v>
      </c>
      <c r="E5" s="5" t="s">
        <v>169</v>
      </c>
    </row>
    <row r="6" customFormat="false" ht="15" hidden="false" customHeight="false" outlineLevel="0" collapsed="false">
      <c r="A6" s="7" t="s">
        <v>91</v>
      </c>
      <c r="B6" s="40" t="n">
        <v>15514.442377</v>
      </c>
      <c r="C6" s="41" t="n">
        <f aca="false">Proy_Base!L3</f>
        <v>15514.4423773416</v>
      </c>
      <c r="D6" s="42" t="n">
        <f aca="false">C6-B6</f>
        <v>3.41637132805772E-007</v>
      </c>
      <c r="E6" s="43" t="str">
        <f aca="false">IF(ABS(D6)&lt;0.005,"✔","✘")</f>
        <v>✔</v>
      </c>
    </row>
    <row r="7" customFormat="false" ht="15" hidden="false" customHeight="false" outlineLevel="0" collapsed="false">
      <c r="A7" s="7" t="s">
        <v>93</v>
      </c>
      <c r="B7" s="40" t="n">
        <v>10757.39801</v>
      </c>
      <c r="C7" s="41" t="n">
        <f aca="false">Proy_Base!L4</f>
        <v>10757.398010439</v>
      </c>
      <c r="D7" s="42" t="n">
        <f aca="false">C7-B7</f>
        <v>4.38967617810704E-007</v>
      </c>
      <c r="E7" s="43" t="str">
        <f aca="false">IF(ABS(D7)&lt;0.005,"✔","✘")</f>
        <v>✔</v>
      </c>
    </row>
    <row r="8" customFormat="false" ht="15" hidden="false" customHeight="false" outlineLevel="0" collapsed="false">
      <c r="A8" s="7" t="s">
        <v>170</v>
      </c>
      <c r="B8" s="40" t="n">
        <v>-4757.044367</v>
      </c>
      <c r="C8" s="41" t="n">
        <f aca="false">Proy_Base!L5</f>
        <v>-4757.04436690267</v>
      </c>
      <c r="D8" s="42" t="n">
        <f aca="false">C8-B8</f>
        <v>9.73323039943352E-008</v>
      </c>
      <c r="E8" s="43" t="str">
        <f aca="false">IF(ABS(D8)&lt;0.005,"✔","✘")</f>
        <v>✔</v>
      </c>
    </row>
    <row r="9" customFormat="false" ht="15" hidden="false" customHeight="false" outlineLevel="0" collapsed="false">
      <c r="A9" s="7" t="s">
        <v>171</v>
      </c>
      <c r="B9" s="40" t="n">
        <v>-3501.878693</v>
      </c>
      <c r="C9" s="41" t="n">
        <f aca="false">Proy_Mort!L5</f>
        <v>-3501.87869330096</v>
      </c>
      <c r="D9" s="42" t="n">
        <f aca="false">C9-B9</f>
        <v>-3.00963165500434E-007</v>
      </c>
      <c r="E9" s="43" t="str">
        <f aca="false">IF(ABS(D9)&lt;0.005,"✔","✘")</f>
        <v>✔</v>
      </c>
    </row>
    <row r="10" customFormat="false" ht="15" hidden="false" customHeight="false" outlineLevel="0" collapsed="false">
      <c r="A10" s="7" t="s">
        <v>172</v>
      </c>
      <c r="B10" s="40" t="n">
        <v>-4357.290291</v>
      </c>
      <c r="C10" s="41" t="n">
        <f aca="false">Proy_CadAlza!L5</f>
        <v>-4357.29029110429</v>
      </c>
      <c r="D10" s="42" t="n">
        <f aca="false">C10-B10</f>
        <v>-1.04285390989389E-007</v>
      </c>
      <c r="E10" s="43" t="str">
        <f aca="false">IF(ABS(D10)&lt;0.005,"✔","✘")</f>
        <v>✔</v>
      </c>
    </row>
    <row r="11" customFormat="false" ht="15" hidden="false" customHeight="false" outlineLevel="0" collapsed="false">
      <c r="A11" s="7" t="s">
        <v>173</v>
      </c>
      <c r="B11" s="40" t="n">
        <v>-5156.266309</v>
      </c>
      <c r="C11" s="41" t="n">
        <f aca="false">Proy_CadBaja!L5</f>
        <v>-5156.26630877816</v>
      </c>
      <c r="D11" s="42" t="n">
        <f aca="false">C11-B11</f>
        <v>2.21839400182944E-007</v>
      </c>
      <c r="E11" s="43" t="str">
        <f aca="false">IF(ABS(D11)&lt;0.005,"✔","✘")</f>
        <v>✔</v>
      </c>
    </row>
    <row r="12" customFormat="false" ht="15" hidden="false" customHeight="false" outlineLevel="0" collapsed="false">
      <c r="A12" s="7" t="s">
        <v>174</v>
      </c>
      <c r="B12" s="40" t="n">
        <v>-4645.8105</v>
      </c>
      <c r="C12" s="41" t="n">
        <f aca="false">Proy_Gastos!L5</f>
        <v>-4645.81050002925</v>
      </c>
      <c r="D12" s="42" t="n">
        <f aca="false">C12-B12</f>
        <v>-2.9254806577228E-008</v>
      </c>
      <c r="E12" s="43" t="str">
        <f aca="false">IF(ABS(D12)&lt;0.005,"✔","✘")</f>
        <v>✔</v>
      </c>
    </row>
    <row r="13" customFormat="false" ht="15" hidden="false" customHeight="false" outlineLevel="0" collapsed="false">
      <c r="A13" s="7" t="s">
        <v>137</v>
      </c>
      <c r="B13" s="40" t="n">
        <v>1364.511568</v>
      </c>
      <c r="C13" s="41" t="n">
        <f aca="false">RA_CSM!B15</f>
        <v>1364.51156822332</v>
      </c>
      <c r="D13" s="42" t="n">
        <f aca="false">C13-B13</f>
        <v>2.23318465941702E-007</v>
      </c>
      <c r="E13" s="43" t="str">
        <f aca="false">IF(ABS(D13)&lt;0.005,"✔","✘")</f>
        <v>✔</v>
      </c>
    </row>
    <row r="14" customFormat="false" ht="15" hidden="false" customHeight="false" outlineLevel="0" collapsed="false">
      <c r="A14" s="7" t="s">
        <v>175</v>
      </c>
      <c r="B14" s="40" t="n">
        <v>8.195924</v>
      </c>
      <c r="C14" s="41" t="n">
        <f aca="false">RA_CSM!B16</f>
        <v>8.19592371494533</v>
      </c>
      <c r="D14" s="42" t="n">
        <f aca="false">C14-B14</f>
        <v>-2.85054671422813E-007</v>
      </c>
      <c r="E14" s="43" t="str">
        <f aca="false">IF(ABS(D14)&lt;0.005,"✔","✘")</f>
        <v>✔</v>
      </c>
    </row>
    <row r="15" customFormat="false" ht="15" hidden="false" customHeight="false" outlineLevel="0" collapsed="false">
      <c r="A15" s="7" t="s">
        <v>176</v>
      </c>
      <c r="B15" s="40" t="n">
        <v>671.005963</v>
      </c>
      <c r="C15" s="41" t="n">
        <f aca="false">RA_CSM!B17</f>
        <v>671.005963279124</v>
      </c>
      <c r="D15" s="42" t="n">
        <f aca="false">C15-B15</f>
        <v>2.79124151347787E-007</v>
      </c>
      <c r="E15" s="43" t="str">
        <f aca="false">IF(ABS(D15)&lt;0.005,"✔","✘")</f>
        <v>✔</v>
      </c>
    </row>
    <row r="16" customFormat="false" ht="15" hidden="false" customHeight="false" outlineLevel="0" collapsed="false">
      <c r="A16" s="7" t="s">
        <v>177</v>
      </c>
      <c r="B16" s="40" t="n">
        <v>4086.038404</v>
      </c>
      <c r="C16" s="41" t="n">
        <f aca="false">RA_CSM!B24</f>
        <v>4086.03840362354</v>
      </c>
      <c r="D16" s="42" t="n">
        <f aca="false">C16-B16</f>
        <v>-3.76455773221096E-007</v>
      </c>
      <c r="E16" s="43" t="str">
        <f aca="false">IF(ABS(D16)&lt;0.005,"✔","✘")</f>
        <v>✔</v>
      </c>
    </row>
    <row r="17" customFormat="false" ht="15" hidden="false" customHeight="false" outlineLevel="0" collapsed="false">
      <c r="A17" s="7" t="s">
        <v>178</v>
      </c>
      <c r="B17" s="40" t="n">
        <v>341.3706</v>
      </c>
      <c r="C17" s="41" t="n">
        <f aca="false">RA_CSM!H41</f>
        <v>341.370600097877</v>
      </c>
      <c r="D17" s="42" t="n">
        <f aca="false">C17-B17</f>
        <v>9.78770913206972E-008</v>
      </c>
      <c r="E17" s="43" t="str">
        <f aca="false">IF(ABS(D17)&lt;0.005,"✔","✘")</f>
        <v>✔</v>
      </c>
    </row>
    <row r="18" customFormat="false" ht="15" hidden="false" customHeight="false" outlineLevel="0" collapsed="false">
      <c r="A18" s="7" t="s">
        <v>179</v>
      </c>
      <c r="B18" s="40" t="n">
        <v>3934.369093</v>
      </c>
      <c r="C18" s="41" t="n">
        <f aca="false">RA_CSM!I41</f>
        <v>3934.36909289427</v>
      </c>
      <c r="D18" s="42" t="n">
        <f aca="false">C18-B18</f>
        <v>-1.05728304333752E-007</v>
      </c>
      <c r="E18" s="43" t="str">
        <f aca="false">IF(ABS(D18)&lt;0.005,"✔","✘")</f>
        <v>✔</v>
      </c>
    </row>
    <row r="19" customFormat="false" ht="15" hidden="false" customHeight="false" outlineLevel="0" collapsed="false">
      <c r="A19" s="7" t="s">
        <v>180</v>
      </c>
      <c r="B19" s="40" t="n">
        <v>-197.073084</v>
      </c>
      <c r="C19" s="41" t="n">
        <f aca="false">Proy_Base!S9</f>
        <v>-197.073084228014</v>
      </c>
      <c r="D19" s="42" t="n">
        <f aca="false">C19-B19</f>
        <v>-2.28013618652767E-007</v>
      </c>
      <c r="E19" s="43" t="str">
        <f aca="false">IF(ABS(D19)&lt;0.005,"✔","✘")</f>
        <v>✔</v>
      </c>
    </row>
    <row r="20" customFormat="false" ht="15" hidden="false" customHeight="false" outlineLevel="0" collapsed="false">
      <c r="A20" s="7" t="s">
        <v>181</v>
      </c>
      <c r="B20" s="40" t="n">
        <v>-980.304697</v>
      </c>
      <c r="C20" s="41" t="n">
        <f aca="false">Proy_Base!S10</f>
        <v>-980.304696955813</v>
      </c>
      <c r="D20" s="42" t="n">
        <f aca="false">C20-B20</f>
        <v>4.41872316514491E-008</v>
      </c>
      <c r="E20" s="43" t="str">
        <f aca="false">IF(ABS(D20)&lt;0.005,"✔","✘")</f>
        <v>✔</v>
      </c>
    </row>
    <row r="21" customFormat="false" ht="15" hidden="false" customHeight="false" outlineLevel="0" collapsed="false">
      <c r="A21" s="7" t="s">
        <v>182</v>
      </c>
      <c r="B21" s="40" t="n">
        <v>-846.992662</v>
      </c>
      <c r="C21" s="41" t="n">
        <f aca="false">Proy_Base!S11</f>
        <v>-846.992662179768</v>
      </c>
      <c r="D21" s="42" t="n">
        <f aca="false">C21-B21</f>
        <v>-1.79768335328845E-007</v>
      </c>
      <c r="E21" s="43" t="str">
        <f aca="false">IF(ABS(D21)&lt;0.005,"✔","✘")</f>
        <v>✔</v>
      </c>
    </row>
    <row r="22" customFormat="false" ht="15" hidden="false" customHeight="false" outlineLevel="0" collapsed="false">
      <c r="A22" s="7" t="s">
        <v>183</v>
      </c>
      <c r="B22" s="40" t="n">
        <v>-744.03404</v>
      </c>
      <c r="C22" s="41" t="n">
        <f aca="false">Proy_Base!S12</f>
        <v>-744.034039889503</v>
      </c>
      <c r="D22" s="42" t="n">
        <f aca="false">C22-B22</f>
        <v>1.10497353489336E-007</v>
      </c>
      <c r="E22" s="43" t="str">
        <f aca="false">IF(ABS(D22)&lt;0.005,"✔","✘")</f>
        <v>✔</v>
      </c>
    </row>
    <row r="23" customFormat="false" ht="15" hidden="false" customHeight="false" outlineLevel="0" collapsed="false">
      <c r="A23" s="7" t="s">
        <v>184</v>
      </c>
      <c r="B23" s="40" t="n">
        <v>-648.936007</v>
      </c>
      <c r="C23" s="41" t="n">
        <f aca="false">Proy_Base!S13</f>
        <v>-648.936007017682</v>
      </c>
      <c r="D23" s="42" t="n">
        <f aca="false">C23-B23</f>
        <v>-1.76820549313561E-008</v>
      </c>
      <c r="E23" s="43" t="str">
        <f aca="false">IF(ABS(D23)&lt;0.005,"✔","✘")</f>
        <v>✔</v>
      </c>
    </row>
    <row r="24" customFormat="false" ht="15" hidden="false" customHeight="false" outlineLevel="0" collapsed="false">
      <c r="A24" s="7" t="s">
        <v>185</v>
      </c>
      <c r="B24" s="40" t="n">
        <v>-455.615031</v>
      </c>
      <c r="C24" s="41" t="n">
        <f aca="false">Proy_Base!S14</f>
        <v>-455.615030735986</v>
      </c>
      <c r="D24" s="42" t="n">
        <f aca="false">C24-B24</f>
        <v>2.64013635842275E-007</v>
      </c>
      <c r="E24" s="43" t="str">
        <f aca="false">IF(ABS(D24)&lt;0.005,"✔","✘")</f>
        <v>✔</v>
      </c>
    </row>
    <row r="25" customFormat="false" ht="15" hidden="false" customHeight="false" outlineLevel="0" collapsed="false">
      <c r="A25" s="7" t="s">
        <v>186</v>
      </c>
      <c r="B25" s="40" t="n">
        <v>-376.441897</v>
      </c>
      <c r="C25" s="41" t="n">
        <f aca="false">Proy_Base!S15</f>
        <v>-376.441896840829</v>
      </c>
      <c r="D25" s="42" t="n">
        <f aca="false">C25-B25</f>
        <v>1.59171349878307E-007</v>
      </c>
      <c r="E25" s="43" t="str">
        <f aca="false">IF(ABS(D25)&lt;0.005,"✔","✘")</f>
        <v>✔</v>
      </c>
    </row>
    <row r="26" customFormat="false" ht="15" hidden="false" customHeight="false" outlineLevel="0" collapsed="false">
      <c r="A26" s="7" t="s">
        <v>187</v>
      </c>
      <c r="B26" s="40" t="n">
        <v>-303.726722</v>
      </c>
      <c r="C26" s="41" t="n">
        <f aca="false">Proy_Base!S16</f>
        <v>-303.726721521397</v>
      </c>
      <c r="D26" s="42" t="n">
        <f aca="false">C26-B26</f>
        <v>4.78602942166617E-007</v>
      </c>
      <c r="E26" s="43" t="str">
        <f aca="false">IF(ABS(D26)&lt;0.005,"✔","✘")</f>
        <v>✔</v>
      </c>
    </row>
    <row r="27" customFormat="false" ht="15" hidden="false" customHeight="false" outlineLevel="0" collapsed="false">
      <c r="A27" s="7" t="s">
        <v>188</v>
      </c>
      <c r="B27" s="40" t="n">
        <v>-237.440518</v>
      </c>
      <c r="C27" s="41" t="n">
        <f aca="false">Proy_Base!S17</f>
        <v>-237.440517819198</v>
      </c>
      <c r="D27" s="42" t="n">
        <f aca="false">C27-B27</f>
        <v>1.80801578153478E-007</v>
      </c>
      <c r="E27" s="43" t="str">
        <f aca="false">IF(ABS(D27)&lt;0.005,"✔","✘")</f>
        <v>✔</v>
      </c>
    </row>
    <row r="28" customFormat="false" ht="15" hidden="false" customHeight="false" outlineLevel="0" collapsed="false">
      <c r="A28" s="7" t="s">
        <v>189</v>
      </c>
      <c r="B28" s="40" t="n">
        <v>-176.51555</v>
      </c>
      <c r="C28" s="41" t="n">
        <f aca="false">Proy_Base!S18</f>
        <v>-176.515549966186</v>
      </c>
      <c r="D28" s="42" t="n">
        <f aca="false">C28-B28</f>
        <v>3.3813790878412E-008</v>
      </c>
      <c r="E28" s="43" t="str">
        <f aca="false">IF(ABS(D28)&lt;0.005,"✔","✘")</f>
        <v>✔</v>
      </c>
    </row>
    <row r="29" customFormat="false" ht="15" hidden="false" customHeight="false" outlineLevel="0" collapsed="false">
      <c r="A29" s="7" t="s">
        <v>190</v>
      </c>
      <c r="B29" s="40" t="n">
        <v>-123.424927</v>
      </c>
      <c r="C29" s="41" t="n">
        <f aca="false">Proy_Base!S19</f>
        <v>-123.424927331827</v>
      </c>
      <c r="D29" s="42" t="n">
        <f aca="false">C29-B29</f>
        <v>-3.31826839783389E-007</v>
      </c>
      <c r="E29" s="43" t="str">
        <f aca="false">IF(ABS(D29)&lt;0.005,"✔","✘")</f>
        <v>✔</v>
      </c>
    </row>
    <row r="30" customFormat="false" ht="15" hidden="false" customHeight="false" outlineLevel="0" collapsed="false">
      <c r="A30" s="7" t="s">
        <v>191</v>
      </c>
      <c r="B30" s="40" t="n">
        <v>-76.868761</v>
      </c>
      <c r="C30" s="41" t="n">
        <f aca="false">Proy_Base!S20</f>
        <v>-76.8687607191281</v>
      </c>
      <c r="D30" s="42" t="n">
        <f aca="false">C30-B30</f>
        <v>2.808719159475E-007</v>
      </c>
      <c r="E30" s="43" t="str">
        <f aca="false">IF(ABS(D30)&lt;0.005,"✔","✘")</f>
        <v>✔</v>
      </c>
    </row>
    <row r="31" customFormat="false" ht="15" hidden="false" customHeight="false" outlineLevel="0" collapsed="false">
      <c r="A31" s="7" t="s">
        <v>192</v>
      </c>
      <c r="B31" s="40" t="n">
        <v>-38.349931</v>
      </c>
      <c r="C31" s="41" t="n">
        <f aca="false">Proy_Base!S21</f>
        <v>-38.3499311290994</v>
      </c>
      <c r="D31" s="42" t="n">
        <f aca="false">C31-B31</f>
        <v>-1.29099447576664E-007</v>
      </c>
      <c r="E31" s="43" t="str">
        <f aca="false">IF(ABS(D31)&lt;0.005,"✔","✘")</f>
        <v>✔</v>
      </c>
    </row>
    <row r="32" customFormat="false" ht="15" hidden="false" customHeight="false" outlineLevel="0" collapsed="false">
      <c r="A32" s="7" t="s">
        <v>193</v>
      </c>
      <c r="B32" s="40" t="n">
        <v>-4.561183</v>
      </c>
      <c r="C32" s="41" t="n">
        <f aca="false">Proy_Base!S22</f>
        <v>-4.5611828054042</v>
      </c>
      <c r="D32" s="42" t="n">
        <f aca="false">C32-B32</f>
        <v>1.94595799030139E-007</v>
      </c>
      <c r="E32" s="43" t="str">
        <f aca="false">IF(ABS(D32)&lt;0.005,"✔","✘")</f>
        <v>✔</v>
      </c>
    </row>
    <row r="33" customFormat="false" ht="15" hidden="false" customHeight="false" outlineLevel="0" collapsed="false">
      <c r="A33" s="7" t="s">
        <v>194</v>
      </c>
      <c r="B33" s="40" t="n">
        <v>22.629133</v>
      </c>
      <c r="C33" s="41" t="n">
        <f aca="false">Proy_Base!S23</f>
        <v>22.629133118548</v>
      </c>
      <c r="D33" s="42" t="n">
        <f aca="false">C33-B33</f>
        <v>1.1854799808475E-007</v>
      </c>
      <c r="E33" s="43" t="str">
        <f aca="false">IF(ABS(D33)&lt;0.005,"✔","✘")</f>
        <v>✔</v>
      </c>
    </row>
    <row r="34" customFormat="false" ht="15" hidden="false" customHeight="false" outlineLevel="0" collapsed="false">
      <c r="A34" s="7" t="s">
        <v>195</v>
      </c>
      <c r="B34" s="40" t="n">
        <v>47.921328</v>
      </c>
      <c r="C34" s="41" t="n">
        <f aca="false">Proy_Base!S24</f>
        <v>47.9213283396733</v>
      </c>
      <c r="D34" s="42" t="n">
        <f aca="false">C34-B34</f>
        <v>3.39673263738405E-007</v>
      </c>
      <c r="E34" s="43" t="str">
        <f aca="false">IF(ABS(D34)&lt;0.005,"✔","✘")</f>
        <v>✔</v>
      </c>
    </row>
    <row r="35" customFormat="false" ht="15" hidden="false" customHeight="false" outlineLevel="0" collapsed="false">
      <c r="A35" s="7" t="s">
        <v>196</v>
      </c>
      <c r="B35" s="40" t="n">
        <v>69.188532</v>
      </c>
      <c r="C35" s="41" t="n">
        <f aca="false">Proy_Base!S25</f>
        <v>69.1885318205889</v>
      </c>
      <c r="D35" s="42" t="n">
        <f aca="false">C35-B35</f>
        <v>-1.79411117073869E-007</v>
      </c>
      <c r="E35" s="43" t="str">
        <f aca="false">IF(ABS(D35)&lt;0.005,"✔","✘")</f>
        <v>✔</v>
      </c>
    </row>
    <row r="36" customFormat="false" ht="15" hidden="false" customHeight="false" outlineLevel="0" collapsed="false">
      <c r="A36" s="7" t="s">
        <v>197</v>
      </c>
      <c r="B36" s="40" t="n">
        <v>88.033397</v>
      </c>
      <c r="C36" s="41" t="n">
        <f aca="false">Proy_Base!S26</f>
        <v>88.0333970899361</v>
      </c>
      <c r="D36" s="42" t="n">
        <f aca="false">C36-B36</f>
        <v>8.99360514949876E-008</v>
      </c>
      <c r="E36" s="43" t="str">
        <f aca="false">IF(ABS(D36)&lt;0.005,"✔","✘")</f>
        <v>✔</v>
      </c>
    </row>
    <row r="37" customFormat="false" ht="15" hidden="false" customHeight="false" outlineLevel="0" collapsed="false">
      <c r="A37" s="7" t="s">
        <v>198</v>
      </c>
      <c r="B37" s="40" t="n">
        <v>105.286526</v>
      </c>
      <c r="C37" s="41" t="n">
        <f aca="false">Proy_Base!S27</f>
        <v>105.286525805804</v>
      </c>
      <c r="D37" s="42" t="n">
        <f aca="false">C37-B37</f>
        <v>-1.94195891367599E-007</v>
      </c>
      <c r="E37" s="43" t="str">
        <f aca="false">IF(ABS(D37)&lt;0.005,"✔","✘")</f>
        <v>✔</v>
      </c>
    </row>
    <row r="38" customFormat="false" ht="15" hidden="false" customHeight="false" outlineLevel="0" collapsed="false">
      <c r="A38" s="7" t="s">
        <v>199</v>
      </c>
      <c r="B38" s="40" t="n">
        <v>120.181726</v>
      </c>
      <c r="C38" s="41" t="n">
        <f aca="false">Proy_Base!S28</f>
        <v>120.181726062615</v>
      </c>
      <c r="D38" s="42" t="n">
        <f aca="false">C38-B38</f>
        <v>6.26147880211647E-008</v>
      </c>
      <c r="E38" s="43" t="str">
        <f aca="false">IF(ABS(D38)&lt;0.005,"✔","✘")</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2026-10-04T04:31:32Z</dcterms:created>
  <dc:creator>openpyxl</dc:creator>
  <dc:description/>
  <dc:language>en-US</dc:language>
  <cp:lastModifiedBy/>
  <dcterms:modified xsi:type="dcterms:W3CDTF">2026-10-04T04:31:34Z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